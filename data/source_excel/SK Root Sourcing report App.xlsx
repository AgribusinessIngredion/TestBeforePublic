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gredion-my.sharepoint.com/personal/waraporn_promsurin_ingredion_com/Documents/DATA/KPI &amp; Safety/KPI 2026/For Agribusiness APP/"/>
    </mc:Choice>
  </mc:AlternateContent>
  <xr:revisionPtr revIDLastSave="18" documentId="8_{64C2D43B-7EAF-43A9-8F69-B831685514AC}" xr6:coauthVersionLast="47" xr6:coauthVersionMax="47" xr10:uidLastSave="{14A138DD-35C2-4C99-BD64-3488CB233691}"/>
  <bookViews>
    <workbookView xWindow="-110" yWindow="-110" windowWidth="19420" windowHeight="10300" tabRatio="833" xr2:uid="{75E74F8C-49BF-4436-9FB7-D050498D6B35}"/>
  </bookViews>
  <sheets>
    <sheet name="RawKPI.SK" sheetId="1" r:id="rId1"/>
    <sheet name="RegRoot.SK" sheetId="12" r:id="rId2"/>
    <sheet name="VolFarmerContri.SK" sheetId="13" r:id="rId3"/>
    <sheet name="Name.SK" sheetId="11" r:id="rId4"/>
    <sheet name="Year.SK" sheetId="10" r:id="rId5"/>
    <sheet name="Month.SK" sheetId="3" r:id="rId6"/>
  </sheets>
  <definedNames>
    <definedName name="_xlnm._FilterDatabase" localSheetId="3" hidden="1">Name.SK!$A$1:$E$1012</definedName>
    <definedName name="_xlnm._FilterDatabase" localSheetId="1" hidden="1">'RegRoot.SK'!$A$1:$N$7592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3" l="1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N7592" i="12"/>
  <c r="K7592" i="12"/>
  <c r="I7592" i="12"/>
  <c r="N7591" i="12"/>
  <c r="K7591" i="12"/>
  <c r="I7591" i="12"/>
  <c r="N7590" i="12"/>
  <c r="K7590" i="12"/>
  <c r="I7590" i="12"/>
  <c r="N7589" i="12"/>
  <c r="K7589" i="12"/>
  <c r="I7589" i="12"/>
  <c r="N7588" i="12"/>
  <c r="K7588" i="12"/>
  <c r="I7588" i="12"/>
  <c r="N7587" i="12"/>
  <c r="K7587" i="12"/>
  <c r="I7587" i="12"/>
  <c r="N7586" i="12"/>
  <c r="K7586" i="12"/>
  <c r="I7586" i="12"/>
  <c r="N7585" i="12"/>
  <c r="K7585" i="12"/>
  <c r="I7585" i="12"/>
  <c r="N7584" i="12"/>
  <c r="K7584" i="12"/>
  <c r="I7584" i="12"/>
  <c r="N7583" i="12"/>
  <c r="K7583" i="12"/>
  <c r="I7583" i="12"/>
  <c r="N7582" i="12"/>
  <c r="K7582" i="12"/>
  <c r="I7582" i="12"/>
  <c r="N7581" i="12"/>
  <c r="K7581" i="12"/>
  <c r="I7581" i="12"/>
  <c r="N7580" i="12"/>
  <c r="K7580" i="12"/>
  <c r="I7580" i="12"/>
  <c r="N7579" i="12"/>
  <c r="K7579" i="12"/>
  <c r="I7579" i="12"/>
  <c r="N7578" i="12"/>
  <c r="K7578" i="12"/>
  <c r="I7578" i="12"/>
  <c r="N7577" i="12"/>
  <c r="K7577" i="12"/>
  <c r="I7577" i="12"/>
  <c r="N7576" i="12"/>
  <c r="K7576" i="12"/>
  <c r="I7576" i="12"/>
  <c r="N7575" i="12"/>
  <c r="K7575" i="12"/>
  <c r="I7575" i="12"/>
  <c r="N7574" i="12"/>
  <c r="K7574" i="12"/>
  <c r="I7574" i="12"/>
  <c r="N7573" i="12"/>
  <c r="K7573" i="12"/>
  <c r="I7573" i="12"/>
  <c r="N7572" i="12"/>
  <c r="K7572" i="12"/>
  <c r="I7572" i="12"/>
  <c r="N7571" i="12"/>
  <c r="K7571" i="12"/>
  <c r="I7571" i="12"/>
  <c r="N7570" i="12"/>
  <c r="K7570" i="12"/>
  <c r="I7570" i="12"/>
  <c r="N7569" i="12"/>
  <c r="K7569" i="12"/>
  <c r="I7569" i="12"/>
  <c r="N7568" i="12"/>
  <c r="K7568" i="12"/>
  <c r="I7568" i="12"/>
  <c r="N7567" i="12"/>
  <c r="K7567" i="12"/>
  <c r="I7567" i="12"/>
  <c r="N7566" i="12"/>
  <c r="K7566" i="12"/>
  <c r="I7566" i="12"/>
  <c r="N7565" i="12"/>
  <c r="K7565" i="12"/>
  <c r="I7565" i="12"/>
  <c r="N7564" i="12"/>
  <c r="K7564" i="12"/>
  <c r="I7564" i="12"/>
  <c r="N7563" i="12"/>
  <c r="K7563" i="12"/>
  <c r="I7563" i="12"/>
  <c r="N7562" i="12"/>
  <c r="K7562" i="12"/>
  <c r="I7562" i="12"/>
  <c r="N7561" i="12"/>
  <c r="K7561" i="12"/>
  <c r="I7561" i="12"/>
  <c r="N7560" i="12"/>
  <c r="K7560" i="12"/>
  <c r="I7560" i="12"/>
  <c r="N7559" i="12"/>
  <c r="K7559" i="12"/>
  <c r="I7559" i="12"/>
  <c r="N7558" i="12"/>
  <c r="K7558" i="12"/>
  <c r="I7558" i="12"/>
  <c r="N7557" i="12"/>
  <c r="K7557" i="12"/>
  <c r="I7557" i="12"/>
  <c r="N7556" i="12"/>
  <c r="K7556" i="12"/>
  <c r="I7556" i="12"/>
  <c r="N7555" i="12"/>
  <c r="K7555" i="12"/>
  <c r="I7555" i="12"/>
  <c r="N7554" i="12"/>
  <c r="K7554" i="12"/>
  <c r="I7554" i="12"/>
  <c r="N7553" i="12"/>
  <c r="K7553" i="12"/>
  <c r="I7553" i="12"/>
  <c r="N7552" i="12"/>
  <c r="K7552" i="12"/>
  <c r="I7552" i="12"/>
  <c r="N7551" i="12"/>
  <c r="K7551" i="12"/>
  <c r="I7551" i="12"/>
  <c r="N7550" i="12"/>
  <c r="K7550" i="12"/>
  <c r="I7550" i="12"/>
  <c r="N7549" i="12"/>
  <c r="K7549" i="12"/>
  <c r="I7549" i="12"/>
  <c r="N7548" i="12"/>
  <c r="K7548" i="12"/>
  <c r="I7548" i="12"/>
  <c r="N7547" i="12"/>
  <c r="K7547" i="12"/>
  <c r="I7547" i="12"/>
  <c r="N7546" i="12"/>
  <c r="K7546" i="12"/>
  <c r="I7546" i="12"/>
  <c r="N7545" i="12"/>
  <c r="K7545" i="12"/>
  <c r="I7545" i="12"/>
  <c r="N7544" i="12"/>
  <c r="K7544" i="12"/>
  <c r="I7544" i="12"/>
  <c r="N7543" i="12"/>
  <c r="K7543" i="12"/>
  <c r="I7543" i="12"/>
  <c r="N7542" i="12"/>
  <c r="K7542" i="12"/>
  <c r="I7542" i="12"/>
  <c r="N7541" i="12"/>
  <c r="K7541" i="12"/>
  <c r="I7541" i="12"/>
  <c r="N7540" i="12"/>
  <c r="K7540" i="12"/>
  <c r="I7540" i="12"/>
  <c r="N7539" i="12"/>
  <c r="K7539" i="12"/>
  <c r="I7539" i="12"/>
  <c r="N7538" i="12"/>
  <c r="K7538" i="12"/>
  <c r="I7538" i="12"/>
  <c r="N7537" i="12"/>
  <c r="K7537" i="12"/>
  <c r="I7537" i="12"/>
  <c r="N7536" i="12"/>
  <c r="K7536" i="12"/>
  <c r="I7536" i="12"/>
  <c r="N7535" i="12"/>
  <c r="K7535" i="12"/>
  <c r="I7535" i="12"/>
  <c r="N7534" i="12"/>
  <c r="K7534" i="12"/>
  <c r="I7534" i="12"/>
  <c r="N7533" i="12"/>
  <c r="K7533" i="12"/>
  <c r="I7533" i="12"/>
  <c r="N7532" i="12"/>
  <c r="K7532" i="12"/>
  <c r="I7532" i="12"/>
  <c r="N7531" i="12"/>
  <c r="K7531" i="12"/>
  <c r="I7531" i="12"/>
  <c r="N7530" i="12"/>
  <c r="K7530" i="12"/>
  <c r="I7530" i="12"/>
  <c r="N7529" i="12"/>
  <c r="K7529" i="12"/>
  <c r="I7529" i="12"/>
  <c r="N7528" i="12"/>
  <c r="K7528" i="12"/>
  <c r="I7528" i="12"/>
  <c r="N7527" i="12"/>
  <c r="K7527" i="12"/>
  <c r="I7527" i="12"/>
  <c r="N7526" i="12"/>
  <c r="K7526" i="12"/>
  <c r="I7526" i="12"/>
  <c r="N7525" i="12"/>
  <c r="K7525" i="12"/>
  <c r="I7525" i="12"/>
  <c r="N7524" i="12"/>
  <c r="K7524" i="12"/>
  <c r="I7524" i="12"/>
  <c r="N7523" i="12"/>
  <c r="K7523" i="12"/>
  <c r="I7523" i="12"/>
  <c r="N7522" i="12"/>
  <c r="K7522" i="12"/>
  <c r="I7522" i="12"/>
  <c r="N7521" i="12"/>
  <c r="K7521" i="12"/>
  <c r="I7521" i="12"/>
  <c r="N7520" i="12"/>
  <c r="K7520" i="12"/>
  <c r="I7520" i="12"/>
  <c r="N7519" i="12"/>
  <c r="K7519" i="12"/>
  <c r="I7519" i="12"/>
  <c r="N7518" i="12"/>
  <c r="K7518" i="12"/>
  <c r="I7518" i="12"/>
  <c r="N7517" i="12"/>
  <c r="K7517" i="12"/>
  <c r="I7517" i="12"/>
  <c r="N7516" i="12"/>
  <c r="K7516" i="12"/>
  <c r="I7516" i="12"/>
  <c r="N7515" i="12"/>
  <c r="K7515" i="12"/>
  <c r="I7515" i="12"/>
  <c r="N7514" i="12"/>
  <c r="K7514" i="12"/>
  <c r="I7514" i="12"/>
  <c r="N7513" i="12"/>
  <c r="K7513" i="12"/>
  <c r="I7513" i="12"/>
  <c r="N7512" i="12"/>
  <c r="K7512" i="12"/>
  <c r="I7512" i="12"/>
  <c r="N7511" i="12"/>
  <c r="K7511" i="12"/>
  <c r="I7511" i="12"/>
  <c r="N7510" i="12"/>
  <c r="K7510" i="12"/>
  <c r="I7510" i="12"/>
  <c r="N7509" i="12"/>
  <c r="K7509" i="12"/>
  <c r="I7509" i="12"/>
  <c r="N7508" i="12"/>
  <c r="K7508" i="12"/>
  <c r="I7508" i="12"/>
  <c r="N7507" i="12"/>
  <c r="K7507" i="12"/>
  <c r="I7507" i="12"/>
  <c r="N7506" i="12"/>
  <c r="K7506" i="12"/>
  <c r="I7506" i="12"/>
  <c r="N7505" i="12"/>
  <c r="K7505" i="12"/>
  <c r="I7505" i="12"/>
  <c r="N7504" i="12"/>
  <c r="K7504" i="12"/>
  <c r="I7504" i="12"/>
  <c r="N7503" i="12"/>
  <c r="K7503" i="12"/>
  <c r="I7503" i="12"/>
  <c r="N7502" i="12"/>
  <c r="K7502" i="12"/>
  <c r="I7502" i="12"/>
  <c r="N7501" i="12"/>
  <c r="K7501" i="12"/>
  <c r="I7501" i="12"/>
  <c r="N7500" i="12"/>
  <c r="K7500" i="12"/>
  <c r="I7500" i="12"/>
  <c r="N7499" i="12"/>
  <c r="K7499" i="12"/>
  <c r="I7499" i="12"/>
  <c r="N7498" i="12"/>
  <c r="K7498" i="12"/>
  <c r="I7498" i="12"/>
  <c r="N7497" i="12"/>
  <c r="K7497" i="12"/>
  <c r="I7497" i="12"/>
  <c r="N7496" i="12"/>
  <c r="K7496" i="12"/>
  <c r="I7496" i="12"/>
  <c r="N7495" i="12"/>
  <c r="K7495" i="12"/>
  <c r="I7495" i="12"/>
  <c r="N7494" i="12"/>
  <c r="K7494" i="12"/>
  <c r="I7494" i="12"/>
  <c r="N7493" i="12"/>
  <c r="K7493" i="12"/>
  <c r="I7493" i="12"/>
  <c r="N7492" i="12"/>
  <c r="K7492" i="12"/>
  <c r="I7492" i="12"/>
  <c r="N7491" i="12"/>
  <c r="K7491" i="12"/>
  <c r="I7491" i="12"/>
  <c r="N7490" i="12"/>
  <c r="K7490" i="12"/>
  <c r="I7490" i="12"/>
  <c r="N7489" i="12"/>
  <c r="K7489" i="12"/>
  <c r="I7489" i="12"/>
  <c r="N7488" i="12"/>
  <c r="K7488" i="12"/>
  <c r="I7488" i="12"/>
  <c r="N7487" i="12"/>
  <c r="K7487" i="12"/>
  <c r="I7487" i="12"/>
  <c r="N7486" i="12"/>
  <c r="K7486" i="12"/>
  <c r="I7486" i="12"/>
  <c r="N7485" i="12"/>
  <c r="K7485" i="12"/>
  <c r="I7485" i="12"/>
  <c r="N7484" i="12"/>
  <c r="K7484" i="12"/>
  <c r="I7484" i="12"/>
  <c r="N7483" i="12"/>
  <c r="K7483" i="12"/>
  <c r="I7483" i="12"/>
  <c r="N7482" i="12"/>
  <c r="K7482" i="12"/>
  <c r="I7482" i="12"/>
  <c r="N7481" i="12"/>
  <c r="K7481" i="12"/>
  <c r="I7481" i="12"/>
  <c r="N7480" i="12"/>
  <c r="K7480" i="12"/>
  <c r="I7480" i="12"/>
  <c r="N7479" i="12"/>
  <c r="K7479" i="12"/>
  <c r="I7479" i="12"/>
  <c r="N7478" i="12"/>
  <c r="K7478" i="12"/>
  <c r="I7478" i="12"/>
  <c r="N7477" i="12"/>
  <c r="K7477" i="12"/>
  <c r="I7477" i="12"/>
  <c r="N7476" i="12"/>
  <c r="K7476" i="12"/>
  <c r="I7476" i="12"/>
  <c r="N7475" i="12"/>
  <c r="K7475" i="12"/>
  <c r="I7475" i="12"/>
  <c r="N7474" i="12"/>
  <c r="K7474" i="12"/>
  <c r="I7474" i="12"/>
  <c r="N7473" i="12"/>
  <c r="K7473" i="12"/>
  <c r="I7473" i="12"/>
  <c r="N7472" i="12"/>
  <c r="K7472" i="12"/>
  <c r="I7472" i="12"/>
  <c r="N7471" i="12"/>
  <c r="K7471" i="12"/>
  <c r="I7471" i="12"/>
  <c r="N7470" i="12"/>
  <c r="K7470" i="12"/>
  <c r="I7470" i="12"/>
  <c r="N7469" i="12"/>
  <c r="K7469" i="12"/>
  <c r="I7469" i="12"/>
  <c r="N7468" i="12"/>
  <c r="K7468" i="12"/>
  <c r="I7468" i="12"/>
  <c r="N7467" i="12"/>
  <c r="K7467" i="12"/>
  <c r="I7467" i="12"/>
  <c r="N7466" i="12"/>
  <c r="K7466" i="12"/>
  <c r="I7466" i="12"/>
  <c r="N7465" i="12"/>
  <c r="K7465" i="12"/>
  <c r="I7465" i="12"/>
  <c r="N7464" i="12"/>
  <c r="K7464" i="12"/>
  <c r="I7464" i="12"/>
  <c r="N7463" i="12"/>
  <c r="K7463" i="12"/>
  <c r="I7463" i="12"/>
  <c r="N7462" i="12"/>
  <c r="K7462" i="12"/>
  <c r="I7462" i="12"/>
  <c r="N7461" i="12"/>
  <c r="K7461" i="12"/>
  <c r="I7461" i="12"/>
  <c r="N7460" i="12"/>
  <c r="K7460" i="12"/>
  <c r="I7460" i="12"/>
  <c r="N7459" i="12"/>
  <c r="K7459" i="12"/>
  <c r="I7459" i="12"/>
  <c r="N7458" i="12"/>
  <c r="K7458" i="12"/>
  <c r="I7458" i="12"/>
  <c r="N7457" i="12"/>
  <c r="K7457" i="12"/>
  <c r="I7457" i="12"/>
  <c r="N7456" i="12"/>
  <c r="K7456" i="12"/>
  <c r="I7456" i="12"/>
  <c r="N7455" i="12"/>
  <c r="K7455" i="12"/>
  <c r="I7455" i="12"/>
  <c r="N7454" i="12"/>
  <c r="K7454" i="12"/>
  <c r="I7454" i="12"/>
  <c r="N7453" i="12"/>
  <c r="K7453" i="12"/>
  <c r="I7453" i="12"/>
  <c r="N7452" i="12"/>
  <c r="K7452" i="12"/>
  <c r="I7452" i="12"/>
  <c r="N7451" i="12"/>
  <c r="K7451" i="12"/>
  <c r="I7451" i="12"/>
  <c r="N7450" i="12"/>
  <c r="K7450" i="12"/>
  <c r="I7450" i="12"/>
  <c r="N7449" i="12"/>
  <c r="K7449" i="12"/>
  <c r="I7449" i="12"/>
  <c r="N7448" i="12"/>
  <c r="K7448" i="12"/>
  <c r="I7448" i="12"/>
  <c r="N7447" i="12"/>
  <c r="K7447" i="12"/>
  <c r="I7447" i="12"/>
  <c r="N7446" i="12"/>
  <c r="K7446" i="12"/>
  <c r="I7446" i="12"/>
  <c r="N7445" i="12"/>
  <c r="K7445" i="12"/>
  <c r="I7445" i="12"/>
  <c r="N7444" i="12"/>
  <c r="K7444" i="12"/>
  <c r="I7444" i="12"/>
  <c r="N7443" i="12"/>
  <c r="K7443" i="12"/>
  <c r="I7443" i="12"/>
  <c r="N7442" i="12"/>
  <c r="K7442" i="12"/>
  <c r="I7442" i="12"/>
  <c r="N7441" i="12"/>
  <c r="K7441" i="12"/>
  <c r="I7441" i="12"/>
  <c r="N7440" i="12"/>
  <c r="K7440" i="12"/>
  <c r="I7440" i="12"/>
  <c r="N7439" i="12"/>
  <c r="K7439" i="12"/>
  <c r="I7439" i="12"/>
  <c r="N7438" i="12"/>
  <c r="K7438" i="12"/>
  <c r="I7438" i="12"/>
  <c r="N7437" i="12"/>
  <c r="K7437" i="12"/>
  <c r="I7437" i="12"/>
  <c r="N7436" i="12"/>
  <c r="K7436" i="12"/>
  <c r="I7436" i="12"/>
  <c r="N7435" i="12"/>
  <c r="K7435" i="12"/>
  <c r="I7435" i="12"/>
  <c r="N7434" i="12"/>
  <c r="K7434" i="12"/>
  <c r="I7434" i="12"/>
  <c r="N7433" i="12"/>
  <c r="K7433" i="12"/>
  <c r="I7433" i="12"/>
  <c r="N7432" i="12"/>
  <c r="K7432" i="12"/>
  <c r="I7432" i="12"/>
  <c r="N7431" i="12"/>
  <c r="K7431" i="12"/>
  <c r="I7431" i="12"/>
  <c r="N7430" i="12"/>
  <c r="K7430" i="12"/>
  <c r="I7430" i="12"/>
  <c r="N7429" i="12"/>
  <c r="K7429" i="12"/>
  <c r="I7429" i="12"/>
  <c r="N7428" i="12"/>
  <c r="K7428" i="12"/>
  <c r="I7428" i="12"/>
  <c r="N7427" i="12"/>
  <c r="K7427" i="12"/>
  <c r="I7427" i="12"/>
  <c r="N7426" i="12"/>
  <c r="K7426" i="12"/>
  <c r="I7426" i="12"/>
  <c r="N7425" i="12"/>
  <c r="K7425" i="12"/>
  <c r="I7425" i="12"/>
  <c r="N7424" i="12"/>
  <c r="K7424" i="12"/>
  <c r="I7424" i="12"/>
  <c r="N7423" i="12"/>
  <c r="K7423" i="12"/>
  <c r="I7423" i="12"/>
  <c r="N7422" i="12"/>
  <c r="K7422" i="12"/>
  <c r="I7422" i="12"/>
  <c r="N7421" i="12"/>
  <c r="K7421" i="12"/>
  <c r="I7421" i="12"/>
  <c r="N7420" i="12"/>
  <c r="K7420" i="12"/>
  <c r="I7420" i="12"/>
  <c r="N7419" i="12"/>
  <c r="K7419" i="12"/>
  <c r="I7419" i="12"/>
  <c r="N7418" i="12"/>
  <c r="K7418" i="12"/>
  <c r="I7418" i="12"/>
  <c r="N7417" i="12"/>
  <c r="K7417" i="12"/>
  <c r="I7417" i="12"/>
  <c r="N7416" i="12"/>
  <c r="K7416" i="12"/>
  <c r="I7416" i="12"/>
  <c r="N7415" i="12"/>
  <c r="K7415" i="12"/>
  <c r="I7415" i="12"/>
  <c r="N7414" i="12"/>
  <c r="K7414" i="12"/>
  <c r="I7414" i="12"/>
  <c r="N7413" i="12"/>
  <c r="K7413" i="12"/>
  <c r="I7413" i="12"/>
  <c r="N7412" i="12"/>
  <c r="K7412" i="12"/>
  <c r="I7412" i="12"/>
  <c r="N7411" i="12"/>
  <c r="K7411" i="12"/>
  <c r="I7411" i="12"/>
  <c r="N7410" i="12"/>
  <c r="K7410" i="12"/>
  <c r="I7410" i="12"/>
  <c r="N7409" i="12"/>
  <c r="K7409" i="12"/>
  <c r="I7409" i="12"/>
  <c r="N7408" i="12"/>
  <c r="K7408" i="12"/>
  <c r="I7408" i="12"/>
  <c r="N7407" i="12"/>
  <c r="K7407" i="12"/>
  <c r="I7407" i="12"/>
  <c r="N7406" i="12"/>
  <c r="K7406" i="12"/>
  <c r="I7406" i="12"/>
  <c r="N7405" i="12"/>
  <c r="K7405" i="12"/>
  <c r="I7405" i="12"/>
  <c r="N7404" i="12"/>
  <c r="K7404" i="12"/>
  <c r="I7404" i="12"/>
  <c r="N7403" i="12"/>
  <c r="K7403" i="12"/>
  <c r="I7403" i="12"/>
  <c r="N7402" i="12"/>
  <c r="K7402" i="12"/>
  <c r="I7402" i="12"/>
  <c r="N7401" i="12"/>
  <c r="K7401" i="12"/>
  <c r="I7401" i="12"/>
  <c r="N7400" i="12"/>
  <c r="K7400" i="12"/>
  <c r="I7400" i="12"/>
  <c r="N7399" i="12"/>
  <c r="K7399" i="12"/>
  <c r="I7399" i="12"/>
  <c r="N7398" i="12"/>
  <c r="K7398" i="12"/>
  <c r="I7398" i="12"/>
  <c r="N7397" i="12"/>
  <c r="K7397" i="12"/>
  <c r="I7397" i="12"/>
  <c r="N7396" i="12"/>
  <c r="K7396" i="12"/>
  <c r="I7396" i="12"/>
  <c r="N7395" i="12"/>
  <c r="K7395" i="12"/>
  <c r="I7395" i="12"/>
  <c r="N7394" i="12"/>
  <c r="K7394" i="12"/>
  <c r="I7394" i="12"/>
  <c r="N7393" i="12"/>
  <c r="K7393" i="12"/>
  <c r="I7393" i="12"/>
  <c r="N7392" i="12"/>
  <c r="K7392" i="12"/>
  <c r="I7392" i="12"/>
  <c r="N7391" i="12"/>
  <c r="K7391" i="12"/>
  <c r="I7391" i="12"/>
  <c r="N7390" i="12"/>
  <c r="K7390" i="12"/>
  <c r="I7390" i="12"/>
  <c r="N7389" i="12"/>
  <c r="K7389" i="12"/>
  <c r="I7389" i="12"/>
  <c r="N7388" i="12"/>
  <c r="K7388" i="12"/>
  <c r="I7388" i="12"/>
  <c r="N7387" i="12"/>
  <c r="K7387" i="12"/>
  <c r="I7387" i="12"/>
  <c r="N7386" i="12"/>
  <c r="K7386" i="12"/>
  <c r="I7386" i="12"/>
  <c r="N7385" i="12"/>
  <c r="K7385" i="12"/>
  <c r="I7385" i="12"/>
  <c r="N7384" i="12"/>
  <c r="K7384" i="12"/>
  <c r="I7384" i="12"/>
  <c r="N7383" i="12"/>
  <c r="K7383" i="12"/>
  <c r="I7383" i="12"/>
  <c r="N7382" i="12"/>
  <c r="K7382" i="12"/>
  <c r="I7382" i="12"/>
  <c r="N7381" i="12"/>
  <c r="K7381" i="12"/>
  <c r="I7381" i="12"/>
  <c r="N7380" i="12"/>
  <c r="K7380" i="12"/>
  <c r="I7380" i="12"/>
  <c r="N7379" i="12"/>
  <c r="K7379" i="12"/>
  <c r="I7379" i="12"/>
  <c r="N7378" i="12"/>
  <c r="K7378" i="12"/>
  <c r="I7378" i="12"/>
  <c r="N7377" i="12"/>
  <c r="K7377" i="12"/>
  <c r="I7377" i="12"/>
  <c r="N7376" i="12"/>
  <c r="K7376" i="12"/>
  <c r="I7376" i="12"/>
  <c r="N7375" i="12"/>
  <c r="K7375" i="12"/>
  <c r="I7375" i="12"/>
  <c r="N7374" i="12"/>
  <c r="K7374" i="12"/>
  <c r="I7374" i="12"/>
  <c r="N7373" i="12"/>
  <c r="K7373" i="12"/>
  <c r="I7373" i="12"/>
  <c r="N7372" i="12"/>
  <c r="K7372" i="12"/>
  <c r="I7372" i="12"/>
  <c r="N7371" i="12"/>
  <c r="K7371" i="12"/>
  <c r="I7371" i="12"/>
  <c r="N7370" i="12"/>
  <c r="K7370" i="12"/>
  <c r="I7370" i="12"/>
  <c r="N7369" i="12"/>
  <c r="K7369" i="12"/>
  <c r="I7369" i="12"/>
  <c r="N7368" i="12"/>
  <c r="K7368" i="12"/>
  <c r="I7368" i="12"/>
  <c r="N7367" i="12"/>
  <c r="K7367" i="12"/>
  <c r="I7367" i="12"/>
  <c r="N7366" i="12"/>
  <c r="K7366" i="12"/>
  <c r="I7366" i="12"/>
  <c r="N7365" i="12"/>
  <c r="K7365" i="12"/>
  <c r="I7365" i="12"/>
  <c r="N7364" i="12"/>
  <c r="K7364" i="12"/>
  <c r="I7364" i="12"/>
  <c r="N7363" i="12"/>
  <c r="K7363" i="12"/>
  <c r="I7363" i="12"/>
  <c r="N7362" i="12"/>
  <c r="K7362" i="12"/>
  <c r="I7362" i="12"/>
  <c r="N7361" i="12"/>
  <c r="K7361" i="12"/>
  <c r="I7361" i="12"/>
  <c r="N7360" i="12"/>
  <c r="K7360" i="12"/>
  <c r="I7360" i="12"/>
  <c r="N7359" i="12"/>
  <c r="K7359" i="12"/>
  <c r="I7359" i="12"/>
  <c r="N7358" i="12"/>
  <c r="K7358" i="12"/>
  <c r="I7358" i="12"/>
  <c r="N7357" i="12"/>
  <c r="K7357" i="12"/>
  <c r="I7357" i="12"/>
  <c r="N7356" i="12"/>
  <c r="K7356" i="12"/>
  <c r="I7356" i="12"/>
  <c r="N7355" i="12"/>
  <c r="K7355" i="12"/>
  <c r="I7355" i="12"/>
  <c r="N7354" i="12"/>
  <c r="K7354" i="12"/>
  <c r="I7354" i="12"/>
  <c r="N7353" i="12"/>
  <c r="K7353" i="12"/>
  <c r="I7353" i="12"/>
  <c r="N7352" i="12"/>
  <c r="K7352" i="12"/>
  <c r="I7352" i="12"/>
  <c r="N7351" i="12"/>
  <c r="K7351" i="12"/>
  <c r="I7351" i="12"/>
  <c r="N7350" i="12"/>
  <c r="K7350" i="12"/>
  <c r="I7350" i="12"/>
  <c r="N7349" i="12"/>
  <c r="K7349" i="12"/>
  <c r="I7349" i="12"/>
  <c r="N7348" i="12"/>
  <c r="K7348" i="12"/>
  <c r="I7348" i="12"/>
  <c r="N7347" i="12"/>
  <c r="K7347" i="12"/>
  <c r="I7347" i="12"/>
  <c r="N7346" i="12"/>
  <c r="K7346" i="12"/>
  <c r="I7346" i="12"/>
  <c r="N7345" i="12"/>
  <c r="K7345" i="12"/>
  <c r="I7345" i="12"/>
  <c r="N7344" i="12"/>
  <c r="K7344" i="12"/>
  <c r="I7344" i="12"/>
  <c r="N7343" i="12"/>
  <c r="K7343" i="12"/>
  <c r="I7343" i="12"/>
  <c r="N7342" i="12"/>
  <c r="K7342" i="12"/>
  <c r="I7342" i="12"/>
  <c r="N7341" i="12"/>
  <c r="K7341" i="12"/>
  <c r="I7341" i="12"/>
  <c r="N7340" i="12"/>
  <c r="K7340" i="12"/>
  <c r="I7340" i="12"/>
  <c r="N7339" i="12"/>
  <c r="K7339" i="12"/>
  <c r="I7339" i="12"/>
  <c r="N7338" i="12"/>
  <c r="K7338" i="12"/>
  <c r="I7338" i="12"/>
  <c r="N7337" i="12"/>
  <c r="K7337" i="12"/>
  <c r="I7337" i="12"/>
  <c r="N7336" i="12"/>
  <c r="K7336" i="12"/>
  <c r="I7336" i="12"/>
  <c r="N7335" i="12"/>
  <c r="K7335" i="12"/>
  <c r="I7335" i="12"/>
  <c r="N7334" i="12"/>
  <c r="K7334" i="12"/>
  <c r="I7334" i="12"/>
  <c r="N7333" i="12"/>
  <c r="K7333" i="12"/>
  <c r="I7333" i="12"/>
  <c r="N7332" i="12"/>
  <c r="K7332" i="12"/>
  <c r="I7332" i="12"/>
  <c r="N7331" i="12"/>
  <c r="K7331" i="12"/>
  <c r="I7331" i="12"/>
  <c r="N7330" i="12"/>
  <c r="K7330" i="12"/>
  <c r="I7330" i="12"/>
  <c r="N7329" i="12"/>
  <c r="K7329" i="12"/>
  <c r="I7329" i="12"/>
  <c r="N7328" i="12"/>
  <c r="K7328" i="12"/>
  <c r="I7328" i="12"/>
  <c r="N7327" i="12"/>
  <c r="K7327" i="12"/>
  <c r="I7327" i="12"/>
  <c r="N7326" i="12"/>
  <c r="K7326" i="12"/>
  <c r="I7326" i="12"/>
  <c r="N7325" i="12"/>
  <c r="K7325" i="12"/>
  <c r="I7325" i="12"/>
  <c r="N7324" i="12"/>
  <c r="K7324" i="12"/>
  <c r="I7324" i="12"/>
  <c r="N7323" i="12"/>
  <c r="K7323" i="12"/>
  <c r="I7323" i="12"/>
  <c r="N7322" i="12"/>
  <c r="K7322" i="12"/>
  <c r="I7322" i="12"/>
  <c r="N7321" i="12"/>
  <c r="K7321" i="12"/>
  <c r="I7321" i="12"/>
  <c r="N7320" i="12"/>
  <c r="K7320" i="12"/>
  <c r="I7320" i="12"/>
  <c r="N7319" i="12"/>
  <c r="K7319" i="12"/>
  <c r="I7319" i="12"/>
  <c r="N7318" i="12"/>
  <c r="K7318" i="12"/>
  <c r="I7318" i="12"/>
  <c r="N7317" i="12"/>
  <c r="K7317" i="12"/>
  <c r="I7317" i="12"/>
  <c r="N7316" i="12"/>
  <c r="K7316" i="12"/>
  <c r="I7316" i="12"/>
  <c r="N7315" i="12"/>
  <c r="K7315" i="12"/>
  <c r="I7315" i="12"/>
  <c r="N7314" i="12"/>
  <c r="K7314" i="12"/>
  <c r="I7314" i="12"/>
  <c r="N7313" i="12"/>
  <c r="K7313" i="12"/>
  <c r="I7313" i="12"/>
  <c r="N7312" i="12"/>
  <c r="K7312" i="12"/>
  <c r="I7312" i="12"/>
  <c r="N7311" i="12"/>
  <c r="K7311" i="12"/>
  <c r="I7311" i="12"/>
  <c r="N7310" i="12"/>
  <c r="K7310" i="12"/>
  <c r="I7310" i="12"/>
  <c r="N7309" i="12"/>
  <c r="K7309" i="12"/>
  <c r="I7309" i="12"/>
  <c r="N7308" i="12"/>
  <c r="K7308" i="12"/>
  <c r="I7308" i="12"/>
  <c r="N7307" i="12"/>
  <c r="K7307" i="12"/>
  <c r="I7307" i="12"/>
  <c r="N7306" i="12"/>
  <c r="K7306" i="12"/>
  <c r="I7306" i="12"/>
  <c r="N7305" i="12"/>
  <c r="K7305" i="12"/>
  <c r="I7305" i="12"/>
  <c r="N7304" i="12"/>
  <c r="K7304" i="12"/>
  <c r="I7304" i="12"/>
  <c r="N7303" i="12"/>
  <c r="K7303" i="12"/>
  <c r="I7303" i="12"/>
  <c r="N7302" i="12"/>
  <c r="K7302" i="12"/>
  <c r="I7302" i="12"/>
  <c r="N7301" i="12"/>
  <c r="K7301" i="12"/>
  <c r="I7301" i="12"/>
  <c r="N7300" i="12"/>
  <c r="K7300" i="12"/>
  <c r="I7300" i="12"/>
  <c r="N7299" i="12"/>
  <c r="K7299" i="12"/>
  <c r="I7299" i="12"/>
  <c r="N7298" i="12"/>
  <c r="K7298" i="12"/>
  <c r="I7298" i="12"/>
  <c r="N7297" i="12"/>
  <c r="K7297" i="12"/>
  <c r="I7297" i="12"/>
  <c r="N7296" i="12"/>
  <c r="K7296" i="12"/>
  <c r="I7296" i="12"/>
  <c r="N7295" i="12"/>
  <c r="K7295" i="12"/>
  <c r="I7295" i="12"/>
  <c r="N7294" i="12"/>
  <c r="K7294" i="12"/>
  <c r="I7294" i="12"/>
  <c r="N7293" i="12"/>
  <c r="K7293" i="12"/>
  <c r="I7293" i="12"/>
  <c r="N7292" i="12"/>
  <c r="K7292" i="12"/>
  <c r="I7292" i="12"/>
  <c r="N7291" i="12"/>
  <c r="K7291" i="12"/>
  <c r="I7291" i="12"/>
  <c r="N7290" i="12"/>
  <c r="K7290" i="12"/>
  <c r="I7290" i="12"/>
  <c r="N7289" i="12"/>
  <c r="K7289" i="12"/>
  <c r="I7289" i="12"/>
  <c r="N7288" i="12"/>
  <c r="K7288" i="12"/>
  <c r="I7288" i="12"/>
  <c r="N7287" i="12"/>
  <c r="K7287" i="12"/>
  <c r="I7287" i="12"/>
  <c r="N7286" i="12"/>
  <c r="K7286" i="12"/>
  <c r="I7286" i="12"/>
  <c r="N7285" i="12"/>
  <c r="K7285" i="12"/>
  <c r="I7285" i="12"/>
  <c r="N7284" i="12"/>
  <c r="K7284" i="12"/>
  <c r="I7284" i="12"/>
  <c r="N7283" i="12"/>
  <c r="K7283" i="12"/>
  <c r="I7283" i="12"/>
  <c r="N7282" i="12"/>
  <c r="K7282" i="12"/>
  <c r="I7282" i="12"/>
  <c r="N7281" i="12"/>
  <c r="K7281" i="12"/>
  <c r="I7281" i="12"/>
  <c r="N7280" i="12"/>
  <c r="K7280" i="12"/>
  <c r="I7280" i="12"/>
  <c r="N7279" i="12"/>
  <c r="K7279" i="12"/>
  <c r="I7279" i="12"/>
  <c r="N7278" i="12"/>
  <c r="K7278" i="12"/>
  <c r="I7278" i="12"/>
  <c r="N7277" i="12"/>
  <c r="K7277" i="12"/>
  <c r="I7277" i="12"/>
  <c r="N7276" i="12"/>
  <c r="K7276" i="12"/>
  <c r="I7276" i="12"/>
  <c r="N7275" i="12"/>
  <c r="K7275" i="12"/>
  <c r="I7275" i="12"/>
  <c r="N7274" i="12"/>
  <c r="K7274" i="12"/>
  <c r="I7274" i="12"/>
  <c r="N7273" i="12"/>
  <c r="K7273" i="12"/>
  <c r="I7273" i="12"/>
  <c r="N7272" i="12"/>
  <c r="K7272" i="12"/>
  <c r="I7272" i="12"/>
  <c r="N7271" i="12"/>
  <c r="K7271" i="12"/>
  <c r="I7271" i="12"/>
  <c r="N7270" i="12"/>
  <c r="K7270" i="12"/>
  <c r="I7270" i="12"/>
  <c r="N7269" i="12"/>
  <c r="K7269" i="12"/>
  <c r="I7269" i="12"/>
  <c r="N7268" i="12"/>
  <c r="K7268" i="12"/>
  <c r="I7268" i="12"/>
  <c r="N7267" i="12"/>
  <c r="K7267" i="12"/>
  <c r="I7267" i="12"/>
  <c r="N7266" i="12"/>
  <c r="K7266" i="12"/>
  <c r="I7266" i="12"/>
  <c r="N7265" i="12"/>
  <c r="K7265" i="12"/>
  <c r="I7265" i="12"/>
  <c r="N7264" i="12"/>
  <c r="K7264" i="12"/>
  <c r="I7264" i="12"/>
  <c r="N7263" i="12"/>
  <c r="K7263" i="12"/>
  <c r="I7263" i="12"/>
  <c r="N7262" i="12"/>
  <c r="K7262" i="12"/>
  <c r="I7262" i="12"/>
  <c r="N7261" i="12"/>
  <c r="K7261" i="12"/>
  <c r="I7261" i="12"/>
  <c r="N7260" i="12"/>
  <c r="K7260" i="12"/>
  <c r="I7260" i="12"/>
  <c r="N7259" i="12"/>
  <c r="K7259" i="12"/>
  <c r="I7259" i="12"/>
  <c r="N7258" i="12"/>
  <c r="K7258" i="12"/>
  <c r="I7258" i="12"/>
  <c r="N7257" i="12"/>
  <c r="K7257" i="12"/>
  <c r="I7257" i="12"/>
  <c r="N7256" i="12"/>
  <c r="K7256" i="12"/>
  <c r="I7256" i="12"/>
  <c r="N7255" i="12"/>
  <c r="K7255" i="12"/>
  <c r="I7255" i="12"/>
  <c r="N7254" i="12"/>
  <c r="K7254" i="12"/>
  <c r="I7254" i="12"/>
  <c r="N7253" i="12"/>
  <c r="K7253" i="12"/>
  <c r="I7253" i="12"/>
  <c r="N7252" i="12"/>
  <c r="K7252" i="12"/>
  <c r="I7252" i="12"/>
  <c r="N7251" i="12"/>
  <c r="K7251" i="12"/>
  <c r="I7251" i="12"/>
  <c r="N7250" i="12"/>
  <c r="K7250" i="12"/>
  <c r="I7250" i="12"/>
  <c r="N7249" i="12"/>
  <c r="K7249" i="12"/>
  <c r="I7249" i="12"/>
  <c r="N7248" i="12"/>
  <c r="K7248" i="12"/>
  <c r="I7248" i="12"/>
  <c r="N7247" i="12"/>
  <c r="K7247" i="12"/>
  <c r="I7247" i="12"/>
  <c r="N7246" i="12"/>
  <c r="K7246" i="12"/>
  <c r="I7246" i="12"/>
  <c r="N7245" i="12"/>
  <c r="K7245" i="12"/>
  <c r="I7245" i="12"/>
  <c r="N7244" i="12"/>
  <c r="K7244" i="12"/>
  <c r="I7244" i="12"/>
  <c r="N7243" i="12"/>
  <c r="K7243" i="12"/>
  <c r="I7243" i="12"/>
  <c r="N7242" i="12"/>
  <c r="K7242" i="12"/>
  <c r="I7242" i="12"/>
  <c r="N7241" i="12"/>
  <c r="K7241" i="12"/>
  <c r="I7241" i="12"/>
  <c r="N7240" i="12"/>
  <c r="K7240" i="12"/>
  <c r="I7240" i="12"/>
  <c r="N7239" i="12"/>
  <c r="K7239" i="12"/>
  <c r="I7239" i="12"/>
  <c r="N7238" i="12"/>
  <c r="K7238" i="12"/>
  <c r="I7238" i="12"/>
  <c r="N7237" i="12"/>
  <c r="K7237" i="12"/>
  <c r="I7237" i="12"/>
  <c r="N7236" i="12"/>
  <c r="K7236" i="12"/>
  <c r="I7236" i="12"/>
  <c r="N7235" i="12"/>
  <c r="K7235" i="12"/>
  <c r="I7235" i="12"/>
  <c r="N7234" i="12"/>
  <c r="K7234" i="12"/>
  <c r="I7234" i="12"/>
  <c r="N7233" i="12"/>
  <c r="K7233" i="12"/>
  <c r="I7233" i="12"/>
  <c r="N7232" i="12"/>
  <c r="K7232" i="12"/>
  <c r="I7232" i="12"/>
  <c r="N7231" i="12"/>
  <c r="K7231" i="12"/>
  <c r="I7231" i="12"/>
  <c r="N7230" i="12"/>
  <c r="K7230" i="12"/>
  <c r="I7230" i="12"/>
  <c r="N7229" i="12"/>
  <c r="K7229" i="12"/>
  <c r="I7229" i="12"/>
  <c r="N7228" i="12"/>
  <c r="K7228" i="12"/>
  <c r="I7228" i="12"/>
  <c r="N7227" i="12"/>
  <c r="K7227" i="12"/>
  <c r="I7227" i="12"/>
  <c r="N7226" i="12"/>
  <c r="K7226" i="12"/>
  <c r="I7226" i="12"/>
  <c r="N7225" i="12"/>
  <c r="K7225" i="12"/>
  <c r="I7225" i="12"/>
  <c r="N7224" i="12"/>
  <c r="K7224" i="12"/>
  <c r="I7224" i="12"/>
  <c r="N7223" i="12"/>
  <c r="K7223" i="12"/>
  <c r="I7223" i="12"/>
  <c r="N7222" i="12"/>
  <c r="K7222" i="12"/>
  <c r="I7222" i="12"/>
  <c r="N7221" i="12"/>
  <c r="K7221" i="12"/>
  <c r="I7221" i="12"/>
  <c r="N7220" i="12"/>
  <c r="K7220" i="12"/>
  <c r="I7220" i="12"/>
  <c r="N7219" i="12"/>
  <c r="K7219" i="12"/>
  <c r="I7219" i="12"/>
  <c r="N7218" i="12"/>
  <c r="K7218" i="12"/>
  <c r="I7218" i="12"/>
  <c r="N7217" i="12"/>
  <c r="K7217" i="12"/>
  <c r="I7217" i="12"/>
  <c r="N7216" i="12"/>
  <c r="K7216" i="12"/>
  <c r="I7216" i="12"/>
  <c r="N7215" i="12"/>
  <c r="K7215" i="12"/>
  <c r="I7215" i="12"/>
  <c r="N7214" i="12"/>
  <c r="K7214" i="12"/>
  <c r="I7214" i="12"/>
  <c r="N7213" i="12"/>
  <c r="K7213" i="12"/>
  <c r="I7213" i="12"/>
  <c r="N7212" i="12"/>
  <c r="K7212" i="12"/>
  <c r="I7212" i="12"/>
  <c r="N7211" i="12"/>
  <c r="K7211" i="12"/>
  <c r="I7211" i="12"/>
  <c r="N7210" i="12"/>
  <c r="K7210" i="12"/>
  <c r="I7210" i="12"/>
  <c r="N7209" i="12"/>
  <c r="K7209" i="12"/>
  <c r="I7209" i="12"/>
  <c r="N7208" i="12"/>
  <c r="K7208" i="12"/>
  <c r="I7208" i="12"/>
  <c r="N7207" i="12"/>
  <c r="K7207" i="12"/>
  <c r="I7207" i="12"/>
  <c r="N7206" i="12"/>
  <c r="K7206" i="12"/>
  <c r="I7206" i="12"/>
  <c r="N7205" i="12"/>
  <c r="K7205" i="12"/>
  <c r="I7205" i="12"/>
  <c r="N7204" i="12"/>
  <c r="K7204" i="12"/>
  <c r="I7204" i="12"/>
  <c r="N7203" i="12"/>
  <c r="K7203" i="12"/>
  <c r="I7203" i="12"/>
  <c r="N7202" i="12"/>
  <c r="K7202" i="12"/>
  <c r="I7202" i="12"/>
  <c r="N7201" i="12"/>
  <c r="K7201" i="12"/>
  <c r="I7201" i="12"/>
  <c r="N7200" i="12"/>
  <c r="K7200" i="12"/>
  <c r="I7200" i="12"/>
  <c r="N7199" i="12"/>
  <c r="K7199" i="12"/>
  <c r="I7199" i="12"/>
  <c r="N7198" i="12"/>
  <c r="K7198" i="12"/>
  <c r="I7198" i="12"/>
  <c r="N7197" i="12"/>
  <c r="K7197" i="12"/>
  <c r="I7197" i="12"/>
  <c r="N7196" i="12"/>
  <c r="K7196" i="12"/>
  <c r="I7196" i="12"/>
  <c r="N7195" i="12"/>
  <c r="K7195" i="12"/>
  <c r="I7195" i="12"/>
  <c r="N7194" i="12"/>
  <c r="K7194" i="12"/>
  <c r="I7194" i="12"/>
  <c r="N7193" i="12"/>
  <c r="K7193" i="12"/>
  <c r="I7193" i="12"/>
  <c r="N7192" i="12"/>
  <c r="K7192" i="12"/>
  <c r="I7192" i="12"/>
  <c r="N7191" i="12"/>
  <c r="K7191" i="12"/>
  <c r="I7191" i="12"/>
  <c r="N7190" i="12"/>
  <c r="K7190" i="12"/>
  <c r="I7190" i="12"/>
  <c r="N7189" i="12"/>
  <c r="K7189" i="12"/>
  <c r="I7189" i="12"/>
  <c r="N7188" i="12"/>
  <c r="K7188" i="12"/>
  <c r="I7188" i="12"/>
  <c r="N7187" i="12"/>
  <c r="K7187" i="12"/>
  <c r="I7187" i="12"/>
  <c r="N7186" i="12"/>
  <c r="K7186" i="12"/>
  <c r="I7186" i="12"/>
  <c r="N7185" i="12"/>
  <c r="K7185" i="12"/>
  <c r="I7185" i="12"/>
  <c r="N7184" i="12"/>
  <c r="K7184" i="12"/>
  <c r="I7184" i="12"/>
  <c r="N7183" i="12"/>
  <c r="K7183" i="12"/>
  <c r="I7183" i="12"/>
  <c r="N7182" i="12"/>
  <c r="K7182" i="12"/>
  <c r="I7182" i="12"/>
  <c r="N7181" i="12"/>
  <c r="K7181" i="12"/>
  <c r="I7181" i="12"/>
  <c r="N7180" i="12"/>
  <c r="K7180" i="12"/>
  <c r="I7180" i="12"/>
  <c r="N7179" i="12"/>
  <c r="K7179" i="12"/>
  <c r="I7179" i="12"/>
  <c r="N7178" i="12"/>
  <c r="K7178" i="12"/>
  <c r="I7178" i="12"/>
  <c r="N7177" i="12"/>
  <c r="K7177" i="12"/>
  <c r="I7177" i="12"/>
  <c r="N7176" i="12"/>
  <c r="K7176" i="12"/>
  <c r="I7176" i="12"/>
  <c r="N7175" i="12"/>
  <c r="K7175" i="12"/>
  <c r="I7175" i="12"/>
  <c r="N7174" i="12"/>
  <c r="K7174" i="12"/>
  <c r="I7174" i="12"/>
  <c r="N7173" i="12"/>
  <c r="K7173" i="12"/>
  <c r="I7173" i="12"/>
  <c r="N7172" i="12"/>
  <c r="K7172" i="12"/>
  <c r="I7172" i="12"/>
  <c r="N7171" i="12"/>
  <c r="K7171" i="12"/>
  <c r="I7171" i="12"/>
  <c r="N7170" i="12"/>
  <c r="K7170" i="12"/>
  <c r="I7170" i="12"/>
  <c r="N7169" i="12"/>
  <c r="K7169" i="12"/>
  <c r="I7169" i="12"/>
  <c r="N7168" i="12"/>
  <c r="K7168" i="12"/>
  <c r="I7168" i="12"/>
  <c r="N7167" i="12"/>
  <c r="K7167" i="12"/>
  <c r="I7167" i="12"/>
  <c r="N7166" i="12"/>
  <c r="K7166" i="12"/>
  <c r="I7166" i="12"/>
  <c r="N7165" i="12"/>
  <c r="K7165" i="12"/>
  <c r="I7165" i="12"/>
  <c r="N7164" i="12"/>
  <c r="K7164" i="12"/>
  <c r="I7164" i="12"/>
  <c r="N7163" i="12"/>
  <c r="K7163" i="12"/>
  <c r="I7163" i="12"/>
  <c r="N7162" i="12"/>
  <c r="K7162" i="12"/>
  <c r="I7162" i="12"/>
  <c r="N7161" i="12"/>
  <c r="K7161" i="12"/>
  <c r="I7161" i="12"/>
  <c r="N7160" i="12"/>
  <c r="K7160" i="12"/>
  <c r="I7160" i="12"/>
  <c r="N7159" i="12"/>
  <c r="K7159" i="12"/>
  <c r="I7159" i="12"/>
  <c r="N7158" i="12"/>
  <c r="K7158" i="12"/>
  <c r="I7158" i="12"/>
  <c r="N7157" i="12"/>
  <c r="K7157" i="12"/>
  <c r="I7157" i="12"/>
  <c r="N7156" i="12"/>
  <c r="K7156" i="12"/>
  <c r="I7156" i="12"/>
  <c r="N7155" i="12"/>
  <c r="K7155" i="12"/>
  <c r="I7155" i="12"/>
  <c r="N7154" i="12"/>
  <c r="K7154" i="12"/>
  <c r="I7154" i="12"/>
  <c r="N7153" i="12"/>
  <c r="K7153" i="12"/>
  <c r="I7153" i="12"/>
  <c r="N7152" i="12"/>
  <c r="K7152" i="12"/>
  <c r="I7152" i="12"/>
  <c r="N7151" i="12"/>
  <c r="K7151" i="12"/>
  <c r="I7151" i="12"/>
  <c r="N7150" i="12"/>
  <c r="K7150" i="12"/>
  <c r="I7150" i="12"/>
  <c r="N7149" i="12"/>
  <c r="K7149" i="12"/>
  <c r="I7149" i="12"/>
  <c r="N7148" i="12"/>
  <c r="K7148" i="12"/>
  <c r="I7148" i="12"/>
  <c r="N7147" i="12"/>
  <c r="K7147" i="12"/>
  <c r="I7147" i="12"/>
  <c r="N7146" i="12"/>
  <c r="K7146" i="12"/>
  <c r="I7146" i="12"/>
  <c r="N7145" i="12"/>
  <c r="K7145" i="12"/>
  <c r="I7145" i="12"/>
  <c r="N7144" i="12"/>
  <c r="K7144" i="12"/>
  <c r="I7144" i="12"/>
  <c r="N7143" i="12"/>
  <c r="K7143" i="12"/>
  <c r="I7143" i="12"/>
  <c r="N7142" i="12"/>
  <c r="K7142" i="12"/>
  <c r="I7142" i="12"/>
  <c r="N7141" i="12"/>
  <c r="K7141" i="12"/>
  <c r="I7141" i="12"/>
  <c r="N7140" i="12"/>
  <c r="K7140" i="12"/>
  <c r="I7140" i="12"/>
  <c r="N7139" i="12"/>
  <c r="K7139" i="12"/>
  <c r="I7139" i="12"/>
  <c r="N7138" i="12"/>
  <c r="K7138" i="12"/>
  <c r="I7138" i="12"/>
  <c r="N7137" i="12"/>
  <c r="K7137" i="12"/>
  <c r="I7137" i="12"/>
  <c r="N7136" i="12"/>
  <c r="K7136" i="12"/>
  <c r="I7136" i="12"/>
  <c r="N7135" i="12"/>
  <c r="K7135" i="12"/>
  <c r="I7135" i="12"/>
  <c r="N7134" i="12"/>
  <c r="K7134" i="12"/>
  <c r="I7134" i="12"/>
  <c r="N7133" i="12"/>
  <c r="K7133" i="12"/>
  <c r="I7133" i="12"/>
  <c r="N7132" i="12"/>
  <c r="K7132" i="12"/>
  <c r="I7132" i="12"/>
  <c r="N7131" i="12"/>
  <c r="K7131" i="12"/>
  <c r="I7131" i="12"/>
  <c r="N7130" i="12"/>
  <c r="K7130" i="12"/>
  <c r="I7130" i="12"/>
  <c r="N7129" i="12"/>
  <c r="K7129" i="12"/>
  <c r="I7129" i="12"/>
  <c r="N7128" i="12"/>
  <c r="K7128" i="12"/>
  <c r="I7128" i="12"/>
  <c r="N7127" i="12"/>
  <c r="K7127" i="12"/>
  <c r="I7127" i="12"/>
  <c r="N7126" i="12"/>
  <c r="K7126" i="12"/>
  <c r="I7126" i="12"/>
  <c r="N7125" i="12"/>
  <c r="K7125" i="12"/>
  <c r="I7125" i="12"/>
  <c r="N7124" i="12"/>
  <c r="K7124" i="12"/>
  <c r="I7124" i="12"/>
  <c r="N7123" i="12"/>
  <c r="K7123" i="12"/>
  <c r="I7123" i="12"/>
  <c r="N7122" i="12"/>
  <c r="K7122" i="12"/>
  <c r="I7122" i="12"/>
  <c r="N7121" i="12"/>
  <c r="K7121" i="12"/>
  <c r="I7121" i="12"/>
  <c r="N7120" i="12"/>
  <c r="K7120" i="12"/>
  <c r="I7120" i="12"/>
  <c r="N7119" i="12"/>
  <c r="K7119" i="12"/>
  <c r="I7119" i="12"/>
  <c r="N7118" i="12"/>
  <c r="K7118" i="12"/>
  <c r="I7118" i="12"/>
  <c r="N7117" i="12"/>
  <c r="K7117" i="12"/>
  <c r="I7117" i="12"/>
  <c r="N7116" i="12"/>
  <c r="K7116" i="12"/>
  <c r="I7116" i="12"/>
  <c r="N7115" i="12"/>
  <c r="K7115" i="12"/>
  <c r="I7115" i="12"/>
  <c r="N7114" i="12"/>
  <c r="K7114" i="12"/>
  <c r="I7114" i="12"/>
  <c r="N7113" i="12"/>
  <c r="K7113" i="12"/>
  <c r="I7113" i="12"/>
  <c r="N7112" i="12"/>
  <c r="K7112" i="12"/>
  <c r="I7112" i="12"/>
  <c r="N7111" i="12"/>
  <c r="K7111" i="12"/>
  <c r="I7111" i="12"/>
  <c r="N7110" i="12"/>
  <c r="K7110" i="12"/>
  <c r="I7110" i="12"/>
  <c r="N7109" i="12"/>
  <c r="K7109" i="12"/>
  <c r="I7109" i="12"/>
  <c r="N7108" i="12"/>
  <c r="K7108" i="12"/>
  <c r="I7108" i="12"/>
  <c r="N7107" i="12"/>
  <c r="K7107" i="12"/>
  <c r="I7107" i="12"/>
  <c r="N7106" i="12"/>
  <c r="K7106" i="12"/>
  <c r="I7106" i="12"/>
  <c r="N7105" i="12"/>
  <c r="K7105" i="12"/>
  <c r="I7105" i="12"/>
  <c r="N7104" i="12"/>
  <c r="K7104" i="12"/>
  <c r="I7104" i="12"/>
  <c r="N7103" i="12"/>
  <c r="K7103" i="12"/>
  <c r="I7103" i="12"/>
  <c r="N7102" i="12"/>
  <c r="K7102" i="12"/>
  <c r="I7102" i="12"/>
  <c r="N7101" i="12"/>
  <c r="K7101" i="12"/>
  <c r="I7101" i="12"/>
  <c r="N7100" i="12"/>
  <c r="K7100" i="12"/>
  <c r="I7100" i="12"/>
  <c r="N7099" i="12"/>
  <c r="K7099" i="12"/>
  <c r="I7099" i="12"/>
  <c r="N7098" i="12"/>
  <c r="K7098" i="12"/>
  <c r="I7098" i="12"/>
  <c r="N7097" i="12"/>
  <c r="K7097" i="12"/>
  <c r="I7097" i="12"/>
  <c r="N7096" i="12"/>
  <c r="K7096" i="12"/>
  <c r="I7096" i="12"/>
  <c r="N7095" i="12"/>
  <c r="K7095" i="12"/>
  <c r="I7095" i="12"/>
  <c r="N7094" i="12"/>
  <c r="K7094" i="12"/>
  <c r="I7094" i="12"/>
  <c r="N7093" i="12"/>
  <c r="K7093" i="12"/>
  <c r="I7093" i="12"/>
  <c r="N7092" i="12"/>
  <c r="K7092" i="12"/>
  <c r="I7092" i="12"/>
  <c r="N7091" i="12"/>
  <c r="K7091" i="12"/>
  <c r="I7091" i="12"/>
  <c r="N7090" i="12"/>
  <c r="K7090" i="12"/>
  <c r="I7090" i="12"/>
  <c r="N7089" i="12"/>
  <c r="K7089" i="12"/>
  <c r="I7089" i="12"/>
  <c r="N7088" i="12"/>
  <c r="K7088" i="12"/>
  <c r="I7088" i="12"/>
  <c r="N7087" i="12"/>
  <c r="K7087" i="12"/>
  <c r="I7087" i="12"/>
  <c r="N7086" i="12"/>
  <c r="K7086" i="12"/>
  <c r="I7086" i="12"/>
  <c r="N7085" i="12"/>
  <c r="K7085" i="12"/>
  <c r="I7085" i="12"/>
  <c r="N7084" i="12"/>
  <c r="K7084" i="12"/>
  <c r="I7084" i="12"/>
  <c r="N7083" i="12"/>
  <c r="K7083" i="12"/>
  <c r="I7083" i="12"/>
  <c r="N7082" i="12"/>
  <c r="K7082" i="12"/>
  <c r="I7082" i="12"/>
  <c r="N7081" i="12"/>
  <c r="K7081" i="12"/>
  <c r="I7081" i="12"/>
  <c r="N7080" i="12"/>
  <c r="K7080" i="12"/>
  <c r="I7080" i="12"/>
  <c r="N7079" i="12"/>
  <c r="K7079" i="12"/>
  <c r="I7079" i="12"/>
  <c r="N7078" i="12"/>
  <c r="K7078" i="12"/>
  <c r="I7078" i="12"/>
  <c r="N7077" i="12"/>
  <c r="K7077" i="12"/>
  <c r="I7077" i="12"/>
  <c r="N7076" i="12"/>
  <c r="K7076" i="12"/>
  <c r="I7076" i="12"/>
  <c r="N7075" i="12"/>
  <c r="K7075" i="12"/>
  <c r="I7075" i="12"/>
  <c r="N7074" i="12"/>
  <c r="K7074" i="12"/>
  <c r="I7074" i="12"/>
  <c r="N7073" i="12"/>
  <c r="K7073" i="12"/>
  <c r="I7073" i="12"/>
  <c r="N7072" i="12"/>
  <c r="K7072" i="12"/>
  <c r="I7072" i="12"/>
  <c r="N7071" i="12"/>
  <c r="K7071" i="12"/>
  <c r="I7071" i="12"/>
  <c r="N7070" i="12"/>
  <c r="K7070" i="12"/>
  <c r="I7070" i="12"/>
  <c r="N7069" i="12"/>
  <c r="K7069" i="12"/>
  <c r="I7069" i="12"/>
  <c r="N7068" i="12"/>
  <c r="K7068" i="12"/>
  <c r="I7068" i="12"/>
  <c r="N7067" i="12"/>
  <c r="K7067" i="12"/>
  <c r="I7067" i="12"/>
  <c r="N7066" i="12"/>
  <c r="K7066" i="12"/>
  <c r="I7066" i="12"/>
  <c r="N7065" i="12"/>
  <c r="K7065" i="12"/>
  <c r="I7065" i="12"/>
  <c r="N7064" i="12"/>
  <c r="K7064" i="12"/>
  <c r="I7064" i="12"/>
  <c r="N7063" i="12"/>
  <c r="K7063" i="12"/>
  <c r="I7063" i="12"/>
  <c r="N7062" i="12"/>
  <c r="K7062" i="12"/>
  <c r="I7062" i="12"/>
  <c r="N7061" i="12"/>
  <c r="K7061" i="12"/>
  <c r="I7061" i="12"/>
  <c r="N7060" i="12"/>
  <c r="K7060" i="12"/>
  <c r="I7060" i="12"/>
  <c r="N7059" i="12"/>
  <c r="K7059" i="12"/>
  <c r="I7059" i="12"/>
  <c r="N7058" i="12"/>
  <c r="K7058" i="12"/>
  <c r="I7058" i="12"/>
  <c r="N7057" i="12"/>
  <c r="K7057" i="12"/>
  <c r="I7057" i="12"/>
  <c r="N7056" i="12"/>
  <c r="K7056" i="12"/>
  <c r="I7056" i="12"/>
  <c r="N7055" i="12"/>
  <c r="K7055" i="12"/>
  <c r="I7055" i="12"/>
  <c r="N7054" i="12"/>
  <c r="K7054" i="12"/>
  <c r="I7054" i="12"/>
  <c r="N7053" i="12"/>
  <c r="K7053" i="12"/>
  <c r="I7053" i="12"/>
  <c r="N7052" i="12"/>
  <c r="K7052" i="12"/>
  <c r="I7052" i="12"/>
  <c r="N7051" i="12"/>
  <c r="K7051" i="12"/>
  <c r="I7051" i="12"/>
  <c r="N7050" i="12"/>
  <c r="K7050" i="12"/>
  <c r="I7050" i="12"/>
  <c r="N7049" i="12"/>
  <c r="K7049" i="12"/>
  <c r="I7049" i="12"/>
  <c r="N7048" i="12"/>
  <c r="K7048" i="12"/>
  <c r="I7048" i="12"/>
  <c r="N7047" i="12"/>
  <c r="K7047" i="12"/>
  <c r="I7047" i="12"/>
  <c r="N7046" i="12"/>
  <c r="K7046" i="12"/>
  <c r="I7046" i="12"/>
  <c r="N7045" i="12"/>
  <c r="K7045" i="12"/>
  <c r="I7045" i="12"/>
  <c r="N7044" i="12"/>
  <c r="K7044" i="12"/>
  <c r="I7044" i="12"/>
  <c r="N7043" i="12"/>
  <c r="K7043" i="12"/>
  <c r="I7043" i="12"/>
  <c r="N7042" i="12"/>
  <c r="K7042" i="12"/>
  <c r="I7042" i="12"/>
  <c r="N7041" i="12"/>
  <c r="K7041" i="12"/>
  <c r="I7041" i="12"/>
  <c r="N7040" i="12"/>
  <c r="K7040" i="12"/>
  <c r="I7040" i="12"/>
  <c r="N7039" i="12"/>
  <c r="K7039" i="12"/>
  <c r="I7039" i="12"/>
  <c r="N7038" i="12"/>
  <c r="K7038" i="12"/>
  <c r="I7038" i="12"/>
  <c r="N7037" i="12"/>
  <c r="K7037" i="12"/>
  <c r="I7037" i="12"/>
  <c r="N7036" i="12"/>
  <c r="K7036" i="12"/>
  <c r="I7036" i="12"/>
  <c r="N7035" i="12"/>
  <c r="K7035" i="12"/>
  <c r="I7035" i="12"/>
  <c r="N7034" i="12"/>
  <c r="K7034" i="12"/>
  <c r="I7034" i="12"/>
  <c r="N7033" i="12"/>
  <c r="K7033" i="12"/>
  <c r="I7033" i="12"/>
  <c r="N7032" i="12"/>
  <c r="K7032" i="12"/>
  <c r="I7032" i="12"/>
  <c r="N7031" i="12"/>
  <c r="K7031" i="12"/>
  <c r="I7031" i="12"/>
  <c r="N7030" i="12"/>
  <c r="K7030" i="12"/>
  <c r="I7030" i="12"/>
  <c r="N7029" i="12"/>
  <c r="K7029" i="12"/>
  <c r="I7029" i="12"/>
  <c r="N7028" i="12"/>
  <c r="K7028" i="12"/>
  <c r="I7028" i="12"/>
  <c r="N7027" i="12"/>
  <c r="K7027" i="12"/>
  <c r="I7027" i="12"/>
  <c r="N7026" i="12"/>
  <c r="K7026" i="12"/>
  <c r="I7026" i="12"/>
  <c r="N7025" i="12"/>
  <c r="K7025" i="12"/>
  <c r="I7025" i="12"/>
  <c r="N7024" i="12"/>
  <c r="K7024" i="12"/>
  <c r="I7024" i="12"/>
  <c r="N7023" i="12"/>
  <c r="K7023" i="12"/>
  <c r="I7023" i="12"/>
  <c r="N7022" i="12"/>
  <c r="K7022" i="12"/>
  <c r="I7022" i="12"/>
  <c r="N7021" i="12"/>
  <c r="K7021" i="12"/>
  <c r="I7021" i="12"/>
  <c r="N7020" i="12"/>
  <c r="K7020" i="12"/>
  <c r="I7020" i="12"/>
  <c r="N7019" i="12"/>
  <c r="K7019" i="12"/>
  <c r="I7019" i="12"/>
  <c r="N7018" i="12"/>
  <c r="K7018" i="12"/>
  <c r="I7018" i="12"/>
  <c r="N7017" i="12"/>
  <c r="K7017" i="12"/>
  <c r="I7017" i="12"/>
  <c r="N7016" i="12"/>
  <c r="K7016" i="12"/>
  <c r="I7016" i="12"/>
  <c r="N7015" i="12"/>
  <c r="K7015" i="12"/>
  <c r="I7015" i="12"/>
  <c r="N7014" i="12"/>
  <c r="K7014" i="12"/>
  <c r="I7014" i="12"/>
  <c r="N7013" i="12"/>
  <c r="K7013" i="12"/>
  <c r="I7013" i="12"/>
  <c r="N7012" i="12"/>
  <c r="K7012" i="12"/>
  <c r="I7012" i="12"/>
  <c r="N7011" i="12"/>
  <c r="K7011" i="12"/>
  <c r="I7011" i="12"/>
  <c r="N7010" i="12"/>
  <c r="K7010" i="12"/>
  <c r="I7010" i="12"/>
  <c r="N7009" i="12"/>
  <c r="K7009" i="12"/>
  <c r="I7009" i="12"/>
  <c r="N7008" i="12"/>
  <c r="K7008" i="12"/>
  <c r="I7008" i="12"/>
  <c r="N7007" i="12"/>
  <c r="K7007" i="12"/>
  <c r="I7007" i="12"/>
  <c r="N7006" i="12"/>
  <c r="K7006" i="12"/>
  <c r="I7006" i="12"/>
  <c r="N7005" i="12"/>
  <c r="K7005" i="12"/>
  <c r="I7005" i="12"/>
  <c r="N7004" i="12"/>
  <c r="K7004" i="12"/>
  <c r="I7004" i="12"/>
  <c r="N7003" i="12"/>
  <c r="K7003" i="12"/>
  <c r="I7003" i="12"/>
  <c r="N7002" i="12"/>
  <c r="K7002" i="12"/>
  <c r="I7002" i="12"/>
  <c r="N7001" i="12"/>
  <c r="K7001" i="12"/>
  <c r="I7001" i="12"/>
  <c r="N7000" i="12"/>
  <c r="K7000" i="12"/>
  <c r="I7000" i="12"/>
  <c r="N6999" i="12"/>
  <c r="K6999" i="12"/>
  <c r="I6999" i="12"/>
  <c r="N6998" i="12"/>
  <c r="K6998" i="12"/>
  <c r="I6998" i="12"/>
  <c r="N6997" i="12"/>
  <c r="K6997" i="12"/>
  <c r="I6997" i="12"/>
  <c r="N6996" i="12"/>
  <c r="K6996" i="12"/>
  <c r="I6996" i="12"/>
  <c r="N6995" i="12"/>
  <c r="K6995" i="12"/>
  <c r="I6995" i="12"/>
  <c r="N6994" i="12"/>
  <c r="K6994" i="12"/>
  <c r="I6994" i="12"/>
  <c r="N6993" i="12"/>
  <c r="K6993" i="12"/>
  <c r="I6993" i="12"/>
  <c r="N6992" i="12"/>
  <c r="K6992" i="12"/>
  <c r="I6992" i="12"/>
  <c r="N6991" i="12"/>
  <c r="K6991" i="12"/>
  <c r="I6991" i="12"/>
  <c r="N6990" i="12"/>
  <c r="K6990" i="12"/>
  <c r="I6990" i="12"/>
  <c r="N6989" i="12"/>
  <c r="K6989" i="12"/>
  <c r="I6989" i="12"/>
  <c r="N6988" i="12"/>
  <c r="K6988" i="12"/>
  <c r="I6988" i="12"/>
  <c r="N6987" i="12"/>
  <c r="K6987" i="12"/>
  <c r="I6987" i="12"/>
  <c r="N6986" i="12"/>
  <c r="K6986" i="12"/>
  <c r="I6986" i="12"/>
  <c r="N6985" i="12"/>
  <c r="K6985" i="12"/>
  <c r="I6985" i="12"/>
  <c r="N6984" i="12"/>
  <c r="K6984" i="12"/>
  <c r="I6984" i="12"/>
  <c r="N6983" i="12"/>
  <c r="K6983" i="12"/>
  <c r="I6983" i="12"/>
  <c r="N6982" i="12"/>
  <c r="K6982" i="12"/>
  <c r="I6982" i="12"/>
  <c r="N6981" i="12"/>
  <c r="K6981" i="12"/>
  <c r="I6981" i="12"/>
  <c r="N6980" i="12"/>
  <c r="K6980" i="12"/>
  <c r="I6980" i="12"/>
  <c r="N6979" i="12"/>
  <c r="K6979" i="12"/>
  <c r="I6979" i="12"/>
  <c r="N6978" i="12"/>
  <c r="K6978" i="12"/>
  <c r="I6978" i="12"/>
  <c r="N6977" i="12"/>
  <c r="K6977" i="12"/>
  <c r="I6977" i="12"/>
  <c r="N6976" i="12"/>
  <c r="K6976" i="12"/>
  <c r="I6976" i="12"/>
  <c r="N6975" i="12"/>
  <c r="K6975" i="12"/>
  <c r="I6975" i="12"/>
  <c r="N6974" i="12"/>
  <c r="K6974" i="12"/>
  <c r="I6974" i="12"/>
  <c r="N6973" i="12"/>
  <c r="K6973" i="12"/>
  <c r="I6973" i="12"/>
  <c r="N6972" i="12"/>
  <c r="K6972" i="12"/>
  <c r="I6972" i="12"/>
  <c r="N6971" i="12"/>
  <c r="K6971" i="12"/>
  <c r="I6971" i="12"/>
  <c r="N6970" i="12"/>
  <c r="K6970" i="12"/>
  <c r="I6970" i="12"/>
  <c r="N6969" i="12"/>
  <c r="K6969" i="12"/>
  <c r="I6969" i="12"/>
  <c r="N6968" i="12"/>
  <c r="K6968" i="12"/>
  <c r="I6968" i="12"/>
  <c r="N6967" i="12"/>
  <c r="K6967" i="12"/>
  <c r="I6967" i="12"/>
  <c r="N6966" i="12"/>
  <c r="K6966" i="12"/>
  <c r="I6966" i="12"/>
  <c r="N6965" i="12"/>
  <c r="K6965" i="12"/>
  <c r="I6965" i="12"/>
  <c r="N6964" i="12"/>
  <c r="K6964" i="12"/>
  <c r="I6964" i="12"/>
  <c r="N6963" i="12"/>
  <c r="K6963" i="12"/>
  <c r="I6963" i="12"/>
  <c r="N6962" i="12"/>
  <c r="K6962" i="12"/>
  <c r="I6962" i="12"/>
  <c r="N6961" i="12"/>
  <c r="K6961" i="12"/>
  <c r="I6961" i="12"/>
  <c r="N6960" i="12"/>
  <c r="K6960" i="12"/>
  <c r="I6960" i="12"/>
  <c r="N6959" i="12"/>
  <c r="K6959" i="12"/>
  <c r="I6959" i="12"/>
  <c r="N6958" i="12"/>
  <c r="K6958" i="12"/>
  <c r="I6958" i="12"/>
  <c r="N6957" i="12"/>
  <c r="K6957" i="12"/>
  <c r="I6957" i="12"/>
  <c r="N6956" i="12"/>
  <c r="K6956" i="12"/>
  <c r="I6956" i="12"/>
  <c r="N6955" i="12"/>
  <c r="K6955" i="12"/>
  <c r="I6955" i="12"/>
  <c r="N6954" i="12"/>
  <c r="K6954" i="12"/>
  <c r="I6954" i="12"/>
  <c r="N6953" i="12"/>
  <c r="K6953" i="12"/>
  <c r="I6953" i="12"/>
  <c r="N6952" i="12"/>
  <c r="K6952" i="12"/>
  <c r="I6952" i="12"/>
  <c r="N6951" i="12"/>
  <c r="K6951" i="12"/>
  <c r="I6951" i="12"/>
  <c r="N6950" i="12"/>
  <c r="K6950" i="12"/>
  <c r="I6950" i="12"/>
  <c r="N6949" i="12"/>
  <c r="K6949" i="12"/>
  <c r="I6949" i="12"/>
  <c r="N6948" i="12"/>
  <c r="K6948" i="12"/>
  <c r="I6948" i="12"/>
  <c r="N6947" i="12"/>
  <c r="K6947" i="12"/>
  <c r="I6947" i="12"/>
  <c r="N6946" i="12"/>
  <c r="K6946" i="12"/>
  <c r="I6946" i="12"/>
  <c r="N6945" i="12"/>
  <c r="K6945" i="12"/>
  <c r="I6945" i="12"/>
  <c r="N6944" i="12"/>
  <c r="K6944" i="12"/>
  <c r="I6944" i="12"/>
  <c r="N6943" i="12"/>
  <c r="K6943" i="12"/>
  <c r="I6943" i="12"/>
  <c r="N6942" i="12"/>
  <c r="K6942" i="12"/>
  <c r="I6942" i="12"/>
  <c r="N6941" i="12"/>
  <c r="K6941" i="12"/>
  <c r="I6941" i="12"/>
  <c r="N6940" i="12"/>
  <c r="K6940" i="12"/>
  <c r="I6940" i="12"/>
  <c r="N6939" i="12"/>
  <c r="K6939" i="12"/>
  <c r="I6939" i="12"/>
  <c r="N6938" i="12"/>
  <c r="K6938" i="12"/>
  <c r="I6938" i="12"/>
  <c r="N6937" i="12"/>
  <c r="K6937" i="12"/>
  <c r="I6937" i="12"/>
  <c r="N6936" i="12"/>
  <c r="K6936" i="12"/>
  <c r="I6936" i="12"/>
  <c r="N6935" i="12"/>
  <c r="K6935" i="12"/>
  <c r="I6935" i="12"/>
  <c r="N6934" i="12"/>
  <c r="K6934" i="12"/>
  <c r="I6934" i="12"/>
  <c r="N6933" i="12"/>
  <c r="K6933" i="12"/>
  <c r="I6933" i="12"/>
  <c r="N6932" i="12"/>
  <c r="K6932" i="12"/>
  <c r="I6932" i="12"/>
  <c r="N6931" i="12"/>
  <c r="K6931" i="12"/>
  <c r="I6931" i="12"/>
  <c r="N6930" i="12"/>
  <c r="K6930" i="12"/>
  <c r="I6930" i="12"/>
  <c r="N6929" i="12"/>
  <c r="K6929" i="12"/>
  <c r="I6929" i="12"/>
  <c r="N6928" i="12"/>
  <c r="K6928" i="12"/>
  <c r="I6928" i="12"/>
  <c r="N6927" i="12"/>
  <c r="K6927" i="12"/>
  <c r="I6927" i="12"/>
  <c r="N6926" i="12"/>
  <c r="K6926" i="12"/>
  <c r="I6926" i="12"/>
  <c r="N6925" i="12"/>
  <c r="K6925" i="12"/>
  <c r="I6925" i="12"/>
  <c r="N6924" i="12"/>
  <c r="K6924" i="12"/>
  <c r="I6924" i="12"/>
  <c r="N6923" i="12"/>
  <c r="K6923" i="12"/>
  <c r="I6923" i="12"/>
  <c r="N6922" i="12"/>
  <c r="K6922" i="12"/>
  <c r="I6922" i="12"/>
  <c r="N6921" i="12"/>
  <c r="K6921" i="12"/>
  <c r="I6921" i="12"/>
  <c r="N6920" i="12"/>
  <c r="K6920" i="12"/>
  <c r="I6920" i="12"/>
  <c r="N6919" i="12"/>
  <c r="K6919" i="12"/>
  <c r="I6919" i="12"/>
  <c r="N6918" i="12"/>
  <c r="K6918" i="12"/>
  <c r="I6918" i="12"/>
  <c r="N6917" i="12"/>
  <c r="K6917" i="12"/>
  <c r="I6917" i="12"/>
  <c r="N6916" i="12"/>
  <c r="K6916" i="12"/>
  <c r="I6916" i="12"/>
  <c r="N6915" i="12"/>
  <c r="K6915" i="12"/>
  <c r="I6915" i="12"/>
  <c r="N6914" i="12"/>
  <c r="K6914" i="12"/>
  <c r="I6914" i="12"/>
  <c r="N6913" i="12"/>
  <c r="K6913" i="12"/>
  <c r="I6913" i="12"/>
  <c r="N6912" i="12"/>
  <c r="K6912" i="12"/>
  <c r="I6912" i="12"/>
  <c r="N6911" i="12"/>
  <c r="K6911" i="12"/>
  <c r="I6911" i="12"/>
  <c r="N6910" i="12"/>
  <c r="K6910" i="12"/>
  <c r="I6910" i="12"/>
  <c r="N6909" i="12"/>
  <c r="K6909" i="12"/>
  <c r="I6909" i="12"/>
  <c r="N6908" i="12"/>
  <c r="K6908" i="12"/>
  <c r="I6908" i="12"/>
  <c r="N6907" i="12"/>
  <c r="K6907" i="12"/>
  <c r="I6907" i="12"/>
  <c r="N6906" i="12"/>
  <c r="K6906" i="12"/>
  <c r="I6906" i="12"/>
  <c r="N6905" i="12"/>
  <c r="K6905" i="12"/>
  <c r="I6905" i="12"/>
  <c r="N6904" i="12"/>
  <c r="K6904" i="12"/>
  <c r="I6904" i="12"/>
  <c r="N6903" i="12"/>
  <c r="K6903" i="12"/>
  <c r="I6903" i="12"/>
  <c r="N6902" i="12"/>
  <c r="K6902" i="12"/>
  <c r="I6902" i="12"/>
  <c r="N6901" i="12"/>
  <c r="K6901" i="12"/>
  <c r="I6901" i="12"/>
  <c r="N6900" i="12"/>
  <c r="K6900" i="12"/>
  <c r="I6900" i="12"/>
  <c r="N6899" i="12"/>
  <c r="K6899" i="12"/>
  <c r="I6899" i="12"/>
  <c r="N6898" i="12"/>
  <c r="K6898" i="12"/>
  <c r="I6898" i="12"/>
  <c r="N6897" i="12"/>
  <c r="K6897" i="12"/>
  <c r="I6897" i="12"/>
  <c r="N6896" i="12"/>
  <c r="K6896" i="12"/>
  <c r="I6896" i="12"/>
  <c r="N6895" i="12"/>
  <c r="K6895" i="12"/>
  <c r="I6895" i="12"/>
  <c r="N6894" i="12"/>
  <c r="K6894" i="12"/>
  <c r="I6894" i="12"/>
  <c r="N6893" i="12"/>
  <c r="K6893" i="12"/>
  <c r="I6893" i="12"/>
  <c r="N6892" i="12"/>
  <c r="K6892" i="12"/>
  <c r="I6892" i="12"/>
  <c r="N6891" i="12"/>
  <c r="K6891" i="12"/>
  <c r="I6891" i="12"/>
  <c r="N6890" i="12"/>
  <c r="K6890" i="12"/>
  <c r="I6890" i="12"/>
  <c r="N6889" i="12"/>
  <c r="K6889" i="12"/>
  <c r="I6889" i="12"/>
  <c r="N6888" i="12"/>
  <c r="K6888" i="12"/>
  <c r="I6888" i="12"/>
  <c r="N6887" i="12"/>
  <c r="K6887" i="12"/>
  <c r="I6887" i="12"/>
  <c r="N6886" i="12"/>
  <c r="K6886" i="12"/>
  <c r="I6886" i="12"/>
  <c r="N6885" i="12"/>
  <c r="K6885" i="12"/>
  <c r="I6885" i="12"/>
  <c r="N6884" i="12"/>
  <c r="K6884" i="12"/>
  <c r="I6884" i="12"/>
  <c r="N6883" i="12"/>
  <c r="K6883" i="12"/>
  <c r="I6883" i="12"/>
  <c r="N6882" i="12"/>
  <c r="K6882" i="12"/>
  <c r="I6882" i="12"/>
  <c r="N6881" i="12"/>
  <c r="K6881" i="12"/>
  <c r="I6881" i="12"/>
  <c r="N6880" i="12"/>
  <c r="K6880" i="12"/>
  <c r="I6880" i="12"/>
  <c r="N6879" i="12"/>
  <c r="K6879" i="12"/>
  <c r="I6879" i="12"/>
  <c r="N6878" i="12"/>
  <c r="K6878" i="12"/>
  <c r="I6878" i="12"/>
  <c r="N6877" i="12"/>
  <c r="K6877" i="12"/>
  <c r="I6877" i="12"/>
  <c r="N6876" i="12"/>
  <c r="K6876" i="12"/>
  <c r="I6876" i="12"/>
  <c r="N6875" i="12"/>
  <c r="K6875" i="12"/>
  <c r="I6875" i="12"/>
  <c r="N6874" i="12"/>
  <c r="K6874" i="12"/>
  <c r="I6874" i="12"/>
  <c r="N6873" i="12"/>
  <c r="K6873" i="12"/>
  <c r="I6873" i="12"/>
  <c r="N6872" i="12"/>
  <c r="K6872" i="12"/>
  <c r="I6872" i="12"/>
  <c r="N6871" i="12"/>
  <c r="K6871" i="12"/>
  <c r="I6871" i="12"/>
  <c r="N6870" i="12"/>
  <c r="K6870" i="12"/>
  <c r="I6870" i="12"/>
  <c r="N6869" i="12"/>
  <c r="K6869" i="12"/>
  <c r="I6869" i="12"/>
  <c r="N6868" i="12"/>
  <c r="K6868" i="12"/>
  <c r="I6868" i="12"/>
  <c r="N6867" i="12"/>
  <c r="K6867" i="12"/>
  <c r="I6867" i="12"/>
  <c r="N6866" i="12"/>
  <c r="K6866" i="12"/>
  <c r="I6866" i="12"/>
  <c r="N6865" i="12"/>
  <c r="K6865" i="12"/>
  <c r="I6865" i="12"/>
  <c r="N6864" i="12"/>
  <c r="K6864" i="12"/>
  <c r="I6864" i="12"/>
  <c r="N6863" i="12"/>
  <c r="K6863" i="12"/>
  <c r="I6863" i="12"/>
  <c r="N6862" i="12"/>
  <c r="K6862" i="12"/>
  <c r="I6862" i="12"/>
  <c r="N6861" i="12"/>
  <c r="K6861" i="12"/>
  <c r="I6861" i="12"/>
  <c r="N6860" i="12"/>
  <c r="K6860" i="12"/>
  <c r="I6860" i="12"/>
  <c r="N6859" i="12"/>
  <c r="K6859" i="12"/>
  <c r="I6859" i="12"/>
  <c r="N6858" i="12"/>
  <c r="K6858" i="12"/>
  <c r="I6858" i="12"/>
  <c r="N6857" i="12"/>
  <c r="K6857" i="12"/>
  <c r="I6857" i="12"/>
  <c r="N6856" i="12"/>
  <c r="K6856" i="12"/>
  <c r="I6856" i="12"/>
  <c r="N6855" i="12"/>
  <c r="K6855" i="12"/>
  <c r="I6855" i="12"/>
  <c r="N6854" i="12"/>
  <c r="K6854" i="12"/>
  <c r="I6854" i="12"/>
  <c r="N6853" i="12"/>
  <c r="K6853" i="12"/>
  <c r="I6853" i="12"/>
  <c r="N6852" i="12"/>
  <c r="K6852" i="12"/>
  <c r="I6852" i="12"/>
  <c r="N6851" i="12"/>
  <c r="K6851" i="12"/>
  <c r="I6851" i="12"/>
  <c r="N6850" i="12"/>
  <c r="K6850" i="12"/>
  <c r="I6850" i="12"/>
  <c r="N6849" i="12"/>
  <c r="K6849" i="12"/>
  <c r="I6849" i="12"/>
  <c r="N6848" i="12"/>
  <c r="K6848" i="12"/>
  <c r="I6848" i="12"/>
  <c r="N6847" i="12"/>
  <c r="K6847" i="12"/>
  <c r="I6847" i="12"/>
  <c r="N6846" i="12"/>
  <c r="K6846" i="12"/>
  <c r="I6846" i="12"/>
  <c r="N6845" i="12"/>
  <c r="K6845" i="12"/>
  <c r="I6845" i="12"/>
  <c r="N6844" i="12"/>
  <c r="K6844" i="12"/>
  <c r="I6844" i="12"/>
  <c r="N6843" i="12"/>
  <c r="K6843" i="12"/>
  <c r="I6843" i="12"/>
  <c r="N6842" i="12"/>
  <c r="K6842" i="12"/>
  <c r="I6842" i="12"/>
  <c r="N6841" i="12"/>
  <c r="K6841" i="12"/>
  <c r="I6841" i="12"/>
  <c r="N6840" i="12"/>
  <c r="K6840" i="12"/>
  <c r="I6840" i="12"/>
  <c r="N6839" i="12"/>
  <c r="K6839" i="12"/>
  <c r="I6839" i="12"/>
  <c r="N6838" i="12"/>
  <c r="K6838" i="12"/>
  <c r="I6838" i="12"/>
  <c r="N6837" i="12"/>
  <c r="K6837" i="12"/>
  <c r="I6837" i="12"/>
  <c r="N6836" i="12"/>
  <c r="K6836" i="12"/>
  <c r="I6836" i="12"/>
  <c r="N6835" i="12"/>
  <c r="K6835" i="12"/>
  <c r="I6835" i="12"/>
  <c r="N6834" i="12"/>
  <c r="K6834" i="12"/>
  <c r="I6834" i="12"/>
  <c r="N6833" i="12"/>
  <c r="K6833" i="12"/>
  <c r="I6833" i="12"/>
  <c r="N6832" i="12"/>
  <c r="K6832" i="12"/>
  <c r="I6832" i="12"/>
  <c r="N6831" i="12"/>
  <c r="K6831" i="12"/>
  <c r="I6831" i="12"/>
  <c r="N6830" i="12"/>
  <c r="K6830" i="12"/>
  <c r="I6830" i="12"/>
  <c r="N6829" i="12"/>
  <c r="K6829" i="12"/>
  <c r="I6829" i="12"/>
  <c r="N6828" i="12"/>
  <c r="K6828" i="12"/>
  <c r="I6828" i="12"/>
  <c r="N6827" i="12"/>
  <c r="K6827" i="12"/>
  <c r="I6827" i="12"/>
  <c r="N6826" i="12"/>
  <c r="K6826" i="12"/>
  <c r="I6826" i="12"/>
  <c r="N6825" i="12"/>
  <c r="K6825" i="12"/>
  <c r="I6825" i="12"/>
  <c r="N6824" i="12"/>
  <c r="K6824" i="12"/>
  <c r="I6824" i="12"/>
  <c r="N6823" i="12"/>
  <c r="K6823" i="12"/>
  <c r="I6823" i="12"/>
  <c r="N6822" i="12"/>
  <c r="K6822" i="12"/>
  <c r="I6822" i="12"/>
  <c r="N6821" i="12"/>
  <c r="K6821" i="12"/>
  <c r="I6821" i="12"/>
  <c r="N6820" i="12"/>
  <c r="K6820" i="12"/>
  <c r="I6820" i="12"/>
  <c r="N6819" i="12"/>
  <c r="K6819" i="12"/>
  <c r="I6819" i="12"/>
  <c r="N6818" i="12"/>
  <c r="K6818" i="12"/>
  <c r="I6818" i="12"/>
  <c r="N6817" i="12"/>
  <c r="K6817" i="12"/>
  <c r="I6817" i="12"/>
  <c r="N6816" i="12"/>
  <c r="K6816" i="12"/>
  <c r="I6816" i="12"/>
  <c r="N6815" i="12"/>
  <c r="K6815" i="12"/>
  <c r="I6815" i="12"/>
  <c r="N6814" i="12"/>
  <c r="K6814" i="12"/>
  <c r="I6814" i="12"/>
  <c r="N6813" i="12"/>
  <c r="K6813" i="12"/>
  <c r="I6813" i="12"/>
  <c r="N6812" i="12"/>
  <c r="K6812" i="12"/>
  <c r="I6812" i="12"/>
  <c r="N6811" i="12"/>
  <c r="K6811" i="12"/>
  <c r="I6811" i="12"/>
  <c r="N6810" i="12"/>
  <c r="K6810" i="12"/>
  <c r="I6810" i="12"/>
  <c r="N6809" i="12"/>
  <c r="K6809" i="12"/>
  <c r="I6809" i="12"/>
  <c r="N6808" i="12"/>
  <c r="K6808" i="12"/>
  <c r="I6808" i="12"/>
  <c r="N6807" i="12"/>
  <c r="K6807" i="12"/>
  <c r="I6807" i="12"/>
  <c r="N6806" i="12"/>
  <c r="K6806" i="12"/>
  <c r="I6806" i="12"/>
  <c r="N6805" i="12"/>
  <c r="K6805" i="12"/>
  <c r="I6805" i="12"/>
  <c r="N6804" i="12"/>
  <c r="K6804" i="12"/>
  <c r="I6804" i="12"/>
  <c r="N6803" i="12"/>
  <c r="K6803" i="12"/>
  <c r="I6803" i="12"/>
  <c r="N6802" i="12"/>
  <c r="K6802" i="12"/>
  <c r="I6802" i="12"/>
  <c r="N6801" i="12"/>
  <c r="K6801" i="12"/>
  <c r="I6801" i="12"/>
  <c r="N6800" i="12"/>
  <c r="K6800" i="12"/>
  <c r="I6800" i="12"/>
  <c r="N6799" i="12"/>
  <c r="K6799" i="12"/>
  <c r="I6799" i="12"/>
  <c r="N6798" i="12"/>
  <c r="K6798" i="12"/>
  <c r="I6798" i="12"/>
  <c r="N6797" i="12"/>
  <c r="K6797" i="12"/>
  <c r="I6797" i="12"/>
  <c r="N6796" i="12"/>
  <c r="K6796" i="12"/>
  <c r="I6796" i="12"/>
  <c r="N6795" i="12"/>
  <c r="K6795" i="12"/>
  <c r="I6795" i="12"/>
  <c r="N6794" i="12"/>
  <c r="K6794" i="12"/>
  <c r="I6794" i="12"/>
  <c r="N6793" i="12"/>
  <c r="K6793" i="12"/>
  <c r="I6793" i="12"/>
  <c r="N6792" i="12"/>
  <c r="K6792" i="12"/>
  <c r="I6792" i="12"/>
  <c r="N6791" i="12"/>
  <c r="K6791" i="12"/>
  <c r="I6791" i="12"/>
  <c r="N6790" i="12"/>
  <c r="K6790" i="12"/>
  <c r="I6790" i="12"/>
  <c r="N6789" i="12"/>
  <c r="K6789" i="12"/>
  <c r="I6789" i="12"/>
  <c r="N6788" i="12"/>
  <c r="K6788" i="12"/>
  <c r="I6788" i="12"/>
  <c r="N6787" i="12"/>
  <c r="K6787" i="12"/>
  <c r="I6787" i="12"/>
  <c r="N6786" i="12"/>
  <c r="K6786" i="12"/>
  <c r="I6786" i="12"/>
  <c r="N6785" i="12"/>
  <c r="K6785" i="12"/>
  <c r="I6785" i="12"/>
  <c r="N6784" i="12"/>
  <c r="K6784" i="12"/>
  <c r="I6784" i="12"/>
  <c r="N6783" i="12"/>
  <c r="K6783" i="12"/>
  <c r="I6783" i="12"/>
  <c r="N6782" i="12"/>
  <c r="K6782" i="12"/>
  <c r="I6782" i="12"/>
  <c r="N6781" i="12"/>
  <c r="K6781" i="12"/>
  <c r="I6781" i="12"/>
  <c r="N6780" i="12"/>
  <c r="K6780" i="12"/>
  <c r="I6780" i="12"/>
  <c r="N6779" i="12"/>
  <c r="K6779" i="12"/>
  <c r="I6779" i="12"/>
  <c r="N6778" i="12"/>
  <c r="K6778" i="12"/>
  <c r="I6778" i="12"/>
  <c r="N6777" i="12"/>
  <c r="K6777" i="12"/>
  <c r="I6777" i="12"/>
  <c r="N6776" i="12"/>
  <c r="K6776" i="12"/>
  <c r="I6776" i="12"/>
  <c r="N6775" i="12"/>
  <c r="K6775" i="12"/>
  <c r="I6775" i="12"/>
  <c r="N6774" i="12"/>
  <c r="K6774" i="12"/>
  <c r="I6774" i="12"/>
  <c r="N6773" i="12"/>
  <c r="K6773" i="12"/>
  <c r="I6773" i="12"/>
  <c r="N6772" i="12"/>
  <c r="K6772" i="12"/>
  <c r="I6772" i="12"/>
  <c r="N6771" i="12"/>
  <c r="K6771" i="12"/>
  <c r="I6771" i="12"/>
  <c r="N6770" i="12"/>
  <c r="K6770" i="12"/>
  <c r="I6770" i="12"/>
  <c r="N6769" i="12"/>
  <c r="K6769" i="12"/>
  <c r="I6769" i="12"/>
  <c r="N6768" i="12"/>
  <c r="K6768" i="12"/>
  <c r="I6768" i="12"/>
  <c r="N6767" i="12"/>
  <c r="K6767" i="12"/>
  <c r="I6767" i="12"/>
  <c r="N6766" i="12"/>
  <c r="K6766" i="12"/>
  <c r="I6766" i="12"/>
  <c r="N6765" i="12"/>
  <c r="K6765" i="12"/>
  <c r="I6765" i="12"/>
  <c r="N6764" i="12"/>
  <c r="K6764" i="12"/>
  <c r="I6764" i="12"/>
  <c r="N6763" i="12"/>
  <c r="K6763" i="12"/>
  <c r="I6763" i="12"/>
  <c r="N6762" i="12"/>
  <c r="K6762" i="12"/>
  <c r="I6762" i="12"/>
  <c r="N6761" i="12"/>
  <c r="K6761" i="12"/>
  <c r="I6761" i="12"/>
  <c r="N6760" i="12"/>
  <c r="K6760" i="12"/>
  <c r="I6760" i="12"/>
  <c r="N6759" i="12"/>
  <c r="K6759" i="12"/>
  <c r="I6759" i="12"/>
  <c r="N6758" i="12"/>
  <c r="K6758" i="12"/>
  <c r="I6758" i="12"/>
  <c r="N6757" i="12"/>
  <c r="K6757" i="12"/>
  <c r="I6757" i="12"/>
  <c r="N6756" i="12"/>
  <c r="K6756" i="12"/>
  <c r="I6756" i="12"/>
  <c r="N6755" i="12"/>
  <c r="K6755" i="12"/>
  <c r="I6755" i="12"/>
  <c r="N6754" i="12"/>
  <c r="K6754" i="12"/>
  <c r="I6754" i="12"/>
  <c r="N6753" i="12"/>
  <c r="K6753" i="12"/>
  <c r="I6753" i="12"/>
  <c r="N6752" i="12"/>
  <c r="K6752" i="12"/>
  <c r="I6752" i="12"/>
  <c r="N6751" i="12"/>
  <c r="K6751" i="12"/>
  <c r="I6751" i="12"/>
  <c r="N6750" i="12"/>
  <c r="K6750" i="12"/>
  <c r="I6750" i="12"/>
  <c r="N6749" i="12"/>
  <c r="K6749" i="12"/>
  <c r="I6749" i="12"/>
  <c r="N6748" i="12"/>
  <c r="K6748" i="12"/>
  <c r="I6748" i="12"/>
  <c r="N6747" i="12"/>
  <c r="K6747" i="12"/>
  <c r="I6747" i="12"/>
  <c r="N6746" i="12"/>
  <c r="K6746" i="12"/>
  <c r="I6746" i="12"/>
  <c r="N6745" i="12"/>
  <c r="K6745" i="12"/>
  <c r="I6745" i="12"/>
  <c r="N6744" i="12"/>
  <c r="K6744" i="12"/>
  <c r="I6744" i="12"/>
  <c r="N6743" i="12"/>
  <c r="K6743" i="12"/>
  <c r="I6743" i="12"/>
  <c r="N6742" i="12"/>
  <c r="K6742" i="12"/>
  <c r="I6742" i="12"/>
  <c r="N6741" i="12"/>
  <c r="K6741" i="12"/>
  <c r="I6741" i="12"/>
  <c r="N6740" i="12"/>
  <c r="K6740" i="12"/>
  <c r="I6740" i="12"/>
  <c r="N6739" i="12"/>
  <c r="K6739" i="12"/>
  <c r="I6739" i="12"/>
  <c r="N6738" i="12"/>
  <c r="K6738" i="12"/>
  <c r="I6738" i="12"/>
  <c r="N6737" i="12"/>
  <c r="K6737" i="12"/>
  <c r="I6737" i="12"/>
  <c r="N6736" i="12"/>
  <c r="K6736" i="12"/>
  <c r="I6736" i="12"/>
  <c r="N6735" i="12"/>
  <c r="K6735" i="12"/>
  <c r="I6735" i="12"/>
  <c r="N6734" i="12"/>
  <c r="K6734" i="12"/>
  <c r="I6734" i="12"/>
  <c r="N6733" i="12"/>
  <c r="K6733" i="12"/>
  <c r="I6733" i="12"/>
  <c r="N6732" i="12"/>
  <c r="K6732" i="12"/>
  <c r="I6732" i="12"/>
  <c r="N6731" i="12"/>
  <c r="K6731" i="12"/>
  <c r="I6731" i="12"/>
  <c r="N6730" i="12"/>
  <c r="K6730" i="12"/>
  <c r="I6730" i="12"/>
  <c r="N6729" i="12"/>
  <c r="K6729" i="12"/>
  <c r="I6729" i="12"/>
  <c r="N6728" i="12"/>
  <c r="K6728" i="12"/>
  <c r="I6728" i="12"/>
  <c r="N6727" i="12"/>
  <c r="K6727" i="12"/>
  <c r="I6727" i="12"/>
  <c r="N6726" i="12"/>
  <c r="K6726" i="12"/>
  <c r="I6726" i="12"/>
  <c r="N6725" i="12"/>
  <c r="K6725" i="12"/>
  <c r="I6725" i="12"/>
  <c r="N6724" i="12"/>
  <c r="K6724" i="12"/>
  <c r="I6724" i="12"/>
  <c r="N6723" i="12"/>
  <c r="K6723" i="12"/>
  <c r="I6723" i="12"/>
  <c r="N6722" i="12"/>
  <c r="K6722" i="12"/>
  <c r="I6722" i="12"/>
  <c r="N6721" i="12"/>
  <c r="K6721" i="12"/>
  <c r="I6721" i="12"/>
  <c r="N6720" i="12"/>
  <c r="K6720" i="12"/>
  <c r="I6720" i="12"/>
  <c r="N6719" i="12"/>
  <c r="K6719" i="12"/>
  <c r="I6719" i="12"/>
  <c r="N6718" i="12"/>
  <c r="K6718" i="12"/>
  <c r="I6718" i="12"/>
  <c r="N6717" i="12"/>
  <c r="K6717" i="12"/>
  <c r="I6717" i="12"/>
  <c r="N6716" i="12"/>
  <c r="K6716" i="12"/>
  <c r="I6716" i="12"/>
  <c r="N6715" i="12"/>
  <c r="K6715" i="12"/>
  <c r="I6715" i="12"/>
  <c r="N6714" i="12"/>
  <c r="K6714" i="12"/>
  <c r="I6714" i="12"/>
  <c r="N6713" i="12"/>
  <c r="K6713" i="12"/>
  <c r="I6713" i="12"/>
  <c r="N6712" i="12"/>
  <c r="K6712" i="12"/>
  <c r="I6712" i="12"/>
  <c r="N6711" i="12"/>
  <c r="K6711" i="12"/>
  <c r="I6711" i="12"/>
  <c r="N6710" i="12"/>
  <c r="K6710" i="12"/>
  <c r="I6710" i="12"/>
  <c r="N6709" i="12"/>
  <c r="K6709" i="12"/>
  <c r="I6709" i="12"/>
  <c r="N6708" i="12"/>
  <c r="K6708" i="12"/>
  <c r="I6708" i="12"/>
  <c r="N6707" i="12"/>
  <c r="K6707" i="12"/>
  <c r="I6707" i="12"/>
  <c r="N6706" i="12"/>
  <c r="K6706" i="12"/>
  <c r="I6706" i="12"/>
  <c r="N6705" i="12"/>
  <c r="K6705" i="12"/>
  <c r="I6705" i="12"/>
  <c r="N6704" i="12"/>
  <c r="K6704" i="12"/>
  <c r="I6704" i="12"/>
  <c r="N6703" i="12"/>
  <c r="K6703" i="12"/>
  <c r="I6703" i="12"/>
  <c r="N6702" i="12"/>
  <c r="K6702" i="12"/>
  <c r="I6702" i="12"/>
  <c r="N6701" i="12"/>
  <c r="K6701" i="12"/>
  <c r="I6701" i="12"/>
  <c r="N6700" i="12"/>
  <c r="K6700" i="12"/>
  <c r="I6700" i="12"/>
  <c r="N6699" i="12"/>
  <c r="K6699" i="12"/>
  <c r="I6699" i="12"/>
  <c r="N6698" i="12"/>
  <c r="K6698" i="12"/>
  <c r="I6698" i="12"/>
  <c r="N6697" i="12"/>
  <c r="K6697" i="12"/>
  <c r="I6697" i="12"/>
  <c r="N6696" i="12"/>
  <c r="K6696" i="12"/>
  <c r="I6696" i="12"/>
  <c r="N6695" i="12"/>
  <c r="K6695" i="12"/>
  <c r="I6695" i="12"/>
  <c r="N6694" i="12"/>
  <c r="K6694" i="12"/>
  <c r="I6694" i="12"/>
  <c r="N6693" i="12"/>
  <c r="K6693" i="12"/>
  <c r="I6693" i="12"/>
  <c r="N6692" i="12"/>
  <c r="K6692" i="12"/>
  <c r="I6692" i="12"/>
  <c r="N6691" i="12"/>
  <c r="K6691" i="12"/>
  <c r="I6691" i="12"/>
  <c r="N6690" i="12"/>
  <c r="K6690" i="12"/>
  <c r="I6690" i="12"/>
  <c r="N6689" i="12"/>
  <c r="K6689" i="12"/>
  <c r="I6689" i="12"/>
  <c r="N6688" i="12"/>
  <c r="K6688" i="12"/>
  <c r="I6688" i="12"/>
  <c r="N6687" i="12"/>
  <c r="K6687" i="12"/>
  <c r="I6687" i="12"/>
  <c r="N6686" i="12"/>
  <c r="K6686" i="12"/>
  <c r="I6686" i="12"/>
  <c r="N6685" i="12"/>
  <c r="K6685" i="12"/>
  <c r="I6685" i="12"/>
  <c r="N6684" i="12"/>
  <c r="K6684" i="12"/>
  <c r="I6684" i="12"/>
  <c r="N6683" i="12"/>
  <c r="K6683" i="12"/>
  <c r="I6683" i="12"/>
  <c r="N6682" i="12"/>
  <c r="K6682" i="12"/>
  <c r="I6682" i="12"/>
  <c r="N6681" i="12"/>
  <c r="K6681" i="12"/>
  <c r="I6681" i="12"/>
  <c r="N6680" i="12"/>
  <c r="K6680" i="12"/>
  <c r="I6680" i="12"/>
  <c r="N6679" i="12"/>
  <c r="K6679" i="12"/>
  <c r="I6679" i="12"/>
  <c r="N6678" i="12"/>
  <c r="K6678" i="12"/>
  <c r="I6678" i="12"/>
  <c r="N6677" i="12"/>
  <c r="K6677" i="12"/>
  <c r="I6677" i="12"/>
  <c r="N6676" i="12"/>
  <c r="K6676" i="12"/>
  <c r="I6676" i="12"/>
  <c r="N6675" i="12"/>
  <c r="K6675" i="12"/>
  <c r="I6675" i="12"/>
  <c r="N6674" i="12"/>
  <c r="K6674" i="12"/>
  <c r="I6674" i="12"/>
  <c r="N6673" i="12"/>
  <c r="K6673" i="12"/>
  <c r="I6673" i="12"/>
  <c r="N6672" i="12"/>
  <c r="K6672" i="12"/>
  <c r="I6672" i="12"/>
  <c r="N6671" i="12"/>
  <c r="K6671" i="12"/>
  <c r="I6671" i="12"/>
  <c r="N6670" i="12"/>
  <c r="K6670" i="12"/>
  <c r="I6670" i="12"/>
  <c r="N6669" i="12"/>
  <c r="K6669" i="12"/>
  <c r="I6669" i="12"/>
  <c r="N6668" i="12"/>
  <c r="K6668" i="12"/>
  <c r="I6668" i="12"/>
  <c r="N6667" i="12"/>
  <c r="K6667" i="12"/>
  <c r="I6667" i="12"/>
  <c r="N6666" i="12"/>
  <c r="K6666" i="12"/>
  <c r="I6666" i="12"/>
  <c r="N6665" i="12"/>
  <c r="K6665" i="12"/>
  <c r="I6665" i="12"/>
  <c r="N6664" i="12"/>
  <c r="K6664" i="12"/>
  <c r="I6664" i="12"/>
  <c r="N6663" i="12"/>
  <c r="K6663" i="12"/>
  <c r="I6663" i="12"/>
  <c r="N6662" i="12"/>
  <c r="K6662" i="12"/>
  <c r="I6662" i="12"/>
  <c r="N6661" i="12"/>
  <c r="K6661" i="12"/>
  <c r="I6661" i="12"/>
  <c r="N6660" i="12"/>
  <c r="K6660" i="12"/>
  <c r="I6660" i="12"/>
  <c r="N6659" i="12"/>
  <c r="K6659" i="12"/>
  <c r="I6659" i="12"/>
  <c r="N6658" i="12"/>
  <c r="K6658" i="12"/>
  <c r="I6658" i="12"/>
  <c r="N6657" i="12"/>
  <c r="K6657" i="12"/>
  <c r="I6657" i="12"/>
  <c r="N6656" i="12"/>
  <c r="K6656" i="12"/>
  <c r="I6656" i="12"/>
  <c r="N6655" i="12"/>
  <c r="K6655" i="12"/>
  <c r="I6655" i="12"/>
  <c r="N6654" i="12"/>
  <c r="K6654" i="12"/>
  <c r="I6654" i="12"/>
  <c r="N6653" i="12"/>
  <c r="K6653" i="12"/>
  <c r="I6653" i="12"/>
  <c r="N6652" i="12"/>
  <c r="K6652" i="12"/>
  <c r="I6652" i="12"/>
  <c r="N6651" i="12"/>
  <c r="K6651" i="12"/>
  <c r="I6651" i="12"/>
  <c r="N6650" i="12"/>
  <c r="K6650" i="12"/>
  <c r="I6650" i="12"/>
  <c r="N6649" i="12"/>
  <c r="K6649" i="12"/>
  <c r="I6649" i="12"/>
  <c r="N6648" i="12"/>
  <c r="K6648" i="12"/>
  <c r="I6648" i="12"/>
  <c r="N6647" i="12"/>
  <c r="K6647" i="12"/>
  <c r="I6647" i="12"/>
  <c r="N6646" i="12"/>
  <c r="K6646" i="12"/>
  <c r="I6646" i="12"/>
  <c r="N6645" i="12"/>
  <c r="K6645" i="12"/>
  <c r="I6645" i="12"/>
  <c r="N6644" i="12"/>
  <c r="K6644" i="12"/>
  <c r="I6644" i="12"/>
  <c r="N6643" i="12"/>
  <c r="K6643" i="12"/>
  <c r="I6643" i="12"/>
  <c r="N6642" i="12"/>
  <c r="K6642" i="12"/>
  <c r="I6642" i="12"/>
  <c r="N6641" i="12"/>
  <c r="K6641" i="12"/>
  <c r="I6641" i="12"/>
  <c r="N6640" i="12"/>
  <c r="K6640" i="12"/>
  <c r="I6640" i="12"/>
  <c r="N6639" i="12"/>
  <c r="K6639" i="12"/>
  <c r="I6639" i="12"/>
  <c r="N6638" i="12"/>
  <c r="K6638" i="12"/>
  <c r="I6638" i="12"/>
  <c r="N6637" i="12"/>
  <c r="K6637" i="12"/>
  <c r="I6637" i="12"/>
  <c r="N6636" i="12"/>
  <c r="K6636" i="12"/>
  <c r="I6636" i="12"/>
  <c r="N6635" i="12"/>
  <c r="K6635" i="12"/>
  <c r="I6635" i="12"/>
  <c r="N6634" i="12"/>
  <c r="K6634" i="12"/>
  <c r="I6634" i="12"/>
  <c r="N6633" i="12"/>
  <c r="K6633" i="12"/>
  <c r="I6633" i="12"/>
  <c r="N6632" i="12"/>
  <c r="K6632" i="12"/>
  <c r="I6632" i="12"/>
  <c r="N6631" i="12"/>
  <c r="K6631" i="12"/>
  <c r="I6631" i="12"/>
  <c r="N6630" i="12"/>
  <c r="K6630" i="12"/>
  <c r="I6630" i="12"/>
  <c r="N6629" i="12"/>
  <c r="K6629" i="12"/>
  <c r="I6629" i="12"/>
  <c r="N6628" i="12"/>
  <c r="K6628" i="12"/>
  <c r="I6628" i="12"/>
  <c r="N6627" i="12"/>
  <c r="K6627" i="12"/>
  <c r="I6627" i="12"/>
  <c r="N6626" i="12"/>
  <c r="K6626" i="12"/>
  <c r="I6626" i="12"/>
  <c r="N6625" i="12"/>
  <c r="K6625" i="12"/>
  <c r="I6625" i="12"/>
  <c r="N6624" i="12"/>
  <c r="K6624" i="12"/>
  <c r="I6624" i="12"/>
  <c r="N6623" i="12"/>
  <c r="K6623" i="12"/>
  <c r="I6623" i="12"/>
  <c r="N6622" i="12"/>
  <c r="K6622" i="12"/>
  <c r="I6622" i="12"/>
  <c r="N6621" i="12"/>
  <c r="K6621" i="12"/>
  <c r="I6621" i="12"/>
  <c r="N6620" i="12"/>
  <c r="K6620" i="12"/>
  <c r="I6620" i="12"/>
  <c r="N6619" i="12"/>
  <c r="K6619" i="12"/>
  <c r="I6619" i="12"/>
  <c r="N6618" i="12"/>
  <c r="K6618" i="12"/>
  <c r="I6618" i="12"/>
  <c r="N6617" i="12"/>
  <c r="K6617" i="12"/>
  <c r="I6617" i="12"/>
  <c r="N6616" i="12"/>
  <c r="K6616" i="12"/>
  <c r="I6616" i="12"/>
  <c r="N6615" i="12"/>
  <c r="K6615" i="12"/>
  <c r="I6615" i="12"/>
  <c r="N6614" i="12"/>
  <c r="K6614" i="12"/>
  <c r="I6614" i="12"/>
  <c r="N6613" i="12"/>
  <c r="K6613" i="12"/>
  <c r="I6613" i="12"/>
  <c r="N6612" i="12"/>
  <c r="K6612" i="12"/>
  <c r="I6612" i="12"/>
  <c r="N6611" i="12"/>
  <c r="K6611" i="12"/>
  <c r="I6611" i="12"/>
  <c r="N6610" i="12"/>
  <c r="K6610" i="12"/>
  <c r="I6610" i="12"/>
  <c r="N6609" i="12"/>
  <c r="K6609" i="12"/>
  <c r="I6609" i="12"/>
  <c r="N6608" i="12"/>
  <c r="K6608" i="12"/>
  <c r="I6608" i="12"/>
  <c r="N6607" i="12"/>
  <c r="K6607" i="12"/>
  <c r="I6607" i="12"/>
  <c r="N6606" i="12"/>
  <c r="K6606" i="12"/>
  <c r="I6606" i="12"/>
  <c r="N6605" i="12"/>
  <c r="K6605" i="12"/>
  <c r="I6605" i="12"/>
  <c r="N6604" i="12"/>
  <c r="K6604" i="12"/>
  <c r="I6604" i="12"/>
  <c r="N6603" i="12"/>
  <c r="K6603" i="12"/>
  <c r="I6603" i="12"/>
  <c r="N6602" i="12"/>
  <c r="K6602" i="12"/>
  <c r="I6602" i="12"/>
  <c r="N6601" i="12"/>
  <c r="K6601" i="12"/>
  <c r="I6601" i="12"/>
  <c r="N6600" i="12"/>
  <c r="K6600" i="12"/>
  <c r="I6600" i="12"/>
  <c r="N6599" i="12"/>
  <c r="K6599" i="12"/>
  <c r="I6599" i="12"/>
  <c r="N6598" i="12"/>
  <c r="K6598" i="12"/>
  <c r="I6598" i="12"/>
  <c r="N6597" i="12"/>
  <c r="K6597" i="12"/>
  <c r="I6597" i="12"/>
  <c r="N6596" i="12"/>
  <c r="K6596" i="12"/>
  <c r="I6596" i="12"/>
  <c r="N6595" i="12"/>
  <c r="K6595" i="12"/>
  <c r="I6595" i="12"/>
  <c r="N6594" i="12"/>
  <c r="K6594" i="12"/>
  <c r="I6594" i="12"/>
  <c r="N6593" i="12"/>
  <c r="K6593" i="12"/>
  <c r="I6593" i="12"/>
  <c r="N6592" i="12"/>
  <c r="K6592" i="12"/>
  <c r="I6592" i="12"/>
  <c r="N6591" i="12"/>
  <c r="K6591" i="12"/>
  <c r="I6591" i="12"/>
  <c r="N6590" i="12"/>
  <c r="K6590" i="12"/>
  <c r="I6590" i="12"/>
  <c r="N6589" i="12"/>
  <c r="K6589" i="12"/>
  <c r="I6589" i="12"/>
  <c r="N6588" i="12"/>
  <c r="K6588" i="12"/>
  <c r="I6588" i="12"/>
  <c r="N6587" i="12"/>
  <c r="K6587" i="12"/>
  <c r="I6587" i="12"/>
  <c r="N6586" i="12"/>
  <c r="K6586" i="12"/>
  <c r="I6586" i="12"/>
  <c r="N6585" i="12"/>
  <c r="K6585" i="12"/>
  <c r="I6585" i="12"/>
  <c r="N6584" i="12"/>
  <c r="K6584" i="12"/>
  <c r="I6584" i="12"/>
  <c r="N6583" i="12"/>
  <c r="K6583" i="12"/>
  <c r="I6583" i="12"/>
  <c r="N6582" i="12"/>
  <c r="K6582" i="12"/>
  <c r="I6582" i="12"/>
  <c r="N6581" i="12"/>
  <c r="K6581" i="12"/>
  <c r="I6581" i="12"/>
  <c r="N6580" i="12"/>
  <c r="K6580" i="12"/>
  <c r="I6580" i="12"/>
  <c r="N6579" i="12"/>
  <c r="K6579" i="12"/>
  <c r="I6579" i="12"/>
  <c r="N6578" i="12"/>
  <c r="K6578" i="12"/>
  <c r="I6578" i="12"/>
  <c r="N6577" i="12"/>
  <c r="K6577" i="12"/>
  <c r="I6577" i="12"/>
  <c r="N6576" i="12"/>
  <c r="K6576" i="12"/>
  <c r="I6576" i="12"/>
  <c r="N6575" i="12"/>
  <c r="K6575" i="12"/>
  <c r="I6575" i="12"/>
  <c r="N6574" i="12"/>
  <c r="K6574" i="12"/>
  <c r="I6574" i="12"/>
  <c r="N6573" i="12"/>
  <c r="K6573" i="12"/>
  <c r="I6573" i="12"/>
  <c r="N6572" i="12"/>
  <c r="K6572" i="12"/>
  <c r="I6572" i="12"/>
  <c r="N6571" i="12"/>
  <c r="K6571" i="12"/>
  <c r="I6571" i="12"/>
  <c r="N6570" i="12"/>
  <c r="K6570" i="12"/>
  <c r="I6570" i="12"/>
  <c r="N6569" i="12"/>
  <c r="K6569" i="12"/>
  <c r="I6569" i="12"/>
  <c r="N6568" i="12"/>
  <c r="K6568" i="12"/>
  <c r="I6568" i="12"/>
  <c r="N6567" i="12"/>
  <c r="K6567" i="12"/>
  <c r="I6567" i="12"/>
  <c r="N6566" i="12"/>
  <c r="K6566" i="12"/>
  <c r="I6566" i="12"/>
  <c r="N6565" i="12"/>
  <c r="K6565" i="12"/>
  <c r="I6565" i="12"/>
  <c r="N6564" i="12"/>
  <c r="K6564" i="12"/>
  <c r="I6564" i="12"/>
  <c r="N6563" i="12"/>
  <c r="K6563" i="12"/>
  <c r="I6563" i="12"/>
  <c r="N6562" i="12"/>
  <c r="K6562" i="12"/>
  <c r="I6562" i="12"/>
  <c r="N6561" i="12"/>
  <c r="K6561" i="12"/>
  <c r="I6561" i="12"/>
  <c r="N6560" i="12"/>
  <c r="K6560" i="12"/>
  <c r="I6560" i="12"/>
  <c r="N6559" i="12"/>
  <c r="K6559" i="12"/>
  <c r="I6559" i="12"/>
  <c r="N6558" i="12"/>
  <c r="K6558" i="12"/>
  <c r="I6558" i="12"/>
  <c r="N6557" i="12"/>
  <c r="K6557" i="12"/>
  <c r="I6557" i="12"/>
  <c r="N6556" i="12"/>
  <c r="K6556" i="12"/>
  <c r="I6556" i="12"/>
  <c r="N6555" i="12"/>
  <c r="K6555" i="12"/>
  <c r="I6555" i="12"/>
  <c r="N6554" i="12"/>
  <c r="K6554" i="12"/>
  <c r="I6554" i="12"/>
  <c r="N6553" i="12"/>
  <c r="K6553" i="12"/>
  <c r="I6553" i="12"/>
  <c r="N6552" i="12"/>
  <c r="K6552" i="12"/>
  <c r="I6552" i="12"/>
  <c r="N6551" i="12"/>
  <c r="K6551" i="12"/>
  <c r="I6551" i="12"/>
  <c r="N6550" i="12"/>
  <c r="K6550" i="12"/>
  <c r="I6550" i="12"/>
  <c r="N6549" i="12"/>
  <c r="K6549" i="12"/>
  <c r="I6549" i="12"/>
  <c r="N6548" i="12"/>
  <c r="K6548" i="12"/>
  <c r="I6548" i="12"/>
  <c r="N6547" i="12"/>
  <c r="K6547" i="12"/>
  <c r="I6547" i="12"/>
  <c r="N6546" i="12"/>
  <c r="K6546" i="12"/>
  <c r="I6546" i="12"/>
  <c r="N6545" i="12"/>
  <c r="K6545" i="12"/>
  <c r="I6545" i="12"/>
  <c r="N6544" i="12"/>
  <c r="K6544" i="12"/>
  <c r="I6544" i="12"/>
  <c r="N6543" i="12"/>
  <c r="K6543" i="12"/>
  <c r="I6543" i="12"/>
  <c r="N6542" i="12"/>
  <c r="K6542" i="12"/>
  <c r="I6542" i="12"/>
  <c r="N6541" i="12"/>
  <c r="K6541" i="12"/>
  <c r="I6541" i="12"/>
  <c r="N6540" i="12"/>
  <c r="K6540" i="12"/>
  <c r="I6540" i="12"/>
  <c r="N6539" i="12"/>
  <c r="K6539" i="12"/>
  <c r="I6539" i="12"/>
  <c r="N6538" i="12"/>
  <c r="K6538" i="12"/>
  <c r="I6538" i="12"/>
  <c r="N6537" i="12"/>
  <c r="K6537" i="12"/>
  <c r="I6537" i="12"/>
  <c r="N6536" i="12"/>
  <c r="K6536" i="12"/>
  <c r="I6536" i="12"/>
  <c r="N6535" i="12"/>
  <c r="K6535" i="12"/>
  <c r="I6535" i="12"/>
  <c r="N6534" i="12"/>
  <c r="K6534" i="12"/>
  <c r="I6534" i="12"/>
  <c r="N6533" i="12"/>
  <c r="K6533" i="12"/>
  <c r="I6533" i="12"/>
  <c r="N6532" i="12"/>
  <c r="K6532" i="12"/>
  <c r="I6532" i="12"/>
  <c r="N6531" i="12"/>
  <c r="K6531" i="12"/>
  <c r="I6531" i="12"/>
  <c r="N6530" i="12"/>
  <c r="K6530" i="12"/>
  <c r="I6530" i="12"/>
  <c r="N6529" i="12"/>
  <c r="K6529" i="12"/>
  <c r="I6529" i="12"/>
  <c r="N6528" i="12"/>
  <c r="K6528" i="12"/>
  <c r="I6528" i="12"/>
  <c r="N6527" i="12"/>
  <c r="K6527" i="12"/>
  <c r="I6527" i="12"/>
  <c r="N6526" i="12"/>
  <c r="K6526" i="12"/>
  <c r="I6526" i="12"/>
  <c r="N6525" i="12"/>
  <c r="K6525" i="12"/>
  <c r="I6525" i="12"/>
  <c r="N6524" i="12"/>
  <c r="K6524" i="12"/>
  <c r="I6524" i="12"/>
  <c r="N6523" i="12"/>
  <c r="K6523" i="12"/>
  <c r="I6523" i="12"/>
  <c r="N6522" i="12"/>
  <c r="K6522" i="12"/>
  <c r="I6522" i="12"/>
  <c r="N6521" i="12"/>
  <c r="K6521" i="12"/>
  <c r="I6521" i="12"/>
  <c r="N6520" i="12"/>
  <c r="K6520" i="12"/>
  <c r="I6520" i="12"/>
  <c r="N6519" i="12"/>
  <c r="K6519" i="12"/>
  <c r="I6519" i="12"/>
  <c r="N6518" i="12"/>
  <c r="K6518" i="12"/>
  <c r="I6518" i="12"/>
  <c r="N6517" i="12"/>
  <c r="K6517" i="12"/>
  <c r="I6517" i="12"/>
  <c r="N6516" i="12"/>
  <c r="K6516" i="12"/>
  <c r="I6516" i="12"/>
  <c r="N6515" i="12"/>
  <c r="K6515" i="12"/>
  <c r="I6515" i="12"/>
  <c r="N6514" i="12"/>
  <c r="K6514" i="12"/>
  <c r="I6514" i="12"/>
  <c r="N6513" i="12"/>
  <c r="K6513" i="12"/>
  <c r="I6513" i="12"/>
  <c r="N6512" i="12"/>
  <c r="K6512" i="12"/>
  <c r="I6512" i="12"/>
  <c r="N6511" i="12"/>
  <c r="K6511" i="12"/>
  <c r="I6511" i="12"/>
  <c r="N6510" i="12"/>
  <c r="K6510" i="12"/>
  <c r="I6510" i="12"/>
  <c r="N6509" i="12"/>
  <c r="K6509" i="12"/>
  <c r="I6509" i="12"/>
  <c r="N6508" i="12"/>
  <c r="K6508" i="12"/>
  <c r="I6508" i="12"/>
  <c r="N6507" i="12"/>
  <c r="K6507" i="12"/>
  <c r="I6507" i="12"/>
  <c r="N6506" i="12"/>
  <c r="K6506" i="12"/>
  <c r="I6506" i="12"/>
  <c r="N6505" i="12"/>
  <c r="K6505" i="12"/>
  <c r="I6505" i="12"/>
  <c r="N6504" i="12"/>
  <c r="K6504" i="12"/>
  <c r="I6504" i="12"/>
  <c r="N6503" i="12"/>
  <c r="K6503" i="12"/>
  <c r="I6503" i="12"/>
  <c r="N6502" i="12"/>
  <c r="K6502" i="12"/>
  <c r="I6502" i="12"/>
  <c r="N6501" i="12"/>
  <c r="K6501" i="12"/>
  <c r="I6501" i="12"/>
  <c r="N6500" i="12"/>
  <c r="K6500" i="12"/>
  <c r="I6500" i="12"/>
  <c r="N6499" i="12"/>
  <c r="K6499" i="12"/>
  <c r="I6499" i="12"/>
  <c r="N6498" i="12"/>
  <c r="K6498" i="12"/>
  <c r="I6498" i="12"/>
  <c r="N6497" i="12"/>
  <c r="K6497" i="12"/>
  <c r="I6497" i="12"/>
  <c r="N6496" i="12"/>
  <c r="K6496" i="12"/>
  <c r="I6496" i="12"/>
  <c r="N6495" i="12"/>
  <c r="K6495" i="12"/>
  <c r="I6495" i="12"/>
  <c r="N6494" i="12"/>
  <c r="K6494" i="12"/>
  <c r="I6494" i="12"/>
  <c r="N6493" i="12"/>
  <c r="K6493" i="12"/>
  <c r="I6493" i="12"/>
  <c r="N6492" i="12"/>
  <c r="K6492" i="12"/>
  <c r="I6492" i="12"/>
  <c r="N6491" i="12"/>
  <c r="K6491" i="12"/>
  <c r="I6491" i="12"/>
  <c r="N6490" i="12"/>
  <c r="K6490" i="12"/>
  <c r="I6490" i="12"/>
  <c r="N6489" i="12"/>
  <c r="K6489" i="12"/>
  <c r="I6489" i="12"/>
  <c r="N6488" i="12"/>
  <c r="K6488" i="12"/>
  <c r="I6488" i="12"/>
  <c r="N6487" i="12"/>
  <c r="K6487" i="12"/>
  <c r="I6487" i="12"/>
  <c r="N6486" i="12"/>
  <c r="K6486" i="12"/>
  <c r="I6486" i="12"/>
  <c r="N6485" i="12"/>
  <c r="K6485" i="12"/>
  <c r="I6485" i="12"/>
  <c r="N6484" i="12"/>
  <c r="K6484" i="12"/>
  <c r="I6484" i="12"/>
  <c r="N6483" i="12"/>
  <c r="K6483" i="12"/>
  <c r="I6483" i="12"/>
  <c r="N6482" i="12"/>
  <c r="K6482" i="12"/>
  <c r="I6482" i="12"/>
  <c r="N6481" i="12"/>
  <c r="K6481" i="12"/>
  <c r="I6481" i="12"/>
  <c r="N6480" i="12"/>
  <c r="K6480" i="12"/>
  <c r="I6480" i="12"/>
  <c r="N6479" i="12"/>
  <c r="K6479" i="12"/>
  <c r="I6479" i="12"/>
  <c r="N6478" i="12"/>
  <c r="K6478" i="12"/>
  <c r="I6478" i="12"/>
  <c r="N6477" i="12"/>
  <c r="K6477" i="12"/>
  <c r="I6477" i="12"/>
  <c r="N6476" i="12"/>
  <c r="K6476" i="12"/>
  <c r="I6476" i="12"/>
  <c r="N6475" i="12"/>
  <c r="K6475" i="12"/>
  <c r="I6475" i="12"/>
  <c r="N6474" i="12"/>
  <c r="K6474" i="12"/>
  <c r="I6474" i="12"/>
  <c r="N6473" i="12"/>
  <c r="K6473" i="12"/>
  <c r="I6473" i="12"/>
  <c r="N6472" i="12"/>
  <c r="K6472" i="12"/>
  <c r="I6472" i="12"/>
  <c r="N6471" i="12"/>
  <c r="K6471" i="12"/>
  <c r="I6471" i="12"/>
  <c r="N6470" i="12"/>
  <c r="K6470" i="12"/>
  <c r="I6470" i="12"/>
  <c r="N6469" i="12"/>
  <c r="K6469" i="12"/>
  <c r="I6469" i="12"/>
  <c r="N6468" i="12"/>
  <c r="K6468" i="12"/>
  <c r="I6468" i="12"/>
  <c r="N6467" i="12"/>
  <c r="K6467" i="12"/>
  <c r="I6467" i="12"/>
  <c r="N6466" i="12"/>
  <c r="K6466" i="12"/>
  <c r="I6466" i="12"/>
  <c r="N6465" i="12"/>
  <c r="K6465" i="12"/>
  <c r="I6465" i="12"/>
  <c r="N6464" i="12"/>
  <c r="K6464" i="12"/>
  <c r="I6464" i="12"/>
  <c r="N6463" i="12"/>
  <c r="K6463" i="12"/>
  <c r="I6463" i="12"/>
  <c r="N6462" i="12"/>
  <c r="K6462" i="12"/>
  <c r="I6462" i="12"/>
  <c r="N6461" i="12"/>
  <c r="K6461" i="12"/>
  <c r="I6461" i="12"/>
  <c r="N6460" i="12"/>
  <c r="K6460" i="12"/>
  <c r="I6460" i="12"/>
  <c r="N6459" i="12"/>
  <c r="K6459" i="12"/>
  <c r="I6459" i="12"/>
  <c r="N6458" i="12"/>
  <c r="K6458" i="12"/>
  <c r="I6458" i="12"/>
  <c r="N6457" i="12"/>
  <c r="K6457" i="12"/>
  <c r="I6457" i="12"/>
  <c r="N6456" i="12"/>
  <c r="K6456" i="12"/>
  <c r="I6456" i="12"/>
  <c r="N6455" i="12"/>
  <c r="K6455" i="12"/>
  <c r="I6455" i="12"/>
  <c r="N6454" i="12"/>
  <c r="K6454" i="12"/>
  <c r="I6454" i="12"/>
  <c r="N6453" i="12"/>
  <c r="K6453" i="12"/>
  <c r="I6453" i="12"/>
  <c r="N6452" i="12"/>
  <c r="K6452" i="12"/>
  <c r="I6452" i="12"/>
  <c r="N6451" i="12"/>
  <c r="K6451" i="12"/>
  <c r="I6451" i="12"/>
  <c r="N6450" i="12"/>
  <c r="K6450" i="12"/>
  <c r="I6450" i="12"/>
  <c r="N6449" i="12"/>
  <c r="K6449" i="12"/>
  <c r="I6449" i="12"/>
  <c r="N6448" i="12"/>
  <c r="K6448" i="12"/>
  <c r="I6448" i="12"/>
  <c r="N6447" i="12"/>
  <c r="K6447" i="12"/>
  <c r="I6447" i="12"/>
  <c r="N6446" i="12"/>
  <c r="K6446" i="12"/>
  <c r="I6446" i="12"/>
  <c r="N6445" i="12"/>
  <c r="K6445" i="12"/>
  <c r="I6445" i="12"/>
  <c r="N6444" i="12"/>
  <c r="K6444" i="12"/>
  <c r="I6444" i="12"/>
  <c r="N6443" i="12"/>
  <c r="K6443" i="12"/>
  <c r="I6443" i="12"/>
  <c r="N6442" i="12"/>
  <c r="K6442" i="12"/>
  <c r="I6442" i="12"/>
  <c r="N6441" i="12"/>
  <c r="K6441" i="12"/>
  <c r="I6441" i="12"/>
  <c r="N6440" i="12"/>
  <c r="K6440" i="12"/>
  <c r="I6440" i="12"/>
  <c r="N6439" i="12"/>
  <c r="K6439" i="12"/>
  <c r="I6439" i="12"/>
  <c r="N6438" i="12"/>
  <c r="K6438" i="12"/>
  <c r="I6438" i="12"/>
  <c r="N6437" i="12"/>
  <c r="K6437" i="12"/>
  <c r="I6437" i="12"/>
  <c r="N6436" i="12"/>
  <c r="K6436" i="12"/>
  <c r="I6436" i="12"/>
  <c r="N6435" i="12"/>
  <c r="K6435" i="12"/>
  <c r="I6435" i="12"/>
  <c r="N6434" i="12"/>
  <c r="K6434" i="12"/>
  <c r="I6434" i="12"/>
  <c r="N6433" i="12"/>
  <c r="K6433" i="12"/>
  <c r="I6433" i="12"/>
  <c r="N6432" i="12"/>
  <c r="K6432" i="12"/>
  <c r="I6432" i="12"/>
  <c r="N6431" i="12"/>
  <c r="K6431" i="12"/>
  <c r="I6431" i="12"/>
  <c r="N6430" i="12"/>
  <c r="K6430" i="12"/>
  <c r="I6430" i="12"/>
  <c r="N6429" i="12"/>
  <c r="K6429" i="12"/>
  <c r="I6429" i="12"/>
  <c r="N6428" i="12"/>
  <c r="K6428" i="12"/>
  <c r="I6428" i="12"/>
  <c r="N6427" i="12"/>
  <c r="K6427" i="12"/>
  <c r="I6427" i="12"/>
  <c r="N6426" i="12"/>
  <c r="K6426" i="12"/>
  <c r="I6426" i="12"/>
  <c r="N6425" i="12"/>
  <c r="K6425" i="12"/>
  <c r="I6425" i="12"/>
  <c r="N6424" i="12"/>
  <c r="K6424" i="12"/>
  <c r="I6424" i="12"/>
  <c r="N6423" i="12"/>
  <c r="K6423" i="12"/>
  <c r="I6423" i="12"/>
  <c r="N6422" i="12"/>
  <c r="K6422" i="12"/>
  <c r="I6422" i="12"/>
  <c r="N6421" i="12"/>
  <c r="K6421" i="12"/>
  <c r="I6421" i="12"/>
  <c r="N6420" i="12"/>
  <c r="K6420" i="12"/>
  <c r="I6420" i="12"/>
  <c r="N6419" i="12"/>
  <c r="K6419" i="12"/>
  <c r="I6419" i="12"/>
  <c r="N6418" i="12"/>
  <c r="K6418" i="12"/>
  <c r="I6418" i="12"/>
  <c r="N6417" i="12"/>
  <c r="K6417" i="12"/>
  <c r="I6417" i="12"/>
  <c r="N6416" i="12"/>
  <c r="K6416" i="12"/>
  <c r="I6416" i="12"/>
  <c r="N6415" i="12"/>
  <c r="K6415" i="12"/>
  <c r="I6415" i="12"/>
  <c r="N6414" i="12"/>
  <c r="K6414" i="12"/>
  <c r="I6414" i="12"/>
  <c r="N6413" i="12"/>
  <c r="K6413" i="12"/>
  <c r="I6413" i="12"/>
  <c r="N6412" i="12"/>
  <c r="K6412" i="12"/>
  <c r="I6412" i="12"/>
  <c r="N6411" i="12"/>
  <c r="K6411" i="12"/>
  <c r="I6411" i="12"/>
  <c r="N6410" i="12"/>
  <c r="K6410" i="12"/>
  <c r="I6410" i="12"/>
  <c r="N6409" i="12"/>
  <c r="K6409" i="12"/>
  <c r="I6409" i="12"/>
  <c r="N6408" i="12"/>
  <c r="K6408" i="12"/>
  <c r="I6408" i="12"/>
  <c r="N6407" i="12"/>
  <c r="K6407" i="12"/>
  <c r="I6407" i="12"/>
  <c r="N6406" i="12"/>
  <c r="K6406" i="12"/>
  <c r="I6406" i="12"/>
  <c r="N6405" i="12"/>
  <c r="K6405" i="12"/>
  <c r="I6405" i="12"/>
  <c r="N6404" i="12"/>
  <c r="K6404" i="12"/>
  <c r="I6404" i="12"/>
  <c r="N6403" i="12"/>
  <c r="K6403" i="12"/>
  <c r="I6403" i="12"/>
  <c r="N6402" i="12"/>
  <c r="K6402" i="12"/>
  <c r="I6402" i="12"/>
  <c r="N6401" i="12"/>
  <c r="K6401" i="12"/>
  <c r="I6401" i="12"/>
  <c r="N6400" i="12"/>
  <c r="K6400" i="12"/>
  <c r="I6400" i="12"/>
  <c r="N6399" i="12"/>
  <c r="K6399" i="12"/>
  <c r="I6399" i="12"/>
  <c r="N6398" i="12"/>
  <c r="K6398" i="12"/>
  <c r="I6398" i="12"/>
  <c r="N6397" i="12"/>
  <c r="K6397" i="12"/>
  <c r="I6397" i="12"/>
  <c r="N6396" i="12"/>
  <c r="K6396" i="12"/>
  <c r="I6396" i="12"/>
  <c r="N6395" i="12"/>
  <c r="K6395" i="12"/>
  <c r="I6395" i="12"/>
  <c r="N6394" i="12"/>
  <c r="K6394" i="12"/>
  <c r="I6394" i="12"/>
  <c r="N6393" i="12"/>
  <c r="K6393" i="12"/>
  <c r="I6393" i="12"/>
  <c r="N6392" i="12"/>
  <c r="K6392" i="12"/>
  <c r="I6392" i="12"/>
  <c r="N6391" i="12"/>
  <c r="K6391" i="12"/>
  <c r="I6391" i="12"/>
  <c r="N6390" i="12"/>
  <c r="K6390" i="12"/>
  <c r="I6390" i="12"/>
  <c r="N6389" i="12"/>
  <c r="K6389" i="12"/>
  <c r="I6389" i="12"/>
  <c r="N6388" i="12"/>
  <c r="K6388" i="12"/>
  <c r="I6388" i="12"/>
  <c r="N6387" i="12"/>
  <c r="K6387" i="12"/>
  <c r="I6387" i="12"/>
  <c r="N6386" i="12"/>
  <c r="K6386" i="12"/>
  <c r="I6386" i="12"/>
  <c r="N6385" i="12"/>
  <c r="K6385" i="12"/>
  <c r="I6385" i="12"/>
  <c r="N6384" i="12"/>
  <c r="K6384" i="12"/>
  <c r="I6384" i="12"/>
  <c r="N6383" i="12"/>
  <c r="K6383" i="12"/>
  <c r="I6383" i="12"/>
  <c r="N6382" i="12"/>
  <c r="K6382" i="12"/>
  <c r="I6382" i="12"/>
  <c r="N6381" i="12"/>
  <c r="K6381" i="12"/>
  <c r="I6381" i="12"/>
  <c r="N6380" i="12"/>
  <c r="K6380" i="12"/>
  <c r="I6380" i="12"/>
  <c r="N6379" i="12"/>
  <c r="K6379" i="12"/>
  <c r="I6379" i="12"/>
  <c r="N6378" i="12"/>
  <c r="K6378" i="12"/>
  <c r="I6378" i="12"/>
  <c r="N6377" i="12"/>
  <c r="K6377" i="12"/>
  <c r="I6377" i="12"/>
  <c r="N6376" i="12"/>
  <c r="K6376" i="12"/>
  <c r="I6376" i="12"/>
  <c r="N6375" i="12"/>
  <c r="K6375" i="12"/>
  <c r="I6375" i="12"/>
  <c r="N6374" i="12"/>
  <c r="K6374" i="12"/>
  <c r="I6374" i="12"/>
  <c r="N6373" i="12"/>
  <c r="K6373" i="12"/>
  <c r="I6373" i="12"/>
  <c r="N6372" i="12"/>
  <c r="K6372" i="12"/>
  <c r="I6372" i="12"/>
  <c r="N6371" i="12"/>
  <c r="K6371" i="12"/>
  <c r="I6371" i="12"/>
  <c r="N6370" i="12"/>
  <c r="K6370" i="12"/>
  <c r="I6370" i="12"/>
  <c r="N6369" i="12"/>
  <c r="K6369" i="12"/>
  <c r="I6369" i="12"/>
  <c r="N6368" i="12"/>
  <c r="K6368" i="12"/>
  <c r="I6368" i="12"/>
  <c r="N6367" i="12"/>
  <c r="K6367" i="12"/>
  <c r="I6367" i="12"/>
  <c r="N6366" i="12"/>
  <c r="K6366" i="12"/>
  <c r="I6366" i="12"/>
  <c r="N6365" i="12"/>
  <c r="K6365" i="12"/>
  <c r="I6365" i="12"/>
  <c r="N6364" i="12"/>
  <c r="K6364" i="12"/>
  <c r="I6364" i="12"/>
  <c r="N6363" i="12"/>
  <c r="K6363" i="12"/>
  <c r="I6363" i="12"/>
  <c r="N6362" i="12"/>
  <c r="K6362" i="12"/>
  <c r="I6362" i="12"/>
  <c r="N6361" i="12"/>
  <c r="K6361" i="12"/>
  <c r="I6361" i="12"/>
  <c r="N6360" i="12"/>
  <c r="K6360" i="12"/>
  <c r="I6360" i="12"/>
  <c r="N6359" i="12"/>
  <c r="K6359" i="12"/>
  <c r="I6359" i="12"/>
  <c r="N6358" i="12"/>
  <c r="K6358" i="12"/>
  <c r="I6358" i="12"/>
  <c r="N6357" i="12"/>
  <c r="K6357" i="12"/>
  <c r="I6357" i="12"/>
  <c r="N6356" i="12"/>
  <c r="K6356" i="12"/>
  <c r="I6356" i="12"/>
  <c r="N6355" i="12"/>
  <c r="K6355" i="12"/>
  <c r="I6355" i="12"/>
  <c r="N6354" i="12"/>
  <c r="K6354" i="12"/>
  <c r="I6354" i="12"/>
  <c r="N6353" i="12"/>
  <c r="K6353" i="12"/>
  <c r="I6353" i="12"/>
  <c r="N6352" i="12"/>
  <c r="K6352" i="12"/>
  <c r="I6352" i="12"/>
  <c r="N6351" i="12"/>
  <c r="K6351" i="12"/>
  <c r="I6351" i="12"/>
  <c r="N6350" i="12"/>
  <c r="K6350" i="12"/>
  <c r="I6350" i="12"/>
  <c r="N6349" i="12"/>
  <c r="K6349" i="12"/>
  <c r="I6349" i="12"/>
  <c r="N6348" i="12"/>
  <c r="K6348" i="12"/>
  <c r="I6348" i="12"/>
  <c r="N6347" i="12"/>
  <c r="K6347" i="12"/>
  <c r="I6347" i="12"/>
  <c r="N6346" i="12"/>
  <c r="K6346" i="12"/>
  <c r="I6346" i="12"/>
  <c r="N6345" i="12"/>
  <c r="K6345" i="12"/>
  <c r="I6345" i="12"/>
  <c r="N6344" i="12"/>
  <c r="K6344" i="12"/>
  <c r="I6344" i="12"/>
  <c r="N6343" i="12"/>
  <c r="K6343" i="12"/>
  <c r="I6343" i="12"/>
  <c r="N6342" i="12"/>
  <c r="K6342" i="12"/>
  <c r="I6342" i="12"/>
  <c r="N6341" i="12"/>
  <c r="K6341" i="12"/>
  <c r="I6341" i="12"/>
  <c r="N6340" i="12"/>
  <c r="K6340" i="12"/>
  <c r="I6340" i="12"/>
  <c r="N6339" i="12"/>
  <c r="K6339" i="12"/>
  <c r="I6339" i="12"/>
  <c r="N6338" i="12"/>
  <c r="K6338" i="12"/>
  <c r="I6338" i="12"/>
  <c r="N6337" i="12"/>
  <c r="K6337" i="12"/>
  <c r="I6337" i="12"/>
  <c r="N6336" i="12"/>
  <c r="K6336" i="12"/>
  <c r="I6336" i="12"/>
  <c r="N6335" i="12"/>
  <c r="K6335" i="12"/>
  <c r="I6335" i="12"/>
  <c r="N6334" i="12"/>
  <c r="K6334" i="12"/>
  <c r="I6334" i="12"/>
  <c r="N6333" i="12"/>
  <c r="K6333" i="12"/>
  <c r="I6333" i="12"/>
  <c r="N6332" i="12"/>
  <c r="K6332" i="12"/>
  <c r="I6332" i="12"/>
  <c r="N6331" i="12"/>
  <c r="K6331" i="12"/>
  <c r="I6331" i="12"/>
  <c r="N6330" i="12"/>
  <c r="K6330" i="12"/>
  <c r="I6330" i="12"/>
  <c r="N6329" i="12"/>
  <c r="K6329" i="12"/>
  <c r="I6329" i="12"/>
  <c r="N6328" i="12"/>
  <c r="K6328" i="12"/>
  <c r="I6328" i="12"/>
  <c r="N6327" i="12"/>
  <c r="K6327" i="12"/>
  <c r="I6327" i="12"/>
  <c r="N6326" i="12"/>
  <c r="K6326" i="12"/>
  <c r="I6326" i="12"/>
  <c r="N6325" i="12"/>
  <c r="K6325" i="12"/>
  <c r="I6325" i="12"/>
  <c r="N6324" i="12"/>
  <c r="K6324" i="12"/>
  <c r="I6324" i="12"/>
  <c r="N6323" i="12"/>
  <c r="K6323" i="12"/>
  <c r="I6323" i="12"/>
  <c r="N6322" i="12"/>
  <c r="K6322" i="12"/>
  <c r="I6322" i="12"/>
  <c r="N6321" i="12"/>
  <c r="K6321" i="12"/>
  <c r="I6321" i="12"/>
  <c r="N6320" i="12"/>
  <c r="K6320" i="12"/>
  <c r="I6320" i="12"/>
  <c r="N6319" i="12"/>
  <c r="K6319" i="12"/>
  <c r="I6319" i="12"/>
  <c r="N6318" i="12"/>
  <c r="K6318" i="12"/>
  <c r="I6318" i="12"/>
  <c r="N6317" i="12"/>
  <c r="K6317" i="12"/>
  <c r="I6317" i="12"/>
  <c r="N6316" i="12"/>
  <c r="K6316" i="12"/>
  <c r="I6316" i="12"/>
  <c r="N6315" i="12"/>
  <c r="K6315" i="12"/>
  <c r="I6315" i="12"/>
  <c r="N6314" i="12"/>
  <c r="K6314" i="12"/>
  <c r="I6314" i="12"/>
  <c r="N6313" i="12"/>
  <c r="K6313" i="12"/>
  <c r="I6313" i="12"/>
  <c r="N6312" i="12"/>
  <c r="K6312" i="12"/>
  <c r="I6312" i="12"/>
  <c r="N6311" i="12"/>
  <c r="K6311" i="12"/>
  <c r="I6311" i="12"/>
  <c r="N6310" i="12"/>
  <c r="K6310" i="12"/>
  <c r="I6310" i="12"/>
  <c r="N6309" i="12"/>
  <c r="K6309" i="12"/>
  <c r="I6309" i="12"/>
  <c r="N6308" i="12"/>
  <c r="K6308" i="12"/>
  <c r="I6308" i="12"/>
  <c r="N6307" i="12"/>
  <c r="K6307" i="12"/>
  <c r="I6307" i="12"/>
  <c r="N6306" i="12"/>
  <c r="K6306" i="12"/>
  <c r="I6306" i="12"/>
  <c r="N6305" i="12"/>
  <c r="K6305" i="12"/>
  <c r="I6305" i="12"/>
  <c r="N6304" i="12"/>
  <c r="K6304" i="12"/>
  <c r="I6304" i="12"/>
  <c r="N6303" i="12"/>
  <c r="K6303" i="12"/>
  <c r="I6303" i="12"/>
  <c r="N6302" i="12"/>
  <c r="K6302" i="12"/>
  <c r="I6302" i="12"/>
  <c r="N6301" i="12"/>
  <c r="K6301" i="12"/>
  <c r="I6301" i="12"/>
  <c r="N6300" i="12"/>
  <c r="K6300" i="12"/>
  <c r="I6300" i="12"/>
  <c r="N6299" i="12"/>
  <c r="K6299" i="12"/>
  <c r="I6299" i="12"/>
  <c r="N6298" i="12"/>
  <c r="K6298" i="12"/>
  <c r="I6298" i="12"/>
  <c r="N6297" i="12"/>
  <c r="K6297" i="12"/>
  <c r="I6297" i="12"/>
  <c r="N6296" i="12"/>
  <c r="K6296" i="12"/>
  <c r="I6296" i="12"/>
  <c r="N6295" i="12"/>
  <c r="K6295" i="12"/>
  <c r="I6295" i="12"/>
  <c r="N6294" i="12"/>
  <c r="K6294" i="12"/>
  <c r="I6294" i="12"/>
  <c r="N6293" i="12"/>
  <c r="K6293" i="12"/>
  <c r="I6293" i="12"/>
  <c r="N6292" i="12"/>
  <c r="K6292" i="12"/>
  <c r="I6292" i="12"/>
  <c r="N6291" i="12"/>
  <c r="K6291" i="12"/>
  <c r="I6291" i="12"/>
  <c r="N6290" i="12"/>
  <c r="K6290" i="12"/>
  <c r="I6290" i="12"/>
  <c r="N6289" i="12"/>
  <c r="K6289" i="12"/>
  <c r="I6289" i="12"/>
  <c r="N6288" i="12"/>
  <c r="K6288" i="12"/>
  <c r="I6288" i="12"/>
  <c r="N6287" i="12"/>
  <c r="K6287" i="12"/>
  <c r="I6287" i="12"/>
  <c r="N6286" i="12"/>
  <c r="K6286" i="12"/>
  <c r="I6286" i="12"/>
  <c r="N6285" i="12"/>
  <c r="K6285" i="12"/>
  <c r="I6285" i="12"/>
  <c r="N6284" i="12"/>
  <c r="K6284" i="12"/>
  <c r="I6284" i="12"/>
  <c r="N6283" i="12"/>
  <c r="K6283" i="12"/>
  <c r="I6283" i="12"/>
  <c r="N6282" i="12"/>
  <c r="K6282" i="12"/>
  <c r="I6282" i="12"/>
  <c r="N6281" i="12"/>
  <c r="K6281" i="12"/>
  <c r="I6281" i="12"/>
  <c r="N6280" i="12"/>
  <c r="K6280" i="12"/>
  <c r="I6280" i="12"/>
  <c r="N6279" i="12"/>
  <c r="K6279" i="12"/>
  <c r="I6279" i="12"/>
  <c r="N6278" i="12"/>
  <c r="K6278" i="12"/>
  <c r="I6278" i="12"/>
  <c r="N6277" i="12"/>
  <c r="K6277" i="12"/>
  <c r="I6277" i="12"/>
  <c r="N6276" i="12"/>
  <c r="K6276" i="12"/>
  <c r="I6276" i="12"/>
  <c r="N6275" i="12"/>
  <c r="K6275" i="12"/>
  <c r="I6275" i="12"/>
  <c r="N6274" i="12"/>
  <c r="K6274" i="12"/>
  <c r="I6274" i="12"/>
  <c r="N6273" i="12"/>
  <c r="K6273" i="12"/>
  <c r="I6273" i="12"/>
  <c r="N6272" i="12"/>
  <c r="K6272" i="12"/>
  <c r="I6272" i="12"/>
  <c r="N6271" i="12"/>
  <c r="K6271" i="12"/>
  <c r="I6271" i="12"/>
  <c r="N6270" i="12"/>
  <c r="K6270" i="12"/>
  <c r="I6270" i="12"/>
  <c r="N6269" i="12"/>
  <c r="K6269" i="12"/>
  <c r="I6269" i="12"/>
  <c r="N6268" i="12"/>
  <c r="K6268" i="12"/>
  <c r="I6268" i="12"/>
  <c r="N6267" i="12"/>
  <c r="K6267" i="12"/>
  <c r="I6267" i="12"/>
  <c r="N6266" i="12"/>
  <c r="K6266" i="12"/>
  <c r="I6266" i="12"/>
  <c r="N6265" i="12"/>
  <c r="K6265" i="12"/>
  <c r="I6265" i="12"/>
  <c r="N6264" i="12"/>
  <c r="K6264" i="12"/>
  <c r="I6264" i="12"/>
  <c r="N6263" i="12"/>
  <c r="K6263" i="12"/>
  <c r="I6263" i="12"/>
  <c r="N6262" i="12"/>
  <c r="K6262" i="12"/>
  <c r="I6262" i="12"/>
  <c r="N6261" i="12"/>
  <c r="K6261" i="12"/>
  <c r="I6261" i="12"/>
  <c r="N6260" i="12"/>
  <c r="K6260" i="12"/>
  <c r="I6260" i="12"/>
  <c r="N6259" i="12"/>
  <c r="K6259" i="12"/>
  <c r="I6259" i="12"/>
  <c r="N6258" i="12"/>
  <c r="K6258" i="12"/>
  <c r="I6258" i="12"/>
  <c r="N6257" i="12"/>
  <c r="K6257" i="12"/>
  <c r="I6257" i="12"/>
  <c r="N6256" i="12"/>
  <c r="K6256" i="12"/>
  <c r="I6256" i="12"/>
  <c r="N6255" i="12"/>
  <c r="K6255" i="12"/>
  <c r="I6255" i="12"/>
  <c r="N6254" i="12"/>
  <c r="K6254" i="12"/>
  <c r="I6254" i="12"/>
  <c r="N6253" i="12"/>
  <c r="K6253" i="12"/>
  <c r="I6253" i="12"/>
  <c r="N6252" i="12"/>
  <c r="K6252" i="12"/>
  <c r="I6252" i="12"/>
  <c r="N6251" i="12"/>
  <c r="K6251" i="12"/>
  <c r="I6251" i="12"/>
  <c r="N6250" i="12"/>
  <c r="K6250" i="12"/>
  <c r="I6250" i="12"/>
  <c r="N6249" i="12"/>
  <c r="K6249" i="12"/>
  <c r="I6249" i="12"/>
  <c r="N6248" i="12"/>
  <c r="K6248" i="12"/>
  <c r="I6248" i="12"/>
  <c r="N6247" i="12"/>
  <c r="K6247" i="12"/>
  <c r="I6247" i="12"/>
  <c r="N6246" i="12"/>
  <c r="K6246" i="12"/>
  <c r="I6246" i="12"/>
  <c r="N6245" i="12"/>
  <c r="K6245" i="12"/>
  <c r="I6245" i="12"/>
  <c r="N6244" i="12"/>
  <c r="K6244" i="12"/>
  <c r="I6244" i="12"/>
  <c r="N6243" i="12"/>
  <c r="K6243" i="12"/>
  <c r="I6243" i="12"/>
  <c r="N6242" i="12"/>
  <c r="K6242" i="12"/>
  <c r="I6242" i="12"/>
  <c r="N6241" i="12"/>
  <c r="K6241" i="12"/>
  <c r="I6241" i="12"/>
  <c r="N6240" i="12"/>
  <c r="K6240" i="12"/>
  <c r="I6240" i="12"/>
  <c r="N6239" i="12"/>
  <c r="K6239" i="12"/>
  <c r="I6239" i="12"/>
  <c r="N6238" i="12"/>
  <c r="K6238" i="12"/>
  <c r="I6238" i="12"/>
  <c r="N6237" i="12"/>
  <c r="K6237" i="12"/>
  <c r="I6237" i="12"/>
  <c r="N6236" i="12"/>
  <c r="K6236" i="12"/>
  <c r="I6236" i="12"/>
  <c r="N6235" i="12"/>
  <c r="K6235" i="12"/>
  <c r="I6235" i="12"/>
  <c r="N6234" i="12"/>
  <c r="K6234" i="12"/>
  <c r="I6234" i="12"/>
  <c r="N6233" i="12"/>
  <c r="K6233" i="12"/>
  <c r="I6233" i="12"/>
  <c r="N6232" i="12"/>
  <c r="K6232" i="12"/>
  <c r="I6232" i="12"/>
  <c r="N6231" i="12"/>
  <c r="K6231" i="12"/>
  <c r="I6231" i="12"/>
  <c r="N6230" i="12"/>
  <c r="K6230" i="12"/>
  <c r="I6230" i="12"/>
  <c r="N6229" i="12"/>
  <c r="K6229" i="12"/>
  <c r="I6229" i="12"/>
  <c r="N6228" i="12"/>
  <c r="K6228" i="12"/>
  <c r="I6228" i="12"/>
  <c r="N6227" i="12"/>
  <c r="K6227" i="12"/>
  <c r="I6227" i="12"/>
  <c r="N6226" i="12"/>
  <c r="K6226" i="12"/>
  <c r="I6226" i="12"/>
  <c r="N6225" i="12"/>
  <c r="K6225" i="12"/>
  <c r="I6225" i="12"/>
  <c r="N6224" i="12"/>
  <c r="K6224" i="12"/>
  <c r="I6224" i="12"/>
  <c r="N6223" i="12"/>
  <c r="K6223" i="12"/>
  <c r="I6223" i="12"/>
  <c r="N6222" i="12"/>
  <c r="K6222" i="12"/>
  <c r="I6222" i="12"/>
  <c r="N6221" i="12"/>
  <c r="K6221" i="12"/>
  <c r="I6221" i="12"/>
  <c r="N6220" i="12"/>
  <c r="K6220" i="12"/>
  <c r="I6220" i="12"/>
  <c r="N6219" i="12"/>
  <c r="K6219" i="12"/>
  <c r="I6219" i="12"/>
  <c r="N6218" i="12"/>
  <c r="K6218" i="12"/>
  <c r="I6218" i="12"/>
  <c r="N6217" i="12"/>
  <c r="K6217" i="12"/>
  <c r="I6217" i="12"/>
  <c r="N6216" i="12"/>
  <c r="K6216" i="12"/>
  <c r="I6216" i="12"/>
  <c r="N6215" i="12"/>
  <c r="K6215" i="12"/>
  <c r="I6215" i="12"/>
  <c r="N6214" i="12"/>
  <c r="K6214" i="12"/>
  <c r="I6214" i="12"/>
  <c r="N6213" i="12"/>
  <c r="K6213" i="12"/>
  <c r="I6213" i="12"/>
  <c r="N6212" i="12"/>
  <c r="K6212" i="12"/>
  <c r="I6212" i="12"/>
  <c r="N6211" i="12"/>
  <c r="K6211" i="12"/>
  <c r="I6211" i="12"/>
  <c r="N6210" i="12"/>
  <c r="K6210" i="12"/>
  <c r="I6210" i="12"/>
  <c r="N6209" i="12"/>
  <c r="K6209" i="12"/>
  <c r="I6209" i="12"/>
  <c r="N6208" i="12"/>
  <c r="K6208" i="12"/>
  <c r="I6208" i="12"/>
  <c r="N6207" i="12"/>
  <c r="K6207" i="12"/>
  <c r="I6207" i="12"/>
  <c r="N6206" i="12"/>
  <c r="K6206" i="12"/>
  <c r="I6206" i="12"/>
  <c r="N6205" i="12"/>
  <c r="K6205" i="12"/>
  <c r="I6205" i="12"/>
  <c r="N6204" i="12"/>
  <c r="K6204" i="12"/>
  <c r="I6204" i="12"/>
  <c r="N6203" i="12"/>
  <c r="K6203" i="12"/>
  <c r="I6203" i="12"/>
  <c r="N6202" i="12"/>
  <c r="K6202" i="12"/>
  <c r="I6202" i="12"/>
  <c r="N6201" i="12"/>
  <c r="K6201" i="12"/>
  <c r="I6201" i="12"/>
  <c r="N6200" i="12"/>
  <c r="K6200" i="12"/>
  <c r="I6200" i="12"/>
  <c r="N6199" i="12"/>
  <c r="K6199" i="12"/>
  <c r="I6199" i="12"/>
  <c r="N6198" i="12"/>
  <c r="K6198" i="12"/>
  <c r="I6198" i="12"/>
  <c r="N6197" i="12"/>
  <c r="K6197" i="12"/>
  <c r="I6197" i="12"/>
  <c r="N6196" i="12"/>
  <c r="K6196" i="12"/>
  <c r="I6196" i="12"/>
  <c r="N6195" i="12"/>
  <c r="K6195" i="12"/>
  <c r="I6195" i="12"/>
  <c r="N6194" i="12"/>
  <c r="K6194" i="12"/>
  <c r="I6194" i="12"/>
  <c r="N6193" i="12"/>
  <c r="K6193" i="12"/>
  <c r="I6193" i="12"/>
  <c r="N6192" i="12"/>
  <c r="K6192" i="12"/>
  <c r="I6192" i="12"/>
  <c r="N6191" i="12"/>
  <c r="K6191" i="12"/>
  <c r="I6191" i="12"/>
  <c r="N6190" i="12"/>
  <c r="K6190" i="12"/>
  <c r="I6190" i="12"/>
  <c r="N6189" i="12"/>
  <c r="K6189" i="12"/>
  <c r="I6189" i="12"/>
  <c r="N6188" i="12"/>
  <c r="K6188" i="12"/>
  <c r="I6188" i="12"/>
  <c r="N6187" i="12"/>
  <c r="K6187" i="12"/>
  <c r="I6187" i="12"/>
  <c r="N6186" i="12"/>
  <c r="K6186" i="12"/>
  <c r="I6186" i="12"/>
  <c r="N6185" i="12"/>
  <c r="K6185" i="12"/>
  <c r="I6185" i="12"/>
  <c r="N6184" i="12"/>
  <c r="K6184" i="12"/>
  <c r="I6184" i="12"/>
  <c r="N6183" i="12"/>
  <c r="K6183" i="12"/>
  <c r="I6183" i="12"/>
  <c r="N6182" i="12"/>
  <c r="K6182" i="12"/>
  <c r="I6182" i="12"/>
  <c r="N6181" i="12"/>
  <c r="K6181" i="12"/>
  <c r="I6181" i="12"/>
  <c r="N6180" i="12"/>
  <c r="K6180" i="12"/>
  <c r="I6180" i="12"/>
  <c r="N6179" i="12"/>
  <c r="K6179" i="12"/>
  <c r="I6179" i="12"/>
  <c r="N6178" i="12"/>
  <c r="K6178" i="12"/>
  <c r="I6178" i="12"/>
  <c r="N6177" i="12"/>
  <c r="K6177" i="12"/>
  <c r="I6177" i="12"/>
  <c r="N6176" i="12"/>
  <c r="K6176" i="12"/>
  <c r="I6176" i="12"/>
  <c r="N6175" i="12"/>
  <c r="K6175" i="12"/>
  <c r="I6175" i="12"/>
  <c r="N6174" i="12"/>
  <c r="K6174" i="12"/>
  <c r="I6174" i="12"/>
  <c r="N6173" i="12"/>
  <c r="K6173" i="12"/>
  <c r="I6173" i="12"/>
  <c r="N6172" i="12"/>
  <c r="K6172" i="12"/>
  <c r="I6172" i="12"/>
  <c r="N6171" i="12"/>
  <c r="K6171" i="12"/>
  <c r="I6171" i="12"/>
  <c r="N6170" i="12"/>
  <c r="K6170" i="12"/>
  <c r="I6170" i="12"/>
  <c r="N6169" i="12"/>
  <c r="K6169" i="12"/>
  <c r="I6169" i="12"/>
  <c r="N6168" i="12"/>
  <c r="K6168" i="12"/>
  <c r="I6168" i="12"/>
  <c r="N6167" i="12"/>
  <c r="K6167" i="12"/>
  <c r="I6167" i="12"/>
  <c r="N6166" i="12"/>
  <c r="K6166" i="12"/>
  <c r="I6166" i="12"/>
  <c r="N6165" i="12"/>
  <c r="K6165" i="12"/>
  <c r="I6165" i="12"/>
  <c r="N6164" i="12"/>
  <c r="K6164" i="12"/>
  <c r="I6164" i="12"/>
  <c r="N6163" i="12"/>
  <c r="K6163" i="12"/>
  <c r="I6163" i="12"/>
  <c r="N6162" i="12"/>
  <c r="K6162" i="12"/>
  <c r="I6162" i="12"/>
  <c r="N6161" i="12"/>
  <c r="K6161" i="12"/>
  <c r="I6161" i="12"/>
  <c r="N6160" i="12"/>
  <c r="K6160" i="12"/>
  <c r="I6160" i="12"/>
  <c r="N6159" i="12"/>
  <c r="K6159" i="12"/>
  <c r="I6159" i="12"/>
  <c r="N6158" i="12"/>
  <c r="K6158" i="12"/>
  <c r="I6158" i="12"/>
  <c r="N6157" i="12"/>
  <c r="K6157" i="12"/>
  <c r="I6157" i="12"/>
  <c r="N6156" i="12"/>
  <c r="K6156" i="12"/>
  <c r="I6156" i="12"/>
  <c r="N6155" i="12"/>
  <c r="K6155" i="12"/>
  <c r="I6155" i="12"/>
  <c r="N6154" i="12"/>
  <c r="K6154" i="12"/>
  <c r="I6154" i="12"/>
  <c r="N6153" i="12"/>
  <c r="K6153" i="12"/>
  <c r="I6153" i="12"/>
  <c r="N6152" i="12"/>
  <c r="K6152" i="12"/>
  <c r="I6152" i="12"/>
  <c r="N6151" i="12"/>
  <c r="K6151" i="12"/>
  <c r="I6151" i="12"/>
  <c r="N6150" i="12"/>
  <c r="K6150" i="12"/>
  <c r="I6150" i="12"/>
  <c r="N6149" i="12"/>
  <c r="K6149" i="12"/>
  <c r="I6149" i="12"/>
  <c r="N6148" i="12"/>
  <c r="K6148" i="12"/>
  <c r="I6148" i="12"/>
  <c r="N6147" i="12"/>
  <c r="K6147" i="12"/>
  <c r="I6147" i="12"/>
  <c r="N6146" i="12"/>
  <c r="K6146" i="12"/>
  <c r="I6146" i="12"/>
  <c r="N6145" i="12"/>
  <c r="K6145" i="12"/>
  <c r="I6145" i="12"/>
  <c r="N6144" i="12"/>
  <c r="K6144" i="12"/>
  <c r="I6144" i="12"/>
  <c r="N6143" i="12"/>
  <c r="K6143" i="12"/>
  <c r="I6143" i="12"/>
  <c r="N6142" i="12"/>
  <c r="K6142" i="12"/>
  <c r="I6142" i="12"/>
  <c r="N6141" i="12"/>
  <c r="K6141" i="12"/>
  <c r="I6141" i="12"/>
  <c r="N6140" i="12"/>
  <c r="K6140" i="12"/>
  <c r="I6140" i="12"/>
  <c r="N6139" i="12"/>
  <c r="K6139" i="12"/>
  <c r="I6139" i="12"/>
  <c r="N6138" i="12"/>
  <c r="K6138" i="12"/>
  <c r="I6138" i="12"/>
  <c r="N6137" i="12"/>
  <c r="K6137" i="12"/>
  <c r="I6137" i="12"/>
  <c r="N6136" i="12"/>
  <c r="K6136" i="12"/>
  <c r="I6136" i="12"/>
  <c r="N6135" i="12"/>
  <c r="K6135" i="12"/>
  <c r="I6135" i="12"/>
  <c r="N6134" i="12"/>
  <c r="K6134" i="12"/>
  <c r="I6134" i="12"/>
  <c r="N6133" i="12"/>
  <c r="K6133" i="12"/>
  <c r="I6133" i="12"/>
  <c r="N6132" i="12"/>
  <c r="K6132" i="12"/>
  <c r="I6132" i="12"/>
  <c r="N6131" i="12"/>
  <c r="K6131" i="12"/>
  <c r="I6131" i="12"/>
  <c r="N6130" i="12"/>
  <c r="K6130" i="12"/>
  <c r="I6130" i="12"/>
  <c r="N6129" i="12"/>
  <c r="K6129" i="12"/>
  <c r="I6129" i="12"/>
  <c r="N6128" i="12"/>
  <c r="K6128" i="12"/>
  <c r="I6128" i="12"/>
  <c r="N6127" i="12"/>
  <c r="K6127" i="12"/>
  <c r="I6127" i="12"/>
  <c r="N6126" i="12"/>
  <c r="K6126" i="12"/>
  <c r="I6126" i="12"/>
  <c r="N6125" i="12"/>
  <c r="K6125" i="12"/>
  <c r="I6125" i="12"/>
  <c r="N6124" i="12"/>
  <c r="K6124" i="12"/>
  <c r="I6124" i="12"/>
  <c r="N6123" i="12"/>
  <c r="K6123" i="12"/>
  <c r="I6123" i="12"/>
  <c r="N6122" i="12"/>
  <c r="K6122" i="12"/>
  <c r="I6122" i="12"/>
  <c r="N6121" i="12"/>
  <c r="K6121" i="12"/>
  <c r="I6121" i="12"/>
  <c r="N6120" i="12"/>
  <c r="K6120" i="12"/>
  <c r="I6120" i="12"/>
  <c r="N6119" i="12"/>
  <c r="K6119" i="12"/>
  <c r="I6119" i="12"/>
  <c r="N6118" i="12"/>
  <c r="K6118" i="12"/>
  <c r="I6118" i="12"/>
  <c r="N6117" i="12"/>
  <c r="K6117" i="12"/>
  <c r="I6117" i="12"/>
  <c r="N6116" i="12"/>
  <c r="K6116" i="12"/>
  <c r="I6116" i="12"/>
  <c r="N6115" i="12"/>
  <c r="K6115" i="12"/>
  <c r="I6115" i="12"/>
  <c r="N6114" i="12"/>
  <c r="K6114" i="12"/>
  <c r="I6114" i="12"/>
  <c r="N6113" i="12"/>
  <c r="K6113" i="12"/>
  <c r="I6113" i="12"/>
  <c r="N6112" i="12"/>
  <c r="K6112" i="12"/>
  <c r="I6112" i="12"/>
  <c r="N6111" i="12"/>
  <c r="K6111" i="12"/>
  <c r="I6111" i="12"/>
  <c r="N6110" i="12"/>
  <c r="K6110" i="12"/>
  <c r="I6110" i="12"/>
  <c r="N6109" i="12"/>
  <c r="K6109" i="12"/>
  <c r="I6109" i="12"/>
  <c r="N6108" i="12"/>
  <c r="K6108" i="12"/>
  <c r="I6108" i="12"/>
  <c r="N6107" i="12"/>
  <c r="K6107" i="12"/>
  <c r="I6107" i="12"/>
  <c r="N6106" i="12"/>
  <c r="K6106" i="12"/>
  <c r="I6106" i="12"/>
  <c r="N6105" i="12"/>
  <c r="K6105" i="12"/>
  <c r="I6105" i="12"/>
  <c r="N6104" i="12"/>
  <c r="K6104" i="12"/>
  <c r="I6104" i="12"/>
  <c r="N6103" i="12"/>
  <c r="K6103" i="12"/>
  <c r="I6103" i="12"/>
  <c r="N6102" i="12"/>
  <c r="K6102" i="12"/>
  <c r="I6102" i="12"/>
  <c r="N6101" i="12"/>
  <c r="K6101" i="12"/>
  <c r="I6101" i="12"/>
  <c r="N6100" i="12"/>
  <c r="K6100" i="12"/>
  <c r="I6100" i="12"/>
  <c r="N6099" i="12"/>
  <c r="K6099" i="12"/>
  <c r="I6099" i="12"/>
  <c r="N6098" i="12"/>
  <c r="K6098" i="12"/>
  <c r="I6098" i="12"/>
  <c r="N6097" i="12"/>
  <c r="K6097" i="12"/>
  <c r="I6097" i="12"/>
  <c r="N6096" i="12"/>
  <c r="K6096" i="12"/>
  <c r="I6096" i="12"/>
  <c r="N6095" i="12"/>
  <c r="K6095" i="12"/>
  <c r="I6095" i="12"/>
  <c r="N6094" i="12"/>
  <c r="K6094" i="12"/>
  <c r="I6094" i="12"/>
  <c r="N6093" i="12"/>
  <c r="K6093" i="12"/>
  <c r="I6093" i="12"/>
  <c r="N6092" i="12"/>
  <c r="K6092" i="12"/>
  <c r="I6092" i="12"/>
  <c r="N6091" i="12"/>
  <c r="K6091" i="12"/>
  <c r="I6091" i="12"/>
  <c r="N6090" i="12"/>
  <c r="K6090" i="12"/>
  <c r="I6090" i="12"/>
  <c r="N6089" i="12"/>
  <c r="K6089" i="12"/>
  <c r="I6089" i="12"/>
  <c r="N6088" i="12"/>
  <c r="K6088" i="12"/>
  <c r="I6088" i="12"/>
  <c r="N6087" i="12"/>
  <c r="K6087" i="12"/>
  <c r="I6087" i="12"/>
  <c r="N6086" i="12"/>
  <c r="K6086" i="12"/>
  <c r="I6086" i="12"/>
  <c r="N6085" i="12"/>
  <c r="K6085" i="12"/>
  <c r="I6085" i="12"/>
  <c r="N6084" i="12"/>
  <c r="K6084" i="12"/>
  <c r="I6084" i="12"/>
  <c r="N6083" i="12"/>
  <c r="K6083" i="12"/>
  <c r="I6083" i="12"/>
  <c r="N6082" i="12"/>
  <c r="K6082" i="12"/>
  <c r="I6082" i="12"/>
  <c r="N6081" i="12"/>
  <c r="K6081" i="12"/>
  <c r="I6081" i="12"/>
  <c r="N6080" i="12"/>
  <c r="K6080" i="12"/>
  <c r="I6080" i="12"/>
  <c r="N6079" i="12"/>
  <c r="K6079" i="12"/>
  <c r="I6079" i="12"/>
  <c r="N6078" i="12"/>
  <c r="K6078" i="12"/>
  <c r="I6078" i="12"/>
  <c r="N6077" i="12"/>
  <c r="K6077" i="12"/>
  <c r="I6077" i="12"/>
  <c r="N6076" i="12"/>
  <c r="K6076" i="12"/>
  <c r="I6076" i="12"/>
  <c r="N6075" i="12"/>
  <c r="K6075" i="12"/>
  <c r="I6075" i="12"/>
  <c r="N6074" i="12"/>
  <c r="K6074" i="12"/>
  <c r="I6074" i="12"/>
  <c r="N6073" i="12"/>
  <c r="K6073" i="12"/>
  <c r="I6073" i="12"/>
  <c r="N6072" i="12"/>
  <c r="K6072" i="12"/>
  <c r="I6072" i="12"/>
  <c r="N6071" i="12"/>
  <c r="K6071" i="12"/>
  <c r="I6071" i="12"/>
  <c r="N6070" i="12"/>
  <c r="K6070" i="12"/>
  <c r="I6070" i="12"/>
  <c r="N6069" i="12"/>
  <c r="K6069" i="12"/>
  <c r="I6069" i="12"/>
  <c r="N6068" i="12"/>
  <c r="K6068" i="12"/>
  <c r="I6068" i="12"/>
  <c r="N6067" i="12"/>
  <c r="K6067" i="12"/>
  <c r="I6067" i="12"/>
  <c r="N6066" i="12"/>
  <c r="K6066" i="12"/>
  <c r="I6066" i="12"/>
  <c r="N6065" i="12"/>
  <c r="K6065" i="12"/>
  <c r="I6065" i="12"/>
  <c r="N6064" i="12"/>
  <c r="K6064" i="12"/>
  <c r="I6064" i="12"/>
  <c r="N6063" i="12"/>
  <c r="K6063" i="12"/>
  <c r="I6063" i="12"/>
  <c r="N6062" i="12"/>
  <c r="K6062" i="12"/>
  <c r="I6062" i="12"/>
  <c r="N6061" i="12"/>
  <c r="K6061" i="12"/>
  <c r="I6061" i="12"/>
  <c r="N6060" i="12"/>
  <c r="K6060" i="12"/>
  <c r="I6060" i="12"/>
  <c r="N6059" i="12"/>
  <c r="K6059" i="12"/>
  <c r="I6059" i="12"/>
  <c r="N6058" i="12"/>
  <c r="K6058" i="12"/>
  <c r="I6058" i="12"/>
  <c r="N6057" i="12"/>
  <c r="K6057" i="12"/>
  <c r="I6057" i="12"/>
  <c r="N6056" i="12"/>
  <c r="K6056" i="12"/>
  <c r="I6056" i="12"/>
  <c r="N6055" i="12"/>
  <c r="K6055" i="12"/>
  <c r="I6055" i="12"/>
  <c r="N6054" i="12"/>
  <c r="K6054" i="12"/>
  <c r="I6054" i="12"/>
  <c r="N6053" i="12"/>
  <c r="K6053" i="12"/>
  <c r="I6053" i="12"/>
  <c r="N6052" i="12"/>
  <c r="K6052" i="12"/>
  <c r="I6052" i="12"/>
  <c r="N6051" i="12"/>
  <c r="K6051" i="12"/>
  <c r="I6051" i="12"/>
  <c r="N6050" i="12"/>
  <c r="K6050" i="12"/>
  <c r="I6050" i="12"/>
  <c r="N6049" i="12"/>
  <c r="K6049" i="12"/>
  <c r="I6049" i="12"/>
  <c r="N6048" i="12"/>
  <c r="K6048" i="12"/>
  <c r="I6048" i="12"/>
  <c r="N6047" i="12"/>
  <c r="K6047" i="12"/>
  <c r="I6047" i="12"/>
  <c r="N6046" i="12"/>
  <c r="K6046" i="12"/>
  <c r="I6046" i="12"/>
  <c r="N6045" i="12"/>
  <c r="K6045" i="12"/>
  <c r="I6045" i="12"/>
  <c r="N6044" i="12"/>
  <c r="K6044" i="12"/>
  <c r="I6044" i="12"/>
  <c r="N6043" i="12"/>
  <c r="K6043" i="12"/>
  <c r="I6043" i="12"/>
  <c r="N6042" i="12"/>
  <c r="K6042" i="12"/>
  <c r="I6042" i="12"/>
  <c r="N6041" i="12"/>
  <c r="K6041" i="12"/>
  <c r="I6041" i="12"/>
  <c r="N6040" i="12"/>
  <c r="K6040" i="12"/>
  <c r="I6040" i="12"/>
  <c r="N6039" i="12"/>
  <c r="K6039" i="12"/>
  <c r="I6039" i="12"/>
  <c r="N6038" i="12"/>
  <c r="K6038" i="12"/>
  <c r="I6038" i="12"/>
  <c r="N6037" i="12"/>
  <c r="K6037" i="12"/>
  <c r="I6037" i="12"/>
  <c r="N6036" i="12"/>
  <c r="K6036" i="12"/>
  <c r="I6036" i="12"/>
  <c r="N6035" i="12"/>
  <c r="K6035" i="12"/>
  <c r="I6035" i="12"/>
  <c r="N6034" i="12"/>
  <c r="K6034" i="12"/>
  <c r="I6034" i="12"/>
  <c r="N6033" i="12"/>
  <c r="K6033" i="12"/>
  <c r="I6033" i="12"/>
  <c r="N6032" i="12"/>
  <c r="K6032" i="12"/>
  <c r="I6032" i="12"/>
  <c r="N6031" i="12"/>
  <c r="K6031" i="12"/>
  <c r="I6031" i="12"/>
  <c r="N6030" i="12"/>
  <c r="K6030" i="12"/>
  <c r="I6030" i="12"/>
  <c r="N6029" i="12"/>
  <c r="K6029" i="12"/>
  <c r="I6029" i="12"/>
  <c r="N6028" i="12"/>
  <c r="K6028" i="12"/>
  <c r="I6028" i="12"/>
  <c r="N6027" i="12"/>
  <c r="K6027" i="12"/>
  <c r="I6027" i="12"/>
  <c r="N6026" i="12"/>
  <c r="K6026" i="12"/>
  <c r="I6026" i="12"/>
  <c r="N6025" i="12"/>
  <c r="K6025" i="12"/>
  <c r="I6025" i="12"/>
  <c r="N6024" i="12"/>
  <c r="K6024" i="12"/>
  <c r="I6024" i="12"/>
  <c r="N6023" i="12"/>
  <c r="K6023" i="12"/>
  <c r="I6023" i="12"/>
  <c r="N6022" i="12"/>
  <c r="K6022" i="12"/>
  <c r="I6022" i="12"/>
  <c r="N6021" i="12"/>
  <c r="K6021" i="12"/>
  <c r="I6021" i="12"/>
  <c r="N6020" i="12"/>
  <c r="K6020" i="12"/>
  <c r="I6020" i="12"/>
  <c r="N6019" i="12"/>
  <c r="K6019" i="12"/>
  <c r="I6019" i="12"/>
  <c r="N6018" i="12"/>
  <c r="K6018" i="12"/>
  <c r="I6018" i="12"/>
  <c r="N6017" i="12"/>
  <c r="K6017" i="12"/>
  <c r="I6017" i="12"/>
  <c r="N6016" i="12"/>
  <c r="K6016" i="12"/>
  <c r="I6016" i="12"/>
  <c r="N6015" i="12"/>
  <c r="K6015" i="12"/>
  <c r="I6015" i="12"/>
  <c r="N6014" i="12"/>
  <c r="K6014" i="12"/>
  <c r="I6014" i="12"/>
  <c r="N6013" i="12"/>
  <c r="K6013" i="12"/>
  <c r="I6013" i="12"/>
  <c r="N6012" i="12"/>
  <c r="K6012" i="12"/>
  <c r="I6012" i="12"/>
  <c r="N6011" i="12"/>
  <c r="K6011" i="12"/>
  <c r="I6011" i="12"/>
  <c r="N6010" i="12"/>
  <c r="K6010" i="12"/>
  <c r="I6010" i="12"/>
  <c r="N6009" i="12"/>
  <c r="K6009" i="12"/>
  <c r="I6009" i="12"/>
  <c r="N6008" i="12"/>
  <c r="K6008" i="12"/>
  <c r="I6008" i="12"/>
  <c r="N6007" i="12"/>
  <c r="K6007" i="12"/>
  <c r="I6007" i="12"/>
  <c r="N6006" i="12"/>
  <c r="K6006" i="12"/>
  <c r="I6006" i="12"/>
  <c r="N6005" i="12"/>
  <c r="K6005" i="12"/>
  <c r="I6005" i="12"/>
  <c r="N6004" i="12"/>
  <c r="K6004" i="12"/>
  <c r="I6004" i="12"/>
  <c r="N6003" i="12"/>
  <c r="K6003" i="12"/>
  <c r="I6003" i="12"/>
  <c r="N6002" i="12"/>
  <c r="K6002" i="12"/>
  <c r="I6002" i="12"/>
  <c r="N6001" i="12"/>
  <c r="K6001" i="12"/>
  <c r="I6001" i="12"/>
  <c r="N6000" i="12"/>
  <c r="K6000" i="12"/>
  <c r="I6000" i="12"/>
  <c r="N5999" i="12"/>
  <c r="K5999" i="12"/>
  <c r="I5999" i="12"/>
  <c r="N5998" i="12"/>
  <c r="K5998" i="12"/>
  <c r="I5998" i="12"/>
  <c r="N5997" i="12"/>
  <c r="K5997" i="12"/>
  <c r="I5997" i="12"/>
  <c r="N5996" i="12"/>
  <c r="K5996" i="12"/>
  <c r="I5996" i="12"/>
  <c r="N5995" i="12"/>
  <c r="K5995" i="12"/>
  <c r="I5995" i="12"/>
  <c r="N5994" i="12"/>
  <c r="K5994" i="12"/>
  <c r="I5994" i="12"/>
  <c r="N5993" i="12"/>
  <c r="K5993" i="12"/>
  <c r="I5993" i="12"/>
  <c r="N5992" i="12"/>
  <c r="K5992" i="12"/>
  <c r="I5992" i="12"/>
  <c r="N5991" i="12"/>
  <c r="K5991" i="12"/>
  <c r="I5991" i="12"/>
  <c r="N5990" i="12"/>
  <c r="K5990" i="12"/>
  <c r="I5990" i="12"/>
  <c r="N5989" i="12"/>
  <c r="K5989" i="12"/>
  <c r="I5989" i="12"/>
  <c r="N5988" i="12"/>
  <c r="K5988" i="12"/>
  <c r="I5988" i="12"/>
  <c r="N5987" i="12"/>
  <c r="K5987" i="12"/>
  <c r="I5987" i="12"/>
  <c r="N5986" i="12"/>
  <c r="K5986" i="12"/>
  <c r="I5986" i="12"/>
  <c r="N5985" i="12"/>
  <c r="K5985" i="12"/>
  <c r="I5985" i="12"/>
  <c r="N5984" i="12"/>
  <c r="K5984" i="12"/>
  <c r="I5984" i="12"/>
  <c r="N5983" i="12"/>
  <c r="K5983" i="12"/>
  <c r="I5983" i="12"/>
  <c r="N5982" i="12"/>
  <c r="K5982" i="12"/>
  <c r="I5982" i="12"/>
  <c r="N5981" i="12"/>
  <c r="K5981" i="12"/>
  <c r="I5981" i="12"/>
  <c r="N5980" i="12"/>
  <c r="K5980" i="12"/>
  <c r="I5980" i="12"/>
  <c r="N5979" i="12"/>
  <c r="K5979" i="12"/>
  <c r="I5979" i="12"/>
  <c r="N5978" i="12"/>
  <c r="K5978" i="12"/>
  <c r="I5978" i="12"/>
  <c r="N5977" i="12"/>
  <c r="K5977" i="12"/>
  <c r="I5977" i="12"/>
  <c r="N5976" i="12"/>
  <c r="K5976" i="12"/>
  <c r="I5976" i="12"/>
  <c r="N5975" i="12"/>
  <c r="K5975" i="12"/>
  <c r="I5975" i="12"/>
  <c r="N5974" i="12"/>
  <c r="K5974" i="12"/>
  <c r="I5974" i="12"/>
  <c r="N5973" i="12"/>
  <c r="K5973" i="12"/>
  <c r="I5973" i="12"/>
  <c r="N5972" i="12"/>
  <c r="K5972" i="12"/>
  <c r="I5972" i="12"/>
  <c r="N5971" i="12"/>
  <c r="K5971" i="12"/>
  <c r="I5971" i="12"/>
  <c r="N5970" i="12"/>
  <c r="K5970" i="12"/>
  <c r="I5970" i="12"/>
  <c r="N5969" i="12"/>
  <c r="K5969" i="12"/>
  <c r="I5969" i="12"/>
  <c r="N5968" i="12"/>
  <c r="K5968" i="12"/>
  <c r="I5968" i="12"/>
  <c r="N5967" i="12"/>
  <c r="K5967" i="12"/>
  <c r="I5967" i="12"/>
  <c r="N5966" i="12"/>
  <c r="K5966" i="12"/>
  <c r="I5966" i="12"/>
  <c r="N5965" i="12"/>
  <c r="K5965" i="12"/>
  <c r="I5965" i="12"/>
  <c r="N5964" i="12"/>
  <c r="K5964" i="12"/>
  <c r="I5964" i="12"/>
  <c r="N5963" i="12"/>
  <c r="K5963" i="12"/>
  <c r="I5963" i="12"/>
  <c r="N5962" i="12"/>
  <c r="K5962" i="12"/>
  <c r="I5962" i="12"/>
  <c r="N5961" i="12"/>
  <c r="K5961" i="12"/>
  <c r="I5961" i="12"/>
  <c r="N5960" i="12"/>
  <c r="K5960" i="12"/>
  <c r="I5960" i="12"/>
  <c r="N5959" i="12"/>
  <c r="K5959" i="12"/>
  <c r="I5959" i="12"/>
  <c r="N5958" i="12"/>
  <c r="K5958" i="12"/>
  <c r="I5958" i="12"/>
  <c r="N5957" i="12"/>
  <c r="K5957" i="12"/>
  <c r="I5957" i="12"/>
  <c r="N5956" i="12"/>
  <c r="K5956" i="12"/>
  <c r="I5956" i="12"/>
  <c r="N5955" i="12"/>
  <c r="K5955" i="12"/>
  <c r="I5955" i="12"/>
  <c r="N5954" i="12"/>
  <c r="K5954" i="12"/>
  <c r="I5954" i="12"/>
  <c r="N5953" i="12"/>
  <c r="K5953" i="12"/>
  <c r="I5953" i="12"/>
  <c r="N5952" i="12"/>
  <c r="K5952" i="12"/>
  <c r="I5952" i="12"/>
  <c r="N5951" i="12"/>
  <c r="K5951" i="12"/>
  <c r="I5951" i="12"/>
  <c r="N5950" i="12"/>
  <c r="K5950" i="12"/>
  <c r="I5950" i="12"/>
  <c r="N5949" i="12"/>
  <c r="K5949" i="12"/>
  <c r="I5949" i="12"/>
  <c r="N5948" i="12"/>
  <c r="K5948" i="12"/>
  <c r="I5948" i="12"/>
  <c r="N5947" i="12"/>
  <c r="K5947" i="12"/>
  <c r="I5947" i="12"/>
  <c r="N5946" i="12"/>
  <c r="K5946" i="12"/>
  <c r="I5946" i="12"/>
  <c r="N5945" i="12"/>
  <c r="K5945" i="12"/>
  <c r="I5945" i="12"/>
  <c r="N5944" i="12"/>
  <c r="K5944" i="12"/>
  <c r="I5944" i="12"/>
  <c r="N5943" i="12"/>
  <c r="K5943" i="12"/>
  <c r="I5943" i="12"/>
  <c r="N5942" i="12"/>
  <c r="K5942" i="12"/>
  <c r="I5942" i="12"/>
  <c r="N5941" i="12"/>
  <c r="K5941" i="12"/>
  <c r="I5941" i="12"/>
  <c r="N5940" i="12"/>
  <c r="K5940" i="12"/>
  <c r="I5940" i="12"/>
  <c r="N5939" i="12"/>
  <c r="K5939" i="12"/>
  <c r="I5939" i="12"/>
  <c r="N5938" i="12"/>
  <c r="K5938" i="12"/>
  <c r="I5938" i="12"/>
  <c r="N5937" i="12"/>
  <c r="K5937" i="12"/>
  <c r="I5937" i="12"/>
  <c r="N5936" i="12"/>
  <c r="K5936" i="12"/>
  <c r="I5936" i="12"/>
  <c r="N5935" i="12"/>
  <c r="K5935" i="12"/>
  <c r="I5935" i="12"/>
  <c r="N5934" i="12"/>
  <c r="K5934" i="12"/>
  <c r="I5934" i="12"/>
  <c r="N5933" i="12"/>
  <c r="K5933" i="12"/>
  <c r="I5933" i="12"/>
  <c r="N5932" i="12"/>
  <c r="K5932" i="12"/>
  <c r="I5932" i="12"/>
  <c r="N5931" i="12"/>
  <c r="K5931" i="12"/>
  <c r="I5931" i="12"/>
  <c r="N5930" i="12"/>
  <c r="K5930" i="12"/>
  <c r="I5930" i="12"/>
  <c r="N5929" i="12"/>
  <c r="K5929" i="12"/>
  <c r="I5929" i="12"/>
  <c r="N5928" i="12"/>
  <c r="K5928" i="12"/>
  <c r="I5928" i="12"/>
  <c r="N5927" i="12"/>
  <c r="K5927" i="12"/>
  <c r="I5927" i="12"/>
  <c r="N5926" i="12"/>
  <c r="K5926" i="12"/>
  <c r="I5926" i="12"/>
  <c r="N5925" i="12"/>
  <c r="K5925" i="12"/>
  <c r="I5925" i="12"/>
  <c r="N5924" i="12"/>
  <c r="K5924" i="12"/>
  <c r="I5924" i="12"/>
  <c r="N5923" i="12"/>
  <c r="K5923" i="12"/>
  <c r="I5923" i="12"/>
  <c r="N5922" i="12"/>
  <c r="K5922" i="12"/>
  <c r="I5922" i="12"/>
  <c r="N5921" i="12"/>
  <c r="K5921" i="12"/>
  <c r="I5921" i="12"/>
  <c r="N5920" i="12"/>
  <c r="K5920" i="12"/>
  <c r="I5920" i="12"/>
  <c r="N5919" i="12"/>
  <c r="K5919" i="12"/>
  <c r="I5919" i="12"/>
  <c r="N5918" i="12"/>
  <c r="K5918" i="12"/>
  <c r="I5918" i="12"/>
  <c r="N5917" i="12"/>
  <c r="K5917" i="12"/>
  <c r="I5917" i="12"/>
  <c r="N5916" i="12"/>
  <c r="K5916" i="12"/>
  <c r="I5916" i="12"/>
  <c r="N5915" i="12"/>
  <c r="K5915" i="12"/>
  <c r="I5915" i="12"/>
  <c r="N5914" i="12"/>
  <c r="K5914" i="12"/>
  <c r="I5914" i="12"/>
  <c r="N5913" i="12"/>
  <c r="K5913" i="12"/>
  <c r="I5913" i="12"/>
  <c r="N5912" i="12"/>
  <c r="K5912" i="12"/>
  <c r="I5912" i="12"/>
  <c r="N5911" i="12"/>
  <c r="K5911" i="12"/>
  <c r="I5911" i="12"/>
  <c r="N5910" i="12"/>
  <c r="K5910" i="12"/>
  <c r="I5910" i="12"/>
  <c r="N5909" i="12"/>
  <c r="K5909" i="12"/>
  <c r="I5909" i="12"/>
  <c r="N5908" i="12"/>
  <c r="K5908" i="12"/>
  <c r="I5908" i="12"/>
  <c r="N5907" i="12"/>
  <c r="K5907" i="12"/>
  <c r="I5907" i="12"/>
  <c r="N5906" i="12"/>
  <c r="K5906" i="12"/>
  <c r="I5906" i="12"/>
  <c r="N5905" i="12"/>
  <c r="K5905" i="12"/>
  <c r="I5905" i="12"/>
  <c r="N5904" i="12"/>
  <c r="K5904" i="12"/>
  <c r="I5904" i="12"/>
  <c r="N5903" i="12"/>
  <c r="K5903" i="12"/>
  <c r="I5903" i="12"/>
  <c r="N5902" i="12"/>
  <c r="K5902" i="12"/>
  <c r="I5902" i="12"/>
  <c r="N5901" i="12"/>
  <c r="K5901" i="12"/>
  <c r="I5901" i="12"/>
  <c r="N5900" i="12"/>
  <c r="K5900" i="12"/>
  <c r="I5900" i="12"/>
  <c r="N5899" i="12"/>
  <c r="K5899" i="12"/>
  <c r="I5899" i="12"/>
  <c r="N5898" i="12"/>
  <c r="K5898" i="12"/>
  <c r="I5898" i="12"/>
  <c r="N5897" i="12"/>
  <c r="K5897" i="12"/>
  <c r="I5897" i="12"/>
  <c r="N5896" i="12"/>
  <c r="K5896" i="12"/>
  <c r="I5896" i="12"/>
  <c r="N5895" i="12"/>
  <c r="K5895" i="12"/>
  <c r="I5895" i="12"/>
  <c r="N5894" i="12"/>
  <c r="K5894" i="12"/>
  <c r="I5894" i="12"/>
  <c r="N5893" i="12"/>
  <c r="K5893" i="12"/>
  <c r="I5893" i="12"/>
  <c r="N5892" i="12"/>
  <c r="K5892" i="12"/>
  <c r="I5892" i="12"/>
  <c r="N5891" i="12"/>
  <c r="K5891" i="12"/>
  <c r="I5891" i="12"/>
  <c r="N5890" i="12"/>
  <c r="K5890" i="12"/>
  <c r="I5890" i="12"/>
  <c r="N5889" i="12"/>
  <c r="K5889" i="12"/>
  <c r="I5889" i="12"/>
  <c r="N5888" i="12"/>
  <c r="K5888" i="12"/>
  <c r="I5888" i="12"/>
  <c r="N5887" i="12"/>
  <c r="K5887" i="12"/>
  <c r="I5887" i="12"/>
  <c r="N5886" i="12"/>
  <c r="K5886" i="12"/>
  <c r="I5886" i="12"/>
  <c r="N5885" i="12"/>
  <c r="K5885" i="12"/>
  <c r="I5885" i="12"/>
  <c r="N5884" i="12"/>
  <c r="K5884" i="12"/>
  <c r="I5884" i="12"/>
  <c r="N5883" i="12"/>
  <c r="K5883" i="12"/>
  <c r="I5883" i="12"/>
  <c r="N5882" i="12"/>
  <c r="K5882" i="12"/>
  <c r="I5882" i="12"/>
  <c r="N5881" i="12"/>
  <c r="K5881" i="12"/>
  <c r="I5881" i="12"/>
  <c r="N5880" i="12"/>
  <c r="K5880" i="12"/>
  <c r="I5880" i="12"/>
  <c r="N5879" i="12"/>
  <c r="K5879" i="12"/>
  <c r="I5879" i="12"/>
  <c r="N5878" i="12"/>
  <c r="K5878" i="12"/>
  <c r="I5878" i="12"/>
  <c r="N5877" i="12"/>
  <c r="K5877" i="12"/>
  <c r="I5877" i="12"/>
  <c r="N5876" i="12"/>
  <c r="K5876" i="12"/>
  <c r="I5876" i="12"/>
  <c r="N5875" i="12"/>
  <c r="K5875" i="12"/>
  <c r="I5875" i="12"/>
  <c r="N5874" i="12"/>
  <c r="K5874" i="12"/>
  <c r="I5874" i="12"/>
  <c r="N5873" i="12"/>
  <c r="K5873" i="12"/>
  <c r="I5873" i="12"/>
  <c r="N5872" i="12"/>
  <c r="K5872" i="12"/>
  <c r="I5872" i="12"/>
  <c r="N5871" i="12"/>
  <c r="K5871" i="12"/>
  <c r="I5871" i="12"/>
  <c r="N5870" i="12"/>
  <c r="K5870" i="12"/>
  <c r="I5870" i="12"/>
  <c r="N5869" i="12"/>
  <c r="K5869" i="12"/>
  <c r="I5869" i="12"/>
  <c r="N5868" i="12"/>
  <c r="K5868" i="12"/>
  <c r="I5868" i="12"/>
  <c r="N5867" i="12"/>
  <c r="K5867" i="12"/>
  <c r="I5867" i="12"/>
  <c r="N5866" i="12"/>
  <c r="K5866" i="12"/>
  <c r="I5866" i="12"/>
  <c r="N5865" i="12"/>
  <c r="K5865" i="12"/>
  <c r="I5865" i="12"/>
  <c r="N5864" i="12"/>
  <c r="K5864" i="12"/>
  <c r="I5864" i="12"/>
  <c r="N5863" i="12"/>
  <c r="K5863" i="12"/>
  <c r="I5863" i="12"/>
  <c r="N5862" i="12"/>
  <c r="K5862" i="12"/>
  <c r="I5862" i="12"/>
  <c r="N5861" i="12"/>
  <c r="K5861" i="12"/>
  <c r="I5861" i="12"/>
  <c r="N5860" i="12"/>
  <c r="K5860" i="12"/>
  <c r="I5860" i="12"/>
  <c r="N5859" i="12"/>
  <c r="K5859" i="12"/>
  <c r="I5859" i="12"/>
  <c r="N5858" i="12"/>
  <c r="K5858" i="12"/>
  <c r="I5858" i="12"/>
  <c r="N5857" i="12"/>
  <c r="K5857" i="12"/>
  <c r="I5857" i="12"/>
  <c r="N5856" i="12"/>
  <c r="K5856" i="12"/>
  <c r="I5856" i="12"/>
  <c r="N5855" i="12"/>
  <c r="K5855" i="12"/>
  <c r="I5855" i="12"/>
  <c r="N5854" i="12"/>
  <c r="K5854" i="12"/>
  <c r="I5854" i="12"/>
  <c r="N5853" i="12"/>
  <c r="K5853" i="12"/>
  <c r="I5853" i="12"/>
  <c r="N5852" i="12"/>
  <c r="K5852" i="12"/>
  <c r="I5852" i="12"/>
  <c r="N5851" i="12"/>
  <c r="K5851" i="12"/>
  <c r="I5851" i="12"/>
  <c r="N5850" i="12"/>
  <c r="K5850" i="12"/>
  <c r="I5850" i="12"/>
  <c r="N5849" i="12"/>
  <c r="K5849" i="12"/>
  <c r="I5849" i="12"/>
  <c r="N5848" i="12"/>
  <c r="K5848" i="12"/>
  <c r="I5848" i="12"/>
  <c r="N5847" i="12"/>
  <c r="K5847" i="12"/>
  <c r="I5847" i="12"/>
  <c r="N5846" i="12"/>
  <c r="K5846" i="12"/>
  <c r="I5846" i="12"/>
  <c r="N5845" i="12"/>
  <c r="K5845" i="12"/>
  <c r="I5845" i="12"/>
  <c r="N5844" i="12"/>
  <c r="K5844" i="12"/>
  <c r="I5844" i="12"/>
  <c r="N5843" i="12"/>
  <c r="K5843" i="12"/>
  <c r="I5843" i="12"/>
  <c r="N5842" i="12"/>
  <c r="K5842" i="12"/>
  <c r="I5842" i="12"/>
  <c r="N5841" i="12"/>
  <c r="K5841" i="12"/>
  <c r="I5841" i="12"/>
  <c r="N5840" i="12"/>
  <c r="K5840" i="12"/>
  <c r="I5840" i="12"/>
  <c r="N5839" i="12"/>
  <c r="K5839" i="12"/>
  <c r="I5839" i="12"/>
  <c r="N5838" i="12"/>
  <c r="K5838" i="12"/>
  <c r="I5838" i="12"/>
  <c r="N5837" i="12"/>
  <c r="K5837" i="12"/>
  <c r="I5837" i="12"/>
  <c r="N5836" i="12"/>
  <c r="K5836" i="12"/>
  <c r="I5836" i="12"/>
  <c r="N5835" i="12"/>
  <c r="K5835" i="12"/>
  <c r="I5835" i="12"/>
  <c r="N5834" i="12"/>
  <c r="K5834" i="12"/>
  <c r="I5834" i="12"/>
  <c r="N5833" i="12"/>
  <c r="K5833" i="12"/>
  <c r="I5833" i="12"/>
  <c r="N5832" i="12"/>
  <c r="K5832" i="12"/>
  <c r="I5832" i="12"/>
  <c r="N5831" i="12"/>
  <c r="K5831" i="12"/>
  <c r="I5831" i="12"/>
  <c r="N5830" i="12"/>
  <c r="K5830" i="12"/>
  <c r="I5830" i="12"/>
  <c r="N5829" i="12"/>
  <c r="K5829" i="12"/>
  <c r="I5829" i="12"/>
  <c r="N5828" i="12"/>
  <c r="K5828" i="12"/>
  <c r="I5828" i="12"/>
  <c r="N5827" i="12"/>
  <c r="K5827" i="12"/>
  <c r="I5827" i="12"/>
  <c r="N5826" i="12"/>
  <c r="K5826" i="12"/>
  <c r="I5826" i="12"/>
  <c r="N5825" i="12"/>
  <c r="K5825" i="12"/>
  <c r="I5825" i="12"/>
  <c r="N5824" i="12"/>
  <c r="K5824" i="12"/>
  <c r="I5824" i="12"/>
  <c r="N5823" i="12"/>
  <c r="K5823" i="12"/>
  <c r="I5823" i="12"/>
  <c r="N5822" i="12"/>
  <c r="K5822" i="12"/>
  <c r="I5822" i="12"/>
  <c r="N5821" i="12"/>
  <c r="K5821" i="12"/>
  <c r="I5821" i="12"/>
  <c r="N5820" i="12"/>
  <c r="K5820" i="12"/>
  <c r="I5820" i="12"/>
  <c r="N5819" i="12"/>
  <c r="K5819" i="12"/>
  <c r="I5819" i="12"/>
  <c r="N5818" i="12"/>
  <c r="K5818" i="12"/>
  <c r="I5818" i="12"/>
  <c r="N5817" i="12"/>
  <c r="K5817" i="12"/>
  <c r="I5817" i="12"/>
  <c r="N5816" i="12"/>
  <c r="K5816" i="12"/>
  <c r="I5816" i="12"/>
  <c r="N5815" i="12"/>
  <c r="K5815" i="12"/>
  <c r="I5815" i="12"/>
  <c r="N5814" i="12"/>
  <c r="K5814" i="12"/>
  <c r="I5814" i="12"/>
  <c r="N5813" i="12"/>
  <c r="K5813" i="12"/>
  <c r="I5813" i="12"/>
  <c r="N5812" i="12"/>
  <c r="K5812" i="12"/>
  <c r="I5812" i="12"/>
  <c r="N5811" i="12"/>
  <c r="K5811" i="12"/>
  <c r="I5811" i="12"/>
  <c r="N5810" i="12"/>
  <c r="K5810" i="12"/>
  <c r="I5810" i="12"/>
  <c r="N5809" i="12"/>
  <c r="K5809" i="12"/>
  <c r="I5809" i="12"/>
  <c r="N5808" i="12"/>
  <c r="K5808" i="12"/>
  <c r="I5808" i="12"/>
  <c r="N5807" i="12"/>
  <c r="K5807" i="12"/>
  <c r="I5807" i="12"/>
  <c r="N5806" i="12"/>
  <c r="K5806" i="12"/>
  <c r="I5806" i="12"/>
  <c r="N5805" i="12"/>
  <c r="K5805" i="12"/>
  <c r="I5805" i="12"/>
  <c r="N5804" i="12"/>
  <c r="K5804" i="12"/>
  <c r="I5804" i="12"/>
  <c r="N5803" i="12"/>
  <c r="K5803" i="12"/>
  <c r="I5803" i="12"/>
  <c r="N5802" i="12"/>
  <c r="K5802" i="12"/>
  <c r="I5802" i="12"/>
  <c r="N5801" i="12"/>
  <c r="K5801" i="12"/>
  <c r="I5801" i="12"/>
  <c r="N5800" i="12"/>
  <c r="K5800" i="12"/>
  <c r="I5800" i="12"/>
  <c r="N5799" i="12"/>
  <c r="K5799" i="12"/>
  <c r="I5799" i="12"/>
  <c r="N5798" i="12"/>
  <c r="K5798" i="12"/>
  <c r="I5798" i="12"/>
  <c r="N5797" i="12"/>
  <c r="K5797" i="12"/>
  <c r="I5797" i="12"/>
  <c r="N5796" i="12"/>
  <c r="K5796" i="12"/>
  <c r="I5796" i="12"/>
  <c r="N5795" i="12"/>
  <c r="K5795" i="12"/>
  <c r="I5795" i="12"/>
  <c r="N5794" i="12"/>
  <c r="K5794" i="12"/>
  <c r="I5794" i="12"/>
  <c r="N5793" i="12"/>
  <c r="K5793" i="12"/>
  <c r="I5793" i="12"/>
  <c r="N5792" i="12"/>
  <c r="K5792" i="12"/>
  <c r="I5792" i="12"/>
  <c r="N5791" i="12"/>
  <c r="K5791" i="12"/>
  <c r="I5791" i="12"/>
  <c r="N5790" i="12"/>
  <c r="K5790" i="12"/>
  <c r="I5790" i="12"/>
  <c r="N5789" i="12"/>
  <c r="K5789" i="12"/>
  <c r="I5789" i="12"/>
  <c r="N5788" i="12"/>
  <c r="K5788" i="12"/>
  <c r="I5788" i="12"/>
  <c r="N5787" i="12"/>
  <c r="K5787" i="12"/>
  <c r="I5787" i="12"/>
  <c r="N5786" i="12"/>
  <c r="K5786" i="12"/>
  <c r="I5786" i="12"/>
  <c r="N5785" i="12"/>
  <c r="K5785" i="12"/>
  <c r="I5785" i="12"/>
  <c r="N5784" i="12"/>
  <c r="K5784" i="12"/>
  <c r="I5784" i="12"/>
  <c r="N5783" i="12"/>
  <c r="K5783" i="12"/>
  <c r="I5783" i="12"/>
  <c r="N5782" i="12"/>
  <c r="K5782" i="12"/>
  <c r="I5782" i="12"/>
  <c r="N5781" i="12"/>
  <c r="K5781" i="12"/>
  <c r="I5781" i="12"/>
  <c r="N5780" i="12"/>
  <c r="K5780" i="12"/>
  <c r="I5780" i="12"/>
  <c r="N5779" i="12"/>
  <c r="K5779" i="12"/>
  <c r="I5779" i="12"/>
  <c r="N5778" i="12"/>
  <c r="K5778" i="12"/>
  <c r="I5778" i="12"/>
  <c r="N5777" i="12"/>
  <c r="K5777" i="12"/>
  <c r="I5777" i="12"/>
  <c r="N5776" i="12"/>
  <c r="K5776" i="12"/>
  <c r="I5776" i="12"/>
  <c r="N5775" i="12"/>
  <c r="K5775" i="12"/>
  <c r="I5775" i="12"/>
  <c r="N5774" i="12"/>
  <c r="K5774" i="12"/>
  <c r="I5774" i="12"/>
  <c r="N5773" i="12"/>
  <c r="K5773" i="12"/>
  <c r="I5773" i="12"/>
  <c r="N5772" i="12"/>
  <c r="K5772" i="12"/>
  <c r="I5772" i="12"/>
  <c r="N5771" i="12"/>
  <c r="K5771" i="12"/>
  <c r="I5771" i="12"/>
  <c r="N5770" i="12"/>
  <c r="K5770" i="12"/>
  <c r="I5770" i="12"/>
  <c r="N5769" i="12"/>
  <c r="K5769" i="12"/>
  <c r="I5769" i="12"/>
  <c r="N5768" i="12"/>
  <c r="K5768" i="12"/>
  <c r="I5768" i="12"/>
  <c r="N5767" i="12"/>
  <c r="K5767" i="12"/>
  <c r="I5767" i="12"/>
  <c r="N5766" i="12"/>
  <c r="K5766" i="12"/>
  <c r="I5766" i="12"/>
  <c r="N5765" i="12"/>
  <c r="K5765" i="12"/>
  <c r="I5765" i="12"/>
  <c r="N5764" i="12"/>
  <c r="K5764" i="12"/>
  <c r="I5764" i="12"/>
  <c r="N5763" i="12"/>
  <c r="K5763" i="12"/>
  <c r="I5763" i="12"/>
  <c r="N5762" i="12"/>
  <c r="K5762" i="12"/>
  <c r="I5762" i="12"/>
  <c r="N5761" i="12"/>
  <c r="K5761" i="12"/>
  <c r="I5761" i="12"/>
  <c r="N5760" i="12"/>
  <c r="K5760" i="12"/>
  <c r="I5760" i="12"/>
  <c r="N5759" i="12"/>
  <c r="K5759" i="12"/>
  <c r="I5759" i="12"/>
  <c r="N5758" i="12"/>
  <c r="K5758" i="12"/>
  <c r="I5758" i="12"/>
  <c r="N5757" i="12"/>
  <c r="K5757" i="12"/>
  <c r="I5757" i="12"/>
  <c r="N5756" i="12"/>
  <c r="K5756" i="12"/>
  <c r="I5756" i="12"/>
  <c r="N5755" i="12"/>
  <c r="K5755" i="12"/>
  <c r="I5755" i="12"/>
  <c r="N5754" i="12"/>
  <c r="K5754" i="12"/>
  <c r="I5754" i="12"/>
  <c r="N5753" i="12"/>
  <c r="K5753" i="12"/>
  <c r="I5753" i="12"/>
  <c r="N5752" i="12"/>
  <c r="K5752" i="12"/>
  <c r="I5752" i="12"/>
  <c r="N5751" i="12"/>
  <c r="K5751" i="12"/>
  <c r="I5751" i="12"/>
  <c r="N5750" i="12"/>
  <c r="K5750" i="12"/>
  <c r="I5750" i="12"/>
  <c r="N5749" i="12"/>
  <c r="K5749" i="12"/>
  <c r="I5749" i="12"/>
  <c r="N5748" i="12"/>
  <c r="K5748" i="12"/>
  <c r="I5748" i="12"/>
  <c r="N5747" i="12"/>
  <c r="K5747" i="12"/>
  <c r="I5747" i="12"/>
  <c r="N5746" i="12"/>
  <c r="K5746" i="12"/>
  <c r="I5746" i="12"/>
  <c r="N5745" i="12"/>
  <c r="K5745" i="12"/>
  <c r="I5745" i="12"/>
  <c r="N5744" i="12"/>
  <c r="K5744" i="12"/>
  <c r="I5744" i="12"/>
  <c r="N5743" i="12"/>
  <c r="K5743" i="12"/>
  <c r="I5743" i="12"/>
  <c r="N5742" i="12"/>
  <c r="K5742" i="12"/>
  <c r="I5742" i="12"/>
  <c r="N5741" i="12"/>
  <c r="K5741" i="12"/>
  <c r="I5741" i="12"/>
  <c r="N5740" i="12"/>
  <c r="K5740" i="12"/>
  <c r="I5740" i="12"/>
  <c r="N5739" i="12"/>
  <c r="K5739" i="12"/>
  <c r="I5739" i="12"/>
  <c r="N5738" i="12"/>
  <c r="K5738" i="12"/>
  <c r="I5738" i="12"/>
  <c r="N5737" i="12"/>
  <c r="K5737" i="12"/>
  <c r="I5737" i="12"/>
  <c r="N5736" i="12"/>
  <c r="K5736" i="12"/>
  <c r="I5736" i="12"/>
  <c r="N5735" i="12"/>
  <c r="K5735" i="12"/>
  <c r="I5735" i="12"/>
  <c r="N5734" i="12"/>
  <c r="K5734" i="12"/>
  <c r="I5734" i="12"/>
  <c r="N5733" i="12"/>
  <c r="K5733" i="12"/>
  <c r="I5733" i="12"/>
  <c r="N5732" i="12"/>
  <c r="K5732" i="12"/>
  <c r="I5732" i="12"/>
  <c r="N5731" i="12"/>
  <c r="K5731" i="12"/>
  <c r="I5731" i="12"/>
  <c r="N5730" i="12"/>
  <c r="K5730" i="12"/>
  <c r="I5730" i="12"/>
  <c r="N5729" i="12"/>
  <c r="K5729" i="12"/>
  <c r="I5729" i="12"/>
  <c r="N5728" i="12"/>
  <c r="K5728" i="12"/>
  <c r="I5728" i="12"/>
  <c r="N5727" i="12"/>
  <c r="K5727" i="12"/>
  <c r="I5727" i="12"/>
  <c r="N5726" i="12"/>
  <c r="K5726" i="12"/>
  <c r="I5726" i="12"/>
  <c r="N5725" i="12"/>
  <c r="K5725" i="12"/>
  <c r="I5725" i="12"/>
  <c r="N5724" i="12"/>
  <c r="K5724" i="12"/>
  <c r="I5724" i="12"/>
  <c r="N5723" i="12"/>
  <c r="K5723" i="12"/>
  <c r="I5723" i="12"/>
  <c r="N5722" i="12"/>
  <c r="K5722" i="12"/>
  <c r="I5722" i="12"/>
  <c r="N5721" i="12"/>
  <c r="K5721" i="12"/>
  <c r="I5721" i="12"/>
  <c r="N5720" i="12"/>
  <c r="K5720" i="12"/>
  <c r="I5720" i="12"/>
  <c r="N5719" i="12"/>
  <c r="K5719" i="12"/>
  <c r="I5719" i="12"/>
  <c r="N5718" i="12"/>
  <c r="K5718" i="12"/>
  <c r="I5718" i="12"/>
  <c r="N5717" i="12"/>
  <c r="K5717" i="12"/>
  <c r="I5717" i="12"/>
  <c r="N5716" i="12"/>
  <c r="K5716" i="12"/>
  <c r="I5716" i="12"/>
  <c r="N5715" i="12"/>
  <c r="K5715" i="12"/>
  <c r="I5715" i="12"/>
  <c r="N5714" i="12"/>
  <c r="K5714" i="12"/>
  <c r="I5714" i="12"/>
  <c r="N5713" i="12"/>
  <c r="K5713" i="12"/>
  <c r="I5713" i="12"/>
  <c r="N5712" i="12"/>
  <c r="K5712" i="12"/>
  <c r="I5712" i="12"/>
  <c r="N5711" i="12"/>
  <c r="K5711" i="12"/>
  <c r="I5711" i="12"/>
  <c r="N5710" i="12"/>
  <c r="K5710" i="12"/>
  <c r="I5710" i="12"/>
  <c r="N5709" i="12"/>
  <c r="K5709" i="12"/>
  <c r="I5709" i="12"/>
  <c r="N5708" i="12"/>
  <c r="K5708" i="12"/>
  <c r="I5708" i="12"/>
  <c r="N5707" i="12"/>
  <c r="K5707" i="12"/>
  <c r="I5707" i="12"/>
  <c r="N5706" i="12"/>
  <c r="K5706" i="12"/>
  <c r="I5706" i="12"/>
  <c r="N5705" i="12"/>
  <c r="K5705" i="12"/>
  <c r="I5705" i="12"/>
  <c r="N5704" i="12"/>
  <c r="K5704" i="12"/>
  <c r="I5704" i="12"/>
  <c r="N5703" i="12"/>
  <c r="K5703" i="12"/>
  <c r="I5703" i="12"/>
  <c r="N5702" i="12"/>
  <c r="K5702" i="12"/>
  <c r="I5702" i="12"/>
  <c r="N5701" i="12"/>
  <c r="K5701" i="12"/>
  <c r="I5701" i="12"/>
  <c r="N5700" i="12"/>
  <c r="K5700" i="12"/>
  <c r="I5700" i="12"/>
  <c r="N5699" i="12"/>
  <c r="K5699" i="12"/>
  <c r="I5699" i="12"/>
  <c r="N5698" i="12"/>
  <c r="K5698" i="12"/>
  <c r="I5698" i="12"/>
  <c r="N5697" i="12"/>
  <c r="K5697" i="12"/>
  <c r="I5697" i="12"/>
  <c r="N5696" i="12"/>
  <c r="K5696" i="12"/>
  <c r="I5696" i="12"/>
  <c r="N5695" i="12"/>
  <c r="K5695" i="12"/>
  <c r="I5695" i="12"/>
  <c r="N5694" i="12"/>
  <c r="K5694" i="12"/>
  <c r="I5694" i="12"/>
  <c r="N5693" i="12"/>
  <c r="K5693" i="12"/>
  <c r="I5693" i="12"/>
  <c r="N5692" i="12"/>
  <c r="K5692" i="12"/>
  <c r="I5692" i="12"/>
  <c r="N5691" i="12"/>
  <c r="K5691" i="12"/>
  <c r="I5691" i="12"/>
  <c r="N5690" i="12"/>
  <c r="K5690" i="12"/>
  <c r="I5690" i="12"/>
  <c r="N5689" i="12"/>
  <c r="K5689" i="12"/>
  <c r="I5689" i="12"/>
  <c r="N5688" i="12"/>
  <c r="K5688" i="12"/>
  <c r="I5688" i="12"/>
  <c r="N5687" i="12"/>
  <c r="K5687" i="12"/>
  <c r="I5687" i="12"/>
  <c r="N5686" i="12"/>
  <c r="K5686" i="12"/>
  <c r="I5686" i="12"/>
  <c r="N5685" i="12"/>
  <c r="K5685" i="12"/>
  <c r="I5685" i="12"/>
  <c r="N5684" i="12"/>
  <c r="K5684" i="12"/>
  <c r="I5684" i="12"/>
  <c r="N5683" i="12"/>
  <c r="K5683" i="12"/>
  <c r="I5683" i="12"/>
  <c r="N5682" i="12"/>
  <c r="K5682" i="12"/>
  <c r="I5682" i="12"/>
  <c r="N5681" i="12"/>
  <c r="K5681" i="12"/>
  <c r="I5681" i="12"/>
  <c r="N5680" i="12"/>
  <c r="K5680" i="12"/>
  <c r="I5680" i="12"/>
  <c r="N5679" i="12"/>
  <c r="K5679" i="12"/>
  <c r="I5679" i="12"/>
  <c r="N5678" i="12"/>
  <c r="K5678" i="12"/>
  <c r="I5678" i="12"/>
  <c r="N5677" i="12"/>
  <c r="K5677" i="12"/>
  <c r="I5677" i="12"/>
  <c r="N5676" i="12"/>
  <c r="K5676" i="12"/>
  <c r="I5676" i="12"/>
  <c r="N5675" i="12"/>
  <c r="K5675" i="12"/>
  <c r="I5675" i="12"/>
  <c r="N5674" i="12"/>
  <c r="K5674" i="12"/>
  <c r="I5674" i="12"/>
  <c r="N5673" i="12"/>
  <c r="K5673" i="12"/>
  <c r="I5673" i="12"/>
  <c r="N5672" i="12"/>
  <c r="K5672" i="12"/>
  <c r="I5672" i="12"/>
  <c r="N5671" i="12"/>
  <c r="K5671" i="12"/>
  <c r="I5671" i="12"/>
  <c r="N5670" i="12"/>
  <c r="K5670" i="12"/>
  <c r="I5670" i="12"/>
  <c r="N5669" i="12"/>
  <c r="K5669" i="12"/>
  <c r="I5669" i="12"/>
  <c r="N5668" i="12"/>
  <c r="K5668" i="12"/>
  <c r="I5668" i="12"/>
  <c r="N5667" i="12"/>
  <c r="K5667" i="12"/>
  <c r="I5667" i="12"/>
  <c r="N5666" i="12"/>
  <c r="K5666" i="12"/>
  <c r="I5666" i="12"/>
  <c r="N5665" i="12"/>
  <c r="K5665" i="12"/>
  <c r="I5665" i="12"/>
  <c r="N5664" i="12"/>
  <c r="K5664" i="12"/>
  <c r="I5664" i="12"/>
  <c r="N5663" i="12"/>
  <c r="K5663" i="12"/>
  <c r="I5663" i="12"/>
  <c r="N5662" i="12"/>
  <c r="K5662" i="12"/>
  <c r="I5662" i="12"/>
  <c r="N5661" i="12"/>
  <c r="K5661" i="12"/>
  <c r="I5661" i="12"/>
  <c r="N5660" i="12"/>
  <c r="K5660" i="12"/>
  <c r="I5660" i="12"/>
  <c r="N5659" i="12"/>
  <c r="K5659" i="12"/>
  <c r="I5659" i="12"/>
  <c r="N5658" i="12"/>
  <c r="K5658" i="12"/>
  <c r="I5658" i="12"/>
  <c r="N5657" i="12"/>
  <c r="K5657" i="12"/>
  <c r="I5657" i="12"/>
  <c r="N5656" i="12"/>
  <c r="K5656" i="12"/>
  <c r="I5656" i="12"/>
  <c r="N5655" i="12"/>
  <c r="K5655" i="12"/>
  <c r="I5655" i="12"/>
  <c r="N5654" i="12"/>
  <c r="K5654" i="12"/>
  <c r="I5654" i="12"/>
  <c r="N5653" i="12"/>
  <c r="K5653" i="12"/>
  <c r="I5653" i="12"/>
  <c r="N5652" i="12"/>
  <c r="K5652" i="12"/>
  <c r="I5652" i="12"/>
  <c r="N5651" i="12"/>
  <c r="K5651" i="12"/>
  <c r="I5651" i="12"/>
  <c r="N5650" i="12"/>
  <c r="K5650" i="12"/>
  <c r="I5650" i="12"/>
  <c r="N5649" i="12"/>
  <c r="K5649" i="12"/>
  <c r="I5649" i="12"/>
  <c r="N5648" i="12"/>
  <c r="K5648" i="12"/>
  <c r="I5648" i="12"/>
  <c r="N5647" i="12"/>
  <c r="K5647" i="12"/>
  <c r="I5647" i="12"/>
  <c r="I5646" i="12"/>
  <c r="I5645" i="12"/>
  <c r="I5644" i="12"/>
  <c r="I5643" i="12"/>
  <c r="I5642" i="12"/>
  <c r="I5641" i="12"/>
  <c r="I5640" i="12"/>
  <c r="N5639" i="12"/>
  <c r="K5639" i="12"/>
  <c r="I5639" i="12"/>
  <c r="N5638" i="12"/>
  <c r="K5638" i="12"/>
  <c r="I5638" i="12"/>
  <c r="N5637" i="12"/>
  <c r="K5637" i="12"/>
  <c r="I5637" i="12"/>
  <c r="N5636" i="12"/>
  <c r="K5636" i="12"/>
  <c r="I5636" i="12"/>
  <c r="N5635" i="12"/>
  <c r="K5635" i="12"/>
  <c r="I5635" i="12"/>
  <c r="N5634" i="12"/>
  <c r="K5634" i="12"/>
  <c r="I5634" i="12"/>
  <c r="N5633" i="12"/>
  <c r="K5633" i="12"/>
  <c r="I5633" i="12"/>
  <c r="N5632" i="12"/>
  <c r="K5632" i="12"/>
  <c r="I5632" i="12"/>
  <c r="N5631" i="12"/>
  <c r="K5631" i="12"/>
  <c r="I5631" i="12"/>
  <c r="N5630" i="12"/>
  <c r="K5630" i="12"/>
  <c r="I5630" i="12"/>
  <c r="N5629" i="12"/>
  <c r="K5629" i="12"/>
  <c r="I5629" i="12"/>
  <c r="N5628" i="12"/>
  <c r="K5628" i="12"/>
  <c r="I5628" i="12"/>
  <c r="N5627" i="12"/>
  <c r="K5627" i="12"/>
  <c r="I5627" i="12"/>
  <c r="N5626" i="12"/>
  <c r="K5626" i="12"/>
  <c r="I5626" i="12"/>
  <c r="N5625" i="12"/>
  <c r="K5625" i="12"/>
  <c r="I5625" i="12"/>
  <c r="N5624" i="12"/>
  <c r="K5624" i="12"/>
  <c r="I5624" i="12"/>
  <c r="N5623" i="12"/>
  <c r="K5623" i="12"/>
  <c r="I5623" i="12"/>
  <c r="N5622" i="12"/>
  <c r="K5622" i="12"/>
  <c r="I5622" i="12"/>
  <c r="N5621" i="12"/>
  <c r="K5621" i="12"/>
  <c r="I5621" i="12"/>
  <c r="N5620" i="12"/>
  <c r="K5620" i="12"/>
  <c r="I5620" i="12"/>
  <c r="N5619" i="12"/>
  <c r="K5619" i="12"/>
  <c r="I5619" i="12"/>
  <c r="N5618" i="12"/>
  <c r="K5618" i="12"/>
  <c r="I5618" i="12"/>
  <c r="N5617" i="12"/>
  <c r="K5617" i="12"/>
  <c r="I5617" i="12"/>
  <c r="N5616" i="12"/>
  <c r="K5616" i="12"/>
  <c r="I5616" i="12"/>
  <c r="N5615" i="12"/>
  <c r="K5615" i="12"/>
  <c r="I5615" i="12"/>
  <c r="N5614" i="12"/>
  <c r="K5614" i="12"/>
  <c r="I5614" i="12"/>
  <c r="N5613" i="12"/>
  <c r="K5613" i="12"/>
  <c r="I5613" i="12"/>
  <c r="N5612" i="12"/>
  <c r="K5612" i="12"/>
  <c r="I5612" i="12"/>
  <c r="N5611" i="12"/>
  <c r="K5611" i="12"/>
  <c r="I5611" i="12"/>
  <c r="N5610" i="12"/>
  <c r="K5610" i="12"/>
  <c r="I5610" i="12"/>
  <c r="N5609" i="12"/>
  <c r="K5609" i="12"/>
  <c r="I5609" i="12"/>
  <c r="N5608" i="12"/>
  <c r="K5608" i="12"/>
  <c r="I5608" i="12"/>
  <c r="N5607" i="12"/>
  <c r="K5607" i="12"/>
  <c r="I5607" i="12"/>
  <c r="N5606" i="12"/>
  <c r="K5606" i="12"/>
  <c r="I5606" i="12"/>
  <c r="N5605" i="12"/>
  <c r="K5605" i="12"/>
  <c r="I5605" i="12"/>
  <c r="N5604" i="12"/>
  <c r="K5604" i="12"/>
  <c r="I5604" i="12"/>
  <c r="N5603" i="12"/>
  <c r="K5603" i="12"/>
  <c r="I5603" i="12"/>
  <c r="N5602" i="12"/>
  <c r="K5602" i="12"/>
  <c r="I5602" i="12"/>
  <c r="N5601" i="12"/>
  <c r="K5601" i="12"/>
  <c r="I5601" i="12"/>
  <c r="N5600" i="12"/>
  <c r="K5600" i="12"/>
  <c r="I5600" i="12"/>
  <c r="N5599" i="12"/>
  <c r="K5599" i="12"/>
  <c r="I5599" i="12"/>
  <c r="N5598" i="12"/>
  <c r="K5598" i="12"/>
  <c r="I5598" i="12"/>
  <c r="N5597" i="12"/>
  <c r="K5597" i="12"/>
  <c r="I5597" i="12"/>
  <c r="N5596" i="12"/>
  <c r="K5596" i="12"/>
  <c r="I5596" i="12"/>
  <c r="N5595" i="12"/>
  <c r="K5595" i="12"/>
  <c r="I5595" i="12"/>
  <c r="N5594" i="12"/>
  <c r="K5594" i="12"/>
  <c r="I5594" i="12"/>
  <c r="N5593" i="12"/>
  <c r="K5593" i="12"/>
  <c r="I5593" i="12"/>
  <c r="N5592" i="12"/>
  <c r="K5592" i="12"/>
  <c r="I5592" i="12"/>
  <c r="N5591" i="12"/>
  <c r="K5591" i="12"/>
  <c r="I5591" i="12"/>
  <c r="N5590" i="12"/>
  <c r="K5590" i="12"/>
  <c r="I5590" i="12"/>
  <c r="N5589" i="12"/>
  <c r="K5589" i="12"/>
  <c r="I5589" i="12"/>
  <c r="N5588" i="12"/>
  <c r="K5588" i="12"/>
  <c r="I5588" i="12"/>
  <c r="N5587" i="12"/>
  <c r="K5587" i="12"/>
  <c r="I5587" i="12"/>
  <c r="N5586" i="12"/>
  <c r="K5586" i="12"/>
  <c r="I5586" i="12"/>
  <c r="N5585" i="12"/>
  <c r="K5585" i="12"/>
  <c r="I5585" i="12"/>
  <c r="N5584" i="12"/>
  <c r="K5584" i="12"/>
  <c r="I5584" i="12"/>
  <c r="N5583" i="12"/>
  <c r="K5583" i="12"/>
  <c r="I5583" i="12"/>
  <c r="N5582" i="12"/>
  <c r="K5582" i="12"/>
  <c r="I5582" i="12"/>
  <c r="N5581" i="12"/>
  <c r="K5581" i="12"/>
  <c r="I5581" i="12"/>
  <c r="N5580" i="12"/>
  <c r="K5580" i="12"/>
  <c r="I5580" i="12"/>
  <c r="N5579" i="12"/>
  <c r="K5579" i="12"/>
  <c r="I5579" i="12"/>
  <c r="N5578" i="12"/>
  <c r="K5578" i="12"/>
  <c r="I5578" i="12"/>
  <c r="N5577" i="12"/>
  <c r="K5577" i="12"/>
  <c r="I5577" i="12"/>
  <c r="N5576" i="12"/>
  <c r="K5576" i="12"/>
  <c r="I5576" i="12"/>
  <c r="N5575" i="12"/>
  <c r="K5575" i="12"/>
  <c r="I5575" i="12"/>
  <c r="N5574" i="12"/>
  <c r="K5574" i="12"/>
  <c r="I5574" i="12"/>
  <c r="N5573" i="12"/>
  <c r="K5573" i="12"/>
  <c r="I5573" i="12"/>
  <c r="N5572" i="12"/>
  <c r="K5572" i="12"/>
  <c r="I5572" i="12"/>
  <c r="N5571" i="12"/>
  <c r="K5571" i="12"/>
  <c r="I5571" i="12"/>
  <c r="N5570" i="12"/>
  <c r="K5570" i="12"/>
  <c r="I5570" i="12"/>
  <c r="N5569" i="12"/>
  <c r="K5569" i="12"/>
  <c r="I5569" i="12"/>
  <c r="N5568" i="12"/>
  <c r="K5568" i="12"/>
  <c r="I5568" i="12"/>
  <c r="N5567" i="12"/>
  <c r="K5567" i="12"/>
  <c r="I5567" i="12"/>
  <c r="N5566" i="12"/>
  <c r="K5566" i="12"/>
  <c r="I5566" i="12"/>
  <c r="N5565" i="12"/>
  <c r="K5565" i="12"/>
  <c r="I5565" i="12"/>
  <c r="N5564" i="12"/>
  <c r="K5564" i="12"/>
  <c r="I5564" i="12"/>
  <c r="N5563" i="12"/>
  <c r="K5563" i="12"/>
  <c r="I5563" i="12"/>
  <c r="N5562" i="12"/>
  <c r="K5562" i="12"/>
  <c r="I5562" i="12"/>
  <c r="N5561" i="12"/>
  <c r="K5561" i="12"/>
  <c r="I5561" i="12"/>
  <c r="N5560" i="12"/>
  <c r="K5560" i="12"/>
  <c r="I5560" i="12"/>
  <c r="N5559" i="12"/>
  <c r="K5559" i="12"/>
  <c r="I5559" i="12"/>
  <c r="N5558" i="12"/>
  <c r="K5558" i="12"/>
  <c r="I5558" i="12"/>
  <c r="N5557" i="12"/>
  <c r="K5557" i="12"/>
  <c r="I5557" i="12"/>
  <c r="N5556" i="12"/>
  <c r="K5556" i="12"/>
  <c r="I5556" i="12"/>
  <c r="N5555" i="12"/>
  <c r="K5555" i="12"/>
  <c r="I5555" i="12"/>
  <c r="N5554" i="12"/>
  <c r="K5554" i="12"/>
  <c r="I5554" i="12"/>
  <c r="N5553" i="12"/>
  <c r="K5553" i="12"/>
  <c r="I5553" i="12"/>
  <c r="N5552" i="12"/>
  <c r="K5552" i="12"/>
  <c r="I5552" i="12"/>
  <c r="N5551" i="12"/>
  <c r="K5551" i="12"/>
  <c r="I5551" i="12"/>
  <c r="N5550" i="12"/>
  <c r="K5550" i="12"/>
  <c r="I5550" i="12"/>
  <c r="N5549" i="12"/>
  <c r="K5549" i="12"/>
  <c r="I5549" i="12"/>
  <c r="N5548" i="12"/>
  <c r="K5548" i="12"/>
  <c r="I5548" i="12"/>
  <c r="N5547" i="12"/>
  <c r="K5547" i="12"/>
  <c r="I5547" i="12"/>
  <c r="N5546" i="12"/>
  <c r="K5546" i="12"/>
  <c r="I5546" i="12"/>
  <c r="N5545" i="12"/>
  <c r="K5545" i="12"/>
  <c r="I5545" i="12"/>
  <c r="N5544" i="12"/>
  <c r="K5544" i="12"/>
  <c r="I5544" i="12"/>
  <c r="N5543" i="12"/>
  <c r="K5543" i="12"/>
  <c r="I5543" i="12"/>
  <c r="N5542" i="12"/>
  <c r="K5542" i="12"/>
  <c r="I5542" i="12"/>
  <c r="N5541" i="12"/>
  <c r="K5541" i="12"/>
  <c r="I5541" i="12"/>
  <c r="N5540" i="12"/>
  <c r="K5540" i="12"/>
  <c r="I5540" i="12"/>
  <c r="N5539" i="12"/>
  <c r="K5539" i="12"/>
  <c r="I5539" i="12"/>
  <c r="N5538" i="12"/>
  <c r="K5538" i="12"/>
  <c r="I5538" i="12"/>
  <c r="N5537" i="12"/>
  <c r="K5537" i="12"/>
  <c r="I5537" i="12"/>
  <c r="N5536" i="12"/>
  <c r="K5536" i="12"/>
  <c r="I5536" i="12"/>
  <c r="N5535" i="12"/>
  <c r="K5535" i="12"/>
  <c r="I5535" i="12"/>
  <c r="N5534" i="12"/>
  <c r="K5534" i="12"/>
  <c r="I5534" i="12"/>
  <c r="N5533" i="12"/>
  <c r="K5533" i="12"/>
  <c r="I5533" i="12"/>
  <c r="N5532" i="12"/>
  <c r="K5532" i="12"/>
  <c r="I5532" i="12"/>
  <c r="N5531" i="12"/>
  <c r="K5531" i="12"/>
  <c r="I5531" i="12"/>
  <c r="N5530" i="12"/>
  <c r="K5530" i="12"/>
  <c r="I5530" i="12"/>
  <c r="N5529" i="12"/>
  <c r="K5529" i="12"/>
  <c r="I5529" i="12"/>
  <c r="N5528" i="12"/>
  <c r="K5528" i="12"/>
  <c r="I5528" i="12"/>
  <c r="N5527" i="12"/>
  <c r="K5527" i="12"/>
  <c r="I5527" i="12"/>
  <c r="N5526" i="12"/>
  <c r="K5526" i="12"/>
  <c r="I5526" i="12"/>
  <c r="N5525" i="12"/>
  <c r="K5525" i="12"/>
  <c r="I5525" i="12"/>
  <c r="N5524" i="12"/>
  <c r="K5524" i="12"/>
  <c r="I5524" i="12"/>
  <c r="N5523" i="12"/>
  <c r="K5523" i="12"/>
  <c r="I5523" i="12"/>
  <c r="N5522" i="12"/>
  <c r="K5522" i="12"/>
  <c r="I5522" i="12"/>
  <c r="N5521" i="12"/>
  <c r="K5521" i="12"/>
  <c r="I5521" i="12"/>
  <c r="N5520" i="12"/>
  <c r="K5520" i="12"/>
  <c r="I5520" i="12"/>
  <c r="N5519" i="12"/>
  <c r="K5519" i="12"/>
  <c r="I5519" i="12"/>
  <c r="N5518" i="12"/>
  <c r="K5518" i="12"/>
  <c r="I5518" i="12"/>
  <c r="N5517" i="12"/>
  <c r="K5517" i="12"/>
  <c r="I5517" i="12"/>
  <c r="N5516" i="12"/>
  <c r="K5516" i="12"/>
  <c r="I5516" i="12"/>
  <c r="N5515" i="12"/>
  <c r="K5515" i="12"/>
  <c r="I5515" i="12"/>
  <c r="N5514" i="12"/>
  <c r="K5514" i="12"/>
  <c r="I5514" i="12"/>
  <c r="N5513" i="12"/>
  <c r="K5513" i="12"/>
  <c r="I5513" i="12"/>
  <c r="N5512" i="12"/>
  <c r="K5512" i="12"/>
  <c r="I5512" i="12"/>
  <c r="N5511" i="12"/>
  <c r="K5511" i="12"/>
  <c r="I5511" i="12"/>
  <c r="N5510" i="12"/>
  <c r="K5510" i="12"/>
  <c r="I5510" i="12"/>
  <c r="N5509" i="12"/>
  <c r="K5509" i="12"/>
  <c r="I5509" i="12"/>
  <c r="N5508" i="12"/>
  <c r="K5508" i="12"/>
  <c r="I5508" i="12"/>
  <c r="N5507" i="12"/>
  <c r="K5507" i="12"/>
  <c r="I5507" i="12"/>
  <c r="N5506" i="12"/>
  <c r="K5506" i="12"/>
  <c r="I5506" i="12"/>
  <c r="N5505" i="12"/>
  <c r="K5505" i="12"/>
  <c r="I5505" i="12"/>
  <c r="N5504" i="12"/>
  <c r="K5504" i="12"/>
  <c r="I5504" i="12"/>
  <c r="N5503" i="12"/>
  <c r="K5503" i="12"/>
  <c r="I5503" i="12"/>
  <c r="N5502" i="12"/>
  <c r="K5502" i="12"/>
  <c r="I5502" i="12"/>
  <c r="N5501" i="12"/>
  <c r="K5501" i="12"/>
  <c r="I5501" i="12"/>
  <c r="N5500" i="12"/>
  <c r="K5500" i="12"/>
  <c r="I5500" i="12"/>
  <c r="N5499" i="12"/>
  <c r="K5499" i="12"/>
  <c r="I5499" i="12"/>
  <c r="N5498" i="12"/>
  <c r="K5498" i="12"/>
  <c r="I5498" i="12"/>
  <c r="N5497" i="12"/>
  <c r="K5497" i="12"/>
  <c r="I5497" i="12"/>
  <c r="N5496" i="12"/>
  <c r="K5496" i="12"/>
  <c r="I5496" i="12"/>
  <c r="N5495" i="12"/>
  <c r="K5495" i="12"/>
  <c r="I5495" i="12"/>
  <c r="N5494" i="12"/>
  <c r="K5494" i="12"/>
  <c r="I5494" i="12"/>
  <c r="N5493" i="12"/>
  <c r="K5493" i="12"/>
  <c r="I5493" i="12"/>
  <c r="N5492" i="12"/>
  <c r="K5492" i="12"/>
  <c r="I5492" i="12"/>
  <c r="N5491" i="12"/>
  <c r="K5491" i="12"/>
  <c r="I5491" i="12"/>
  <c r="N5490" i="12"/>
  <c r="K5490" i="12"/>
  <c r="I5490" i="12"/>
  <c r="N5489" i="12"/>
  <c r="K5489" i="12"/>
  <c r="I5489" i="12"/>
  <c r="N5488" i="12"/>
  <c r="K5488" i="12"/>
  <c r="I5488" i="12"/>
  <c r="N5487" i="12"/>
  <c r="K5487" i="12"/>
  <c r="I5487" i="12"/>
  <c r="N5486" i="12"/>
  <c r="K5486" i="12"/>
  <c r="I5486" i="12"/>
  <c r="N5485" i="12"/>
  <c r="K5485" i="12"/>
  <c r="I5485" i="12"/>
  <c r="N5484" i="12"/>
  <c r="K5484" i="12"/>
  <c r="I5484" i="12"/>
  <c r="N5483" i="12"/>
  <c r="K5483" i="12"/>
  <c r="I5483" i="12"/>
  <c r="N5482" i="12"/>
  <c r="K5482" i="12"/>
  <c r="I5482" i="12"/>
  <c r="N5481" i="12"/>
  <c r="K5481" i="12"/>
  <c r="I5481" i="12"/>
  <c r="N5480" i="12"/>
  <c r="K5480" i="12"/>
  <c r="I5480" i="12"/>
  <c r="N5479" i="12"/>
  <c r="K5479" i="12"/>
  <c r="I5479" i="12"/>
  <c r="N5478" i="12"/>
  <c r="K5478" i="12"/>
  <c r="I5478" i="12"/>
  <c r="N5477" i="12"/>
  <c r="K5477" i="12"/>
  <c r="I5477" i="12"/>
  <c r="N5476" i="12"/>
  <c r="K5476" i="12"/>
  <c r="I5476" i="12"/>
  <c r="N5475" i="12"/>
  <c r="K5475" i="12"/>
  <c r="I5475" i="12"/>
  <c r="N5474" i="12"/>
  <c r="K5474" i="12"/>
  <c r="I5474" i="12"/>
  <c r="N5473" i="12"/>
  <c r="K5473" i="12"/>
  <c r="I5473" i="12"/>
  <c r="N5472" i="12"/>
  <c r="K5472" i="12"/>
  <c r="I5472" i="12"/>
  <c r="N5471" i="12"/>
  <c r="K5471" i="12"/>
  <c r="I5471" i="12"/>
  <c r="N5470" i="12"/>
  <c r="K5470" i="12"/>
  <c r="I5470" i="12"/>
  <c r="N5469" i="12"/>
  <c r="K5469" i="12"/>
  <c r="I5469" i="12"/>
  <c r="N5468" i="12"/>
  <c r="K5468" i="12"/>
  <c r="I5468" i="12"/>
  <c r="N5467" i="12"/>
  <c r="K5467" i="12"/>
  <c r="I5467" i="12"/>
  <c r="N5466" i="12"/>
  <c r="K5466" i="12"/>
  <c r="I5466" i="12"/>
  <c r="N5465" i="12"/>
  <c r="K5465" i="12"/>
  <c r="I5465" i="12"/>
  <c r="N5464" i="12"/>
  <c r="K5464" i="12"/>
  <c r="I5464" i="12"/>
  <c r="N5463" i="12"/>
  <c r="K5463" i="12"/>
  <c r="I5463" i="12"/>
  <c r="N5462" i="12"/>
  <c r="K5462" i="12"/>
  <c r="I5462" i="12"/>
  <c r="N5461" i="12"/>
  <c r="K5461" i="12"/>
  <c r="I5461" i="12"/>
  <c r="N5460" i="12"/>
  <c r="K5460" i="12"/>
  <c r="I5460" i="12"/>
  <c r="N5459" i="12"/>
  <c r="K5459" i="12"/>
  <c r="I5459" i="12"/>
  <c r="N5458" i="12"/>
  <c r="K5458" i="12"/>
  <c r="I5458" i="12"/>
  <c r="N5457" i="12"/>
  <c r="K5457" i="12"/>
  <c r="I5457" i="12"/>
  <c r="N5456" i="12"/>
  <c r="K5456" i="12"/>
  <c r="I5456" i="12"/>
  <c r="N5455" i="12"/>
  <c r="K5455" i="12"/>
  <c r="I5455" i="12"/>
  <c r="N5454" i="12"/>
  <c r="K5454" i="12"/>
  <c r="I5454" i="12"/>
  <c r="N5453" i="12"/>
  <c r="K5453" i="12"/>
  <c r="I5453" i="12"/>
  <c r="N5452" i="12"/>
  <c r="K5452" i="12"/>
  <c r="I5452" i="12"/>
  <c r="N5451" i="12"/>
  <c r="K5451" i="12"/>
  <c r="I5451" i="12"/>
  <c r="N5450" i="12"/>
  <c r="K5450" i="12"/>
  <c r="I5450" i="12"/>
  <c r="N5449" i="12"/>
  <c r="K5449" i="12"/>
  <c r="I5449" i="12"/>
  <c r="N5448" i="12"/>
  <c r="K5448" i="12"/>
  <c r="I5448" i="12"/>
  <c r="N5447" i="12"/>
  <c r="K5447" i="12"/>
  <c r="I5447" i="12"/>
  <c r="N5446" i="12"/>
  <c r="K5446" i="12"/>
  <c r="I5446" i="12"/>
  <c r="N5445" i="12"/>
  <c r="K5445" i="12"/>
  <c r="I5445" i="12"/>
  <c r="N5444" i="12"/>
  <c r="K5444" i="12"/>
  <c r="I5444" i="12"/>
  <c r="N5443" i="12"/>
  <c r="K5443" i="12"/>
  <c r="I5443" i="12"/>
  <c r="N5442" i="12"/>
  <c r="K5442" i="12"/>
  <c r="I5442" i="12"/>
  <c r="N5441" i="12"/>
  <c r="K5441" i="12"/>
  <c r="I5441" i="12"/>
  <c r="N5440" i="12"/>
  <c r="K5440" i="12"/>
  <c r="I5440" i="12"/>
  <c r="N5439" i="12"/>
  <c r="K5439" i="12"/>
  <c r="I5439" i="12"/>
  <c r="N5438" i="12"/>
  <c r="K5438" i="12"/>
  <c r="I5438" i="12"/>
  <c r="N5437" i="12"/>
  <c r="K5437" i="12"/>
  <c r="I5437" i="12"/>
  <c r="N5436" i="12"/>
  <c r="K5436" i="12"/>
  <c r="I5436" i="12"/>
  <c r="N5435" i="12"/>
  <c r="K5435" i="12"/>
  <c r="I5435" i="12"/>
  <c r="N5434" i="12"/>
  <c r="K5434" i="12"/>
  <c r="I5434" i="12"/>
  <c r="N5433" i="12"/>
  <c r="K5433" i="12"/>
  <c r="I5433" i="12"/>
  <c r="N5432" i="12"/>
  <c r="K5432" i="12"/>
  <c r="I5432" i="12"/>
  <c r="N5431" i="12"/>
  <c r="K5431" i="12"/>
  <c r="I5431" i="12"/>
  <c r="N5430" i="12"/>
  <c r="K5430" i="12"/>
  <c r="I5430" i="12"/>
  <c r="N5429" i="12"/>
  <c r="K5429" i="12"/>
  <c r="I5429" i="12"/>
  <c r="N5428" i="12"/>
  <c r="K5428" i="12"/>
  <c r="I5428" i="12"/>
  <c r="N5427" i="12"/>
  <c r="K5427" i="12"/>
  <c r="I5427" i="12"/>
  <c r="N5426" i="12"/>
  <c r="K5426" i="12"/>
  <c r="I5426" i="12"/>
  <c r="N5425" i="12"/>
  <c r="I5425" i="12"/>
  <c r="N5424" i="12"/>
  <c r="K5424" i="12"/>
  <c r="I5424" i="12"/>
  <c r="N5423" i="12"/>
  <c r="K5423" i="12"/>
  <c r="I5423" i="12"/>
  <c r="N5422" i="12"/>
  <c r="K5422" i="12"/>
  <c r="I5422" i="12"/>
  <c r="N5421" i="12"/>
  <c r="K5421" i="12"/>
  <c r="I5421" i="12"/>
  <c r="N5420" i="12"/>
  <c r="K5420" i="12"/>
  <c r="I5420" i="12"/>
  <c r="N5419" i="12"/>
  <c r="K5419" i="12"/>
  <c r="I5419" i="12"/>
  <c r="N5418" i="12"/>
  <c r="K5418" i="12"/>
  <c r="I5418" i="12"/>
  <c r="N5417" i="12"/>
  <c r="K5417" i="12"/>
  <c r="I5417" i="12"/>
  <c r="N5416" i="12"/>
  <c r="K5416" i="12"/>
  <c r="I5416" i="12"/>
  <c r="N5415" i="12"/>
  <c r="K5415" i="12"/>
  <c r="I5415" i="12"/>
  <c r="N5414" i="12"/>
  <c r="K5414" i="12"/>
  <c r="I5414" i="12"/>
  <c r="N5413" i="12"/>
  <c r="K5413" i="12"/>
  <c r="I5413" i="12"/>
  <c r="N5412" i="12"/>
  <c r="K5412" i="12"/>
  <c r="I5412" i="12"/>
  <c r="N5411" i="12"/>
  <c r="K5411" i="12"/>
  <c r="I5411" i="12"/>
  <c r="N5410" i="12"/>
  <c r="K5410" i="12"/>
  <c r="I5410" i="12"/>
  <c r="N5409" i="12"/>
  <c r="K5409" i="12"/>
  <c r="I5409" i="12"/>
  <c r="N5408" i="12"/>
  <c r="K5408" i="12"/>
  <c r="I5408" i="12"/>
  <c r="N5407" i="12"/>
  <c r="K5407" i="12"/>
  <c r="I5407" i="12"/>
  <c r="N5406" i="12"/>
  <c r="K5406" i="12"/>
  <c r="I5406" i="12"/>
  <c r="N5405" i="12"/>
  <c r="K5405" i="12"/>
  <c r="I5405" i="12"/>
  <c r="N5404" i="12"/>
  <c r="K5404" i="12"/>
  <c r="I5404" i="12"/>
  <c r="N5403" i="12"/>
  <c r="K5403" i="12"/>
  <c r="I5403" i="12"/>
  <c r="N5402" i="12"/>
  <c r="K5402" i="12"/>
  <c r="I5402" i="12"/>
  <c r="N5401" i="12"/>
  <c r="K5401" i="12"/>
  <c r="I5401" i="12"/>
  <c r="N5400" i="12"/>
  <c r="K5400" i="12"/>
  <c r="I5400" i="12"/>
  <c r="N5399" i="12"/>
  <c r="K5399" i="12"/>
  <c r="I5399" i="12"/>
  <c r="N5398" i="12"/>
  <c r="K5398" i="12"/>
  <c r="I5398" i="12"/>
  <c r="N5397" i="12"/>
  <c r="K5397" i="12"/>
  <c r="I5397" i="12"/>
  <c r="N5396" i="12"/>
  <c r="K5396" i="12"/>
  <c r="I5396" i="12"/>
  <c r="N5395" i="12"/>
  <c r="K5395" i="12"/>
  <c r="I5395" i="12"/>
  <c r="N5394" i="12"/>
  <c r="K5394" i="12"/>
  <c r="I5394" i="12"/>
  <c r="N5393" i="12"/>
  <c r="K5393" i="12"/>
  <c r="I5393" i="12"/>
  <c r="N5392" i="12"/>
  <c r="K5392" i="12"/>
  <c r="I5392" i="12"/>
  <c r="N5391" i="12"/>
  <c r="K5391" i="12"/>
  <c r="I5391" i="12"/>
  <c r="N5390" i="12"/>
  <c r="K5390" i="12"/>
  <c r="I5390" i="12"/>
  <c r="N5389" i="12"/>
  <c r="K5389" i="12"/>
  <c r="I5389" i="12"/>
  <c r="N5388" i="12"/>
  <c r="K5388" i="12"/>
  <c r="I5388" i="12"/>
  <c r="N5387" i="12"/>
  <c r="K5387" i="12"/>
  <c r="I5387" i="12"/>
  <c r="N5386" i="12"/>
  <c r="K5386" i="12"/>
  <c r="I5386" i="12"/>
  <c r="N5385" i="12"/>
  <c r="K5385" i="12"/>
  <c r="I5385" i="12"/>
  <c r="N5384" i="12"/>
  <c r="K5384" i="12"/>
  <c r="I5384" i="12"/>
  <c r="N5383" i="12"/>
  <c r="K5383" i="12"/>
  <c r="I5383" i="12"/>
  <c r="N5382" i="12"/>
  <c r="K5382" i="12"/>
  <c r="I5382" i="12"/>
  <c r="N5381" i="12"/>
  <c r="K5381" i="12"/>
  <c r="I5381" i="12"/>
  <c r="N5380" i="12"/>
  <c r="K5380" i="12"/>
  <c r="I5380" i="12"/>
  <c r="N5379" i="12"/>
  <c r="K5379" i="12"/>
  <c r="I5379" i="12"/>
  <c r="N5378" i="12"/>
  <c r="K5378" i="12"/>
  <c r="I5378" i="12"/>
  <c r="N5377" i="12"/>
  <c r="K5377" i="12"/>
  <c r="I5377" i="12"/>
  <c r="N5376" i="12"/>
  <c r="K5376" i="12"/>
  <c r="I5376" i="12"/>
  <c r="N5375" i="12"/>
  <c r="K5375" i="12"/>
  <c r="I5375" i="12"/>
  <c r="N5374" i="12"/>
  <c r="K5374" i="12"/>
  <c r="I5374" i="12"/>
  <c r="N5373" i="12"/>
  <c r="K5373" i="12"/>
  <c r="I5373" i="12"/>
  <c r="N5372" i="12"/>
  <c r="K5372" i="12"/>
  <c r="I5372" i="12"/>
  <c r="N5371" i="12"/>
  <c r="K5371" i="12"/>
  <c r="I5371" i="12"/>
  <c r="N5370" i="12"/>
  <c r="K5370" i="12"/>
  <c r="I5370" i="12"/>
  <c r="N5369" i="12"/>
  <c r="K5369" i="12"/>
  <c r="I5369" i="12"/>
  <c r="N5368" i="12"/>
  <c r="K5368" i="12"/>
  <c r="I5368" i="12"/>
  <c r="N5367" i="12"/>
  <c r="K5367" i="12"/>
  <c r="I5367" i="12"/>
  <c r="N5366" i="12"/>
  <c r="K5366" i="12"/>
  <c r="I5366" i="12"/>
  <c r="N5365" i="12"/>
  <c r="K5365" i="12"/>
  <c r="I5365" i="12"/>
  <c r="N5364" i="12"/>
  <c r="K5364" i="12"/>
  <c r="I5364" i="12"/>
  <c r="N5363" i="12"/>
  <c r="K5363" i="12"/>
  <c r="I5363" i="12"/>
  <c r="N5362" i="12"/>
  <c r="K5362" i="12"/>
  <c r="I5362" i="12"/>
  <c r="N5361" i="12"/>
  <c r="K5361" i="12"/>
  <c r="I5361" i="12"/>
  <c r="N5360" i="12"/>
  <c r="K5360" i="12"/>
  <c r="I5360" i="12"/>
  <c r="N5359" i="12"/>
  <c r="K5359" i="12"/>
  <c r="I5359" i="12"/>
  <c r="N5358" i="12"/>
  <c r="K5358" i="12"/>
  <c r="I5358" i="12"/>
  <c r="N5357" i="12"/>
  <c r="K5357" i="12"/>
  <c r="I5357" i="12"/>
  <c r="N5356" i="12"/>
  <c r="K5356" i="12"/>
  <c r="I5356" i="12"/>
  <c r="N5355" i="12"/>
  <c r="K5355" i="12"/>
  <c r="I5355" i="12"/>
  <c r="N5354" i="12"/>
  <c r="K5354" i="12"/>
  <c r="I5354" i="12"/>
  <c r="N5353" i="12"/>
  <c r="K5353" i="12"/>
  <c r="I5353" i="12"/>
  <c r="N5352" i="12"/>
  <c r="K5352" i="12"/>
  <c r="I5352" i="12"/>
  <c r="N5351" i="12"/>
  <c r="I5351" i="12"/>
  <c r="N5350" i="12"/>
  <c r="K5350" i="12"/>
  <c r="I5350" i="12"/>
  <c r="N5349" i="12"/>
  <c r="K5349" i="12"/>
  <c r="I5349" i="12"/>
  <c r="N5348" i="12"/>
  <c r="K5348" i="12"/>
  <c r="I5348" i="12"/>
  <c r="N5347" i="12"/>
  <c r="K5347" i="12"/>
  <c r="I5347" i="12"/>
  <c r="N5346" i="12"/>
  <c r="K5346" i="12"/>
  <c r="I5346" i="12"/>
  <c r="N5345" i="12"/>
  <c r="K5345" i="12"/>
  <c r="I5345" i="12"/>
  <c r="N5344" i="12"/>
  <c r="K5344" i="12"/>
  <c r="I5344" i="12"/>
  <c r="N5343" i="12"/>
  <c r="K5343" i="12"/>
  <c r="I5343" i="12"/>
  <c r="N5342" i="12"/>
  <c r="K5342" i="12"/>
  <c r="I5342" i="12"/>
  <c r="N5341" i="12"/>
  <c r="K5341" i="12"/>
  <c r="I5341" i="12"/>
  <c r="N5340" i="12"/>
  <c r="K5340" i="12"/>
  <c r="I5340" i="12"/>
  <c r="N5339" i="12"/>
  <c r="K5339" i="12"/>
  <c r="I5339" i="12"/>
  <c r="N5338" i="12"/>
  <c r="K5338" i="12"/>
  <c r="I5338" i="12"/>
  <c r="N5337" i="12"/>
  <c r="K5337" i="12"/>
  <c r="I5337" i="12"/>
  <c r="N5336" i="12"/>
  <c r="K5336" i="12"/>
  <c r="I5336" i="12"/>
  <c r="N5335" i="12"/>
  <c r="K5335" i="12"/>
  <c r="I5335" i="12"/>
  <c r="N5334" i="12"/>
  <c r="K5334" i="12"/>
  <c r="I5334" i="12"/>
  <c r="N5333" i="12"/>
  <c r="K5333" i="12"/>
  <c r="I5333" i="12"/>
  <c r="N5332" i="12"/>
  <c r="K5332" i="12"/>
  <c r="I5332" i="12"/>
  <c r="N5331" i="12"/>
  <c r="K5331" i="12"/>
  <c r="I5331" i="12"/>
  <c r="N5330" i="12"/>
  <c r="K5330" i="12"/>
  <c r="I5330" i="12"/>
  <c r="N5329" i="12"/>
  <c r="K5329" i="12"/>
  <c r="I5329" i="12"/>
  <c r="N5328" i="12"/>
  <c r="K5328" i="12"/>
  <c r="I5328" i="12"/>
  <c r="N5327" i="12"/>
  <c r="K5327" i="12"/>
  <c r="I5327" i="12"/>
  <c r="N5326" i="12"/>
  <c r="K5326" i="12"/>
  <c r="I5326" i="12"/>
  <c r="N5325" i="12"/>
  <c r="K5325" i="12"/>
  <c r="I5325" i="12"/>
  <c r="N5324" i="12"/>
  <c r="K5324" i="12"/>
  <c r="I5324" i="12"/>
  <c r="N5323" i="12"/>
  <c r="K5323" i="12"/>
  <c r="I5323" i="12"/>
  <c r="N5322" i="12"/>
  <c r="K5322" i="12"/>
  <c r="I5322" i="12"/>
  <c r="N5321" i="12"/>
  <c r="K5321" i="12"/>
  <c r="I5321" i="12"/>
  <c r="N5320" i="12"/>
  <c r="K5320" i="12"/>
  <c r="I5320" i="12"/>
  <c r="N5319" i="12"/>
  <c r="K5319" i="12"/>
  <c r="I5319" i="12"/>
  <c r="N5318" i="12"/>
  <c r="K5318" i="12"/>
  <c r="I5318" i="12"/>
  <c r="N5317" i="12"/>
  <c r="K5317" i="12"/>
  <c r="I5317" i="12"/>
  <c r="N5316" i="12"/>
  <c r="K5316" i="12"/>
  <c r="I5316" i="12"/>
  <c r="N5315" i="12"/>
  <c r="K5315" i="12"/>
  <c r="I5315" i="12"/>
  <c r="N5314" i="12"/>
  <c r="K5314" i="12"/>
  <c r="I5314" i="12"/>
  <c r="N5313" i="12"/>
  <c r="K5313" i="12"/>
  <c r="I5313" i="12"/>
  <c r="N5312" i="12"/>
  <c r="K5312" i="12"/>
  <c r="I5312" i="12"/>
  <c r="N5311" i="12"/>
  <c r="K5311" i="12"/>
  <c r="I5311" i="12"/>
  <c r="N5310" i="12"/>
  <c r="K5310" i="12"/>
  <c r="I5310" i="12"/>
  <c r="N5309" i="12"/>
  <c r="K5309" i="12"/>
  <c r="I5309" i="12"/>
  <c r="N5308" i="12"/>
  <c r="K5308" i="12"/>
  <c r="I5308" i="12"/>
  <c r="N5307" i="12"/>
  <c r="K5307" i="12"/>
  <c r="I5307" i="12"/>
  <c r="N5306" i="12"/>
  <c r="K5306" i="12"/>
  <c r="I5306" i="12"/>
  <c r="N5305" i="12"/>
  <c r="K5305" i="12"/>
  <c r="I5305" i="12"/>
  <c r="N5304" i="12"/>
  <c r="K5304" i="12"/>
  <c r="I5304" i="12"/>
  <c r="N5303" i="12"/>
  <c r="K5303" i="12"/>
  <c r="I5303" i="12"/>
  <c r="N5302" i="12"/>
  <c r="K5302" i="12"/>
  <c r="I5302" i="12"/>
  <c r="N5301" i="12"/>
  <c r="K5301" i="12"/>
  <c r="I5301" i="12"/>
  <c r="N5300" i="12"/>
  <c r="K5300" i="12"/>
  <c r="I5300" i="12"/>
  <c r="N5299" i="12"/>
  <c r="K5299" i="12"/>
  <c r="I5299" i="12"/>
  <c r="N5298" i="12"/>
  <c r="K5298" i="12"/>
  <c r="I5298" i="12"/>
  <c r="N5297" i="12"/>
  <c r="K5297" i="12"/>
  <c r="I5297" i="12"/>
  <c r="N5296" i="12"/>
  <c r="K5296" i="12"/>
  <c r="I5296" i="12"/>
  <c r="N5295" i="12"/>
  <c r="K5295" i="12"/>
  <c r="I5295" i="12"/>
  <c r="N5294" i="12"/>
  <c r="K5294" i="12"/>
  <c r="I5294" i="12"/>
  <c r="N5293" i="12"/>
  <c r="K5293" i="12"/>
  <c r="I5293" i="12"/>
  <c r="N5292" i="12"/>
  <c r="I5292" i="12"/>
  <c r="N5291" i="12"/>
  <c r="K5291" i="12"/>
  <c r="I5291" i="12"/>
  <c r="N5290" i="12"/>
  <c r="K5290" i="12"/>
  <c r="I5290" i="12"/>
  <c r="N5289" i="12"/>
  <c r="K5289" i="12"/>
  <c r="I5289" i="12"/>
  <c r="N5288" i="12"/>
  <c r="K5288" i="12"/>
  <c r="I5288" i="12"/>
  <c r="N5287" i="12"/>
  <c r="K5287" i="12"/>
  <c r="I5287" i="12"/>
  <c r="N5286" i="12"/>
  <c r="K5286" i="12"/>
  <c r="I5286" i="12"/>
  <c r="N5285" i="12"/>
  <c r="K5285" i="12"/>
  <c r="I5285" i="12"/>
  <c r="N5284" i="12"/>
  <c r="K5284" i="12"/>
  <c r="I5284" i="12"/>
  <c r="N5283" i="12"/>
  <c r="K5283" i="12"/>
  <c r="I5283" i="12"/>
  <c r="N5282" i="12"/>
  <c r="K5282" i="12"/>
  <c r="I5282" i="12"/>
  <c r="N5281" i="12"/>
  <c r="K5281" i="12"/>
  <c r="I5281" i="12"/>
  <c r="N5280" i="12"/>
  <c r="K5280" i="12"/>
  <c r="I5280" i="12"/>
  <c r="N5279" i="12"/>
  <c r="K5279" i="12"/>
  <c r="I5279" i="12"/>
  <c r="N5278" i="12"/>
  <c r="K5278" i="12"/>
  <c r="I5278" i="12"/>
  <c r="N5277" i="12"/>
  <c r="K5277" i="12"/>
  <c r="I5277" i="12"/>
  <c r="N5276" i="12"/>
  <c r="K5276" i="12"/>
  <c r="I5276" i="12"/>
  <c r="N5275" i="12"/>
  <c r="K5275" i="12"/>
  <c r="I5275" i="12"/>
  <c r="N5274" i="12"/>
  <c r="K5274" i="12"/>
  <c r="I5274" i="12"/>
  <c r="N5273" i="12"/>
  <c r="K5273" i="12"/>
  <c r="I5273" i="12"/>
  <c r="N5272" i="12"/>
  <c r="K5272" i="12"/>
  <c r="I5272" i="12"/>
  <c r="N5271" i="12"/>
  <c r="K5271" i="12"/>
  <c r="I5271" i="12"/>
  <c r="N5270" i="12"/>
  <c r="K5270" i="12"/>
  <c r="I5270" i="12"/>
  <c r="N5269" i="12"/>
  <c r="K5269" i="12"/>
  <c r="I5269" i="12"/>
  <c r="N5268" i="12"/>
  <c r="K5268" i="12"/>
  <c r="I5268" i="12"/>
  <c r="N5267" i="12"/>
  <c r="K5267" i="12"/>
  <c r="I5267" i="12"/>
  <c r="N5266" i="12"/>
  <c r="K5266" i="12"/>
  <c r="I5266" i="12"/>
  <c r="N5265" i="12"/>
  <c r="K5265" i="12"/>
  <c r="I5265" i="12"/>
  <c r="N5264" i="12"/>
  <c r="K5264" i="12"/>
  <c r="I5264" i="12"/>
  <c r="N5263" i="12"/>
  <c r="K5263" i="12"/>
  <c r="I5263" i="12"/>
  <c r="N5262" i="12"/>
  <c r="K5262" i="12"/>
  <c r="I5262" i="12"/>
  <c r="N5261" i="12"/>
  <c r="K5261" i="12"/>
  <c r="I5261" i="12"/>
  <c r="N5260" i="12"/>
  <c r="K5260" i="12"/>
  <c r="I5260" i="12"/>
  <c r="N5259" i="12"/>
  <c r="K5259" i="12"/>
  <c r="I5259" i="12"/>
  <c r="N5258" i="12"/>
  <c r="K5258" i="12"/>
  <c r="I5258" i="12"/>
  <c r="N5257" i="12"/>
  <c r="K5257" i="12"/>
  <c r="I5257" i="12"/>
  <c r="N5256" i="12"/>
  <c r="K5256" i="12"/>
  <c r="I5256" i="12"/>
  <c r="N5255" i="12"/>
  <c r="K5255" i="12"/>
  <c r="I5255" i="12"/>
  <c r="N5254" i="12"/>
  <c r="K5254" i="12"/>
  <c r="I5254" i="12"/>
  <c r="N5253" i="12"/>
  <c r="K5253" i="12"/>
  <c r="I5253" i="12"/>
  <c r="N5252" i="12"/>
  <c r="K5252" i="12"/>
  <c r="I5252" i="12"/>
  <c r="N5251" i="12"/>
  <c r="K5251" i="12"/>
  <c r="I5251" i="12"/>
  <c r="N5250" i="12"/>
  <c r="K5250" i="12"/>
  <c r="I5250" i="12"/>
  <c r="N5249" i="12"/>
  <c r="K5249" i="12"/>
  <c r="I5249" i="12"/>
  <c r="N5248" i="12"/>
  <c r="K5248" i="12"/>
  <c r="I5248" i="12"/>
  <c r="N5247" i="12"/>
  <c r="K5247" i="12"/>
  <c r="I5247" i="12"/>
  <c r="N5246" i="12"/>
  <c r="K5246" i="12"/>
  <c r="I5246" i="12"/>
  <c r="N5245" i="12"/>
  <c r="K5245" i="12"/>
  <c r="I5245" i="12"/>
  <c r="N5244" i="12"/>
  <c r="K5244" i="12"/>
  <c r="I5244" i="12"/>
  <c r="N5243" i="12"/>
  <c r="K5243" i="12"/>
  <c r="I5243" i="12"/>
  <c r="N5242" i="12"/>
  <c r="K5242" i="12"/>
  <c r="I5242" i="12"/>
  <c r="N5241" i="12"/>
  <c r="K5241" i="12"/>
  <c r="I5241" i="12"/>
  <c r="N5240" i="12"/>
  <c r="K5240" i="12"/>
  <c r="I5240" i="12"/>
  <c r="N5239" i="12"/>
  <c r="K5239" i="12"/>
  <c r="I5239" i="12"/>
  <c r="N5238" i="12"/>
  <c r="K5238" i="12"/>
  <c r="I5238" i="12"/>
  <c r="N5237" i="12"/>
  <c r="K5237" i="12"/>
  <c r="I5237" i="12"/>
  <c r="N5236" i="12"/>
  <c r="K5236" i="12"/>
  <c r="I5236" i="12"/>
  <c r="N5235" i="12"/>
  <c r="K5235" i="12"/>
  <c r="I5235" i="12"/>
  <c r="N5234" i="12"/>
  <c r="K5234" i="12"/>
  <c r="I5234" i="12"/>
  <c r="N5233" i="12"/>
  <c r="K5233" i="12"/>
  <c r="I5233" i="12"/>
  <c r="N5232" i="12"/>
  <c r="K5232" i="12"/>
  <c r="I5232" i="12"/>
  <c r="N5231" i="12"/>
  <c r="K5231" i="12"/>
  <c r="I5231" i="12"/>
  <c r="N5230" i="12"/>
  <c r="K5230" i="12"/>
  <c r="I5230" i="12"/>
  <c r="N5229" i="12"/>
  <c r="K5229" i="12"/>
  <c r="I5229" i="12"/>
  <c r="N5228" i="12"/>
  <c r="K5228" i="12"/>
  <c r="I5228" i="12"/>
  <c r="N5227" i="12"/>
  <c r="K5227" i="12"/>
  <c r="I5227" i="12"/>
  <c r="N5226" i="12"/>
  <c r="K5226" i="12"/>
  <c r="I5226" i="12"/>
  <c r="N5225" i="12"/>
  <c r="K5225" i="12"/>
  <c r="I5225" i="12"/>
  <c r="N5224" i="12"/>
  <c r="K5224" i="12"/>
  <c r="I5224" i="12"/>
  <c r="N5223" i="12"/>
  <c r="K5223" i="12"/>
  <c r="I5223" i="12"/>
  <c r="N5222" i="12"/>
  <c r="K5222" i="12"/>
  <c r="I5222" i="12"/>
  <c r="N5221" i="12"/>
  <c r="K5221" i="12"/>
  <c r="I5221" i="12"/>
  <c r="N5220" i="12"/>
  <c r="K5220" i="12"/>
  <c r="I5220" i="12"/>
  <c r="N5219" i="12"/>
  <c r="K5219" i="12"/>
  <c r="I5219" i="12"/>
  <c r="N5218" i="12"/>
  <c r="K5218" i="12"/>
  <c r="I5218" i="12"/>
  <c r="N5217" i="12"/>
  <c r="K5217" i="12"/>
  <c r="I5217" i="12"/>
  <c r="N5216" i="12"/>
  <c r="K5216" i="12"/>
  <c r="I5216" i="12"/>
  <c r="N5215" i="12"/>
  <c r="K5215" i="12"/>
  <c r="I5215" i="12"/>
  <c r="N5214" i="12"/>
  <c r="K5214" i="12"/>
  <c r="I5214" i="12"/>
  <c r="N5213" i="12"/>
  <c r="K5213" i="12"/>
  <c r="I5213" i="12"/>
  <c r="N5212" i="12"/>
  <c r="K5212" i="12"/>
  <c r="I5212" i="12"/>
  <c r="N5211" i="12"/>
  <c r="K5211" i="12"/>
  <c r="I5211" i="12"/>
  <c r="N5210" i="12"/>
  <c r="K5210" i="12"/>
  <c r="I5210" i="12"/>
  <c r="N5209" i="12"/>
  <c r="K5209" i="12"/>
  <c r="I5209" i="12"/>
  <c r="N5208" i="12"/>
  <c r="K5208" i="12"/>
  <c r="I5208" i="12"/>
  <c r="N5207" i="12"/>
  <c r="K5207" i="12"/>
  <c r="I5207" i="12"/>
  <c r="N5206" i="12"/>
  <c r="K5206" i="12"/>
  <c r="I5206" i="12"/>
  <c r="N5205" i="12"/>
  <c r="K5205" i="12"/>
  <c r="I5205" i="12"/>
  <c r="N5204" i="12"/>
  <c r="I5204" i="12"/>
  <c r="N5203" i="12"/>
  <c r="K5203" i="12"/>
  <c r="I5203" i="12"/>
  <c r="N5202" i="12"/>
  <c r="K5202" i="12"/>
  <c r="I5202" i="12"/>
  <c r="N5201" i="12"/>
  <c r="K5201" i="12"/>
  <c r="I5201" i="12"/>
  <c r="N5200" i="12"/>
  <c r="K5200" i="12"/>
  <c r="I5200" i="12"/>
  <c r="N5199" i="12"/>
  <c r="K5199" i="12"/>
  <c r="I5199" i="12"/>
  <c r="N5198" i="12"/>
  <c r="K5198" i="12"/>
  <c r="I5198" i="12"/>
  <c r="N5197" i="12"/>
  <c r="K5197" i="12"/>
  <c r="I5197" i="12"/>
  <c r="N5196" i="12"/>
  <c r="K5196" i="12"/>
  <c r="I5196" i="12"/>
  <c r="N5195" i="12"/>
  <c r="K5195" i="12"/>
  <c r="I5195" i="12"/>
  <c r="N5194" i="12"/>
  <c r="K5194" i="12"/>
  <c r="I5194" i="12"/>
  <c r="N5193" i="12"/>
  <c r="K5193" i="12"/>
  <c r="I5193" i="12"/>
  <c r="N5192" i="12"/>
  <c r="K5192" i="12"/>
  <c r="I5192" i="12"/>
  <c r="N5191" i="12"/>
  <c r="K5191" i="12"/>
  <c r="I5191" i="12"/>
  <c r="N5190" i="12"/>
  <c r="K5190" i="12"/>
  <c r="I5190" i="12"/>
  <c r="N5189" i="12"/>
  <c r="K5189" i="12"/>
  <c r="I5189" i="12"/>
  <c r="N5188" i="12"/>
  <c r="K5188" i="12"/>
  <c r="I5188" i="12"/>
  <c r="N5187" i="12"/>
  <c r="K5187" i="12"/>
  <c r="I5187" i="12"/>
  <c r="N5186" i="12"/>
  <c r="K5186" i="12"/>
  <c r="I5186" i="12"/>
  <c r="N5185" i="12"/>
  <c r="K5185" i="12"/>
  <c r="I5185" i="12"/>
  <c r="N5184" i="12"/>
  <c r="K5184" i="12"/>
  <c r="I5184" i="12"/>
  <c r="N5183" i="12"/>
  <c r="K5183" i="12"/>
  <c r="I5183" i="12"/>
  <c r="N5182" i="12"/>
  <c r="K5182" i="12"/>
  <c r="I5182" i="12"/>
  <c r="N5181" i="12"/>
  <c r="K5181" i="12"/>
  <c r="I5181" i="12"/>
  <c r="N5180" i="12"/>
  <c r="K5180" i="12"/>
  <c r="I5180" i="12"/>
  <c r="N5179" i="12"/>
  <c r="K5179" i="12"/>
  <c r="I5179" i="12"/>
  <c r="N5178" i="12"/>
  <c r="K5178" i="12"/>
  <c r="I5178" i="12"/>
  <c r="N5177" i="12"/>
  <c r="K5177" i="12"/>
  <c r="I5177" i="12"/>
  <c r="N5176" i="12"/>
  <c r="K5176" i="12"/>
  <c r="I5176" i="12"/>
  <c r="N5175" i="12"/>
  <c r="K5175" i="12"/>
  <c r="I5175" i="12"/>
  <c r="N5174" i="12"/>
  <c r="K5174" i="12"/>
  <c r="I5174" i="12"/>
  <c r="N5173" i="12"/>
  <c r="K5173" i="12"/>
  <c r="I5173" i="12"/>
  <c r="N5172" i="12"/>
  <c r="K5172" i="12"/>
  <c r="I5172" i="12"/>
  <c r="N5171" i="12"/>
  <c r="K5171" i="12"/>
  <c r="I5171" i="12"/>
  <c r="N5170" i="12"/>
  <c r="K5170" i="12"/>
  <c r="I5170" i="12"/>
  <c r="N5169" i="12"/>
  <c r="K5169" i="12"/>
  <c r="I5169" i="12"/>
  <c r="N5168" i="12"/>
  <c r="K5168" i="12"/>
  <c r="I5168" i="12"/>
  <c r="N5167" i="12"/>
  <c r="K5167" i="12"/>
  <c r="I5167" i="12"/>
  <c r="N5166" i="12"/>
  <c r="K5166" i="12"/>
  <c r="I5166" i="12"/>
  <c r="N5165" i="12"/>
  <c r="K5165" i="12"/>
  <c r="I5165" i="12"/>
  <c r="N5164" i="12"/>
  <c r="K5164" i="12"/>
  <c r="I5164" i="12"/>
  <c r="N5163" i="12"/>
  <c r="K5163" i="12"/>
  <c r="I5163" i="12"/>
  <c r="N5162" i="12"/>
  <c r="K5162" i="12"/>
  <c r="I5162" i="12"/>
  <c r="N5161" i="12"/>
  <c r="K5161" i="12"/>
  <c r="I5161" i="12"/>
  <c r="N5160" i="12"/>
  <c r="K5160" i="12"/>
  <c r="I5160" i="12"/>
  <c r="N5159" i="12"/>
  <c r="K5159" i="12"/>
  <c r="I5159" i="12"/>
  <c r="N5158" i="12"/>
  <c r="K5158" i="12"/>
  <c r="I5158" i="12"/>
  <c r="N5157" i="12"/>
  <c r="K5157" i="12"/>
  <c r="I5157" i="12"/>
  <c r="N5156" i="12"/>
  <c r="K5156" i="12"/>
  <c r="I5156" i="12"/>
  <c r="N5155" i="12"/>
  <c r="K5155" i="12"/>
  <c r="I5155" i="12"/>
  <c r="N5154" i="12"/>
  <c r="K5154" i="12"/>
  <c r="I5154" i="12"/>
  <c r="N5153" i="12"/>
  <c r="K5153" i="12"/>
  <c r="I5153" i="12"/>
  <c r="N5152" i="12"/>
  <c r="K5152" i="12"/>
  <c r="I5152" i="12"/>
  <c r="N5151" i="12"/>
  <c r="K5151" i="12"/>
  <c r="I5151" i="12"/>
  <c r="N5150" i="12"/>
  <c r="K5150" i="12"/>
  <c r="I5150" i="12"/>
  <c r="N5149" i="12"/>
  <c r="K5149" i="12"/>
  <c r="I5149" i="12"/>
  <c r="N5148" i="12"/>
  <c r="K5148" i="12"/>
  <c r="I5148" i="12"/>
  <c r="N5147" i="12"/>
  <c r="K5147" i="12"/>
  <c r="I5147" i="12"/>
  <c r="N5146" i="12"/>
  <c r="K5146" i="12"/>
  <c r="I5146" i="12"/>
  <c r="N5145" i="12"/>
  <c r="K5145" i="12"/>
  <c r="I5145" i="12"/>
  <c r="N5144" i="12"/>
  <c r="K5144" i="12"/>
  <c r="I5144" i="12"/>
  <c r="N5143" i="12"/>
  <c r="K5143" i="12"/>
  <c r="I5143" i="12"/>
  <c r="N5142" i="12"/>
  <c r="K5142" i="12"/>
  <c r="I5142" i="12"/>
  <c r="N5141" i="12"/>
  <c r="K5141" i="12"/>
  <c r="I5141" i="12"/>
  <c r="N5140" i="12"/>
  <c r="K5140" i="12"/>
  <c r="I5140" i="12"/>
  <c r="N5139" i="12"/>
  <c r="K5139" i="12"/>
  <c r="I5139" i="12"/>
  <c r="N5138" i="12"/>
  <c r="K5138" i="12"/>
  <c r="I5138" i="12"/>
  <c r="N5137" i="12"/>
  <c r="K5137" i="12"/>
  <c r="I5137" i="12"/>
  <c r="N5136" i="12"/>
  <c r="K5136" i="12"/>
  <c r="I5136" i="12"/>
  <c r="N5135" i="12"/>
  <c r="K5135" i="12"/>
  <c r="I5135" i="12"/>
  <c r="N5134" i="12"/>
  <c r="K5134" i="12"/>
  <c r="I5134" i="12"/>
  <c r="N5133" i="12"/>
  <c r="K5133" i="12"/>
  <c r="I5133" i="12"/>
  <c r="N5132" i="12"/>
  <c r="K5132" i="12"/>
  <c r="I5132" i="12"/>
  <c r="N5131" i="12"/>
  <c r="K5131" i="12"/>
  <c r="I5131" i="12"/>
  <c r="N5130" i="12"/>
  <c r="K5130" i="12"/>
  <c r="I5130" i="12"/>
  <c r="N5129" i="12"/>
  <c r="K5129" i="12"/>
  <c r="I5129" i="12"/>
  <c r="N5128" i="12"/>
  <c r="K5128" i="12"/>
  <c r="I5128" i="12"/>
  <c r="N5127" i="12"/>
  <c r="K5127" i="12"/>
  <c r="I5127" i="12"/>
  <c r="N5126" i="12"/>
  <c r="K5126" i="12"/>
  <c r="I5126" i="12"/>
  <c r="N5125" i="12"/>
  <c r="K5125" i="12"/>
  <c r="I5125" i="12"/>
  <c r="N5124" i="12"/>
  <c r="K5124" i="12"/>
  <c r="I5124" i="12"/>
  <c r="N5123" i="12"/>
  <c r="K5123" i="12"/>
  <c r="I5123" i="12"/>
  <c r="N5122" i="12"/>
  <c r="K5122" i="12"/>
  <c r="I5122" i="12"/>
  <c r="N5121" i="12"/>
  <c r="K5121" i="12"/>
  <c r="I5121" i="12"/>
  <c r="N5120" i="12"/>
  <c r="K5120" i="12"/>
  <c r="I5120" i="12"/>
  <c r="N5119" i="12"/>
  <c r="K5119" i="12"/>
  <c r="I5119" i="12"/>
  <c r="N5118" i="12"/>
  <c r="K5118" i="12"/>
  <c r="I5118" i="12"/>
  <c r="N5117" i="12"/>
  <c r="K5117" i="12"/>
  <c r="I5117" i="12"/>
  <c r="N5116" i="12"/>
  <c r="K5116" i="12"/>
  <c r="I5116" i="12"/>
  <c r="N5115" i="12"/>
  <c r="K5115" i="12"/>
  <c r="I5115" i="12"/>
  <c r="N5114" i="12"/>
  <c r="K5114" i="12"/>
  <c r="I5114" i="12"/>
  <c r="N5113" i="12"/>
  <c r="K5113" i="12"/>
  <c r="I5113" i="12"/>
  <c r="N5112" i="12"/>
  <c r="K5112" i="12"/>
  <c r="I5112" i="12"/>
  <c r="N5111" i="12"/>
  <c r="K5111" i="12"/>
  <c r="I5111" i="12"/>
  <c r="N5110" i="12"/>
  <c r="K5110" i="12"/>
  <c r="I5110" i="12"/>
  <c r="N5109" i="12"/>
  <c r="K5109" i="12"/>
  <c r="I5109" i="12"/>
  <c r="N5108" i="12"/>
  <c r="K5108" i="12"/>
  <c r="I5108" i="12"/>
  <c r="N5107" i="12"/>
  <c r="K5107" i="12"/>
  <c r="I5107" i="12"/>
  <c r="N5106" i="12"/>
  <c r="K5106" i="12"/>
  <c r="I5106" i="12"/>
  <c r="N5105" i="12"/>
  <c r="K5105" i="12"/>
  <c r="I5105" i="12"/>
  <c r="N5104" i="12"/>
  <c r="K5104" i="12"/>
  <c r="I5104" i="12"/>
  <c r="N5103" i="12"/>
  <c r="K5103" i="12"/>
  <c r="I5103" i="12"/>
  <c r="N5102" i="12"/>
  <c r="K5102" i="12"/>
  <c r="I5102" i="12"/>
  <c r="N5101" i="12"/>
  <c r="K5101" i="12"/>
  <c r="I5101" i="12"/>
  <c r="N5100" i="12"/>
  <c r="K5100" i="12"/>
  <c r="I5100" i="12"/>
  <c r="N5099" i="12"/>
  <c r="K5099" i="12"/>
  <c r="I5099" i="12"/>
  <c r="N5098" i="12"/>
  <c r="K5098" i="12"/>
  <c r="I5098" i="12"/>
  <c r="N5097" i="12"/>
  <c r="K5097" i="12"/>
  <c r="I5097" i="12"/>
  <c r="N5096" i="12"/>
  <c r="K5096" i="12"/>
  <c r="I5096" i="12"/>
  <c r="N5095" i="12"/>
  <c r="K5095" i="12"/>
  <c r="I5095" i="12"/>
  <c r="N5094" i="12"/>
  <c r="K5094" i="12"/>
  <c r="I5094" i="12"/>
  <c r="N5093" i="12"/>
  <c r="K5093" i="12"/>
  <c r="I5093" i="12"/>
  <c r="N5092" i="12"/>
  <c r="K5092" i="12"/>
  <c r="I5092" i="12"/>
  <c r="N5091" i="12"/>
  <c r="K5091" i="12"/>
  <c r="I5091" i="12"/>
  <c r="N5090" i="12"/>
  <c r="K5090" i="12"/>
  <c r="I5090" i="12"/>
  <c r="N5089" i="12"/>
  <c r="K5089" i="12"/>
  <c r="I5089" i="12"/>
  <c r="N5088" i="12"/>
  <c r="K5088" i="12"/>
  <c r="I5088" i="12"/>
  <c r="N5087" i="12"/>
  <c r="K5087" i="12"/>
  <c r="I5087" i="12"/>
  <c r="N5086" i="12"/>
  <c r="K5086" i="12"/>
  <c r="I5086" i="12"/>
  <c r="N5085" i="12"/>
  <c r="K5085" i="12"/>
  <c r="I5085" i="12"/>
  <c r="N5084" i="12"/>
  <c r="K5084" i="12"/>
  <c r="I5084" i="12"/>
  <c r="N5083" i="12"/>
  <c r="K5083" i="12"/>
  <c r="I5083" i="12"/>
  <c r="N5082" i="12"/>
  <c r="K5082" i="12"/>
  <c r="I5082" i="12"/>
  <c r="N5081" i="12"/>
  <c r="K5081" i="12"/>
  <c r="I5081" i="12"/>
  <c r="N5080" i="12"/>
  <c r="K5080" i="12"/>
  <c r="I5080" i="12"/>
  <c r="N5079" i="12"/>
  <c r="K5079" i="12"/>
  <c r="I5079" i="12"/>
  <c r="N5078" i="12"/>
  <c r="K5078" i="12"/>
  <c r="I5078" i="12"/>
  <c r="N5077" i="12"/>
  <c r="K5077" i="12"/>
  <c r="I5077" i="12"/>
  <c r="N5076" i="12"/>
  <c r="K5076" i="12"/>
  <c r="I5076" i="12"/>
  <c r="N5075" i="12"/>
  <c r="K5075" i="12"/>
  <c r="I5075" i="12"/>
  <c r="N5074" i="12"/>
  <c r="K5074" i="12"/>
  <c r="I5074" i="12"/>
  <c r="N5073" i="12"/>
  <c r="K5073" i="12"/>
  <c r="I5073" i="12"/>
  <c r="N5072" i="12"/>
  <c r="K5072" i="12"/>
  <c r="I5072" i="12"/>
  <c r="N5071" i="12"/>
  <c r="K5071" i="12"/>
  <c r="I5071" i="12"/>
  <c r="N5070" i="12"/>
  <c r="K5070" i="12"/>
  <c r="I5070" i="12"/>
  <c r="N5069" i="12"/>
  <c r="K5069" i="12"/>
  <c r="I5069" i="12"/>
  <c r="N5068" i="12"/>
  <c r="K5068" i="12"/>
  <c r="I5068" i="12"/>
  <c r="N5067" i="12"/>
  <c r="K5067" i="12"/>
  <c r="I5067" i="12"/>
  <c r="N5066" i="12"/>
  <c r="K5066" i="12"/>
  <c r="I5066" i="12"/>
  <c r="N5065" i="12"/>
  <c r="K5065" i="12"/>
  <c r="I5065" i="12"/>
  <c r="N5064" i="12"/>
  <c r="K5064" i="12"/>
  <c r="I5064" i="12"/>
  <c r="N5063" i="12"/>
  <c r="K5063" i="12"/>
  <c r="I5063" i="12"/>
  <c r="N5062" i="12"/>
  <c r="K5062" i="12"/>
  <c r="I5062" i="12"/>
  <c r="N5061" i="12"/>
  <c r="K5061" i="12"/>
  <c r="I5061" i="12"/>
  <c r="N5060" i="12"/>
  <c r="K5060" i="12"/>
  <c r="I5060" i="12"/>
  <c r="N5059" i="12"/>
  <c r="K5059" i="12"/>
  <c r="I5059" i="12"/>
  <c r="N5058" i="12"/>
  <c r="K5058" i="12"/>
  <c r="I5058" i="12"/>
  <c r="N5057" i="12"/>
  <c r="K5057" i="12"/>
  <c r="I5057" i="12"/>
  <c r="N5056" i="12"/>
  <c r="K5056" i="12"/>
  <c r="I5056" i="12"/>
  <c r="N5055" i="12"/>
  <c r="K5055" i="12"/>
  <c r="I5055" i="12"/>
  <c r="N5054" i="12"/>
  <c r="K5054" i="12"/>
  <c r="I5054" i="12"/>
  <c r="N5053" i="12"/>
  <c r="K5053" i="12"/>
  <c r="I5053" i="12"/>
  <c r="N5052" i="12"/>
  <c r="K5052" i="12"/>
  <c r="I5052" i="12"/>
  <c r="N5051" i="12"/>
  <c r="K5051" i="12"/>
  <c r="I5051" i="12"/>
  <c r="N5050" i="12"/>
  <c r="K5050" i="12"/>
  <c r="I5050" i="12"/>
  <c r="N5049" i="12"/>
  <c r="K5049" i="12"/>
  <c r="I5049" i="12"/>
  <c r="N5048" i="12"/>
  <c r="K5048" i="12"/>
  <c r="I5048" i="12"/>
  <c r="N5047" i="12"/>
  <c r="K5047" i="12"/>
  <c r="I5047" i="12"/>
  <c r="N5046" i="12"/>
  <c r="K5046" i="12"/>
  <c r="I5046" i="12"/>
  <c r="N5045" i="12"/>
  <c r="K5045" i="12"/>
  <c r="I5045" i="12"/>
  <c r="N5044" i="12"/>
  <c r="K5044" i="12"/>
  <c r="I5044" i="12"/>
  <c r="N5043" i="12"/>
  <c r="K5043" i="12"/>
  <c r="I5043" i="12"/>
  <c r="N5042" i="12"/>
  <c r="K5042" i="12"/>
  <c r="I5042" i="12"/>
  <c r="N5041" i="12"/>
  <c r="K5041" i="12"/>
  <c r="I5041" i="12"/>
  <c r="N5040" i="12"/>
  <c r="K5040" i="12"/>
  <c r="I5040" i="12"/>
  <c r="N5039" i="12"/>
  <c r="K5039" i="12"/>
  <c r="I5039" i="12"/>
  <c r="N5038" i="12"/>
  <c r="K5038" i="12"/>
  <c r="I5038" i="12"/>
  <c r="N5037" i="12"/>
  <c r="K5037" i="12"/>
  <c r="I5037" i="12"/>
  <c r="N5036" i="12"/>
  <c r="K5036" i="12"/>
  <c r="I5036" i="12"/>
  <c r="N5035" i="12"/>
  <c r="K5035" i="12"/>
  <c r="I5035" i="12"/>
  <c r="N5034" i="12"/>
  <c r="K5034" i="12"/>
  <c r="I5034" i="12"/>
  <c r="N5033" i="12"/>
  <c r="K5033" i="12"/>
  <c r="I5033" i="12"/>
  <c r="N5032" i="12"/>
  <c r="K5032" i="12"/>
  <c r="I5032" i="12"/>
  <c r="N5031" i="12"/>
  <c r="K5031" i="12"/>
  <c r="I5031" i="12"/>
  <c r="N5030" i="12"/>
  <c r="K5030" i="12"/>
  <c r="I5030" i="12"/>
  <c r="N5029" i="12"/>
  <c r="K5029" i="12"/>
  <c r="I5029" i="12"/>
  <c r="N5028" i="12"/>
  <c r="K5028" i="12"/>
  <c r="I5028" i="12"/>
  <c r="N5027" i="12"/>
  <c r="K5027" i="12"/>
  <c r="I5027" i="12"/>
  <c r="N5026" i="12"/>
  <c r="K5026" i="12"/>
  <c r="I5026" i="12"/>
  <c r="N5025" i="12"/>
  <c r="K5025" i="12"/>
  <c r="I5025" i="12"/>
  <c r="N5024" i="12"/>
  <c r="K5024" i="12"/>
  <c r="I5024" i="12"/>
  <c r="N5023" i="12"/>
  <c r="K5023" i="12"/>
  <c r="I5023" i="12"/>
  <c r="N5022" i="12"/>
  <c r="K5022" i="12"/>
  <c r="I5022" i="12"/>
  <c r="N5021" i="12"/>
  <c r="K5021" i="12"/>
  <c r="I5021" i="12"/>
  <c r="N5020" i="12"/>
  <c r="K5020" i="12"/>
  <c r="I5020" i="12"/>
  <c r="N5019" i="12"/>
  <c r="K5019" i="12"/>
  <c r="I5019" i="12"/>
  <c r="N5018" i="12"/>
  <c r="K5018" i="12"/>
  <c r="I5018" i="12"/>
  <c r="N5017" i="12"/>
  <c r="K5017" i="12"/>
  <c r="I5017" i="12"/>
  <c r="N5016" i="12"/>
  <c r="K5016" i="12"/>
  <c r="I5016" i="12"/>
  <c r="N5015" i="12"/>
  <c r="K5015" i="12"/>
  <c r="I5015" i="12"/>
  <c r="N5014" i="12"/>
  <c r="K5014" i="12"/>
  <c r="I5014" i="12"/>
  <c r="N5013" i="12"/>
  <c r="K5013" i="12"/>
  <c r="I5013" i="12"/>
  <c r="N5012" i="12"/>
  <c r="K5012" i="12"/>
  <c r="I5012" i="12"/>
  <c r="N5011" i="12"/>
  <c r="K5011" i="12"/>
  <c r="I5011" i="12"/>
  <c r="N5010" i="12"/>
  <c r="K5010" i="12"/>
  <c r="I5010" i="12"/>
  <c r="N5009" i="12"/>
  <c r="K5009" i="12"/>
  <c r="I5009" i="12"/>
  <c r="N5008" i="12"/>
  <c r="K5008" i="12"/>
  <c r="I5008" i="12"/>
  <c r="N5007" i="12"/>
  <c r="K5007" i="12"/>
  <c r="I5007" i="12"/>
  <c r="N5006" i="12"/>
  <c r="K5006" i="12"/>
  <c r="I5006" i="12"/>
  <c r="N5005" i="12"/>
  <c r="K5005" i="12"/>
  <c r="I5005" i="12"/>
  <c r="N5004" i="12"/>
  <c r="K5004" i="12"/>
  <c r="I5004" i="12"/>
  <c r="N5003" i="12"/>
  <c r="K5003" i="12"/>
  <c r="I5003" i="12"/>
  <c r="N5002" i="12"/>
  <c r="K5002" i="12"/>
  <c r="I5002" i="12"/>
  <c r="N5001" i="12"/>
  <c r="K5001" i="12"/>
  <c r="I5001" i="12"/>
  <c r="N5000" i="12"/>
  <c r="K5000" i="12"/>
  <c r="I5000" i="12"/>
  <c r="N4999" i="12"/>
  <c r="K4999" i="12"/>
  <c r="I4999" i="12"/>
  <c r="N4998" i="12"/>
  <c r="K4998" i="12"/>
  <c r="I4998" i="12"/>
  <c r="N4997" i="12"/>
  <c r="K4997" i="12"/>
  <c r="I4997" i="12"/>
  <c r="N4996" i="12"/>
  <c r="K4996" i="12"/>
  <c r="I4996" i="12"/>
  <c r="N4995" i="12"/>
  <c r="K4995" i="12"/>
  <c r="I4995" i="12"/>
  <c r="N4994" i="12"/>
  <c r="K4994" i="12"/>
  <c r="I4994" i="12"/>
  <c r="N4993" i="12"/>
  <c r="K4993" i="12"/>
  <c r="I4993" i="12"/>
  <c r="N4992" i="12"/>
  <c r="K4992" i="12"/>
  <c r="I4992" i="12"/>
  <c r="N4991" i="12"/>
  <c r="K4991" i="12"/>
  <c r="I4991" i="12"/>
  <c r="N4990" i="12"/>
  <c r="K4990" i="12"/>
  <c r="I4990" i="12"/>
  <c r="N4989" i="12"/>
  <c r="K4989" i="12"/>
  <c r="I4989" i="12"/>
  <c r="N4988" i="12"/>
  <c r="K4988" i="12"/>
  <c r="I4988" i="12"/>
  <c r="N4987" i="12"/>
  <c r="K4987" i="12"/>
  <c r="I4987" i="12"/>
  <c r="N4986" i="12"/>
  <c r="K4986" i="12"/>
  <c r="I4986" i="12"/>
  <c r="N4985" i="12"/>
  <c r="K4985" i="12"/>
  <c r="I4985" i="12"/>
  <c r="N4984" i="12"/>
  <c r="K4984" i="12"/>
  <c r="I4984" i="12"/>
  <c r="N4983" i="12"/>
  <c r="K4983" i="12"/>
  <c r="I4983" i="12"/>
  <c r="N4982" i="12"/>
  <c r="K4982" i="12"/>
  <c r="I4982" i="12"/>
  <c r="N4981" i="12"/>
  <c r="K4981" i="12"/>
  <c r="I4981" i="12"/>
  <c r="N4980" i="12"/>
  <c r="K4980" i="12"/>
  <c r="I4980" i="12"/>
  <c r="N4979" i="12"/>
  <c r="K4979" i="12"/>
  <c r="I4979" i="12"/>
  <c r="N4978" i="12"/>
  <c r="K4978" i="12"/>
  <c r="I4978" i="12"/>
  <c r="N4977" i="12"/>
  <c r="K4977" i="12"/>
  <c r="I4977" i="12"/>
  <c r="N4976" i="12"/>
  <c r="K4976" i="12"/>
  <c r="I4976" i="12"/>
  <c r="N4975" i="12"/>
  <c r="K4975" i="12"/>
  <c r="I4975" i="12"/>
  <c r="N4974" i="12"/>
  <c r="K4974" i="12"/>
  <c r="I4974" i="12"/>
  <c r="N4973" i="12"/>
  <c r="K4973" i="12"/>
  <c r="I4973" i="12"/>
  <c r="N4972" i="12"/>
  <c r="K4972" i="12"/>
  <c r="I4972" i="12"/>
  <c r="N4971" i="12"/>
  <c r="K4971" i="12"/>
  <c r="I4971" i="12"/>
  <c r="N4970" i="12"/>
  <c r="K4970" i="12"/>
  <c r="I4970" i="12"/>
  <c r="N4969" i="12"/>
  <c r="K4969" i="12"/>
  <c r="I4969" i="12"/>
  <c r="N4968" i="12"/>
  <c r="K4968" i="12"/>
  <c r="I4968" i="12"/>
  <c r="N4967" i="12"/>
  <c r="K4967" i="12"/>
  <c r="I4967" i="12"/>
  <c r="N4966" i="12"/>
  <c r="K4966" i="12"/>
  <c r="I4966" i="12"/>
  <c r="N4965" i="12"/>
  <c r="K4965" i="12"/>
  <c r="I4965" i="12"/>
  <c r="N4964" i="12"/>
  <c r="K4964" i="12"/>
  <c r="I4964" i="12"/>
  <c r="N4963" i="12"/>
  <c r="K4963" i="12"/>
  <c r="I4963" i="12"/>
  <c r="N4962" i="12"/>
  <c r="K4962" i="12"/>
  <c r="I4962" i="12"/>
  <c r="N4961" i="12"/>
  <c r="K4961" i="12"/>
  <c r="I4961" i="12"/>
  <c r="N4960" i="12"/>
  <c r="K4960" i="12"/>
  <c r="I4960" i="12"/>
  <c r="N4959" i="12"/>
  <c r="K4959" i="12"/>
  <c r="I4959" i="12"/>
  <c r="N4958" i="12"/>
  <c r="K4958" i="12"/>
  <c r="I4958" i="12"/>
  <c r="N4957" i="12"/>
  <c r="K4957" i="12"/>
  <c r="I4957" i="12"/>
  <c r="N4956" i="12"/>
  <c r="K4956" i="12"/>
  <c r="I4956" i="12"/>
  <c r="N4955" i="12"/>
  <c r="K4955" i="12"/>
  <c r="I4955" i="12"/>
  <c r="N4954" i="12"/>
  <c r="K4954" i="12"/>
  <c r="I4954" i="12"/>
  <c r="N4953" i="12"/>
  <c r="K4953" i="12"/>
  <c r="I4953" i="12"/>
  <c r="N4952" i="12"/>
  <c r="K4952" i="12"/>
  <c r="I4952" i="12"/>
  <c r="N4951" i="12"/>
  <c r="K4951" i="12"/>
  <c r="I4951" i="12"/>
  <c r="N4950" i="12"/>
  <c r="K4950" i="12"/>
  <c r="I4950" i="12"/>
  <c r="N4949" i="12"/>
  <c r="K4949" i="12"/>
  <c r="I4949" i="12"/>
  <c r="N4948" i="12"/>
  <c r="K4948" i="12"/>
  <c r="I4948" i="12"/>
  <c r="N4947" i="12"/>
  <c r="K4947" i="12"/>
  <c r="I4947" i="12"/>
  <c r="N4946" i="12"/>
  <c r="K4946" i="12"/>
  <c r="I4946" i="12"/>
  <c r="N4945" i="12"/>
  <c r="K4945" i="12"/>
  <c r="I4945" i="12"/>
  <c r="N4944" i="12"/>
  <c r="K4944" i="12"/>
  <c r="I4944" i="12"/>
  <c r="N4943" i="12"/>
  <c r="K4943" i="12"/>
  <c r="I4943" i="12"/>
  <c r="N4942" i="12"/>
  <c r="K4942" i="12"/>
  <c r="I4942" i="12"/>
  <c r="N4941" i="12"/>
  <c r="K4941" i="12"/>
  <c r="I4941" i="12"/>
  <c r="N4940" i="12"/>
  <c r="K4940" i="12"/>
  <c r="I4940" i="12"/>
  <c r="N4939" i="12"/>
  <c r="K4939" i="12"/>
  <c r="I4939" i="12"/>
  <c r="N4938" i="12"/>
  <c r="K4938" i="12"/>
  <c r="I4938" i="12"/>
  <c r="N4937" i="12"/>
  <c r="K4937" i="12"/>
  <c r="I4937" i="12"/>
  <c r="N4936" i="12"/>
  <c r="K4936" i="12"/>
  <c r="I4936" i="12"/>
  <c r="N4935" i="12"/>
  <c r="K4935" i="12"/>
  <c r="I4935" i="12"/>
  <c r="N4934" i="12"/>
  <c r="K4934" i="12"/>
  <c r="I4934" i="12"/>
  <c r="N4933" i="12"/>
  <c r="K4933" i="12"/>
  <c r="I4933" i="12"/>
  <c r="N4932" i="12"/>
  <c r="K4932" i="12"/>
  <c r="I4932" i="12"/>
  <c r="N4931" i="12"/>
  <c r="K4931" i="12"/>
  <c r="I4931" i="12"/>
  <c r="N4930" i="12"/>
  <c r="K4930" i="12"/>
  <c r="I4930" i="12"/>
  <c r="N4929" i="12"/>
  <c r="K4929" i="12"/>
  <c r="I4929" i="12"/>
  <c r="N4928" i="12"/>
  <c r="K4928" i="12"/>
  <c r="I4928" i="12"/>
  <c r="N4927" i="12"/>
  <c r="K4927" i="12"/>
  <c r="I4927" i="12"/>
  <c r="N4926" i="12"/>
  <c r="K4926" i="12"/>
  <c r="I4926" i="12"/>
  <c r="N4925" i="12"/>
  <c r="K4925" i="12"/>
  <c r="I4925" i="12"/>
  <c r="N4924" i="12"/>
  <c r="K4924" i="12"/>
  <c r="I4924" i="12"/>
  <c r="N4923" i="12"/>
  <c r="K4923" i="12"/>
  <c r="I4923" i="12"/>
  <c r="N4922" i="12"/>
  <c r="K4922" i="12"/>
  <c r="I4922" i="12"/>
  <c r="N4921" i="12"/>
  <c r="K4921" i="12"/>
  <c r="I4921" i="12"/>
  <c r="N4920" i="12"/>
  <c r="K4920" i="12"/>
  <c r="I4920" i="12"/>
  <c r="N4919" i="12"/>
  <c r="K4919" i="12"/>
  <c r="I4919" i="12"/>
  <c r="N4918" i="12"/>
  <c r="K4918" i="12"/>
  <c r="I4918" i="12"/>
  <c r="N4917" i="12"/>
  <c r="K4917" i="12"/>
  <c r="I4917" i="12"/>
  <c r="N4916" i="12"/>
  <c r="K4916" i="12"/>
  <c r="I4916" i="12"/>
  <c r="N4915" i="12"/>
  <c r="K4915" i="12"/>
  <c r="I4915" i="12"/>
  <c r="N4914" i="12"/>
  <c r="K4914" i="12"/>
  <c r="I4914" i="12"/>
  <c r="N4913" i="12"/>
  <c r="K4913" i="12"/>
  <c r="I4913" i="12"/>
  <c r="N4912" i="12"/>
  <c r="K4912" i="12"/>
  <c r="I4912" i="12"/>
  <c r="N4911" i="12"/>
  <c r="K4911" i="12"/>
  <c r="I4911" i="12"/>
  <c r="N4910" i="12"/>
  <c r="K4910" i="12"/>
  <c r="I4910" i="12"/>
  <c r="N4909" i="12"/>
  <c r="K4909" i="12"/>
  <c r="I4909" i="12"/>
  <c r="N4908" i="12"/>
  <c r="K4908" i="12"/>
  <c r="I4908" i="12"/>
  <c r="N4907" i="12"/>
  <c r="K4907" i="12"/>
  <c r="I4907" i="12"/>
  <c r="N4906" i="12"/>
  <c r="K4906" i="12"/>
  <c r="I4906" i="12"/>
  <c r="N4905" i="12"/>
  <c r="K4905" i="12"/>
  <c r="I4905" i="12"/>
  <c r="N4904" i="12"/>
  <c r="K4904" i="12"/>
  <c r="I4904" i="12"/>
  <c r="N4903" i="12"/>
  <c r="K4903" i="12"/>
  <c r="I4903" i="12"/>
  <c r="N4902" i="12"/>
  <c r="K4902" i="12"/>
  <c r="I4902" i="12"/>
  <c r="N4901" i="12"/>
  <c r="K4901" i="12"/>
  <c r="I4901" i="12"/>
  <c r="N4900" i="12"/>
  <c r="K4900" i="12"/>
  <c r="I4900" i="12"/>
  <c r="N4899" i="12"/>
  <c r="K4899" i="12"/>
  <c r="I4899" i="12"/>
  <c r="N4898" i="12"/>
  <c r="K4898" i="12"/>
  <c r="I4898" i="12"/>
  <c r="N4897" i="12"/>
  <c r="K4897" i="12"/>
  <c r="I4897" i="12"/>
  <c r="N4896" i="12"/>
  <c r="K4896" i="12"/>
  <c r="I4896" i="12"/>
  <c r="N4895" i="12"/>
  <c r="K4895" i="12"/>
  <c r="I4895" i="12"/>
  <c r="N4894" i="12"/>
  <c r="K4894" i="12"/>
  <c r="I4894" i="12"/>
  <c r="N4893" i="12"/>
  <c r="K4893" i="12"/>
  <c r="I4893" i="12"/>
  <c r="N4892" i="12"/>
  <c r="K4892" i="12"/>
  <c r="I4892" i="12"/>
  <c r="N4891" i="12"/>
  <c r="K4891" i="12"/>
  <c r="I4891" i="12"/>
  <c r="N4890" i="12"/>
  <c r="K4890" i="12"/>
  <c r="I4890" i="12"/>
  <c r="N4889" i="12"/>
  <c r="K4889" i="12"/>
  <c r="I4889" i="12"/>
  <c r="N4888" i="12"/>
  <c r="K4888" i="12"/>
  <c r="I4888" i="12"/>
  <c r="N4887" i="12"/>
  <c r="K4887" i="12"/>
  <c r="I4887" i="12"/>
  <c r="N4886" i="12"/>
  <c r="K4886" i="12"/>
  <c r="I4886" i="12"/>
  <c r="N4885" i="12"/>
  <c r="K4885" i="12"/>
  <c r="I4885" i="12"/>
  <c r="N4884" i="12"/>
  <c r="K4884" i="12"/>
  <c r="I4884" i="12"/>
  <c r="N4883" i="12"/>
  <c r="K4883" i="12"/>
  <c r="I4883" i="12"/>
  <c r="N4882" i="12"/>
  <c r="K4882" i="12"/>
  <c r="I4882" i="12"/>
  <c r="N4881" i="12"/>
  <c r="K4881" i="12"/>
  <c r="I4881" i="12"/>
  <c r="N4880" i="12"/>
  <c r="K4880" i="12"/>
  <c r="I4880" i="12"/>
  <c r="N4879" i="12"/>
  <c r="K4879" i="12"/>
  <c r="I4879" i="12"/>
  <c r="N4878" i="12"/>
  <c r="K4878" i="12"/>
  <c r="I4878" i="12"/>
  <c r="N4877" i="12"/>
  <c r="K4877" i="12"/>
  <c r="I4877" i="12"/>
  <c r="N4876" i="12"/>
  <c r="K4876" i="12"/>
  <c r="I4876" i="12"/>
  <c r="N4875" i="12"/>
  <c r="K4875" i="12"/>
  <c r="I4875" i="12"/>
  <c r="N4874" i="12"/>
  <c r="K4874" i="12"/>
  <c r="I4874" i="12"/>
  <c r="N4873" i="12"/>
  <c r="K4873" i="12"/>
  <c r="I4873" i="12"/>
  <c r="N4872" i="12"/>
  <c r="K4872" i="12"/>
  <c r="I4872" i="12"/>
  <c r="N4871" i="12"/>
  <c r="K4871" i="12"/>
  <c r="I4871" i="12"/>
  <c r="N4870" i="12"/>
  <c r="K4870" i="12"/>
  <c r="I4870" i="12"/>
  <c r="N4869" i="12"/>
  <c r="K4869" i="12"/>
  <c r="I4869" i="12"/>
  <c r="N4868" i="12"/>
  <c r="K4868" i="12"/>
  <c r="I4868" i="12"/>
  <c r="N4867" i="12"/>
  <c r="K4867" i="12"/>
  <c r="I4867" i="12"/>
  <c r="N4866" i="12"/>
  <c r="K4866" i="12"/>
  <c r="I4866" i="12"/>
  <c r="N4865" i="12"/>
  <c r="K4865" i="12"/>
  <c r="I4865" i="12"/>
  <c r="N4864" i="12"/>
  <c r="K4864" i="12"/>
  <c r="I4864" i="12"/>
  <c r="N4863" i="12"/>
  <c r="K4863" i="12"/>
  <c r="I4863" i="12"/>
  <c r="N4862" i="12"/>
  <c r="K4862" i="12"/>
  <c r="I4862" i="12"/>
  <c r="N4861" i="12"/>
  <c r="K4861" i="12"/>
  <c r="I4861" i="12"/>
  <c r="N4860" i="12"/>
  <c r="K4860" i="12"/>
  <c r="I4860" i="12"/>
  <c r="N4859" i="12"/>
  <c r="K4859" i="12"/>
  <c r="I4859" i="12"/>
  <c r="N4858" i="12"/>
  <c r="K4858" i="12"/>
  <c r="I4858" i="12"/>
  <c r="N4857" i="12"/>
  <c r="K4857" i="12"/>
  <c r="I4857" i="12"/>
  <c r="N4856" i="12"/>
  <c r="K4856" i="12"/>
  <c r="I4856" i="12"/>
  <c r="N4855" i="12"/>
  <c r="K4855" i="12"/>
  <c r="I4855" i="12"/>
  <c r="N4854" i="12"/>
  <c r="K4854" i="12"/>
  <c r="I4854" i="12"/>
  <c r="N4853" i="12"/>
  <c r="K4853" i="12"/>
  <c r="I4853" i="12"/>
  <c r="N4852" i="12"/>
  <c r="K4852" i="12"/>
  <c r="I4852" i="12"/>
  <c r="N4851" i="12"/>
  <c r="K4851" i="12"/>
  <c r="I4851" i="12"/>
  <c r="N4850" i="12"/>
  <c r="K4850" i="12"/>
  <c r="I4850" i="12"/>
  <c r="N4849" i="12"/>
  <c r="K4849" i="12"/>
  <c r="I4849" i="12"/>
  <c r="N4848" i="12"/>
  <c r="K4848" i="12"/>
  <c r="I4848" i="12"/>
  <c r="N4847" i="12"/>
  <c r="K4847" i="12"/>
  <c r="I4847" i="12"/>
  <c r="N4846" i="12"/>
  <c r="K4846" i="12"/>
  <c r="I4846" i="12"/>
  <c r="N4845" i="12"/>
  <c r="K4845" i="12"/>
  <c r="I4845" i="12"/>
  <c r="N4844" i="12"/>
  <c r="K4844" i="12"/>
  <c r="I4844" i="12"/>
  <c r="N4843" i="12"/>
  <c r="K4843" i="12"/>
  <c r="I4843" i="12"/>
  <c r="N4842" i="12"/>
  <c r="K4842" i="12"/>
  <c r="I4842" i="12"/>
  <c r="N4841" i="12"/>
  <c r="K4841" i="12"/>
  <c r="I4841" i="12"/>
  <c r="N4840" i="12"/>
  <c r="K4840" i="12"/>
  <c r="I4840" i="12"/>
  <c r="N4839" i="12"/>
  <c r="K4839" i="12"/>
  <c r="I4839" i="12"/>
  <c r="N4838" i="12"/>
  <c r="K4838" i="12"/>
  <c r="I4838" i="12"/>
  <c r="N4837" i="12"/>
  <c r="K4837" i="12"/>
  <c r="I4837" i="12"/>
  <c r="N4836" i="12"/>
  <c r="K4836" i="12"/>
  <c r="I4836" i="12"/>
  <c r="N4835" i="12"/>
  <c r="K4835" i="12"/>
  <c r="I4835" i="12"/>
  <c r="N4834" i="12"/>
  <c r="K4834" i="12"/>
  <c r="I4834" i="12"/>
  <c r="N4833" i="12"/>
  <c r="K4833" i="12"/>
  <c r="I4833" i="12"/>
  <c r="N4832" i="12"/>
  <c r="K4832" i="12"/>
  <c r="I4832" i="12"/>
  <c r="N4831" i="12"/>
  <c r="K4831" i="12"/>
  <c r="I4831" i="12"/>
  <c r="N4830" i="12"/>
  <c r="K4830" i="12"/>
  <c r="I4830" i="12"/>
  <c r="N4829" i="12"/>
  <c r="K4829" i="12"/>
  <c r="I4829" i="12"/>
  <c r="N4828" i="12"/>
  <c r="K4828" i="12"/>
  <c r="I4828" i="12"/>
  <c r="N4827" i="12"/>
  <c r="K4827" i="12"/>
  <c r="I4827" i="12"/>
  <c r="N4826" i="12"/>
  <c r="K4826" i="12"/>
  <c r="I4826" i="12"/>
  <c r="N4825" i="12"/>
  <c r="K4825" i="12"/>
  <c r="I4825" i="12"/>
  <c r="N4824" i="12"/>
  <c r="K4824" i="12"/>
  <c r="I4824" i="12"/>
  <c r="N4823" i="12"/>
  <c r="K4823" i="12"/>
  <c r="I4823" i="12"/>
  <c r="N4822" i="12"/>
  <c r="K4822" i="12"/>
  <c r="I4822" i="12"/>
  <c r="N4821" i="12"/>
  <c r="K4821" i="12"/>
  <c r="I4821" i="12"/>
  <c r="N4820" i="12"/>
  <c r="K4820" i="12"/>
  <c r="I4820" i="12"/>
  <c r="N4819" i="12"/>
  <c r="K4819" i="12"/>
  <c r="I4819" i="12"/>
  <c r="N4818" i="12"/>
  <c r="K4818" i="12"/>
  <c r="I4818" i="12"/>
  <c r="N4817" i="12"/>
  <c r="K4817" i="12"/>
  <c r="I4817" i="12"/>
  <c r="N4816" i="12"/>
  <c r="K4816" i="12"/>
  <c r="I4816" i="12"/>
  <c r="N4815" i="12"/>
  <c r="K4815" i="12"/>
  <c r="I4815" i="12"/>
  <c r="N4814" i="12"/>
  <c r="K4814" i="12"/>
  <c r="I4814" i="12"/>
  <c r="N4813" i="12"/>
  <c r="K4813" i="12"/>
  <c r="I4813" i="12"/>
  <c r="N4812" i="12"/>
  <c r="K4812" i="12"/>
  <c r="I4812" i="12"/>
  <c r="N4811" i="12"/>
  <c r="K4811" i="12"/>
  <c r="I4811" i="12"/>
  <c r="N4810" i="12"/>
  <c r="K4810" i="12"/>
  <c r="I4810" i="12"/>
  <c r="N4809" i="12"/>
  <c r="K4809" i="12"/>
  <c r="I4809" i="12"/>
  <c r="N4808" i="12"/>
  <c r="K4808" i="12"/>
  <c r="I4808" i="12"/>
  <c r="N4807" i="12"/>
  <c r="K4807" i="12"/>
  <c r="I4807" i="12"/>
  <c r="N4806" i="12"/>
  <c r="K4806" i="12"/>
  <c r="I4806" i="12"/>
  <c r="N4805" i="12"/>
  <c r="K4805" i="12"/>
  <c r="I4805" i="12"/>
  <c r="N4804" i="12"/>
  <c r="K4804" i="12"/>
  <c r="I4804" i="12"/>
  <c r="N4803" i="12"/>
  <c r="K4803" i="12"/>
  <c r="I4803" i="12"/>
  <c r="N4802" i="12"/>
  <c r="K4802" i="12"/>
  <c r="I4802" i="12"/>
  <c r="N4801" i="12"/>
  <c r="K4801" i="12"/>
  <c r="I4801" i="12"/>
  <c r="N4800" i="12"/>
  <c r="K4800" i="12"/>
  <c r="I4800" i="12"/>
  <c r="N4799" i="12"/>
  <c r="K4799" i="12"/>
  <c r="I4799" i="12"/>
  <c r="N4798" i="12"/>
  <c r="K4798" i="12"/>
  <c r="I4798" i="12"/>
  <c r="N4797" i="12"/>
  <c r="K4797" i="12"/>
  <c r="I4797" i="12"/>
  <c r="N4796" i="12"/>
  <c r="K4796" i="12"/>
  <c r="I4796" i="12"/>
  <c r="N4795" i="12"/>
  <c r="K4795" i="12"/>
  <c r="I4795" i="12"/>
  <c r="N4794" i="12"/>
  <c r="K4794" i="12"/>
  <c r="I4794" i="12"/>
  <c r="N4793" i="12"/>
  <c r="K4793" i="12"/>
  <c r="I4793" i="12"/>
  <c r="N4792" i="12"/>
  <c r="K4792" i="12"/>
  <c r="I4792" i="12"/>
  <c r="N4791" i="12"/>
  <c r="K4791" i="12"/>
  <c r="I4791" i="12"/>
  <c r="N4790" i="12"/>
  <c r="K4790" i="12"/>
  <c r="I4790" i="12"/>
  <c r="N4789" i="12"/>
  <c r="K4789" i="12"/>
  <c r="I4789" i="12"/>
  <c r="N4788" i="12"/>
  <c r="K4788" i="12"/>
  <c r="I4788" i="12"/>
  <c r="N4787" i="12"/>
  <c r="K4787" i="12"/>
  <c r="I4787" i="12"/>
  <c r="N4786" i="12"/>
  <c r="K4786" i="12"/>
  <c r="I4786" i="12"/>
  <c r="N4785" i="12"/>
  <c r="K4785" i="12"/>
  <c r="I4785" i="12"/>
  <c r="N4784" i="12"/>
  <c r="K4784" i="12"/>
  <c r="I4784" i="12"/>
  <c r="N4783" i="12"/>
  <c r="K4783" i="12"/>
  <c r="I4783" i="12"/>
  <c r="N4782" i="12"/>
  <c r="K4782" i="12"/>
  <c r="I4782" i="12"/>
  <c r="N4781" i="12"/>
  <c r="K4781" i="12"/>
  <c r="I4781" i="12"/>
  <c r="N4780" i="12"/>
  <c r="K4780" i="12"/>
  <c r="I4780" i="12"/>
  <c r="N4779" i="12"/>
  <c r="K4779" i="12"/>
  <c r="I4779" i="12"/>
  <c r="N4778" i="12"/>
  <c r="K4778" i="12"/>
  <c r="I4778" i="12"/>
  <c r="N4777" i="12"/>
  <c r="K4777" i="12"/>
  <c r="I4777" i="12"/>
  <c r="N4776" i="12"/>
  <c r="K4776" i="12"/>
  <c r="I4776" i="12"/>
  <c r="N4775" i="12"/>
  <c r="K4775" i="12"/>
  <c r="I4775" i="12"/>
  <c r="N4774" i="12"/>
  <c r="K4774" i="12"/>
  <c r="I4774" i="12"/>
  <c r="N4773" i="12"/>
  <c r="K4773" i="12"/>
  <c r="I4773" i="12"/>
  <c r="N4772" i="12"/>
  <c r="K4772" i="12"/>
  <c r="I4772" i="12"/>
  <c r="N4771" i="12"/>
  <c r="K4771" i="12"/>
  <c r="I4771" i="12"/>
  <c r="N4770" i="12"/>
  <c r="K4770" i="12"/>
  <c r="I4770" i="12"/>
  <c r="N4769" i="12"/>
  <c r="K4769" i="12"/>
  <c r="I4769" i="12"/>
  <c r="N4768" i="12"/>
  <c r="K4768" i="12"/>
  <c r="I4768" i="12"/>
  <c r="N4767" i="12"/>
  <c r="K4767" i="12"/>
  <c r="I4767" i="12"/>
  <c r="N4766" i="12"/>
  <c r="K4766" i="12"/>
  <c r="I4766" i="12"/>
  <c r="N4765" i="12"/>
  <c r="K4765" i="12"/>
  <c r="I4765" i="12"/>
  <c r="N4764" i="12"/>
  <c r="K4764" i="12"/>
  <c r="I4764" i="12"/>
  <c r="N4763" i="12"/>
  <c r="K4763" i="12"/>
  <c r="I4763" i="12"/>
  <c r="N4762" i="12"/>
  <c r="K4762" i="12"/>
  <c r="I4762" i="12"/>
  <c r="N4761" i="12"/>
  <c r="K4761" i="12"/>
  <c r="I4761" i="12"/>
  <c r="N4760" i="12"/>
  <c r="K4760" i="12"/>
  <c r="I4760" i="12"/>
  <c r="N4759" i="12"/>
  <c r="K4759" i="12"/>
  <c r="I4759" i="12"/>
  <c r="N4758" i="12"/>
  <c r="K4758" i="12"/>
  <c r="I4758" i="12"/>
  <c r="N4757" i="12"/>
  <c r="K4757" i="12"/>
  <c r="I4757" i="12"/>
  <c r="N4756" i="12"/>
  <c r="K4756" i="12"/>
  <c r="I4756" i="12"/>
  <c r="N4755" i="12"/>
  <c r="K4755" i="12"/>
  <c r="I4755" i="12"/>
  <c r="N4754" i="12"/>
  <c r="K4754" i="12"/>
  <c r="I4754" i="12"/>
  <c r="N4753" i="12"/>
  <c r="K4753" i="12"/>
  <c r="I4753" i="12"/>
  <c r="N4752" i="12"/>
  <c r="K4752" i="12"/>
  <c r="I4752" i="12"/>
  <c r="N4751" i="12"/>
  <c r="K4751" i="12"/>
  <c r="I4751" i="12"/>
  <c r="N4750" i="12"/>
  <c r="K4750" i="12"/>
  <c r="I4750" i="12"/>
  <c r="N4749" i="12"/>
  <c r="K4749" i="12"/>
  <c r="I4749" i="12"/>
  <c r="N4748" i="12"/>
  <c r="K4748" i="12"/>
  <c r="I4748" i="12"/>
  <c r="N4747" i="12"/>
  <c r="K4747" i="12"/>
  <c r="I4747" i="12"/>
  <c r="N4746" i="12"/>
  <c r="K4746" i="12"/>
  <c r="I4746" i="12"/>
  <c r="N4745" i="12"/>
  <c r="K4745" i="12"/>
  <c r="I4745" i="12"/>
  <c r="N4744" i="12"/>
  <c r="K4744" i="12"/>
  <c r="I4744" i="12"/>
  <c r="N4743" i="12"/>
  <c r="K4743" i="12"/>
  <c r="I4743" i="12"/>
  <c r="N4742" i="12"/>
  <c r="K4742" i="12"/>
  <c r="I4742" i="12"/>
  <c r="N4741" i="12"/>
  <c r="K4741" i="12"/>
  <c r="I4741" i="12"/>
  <c r="N4740" i="12"/>
  <c r="K4740" i="12"/>
  <c r="I4740" i="12"/>
  <c r="N4739" i="12"/>
  <c r="K4739" i="12"/>
  <c r="I4739" i="12"/>
  <c r="N4738" i="12"/>
  <c r="K4738" i="12"/>
  <c r="I4738" i="12"/>
  <c r="N4737" i="12"/>
  <c r="K4737" i="12"/>
  <c r="I4737" i="12"/>
  <c r="N4736" i="12"/>
  <c r="K4736" i="12"/>
  <c r="I4736" i="12"/>
  <c r="N4735" i="12"/>
  <c r="K4735" i="12"/>
  <c r="I4735" i="12"/>
  <c r="N4734" i="12"/>
  <c r="K4734" i="12"/>
  <c r="I4734" i="12"/>
  <c r="N4733" i="12"/>
  <c r="K4733" i="12"/>
  <c r="I4733" i="12"/>
  <c r="N4732" i="12"/>
  <c r="K4732" i="12"/>
  <c r="I4732" i="12"/>
  <c r="N4731" i="12"/>
  <c r="K4731" i="12"/>
  <c r="I4731" i="12"/>
  <c r="N4730" i="12"/>
  <c r="K4730" i="12"/>
  <c r="I4730" i="12"/>
  <c r="N4729" i="12"/>
  <c r="K4729" i="12"/>
  <c r="I4729" i="12"/>
  <c r="N4728" i="12"/>
  <c r="K4728" i="12"/>
  <c r="I4728" i="12"/>
  <c r="N4727" i="12"/>
  <c r="K4727" i="12"/>
  <c r="I4727" i="12"/>
  <c r="N4726" i="12"/>
  <c r="K4726" i="12"/>
  <c r="I4726" i="12"/>
  <c r="N4725" i="12"/>
  <c r="K4725" i="12"/>
  <c r="I4725" i="12"/>
  <c r="N4724" i="12"/>
  <c r="K4724" i="12"/>
  <c r="I4724" i="12"/>
  <c r="N4723" i="12"/>
  <c r="K4723" i="12"/>
  <c r="I4723" i="12"/>
  <c r="N4722" i="12"/>
  <c r="K4722" i="12"/>
  <c r="I4722" i="12"/>
  <c r="N4721" i="12"/>
  <c r="K4721" i="12"/>
  <c r="I4721" i="12"/>
  <c r="N4720" i="12"/>
  <c r="K4720" i="12"/>
  <c r="I4720" i="12"/>
  <c r="N4719" i="12"/>
  <c r="K4719" i="12"/>
  <c r="I4719" i="12"/>
  <c r="N4718" i="12"/>
  <c r="K4718" i="12"/>
  <c r="I4718" i="12"/>
  <c r="N4717" i="12"/>
  <c r="K4717" i="12"/>
  <c r="I4717" i="12"/>
  <c r="N4716" i="12"/>
  <c r="K4716" i="12"/>
  <c r="I4716" i="12"/>
  <c r="N4715" i="12"/>
  <c r="K4715" i="12"/>
  <c r="I4715" i="12"/>
  <c r="N4714" i="12"/>
  <c r="K4714" i="12"/>
  <c r="I4714" i="12"/>
  <c r="N4713" i="12"/>
  <c r="K4713" i="12"/>
  <c r="I4713" i="12"/>
  <c r="N4712" i="12"/>
  <c r="K4712" i="12"/>
  <c r="I4712" i="12"/>
  <c r="N4711" i="12"/>
  <c r="K4711" i="12"/>
  <c r="I4711" i="12"/>
  <c r="N4710" i="12"/>
  <c r="K4710" i="12"/>
  <c r="I4710" i="12"/>
  <c r="N4709" i="12"/>
  <c r="K4709" i="12"/>
  <c r="I4709" i="12"/>
  <c r="N4708" i="12"/>
  <c r="K4708" i="12"/>
  <c r="I4708" i="12"/>
  <c r="N4707" i="12"/>
  <c r="K4707" i="12"/>
  <c r="I4707" i="12"/>
  <c r="N4706" i="12"/>
  <c r="K4706" i="12"/>
  <c r="I4706" i="12"/>
  <c r="N4705" i="12"/>
  <c r="K4705" i="12"/>
  <c r="I4705" i="12"/>
  <c r="N4704" i="12"/>
  <c r="K4704" i="12"/>
  <c r="I4704" i="12"/>
  <c r="N4703" i="12"/>
  <c r="K4703" i="12"/>
  <c r="I4703" i="12"/>
  <c r="N4702" i="12"/>
  <c r="K4702" i="12"/>
  <c r="I4702" i="12"/>
  <c r="N4701" i="12"/>
  <c r="K4701" i="12"/>
  <c r="I4701" i="12"/>
  <c r="N4700" i="12"/>
  <c r="K4700" i="12"/>
  <c r="I4700" i="12"/>
  <c r="N4699" i="12"/>
  <c r="K4699" i="12"/>
  <c r="I4699" i="12"/>
  <c r="N4698" i="12"/>
  <c r="K4698" i="12"/>
  <c r="I4698" i="12"/>
  <c r="N4697" i="12"/>
  <c r="K4697" i="12"/>
  <c r="I4697" i="12"/>
  <c r="N4696" i="12"/>
  <c r="K4696" i="12"/>
  <c r="I4696" i="12"/>
  <c r="N4695" i="12"/>
  <c r="K4695" i="12"/>
  <c r="I4695" i="12"/>
  <c r="N4694" i="12"/>
  <c r="K4694" i="12"/>
  <c r="I4694" i="12"/>
  <c r="N4693" i="12"/>
  <c r="K4693" i="12"/>
  <c r="I4693" i="12"/>
  <c r="N4692" i="12"/>
  <c r="K4692" i="12"/>
  <c r="I4692" i="12"/>
  <c r="N4691" i="12"/>
  <c r="K4691" i="12"/>
  <c r="I4691" i="12"/>
  <c r="N4690" i="12"/>
  <c r="K4690" i="12"/>
  <c r="I4690" i="12"/>
  <c r="N4689" i="12"/>
  <c r="K4689" i="12"/>
  <c r="I4689" i="12"/>
  <c r="N4688" i="12"/>
  <c r="K4688" i="12"/>
  <c r="I4688" i="12"/>
  <c r="N4687" i="12"/>
  <c r="K4687" i="12"/>
  <c r="I4687" i="12"/>
  <c r="N4686" i="12"/>
  <c r="K4686" i="12"/>
  <c r="I4686" i="12"/>
  <c r="N4685" i="12"/>
  <c r="K4685" i="12"/>
  <c r="I4685" i="12"/>
  <c r="N4684" i="12"/>
  <c r="K4684" i="12"/>
  <c r="I4684" i="12"/>
  <c r="N4683" i="12"/>
  <c r="K4683" i="12"/>
  <c r="I4683" i="12"/>
  <c r="N4682" i="12"/>
  <c r="K4682" i="12"/>
  <c r="I4682" i="12"/>
  <c r="N4681" i="12"/>
  <c r="K4681" i="12"/>
  <c r="I4681" i="12"/>
  <c r="N4680" i="12"/>
  <c r="K4680" i="12"/>
  <c r="I4680" i="12"/>
  <c r="N4679" i="12"/>
  <c r="K4679" i="12"/>
  <c r="I4679" i="12"/>
  <c r="N4678" i="12"/>
  <c r="K4678" i="12"/>
  <c r="I4678" i="12"/>
  <c r="N4677" i="12"/>
  <c r="K4677" i="12"/>
  <c r="I4677" i="12"/>
  <c r="N4676" i="12"/>
  <c r="K4676" i="12"/>
  <c r="I4676" i="12"/>
  <c r="N4675" i="12"/>
  <c r="K4675" i="12"/>
  <c r="I4675" i="12"/>
  <c r="N4674" i="12"/>
  <c r="K4674" i="12"/>
  <c r="I4674" i="12"/>
  <c r="N4673" i="12"/>
  <c r="K4673" i="12"/>
  <c r="I4673" i="12"/>
  <c r="N4672" i="12"/>
  <c r="K4672" i="12"/>
  <c r="I4672" i="12"/>
  <c r="N4671" i="12"/>
  <c r="K4671" i="12"/>
  <c r="I4671" i="12"/>
  <c r="N4670" i="12"/>
  <c r="K4670" i="12"/>
  <c r="I4670" i="12"/>
  <c r="N4669" i="12"/>
  <c r="K4669" i="12"/>
  <c r="I4669" i="12"/>
  <c r="N4668" i="12"/>
  <c r="K4668" i="12"/>
  <c r="I4668" i="12"/>
  <c r="N4667" i="12"/>
  <c r="K4667" i="12"/>
  <c r="I4667" i="12"/>
  <c r="N4666" i="12"/>
  <c r="K4666" i="12"/>
  <c r="I4666" i="12"/>
  <c r="N4665" i="12"/>
  <c r="K4665" i="12"/>
  <c r="I4665" i="12"/>
  <c r="N4664" i="12"/>
  <c r="K4664" i="12"/>
  <c r="I4664" i="12"/>
  <c r="N4663" i="12"/>
  <c r="K4663" i="12"/>
  <c r="I4663" i="12"/>
  <c r="N4662" i="12"/>
  <c r="K4662" i="12"/>
  <c r="I4662" i="12"/>
  <c r="N4661" i="12"/>
  <c r="K4661" i="12"/>
  <c r="I4661" i="12"/>
  <c r="N4660" i="12"/>
  <c r="K4660" i="12"/>
  <c r="I4660" i="12"/>
  <c r="N4659" i="12"/>
  <c r="K4659" i="12"/>
  <c r="I4659" i="12"/>
  <c r="N4658" i="12"/>
  <c r="K4658" i="12"/>
  <c r="I4658" i="12"/>
  <c r="N4657" i="12"/>
  <c r="K4657" i="12"/>
  <c r="I4657" i="12"/>
  <c r="N4656" i="12"/>
  <c r="K4656" i="12"/>
  <c r="I4656" i="12"/>
  <c r="N4655" i="12"/>
  <c r="K4655" i="12"/>
  <c r="I4655" i="12"/>
  <c r="N4654" i="12"/>
  <c r="K4654" i="12"/>
  <c r="I4654" i="12"/>
  <c r="N4653" i="12"/>
  <c r="K4653" i="12"/>
  <c r="I4653" i="12"/>
  <c r="N4652" i="12"/>
  <c r="K4652" i="12"/>
  <c r="I4652" i="12"/>
  <c r="N4651" i="12"/>
  <c r="K4651" i="12"/>
  <c r="I4651" i="12"/>
  <c r="N4650" i="12"/>
  <c r="K4650" i="12"/>
  <c r="I4650" i="12"/>
  <c r="N4649" i="12"/>
  <c r="K4649" i="12"/>
  <c r="I4649" i="12"/>
  <c r="N4648" i="12"/>
  <c r="K4648" i="12"/>
  <c r="I4648" i="12"/>
  <c r="N4647" i="12"/>
  <c r="K4647" i="12"/>
  <c r="I4647" i="12"/>
  <c r="N4646" i="12"/>
  <c r="K4646" i="12"/>
  <c r="I4646" i="12"/>
  <c r="N4645" i="12"/>
  <c r="K4645" i="12"/>
  <c r="I4645" i="12"/>
  <c r="N4644" i="12"/>
  <c r="K4644" i="12"/>
  <c r="I4644" i="12"/>
  <c r="N4643" i="12"/>
  <c r="K4643" i="12"/>
  <c r="I4643" i="12"/>
  <c r="N4642" i="12"/>
  <c r="K4642" i="12"/>
  <c r="I4642" i="12"/>
  <c r="N4641" i="12"/>
  <c r="K4641" i="12"/>
  <c r="I4641" i="12"/>
  <c r="N4640" i="12"/>
  <c r="K4640" i="12"/>
  <c r="I4640" i="12"/>
  <c r="N4639" i="12"/>
  <c r="K4639" i="12"/>
  <c r="I4639" i="12"/>
  <c r="N4638" i="12"/>
  <c r="K4638" i="12"/>
  <c r="I4638" i="12"/>
  <c r="N4637" i="12"/>
  <c r="K4637" i="12"/>
  <c r="I4637" i="12"/>
  <c r="N4636" i="12"/>
  <c r="K4636" i="12"/>
  <c r="I4636" i="12"/>
  <c r="N4635" i="12"/>
  <c r="K4635" i="12"/>
  <c r="I4635" i="12"/>
  <c r="N4634" i="12"/>
  <c r="K4634" i="12"/>
  <c r="I4634" i="12"/>
  <c r="N4633" i="12"/>
  <c r="K4633" i="12"/>
  <c r="I4633" i="12"/>
  <c r="N4632" i="12"/>
  <c r="K4632" i="12"/>
  <c r="I4632" i="12"/>
  <c r="N4631" i="12"/>
  <c r="K4631" i="12"/>
  <c r="I4631" i="12"/>
  <c r="N4630" i="12"/>
  <c r="K4630" i="12"/>
  <c r="I4630" i="12"/>
  <c r="N4629" i="12"/>
  <c r="K4629" i="12"/>
  <c r="I4629" i="12"/>
  <c r="N4628" i="12"/>
  <c r="K4628" i="12"/>
  <c r="I4628" i="12"/>
  <c r="N4627" i="12"/>
  <c r="K4627" i="12"/>
  <c r="I4627" i="12"/>
  <c r="N4626" i="12"/>
  <c r="K4626" i="12"/>
  <c r="I4626" i="12"/>
  <c r="N4625" i="12"/>
  <c r="K4625" i="12"/>
  <c r="I4625" i="12"/>
  <c r="N4624" i="12"/>
  <c r="K4624" i="12"/>
  <c r="I4624" i="12"/>
  <c r="N4623" i="12"/>
  <c r="K4623" i="12"/>
  <c r="I4623" i="12"/>
  <c r="N4622" i="12"/>
  <c r="K4622" i="12"/>
  <c r="I4622" i="12"/>
  <c r="N4621" i="12"/>
  <c r="K4621" i="12"/>
  <c r="I4621" i="12"/>
  <c r="N4620" i="12"/>
  <c r="K4620" i="12"/>
  <c r="I4620" i="12"/>
  <c r="N4619" i="12"/>
  <c r="K4619" i="12"/>
  <c r="I4619" i="12"/>
  <c r="N4618" i="12"/>
  <c r="K4618" i="12"/>
  <c r="I4618" i="12"/>
  <c r="N4617" i="12"/>
  <c r="K4617" i="12"/>
  <c r="I4617" i="12"/>
  <c r="N4616" i="12"/>
  <c r="K4616" i="12"/>
  <c r="I4616" i="12"/>
  <c r="N4615" i="12"/>
  <c r="K4615" i="12"/>
  <c r="I4615" i="12"/>
  <c r="N4614" i="12"/>
  <c r="K4614" i="12"/>
  <c r="I4614" i="12"/>
  <c r="N4613" i="12"/>
  <c r="K4613" i="12"/>
  <c r="I4613" i="12"/>
  <c r="N4612" i="12"/>
  <c r="K4612" i="12"/>
  <c r="I4612" i="12"/>
  <c r="N4611" i="12"/>
  <c r="K4611" i="12"/>
  <c r="I4611" i="12"/>
  <c r="N4610" i="12"/>
  <c r="K4610" i="12"/>
  <c r="I4610" i="12"/>
  <c r="N4609" i="12"/>
  <c r="K4609" i="12"/>
  <c r="I4609" i="12"/>
  <c r="N4608" i="12"/>
  <c r="K4608" i="12"/>
  <c r="I4608" i="12"/>
  <c r="N4607" i="12"/>
  <c r="K4607" i="12"/>
  <c r="I4607" i="12"/>
  <c r="N4606" i="12"/>
  <c r="K4606" i="12"/>
  <c r="I4606" i="12"/>
  <c r="N4605" i="12"/>
  <c r="K4605" i="12"/>
  <c r="I4605" i="12"/>
  <c r="N4604" i="12"/>
  <c r="K4604" i="12"/>
  <c r="I4604" i="12"/>
  <c r="N4603" i="12"/>
  <c r="K4603" i="12"/>
  <c r="I4603" i="12"/>
  <c r="N4602" i="12"/>
  <c r="K4602" i="12"/>
  <c r="I4602" i="12"/>
  <c r="N4601" i="12"/>
  <c r="K4601" i="12"/>
  <c r="I4601" i="12"/>
  <c r="N4600" i="12"/>
  <c r="K4600" i="12"/>
  <c r="I4600" i="12"/>
  <c r="N4599" i="12"/>
  <c r="K4599" i="12"/>
  <c r="I4599" i="12"/>
  <c r="N4598" i="12"/>
  <c r="K4598" i="12"/>
  <c r="I4598" i="12"/>
  <c r="N4597" i="12"/>
  <c r="K4597" i="12"/>
  <c r="I4597" i="12"/>
  <c r="N4596" i="12"/>
  <c r="K4596" i="12"/>
  <c r="I4596" i="12"/>
  <c r="N4595" i="12"/>
  <c r="K4595" i="12"/>
  <c r="I4595" i="12"/>
  <c r="N4594" i="12"/>
  <c r="K4594" i="12"/>
  <c r="I4594" i="12"/>
  <c r="N4593" i="12"/>
  <c r="K4593" i="12"/>
  <c r="I4593" i="12"/>
  <c r="N4592" i="12"/>
  <c r="K4592" i="12"/>
  <c r="I4592" i="12"/>
  <c r="N4591" i="12"/>
  <c r="K4591" i="12"/>
  <c r="I4591" i="12"/>
  <c r="N4590" i="12"/>
  <c r="K4590" i="12"/>
  <c r="I4590" i="12"/>
  <c r="N4589" i="12"/>
  <c r="K4589" i="12"/>
  <c r="I4589" i="12"/>
  <c r="N4588" i="12"/>
  <c r="K4588" i="12"/>
  <c r="I4588" i="12"/>
  <c r="N4587" i="12"/>
  <c r="K4587" i="12"/>
  <c r="I4587" i="12"/>
  <c r="N4586" i="12"/>
  <c r="K4586" i="12"/>
  <c r="I4586" i="12"/>
  <c r="N4585" i="12"/>
  <c r="K4585" i="12"/>
  <c r="I4585" i="12"/>
  <c r="N4584" i="12"/>
  <c r="K4584" i="12"/>
  <c r="I4584" i="12"/>
  <c r="N4583" i="12"/>
  <c r="K4583" i="12"/>
  <c r="I4583" i="12"/>
  <c r="N4582" i="12"/>
  <c r="K4582" i="12"/>
  <c r="I4582" i="12"/>
  <c r="N4581" i="12"/>
  <c r="K4581" i="12"/>
  <c r="I4581" i="12"/>
  <c r="N4580" i="12"/>
  <c r="K4580" i="12"/>
  <c r="I4580" i="12"/>
  <c r="N4579" i="12"/>
  <c r="K4579" i="12"/>
  <c r="I4579" i="12"/>
  <c r="N4578" i="12"/>
  <c r="K4578" i="12"/>
  <c r="I4578" i="12"/>
  <c r="N4577" i="12"/>
  <c r="K4577" i="12"/>
  <c r="I4577" i="12"/>
  <c r="N4576" i="12"/>
  <c r="K4576" i="12"/>
  <c r="I4576" i="12"/>
  <c r="N4575" i="12"/>
  <c r="K4575" i="12"/>
  <c r="I4575" i="12"/>
  <c r="N4574" i="12"/>
  <c r="K4574" i="12"/>
  <c r="I4574" i="12"/>
  <c r="N4573" i="12"/>
  <c r="K4573" i="12"/>
  <c r="I4573" i="12"/>
  <c r="N4572" i="12"/>
  <c r="K4572" i="12"/>
  <c r="I4572" i="12"/>
  <c r="N4571" i="12"/>
  <c r="K4571" i="12"/>
  <c r="I4571" i="12"/>
  <c r="N4570" i="12"/>
  <c r="K4570" i="12"/>
  <c r="I4570" i="12"/>
  <c r="N4569" i="12"/>
  <c r="K4569" i="12"/>
  <c r="I4569" i="12"/>
  <c r="N4568" i="12"/>
  <c r="K4568" i="12"/>
  <c r="I4568" i="12"/>
  <c r="N4567" i="12"/>
  <c r="K4567" i="12"/>
  <c r="I4567" i="12"/>
  <c r="N4566" i="12"/>
  <c r="K4566" i="12"/>
  <c r="I4566" i="12"/>
  <c r="N4565" i="12"/>
  <c r="K4565" i="12"/>
  <c r="I4565" i="12"/>
  <c r="N4564" i="12"/>
  <c r="K4564" i="12"/>
  <c r="I4564" i="12"/>
  <c r="N4563" i="12"/>
  <c r="K4563" i="12"/>
  <c r="I4563" i="12"/>
  <c r="N4562" i="12"/>
  <c r="K4562" i="12"/>
  <c r="I4562" i="12"/>
  <c r="N4561" i="12"/>
  <c r="K4561" i="12"/>
  <c r="I4561" i="12"/>
  <c r="N4560" i="12"/>
  <c r="K4560" i="12"/>
  <c r="I4560" i="12"/>
  <c r="N4559" i="12"/>
  <c r="K4559" i="12"/>
  <c r="I4559" i="12"/>
  <c r="N4558" i="12"/>
  <c r="K4558" i="12"/>
  <c r="I4558" i="12"/>
  <c r="N4557" i="12"/>
  <c r="K4557" i="12"/>
  <c r="I4557" i="12"/>
  <c r="N4556" i="12"/>
  <c r="K4556" i="12"/>
  <c r="I4556" i="12"/>
  <c r="N4555" i="12"/>
  <c r="K4555" i="12"/>
  <c r="I4555" i="12"/>
  <c r="N4554" i="12"/>
  <c r="K4554" i="12"/>
  <c r="I4554" i="12"/>
  <c r="N4553" i="12"/>
  <c r="K4553" i="12"/>
  <c r="I4553" i="12"/>
  <c r="N4552" i="12"/>
  <c r="K4552" i="12"/>
  <c r="I4552" i="12"/>
  <c r="N4551" i="12"/>
  <c r="K4551" i="12"/>
  <c r="I4551" i="12"/>
  <c r="N4550" i="12"/>
  <c r="K4550" i="12"/>
  <c r="I4550" i="12"/>
  <c r="N4549" i="12"/>
  <c r="K4549" i="12"/>
  <c r="I4549" i="12"/>
  <c r="N4548" i="12"/>
  <c r="K4548" i="12"/>
  <c r="I4548" i="12"/>
  <c r="N4547" i="12"/>
  <c r="K4547" i="12"/>
  <c r="I4547" i="12"/>
  <c r="N4546" i="12"/>
  <c r="K4546" i="12"/>
  <c r="I4546" i="12"/>
  <c r="N4545" i="12"/>
  <c r="K4545" i="12"/>
  <c r="I4545" i="12"/>
  <c r="N4544" i="12"/>
  <c r="K4544" i="12"/>
  <c r="I4544" i="12"/>
  <c r="N4543" i="12"/>
  <c r="K4543" i="12"/>
  <c r="I4543" i="12"/>
  <c r="N4542" i="12"/>
  <c r="K4542" i="12"/>
  <c r="I4542" i="12"/>
  <c r="N4541" i="12"/>
  <c r="K4541" i="12"/>
  <c r="I4541" i="12"/>
  <c r="N4540" i="12"/>
  <c r="K4540" i="12"/>
  <c r="I4540" i="12"/>
  <c r="N4539" i="12"/>
  <c r="K4539" i="12"/>
  <c r="I4539" i="12"/>
  <c r="N4538" i="12"/>
  <c r="K4538" i="12"/>
  <c r="I4538" i="12"/>
  <c r="N4537" i="12"/>
  <c r="K4537" i="12"/>
  <c r="I4537" i="12"/>
  <c r="N4536" i="12"/>
  <c r="K4536" i="12"/>
  <c r="I4536" i="12"/>
  <c r="N4535" i="12"/>
  <c r="K4535" i="12"/>
  <c r="I4535" i="12"/>
  <c r="N4534" i="12"/>
  <c r="K4534" i="12"/>
  <c r="I4534" i="12"/>
  <c r="N4533" i="12"/>
  <c r="K4533" i="12"/>
  <c r="I4533" i="12"/>
  <c r="N4532" i="12"/>
  <c r="K4532" i="12"/>
  <c r="I4532" i="12"/>
  <c r="N4531" i="12"/>
  <c r="K4531" i="12"/>
  <c r="I4531" i="12"/>
  <c r="N4530" i="12"/>
  <c r="K4530" i="12"/>
  <c r="I4530" i="12"/>
  <c r="N4529" i="12"/>
  <c r="K4529" i="12"/>
  <c r="I4529" i="12"/>
  <c r="N4528" i="12"/>
  <c r="K4528" i="12"/>
  <c r="I4528" i="12"/>
  <c r="N4527" i="12"/>
  <c r="K4527" i="12"/>
  <c r="I4527" i="12"/>
  <c r="N4526" i="12"/>
  <c r="K4526" i="12"/>
  <c r="I4526" i="12"/>
  <c r="N4525" i="12"/>
  <c r="K4525" i="12"/>
  <c r="I4525" i="12"/>
  <c r="N4524" i="12"/>
  <c r="K4524" i="12"/>
  <c r="I4524" i="12"/>
  <c r="N4523" i="12"/>
  <c r="K4523" i="12"/>
  <c r="I4523" i="12"/>
  <c r="N4522" i="12"/>
  <c r="K4522" i="12"/>
  <c r="I4522" i="12"/>
  <c r="N4521" i="12"/>
  <c r="K4521" i="12"/>
  <c r="I4521" i="12"/>
  <c r="N4520" i="12"/>
  <c r="K4520" i="12"/>
  <c r="I4520" i="12"/>
  <c r="N4519" i="12"/>
  <c r="K4519" i="12"/>
  <c r="I4519" i="12"/>
  <c r="N4518" i="12"/>
  <c r="K4518" i="12"/>
  <c r="I4518" i="12"/>
  <c r="N4517" i="12"/>
  <c r="K4517" i="12"/>
  <c r="I4517" i="12"/>
  <c r="N4516" i="12"/>
  <c r="K4516" i="12"/>
  <c r="I4516" i="12"/>
  <c r="N4515" i="12"/>
  <c r="K4515" i="12"/>
  <c r="I4515" i="12"/>
  <c r="N4514" i="12"/>
  <c r="K4514" i="12"/>
  <c r="I4514" i="12"/>
  <c r="N4513" i="12"/>
  <c r="K4513" i="12"/>
  <c r="I4513" i="12"/>
  <c r="N4512" i="12"/>
  <c r="K4512" i="12"/>
  <c r="I4512" i="12"/>
  <c r="N4511" i="12"/>
  <c r="K4511" i="12"/>
  <c r="I4511" i="12"/>
  <c r="N4510" i="12"/>
  <c r="K4510" i="12"/>
  <c r="I4510" i="12"/>
  <c r="N4509" i="12"/>
  <c r="K4509" i="12"/>
  <c r="I4509" i="12"/>
  <c r="N4508" i="12"/>
  <c r="K4508" i="12"/>
  <c r="I4508" i="12"/>
  <c r="N4507" i="12"/>
  <c r="K4507" i="12"/>
  <c r="I4507" i="12"/>
  <c r="N4506" i="12"/>
  <c r="K4506" i="12"/>
  <c r="I4506" i="12"/>
  <c r="N4505" i="12"/>
  <c r="K4505" i="12"/>
  <c r="I4505" i="12"/>
  <c r="N4504" i="12"/>
  <c r="K4504" i="12"/>
  <c r="I4504" i="12"/>
  <c r="N4503" i="12"/>
  <c r="K4503" i="12"/>
  <c r="I4503" i="12"/>
  <c r="N4502" i="12"/>
  <c r="K4502" i="12"/>
  <c r="I4502" i="12"/>
  <c r="N4501" i="12"/>
  <c r="K4501" i="12"/>
  <c r="I4501" i="12"/>
  <c r="N4500" i="12"/>
  <c r="K4500" i="12"/>
  <c r="I4500" i="12"/>
  <c r="N4499" i="12"/>
  <c r="K4499" i="12"/>
  <c r="I4499" i="12"/>
  <c r="N4498" i="12"/>
  <c r="K4498" i="12"/>
  <c r="I4498" i="12"/>
  <c r="N4497" i="12"/>
  <c r="K4497" i="12"/>
  <c r="I4497" i="12"/>
  <c r="N4496" i="12"/>
  <c r="K4496" i="12"/>
  <c r="I4496" i="12"/>
  <c r="N4495" i="12"/>
  <c r="K4495" i="12"/>
  <c r="I4495" i="12"/>
  <c r="N4494" i="12"/>
  <c r="K4494" i="12"/>
  <c r="I4494" i="12"/>
  <c r="N4493" i="12"/>
  <c r="K4493" i="12"/>
  <c r="I4493" i="12"/>
  <c r="N4492" i="12"/>
  <c r="K4492" i="12"/>
  <c r="I4492" i="12"/>
  <c r="N4491" i="12"/>
  <c r="K4491" i="12"/>
  <c r="I4491" i="12"/>
  <c r="N4490" i="12"/>
  <c r="K4490" i="12"/>
  <c r="I4490" i="12"/>
  <c r="N4489" i="12"/>
  <c r="K4489" i="12"/>
  <c r="I4489" i="12"/>
  <c r="N4488" i="12"/>
  <c r="K4488" i="12"/>
  <c r="I4488" i="12"/>
  <c r="N4487" i="12"/>
  <c r="K4487" i="12"/>
  <c r="I4487" i="12"/>
  <c r="N4486" i="12"/>
  <c r="K4486" i="12"/>
  <c r="I4486" i="12"/>
  <c r="N4485" i="12"/>
  <c r="K4485" i="12"/>
  <c r="I4485" i="12"/>
  <c r="N4484" i="12"/>
  <c r="K4484" i="12"/>
  <c r="I4484" i="12"/>
  <c r="N4483" i="12"/>
  <c r="K4483" i="12"/>
  <c r="I4483" i="12"/>
  <c r="N4482" i="12"/>
  <c r="K4482" i="12"/>
  <c r="I4482" i="12"/>
  <c r="N4481" i="12"/>
  <c r="K4481" i="12"/>
  <c r="I4481" i="12"/>
  <c r="N4480" i="12"/>
  <c r="K4480" i="12"/>
  <c r="I4480" i="12"/>
  <c r="N4479" i="12"/>
  <c r="K4479" i="12"/>
  <c r="I4479" i="12"/>
  <c r="N4478" i="12"/>
  <c r="K4478" i="12"/>
  <c r="I4478" i="12"/>
  <c r="N4477" i="12"/>
  <c r="K4477" i="12"/>
  <c r="I4477" i="12"/>
  <c r="N4476" i="12"/>
  <c r="K4476" i="12"/>
  <c r="I4476" i="12"/>
  <c r="N4475" i="12"/>
  <c r="K4475" i="12"/>
  <c r="I4475" i="12"/>
  <c r="N4474" i="12"/>
  <c r="K4474" i="12"/>
  <c r="I4474" i="12"/>
  <c r="N4473" i="12"/>
  <c r="K4473" i="12"/>
  <c r="I4473" i="12"/>
  <c r="N4472" i="12"/>
  <c r="K4472" i="12"/>
  <c r="I4472" i="12"/>
  <c r="N4471" i="12"/>
  <c r="K4471" i="12"/>
  <c r="I4471" i="12"/>
  <c r="N4470" i="12"/>
  <c r="K4470" i="12"/>
  <c r="I4470" i="12"/>
  <c r="N4469" i="12"/>
  <c r="K4469" i="12"/>
  <c r="I4469" i="12"/>
  <c r="N4468" i="12"/>
  <c r="K4468" i="12"/>
  <c r="I4468" i="12"/>
  <c r="N4467" i="12"/>
  <c r="K4467" i="12"/>
  <c r="I4467" i="12"/>
  <c r="N4466" i="12"/>
  <c r="K4466" i="12"/>
  <c r="I4466" i="12"/>
  <c r="N4465" i="12"/>
  <c r="K4465" i="12"/>
  <c r="I4465" i="12"/>
  <c r="N4464" i="12"/>
  <c r="K4464" i="12"/>
  <c r="I4464" i="12"/>
  <c r="N4463" i="12"/>
  <c r="K4463" i="12"/>
  <c r="I4463" i="12"/>
  <c r="N4462" i="12"/>
  <c r="K4462" i="12"/>
  <c r="I4462" i="12"/>
  <c r="N4461" i="12"/>
  <c r="K4461" i="12"/>
  <c r="I4461" i="12"/>
  <c r="N4460" i="12"/>
  <c r="K4460" i="12"/>
  <c r="I4460" i="12"/>
  <c r="N4459" i="12"/>
  <c r="K4459" i="12"/>
  <c r="I4459" i="12"/>
  <c r="N4458" i="12"/>
  <c r="K4458" i="12"/>
  <c r="I4458" i="12"/>
  <c r="N4457" i="12"/>
  <c r="K4457" i="12"/>
  <c r="I4457" i="12"/>
  <c r="N4456" i="12"/>
  <c r="K4456" i="12"/>
  <c r="I4456" i="12"/>
  <c r="N4455" i="12"/>
  <c r="K4455" i="12"/>
  <c r="I4455" i="12"/>
  <c r="N4454" i="12"/>
  <c r="K4454" i="12"/>
  <c r="I4454" i="12"/>
  <c r="N4453" i="12"/>
  <c r="K4453" i="12"/>
  <c r="I4453" i="12"/>
  <c r="N4452" i="12"/>
  <c r="K4452" i="12"/>
  <c r="I4452" i="12"/>
  <c r="N4451" i="12"/>
  <c r="K4451" i="12"/>
  <c r="I4451" i="12"/>
  <c r="N4450" i="12"/>
  <c r="K4450" i="12"/>
  <c r="I4450" i="12"/>
  <c r="N4449" i="12"/>
  <c r="K4449" i="12"/>
  <c r="I4449" i="12"/>
  <c r="N4448" i="12"/>
  <c r="K4448" i="12"/>
  <c r="I4448" i="12"/>
  <c r="N4447" i="12"/>
  <c r="K4447" i="12"/>
  <c r="I4447" i="12"/>
  <c r="N4446" i="12"/>
  <c r="K4446" i="12"/>
  <c r="I4446" i="12"/>
  <c r="N4445" i="12"/>
  <c r="K4445" i="12"/>
  <c r="I4445" i="12"/>
  <c r="N4444" i="12"/>
  <c r="K4444" i="12"/>
  <c r="I4444" i="12"/>
  <c r="N4443" i="12"/>
  <c r="K4443" i="12"/>
  <c r="I4443" i="12"/>
  <c r="N4442" i="12"/>
  <c r="K4442" i="12"/>
  <c r="I4442" i="12"/>
  <c r="N4441" i="12"/>
  <c r="K4441" i="12"/>
  <c r="I4441" i="12"/>
  <c r="N4440" i="12"/>
  <c r="K4440" i="12"/>
  <c r="I4440" i="12"/>
  <c r="N4439" i="12"/>
  <c r="K4439" i="12"/>
  <c r="I4439" i="12"/>
  <c r="N4438" i="12"/>
  <c r="K4438" i="12"/>
  <c r="I4438" i="12"/>
  <c r="N4437" i="12"/>
  <c r="K4437" i="12"/>
  <c r="I4437" i="12"/>
  <c r="N4436" i="12"/>
  <c r="K4436" i="12"/>
  <c r="I4436" i="12"/>
  <c r="N4435" i="12"/>
  <c r="K4435" i="12"/>
  <c r="I4435" i="12"/>
  <c r="N4434" i="12"/>
  <c r="K4434" i="12"/>
  <c r="I4434" i="12"/>
  <c r="N4433" i="12"/>
  <c r="K4433" i="12"/>
  <c r="I4433" i="12"/>
  <c r="N4432" i="12"/>
  <c r="K4432" i="12"/>
  <c r="I4432" i="12"/>
  <c r="N4431" i="12"/>
  <c r="K4431" i="12"/>
  <c r="I4431" i="12"/>
  <c r="N4430" i="12"/>
  <c r="K4430" i="12"/>
  <c r="I4430" i="12"/>
  <c r="N4429" i="12"/>
  <c r="K4429" i="12"/>
  <c r="I4429" i="12"/>
  <c r="N4428" i="12"/>
  <c r="K4428" i="12"/>
  <c r="I4428" i="12"/>
  <c r="N4427" i="12"/>
  <c r="K4427" i="12"/>
  <c r="I4427" i="12"/>
  <c r="N4426" i="12"/>
  <c r="K4426" i="12"/>
  <c r="I4426" i="12"/>
  <c r="N4425" i="12"/>
  <c r="K4425" i="12"/>
  <c r="I4425" i="12"/>
  <c r="N4424" i="12"/>
  <c r="K4424" i="12"/>
  <c r="I4424" i="12"/>
  <c r="N4423" i="12"/>
  <c r="K4423" i="12"/>
  <c r="I4423" i="12"/>
  <c r="N4422" i="12"/>
  <c r="K4422" i="12"/>
  <c r="I4422" i="12"/>
  <c r="N4421" i="12"/>
  <c r="K4421" i="12"/>
  <c r="I4421" i="12"/>
  <c r="N4420" i="12"/>
  <c r="K4420" i="12"/>
  <c r="I4420" i="12"/>
  <c r="N4419" i="12"/>
  <c r="K4419" i="12"/>
  <c r="I4419" i="12"/>
  <c r="N4418" i="12"/>
  <c r="K4418" i="12"/>
  <c r="I4418" i="12"/>
  <c r="N4417" i="12"/>
  <c r="K4417" i="12"/>
  <c r="I4417" i="12"/>
  <c r="N4416" i="12"/>
  <c r="K4416" i="12"/>
  <c r="I4416" i="12"/>
  <c r="N4415" i="12"/>
  <c r="K4415" i="12"/>
  <c r="I4415" i="12"/>
  <c r="N4414" i="12"/>
  <c r="K4414" i="12"/>
  <c r="I4414" i="12"/>
  <c r="N4413" i="12"/>
  <c r="K4413" i="12"/>
  <c r="I4413" i="12"/>
  <c r="N4412" i="12"/>
  <c r="K4412" i="12"/>
  <c r="I4412" i="12"/>
  <c r="N4411" i="12"/>
  <c r="K4411" i="12"/>
  <c r="I4411" i="12"/>
  <c r="N4410" i="12"/>
  <c r="K4410" i="12"/>
  <c r="I4410" i="12"/>
  <c r="N4409" i="12"/>
  <c r="K4409" i="12"/>
  <c r="I4409" i="12"/>
  <c r="N4408" i="12"/>
  <c r="K4408" i="12"/>
  <c r="I4408" i="12"/>
  <c r="N4407" i="12"/>
  <c r="K4407" i="12"/>
  <c r="I4407" i="12"/>
  <c r="N4406" i="12"/>
  <c r="K4406" i="12"/>
  <c r="I4406" i="12"/>
  <c r="N4405" i="12"/>
  <c r="K4405" i="12"/>
  <c r="I4405" i="12"/>
  <c r="N4404" i="12"/>
  <c r="K4404" i="12"/>
  <c r="I4404" i="12"/>
  <c r="N4403" i="12"/>
  <c r="K4403" i="12"/>
  <c r="I4403" i="12"/>
  <c r="N4402" i="12"/>
  <c r="K4402" i="12"/>
  <c r="I4402" i="12"/>
  <c r="N4401" i="12"/>
  <c r="K4401" i="12"/>
  <c r="I4401" i="12"/>
  <c r="N4400" i="12"/>
  <c r="K4400" i="12"/>
  <c r="I4400" i="12"/>
  <c r="N4399" i="12"/>
  <c r="K4399" i="12"/>
  <c r="I4399" i="12"/>
  <c r="N4398" i="12"/>
  <c r="K4398" i="12"/>
  <c r="I4398" i="12"/>
  <c r="N4397" i="12"/>
  <c r="K4397" i="12"/>
  <c r="I4397" i="12"/>
  <c r="N4396" i="12"/>
  <c r="K4396" i="12"/>
  <c r="I4396" i="12"/>
  <c r="N4395" i="12"/>
  <c r="K4395" i="12"/>
  <c r="I4395" i="12"/>
  <c r="N4394" i="12"/>
  <c r="K4394" i="12"/>
  <c r="I4394" i="12"/>
  <c r="N4393" i="12"/>
  <c r="K4393" i="12"/>
  <c r="I4393" i="12"/>
  <c r="N4392" i="12"/>
  <c r="K4392" i="12"/>
  <c r="I4392" i="12"/>
  <c r="N4391" i="12"/>
  <c r="K4391" i="12"/>
  <c r="I4391" i="12"/>
  <c r="N4390" i="12"/>
  <c r="K4390" i="12"/>
  <c r="I4390" i="12"/>
  <c r="N4389" i="12"/>
  <c r="K4389" i="12"/>
  <c r="I4389" i="12"/>
  <c r="N4388" i="12"/>
  <c r="K4388" i="12"/>
  <c r="I4388" i="12"/>
  <c r="N4387" i="12"/>
  <c r="K4387" i="12"/>
  <c r="I4387" i="12"/>
  <c r="N4386" i="12"/>
  <c r="K4386" i="12"/>
  <c r="I4386" i="12"/>
  <c r="N4385" i="12"/>
  <c r="K4385" i="12"/>
  <c r="I4385" i="12"/>
  <c r="N4384" i="12"/>
  <c r="K4384" i="12"/>
  <c r="I4384" i="12"/>
  <c r="N4383" i="12"/>
  <c r="K4383" i="12"/>
  <c r="I4383" i="12"/>
  <c r="N4382" i="12"/>
  <c r="K4382" i="12"/>
  <c r="I4382" i="12"/>
  <c r="N4381" i="12"/>
  <c r="K4381" i="12"/>
  <c r="I4381" i="12"/>
  <c r="N4380" i="12"/>
  <c r="K4380" i="12"/>
  <c r="I4380" i="12"/>
  <c r="N4379" i="12"/>
  <c r="K4379" i="12"/>
  <c r="I4379" i="12"/>
  <c r="N4378" i="12"/>
  <c r="K4378" i="12"/>
  <c r="I4378" i="12"/>
  <c r="N4377" i="12"/>
  <c r="K4377" i="12"/>
  <c r="I4377" i="12"/>
  <c r="N4376" i="12"/>
  <c r="K4376" i="12"/>
  <c r="I4376" i="12"/>
  <c r="N4375" i="12"/>
  <c r="K4375" i="12"/>
  <c r="I4375" i="12"/>
  <c r="N4374" i="12"/>
  <c r="K4374" i="12"/>
  <c r="I4374" i="12"/>
  <c r="N4373" i="12"/>
  <c r="K4373" i="12"/>
  <c r="I4373" i="12"/>
  <c r="N4372" i="12"/>
  <c r="K4372" i="12"/>
  <c r="I4372" i="12"/>
  <c r="N4371" i="12"/>
  <c r="K4371" i="12"/>
  <c r="I4371" i="12"/>
  <c r="N4370" i="12"/>
  <c r="K4370" i="12"/>
  <c r="I4370" i="12"/>
  <c r="N4369" i="12"/>
  <c r="K4369" i="12"/>
  <c r="I4369" i="12"/>
  <c r="N4368" i="12"/>
  <c r="K4368" i="12"/>
  <c r="I4368" i="12"/>
  <c r="N4367" i="12"/>
  <c r="K4367" i="12"/>
  <c r="I4367" i="12"/>
  <c r="N4366" i="12"/>
  <c r="K4366" i="12"/>
  <c r="I4366" i="12"/>
  <c r="N4365" i="12"/>
  <c r="K4365" i="12"/>
  <c r="I4365" i="12"/>
  <c r="N4364" i="12"/>
  <c r="K4364" i="12"/>
  <c r="I4364" i="12"/>
  <c r="N4363" i="12"/>
  <c r="K4363" i="12"/>
  <c r="I4363" i="12"/>
  <c r="N4362" i="12"/>
  <c r="K4362" i="12"/>
  <c r="I4362" i="12"/>
  <c r="N4361" i="12"/>
  <c r="K4361" i="12"/>
  <c r="I4361" i="12"/>
  <c r="N4360" i="12"/>
  <c r="K4360" i="12"/>
  <c r="I4360" i="12"/>
  <c r="N4359" i="12"/>
  <c r="K4359" i="12"/>
  <c r="I4359" i="12"/>
  <c r="N4358" i="12"/>
  <c r="K4358" i="12"/>
  <c r="I4358" i="12"/>
  <c r="N4357" i="12"/>
  <c r="K4357" i="12"/>
  <c r="I4357" i="12"/>
  <c r="N4356" i="12"/>
  <c r="K4356" i="12"/>
  <c r="I4356" i="12"/>
  <c r="N4355" i="12"/>
  <c r="K4355" i="12"/>
  <c r="I4355" i="12"/>
  <c r="N4354" i="12"/>
  <c r="K4354" i="12"/>
  <c r="I4354" i="12"/>
  <c r="N4353" i="12"/>
  <c r="K4353" i="12"/>
  <c r="I4353" i="12"/>
  <c r="N4352" i="12"/>
  <c r="K4352" i="12"/>
  <c r="I4352" i="12"/>
  <c r="N4351" i="12"/>
  <c r="K4351" i="12"/>
  <c r="I4351" i="12"/>
  <c r="N4350" i="12"/>
  <c r="K4350" i="12"/>
  <c r="I4350" i="12"/>
  <c r="N4349" i="12"/>
  <c r="K4349" i="12"/>
  <c r="I4349" i="12"/>
  <c r="N4348" i="12"/>
  <c r="K4348" i="12"/>
  <c r="I4348" i="12"/>
  <c r="N4347" i="12"/>
  <c r="K4347" i="12"/>
  <c r="I4347" i="12"/>
  <c r="N4346" i="12"/>
  <c r="K4346" i="12"/>
  <c r="I4346" i="12"/>
  <c r="N4345" i="12"/>
  <c r="K4345" i="12"/>
  <c r="I4345" i="12"/>
  <c r="N4344" i="12"/>
  <c r="K4344" i="12"/>
  <c r="I4344" i="12"/>
  <c r="N4343" i="12"/>
  <c r="K4343" i="12"/>
  <c r="I4343" i="12"/>
  <c r="N4342" i="12"/>
  <c r="K4342" i="12"/>
  <c r="I4342" i="12"/>
  <c r="N4341" i="12"/>
  <c r="K4341" i="12"/>
  <c r="I4341" i="12"/>
  <c r="N4340" i="12"/>
  <c r="K4340" i="12"/>
  <c r="I4340" i="12"/>
  <c r="N4339" i="12"/>
  <c r="K4339" i="12"/>
  <c r="I4339" i="12"/>
  <c r="N4338" i="12"/>
  <c r="K4338" i="12"/>
  <c r="I4338" i="12"/>
  <c r="N4337" i="12"/>
  <c r="K4337" i="12"/>
  <c r="I4337" i="12"/>
  <c r="N4336" i="12"/>
  <c r="K4336" i="12"/>
  <c r="I4336" i="12"/>
  <c r="N4335" i="12"/>
  <c r="K4335" i="12"/>
  <c r="I4335" i="12"/>
  <c r="N4334" i="12"/>
  <c r="K4334" i="12"/>
  <c r="I4334" i="12"/>
  <c r="N4333" i="12"/>
  <c r="K4333" i="12"/>
  <c r="I4333" i="12"/>
  <c r="N4332" i="12"/>
  <c r="K4332" i="12"/>
  <c r="I4332" i="12"/>
  <c r="N4331" i="12"/>
  <c r="K4331" i="12"/>
  <c r="I4331" i="12"/>
  <c r="N4330" i="12"/>
  <c r="K4330" i="12"/>
  <c r="I4330" i="12"/>
  <c r="N4329" i="12"/>
  <c r="K4329" i="12"/>
  <c r="I4329" i="12"/>
  <c r="N4328" i="12"/>
  <c r="K4328" i="12"/>
  <c r="I4328" i="12"/>
  <c r="N4327" i="12"/>
  <c r="K4327" i="12"/>
  <c r="I4327" i="12"/>
  <c r="N4326" i="12"/>
  <c r="K4326" i="12"/>
  <c r="I4326" i="12"/>
  <c r="N4325" i="12"/>
  <c r="K4325" i="12"/>
  <c r="I4325" i="12"/>
  <c r="N4324" i="12"/>
  <c r="K4324" i="12"/>
  <c r="I4324" i="12"/>
  <c r="N4323" i="12"/>
  <c r="K4323" i="12"/>
  <c r="I4323" i="12"/>
  <c r="N4322" i="12"/>
  <c r="K4322" i="12"/>
  <c r="I4322" i="12"/>
  <c r="N4321" i="12"/>
  <c r="K4321" i="12"/>
  <c r="I4321" i="12"/>
  <c r="N4320" i="12"/>
  <c r="K4320" i="12"/>
  <c r="I4320" i="12"/>
  <c r="N4319" i="12"/>
  <c r="K4319" i="12"/>
  <c r="I4319" i="12"/>
  <c r="N4318" i="12"/>
  <c r="K4318" i="12"/>
  <c r="I4318" i="12"/>
  <c r="N4317" i="12"/>
  <c r="K4317" i="12"/>
  <c r="I4317" i="12"/>
  <c r="N4316" i="12"/>
  <c r="K4316" i="12"/>
  <c r="I4316" i="12"/>
  <c r="N4315" i="12"/>
  <c r="K4315" i="12"/>
  <c r="I4315" i="12"/>
  <c r="N4314" i="12"/>
  <c r="K4314" i="12"/>
  <c r="I4314" i="12"/>
  <c r="N4313" i="12"/>
  <c r="K4313" i="12"/>
  <c r="I4313" i="12"/>
  <c r="N4312" i="12"/>
  <c r="K4312" i="12"/>
  <c r="I4312" i="12"/>
  <c r="N4311" i="12"/>
  <c r="K4311" i="12"/>
  <c r="I4311" i="12"/>
  <c r="N4310" i="12"/>
  <c r="K4310" i="12"/>
  <c r="I4310" i="12"/>
  <c r="N4309" i="12"/>
  <c r="K4309" i="12"/>
  <c r="I4309" i="12"/>
  <c r="N4308" i="12"/>
  <c r="K4308" i="12"/>
  <c r="I4308" i="12"/>
  <c r="N4307" i="12"/>
  <c r="K4307" i="12"/>
  <c r="I4307" i="12"/>
  <c r="N4306" i="12"/>
  <c r="K4306" i="12"/>
  <c r="I4306" i="12"/>
  <c r="N4305" i="12"/>
  <c r="K4305" i="12"/>
  <c r="I4305" i="12"/>
  <c r="N4304" i="12"/>
  <c r="K4304" i="12"/>
  <c r="I4304" i="12"/>
  <c r="N4303" i="12"/>
  <c r="K4303" i="12"/>
  <c r="I4303" i="12"/>
  <c r="N4302" i="12"/>
  <c r="K4302" i="12"/>
  <c r="I4302" i="12"/>
  <c r="N4301" i="12"/>
  <c r="K4301" i="12"/>
  <c r="I4301" i="12"/>
  <c r="N4300" i="12"/>
  <c r="K4300" i="12"/>
  <c r="I4300" i="12"/>
  <c r="N4299" i="12"/>
  <c r="K4299" i="12"/>
  <c r="I4299" i="12"/>
  <c r="N4298" i="12"/>
  <c r="K4298" i="12"/>
  <c r="I4298" i="12"/>
  <c r="N4297" i="12"/>
  <c r="K4297" i="12"/>
  <c r="I4297" i="12"/>
  <c r="N4296" i="12"/>
  <c r="K4296" i="12"/>
  <c r="I4296" i="12"/>
  <c r="N4295" i="12"/>
  <c r="K4295" i="12"/>
  <c r="I4295" i="12"/>
  <c r="N4294" i="12"/>
  <c r="K4294" i="12"/>
  <c r="I4294" i="12"/>
  <c r="N4293" i="12"/>
  <c r="K4293" i="12"/>
  <c r="I4293" i="12"/>
  <c r="N4292" i="12"/>
  <c r="K4292" i="12"/>
  <c r="I4292" i="12"/>
  <c r="N4291" i="12"/>
  <c r="K4291" i="12"/>
  <c r="I4291" i="12"/>
  <c r="N4290" i="12"/>
  <c r="K4290" i="12"/>
  <c r="I4290" i="12"/>
  <c r="N4289" i="12"/>
  <c r="K4289" i="12"/>
  <c r="I4289" i="12"/>
  <c r="N4288" i="12"/>
  <c r="K4288" i="12"/>
  <c r="I4288" i="12"/>
  <c r="N4287" i="12"/>
  <c r="K4287" i="12"/>
  <c r="I4287" i="12"/>
  <c r="N4286" i="12"/>
  <c r="K4286" i="12"/>
  <c r="I4286" i="12"/>
  <c r="N4285" i="12"/>
  <c r="K4285" i="12"/>
  <c r="I4285" i="12"/>
  <c r="N4284" i="12"/>
  <c r="K4284" i="12"/>
  <c r="I4284" i="12"/>
  <c r="N4283" i="12"/>
  <c r="K4283" i="12"/>
  <c r="I4283" i="12"/>
  <c r="N4282" i="12"/>
  <c r="K4282" i="12"/>
  <c r="I4282" i="12"/>
  <c r="N4281" i="12"/>
  <c r="K4281" i="12"/>
  <c r="I4281" i="12"/>
  <c r="N4280" i="12"/>
  <c r="K4280" i="12"/>
  <c r="I4280" i="12"/>
  <c r="N4279" i="12"/>
  <c r="K4279" i="12"/>
  <c r="I4279" i="12"/>
  <c r="N4278" i="12"/>
  <c r="K4278" i="12"/>
  <c r="I4278" i="12"/>
  <c r="N4277" i="12"/>
  <c r="K4277" i="12"/>
  <c r="I4277" i="12"/>
  <c r="N4276" i="12"/>
  <c r="K4276" i="12"/>
  <c r="I4276" i="12"/>
  <c r="N4275" i="12"/>
  <c r="K4275" i="12"/>
  <c r="I4275" i="12"/>
  <c r="N4274" i="12"/>
  <c r="K4274" i="12"/>
  <c r="I4274" i="12"/>
  <c r="N4273" i="12"/>
  <c r="K4273" i="12"/>
  <c r="I4273" i="12"/>
  <c r="N4272" i="12"/>
  <c r="K4272" i="12"/>
  <c r="I4272" i="12"/>
  <c r="N4271" i="12"/>
  <c r="K4271" i="12"/>
  <c r="I4271" i="12"/>
  <c r="N4270" i="12"/>
  <c r="K4270" i="12"/>
  <c r="I4270" i="12"/>
  <c r="N4269" i="12"/>
  <c r="K4269" i="12"/>
  <c r="I4269" i="12"/>
  <c r="N4268" i="12"/>
  <c r="K4268" i="12"/>
  <c r="I4268" i="12"/>
  <c r="N4267" i="12"/>
  <c r="K4267" i="12"/>
  <c r="I4267" i="12"/>
  <c r="N4266" i="12"/>
  <c r="K4266" i="12"/>
  <c r="I4266" i="12"/>
  <c r="N4265" i="12"/>
  <c r="K4265" i="12"/>
  <c r="I4265" i="12"/>
  <c r="N4264" i="12"/>
  <c r="K4264" i="12"/>
  <c r="I4264" i="12"/>
  <c r="N4263" i="12"/>
  <c r="K4263" i="12"/>
  <c r="I4263" i="12"/>
  <c r="N4262" i="12"/>
  <c r="K4262" i="12"/>
  <c r="I4262" i="12"/>
  <c r="N4261" i="12"/>
  <c r="K4261" i="12"/>
  <c r="I4261" i="12"/>
  <c r="N4260" i="12"/>
  <c r="K4260" i="12"/>
  <c r="I4260" i="12"/>
  <c r="N4259" i="12"/>
  <c r="K4259" i="12"/>
  <c r="I4259" i="12"/>
  <c r="N4258" i="12"/>
  <c r="K4258" i="12"/>
  <c r="I4258" i="12"/>
  <c r="N4257" i="12"/>
  <c r="K4257" i="12"/>
  <c r="I4257" i="12"/>
  <c r="N4256" i="12"/>
  <c r="K4256" i="12"/>
  <c r="I4256" i="12"/>
  <c r="N4255" i="12"/>
  <c r="K4255" i="12"/>
  <c r="I4255" i="12"/>
  <c r="N4254" i="12"/>
  <c r="K4254" i="12"/>
  <c r="I4254" i="12"/>
  <c r="N4253" i="12"/>
  <c r="K4253" i="12"/>
  <c r="I4253" i="12"/>
  <c r="N4252" i="12"/>
  <c r="K4252" i="12"/>
  <c r="I4252" i="12"/>
  <c r="N4251" i="12"/>
  <c r="K4251" i="12"/>
  <c r="I4251" i="12"/>
  <c r="N4250" i="12"/>
  <c r="K4250" i="12"/>
  <c r="I4250" i="12"/>
  <c r="N4249" i="12"/>
  <c r="K4249" i="12"/>
  <c r="I4249" i="12"/>
  <c r="N4248" i="12"/>
  <c r="K4248" i="12"/>
  <c r="I4248" i="12"/>
  <c r="N4247" i="12"/>
  <c r="K4247" i="12"/>
  <c r="I4247" i="12"/>
  <c r="N4246" i="12"/>
  <c r="K4246" i="12"/>
  <c r="I4246" i="12"/>
  <c r="N4245" i="12"/>
  <c r="K4245" i="12"/>
  <c r="I4245" i="12"/>
  <c r="N4244" i="12"/>
  <c r="K4244" i="12"/>
  <c r="I4244" i="12"/>
  <c r="N4243" i="12"/>
  <c r="K4243" i="12"/>
  <c r="I4243" i="12"/>
  <c r="N4242" i="12"/>
  <c r="K4242" i="12"/>
  <c r="I4242" i="12"/>
  <c r="N4241" i="12"/>
  <c r="K4241" i="12"/>
  <c r="I4241" i="12"/>
  <c r="N4240" i="12"/>
  <c r="K4240" i="12"/>
  <c r="I4240" i="12"/>
  <c r="N4239" i="12"/>
  <c r="K4239" i="12"/>
  <c r="I4239" i="12"/>
  <c r="N4238" i="12"/>
  <c r="K4238" i="12"/>
  <c r="I4238" i="12"/>
  <c r="N4237" i="12"/>
  <c r="K4237" i="12"/>
  <c r="I4237" i="12"/>
  <c r="N4236" i="12"/>
  <c r="K4236" i="12"/>
  <c r="I4236" i="12"/>
  <c r="N4235" i="12"/>
  <c r="K4235" i="12"/>
  <c r="I4235" i="12"/>
  <c r="N4234" i="12"/>
  <c r="K4234" i="12"/>
  <c r="I4234" i="12"/>
  <c r="N4233" i="12"/>
  <c r="K4233" i="12"/>
  <c r="I4233" i="12"/>
  <c r="N4232" i="12"/>
  <c r="K4232" i="12"/>
  <c r="I4232" i="12"/>
  <c r="N4231" i="12"/>
  <c r="K4231" i="12"/>
  <c r="I4231" i="12"/>
  <c r="N4230" i="12"/>
  <c r="K4230" i="12"/>
  <c r="I4230" i="12"/>
  <c r="N4229" i="12"/>
  <c r="K4229" i="12"/>
  <c r="I4229" i="12"/>
  <c r="N4228" i="12"/>
  <c r="K4228" i="12"/>
  <c r="I4228" i="12"/>
  <c r="N4227" i="12"/>
  <c r="K4227" i="12"/>
  <c r="I4227" i="12"/>
  <c r="N4226" i="12"/>
  <c r="K4226" i="12"/>
  <c r="I4226" i="12"/>
  <c r="N4225" i="12"/>
  <c r="K4225" i="12"/>
  <c r="I4225" i="12"/>
  <c r="N4224" i="12"/>
  <c r="K4224" i="12"/>
  <c r="I4224" i="12"/>
  <c r="N4223" i="12"/>
  <c r="K4223" i="12"/>
  <c r="I4223" i="12"/>
  <c r="N4222" i="12"/>
  <c r="K4222" i="12"/>
  <c r="I4222" i="12"/>
  <c r="N4221" i="12"/>
  <c r="K4221" i="12"/>
  <c r="I4221" i="12"/>
  <c r="N4220" i="12"/>
  <c r="K4220" i="12"/>
  <c r="I4220" i="12"/>
  <c r="N4219" i="12"/>
  <c r="K4219" i="12"/>
  <c r="I4219" i="12"/>
  <c r="N4218" i="12"/>
  <c r="K4218" i="12"/>
  <c r="I4218" i="12"/>
  <c r="N4217" i="12"/>
  <c r="K4217" i="12"/>
  <c r="I4217" i="12"/>
  <c r="N4216" i="12"/>
  <c r="K4216" i="12"/>
  <c r="I4216" i="12"/>
  <c r="N4215" i="12"/>
  <c r="K4215" i="12"/>
  <c r="I4215" i="12"/>
  <c r="N4214" i="12"/>
  <c r="K4214" i="12"/>
  <c r="I4214" i="12"/>
  <c r="N4213" i="12"/>
  <c r="K4213" i="12"/>
  <c r="I4213" i="12"/>
  <c r="N4212" i="12"/>
  <c r="K4212" i="12"/>
  <c r="I4212" i="12"/>
  <c r="N4211" i="12"/>
  <c r="K4211" i="12"/>
  <c r="I4211" i="12"/>
  <c r="N4210" i="12"/>
  <c r="K4210" i="12"/>
  <c r="I4210" i="12"/>
  <c r="N4209" i="12"/>
  <c r="K4209" i="12"/>
  <c r="I4209" i="12"/>
  <c r="N4208" i="12"/>
  <c r="K4208" i="12"/>
  <c r="I4208" i="12"/>
  <c r="N4207" i="12"/>
  <c r="K4207" i="12"/>
  <c r="I4207" i="12"/>
  <c r="N4206" i="12"/>
  <c r="K4206" i="12"/>
  <c r="I4206" i="12"/>
  <c r="N4205" i="12"/>
  <c r="K4205" i="12"/>
  <c r="I4205" i="12"/>
  <c r="N4204" i="12"/>
  <c r="K4204" i="12"/>
  <c r="I4204" i="12"/>
  <c r="N4203" i="12"/>
  <c r="K4203" i="12"/>
  <c r="I4203" i="12"/>
  <c r="N4202" i="12"/>
  <c r="K4202" i="12"/>
  <c r="I4202" i="12"/>
  <c r="N4201" i="12"/>
  <c r="K4201" i="12"/>
  <c r="I4201" i="12"/>
  <c r="N4200" i="12"/>
  <c r="K4200" i="12"/>
  <c r="I4200" i="12"/>
  <c r="N4199" i="12"/>
  <c r="K4199" i="12"/>
  <c r="I4199" i="12"/>
  <c r="N4198" i="12"/>
  <c r="K4198" i="12"/>
  <c r="I4198" i="12"/>
  <c r="N4197" i="12"/>
  <c r="K4197" i="12"/>
  <c r="I4197" i="12"/>
  <c r="N4196" i="12"/>
  <c r="K4196" i="12"/>
  <c r="I4196" i="12"/>
  <c r="N4195" i="12"/>
  <c r="K4195" i="12"/>
  <c r="I4195" i="12"/>
  <c r="N4194" i="12"/>
  <c r="K4194" i="12"/>
  <c r="I4194" i="12"/>
  <c r="N4193" i="12"/>
  <c r="K4193" i="12"/>
  <c r="I4193" i="12"/>
  <c r="N4192" i="12"/>
  <c r="K4192" i="12"/>
  <c r="I4192" i="12"/>
  <c r="N4191" i="12"/>
  <c r="K4191" i="12"/>
  <c r="I4191" i="12"/>
  <c r="N4190" i="12"/>
  <c r="K4190" i="12"/>
  <c r="I4190" i="12"/>
  <c r="N4189" i="12"/>
  <c r="K4189" i="12"/>
  <c r="I4189" i="12"/>
  <c r="N4188" i="12"/>
  <c r="K4188" i="12"/>
  <c r="I4188" i="12"/>
  <c r="N4187" i="12"/>
  <c r="K4187" i="12"/>
  <c r="I4187" i="12"/>
  <c r="N4186" i="12"/>
  <c r="K4186" i="12"/>
  <c r="I4186" i="12"/>
  <c r="N4185" i="12"/>
  <c r="K4185" i="12"/>
  <c r="I4185" i="12"/>
  <c r="N4184" i="12"/>
  <c r="K4184" i="12"/>
  <c r="I4184" i="12"/>
  <c r="N4183" i="12"/>
  <c r="K4183" i="12"/>
  <c r="I4183" i="12"/>
  <c r="N4182" i="12"/>
  <c r="K4182" i="12"/>
  <c r="I4182" i="12"/>
  <c r="N4181" i="12"/>
  <c r="K4181" i="12"/>
  <c r="I4181" i="12"/>
  <c r="N4180" i="12"/>
  <c r="K4180" i="12"/>
  <c r="I4180" i="12"/>
  <c r="N4179" i="12"/>
  <c r="K4179" i="12"/>
  <c r="I4179" i="12"/>
  <c r="N4178" i="12"/>
  <c r="K4178" i="12"/>
  <c r="I4178" i="12"/>
  <c r="N4177" i="12"/>
  <c r="K4177" i="12"/>
  <c r="I4177" i="12"/>
  <c r="N4176" i="12"/>
  <c r="K4176" i="12"/>
  <c r="I4176" i="12"/>
  <c r="N4175" i="12"/>
  <c r="K4175" i="12"/>
  <c r="I4175" i="12"/>
  <c r="N4174" i="12"/>
  <c r="K4174" i="12"/>
  <c r="I4174" i="12"/>
  <c r="N4173" i="12"/>
  <c r="K4173" i="12"/>
  <c r="I4173" i="12"/>
  <c r="N4172" i="12"/>
  <c r="K4172" i="12"/>
  <c r="I4172" i="12"/>
  <c r="N4171" i="12"/>
  <c r="K4171" i="12"/>
  <c r="I4171" i="12"/>
  <c r="N4170" i="12"/>
  <c r="K4170" i="12"/>
  <c r="I4170" i="12"/>
  <c r="N4169" i="12"/>
  <c r="K4169" i="12"/>
  <c r="I4169" i="12"/>
  <c r="N4168" i="12"/>
  <c r="K4168" i="12"/>
  <c r="I4168" i="12"/>
  <c r="N4167" i="12"/>
  <c r="K4167" i="12"/>
  <c r="I4167" i="12"/>
  <c r="N4166" i="12"/>
  <c r="K4166" i="12"/>
  <c r="I4166" i="12"/>
  <c r="N4165" i="12"/>
  <c r="K4165" i="12"/>
  <c r="I4165" i="12"/>
  <c r="N4164" i="12"/>
  <c r="K4164" i="12"/>
  <c r="I4164" i="12"/>
  <c r="N4163" i="12"/>
  <c r="K4163" i="12"/>
  <c r="I4163" i="12"/>
  <c r="N4162" i="12"/>
  <c r="K4162" i="12"/>
  <c r="I4162" i="12"/>
  <c r="N4161" i="12"/>
  <c r="K4161" i="12"/>
  <c r="I4161" i="12"/>
  <c r="N4160" i="12"/>
  <c r="K4160" i="12"/>
  <c r="I4160" i="12"/>
  <c r="N4159" i="12"/>
  <c r="K4159" i="12"/>
  <c r="I4159" i="12"/>
  <c r="N4158" i="12"/>
  <c r="K4158" i="12"/>
  <c r="I4158" i="12"/>
  <c r="N4157" i="12"/>
  <c r="K4157" i="12"/>
  <c r="I4157" i="12"/>
  <c r="N4156" i="12"/>
  <c r="K4156" i="12"/>
  <c r="I4156" i="12"/>
  <c r="N4155" i="12"/>
  <c r="K4155" i="12"/>
  <c r="I4155" i="12"/>
  <c r="N4154" i="12"/>
  <c r="K4154" i="12"/>
  <c r="I4154" i="12"/>
  <c r="N4153" i="12"/>
  <c r="K4153" i="12"/>
  <c r="I4153" i="12"/>
  <c r="N4152" i="12"/>
  <c r="K4152" i="12"/>
  <c r="I4152" i="12"/>
  <c r="N4151" i="12"/>
  <c r="K4151" i="12"/>
  <c r="I4151" i="12"/>
  <c r="N4150" i="12"/>
  <c r="K4150" i="12"/>
  <c r="I4150" i="12"/>
  <c r="N4149" i="12"/>
  <c r="K4149" i="12"/>
  <c r="I4149" i="12"/>
  <c r="N4148" i="12"/>
  <c r="K4148" i="12"/>
  <c r="I4148" i="12"/>
  <c r="N4147" i="12"/>
  <c r="K4147" i="12"/>
  <c r="I4147" i="12"/>
  <c r="N4146" i="12"/>
  <c r="K4146" i="12"/>
  <c r="I4146" i="12"/>
  <c r="N4145" i="12"/>
  <c r="K4145" i="12"/>
  <c r="I4145" i="12"/>
  <c r="N4144" i="12"/>
  <c r="K4144" i="12"/>
  <c r="I4144" i="12"/>
  <c r="N4143" i="12"/>
  <c r="K4143" i="12"/>
  <c r="I4143" i="12"/>
  <c r="N4142" i="12"/>
  <c r="K4142" i="12"/>
  <c r="I4142" i="12"/>
  <c r="N4141" i="12"/>
  <c r="K4141" i="12"/>
  <c r="I4141" i="12"/>
  <c r="N4140" i="12"/>
  <c r="K4140" i="12"/>
  <c r="I4140" i="12"/>
  <c r="N4139" i="12"/>
  <c r="K4139" i="12"/>
  <c r="I4139" i="12"/>
  <c r="N4138" i="12"/>
  <c r="K4138" i="12"/>
  <c r="I4138" i="12"/>
  <c r="N4137" i="12"/>
  <c r="K4137" i="12"/>
  <c r="I4137" i="12"/>
  <c r="N4136" i="12"/>
  <c r="K4136" i="12"/>
  <c r="I4136" i="12"/>
  <c r="N4135" i="12"/>
  <c r="K4135" i="12"/>
  <c r="I4135" i="12"/>
  <c r="N4134" i="12"/>
  <c r="K4134" i="12"/>
  <c r="I4134" i="12"/>
  <c r="N4133" i="12"/>
  <c r="K4133" i="12"/>
  <c r="I4133" i="12"/>
  <c r="N4132" i="12"/>
  <c r="K4132" i="12"/>
  <c r="I4132" i="12"/>
  <c r="N4131" i="12"/>
  <c r="K4131" i="12"/>
  <c r="I4131" i="12"/>
  <c r="N4130" i="12"/>
  <c r="K4130" i="12"/>
  <c r="I4130" i="12"/>
  <c r="N4129" i="12"/>
  <c r="K4129" i="12"/>
  <c r="I4129" i="12"/>
  <c r="N4128" i="12"/>
  <c r="K4128" i="12"/>
  <c r="I4128" i="12"/>
  <c r="N4127" i="12"/>
  <c r="K4127" i="12"/>
  <c r="I4127" i="12"/>
  <c r="N4126" i="12"/>
  <c r="K4126" i="12"/>
  <c r="I4126" i="12"/>
  <c r="N4125" i="12"/>
  <c r="K4125" i="12"/>
  <c r="I4125" i="12"/>
  <c r="N4124" i="12"/>
  <c r="K4124" i="12"/>
  <c r="I4124" i="12"/>
  <c r="N4123" i="12"/>
  <c r="K4123" i="12"/>
  <c r="I4123" i="12"/>
  <c r="N4122" i="12"/>
  <c r="K4122" i="12"/>
  <c r="I4122" i="12"/>
  <c r="N4121" i="12"/>
  <c r="K4121" i="12"/>
  <c r="I4121" i="12"/>
  <c r="N4120" i="12"/>
  <c r="K4120" i="12"/>
  <c r="I4120" i="12"/>
  <c r="N4119" i="12"/>
  <c r="K4119" i="12"/>
  <c r="I4119" i="12"/>
  <c r="N4118" i="12"/>
  <c r="K4118" i="12"/>
  <c r="I4118" i="12"/>
  <c r="N4117" i="12"/>
  <c r="K4117" i="12"/>
  <c r="I4117" i="12"/>
  <c r="N4116" i="12"/>
  <c r="K4116" i="12"/>
  <c r="I4116" i="12"/>
  <c r="N4115" i="12"/>
  <c r="K4115" i="12"/>
  <c r="I4115" i="12"/>
  <c r="N4114" i="12"/>
  <c r="K4114" i="12"/>
  <c r="I4114" i="12"/>
  <c r="N4113" i="12"/>
  <c r="K4113" i="12"/>
  <c r="I4113" i="12"/>
  <c r="N4112" i="12"/>
  <c r="K4112" i="12"/>
  <c r="I4112" i="12"/>
  <c r="N4111" i="12"/>
  <c r="K4111" i="12"/>
  <c r="I4111" i="12"/>
  <c r="N4110" i="12"/>
  <c r="K4110" i="12"/>
  <c r="I4110" i="12"/>
  <c r="N4109" i="12"/>
  <c r="K4109" i="12"/>
  <c r="I4109" i="12"/>
  <c r="N4108" i="12"/>
  <c r="K4108" i="12"/>
  <c r="I4108" i="12"/>
  <c r="N4107" i="12"/>
  <c r="K4107" i="12"/>
  <c r="I4107" i="12"/>
  <c r="N4106" i="12"/>
  <c r="K4106" i="12"/>
  <c r="I4106" i="12"/>
  <c r="N4105" i="12"/>
  <c r="K4105" i="12"/>
  <c r="I4105" i="12"/>
  <c r="N4104" i="12"/>
  <c r="K4104" i="12"/>
  <c r="I4104" i="12"/>
  <c r="N4103" i="12"/>
  <c r="K4103" i="12"/>
  <c r="I4103" i="12"/>
  <c r="N4102" i="12"/>
  <c r="K4102" i="12"/>
  <c r="I4102" i="12"/>
  <c r="N4101" i="12"/>
  <c r="K4101" i="12"/>
  <c r="I4101" i="12"/>
  <c r="N4100" i="12"/>
  <c r="K4100" i="12"/>
  <c r="I4100" i="12"/>
  <c r="N4099" i="12"/>
  <c r="K4099" i="12"/>
  <c r="I4099" i="12"/>
  <c r="N4098" i="12"/>
  <c r="K4098" i="12"/>
  <c r="I4098" i="12"/>
  <c r="N4097" i="12"/>
  <c r="K4097" i="12"/>
  <c r="I4097" i="12"/>
  <c r="N4096" i="12"/>
  <c r="K4096" i="12"/>
  <c r="I4096" i="12"/>
  <c r="N4095" i="12"/>
  <c r="K4095" i="12"/>
  <c r="I4095" i="12"/>
  <c r="N4094" i="12"/>
  <c r="K4094" i="12"/>
  <c r="I4094" i="12"/>
  <c r="N4093" i="12"/>
  <c r="K4093" i="12"/>
  <c r="I4093" i="12"/>
  <c r="N4092" i="12"/>
  <c r="K4092" i="12"/>
  <c r="I4092" i="12"/>
  <c r="N4091" i="12"/>
  <c r="K4091" i="12"/>
  <c r="I4091" i="12"/>
  <c r="N4090" i="12"/>
  <c r="K4090" i="12"/>
  <c r="I4090" i="12"/>
  <c r="N4089" i="12"/>
  <c r="K4089" i="12"/>
  <c r="I4089" i="12"/>
  <c r="N4088" i="12"/>
  <c r="K4088" i="12"/>
  <c r="I4088" i="12"/>
  <c r="N4087" i="12"/>
  <c r="K4087" i="12"/>
  <c r="I4087" i="12"/>
  <c r="N4086" i="12"/>
  <c r="K4086" i="12"/>
  <c r="I4086" i="12"/>
  <c r="N4085" i="12"/>
  <c r="K4085" i="12"/>
  <c r="I4085" i="12"/>
  <c r="N4084" i="12"/>
  <c r="K4084" i="12"/>
  <c r="I4084" i="12"/>
  <c r="N4083" i="12"/>
  <c r="K4083" i="12"/>
  <c r="I4083" i="12"/>
  <c r="N4082" i="12"/>
  <c r="K4082" i="12"/>
  <c r="I4082" i="12"/>
  <c r="N4081" i="12"/>
  <c r="K4081" i="12"/>
  <c r="I4081" i="12"/>
  <c r="N4080" i="12"/>
  <c r="K4080" i="12"/>
  <c r="I4080" i="12"/>
  <c r="N4079" i="12"/>
  <c r="K4079" i="12"/>
  <c r="I4079" i="12"/>
  <c r="N4078" i="12"/>
  <c r="K4078" i="12"/>
  <c r="I4078" i="12"/>
  <c r="N4077" i="12"/>
  <c r="K4077" i="12"/>
  <c r="I4077" i="12"/>
  <c r="N4076" i="12"/>
  <c r="K4076" i="12"/>
  <c r="I4076" i="12"/>
  <c r="N4075" i="12"/>
  <c r="K4075" i="12"/>
  <c r="I4075" i="12"/>
  <c r="N4074" i="12"/>
  <c r="K4074" i="12"/>
  <c r="I4074" i="12"/>
  <c r="N4073" i="12"/>
  <c r="K4073" i="12"/>
  <c r="I4073" i="12"/>
  <c r="N4072" i="12"/>
  <c r="K4072" i="12"/>
  <c r="I4072" i="12"/>
  <c r="N4071" i="12"/>
  <c r="K4071" i="12"/>
  <c r="I4071" i="12"/>
  <c r="N4070" i="12"/>
  <c r="K4070" i="12"/>
  <c r="I4070" i="12"/>
  <c r="N4069" i="12"/>
  <c r="K4069" i="12"/>
  <c r="I4069" i="12"/>
  <c r="N4068" i="12"/>
  <c r="K4068" i="12"/>
  <c r="I4068" i="12"/>
  <c r="N4067" i="12"/>
  <c r="K4067" i="12"/>
  <c r="I4067" i="12"/>
  <c r="N4066" i="12"/>
  <c r="K4066" i="12"/>
  <c r="I4066" i="12"/>
  <c r="N4065" i="12"/>
  <c r="K4065" i="12"/>
  <c r="I4065" i="12"/>
  <c r="N4064" i="12"/>
  <c r="K4064" i="12"/>
  <c r="I4064" i="12"/>
  <c r="N4063" i="12"/>
  <c r="K4063" i="12"/>
  <c r="I4063" i="12"/>
  <c r="N4062" i="12"/>
  <c r="K4062" i="12"/>
  <c r="I4062" i="12"/>
  <c r="N4061" i="12"/>
  <c r="K4061" i="12"/>
  <c r="I4061" i="12"/>
  <c r="N4060" i="12"/>
  <c r="K4060" i="12"/>
  <c r="I4060" i="12"/>
  <c r="N4059" i="12"/>
  <c r="K4059" i="12"/>
  <c r="I4059" i="12"/>
  <c r="N4058" i="12"/>
  <c r="K4058" i="12"/>
  <c r="I4058" i="12"/>
  <c r="N4057" i="12"/>
  <c r="K4057" i="12"/>
  <c r="I4057" i="12"/>
  <c r="N4056" i="12"/>
  <c r="K4056" i="12"/>
  <c r="I4056" i="12"/>
  <c r="N4055" i="12"/>
  <c r="K4055" i="12"/>
  <c r="I4055" i="12"/>
  <c r="N4054" i="12"/>
  <c r="K4054" i="12"/>
  <c r="I4054" i="12"/>
  <c r="N4053" i="12"/>
  <c r="K4053" i="12"/>
  <c r="I4053" i="12"/>
  <c r="N4052" i="12"/>
  <c r="K4052" i="12"/>
  <c r="I4052" i="12"/>
  <c r="N4051" i="12"/>
  <c r="K4051" i="12"/>
  <c r="I4051" i="12"/>
  <c r="N4050" i="12"/>
  <c r="K4050" i="12"/>
  <c r="I4050" i="12"/>
  <c r="N4049" i="12"/>
  <c r="K4049" i="12"/>
  <c r="I4049" i="12"/>
  <c r="N4048" i="12"/>
  <c r="K4048" i="12"/>
  <c r="I4048" i="12"/>
  <c r="N4047" i="12"/>
  <c r="K4047" i="12"/>
  <c r="I4047" i="12"/>
  <c r="N4046" i="12"/>
  <c r="K4046" i="12"/>
  <c r="I4046" i="12"/>
  <c r="N4045" i="12"/>
  <c r="K4045" i="12"/>
  <c r="I4045" i="12"/>
  <c r="N4044" i="12"/>
  <c r="K4044" i="12"/>
  <c r="I4044" i="12"/>
  <c r="N4043" i="12"/>
  <c r="K4043" i="12"/>
  <c r="I4043" i="12"/>
  <c r="N4042" i="12"/>
  <c r="K4042" i="12"/>
  <c r="I4042" i="12"/>
  <c r="N4041" i="12"/>
  <c r="K4041" i="12"/>
  <c r="I4041" i="12"/>
  <c r="N4040" i="12"/>
  <c r="K4040" i="12"/>
  <c r="I4040" i="12"/>
  <c r="N4039" i="12"/>
  <c r="K4039" i="12"/>
  <c r="I4039" i="12"/>
  <c r="N4038" i="12"/>
  <c r="K4038" i="12"/>
  <c r="I4038" i="12"/>
  <c r="N4037" i="12"/>
  <c r="K4037" i="12"/>
  <c r="I4037" i="12"/>
  <c r="N4036" i="12"/>
  <c r="K4036" i="12"/>
  <c r="I4036" i="12"/>
  <c r="N4035" i="12"/>
  <c r="K4035" i="12"/>
  <c r="I4035" i="12"/>
  <c r="N4034" i="12"/>
  <c r="K4034" i="12"/>
  <c r="I4034" i="12"/>
  <c r="N4033" i="12"/>
  <c r="K4033" i="12"/>
  <c r="I4033" i="12"/>
  <c r="N4032" i="12"/>
  <c r="K4032" i="12"/>
  <c r="I4032" i="12"/>
  <c r="N4031" i="12"/>
  <c r="K4031" i="12"/>
  <c r="I4031" i="12"/>
  <c r="N4030" i="12"/>
  <c r="K4030" i="12"/>
  <c r="I4030" i="12"/>
  <c r="N4029" i="12"/>
  <c r="K4029" i="12"/>
  <c r="I4029" i="12"/>
  <c r="N4028" i="12"/>
  <c r="K4028" i="12"/>
  <c r="I4028" i="12"/>
  <c r="N4027" i="12"/>
  <c r="K4027" i="12"/>
  <c r="I4027" i="12"/>
  <c r="N4026" i="12"/>
  <c r="K4026" i="12"/>
  <c r="I4026" i="12"/>
  <c r="N4025" i="12"/>
  <c r="K4025" i="12"/>
  <c r="I4025" i="12"/>
  <c r="N4024" i="12"/>
  <c r="K4024" i="12"/>
  <c r="I4024" i="12"/>
  <c r="N4023" i="12"/>
  <c r="K4023" i="12"/>
  <c r="I4023" i="12"/>
  <c r="N4022" i="12"/>
  <c r="K4022" i="12"/>
  <c r="I4022" i="12"/>
  <c r="N4021" i="12"/>
  <c r="K4021" i="12"/>
  <c r="I4021" i="12"/>
  <c r="N4020" i="12"/>
  <c r="K4020" i="12"/>
  <c r="I4020" i="12"/>
  <c r="N4019" i="12"/>
  <c r="K4019" i="12"/>
  <c r="I4019" i="12"/>
  <c r="N4018" i="12"/>
  <c r="K4018" i="12"/>
  <c r="I4018" i="12"/>
  <c r="N4017" i="12"/>
  <c r="K4017" i="12"/>
  <c r="I4017" i="12"/>
  <c r="N4016" i="12"/>
  <c r="K4016" i="12"/>
  <c r="I4016" i="12"/>
  <c r="N4015" i="12"/>
  <c r="K4015" i="12"/>
  <c r="I4015" i="12"/>
  <c r="N4014" i="12"/>
  <c r="K4014" i="12"/>
  <c r="I4014" i="12"/>
  <c r="N4013" i="12"/>
  <c r="K4013" i="12"/>
  <c r="I4013" i="12"/>
  <c r="N4012" i="12"/>
  <c r="K4012" i="12"/>
  <c r="I4012" i="12"/>
  <c r="N4011" i="12"/>
  <c r="K4011" i="12"/>
  <c r="I4011" i="12"/>
  <c r="N4010" i="12"/>
  <c r="K4010" i="12"/>
  <c r="I4010" i="12"/>
  <c r="N4009" i="12"/>
  <c r="K4009" i="12"/>
  <c r="I4009" i="12"/>
  <c r="N4008" i="12"/>
  <c r="K4008" i="12"/>
  <c r="I4008" i="12"/>
  <c r="N4007" i="12"/>
  <c r="K4007" i="12"/>
  <c r="I4007" i="12"/>
  <c r="N4006" i="12"/>
  <c r="K4006" i="12"/>
  <c r="I4006" i="12"/>
  <c r="N4005" i="12"/>
  <c r="K4005" i="12"/>
  <c r="I4005" i="12"/>
  <c r="N4004" i="12"/>
  <c r="K4004" i="12"/>
  <c r="I4004" i="12"/>
  <c r="N4003" i="12"/>
  <c r="K4003" i="12"/>
  <c r="I4003" i="12"/>
  <c r="N4002" i="12"/>
  <c r="K4002" i="12"/>
  <c r="I4002" i="12"/>
  <c r="N4001" i="12"/>
  <c r="K4001" i="12"/>
  <c r="I4001" i="12"/>
  <c r="N4000" i="12"/>
  <c r="K4000" i="12"/>
  <c r="I4000" i="12"/>
  <c r="N3999" i="12"/>
  <c r="K3999" i="12"/>
  <c r="I3999" i="12"/>
  <c r="N3998" i="12"/>
  <c r="K3998" i="12"/>
  <c r="I3998" i="12"/>
  <c r="N3997" i="12"/>
  <c r="K3997" i="12"/>
  <c r="I3997" i="12"/>
  <c r="N3996" i="12"/>
  <c r="K3996" i="12"/>
  <c r="I3996" i="12"/>
  <c r="N3995" i="12"/>
  <c r="K3995" i="12"/>
  <c r="I3995" i="12"/>
  <c r="N3994" i="12"/>
  <c r="K3994" i="12"/>
  <c r="I3994" i="12"/>
  <c r="N3993" i="12"/>
  <c r="K3993" i="12"/>
  <c r="I3993" i="12"/>
  <c r="N3992" i="12"/>
  <c r="K3992" i="12"/>
  <c r="I3992" i="12"/>
  <c r="N3991" i="12"/>
  <c r="K3991" i="12"/>
  <c r="I3991" i="12"/>
  <c r="N3990" i="12"/>
  <c r="K3990" i="12"/>
  <c r="I3990" i="12"/>
  <c r="N3989" i="12"/>
  <c r="K3989" i="12"/>
  <c r="I3989" i="12"/>
  <c r="N3988" i="12"/>
  <c r="K3988" i="12"/>
  <c r="I3988" i="12"/>
  <c r="N3987" i="12"/>
  <c r="K3987" i="12"/>
  <c r="I3987" i="12"/>
  <c r="N3986" i="12"/>
  <c r="K3986" i="12"/>
  <c r="I3986" i="12"/>
  <c r="N3985" i="12"/>
  <c r="K3985" i="12"/>
  <c r="I3985" i="12"/>
  <c r="N3984" i="12"/>
  <c r="K3984" i="12"/>
  <c r="I3984" i="12"/>
  <c r="N3983" i="12"/>
  <c r="K3983" i="12"/>
  <c r="I3983" i="12"/>
  <c r="N3982" i="12"/>
  <c r="K3982" i="12"/>
  <c r="I3982" i="12"/>
  <c r="N3981" i="12"/>
  <c r="K3981" i="12"/>
  <c r="I3981" i="12"/>
  <c r="N3980" i="12"/>
  <c r="K3980" i="12"/>
  <c r="I3980" i="12"/>
  <c r="N3979" i="12"/>
  <c r="K3979" i="12"/>
  <c r="I3979" i="12"/>
  <c r="N3978" i="12"/>
  <c r="K3978" i="12"/>
  <c r="I3978" i="12"/>
  <c r="N3977" i="12"/>
  <c r="K3977" i="12"/>
  <c r="I3977" i="12"/>
  <c r="N3976" i="12"/>
  <c r="K3976" i="12"/>
  <c r="I3976" i="12"/>
  <c r="N3975" i="12"/>
  <c r="K3975" i="12"/>
  <c r="I3975" i="12"/>
  <c r="N3974" i="12"/>
  <c r="K3974" i="12"/>
  <c r="I3974" i="12"/>
  <c r="N3973" i="12"/>
  <c r="K3973" i="12"/>
  <c r="I3973" i="12"/>
  <c r="N3972" i="12"/>
  <c r="K3972" i="12"/>
  <c r="I3972" i="12"/>
  <c r="N3971" i="12"/>
  <c r="K3971" i="12"/>
  <c r="I3971" i="12"/>
  <c r="N3970" i="12"/>
  <c r="K3970" i="12"/>
  <c r="I3970" i="12"/>
  <c r="N3969" i="12"/>
  <c r="K3969" i="12"/>
  <c r="I3969" i="12"/>
  <c r="N3968" i="12"/>
  <c r="K3968" i="12"/>
  <c r="I3968" i="12"/>
  <c r="N3967" i="12"/>
  <c r="K3967" i="12"/>
  <c r="I3967" i="12"/>
  <c r="N3966" i="12"/>
  <c r="K3966" i="12"/>
  <c r="I3966" i="12"/>
  <c r="N3965" i="12"/>
  <c r="K3965" i="12"/>
  <c r="I3965" i="12"/>
  <c r="N3964" i="12"/>
  <c r="K3964" i="12"/>
  <c r="I3964" i="12"/>
  <c r="N3963" i="12"/>
  <c r="K3963" i="12"/>
  <c r="I3963" i="12"/>
  <c r="N3962" i="12"/>
  <c r="K3962" i="12"/>
  <c r="I3962" i="12"/>
  <c r="N3961" i="12"/>
  <c r="K3961" i="12"/>
  <c r="I3961" i="12"/>
  <c r="N3960" i="12"/>
  <c r="K3960" i="12"/>
  <c r="I3960" i="12"/>
  <c r="N3959" i="12"/>
  <c r="K3959" i="12"/>
  <c r="I3959" i="12"/>
  <c r="N3958" i="12"/>
  <c r="K3958" i="12"/>
  <c r="I3958" i="12"/>
  <c r="N3957" i="12"/>
  <c r="K3957" i="12"/>
  <c r="I3957" i="12"/>
  <c r="N3956" i="12"/>
  <c r="K3956" i="12"/>
  <c r="I3956" i="12"/>
  <c r="N3955" i="12"/>
  <c r="K3955" i="12"/>
  <c r="I3955" i="12"/>
  <c r="N3954" i="12"/>
  <c r="K3954" i="12"/>
  <c r="I3954" i="12"/>
  <c r="N3953" i="12"/>
  <c r="K3953" i="12"/>
  <c r="I3953" i="12"/>
  <c r="N3952" i="12"/>
  <c r="K3952" i="12"/>
  <c r="I3952" i="12"/>
  <c r="N3951" i="12"/>
  <c r="K3951" i="12"/>
  <c r="I3951" i="12"/>
  <c r="N3950" i="12"/>
  <c r="K3950" i="12"/>
  <c r="I3950" i="12"/>
  <c r="N3949" i="12"/>
  <c r="K3949" i="12"/>
  <c r="I3949" i="12"/>
  <c r="N3948" i="12"/>
  <c r="K3948" i="12"/>
  <c r="I3948" i="12"/>
  <c r="N3947" i="12"/>
  <c r="K3947" i="12"/>
  <c r="I3947" i="12"/>
  <c r="N3946" i="12"/>
  <c r="K3946" i="12"/>
  <c r="I3946" i="12"/>
  <c r="N3945" i="12"/>
  <c r="K3945" i="12"/>
  <c r="I3945" i="12"/>
  <c r="N3944" i="12"/>
  <c r="K3944" i="12"/>
  <c r="I3944" i="12"/>
  <c r="N3943" i="12"/>
  <c r="K3943" i="12"/>
  <c r="I3943" i="12"/>
  <c r="N3942" i="12"/>
  <c r="K3942" i="12"/>
  <c r="I3942" i="12"/>
  <c r="N3941" i="12"/>
  <c r="K3941" i="12"/>
  <c r="I3941" i="12"/>
  <c r="N3940" i="12"/>
  <c r="K3940" i="12"/>
  <c r="I3940" i="12"/>
  <c r="N3939" i="12"/>
  <c r="K3939" i="12"/>
  <c r="I3939" i="12"/>
  <c r="N3938" i="12"/>
  <c r="K3938" i="12"/>
  <c r="I3938" i="12"/>
  <c r="N3937" i="12"/>
  <c r="K3937" i="12"/>
  <c r="I3937" i="12"/>
  <c r="N3936" i="12"/>
  <c r="K3936" i="12"/>
  <c r="I3936" i="12"/>
  <c r="N3935" i="12"/>
  <c r="K3935" i="12"/>
  <c r="I3935" i="12"/>
  <c r="N3934" i="12"/>
  <c r="K3934" i="12"/>
  <c r="I3934" i="12"/>
  <c r="N3933" i="12"/>
  <c r="K3933" i="12"/>
  <c r="I3933" i="12"/>
  <c r="N3932" i="12"/>
  <c r="K3932" i="12"/>
  <c r="I3932" i="12"/>
  <c r="N3931" i="12"/>
  <c r="K3931" i="12"/>
  <c r="I3931" i="12"/>
  <c r="N3930" i="12"/>
  <c r="K3930" i="12"/>
  <c r="I3930" i="12"/>
  <c r="N3929" i="12"/>
  <c r="K3929" i="12"/>
  <c r="I3929" i="12"/>
  <c r="N3928" i="12"/>
  <c r="K3928" i="12"/>
  <c r="I3928" i="12"/>
  <c r="N3927" i="12"/>
  <c r="K3927" i="12"/>
  <c r="I3927" i="12"/>
  <c r="N3926" i="12"/>
  <c r="K3926" i="12"/>
  <c r="I3926" i="12"/>
  <c r="N3925" i="12"/>
  <c r="K3925" i="12"/>
  <c r="I3925" i="12"/>
  <c r="N3924" i="12"/>
  <c r="K3924" i="12"/>
  <c r="I3924" i="12"/>
  <c r="N3923" i="12"/>
  <c r="K3923" i="12"/>
  <c r="I3923" i="12"/>
  <c r="N3922" i="12"/>
  <c r="K3922" i="12"/>
  <c r="I3922" i="12"/>
  <c r="N3921" i="12"/>
  <c r="K3921" i="12"/>
  <c r="I3921" i="12"/>
  <c r="N3920" i="12"/>
  <c r="K3920" i="12"/>
  <c r="I3920" i="12"/>
  <c r="N3919" i="12"/>
  <c r="K3919" i="12"/>
  <c r="I3919" i="12"/>
  <c r="N3918" i="12"/>
  <c r="K3918" i="12"/>
  <c r="I3918" i="12"/>
  <c r="N3917" i="12"/>
  <c r="K3917" i="12"/>
  <c r="I3917" i="12"/>
  <c r="N3916" i="12"/>
  <c r="K3916" i="12"/>
  <c r="I3916" i="12"/>
  <c r="N3915" i="12"/>
  <c r="K3915" i="12"/>
  <c r="I3915" i="12"/>
  <c r="N3914" i="12"/>
  <c r="K3914" i="12"/>
  <c r="I3914" i="12"/>
  <c r="N3913" i="12"/>
  <c r="K3913" i="12"/>
  <c r="I3913" i="12"/>
  <c r="N3912" i="12"/>
  <c r="K3912" i="12"/>
  <c r="I3912" i="12"/>
  <c r="N3911" i="12"/>
  <c r="K3911" i="12"/>
  <c r="I3911" i="12"/>
  <c r="N3910" i="12"/>
  <c r="K3910" i="12"/>
  <c r="I3910" i="12"/>
  <c r="N3909" i="12"/>
  <c r="K3909" i="12"/>
  <c r="I3909" i="12"/>
  <c r="N3908" i="12"/>
  <c r="K3908" i="12"/>
  <c r="I3908" i="12"/>
  <c r="N3907" i="12"/>
  <c r="K3907" i="12"/>
  <c r="I3907" i="12"/>
  <c r="N3906" i="12"/>
  <c r="K3906" i="12"/>
  <c r="I3906" i="12"/>
  <c r="N3905" i="12"/>
  <c r="K3905" i="12"/>
  <c r="I3905" i="12"/>
  <c r="N3904" i="12"/>
  <c r="K3904" i="12"/>
  <c r="I3904" i="12"/>
  <c r="N3903" i="12"/>
  <c r="K3903" i="12"/>
  <c r="I3903" i="12"/>
  <c r="N3902" i="12"/>
  <c r="K3902" i="12"/>
  <c r="I3902" i="12"/>
  <c r="N3901" i="12"/>
  <c r="K3901" i="12"/>
  <c r="I3901" i="12"/>
  <c r="N3900" i="12"/>
  <c r="K3900" i="12"/>
  <c r="I3900" i="12"/>
  <c r="N3899" i="12"/>
  <c r="K3899" i="12"/>
  <c r="I3899" i="12"/>
  <c r="N3898" i="12"/>
  <c r="K3898" i="12"/>
  <c r="I3898" i="12"/>
  <c r="N3897" i="12"/>
  <c r="K3897" i="12"/>
  <c r="I3897" i="12"/>
  <c r="N3896" i="12"/>
  <c r="K3896" i="12"/>
  <c r="I3896" i="12"/>
  <c r="N3895" i="12"/>
  <c r="K3895" i="12"/>
  <c r="I3895" i="12"/>
  <c r="N3894" i="12"/>
  <c r="K3894" i="12"/>
  <c r="I3894" i="12"/>
  <c r="N3893" i="12"/>
  <c r="K3893" i="12"/>
  <c r="I3893" i="12"/>
  <c r="N3892" i="12"/>
  <c r="K3892" i="12"/>
  <c r="I3892" i="12"/>
  <c r="N3891" i="12"/>
  <c r="K3891" i="12"/>
  <c r="I3891" i="12"/>
  <c r="N3890" i="12"/>
  <c r="K3890" i="12"/>
  <c r="I3890" i="12"/>
  <c r="N3889" i="12"/>
  <c r="K3889" i="12"/>
  <c r="I3889" i="12"/>
  <c r="N3888" i="12"/>
  <c r="K3888" i="12"/>
  <c r="I3888" i="12"/>
  <c r="N3887" i="12"/>
  <c r="K3887" i="12"/>
  <c r="I3887" i="12"/>
  <c r="N3886" i="12"/>
  <c r="K3886" i="12"/>
  <c r="I3886" i="12"/>
  <c r="N3885" i="12"/>
  <c r="K3885" i="12"/>
  <c r="I3885" i="12"/>
  <c r="N3884" i="12"/>
  <c r="K3884" i="12"/>
  <c r="I3884" i="12"/>
  <c r="N3883" i="12"/>
  <c r="K3883" i="12"/>
  <c r="I3883" i="12"/>
  <c r="N3882" i="12"/>
  <c r="K3882" i="12"/>
  <c r="I3882" i="12"/>
  <c r="N3881" i="12"/>
  <c r="K3881" i="12"/>
  <c r="I3881" i="12"/>
  <c r="N3880" i="12"/>
  <c r="K3880" i="12"/>
  <c r="I3880" i="12"/>
  <c r="N3879" i="12"/>
  <c r="K3879" i="12"/>
  <c r="I3879" i="12"/>
  <c r="N3878" i="12"/>
  <c r="K3878" i="12"/>
  <c r="I3878" i="12"/>
  <c r="N3877" i="12"/>
  <c r="K3877" i="12"/>
  <c r="I3877" i="12"/>
  <c r="N3876" i="12"/>
  <c r="K3876" i="12"/>
  <c r="I3876" i="12"/>
  <c r="N3875" i="12"/>
  <c r="K3875" i="12"/>
  <c r="I3875" i="12"/>
  <c r="N3874" i="12"/>
  <c r="K3874" i="12"/>
  <c r="I3874" i="12"/>
  <c r="N3873" i="12"/>
  <c r="K3873" i="12"/>
  <c r="I3873" i="12"/>
  <c r="N3872" i="12"/>
  <c r="K3872" i="12"/>
  <c r="I3872" i="12"/>
  <c r="N3871" i="12"/>
  <c r="K3871" i="12"/>
  <c r="I3871" i="12"/>
  <c r="N3870" i="12"/>
  <c r="K3870" i="12"/>
  <c r="I3870" i="12"/>
  <c r="N3869" i="12"/>
  <c r="K3869" i="12"/>
  <c r="I3869" i="12"/>
  <c r="N3868" i="12"/>
  <c r="K3868" i="12"/>
  <c r="I3868" i="12"/>
  <c r="N3867" i="12"/>
  <c r="K3867" i="12"/>
  <c r="I3867" i="12"/>
  <c r="N3866" i="12"/>
  <c r="K3866" i="12"/>
  <c r="I3866" i="12"/>
  <c r="N3865" i="12"/>
  <c r="K3865" i="12"/>
  <c r="I3865" i="12"/>
  <c r="N3864" i="12"/>
  <c r="K3864" i="12"/>
  <c r="I3864" i="12"/>
  <c r="N3863" i="12"/>
  <c r="K3863" i="12"/>
  <c r="I3863" i="12"/>
  <c r="N3862" i="12"/>
  <c r="K3862" i="12"/>
  <c r="I3862" i="12"/>
  <c r="N3861" i="12"/>
  <c r="K3861" i="12"/>
  <c r="I3861" i="12"/>
  <c r="N3860" i="12"/>
  <c r="K3860" i="12"/>
  <c r="I3860" i="12"/>
  <c r="N3859" i="12"/>
  <c r="K3859" i="12"/>
  <c r="I3859" i="12"/>
  <c r="N3858" i="12"/>
  <c r="K3858" i="12"/>
  <c r="I3858" i="12"/>
  <c r="N3857" i="12"/>
  <c r="K3857" i="12"/>
  <c r="I3857" i="12"/>
  <c r="N3856" i="12"/>
  <c r="K3856" i="12"/>
  <c r="I3856" i="12"/>
  <c r="N3855" i="12"/>
  <c r="K3855" i="12"/>
  <c r="I3855" i="12"/>
  <c r="N3854" i="12"/>
  <c r="K3854" i="12"/>
  <c r="I3854" i="12"/>
  <c r="N3853" i="12"/>
  <c r="K3853" i="12"/>
  <c r="I3853" i="12"/>
  <c r="N3852" i="12"/>
  <c r="K3852" i="12"/>
  <c r="I3852" i="12"/>
  <c r="N3851" i="12"/>
  <c r="K3851" i="12"/>
  <c r="I3851" i="12"/>
  <c r="N3850" i="12"/>
  <c r="K3850" i="12"/>
  <c r="I3850" i="12"/>
  <c r="N3849" i="12"/>
  <c r="K3849" i="12"/>
  <c r="I3849" i="12"/>
  <c r="N3848" i="12"/>
  <c r="K3848" i="12"/>
  <c r="I3848" i="12"/>
  <c r="N3847" i="12"/>
  <c r="K3847" i="12"/>
  <c r="I3847" i="12"/>
  <c r="N3846" i="12"/>
  <c r="K3846" i="12"/>
  <c r="I3846" i="12"/>
  <c r="N3845" i="12"/>
  <c r="K3845" i="12"/>
  <c r="I3845" i="12"/>
  <c r="N3844" i="12"/>
  <c r="K3844" i="12"/>
  <c r="I3844" i="12"/>
  <c r="N3843" i="12"/>
  <c r="K3843" i="12"/>
  <c r="I3843" i="12"/>
  <c r="N3842" i="12"/>
  <c r="K3842" i="12"/>
  <c r="I3842" i="12"/>
  <c r="N3841" i="12"/>
  <c r="K3841" i="12"/>
  <c r="I3841" i="12"/>
  <c r="N3840" i="12"/>
  <c r="K3840" i="12"/>
  <c r="I3840" i="12"/>
  <c r="N3839" i="12"/>
  <c r="K3839" i="12"/>
  <c r="I3839" i="12"/>
  <c r="N3838" i="12"/>
  <c r="K3838" i="12"/>
  <c r="I3838" i="12"/>
  <c r="N3837" i="12"/>
  <c r="K3837" i="12"/>
  <c r="I3837" i="12"/>
  <c r="N3836" i="12"/>
  <c r="K3836" i="12"/>
  <c r="I3836" i="12"/>
  <c r="N3835" i="12"/>
  <c r="K3835" i="12"/>
  <c r="I3835" i="12"/>
  <c r="N3834" i="12"/>
  <c r="K3834" i="12"/>
  <c r="I3834" i="12"/>
  <c r="N3833" i="12"/>
  <c r="K3833" i="12"/>
  <c r="I3833" i="12"/>
  <c r="N3832" i="12"/>
  <c r="K3832" i="12"/>
  <c r="I3832" i="12"/>
  <c r="N3831" i="12"/>
  <c r="K3831" i="12"/>
  <c r="I3831" i="12"/>
  <c r="N3830" i="12"/>
  <c r="K3830" i="12"/>
  <c r="I3830" i="12"/>
  <c r="N3829" i="12"/>
  <c r="K3829" i="12"/>
  <c r="I3829" i="12"/>
  <c r="N3828" i="12"/>
  <c r="K3828" i="12"/>
  <c r="I3828" i="12"/>
  <c r="N3827" i="12"/>
  <c r="K3827" i="12"/>
  <c r="I3827" i="12"/>
  <c r="N3826" i="12"/>
  <c r="K3826" i="12"/>
  <c r="I3826" i="12"/>
  <c r="N3825" i="12"/>
  <c r="K3825" i="12"/>
  <c r="I3825" i="12"/>
  <c r="N3824" i="12"/>
  <c r="K3824" i="12"/>
  <c r="I3824" i="12"/>
  <c r="N3823" i="12"/>
  <c r="K3823" i="12"/>
  <c r="I3823" i="12"/>
  <c r="N3822" i="12"/>
  <c r="K3822" i="12"/>
  <c r="I3822" i="12"/>
  <c r="N3821" i="12"/>
  <c r="K3821" i="12"/>
  <c r="I3821" i="12"/>
  <c r="N3820" i="12"/>
  <c r="K3820" i="12"/>
  <c r="I3820" i="12"/>
  <c r="N3819" i="12"/>
  <c r="K3819" i="12"/>
  <c r="I3819" i="12"/>
  <c r="N3818" i="12"/>
  <c r="K3818" i="12"/>
  <c r="I3818" i="12"/>
  <c r="N3817" i="12"/>
  <c r="K3817" i="12"/>
  <c r="I3817" i="12"/>
  <c r="N3816" i="12"/>
  <c r="K3816" i="12"/>
  <c r="I3816" i="12"/>
  <c r="N3815" i="12"/>
  <c r="K3815" i="12"/>
  <c r="I3815" i="12"/>
  <c r="N3814" i="12"/>
  <c r="K3814" i="12"/>
  <c r="I3814" i="12"/>
  <c r="N3813" i="12"/>
  <c r="K3813" i="12"/>
  <c r="I3813" i="12"/>
  <c r="N3812" i="12"/>
  <c r="K3812" i="12"/>
  <c r="I3812" i="12"/>
  <c r="N3811" i="12"/>
  <c r="K3811" i="12"/>
  <c r="I3811" i="12"/>
  <c r="N3810" i="12"/>
  <c r="K3810" i="12"/>
  <c r="I3810" i="12"/>
  <c r="N3809" i="12"/>
  <c r="K3809" i="12"/>
  <c r="I3809" i="12"/>
  <c r="N3808" i="12"/>
  <c r="K3808" i="12"/>
  <c r="I3808" i="12"/>
  <c r="N3807" i="12"/>
  <c r="K3807" i="12"/>
  <c r="I3807" i="12"/>
  <c r="N3806" i="12"/>
  <c r="K3806" i="12"/>
  <c r="I3806" i="12"/>
  <c r="N3805" i="12"/>
  <c r="K3805" i="12"/>
  <c r="I3805" i="12"/>
  <c r="N3804" i="12"/>
  <c r="K3804" i="12"/>
  <c r="I3804" i="12"/>
  <c r="N3803" i="12"/>
  <c r="K3803" i="12"/>
  <c r="I3803" i="12"/>
  <c r="N3802" i="12"/>
  <c r="K3802" i="12"/>
  <c r="I3802" i="12"/>
  <c r="N3801" i="12"/>
  <c r="K3801" i="12"/>
  <c r="I3801" i="12"/>
  <c r="N3800" i="12"/>
  <c r="K3800" i="12"/>
  <c r="I3800" i="12"/>
  <c r="N3799" i="12"/>
  <c r="K3799" i="12"/>
  <c r="I3799" i="12"/>
  <c r="N3798" i="12"/>
  <c r="K3798" i="12"/>
  <c r="I3798" i="12"/>
  <c r="N3797" i="12"/>
  <c r="K3797" i="12"/>
  <c r="I3797" i="12"/>
  <c r="N3796" i="12"/>
  <c r="K3796" i="12"/>
  <c r="I3796" i="12"/>
  <c r="N3795" i="12"/>
  <c r="K3795" i="12"/>
  <c r="I3795" i="12"/>
  <c r="N3794" i="12"/>
  <c r="K3794" i="12"/>
  <c r="I3794" i="12"/>
  <c r="N3793" i="12"/>
  <c r="K3793" i="12"/>
  <c r="I3793" i="12"/>
  <c r="N3792" i="12"/>
  <c r="K3792" i="12"/>
  <c r="I3792" i="12"/>
  <c r="N3791" i="12"/>
  <c r="K3791" i="12"/>
  <c r="I3791" i="12"/>
  <c r="N3790" i="12"/>
  <c r="K3790" i="12"/>
  <c r="I3790" i="12"/>
  <c r="N3789" i="12"/>
  <c r="K3789" i="12"/>
  <c r="I3789" i="12"/>
  <c r="N3788" i="12"/>
  <c r="K3788" i="12"/>
  <c r="I3788" i="12"/>
  <c r="N3787" i="12"/>
  <c r="K3787" i="12"/>
  <c r="I3787" i="12"/>
  <c r="N3786" i="12"/>
  <c r="K3786" i="12"/>
  <c r="I3786" i="12"/>
  <c r="N3785" i="12"/>
  <c r="K3785" i="12"/>
  <c r="I3785" i="12"/>
  <c r="N3784" i="12"/>
  <c r="K3784" i="12"/>
  <c r="I3784" i="12"/>
  <c r="N3783" i="12"/>
  <c r="K3783" i="12"/>
  <c r="I3783" i="12"/>
  <c r="N3782" i="12"/>
  <c r="K3782" i="12"/>
  <c r="I3782" i="12"/>
  <c r="N3781" i="12"/>
  <c r="K3781" i="12"/>
  <c r="I3781" i="12"/>
  <c r="N3780" i="12"/>
  <c r="K3780" i="12"/>
  <c r="I3780" i="12"/>
  <c r="N3779" i="12"/>
  <c r="K3779" i="12"/>
  <c r="I3779" i="12"/>
  <c r="N3778" i="12"/>
  <c r="K3778" i="12"/>
  <c r="I3778" i="12"/>
  <c r="N3777" i="12"/>
  <c r="K3777" i="12"/>
  <c r="I3777" i="12"/>
  <c r="N3776" i="12"/>
  <c r="K3776" i="12"/>
  <c r="I3776" i="12"/>
  <c r="N3775" i="12"/>
  <c r="K3775" i="12"/>
  <c r="I3775" i="12"/>
  <c r="N3774" i="12"/>
  <c r="K3774" i="12"/>
  <c r="I3774" i="12"/>
  <c r="N3773" i="12"/>
  <c r="K3773" i="12"/>
  <c r="I3773" i="12"/>
  <c r="N3772" i="12"/>
  <c r="K3772" i="12"/>
  <c r="I3772" i="12"/>
  <c r="N3771" i="12"/>
  <c r="K3771" i="12"/>
  <c r="I3771" i="12"/>
  <c r="N3770" i="12"/>
  <c r="K3770" i="12"/>
  <c r="I3770" i="12"/>
  <c r="N3769" i="12"/>
  <c r="K3769" i="12"/>
  <c r="I3769" i="12"/>
  <c r="N3768" i="12"/>
  <c r="K3768" i="12"/>
  <c r="I3768" i="12"/>
  <c r="N3767" i="12"/>
  <c r="K3767" i="12"/>
  <c r="I3767" i="12"/>
  <c r="N3766" i="12"/>
  <c r="K3766" i="12"/>
  <c r="I3766" i="12"/>
  <c r="N3765" i="12"/>
  <c r="K3765" i="12"/>
  <c r="I3765" i="12"/>
  <c r="N3764" i="12"/>
  <c r="K3764" i="12"/>
  <c r="I3764" i="12"/>
  <c r="N3763" i="12"/>
  <c r="K3763" i="12"/>
  <c r="I3763" i="12"/>
  <c r="N3762" i="12"/>
  <c r="K3762" i="12"/>
  <c r="I3762" i="12"/>
  <c r="N3761" i="12"/>
  <c r="K3761" i="12"/>
  <c r="I3761" i="12"/>
  <c r="N3760" i="12"/>
  <c r="K3760" i="12"/>
  <c r="I3760" i="12"/>
  <c r="N3759" i="12"/>
  <c r="K3759" i="12"/>
  <c r="I3759" i="12"/>
  <c r="N3758" i="12"/>
  <c r="K3758" i="12"/>
  <c r="I3758" i="12"/>
  <c r="N3757" i="12"/>
  <c r="K3757" i="12"/>
  <c r="I3757" i="12"/>
  <c r="N3756" i="12"/>
  <c r="K3756" i="12"/>
  <c r="I3756" i="12"/>
  <c r="N3755" i="12"/>
  <c r="K3755" i="12"/>
  <c r="I3755" i="12"/>
  <c r="N3754" i="12"/>
  <c r="K3754" i="12"/>
  <c r="I3754" i="12"/>
  <c r="N3753" i="12"/>
  <c r="K3753" i="12"/>
  <c r="I3753" i="12"/>
  <c r="N3752" i="12"/>
  <c r="K3752" i="12"/>
  <c r="I3752" i="12"/>
  <c r="N3751" i="12"/>
  <c r="K3751" i="12"/>
  <c r="I3751" i="12"/>
  <c r="N3750" i="12"/>
  <c r="K3750" i="12"/>
  <c r="I3750" i="12"/>
  <c r="N3749" i="12"/>
  <c r="K3749" i="12"/>
  <c r="I3749" i="12"/>
  <c r="N3748" i="12"/>
  <c r="K3748" i="12"/>
  <c r="I3748" i="12"/>
  <c r="N3747" i="12"/>
  <c r="K3747" i="12"/>
  <c r="I3747" i="12"/>
  <c r="N3746" i="12"/>
  <c r="K3746" i="12"/>
  <c r="I3746" i="12"/>
  <c r="N3745" i="12"/>
  <c r="K3745" i="12"/>
  <c r="I3745" i="12"/>
  <c r="N3744" i="12"/>
  <c r="K3744" i="12"/>
  <c r="I3744" i="12"/>
  <c r="N3743" i="12"/>
  <c r="K3743" i="12"/>
  <c r="I3743" i="12"/>
  <c r="N3742" i="12"/>
  <c r="K3742" i="12"/>
  <c r="I3742" i="12"/>
  <c r="N3741" i="12"/>
  <c r="K3741" i="12"/>
  <c r="I3741" i="12"/>
  <c r="N3740" i="12"/>
  <c r="K3740" i="12"/>
  <c r="I3740" i="12"/>
  <c r="N3739" i="12"/>
  <c r="K3739" i="12"/>
  <c r="I3739" i="12"/>
  <c r="N3738" i="12"/>
  <c r="K3738" i="12"/>
  <c r="I3738" i="12"/>
  <c r="N3737" i="12"/>
  <c r="K3737" i="12"/>
  <c r="I3737" i="12"/>
  <c r="N3736" i="12"/>
  <c r="K3736" i="12"/>
  <c r="I3736" i="12"/>
  <c r="N3735" i="12"/>
  <c r="K3735" i="12"/>
  <c r="I3735" i="12"/>
  <c r="N3734" i="12"/>
  <c r="K3734" i="12"/>
  <c r="I3734" i="12"/>
  <c r="N3733" i="12"/>
  <c r="K3733" i="12"/>
  <c r="I3733" i="12"/>
  <c r="N3732" i="12"/>
  <c r="K3732" i="12"/>
  <c r="I3732" i="12"/>
  <c r="N3731" i="12"/>
  <c r="K3731" i="12"/>
  <c r="I3731" i="12"/>
  <c r="N3730" i="12"/>
  <c r="K3730" i="12"/>
  <c r="I3730" i="12"/>
  <c r="N3729" i="12"/>
  <c r="K3729" i="12"/>
  <c r="I3729" i="12"/>
  <c r="N3728" i="12"/>
  <c r="K3728" i="12"/>
  <c r="I3728" i="12"/>
  <c r="N3727" i="12"/>
  <c r="K3727" i="12"/>
  <c r="I3727" i="12"/>
  <c r="N3726" i="12"/>
  <c r="K3726" i="12"/>
  <c r="I3726" i="12"/>
  <c r="N3725" i="12"/>
  <c r="K3725" i="12"/>
  <c r="I3725" i="12"/>
  <c r="N3724" i="12"/>
  <c r="K3724" i="12"/>
  <c r="I3724" i="12"/>
  <c r="N3723" i="12"/>
  <c r="K3723" i="12"/>
  <c r="I3723" i="12"/>
  <c r="N3722" i="12"/>
  <c r="K3722" i="12"/>
  <c r="I3722" i="12"/>
  <c r="N3721" i="12"/>
  <c r="K3721" i="12"/>
  <c r="I3721" i="12"/>
  <c r="N3720" i="12"/>
  <c r="K3720" i="12"/>
  <c r="I3720" i="12"/>
  <c r="N3719" i="12"/>
  <c r="K3719" i="12"/>
  <c r="I3719" i="12"/>
  <c r="N3718" i="12"/>
  <c r="K3718" i="12"/>
  <c r="I3718" i="12"/>
  <c r="N3717" i="12"/>
  <c r="K3717" i="12"/>
  <c r="I3717" i="12"/>
  <c r="N3716" i="12"/>
  <c r="K3716" i="12"/>
  <c r="I3716" i="12"/>
  <c r="N3715" i="12"/>
  <c r="K3715" i="12"/>
  <c r="I3715" i="12"/>
  <c r="N3714" i="12"/>
  <c r="K3714" i="12"/>
  <c r="I3714" i="12"/>
  <c r="N3713" i="12"/>
  <c r="K3713" i="12"/>
  <c r="I3713" i="12"/>
  <c r="N3712" i="12"/>
  <c r="K3712" i="12"/>
  <c r="I3712" i="12"/>
  <c r="N3711" i="12"/>
  <c r="K3711" i="12"/>
  <c r="I3711" i="12"/>
  <c r="N3710" i="12"/>
  <c r="K3710" i="12"/>
  <c r="I3710" i="12"/>
  <c r="N3709" i="12"/>
  <c r="K3709" i="12"/>
  <c r="I3709" i="12"/>
  <c r="N3708" i="12"/>
  <c r="K3708" i="12"/>
  <c r="I3708" i="12"/>
  <c r="N3707" i="12"/>
  <c r="K3707" i="12"/>
  <c r="I3707" i="12"/>
  <c r="N3706" i="12"/>
  <c r="K3706" i="12"/>
  <c r="I3706" i="12"/>
  <c r="N3705" i="12"/>
  <c r="K3705" i="12"/>
  <c r="I3705" i="12"/>
  <c r="N3704" i="12"/>
  <c r="K3704" i="12"/>
  <c r="I3704" i="12"/>
  <c r="N3703" i="12"/>
  <c r="K3703" i="12"/>
  <c r="I3703" i="12"/>
  <c r="N3702" i="12"/>
  <c r="K3702" i="12"/>
  <c r="I3702" i="12"/>
  <c r="N3701" i="12"/>
  <c r="K3701" i="12"/>
  <c r="I3701" i="12"/>
  <c r="N3700" i="12"/>
  <c r="K3700" i="12"/>
  <c r="I3700" i="12"/>
  <c r="N3699" i="12"/>
  <c r="K3699" i="12"/>
  <c r="I3699" i="12"/>
  <c r="N3698" i="12"/>
  <c r="K3698" i="12"/>
  <c r="I3698" i="12"/>
  <c r="N3697" i="12"/>
  <c r="K3697" i="12"/>
  <c r="I3697" i="12"/>
  <c r="N3696" i="12"/>
  <c r="K3696" i="12"/>
  <c r="I3696" i="12"/>
  <c r="N3695" i="12"/>
  <c r="K3695" i="12"/>
  <c r="I3695" i="12"/>
  <c r="N3694" i="12"/>
  <c r="K3694" i="12"/>
  <c r="I3694" i="12"/>
  <c r="N3693" i="12"/>
  <c r="K3693" i="12"/>
  <c r="I3693" i="12"/>
  <c r="N3692" i="12"/>
  <c r="K3692" i="12"/>
  <c r="I3692" i="12"/>
  <c r="N3691" i="12"/>
  <c r="K3691" i="12"/>
  <c r="I3691" i="12"/>
  <c r="N3690" i="12"/>
  <c r="K3690" i="12"/>
  <c r="I3690" i="12"/>
  <c r="N3689" i="12"/>
  <c r="K3689" i="12"/>
  <c r="I3689" i="12"/>
  <c r="N3688" i="12"/>
  <c r="K3688" i="12"/>
  <c r="I3688" i="12"/>
  <c r="N3687" i="12"/>
  <c r="K3687" i="12"/>
  <c r="I3687" i="12"/>
  <c r="N3686" i="12"/>
  <c r="K3686" i="12"/>
  <c r="I3686" i="12"/>
  <c r="N3685" i="12"/>
  <c r="K3685" i="12"/>
  <c r="I3685" i="12"/>
  <c r="N3684" i="12"/>
  <c r="K3684" i="12"/>
  <c r="I3684" i="12"/>
  <c r="N3683" i="12"/>
  <c r="K3683" i="12"/>
  <c r="I3683" i="12"/>
  <c r="N3682" i="12"/>
  <c r="K3682" i="12"/>
  <c r="I3682" i="12"/>
  <c r="N3681" i="12"/>
  <c r="K3681" i="12"/>
  <c r="I3681" i="12"/>
  <c r="N3680" i="12"/>
  <c r="K3680" i="12"/>
  <c r="I3680" i="12"/>
  <c r="N3679" i="12"/>
  <c r="K3679" i="12"/>
  <c r="I3679" i="12"/>
  <c r="N3678" i="12"/>
  <c r="K3678" i="12"/>
  <c r="I3678" i="12"/>
  <c r="N3677" i="12"/>
  <c r="K3677" i="12"/>
  <c r="I3677" i="12"/>
  <c r="N3676" i="12"/>
  <c r="K3676" i="12"/>
  <c r="I3676" i="12"/>
  <c r="N3675" i="12"/>
  <c r="K3675" i="12"/>
  <c r="I3675" i="12"/>
  <c r="N3674" i="12"/>
  <c r="K3674" i="12"/>
  <c r="I3674" i="12"/>
  <c r="N3673" i="12"/>
  <c r="K3673" i="12"/>
  <c r="I3673" i="12"/>
  <c r="N3672" i="12"/>
  <c r="K3672" i="12"/>
  <c r="I3672" i="12"/>
  <c r="N3671" i="12"/>
  <c r="K3671" i="12"/>
  <c r="I3671" i="12"/>
  <c r="N3670" i="12"/>
  <c r="K3670" i="12"/>
  <c r="I3670" i="12"/>
  <c r="N3669" i="12"/>
  <c r="K3669" i="12"/>
  <c r="I3669" i="12"/>
  <c r="N3668" i="12"/>
  <c r="K3668" i="12"/>
  <c r="I3668" i="12"/>
  <c r="N3667" i="12"/>
  <c r="K3667" i="12"/>
  <c r="I3667" i="12"/>
  <c r="N3666" i="12"/>
  <c r="K3666" i="12"/>
  <c r="I3666" i="12"/>
  <c r="N3665" i="12"/>
  <c r="K3665" i="12"/>
  <c r="I3665" i="12"/>
  <c r="N3664" i="12"/>
  <c r="K3664" i="12"/>
  <c r="I3664" i="12"/>
  <c r="N3663" i="12"/>
  <c r="K3663" i="12"/>
  <c r="I3663" i="12"/>
  <c r="N3662" i="12"/>
  <c r="K3662" i="12"/>
  <c r="I3662" i="12"/>
  <c r="N3661" i="12"/>
  <c r="K3661" i="12"/>
  <c r="I3661" i="12"/>
  <c r="N3660" i="12"/>
  <c r="K3660" i="12"/>
  <c r="I3660" i="12"/>
  <c r="N3659" i="12"/>
  <c r="K3659" i="12"/>
  <c r="I3659" i="12"/>
  <c r="N3658" i="12"/>
  <c r="K3658" i="12"/>
  <c r="I3658" i="12"/>
  <c r="N3657" i="12"/>
  <c r="K3657" i="12"/>
  <c r="I3657" i="12"/>
  <c r="N3656" i="12"/>
  <c r="K3656" i="12"/>
  <c r="I3656" i="12"/>
  <c r="N3655" i="12"/>
  <c r="K3655" i="12"/>
  <c r="I3655" i="12"/>
  <c r="N3654" i="12"/>
  <c r="K3654" i="12"/>
  <c r="I3654" i="12"/>
  <c r="N3653" i="12"/>
  <c r="K3653" i="12"/>
  <c r="I3653" i="12"/>
  <c r="N3652" i="12"/>
  <c r="K3652" i="12"/>
  <c r="I3652" i="12"/>
  <c r="N3651" i="12"/>
  <c r="K3651" i="12"/>
  <c r="I3651" i="12"/>
  <c r="N3650" i="12"/>
  <c r="K3650" i="12"/>
  <c r="I3650" i="12"/>
  <c r="N3649" i="12"/>
  <c r="K3649" i="12"/>
  <c r="I3649" i="12"/>
  <c r="N3648" i="12"/>
  <c r="K3648" i="12"/>
  <c r="I3648" i="12"/>
  <c r="N3647" i="12"/>
  <c r="K3647" i="12"/>
  <c r="I3647" i="12"/>
  <c r="N3646" i="12"/>
  <c r="K3646" i="12"/>
  <c r="I3646" i="12"/>
  <c r="N3645" i="12"/>
  <c r="K3645" i="12"/>
  <c r="I3645" i="12"/>
  <c r="N3644" i="12"/>
  <c r="K3644" i="12"/>
  <c r="I3644" i="12"/>
  <c r="N3643" i="12"/>
  <c r="K3643" i="12"/>
  <c r="I3643" i="12"/>
  <c r="N3642" i="12"/>
  <c r="K3642" i="12"/>
  <c r="I3642" i="12"/>
  <c r="N3641" i="12"/>
  <c r="K3641" i="12"/>
  <c r="I3641" i="12"/>
  <c r="N3640" i="12"/>
  <c r="K3640" i="12"/>
  <c r="I3640" i="12"/>
  <c r="N3639" i="12"/>
  <c r="K3639" i="12"/>
  <c r="I3639" i="12"/>
  <c r="N3638" i="12"/>
  <c r="K3638" i="12"/>
  <c r="I3638" i="12"/>
  <c r="N3637" i="12"/>
  <c r="K3637" i="12"/>
  <c r="I3637" i="12"/>
  <c r="N3636" i="12"/>
  <c r="K3636" i="12"/>
  <c r="I3636" i="12"/>
  <c r="N3635" i="12"/>
  <c r="K3635" i="12"/>
  <c r="I3635" i="12"/>
  <c r="N3634" i="12"/>
  <c r="K3634" i="12"/>
  <c r="I3634" i="12"/>
  <c r="N3633" i="12"/>
  <c r="K3633" i="12"/>
  <c r="I3633" i="12"/>
  <c r="N3632" i="12"/>
  <c r="K3632" i="12"/>
  <c r="I3632" i="12"/>
  <c r="N3631" i="12"/>
  <c r="K3631" i="12"/>
  <c r="I3631" i="12"/>
  <c r="N3630" i="12"/>
  <c r="K3630" i="12"/>
  <c r="I3630" i="12"/>
  <c r="N3629" i="12"/>
  <c r="K3629" i="12"/>
  <c r="I3629" i="12"/>
  <c r="N3628" i="12"/>
  <c r="K3628" i="12"/>
  <c r="I3628" i="12"/>
  <c r="N3627" i="12"/>
  <c r="K3627" i="12"/>
  <c r="I3627" i="12"/>
  <c r="N3626" i="12"/>
  <c r="K3626" i="12"/>
  <c r="I3626" i="12"/>
  <c r="N3625" i="12"/>
  <c r="K3625" i="12"/>
  <c r="I3625" i="12"/>
  <c r="N3624" i="12"/>
  <c r="K3624" i="12"/>
  <c r="I3624" i="12"/>
  <c r="N3623" i="12"/>
  <c r="K3623" i="12"/>
  <c r="I3623" i="12"/>
  <c r="N3622" i="12"/>
  <c r="K3622" i="12"/>
  <c r="I3622" i="12"/>
  <c r="N3621" i="12"/>
  <c r="K3621" i="12"/>
  <c r="I3621" i="12"/>
  <c r="N3620" i="12"/>
  <c r="K3620" i="12"/>
  <c r="I3620" i="12"/>
  <c r="N3619" i="12"/>
  <c r="K3619" i="12"/>
  <c r="I3619" i="12"/>
  <c r="N3618" i="12"/>
  <c r="K3618" i="12"/>
  <c r="I3618" i="12"/>
  <c r="N3617" i="12"/>
  <c r="K3617" i="12"/>
  <c r="I3617" i="12"/>
  <c r="N3616" i="12"/>
  <c r="K3616" i="12"/>
  <c r="I3616" i="12"/>
  <c r="N3615" i="12"/>
  <c r="K3615" i="12"/>
  <c r="I3615" i="12"/>
  <c r="N3614" i="12"/>
  <c r="K3614" i="12"/>
  <c r="I3614" i="12"/>
  <c r="N3613" i="12"/>
  <c r="K3613" i="12"/>
  <c r="I3613" i="12"/>
  <c r="N3612" i="12"/>
  <c r="K3612" i="12"/>
  <c r="I3612" i="12"/>
  <c r="N3611" i="12"/>
  <c r="K3611" i="12"/>
  <c r="I3611" i="12"/>
  <c r="N3610" i="12"/>
  <c r="K3610" i="12"/>
  <c r="I3610" i="12"/>
  <c r="N3609" i="12"/>
  <c r="K3609" i="12"/>
  <c r="I3609" i="12"/>
  <c r="N3608" i="12"/>
  <c r="K3608" i="12"/>
  <c r="I3608" i="12"/>
  <c r="N3607" i="12"/>
  <c r="K3607" i="12"/>
  <c r="I3607" i="12"/>
  <c r="N3606" i="12"/>
  <c r="K3606" i="12"/>
  <c r="I3606" i="12"/>
  <c r="N3605" i="12"/>
  <c r="K3605" i="12"/>
  <c r="I3605" i="12"/>
  <c r="N3604" i="12"/>
  <c r="K3604" i="12"/>
  <c r="I3604" i="12"/>
  <c r="N3603" i="12"/>
  <c r="K3603" i="12"/>
  <c r="I3603" i="12"/>
  <c r="N3602" i="12"/>
  <c r="K3602" i="12"/>
  <c r="I3602" i="12"/>
  <c r="N3601" i="12"/>
  <c r="K3601" i="12"/>
  <c r="I3601" i="12"/>
  <c r="N3600" i="12"/>
  <c r="K3600" i="12"/>
  <c r="I3600" i="12"/>
  <c r="N3599" i="12"/>
  <c r="K3599" i="12"/>
  <c r="I3599" i="12"/>
  <c r="N3598" i="12"/>
  <c r="K3598" i="12"/>
  <c r="I3598" i="12"/>
  <c r="N3597" i="12"/>
  <c r="K3597" i="12"/>
  <c r="I3597" i="12"/>
  <c r="N3596" i="12"/>
  <c r="K3596" i="12"/>
  <c r="I3596" i="12"/>
  <c r="N3595" i="12"/>
  <c r="K3595" i="12"/>
  <c r="I3595" i="12"/>
  <c r="N3594" i="12"/>
  <c r="K3594" i="12"/>
  <c r="I3594" i="12"/>
  <c r="N3593" i="12"/>
  <c r="K3593" i="12"/>
  <c r="I3593" i="12"/>
  <c r="N3592" i="12"/>
  <c r="K3592" i="12"/>
  <c r="I3592" i="12"/>
  <c r="N3591" i="12"/>
  <c r="K3591" i="12"/>
  <c r="I3591" i="12"/>
  <c r="N3590" i="12"/>
  <c r="K3590" i="12"/>
  <c r="I3590" i="12"/>
  <c r="N3589" i="12"/>
  <c r="K3589" i="12"/>
  <c r="I3589" i="12"/>
  <c r="N3588" i="12"/>
  <c r="K3588" i="12"/>
  <c r="I3588" i="12"/>
  <c r="N3587" i="12"/>
  <c r="K3587" i="12"/>
  <c r="I3587" i="12"/>
  <c r="N3586" i="12"/>
  <c r="K3586" i="12"/>
  <c r="I3586" i="12"/>
  <c r="N3585" i="12"/>
  <c r="K3585" i="12"/>
  <c r="I3585" i="12"/>
  <c r="N3584" i="12"/>
  <c r="K3584" i="12"/>
  <c r="I3584" i="12"/>
  <c r="N3583" i="12"/>
  <c r="K3583" i="12"/>
  <c r="I3583" i="12"/>
  <c r="N3582" i="12"/>
  <c r="K3582" i="12"/>
  <c r="I3582" i="12"/>
  <c r="N3581" i="12"/>
  <c r="K3581" i="12"/>
  <c r="I3581" i="12"/>
  <c r="N3580" i="12"/>
  <c r="K3580" i="12"/>
  <c r="I3580" i="12"/>
  <c r="N3579" i="12"/>
  <c r="K3579" i="12"/>
  <c r="I3579" i="12"/>
  <c r="N3578" i="12"/>
  <c r="K3578" i="12"/>
  <c r="I3578" i="12"/>
  <c r="N3577" i="12"/>
  <c r="K3577" i="12"/>
  <c r="I3577" i="12"/>
  <c r="N3576" i="12"/>
  <c r="K3576" i="12"/>
  <c r="I3576" i="12"/>
  <c r="N3575" i="12"/>
  <c r="K3575" i="12"/>
  <c r="I3575" i="12"/>
  <c r="N3574" i="12"/>
  <c r="K3574" i="12"/>
  <c r="I3574" i="12"/>
  <c r="N3573" i="12"/>
  <c r="K3573" i="12"/>
  <c r="I3573" i="12"/>
  <c r="N3572" i="12"/>
  <c r="K3572" i="12"/>
  <c r="I3572" i="12"/>
  <c r="N3571" i="12"/>
  <c r="K3571" i="12"/>
  <c r="I3571" i="12"/>
  <c r="N3570" i="12"/>
  <c r="K3570" i="12"/>
  <c r="I3570" i="12"/>
  <c r="N3569" i="12"/>
  <c r="K3569" i="12"/>
  <c r="I3569" i="12"/>
  <c r="N3568" i="12"/>
  <c r="K3568" i="12"/>
  <c r="I3568" i="12"/>
  <c r="N3567" i="12"/>
  <c r="K3567" i="12"/>
  <c r="I3567" i="12"/>
  <c r="N3566" i="12"/>
  <c r="K3566" i="12"/>
  <c r="I3566" i="12"/>
  <c r="N3565" i="12"/>
  <c r="K3565" i="12"/>
  <c r="I3565" i="12"/>
  <c r="N3564" i="12"/>
  <c r="K3564" i="12"/>
  <c r="I3564" i="12"/>
  <c r="N3563" i="12"/>
  <c r="K3563" i="12"/>
  <c r="I3563" i="12"/>
  <c r="N3562" i="12"/>
  <c r="K3562" i="12"/>
  <c r="I3562" i="12"/>
  <c r="N3561" i="12"/>
  <c r="K3561" i="12"/>
  <c r="I3561" i="12"/>
  <c r="N3560" i="12"/>
  <c r="K3560" i="12"/>
  <c r="I3560" i="12"/>
  <c r="N3559" i="12"/>
  <c r="K3559" i="12"/>
  <c r="I3559" i="12"/>
  <c r="N3558" i="12"/>
  <c r="K3558" i="12"/>
  <c r="I3558" i="12"/>
  <c r="N3557" i="12"/>
  <c r="K3557" i="12"/>
  <c r="I3557" i="12"/>
  <c r="N3556" i="12"/>
  <c r="K3556" i="12"/>
  <c r="I3556" i="12"/>
  <c r="N3555" i="12"/>
  <c r="K3555" i="12"/>
  <c r="I3555" i="12"/>
  <c r="N3554" i="12"/>
  <c r="K3554" i="12"/>
  <c r="I3554" i="12"/>
  <c r="N3553" i="12"/>
  <c r="K3553" i="12"/>
  <c r="I3553" i="12"/>
  <c r="N3552" i="12"/>
  <c r="K3552" i="12"/>
  <c r="I3552" i="12"/>
  <c r="N3551" i="12"/>
  <c r="K3551" i="12"/>
  <c r="I3551" i="12"/>
  <c r="N3550" i="12"/>
  <c r="K3550" i="12"/>
  <c r="I3550" i="12"/>
  <c r="N3549" i="12"/>
  <c r="K3549" i="12"/>
  <c r="I3549" i="12"/>
  <c r="N3548" i="12"/>
  <c r="K3548" i="12"/>
  <c r="I3548" i="12"/>
  <c r="N3547" i="12"/>
  <c r="K3547" i="12"/>
  <c r="I3547" i="12"/>
  <c r="N3546" i="12"/>
  <c r="K3546" i="12"/>
  <c r="I3546" i="12"/>
  <c r="N3545" i="12"/>
  <c r="K3545" i="12"/>
  <c r="I3545" i="12"/>
  <c r="N3544" i="12"/>
  <c r="K3544" i="12"/>
  <c r="I3544" i="12"/>
  <c r="N3543" i="12"/>
  <c r="K3543" i="12"/>
  <c r="I3543" i="12"/>
  <c r="N3542" i="12"/>
  <c r="K3542" i="12"/>
  <c r="I3542" i="12"/>
  <c r="N3541" i="12"/>
  <c r="K3541" i="12"/>
  <c r="I3541" i="12"/>
  <c r="N3540" i="12"/>
  <c r="K3540" i="12"/>
  <c r="I3540" i="12"/>
  <c r="N3539" i="12"/>
  <c r="K3539" i="12"/>
  <c r="I3539" i="12"/>
  <c r="N3538" i="12"/>
  <c r="K3538" i="12"/>
  <c r="I3538" i="12"/>
  <c r="N3537" i="12"/>
  <c r="K3537" i="12"/>
  <c r="I3537" i="12"/>
  <c r="N3536" i="12"/>
  <c r="K3536" i="12"/>
  <c r="I3536" i="12"/>
  <c r="N3535" i="12"/>
  <c r="K3535" i="12"/>
  <c r="I3535" i="12"/>
  <c r="N3534" i="12"/>
  <c r="K3534" i="12"/>
  <c r="I3534" i="12"/>
  <c r="N3533" i="12"/>
  <c r="K3533" i="12"/>
  <c r="I3533" i="12"/>
  <c r="N3532" i="12"/>
  <c r="K3532" i="12"/>
  <c r="I3532" i="12"/>
  <c r="N3531" i="12"/>
  <c r="K3531" i="12"/>
  <c r="I3531" i="12"/>
  <c r="N3530" i="12"/>
  <c r="K3530" i="12"/>
  <c r="I3530" i="12"/>
  <c r="N3529" i="12"/>
  <c r="K3529" i="12"/>
  <c r="I3529" i="12"/>
  <c r="N3528" i="12"/>
  <c r="K3528" i="12"/>
  <c r="I3528" i="12"/>
  <c r="N3527" i="12"/>
  <c r="K3527" i="12"/>
  <c r="I3527" i="12"/>
  <c r="N3526" i="12"/>
  <c r="K3526" i="12"/>
  <c r="I3526" i="12"/>
  <c r="N3525" i="12"/>
  <c r="K3525" i="12"/>
  <c r="I3525" i="12"/>
  <c r="N3524" i="12"/>
  <c r="K3524" i="12"/>
  <c r="I3524" i="12"/>
  <c r="N3523" i="12"/>
  <c r="K3523" i="12"/>
  <c r="I3523" i="12"/>
  <c r="N3522" i="12"/>
  <c r="K3522" i="12"/>
  <c r="I3522" i="12"/>
  <c r="N3521" i="12"/>
  <c r="K3521" i="12"/>
  <c r="I3521" i="12"/>
  <c r="N3520" i="12"/>
  <c r="K3520" i="12"/>
  <c r="I3520" i="12"/>
  <c r="N3519" i="12"/>
  <c r="K3519" i="12"/>
  <c r="I3519" i="12"/>
  <c r="N3518" i="12"/>
  <c r="K3518" i="12"/>
  <c r="I3518" i="12"/>
  <c r="N3517" i="12"/>
  <c r="K3517" i="12"/>
  <c r="I3517" i="12"/>
  <c r="N3516" i="12"/>
  <c r="K3516" i="12"/>
  <c r="I3516" i="12"/>
  <c r="N3515" i="12"/>
  <c r="K3515" i="12"/>
  <c r="I3515" i="12"/>
  <c r="N3514" i="12"/>
  <c r="K3514" i="12"/>
  <c r="I3514" i="12"/>
  <c r="N3513" i="12"/>
  <c r="K3513" i="12"/>
  <c r="I3513" i="12"/>
  <c r="N3512" i="12"/>
  <c r="K3512" i="12"/>
  <c r="I3512" i="12"/>
  <c r="N3511" i="12"/>
  <c r="K3511" i="12"/>
  <c r="I3511" i="12"/>
  <c r="N3510" i="12"/>
  <c r="K3510" i="12"/>
  <c r="I3510" i="12"/>
  <c r="N3509" i="12"/>
  <c r="K3509" i="12"/>
  <c r="I3509" i="12"/>
  <c r="N3508" i="12"/>
  <c r="K3508" i="12"/>
  <c r="I3508" i="12"/>
  <c r="N3507" i="12"/>
  <c r="K3507" i="12"/>
  <c r="I3507" i="12"/>
  <c r="N3506" i="12"/>
  <c r="K3506" i="12"/>
  <c r="I3506" i="12"/>
  <c r="N3505" i="12"/>
  <c r="K3505" i="12"/>
  <c r="I3505" i="12"/>
  <c r="N3504" i="12"/>
  <c r="K3504" i="12"/>
  <c r="I3504" i="12"/>
  <c r="N3503" i="12"/>
  <c r="K3503" i="12"/>
  <c r="I3503" i="12"/>
  <c r="N3502" i="12"/>
  <c r="K3502" i="12"/>
  <c r="I3502" i="12"/>
  <c r="N3501" i="12"/>
  <c r="K3501" i="12"/>
  <c r="I3501" i="12"/>
  <c r="N3500" i="12"/>
  <c r="K3500" i="12"/>
  <c r="I3500" i="12"/>
  <c r="N3499" i="12"/>
  <c r="K3499" i="12"/>
  <c r="I3499" i="12"/>
  <c r="N3498" i="12"/>
  <c r="K3498" i="12"/>
  <c r="I3498" i="12"/>
  <c r="N3497" i="12"/>
  <c r="K3497" i="12"/>
  <c r="I3497" i="12"/>
  <c r="N3496" i="12"/>
  <c r="K3496" i="12"/>
  <c r="I3496" i="12"/>
  <c r="N3495" i="12"/>
  <c r="K3495" i="12"/>
  <c r="I3495" i="12"/>
  <c r="N3494" i="12"/>
  <c r="K3494" i="12"/>
  <c r="I3494" i="12"/>
  <c r="N3493" i="12"/>
  <c r="K3493" i="12"/>
  <c r="I3493" i="12"/>
  <c r="N3492" i="12"/>
  <c r="K3492" i="12"/>
  <c r="I3492" i="12"/>
  <c r="N3491" i="12"/>
  <c r="K3491" i="12"/>
  <c r="I3491" i="12"/>
  <c r="N3490" i="12"/>
  <c r="K3490" i="12"/>
  <c r="I3490" i="12"/>
  <c r="N3489" i="12"/>
  <c r="K3489" i="12"/>
  <c r="I3489" i="12"/>
  <c r="N3488" i="12"/>
  <c r="K3488" i="12"/>
  <c r="I3488" i="12"/>
  <c r="N3487" i="12"/>
  <c r="K3487" i="12"/>
  <c r="I3487" i="12"/>
  <c r="N3486" i="12"/>
  <c r="K3486" i="12"/>
  <c r="I3486" i="12"/>
  <c r="N3485" i="12"/>
  <c r="K3485" i="12"/>
  <c r="I3485" i="12"/>
  <c r="N3484" i="12"/>
  <c r="K3484" i="12"/>
  <c r="I3484" i="12"/>
  <c r="N3483" i="12"/>
  <c r="K3483" i="12"/>
  <c r="I3483" i="12"/>
  <c r="N3482" i="12"/>
  <c r="K3482" i="12"/>
  <c r="I3482" i="12"/>
  <c r="N3481" i="12"/>
  <c r="K3481" i="12"/>
  <c r="I3481" i="12"/>
  <c r="N3480" i="12"/>
  <c r="K3480" i="12"/>
  <c r="I3480" i="12"/>
  <c r="N3479" i="12"/>
  <c r="K3479" i="12"/>
  <c r="I3479" i="12"/>
  <c r="N3478" i="12"/>
  <c r="K3478" i="12"/>
  <c r="I3478" i="12"/>
  <c r="N3477" i="12"/>
  <c r="K3477" i="12"/>
  <c r="I3477" i="12"/>
  <c r="N3476" i="12"/>
  <c r="K3476" i="12"/>
  <c r="I3476" i="12"/>
  <c r="N3475" i="12"/>
  <c r="K3475" i="12"/>
  <c r="I3475" i="12"/>
  <c r="N3474" i="12"/>
  <c r="K3474" i="12"/>
  <c r="I3474" i="12"/>
  <c r="N3473" i="12"/>
  <c r="K3473" i="12"/>
  <c r="I3473" i="12"/>
  <c r="N3472" i="12"/>
  <c r="K3472" i="12"/>
  <c r="I3472" i="12"/>
  <c r="N3471" i="12"/>
  <c r="K3471" i="12"/>
  <c r="I3471" i="12"/>
  <c r="N3470" i="12"/>
  <c r="K3470" i="12"/>
  <c r="I3470" i="12"/>
  <c r="N3469" i="12"/>
  <c r="K3469" i="12"/>
  <c r="I3469" i="12"/>
  <c r="N3468" i="12"/>
  <c r="K3468" i="12"/>
  <c r="I3468" i="12"/>
  <c r="N3467" i="12"/>
  <c r="K3467" i="12"/>
  <c r="I3467" i="12"/>
  <c r="N3466" i="12"/>
  <c r="K3466" i="12"/>
  <c r="I3466" i="12"/>
  <c r="N3465" i="12"/>
  <c r="K3465" i="12"/>
  <c r="I3465" i="12"/>
  <c r="N3464" i="12"/>
  <c r="K3464" i="12"/>
  <c r="I3464" i="12"/>
  <c r="N3463" i="12"/>
  <c r="K3463" i="12"/>
  <c r="I3463" i="12"/>
  <c r="N3462" i="12"/>
  <c r="K3462" i="12"/>
  <c r="I3462" i="12"/>
  <c r="N3461" i="12"/>
  <c r="K3461" i="12"/>
  <c r="I3461" i="12"/>
  <c r="N3460" i="12"/>
  <c r="K3460" i="12"/>
  <c r="I3460" i="12"/>
  <c r="N3459" i="12"/>
  <c r="K3459" i="12"/>
  <c r="I3459" i="12"/>
  <c r="N3458" i="12"/>
  <c r="K3458" i="12"/>
  <c r="I3458" i="12"/>
  <c r="N3457" i="12"/>
  <c r="K3457" i="12"/>
  <c r="I3457" i="12"/>
  <c r="N3456" i="12"/>
  <c r="K3456" i="12"/>
  <c r="I3456" i="12"/>
  <c r="N3455" i="12"/>
  <c r="K3455" i="12"/>
  <c r="I3455" i="12"/>
  <c r="N3454" i="12"/>
  <c r="K3454" i="12"/>
  <c r="I3454" i="12"/>
  <c r="N3453" i="12"/>
  <c r="K3453" i="12"/>
  <c r="I3453" i="12"/>
  <c r="N3452" i="12"/>
  <c r="K3452" i="12"/>
  <c r="I3452" i="12"/>
  <c r="N3451" i="12"/>
  <c r="K3451" i="12"/>
  <c r="I3451" i="12"/>
  <c r="N3450" i="12"/>
  <c r="K3450" i="12"/>
  <c r="I3450" i="12"/>
  <c r="N3449" i="12"/>
  <c r="K3449" i="12"/>
  <c r="I3449" i="12"/>
  <c r="N3448" i="12"/>
  <c r="K3448" i="12"/>
  <c r="I3448" i="12"/>
  <c r="N3447" i="12"/>
  <c r="K3447" i="12"/>
  <c r="I3447" i="12"/>
  <c r="N3446" i="12"/>
  <c r="K3446" i="12"/>
  <c r="I3446" i="12"/>
  <c r="N3445" i="12"/>
  <c r="K3445" i="12"/>
  <c r="I3445" i="12"/>
  <c r="N3444" i="12"/>
  <c r="K3444" i="12"/>
  <c r="I3444" i="12"/>
  <c r="N3443" i="12"/>
  <c r="K3443" i="12"/>
  <c r="I3443" i="12"/>
  <c r="N3442" i="12"/>
  <c r="K3442" i="12"/>
  <c r="I3442" i="12"/>
  <c r="N3441" i="12"/>
  <c r="K3441" i="12"/>
  <c r="I3441" i="12"/>
  <c r="N3440" i="12"/>
  <c r="K3440" i="12"/>
  <c r="I3440" i="12"/>
  <c r="N3439" i="12"/>
  <c r="K3439" i="12"/>
  <c r="I3439" i="12"/>
  <c r="N3438" i="12"/>
  <c r="K3438" i="12"/>
  <c r="I3438" i="12"/>
  <c r="N3437" i="12"/>
  <c r="K3437" i="12"/>
  <c r="I3437" i="12"/>
  <c r="N3436" i="12"/>
  <c r="K3436" i="12"/>
  <c r="I3436" i="12"/>
  <c r="N3435" i="12"/>
  <c r="K3435" i="12"/>
  <c r="I3435" i="12"/>
  <c r="N3434" i="12"/>
  <c r="K3434" i="12"/>
  <c r="I3434" i="12"/>
  <c r="N3433" i="12"/>
  <c r="K3433" i="12"/>
  <c r="I3433" i="12"/>
  <c r="N3432" i="12"/>
  <c r="K3432" i="12"/>
  <c r="I3432" i="12"/>
  <c r="N3431" i="12"/>
  <c r="K3431" i="12"/>
  <c r="I3431" i="12"/>
  <c r="N3430" i="12"/>
  <c r="K3430" i="12"/>
  <c r="I3430" i="12"/>
  <c r="N3429" i="12"/>
  <c r="K3429" i="12"/>
  <c r="I3429" i="12"/>
  <c r="N3428" i="12"/>
  <c r="K3428" i="12"/>
  <c r="I3428" i="12"/>
  <c r="N3427" i="12"/>
  <c r="K3427" i="12"/>
  <c r="I3427" i="12"/>
  <c r="N3426" i="12"/>
  <c r="K3426" i="12"/>
  <c r="I3426" i="12"/>
  <c r="N3425" i="12"/>
  <c r="K3425" i="12"/>
  <c r="I3425" i="12"/>
  <c r="N3424" i="12"/>
  <c r="K3424" i="12"/>
  <c r="I3424" i="12"/>
  <c r="N3423" i="12"/>
  <c r="K3423" i="12"/>
  <c r="I3423" i="12"/>
  <c r="N3422" i="12"/>
  <c r="K3422" i="12"/>
  <c r="I3422" i="12"/>
  <c r="N3421" i="12"/>
  <c r="K3421" i="12"/>
  <c r="I3421" i="12"/>
  <c r="N3420" i="12"/>
  <c r="K3420" i="12"/>
  <c r="I3420" i="12"/>
  <c r="N3419" i="12"/>
  <c r="K3419" i="12"/>
  <c r="I3419" i="12"/>
  <c r="N3418" i="12"/>
  <c r="K3418" i="12"/>
  <c r="I3418" i="12"/>
  <c r="N3417" i="12"/>
  <c r="K3417" i="12"/>
  <c r="I3417" i="12"/>
  <c r="N3416" i="12"/>
  <c r="K3416" i="12"/>
  <c r="I3416" i="12"/>
  <c r="N3415" i="12"/>
  <c r="K3415" i="12"/>
  <c r="I3415" i="12"/>
  <c r="N3414" i="12"/>
  <c r="K3414" i="12"/>
  <c r="I3414" i="12"/>
  <c r="N3413" i="12"/>
  <c r="K3413" i="12"/>
  <c r="I3413" i="12"/>
  <c r="N3412" i="12"/>
  <c r="K3412" i="12"/>
  <c r="I3412" i="12"/>
  <c r="N3411" i="12"/>
  <c r="K3411" i="12"/>
  <c r="I3411" i="12"/>
  <c r="N3410" i="12"/>
  <c r="K3410" i="12"/>
  <c r="I3410" i="12"/>
  <c r="N3409" i="12"/>
  <c r="K3409" i="12"/>
  <c r="I3409" i="12"/>
  <c r="N3408" i="12"/>
  <c r="K3408" i="12"/>
  <c r="I3408" i="12"/>
  <c r="N3407" i="12"/>
  <c r="K3407" i="12"/>
  <c r="I3407" i="12"/>
  <c r="N3406" i="12"/>
  <c r="K3406" i="12"/>
  <c r="I3406" i="12"/>
  <c r="N3405" i="12"/>
  <c r="K3405" i="12"/>
  <c r="I3405" i="12"/>
  <c r="N3404" i="12"/>
  <c r="K3404" i="12"/>
  <c r="I3404" i="12"/>
  <c r="N3403" i="12"/>
  <c r="K3403" i="12"/>
  <c r="I3403" i="12"/>
  <c r="N3402" i="12"/>
  <c r="K3402" i="12"/>
  <c r="I3402" i="12"/>
  <c r="N3401" i="12"/>
  <c r="K3401" i="12"/>
  <c r="I3401" i="12"/>
  <c r="N3400" i="12"/>
  <c r="K3400" i="12"/>
  <c r="I3400" i="12"/>
  <c r="N3399" i="12"/>
  <c r="K3399" i="12"/>
  <c r="I3399" i="12"/>
  <c r="N3398" i="12"/>
  <c r="K3398" i="12"/>
  <c r="I3398" i="12"/>
  <c r="N3397" i="12"/>
  <c r="K3397" i="12"/>
  <c r="I3397" i="12"/>
  <c r="N3396" i="12"/>
  <c r="K3396" i="12"/>
  <c r="I3396" i="12"/>
  <c r="N3395" i="12"/>
  <c r="K3395" i="12"/>
  <c r="I3395" i="12"/>
  <c r="N3394" i="12"/>
  <c r="K3394" i="12"/>
  <c r="I3394" i="12"/>
  <c r="N3393" i="12"/>
  <c r="K3393" i="12"/>
  <c r="I3393" i="12"/>
  <c r="N3392" i="12"/>
  <c r="K3392" i="12"/>
  <c r="I3392" i="12"/>
  <c r="N3391" i="12"/>
  <c r="K3391" i="12"/>
  <c r="I3391" i="12"/>
  <c r="N3390" i="12"/>
  <c r="K3390" i="12"/>
  <c r="I3390" i="12"/>
  <c r="N3389" i="12"/>
  <c r="K3389" i="12"/>
  <c r="I3389" i="12"/>
  <c r="N3388" i="12"/>
  <c r="K3388" i="12"/>
  <c r="I3388" i="12"/>
  <c r="N3387" i="12"/>
  <c r="K3387" i="12"/>
  <c r="I3387" i="12"/>
  <c r="N3386" i="12"/>
  <c r="K3386" i="12"/>
  <c r="I3386" i="12"/>
  <c r="N3385" i="12"/>
  <c r="K3385" i="12"/>
  <c r="I3385" i="12"/>
  <c r="N3384" i="12"/>
  <c r="K3384" i="12"/>
  <c r="I3384" i="12"/>
  <c r="N3383" i="12"/>
  <c r="K3383" i="12"/>
  <c r="I3383" i="12"/>
  <c r="N3382" i="12"/>
  <c r="K3382" i="12"/>
  <c r="I3382" i="12"/>
  <c r="N3381" i="12"/>
  <c r="K3381" i="12"/>
  <c r="I3381" i="12"/>
  <c r="N3380" i="12"/>
  <c r="K3380" i="12"/>
  <c r="I3380" i="12"/>
  <c r="N3379" i="12"/>
  <c r="K3379" i="12"/>
  <c r="I3379" i="12"/>
  <c r="N3378" i="12"/>
  <c r="K3378" i="12"/>
  <c r="I3378" i="12"/>
  <c r="N3377" i="12"/>
  <c r="K3377" i="12"/>
  <c r="I3377" i="12"/>
  <c r="N3376" i="12"/>
  <c r="K3376" i="12"/>
  <c r="I3376" i="12"/>
  <c r="N3375" i="12"/>
  <c r="K3375" i="12"/>
  <c r="I3375" i="12"/>
  <c r="N3374" i="12"/>
  <c r="K3374" i="12"/>
  <c r="I3374" i="12"/>
  <c r="N3373" i="12"/>
  <c r="K3373" i="12"/>
  <c r="I3373" i="12"/>
  <c r="N3372" i="12"/>
  <c r="K3372" i="12"/>
  <c r="I3372" i="12"/>
  <c r="N3371" i="12"/>
  <c r="K3371" i="12"/>
  <c r="I3371" i="12"/>
  <c r="N3370" i="12"/>
  <c r="K3370" i="12"/>
  <c r="I3370" i="12"/>
  <c r="N3369" i="12"/>
  <c r="K3369" i="12"/>
  <c r="I3369" i="12"/>
  <c r="N3368" i="12"/>
  <c r="K3368" i="12"/>
  <c r="I3368" i="12"/>
  <c r="N3367" i="12"/>
  <c r="K3367" i="12"/>
  <c r="I3367" i="12"/>
  <c r="N3366" i="12"/>
  <c r="K3366" i="12"/>
  <c r="I3366" i="12"/>
  <c r="N3365" i="12"/>
  <c r="K3365" i="12"/>
  <c r="I3365" i="12"/>
  <c r="N3364" i="12"/>
  <c r="K3364" i="12"/>
  <c r="I3364" i="12"/>
  <c r="N3363" i="12"/>
  <c r="K3363" i="12"/>
  <c r="I3363" i="12"/>
  <c r="N3362" i="12"/>
  <c r="K3362" i="12"/>
  <c r="I3362" i="12"/>
  <c r="N3361" i="12"/>
  <c r="K3361" i="12"/>
  <c r="I3361" i="12"/>
  <c r="N3360" i="12"/>
  <c r="K3360" i="12"/>
  <c r="I3360" i="12"/>
  <c r="N3359" i="12"/>
  <c r="K3359" i="12"/>
  <c r="I3359" i="12"/>
  <c r="N3358" i="12"/>
  <c r="K3358" i="12"/>
  <c r="I3358" i="12"/>
  <c r="N3357" i="12"/>
  <c r="K3357" i="12"/>
  <c r="I3357" i="12"/>
  <c r="N3356" i="12"/>
  <c r="K3356" i="12"/>
  <c r="I3356" i="12"/>
  <c r="N3355" i="12"/>
  <c r="K3355" i="12"/>
  <c r="I3355" i="12"/>
  <c r="N3354" i="12"/>
  <c r="K3354" i="12"/>
  <c r="I3354" i="12"/>
  <c r="N3353" i="12"/>
  <c r="K3353" i="12"/>
  <c r="I3353" i="12"/>
  <c r="N3352" i="12"/>
  <c r="K3352" i="12"/>
  <c r="I3352" i="12"/>
  <c r="N3351" i="12"/>
  <c r="K3351" i="12"/>
  <c r="I3351" i="12"/>
  <c r="N3350" i="12"/>
  <c r="K3350" i="12"/>
  <c r="I3350" i="12"/>
  <c r="N3349" i="12"/>
  <c r="K3349" i="12"/>
  <c r="I3349" i="12"/>
  <c r="N3348" i="12"/>
  <c r="K3348" i="12"/>
  <c r="I3348" i="12"/>
  <c r="N3347" i="12"/>
  <c r="K3347" i="12"/>
  <c r="I3347" i="12"/>
  <c r="N3346" i="12"/>
  <c r="K3346" i="12"/>
  <c r="I3346" i="12"/>
  <c r="N3345" i="12"/>
  <c r="K3345" i="12"/>
  <c r="I3345" i="12"/>
  <c r="N3344" i="12"/>
  <c r="K3344" i="12"/>
  <c r="I3344" i="12"/>
  <c r="N3343" i="12"/>
  <c r="K3343" i="12"/>
  <c r="I3343" i="12"/>
  <c r="N3342" i="12"/>
  <c r="K3342" i="12"/>
  <c r="I3342" i="12"/>
  <c r="N3341" i="12"/>
  <c r="K3341" i="12"/>
  <c r="I3341" i="12"/>
  <c r="N3340" i="12"/>
  <c r="K3340" i="12"/>
  <c r="I3340" i="12"/>
  <c r="N3339" i="12"/>
  <c r="K3339" i="12"/>
  <c r="I3339" i="12"/>
  <c r="N3338" i="12"/>
  <c r="K3338" i="12"/>
  <c r="I3338" i="12"/>
  <c r="N3337" i="12"/>
  <c r="K3337" i="12"/>
  <c r="I3337" i="12"/>
  <c r="N3336" i="12"/>
  <c r="K3336" i="12"/>
  <c r="I3336" i="12"/>
  <c r="N3335" i="12"/>
  <c r="K3335" i="12"/>
  <c r="I3335" i="12"/>
  <c r="N3334" i="12"/>
  <c r="K3334" i="12"/>
  <c r="I3334" i="12"/>
  <c r="N3333" i="12"/>
  <c r="K3333" i="12"/>
  <c r="I3333" i="12"/>
  <c r="N3332" i="12"/>
  <c r="K3332" i="12"/>
  <c r="I3332" i="12"/>
  <c r="N3331" i="12"/>
  <c r="K3331" i="12"/>
  <c r="I3331" i="12"/>
  <c r="N3330" i="12"/>
  <c r="K3330" i="12"/>
  <c r="I3330" i="12"/>
  <c r="N3329" i="12"/>
  <c r="K3329" i="12"/>
  <c r="I3329" i="12"/>
  <c r="N3328" i="12"/>
  <c r="K3328" i="12"/>
  <c r="I3328" i="12"/>
  <c r="N3327" i="12"/>
  <c r="K3327" i="12"/>
  <c r="I3327" i="12"/>
  <c r="N3326" i="12"/>
  <c r="K3326" i="12"/>
  <c r="I3326" i="12"/>
  <c r="N3325" i="12"/>
  <c r="K3325" i="12"/>
  <c r="I3325" i="12"/>
  <c r="N3324" i="12"/>
  <c r="K3324" i="12"/>
  <c r="I3324" i="12"/>
  <c r="N3323" i="12"/>
  <c r="K3323" i="12"/>
  <c r="I3323" i="12"/>
  <c r="N3322" i="12"/>
  <c r="K3322" i="12"/>
  <c r="I3322" i="12"/>
  <c r="N3321" i="12"/>
  <c r="K3321" i="12"/>
  <c r="I3321" i="12"/>
  <c r="N3320" i="12"/>
  <c r="K3320" i="12"/>
  <c r="I3320" i="12"/>
  <c r="N3319" i="12"/>
  <c r="K3319" i="12"/>
  <c r="I3319" i="12"/>
  <c r="N3318" i="12"/>
  <c r="K3318" i="12"/>
  <c r="I3318" i="12"/>
  <c r="N3317" i="12"/>
  <c r="K3317" i="12"/>
  <c r="I3317" i="12"/>
  <c r="N3316" i="12"/>
  <c r="K3316" i="12"/>
  <c r="I3316" i="12"/>
  <c r="N3315" i="12"/>
  <c r="K3315" i="12"/>
  <c r="I3315" i="12"/>
  <c r="N3314" i="12"/>
  <c r="K3314" i="12"/>
  <c r="I3314" i="12"/>
  <c r="N3313" i="12"/>
  <c r="K3313" i="12"/>
  <c r="I3313" i="12"/>
  <c r="N3312" i="12"/>
  <c r="K3312" i="12"/>
  <c r="I3312" i="12"/>
  <c r="N3311" i="12"/>
  <c r="K3311" i="12"/>
  <c r="I3311" i="12"/>
  <c r="N3310" i="12"/>
  <c r="K3310" i="12"/>
  <c r="I3310" i="12"/>
  <c r="N3309" i="12"/>
  <c r="K3309" i="12"/>
  <c r="I3309" i="12"/>
  <c r="N3308" i="12"/>
  <c r="K3308" i="12"/>
  <c r="I3308" i="12"/>
  <c r="N3307" i="12"/>
  <c r="K3307" i="12"/>
  <c r="I3307" i="12"/>
  <c r="N3306" i="12"/>
  <c r="K3306" i="12"/>
  <c r="I3306" i="12"/>
  <c r="N3305" i="12"/>
  <c r="K3305" i="12"/>
  <c r="I3305" i="12"/>
  <c r="N3304" i="12"/>
  <c r="K3304" i="12"/>
  <c r="I3304" i="12"/>
  <c r="N3303" i="12"/>
  <c r="K3303" i="12"/>
  <c r="I3303" i="12"/>
  <c r="N3302" i="12"/>
  <c r="K3302" i="12"/>
  <c r="I3302" i="12"/>
  <c r="N3301" i="12"/>
  <c r="K3301" i="12"/>
  <c r="I3301" i="12"/>
  <c r="N3300" i="12"/>
  <c r="K3300" i="12"/>
  <c r="I3300" i="12"/>
  <c r="N3299" i="12"/>
  <c r="K3299" i="12"/>
  <c r="I3299" i="12"/>
  <c r="N3298" i="12"/>
  <c r="K3298" i="12"/>
  <c r="I3298" i="12"/>
  <c r="N3297" i="12"/>
  <c r="K3297" i="12"/>
  <c r="I3297" i="12"/>
  <c r="N3296" i="12"/>
  <c r="K3296" i="12"/>
  <c r="I3296" i="12"/>
  <c r="N3295" i="12"/>
  <c r="K3295" i="12"/>
  <c r="I3295" i="12"/>
  <c r="N3294" i="12"/>
  <c r="K3294" i="12"/>
  <c r="I3294" i="12"/>
  <c r="N3293" i="12"/>
  <c r="K3293" i="12"/>
  <c r="I3293" i="12"/>
  <c r="N3292" i="12"/>
  <c r="K3292" i="12"/>
  <c r="I3292" i="12"/>
  <c r="N3291" i="12"/>
  <c r="K3291" i="12"/>
  <c r="I3291" i="12"/>
  <c r="N3290" i="12"/>
  <c r="K3290" i="12"/>
  <c r="I3290" i="12"/>
  <c r="N3289" i="12"/>
  <c r="K3289" i="12"/>
  <c r="I3289" i="12"/>
  <c r="N3288" i="12"/>
  <c r="K3288" i="12"/>
  <c r="I3288" i="12"/>
  <c r="N3287" i="12"/>
  <c r="K3287" i="12"/>
  <c r="I3287" i="12"/>
  <c r="N3286" i="12"/>
  <c r="K3286" i="12"/>
  <c r="I3286" i="12"/>
  <c r="N3285" i="12"/>
  <c r="K3285" i="12"/>
  <c r="I3285" i="12"/>
  <c r="N3284" i="12"/>
  <c r="K3284" i="12"/>
  <c r="I3284" i="12"/>
  <c r="N3283" i="12"/>
  <c r="K3283" i="12"/>
  <c r="I3283" i="12"/>
  <c r="N3282" i="12"/>
  <c r="K3282" i="12"/>
  <c r="I3282" i="12"/>
  <c r="N3281" i="12"/>
  <c r="K3281" i="12"/>
  <c r="I3281" i="12"/>
  <c r="N3280" i="12"/>
  <c r="K3280" i="12"/>
  <c r="I3280" i="12"/>
  <c r="N3279" i="12"/>
  <c r="K3279" i="12"/>
  <c r="I3279" i="12"/>
  <c r="N3278" i="12"/>
  <c r="K3278" i="12"/>
  <c r="I3278" i="12"/>
  <c r="N3277" i="12"/>
  <c r="K3277" i="12"/>
  <c r="I3277" i="12"/>
  <c r="N3276" i="12"/>
  <c r="K3276" i="12"/>
  <c r="I3276" i="12"/>
  <c r="N3275" i="12"/>
  <c r="K3275" i="12"/>
  <c r="I3275" i="12"/>
  <c r="N3274" i="12"/>
  <c r="K3274" i="12"/>
  <c r="I3274" i="12"/>
  <c r="N3273" i="12"/>
  <c r="K3273" i="12"/>
  <c r="I3273" i="12"/>
  <c r="N3272" i="12"/>
  <c r="K3272" i="12"/>
  <c r="I3272" i="12"/>
  <c r="N3271" i="12"/>
  <c r="K3271" i="12"/>
  <c r="I3271" i="12"/>
  <c r="N3270" i="12"/>
  <c r="K3270" i="12"/>
  <c r="I3270" i="12"/>
  <c r="N3269" i="12"/>
  <c r="K3269" i="12"/>
  <c r="I3269" i="12"/>
  <c r="N3268" i="12"/>
  <c r="K3268" i="12"/>
  <c r="I3268" i="12"/>
  <c r="N3267" i="12"/>
  <c r="K3267" i="12"/>
  <c r="I3267" i="12"/>
  <c r="N3266" i="12"/>
  <c r="K3266" i="12"/>
  <c r="I3266" i="12"/>
  <c r="N3265" i="12"/>
  <c r="K3265" i="12"/>
  <c r="I3265" i="12"/>
  <c r="N3264" i="12"/>
  <c r="K3264" i="12"/>
  <c r="I3264" i="12"/>
  <c r="N3263" i="12"/>
  <c r="K3263" i="12"/>
  <c r="I3263" i="12"/>
  <c r="N3262" i="12"/>
  <c r="K3262" i="12"/>
  <c r="I3262" i="12"/>
  <c r="N3261" i="12"/>
  <c r="K3261" i="12"/>
  <c r="I3261" i="12"/>
  <c r="N3260" i="12"/>
  <c r="K3260" i="12"/>
  <c r="I3260" i="12"/>
  <c r="N3259" i="12"/>
  <c r="K3259" i="12"/>
  <c r="I3259" i="12"/>
  <c r="N3258" i="12"/>
  <c r="K3258" i="12"/>
  <c r="I3258" i="12"/>
  <c r="N3257" i="12"/>
  <c r="K3257" i="12"/>
  <c r="I3257" i="12"/>
  <c r="N3256" i="12"/>
  <c r="K3256" i="12"/>
  <c r="I3256" i="12"/>
  <c r="N3255" i="12"/>
  <c r="K3255" i="12"/>
  <c r="I3255" i="12"/>
  <c r="N3254" i="12"/>
  <c r="K3254" i="12"/>
  <c r="I3254" i="12"/>
  <c r="N3253" i="12"/>
  <c r="K3253" i="12"/>
  <c r="I3253" i="12"/>
  <c r="N3252" i="12"/>
  <c r="K3252" i="12"/>
  <c r="I3252" i="12"/>
  <c r="N3251" i="12"/>
  <c r="K3251" i="12"/>
  <c r="I3251" i="12"/>
  <c r="N3250" i="12"/>
  <c r="K3250" i="12"/>
  <c r="I3250" i="12"/>
  <c r="N3249" i="12"/>
  <c r="K3249" i="12"/>
  <c r="I3249" i="12"/>
  <c r="N3248" i="12"/>
  <c r="K3248" i="12"/>
  <c r="I3248" i="12"/>
  <c r="N3247" i="12"/>
  <c r="K3247" i="12"/>
  <c r="I3247" i="12"/>
  <c r="N3246" i="12"/>
  <c r="K3246" i="12"/>
  <c r="I3246" i="12"/>
  <c r="N3245" i="12"/>
  <c r="K3245" i="12"/>
  <c r="I3245" i="12"/>
  <c r="N3244" i="12"/>
  <c r="K3244" i="12"/>
  <c r="I3244" i="12"/>
  <c r="N3243" i="12"/>
  <c r="K3243" i="12"/>
  <c r="I3243" i="12"/>
  <c r="N3242" i="12"/>
  <c r="K3242" i="12"/>
  <c r="I3242" i="12"/>
  <c r="N3241" i="12"/>
  <c r="K3241" i="12"/>
  <c r="I3241" i="12"/>
  <c r="N3240" i="12"/>
  <c r="K3240" i="12"/>
  <c r="I3240" i="12"/>
  <c r="N3239" i="12"/>
  <c r="K3239" i="12"/>
  <c r="I3239" i="12"/>
  <c r="N3238" i="12"/>
  <c r="K3238" i="12"/>
  <c r="I3238" i="12"/>
  <c r="N3237" i="12"/>
  <c r="K3237" i="12"/>
  <c r="I3237" i="12"/>
  <c r="N3236" i="12"/>
  <c r="K3236" i="12"/>
  <c r="I3236" i="12"/>
  <c r="N3235" i="12"/>
  <c r="K3235" i="12"/>
  <c r="I3235" i="12"/>
  <c r="N3234" i="12"/>
  <c r="K3234" i="12"/>
  <c r="I3234" i="12"/>
  <c r="N3233" i="12"/>
  <c r="K3233" i="12"/>
  <c r="I3233" i="12"/>
  <c r="N3232" i="12"/>
  <c r="K3232" i="12"/>
  <c r="I3232" i="12"/>
  <c r="N3231" i="12"/>
  <c r="K3231" i="12"/>
  <c r="I3231" i="12"/>
  <c r="N3230" i="12"/>
  <c r="K3230" i="12"/>
  <c r="I3230" i="12"/>
  <c r="N3229" i="12"/>
  <c r="K3229" i="12"/>
  <c r="I3229" i="12"/>
  <c r="N3228" i="12"/>
  <c r="K3228" i="12"/>
  <c r="I3228" i="12"/>
  <c r="N3227" i="12"/>
  <c r="K3227" i="12"/>
  <c r="I3227" i="12"/>
  <c r="N3226" i="12"/>
  <c r="K3226" i="12"/>
  <c r="I3226" i="12"/>
  <c r="N3225" i="12"/>
  <c r="K3225" i="12"/>
  <c r="I3225" i="12"/>
  <c r="N3224" i="12"/>
  <c r="K3224" i="12"/>
  <c r="I3224" i="12"/>
  <c r="N3223" i="12"/>
  <c r="K3223" i="12"/>
  <c r="I3223" i="12"/>
  <c r="N3222" i="12"/>
  <c r="K3222" i="12"/>
  <c r="I3222" i="12"/>
  <c r="N3221" i="12"/>
  <c r="K3221" i="12"/>
  <c r="I3221" i="12"/>
  <c r="N3220" i="12"/>
  <c r="K3220" i="12"/>
  <c r="I3220" i="12"/>
  <c r="N3219" i="12"/>
  <c r="K3219" i="12"/>
  <c r="I3219" i="12"/>
  <c r="N3218" i="12"/>
  <c r="K3218" i="12"/>
  <c r="I3218" i="12"/>
  <c r="N3217" i="12"/>
  <c r="K3217" i="12"/>
  <c r="I3217" i="12"/>
  <c r="N3216" i="12"/>
  <c r="K3216" i="12"/>
  <c r="I3216" i="12"/>
  <c r="N3215" i="12"/>
  <c r="K3215" i="12"/>
  <c r="I3215" i="12"/>
  <c r="N3214" i="12"/>
  <c r="K3214" i="12"/>
  <c r="I3214" i="12"/>
  <c r="N3213" i="12"/>
  <c r="K3213" i="12"/>
  <c r="I3213" i="12"/>
  <c r="N3212" i="12"/>
  <c r="K3212" i="12"/>
  <c r="I3212" i="12"/>
  <c r="N3211" i="12"/>
  <c r="K3211" i="12"/>
  <c r="I3211" i="12"/>
  <c r="N3210" i="12"/>
  <c r="K3210" i="12"/>
  <c r="I3210" i="12"/>
  <c r="N3209" i="12"/>
  <c r="K3209" i="12"/>
  <c r="I3209" i="12"/>
  <c r="N3208" i="12"/>
  <c r="K3208" i="12"/>
  <c r="I3208" i="12"/>
  <c r="N3207" i="12"/>
  <c r="K3207" i="12"/>
  <c r="I3207" i="12"/>
  <c r="N3206" i="12"/>
  <c r="K3206" i="12"/>
  <c r="I3206" i="12"/>
  <c r="N3205" i="12"/>
  <c r="K3205" i="12"/>
  <c r="I3205" i="12"/>
  <c r="N3204" i="12"/>
  <c r="K3204" i="12"/>
  <c r="I3204" i="12"/>
  <c r="N3203" i="12"/>
  <c r="K3203" i="12"/>
  <c r="I3203" i="12"/>
  <c r="N3202" i="12"/>
  <c r="K3202" i="12"/>
  <c r="I3202" i="12"/>
  <c r="N3201" i="12"/>
  <c r="K3201" i="12"/>
  <c r="I3201" i="12"/>
  <c r="N3200" i="12"/>
  <c r="K3200" i="12"/>
  <c r="I3200" i="12"/>
  <c r="N3199" i="12"/>
  <c r="K3199" i="12"/>
  <c r="I3199" i="12"/>
  <c r="N3198" i="12"/>
  <c r="K3198" i="12"/>
  <c r="I3198" i="12"/>
  <c r="N3197" i="12"/>
  <c r="K3197" i="12"/>
  <c r="I3197" i="12"/>
  <c r="N3196" i="12"/>
  <c r="K3196" i="12"/>
  <c r="I3196" i="12"/>
  <c r="N3195" i="12"/>
  <c r="K3195" i="12"/>
  <c r="I3195" i="12"/>
  <c r="N3194" i="12"/>
  <c r="K3194" i="12"/>
  <c r="I3194" i="12"/>
  <c r="N3193" i="12"/>
  <c r="K3193" i="12"/>
  <c r="I3193" i="12"/>
  <c r="N3192" i="12"/>
  <c r="K3192" i="12"/>
  <c r="I3192" i="12"/>
  <c r="N3191" i="12"/>
  <c r="K3191" i="12"/>
  <c r="I3191" i="12"/>
  <c r="N3190" i="12"/>
  <c r="K3190" i="12"/>
  <c r="I3190" i="12"/>
  <c r="N3189" i="12"/>
  <c r="K3189" i="12"/>
  <c r="I3189" i="12"/>
  <c r="N3188" i="12"/>
  <c r="K3188" i="12"/>
  <c r="I3188" i="12"/>
  <c r="N3187" i="12"/>
  <c r="K3187" i="12"/>
  <c r="I3187" i="12"/>
  <c r="N3186" i="12"/>
  <c r="K3186" i="12"/>
  <c r="I3186" i="12"/>
  <c r="N3185" i="12"/>
  <c r="K3185" i="12"/>
  <c r="I3185" i="12"/>
  <c r="N3184" i="12"/>
  <c r="K3184" i="12"/>
  <c r="I3184" i="12"/>
  <c r="N3183" i="12"/>
  <c r="K3183" i="12"/>
  <c r="I3183" i="12"/>
  <c r="N3182" i="12"/>
  <c r="K3182" i="12"/>
  <c r="I3182" i="12"/>
  <c r="N3181" i="12"/>
  <c r="K3181" i="12"/>
  <c r="I3181" i="12"/>
  <c r="N3180" i="12"/>
  <c r="K3180" i="12"/>
  <c r="I3180" i="12"/>
  <c r="N3179" i="12"/>
  <c r="K3179" i="12"/>
  <c r="I3179" i="12"/>
  <c r="N3178" i="12"/>
  <c r="K3178" i="12"/>
  <c r="I3178" i="12"/>
  <c r="N3177" i="12"/>
  <c r="K3177" i="12"/>
  <c r="I3177" i="12"/>
  <c r="N3176" i="12"/>
  <c r="K3176" i="12"/>
  <c r="I3176" i="12"/>
  <c r="N3175" i="12"/>
  <c r="K3175" i="12"/>
  <c r="I3175" i="12"/>
  <c r="N3174" i="12"/>
  <c r="K3174" i="12"/>
  <c r="I3174" i="12"/>
  <c r="N3173" i="12"/>
  <c r="K3173" i="12"/>
  <c r="I3173" i="12"/>
  <c r="N3172" i="12"/>
  <c r="K3172" i="12"/>
  <c r="I3172" i="12"/>
  <c r="N3171" i="12"/>
  <c r="K3171" i="12"/>
  <c r="I3171" i="12"/>
  <c r="N3170" i="12"/>
  <c r="K3170" i="12"/>
  <c r="I3170" i="12"/>
  <c r="N3169" i="12"/>
  <c r="K3169" i="12"/>
  <c r="I3169" i="12"/>
  <c r="N3168" i="12"/>
  <c r="K3168" i="12"/>
  <c r="I3168" i="12"/>
  <c r="N3167" i="12"/>
  <c r="K3167" i="12"/>
  <c r="I3167" i="12"/>
  <c r="N3166" i="12"/>
  <c r="K3166" i="12"/>
  <c r="I3166" i="12"/>
  <c r="N3165" i="12"/>
  <c r="K3165" i="12"/>
  <c r="I3165" i="12"/>
  <c r="N3164" i="12"/>
  <c r="K3164" i="12"/>
  <c r="I3164" i="12"/>
  <c r="N3163" i="12"/>
  <c r="K3163" i="12"/>
  <c r="I3163" i="12"/>
  <c r="N3162" i="12"/>
  <c r="K3162" i="12"/>
  <c r="I3162" i="12"/>
  <c r="N3161" i="12"/>
  <c r="K3161" i="12"/>
  <c r="I3161" i="12"/>
  <c r="N3160" i="12"/>
  <c r="K3160" i="12"/>
  <c r="I3160" i="12"/>
  <c r="N3159" i="12"/>
  <c r="K3159" i="12"/>
  <c r="I3159" i="12"/>
  <c r="N3158" i="12"/>
  <c r="K3158" i="12"/>
  <c r="I3158" i="12"/>
  <c r="N3157" i="12"/>
  <c r="K3157" i="12"/>
  <c r="I3157" i="12"/>
  <c r="N3156" i="12"/>
  <c r="K3156" i="12"/>
  <c r="I3156" i="12"/>
  <c r="N3155" i="12"/>
  <c r="K3155" i="12"/>
  <c r="I3155" i="12"/>
  <c r="N3154" i="12"/>
  <c r="K3154" i="12"/>
  <c r="I3154" i="12"/>
  <c r="N3153" i="12"/>
  <c r="K3153" i="12"/>
  <c r="I3153" i="12"/>
  <c r="N3152" i="12"/>
  <c r="K3152" i="12"/>
  <c r="I3152" i="12"/>
  <c r="N3151" i="12"/>
  <c r="K3151" i="12"/>
  <c r="I3151" i="12"/>
  <c r="N3150" i="12"/>
  <c r="K3150" i="12"/>
  <c r="I3150" i="12"/>
  <c r="N3149" i="12"/>
  <c r="K3149" i="12"/>
  <c r="I3149" i="12"/>
  <c r="N3148" i="12"/>
  <c r="K3148" i="12"/>
  <c r="I3148" i="12"/>
  <c r="N3147" i="12"/>
  <c r="K3147" i="12"/>
  <c r="I3147" i="12"/>
  <c r="N3146" i="12"/>
  <c r="K3146" i="12"/>
  <c r="I3146" i="12"/>
  <c r="N3145" i="12"/>
  <c r="K3145" i="12"/>
  <c r="I3145" i="12"/>
  <c r="N3144" i="12"/>
  <c r="K3144" i="12"/>
  <c r="I3144" i="12"/>
  <c r="N3143" i="12"/>
  <c r="K3143" i="12"/>
  <c r="I3143" i="12"/>
  <c r="N3142" i="12"/>
  <c r="K3142" i="12"/>
  <c r="I3142" i="12"/>
  <c r="N3141" i="12"/>
  <c r="K3141" i="12"/>
  <c r="I3141" i="12"/>
  <c r="N3140" i="12"/>
  <c r="K3140" i="12"/>
  <c r="I3140" i="12"/>
  <c r="N3139" i="12"/>
  <c r="K3139" i="12"/>
  <c r="I3139" i="12"/>
  <c r="N3138" i="12"/>
  <c r="K3138" i="12"/>
  <c r="I3138" i="12"/>
  <c r="N3137" i="12"/>
  <c r="K3137" i="12"/>
  <c r="I3137" i="12"/>
  <c r="N3136" i="12"/>
  <c r="K3136" i="12"/>
  <c r="I3136" i="12"/>
  <c r="N3135" i="12"/>
  <c r="K3135" i="12"/>
  <c r="I3135" i="12"/>
  <c r="N3134" i="12"/>
  <c r="K3134" i="12"/>
  <c r="I3134" i="12"/>
  <c r="N3133" i="12"/>
  <c r="K3133" i="12"/>
  <c r="I3133" i="12"/>
  <c r="N3132" i="12"/>
  <c r="K3132" i="12"/>
  <c r="I3132" i="12"/>
  <c r="N3131" i="12"/>
  <c r="K3131" i="12"/>
  <c r="I3131" i="12"/>
  <c r="N3130" i="12"/>
  <c r="K3130" i="12"/>
  <c r="I3130" i="12"/>
  <c r="N3129" i="12"/>
  <c r="K3129" i="12"/>
  <c r="I3129" i="12"/>
  <c r="N3128" i="12"/>
  <c r="K3128" i="12"/>
  <c r="I3128" i="12"/>
  <c r="N3127" i="12"/>
  <c r="K3127" i="12"/>
  <c r="I3127" i="12"/>
  <c r="N3126" i="12"/>
  <c r="K3126" i="12"/>
  <c r="I3126" i="12"/>
  <c r="N3125" i="12"/>
  <c r="K3125" i="12"/>
  <c r="I3125" i="12"/>
  <c r="N3124" i="12"/>
  <c r="K3124" i="12"/>
  <c r="I3124" i="12"/>
  <c r="N3123" i="12"/>
  <c r="K3123" i="12"/>
  <c r="I3123" i="12"/>
  <c r="N3122" i="12"/>
  <c r="K3122" i="12"/>
  <c r="I3122" i="12"/>
  <c r="N3121" i="12"/>
  <c r="K3121" i="12"/>
  <c r="I3121" i="12"/>
  <c r="N3120" i="12"/>
  <c r="K3120" i="12"/>
  <c r="I3120" i="12"/>
  <c r="N3119" i="12"/>
  <c r="K3119" i="12"/>
  <c r="I3119" i="12"/>
  <c r="N3118" i="12"/>
  <c r="K3118" i="12"/>
  <c r="I3118" i="12"/>
  <c r="N3117" i="12"/>
  <c r="K3117" i="12"/>
  <c r="I3117" i="12"/>
  <c r="N3116" i="12"/>
  <c r="K3116" i="12"/>
  <c r="I3116" i="12"/>
  <c r="N3115" i="12"/>
  <c r="K3115" i="12"/>
  <c r="I3115" i="12"/>
  <c r="N3114" i="12"/>
  <c r="K3114" i="12"/>
  <c r="I3114" i="12"/>
  <c r="N3113" i="12"/>
  <c r="K3113" i="12"/>
  <c r="I3113" i="12"/>
  <c r="N3112" i="12"/>
  <c r="K3112" i="12"/>
  <c r="I3112" i="12"/>
  <c r="N3111" i="12"/>
  <c r="K3111" i="12"/>
  <c r="I3111" i="12"/>
  <c r="N3110" i="12"/>
  <c r="K3110" i="12"/>
  <c r="I3110" i="12"/>
  <c r="N3109" i="12"/>
  <c r="K3109" i="12"/>
  <c r="I3109" i="12"/>
  <c r="N3108" i="12"/>
  <c r="K3108" i="12"/>
  <c r="I3108" i="12"/>
  <c r="N3107" i="12"/>
  <c r="K3107" i="12"/>
  <c r="I3107" i="12"/>
  <c r="N3106" i="12"/>
  <c r="K3106" i="12"/>
  <c r="I3106" i="12"/>
  <c r="N3105" i="12"/>
  <c r="K3105" i="12"/>
  <c r="I3105" i="12"/>
  <c r="N3104" i="12"/>
  <c r="K3104" i="12"/>
  <c r="I3104" i="12"/>
  <c r="N3103" i="12"/>
  <c r="K3103" i="12"/>
  <c r="I3103" i="12"/>
  <c r="N3102" i="12"/>
  <c r="K3102" i="12"/>
  <c r="I3102" i="12"/>
  <c r="N3101" i="12"/>
  <c r="K3101" i="12"/>
  <c r="I3101" i="12"/>
  <c r="N3100" i="12"/>
  <c r="K3100" i="12"/>
  <c r="I3100" i="12"/>
  <c r="N3099" i="12"/>
  <c r="K3099" i="12"/>
  <c r="I3099" i="12"/>
  <c r="N3098" i="12"/>
  <c r="K3098" i="12"/>
  <c r="I3098" i="12"/>
  <c r="N3097" i="12"/>
  <c r="K3097" i="12"/>
  <c r="I3097" i="12"/>
  <c r="N3096" i="12"/>
  <c r="K3096" i="12"/>
  <c r="I3096" i="12"/>
  <c r="N3095" i="12"/>
  <c r="K3095" i="12"/>
  <c r="I3095" i="12"/>
  <c r="N3094" i="12"/>
  <c r="K3094" i="12"/>
  <c r="I3094" i="12"/>
  <c r="N3093" i="12"/>
  <c r="K3093" i="12"/>
  <c r="I3093" i="12"/>
  <c r="N3092" i="12"/>
  <c r="K3092" i="12"/>
  <c r="I3092" i="12"/>
  <c r="N3091" i="12"/>
  <c r="K3091" i="12"/>
  <c r="I3091" i="12"/>
  <c r="N3090" i="12"/>
  <c r="K3090" i="12"/>
  <c r="I3090" i="12"/>
  <c r="N3089" i="12"/>
  <c r="K3089" i="12"/>
  <c r="I3089" i="12"/>
  <c r="N3088" i="12"/>
  <c r="K3088" i="12"/>
  <c r="I3088" i="12"/>
  <c r="N3087" i="12"/>
  <c r="K3087" i="12"/>
  <c r="I3087" i="12"/>
  <c r="N3086" i="12"/>
  <c r="K3086" i="12"/>
  <c r="I3086" i="12"/>
  <c r="N3085" i="12"/>
  <c r="K3085" i="12"/>
  <c r="I3085" i="12"/>
  <c r="N3084" i="12"/>
  <c r="K3084" i="12"/>
  <c r="I3084" i="12"/>
  <c r="N3083" i="12"/>
  <c r="K3083" i="12"/>
  <c r="I3083" i="12"/>
  <c r="N3082" i="12"/>
  <c r="K3082" i="12"/>
  <c r="I3082" i="12"/>
  <c r="N3081" i="12"/>
  <c r="K3081" i="12"/>
  <c r="I3081" i="12"/>
  <c r="N3080" i="12"/>
  <c r="K3080" i="12"/>
  <c r="I3080" i="12"/>
  <c r="N3079" i="12"/>
  <c r="K3079" i="12"/>
  <c r="I3079" i="12"/>
  <c r="N3078" i="12"/>
  <c r="K3078" i="12"/>
  <c r="I3078" i="12"/>
  <c r="N3077" i="12"/>
  <c r="K3077" i="12"/>
  <c r="I3077" i="12"/>
  <c r="N3076" i="12"/>
  <c r="K3076" i="12"/>
  <c r="I3076" i="12"/>
  <c r="N3075" i="12"/>
  <c r="K3075" i="12"/>
  <c r="I3075" i="12"/>
  <c r="N3074" i="12"/>
  <c r="K3074" i="12"/>
  <c r="I3074" i="12"/>
  <c r="N3073" i="12"/>
  <c r="K3073" i="12"/>
  <c r="I3073" i="12"/>
  <c r="N3072" i="12"/>
  <c r="K3072" i="12"/>
  <c r="I3072" i="12"/>
  <c r="N3071" i="12"/>
  <c r="K3071" i="12"/>
  <c r="I3071" i="12"/>
  <c r="N3070" i="12"/>
  <c r="K3070" i="12"/>
  <c r="I3070" i="12"/>
  <c r="N3069" i="12"/>
  <c r="K3069" i="12"/>
  <c r="I3069" i="12"/>
  <c r="N3068" i="12"/>
  <c r="K3068" i="12"/>
  <c r="I3068" i="12"/>
  <c r="N3067" i="12"/>
  <c r="K3067" i="12"/>
  <c r="I3067" i="12"/>
  <c r="N3066" i="12"/>
  <c r="K3066" i="12"/>
  <c r="I3066" i="12"/>
  <c r="N3065" i="12"/>
  <c r="K3065" i="12"/>
  <c r="I3065" i="12"/>
  <c r="N3064" i="12"/>
  <c r="K3064" i="12"/>
  <c r="I3064" i="12"/>
  <c r="N3063" i="12"/>
  <c r="K3063" i="12"/>
  <c r="I3063" i="12"/>
  <c r="N3062" i="12"/>
  <c r="K3062" i="12"/>
  <c r="I3062" i="12"/>
  <c r="N3061" i="12"/>
  <c r="K3061" i="12"/>
  <c r="I3061" i="12"/>
  <c r="N3060" i="12"/>
  <c r="K3060" i="12"/>
  <c r="I3060" i="12"/>
  <c r="N3059" i="12"/>
  <c r="K3059" i="12"/>
  <c r="I3059" i="12"/>
  <c r="N3058" i="12"/>
  <c r="K3058" i="12"/>
  <c r="I3058" i="12"/>
  <c r="N3057" i="12"/>
  <c r="K3057" i="12"/>
  <c r="I3057" i="12"/>
  <c r="N3056" i="12"/>
  <c r="K3056" i="12"/>
  <c r="I3056" i="12"/>
  <c r="N3055" i="12"/>
  <c r="K3055" i="12"/>
  <c r="I3055" i="12"/>
  <c r="N3054" i="12"/>
  <c r="K3054" i="12"/>
  <c r="I3054" i="12"/>
  <c r="N3053" i="12"/>
  <c r="K3053" i="12"/>
  <c r="I3053" i="12"/>
  <c r="N3052" i="12"/>
  <c r="K3052" i="12"/>
  <c r="I3052" i="12"/>
  <c r="N3051" i="12"/>
  <c r="K3051" i="12"/>
  <c r="I3051" i="12"/>
  <c r="N3050" i="12"/>
  <c r="K3050" i="12"/>
  <c r="I3050" i="12"/>
  <c r="N3049" i="12"/>
  <c r="K3049" i="12"/>
  <c r="I3049" i="12"/>
  <c r="N3048" i="12"/>
  <c r="K3048" i="12"/>
  <c r="I3048" i="12"/>
  <c r="N3047" i="12"/>
  <c r="K3047" i="12"/>
  <c r="I3047" i="12"/>
  <c r="N3046" i="12"/>
  <c r="K3046" i="12"/>
  <c r="I3046" i="12"/>
  <c r="N3045" i="12"/>
  <c r="K3045" i="12"/>
  <c r="I3045" i="12"/>
  <c r="N3044" i="12"/>
  <c r="K3044" i="12"/>
  <c r="I3044" i="12"/>
  <c r="N3043" i="12"/>
  <c r="K3043" i="12"/>
  <c r="I3043" i="12"/>
  <c r="N3042" i="12"/>
  <c r="K3042" i="12"/>
  <c r="I3042" i="12"/>
  <c r="N3041" i="12"/>
  <c r="K3041" i="12"/>
  <c r="I3041" i="12"/>
  <c r="N3040" i="12"/>
  <c r="K3040" i="12"/>
  <c r="I3040" i="12"/>
  <c r="N3039" i="12"/>
  <c r="K3039" i="12"/>
  <c r="I3039" i="12"/>
  <c r="N3038" i="12"/>
  <c r="K3038" i="12"/>
  <c r="I3038" i="12"/>
  <c r="N3037" i="12"/>
  <c r="K3037" i="12"/>
  <c r="I3037" i="12"/>
  <c r="N3036" i="12"/>
  <c r="K3036" i="12"/>
  <c r="I3036" i="12"/>
  <c r="N3035" i="12"/>
  <c r="K3035" i="12"/>
  <c r="I3035" i="12"/>
  <c r="N3034" i="12"/>
  <c r="K3034" i="12"/>
  <c r="I3034" i="12"/>
  <c r="N3033" i="12"/>
  <c r="K3033" i="12"/>
  <c r="I3033" i="12"/>
  <c r="N3032" i="12"/>
  <c r="K3032" i="12"/>
  <c r="I3032" i="12"/>
  <c r="N3031" i="12"/>
  <c r="K3031" i="12"/>
  <c r="I3031" i="12"/>
  <c r="N3030" i="12"/>
  <c r="K3030" i="12"/>
  <c r="I3030" i="12"/>
  <c r="N3029" i="12"/>
  <c r="K3029" i="12"/>
  <c r="I3029" i="12"/>
  <c r="N3028" i="12"/>
  <c r="K3028" i="12"/>
  <c r="I3028" i="12"/>
  <c r="N3027" i="12"/>
  <c r="K3027" i="12"/>
  <c r="I3027" i="12"/>
  <c r="N3026" i="12"/>
  <c r="K3026" i="12"/>
  <c r="I3026" i="12"/>
  <c r="N3025" i="12"/>
  <c r="K3025" i="12"/>
  <c r="I3025" i="12"/>
  <c r="N3024" i="12"/>
  <c r="K3024" i="12"/>
  <c r="I3024" i="12"/>
  <c r="N3023" i="12"/>
  <c r="K3023" i="12"/>
  <c r="I3023" i="12"/>
  <c r="N3022" i="12"/>
  <c r="K3022" i="12"/>
  <c r="I3022" i="12"/>
  <c r="N3021" i="12"/>
  <c r="K3021" i="12"/>
  <c r="I3021" i="12"/>
  <c r="N3020" i="12"/>
  <c r="K3020" i="12"/>
  <c r="I3020" i="12"/>
  <c r="N3019" i="12"/>
  <c r="K3019" i="12"/>
  <c r="I3019" i="12"/>
  <c r="N3018" i="12"/>
  <c r="K3018" i="12"/>
  <c r="I3018" i="12"/>
  <c r="N3017" i="12"/>
  <c r="K3017" i="12"/>
  <c r="I3017" i="12"/>
  <c r="N3016" i="12"/>
  <c r="K3016" i="12"/>
  <c r="I3016" i="12"/>
  <c r="N3015" i="12"/>
  <c r="K3015" i="12"/>
  <c r="I3015" i="12"/>
  <c r="N3014" i="12"/>
  <c r="K3014" i="12"/>
  <c r="I3014" i="12"/>
  <c r="N3013" i="12"/>
  <c r="K3013" i="12"/>
  <c r="I3013" i="12"/>
  <c r="N3012" i="12"/>
  <c r="K3012" i="12"/>
  <c r="I3012" i="12"/>
  <c r="N3011" i="12"/>
  <c r="K3011" i="12"/>
  <c r="I3011" i="12"/>
  <c r="N3010" i="12"/>
  <c r="K3010" i="12"/>
  <c r="I3010" i="12"/>
  <c r="N3009" i="12"/>
  <c r="K3009" i="12"/>
  <c r="I3009" i="12"/>
  <c r="N3008" i="12"/>
  <c r="K3008" i="12"/>
  <c r="I3008" i="12"/>
  <c r="N3007" i="12"/>
  <c r="K3007" i="12"/>
  <c r="I3007" i="12"/>
  <c r="N3006" i="12"/>
  <c r="K3006" i="12"/>
  <c r="I3006" i="12"/>
  <c r="N3005" i="12"/>
  <c r="K3005" i="12"/>
  <c r="I3005" i="12"/>
  <c r="N3004" i="12"/>
  <c r="K3004" i="12"/>
  <c r="I3004" i="12"/>
  <c r="N3003" i="12"/>
  <c r="K3003" i="12"/>
  <c r="I3003" i="12"/>
  <c r="N3002" i="12"/>
  <c r="K3002" i="12"/>
  <c r="I3002" i="12"/>
  <c r="N3001" i="12"/>
  <c r="K3001" i="12"/>
  <c r="I3001" i="12"/>
  <c r="N3000" i="12"/>
  <c r="K3000" i="12"/>
  <c r="I3000" i="12"/>
  <c r="N2999" i="12"/>
  <c r="K2999" i="12"/>
  <c r="I2999" i="12"/>
  <c r="N2998" i="12"/>
  <c r="K2998" i="12"/>
  <c r="I2998" i="12"/>
  <c r="N2997" i="12"/>
  <c r="K2997" i="12"/>
  <c r="I2997" i="12"/>
  <c r="N2996" i="12"/>
  <c r="K2996" i="12"/>
  <c r="I2996" i="12"/>
  <c r="N2995" i="12"/>
  <c r="K2995" i="12"/>
  <c r="I2995" i="12"/>
  <c r="N2994" i="12"/>
  <c r="K2994" i="12"/>
  <c r="I2994" i="12"/>
  <c r="N2993" i="12"/>
  <c r="K2993" i="12"/>
  <c r="I2993" i="12"/>
  <c r="N2992" i="12"/>
  <c r="K2992" i="12"/>
  <c r="I2992" i="12"/>
  <c r="N2991" i="12"/>
  <c r="K2991" i="12"/>
  <c r="I2991" i="12"/>
  <c r="N2990" i="12"/>
  <c r="K2990" i="12"/>
  <c r="I2990" i="12"/>
  <c r="N2989" i="12"/>
  <c r="K2989" i="12"/>
  <c r="I2989" i="12"/>
  <c r="N2988" i="12"/>
  <c r="K2988" i="12"/>
  <c r="I2988" i="12"/>
  <c r="N2987" i="12"/>
  <c r="K2987" i="12"/>
  <c r="I2987" i="12"/>
  <c r="N2986" i="12"/>
  <c r="K2986" i="12"/>
  <c r="I2986" i="12"/>
  <c r="N2985" i="12"/>
  <c r="K2985" i="12"/>
  <c r="I2985" i="12"/>
  <c r="N2984" i="12"/>
  <c r="K2984" i="12"/>
  <c r="I2984" i="12"/>
  <c r="N2983" i="12"/>
  <c r="K2983" i="12"/>
  <c r="I2983" i="12"/>
  <c r="N2982" i="12"/>
  <c r="K2982" i="12"/>
  <c r="I2982" i="12"/>
  <c r="N2981" i="12"/>
  <c r="K2981" i="12"/>
  <c r="I2981" i="12"/>
  <c r="N2980" i="12"/>
  <c r="K2980" i="12"/>
  <c r="I2980" i="12"/>
  <c r="N2979" i="12"/>
  <c r="K2979" i="12"/>
  <c r="I2979" i="12"/>
  <c r="N2978" i="12"/>
  <c r="K2978" i="12"/>
  <c r="I2978" i="12"/>
  <c r="N2977" i="12"/>
  <c r="K2977" i="12"/>
  <c r="I2977" i="12"/>
  <c r="N2976" i="12"/>
  <c r="K2976" i="12"/>
  <c r="I2976" i="12"/>
  <c r="N2975" i="12"/>
  <c r="K2975" i="12"/>
  <c r="I2975" i="12"/>
  <c r="N2974" i="12"/>
  <c r="K2974" i="12"/>
  <c r="I2974" i="12"/>
  <c r="N2973" i="12"/>
  <c r="K2973" i="12"/>
  <c r="I2973" i="12"/>
  <c r="N2972" i="12"/>
  <c r="K2972" i="12"/>
  <c r="I2972" i="12"/>
  <c r="N2971" i="12"/>
  <c r="K2971" i="12"/>
  <c r="I2971" i="12"/>
  <c r="N2970" i="12"/>
  <c r="K2970" i="12"/>
  <c r="I2970" i="12"/>
  <c r="N2969" i="12"/>
  <c r="K2969" i="12"/>
  <c r="I2969" i="12"/>
  <c r="N2968" i="12"/>
  <c r="K2968" i="12"/>
  <c r="I2968" i="12"/>
  <c r="N2967" i="12"/>
  <c r="K2967" i="12"/>
  <c r="I2967" i="12"/>
  <c r="N2966" i="12"/>
  <c r="K2966" i="12"/>
  <c r="I2966" i="12"/>
  <c r="N2965" i="12"/>
  <c r="K2965" i="12"/>
  <c r="I2965" i="12"/>
  <c r="N2964" i="12"/>
  <c r="K2964" i="12"/>
  <c r="I2964" i="12"/>
  <c r="N2963" i="12"/>
  <c r="K2963" i="12"/>
  <c r="I2963" i="12"/>
  <c r="N2962" i="12"/>
  <c r="K2962" i="12"/>
  <c r="I2962" i="12"/>
  <c r="N2961" i="12"/>
  <c r="K2961" i="12"/>
  <c r="I2961" i="12"/>
  <c r="N2960" i="12"/>
  <c r="K2960" i="12"/>
  <c r="I2960" i="12"/>
  <c r="N2959" i="12"/>
  <c r="K2959" i="12"/>
  <c r="I2959" i="12"/>
  <c r="N2958" i="12"/>
  <c r="K2958" i="12"/>
  <c r="I2958" i="12"/>
  <c r="N2957" i="12"/>
  <c r="K2957" i="12"/>
  <c r="I2957" i="12"/>
  <c r="N2956" i="12"/>
  <c r="K2956" i="12"/>
  <c r="I2956" i="12"/>
  <c r="N2955" i="12"/>
  <c r="K2955" i="12"/>
  <c r="I2955" i="12"/>
  <c r="N2954" i="12"/>
  <c r="K2954" i="12"/>
  <c r="I2954" i="12"/>
  <c r="N2953" i="12"/>
  <c r="K2953" i="12"/>
  <c r="I2953" i="12"/>
  <c r="N2952" i="12"/>
  <c r="K2952" i="12"/>
  <c r="I2952" i="12"/>
  <c r="N2951" i="12"/>
  <c r="K2951" i="12"/>
  <c r="I2951" i="12"/>
  <c r="N2950" i="12"/>
  <c r="K2950" i="12"/>
  <c r="I2950" i="12"/>
  <c r="N2949" i="12"/>
  <c r="K2949" i="12"/>
  <c r="I2949" i="12"/>
  <c r="N2948" i="12"/>
  <c r="K2948" i="12"/>
  <c r="I2948" i="12"/>
  <c r="N2947" i="12"/>
  <c r="K2947" i="12"/>
  <c r="I2947" i="12"/>
  <c r="N2946" i="12"/>
  <c r="K2946" i="12"/>
  <c r="I2946" i="12"/>
  <c r="N2945" i="12"/>
  <c r="K2945" i="12"/>
  <c r="I2945" i="12"/>
  <c r="N2944" i="12"/>
  <c r="K2944" i="12"/>
  <c r="I2944" i="12"/>
  <c r="N2943" i="12"/>
  <c r="K2943" i="12"/>
  <c r="I2943" i="12"/>
  <c r="N2942" i="12"/>
  <c r="K2942" i="12"/>
  <c r="I2942" i="12"/>
  <c r="N2941" i="12"/>
  <c r="K2941" i="12"/>
  <c r="I2941" i="12"/>
  <c r="N2940" i="12"/>
  <c r="K2940" i="12"/>
  <c r="I2940" i="12"/>
  <c r="N2939" i="12"/>
  <c r="K2939" i="12"/>
  <c r="I2939" i="12"/>
  <c r="N2938" i="12"/>
  <c r="K2938" i="12"/>
  <c r="I2938" i="12"/>
  <c r="N2937" i="12"/>
  <c r="K2937" i="12"/>
  <c r="I2937" i="12"/>
  <c r="N2936" i="12"/>
  <c r="K2936" i="12"/>
  <c r="I2936" i="12"/>
  <c r="N2935" i="12"/>
  <c r="K2935" i="12"/>
  <c r="I2935" i="12"/>
  <c r="N2934" i="12"/>
  <c r="K2934" i="12"/>
  <c r="I2934" i="12"/>
  <c r="N2933" i="12"/>
  <c r="K2933" i="12"/>
  <c r="I2933" i="12"/>
  <c r="N2932" i="12"/>
  <c r="K2932" i="12"/>
  <c r="I2932" i="12"/>
  <c r="N2931" i="12"/>
  <c r="K2931" i="12"/>
  <c r="I2931" i="12"/>
  <c r="N2930" i="12"/>
  <c r="K2930" i="12"/>
  <c r="I2930" i="12"/>
  <c r="N2929" i="12"/>
  <c r="K2929" i="12"/>
  <c r="I2929" i="12"/>
  <c r="N2928" i="12"/>
  <c r="K2928" i="12"/>
  <c r="I2928" i="12"/>
  <c r="N2927" i="12"/>
  <c r="K2927" i="12"/>
  <c r="I2927" i="12"/>
  <c r="N2926" i="12"/>
  <c r="K2926" i="12"/>
  <c r="I2926" i="12"/>
  <c r="N2925" i="12"/>
  <c r="K2925" i="12"/>
  <c r="I2925" i="12"/>
  <c r="N2924" i="12"/>
  <c r="K2924" i="12"/>
  <c r="I2924" i="12"/>
  <c r="N2923" i="12"/>
  <c r="K2923" i="12"/>
  <c r="I2923" i="12"/>
  <c r="N2922" i="12"/>
  <c r="K2922" i="12"/>
  <c r="I2922" i="12"/>
  <c r="N2921" i="12"/>
  <c r="K2921" i="12"/>
  <c r="I2921" i="12"/>
  <c r="N2920" i="12"/>
  <c r="K2920" i="12"/>
  <c r="I2920" i="12"/>
  <c r="N2919" i="12"/>
  <c r="K2919" i="12"/>
  <c r="I2919" i="12"/>
  <c r="N2918" i="12"/>
  <c r="K2918" i="12"/>
  <c r="I2918" i="12"/>
  <c r="N2917" i="12"/>
  <c r="K2917" i="12"/>
  <c r="I2917" i="12"/>
  <c r="N2916" i="12"/>
  <c r="K2916" i="12"/>
  <c r="I2916" i="12"/>
  <c r="N2915" i="12"/>
  <c r="K2915" i="12"/>
  <c r="I2915" i="12"/>
  <c r="N2914" i="12"/>
  <c r="K2914" i="12"/>
  <c r="I2914" i="12"/>
  <c r="N2913" i="12"/>
  <c r="K2913" i="12"/>
  <c r="I2913" i="12"/>
  <c r="N2912" i="12"/>
  <c r="K2912" i="12"/>
  <c r="I2912" i="12"/>
  <c r="N2911" i="12"/>
  <c r="K2911" i="12"/>
  <c r="I2911" i="12"/>
  <c r="N2910" i="12"/>
  <c r="K2910" i="12"/>
  <c r="I2910" i="12"/>
  <c r="N2909" i="12"/>
  <c r="K2909" i="12"/>
  <c r="I2909" i="12"/>
  <c r="N2908" i="12"/>
  <c r="K2908" i="12"/>
  <c r="I2908" i="12"/>
  <c r="N2907" i="12"/>
  <c r="K2907" i="12"/>
  <c r="I2907" i="12"/>
  <c r="N2906" i="12"/>
  <c r="K2906" i="12"/>
  <c r="I2906" i="12"/>
  <c r="N2905" i="12"/>
  <c r="K2905" i="12"/>
  <c r="I2905" i="12"/>
  <c r="N2904" i="12"/>
  <c r="K2904" i="12"/>
  <c r="I2904" i="12"/>
  <c r="N2903" i="12"/>
  <c r="K2903" i="12"/>
  <c r="I2903" i="12"/>
  <c r="N2902" i="12"/>
  <c r="K2902" i="12"/>
  <c r="I2902" i="12"/>
  <c r="N2901" i="12"/>
  <c r="K2901" i="12"/>
  <c r="I2901" i="12"/>
  <c r="N2900" i="12"/>
  <c r="K2900" i="12"/>
  <c r="I2900" i="12"/>
  <c r="N2899" i="12"/>
  <c r="K2899" i="12"/>
  <c r="I2899" i="12"/>
  <c r="N2898" i="12"/>
  <c r="K2898" i="12"/>
  <c r="I2898" i="12"/>
  <c r="N2897" i="12"/>
  <c r="K2897" i="12"/>
  <c r="I2897" i="12"/>
  <c r="N2896" i="12"/>
  <c r="K2896" i="12"/>
  <c r="I2896" i="12"/>
  <c r="N2895" i="12"/>
  <c r="K2895" i="12"/>
  <c r="I2895" i="12"/>
  <c r="N2894" i="12"/>
  <c r="K2894" i="12"/>
  <c r="I2894" i="12"/>
  <c r="N2893" i="12"/>
  <c r="K2893" i="12"/>
  <c r="I2893" i="12"/>
  <c r="N2892" i="12"/>
  <c r="K2892" i="12"/>
  <c r="I2892" i="12"/>
  <c r="N2891" i="12"/>
  <c r="K2891" i="12"/>
  <c r="I2891" i="12"/>
  <c r="N2890" i="12"/>
  <c r="K2890" i="12"/>
  <c r="I2890" i="12"/>
  <c r="N2889" i="12"/>
  <c r="K2889" i="12"/>
  <c r="I2889" i="12"/>
  <c r="N2888" i="12"/>
  <c r="K2888" i="12"/>
  <c r="I2888" i="12"/>
  <c r="N2887" i="12"/>
  <c r="K2887" i="12"/>
  <c r="I2887" i="12"/>
  <c r="N2886" i="12"/>
  <c r="K2886" i="12"/>
  <c r="I2886" i="12"/>
  <c r="N2885" i="12"/>
  <c r="K2885" i="12"/>
  <c r="I2885" i="12"/>
  <c r="N2884" i="12"/>
  <c r="K2884" i="12"/>
  <c r="I2884" i="12"/>
  <c r="N2883" i="12"/>
  <c r="K2883" i="12"/>
  <c r="I2883" i="12"/>
  <c r="N2882" i="12"/>
  <c r="K2882" i="12"/>
  <c r="I2882" i="12"/>
  <c r="N2881" i="12"/>
  <c r="K2881" i="12"/>
  <c r="I2881" i="12"/>
  <c r="N2880" i="12"/>
  <c r="K2880" i="12"/>
  <c r="I2880" i="12"/>
  <c r="N2879" i="12"/>
  <c r="K2879" i="12"/>
  <c r="I2879" i="12"/>
  <c r="N2878" i="12"/>
  <c r="K2878" i="12"/>
  <c r="I2878" i="12"/>
  <c r="N2877" i="12"/>
  <c r="K2877" i="12"/>
  <c r="I2877" i="12"/>
  <c r="N2876" i="12"/>
  <c r="K2876" i="12"/>
  <c r="I2876" i="12"/>
  <c r="N2875" i="12"/>
  <c r="K2875" i="12"/>
  <c r="I2875" i="12"/>
  <c r="N2874" i="12"/>
  <c r="K2874" i="12"/>
  <c r="I2874" i="12"/>
  <c r="N2873" i="12"/>
  <c r="K2873" i="12"/>
  <c r="I2873" i="12"/>
  <c r="N2872" i="12"/>
  <c r="K2872" i="12"/>
  <c r="I2872" i="12"/>
  <c r="N2871" i="12"/>
  <c r="K2871" i="12"/>
  <c r="I2871" i="12"/>
  <c r="N2870" i="12"/>
  <c r="K2870" i="12"/>
  <c r="I2870" i="12"/>
  <c r="N2869" i="12"/>
  <c r="K2869" i="12"/>
  <c r="I2869" i="12"/>
  <c r="N2868" i="12"/>
  <c r="K2868" i="12"/>
  <c r="I2868" i="12"/>
  <c r="N2867" i="12"/>
  <c r="K2867" i="12"/>
  <c r="I2867" i="12"/>
  <c r="N2866" i="12"/>
  <c r="K2866" i="12"/>
  <c r="I2866" i="12"/>
  <c r="N2865" i="12"/>
  <c r="K2865" i="12"/>
  <c r="I2865" i="12"/>
  <c r="N2864" i="12"/>
  <c r="K2864" i="12"/>
  <c r="I2864" i="12"/>
  <c r="N2863" i="12"/>
  <c r="K2863" i="12"/>
  <c r="I2863" i="12"/>
  <c r="N2862" i="12"/>
  <c r="K2862" i="12"/>
  <c r="I2862" i="12"/>
  <c r="N2861" i="12"/>
  <c r="K2861" i="12"/>
  <c r="I2861" i="12"/>
  <c r="N2860" i="12"/>
  <c r="K2860" i="12"/>
  <c r="I2860" i="12"/>
  <c r="N2859" i="12"/>
  <c r="K2859" i="12"/>
  <c r="I2859" i="12"/>
  <c r="N2858" i="12"/>
  <c r="K2858" i="12"/>
  <c r="I2858" i="12"/>
  <c r="N2857" i="12"/>
  <c r="K2857" i="12"/>
  <c r="I2857" i="12"/>
  <c r="N2856" i="12"/>
  <c r="K2856" i="12"/>
  <c r="I2856" i="12"/>
  <c r="N2855" i="12"/>
  <c r="K2855" i="12"/>
  <c r="I2855" i="12"/>
  <c r="N2854" i="12"/>
  <c r="K2854" i="12"/>
  <c r="I2854" i="12"/>
  <c r="N2853" i="12"/>
  <c r="K2853" i="12"/>
  <c r="I2853" i="12"/>
  <c r="N2852" i="12"/>
  <c r="K2852" i="12"/>
  <c r="I2852" i="12"/>
  <c r="N2851" i="12"/>
  <c r="K2851" i="12"/>
  <c r="I2851" i="12"/>
  <c r="N2850" i="12"/>
  <c r="K2850" i="12"/>
  <c r="I2850" i="12"/>
  <c r="N2849" i="12"/>
  <c r="K2849" i="12"/>
  <c r="I2849" i="12"/>
  <c r="N2848" i="12"/>
  <c r="K2848" i="12"/>
  <c r="I2848" i="12"/>
  <c r="N2847" i="12"/>
  <c r="K2847" i="12"/>
  <c r="I2847" i="12"/>
  <c r="N2846" i="12"/>
  <c r="K2846" i="12"/>
  <c r="I2846" i="12"/>
  <c r="N2845" i="12"/>
  <c r="K2845" i="12"/>
  <c r="I2845" i="12"/>
  <c r="N2844" i="12"/>
  <c r="K2844" i="12"/>
  <c r="I2844" i="12"/>
  <c r="N2843" i="12"/>
  <c r="K2843" i="12"/>
  <c r="I2843" i="12"/>
  <c r="N2842" i="12"/>
  <c r="K2842" i="12"/>
  <c r="I2842" i="12"/>
  <c r="N2841" i="12"/>
  <c r="K2841" i="12"/>
  <c r="I2841" i="12"/>
  <c r="N2840" i="12"/>
  <c r="K2840" i="12"/>
  <c r="I2840" i="12"/>
  <c r="N2839" i="12"/>
  <c r="K2839" i="12"/>
  <c r="I2839" i="12"/>
  <c r="N2838" i="12"/>
  <c r="K2838" i="12"/>
  <c r="I2838" i="12"/>
  <c r="N2837" i="12"/>
  <c r="K2837" i="12"/>
  <c r="I2837" i="12"/>
  <c r="N2836" i="12"/>
  <c r="K2836" i="12"/>
  <c r="I2836" i="12"/>
  <c r="N2835" i="12"/>
  <c r="K2835" i="12"/>
  <c r="I2835" i="12"/>
  <c r="N2834" i="12"/>
  <c r="K2834" i="12"/>
  <c r="I2834" i="12"/>
  <c r="N2833" i="12"/>
  <c r="K2833" i="12"/>
  <c r="I2833" i="12"/>
  <c r="N2832" i="12"/>
  <c r="K2832" i="12"/>
  <c r="I2832" i="12"/>
  <c r="N2831" i="12"/>
  <c r="K2831" i="12"/>
  <c r="I2831" i="12"/>
  <c r="N2830" i="12"/>
  <c r="K2830" i="12"/>
  <c r="I2830" i="12"/>
  <c r="N2829" i="12"/>
  <c r="K2829" i="12"/>
  <c r="I2829" i="12"/>
  <c r="N2828" i="12"/>
  <c r="K2828" i="12"/>
  <c r="I2828" i="12"/>
  <c r="N2827" i="12"/>
  <c r="K2827" i="12"/>
  <c r="I2827" i="12"/>
  <c r="N2826" i="12"/>
  <c r="K2826" i="12"/>
  <c r="I2826" i="12"/>
  <c r="N2825" i="12"/>
  <c r="K2825" i="12"/>
  <c r="I2825" i="12"/>
  <c r="N2824" i="12"/>
  <c r="K2824" i="12"/>
  <c r="I2824" i="12"/>
  <c r="N2823" i="12"/>
  <c r="K2823" i="12"/>
  <c r="I2823" i="12"/>
  <c r="N2822" i="12"/>
  <c r="K2822" i="12"/>
  <c r="I2822" i="12"/>
  <c r="N2821" i="12"/>
  <c r="K2821" i="12"/>
  <c r="I2821" i="12"/>
  <c r="N2820" i="12"/>
  <c r="K2820" i="12"/>
  <c r="I2820" i="12"/>
  <c r="N2819" i="12"/>
  <c r="K2819" i="12"/>
  <c r="I2819" i="12"/>
  <c r="N2818" i="12"/>
  <c r="K2818" i="12"/>
  <c r="I2818" i="12"/>
  <c r="N2817" i="12"/>
  <c r="K2817" i="12"/>
  <c r="I2817" i="12"/>
  <c r="N2816" i="12"/>
  <c r="K2816" i="12"/>
  <c r="I2816" i="12"/>
  <c r="N2815" i="12"/>
  <c r="K2815" i="12"/>
  <c r="I2815" i="12"/>
  <c r="N2814" i="12"/>
  <c r="K2814" i="12"/>
  <c r="I2814" i="12"/>
  <c r="N2813" i="12"/>
  <c r="K2813" i="12"/>
  <c r="I2813" i="12"/>
  <c r="N2812" i="12"/>
  <c r="K2812" i="12"/>
  <c r="I2812" i="12"/>
  <c r="N2811" i="12"/>
  <c r="K2811" i="12"/>
  <c r="I2811" i="12"/>
  <c r="N2810" i="12"/>
  <c r="K2810" i="12"/>
  <c r="I2810" i="12"/>
  <c r="N2809" i="12"/>
  <c r="K2809" i="12"/>
  <c r="I2809" i="12"/>
  <c r="N2808" i="12"/>
  <c r="K2808" i="12"/>
  <c r="I2808" i="12"/>
  <c r="N2807" i="12"/>
  <c r="K2807" i="12"/>
  <c r="I2807" i="12"/>
  <c r="N2806" i="12"/>
  <c r="K2806" i="12"/>
  <c r="I2806" i="12"/>
  <c r="N2805" i="12"/>
  <c r="K2805" i="12"/>
  <c r="I2805" i="12"/>
  <c r="N2804" i="12"/>
  <c r="K2804" i="12"/>
  <c r="I2804" i="12"/>
  <c r="N2803" i="12"/>
  <c r="K2803" i="12"/>
  <c r="I2803" i="12"/>
  <c r="N2802" i="12"/>
  <c r="K2802" i="12"/>
  <c r="I2802" i="12"/>
  <c r="N2801" i="12"/>
  <c r="K2801" i="12"/>
  <c r="I2801" i="12"/>
  <c r="N2800" i="12"/>
  <c r="K2800" i="12"/>
  <c r="I2800" i="12"/>
  <c r="N2799" i="12"/>
  <c r="K2799" i="12"/>
  <c r="I2799" i="12"/>
  <c r="N2798" i="12"/>
  <c r="K2798" i="12"/>
  <c r="I2798" i="12"/>
  <c r="N2797" i="12"/>
  <c r="K2797" i="12"/>
  <c r="I2797" i="12"/>
  <c r="N2796" i="12"/>
  <c r="K2796" i="12"/>
  <c r="I2796" i="12"/>
  <c r="N2795" i="12"/>
  <c r="K2795" i="12"/>
  <c r="I2795" i="12"/>
  <c r="N2794" i="12"/>
  <c r="K2794" i="12"/>
  <c r="I2794" i="12"/>
  <c r="N2793" i="12"/>
  <c r="K2793" i="12"/>
  <c r="I2793" i="12"/>
  <c r="N2792" i="12"/>
  <c r="K2792" i="12"/>
  <c r="I2792" i="12"/>
  <c r="N2791" i="12"/>
  <c r="K2791" i="12"/>
  <c r="I2791" i="12"/>
  <c r="N2790" i="12"/>
  <c r="K2790" i="12"/>
  <c r="I2790" i="12"/>
  <c r="N2789" i="12"/>
  <c r="K2789" i="12"/>
  <c r="I2789" i="12"/>
  <c r="N2788" i="12"/>
  <c r="K2788" i="12"/>
  <c r="I2788" i="12"/>
  <c r="N2787" i="12"/>
  <c r="K2787" i="12"/>
  <c r="I2787" i="12"/>
  <c r="N2786" i="12"/>
  <c r="K2786" i="12"/>
  <c r="I2786" i="12"/>
  <c r="N2785" i="12"/>
  <c r="K2785" i="12"/>
  <c r="I2785" i="12"/>
  <c r="N2784" i="12"/>
  <c r="K2784" i="12"/>
  <c r="I2784" i="12"/>
  <c r="N2783" i="12"/>
  <c r="K2783" i="12"/>
  <c r="I2783" i="12"/>
  <c r="N2782" i="12"/>
  <c r="K2782" i="12"/>
  <c r="I2782" i="12"/>
  <c r="N2781" i="12"/>
  <c r="K2781" i="12"/>
  <c r="I2781" i="12"/>
  <c r="N2780" i="12"/>
  <c r="K2780" i="12"/>
  <c r="I2780" i="12"/>
  <c r="N2779" i="12"/>
  <c r="K2779" i="12"/>
  <c r="I2779" i="12"/>
  <c r="N2778" i="12"/>
  <c r="K2778" i="12"/>
  <c r="I2778" i="12"/>
  <c r="N2777" i="12"/>
  <c r="K2777" i="12"/>
  <c r="I2777" i="12"/>
  <c r="N2776" i="12"/>
  <c r="K2776" i="12"/>
  <c r="I2776" i="12"/>
  <c r="N2775" i="12"/>
  <c r="K2775" i="12"/>
  <c r="I2775" i="12"/>
  <c r="N2774" i="12"/>
  <c r="K2774" i="12"/>
  <c r="I2774" i="12"/>
  <c r="N2773" i="12"/>
  <c r="K2773" i="12"/>
  <c r="I2773" i="12"/>
  <c r="N2772" i="12"/>
  <c r="K2772" i="12"/>
  <c r="I2772" i="12"/>
  <c r="N2771" i="12"/>
  <c r="K2771" i="12"/>
  <c r="I2771" i="12"/>
  <c r="N2770" i="12"/>
  <c r="K2770" i="12"/>
  <c r="I2770" i="12"/>
  <c r="N2769" i="12"/>
  <c r="K2769" i="12"/>
  <c r="I2769" i="12"/>
  <c r="N2768" i="12"/>
  <c r="K2768" i="12"/>
  <c r="I2768" i="12"/>
  <c r="N2767" i="12"/>
  <c r="K2767" i="12"/>
  <c r="I2767" i="12"/>
  <c r="N2766" i="12"/>
  <c r="K2766" i="12"/>
  <c r="I2766" i="12"/>
  <c r="N2765" i="12"/>
  <c r="K2765" i="12"/>
  <c r="I2765" i="12"/>
  <c r="N2764" i="12"/>
  <c r="K2764" i="12"/>
  <c r="I2764" i="12"/>
  <c r="N2763" i="12"/>
  <c r="K2763" i="12"/>
  <c r="I2763" i="12"/>
  <c r="N2762" i="12"/>
  <c r="K2762" i="12"/>
  <c r="I2762" i="12"/>
  <c r="N2761" i="12"/>
  <c r="K2761" i="12"/>
  <c r="I2761" i="12"/>
  <c r="N2760" i="12"/>
  <c r="K2760" i="12"/>
  <c r="I2760" i="12"/>
  <c r="N2759" i="12"/>
  <c r="K2759" i="12"/>
  <c r="I2759" i="12"/>
  <c r="N2758" i="12"/>
  <c r="K2758" i="12"/>
  <c r="I2758" i="12"/>
  <c r="N2757" i="12"/>
  <c r="K2757" i="12"/>
  <c r="I2757" i="12"/>
  <c r="N2756" i="12"/>
  <c r="K2756" i="12"/>
  <c r="I2756" i="12"/>
  <c r="N2755" i="12"/>
  <c r="K2755" i="12"/>
  <c r="I2755" i="12"/>
  <c r="N2754" i="12"/>
  <c r="K2754" i="12"/>
  <c r="I2754" i="12"/>
  <c r="N2753" i="12"/>
  <c r="K2753" i="12"/>
  <c r="I2753" i="12"/>
  <c r="N2752" i="12"/>
  <c r="K2752" i="12"/>
  <c r="I2752" i="12"/>
  <c r="N2751" i="12"/>
  <c r="K2751" i="12"/>
  <c r="I2751" i="12"/>
  <c r="N2750" i="12"/>
  <c r="K2750" i="12"/>
  <c r="I2750" i="12"/>
  <c r="N2749" i="12"/>
  <c r="K2749" i="12"/>
  <c r="I2749" i="12"/>
  <c r="N2748" i="12"/>
  <c r="K2748" i="12"/>
  <c r="I2748" i="12"/>
  <c r="N2747" i="12"/>
  <c r="K2747" i="12"/>
  <c r="I2747" i="12"/>
  <c r="N2746" i="12"/>
  <c r="K2746" i="12"/>
  <c r="I2746" i="12"/>
  <c r="N2745" i="12"/>
  <c r="K2745" i="12"/>
  <c r="I2745" i="12"/>
  <c r="N2744" i="12"/>
  <c r="K2744" i="12"/>
  <c r="I2744" i="12"/>
  <c r="N2743" i="12"/>
  <c r="K2743" i="12"/>
  <c r="I2743" i="12"/>
  <c r="N2742" i="12"/>
  <c r="K2742" i="12"/>
  <c r="I2742" i="12"/>
  <c r="N2741" i="12"/>
  <c r="K2741" i="12"/>
  <c r="I2741" i="12"/>
  <c r="N2740" i="12"/>
  <c r="K2740" i="12"/>
  <c r="I2740" i="12"/>
  <c r="N2739" i="12"/>
  <c r="K2739" i="12"/>
  <c r="I2739" i="12"/>
  <c r="N2738" i="12"/>
  <c r="K2738" i="12"/>
  <c r="I2738" i="12"/>
  <c r="N2737" i="12"/>
  <c r="K2737" i="12"/>
  <c r="I2737" i="12"/>
  <c r="N2736" i="12"/>
  <c r="K2736" i="12"/>
  <c r="I2736" i="12"/>
  <c r="N2735" i="12"/>
  <c r="K2735" i="12"/>
  <c r="I2735" i="12"/>
  <c r="N2734" i="12"/>
  <c r="K2734" i="12"/>
  <c r="I2734" i="12"/>
  <c r="N2733" i="12"/>
  <c r="K2733" i="12"/>
  <c r="I2733" i="12"/>
  <c r="N2732" i="12"/>
  <c r="K2732" i="12"/>
  <c r="I2732" i="12"/>
  <c r="N2731" i="12"/>
  <c r="K2731" i="12"/>
  <c r="I2731" i="12"/>
  <c r="N2730" i="12"/>
  <c r="K2730" i="12"/>
  <c r="I2730" i="12"/>
  <c r="N2729" i="12"/>
  <c r="K2729" i="12"/>
  <c r="I2729" i="12"/>
  <c r="N2728" i="12"/>
  <c r="K2728" i="12"/>
  <c r="I2728" i="12"/>
  <c r="N2727" i="12"/>
  <c r="K2727" i="12"/>
  <c r="I2727" i="12"/>
  <c r="N2726" i="12"/>
  <c r="K2726" i="12"/>
  <c r="I2726" i="12"/>
  <c r="N2725" i="12"/>
  <c r="K2725" i="12"/>
  <c r="I2725" i="12"/>
  <c r="N2724" i="12"/>
  <c r="K2724" i="12"/>
  <c r="I2724" i="12"/>
  <c r="N2723" i="12"/>
  <c r="K2723" i="12"/>
  <c r="I2723" i="12"/>
  <c r="N2722" i="12"/>
  <c r="K2722" i="12"/>
  <c r="I2722" i="12"/>
  <c r="N2721" i="12"/>
  <c r="K2721" i="12"/>
  <c r="I2721" i="12"/>
  <c r="N2720" i="12"/>
  <c r="K2720" i="12"/>
  <c r="I2720" i="12"/>
  <c r="N2719" i="12"/>
  <c r="K2719" i="12"/>
  <c r="I2719" i="12"/>
  <c r="N2718" i="12"/>
  <c r="K2718" i="12"/>
  <c r="I2718" i="12"/>
  <c r="N2717" i="12"/>
  <c r="K2717" i="12"/>
  <c r="I2717" i="12"/>
  <c r="N2716" i="12"/>
  <c r="K2716" i="12"/>
  <c r="I2716" i="12"/>
  <c r="N2715" i="12"/>
  <c r="K2715" i="12"/>
  <c r="I2715" i="12"/>
  <c r="N2714" i="12"/>
  <c r="K2714" i="12"/>
  <c r="I2714" i="12"/>
  <c r="N2713" i="12"/>
  <c r="K2713" i="12"/>
  <c r="I2713" i="12"/>
  <c r="N2712" i="12"/>
  <c r="K2712" i="12"/>
  <c r="I2712" i="12"/>
  <c r="N2711" i="12"/>
  <c r="K2711" i="12"/>
  <c r="I2711" i="12"/>
  <c r="N2710" i="12"/>
  <c r="K2710" i="12"/>
  <c r="I2710" i="12"/>
  <c r="N2709" i="12"/>
  <c r="K2709" i="12"/>
  <c r="I2709" i="12"/>
  <c r="N2708" i="12"/>
  <c r="K2708" i="12"/>
  <c r="I2708" i="12"/>
  <c r="N2707" i="12"/>
  <c r="K2707" i="12"/>
  <c r="I2707" i="12"/>
  <c r="N2706" i="12"/>
  <c r="K2706" i="12"/>
  <c r="I2706" i="12"/>
  <c r="N2705" i="12"/>
  <c r="K2705" i="12"/>
  <c r="I2705" i="12"/>
  <c r="N2704" i="12"/>
  <c r="K2704" i="12"/>
  <c r="I2704" i="12"/>
  <c r="N2703" i="12"/>
  <c r="K2703" i="12"/>
  <c r="I2703" i="12"/>
  <c r="N2702" i="12"/>
  <c r="K2702" i="12"/>
  <c r="I2702" i="12"/>
  <c r="N2701" i="12"/>
  <c r="K2701" i="12"/>
  <c r="I2701" i="12"/>
  <c r="N2700" i="12"/>
  <c r="K2700" i="12"/>
  <c r="I2700" i="12"/>
  <c r="N2699" i="12"/>
  <c r="K2699" i="12"/>
  <c r="I2699" i="12"/>
  <c r="N2698" i="12"/>
  <c r="K2698" i="12"/>
  <c r="I2698" i="12"/>
  <c r="N2697" i="12"/>
  <c r="K2697" i="12"/>
  <c r="I2697" i="12"/>
  <c r="N2696" i="12"/>
  <c r="K2696" i="12"/>
  <c r="I2696" i="12"/>
  <c r="N2695" i="12"/>
  <c r="K2695" i="12"/>
  <c r="I2695" i="12"/>
  <c r="N2694" i="12"/>
  <c r="K2694" i="12"/>
  <c r="I2694" i="12"/>
  <c r="N2693" i="12"/>
  <c r="K2693" i="12"/>
  <c r="I2693" i="12"/>
  <c r="N2692" i="12"/>
  <c r="K2692" i="12"/>
  <c r="I2692" i="12"/>
  <c r="N2691" i="12"/>
  <c r="K2691" i="12"/>
  <c r="I2691" i="12"/>
  <c r="N2690" i="12"/>
  <c r="K2690" i="12"/>
  <c r="I2690" i="12"/>
  <c r="N2689" i="12"/>
  <c r="K2689" i="12"/>
  <c r="I2689" i="12"/>
  <c r="N2688" i="12"/>
  <c r="K2688" i="12"/>
  <c r="I2688" i="12"/>
  <c r="N2687" i="12"/>
  <c r="K2687" i="12"/>
  <c r="I2687" i="12"/>
  <c r="N2686" i="12"/>
  <c r="K2686" i="12"/>
  <c r="I2686" i="12"/>
  <c r="N2685" i="12"/>
  <c r="K2685" i="12"/>
  <c r="I2685" i="12"/>
  <c r="N2684" i="12"/>
  <c r="K2684" i="12"/>
  <c r="I2684" i="12"/>
  <c r="N2683" i="12"/>
  <c r="K2683" i="12"/>
  <c r="I2683" i="12"/>
  <c r="N2682" i="12"/>
  <c r="K2682" i="12"/>
  <c r="I2682" i="12"/>
  <c r="N2681" i="12"/>
  <c r="K2681" i="12"/>
  <c r="I2681" i="12"/>
  <c r="N2680" i="12"/>
  <c r="K2680" i="12"/>
  <c r="I2680" i="12"/>
  <c r="N2679" i="12"/>
  <c r="K2679" i="12"/>
  <c r="I2679" i="12"/>
  <c r="N2678" i="12"/>
  <c r="K2678" i="12"/>
  <c r="I2678" i="12"/>
  <c r="N2677" i="12"/>
  <c r="K2677" i="12"/>
  <c r="I2677" i="12"/>
  <c r="N2676" i="12"/>
  <c r="K2676" i="12"/>
  <c r="I2676" i="12"/>
  <c r="N2675" i="12"/>
  <c r="K2675" i="12"/>
  <c r="I2675" i="12"/>
  <c r="N2674" i="12"/>
  <c r="K2674" i="12"/>
  <c r="I2674" i="12"/>
  <c r="N2673" i="12"/>
  <c r="K2673" i="12"/>
  <c r="I2673" i="12"/>
  <c r="N2672" i="12"/>
  <c r="K2672" i="12"/>
  <c r="I2672" i="12"/>
  <c r="N2671" i="12"/>
  <c r="K2671" i="12"/>
  <c r="I2671" i="12"/>
  <c r="N2670" i="12"/>
  <c r="K2670" i="12"/>
  <c r="I2670" i="12"/>
  <c r="N2669" i="12"/>
  <c r="K2669" i="12"/>
  <c r="I2669" i="12"/>
  <c r="N2668" i="12"/>
  <c r="K2668" i="12"/>
  <c r="I2668" i="12"/>
  <c r="N2667" i="12"/>
  <c r="K2667" i="12"/>
  <c r="I2667" i="12"/>
  <c r="N2666" i="12"/>
  <c r="K2666" i="12"/>
  <c r="I2666" i="12"/>
  <c r="N2665" i="12"/>
  <c r="K2665" i="12"/>
  <c r="I2665" i="12"/>
  <c r="N2664" i="12"/>
  <c r="K2664" i="12"/>
  <c r="I2664" i="12"/>
  <c r="N2663" i="12"/>
  <c r="K2663" i="12"/>
  <c r="I2663" i="12"/>
  <c r="N2662" i="12"/>
  <c r="K2662" i="12"/>
  <c r="I2662" i="12"/>
  <c r="N2661" i="12"/>
  <c r="K2661" i="12"/>
  <c r="I2661" i="12"/>
  <c r="N2660" i="12"/>
  <c r="K2660" i="12"/>
  <c r="I2660" i="12"/>
  <c r="N2659" i="12"/>
  <c r="K2659" i="12"/>
  <c r="I2659" i="12"/>
  <c r="N2658" i="12"/>
  <c r="K2658" i="12"/>
  <c r="I2658" i="12"/>
  <c r="N2657" i="12"/>
  <c r="K2657" i="12"/>
  <c r="I2657" i="12"/>
  <c r="N2656" i="12"/>
  <c r="K2656" i="12"/>
  <c r="I2656" i="12"/>
  <c r="N2655" i="12"/>
  <c r="K2655" i="12"/>
  <c r="I2655" i="12"/>
  <c r="N2654" i="12"/>
  <c r="K2654" i="12"/>
  <c r="I2654" i="12"/>
  <c r="N2653" i="12"/>
  <c r="K2653" i="12"/>
  <c r="I2653" i="12"/>
  <c r="N2652" i="12"/>
  <c r="K2652" i="12"/>
  <c r="I2652" i="12"/>
  <c r="N2651" i="12"/>
  <c r="K2651" i="12"/>
  <c r="I2651" i="12"/>
  <c r="N2650" i="12"/>
  <c r="K2650" i="12"/>
  <c r="I2650" i="12"/>
  <c r="N2649" i="12"/>
  <c r="K2649" i="12"/>
  <c r="I2649" i="12"/>
  <c r="N2648" i="12"/>
  <c r="K2648" i="12"/>
  <c r="I2648" i="12"/>
  <c r="N2647" i="12"/>
  <c r="K2647" i="12"/>
  <c r="I2647" i="12"/>
  <c r="N2646" i="12"/>
  <c r="K2646" i="12"/>
  <c r="I2646" i="12"/>
  <c r="N2645" i="12"/>
  <c r="K2645" i="12"/>
  <c r="I2645" i="12"/>
  <c r="N2644" i="12"/>
  <c r="K2644" i="12"/>
  <c r="I2644" i="12"/>
  <c r="N2643" i="12"/>
  <c r="K2643" i="12"/>
  <c r="I2643" i="12"/>
  <c r="N2642" i="12"/>
  <c r="K2642" i="12"/>
  <c r="I2642" i="12"/>
  <c r="N2641" i="12"/>
  <c r="K2641" i="12"/>
  <c r="I2641" i="12"/>
  <c r="N2640" i="12"/>
  <c r="K2640" i="12"/>
  <c r="I2640" i="12"/>
  <c r="N2639" i="12"/>
  <c r="K2639" i="12"/>
  <c r="I2639" i="12"/>
  <c r="N2638" i="12"/>
  <c r="K2638" i="12"/>
  <c r="I2638" i="12"/>
  <c r="N2637" i="12"/>
  <c r="K2637" i="12"/>
  <c r="I2637" i="12"/>
  <c r="N2636" i="12"/>
  <c r="K2636" i="12"/>
  <c r="I2636" i="12"/>
  <c r="N2635" i="12"/>
  <c r="K2635" i="12"/>
  <c r="I2635" i="12"/>
  <c r="N2634" i="12"/>
  <c r="K2634" i="12"/>
  <c r="I2634" i="12"/>
  <c r="N2633" i="12"/>
  <c r="K2633" i="12"/>
  <c r="I2633" i="12"/>
  <c r="N2632" i="12"/>
  <c r="K2632" i="12"/>
  <c r="I2632" i="12"/>
  <c r="N2631" i="12"/>
  <c r="K2631" i="12"/>
  <c r="I2631" i="12"/>
  <c r="N2630" i="12"/>
  <c r="K2630" i="12"/>
  <c r="I2630" i="12"/>
  <c r="N2629" i="12"/>
  <c r="K2629" i="12"/>
  <c r="I2629" i="12"/>
  <c r="N2628" i="12"/>
  <c r="K2628" i="12"/>
  <c r="I2628" i="12"/>
  <c r="N2627" i="12"/>
  <c r="K2627" i="12"/>
  <c r="I2627" i="12"/>
  <c r="N2626" i="12"/>
  <c r="K2626" i="12"/>
  <c r="I2626" i="12"/>
  <c r="N2625" i="12"/>
  <c r="K2625" i="12"/>
  <c r="I2625" i="12"/>
  <c r="N2624" i="12"/>
  <c r="K2624" i="12"/>
  <c r="I2624" i="12"/>
  <c r="N2623" i="12"/>
  <c r="K2623" i="12"/>
  <c r="I2623" i="12"/>
  <c r="N2622" i="12"/>
  <c r="K2622" i="12"/>
  <c r="I2622" i="12"/>
  <c r="N2621" i="12"/>
  <c r="K2621" i="12"/>
  <c r="I2621" i="12"/>
  <c r="N2620" i="12"/>
  <c r="K2620" i="12"/>
  <c r="I2620" i="12"/>
  <c r="N2619" i="12"/>
  <c r="K2619" i="12"/>
  <c r="I2619" i="12"/>
  <c r="N2618" i="12"/>
  <c r="K2618" i="12"/>
  <c r="I2618" i="12"/>
  <c r="N2617" i="12"/>
  <c r="K2617" i="12"/>
  <c r="I2617" i="12"/>
  <c r="N2616" i="12"/>
  <c r="K2616" i="12"/>
  <c r="I2616" i="12"/>
  <c r="N2615" i="12"/>
  <c r="K2615" i="12"/>
  <c r="I2615" i="12"/>
  <c r="N2614" i="12"/>
  <c r="K2614" i="12"/>
  <c r="I2614" i="12"/>
  <c r="N2613" i="12"/>
  <c r="K2613" i="12"/>
  <c r="I2613" i="12"/>
  <c r="N2612" i="12"/>
  <c r="K2612" i="12"/>
  <c r="I2612" i="12"/>
  <c r="N2611" i="12"/>
  <c r="K2611" i="12"/>
  <c r="I2611" i="12"/>
  <c r="N2610" i="12"/>
  <c r="K2610" i="12"/>
  <c r="I2610" i="12"/>
  <c r="N2609" i="12"/>
  <c r="K2609" i="12"/>
  <c r="I2609" i="12"/>
  <c r="N2608" i="12"/>
  <c r="K2608" i="12"/>
  <c r="I2608" i="12"/>
  <c r="N2607" i="12"/>
  <c r="K2607" i="12"/>
  <c r="I2607" i="12"/>
  <c r="N2606" i="12"/>
  <c r="K2606" i="12"/>
  <c r="I2606" i="12"/>
  <c r="N2605" i="12"/>
  <c r="K2605" i="12"/>
  <c r="I2605" i="12"/>
  <c r="N2604" i="12"/>
  <c r="K2604" i="12"/>
  <c r="I2604" i="12"/>
  <c r="N2603" i="12"/>
  <c r="K2603" i="12"/>
  <c r="I2603" i="12"/>
  <c r="N2602" i="12"/>
  <c r="K2602" i="12"/>
  <c r="I2602" i="12"/>
  <c r="N2601" i="12"/>
  <c r="K2601" i="12"/>
  <c r="I2601" i="12"/>
  <c r="N2600" i="12"/>
  <c r="K2600" i="12"/>
  <c r="I2600" i="12"/>
  <c r="N2599" i="12"/>
  <c r="K2599" i="12"/>
  <c r="I2599" i="12"/>
  <c r="N2598" i="12"/>
  <c r="K2598" i="12"/>
  <c r="I2598" i="12"/>
  <c r="N2597" i="12"/>
  <c r="K2597" i="12"/>
  <c r="I2597" i="12"/>
  <c r="N2596" i="12"/>
  <c r="K2596" i="12"/>
  <c r="I2596" i="12"/>
  <c r="N2595" i="12"/>
  <c r="K2595" i="12"/>
  <c r="I2595" i="12"/>
  <c r="N2594" i="12"/>
  <c r="K2594" i="12"/>
  <c r="I2594" i="12"/>
  <c r="N2593" i="12"/>
  <c r="K2593" i="12"/>
  <c r="I2593" i="12"/>
  <c r="N2592" i="12"/>
  <c r="K2592" i="12"/>
  <c r="I2592" i="12"/>
  <c r="N2591" i="12"/>
  <c r="K2591" i="12"/>
  <c r="I2591" i="12"/>
  <c r="N2590" i="12"/>
  <c r="K2590" i="12"/>
  <c r="I2590" i="12"/>
  <c r="N2589" i="12"/>
  <c r="K2589" i="12"/>
  <c r="I2589" i="12"/>
  <c r="N2588" i="12"/>
  <c r="K2588" i="12"/>
  <c r="I2588" i="12"/>
  <c r="N2587" i="12"/>
  <c r="K2587" i="12"/>
  <c r="I2587" i="12"/>
  <c r="N2586" i="12"/>
  <c r="K2586" i="12"/>
  <c r="I2586" i="12"/>
  <c r="N2585" i="12"/>
  <c r="K2585" i="12"/>
  <c r="I2585" i="12"/>
  <c r="N2584" i="12"/>
  <c r="K2584" i="12"/>
  <c r="I2584" i="12"/>
  <c r="N2583" i="12"/>
  <c r="K2583" i="12"/>
  <c r="I2583" i="12"/>
  <c r="N2582" i="12"/>
  <c r="K2582" i="12"/>
  <c r="I2582" i="12"/>
  <c r="N2581" i="12"/>
  <c r="K2581" i="12"/>
  <c r="I2581" i="12"/>
  <c r="N2580" i="12"/>
  <c r="K2580" i="12"/>
  <c r="I2580" i="12"/>
  <c r="N2579" i="12"/>
  <c r="K2579" i="12"/>
  <c r="I2579" i="12"/>
  <c r="N2578" i="12"/>
  <c r="K2578" i="12"/>
  <c r="I2578" i="12"/>
  <c r="N2577" i="12"/>
  <c r="K2577" i="12"/>
  <c r="I2577" i="12"/>
  <c r="N2576" i="12"/>
  <c r="K2576" i="12"/>
  <c r="I2576" i="12"/>
  <c r="N2575" i="12"/>
  <c r="K2575" i="12"/>
  <c r="I2575" i="12"/>
  <c r="N2574" i="12"/>
  <c r="K2574" i="12"/>
  <c r="I2574" i="12"/>
  <c r="N2573" i="12"/>
  <c r="K2573" i="12"/>
  <c r="I2573" i="12"/>
  <c r="N2572" i="12"/>
  <c r="K2572" i="12"/>
  <c r="I2572" i="12"/>
  <c r="N2571" i="12"/>
  <c r="K2571" i="12"/>
  <c r="I2571" i="12"/>
  <c r="N2570" i="12"/>
  <c r="K2570" i="12"/>
  <c r="I2570" i="12"/>
  <c r="N2569" i="12"/>
  <c r="K2569" i="12"/>
  <c r="I2569" i="12"/>
  <c r="N2568" i="12"/>
  <c r="K2568" i="12"/>
  <c r="I2568" i="12"/>
  <c r="N2567" i="12"/>
  <c r="K2567" i="12"/>
  <c r="I2567" i="12"/>
  <c r="N2566" i="12"/>
  <c r="K2566" i="12"/>
  <c r="I2566" i="12"/>
  <c r="N2565" i="12"/>
  <c r="K2565" i="12"/>
  <c r="I2565" i="12"/>
  <c r="N2564" i="12"/>
  <c r="K2564" i="12"/>
  <c r="I2564" i="12"/>
  <c r="N2563" i="12"/>
  <c r="K2563" i="12"/>
  <c r="I2563" i="12"/>
  <c r="N2562" i="12"/>
  <c r="K2562" i="12"/>
  <c r="I2562" i="12"/>
  <c r="N2561" i="12"/>
  <c r="K2561" i="12"/>
  <c r="I2561" i="12"/>
  <c r="N2560" i="12"/>
  <c r="K2560" i="12"/>
  <c r="I2560" i="12"/>
  <c r="N2559" i="12"/>
  <c r="K2559" i="12"/>
  <c r="I2559" i="12"/>
  <c r="N2558" i="12"/>
  <c r="K2558" i="12"/>
  <c r="I2558" i="12"/>
  <c r="N2557" i="12"/>
  <c r="K2557" i="12"/>
  <c r="I2557" i="12"/>
  <c r="N2556" i="12"/>
  <c r="K2556" i="12"/>
  <c r="I2556" i="12"/>
  <c r="N2555" i="12"/>
  <c r="K2555" i="12"/>
  <c r="I2555" i="12"/>
  <c r="N2554" i="12"/>
  <c r="K2554" i="12"/>
  <c r="I2554" i="12"/>
  <c r="N2553" i="12"/>
  <c r="K2553" i="12"/>
  <c r="I2553" i="12"/>
  <c r="N2552" i="12"/>
  <c r="K2552" i="12"/>
  <c r="I2552" i="12"/>
  <c r="N2551" i="12"/>
  <c r="K2551" i="12"/>
  <c r="I2551" i="12"/>
  <c r="N2550" i="12"/>
  <c r="K2550" i="12"/>
  <c r="I2550" i="12"/>
  <c r="N2549" i="12"/>
  <c r="K2549" i="12"/>
  <c r="I2549" i="12"/>
  <c r="N2548" i="12"/>
  <c r="K2548" i="12"/>
  <c r="I2548" i="12"/>
  <c r="N2547" i="12"/>
  <c r="K2547" i="12"/>
  <c r="I2547" i="12"/>
  <c r="N2546" i="12"/>
  <c r="K2546" i="12"/>
  <c r="I2546" i="12"/>
  <c r="N2545" i="12"/>
  <c r="K2545" i="12"/>
  <c r="I2545" i="12"/>
  <c r="N2544" i="12"/>
  <c r="K2544" i="12"/>
  <c r="I2544" i="12"/>
  <c r="N2543" i="12"/>
  <c r="K2543" i="12"/>
  <c r="I2543" i="12"/>
  <c r="N2542" i="12"/>
  <c r="K2542" i="12"/>
  <c r="I2542" i="12"/>
  <c r="N2541" i="12"/>
  <c r="K2541" i="12"/>
  <c r="I2541" i="12"/>
  <c r="N2540" i="12"/>
  <c r="K2540" i="12"/>
  <c r="I2540" i="12"/>
  <c r="N2539" i="12"/>
  <c r="K2539" i="12"/>
  <c r="I2539" i="12"/>
  <c r="N2538" i="12"/>
  <c r="K2538" i="12"/>
  <c r="I2538" i="12"/>
  <c r="N2537" i="12"/>
  <c r="K2537" i="12"/>
  <c r="I2537" i="12"/>
  <c r="N2536" i="12"/>
  <c r="K2536" i="12"/>
  <c r="I2536" i="12"/>
  <c r="N2535" i="12"/>
  <c r="K2535" i="12"/>
  <c r="I2535" i="12"/>
  <c r="N2534" i="12"/>
  <c r="K2534" i="12"/>
  <c r="I2534" i="12"/>
  <c r="N2533" i="12"/>
  <c r="K2533" i="12"/>
  <c r="I2533" i="12"/>
  <c r="N2532" i="12"/>
  <c r="K2532" i="12"/>
  <c r="I2532" i="12"/>
  <c r="N2531" i="12"/>
  <c r="K2531" i="12"/>
  <c r="I2531" i="12"/>
  <c r="N2530" i="12"/>
  <c r="K2530" i="12"/>
  <c r="I2530" i="12"/>
  <c r="N2529" i="12"/>
  <c r="K2529" i="12"/>
  <c r="I2529" i="12"/>
  <c r="N2528" i="12"/>
  <c r="K2528" i="12"/>
  <c r="I2528" i="12"/>
  <c r="N2527" i="12"/>
  <c r="K2527" i="12"/>
  <c r="I2527" i="12"/>
  <c r="N2526" i="12"/>
  <c r="K2526" i="12"/>
  <c r="I2526" i="12"/>
  <c r="N2525" i="12"/>
  <c r="K2525" i="12"/>
  <c r="I2525" i="12"/>
  <c r="N2524" i="12"/>
  <c r="K2524" i="12"/>
  <c r="I2524" i="12"/>
  <c r="N2523" i="12"/>
  <c r="K2523" i="12"/>
  <c r="I2523" i="12"/>
  <c r="N2522" i="12"/>
  <c r="K2522" i="12"/>
  <c r="I2522" i="12"/>
  <c r="N2521" i="12"/>
  <c r="K2521" i="12"/>
  <c r="I2521" i="12"/>
  <c r="N2520" i="12"/>
  <c r="K2520" i="12"/>
  <c r="I2520" i="12"/>
  <c r="N2519" i="12"/>
  <c r="K2519" i="12"/>
  <c r="I2519" i="12"/>
  <c r="N2518" i="12"/>
  <c r="K2518" i="12"/>
  <c r="I2518" i="12"/>
  <c r="N2517" i="12"/>
  <c r="K2517" i="12"/>
  <c r="I2517" i="12"/>
  <c r="N2516" i="12"/>
  <c r="K2516" i="12"/>
  <c r="I2516" i="12"/>
  <c r="N2515" i="12"/>
  <c r="K2515" i="12"/>
  <c r="I2515" i="12"/>
  <c r="N2514" i="12"/>
  <c r="K2514" i="12"/>
  <c r="I2514" i="12"/>
  <c r="N2513" i="12"/>
  <c r="K2513" i="12"/>
  <c r="I2513" i="12"/>
  <c r="N2512" i="12"/>
  <c r="K2512" i="12"/>
  <c r="I2512" i="12"/>
  <c r="N2511" i="12"/>
  <c r="K2511" i="12"/>
  <c r="I2511" i="12"/>
  <c r="N2510" i="12"/>
  <c r="K2510" i="12"/>
  <c r="I2510" i="12"/>
  <c r="N2509" i="12"/>
  <c r="K2509" i="12"/>
  <c r="I2509" i="12"/>
  <c r="N2508" i="12"/>
  <c r="K2508" i="12"/>
  <c r="I2508" i="12"/>
  <c r="N2507" i="12"/>
  <c r="K2507" i="12"/>
  <c r="I2507" i="12"/>
  <c r="N2506" i="12"/>
  <c r="K2506" i="12"/>
  <c r="I2506" i="12"/>
  <c r="N2505" i="12"/>
  <c r="K2505" i="12"/>
  <c r="I2505" i="12"/>
  <c r="N2504" i="12"/>
  <c r="K2504" i="12"/>
  <c r="I2504" i="12"/>
  <c r="N2503" i="12"/>
  <c r="K2503" i="12"/>
  <c r="I2503" i="12"/>
  <c r="N2502" i="12"/>
  <c r="K2502" i="12"/>
  <c r="I2502" i="12"/>
  <c r="N2501" i="12"/>
  <c r="K2501" i="12"/>
  <c r="I2501" i="12"/>
  <c r="N2500" i="12"/>
  <c r="K2500" i="12"/>
  <c r="I2500" i="12"/>
  <c r="N2499" i="12"/>
  <c r="K2499" i="12"/>
  <c r="I2499" i="12"/>
  <c r="N2498" i="12"/>
  <c r="K2498" i="12"/>
  <c r="I2498" i="12"/>
  <c r="N2497" i="12"/>
  <c r="K2497" i="12"/>
  <c r="I2497" i="12"/>
  <c r="N2496" i="12"/>
  <c r="K2496" i="12"/>
  <c r="I2496" i="12"/>
  <c r="N2495" i="12"/>
  <c r="K2495" i="12"/>
  <c r="I2495" i="12"/>
  <c r="N2494" i="12"/>
  <c r="K2494" i="12"/>
  <c r="I2494" i="12"/>
  <c r="N2493" i="12"/>
  <c r="K2493" i="12"/>
  <c r="I2493" i="12"/>
  <c r="N2492" i="12"/>
  <c r="K2492" i="12"/>
  <c r="I2492" i="12"/>
  <c r="N2491" i="12"/>
  <c r="K2491" i="12"/>
  <c r="I2491" i="12"/>
  <c r="N2490" i="12"/>
  <c r="K2490" i="12"/>
  <c r="I2490" i="12"/>
  <c r="N2489" i="12"/>
  <c r="K2489" i="12"/>
  <c r="I2489" i="12"/>
  <c r="N2488" i="12"/>
  <c r="K2488" i="12"/>
  <c r="I2488" i="12"/>
  <c r="N2487" i="12"/>
  <c r="K2487" i="12"/>
  <c r="I2487" i="12"/>
  <c r="N2486" i="12"/>
  <c r="K2486" i="12"/>
  <c r="I2486" i="12"/>
  <c r="N2485" i="12"/>
  <c r="K2485" i="12"/>
  <c r="I2485" i="12"/>
  <c r="N2484" i="12"/>
  <c r="K2484" i="12"/>
  <c r="I2484" i="12"/>
  <c r="N2483" i="12"/>
  <c r="K2483" i="12"/>
  <c r="I2483" i="12"/>
  <c r="N2482" i="12"/>
  <c r="K2482" i="12"/>
  <c r="I2482" i="12"/>
  <c r="N2481" i="12"/>
  <c r="K2481" i="12"/>
  <c r="I2481" i="12"/>
  <c r="N2480" i="12"/>
  <c r="K2480" i="12"/>
  <c r="I2480" i="12"/>
  <c r="N2479" i="12"/>
  <c r="K2479" i="12"/>
  <c r="I2479" i="12"/>
  <c r="N2478" i="12"/>
  <c r="K2478" i="12"/>
  <c r="I2478" i="12"/>
  <c r="N2477" i="12"/>
  <c r="K2477" i="12"/>
  <c r="I2477" i="12"/>
  <c r="N2476" i="12"/>
  <c r="K2476" i="12"/>
  <c r="I2476" i="12"/>
  <c r="N2475" i="12"/>
  <c r="K2475" i="12"/>
  <c r="I2475" i="12"/>
  <c r="N2474" i="12"/>
  <c r="K2474" i="12"/>
  <c r="I2474" i="12"/>
  <c r="N2473" i="12"/>
  <c r="K2473" i="12"/>
  <c r="I2473" i="12"/>
  <c r="N2472" i="12"/>
  <c r="K2472" i="12"/>
  <c r="I2472" i="12"/>
  <c r="N2471" i="12"/>
  <c r="K2471" i="12"/>
  <c r="I2471" i="12"/>
  <c r="N2470" i="12"/>
  <c r="K2470" i="12"/>
  <c r="I2470" i="12"/>
  <c r="N2469" i="12"/>
  <c r="K2469" i="12"/>
  <c r="I2469" i="12"/>
  <c r="N2468" i="12"/>
  <c r="K2468" i="12"/>
  <c r="I2468" i="12"/>
  <c r="N2467" i="12"/>
  <c r="K2467" i="12"/>
  <c r="I2467" i="12"/>
  <c r="N2466" i="12"/>
  <c r="K2466" i="12"/>
  <c r="I2466" i="12"/>
  <c r="N2465" i="12"/>
  <c r="K2465" i="12"/>
  <c r="I2465" i="12"/>
  <c r="N2464" i="12"/>
  <c r="K2464" i="12"/>
  <c r="I2464" i="12"/>
  <c r="N2463" i="12"/>
  <c r="K2463" i="12"/>
  <c r="I2463" i="12"/>
  <c r="N2462" i="12"/>
  <c r="K2462" i="12"/>
  <c r="I2462" i="12"/>
  <c r="N2461" i="12"/>
  <c r="K2461" i="12"/>
  <c r="I2461" i="12"/>
  <c r="N2460" i="12"/>
  <c r="K2460" i="12"/>
  <c r="I2460" i="12"/>
  <c r="N2459" i="12"/>
  <c r="K2459" i="12"/>
  <c r="I2459" i="12"/>
  <c r="N2458" i="12"/>
  <c r="K2458" i="12"/>
  <c r="I2458" i="12"/>
  <c r="N2457" i="12"/>
  <c r="K2457" i="12"/>
  <c r="I2457" i="12"/>
  <c r="N2456" i="12"/>
  <c r="K2456" i="12"/>
  <c r="I2456" i="12"/>
  <c r="N2455" i="12"/>
  <c r="K2455" i="12"/>
  <c r="I2455" i="12"/>
  <c r="N2454" i="12"/>
  <c r="K2454" i="12"/>
  <c r="I2454" i="12"/>
  <c r="N2453" i="12"/>
  <c r="K2453" i="12"/>
  <c r="I2453" i="12"/>
  <c r="N2452" i="12"/>
  <c r="K2452" i="12"/>
  <c r="I2452" i="12"/>
  <c r="N2451" i="12"/>
  <c r="K2451" i="12"/>
  <c r="I2451" i="12"/>
  <c r="N2450" i="12"/>
  <c r="K2450" i="12"/>
  <c r="I2450" i="12"/>
  <c r="N2449" i="12"/>
  <c r="K2449" i="12"/>
  <c r="I2449" i="12"/>
  <c r="N2448" i="12"/>
  <c r="K2448" i="12"/>
  <c r="I2448" i="12"/>
  <c r="N2447" i="12"/>
  <c r="K2447" i="12"/>
  <c r="I2447" i="12"/>
  <c r="N2446" i="12"/>
  <c r="K2446" i="12"/>
  <c r="I2446" i="12"/>
  <c r="N2445" i="12"/>
  <c r="K2445" i="12"/>
  <c r="I2445" i="12"/>
  <c r="N2444" i="12"/>
  <c r="K2444" i="12"/>
  <c r="I2444" i="12"/>
  <c r="N2443" i="12"/>
  <c r="K2443" i="12"/>
  <c r="I2443" i="12"/>
  <c r="N2442" i="12"/>
  <c r="K2442" i="12"/>
  <c r="I2442" i="12"/>
  <c r="N2441" i="12"/>
  <c r="K2441" i="12"/>
  <c r="I2441" i="12"/>
  <c r="N2440" i="12"/>
  <c r="K2440" i="12"/>
  <c r="I2440" i="12"/>
  <c r="N2439" i="12"/>
  <c r="K2439" i="12"/>
  <c r="I2439" i="12"/>
  <c r="N2438" i="12"/>
  <c r="K2438" i="12"/>
  <c r="I2438" i="12"/>
  <c r="N2437" i="12"/>
  <c r="K2437" i="12"/>
  <c r="I2437" i="12"/>
  <c r="N2436" i="12"/>
  <c r="K2436" i="12"/>
  <c r="I2436" i="12"/>
  <c r="N2435" i="12"/>
  <c r="K2435" i="12"/>
  <c r="I2435" i="12"/>
  <c r="N2434" i="12"/>
  <c r="K2434" i="12"/>
  <c r="I2434" i="12"/>
  <c r="N2433" i="12"/>
  <c r="K2433" i="12"/>
  <c r="I2433" i="12"/>
  <c r="N2432" i="12"/>
  <c r="K2432" i="12"/>
  <c r="I2432" i="12"/>
  <c r="N2431" i="12"/>
  <c r="K2431" i="12"/>
  <c r="I2431" i="12"/>
  <c r="N2430" i="12"/>
  <c r="K2430" i="12"/>
  <c r="I2430" i="12"/>
  <c r="N2429" i="12"/>
  <c r="K2429" i="12"/>
  <c r="I2429" i="12"/>
  <c r="N2428" i="12"/>
  <c r="K2428" i="12"/>
  <c r="I2428" i="12"/>
  <c r="N2427" i="12"/>
  <c r="K2427" i="12"/>
  <c r="I2427" i="12"/>
  <c r="N2426" i="12"/>
  <c r="K2426" i="12"/>
  <c r="I2426" i="12"/>
  <c r="N2425" i="12"/>
  <c r="K2425" i="12"/>
  <c r="I2425" i="12"/>
  <c r="N2424" i="12"/>
  <c r="K2424" i="12"/>
  <c r="I2424" i="12"/>
  <c r="N2423" i="12"/>
  <c r="K2423" i="12"/>
  <c r="I2423" i="12"/>
  <c r="N2422" i="12"/>
  <c r="K2422" i="12"/>
  <c r="I2422" i="12"/>
  <c r="N2421" i="12"/>
  <c r="K2421" i="12"/>
  <c r="I2421" i="12"/>
  <c r="N2420" i="12"/>
  <c r="K2420" i="12"/>
  <c r="I2420" i="12"/>
  <c r="N2419" i="12"/>
  <c r="K2419" i="12"/>
  <c r="I2419" i="12"/>
  <c r="N2418" i="12"/>
  <c r="K2418" i="12"/>
  <c r="I2418" i="12"/>
  <c r="N2417" i="12"/>
  <c r="K2417" i="12"/>
  <c r="I2417" i="12"/>
  <c r="N2416" i="12"/>
  <c r="K2416" i="12"/>
  <c r="I2416" i="12"/>
  <c r="N2415" i="12"/>
  <c r="K2415" i="12"/>
  <c r="I2415" i="12"/>
  <c r="N2414" i="12"/>
  <c r="K2414" i="12"/>
  <c r="I2414" i="12"/>
  <c r="N2413" i="12"/>
  <c r="K2413" i="12"/>
  <c r="I2413" i="12"/>
  <c r="N2412" i="12"/>
  <c r="K2412" i="12"/>
  <c r="I2412" i="12"/>
  <c r="N2411" i="12"/>
  <c r="K2411" i="12"/>
  <c r="I2411" i="12"/>
  <c r="N2410" i="12"/>
  <c r="K2410" i="12"/>
  <c r="I2410" i="12"/>
  <c r="N2409" i="12"/>
  <c r="K2409" i="12"/>
  <c r="I2409" i="12"/>
  <c r="N2408" i="12"/>
  <c r="K2408" i="12"/>
  <c r="I2408" i="12"/>
  <c r="N2407" i="12"/>
  <c r="K2407" i="12"/>
  <c r="I2407" i="12"/>
  <c r="N2406" i="12"/>
  <c r="K2406" i="12"/>
  <c r="I2406" i="12"/>
  <c r="N2405" i="12"/>
  <c r="K2405" i="12"/>
  <c r="I2405" i="12"/>
  <c r="N2404" i="12"/>
  <c r="K2404" i="12"/>
  <c r="I2404" i="12"/>
  <c r="N2403" i="12"/>
  <c r="K2403" i="12"/>
  <c r="I2403" i="12"/>
  <c r="N2402" i="12"/>
  <c r="K2402" i="12"/>
  <c r="I2402" i="12"/>
  <c r="N2401" i="12"/>
  <c r="K2401" i="12"/>
  <c r="I2401" i="12"/>
  <c r="N2400" i="12"/>
  <c r="K2400" i="12"/>
  <c r="I2400" i="12"/>
  <c r="N2399" i="12"/>
  <c r="K2399" i="12"/>
  <c r="I2399" i="12"/>
  <c r="N2398" i="12"/>
  <c r="K2398" i="12"/>
  <c r="I2398" i="12"/>
  <c r="N2397" i="12"/>
  <c r="K2397" i="12"/>
  <c r="I2397" i="12"/>
  <c r="N2396" i="12"/>
  <c r="K2396" i="12"/>
  <c r="I2396" i="12"/>
  <c r="N2395" i="12"/>
  <c r="K2395" i="12"/>
  <c r="I2395" i="12"/>
  <c r="N2394" i="12"/>
  <c r="K2394" i="12"/>
  <c r="I2394" i="12"/>
  <c r="N2393" i="12"/>
  <c r="K2393" i="12"/>
  <c r="I2393" i="12"/>
  <c r="N2392" i="12"/>
  <c r="K2392" i="12"/>
  <c r="I2392" i="12"/>
  <c r="N2391" i="12"/>
  <c r="K2391" i="12"/>
  <c r="I2391" i="12"/>
  <c r="N2390" i="12"/>
  <c r="K2390" i="12"/>
  <c r="I2390" i="12"/>
  <c r="N2389" i="12"/>
  <c r="K2389" i="12"/>
  <c r="I2389" i="12"/>
  <c r="N2388" i="12"/>
  <c r="K2388" i="12"/>
  <c r="I2388" i="12"/>
  <c r="N2387" i="12"/>
  <c r="K2387" i="12"/>
  <c r="I2387" i="12"/>
  <c r="N2386" i="12"/>
  <c r="K2386" i="12"/>
  <c r="I2386" i="12"/>
  <c r="N2385" i="12"/>
  <c r="K2385" i="12"/>
  <c r="I2385" i="12"/>
  <c r="N2384" i="12"/>
  <c r="K2384" i="12"/>
  <c r="I2384" i="12"/>
  <c r="N2383" i="12"/>
  <c r="K2383" i="12"/>
  <c r="I2383" i="12"/>
  <c r="N2382" i="12"/>
  <c r="K2382" i="12"/>
  <c r="I2382" i="12"/>
  <c r="N2381" i="12"/>
  <c r="K2381" i="12"/>
  <c r="I2381" i="12"/>
  <c r="N2380" i="12"/>
  <c r="K2380" i="12"/>
  <c r="I2380" i="12"/>
  <c r="N2379" i="12"/>
  <c r="K2379" i="12"/>
  <c r="I2379" i="12"/>
  <c r="N2378" i="12"/>
  <c r="K2378" i="12"/>
  <c r="I2378" i="12"/>
  <c r="N2377" i="12"/>
  <c r="K2377" i="12"/>
  <c r="I2377" i="12"/>
  <c r="N2376" i="12"/>
  <c r="K2376" i="12"/>
  <c r="I2376" i="12"/>
  <c r="N2375" i="12"/>
  <c r="K2375" i="12"/>
  <c r="I2375" i="12"/>
  <c r="N2374" i="12"/>
  <c r="K2374" i="12"/>
  <c r="I2374" i="12"/>
  <c r="N2373" i="12"/>
  <c r="K2373" i="12"/>
  <c r="I2373" i="12"/>
  <c r="N2372" i="12"/>
  <c r="K2372" i="12"/>
  <c r="I2372" i="12"/>
  <c r="N2371" i="12"/>
  <c r="K2371" i="12"/>
  <c r="I2371" i="12"/>
  <c r="N2370" i="12"/>
  <c r="K2370" i="12"/>
  <c r="I2370" i="12"/>
  <c r="N2369" i="12"/>
  <c r="K2369" i="12"/>
  <c r="I2369" i="12"/>
  <c r="N2368" i="12"/>
  <c r="K2368" i="12"/>
  <c r="I2368" i="12"/>
  <c r="N2367" i="12"/>
  <c r="K2367" i="12"/>
  <c r="I2367" i="12"/>
  <c r="N2366" i="12"/>
  <c r="K2366" i="12"/>
  <c r="I2366" i="12"/>
  <c r="N2365" i="12"/>
  <c r="K2365" i="12"/>
  <c r="I2365" i="12"/>
  <c r="N2364" i="12"/>
  <c r="K2364" i="12"/>
  <c r="I2364" i="12"/>
  <c r="N2363" i="12"/>
  <c r="K2363" i="12"/>
  <c r="I2363" i="12"/>
  <c r="N2362" i="12"/>
  <c r="K2362" i="12"/>
  <c r="I2362" i="12"/>
  <c r="N2361" i="12"/>
  <c r="K2361" i="12"/>
  <c r="I2361" i="12"/>
  <c r="N2360" i="12"/>
  <c r="K2360" i="12"/>
  <c r="I2360" i="12"/>
  <c r="N2359" i="12"/>
  <c r="K2359" i="12"/>
  <c r="I2359" i="12"/>
  <c r="N2358" i="12"/>
  <c r="K2358" i="12"/>
  <c r="I2358" i="12"/>
  <c r="N2357" i="12"/>
  <c r="K2357" i="12"/>
  <c r="I2357" i="12"/>
  <c r="N2356" i="12"/>
  <c r="K2356" i="12"/>
  <c r="I2356" i="12"/>
  <c r="N2355" i="12"/>
  <c r="K2355" i="12"/>
  <c r="I2355" i="12"/>
  <c r="N2354" i="12"/>
  <c r="K2354" i="12"/>
  <c r="I2354" i="12"/>
  <c r="N2353" i="12"/>
  <c r="K2353" i="12"/>
  <c r="I2353" i="12"/>
  <c r="N2352" i="12"/>
  <c r="K2352" i="12"/>
  <c r="I2352" i="12"/>
  <c r="N2351" i="12"/>
  <c r="K2351" i="12"/>
  <c r="I2351" i="12"/>
  <c r="N2350" i="12"/>
  <c r="K2350" i="12"/>
  <c r="I2350" i="12"/>
  <c r="N2349" i="12"/>
  <c r="K2349" i="12"/>
  <c r="I2349" i="12"/>
  <c r="N2348" i="12"/>
  <c r="K2348" i="12"/>
  <c r="I2348" i="12"/>
  <c r="N2347" i="12"/>
  <c r="K2347" i="12"/>
  <c r="I2347" i="12"/>
  <c r="N2346" i="12"/>
  <c r="K2346" i="12"/>
  <c r="I2346" i="12"/>
  <c r="N2345" i="12"/>
  <c r="K2345" i="12"/>
  <c r="I2345" i="12"/>
  <c r="N2344" i="12"/>
  <c r="K2344" i="12"/>
  <c r="I2344" i="12"/>
  <c r="N2343" i="12"/>
  <c r="K2343" i="12"/>
  <c r="I2343" i="12"/>
  <c r="N2342" i="12"/>
  <c r="K2342" i="12"/>
  <c r="I2342" i="12"/>
  <c r="N2341" i="12"/>
  <c r="K2341" i="12"/>
  <c r="I2341" i="12"/>
  <c r="N2340" i="12"/>
  <c r="K2340" i="12"/>
  <c r="I2340" i="12"/>
  <c r="N2339" i="12"/>
  <c r="K2339" i="12"/>
  <c r="I2339" i="12"/>
  <c r="N2338" i="12"/>
  <c r="K2338" i="12"/>
  <c r="I2338" i="12"/>
  <c r="N2337" i="12"/>
  <c r="K2337" i="12"/>
  <c r="I2337" i="12"/>
  <c r="N2336" i="12"/>
  <c r="K2336" i="12"/>
  <c r="I2336" i="12"/>
  <c r="N2335" i="12"/>
  <c r="K2335" i="12"/>
  <c r="I2335" i="12"/>
  <c r="N2334" i="12"/>
  <c r="K2334" i="12"/>
  <c r="I2334" i="12"/>
  <c r="N2333" i="12"/>
  <c r="K2333" i="12"/>
  <c r="I2333" i="12"/>
  <c r="N2332" i="12"/>
  <c r="K2332" i="12"/>
  <c r="I2332" i="12"/>
  <c r="N2331" i="12"/>
  <c r="K2331" i="12"/>
  <c r="I2331" i="12"/>
  <c r="N2330" i="12"/>
  <c r="K2330" i="12"/>
  <c r="I2330" i="12"/>
  <c r="N2329" i="12"/>
  <c r="K2329" i="12"/>
  <c r="I2329" i="12"/>
  <c r="N2328" i="12"/>
  <c r="K2328" i="12"/>
  <c r="I2328" i="12"/>
  <c r="N2327" i="12"/>
  <c r="K2327" i="12"/>
  <c r="I2327" i="12"/>
  <c r="N2326" i="12"/>
  <c r="K2326" i="12"/>
  <c r="I2326" i="12"/>
  <c r="N2325" i="12"/>
  <c r="K2325" i="12"/>
  <c r="I2325" i="12"/>
  <c r="N2324" i="12"/>
  <c r="K2324" i="12"/>
  <c r="I2324" i="12"/>
  <c r="N2323" i="12"/>
  <c r="K2323" i="12"/>
  <c r="I2323" i="12"/>
  <c r="N2322" i="12"/>
  <c r="K2322" i="12"/>
  <c r="I2322" i="12"/>
  <c r="N2321" i="12"/>
  <c r="K2321" i="12"/>
  <c r="I2321" i="12"/>
  <c r="N2320" i="12"/>
  <c r="K2320" i="12"/>
  <c r="I2320" i="12"/>
  <c r="N2319" i="12"/>
  <c r="K2319" i="12"/>
  <c r="I2319" i="12"/>
  <c r="N2318" i="12"/>
  <c r="K2318" i="12"/>
  <c r="I2318" i="12"/>
  <c r="N2317" i="12"/>
  <c r="K2317" i="12"/>
  <c r="I2317" i="12"/>
  <c r="N2316" i="12"/>
  <c r="K2316" i="12"/>
  <c r="I2316" i="12"/>
  <c r="N2315" i="12"/>
  <c r="K2315" i="12"/>
  <c r="I2315" i="12"/>
  <c r="N2314" i="12"/>
  <c r="K2314" i="12"/>
  <c r="I2314" i="12"/>
  <c r="N2313" i="12"/>
  <c r="K2313" i="12"/>
  <c r="I2313" i="12"/>
  <c r="N2312" i="12"/>
  <c r="K2312" i="12"/>
  <c r="I2312" i="12"/>
  <c r="N2311" i="12"/>
  <c r="K2311" i="12"/>
  <c r="I2311" i="12"/>
  <c r="N2310" i="12"/>
  <c r="K2310" i="12"/>
  <c r="I2310" i="12"/>
  <c r="N2309" i="12"/>
  <c r="K2309" i="12"/>
  <c r="I2309" i="12"/>
  <c r="N2308" i="12"/>
  <c r="K2308" i="12"/>
  <c r="I2308" i="12"/>
  <c r="N2307" i="12"/>
  <c r="K2307" i="12"/>
  <c r="I2307" i="12"/>
  <c r="N2306" i="12"/>
  <c r="K2306" i="12"/>
  <c r="I2306" i="12"/>
  <c r="N2305" i="12"/>
  <c r="K2305" i="12"/>
  <c r="I2305" i="12"/>
  <c r="N2304" i="12"/>
  <c r="K2304" i="12"/>
  <c r="I2304" i="12"/>
  <c r="N2303" i="12"/>
  <c r="K2303" i="12"/>
  <c r="I2303" i="12"/>
  <c r="N2302" i="12"/>
  <c r="K2302" i="12"/>
  <c r="I2302" i="12"/>
  <c r="N2301" i="12"/>
  <c r="K2301" i="12"/>
  <c r="I2301" i="12"/>
  <c r="N2300" i="12"/>
  <c r="K2300" i="12"/>
  <c r="I2300" i="12"/>
  <c r="N2299" i="12"/>
  <c r="K2299" i="12"/>
  <c r="I2299" i="12"/>
  <c r="N2298" i="12"/>
  <c r="K2298" i="12"/>
  <c r="I2298" i="12"/>
  <c r="N2297" i="12"/>
  <c r="K2297" i="12"/>
  <c r="I2297" i="12"/>
  <c r="N2296" i="12"/>
  <c r="K2296" i="12"/>
  <c r="I2296" i="12"/>
  <c r="N2295" i="12"/>
  <c r="K2295" i="12"/>
  <c r="I2295" i="12"/>
  <c r="N2294" i="12"/>
  <c r="K2294" i="12"/>
  <c r="I2294" i="12"/>
  <c r="N2293" i="12"/>
  <c r="K2293" i="12"/>
  <c r="I2293" i="12"/>
  <c r="N2292" i="12"/>
  <c r="K2292" i="12"/>
  <c r="I2292" i="12"/>
  <c r="N2291" i="12"/>
  <c r="K2291" i="12"/>
  <c r="I2291" i="12"/>
  <c r="N2290" i="12"/>
  <c r="K2290" i="12"/>
  <c r="I2290" i="12"/>
  <c r="N2289" i="12"/>
  <c r="K2289" i="12"/>
  <c r="I2289" i="12"/>
  <c r="N2288" i="12"/>
  <c r="K2288" i="12"/>
  <c r="I2288" i="12"/>
  <c r="N2287" i="12"/>
  <c r="K2287" i="12"/>
  <c r="I2287" i="12"/>
  <c r="N2286" i="12"/>
  <c r="K2286" i="12"/>
  <c r="I2286" i="12"/>
  <c r="N2285" i="12"/>
  <c r="K2285" i="12"/>
  <c r="I2285" i="12"/>
  <c r="N2284" i="12"/>
  <c r="K2284" i="12"/>
  <c r="I2284" i="12"/>
  <c r="N2283" i="12"/>
  <c r="K2283" i="12"/>
  <c r="I2283" i="12"/>
  <c r="N2282" i="12"/>
  <c r="K2282" i="12"/>
  <c r="I2282" i="12"/>
  <c r="N2281" i="12"/>
  <c r="K2281" i="12"/>
  <c r="I2281" i="12"/>
  <c r="N2280" i="12"/>
  <c r="K2280" i="12"/>
  <c r="I2280" i="12"/>
  <c r="N2279" i="12"/>
  <c r="K2279" i="12"/>
  <c r="I2279" i="12"/>
  <c r="N2278" i="12"/>
  <c r="K2278" i="12"/>
  <c r="I2278" i="12"/>
  <c r="N2277" i="12"/>
  <c r="K2277" i="12"/>
  <c r="I2277" i="12"/>
  <c r="N2276" i="12"/>
  <c r="K2276" i="12"/>
  <c r="I2276" i="12"/>
  <c r="N2275" i="12"/>
  <c r="K2275" i="12"/>
  <c r="I2275" i="12"/>
  <c r="N2274" i="12"/>
  <c r="K2274" i="12"/>
  <c r="I2274" i="12"/>
  <c r="N2273" i="12"/>
  <c r="K2273" i="12"/>
  <c r="I2273" i="12"/>
  <c r="N2272" i="12"/>
  <c r="K2272" i="12"/>
  <c r="I2272" i="12"/>
  <c r="N2271" i="12"/>
  <c r="K2271" i="12"/>
  <c r="I2271" i="12"/>
  <c r="N2270" i="12"/>
  <c r="K2270" i="12"/>
  <c r="I2270" i="12"/>
  <c r="N2269" i="12"/>
  <c r="K2269" i="12"/>
  <c r="I2269" i="12"/>
  <c r="N2268" i="12"/>
  <c r="K2268" i="12"/>
  <c r="I2268" i="12"/>
  <c r="N2267" i="12"/>
  <c r="K2267" i="12"/>
  <c r="I2267" i="12"/>
  <c r="N2266" i="12"/>
  <c r="K2266" i="12"/>
  <c r="I2266" i="12"/>
  <c r="N2265" i="12"/>
  <c r="K2265" i="12"/>
  <c r="I2265" i="12"/>
  <c r="N2264" i="12"/>
  <c r="K2264" i="12"/>
  <c r="I2264" i="12"/>
  <c r="N2263" i="12"/>
  <c r="K2263" i="12"/>
  <c r="I2263" i="12"/>
  <c r="N2262" i="12"/>
  <c r="K2262" i="12"/>
  <c r="I2262" i="12"/>
  <c r="N2261" i="12"/>
  <c r="K2261" i="12"/>
  <c r="I2261" i="12"/>
  <c r="N2260" i="12"/>
  <c r="K2260" i="12"/>
  <c r="I2260" i="12"/>
  <c r="N2259" i="12"/>
  <c r="K2259" i="12"/>
  <c r="I2259" i="12"/>
  <c r="N2258" i="12"/>
  <c r="K2258" i="12"/>
  <c r="I2258" i="12"/>
  <c r="N2257" i="12"/>
  <c r="K2257" i="12"/>
  <c r="I2257" i="12"/>
  <c r="N2256" i="12"/>
  <c r="K2256" i="12"/>
  <c r="I2256" i="12"/>
  <c r="N2255" i="12"/>
  <c r="K2255" i="12"/>
  <c r="I2255" i="12"/>
  <c r="N2254" i="12"/>
  <c r="K2254" i="12"/>
  <c r="I2254" i="12"/>
  <c r="N2253" i="12"/>
  <c r="K2253" i="12"/>
  <c r="I2253" i="12"/>
  <c r="N2252" i="12"/>
  <c r="K2252" i="12"/>
  <c r="I2252" i="12"/>
  <c r="N2251" i="12"/>
  <c r="K2251" i="12"/>
  <c r="I2251" i="12"/>
  <c r="N2250" i="12"/>
  <c r="K2250" i="12"/>
  <c r="I2250" i="12"/>
  <c r="N2249" i="12"/>
  <c r="K2249" i="12"/>
  <c r="I2249" i="12"/>
  <c r="N2248" i="12"/>
  <c r="K2248" i="12"/>
  <c r="I2248" i="12"/>
  <c r="N2247" i="12"/>
  <c r="K2247" i="12"/>
  <c r="I2247" i="12"/>
  <c r="N2246" i="12"/>
  <c r="K2246" i="12"/>
  <c r="I2246" i="12"/>
  <c r="N2245" i="12"/>
  <c r="K2245" i="12"/>
  <c r="I2245" i="12"/>
  <c r="N2244" i="12"/>
  <c r="K2244" i="12"/>
  <c r="I2244" i="12"/>
  <c r="N2243" i="12"/>
  <c r="K2243" i="12"/>
  <c r="I2243" i="12"/>
  <c r="N2242" i="12"/>
  <c r="K2242" i="12"/>
  <c r="I2242" i="12"/>
  <c r="N2241" i="12"/>
  <c r="K2241" i="12"/>
  <c r="I2241" i="12"/>
  <c r="N2240" i="12"/>
  <c r="K2240" i="12"/>
  <c r="I2240" i="12"/>
  <c r="N2239" i="12"/>
  <c r="K2239" i="12"/>
  <c r="I2239" i="12"/>
  <c r="N2238" i="12"/>
  <c r="K2238" i="12"/>
  <c r="I2238" i="12"/>
  <c r="N2237" i="12"/>
  <c r="K2237" i="12"/>
  <c r="I2237" i="12"/>
  <c r="N2236" i="12"/>
  <c r="K2236" i="12"/>
  <c r="I2236" i="12"/>
  <c r="N2235" i="12"/>
  <c r="K2235" i="12"/>
  <c r="I2235" i="12"/>
  <c r="N2234" i="12"/>
  <c r="K2234" i="12"/>
  <c r="I2234" i="12"/>
  <c r="N2233" i="12"/>
  <c r="K2233" i="12"/>
  <c r="I2233" i="12"/>
  <c r="N2232" i="12"/>
  <c r="K2232" i="12"/>
  <c r="I2232" i="12"/>
  <c r="N2231" i="12"/>
  <c r="K2231" i="12"/>
  <c r="I2231" i="12"/>
  <c r="N2230" i="12"/>
  <c r="K2230" i="12"/>
  <c r="I2230" i="12"/>
  <c r="N2229" i="12"/>
  <c r="K2229" i="12"/>
  <c r="I2229" i="12"/>
  <c r="N2228" i="12"/>
  <c r="K2228" i="12"/>
  <c r="I2228" i="12"/>
  <c r="N2227" i="12"/>
  <c r="K2227" i="12"/>
  <c r="I2227" i="12"/>
  <c r="N2226" i="12"/>
  <c r="K2226" i="12"/>
  <c r="I2226" i="12"/>
  <c r="N2225" i="12"/>
  <c r="K2225" i="12"/>
  <c r="I2225" i="12"/>
  <c r="N2224" i="12"/>
  <c r="K2224" i="12"/>
  <c r="I2224" i="12"/>
  <c r="N2223" i="12"/>
  <c r="K2223" i="12"/>
  <c r="I2223" i="12"/>
  <c r="N2222" i="12"/>
  <c r="K2222" i="12"/>
  <c r="I2222" i="12"/>
  <c r="N2221" i="12"/>
  <c r="K2221" i="12"/>
  <c r="I2221" i="12"/>
  <c r="N2220" i="12"/>
  <c r="K2220" i="12"/>
  <c r="I2220" i="12"/>
  <c r="N2219" i="12"/>
  <c r="K2219" i="12"/>
  <c r="I2219" i="12"/>
  <c r="N2218" i="12"/>
  <c r="K2218" i="12"/>
  <c r="I2218" i="12"/>
  <c r="N2217" i="12"/>
  <c r="K2217" i="12"/>
  <c r="I2217" i="12"/>
  <c r="N2216" i="12"/>
  <c r="K2216" i="12"/>
  <c r="I2216" i="12"/>
  <c r="N2215" i="12"/>
  <c r="K2215" i="12"/>
  <c r="I2215" i="12"/>
  <c r="N2214" i="12"/>
  <c r="K2214" i="12"/>
  <c r="I2214" i="12"/>
  <c r="N2213" i="12"/>
  <c r="K2213" i="12"/>
  <c r="I2213" i="12"/>
  <c r="N2212" i="12"/>
  <c r="K2212" i="12"/>
  <c r="I2212" i="12"/>
  <c r="N2211" i="12"/>
  <c r="K2211" i="12"/>
  <c r="I2211" i="12"/>
  <c r="N2210" i="12"/>
  <c r="K2210" i="12"/>
  <c r="I2210" i="12"/>
  <c r="N2209" i="12"/>
  <c r="K2209" i="12"/>
  <c r="I2209" i="12"/>
  <c r="N2208" i="12"/>
  <c r="K2208" i="12"/>
  <c r="I2208" i="12"/>
  <c r="N2207" i="12"/>
  <c r="K2207" i="12"/>
  <c r="I2207" i="12"/>
  <c r="N2206" i="12"/>
  <c r="K2206" i="12"/>
  <c r="I2206" i="12"/>
  <c r="N2205" i="12"/>
  <c r="K2205" i="12"/>
  <c r="I2205" i="12"/>
  <c r="N2204" i="12"/>
  <c r="K2204" i="12"/>
  <c r="I2204" i="12"/>
  <c r="N2203" i="12"/>
  <c r="K2203" i="12"/>
  <c r="I2203" i="12"/>
  <c r="N2202" i="12"/>
  <c r="K2202" i="12"/>
  <c r="I2202" i="12"/>
  <c r="N2201" i="12"/>
  <c r="K2201" i="12"/>
  <c r="I2201" i="12"/>
  <c r="N2200" i="12"/>
  <c r="K2200" i="12"/>
  <c r="I2200" i="12"/>
  <c r="N2199" i="12"/>
  <c r="K2199" i="12"/>
  <c r="I2199" i="12"/>
  <c r="N2198" i="12"/>
  <c r="K2198" i="12"/>
  <c r="I2198" i="12"/>
  <c r="N2197" i="12"/>
  <c r="K2197" i="12"/>
  <c r="I2197" i="12"/>
  <c r="N2196" i="12"/>
  <c r="K2196" i="12"/>
  <c r="I2196" i="12"/>
  <c r="N2195" i="12"/>
  <c r="K2195" i="12"/>
  <c r="I2195" i="12"/>
  <c r="N2194" i="12"/>
  <c r="K2194" i="12"/>
  <c r="I2194" i="12"/>
  <c r="N2193" i="12"/>
  <c r="K2193" i="12"/>
  <c r="I2193" i="12"/>
  <c r="N2192" i="12"/>
  <c r="K2192" i="12"/>
  <c r="I2192" i="12"/>
  <c r="N2191" i="12"/>
  <c r="K2191" i="12"/>
  <c r="I2191" i="12"/>
  <c r="N2190" i="12"/>
  <c r="K2190" i="12"/>
  <c r="I2190" i="12"/>
  <c r="N2189" i="12"/>
  <c r="K2189" i="12"/>
  <c r="I2189" i="12"/>
  <c r="N2188" i="12"/>
  <c r="K2188" i="12"/>
  <c r="I2188" i="12"/>
  <c r="N2187" i="12"/>
  <c r="K2187" i="12"/>
  <c r="I2187" i="12"/>
  <c r="N2186" i="12"/>
  <c r="K2186" i="12"/>
  <c r="I2186" i="12"/>
  <c r="N2185" i="12"/>
  <c r="K2185" i="12"/>
  <c r="I2185" i="12"/>
  <c r="N2184" i="12"/>
  <c r="K2184" i="12"/>
  <c r="I2184" i="12"/>
  <c r="N2183" i="12"/>
  <c r="K2183" i="12"/>
  <c r="I2183" i="12"/>
  <c r="N2182" i="12"/>
  <c r="K2182" i="12"/>
  <c r="I2182" i="12"/>
  <c r="N2181" i="12"/>
  <c r="K2181" i="12"/>
  <c r="I2181" i="12"/>
  <c r="N2180" i="12"/>
  <c r="K2180" i="12"/>
  <c r="I2180" i="12"/>
  <c r="N2179" i="12"/>
  <c r="K2179" i="12"/>
  <c r="I2179" i="12"/>
  <c r="N2178" i="12"/>
  <c r="K2178" i="12"/>
  <c r="I2178" i="12"/>
  <c r="N2177" i="12"/>
  <c r="K2177" i="12"/>
  <c r="I2177" i="12"/>
  <c r="N2176" i="12"/>
  <c r="K2176" i="12"/>
  <c r="I2176" i="12"/>
  <c r="N2175" i="12"/>
  <c r="K2175" i="12"/>
  <c r="I2175" i="12"/>
  <c r="N2174" i="12"/>
  <c r="K2174" i="12"/>
  <c r="I2174" i="12"/>
  <c r="N2173" i="12"/>
  <c r="K2173" i="12"/>
  <c r="I2173" i="12"/>
  <c r="N2172" i="12"/>
  <c r="K2172" i="12"/>
  <c r="I2172" i="12"/>
  <c r="N2171" i="12"/>
  <c r="K2171" i="12"/>
  <c r="I2171" i="12"/>
  <c r="N2170" i="12"/>
  <c r="K2170" i="12"/>
  <c r="I2170" i="12"/>
  <c r="N2169" i="12"/>
  <c r="K2169" i="12"/>
  <c r="I2169" i="12"/>
  <c r="N2168" i="12"/>
  <c r="K2168" i="12"/>
  <c r="I2168" i="12"/>
  <c r="N2167" i="12"/>
  <c r="K2167" i="12"/>
  <c r="I2167" i="12"/>
  <c r="N2166" i="12"/>
  <c r="K2166" i="12"/>
  <c r="I2166" i="12"/>
  <c r="N2165" i="12"/>
  <c r="K2165" i="12"/>
  <c r="I2165" i="12"/>
  <c r="N2164" i="12"/>
  <c r="K2164" i="12"/>
  <c r="I2164" i="12"/>
  <c r="N2163" i="12"/>
  <c r="K2163" i="12"/>
  <c r="I2163" i="12"/>
  <c r="N2162" i="12"/>
  <c r="K2162" i="12"/>
  <c r="I2162" i="12"/>
  <c r="N2161" i="12"/>
  <c r="K2161" i="12"/>
  <c r="I2161" i="12"/>
  <c r="N2160" i="12"/>
  <c r="K2160" i="12"/>
  <c r="I2160" i="12"/>
  <c r="N2159" i="12"/>
  <c r="K2159" i="12"/>
  <c r="I2159" i="12"/>
  <c r="N2158" i="12"/>
  <c r="K2158" i="12"/>
  <c r="I2158" i="12"/>
  <c r="N2157" i="12"/>
  <c r="K2157" i="12"/>
  <c r="I2157" i="12"/>
  <c r="N2156" i="12"/>
  <c r="K2156" i="12"/>
  <c r="I2156" i="12"/>
  <c r="N2155" i="12"/>
  <c r="K2155" i="12"/>
  <c r="I2155" i="12"/>
  <c r="N2154" i="12"/>
  <c r="K2154" i="12"/>
  <c r="I2154" i="12"/>
  <c r="N2153" i="12"/>
  <c r="K2153" i="12"/>
  <c r="I2153" i="12"/>
  <c r="N2152" i="12"/>
  <c r="K2152" i="12"/>
  <c r="I2152" i="12"/>
  <c r="N2151" i="12"/>
  <c r="K2151" i="12"/>
  <c r="I2151" i="12"/>
  <c r="N2150" i="12"/>
  <c r="K2150" i="12"/>
  <c r="I2150" i="12"/>
  <c r="N2149" i="12"/>
  <c r="K2149" i="12"/>
  <c r="I2149" i="12"/>
  <c r="N2148" i="12"/>
  <c r="K2148" i="12"/>
  <c r="I2148" i="12"/>
  <c r="N2147" i="12"/>
  <c r="K2147" i="12"/>
  <c r="I2147" i="12"/>
  <c r="N2146" i="12"/>
  <c r="K2146" i="12"/>
  <c r="I2146" i="12"/>
  <c r="N2145" i="12"/>
  <c r="K2145" i="12"/>
  <c r="I2145" i="12"/>
  <c r="N2144" i="12"/>
  <c r="K2144" i="12"/>
  <c r="I2144" i="12"/>
  <c r="N2143" i="12"/>
  <c r="K2143" i="12"/>
  <c r="I2143" i="12"/>
  <c r="N2142" i="12"/>
  <c r="K2142" i="12"/>
  <c r="I2142" i="12"/>
  <c r="N2141" i="12"/>
  <c r="K2141" i="12"/>
  <c r="I2141" i="12"/>
  <c r="N2140" i="12"/>
  <c r="K2140" i="12"/>
  <c r="I2140" i="12"/>
  <c r="N2139" i="12"/>
  <c r="K2139" i="12"/>
  <c r="I2139" i="12"/>
  <c r="N2138" i="12"/>
  <c r="K2138" i="12"/>
  <c r="I2138" i="12"/>
  <c r="N2137" i="12"/>
  <c r="K2137" i="12"/>
  <c r="I2137" i="12"/>
  <c r="N2136" i="12"/>
  <c r="K2136" i="12"/>
  <c r="I2136" i="12"/>
  <c r="N2135" i="12"/>
  <c r="K2135" i="12"/>
  <c r="I2135" i="12"/>
  <c r="N2134" i="12"/>
  <c r="K2134" i="12"/>
  <c r="I2134" i="12"/>
  <c r="N2133" i="12"/>
  <c r="K2133" i="12"/>
  <c r="I2133" i="12"/>
  <c r="N2132" i="12"/>
  <c r="K2132" i="12"/>
  <c r="I2132" i="12"/>
  <c r="N2131" i="12"/>
  <c r="K2131" i="12"/>
  <c r="I2131" i="12"/>
  <c r="N2130" i="12"/>
  <c r="K2130" i="12"/>
  <c r="I2130" i="12"/>
  <c r="N2129" i="12"/>
  <c r="K2129" i="12"/>
  <c r="I2129" i="12"/>
  <c r="N2128" i="12"/>
  <c r="K2128" i="12"/>
  <c r="I2128" i="12"/>
  <c r="N2127" i="12"/>
  <c r="K2127" i="12"/>
  <c r="I2127" i="12"/>
  <c r="N2126" i="12"/>
  <c r="K2126" i="12"/>
  <c r="I2126" i="12"/>
  <c r="N2125" i="12"/>
  <c r="K2125" i="12"/>
  <c r="I2125" i="12"/>
  <c r="N2124" i="12"/>
  <c r="K2124" i="12"/>
  <c r="I2124" i="12"/>
  <c r="N2123" i="12"/>
  <c r="K2123" i="12"/>
  <c r="I2123" i="12"/>
  <c r="N2122" i="12"/>
  <c r="K2122" i="12"/>
  <c r="I2122" i="12"/>
  <c r="N2121" i="12"/>
  <c r="K2121" i="12"/>
  <c r="I2121" i="12"/>
  <c r="N2120" i="12"/>
  <c r="K2120" i="12"/>
  <c r="I2120" i="12"/>
  <c r="N2119" i="12"/>
  <c r="K2119" i="12"/>
  <c r="I2119" i="12"/>
  <c r="N2118" i="12"/>
  <c r="K2118" i="12"/>
  <c r="I2118" i="12"/>
  <c r="N2117" i="12"/>
  <c r="K2117" i="12"/>
  <c r="I2117" i="12"/>
  <c r="N2116" i="12"/>
  <c r="K2116" i="12"/>
  <c r="I2116" i="12"/>
  <c r="N2115" i="12"/>
  <c r="K2115" i="12"/>
  <c r="I2115" i="12"/>
  <c r="N2114" i="12"/>
  <c r="K2114" i="12"/>
  <c r="I2114" i="12"/>
  <c r="N2113" i="12"/>
  <c r="K2113" i="12"/>
  <c r="I2113" i="12"/>
  <c r="N2112" i="12"/>
  <c r="K2112" i="12"/>
  <c r="I2112" i="12"/>
  <c r="N2111" i="12"/>
  <c r="K2111" i="12"/>
  <c r="I2111" i="12"/>
  <c r="N2110" i="12"/>
  <c r="K2110" i="12"/>
  <c r="I2110" i="12"/>
  <c r="N2109" i="12"/>
  <c r="K2109" i="12"/>
  <c r="I2109" i="12"/>
  <c r="N2108" i="12"/>
  <c r="K2108" i="12"/>
  <c r="I2108" i="12"/>
  <c r="N2107" i="12"/>
  <c r="K2107" i="12"/>
  <c r="I2107" i="12"/>
  <c r="N2106" i="12"/>
  <c r="K2106" i="12"/>
  <c r="I2106" i="12"/>
  <c r="N2105" i="12"/>
  <c r="K2105" i="12"/>
  <c r="I2105" i="12"/>
  <c r="N2104" i="12"/>
  <c r="K2104" i="12"/>
  <c r="I2104" i="12"/>
  <c r="N2103" i="12"/>
  <c r="K2103" i="12"/>
  <c r="I2103" i="12"/>
  <c r="N2102" i="12"/>
  <c r="K2102" i="12"/>
  <c r="I2102" i="12"/>
  <c r="N2101" i="12"/>
  <c r="K2101" i="12"/>
  <c r="I2101" i="12"/>
  <c r="N2100" i="12"/>
  <c r="K2100" i="12"/>
  <c r="I2100" i="12"/>
  <c r="N2099" i="12"/>
  <c r="K2099" i="12"/>
  <c r="I2099" i="12"/>
  <c r="N2098" i="12"/>
  <c r="K2098" i="12"/>
  <c r="I2098" i="12"/>
  <c r="N2097" i="12"/>
  <c r="K2097" i="12"/>
  <c r="I2097" i="12"/>
  <c r="N2096" i="12"/>
  <c r="K2096" i="12"/>
  <c r="I2096" i="12"/>
  <c r="N2095" i="12"/>
  <c r="K2095" i="12"/>
  <c r="I2095" i="12"/>
  <c r="N2094" i="12"/>
  <c r="K2094" i="12"/>
  <c r="I2094" i="12"/>
  <c r="N2093" i="12"/>
  <c r="K2093" i="12"/>
  <c r="I2093" i="12"/>
  <c r="N2092" i="12"/>
  <c r="K2092" i="12"/>
  <c r="I2092" i="12"/>
  <c r="N2091" i="12"/>
  <c r="K2091" i="12"/>
  <c r="I2091" i="12"/>
  <c r="N2090" i="12"/>
  <c r="K2090" i="12"/>
  <c r="I2090" i="12"/>
  <c r="N2089" i="12"/>
  <c r="K2089" i="12"/>
  <c r="I2089" i="12"/>
  <c r="N2088" i="12"/>
  <c r="K2088" i="12"/>
  <c r="I2088" i="12"/>
  <c r="N2087" i="12"/>
  <c r="K2087" i="12"/>
  <c r="I2087" i="12"/>
  <c r="N2086" i="12"/>
  <c r="K2086" i="12"/>
  <c r="I2086" i="12"/>
  <c r="N2085" i="12"/>
  <c r="K2085" i="12"/>
  <c r="I2085" i="12"/>
  <c r="N2084" i="12"/>
  <c r="K2084" i="12"/>
  <c r="I2084" i="12"/>
  <c r="N2083" i="12"/>
  <c r="K2083" i="12"/>
  <c r="I2083" i="12"/>
  <c r="N2082" i="12"/>
  <c r="K2082" i="12"/>
  <c r="I2082" i="12"/>
  <c r="N2081" i="12"/>
  <c r="K2081" i="12"/>
  <c r="I2081" i="12"/>
  <c r="N2080" i="12"/>
  <c r="K2080" i="12"/>
  <c r="I2080" i="12"/>
  <c r="N2079" i="12"/>
  <c r="K2079" i="12"/>
  <c r="I2079" i="12"/>
  <c r="N2078" i="12"/>
  <c r="K2078" i="12"/>
  <c r="I2078" i="12"/>
  <c r="N2077" i="12"/>
  <c r="K2077" i="12"/>
  <c r="I2077" i="12"/>
  <c r="N2076" i="12"/>
  <c r="K2076" i="12"/>
  <c r="I2076" i="12"/>
  <c r="N2075" i="12"/>
  <c r="K2075" i="12"/>
  <c r="I2075" i="12"/>
  <c r="N2074" i="12"/>
  <c r="K2074" i="12"/>
  <c r="I2074" i="12"/>
  <c r="N2073" i="12"/>
  <c r="K2073" i="12"/>
  <c r="I2073" i="12"/>
  <c r="N2072" i="12"/>
  <c r="K2072" i="12"/>
  <c r="I2072" i="12"/>
  <c r="N2071" i="12"/>
  <c r="K2071" i="12"/>
  <c r="I2071" i="12"/>
  <c r="N2070" i="12"/>
  <c r="K2070" i="12"/>
  <c r="I2070" i="12"/>
  <c r="N2069" i="12"/>
  <c r="K2069" i="12"/>
  <c r="I2069" i="12"/>
  <c r="N2068" i="12"/>
  <c r="K2068" i="12"/>
  <c r="I2068" i="12"/>
  <c r="N2067" i="12"/>
  <c r="K2067" i="12"/>
  <c r="I2067" i="12"/>
  <c r="N2066" i="12"/>
  <c r="M2066" i="12"/>
  <c r="L2066" i="12"/>
  <c r="K2066" i="12"/>
  <c r="I2066" i="12"/>
  <c r="N2065" i="12"/>
  <c r="K2065" i="12"/>
  <c r="I2065" i="12"/>
  <c r="N2064" i="12"/>
  <c r="K2064" i="12"/>
  <c r="I2064" i="12"/>
  <c r="N2063" i="12"/>
  <c r="K2063" i="12"/>
  <c r="I2063" i="12"/>
  <c r="N2062" i="12"/>
  <c r="K2062" i="12"/>
  <c r="I2062" i="12"/>
  <c r="N2061" i="12"/>
  <c r="K2061" i="12"/>
  <c r="I2061" i="12"/>
  <c r="N2060" i="12"/>
  <c r="K2060" i="12"/>
  <c r="I2060" i="12"/>
  <c r="N2059" i="12"/>
  <c r="K2059" i="12"/>
  <c r="I2059" i="12"/>
  <c r="N2058" i="12"/>
  <c r="K2058" i="12"/>
  <c r="I2058" i="12"/>
  <c r="N2057" i="12"/>
  <c r="K2057" i="12"/>
  <c r="I2057" i="12"/>
  <c r="N2056" i="12"/>
  <c r="K2056" i="12"/>
  <c r="I2056" i="12"/>
  <c r="N2055" i="12"/>
  <c r="K2055" i="12"/>
  <c r="I2055" i="12"/>
  <c r="N2054" i="12"/>
  <c r="K2054" i="12"/>
  <c r="I2054" i="12"/>
  <c r="N2053" i="12"/>
  <c r="K2053" i="12"/>
  <c r="I2053" i="12"/>
  <c r="N2052" i="12"/>
  <c r="K2052" i="12"/>
  <c r="I2052" i="12"/>
  <c r="N2051" i="12"/>
  <c r="K2051" i="12"/>
  <c r="I2051" i="12"/>
  <c r="N2050" i="12"/>
  <c r="K2050" i="12"/>
  <c r="I2050" i="12"/>
  <c r="N2049" i="12"/>
  <c r="K2049" i="12"/>
  <c r="I2049" i="12"/>
  <c r="N2048" i="12"/>
  <c r="K2048" i="12"/>
  <c r="I2048" i="12"/>
  <c r="N2047" i="12"/>
  <c r="K2047" i="12"/>
  <c r="I2047" i="12"/>
  <c r="N2046" i="12"/>
  <c r="K2046" i="12"/>
  <c r="I2046" i="12"/>
  <c r="N2045" i="12"/>
  <c r="K2045" i="12"/>
  <c r="I2045" i="12"/>
  <c r="N2044" i="12"/>
  <c r="K2044" i="12"/>
  <c r="I2044" i="12"/>
  <c r="N2043" i="12"/>
  <c r="K2043" i="12"/>
  <c r="I2043" i="12"/>
  <c r="N2042" i="12"/>
  <c r="K2042" i="12"/>
  <c r="I2042" i="12"/>
  <c r="N2041" i="12"/>
  <c r="K2041" i="12"/>
  <c r="I2041" i="12"/>
  <c r="N2040" i="12"/>
  <c r="K2040" i="12"/>
  <c r="I2040" i="12"/>
  <c r="N2039" i="12"/>
  <c r="K2039" i="12"/>
  <c r="I2039" i="12"/>
  <c r="N2038" i="12"/>
  <c r="K2038" i="12"/>
  <c r="I2038" i="12"/>
  <c r="N2037" i="12"/>
  <c r="K2037" i="12"/>
  <c r="I2037" i="12"/>
  <c r="N2036" i="12"/>
  <c r="K2036" i="12"/>
  <c r="I2036" i="12"/>
  <c r="N2035" i="12"/>
  <c r="K2035" i="12"/>
  <c r="I2035" i="12"/>
  <c r="N2034" i="12"/>
  <c r="K2034" i="12"/>
  <c r="I2034" i="12"/>
  <c r="N2033" i="12"/>
  <c r="K2033" i="12"/>
  <c r="I2033" i="12"/>
  <c r="N2032" i="12"/>
  <c r="K2032" i="12"/>
  <c r="I2032" i="12"/>
  <c r="N2031" i="12"/>
  <c r="K2031" i="12"/>
  <c r="I2031" i="12"/>
  <c r="N2030" i="12"/>
  <c r="K2030" i="12"/>
  <c r="I2030" i="12"/>
  <c r="N2029" i="12"/>
  <c r="K2029" i="12"/>
  <c r="I2029" i="12"/>
  <c r="N2028" i="12"/>
  <c r="K2028" i="12"/>
  <c r="I2028" i="12"/>
  <c r="N2027" i="12"/>
  <c r="K2027" i="12"/>
  <c r="I2027" i="12"/>
  <c r="N2026" i="12"/>
  <c r="K2026" i="12"/>
  <c r="I2026" i="12"/>
  <c r="N2025" i="12"/>
  <c r="K2025" i="12"/>
  <c r="I2025" i="12"/>
  <c r="N2024" i="12"/>
  <c r="K2024" i="12"/>
  <c r="I2024" i="12"/>
  <c r="N2023" i="12"/>
  <c r="K2023" i="12"/>
  <c r="I2023" i="12"/>
  <c r="N2022" i="12"/>
  <c r="K2022" i="12"/>
  <c r="I2022" i="12"/>
  <c r="N2021" i="12"/>
  <c r="K2021" i="12"/>
  <c r="I2021" i="12"/>
  <c r="N2020" i="12"/>
  <c r="K2020" i="12"/>
  <c r="I2020" i="12"/>
  <c r="N2019" i="12"/>
  <c r="K2019" i="12"/>
  <c r="I2019" i="12"/>
  <c r="N2018" i="12"/>
  <c r="K2018" i="12"/>
  <c r="I2018" i="12"/>
  <c r="N2017" i="12"/>
  <c r="K2017" i="12"/>
  <c r="I2017" i="12"/>
  <c r="N2016" i="12"/>
  <c r="K2016" i="12"/>
  <c r="I2016" i="12"/>
  <c r="N2015" i="12"/>
  <c r="K2015" i="12"/>
  <c r="I2015" i="12"/>
  <c r="N2014" i="12"/>
  <c r="K2014" i="12"/>
  <c r="I2014" i="12"/>
  <c r="N2013" i="12"/>
  <c r="K2013" i="12"/>
  <c r="I2013" i="12"/>
  <c r="N2012" i="12"/>
  <c r="K2012" i="12"/>
  <c r="I2012" i="12"/>
  <c r="N2011" i="12"/>
  <c r="K2011" i="12"/>
  <c r="I2011" i="12"/>
  <c r="N2010" i="12"/>
  <c r="K2010" i="12"/>
  <c r="I2010" i="12"/>
  <c r="N2009" i="12"/>
  <c r="K2009" i="12"/>
  <c r="I2009" i="12"/>
  <c r="N2008" i="12"/>
  <c r="K2008" i="12"/>
  <c r="I2008" i="12"/>
  <c r="N2007" i="12"/>
  <c r="K2007" i="12"/>
  <c r="I2007" i="12"/>
  <c r="N2006" i="12"/>
  <c r="K2006" i="12"/>
  <c r="I2006" i="12"/>
  <c r="N2005" i="12"/>
  <c r="K2005" i="12"/>
  <c r="I2005" i="12"/>
  <c r="N2004" i="12"/>
  <c r="K2004" i="12"/>
  <c r="I2004" i="12"/>
  <c r="N2003" i="12"/>
  <c r="K2003" i="12"/>
  <c r="I2003" i="12"/>
  <c r="N2002" i="12"/>
  <c r="K2002" i="12"/>
  <c r="I2002" i="12"/>
  <c r="N2001" i="12"/>
  <c r="K2001" i="12"/>
  <c r="I2001" i="12"/>
  <c r="N2000" i="12"/>
  <c r="K2000" i="12"/>
  <c r="I2000" i="12"/>
  <c r="N1999" i="12"/>
  <c r="K1999" i="12"/>
  <c r="I1999" i="12"/>
  <c r="N1998" i="12"/>
  <c r="K1998" i="12"/>
  <c r="I1998" i="12"/>
  <c r="N1997" i="12"/>
  <c r="K1997" i="12"/>
  <c r="I1997" i="12"/>
  <c r="N1996" i="12"/>
  <c r="K1996" i="12"/>
  <c r="I1996" i="12"/>
  <c r="N1995" i="12"/>
  <c r="K1995" i="12"/>
  <c r="I1995" i="12"/>
  <c r="N1994" i="12"/>
  <c r="K1994" i="12"/>
  <c r="I1994" i="12"/>
  <c r="N1993" i="12"/>
  <c r="K1993" i="12"/>
  <c r="I1993" i="12"/>
  <c r="N1992" i="12"/>
  <c r="K1992" i="12"/>
  <c r="I1992" i="12"/>
  <c r="N1991" i="12"/>
  <c r="K1991" i="12"/>
  <c r="I1991" i="12"/>
  <c r="N1990" i="12"/>
  <c r="K1990" i="12"/>
  <c r="I1990" i="12"/>
  <c r="N1989" i="12"/>
  <c r="K1989" i="12"/>
  <c r="I1989" i="12"/>
  <c r="N1988" i="12"/>
  <c r="K1988" i="12"/>
  <c r="I1988" i="12"/>
  <c r="N1987" i="12"/>
  <c r="K1987" i="12"/>
  <c r="I1987" i="12"/>
  <c r="N1986" i="12"/>
  <c r="K1986" i="12"/>
  <c r="I1986" i="12"/>
  <c r="N1985" i="12"/>
  <c r="K1985" i="12"/>
  <c r="I1985" i="12"/>
  <c r="N1984" i="12"/>
  <c r="K1984" i="12"/>
  <c r="I1984" i="12"/>
  <c r="N1983" i="12"/>
  <c r="K1983" i="12"/>
  <c r="I1983" i="12"/>
  <c r="N1982" i="12"/>
  <c r="K1982" i="12"/>
  <c r="I1982" i="12"/>
  <c r="N1981" i="12"/>
  <c r="K1981" i="12"/>
  <c r="I1981" i="12"/>
  <c r="N1980" i="12"/>
  <c r="K1980" i="12"/>
  <c r="I1980" i="12"/>
  <c r="N1979" i="12"/>
  <c r="K1979" i="12"/>
  <c r="I1979" i="12"/>
  <c r="N1978" i="12"/>
  <c r="K1978" i="12"/>
  <c r="I1978" i="12"/>
  <c r="N1977" i="12"/>
  <c r="K1977" i="12"/>
  <c r="I1977" i="12"/>
  <c r="N1976" i="12"/>
  <c r="K1976" i="12"/>
  <c r="I1976" i="12"/>
  <c r="N1975" i="12"/>
  <c r="K1975" i="12"/>
  <c r="I1975" i="12"/>
  <c r="N1974" i="12"/>
  <c r="K1974" i="12"/>
  <c r="I1974" i="12"/>
  <c r="N1973" i="12"/>
  <c r="K1973" i="12"/>
  <c r="I1973" i="12"/>
  <c r="N1972" i="12"/>
  <c r="K1972" i="12"/>
  <c r="I1972" i="12"/>
  <c r="N1971" i="12"/>
  <c r="K1971" i="12"/>
  <c r="I1971" i="12"/>
  <c r="N1970" i="12"/>
  <c r="K1970" i="12"/>
  <c r="I1970" i="12"/>
  <c r="N1969" i="12"/>
  <c r="K1969" i="12"/>
  <c r="I1969" i="12"/>
  <c r="N1968" i="12"/>
  <c r="K1968" i="12"/>
  <c r="I1968" i="12"/>
  <c r="N1967" i="12"/>
  <c r="K1967" i="12"/>
  <c r="I1967" i="12"/>
  <c r="N1966" i="12"/>
  <c r="K1966" i="12"/>
  <c r="I1966" i="12"/>
  <c r="N1965" i="12"/>
  <c r="K1965" i="12"/>
  <c r="I1965" i="12"/>
  <c r="N1964" i="12"/>
  <c r="K1964" i="12"/>
  <c r="I1964" i="12"/>
  <c r="N1963" i="12"/>
  <c r="K1963" i="12"/>
  <c r="I1963" i="12"/>
  <c r="N1962" i="12"/>
  <c r="K1962" i="12"/>
  <c r="I1962" i="12"/>
  <c r="N1961" i="12"/>
  <c r="K1961" i="12"/>
  <c r="I1961" i="12"/>
  <c r="N1960" i="12"/>
  <c r="K1960" i="12"/>
  <c r="I1960" i="12"/>
  <c r="N1959" i="12"/>
  <c r="K1959" i="12"/>
  <c r="I1959" i="12"/>
  <c r="N1958" i="12"/>
  <c r="K1958" i="12"/>
  <c r="I1958" i="12"/>
  <c r="N1957" i="12"/>
  <c r="K1957" i="12"/>
  <c r="I1957" i="12"/>
  <c r="N1956" i="12"/>
  <c r="K1956" i="12"/>
  <c r="I1956" i="12"/>
  <c r="N1955" i="12"/>
  <c r="K1955" i="12"/>
  <c r="I1955" i="12"/>
  <c r="N1954" i="12"/>
  <c r="K1954" i="12"/>
  <c r="I1954" i="12"/>
  <c r="N1953" i="12"/>
  <c r="K1953" i="12"/>
  <c r="I1953" i="12"/>
  <c r="N1952" i="12"/>
  <c r="K1952" i="12"/>
  <c r="I1952" i="12"/>
  <c r="N1951" i="12"/>
  <c r="K1951" i="12"/>
  <c r="I1951" i="12"/>
  <c r="N1950" i="12"/>
  <c r="K1950" i="12"/>
  <c r="I1950" i="12"/>
  <c r="N1949" i="12"/>
  <c r="K1949" i="12"/>
  <c r="I1949" i="12"/>
  <c r="N1948" i="12"/>
  <c r="K1948" i="12"/>
  <c r="I1948" i="12"/>
  <c r="N1947" i="12"/>
  <c r="K1947" i="12"/>
  <c r="I1947" i="12"/>
  <c r="N1946" i="12"/>
  <c r="K1946" i="12"/>
  <c r="I1946" i="12"/>
  <c r="N1945" i="12"/>
  <c r="K1945" i="12"/>
  <c r="I1945" i="12"/>
  <c r="N1944" i="12"/>
  <c r="K1944" i="12"/>
  <c r="I1944" i="12"/>
  <c r="N1943" i="12"/>
  <c r="K1943" i="12"/>
  <c r="I1943" i="12"/>
  <c r="N1942" i="12"/>
  <c r="K1942" i="12"/>
  <c r="I1942" i="12"/>
  <c r="N1941" i="12"/>
  <c r="K1941" i="12"/>
  <c r="I1941" i="12"/>
  <c r="N1940" i="12"/>
  <c r="K1940" i="12"/>
  <c r="I1940" i="12"/>
  <c r="N1939" i="12"/>
  <c r="K1939" i="12"/>
  <c r="I1939" i="12"/>
  <c r="N1938" i="12"/>
  <c r="K1938" i="12"/>
  <c r="I1938" i="12"/>
  <c r="N1937" i="12"/>
  <c r="K1937" i="12"/>
  <c r="I1937" i="12"/>
  <c r="N1936" i="12"/>
  <c r="K1936" i="12"/>
  <c r="I1936" i="12"/>
  <c r="N1935" i="12"/>
  <c r="K1935" i="12"/>
  <c r="I1935" i="12"/>
  <c r="N1934" i="12"/>
  <c r="K1934" i="12"/>
  <c r="I1934" i="12"/>
  <c r="N1933" i="12"/>
  <c r="K1933" i="12"/>
  <c r="I1933" i="12"/>
  <c r="N1932" i="12"/>
  <c r="K1932" i="12"/>
  <c r="I1932" i="12"/>
  <c r="N1931" i="12"/>
  <c r="K1931" i="12"/>
  <c r="I1931" i="12"/>
  <c r="N1930" i="12"/>
  <c r="K1930" i="12"/>
  <c r="I1930" i="12"/>
  <c r="N1929" i="12"/>
  <c r="K1929" i="12"/>
  <c r="I1929" i="12"/>
  <c r="N1928" i="12"/>
  <c r="K1928" i="12"/>
  <c r="I1928" i="12"/>
  <c r="N1927" i="12"/>
  <c r="K1927" i="12"/>
  <c r="I1927" i="12"/>
  <c r="N1926" i="12"/>
  <c r="K1926" i="12"/>
  <c r="I1926" i="12"/>
  <c r="N1925" i="12"/>
  <c r="K1925" i="12"/>
  <c r="I1925" i="12"/>
  <c r="N1924" i="12"/>
  <c r="K1924" i="12"/>
  <c r="I1924" i="12"/>
  <c r="N1923" i="12"/>
  <c r="K1923" i="12"/>
  <c r="I1923" i="12"/>
  <c r="N1922" i="12"/>
  <c r="K1922" i="12"/>
  <c r="I1922" i="12"/>
  <c r="N1921" i="12"/>
  <c r="K1921" i="12"/>
  <c r="I1921" i="12"/>
  <c r="N1920" i="12"/>
  <c r="K1920" i="12"/>
  <c r="I1920" i="12"/>
  <c r="N1919" i="12"/>
  <c r="K1919" i="12"/>
  <c r="I1919" i="12"/>
  <c r="N1918" i="12"/>
  <c r="K1918" i="12"/>
  <c r="I1918" i="12"/>
  <c r="N1917" i="12"/>
  <c r="K1917" i="12"/>
  <c r="I1917" i="12"/>
  <c r="N1916" i="12"/>
  <c r="K1916" i="12"/>
  <c r="I1916" i="12"/>
  <c r="N1915" i="12"/>
  <c r="K1915" i="12"/>
  <c r="I1915" i="12"/>
  <c r="N1914" i="12"/>
  <c r="K1914" i="12"/>
  <c r="I1914" i="12"/>
  <c r="N1913" i="12"/>
  <c r="K1913" i="12"/>
  <c r="I1913" i="12"/>
  <c r="N1912" i="12"/>
  <c r="K1912" i="12"/>
  <c r="I1912" i="12"/>
  <c r="N1911" i="12"/>
  <c r="K1911" i="12"/>
  <c r="I1911" i="12"/>
  <c r="N1910" i="12"/>
  <c r="K1910" i="12"/>
  <c r="I1910" i="12"/>
  <c r="N1909" i="12"/>
  <c r="K1909" i="12"/>
  <c r="I1909" i="12"/>
  <c r="N1908" i="12"/>
  <c r="K1908" i="12"/>
  <c r="I1908" i="12"/>
  <c r="N1907" i="12"/>
  <c r="K1907" i="12"/>
  <c r="I1907" i="12"/>
  <c r="N1906" i="12"/>
  <c r="K1906" i="12"/>
  <c r="I1906" i="12"/>
  <c r="N1905" i="12"/>
  <c r="K1905" i="12"/>
  <c r="I1905" i="12"/>
  <c r="N1904" i="12"/>
  <c r="K1904" i="12"/>
  <c r="I1904" i="12"/>
  <c r="N1903" i="12"/>
  <c r="K1903" i="12"/>
  <c r="I1903" i="12"/>
  <c r="N1902" i="12"/>
  <c r="K1902" i="12"/>
  <c r="I1902" i="12"/>
  <c r="N1901" i="12"/>
  <c r="K1901" i="12"/>
  <c r="I1901" i="12"/>
  <c r="N1900" i="12"/>
  <c r="K1900" i="12"/>
  <c r="I1900" i="12"/>
  <c r="N1899" i="12"/>
  <c r="K1899" i="12"/>
  <c r="I1899" i="12"/>
  <c r="N1898" i="12"/>
  <c r="K1898" i="12"/>
  <c r="I1898" i="12"/>
  <c r="N1897" i="12"/>
  <c r="K1897" i="12"/>
  <c r="I1897" i="12"/>
  <c r="N1896" i="12"/>
  <c r="K1896" i="12"/>
  <c r="I1896" i="12"/>
  <c r="N1895" i="12"/>
  <c r="K1895" i="12"/>
  <c r="I1895" i="12"/>
  <c r="N1894" i="12"/>
  <c r="K1894" i="12"/>
  <c r="I1894" i="12"/>
  <c r="N1893" i="12"/>
  <c r="K1893" i="12"/>
  <c r="I1893" i="12"/>
  <c r="N1892" i="12"/>
  <c r="K1892" i="12"/>
  <c r="I1892" i="12"/>
  <c r="N1891" i="12"/>
  <c r="K1891" i="12"/>
  <c r="I1891" i="12"/>
  <c r="N1890" i="12"/>
  <c r="K1890" i="12"/>
  <c r="I1890" i="12"/>
  <c r="N1889" i="12"/>
  <c r="K1889" i="12"/>
  <c r="I1889" i="12"/>
  <c r="N1888" i="12"/>
  <c r="K1888" i="12"/>
  <c r="I1888" i="12"/>
  <c r="N1887" i="12"/>
  <c r="K1887" i="12"/>
  <c r="I1887" i="12"/>
  <c r="N1886" i="12"/>
  <c r="K1886" i="12"/>
  <c r="I1886" i="12"/>
  <c r="N1885" i="12"/>
  <c r="K1885" i="12"/>
  <c r="I1885" i="12"/>
  <c r="N1884" i="12"/>
  <c r="K1884" i="12"/>
  <c r="I1884" i="12"/>
  <c r="N1883" i="12"/>
  <c r="K1883" i="12"/>
  <c r="I1883" i="12"/>
  <c r="N1882" i="12"/>
  <c r="K1882" i="12"/>
  <c r="I1882" i="12"/>
  <c r="N1881" i="12"/>
  <c r="K1881" i="12"/>
  <c r="I1881" i="12"/>
  <c r="N1880" i="12"/>
  <c r="K1880" i="12"/>
  <c r="I1880" i="12"/>
  <c r="N1879" i="12"/>
  <c r="K1879" i="12"/>
  <c r="I1879" i="12"/>
  <c r="N1878" i="12"/>
  <c r="K1878" i="12"/>
  <c r="I1878" i="12"/>
  <c r="N1877" i="12"/>
  <c r="K1877" i="12"/>
  <c r="I1877" i="12"/>
  <c r="N1876" i="12"/>
  <c r="K1876" i="12"/>
  <c r="I1876" i="12"/>
  <c r="N1875" i="12"/>
  <c r="K1875" i="12"/>
  <c r="I1875" i="12"/>
  <c r="N1874" i="12"/>
  <c r="K1874" i="12"/>
  <c r="I1874" i="12"/>
  <c r="N1873" i="12"/>
  <c r="K1873" i="12"/>
  <c r="I1873" i="12"/>
  <c r="N1872" i="12"/>
  <c r="K1872" i="12"/>
  <c r="I1872" i="12"/>
  <c r="N1871" i="12"/>
  <c r="K1871" i="12"/>
  <c r="I1871" i="12"/>
  <c r="N1870" i="12"/>
  <c r="K1870" i="12"/>
  <c r="I1870" i="12"/>
  <c r="N1869" i="12"/>
  <c r="K1869" i="12"/>
  <c r="I1869" i="12"/>
  <c r="N1868" i="12"/>
  <c r="K1868" i="12"/>
  <c r="I1868" i="12"/>
  <c r="N1867" i="12"/>
  <c r="K1867" i="12"/>
  <c r="I1867" i="12"/>
  <c r="N1866" i="12"/>
  <c r="K1866" i="12"/>
  <c r="I1866" i="12"/>
  <c r="N1865" i="12"/>
  <c r="K1865" i="12"/>
  <c r="I1865" i="12"/>
  <c r="N1864" i="12"/>
  <c r="K1864" i="12"/>
  <c r="I1864" i="12"/>
  <c r="N1863" i="12"/>
  <c r="K1863" i="12"/>
  <c r="I1863" i="12"/>
  <c r="N1862" i="12"/>
  <c r="K1862" i="12"/>
  <c r="I1862" i="12"/>
  <c r="N1861" i="12"/>
  <c r="K1861" i="12"/>
  <c r="I1861" i="12"/>
  <c r="N1860" i="12"/>
  <c r="K1860" i="12"/>
  <c r="I1860" i="12"/>
  <c r="N1859" i="12"/>
  <c r="K1859" i="12"/>
  <c r="I1859" i="12"/>
  <c r="N1858" i="12"/>
  <c r="K1858" i="12"/>
  <c r="I1858" i="12"/>
  <c r="N1857" i="12"/>
  <c r="K1857" i="12"/>
  <c r="I1857" i="12"/>
  <c r="N1856" i="12"/>
  <c r="K1856" i="12"/>
  <c r="I1856" i="12"/>
  <c r="N1855" i="12"/>
  <c r="K1855" i="12"/>
  <c r="I1855" i="12"/>
  <c r="N1854" i="12"/>
  <c r="K1854" i="12"/>
  <c r="I1854" i="12"/>
  <c r="N1853" i="12"/>
  <c r="K1853" i="12"/>
  <c r="I1853" i="12"/>
  <c r="N1852" i="12"/>
  <c r="K1852" i="12"/>
  <c r="I1852" i="12"/>
  <c r="N1851" i="12"/>
  <c r="K1851" i="12"/>
  <c r="I1851" i="12"/>
  <c r="N1850" i="12"/>
  <c r="K1850" i="12"/>
  <c r="I1850" i="12"/>
  <c r="N1849" i="12"/>
  <c r="K1849" i="12"/>
  <c r="I1849" i="12"/>
  <c r="N1848" i="12"/>
  <c r="K1848" i="12"/>
  <c r="I1848" i="12"/>
  <c r="N1847" i="12"/>
  <c r="K1847" i="12"/>
  <c r="I1847" i="12"/>
  <c r="N1846" i="12"/>
  <c r="K1846" i="12"/>
  <c r="I1846" i="12"/>
  <c r="N1845" i="12"/>
  <c r="K1845" i="12"/>
  <c r="I1845" i="12"/>
  <c r="N1844" i="12"/>
  <c r="K1844" i="12"/>
  <c r="I1844" i="12"/>
  <c r="N1843" i="12"/>
  <c r="K1843" i="12"/>
  <c r="I1843" i="12"/>
  <c r="N1842" i="12"/>
  <c r="K1842" i="12"/>
  <c r="I1842" i="12"/>
  <c r="N1841" i="12"/>
  <c r="K1841" i="12"/>
  <c r="I1841" i="12"/>
  <c r="N1840" i="12"/>
  <c r="K1840" i="12"/>
  <c r="I1840" i="12"/>
  <c r="N1839" i="12"/>
  <c r="K1839" i="12"/>
  <c r="I1839" i="12"/>
  <c r="N1838" i="12"/>
  <c r="K1838" i="12"/>
  <c r="I1838" i="12"/>
  <c r="N1837" i="12"/>
  <c r="K1837" i="12"/>
  <c r="I1837" i="12"/>
  <c r="N1836" i="12"/>
  <c r="K1836" i="12"/>
  <c r="I1836" i="12"/>
  <c r="N1835" i="12"/>
  <c r="K1835" i="12"/>
  <c r="I1835" i="12"/>
  <c r="N1834" i="12"/>
  <c r="K1834" i="12"/>
  <c r="I1834" i="12"/>
  <c r="N1833" i="12"/>
  <c r="K1833" i="12"/>
  <c r="I1833" i="12"/>
  <c r="N1832" i="12"/>
  <c r="K1832" i="12"/>
  <c r="I1832" i="12"/>
  <c r="N1831" i="12"/>
  <c r="K1831" i="12"/>
  <c r="I1831" i="12"/>
  <c r="N1830" i="12"/>
  <c r="K1830" i="12"/>
  <c r="I1830" i="12"/>
  <c r="N1829" i="12"/>
  <c r="K1829" i="12"/>
  <c r="I1829" i="12"/>
  <c r="N1828" i="12"/>
  <c r="K1828" i="12"/>
  <c r="I1828" i="12"/>
  <c r="N1827" i="12"/>
  <c r="K1827" i="12"/>
  <c r="I1827" i="12"/>
  <c r="N1826" i="12"/>
  <c r="K1826" i="12"/>
  <c r="I1826" i="12"/>
  <c r="N1825" i="12"/>
  <c r="K1825" i="12"/>
  <c r="I1825" i="12"/>
  <c r="N1824" i="12"/>
  <c r="K1824" i="12"/>
  <c r="I1824" i="12"/>
  <c r="N1823" i="12"/>
  <c r="K1823" i="12"/>
  <c r="I1823" i="12"/>
  <c r="N1822" i="12"/>
  <c r="K1822" i="12"/>
  <c r="I1822" i="12"/>
  <c r="N1821" i="12"/>
  <c r="K1821" i="12"/>
  <c r="I1821" i="12"/>
  <c r="N1820" i="12"/>
  <c r="K1820" i="12"/>
  <c r="I1820" i="12"/>
  <c r="N1819" i="12"/>
  <c r="K1819" i="12"/>
  <c r="I1819" i="12"/>
  <c r="N1818" i="12"/>
  <c r="K1818" i="12"/>
  <c r="I1818" i="12"/>
  <c r="N1817" i="12"/>
  <c r="K1817" i="12"/>
  <c r="I1817" i="12"/>
  <c r="N1816" i="12"/>
  <c r="K1816" i="12"/>
  <c r="I1816" i="12"/>
  <c r="N1815" i="12"/>
  <c r="K1815" i="12"/>
  <c r="I1815" i="12"/>
  <c r="N1814" i="12"/>
  <c r="K1814" i="12"/>
  <c r="I1814" i="12"/>
  <c r="N1813" i="12"/>
  <c r="K1813" i="12"/>
  <c r="I1813" i="12"/>
  <c r="N1812" i="12"/>
  <c r="K1812" i="12"/>
  <c r="I1812" i="12"/>
  <c r="N1811" i="12"/>
  <c r="K1811" i="12"/>
  <c r="I1811" i="12"/>
  <c r="N1810" i="12"/>
  <c r="K1810" i="12"/>
  <c r="I1810" i="12"/>
  <c r="N1809" i="12"/>
  <c r="K1809" i="12"/>
  <c r="I1809" i="12"/>
  <c r="N1808" i="12"/>
  <c r="K1808" i="12"/>
  <c r="I1808" i="12"/>
  <c r="N1807" i="12"/>
  <c r="K1807" i="12"/>
  <c r="I1807" i="12"/>
  <c r="N1806" i="12"/>
  <c r="K1806" i="12"/>
  <c r="I1806" i="12"/>
  <c r="N1805" i="12"/>
  <c r="K1805" i="12"/>
  <c r="I1805" i="12"/>
  <c r="N1804" i="12"/>
  <c r="K1804" i="12"/>
  <c r="I1804" i="12"/>
  <c r="N1803" i="12"/>
  <c r="K1803" i="12"/>
  <c r="I1803" i="12"/>
  <c r="N1802" i="12"/>
  <c r="K1802" i="12"/>
  <c r="I1802" i="12"/>
  <c r="N1801" i="12"/>
  <c r="K1801" i="12"/>
  <c r="I1801" i="12"/>
  <c r="N1800" i="12"/>
  <c r="K1800" i="12"/>
  <c r="I1800" i="12"/>
  <c r="N1799" i="12"/>
  <c r="K1799" i="12"/>
  <c r="I1799" i="12"/>
  <c r="N1798" i="12"/>
  <c r="K1798" i="12"/>
  <c r="I1798" i="12"/>
  <c r="N1797" i="12"/>
  <c r="K1797" i="12"/>
  <c r="I1797" i="12"/>
  <c r="N1796" i="12"/>
  <c r="K1796" i="12"/>
  <c r="I1796" i="12"/>
  <c r="N1795" i="12"/>
  <c r="K1795" i="12"/>
  <c r="I1795" i="12"/>
  <c r="N1794" i="12"/>
  <c r="K1794" i="12"/>
  <c r="I1794" i="12"/>
  <c r="N1793" i="12"/>
  <c r="K1793" i="12"/>
  <c r="I1793" i="12"/>
  <c r="N1792" i="12"/>
  <c r="K1792" i="12"/>
  <c r="I1792" i="12"/>
  <c r="N1791" i="12"/>
  <c r="K1791" i="12"/>
  <c r="I1791" i="12"/>
  <c r="N1790" i="12"/>
  <c r="K1790" i="12"/>
  <c r="I1790" i="12"/>
  <c r="N1789" i="12"/>
  <c r="K1789" i="12"/>
  <c r="I1789" i="12"/>
  <c r="N1788" i="12"/>
  <c r="K1788" i="12"/>
  <c r="I1788" i="12"/>
  <c r="N1787" i="12"/>
  <c r="K1787" i="12"/>
  <c r="I1787" i="12"/>
  <c r="N1786" i="12"/>
  <c r="K1786" i="12"/>
  <c r="I1786" i="12"/>
  <c r="N1785" i="12"/>
  <c r="K1785" i="12"/>
  <c r="I1785" i="12"/>
  <c r="N1784" i="12"/>
  <c r="K1784" i="12"/>
  <c r="I1784" i="12"/>
  <c r="N1783" i="12"/>
  <c r="K1783" i="12"/>
  <c r="I1783" i="12"/>
  <c r="N1782" i="12"/>
  <c r="K1782" i="12"/>
  <c r="I1782" i="12"/>
  <c r="N1781" i="12"/>
  <c r="K1781" i="12"/>
  <c r="I1781" i="12"/>
  <c r="N1780" i="12"/>
  <c r="K1780" i="12"/>
  <c r="I1780" i="12"/>
  <c r="N1779" i="12"/>
  <c r="K1779" i="12"/>
  <c r="I1779" i="12"/>
  <c r="N1778" i="12"/>
  <c r="K1778" i="12"/>
  <c r="I1778" i="12"/>
  <c r="N1777" i="12"/>
  <c r="K1777" i="12"/>
  <c r="I1777" i="12"/>
  <c r="N1776" i="12"/>
  <c r="K1776" i="12"/>
  <c r="I1776" i="12"/>
  <c r="N1775" i="12"/>
  <c r="K1775" i="12"/>
  <c r="I1775" i="12"/>
  <c r="N1774" i="12"/>
  <c r="K1774" i="12"/>
  <c r="I1774" i="12"/>
  <c r="N1773" i="12"/>
  <c r="K1773" i="12"/>
  <c r="I1773" i="12"/>
  <c r="N1772" i="12"/>
  <c r="K1772" i="12"/>
  <c r="I1772" i="12"/>
  <c r="N1771" i="12"/>
  <c r="K1771" i="12"/>
  <c r="I1771" i="12"/>
  <c r="N1770" i="12"/>
  <c r="K1770" i="12"/>
  <c r="I1770" i="12"/>
  <c r="N1769" i="12"/>
  <c r="K1769" i="12"/>
  <c r="I1769" i="12"/>
  <c r="N1768" i="12"/>
  <c r="K1768" i="12"/>
  <c r="I1768" i="12"/>
  <c r="N1767" i="12"/>
  <c r="K1767" i="12"/>
  <c r="I1767" i="12"/>
  <c r="N1766" i="12"/>
  <c r="K1766" i="12"/>
  <c r="I1766" i="12"/>
  <c r="N1765" i="12"/>
  <c r="K1765" i="12"/>
  <c r="I1765" i="12"/>
  <c r="N1764" i="12"/>
  <c r="K1764" i="12"/>
  <c r="I1764" i="12"/>
  <c r="N1763" i="12"/>
  <c r="K1763" i="12"/>
  <c r="I1763" i="12"/>
  <c r="N1762" i="12"/>
  <c r="K1762" i="12"/>
  <c r="I1762" i="12"/>
  <c r="N1761" i="12"/>
  <c r="K1761" i="12"/>
  <c r="I1761" i="12"/>
  <c r="N1760" i="12"/>
  <c r="K1760" i="12"/>
  <c r="I1760" i="12"/>
  <c r="N1759" i="12"/>
  <c r="K1759" i="12"/>
  <c r="I1759" i="12"/>
  <c r="N1758" i="12"/>
  <c r="K1758" i="12"/>
  <c r="I1758" i="12"/>
  <c r="N1757" i="12"/>
  <c r="K1757" i="12"/>
  <c r="I1757" i="12"/>
  <c r="N1756" i="12"/>
  <c r="K1756" i="12"/>
  <c r="I1756" i="12"/>
  <c r="N1755" i="12"/>
  <c r="K1755" i="12"/>
  <c r="I1755" i="12"/>
  <c r="N1754" i="12"/>
  <c r="K1754" i="12"/>
  <c r="I1754" i="12"/>
  <c r="N1753" i="12"/>
  <c r="K1753" i="12"/>
  <c r="I1753" i="12"/>
  <c r="N1752" i="12"/>
  <c r="K1752" i="12"/>
  <c r="I1752" i="12"/>
  <c r="N1751" i="12"/>
  <c r="K1751" i="12"/>
  <c r="I1751" i="12"/>
  <c r="N1750" i="12"/>
  <c r="K1750" i="12"/>
  <c r="I1750" i="12"/>
  <c r="N1749" i="12"/>
  <c r="K1749" i="12"/>
  <c r="I1749" i="12"/>
  <c r="N1748" i="12"/>
  <c r="K1748" i="12"/>
  <c r="I1748" i="12"/>
  <c r="N1747" i="12"/>
  <c r="K1747" i="12"/>
  <c r="I1747" i="12"/>
  <c r="N1746" i="12"/>
  <c r="K1746" i="12"/>
  <c r="I1746" i="12"/>
  <c r="N1745" i="12"/>
  <c r="K1745" i="12"/>
  <c r="I1745" i="12"/>
  <c r="N1744" i="12"/>
  <c r="K1744" i="12"/>
  <c r="I1744" i="12"/>
  <c r="N1743" i="12"/>
  <c r="K1743" i="12"/>
  <c r="I1743" i="12"/>
  <c r="N1742" i="12"/>
  <c r="K1742" i="12"/>
  <c r="I1742" i="12"/>
  <c r="N1741" i="12"/>
  <c r="K1741" i="12"/>
  <c r="I1741" i="12"/>
  <c r="N1740" i="12"/>
  <c r="K1740" i="12"/>
  <c r="I1740" i="12"/>
  <c r="N1739" i="12"/>
  <c r="K1739" i="12"/>
  <c r="I1739" i="12"/>
  <c r="N1738" i="12"/>
  <c r="K1738" i="12"/>
  <c r="I1738" i="12"/>
  <c r="N1737" i="12"/>
  <c r="K1737" i="12"/>
  <c r="I1737" i="12"/>
  <c r="N1736" i="12"/>
  <c r="K1736" i="12"/>
  <c r="I1736" i="12"/>
  <c r="N1735" i="12"/>
  <c r="K1735" i="12"/>
  <c r="I1735" i="12"/>
  <c r="N1734" i="12"/>
  <c r="K1734" i="12"/>
  <c r="I1734" i="12"/>
  <c r="N1733" i="12"/>
  <c r="K1733" i="12"/>
  <c r="I1733" i="12"/>
  <c r="N1732" i="12"/>
  <c r="K1732" i="12"/>
  <c r="I1732" i="12"/>
  <c r="N1731" i="12"/>
  <c r="K1731" i="12"/>
  <c r="I1731" i="12"/>
  <c r="N1730" i="12"/>
  <c r="K1730" i="12"/>
  <c r="I1730" i="12"/>
  <c r="N1729" i="12"/>
  <c r="K1729" i="12"/>
  <c r="I1729" i="12"/>
  <c r="N1728" i="12"/>
  <c r="K1728" i="12"/>
  <c r="I1728" i="12"/>
  <c r="N1727" i="12"/>
  <c r="K1727" i="12"/>
  <c r="I1727" i="12"/>
  <c r="N1726" i="12"/>
  <c r="K1726" i="12"/>
  <c r="I1726" i="12"/>
  <c r="N1725" i="12"/>
  <c r="K1725" i="12"/>
  <c r="I1725" i="12"/>
  <c r="N1724" i="12"/>
  <c r="K1724" i="12"/>
  <c r="I1724" i="12"/>
  <c r="N1723" i="12"/>
  <c r="K1723" i="12"/>
  <c r="I1723" i="12"/>
  <c r="N1722" i="12"/>
  <c r="K1722" i="12"/>
  <c r="I1722" i="12"/>
  <c r="N1721" i="12"/>
  <c r="K1721" i="12"/>
  <c r="I1721" i="12"/>
  <c r="N1720" i="12"/>
  <c r="K1720" i="12"/>
  <c r="I1720" i="12"/>
  <c r="N1719" i="12"/>
  <c r="K1719" i="12"/>
  <c r="I1719" i="12"/>
  <c r="N1718" i="12"/>
  <c r="K1718" i="12"/>
  <c r="I1718" i="12"/>
  <c r="N1717" i="12"/>
  <c r="K1717" i="12"/>
  <c r="I1717" i="12"/>
  <c r="N1716" i="12"/>
  <c r="K1716" i="12"/>
  <c r="I1716" i="12"/>
  <c r="N1715" i="12"/>
  <c r="K1715" i="12"/>
  <c r="I1715" i="12"/>
  <c r="N1714" i="12"/>
  <c r="K1714" i="12"/>
  <c r="I1714" i="12"/>
  <c r="N1713" i="12"/>
  <c r="K1713" i="12"/>
  <c r="I1713" i="12"/>
  <c r="N1712" i="12"/>
  <c r="K1712" i="12"/>
  <c r="I1712" i="12"/>
  <c r="N1711" i="12"/>
  <c r="K1711" i="12"/>
  <c r="I1711" i="12"/>
  <c r="N1710" i="12"/>
  <c r="K1710" i="12"/>
  <c r="I1710" i="12"/>
  <c r="N1709" i="12"/>
  <c r="K1709" i="12"/>
  <c r="I1709" i="12"/>
  <c r="N1708" i="12"/>
  <c r="K1708" i="12"/>
  <c r="I1708" i="12"/>
  <c r="N1707" i="12"/>
  <c r="K1707" i="12"/>
  <c r="I1707" i="12"/>
  <c r="N1706" i="12"/>
  <c r="K1706" i="12"/>
  <c r="I1706" i="12"/>
  <c r="N1705" i="12"/>
  <c r="K1705" i="12"/>
  <c r="I1705" i="12"/>
  <c r="N1704" i="12"/>
  <c r="K1704" i="12"/>
  <c r="I1704" i="12"/>
  <c r="N1703" i="12"/>
  <c r="K1703" i="12"/>
  <c r="I1703" i="12"/>
  <c r="N1702" i="12"/>
  <c r="K1702" i="12"/>
  <c r="I1702" i="12"/>
  <c r="N1701" i="12"/>
  <c r="K1701" i="12"/>
  <c r="I1701" i="12"/>
  <c r="N1700" i="12"/>
  <c r="K1700" i="12"/>
  <c r="I1700" i="12"/>
  <c r="N1699" i="12"/>
  <c r="K1699" i="12"/>
  <c r="I1699" i="12"/>
  <c r="N1698" i="12"/>
  <c r="K1698" i="12"/>
  <c r="I1698" i="12"/>
  <c r="N1697" i="12"/>
  <c r="K1697" i="12"/>
  <c r="I1697" i="12"/>
  <c r="N1696" i="12"/>
  <c r="K1696" i="12"/>
  <c r="I1696" i="12"/>
  <c r="N1695" i="12"/>
  <c r="K1695" i="12"/>
  <c r="I1695" i="12"/>
  <c r="N1694" i="12"/>
  <c r="K1694" i="12"/>
  <c r="I1694" i="12"/>
  <c r="N1693" i="12"/>
  <c r="K1693" i="12"/>
  <c r="I1693" i="12"/>
  <c r="N1692" i="12"/>
  <c r="K1692" i="12"/>
  <c r="I1692" i="12"/>
  <c r="N1691" i="12"/>
  <c r="K1691" i="12"/>
  <c r="I1691" i="12"/>
  <c r="N1690" i="12"/>
  <c r="K1690" i="12"/>
  <c r="I1690" i="12"/>
  <c r="N1689" i="12"/>
  <c r="K1689" i="12"/>
  <c r="I1689" i="12"/>
  <c r="N1688" i="12"/>
  <c r="K1688" i="12"/>
  <c r="I1688" i="12"/>
  <c r="N1687" i="12"/>
  <c r="K1687" i="12"/>
  <c r="I1687" i="12"/>
  <c r="N1686" i="12"/>
  <c r="K1686" i="12"/>
  <c r="I1686" i="12"/>
  <c r="N1685" i="12"/>
  <c r="K1685" i="12"/>
  <c r="I1685" i="12"/>
  <c r="N1684" i="12"/>
  <c r="K1684" i="12"/>
  <c r="I1684" i="12"/>
  <c r="N1683" i="12"/>
  <c r="K1683" i="12"/>
  <c r="I1683" i="12"/>
  <c r="N1682" i="12"/>
  <c r="K1682" i="12"/>
  <c r="I1682" i="12"/>
  <c r="N1681" i="12"/>
  <c r="K1681" i="12"/>
  <c r="I1681" i="12"/>
  <c r="N1680" i="12"/>
  <c r="K1680" i="12"/>
  <c r="I1680" i="12"/>
  <c r="N1679" i="12"/>
  <c r="K1679" i="12"/>
  <c r="I1679" i="12"/>
  <c r="N1678" i="12"/>
  <c r="K1678" i="12"/>
  <c r="I1678" i="12"/>
  <c r="N1677" i="12"/>
  <c r="K1677" i="12"/>
  <c r="I1677" i="12"/>
  <c r="N1676" i="12"/>
  <c r="K1676" i="12"/>
  <c r="I1676" i="12"/>
  <c r="N1675" i="12"/>
  <c r="K1675" i="12"/>
  <c r="I1675" i="12"/>
  <c r="N1674" i="12"/>
  <c r="K1674" i="12"/>
  <c r="I1674" i="12"/>
  <c r="N1673" i="12"/>
  <c r="K1673" i="12"/>
  <c r="I1673" i="12"/>
  <c r="N1672" i="12"/>
  <c r="K1672" i="12"/>
  <c r="I1672" i="12"/>
  <c r="N1671" i="12"/>
  <c r="K1671" i="12"/>
  <c r="I1671" i="12"/>
  <c r="N1670" i="12"/>
  <c r="K1670" i="12"/>
  <c r="I1670" i="12"/>
  <c r="N1669" i="12"/>
  <c r="K1669" i="12"/>
  <c r="I1669" i="12"/>
  <c r="N1668" i="12"/>
  <c r="K1668" i="12"/>
  <c r="I1668" i="12"/>
  <c r="N1667" i="12"/>
  <c r="K1667" i="12"/>
  <c r="I1667" i="12"/>
  <c r="N1666" i="12"/>
  <c r="K1666" i="12"/>
  <c r="I1666" i="12"/>
  <c r="N1665" i="12"/>
  <c r="K1665" i="12"/>
  <c r="I1665" i="12"/>
  <c r="N1664" i="12"/>
  <c r="K1664" i="12"/>
  <c r="I1664" i="12"/>
  <c r="N1663" i="12"/>
  <c r="K1663" i="12"/>
  <c r="I1663" i="12"/>
  <c r="N1662" i="12"/>
  <c r="K1662" i="12"/>
  <c r="I1662" i="12"/>
  <c r="N1661" i="12"/>
  <c r="K1661" i="12"/>
  <c r="I1661" i="12"/>
  <c r="N1660" i="12"/>
  <c r="K1660" i="12"/>
  <c r="I1660" i="12"/>
  <c r="N1659" i="12"/>
  <c r="K1659" i="12"/>
  <c r="I1659" i="12"/>
  <c r="N1658" i="12"/>
  <c r="K1658" i="12"/>
  <c r="I1658" i="12"/>
  <c r="N1657" i="12"/>
  <c r="K1657" i="12"/>
  <c r="I1657" i="12"/>
  <c r="N1656" i="12"/>
  <c r="K1656" i="12"/>
  <c r="I1656" i="12"/>
  <c r="N1655" i="12"/>
  <c r="K1655" i="12"/>
  <c r="I1655" i="12"/>
  <c r="N1654" i="12"/>
  <c r="K1654" i="12"/>
  <c r="I1654" i="12"/>
  <c r="N1653" i="12"/>
  <c r="K1653" i="12"/>
  <c r="I1653" i="12"/>
  <c r="N1652" i="12"/>
  <c r="K1652" i="12"/>
  <c r="I1652" i="12"/>
  <c r="N1651" i="12"/>
  <c r="K1651" i="12"/>
  <c r="I1651" i="12"/>
  <c r="N1650" i="12"/>
  <c r="K1650" i="12"/>
  <c r="I1650" i="12"/>
  <c r="N1649" i="12"/>
  <c r="K1649" i="12"/>
  <c r="I1649" i="12"/>
  <c r="N1648" i="12"/>
  <c r="K1648" i="12"/>
  <c r="I1648" i="12"/>
  <c r="N1647" i="12"/>
  <c r="K1647" i="12"/>
  <c r="I1647" i="12"/>
  <c r="N1646" i="12"/>
  <c r="K1646" i="12"/>
  <c r="I1646" i="12"/>
  <c r="N1645" i="12"/>
  <c r="K1645" i="12"/>
  <c r="I1645" i="12"/>
  <c r="N1644" i="12"/>
  <c r="K1644" i="12"/>
  <c r="I1644" i="12"/>
  <c r="N1643" i="12"/>
  <c r="K1643" i="12"/>
  <c r="I1643" i="12"/>
  <c r="N1642" i="12"/>
  <c r="K1642" i="12"/>
  <c r="I1642" i="12"/>
  <c r="N1641" i="12"/>
  <c r="K1641" i="12"/>
  <c r="I1641" i="12"/>
  <c r="N1640" i="12"/>
  <c r="K1640" i="12"/>
  <c r="I1640" i="12"/>
  <c r="N1639" i="12"/>
  <c r="K1639" i="12"/>
  <c r="I1639" i="12"/>
  <c r="N1638" i="12"/>
  <c r="K1638" i="12"/>
  <c r="I1638" i="12"/>
  <c r="N1637" i="12"/>
  <c r="K1637" i="12"/>
  <c r="I1637" i="12"/>
  <c r="N1636" i="12"/>
  <c r="K1636" i="12"/>
  <c r="I1636" i="12"/>
  <c r="N1635" i="12"/>
  <c r="K1635" i="12"/>
  <c r="I1635" i="12"/>
  <c r="N1634" i="12"/>
  <c r="K1634" i="12"/>
  <c r="I1634" i="12"/>
  <c r="N1633" i="12"/>
  <c r="K1633" i="12"/>
  <c r="I1633" i="12"/>
  <c r="N1632" i="12"/>
  <c r="K1632" i="12"/>
  <c r="I1632" i="12"/>
  <c r="N1631" i="12"/>
  <c r="K1631" i="12"/>
  <c r="I1631" i="12"/>
  <c r="N1630" i="12"/>
  <c r="K1630" i="12"/>
  <c r="I1630" i="12"/>
  <c r="N1629" i="12"/>
  <c r="K1629" i="12"/>
  <c r="I1629" i="12"/>
  <c r="N1628" i="12"/>
  <c r="K1628" i="12"/>
  <c r="I1628" i="12"/>
  <c r="N1627" i="12"/>
  <c r="K1627" i="12"/>
  <c r="I1627" i="12"/>
  <c r="N1626" i="12"/>
  <c r="K1626" i="12"/>
  <c r="I1626" i="12"/>
  <c r="N1625" i="12"/>
  <c r="K1625" i="12"/>
  <c r="I1625" i="12"/>
  <c r="N1624" i="12"/>
  <c r="K1624" i="12"/>
  <c r="I1624" i="12"/>
  <c r="N1623" i="12"/>
  <c r="K1623" i="12"/>
  <c r="I1623" i="12"/>
  <c r="N1622" i="12"/>
  <c r="K1622" i="12"/>
  <c r="I1622" i="12"/>
  <c r="N1621" i="12"/>
  <c r="K1621" i="12"/>
  <c r="I1621" i="12"/>
  <c r="N1620" i="12"/>
  <c r="K1620" i="12"/>
  <c r="I1620" i="12"/>
  <c r="N1619" i="12"/>
  <c r="K1619" i="12"/>
  <c r="I1619" i="12"/>
  <c r="N1618" i="12"/>
  <c r="K1618" i="12"/>
  <c r="I1618" i="12"/>
  <c r="N1617" i="12"/>
  <c r="K1617" i="12"/>
  <c r="I1617" i="12"/>
  <c r="N1616" i="12"/>
  <c r="K1616" i="12"/>
  <c r="I1616" i="12"/>
  <c r="N1615" i="12"/>
  <c r="K1615" i="12"/>
  <c r="I1615" i="12"/>
  <c r="N1614" i="12"/>
  <c r="K1614" i="12"/>
  <c r="I1614" i="12"/>
  <c r="N1613" i="12"/>
  <c r="K1613" i="12"/>
  <c r="I1613" i="12"/>
  <c r="N1612" i="12"/>
  <c r="K1612" i="12"/>
  <c r="I1612" i="12"/>
  <c r="N1611" i="12"/>
  <c r="K1611" i="12"/>
  <c r="I1611" i="12"/>
  <c r="N1610" i="12"/>
  <c r="K1610" i="12"/>
  <c r="I1610" i="12"/>
  <c r="N1609" i="12"/>
  <c r="K1609" i="12"/>
  <c r="I1609" i="12"/>
  <c r="N1608" i="12"/>
  <c r="K1608" i="12"/>
  <c r="I1608" i="12"/>
  <c r="N1607" i="12"/>
  <c r="K1607" i="12"/>
  <c r="I1607" i="12"/>
  <c r="N1606" i="12"/>
  <c r="K1606" i="12"/>
  <c r="I1606" i="12"/>
  <c r="N1605" i="12"/>
  <c r="K1605" i="12"/>
  <c r="I1605" i="12"/>
  <c r="N1604" i="12"/>
  <c r="K1604" i="12"/>
  <c r="I1604" i="12"/>
  <c r="N1603" i="12"/>
  <c r="K1603" i="12"/>
  <c r="I1603" i="12"/>
  <c r="N1602" i="12"/>
  <c r="K1602" i="12"/>
  <c r="I1602" i="12"/>
  <c r="N1601" i="12"/>
  <c r="K1601" i="12"/>
  <c r="I1601" i="12"/>
  <c r="N1600" i="12"/>
  <c r="K1600" i="12"/>
  <c r="I1600" i="12"/>
  <c r="N1599" i="12"/>
  <c r="K1599" i="12"/>
  <c r="I1599" i="12"/>
  <c r="N1598" i="12"/>
  <c r="K1598" i="12"/>
  <c r="I1598" i="12"/>
  <c r="N1597" i="12"/>
  <c r="K1597" i="12"/>
  <c r="I1597" i="12"/>
  <c r="N1596" i="12"/>
  <c r="K1596" i="12"/>
  <c r="I1596" i="12"/>
  <c r="N1595" i="12"/>
  <c r="K1595" i="12"/>
  <c r="I1595" i="12"/>
  <c r="N1594" i="12"/>
  <c r="K1594" i="12"/>
  <c r="I1594" i="12"/>
  <c r="N1593" i="12"/>
  <c r="K1593" i="12"/>
  <c r="I1593" i="12"/>
  <c r="N1592" i="12"/>
  <c r="K1592" i="12"/>
  <c r="I1592" i="12"/>
  <c r="N1591" i="12"/>
  <c r="K1591" i="12"/>
  <c r="I1591" i="12"/>
  <c r="N1590" i="12"/>
  <c r="K1590" i="12"/>
  <c r="I1590" i="12"/>
  <c r="N1589" i="12"/>
  <c r="K1589" i="12"/>
  <c r="I1589" i="12"/>
  <c r="N1588" i="12"/>
  <c r="K1588" i="12"/>
  <c r="I1588" i="12"/>
  <c r="N1587" i="12"/>
  <c r="K1587" i="12"/>
  <c r="I1587" i="12"/>
  <c r="N1586" i="12"/>
  <c r="K1586" i="12"/>
  <c r="I1586" i="12"/>
  <c r="N1585" i="12"/>
  <c r="K1585" i="12"/>
  <c r="I1585" i="12"/>
  <c r="N1584" i="12"/>
  <c r="K1584" i="12"/>
  <c r="I1584" i="12"/>
  <c r="N1583" i="12"/>
  <c r="K1583" i="12"/>
  <c r="I1583" i="12"/>
  <c r="N1582" i="12"/>
  <c r="K1582" i="12"/>
  <c r="I1582" i="12"/>
  <c r="N1581" i="12"/>
  <c r="K1581" i="12"/>
  <c r="I1581" i="12"/>
  <c r="N1580" i="12"/>
  <c r="K1580" i="12"/>
  <c r="I1580" i="12"/>
  <c r="N1579" i="12"/>
  <c r="K1579" i="12"/>
  <c r="I1579" i="12"/>
  <c r="N1578" i="12"/>
  <c r="K1578" i="12"/>
  <c r="I1578" i="12"/>
  <c r="N1577" i="12"/>
  <c r="K1577" i="12"/>
  <c r="I1577" i="12"/>
  <c r="N1576" i="12"/>
  <c r="K1576" i="12"/>
  <c r="I1576" i="12"/>
  <c r="N1575" i="12"/>
  <c r="K1575" i="12"/>
  <c r="I1575" i="12"/>
  <c r="N1574" i="12"/>
  <c r="K1574" i="12"/>
  <c r="I1574" i="12"/>
  <c r="N1573" i="12"/>
  <c r="K1573" i="12"/>
  <c r="I1573" i="12"/>
  <c r="N1572" i="12"/>
  <c r="K1572" i="12"/>
  <c r="I1572" i="12"/>
  <c r="N1571" i="12"/>
  <c r="K1571" i="12"/>
  <c r="I1571" i="12"/>
  <c r="N1570" i="12"/>
  <c r="K1570" i="12"/>
  <c r="I1570" i="12"/>
  <c r="N1569" i="12"/>
  <c r="K1569" i="12"/>
  <c r="I1569" i="12"/>
  <c r="N1568" i="12"/>
  <c r="K1568" i="12"/>
  <c r="I1568" i="12"/>
  <c r="N1567" i="12"/>
  <c r="K1567" i="12"/>
  <c r="I1567" i="12"/>
  <c r="N1566" i="12"/>
  <c r="K1566" i="12"/>
  <c r="I1566" i="12"/>
  <c r="N1565" i="12"/>
  <c r="K1565" i="12"/>
  <c r="I1565" i="12"/>
  <c r="N1564" i="12"/>
  <c r="K1564" i="12"/>
  <c r="I1564" i="12"/>
  <c r="N1563" i="12"/>
  <c r="K1563" i="12"/>
  <c r="I1563" i="12"/>
  <c r="N1562" i="12"/>
  <c r="K1562" i="12"/>
  <c r="I1562" i="12"/>
  <c r="N1561" i="12"/>
  <c r="K1561" i="12"/>
  <c r="I1561" i="12"/>
  <c r="N1560" i="12"/>
  <c r="K1560" i="12"/>
  <c r="I1560" i="12"/>
  <c r="N1559" i="12"/>
  <c r="K1559" i="12"/>
  <c r="I1559" i="12"/>
  <c r="N1558" i="12"/>
  <c r="K1558" i="12"/>
  <c r="I1558" i="12"/>
  <c r="N1557" i="12"/>
  <c r="K1557" i="12"/>
  <c r="I1557" i="12"/>
  <c r="N1556" i="12"/>
  <c r="K1556" i="12"/>
  <c r="I1556" i="12"/>
  <c r="N1555" i="12"/>
  <c r="K1555" i="12"/>
  <c r="I1555" i="12"/>
  <c r="N1554" i="12"/>
  <c r="K1554" i="12"/>
  <c r="I1554" i="12"/>
  <c r="N1553" i="12"/>
  <c r="K1553" i="12"/>
  <c r="I1553" i="12"/>
  <c r="N1552" i="12"/>
  <c r="K1552" i="12"/>
  <c r="I1552" i="12"/>
  <c r="N1551" i="12"/>
  <c r="K1551" i="12"/>
  <c r="I1551" i="12"/>
  <c r="N1550" i="12"/>
  <c r="K1550" i="12"/>
  <c r="I1550" i="12"/>
  <c r="N1549" i="12"/>
  <c r="K1549" i="12"/>
  <c r="I1549" i="12"/>
  <c r="N1548" i="12"/>
  <c r="K1548" i="12"/>
  <c r="I1548" i="12"/>
  <c r="N1547" i="12"/>
  <c r="K1547" i="12"/>
  <c r="I1547" i="12"/>
  <c r="N1546" i="12"/>
  <c r="K1546" i="12"/>
  <c r="I1546" i="12"/>
  <c r="N1545" i="12"/>
  <c r="K1545" i="12"/>
  <c r="I1545" i="12"/>
  <c r="N1544" i="12"/>
  <c r="K1544" i="12"/>
  <c r="I1544" i="12"/>
  <c r="N1543" i="12"/>
  <c r="K1543" i="12"/>
  <c r="I1543" i="12"/>
  <c r="N1542" i="12"/>
  <c r="K1542" i="12"/>
  <c r="I1542" i="12"/>
  <c r="N1541" i="12"/>
  <c r="K1541" i="12"/>
  <c r="I1541" i="12"/>
  <c r="N1540" i="12"/>
  <c r="K1540" i="12"/>
  <c r="I1540" i="12"/>
  <c r="N1539" i="12"/>
  <c r="K1539" i="12"/>
  <c r="I1539" i="12"/>
  <c r="N1538" i="12"/>
  <c r="K1538" i="12"/>
  <c r="I1538" i="12"/>
  <c r="N1537" i="12"/>
  <c r="K1537" i="12"/>
  <c r="I1537" i="12"/>
  <c r="N1536" i="12"/>
  <c r="K1536" i="12"/>
  <c r="I1536" i="12"/>
  <c r="N1535" i="12"/>
  <c r="K1535" i="12"/>
  <c r="I1535" i="12"/>
  <c r="N1534" i="12"/>
  <c r="K1534" i="12"/>
  <c r="I1534" i="12"/>
  <c r="N1533" i="12"/>
  <c r="K1533" i="12"/>
  <c r="I1533" i="12"/>
  <c r="N1532" i="12"/>
  <c r="K1532" i="12"/>
  <c r="I1532" i="12"/>
  <c r="N1531" i="12"/>
  <c r="K1531" i="12"/>
  <c r="I1531" i="12"/>
  <c r="N1530" i="12"/>
  <c r="K1530" i="12"/>
  <c r="I1530" i="12"/>
  <c r="N1529" i="12"/>
  <c r="K1529" i="12"/>
  <c r="I1529" i="12"/>
  <c r="N1528" i="12"/>
  <c r="K1528" i="12"/>
  <c r="I1528" i="12"/>
  <c r="N1527" i="12"/>
  <c r="K1527" i="12"/>
  <c r="I1527" i="12"/>
  <c r="N1526" i="12"/>
  <c r="K1526" i="12"/>
  <c r="I1526" i="12"/>
  <c r="N1525" i="12"/>
  <c r="K1525" i="12"/>
  <c r="I1525" i="12"/>
  <c r="N1524" i="12"/>
  <c r="K1524" i="12"/>
  <c r="I1524" i="12"/>
  <c r="N1523" i="12"/>
  <c r="K1523" i="12"/>
  <c r="I1523" i="12"/>
  <c r="N1522" i="12"/>
  <c r="K1522" i="12"/>
  <c r="I1522" i="12"/>
  <c r="N1521" i="12"/>
  <c r="K1521" i="12"/>
  <c r="I1521" i="12"/>
  <c r="N1520" i="12"/>
  <c r="K1520" i="12"/>
  <c r="I1520" i="12"/>
  <c r="N1519" i="12"/>
  <c r="K1519" i="12"/>
  <c r="I1519" i="12"/>
  <c r="N1518" i="12"/>
  <c r="K1518" i="12"/>
  <c r="I1518" i="12"/>
  <c r="N1517" i="12"/>
  <c r="K1517" i="12"/>
  <c r="I1517" i="12"/>
  <c r="N1516" i="12"/>
  <c r="K1516" i="12"/>
  <c r="I1516" i="12"/>
  <c r="N1515" i="12"/>
  <c r="K1515" i="12"/>
  <c r="I1515" i="12"/>
  <c r="N1514" i="12"/>
  <c r="K1514" i="12"/>
  <c r="I1514" i="12"/>
  <c r="N1513" i="12"/>
  <c r="K1513" i="12"/>
  <c r="I1513" i="12"/>
  <c r="N1512" i="12"/>
  <c r="K1512" i="12"/>
  <c r="I1512" i="12"/>
  <c r="N1511" i="12"/>
  <c r="K1511" i="12"/>
  <c r="I1511" i="12"/>
  <c r="N1510" i="12"/>
  <c r="K1510" i="12"/>
  <c r="I1510" i="12"/>
  <c r="N1509" i="12"/>
  <c r="K1509" i="12"/>
  <c r="I1509" i="12"/>
  <c r="N1508" i="12"/>
  <c r="K1508" i="12"/>
  <c r="I1508" i="12"/>
  <c r="N1507" i="12"/>
  <c r="K1507" i="12"/>
  <c r="I1507" i="12"/>
  <c r="N1506" i="12"/>
  <c r="K1506" i="12"/>
  <c r="I1506" i="12"/>
  <c r="N1505" i="12"/>
  <c r="K1505" i="12"/>
  <c r="I1505" i="12"/>
  <c r="N1504" i="12"/>
  <c r="K1504" i="12"/>
  <c r="I1504" i="12"/>
  <c r="N1503" i="12"/>
  <c r="K1503" i="12"/>
  <c r="I1503" i="12"/>
  <c r="N1502" i="12"/>
  <c r="K1502" i="12"/>
  <c r="I1502" i="12"/>
  <c r="N1501" i="12"/>
  <c r="K1501" i="12"/>
  <c r="I1501" i="12"/>
  <c r="N1500" i="12"/>
  <c r="K1500" i="12"/>
  <c r="I1500" i="12"/>
  <c r="N1499" i="12"/>
  <c r="K1499" i="12"/>
  <c r="I1499" i="12"/>
  <c r="N1498" i="12"/>
  <c r="K1498" i="12"/>
  <c r="I1498" i="12"/>
  <c r="N1497" i="12"/>
  <c r="K1497" i="12"/>
  <c r="I1497" i="12"/>
  <c r="N1496" i="12"/>
  <c r="K1496" i="12"/>
  <c r="I1496" i="12"/>
  <c r="N1495" i="12"/>
  <c r="K1495" i="12"/>
  <c r="I1495" i="12"/>
  <c r="N1494" i="12"/>
  <c r="K1494" i="12"/>
  <c r="I1494" i="12"/>
  <c r="N1493" i="12"/>
  <c r="K1493" i="12"/>
  <c r="I1493" i="12"/>
  <c r="N1492" i="12"/>
  <c r="K1492" i="12"/>
  <c r="I1492" i="12"/>
  <c r="N1491" i="12"/>
  <c r="K1491" i="12"/>
  <c r="I1491" i="12"/>
  <c r="N1490" i="12"/>
  <c r="K1490" i="12"/>
  <c r="I1490" i="12"/>
  <c r="N1489" i="12"/>
  <c r="K1489" i="12"/>
  <c r="I1489" i="12"/>
  <c r="N1488" i="12"/>
  <c r="K1488" i="12"/>
  <c r="I1488" i="12"/>
  <c r="N1487" i="12"/>
  <c r="K1487" i="12"/>
  <c r="I1487" i="12"/>
  <c r="N1486" i="12"/>
  <c r="K1486" i="12"/>
  <c r="I1486" i="12"/>
  <c r="N1485" i="12"/>
  <c r="K1485" i="12"/>
  <c r="I1485" i="12"/>
  <c r="N1484" i="12"/>
  <c r="K1484" i="12"/>
  <c r="I1484" i="12"/>
  <c r="N1483" i="12"/>
  <c r="K1483" i="12"/>
  <c r="I1483" i="12"/>
  <c r="N1482" i="12"/>
  <c r="K1482" i="12"/>
  <c r="I1482" i="12"/>
  <c r="N1481" i="12"/>
  <c r="K1481" i="12"/>
  <c r="I1481" i="12"/>
  <c r="N1480" i="12"/>
  <c r="K1480" i="12"/>
  <c r="I1480" i="12"/>
  <c r="N1479" i="12"/>
  <c r="K1479" i="12"/>
  <c r="I1479" i="12"/>
  <c r="N1478" i="12"/>
  <c r="K1478" i="12"/>
  <c r="I1478" i="12"/>
  <c r="N1477" i="12"/>
  <c r="K1477" i="12"/>
  <c r="I1477" i="12"/>
  <c r="N1476" i="12"/>
  <c r="K1476" i="12"/>
  <c r="I1476" i="12"/>
  <c r="N1475" i="12"/>
  <c r="K1475" i="12"/>
  <c r="I1475" i="12"/>
  <c r="N1474" i="12"/>
  <c r="K1474" i="12"/>
  <c r="I1474" i="12"/>
  <c r="N1473" i="12"/>
  <c r="K1473" i="12"/>
  <c r="I1473" i="12"/>
  <c r="N1472" i="12"/>
  <c r="K1472" i="12"/>
  <c r="I1472" i="12"/>
  <c r="N1471" i="12"/>
  <c r="K1471" i="12"/>
  <c r="I1471" i="12"/>
  <c r="N1470" i="12"/>
  <c r="K1470" i="12"/>
  <c r="I1470" i="12"/>
  <c r="N1469" i="12"/>
  <c r="K1469" i="12"/>
  <c r="I1469" i="12"/>
  <c r="N1468" i="12"/>
  <c r="K1468" i="12"/>
  <c r="I1468" i="12"/>
  <c r="N1467" i="12"/>
  <c r="K1467" i="12"/>
  <c r="I1467" i="12"/>
  <c r="N1466" i="12"/>
  <c r="K1466" i="12"/>
  <c r="I1466" i="12"/>
  <c r="N1465" i="12"/>
  <c r="K1465" i="12"/>
  <c r="I1465" i="12"/>
  <c r="N1464" i="12"/>
  <c r="K1464" i="12"/>
  <c r="I1464" i="12"/>
  <c r="N1463" i="12"/>
  <c r="K1463" i="12"/>
  <c r="I1463" i="12"/>
  <c r="N1462" i="12"/>
  <c r="K1462" i="12"/>
  <c r="I1462" i="12"/>
  <c r="N1461" i="12"/>
  <c r="K1461" i="12"/>
  <c r="I1461" i="12"/>
  <c r="N1460" i="12"/>
  <c r="K1460" i="12"/>
  <c r="I1460" i="12"/>
  <c r="N1459" i="12"/>
  <c r="K1459" i="12"/>
  <c r="I1459" i="12"/>
  <c r="N1458" i="12"/>
  <c r="K1458" i="12"/>
  <c r="I1458" i="12"/>
  <c r="N1457" i="12"/>
  <c r="K1457" i="12"/>
  <c r="I1457" i="12"/>
  <c r="N1456" i="12"/>
  <c r="K1456" i="12"/>
  <c r="I1456" i="12"/>
  <c r="N1455" i="12"/>
  <c r="K1455" i="12"/>
  <c r="I1455" i="12"/>
  <c r="N1454" i="12"/>
  <c r="K1454" i="12"/>
  <c r="I1454" i="12"/>
  <c r="N1453" i="12"/>
  <c r="K1453" i="12"/>
  <c r="I1453" i="12"/>
  <c r="N1452" i="12"/>
  <c r="K1452" i="12"/>
  <c r="I1452" i="12"/>
  <c r="N1451" i="12"/>
  <c r="K1451" i="12"/>
  <c r="I1451" i="12"/>
  <c r="N1450" i="12"/>
  <c r="K1450" i="12"/>
  <c r="I1450" i="12"/>
  <c r="N1449" i="12"/>
  <c r="K1449" i="12"/>
  <c r="I1449" i="12"/>
  <c r="N1448" i="12"/>
  <c r="K1448" i="12"/>
  <c r="I1448" i="12"/>
  <c r="N1447" i="12"/>
  <c r="K1447" i="12"/>
  <c r="I1447" i="12"/>
  <c r="N1446" i="12"/>
  <c r="K1446" i="12"/>
  <c r="I1446" i="12"/>
  <c r="N1445" i="12"/>
  <c r="K1445" i="12"/>
  <c r="I1445" i="12"/>
  <c r="N1444" i="12"/>
  <c r="K1444" i="12"/>
  <c r="I1444" i="12"/>
  <c r="N1443" i="12"/>
  <c r="K1443" i="12"/>
  <c r="I1443" i="12"/>
  <c r="N1442" i="12"/>
  <c r="K1442" i="12"/>
  <c r="I1442" i="12"/>
  <c r="N1441" i="12"/>
  <c r="K1441" i="12"/>
  <c r="I1441" i="12"/>
  <c r="N1440" i="12"/>
  <c r="K1440" i="12"/>
  <c r="I1440" i="12"/>
  <c r="N1439" i="12"/>
  <c r="K1439" i="12"/>
  <c r="I1439" i="12"/>
  <c r="N1438" i="12"/>
  <c r="K1438" i="12"/>
  <c r="I1438" i="12"/>
  <c r="N1437" i="12"/>
  <c r="K1437" i="12"/>
  <c r="I1437" i="12"/>
  <c r="N1436" i="12"/>
  <c r="K1436" i="12"/>
  <c r="I1436" i="12"/>
  <c r="N1435" i="12"/>
  <c r="K1435" i="12"/>
  <c r="I1435" i="12"/>
  <c r="N1434" i="12"/>
  <c r="K1434" i="12"/>
  <c r="I1434" i="12"/>
  <c r="N1433" i="12"/>
  <c r="K1433" i="12"/>
  <c r="I1433" i="12"/>
  <c r="N1432" i="12"/>
  <c r="K1432" i="12"/>
  <c r="I1432" i="12"/>
  <c r="N1431" i="12"/>
  <c r="K1431" i="12"/>
  <c r="I1431" i="12"/>
  <c r="N1430" i="12"/>
  <c r="K1430" i="12"/>
  <c r="I1430" i="12"/>
  <c r="N1429" i="12"/>
  <c r="K1429" i="12"/>
  <c r="I1429" i="12"/>
  <c r="N1428" i="12"/>
  <c r="K1428" i="12"/>
  <c r="I1428" i="12"/>
  <c r="N1427" i="12"/>
  <c r="K1427" i="12"/>
  <c r="I1427" i="12"/>
  <c r="N1426" i="12"/>
  <c r="K1426" i="12"/>
  <c r="I1426" i="12"/>
  <c r="N1425" i="12"/>
  <c r="K1425" i="12"/>
  <c r="I1425" i="12"/>
  <c r="N1424" i="12"/>
  <c r="K1424" i="12"/>
  <c r="I1424" i="12"/>
  <c r="N1423" i="12"/>
  <c r="K1423" i="12"/>
  <c r="I1423" i="12"/>
  <c r="N1422" i="12"/>
  <c r="K1422" i="12"/>
  <c r="I1422" i="12"/>
  <c r="N1421" i="12"/>
  <c r="K1421" i="12"/>
  <c r="I1421" i="12"/>
  <c r="N1420" i="12"/>
  <c r="K1420" i="12"/>
  <c r="I1420" i="12"/>
  <c r="N1419" i="12"/>
  <c r="K1419" i="12"/>
  <c r="I1419" i="12"/>
  <c r="N1418" i="12"/>
  <c r="K1418" i="12"/>
  <c r="I1418" i="12"/>
  <c r="N1417" i="12"/>
  <c r="K1417" i="12"/>
  <c r="I1417" i="12"/>
  <c r="N1416" i="12"/>
  <c r="K1416" i="12"/>
  <c r="I1416" i="12"/>
  <c r="N1415" i="12"/>
  <c r="K1415" i="12"/>
  <c r="I1415" i="12"/>
  <c r="N1414" i="12"/>
  <c r="K1414" i="12"/>
  <c r="I1414" i="12"/>
  <c r="N1413" i="12"/>
  <c r="K1413" i="12"/>
  <c r="I1413" i="12"/>
  <c r="N1412" i="12"/>
  <c r="K1412" i="12"/>
  <c r="I1412" i="12"/>
  <c r="N1411" i="12"/>
  <c r="K1411" i="12"/>
  <c r="I1411" i="12"/>
  <c r="N1410" i="12"/>
  <c r="K1410" i="12"/>
  <c r="I1410" i="12"/>
  <c r="N1409" i="12"/>
  <c r="K1409" i="12"/>
  <c r="I1409" i="12"/>
  <c r="N1408" i="12"/>
  <c r="K1408" i="12"/>
  <c r="I1408" i="12"/>
  <c r="N1407" i="12"/>
  <c r="K1407" i="12"/>
  <c r="I1407" i="12"/>
  <c r="N1406" i="12"/>
  <c r="K1406" i="12"/>
  <c r="I1406" i="12"/>
  <c r="N1405" i="12"/>
  <c r="K1405" i="12"/>
  <c r="I1405" i="12"/>
  <c r="N1404" i="12"/>
  <c r="K1404" i="12"/>
  <c r="I1404" i="12"/>
  <c r="N1403" i="12"/>
  <c r="K1403" i="12"/>
  <c r="I1403" i="12"/>
  <c r="N1402" i="12"/>
  <c r="K1402" i="12"/>
  <c r="I1402" i="12"/>
  <c r="N1401" i="12"/>
  <c r="K1401" i="12"/>
  <c r="I1401" i="12"/>
  <c r="N1400" i="12"/>
  <c r="K1400" i="12"/>
  <c r="I1400" i="12"/>
  <c r="N1399" i="12"/>
  <c r="K1399" i="12"/>
  <c r="I1399" i="12"/>
  <c r="N1398" i="12"/>
  <c r="K1398" i="12"/>
  <c r="I1398" i="12"/>
  <c r="N1397" i="12"/>
  <c r="K1397" i="12"/>
  <c r="I1397" i="12"/>
  <c r="N1396" i="12"/>
  <c r="K1396" i="12"/>
  <c r="I1396" i="12"/>
  <c r="N1395" i="12"/>
  <c r="K1395" i="12"/>
  <c r="I1395" i="12"/>
  <c r="N1394" i="12"/>
  <c r="K1394" i="12"/>
  <c r="I1394" i="12"/>
  <c r="N1393" i="12"/>
  <c r="K1393" i="12"/>
  <c r="I1393" i="12"/>
  <c r="N1392" i="12"/>
  <c r="K1392" i="12"/>
  <c r="I1392" i="12"/>
  <c r="N1391" i="12"/>
  <c r="K1391" i="12"/>
  <c r="I1391" i="12"/>
  <c r="N1390" i="12"/>
  <c r="K1390" i="12"/>
  <c r="I1390" i="12"/>
  <c r="N1389" i="12"/>
  <c r="K1389" i="12"/>
  <c r="I1389" i="12"/>
  <c r="N1388" i="12"/>
  <c r="K1388" i="12"/>
  <c r="I1388" i="12"/>
  <c r="N1387" i="12"/>
  <c r="K1387" i="12"/>
  <c r="I1387" i="12"/>
  <c r="N1386" i="12"/>
  <c r="K1386" i="12"/>
  <c r="I1386" i="12"/>
  <c r="N1385" i="12"/>
  <c r="K1385" i="12"/>
  <c r="I1385" i="12"/>
  <c r="N1384" i="12"/>
  <c r="K1384" i="12"/>
  <c r="I1384" i="12"/>
  <c r="N1383" i="12"/>
  <c r="K1383" i="12"/>
  <c r="I1383" i="12"/>
  <c r="N1382" i="12"/>
  <c r="K1382" i="12"/>
  <c r="I1382" i="12"/>
  <c r="N1381" i="12"/>
  <c r="K1381" i="12"/>
  <c r="I1381" i="12"/>
  <c r="N1380" i="12"/>
  <c r="K1380" i="12"/>
  <c r="I1380" i="12"/>
  <c r="N1379" i="12"/>
  <c r="K1379" i="12"/>
  <c r="I1379" i="12"/>
  <c r="N1378" i="12"/>
  <c r="K1378" i="12"/>
  <c r="I1378" i="12"/>
  <c r="N1377" i="12"/>
  <c r="K1377" i="12"/>
  <c r="I1377" i="12"/>
  <c r="N1376" i="12"/>
  <c r="K1376" i="12"/>
  <c r="I1376" i="12"/>
  <c r="N1375" i="12"/>
  <c r="K1375" i="12"/>
  <c r="I1375" i="12"/>
  <c r="N1374" i="12"/>
  <c r="K1374" i="12"/>
  <c r="I1374" i="12"/>
  <c r="N1373" i="12"/>
  <c r="K1373" i="12"/>
  <c r="I1373" i="12"/>
  <c r="N1372" i="12"/>
  <c r="K1372" i="12"/>
  <c r="I1372" i="12"/>
  <c r="N1371" i="12"/>
  <c r="K1371" i="12"/>
  <c r="I1371" i="12"/>
  <c r="N1370" i="12"/>
  <c r="K1370" i="12"/>
  <c r="I1370" i="12"/>
  <c r="N1369" i="12"/>
  <c r="K1369" i="12"/>
  <c r="I1369" i="12"/>
  <c r="N1368" i="12"/>
  <c r="K1368" i="12"/>
  <c r="I1368" i="12"/>
  <c r="N1367" i="12"/>
  <c r="K1367" i="12"/>
  <c r="I1367" i="12"/>
  <c r="N1366" i="12"/>
  <c r="K1366" i="12"/>
  <c r="I1366" i="12"/>
  <c r="N1365" i="12"/>
  <c r="K1365" i="12"/>
  <c r="I1365" i="12"/>
  <c r="N1364" i="12"/>
  <c r="K1364" i="12"/>
  <c r="I1364" i="12"/>
  <c r="N1363" i="12"/>
  <c r="K1363" i="12"/>
  <c r="I1363" i="12"/>
  <c r="N1362" i="12"/>
  <c r="K1362" i="12"/>
  <c r="I1362" i="12"/>
  <c r="N1361" i="12"/>
  <c r="K1361" i="12"/>
  <c r="I1361" i="12"/>
  <c r="N1360" i="12"/>
  <c r="K1360" i="12"/>
  <c r="I1360" i="12"/>
  <c r="N1359" i="12"/>
  <c r="K1359" i="12"/>
  <c r="I1359" i="12"/>
  <c r="N1358" i="12"/>
  <c r="K1358" i="12"/>
  <c r="I1358" i="12"/>
  <c r="N1357" i="12"/>
  <c r="K1357" i="12"/>
  <c r="I1357" i="12"/>
  <c r="N1356" i="12"/>
  <c r="K1356" i="12"/>
  <c r="I1356" i="12"/>
  <c r="N1355" i="12"/>
  <c r="K1355" i="12"/>
  <c r="I1355" i="12"/>
  <c r="N1354" i="12"/>
  <c r="K1354" i="12"/>
  <c r="I1354" i="12"/>
  <c r="N1353" i="12"/>
  <c r="K1353" i="12"/>
  <c r="I1353" i="12"/>
  <c r="N1352" i="12"/>
  <c r="K1352" i="12"/>
  <c r="I1352" i="12"/>
  <c r="N1351" i="12"/>
  <c r="K1351" i="12"/>
  <c r="I1351" i="12"/>
  <c r="N1350" i="12"/>
  <c r="K1350" i="12"/>
  <c r="I1350" i="12"/>
  <c r="N1349" i="12"/>
  <c r="K1349" i="12"/>
  <c r="I1349" i="12"/>
  <c r="N1348" i="12"/>
  <c r="K1348" i="12"/>
  <c r="I1348" i="12"/>
  <c r="N1347" i="12"/>
  <c r="K1347" i="12"/>
  <c r="I1347" i="12"/>
  <c r="N1346" i="12"/>
  <c r="K1346" i="12"/>
  <c r="I1346" i="12"/>
  <c r="N1345" i="12"/>
  <c r="K1345" i="12"/>
  <c r="I1345" i="12"/>
  <c r="N1344" i="12"/>
  <c r="K1344" i="12"/>
  <c r="I1344" i="12"/>
  <c r="N1343" i="12"/>
  <c r="K1343" i="12"/>
  <c r="I1343" i="12"/>
  <c r="N1342" i="12"/>
  <c r="K1342" i="12"/>
  <c r="I1342" i="12"/>
  <c r="N1341" i="12"/>
  <c r="K1341" i="12"/>
  <c r="I1341" i="12"/>
  <c r="N1340" i="12"/>
  <c r="K1340" i="12"/>
  <c r="I1340" i="12"/>
  <c r="N1339" i="12"/>
  <c r="K1339" i="12"/>
  <c r="I1339" i="12"/>
  <c r="N1338" i="12"/>
  <c r="K1338" i="12"/>
  <c r="I1338" i="12"/>
  <c r="N1337" i="12"/>
  <c r="K1337" i="12"/>
  <c r="I1337" i="12"/>
  <c r="N1336" i="12"/>
  <c r="K1336" i="12"/>
  <c r="I1336" i="12"/>
  <c r="N1335" i="12"/>
  <c r="K1335" i="12"/>
  <c r="I1335" i="12"/>
  <c r="N1334" i="12"/>
  <c r="K1334" i="12"/>
  <c r="I1334" i="12"/>
  <c r="N1333" i="12"/>
  <c r="K1333" i="12"/>
  <c r="I1333" i="12"/>
  <c r="N1332" i="12"/>
  <c r="K1332" i="12"/>
  <c r="I1332" i="12"/>
  <c r="N1331" i="12"/>
  <c r="K1331" i="12"/>
  <c r="I1331" i="12"/>
  <c r="N1330" i="12"/>
  <c r="K1330" i="12"/>
  <c r="I1330" i="12"/>
  <c r="N1329" i="12"/>
  <c r="K1329" i="12"/>
  <c r="I1329" i="12"/>
  <c r="N1328" i="12"/>
  <c r="K1328" i="12"/>
  <c r="I1328" i="12"/>
  <c r="N1327" i="12"/>
  <c r="K1327" i="12"/>
  <c r="I1327" i="12"/>
  <c r="N1326" i="12"/>
  <c r="K1326" i="12"/>
  <c r="I1326" i="12"/>
  <c r="N1325" i="12"/>
  <c r="K1325" i="12"/>
  <c r="I1325" i="12"/>
  <c r="N1324" i="12"/>
  <c r="K1324" i="12"/>
  <c r="I1324" i="12"/>
  <c r="N1323" i="12"/>
  <c r="K1323" i="12"/>
  <c r="I1323" i="12"/>
  <c r="N1322" i="12"/>
  <c r="K1322" i="12"/>
  <c r="I1322" i="12"/>
  <c r="N1321" i="12"/>
  <c r="K1321" i="12"/>
  <c r="I1321" i="12"/>
  <c r="N1320" i="12"/>
  <c r="K1320" i="12"/>
  <c r="I1320" i="12"/>
  <c r="N1319" i="12"/>
  <c r="K1319" i="12"/>
  <c r="I1319" i="12"/>
  <c r="N1318" i="12"/>
  <c r="K1318" i="12"/>
  <c r="I1318" i="12"/>
  <c r="N1317" i="12"/>
  <c r="K1317" i="12"/>
  <c r="I1317" i="12"/>
  <c r="N1316" i="12"/>
  <c r="K1316" i="12"/>
  <c r="I1316" i="12"/>
  <c r="N1315" i="12"/>
  <c r="K1315" i="12"/>
  <c r="I1315" i="12"/>
  <c r="N1314" i="12"/>
  <c r="K1314" i="12"/>
  <c r="I1314" i="12"/>
  <c r="N1313" i="12"/>
  <c r="K1313" i="12"/>
  <c r="I1313" i="12"/>
  <c r="N1312" i="12"/>
  <c r="K1312" i="12"/>
  <c r="I1312" i="12"/>
  <c r="N1311" i="12"/>
  <c r="K1311" i="12"/>
  <c r="I1311" i="12"/>
  <c r="N1310" i="12"/>
  <c r="K1310" i="12"/>
  <c r="I1310" i="12"/>
  <c r="N1309" i="12"/>
  <c r="K1309" i="12"/>
  <c r="I1309" i="12"/>
  <c r="N1308" i="12"/>
  <c r="K1308" i="12"/>
  <c r="I1308" i="12"/>
  <c r="N1307" i="12"/>
  <c r="K1307" i="12"/>
  <c r="I1307" i="12"/>
  <c r="N1306" i="12"/>
  <c r="K1306" i="12"/>
  <c r="I1306" i="12"/>
  <c r="N1305" i="12"/>
  <c r="K1305" i="12"/>
  <c r="I1305" i="12"/>
  <c r="N1304" i="12"/>
  <c r="K1304" i="12"/>
  <c r="I1304" i="12"/>
  <c r="N1303" i="12"/>
  <c r="K1303" i="12"/>
  <c r="I1303" i="12"/>
  <c r="N1302" i="12"/>
  <c r="K1302" i="12"/>
  <c r="I1302" i="12"/>
  <c r="N1301" i="12"/>
  <c r="K1301" i="12"/>
  <c r="I1301" i="12"/>
  <c r="N1300" i="12"/>
  <c r="K1300" i="12"/>
  <c r="I1300" i="12"/>
  <c r="N1299" i="12"/>
  <c r="K1299" i="12"/>
  <c r="I1299" i="12"/>
  <c r="N1298" i="12"/>
  <c r="K1298" i="12"/>
  <c r="I1298" i="12"/>
  <c r="N1297" i="12"/>
  <c r="K1297" i="12"/>
  <c r="I1297" i="12"/>
  <c r="N1296" i="12"/>
  <c r="K1296" i="12"/>
  <c r="I1296" i="12"/>
  <c r="N1295" i="12"/>
  <c r="K1295" i="12"/>
  <c r="I1295" i="12"/>
  <c r="N1294" i="12"/>
  <c r="K1294" i="12"/>
  <c r="I1294" i="12"/>
  <c r="N1293" i="12"/>
  <c r="K1293" i="12"/>
  <c r="I1293" i="12"/>
  <c r="N1292" i="12"/>
  <c r="K1292" i="12"/>
  <c r="I1292" i="12"/>
  <c r="N1291" i="12"/>
  <c r="K1291" i="12"/>
  <c r="I1291" i="12"/>
  <c r="N1290" i="12"/>
  <c r="K1290" i="12"/>
  <c r="I1290" i="12"/>
  <c r="N1289" i="12"/>
  <c r="K1289" i="12"/>
  <c r="I1289" i="12"/>
  <c r="N1288" i="12"/>
  <c r="K1288" i="12"/>
  <c r="I1288" i="12"/>
  <c r="N1287" i="12"/>
  <c r="K1287" i="12"/>
  <c r="I1287" i="12"/>
  <c r="N1286" i="12"/>
  <c r="K1286" i="12"/>
  <c r="I1286" i="12"/>
  <c r="N1285" i="12"/>
  <c r="K1285" i="12"/>
  <c r="I1285" i="12"/>
  <c r="N1284" i="12"/>
  <c r="K1284" i="12"/>
  <c r="I1284" i="12"/>
  <c r="N1283" i="12"/>
  <c r="K1283" i="12"/>
  <c r="I1283" i="12"/>
  <c r="N1282" i="12"/>
  <c r="K1282" i="12"/>
  <c r="I1282" i="12"/>
  <c r="N1281" i="12"/>
  <c r="K1281" i="12"/>
  <c r="I1281" i="12"/>
  <c r="N1280" i="12"/>
  <c r="K1280" i="12"/>
  <c r="I1280" i="12"/>
  <c r="N1279" i="12"/>
  <c r="K1279" i="12"/>
  <c r="I1279" i="12"/>
  <c r="N1278" i="12"/>
  <c r="K1278" i="12"/>
  <c r="I1278" i="12"/>
  <c r="N1277" i="12"/>
  <c r="K1277" i="12"/>
  <c r="I1277" i="12"/>
  <c r="N1276" i="12"/>
  <c r="K1276" i="12"/>
  <c r="I1276" i="12"/>
  <c r="N1275" i="12"/>
  <c r="K1275" i="12"/>
  <c r="I1275" i="12"/>
  <c r="N1274" i="12"/>
  <c r="K1274" i="12"/>
  <c r="I1274" i="12"/>
  <c r="N1273" i="12"/>
  <c r="K1273" i="12"/>
  <c r="I1273" i="12"/>
  <c r="N1272" i="12"/>
  <c r="K1272" i="12"/>
  <c r="I1272" i="12"/>
  <c r="N1271" i="12"/>
  <c r="K1271" i="12"/>
  <c r="I1271" i="12"/>
  <c r="N1270" i="12"/>
  <c r="K1270" i="12"/>
  <c r="I1270" i="12"/>
  <c r="N1269" i="12"/>
  <c r="K1269" i="12"/>
  <c r="I1269" i="12"/>
  <c r="N1268" i="12"/>
  <c r="K1268" i="12"/>
  <c r="I1268" i="12"/>
  <c r="N1267" i="12"/>
  <c r="K1267" i="12"/>
  <c r="I1267" i="12"/>
  <c r="N1266" i="12"/>
  <c r="K1266" i="12"/>
  <c r="I1266" i="12"/>
  <c r="N1265" i="12"/>
  <c r="K1265" i="12"/>
  <c r="I1265" i="12"/>
  <c r="N1264" i="12"/>
  <c r="K1264" i="12"/>
  <c r="I1264" i="12"/>
  <c r="N1263" i="12"/>
  <c r="K1263" i="12"/>
  <c r="I1263" i="12"/>
  <c r="N1262" i="12"/>
  <c r="K1262" i="12"/>
  <c r="I1262" i="12"/>
  <c r="N1261" i="12"/>
  <c r="K1261" i="12"/>
  <c r="I1261" i="12"/>
  <c r="N1260" i="12"/>
  <c r="K1260" i="12"/>
  <c r="I1260" i="12"/>
  <c r="N1259" i="12"/>
  <c r="K1259" i="12"/>
  <c r="I1259" i="12"/>
  <c r="N1258" i="12"/>
  <c r="K1258" i="12"/>
  <c r="I1258" i="12"/>
  <c r="N1257" i="12"/>
  <c r="K1257" i="12"/>
  <c r="I1257" i="12"/>
  <c r="N1256" i="12"/>
  <c r="K1256" i="12"/>
  <c r="I1256" i="12"/>
  <c r="N1255" i="12"/>
  <c r="K1255" i="12"/>
  <c r="I1255" i="12"/>
  <c r="N1254" i="12"/>
  <c r="K1254" i="12"/>
  <c r="I1254" i="12"/>
  <c r="N1253" i="12"/>
  <c r="K1253" i="12"/>
  <c r="I1253" i="12"/>
  <c r="N1252" i="12"/>
  <c r="K1252" i="12"/>
  <c r="I1252" i="12"/>
  <c r="N1251" i="12"/>
  <c r="K1251" i="12"/>
  <c r="I1251" i="12"/>
  <c r="N1250" i="12"/>
  <c r="K1250" i="12"/>
  <c r="I1250" i="12"/>
  <c r="N1249" i="12"/>
  <c r="K1249" i="12"/>
  <c r="I1249" i="12"/>
  <c r="N1248" i="12"/>
  <c r="K1248" i="12"/>
  <c r="I1248" i="12"/>
  <c r="N1247" i="12"/>
  <c r="K1247" i="12"/>
  <c r="I1247" i="12"/>
  <c r="N1246" i="12"/>
  <c r="K1246" i="12"/>
  <c r="I1246" i="12"/>
  <c r="N1245" i="12"/>
  <c r="K1245" i="12"/>
  <c r="I1245" i="12"/>
  <c r="N1244" i="12"/>
  <c r="K1244" i="12"/>
  <c r="I1244" i="12"/>
  <c r="N1243" i="12"/>
  <c r="K1243" i="12"/>
  <c r="I1243" i="12"/>
  <c r="N1242" i="12"/>
  <c r="K1242" i="12"/>
  <c r="I1242" i="12"/>
  <c r="N1241" i="12"/>
  <c r="K1241" i="12"/>
  <c r="I1241" i="12"/>
  <c r="N1240" i="12"/>
  <c r="K1240" i="12"/>
  <c r="I1240" i="12"/>
  <c r="N1239" i="12"/>
  <c r="K1239" i="12"/>
  <c r="I1239" i="12"/>
  <c r="N1238" i="12"/>
  <c r="K1238" i="12"/>
  <c r="I1238" i="12"/>
  <c r="N1237" i="12"/>
  <c r="K1237" i="12"/>
  <c r="I1237" i="12"/>
  <c r="N1236" i="12"/>
  <c r="K1236" i="12"/>
  <c r="I1236" i="12"/>
  <c r="N1235" i="12"/>
  <c r="K1235" i="12"/>
  <c r="I1235" i="12"/>
  <c r="N1234" i="12"/>
  <c r="K1234" i="12"/>
  <c r="I1234" i="12"/>
  <c r="N1233" i="12"/>
  <c r="K1233" i="12"/>
  <c r="I1233" i="12"/>
  <c r="N1232" i="12"/>
  <c r="K1232" i="12"/>
  <c r="I1232" i="12"/>
  <c r="N1231" i="12"/>
  <c r="K1231" i="12"/>
  <c r="I1231" i="12"/>
  <c r="N1230" i="12"/>
  <c r="K1230" i="12"/>
  <c r="I1230" i="12"/>
  <c r="N1229" i="12"/>
  <c r="K1229" i="12"/>
  <c r="I1229" i="12"/>
  <c r="N1228" i="12"/>
  <c r="K1228" i="12"/>
  <c r="I1228" i="12"/>
  <c r="N1227" i="12"/>
  <c r="K1227" i="12"/>
  <c r="I1227" i="12"/>
  <c r="N1226" i="12"/>
  <c r="K1226" i="12"/>
  <c r="I1226" i="12"/>
  <c r="N1225" i="12"/>
  <c r="K1225" i="12"/>
  <c r="I1225" i="12"/>
  <c r="N1224" i="12"/>
  <c r="K1224" i="12"/>
  <c r="I1224" i="12"/>
  <c r="N1223" i="12"/>
  <c r="K1223" i="12"/>
  <c r="I1223" i="12"/>
  <c r="N1222" i="12"/>
  <c r="K1222" i="12"/>
  <c r="I1222" i="12"/>
  <c r="N1221" i="12"/>
  <c r="K1221" i="12"/>
  <c r="I1221" i="12"/>
  <c r="N1220" i="12"/>
  <c r="K1220" i="12"/>
  <c r="I1220" i="12"/>
  <c r="N1219" i="12"/>
  <c r="K1219" i="12"/>
  <c r="I1219" i="12"/>
  <c r="N1218" i="12"/>
  <c r="K1218" i="12"/>
  <c r="I1218" i="12"/>
  <c r="N1217" i="12"/>
  <c r="K1217" i="12"/>
  <c r="I1217" i="12"/>
  <c r="N1216" i="12"/>
  <c r="K1216" i="12"/>
  <c r="I1216" i="12"/>
  <c r="N1215" i="12"/>
  <c r="K1215" i="12"/>
  <c r="I1215" i="12"/>
  <c r="N1214" i="12"/>
  <c r="K1214" i="12"/>
  <c r="I1214" i="12"/>
  <c r="N1213" i="12"/>
  <c r="K1213" i="12"/>
  <c r="I1213" i="12"/>
  <c r="N1212" i="12"/>
  <c r="K1212" i="12"/>
  <c r="I1212" i="12"/>
  <c r="N1211" i="12"/>
  <c r="K1211" i="12"/>
  <c r="I1211" i="12"/>
  <c r="N1210" i="12"/>
  <c r="K1210" i="12"/>
  <c r="I1210" i="12"/>
  <c r="N1209" i="12"/>
  <c r="K1209" i="12"/>
  <c r="I1209" i="12"/>
  <c r="N1208" i="12"/>
  <c r="K1208" i="12"/>
  <c r="I1208" i="12"/>
  <c r="N1207" i="12"/>
  <c r="K1207" i="12"/>
  <c r="I1207" i="12"/>
  <c r="N1206" i="12"/>
  <c r="K1206" i="12"/>
  <c r="I1206" i="12"/>
  <c r="N1205" i="12"/>
  <c r="K1205" i="12"/>
  <c r="I1205" i="12"/>
  <c r="N1204" i="12"/>
  <c r="K1204" i="12"/>
  <c r="I1204" i="12"/>
  <c r="N1203" i="12"/>
  <c r="K1203" i="12"/>
  <c r="I1203" i="12"/>
  <c r="N1202" i="12"/>
  <c r="K1202" i="12"/>
  <c r="I1202" i="12"/>
  <c r="N1201" i="12"/>
  <c r="K1201" i="12"/>
  <c r="I1201" i="12"/>
  <c r="N1200" i="12"/>
  <c r="K1200" i="12"/>
  <c r="I1200" i="12"/>
  <c r="N1199" i="12"/>
  <c r="K1199" i="12"/>
  <c r="I1199" i="12"/>
  <c r="N1198" i="12"/>
  <c r="K1198" i="12"/>
  <c r="I1198" i="12"/>
  <c r="N1197" i="12"/>
  <c r="K1197" i="12"/>
  <c r="I1197" i="12"/>
  <c r="N1196" i="12"/>
  <c r="K1196" i="12"/>
  <c r="I1196" i="12"/>
  <c r="N1195" i="12"/>
  <c r="K1195" i="12"/>
  <c r="I1195" i="12"/>
  <c r="N1194" i="12"/>
  <c r="K1194" i="12"/>
  <c r="I1194" i="12"/>
  <c r="N1193" i="12"/>
  <c r="K1193" i="12"/>
  <c r="I1193" i="12"/>
  <c r="N1192" i="12"/>
  <c r="K1192" i="12"/>
  <c r="I1192" i="12"/>
  <c r="N1191" i="12"/>
  <c r="K1191" i="12"/>
  <c r="I1191" i="12"/>
  <c r="N1190" i="12"/>
  <c r="K1190" i="12"/>
  <c r="I1190" i="12"/>
  <c r="N1189" i="12"/>
  <c r="K1189" i="12"/>
  <c r="I1189" i="12"/>
  <c r="N1188" i="12"/>
  <c r="K1188" i="12"/>
  <c r="I1188" i="12"/>
  <c r="N1187" i="12"/>
  <c r="K1187" i="12"/>
  <c r="I1187" i="12"/>
  <c r="N1186" i="12"/>
  <c r="K1186" i="12"/>
  <c r="I1186" i="12"/>
  <c r="N1185" i="12"/>
  <c r="K1185" i="12"/>
  <c r="I1185" i="12"/>
  <c r="N1184" i="12"/>
  <c r="K1184" i="12"/>
  <c r="I1184" i="12"/>
  <c r="N1183" i="12"/>
  <c r="K1183" i="12"/>
  <c r="I1183" i="12"/>
  <c r="N1182" i="12"/>
  <c r="K1182" i="12"/>
  <c r="I1182" i="12"/>
  <c r="N1181" i="12"/>
  <c r="K1181" i="12"/>
  <c r="I1181" i="12"/>
  <c r="N1180" i="12"/>
  <c r="K1180" i="12"/>
  <c r="I1180" i="12"/>
  <c r="N1179" i="12"/>
  <c r="K1179" i="12"/>
  <c r="I1179" i="12"/>
  <c r="N1178" i="12"/>
  <c r="K1178" i="12"/>
  <c r="I1178" i="12"/>
  <c r="N1177" i="12"/>
  <c r="K1177" i="12"/>
  <c r="I1177" i="12"/>
  <c r="N1176" i="12"/>
  <c r="K1176" i="12"/>
  <c r="I1176" i="12"/>
  <c r="N1175" i="12"/>
  <c r="K1175" i="12"/>
  <c r="I1175" i="12"/>
  <c r="N1174" i="12"/>
  <c r="K1174" i="12"/>
  <c r="I1174" i="12"/>
  <c r="N1173" i="12"/>
  <c r="K1173" i="12"/>
  <c r="I1173" i="12"/>
  <c r="N1172" i="12"/>
  <c r="K1172" i="12"/>
  <c r="I1172" i="12"/>
  <c r="N1171" i="12"/>
  <c r="K1171" i="12"/>
  <c r="I1171" i="12"/>
  <c r="N1170" i="12"/>
  <c r="K1170" i="12"/>
  <c r="I1170" i="12"/>
  <c r="N1169" i="12"/>
  <c r="K1169" i="12"/>
  <c r="I1169" i="12"/>
  <c r="N1168" i="12"/>
  <c r="K1168" i="12"/>
  <c r="I1168" i="12"/>
  <c r="N1167" i="12"/>
  <c r="K1167" i="12"/>
  <c r="I1167" i="12"/>
  <c r="N1166" i="12"/>
  <c r="K1166" i="12"/>
  <c r="I1166" i="12"/>
  <c r="N1165" i="12"/>
  <c r="K1165" i="12"/>
  <c r="I1165" i="12"/>
  <c r="N1164" i="12"/>
  <c r="K1164" i="12"/>
  <c r="I1164" i="12"/>
  <c r="N1163" i="12"/>
  <c r="K1163" i="12"/>
  <c r="I1163" i="12"/>
  <c r="N1162" i="12"/>
  <c r="K1162" i="12"/>
  <c r="I1162" i="12"/>
  <c r="N1161" i="12"/>
  <c r="K1161" i="12"/>
  <c r="I1161" i="12"/>
  <c r="N1160" i="12"/>
  <c r="K1160" i="12"/>
  <c r="I1160" i="12"/>
  <c r="N1159" i="12"/>
  <c r="K1159" i="12"/>
  <c r="I1159" i="12"/>
  <c r="N1158" i="12"/>
  <c r="K1158" i="12"/>
  <c r="I1158" i="12"/>
  <c r="N1157" i="12"/>
  <c r="K1157" i="12"/>
  <c r="I1157" i="12"/>
  <c r="N1156" i="12"/>
  <c r="K1156" i="12"/>
  <c r="I1156" i="12"/>
  <c r="N1155" i="12"/>
  <c r="K1155" i="12"/>
  <c r="I1155" i="12"/>
  <c r="N1154" i="12"/>
  <c r="K1154" i="12"/>
  <c r="I1154" i="12"/>
  <c r="N1153" i="12"/>
  <c r="K1153" i="12"/>
  <c r="I1153" i="12"/>
  <c r="N1152" i="12"/>
  <c r="K1152" i="12"/>
  <c r="I1152" i="12"/>
  <c r="N1151" i="12"/>
  <c r="K1151" i="12"/>
  <c r="I1151" i="12"/>
  <c r="N1150" i="12"/>
  <c r="K1150" i="12"/>
  <c r="I1150" i="12"/>
  <c r="N1149" i="12"/>
  <c r="K1149" i="12"/>
  <c r="I1149" i="12"/>
  <c r="N1148" i="12"/>
  <c r="K1148" i="12"/>
  <c r="I1148" i="12"/>
  <c r="N1147" i="12"/>
  <c r="K1147" i="12"/>
  <c r="I1147" i="12"/>
  <c r="N1146" i="12"/>
  <c r="K1146" i="12"/>
  <c r="I1146" i="12"/>
  <c r="N1145" i="12"/>
  <c r="K1145" i="12"/>
  <c r="I1145" i="12"/>
  <c r="N1144" i="12"/>
  <c r="K1144" i="12"/>
  <c r="I1144" i="12"/>
  <c r="N1143" i="12"/>
  <c r="K1143" i="12"/>
  <c r="I1143" i="12"/>
  <c r="N1142" i="12"/>
  <c r="K1142" i="12"/>
  <c r="I1142" i="12"/>
  <c r="N1141" i="12"/>
  <c r="K1141" i="12"/>
  <c r="I1141" i="12"/>
  <c r="N1140" i="12"/>
  <c r="K1140" i="12"/>
  <c r="I1140" i="12"/>
  <c r="N1139" i="12"/>
  <c r="K1139" i="12"/>
  <c r="I1139" i="12"/>
  <c r="N1138" i="12"/>
  <c r="K1138" i="12"/>
  <c r="I1138" i="12"/>
  <c r="N1137" i="12"/>
  <c r="K1137" i="12"/>
  <c r="I1137" i="12"/>
  <c r="N1136" i="12"/>
  <c r="K1136" i="12"/>
  <c r="I1136" i="12"/>
  <c r="N1135" i="12"/>
  <c r="K1135" i="12"/>
  <c r="I1135" i="12"/>
  <c r="N1134" i="12"/>
  <c r="K1134" i="12"/>
  <c r="I1134" i="12"/>
  <c r="N1133" i="12"/>
  <c r="K1133" i="12"/>
  <c r="I1133" i="12"/>
  <c r="N1132" i="12"/>
  <c r="K1132" i="12"/>
  <c r="I1132" i="12"/>
  <c r="N1131" i="12"/>
  <c r="K1131" i="12"/>
  <c r="I1131" i="12"/>
  <c r="N1130" i="12"/>
  <c r="K1130" i="12"/>
  <c r="I1130" i="12"/>
  <c r="N1129" i="12"/>
  <c r="K1129" i="12"/>
  <c r="I1129" i="12"/>
  <c r="N1128" i="12"/>
  <c r="K1128" i="12"/>
  <c r="I1128" i="12"/>
  <c r="N1127" i="12"/>
  <c r="K1127" i="12"/>
  <c r="I1127" i="12"/>
  <c r="N1126" i="12"/>
  <c r="K1126" i="12"/>
  <c r="I1126" i="12"/>
  <c r="N1125" i="12"/>
  <c r="K1125" i="12"/>
  <c r="I1125" i="12"/>
  <c r="N1124" i="12"/>
  <c r="K1124" i="12"/>
  <c r="I1124" i="12"/>
  <c r="N1123" i="12"/>
  <c r="K1123" i="12"/>
  <c r="I1123" i="12"/>
  <c r="N1122" i="12"/>
  <c r="K1122" i="12"/>
  <c r="I1122" i="12"/>
  <c r="N1121" i="12"/>
  <c r="K1121" i="12"/>
  <c r="I1121" i="12"/>
  <c r="N1120" i="12"/>
  <c r="K1120" i="12"/>
  <c r="I1120" i="12"/>
  <c r="N1119" i="12"/>
  <c r="K1119" i="12"/>
  <c r="I1119" i="12"/>
  <c r="N1118" i="12"/>
  <c r="K1118" i="12"/>
  <c r="I1118" i="12"/>
  <c r="N1117" i="12"/>
  <c r="K1117" i="12"/>
  <c r="I1117" i="12"/>
  <c r="N1116" i="12"/>
  <c r="K1116" i="12"/>
  <c r="I1116" i="12"/>
  <c r="N1115" i="12"/>
  <c r="K1115" i="12"/>
  <c r="I1115" i="12"/>
  <c r="N1114" i="12"/>
  <c r="K1114" i="12"/>
  <c r="I1114" i="12"/>
  <c r="N1113" i="12"/>
  <c r="K1113" i="12"/>
  <c r="I1113" i="12"/>
  <c r="N1112" i="12"/>
  <c r="K1112" i="12"/>
  <c r="I1112" i="12"/>
  <c r="N1111" i="12"/>
  <c r="K1111" i="12"/>
  <c r="I1111" i="12"/>
  <c r="N1110" i="12"/>
  <c r="K1110" i="12"/>
  <c r="I1110" i="12"/>
  <c r="N1109" i="12"/>
  <c r="K1109" i="12"/>
  <c r="I1109" i="12"/>
  <c r="N1108" i="12"/>
  <c r="K1108" i="12"/>
  <c r="I1108" i="12"/>
  <c r="N1107" i="12"/>
  <c r="K1107" i="12"/>
  <c r="I1107" i="12"/>
  <c r="N1106" i="12"/>
  <c r="K1106" i="12"/>
  <c r="I1106" i="12"/>
  <c r="N1105" i="12"/>
  <c r="K1105" i="12"/>
  <c r="I1105" i="12"/>
  <c r="N1104" i="12"/>
  <c r="K1104" i="12"/>
  <c r="I1104" i="12"/>
  <c r="N1103" i="12"/>
  <c r="K1103" i="12"/>
  <c r="I1103" i="12"/>
  <c r="N1102" i="12"/>
  <c r="K1102" i="12"/>
  <c r="I1102" i="12"/>
  <c r="N1101" i="12"/>
  <c r="K1101" i="12"/>
  <c r="I1101" i="12"/>
  <c r="N1100" i="12"/>
  <c r="K1100" i="12"/>
  <c r="I1100" i="12"/>
  <c r="N1099" i="12"/>
  <c r="K1099" i="12"/>
  <c r="I1099" i="12"/>
  <c r="N1098" i="12"/>
  <c r="K1098" i="12"/>
  <c r="I1098" i="12"/>
  <c r="N1097" i="12"/>
  <c r="K1097" i="12"/>
  <c r="I1097" i="12"/>
  <c r="N1096" i="12"/>
  <c r="K1096" i="12"/>
  <c r="I1096" i="12"/>
  <c r="N1095" i="12"/>
  <c r="K1095" i="12"/>
  <c r="I1095" i="12"/>
  <c r="N1094" i="12"/>
  <c r="K1094" i="12"/>
  <c r="I1094" i="12"/>
  <c r="N1093" i="12"/>
  <c r="K1093" i="12"/>
  <c r="I1093" i="12"/>
  <c r="N1092" i="12"/>
  <c r="K1092" i="12"/>
  <c r="I1092" i="12"/>
  <c r="N1091" i="12"/>
  <c r="K1091" i="12"/>
  <c r="I1091" i="12"/>
  <c r="N1090" i="12"/>
  <c r="K1090" i="12"/>
  <c r="I1090" i="12"/>
  <c r="N1089" i="12"/>
  <c r="K1089" i="12"/>
  <c r="I1089" i="12"/>
  <c r="N1088" i="12"/>
  <c r="K1088" i="12"/>
  <c r="I1088" i="12"/>
  <c r="N1087" i="12"/>
  <c r="K1087" i="12"/>
  <c r="I1087" i="12"/>
  <c r="N1086" i="12"/>
  <c r="K1086" i="12"/>
  <c r="I1086" i="12"/>
  <c r="N1085" i="12"/>
  <c r="K1085" i="12"/>
  <c r="I1085" i="12"/>
  <c r="N1084" i="12"/>
  <c r="K1084" i="12"/>
  <c r="I1084" i="12"/>
  <c r="N1083" i="12"/>
  <c r="K1083" i="12"/>
  <c r="I1083" i="12"/>
  <c r="N1082" i="12"/>
  <c r="K1082" i="12"/>
  <c r="I1082" i="12"/>
  <c r="N1081" i="12"/>
  <c r="K1081" i="12"/>
  <c r="I1081" i="12"/>
  <c r="N1080" i="12"/>
  <c r="K1080" i="12"/>
  <c r="I1080" i="12"/>
  <c r="N1079" i="12"/>
  <c r="K1079" i="12"/>
  <c r="I1079" i="12"/>
  <c r="N1078" i="12"/>
  <c r="K1078" i="12"/>
  <c r="I1078" i="12"/>
  <c r="N1077" i="12"/>
  <c r="K1077" i="12"/>
  <c r="I1077" i="12"/>
  <c r="N1076" i="12"/>
  <c r="K1076" i="12"/>
  <c r="I1076" i="12"/>
  <c r="N1075" i="12"/>
  <c r="K1075" i="12"/>
  <c r="I1075" i="12"/>
  <c r="N1074" i="12"/>
  <c r="K1074" i="12"/>
  <c r="I1074" i="12"/>
  <c r="N1073" i="12"/>
  <c r="K1073" i="12"/>
  <c r="I1073" i="12"/>
  <c r="N1072" i="12"/>
  <c r="K1072" i="12"/>
  <c r="I1072" i="12"/>
  <c r="N1071" i="12"/>
  <c r="K1071" i="12"/>
  <c r="I1071" i="12"/>
  <c r="N1070" i="12"/>
  <c r="K1070" i="12"/>
  <c r="I1070" i="12"/>
  <c r="N1069" i="12"/>
  <c r="K1069" i="12"/>
  <c r="I1069" i="12"/>
  <c r="N1068" i="12"/>
  <c r="K1068" i="12"/>
  <c r="I1068" i="12"/>
  <c r="N1067" i="12"/>
  <c r="K1067" i="12"/>
  <c r="I1067" i="12"/>
  <c r="N1066" i="12"/>
  <c r="K1066" i="12"/>
  <c r="I1066" i="12"/>
  <c r="N1065" i="12"/>
  <c r="K1065" i="12"/>
  <c r="I1065" i="12"/>
  <c r="N1064" i="12"/>
  <c r="K1064" i="12"/>
  <c r="I1064" i="12"/>
  <c r="N1063" i="12"/>
  <c r="K1063" i="12"/>
  <c r="I1063" i="12"/>
  <c r="N1062" i="12"/>
  <c r="K1062" i="12"/>
  <c r="I1062" i="12"/>
  <c r="N1061" i="12"/>
  <c r="K1061" i="12"/>
  <c r="I1061" i="12"/>
  <c r="N1060" i="12"/>
  <c r="K1060" i="12"/>
  <c r="I1060" i="12"/>
  <c r="N1059" i="12"/>
  <c r="K1059" i="12"/>
  <c r="I1059" i="12"/>
  <c r="N1058" i="12"/>
  <c r="K1058" i="12"/>
  <c r="I1058" i="12"/>
  <c r="N1057" i="12"/>
  <c r="K1057" i="12"/>
  <c r="I1057" i="12"/>
  <c r="N1056" i="12"/>
  <c r="K1056" i="12"/>
  <c r="I1056" i="12"/>
  <c r="N1055" i="12"/>
  <c r="K1055" i="12"/>
  <c r="I1055" i="12"/>
  <c r="N1054" i="12"/>
  <c r="K1054" i="12"/>
  <c r="I1054" i="12"/>
  <c r="N1053" i="12"/>
  <c r="K1053" i="12"/>
  <c r="I1053" i="12"/>
  <c r="N1052" i="12"/>
  <c r="K1052" i="12"/>
  <c r="I1052" i="12"/>
  <c r="N1051" i="12"/>
  <c r="K1051" i="12"/>
  <c r="I1051" i="12"/>
  <c r="N1050" i="12"/>
  <c r="K1050" i="12"/>
  <c r="I1050" i="12"/>
  <c r="N1049" i="12"/>
  <c r="K1049" i="12"/>
  <c r="I1049" i="12"/>
  <c r="N1048" i="12"/>
  <c r="K1048" i="12"/>
  <c r="I1048" i="12"/>
  <c r="N1047" i="12"/>
  <c r="K1047" i="12"/>
  <c r="I1047" i="12"/>
  <c r="N1046" i="12"/>
  <c r="K1046" i="12"/>
  <c r="I1046" i="12"/>
  <c r="N1045" i="12"/>
  <c r="K1045" i="12"/>
  <c r="I1045" i="12"/>
  <c r="N1044" i="12"/>
  <c r="K1044" i="12"/>
  <c r="I1044" i="12"/>
  <c r="N1043" i="12"/>
  <c r="K1043" i="12"/>
  <c r="I1043" i="12"/>
  <c r="N1042" i="12"/>
  <c r="K1042" i="12"/>
  <c r="I1042" i="12"/>
  <c r="N1041" i="12"/>
  <c r="K1041" i="12"/>
  <c r="I1041" i="12"/>
  <c r="N1040" i="12"/>
  <c r="K1040" i="12"/>
  <c r="I1040" i="12"/>
  <c r="N1039" i="12"/>
  <c r="K1039" i="12"/>
  <c r="I1039" i="12"/>
  <c r="N1038" i="12"/>
  <c r="K1038" i="12"/>
  <c r="I1038" i="12"/>
  <c r="N1037" i="12"/>
  <c r="K1037" i="12"/>
  <c r="I1037" i="12"/>
  <c r="N1036" i="12"/>
  <c r="K1036" i="12"/>
  <c r="I1036" i="12"/>
  <c r="N1035" i="12"/>
  <c r="K1035" i="12"/>
  <c r="I1035" i="12"/>
  <c r="N1034" i="12"/>
  <c r="K1034" i="12"/>
  <c r="I1034" i="12"/>
  <c r="N1033" i="12"/>
  <c r="K1033" i="12"/>
  <c r="I1033" i="12"/>
  <c r="N1032" i="12"/>
  <c r="K1032" i="12"/>
  <c r="I1032" i="12"/>
  <c r="N1031" i="12"/>
  <c r="K1031" i="12"/>
  <c r="I1031" i="12"/>
  <c r="N1030" i="12"/>
  <c r="K1030" i="12"/>
  <c r="I1030" i="12"/>
  <c r="N1029" i="12"/>
  <c r="K1029" i="12"/>
  <c r="I1029" i="12"/>
  <c r="N1028" i="12"/>
  <c r="K1028" i="12"/>
  <c r="I1028" i="12"/>
  <c r="N1027" i="12"/>
  <c r="K1027" i="12"/>
  <c r="I1027" i="12"/>
  <c r="N1026" i="12"/>
  <c r="K1026" i="12"/>
  <c r="I1026" i="12"/>
  <c r="N1025" i="12"/>
  <c r="K1025" i="12"/>
  <c r="I1025" i="12"/>
  <c r="N1024" i="12"/>
  <c r="K1024" i="12"/>
  <c r="I1024" i="12"/>
  <c r="N1023" i="12"/>
  <c r="K1023" i="12"/>
  <c r="I1023" i="12"/>
  <c r="N1022" i="12"/>
  <c r="K1022" i="12"/>
  <c r="I1022" i="12"/>
  <c r="N1021" i="12"/>
  <c r="K1021" i="12"/>
  <c r="I1021" i="12"/>
  <c r="N1020" i="12"/>
  <c r="K1020" i="12"/>
  <c r="I1020" i="12"/>
  <c r="N1019" i="12"/>
  <c r="K1019" i="12"/>
  <c r="I1019" i="12"/>
  <c r="N1018" i="12"/>
  <c r="K1018" i="12"/>
  <c r="I1018" i="12"/>
  <c r="N1017" i="12"/>
  <c r="K1017" i="12"/>
  <c r="I1017" i="12"/>
  <c r="N1016" i="12"/>
  <c r="K1016" i="12"/>
  <c r="I1016" i="12"/>
  <c r="N1015" i="12"/>
  <c r="K1015" i="12"/>
  <c r="I1015" i="12"/>
  <c r="N1014" i="12"/>
  <c r="K1014" i="12"/>
  <c r="I1014" i="12"/>
  <c r="N1013" i="12"/>
  <c r="K1013" i="12"/>
  <c r="I1013" i="12"/>
  <c r="N1012" i="12"/>
  <c r="K1012" i="12"/>
  <c r="I1012" i="12"/>
  <c r="N1011" i="12"/>
  <c r="K1011" i="12"/>
  <c r="I1011" i="12"/>
  <c r="N1010" i="12"/>
  <c r="K1010" i="12"/>
  <c r="I1010" i="12"/>
  <c r="N1009" i="12"/>
  <c r="K1009" i="12"/>
  <c r="I1009" i="12"/>
  <c r="N1008" i="12"/>
  <c r="K1008" i="12"/>
  <c r="I1008" i="12"/>
  <c r="N1007" i="12"/>
  <c r="K1007" i="12"/>
  <c r="I1007" i="12"/>
  <c r="N1006" i="12"/>
  <c r="K1006" i="12"/>
  <c r="I1006" i="12"/>
  <c r="N1005" i="12"/>
  <c r="K1005" i="12"/>
  <c r="I1005" i="12"/>
  <c r="N1004" i="12"/>
  <c r="K1004" i="12"/>
  <c r="I1004" i="12"/>
  <c r="N1003" i="12"/>
  <c r="K1003" i="12"/>
  <c r="I1003" i="12"/>
  <c r="N1002" i="12"/>
  <c r="K1002" i="12"/>
  <c r="I1002" i="12"/>
  <c r="N1001" i="12"/>
  <c r="K1001" i="12"/>
  <c r="I1001" i="12"/>
  <c r="N1000" i="12"/>
  <c r="K1000" i="12"/>
  <c r="I1000" i="12"/>
  <c r="N999" i="12"/>
  <c r="K999" i="12"/>
  <c r="I999" i="12"/>
  <c r="N998" i="12"/>
  <c r="K998" i="12"/>
  <c r="I998" i="12"/>
  <c r="N997" i="12"/>
  <c r="K997" i="12"/>
  <c r="I997" i="12"/>
  <c r="N996" i="12"/>
  <c r="K996" i="12"/>
  <c r="I996" i="12"/>
  <c r="N995" i="12"/>
  <c r="K995" i="12"/>
  <c r="I995" i="12"/>
  <c r="N994" i="12"/>
  <c r="K994" i="12"/>
  <c r="I994" i="12"/>
  <c r="N993" i="12"/>
  <c r="K993" i="12"/>
  <c r="I993" i="12"/>
  <c r="N992" i="12"/>
  <c r="K992" i="12"/>
  <c r="I992" i="12"/>
  <c r="N991" i="12"/>
  <c r="K991" i="12"/>
  <c r="I991" i="12"/>
  <c r="N990" i="12"/>
  <c r="K990" i="12"/>
  <c r="I990" i="12"/>
  <c r="N989" i="12"/>
  <c r="K989" i="12"/>
  <c r="I989" i="12"/>
  <c r="N988" i="12"/>
  <c r="K988" i="12"/>
  <c r="I988" i="12"/>
  <c r="N987" i="12"/>
  <c r="K987" i="12"/>
  <c r="I987" i="12"/>
  <c r="N986" i="12"/>
  <c r="K986" i="12"/>
  <c r="I986" i="12"/>
  <c r="N985" i="12"/>
  <c r="K985" i="12"/>
  <c r="I985" i="12"/>
  <c r="N984" i="12"/>
  <c r="K984" i="12"/>
  <c r="I984" i="12"/>
  <c r="N983" i="12"/>
  <c r="K983" i="12"/>
  <c r="I983" i="12"/>
  <c r="N982" i="12"/>
  <c r="K982" i="12"/>
  <c r="I982" i="12"/>
  <c r="N981" i="12"/>
  <c r="K981" i="12"/>
  <c r="I981" i="12"/>
  <c r="N980" i="12"/>
  <c r="K980" i="12"/>
  <c r="I980" i="12"/>
  <c r="N979" i="12"/>
  <c r="K979" i="12"/>
  <c r="I979" i="12"/>
  <c r="N978" i="12"/>
  <c r="K978" i="12"/>
  <c r="I978" i="12"/>
  <c r="N977" i="12"/>
  <c r="K977" i="12"/>
  <c r="I977" i="12"/>
  <c r="N976" i="12"/>
  <c r="K976" i="12"/>
  <c r="I976" i="12"/>
  <c r="N975" i="12"/>
  <c r="K975" i="12"/>
  <c r="I975" i="12"/>
  <c r="N974" i="12"/>
  <c r="K974" i="12"/>
  <c r="I974" i="12"/>
  <c r="N973" i="12"/>
  <c r="K973" i="12"/>
  <c r="I973" i="12"/>
  <c r="N972" i="12"/>
  <c r="K972" i="12"/>
  <c r="I972" i="12"/>
  <c r="N971" i="12"/>
  <c r="K971" i="12"/>
  <c r="I971" i="12"/>
  <c r="N970" i="12"/>
  <c r="K970" i="12"/>
  <c r="I970" i="12"/>
  <c r="N969" i="12"/>
  <c r="K969" i="12"/>
  <c r="I969" i="12"/>
  <c r="N968" i="12"/>
  <c r="K968" i="12"/>
  <c r="I968" i="12"/>
  <c r="N967" i="12"/>
  <c r="K967" i="12"/>
  <c r="I967" i="12"/>
  <c r="N966" i="12"/>
  <c r="K966" i="12"/>
  <c r="I966" i="12"/>
  <c r="N965" i="12"/>
  <c r="K965" i="12"/>
  <c r="I965" i="12"/>
  <c r="N964" i="12"/>
  <c r="K964" i="12"/>
  <c r="I964" i="12"/>
  <c r="N963" i="12"/>
  <c r="K963" i="12"/>
  <c r="I963" i="12"/>
  <c r="N962" i="12"/>
  <c r="K962" i="12"/>
  <c r="I962" i="12"/>
  <c r="N961" i="12"/>
  <c r="K961" i="12"/>
  <c r="I961" i="12"/>
  <c r="N960" i="12"/>
  <c r="K960" i="12"/>
  <c r="I960" i="12"/>
  <c r="N959" i="12"/>
  <c r="K959" i="12"/>
  <c r="I959" i="12"/>
  <c r="N958" i="12"/>
  <c r="K958" i="12"/>
  <c r="I958" i="12"/>
  <c r="N957" i="12"/>
  <c r="K957" i="12"/>
  <c r="I957" i="12"/>
  <c r="N956" i="12"/>
  <c r="K956" i="12"/>
  <c r="I956" i="12"/>
  <c r="N955" i="12"/>
  <c r="K955" i="12"/>
  <c r="I955" i="12"/>
  <c r="N954" i="12"/>
  <c r="K954" i="12"/>
  <c r="I954" i="12"/>
  <c r="N953" i="12"/>
  <c r="K953" i="12"/>
  <c r="I953" i="12"/>
  <c r="N952" i="12"/>
  <c r="K952" i="12"/>
  <c r="I952" i="12"/>
  <c r="N951" i="12"/>
  <c r="K951" i="12"/>
  <c r="I951" i="12"/>
  <c r="N950" i="12"/>
  <c r="K950" i="12"/>
  <c r="I950" i="12"/>
  <c r="N949" i="12"/>
  <c r="K949" i="12"/>
  <c r="I949" i="12"/>
  <c r="N948" i="12"/>
  <c r="K948" i="12"/>
  <c r="I948" i="12"/>
  <c r="N947" i="12"/>
  <c r="K947" i="12"/>
  <c r="I947" i="12"/>
  <c r="N946" i="12"/>
  <c r="K946" i="12"/>
  <c r="I946" i="12"/>
  <c r="N945" i="12"/>
  <c r="K945" i="12"/>
  <c r="I945" i="12"/>
  <c r="N944" i="12"/>
  <c r="K944" i="12"/>
  <c r="I944" i="12"/>
  <c r="N943" i="12"/>
  <c r="K943" i="12"/>
  <c r="I943" i="12"/>
  <c r="N942" i="12"/>
  <c r="K942" i="12"/>
  <c r="I942" i="12"/>
  <c r="N941" i="12"/>
  <c r="K941" i="12"/>
  <c r="I941" i="12"/>
  <c r="N940" i="12"/>
  <c r="K940" i="12"/>
  <c r="I940" i="12"/>
  <c r="N939" i="12"/>
  <c r="K939" i="12"/>
  <c r="I939" i="12"/>
  <c r="N938" i="12"/>
  <c r="K938" i="12"/>
  <c r="I938" i="12"/>
  <c r="N937" i="12"/>
  <c r="K937" i="12"/>
  <c r="I937" i="12"/>
  <c r="N936" i="12"/>
  <c r="K936" i="12"/>
  <c r="I936" i="12"/>
  <c r="N935" i="12"/>
  <c r="K935" i="12"/>
  <c r="I935" i="12"/>
  <c r="N934" i="12"/>
  <c r="K934" i="12"/>
  <c r="I934" i="12"/>
  <c r="N933" i="12"/>
  <c r="K933" i="12"/>
  <c r="I933" i="12"/>
  <c r="N932" i="12"/>
  <c r="K932" i="12"/>
  <c r="I932" i="12"/>
  <c r="N931" i="12"/>
  <c r="K931" i="12"/>
  <c r="I931" i="12"/>
  <c r="N930" i="12"/>
  <c r="K930" i="12"/>
  <c r="I930" i="12"/>
  <c r="N929" i="12"/>
  <c r="K929" i="12"/>
  <c r="I929" i="12"/>
  <c r="N928" i="12"/>
  <c r="K928" i="12"/>
  <c r="I928" i="12"/>
  <c r="N927" i="12"/>
  <c r="K927" i="12"/>
  <c r="I927" i="12"/>
  <c r="N926" i="12"/>
  <c r="K926" i="12"/>
  <c r="I926" i="12"/>
  <c r="N925" i="12"/>
  <c r="K925" i="12"/>
  <c r="I925" i="12"/>
  <c r="N924" i="12"/>
  <c r="K924" i="12"/>
  <c r="I924" i="12"/>
  <c r="N923" i="12"/>
  <c r="K923" i="12"/>
  <c r="I923" i="12"/>
  <c r="N922" i="12"/>
  <c r="K922" i="12"/>
  <c r="I922" i="12"/>
  <c r="N921" i="12"/>
  <c r="K921" i="12"/>
  <c r="I921" i="12"/>
  <c r="N920" i="12"/>
  <c r="K920" i="12"/>
  <c r="I920" i="12"/>
  <c r="N919" i="12"/>
  <c r="K919" i="12"/>
  <c r="I919" i="12"/>
  <c r="N918" i="12"/>
  <c r="K918" i="12"/>
  <c r="I918" i="12"/>
  <c r="N917" i="12"/>
  <c r="K917" i="12"/>
  <c r="I917" i="12"/>
  <c r="N916" i="12"/>
  <c r="K916" i="12"/>
  <c r="I916" i="12"/>
  <c r="N915" i="12"/>
  <c r="K915" i="12"/>
  <c r="I915" i="12"/>
  <c r="N914" i="12"/>
  <c r="K914" i="12"/>
  <c r="I914" i="12"/>
  <c r="N913" i="12"/>
  <c r="K913" i="12"/>
  <c r="I913" i="12"/>
  <c r="N912" i="12"/>
  <c r="K912" i="12"/>
  <c r="I912" i="12"/>
  <c r="N911" i="12"/>
  <c r="K911" i="12"/>
  <c r="I911" i="12"/>
  <c r="N910" i="12"/>
  <c r="K910" i="12"/>
  <c r="I910" i="12"/>
  <c r="N909" i="12"/>
  <c r="K909" i="12"/>
  <c r="I909" i="12"/>
  <c r="N908" i="12"/>
  <c r="K908" i="12"/>
  <c r="I908" i="12"/>
  <c r="N907" i="12"/>
  <c r="K907" i="12"/>
  <c r="I907" i="12"/>
  <c r="N906" i="12"/>
  <c r="K906" i="12"/>
  <c r="I906" i="12"/>
  <c r="N905" i="12"/>
  <c r="K905" i="12"/>
  <c r="I905" i="12"/>
  <c r="N904" i="12"/>
  <c r="K904" i="12"/>
  <c r="I904" i="12"/>
  <c r="N903" i="12"/>
  <c r="K903" i="12"/>
  <c r="I903" i="12"/>
  <c r="N902" i="12"/>
  <c r="K902" i="12"/>
  <c r="I902" i="12"/>
  <c r="N901" i="12"/>
  <c r="K901" i="12"/>
  <c r="I901" i="12"/>
  <c r="N900" i="12"/>
  <c r="K900" i="12"/>
  <c r="I900" i="12"/>
  <c r="N899" i="12"/>
  <c r="K899" i="12"/>
  <c r="I899" i="12"/>
  <c r="N898" i="12"/>
  <c r="K898" i="12"/>
  <c r="I898" i="12"/>
  <c r="N897" i="12"/>
  <c r="K897" i="12"/>
  <c r="I897" i="12"/>
  <c r="N896" i="12"/>
  <c r="K896" i="12"/>
  <c r="I896" i="12"/>
  <c r="N895" i="12"/>
  <c r="K895" i="12"/>
  <c r="I895" i="12"/>
  <c r="N894" i="12"/>
  <c r="K894" i="12"/>
  <c r="I894" i="12"/>
  <c r="N893" i="12"/>
  <c r="K893" i="12"/>
  <c r="I893" i="12"/>
  <c r="N892" i="12"/>
  <c r="K892" i="12"/>
  <c r="I892" i="12"/>
  <c r="N891" i="12"/>
  <c r="K891" i="12"/>
  <c r="I891" i="12"/>
  <c r="N890" i="12"/>
  <c r="K890" i="12"/>
  <c r="I890" i="12"/>
  <c r="N889" i="12"/>
  <c r="K889" i="12"/>
  <c r="I889" i="12"/>
  <c r="N888" i="12"/>
  <c r="K888" i="12"/>
  <c r="I888" i="12"/>
  <c r="N887" i="12"/>
  <c r="K887" i="12"/>
  <c r="I887" i="12"/>
  <c r="N886" i="12"/>
  <c r="K886" i="12"/>
  <c r="I886" i="12"/>
  <c r="N885" i="12"/>
  <c r="K885" i="12"/>
  <c r="I885" i="12"/>
  <c r="N884" i="12"/>
  <c r="K884" i="12"/>
  <c r="I884" i="12"/>
  <c r="N883" i="12"/>
  <c r="K883" i="12"/>
  <c r="I883" i="12"/>
  <c r="N882" i="12"/>
  <c r="K882" i="12"/>
  <c r="I882" i="12"/>
  <c r="N881" i="12"/>
  <c r="K881" i="12"/>
  <c r="I881" i="12"/>
  <c r="N880" i="12"/>
  <c r="K880" i="12"/>
  <c r="I880" i="12"/>
  <c r="N879" i="12"/>
  <c r="K879" i="12"/>
  <c r="I879" i="12"/>
  <c r="N878" i="12"/>
  <c r="K878" i="12"/>
  <c r="I878" i="12"/>
  <c r="N877" i="12"/>
  <c r="K877" i="12"/>
  <c r="I877" i="12"/>
  <c r="N876" i="12"/>
  <c r="K876" i="12"/>
  <c r="I876" i="12"/>
  <c r="N875" i="12"/>
  <c r="K875" i="12"/>
  <c r="I875" i="12"/>
  <c r="N874" i="12"/>
  <c r="K874" i="12"/>
  <c r="I874" i="12"/>
  <c r="N873" i="12"/>
  <c r="K873" i="12"/>
  <c r="I873" i="12"/>
  <c r="N872" i="12"/>
  <c r="K872" i="12"/>
  <c r="I872" i="12"/>
  <c r="N871" i="12"/>
  <c r="K871" i="12"/>
  <c r="I871" i="12"/>
  <c r="N870" i="12"/>
  <c r="K870" i="12"/>
  <c r="I870" i="12"/>
  <c r="N869" i="12"/>
  <c r="K869" i="12"/>
  <c r="I869" i="12"/>
  <c r="N868" i="12"/>
  <c r="K868" i="12"/>
  <c r="I868" i="12"/>
  <c r="N867" i="12"/>
  <c r="K867" i="12"/>
  <c r="I867" i="12"/>
  <c r="N866" i="12"/>
  <c r="K866" i="12"/>
  <c r="I866" i="12"/>
  <c r="N865" i="12"/>
  <c r="K865" i="12"/>
  <c r="I865" i="12"/>
  <c r="N864" i="12"/>
  <c r="K864" i="12"/>
  <c r="I864" i="12"/>
  <c r="N863" i="12"/>
  <c r="K863" i="12"/>
  <c r="I863" i="12"/>
  <c r="N862" i="12"/>
  <c r="K862" i="12"/>
  <c r="I862" i="12"/>
  <c r="N861" i="12"/>
  <c r="K861" i="12"/>
  <c r="I861" i="12"/>
  <c r="N860" i="12"/>
  <c r="K860" i="12"/>
  <c r="I860" i="12"/>
  <c r="N859" i="12"/>
  <c r="K859" i="12"/>
  <c r="I859" i="12"/>
  <c r="N858" i="12"/>
  <c r="K858" i="12"/>
  <c r="I858" i="12"/>
  <c r="N857" i="12"/>
  <c r="K857" i="12"/>
  <c r="I857" i="12"/>
  <c r="N856" i="12"/>
  <c r="K856" i="12"/>
  <c r="I856" i="12"/>
  <c r="N855" i="12"/>
  <c r="K855" i="12"/>
  <c r="I855" i="12"/>
  <c r="N854" i="12"/>
  <c r="K854" i="12"/>
  <c r="I854" i="12"/>
  <c r="N853" i="12"/>
  <c r="K853" i="12"/>
  <c r="I853" i="12"/>
  <c r="N852" i="12"/>
  <c r="K852" i="12"/>
  <c r="I852" i="12"/>
  <c r="N851" i="12"/>
  <c r="K851" i="12"/>
  <c r="I851" i="12"/>
  <c r="N850" i="12"/>
  <c r="K850" i="12"/>
  <c r="I850" i="12"/>
  <c r="N849" i="12"/>
  <c r="K849" i="12"/>
  <c r="I849" i="12"/>
  <c r="N848" i="12"/>
  <c r="K848" i="12"/>
  <c r="I848" i="12"/>
  <c r="N847" i="12"/>
  <c r="K847" i="12"/>
  <c r="I847" i="12"/>
  <c r="N846" i="12"/>
  <c r="K846" i="12"/>
  <c r="I846" i="12"/>
  <c r="N845" i="12"/>
  <c r="K845" i="12"/>
  <c r="I845" i="12"/>
  <c r="N844" i="12"/>
  <c r="K844" i="12"/>
  <c r="I844" i="12"/>
  <c r="N843" i="12"/>
  <c r="K843" i="12"/>
  <c r="I843" i="12"/>
  <c r="N842" i="12"/>
  <c r="K842" i="12"/>
  <c r="I842" i="12"/>
  <c r="N841" i="12"/>
  <c r="K841" i="12"/>
  <c r="I841" i="12"/>
  <c r="N840" i="12"/>
  <c r="K840" i="12"/>
  <c r="I840" i="12"/>
  <c r="N839" i="12"/>
  <c r="K839" i="12"/>
  <c r="I839" i="12"/>
  <c r="N838" i="12"/>
  <c r="K838" i="12"/>
  <c r="I838" i="12"/>
  <c r="N837" i="12"/>
  <c r="K837" i="12"/>
  <c r="I837" i="12"/>
  <c r="N836" i="12"/>
  <c r="K836" i="12"/>
  <c r="I836" i="12"/>
  <c r="N835" i="12"/>
  <c r="K835" i="12"/>
  <c r="I835" i="12"/>
  <c r="N834" i="12"/>
  <c r="K834" i="12"/>
  <c r="I834" i="12"/>
  <c r="N833" i="12"/>
  <c r="K833" i="12"/>
  <c r="I833" i="12"/>
  <c r="N832" i="12"/>
  <c r="K832" i="12"/>
  <c r="I832" i="12"/>
  <c r="N831" i="12"/>
  <c r="K831" i="12"/>
  <c r="I831" i="12"/>
  <c r="N830" i="12"/>
  <c r="K830" i="12"/>
  <c r="I830" i="12"/>
  <c r="N829" i="12"/>
  <c r="K829" i="12"/>
  <c r="I829" i="12"/>
  <c r="N828" i="12"/>
  <c r="K828" i="12"/>
  <c r="I828" i="12"/>
  <c r="N827" i="12"/>
  <c r="K827" i="12"/>
  <c r="I827" i="12"/>
  <c r="N826" i="12"/>
  <c r="K826" i="12"/>
  <c r="I826" i="12"/>
  <c r="N825" i="12"/>
  <c r="K825" i="12"/>
  <c r="I825" i="12"/>
  <c r="N824" i="12"/>
  <c r="K824" i="12"/>
  <c r="I824" i="12"/>
  <c r="N823" i="12"/>
  <c r="K823" i="12"/>
  <c r="I823" i="12"/>
  <c r="N822" i="12"/>
  <c r="K822" i="12"/>
  <c r="I822" i="12"/>
  <c r="N821" i="12"/>
  <c r="K821" i="12"/>
  <c r="I821" i="12"/>
  <c r="N820" i="12"/>
  <c r="K820" i="12"/>
  <c r="I820" i="12"/>
  <c r="N819" i="12"/>
  <c r="K819" i="12"/>
  <c r="I819" i="12"/>
  <c r="N818" i="12"/>
  <c r="K818" i="12"/>
  <c r="I818" i="12"/>
  <c r="N817" i="12"/>
  <c r="K817" i="12"/>
  <c r="I817" i="12"/>
  <c r="N816" i="12"/>
  <c r="K816" i="12"/>
  <c r="I816" i="12"/>
  <c r="N815" i="12"/>
  <c r="K815" i="12"/>
  <c r="I815" i="12"/>
  <c r="N814" i="12"/>
  <c r="K814" i="12"/>
  <c r="I814" i="12"/>
  <c r="N813" i="12"/>
  <c r="K813" i="12"/>
  <c r="I813" i="12"/>
  <c r="N812" i="12"/>
  <c r="K812" i="12"/>
  <c r="I812" i="12"/>
  <c r="N811" i="12"/>
  <c r="K811" i="12"/>
  <c r="I811" i="12"/>
  <c r="N810" i="12"/>
  <c r="K810" i="12"/>
  <c r="I810" i="12"/>
  <c r="N809" i="12"/>
  <c r="K809" i="12"/>
  <c r="I809" i="12"/>
  <c r="N808" i="12"/>
  <c r="K808" i="12"/>
  <c r="I808" i="12"/>
  <c r="N807" i="12"/>
  <c r="K807" i="12"/>
  <c r="I807" i="12"/>
  <c r="N806" i="12"/>
  <c r="K806" i="12"/>
  <c r="I806" i="12"/>
  <c r="N805" i="12"/>
  <c r="K805" i="12"/>
  <c r="I805" i="12"/>
  <c r="N804" i="12"/>
  <c r="K804" i="12"/>
  <c r="I804" i="12"/>
  <c r="N803" i="12"/>
  <c r="K803" i="12"/>
  <c r="I803" i="12"/>
  <c r="N802" i="12"/>
  <c r="K802" i="12"/>
  <c r="I802" i="12"/>
  <c r="N801" i="12"/>
  <c r="K801" i="12"/>
  <c r="I801" i="12"/>
  <c r="N800" i="12"/>
  <c r="K800" i="12"/>
  <c r="I800" i="12"/>
  <c r="N799" i="12"/>
  <c r="K799" i="12"/>
  <c r="I799" i="12"/>
  <c r="N798" i="12"/>
  <c r="K798" i="12"/>
  <c r="I798" i="12"/>
  <c r="N797" i="12"/>
  <c r="K797" i="12"/>
  <c r="I797" i="12"/>
  <c r="N796" i="12"/>
  <c r="K796" i="12"/>
  <c r="I796" i="12"/>
  <c r="N795" i="12"/>
  <c r="K795" i="12"/>
  <c r="I795" i="12"/>
  <c r="N794" i="12"/>
  <c r="K794" i="12"/>
  <c r="I794" i="12"/>
  <c r="N793" i="12"/>
  <c r="K793" i="12"/>
  <c r="I793" i="12"/>
  <c r="N792" i="12"/>
  <c r="K792" i="12"/>
  <c r="I792" i="12"/>
  <c r="N791" i="12"/>
  <c r="K791" i="12"/>
  <c r="I791" i="12"/>
  <c r="N790" i="12"/>
  <c r="K790" i="12"/>
  <c r="I790" i="12"/>
  <c r="N789" i="12"/>
  <c r="K789" i="12"/>
  <c r="I789" i="12"/>
  <c r="N788" i="12"/>
  <c r="K788" i="12"/>
  <c r="I788" i="12"/>
  <c r="N787" i="12"/>
  <c r="K787" i="12"/>
  <c r="I787" i="12"/>
  <c r="N786" i="12"/>
  <c r="K786" i="12"/>
  <c r="I786" i="12"/>
  <c r="N785" i="12"/>
  <c r="K785" i="12"/>
  <c r="I785" i="12"/>
  <c r="N784" i="12"/>
  <c r="K784" i="12"/>
  <c r="I784" i="12"/>
  <c r="N783" i="12"/>
  <c r="K783" i="12"/>
  <c r="I783" i="12"/>
  <c r="N782" i="12"/>
  <c r="K782" i="12"/>
  <c r="I782" i="12"/>
  <c r="N781" i="12"/>
  <c r="K781" i="12"/>
  <c r="I781" i="12"/>
  <c r="N780" i="12"/>
  <c r="K780" i="12"/>
  <c r="I780" i="12"/>
  <c r="N779" i="12"/>
  <c r="K779" i="12"/>
  <c r="I779" i="12"/>
  <c r="N778" i="12"/>
  <c r="K778" i="12"/>
  <c r="I778" i="12"/>
  <c r="N777" i="12"/>
  <c r="K777" i="12"/>
  <c r="I777" i="12"/>
  <c r="N776" i="12"/>
  <c r="K776" i="12"/>
  <c r="I776" i="12"/>
  <c r="N775" i="12"/>
  <c r="K775" i="12"/>
  <c r="I775" i="12"/>
  <c r="N774" i="12"/>
  <c r="K774" i="12"/>
  <c r="I774" i="12"/>
  <c r="N773" i="12"/>
  <c r="K773" i="12"/>
  <c r="I773" i="12"/>
  <c r="N772" i="12"/>
  <c r="K772" i="12"/>
  <c r="I772" i="12"/>
  <c r="N771" i="12"/>
  <c r="K771" i="12"/>
  <c r="I771" i="12"/>
  <c r="N770" i="12"/>
  <c r="K770" i="12"/>
  <c r="I770" i="12"/>
  <c r="N769" i="12"/>
  <c r="K769" i="12"/>
  <c r="I769" i="12"/>
  <c r="N768" i="12"/>
  <c r="K768" i="12"/>
  <c r="I768" i="12"/>
  <c r="N767" i="12"/>
  <c r="K767" i="12"/>
  <c r="I767" i="12"/>
  <c r="N766" i="12"/>
  <c r="K766" i="12"/>
  <c r="I766" i="12"/>
  <c r="N765" i="12"/>
  <c r="K765" i="12"/>
  <c r="I765" i="12"/>
  <c r="N764" i="12"/>
  <c r="K764" i="12"/>
  <c r="I764" i="12"/>
  <c r="N763" i="12"/>
  <c r="K763" i="12"/>
  <c r="I763" i="12"/>
  <c r="N762" i="12"/>
  <c r="K762" i="12"/>
  <c r="I762" i="12"/>
  <c r="N761" i="12"/>
  <c r="K761" i="12"/>
  <c r="I761" i="12"/>
  <c r="N760" i="12"/>
  <c r="K760" i="12"/>
  <c r="I760" i="12"/>
  <c r="N759" i="12"/>
  <c r="K759" i="12"/>
  <c r="I759" i="12"/>
  <c r="N758" i="12"/>
  <c r="K758" i="12"/>
  <c r="I758" i="12"/>
  <c r="N757" i="12"/>
  <c r="K757" i="12"/>
  <c r="I757" i="12"/>
  <c r="N756" i="12"/>
  <c r="K756" i="12"/>
  <c r="I756" i="12"/>
  <c r="N755" i="12"/>
  <c r="K755" i="12"/>
  <c r="I755" i="12"/>
  <c r="N754" i="12"/>
  <c r="K754" i="12"/>
  <c r="I754" i="12"/>
  <c r="N753" i="12"/>
  <c r="K753" i="12"/>
  <c r="I753" i="12"/>
  <c r="N752" i="12"/>
  <c r="K752" i="12"/>
  <c r="I752" i="12"/>
  <c r="N751" i="12"/>
  <c r="K751" i="12"/>
  <c r="I751" i="12"/>
  <c r="N750" i="12"/>
  <c r="K750" i="12"/>
  <c r="I750" i="12"/>
  <c r="N749" i="12"/>
  <c r="K749" i="12"/>
  <c r="I749" i="12"/>
  <c r="N748" i="12"/>
  <c r="K748" i="12"/>
  <c r="I748" i="12"/>
  <c r="N747" i="12"/>
  <c r="K747" i="12"/>
  <c r="I747" i="12"/>
  <c r="N746" i="12"/>
  <c r="K746" i="12"/>
  <c r="I746" i="12"/>
  <c r="N745" i="12"/>
  <c r="K745" i="12"/>
  <c r="I745" i="12"/>
  <c r="N744" i="12"/>
  <c r="K744" i="12"/>
  <c r="I744" i="12"/>
  <c r="N743" i="12"/>
  <c r="K743" i="12"/>
  <c r="I743" i="12"/>
  <c r="N742" i="12"/>
  <c r="K742" i="12"/>
  <c r="I742" i="12"/>
  <c r="N741" i="12"/>
  <c r="K741" i="12"/>
  <c r="I741" i="12"/>
  <c r="N740" i="12"/>
  <c r="K740" i="12"/>
  <c r="I740" i="12"/>
  <c r="N739" i="12"/>
  <c r="K739" i="12"/>
  <c r="I739" i="12"/>
  <c r="N738" i="12"/>
  <c r="K738" i="12"/>
  <c r="I738" i="12"/>
  <c r="N737" i="12"/>
  <c r="K737" i="12"/>
  <c r="I737" i="12"/>
  <c r="N736" i="12"/>
  <c r="K736" i="12"/>
  <c r="I736" i="12"/>
  <c r="N735" i="12"/>
  <c r="K735" i="12"/>
  <c r="I735" i="12"/>
  <c r="N734" i="12"/>
  <c r="K734" i="12"/>
  <c r="I734" i="12"/>
  <c r="N733" i="12"/>
  <c r="K733" i="12"/>
  <c r="I733" i="12"/>
  <c r="N732" i="12"/>
  <c r="K732" i="12"/>
  <c r="I732" i="12"/>
  <c r="N731" i="12"/>
  <c r="K731" i="12"/>
  <c r="I731" i="12"/>
  <c r="N730" i="12"/>
  <c r="K730" i="12"/>
  <c r="I730" i="12"/>
  <c r="N729" i="12"/>
  <c r="K729" i="12"/>
  <c r="I729" i="12"/>
  <c r="N728" i="12"/>
  <c r="K728" i="12"/>
  <c r="I728" i="12"/>
  <c r="N727" i="12"/>
  <c r="K727" i="12"/>
  <c r="I727" i="12"/>
  <c r="N726" i="12"/>
  <c r="K726" i="12"/>
  <c r="I726" i="12"/>
  <c r="N725" i="12"/>
  <c r="K725" i="12"/>
  <c r="I725" i="12"/>
  <c r="N724" i="12"/>
  <c r="K724" i="12"/>
  <c r="I724" i="12"/>
  <c r="N723" i="12"/>
  <c r="K723" i="12"/>
  <c r="I723" i="12"/>
  <c r="N722" i="12"/>
  <c r="K722" i="12"/>
  <c r="I722" i="12"/>
  <c r="N721" i="12"/>
  <c r="K721" i="12"/>
  <c r="I721" i="12"/>
  <c r="N720" i="12"/>
  <c r="K720" i="12"/>
  <c r="I720" i="12"/>
  <c r="N719" i="12"/>
  <c r="K719" i="12"/>
  <c r="I719" i="12"/>
  <c r="N718" i="12"/>
  <c r="K718" i="12"/>
  <c r="I718" i="12"/>
  <c r="N717" i="12"/>
  <c r="K717" i="12"/>
  <c r="I717" i="12"/>
  <c r="N716" i="12"/>
  <c r="K716" i="12"/>
  <c r="I716" i="12"/>
  <c r="N715" i="12"/>
  <c r="K715" i="12"/>
  <c r="I715" i="12"/>
  <c r="N714" i="12"/>
  <c r="K714" i="12"/>
  <c r="I714" i="12"/>
  <c r="N713" i="12"/>
  <c r="K713" i="12"/>
  <c r="I713" i="12"/>
  <c r="N712" i="12"/>
  <c r="K712" i="12"/>
  <c r="I712" i="12"/>
  <c r="N711" i="12"/>
  <c r="K711" i="12"/>
  <c r="I711" i="12"/>
  <c r="N710" i="12"/>
  <c r="K710" i="12"/>
  <c r="I710" i="12"/>
  <c r="N709" i="12"/>
  <c r="K709" i="12"/>
  <c r="I709" i="12"/>
  <c r="N708" i="12"/>
  <c r="K708" i="12"/>
  <c r="I708" i="12"/>
  <c r="N707" i="12"/>
  <c r="K707" i="12"/>
  <c r="I707" i="12"/>
  <c r="N706" i="12"/>
  <c r="K706" i="12"/>
  <c r="I706" i="12"/>
  <c r="N705" i="12"/>
  <c r="K705" i="12"/>
  <c r="I705" i="12"/>
  <c r="N704" i="12"/>
  <c r="K704" i="12"/>
  <c r="I704" i="12"/>
  <c r="N703" i="12"/>
  <c r="K703" i="12"/>
  <c r="I703" i="12"/>
  <c r="N702" i="12"/>
  <c r="K702" i="12"/>
  <c r="I702" i="12"/>
  <c r="N701" i="12"/>
  <c r="K701" i="12"/>
  <c r="I701" i="12"/>
  <c r="N700" i="12"/>
  <c r="K700" i="12"/>
  <c r="I700" i="12"/>
  <c r="N699" i="12"/>
  <c r="K699" i="12"/>
  <c r="I699" i="12"/>
  <c r="N698" i="12"/>
  <c r="K698" i="12"/>
  <c r="I698" i="12"/>
  <c r="N697" i="12"/>
  <c r="K697" i="12"/>
  <c r="I697" i="12"/>
  <c r="N696" i="12"/>
  <c r="K696" i="12"/>
  <c r="I696" i="12"/>
  <c r="N695" i="12"/>
  <c r="K695" i="12"/>
  <c r="I695" i="12"/>
  <c r="N694" i="12"/>
  <c r="K694" i="12"/>
  <c r="I694" i="12"/>
  <c r="N693" i="12"/>
  <c r="K693" i="12"/>
  <c r="I693" i="12"/>
  <c r="N692" i="12"/>
  <c r="K692" i="12"/>
  <c r="I692" i="12"/>
  <c r="N691" i="12"/>
  <c r="K691" i="12"/>
  <c r="I691" i="12"/>
  <c r="N690" i="12"/>
  <c r="K690" i="12"/>
  <c r="I690" i="12"/>
  <c r="N689" i="12"/>
  <c r="K689" i="12"/>
  <c r="I689" i="12"/>
  <c r="N688" i="12"/>
  <c r="K688" i="12"/>
  <c r="I688" i="12"/>
  <c r="N687" i="12"/>
  <c r="K687" i="12"/>
  <c r="I687" i="12"/>
  <c r="N686" i="12"/>
  <c r="K686" i="12"/>
  <c r="I686" i="12"/>
  <c r="N685" i="12"/>
  <c r="K685" i="12"/>
  <c r="I685" i="12"/>
  <c r="N684" i="12"/>
  <c r="K684" i="12"/>
  <c r="I684" i="12"/>
  <c r="N683" i="12"/>
  <c r="K683" i="12"/>
  <c r="I683" i="12"/>
  <c r="N682" i="12"/>
  <c r="K682" i="12"/>
  <c r="I682" i="12"/>
  <c r="N681" i="12"/>
  <c r="K681" i="12"/>
  <c r="I681" i="12"/>
  <c r="N680" i="12"/>
  <c r="K680" i="12"/>
  <c r="I680" i="12"/>
  <c r="N679" i="12"/>
  <c r="K679" i="12"/>
  <c r="I679" i="12"/>
  <c r="N678" i="12"/>
  <c r="K678" i="12"/>
  <c r="I678" i="12"/>
  <c r="N677" i="12"/>
  <c r="K677" i="12"/>
  <c r="I677" i="12"/>
  <c r="N676" i="12"/>
  <c r="K676" i="12"/>
  <c r="I676" i="12"/>
  <c r="N675" i="12"/>
  <c r="K675" i="12"/>
  <c r="I675" i="12"/>
  <c r="N674" i="12"/>
  <c r="K674" i="12"/>
  <c r="I674" i="12"/>
  <c r="N673" i="12"/>
  <c r="K673" i="12"/>
  <c r="I673" i="12"/>
  <c r="N672" i="12"/>
  <c r="K672" i="12"/>
  <c r="I672" i="12"/>
  <c r="N671" i="12"/>
  <c r="K671" i="12"/>
  <c r="I671" i="12"/>
  <c r="N670" i="12"/>
  <c r="K670" i="12"/>
  <c r="I670" i="12"/>
  <c r="N669" i="12"/>
  <c r="K669" i="12"/>
  <c r="I669" i="12"/>
  <c r="N668" i="12"/>
  <c r="K668" i="12"/>
  <c r="I668" i="12"/>
  <c r="N667" i="12"/>
  <c r="K667" i="12"/>
  <c r="I667" i="12"/>
  <c r="N666" i="12"/>
  <c r="K666" i="12"/>
  <c r="I666" i="12"/>
  <c r="N665" i="12"/>
  <c r="K665" i="12"/>
  <c r="I665" i="12"/>
  <c r="N664" i="12"/>
  <c r="K664" i="12"/>
  <c r="I664" i="12"/>
  <c r="N663" i="12"/>
  <c r="K663" i="12"/>
  <c r="I663" i="12"/>
  <c r="N662" i="12"/>
  <c r="K662" i="12"/>
  <c r="I662" i="12"/>
  <c r="N661" i="12"/>
  <c r="K661" i="12"/>
  <c r="I661" i="12"/>
  <c r="N660" i="12"/>
  <c r="K660" i="12"/>
  <c r="I660" i="12"/>
  <c r="N659" i="12"/>
  <c r="K659" i="12"/>
  <c r="I659" i="12"/>
  <c r="N658" i="12"/>
  <c r="K658" i="12"/>
  <c r="I658" i="12"/>
  <c r="N657" i="12"/>
  <c r="K657" i="12"/>
  <c r="I657" i="12"/>
  <c r="N656" i="12"/>
  <c r="K656" i="12"/>
  <c r="I656" i="12"/>
  <c r="N655" i="12"/>
  <c r="K655" i="12"/>
  <c r="I655" i="12"/>
  <c r="N654" i="12"/>
  <c r="K654" i="12"/>
  <c r="I654" i="12"/>
  <c r="N653" i="12"/>
  <c r="K653" i="12"/>
  <c r="I653" i="12"/>
  <c r="N652" i="12"/>
  <c r="K652" i="12"/>
  <c r="I652" i="12"/>
  <c r="N651" i="12"/>
  <c r="K651" i="12"/>
  <c r="I651" i="12"/>
  <c r="N650" i="12"/>
  <c r="K650" i="12"/>
  <c r="I650" i="12"/>
  <c r="N649" i="12"/>
  <c r="K649" i="12"/>
  <c r="I649" i="12"/>
  <c r="N648" i="12"/>
  <c r="K648" i="12"/>
  <c r="I648" i="12"/>
  <c r="N647" i="12"/>
  <c r="K647" i="12"/>
  <c r="I647" i="12"/>
  <c r="N646" i="12"/>
  <c r="K646" i="12"/>
  <c r="I646" i="12"/>
  <c r="N645" i="12"/>
  <c r="K645" i="12"/>
  <c r="I645" i="12"/>
  <c r="N644" i="12"/>
  <c r="K644" i="12"/>
  <c r="I644" i="12"/>
  <c r="N643" i="12"/>
  <c r="K643" i="12"/>
  <c r="I643" i="12"/>
  <c r="N642" i="12"/>
  <c r="K642" i="12"/>
  <c r="I642" i="12"/>
  <c r="N641" i="12"/>
  <c r="K641" i="12"/>
  <c r="I641" i="12"/>
  <c r="N640" i="12"/>
  <c r="K640" i="12"/>
  <c r="I640" i="12"/>
  <c r="N639" i="12"/>
  <c r="K639" i="12"/>
  <c r="I639" i="12"/>
  <c r="N638" i="12"/>
  <c r="K638" i="12"/>
  <c r="I638" i="12"/>
  <c r="N637" i="12"/>
  <c r="K637" i="12"/>
  <c r="I637" i="12"/>
  <c r="N636" i="12"/>
  <c r="K636" i="12"/>
  <c r="I636" i="12"/>
  <c r="N635" i="12"/>
  <c r="K635" i="12"/>
  <c r="I635" i="12"/>
  <c r="N634" i="12"/>
  <c r="K634" i="12"/>
  <c r="I634" i="12"/>
  <c r="N633" i="12"/>
  <c r="K633" i="12"/>
  <c r="I633" i="12"/>
  <c r="N632" i="12"/>
  <c r="K632" i="12"/>
  <c r="I632" i="12"/>
  <c r="N631" i="12"/>
  <c r="K631" i="12"/>
  <c r="I631" i="12"/>
  <c r="N630" i="12"/>
  <c r="K630" i="12"/>
  <c r="I630" i="12"/>
  <c r="N629" i="12"/>
  <c r="K629" i="12"/>
  <c r="I629" i="12"/>
  <c r="N628" i="12"/>
  <c r="K628" i="12"/>
  <c r="I628" i="12"/>
  <c r="N627" i="12"/>
  <c r="K627" i="12"/>
  <c r="I627" i="12"/>
  <c r="N626" i="12"/>
  <c r="K626" i="12"/>
  <c r="I626" i="12"/>
  <c r="N625" i="12"/>
  <c r="K625" i="12"/>
  <c r="I625" i="12"/>
  <c r="N624" i="12"/>
  <c r="K624" i="12"/>
  <c r="I624" i="12"/>
  <c r="N623" i="12"/>
  <c r="K623" i="12"/>
  <c r="I623" i="12"/>
  <c r="N622" i="12"/>
  <c r="K622" i="12"/>
  <c r="I622" i="12"/>
  <c r="N621" i="12"/>
  <c r="K621" i="12"/>
  <c r="I621" i="12"/>
  <c r="N620" i="12"/>
  <c r="K620" i="12"/>
  <c r="I620" i="12"/>
  <c r="N619" i="12"/>
  <c r="K619" i="12"/>
  <c r="I619" i="12"/>
  <c r="N618" i="12"/>
  <c r="K618" i="12"/>
  <c r="I618" i="12"/>
  <c r="N617" i="12"/>
  <c r="K617" i="12"/>
  <c r="I617" i="12"/>
  <c r="N616" i="12"/>
  <c r="K616" i="12"/>
  <c r="I616" i="12"/>
  <c r="N615" i="12"/>
  <c r="K615" i="12"/>
  <c r="I615" i="12"/>
  <c r="N614" i="12"/>
  <c r="K614" i="12"/>
  <c r="I614" i="12"/>
  <c r="N613" i="12"/>
  <c r="K613" i="12"/>
  <c r="I613" i="12"/>
  <c r="N612" i="12"/>
  <c r="K612" i="12"/>
  <c r="I612" i="12"/>
  <c r="N611" i="12"/>
  <c r="K611" i="12"/>
  <c r="I611" i="12"/>
  <c r="N610" i="12"/>
  <c r="K610" i="12"/>
  <c r="I610" i="12"/>
  <c r="N609" i="12"/>
  <c r="K609" i="12"/>
  <c r="I609" i="12"/>
  <c r="N608" i="12"/>
  <c r="K608" i="12"/>
  <c r="I608" i="12"/>
  <c r="N607" i="12"/>
  <c r="K607" i="12"/>
  <c r="I607" i="12"/>
  <c r="N606" i="12"/>
  <c r="K606" i="12"/>
  <c r="I606" i="12"/>
  <c r="N605" i="12"/>
  <c r="K605" i="12"/>
  <c r="I605" i="12"/>
  <c r="N604" i="12"/>
  <c r="K604" i="12"/>
  <c r="I604" i="12"/>
  <c r="N603" i="12"/>
  <c r="K603" i="12"/>
  <c r="I603" i="12"/>
  <c r="N602" i="12"/>
  <c r="K602" i="12"/>
  <c r="I602" i="12"/>
  <c r="N601" i="12"/>
  <c r="K601" i="12"/>
  <c r="I601" i="12"/>
  <c r="N600" i="12"/>
  <c r="K600" i="12"/>
  <c r="I600" i="12"/>
  <c r="N599" i="12"/>
  <c r="K599" i="12"/>
  <c r="I599" i="12"/>
  <c r="N598" i="12"/>
  <c r="K598" i="12"/>
  <c r="I598" i="12"/>
  <c r="N597" i="12"/>
  <c r="K597" i="12"/>
  <c r="I597" i="12"/>
  <c r="N596" i="12"/>
  <c r="K596" i="12"/>
  <c r="I596" i="12"/>
  <c r="N595" i="12"/>
  <c r="K595" i="12"/>
  <c r="I595" i="12"/>
  <c r="N594" i="12"/>
  <c r="K594" i="12"/>
  <c r="I594" i="12"/>
  <c r="N593" i="12"/>
  <c r="K593" i="12"/>
  <c r="I593" i="12"/>
  <c r="N592" i="12"/>
  <c r="K592" i="12"/>
  <c r="I592" i="12"/>
  <c r="N591" i="12"/>
  <c r="K591" i="12"/>
  <c r="I591" i="12"/>
  <c r="N590" i="12"/>
  <c r="K590" i="12"/>
  <c r="I590" i="12"/>
  <c r="N589" i="12"/>
  <c r="K589" i="12"/>
  <c r="I589" i="12"/>
  <c r="N588" i="12"/>
  <c r="K588" i="12"/>
  <c r="I588" i="12"/>
  <c r="N587" i="12"/>
  <c r="K587" i="12"/>
  <c r="I587" i="12"/>
  <c r="N586" i="12"/>
  <c r="K586" i="12"/>
  <c r="I586" i="12"/>
  <c r="N585" i="12"/>
  <c r="K585" i="12"/>
  <c r="I585" i="12"/>
  <c r="N584" i="12"/>
  <c r="K584" i="12"/>
  <c r="I584" i="12"/>
  <c r="N583" i="12"/>
  <c r="K583" i="12"/>
  <c r="I583" i="12"/>
  <c r="N582" i="12"/>
  <c r="K582" i="12"/>
  <c r="I582" i="12"/>
  <c r="N581" i="12"/>
  <c r="K581" i="12"/>
  <c r="I581" i="12"/>
  <c r="N580" i="12"/>
  <c r="K580" i="12"/>
  <c r="I580" i="12"/>
  <c r="N579" i="12"/>
  <c r="K579" i="12"/>
  <c r="I579" i="12"/>
  <c r="N578" i="12"/>
  <c r="K578" i="12"/>
  <c r="I578" i="12"/>
  <c r="N577" i="12"/>
  <c r="K577" i="12"/>
  <c r="I577" i="12"/>
  <c r="N576" i="12"/>
  <c r="K576" i="12"/>
  <c r="I576" i="12"/>
  <c r="N575" i="12"/>
  <c r="K575" i="12"/>
  <c r="I575" i="12"/>
  <c r="N574" i="12"/>
  <c r="K574" i="12"/>
  <c r="I574" i="12"/>
  <c r="N573" i="12"/>
  <c r="K573" i="12"/>
  <c r="I573" i="12"/>
  <c r="N572" i="12"/>
  <c r="K572" i="12"/>
  <c r="I572" i="12"/>
  <c r="N571" i="12"/>
  <c r="K571" i="12"/>
  <c r="I571" i="12"/>
  <c r="N570" i="12"/>
  <c r="K570" i="12"/>
  <c r="I570" i="12"/>
  <c r="N569" i="12"/>
  <c r="K569" i="12"/>
  <c r="I569" i="12"/>
  <c r="N568" i="12"/>
  <c r="K568" i="12"/>
  <c r="I568" i="12"/>
  <c r="N567" i="12"/>
  <c r="K567" i="12"/>
  <c r="I567" i="12"/>
  <c r="N566" i="12"/>
  <c r="K566" i="12"/>
  <c r="I566" i="12"/>
  <c r="N565" i="12"/>
  <c r="K565" i="12"/>
  <c r="I565" i="12"/>
  <c r="N564" i="12"/>
  <c r="K564" i="12"/>
  <c r="I564" i="12"/>
  <c r="N563" i="12"/>
  <c r="K563" i="12"/>
  <c r="I563" i="12"/>
  <c r="N562" i="12"/>
  <c r="K562" i="12"/>
  <c r="I562" i="12"/>
  <c r="N561" i="12"/>
  <c r="K561" i="12"/>
  <c r="I561" i="12"/>
  <c r="N560" i="12"/>
  <c r="K560" i="12"/>
  <c r="I560" i="12"/>
  <c r="N559" i="12"/>
  <c r="K559" i="12"/>
  <c r="I559" i="12"/>
  <c r="N558" i="12"/>
  <c r="K558" i="12"/>
  <c r="I558" i="12"/>
  <c r="N557" i="12"/>
  <c r="K557" i="12"/>
  <c r="I557" i="12"/>
  <c r="N556" i="12"/>
  <c r="K556" i="12"/>
  <c r="I556" i="12"/>
  <c r="N555" i="12"/>
  <c r="K555" i="12"/>
  <c r="I555" i="12"/>
  <c r="N554" i="12"/>
  <c r="K554" i="12"/>
  <c r="I554" i="12"/>
  <c r="N553" i="12"/>
  <c r="K553" i="12"/>
  <c r="I553" i="12"/>
  <c r="N552" i="12"/>
  <c r="K552" i="12"/>
  <c r="I552" i="12"/>
  <c r="N551" i="12"/>
  <c r="K551" i="12"/>
  <c r="I551" i="12"/>
  <c r="N550" i="12"/>
  <c r="K550" i="12"/>
  <c r="I550" i="12"/>
  <c r="N549" i="12"/>
  <c r="K549" i="12"/>
  <c r="I549" i="12"/>
  <c r="N548" i="12"/>
  <c r="K548" i="12"/>
  <c r="I548" i="12"/>
  <c r="N547" i="12"/>
  <c r="K547" i="12"/>
  <c r="I547" i="12"/>
  <c r="N546" i="12"/>
  <c r="K546" i="12"/>
  <c r="I546" i="12"/>
  <c r="N545" i="12"/>
  <c r="K545" i="12"/>
  <c r="I545" i="12"/>
  <c r="N544" i="12"/>
  <c r="K544" i="12"/>
  <c r="I544" i="12"/>
  <c r="N543" i="12"/>
  <c r="K543" i="12"/>
  <c r="I543" i="12"/>
  <c r="N542" i="12"/>
  <c r="K542" i="12"/>
  <c r="I542" i="12"/>
  <c r="N541" i="12"/>
  <c r="K541" i="12"/>
  <c r="I541" i="12"/>
  <c r="N540" i="12"/>
  <c r="K540" i="12"/>
  <c r="I540" i="12"/>
  <c r="N539" i="12"/>
  <c r="K539" i="12"/>
  <c r="I539" i="12"/>
  <c r="N538" i="12"/>
  <c r="K538" i="12"/>
  <c r="I538" i="12"/>
  <c r="N537" i="12"/>
  <c r="K537" i="12"/>
  <c r="I537" i="12"/>
  <c r="N536" i="12"/>
  <c r="K536" i="12"/>
  <c r="I536" i="12"/>
  <c r="N535" i="12"/>
  <c r="K535" i="12"/>
  <c r="I535" i="12"/>
  <c r="N534" i="12"/>
  <c r="K534" i="12"/>
  <c r="I534" i="12"/>
  <c r="N533" i="12"/>
  <c r="K533" i="12"/>
  <c r="I533" i="12"/>
  <c r="N532" i="12"/>
  <c r="K532" i="12"/>
  <c r="I532" i="12"/>
  <c r="N531" i="12"/>
  <c r="K531" i="12"/>
  <c r="I531" i="12"/>
  <c r="N530" i="12"/>
  <c r="K530" i="12"/>
  <c r="I530" i="12"/>
  <c r="N529" i="12"/>
  <c r="K529" i="12"/>
  <c r="I529" i="12"/>
  <c r="N528" i="12"/>
  <c r="K528" i="12"/>
  <c r="I528" i="12"/>
  <c r="N527" i="12"/>
  <c r="K527" i="12"/>
  <c r="I527" i="12"/>
  <c r="N526" i="12"/>
  <c r="K526" i="12"/>
  <c r="I526" i="12"/>
  <c r="N525" i="12"/>
  <c r="K525" i="12"/>
  <c r="I525" i="12"/>
  <c r="N524" i="12"/>
  <c r="K524" i="12"/>
  <c r="I524" i="12"/>
  <c r="N523" i="12"/>
  <c r="K523" i="12"/>
  <c r="I523" i="12"/>
  <c r="N522" i="12"/>
  <c r="K522" i="12"/>
  <c r="I522" i="12"/>
  <c r="N521" i="12"/>
  <c r="K521" i="12"/>
  <c r="I521" i="12"/>
  <c r="N520" i="12"/>
  <c r="K520" i="12"/>
  <c r="I520" i="12"/>
  <c r="N519" i="12"/>
  <c r="K519" i="12"/>
  <c r="I519" i="12"/>
  <c r="N518" i="12"/>
  <c r="K518" i="12"/>
  <c r="I518" i="12"/>
  <c r="N517" i="12"/>
  <c r="K517" i="12"/>
  <c r="I517" i="12"/>
  <c r="N516" i="12"/>
  <c r="K516" i="12"/>
  <c r="I516" i="12"/>
  <c r="N515" i="12"/>
  <c r="K515" i="12"/>
  <c r="I515" i="12"/>
  <c r="N514" i="12"/>
  <c r="K514" i="12"/>
  <c r="I514" i="12"/>
  <c r="N513" i="12"/>
  <c r="K513" i="12"/>
  <c r="I513" i="12"/>
  <c r="N512" i="12"/>
  <c r="K512" i="12"/>
  <c r="I512" i="12"/>
  <c r="N511" i="12"/>
  <c r="K511" i="12"/>
  <c r="I511" i="12"/>
  <c r="N510" i="12"/>
  <c r="K510" i="12"/>
  <c r="I510" i="12"/>
  <c r="N509" i="12"/>
  <c r="K509" i="12"/>
  <c r="I509" i="12"/>
  <c r="N508" i="12"/>
  <c r="K508" i="12"/>
  <c r="I508" i="12"/>
  <c r="N507" i="12"/>
  <c r="K507" i="12"/>
  <c r="I507" i="12"/>
  <c r="N506" i="12"/>
  <c r="K506" i="12"/>
  <c r="I506" i="12"/>
  <c r="N505" i="12"/>
  <c r="K505" i="12"/>
  <c r="I505" i="12"/>
  <c r="N504" i="12"/>
  <c r="K504" i="12"/>
  <c r="I504" i="12"/>
  <c r="N503" i="12"/>
  <c r="K503" i="12"/>
  <c r="I503" i="12"/>
  <c r="N502" i="12"/>
  <c r="K502" i="12"/>
  <c r="I502" i="12"/>
  <c r="N501" i="12"/>
  <c r="K501" i="12"/>
  <c r="I501" i="12"/>
  <c r="N500" i="12"/>
  <c r="K500" i="12"/>
  <c r="I500" i="12"/>
  <c r="N499" i="12"/>
  <c r="K499" i="12"/>
  <c r="I499" i="12"/>
  <c r="N498" i="12"/>
  <c r="K498" i="12"/>
  <c r="I498" i="12"/>
  <c r="N497" i="12"/>
  <c r="K497" i="12"/>
  <c r="I497" i="12"/>
  <c r="N496" i="12"/>
  <c r="K496" i="12"/>
  <c r="I496" i="12"/>
  <c r="N495" i="12"/>
  <c r="K495" i="12"/>
  <c r="I495" i="12"/>
  <c r="N494" i="12"/>
  <c r="K494" i="12"/>
  <c r="I494" i="12"/>
  <c r="N493" i="12"/>
  <c r="K493" i="12"/>
  <c r="I493" i="12"/>
  <c r="N492" i="12"/>
  <c r="K492" i="12"/>
  <c r="I492" i="12"/>
  <c r="N491" i="12"/>
  <c r="K491" i="12"/>
  <c r="I491" i="12"/>
  <c r="N490" i="12"/>
  <c r="K490" i="12"/>
  <c r="I490" i="12"/>
  <c r="N489" i="12"/>
  <c r="K489" i="12"/>
  <c r="I489" i="12"/>
  <c r="N488" i="12"/>
  <c r="K488" i="12"/>
  <c r="I488" i="12"/>
  <c r="N487" i="12"/>
  <c r="K487" i="12"/>
  <c r="I487" i="12"/>
  <c r="N486" i="12"/>
  <c r="K486" i="12"/>
  <c r="I486" i="12"/>
  <c r="N485" i="12"/>
  <c r="K485" i="12"/>
  <c r="I485" i="12"/>
  <c r="N484" i="12"/>
  <c r="K484" i="12"/>
  <c r="I484" i="12"/>
  <c r="N483" i="12"/>
  <c r="K483" i="12"/>
  <c r="I483" i="12"/>
  <c r="N482" i="12"/>
  <c r="K482" i="12"/>
  <c r="I482" i="12"/>
  <c r="N481" i="12"/>
  <c r="K481" i="12"/>
  <c r="I481" i="12"/>
  <c r="N480" i="12"/>
  <c r="K480" i="12"/>
  <c r="I480" i="12"/>
  <c r="N479" i="12"/>
  <c r="K479" i="12"/>
  <c r="I479" i="12"/>
  <c r="N478" i="12"/>
  <c r="K478" i="12"/>
  <c r="I478" i="12"/>
  <c r="N477" i="12"/>
  <c r="K477" i="12"/>
  <c r="I477" i="12"/>
  <c r="N476" i="12"/>
  <c r="K476" i="12"/>
  <c r="I476" i="12"/>
  <c r="N475" i="12"/>
  <c r="K475" i="12"/>
  <c r="I475" i="12"/>
  <c r="N474" i="12"/>
  <c r="K474" i="12"/>
  <c r="I474" i="12"/>
  <c r="N473" i="12"/>
  <c r="K473" i="12"/>
  <c r="I473" i="12"/>
  <c r="N472" i="12"/>
  <c r="K472" i="12"/>
  <c r="I472" i="12"/>
  <c r="N471" i="12"/>
  <c r="K471" i="12"/>
  <c r="I471" i="12"/>
  <c r="N470" i="12"/>
  <c r="K470" i="12"/>
  <c r="I470" i="12"/>
  <c r="N469" i="12"/>
  <c r="K469" i="12"/>
  <c r="I469" i="12"/>
  <c r="N468" i="12"/>
  <c r="K468" i="12"/>
  <c r="I468" i="12"/>
  <c r="N467" i="12"/>
  <c r="K467" i="12"/>
  <c r="I467" i="12"/>
  <c r="N466" i="12"/>
  <c r="K466" i="12"/>
  <c r="I466" i="12"/>
  <c r="N465" i="12"/>
  <c r="K465" i="12"/>
  <c r="I465" i="12"/>
  <c r="N464" i="12"/>
  <c r="K464" i="12"/>
  <c r="I464" i="12"/>
  <c r="N463" i="12"/>
  <c r="K463" i="12"/>
  <c r="I463" i="12"/>
  <c r="N462" i="12"/>
  <c r="K462" i="12"/>
  <c r="I462" i="12"/>
  <c r="N461" i="12"/>
  <c r="K461" i="12"/>
  <c r="I461" i="12"/>
  <c r="N460" i="12"/>
  <c r="K460" i="12"/>
  <c r="I460" i="12"/>
  <c r="N459" i="12"/>
  <c r="K459" i="12"/>
  <c r="I459" i="12"/>
  <c r="N458" i="12"/>
  <c r="K458" i="12"/>
  <c r="I458" i="12"/>
  <c r="N457" i="12"/>
  <c r="K457" i="12"/>
  <c r="I457" i="12"/>
  <c r="N456" i="12"/>
  <c r="K456" i="12"/>
  <c r="I456" i="12"/>
  <c r="N455" i="12"/>
  <c r="K455" i="12"/>
  <c r="I455" i="12"/>
  <c r="N454" i="12"/>
  <c r="K454" i="12"/>
  <c r="I454" i="12"/>
  <c r="N453" i="12"/>
  <c r="K453" i="12"/>
  <c r="I453" i="12"/>
  <c r="N452" i="12"/>
  <c r="K452" i="12"/>
  <c r="I452" i="12"/>
  <c r="N451" i="12"/>
  <c r="K451" i="12"/>
  <c r="I451" i="12"/>
  <c r="N450" i="12"/>
  <c r="K450" i="12"/>
  <c r="I450" i="12"/>
  <c r="N449" i="12"/>
  <c r="K449" i="12"/>
  <c r="I449" i="12"/>
  <c r="N448" i="12"/>
  <c r="K448" i="12"/>
  <c r="I448" i="12"/>
  <c r="N447" i="12"/>
  <c r="K447" i="12"/>
  <c r="I447" i="12"/>
  <c r="N446" i="12"/>
  <c r="K446" i="12"/>
  <c r="I446" i="12"/>
  <c r="N445" i="12"/>
  <c r="K445" i="12"/>
  <c r="I445" i="12"/>
  <c r="N444" i="12"/>
  <c r="K444" i="12"/>
  <c r="I444" i="12"/>
  <c r="N443" i="12"/>
  <c r="K443" i="12"/>
  <c r="I443" i="12"/>
  <c r="N442" i="12"/>
  <c r="K442" i="12"/>
  <c r="I442" i="12"/>
  <c r="N441" i="12"/>
  <c r="K441" i="12"/>
  <c r="I441" i="12"/>
  <c r="N440" i="12"/>
  <c r="K440" i="12"/>
  <c r="I440" i="12"/>
  <c r="N439" i="12"/>
  <c r="K439" i="12"/>
  <c r="I439" i="12"/>
  <c r="N438" i="12"/>
  <c r="K438" i="12"/>
  <c r="I438" i="12"/>
  <c r="N437" i="12"/>
  <c r="K437" i="12"/>
  <c r="I437" i="12"/>
  <c r="N436" i="12"/>
  <c r="K436" i="12"/>
  <c r="I436" i="12"/>
  <c r="N435" i="12"/>
  <c r="K435" i="12"/>
  <c r="I435" i="12"/>
  <c r="N434" i="12"/>
  <c r="K434" i="12"/>
  <c r="I434" i="12"/>
  <c r="N433" i="12"/>
  <c r="K433" i="12"/>
  <c r="I433" i="12"/>
  <c r="N432" i="12"/>
  <c r="K432" i="12"/>
  <c r="I432" i="12"/>
  <c r="N431" i="12"/>
  <c r="K431" i="12"/>
  <c r="I431" i="12"/>
  <c r="N430" i="12"/>
  <c r="K430" i="12"/>
  <c r="I430" i="12"/>
  <c r="N429" i="12"/>
  <c r="K429" i="12"/>
  <c r="I429" i="12"/>
  <c r="N428" i="12"/>
  <c r="K428" i="12"/>
  <c r="I428" i="12"/>
  <c r="N427" i="12"/>
  <c r="K427" i="12"/>
  <c r="I427" i="12"/>
  <c r="N426" i="12"/>
  <c r="K426" i="12"/>
  <c r="I426" i="12"/>
  <c r="N425" i="12"/>
  <c r="K425" i="12"/>
  <c r="I425" i="12"/>
  <c r="N424" i="12"/>
  <c r="K424" i="12"/>
  <c r="I424" i="12"/>
  <c r="N423" i="12"/>
  <c r="K423" i="12"/>
  <c r="I423" i="12"/>
  <c r="N422" i="12"/>
  <c r="K422" i="12"/>
  <c r="I422" i="12"/>
  <c r="N421" i="12"/>
  <c r="K421" i="12"/>
  <c r="I421" i="12"/>
  <c r="N420" i="12"/>
  <c r="K420" i="12"/>
  <c r="I420" i="12"/>
  <c r="N419" i="12"/>
  <c r="K419" i="12"/>
  <c r="I419" i="12"/>
  <c r="N418" i="12"/>
  <c r="K418" i="12"/>
  <c r="I418" i="12"/>
  <c r="N417" i="12"/>
  <c r="K417" i="12"/>
  <c r="I417" i="12"/>
  <c r="N416" i="12"/>
  <c r="K416" i="12"/>
  <c r="I416" i="12"/>
  <c r="N415" i="12"/>
  <c r="K415" i="12"/>
  <c r="I415" i="12"/>
  <c r="N414" i="12"/>
  <c r="K414" i="12"/>
  <c r="I414" i="12"/>
  <c r="N413" i="12"/>
  <c r="K413" i="12"/>
  <c r="I413" i="12"/>
  <c r="N412" i="12"/>
  <c r="K412" i="12"/>
  <c r="I412" i="12"/>
  <c r="N411" i="12"/>
  <c r="K411" i="12"/>
  <c r="I411" i="12"/>
  <c r="N410" i="12"/>
  <c r="K410" i="12"/>
  <c r="I410" i="12"/>
  <c r="N409" i="12"/>
  <c r="K409" i="12"/>
  <c r="I409" i="12"/>
  <c r="N408" i="12"/>
  <c r="K408" i="12"/>
  <c r="I408" i="12"/>
  <c r="N407" i="12"/>
  <c r="K407" i="12"/>
  <c r="I407" i="12"/>
  <c r="N406" i="12"/>
  <c r="K406" i="12"/>
  <c r="I406" i="12"/>
  <c r="N405" i="12"/>
  <c r="K405" i="12"/>
  <c r="I405" i="12"/>
  <c r="N404" i="12"/>
  <c r="K404" i="12"/>
  <c r="I404" i="12"/>
  <c r="N403" i="12"/>
  <c r="K403" i="12"/>
  <c r="I403" i="12"/>
  <c r="N402" i="12"/>
  <c r="K402" i="12"/>
  <c r="I402" i="12"/>
  <c r="N401" i="12"/>
  <c r="K401" i="12"/>
  <c r="I401" i="12"/>
  <c r="N400" i="12"/>
  <c r="K400" i="12"/>
  <c r="I400" i="12"/>
  <c r="N399" i="12"/>
  <c r="K399" i="12"/>
  <c r="I399" i="12"/>
  <c r="N398" i="12"/>
  <c r="K398" i="12"/>
  <c r="I398" i="12"/>
  <c r="N397" i="12"/>
  <c r="K397" i="12"/>
  <c r="I397" i="12"/>
  <c r="N396" i="12"/>
  <c r="K396" i="12"/>
  <c r="I396" i="12"/>
  <c r="N395" i="12"/>
  <c r="K395" i="12"/>
  <c r="I395" i="12"/>
  <c r="N394" i="12"/>
  <c r="K394" i="12"/>
  <c r="I394" i="12"/>
  <c r="N393" i="12"/>
  <c r="K393" i="12"/>
  <c r="I393" i="12"/>
  <c r="N392" i="12"/>
  <c r="K392" i="12"/>
  <c r="I392" i="12"/>
  <c r="N391" i="12"/>
  <c r="K391" i="12"/>
  <c r="I391" i="12"/>
  <c r="N390" i="12"/>
  <c r="K390" i="12"/>
  <c r="I390" i="12"/>
  <c r="N389" i="12"/>
  <c r="K389" i="12"/>
  <c r="I389" i="12"/>
  <c r="N388" i="12"/>
  <c r="K388" i="12"/>
  <c r="I388" i="12"/>
  <c r="N387" i="12"/>
  <c r="K387" i="12"/>
  <c r="I387" i="12"/>
  <c r="N386" i="12"/>
  <c r="K386" i="12"/>
  <c r="I386" i="12"/>
  <c r="N385" i="12"/>
  <c r="K385" i="12"/>
  <c r="I385" i="12"/>
  <c r="N384" i="12"/>
  <c r="K384" i="12"/>
  <c r="I384" i="12"/>
  <c r="N383" i="12"/>
  <c r="K383" i="12"/>
  <c r="I383" i="12"/>
  <c r="N382" i="12"/>
  <c r="K382" i="12"/>
  <c r="I382" i="12"/>
  <c r="N381" i="12"/>
  <c r="K381" i="12"/>
  <c r="I381" i="12"/>
  <c r="N380" i="12"/>
  <c r="K380" i="12"/>
  <c r="I380" i="12"/>
  <c r="N379" i="12"/>
  <c r="K379" i="12"/>
  <c r="I379" i="12"/>
  <c r="N378" i="12"/>
  <c r="K378" i="12"/>
  <c r="I378" i="12"/>
  <c r="N377" i="12"/>
  <c r="K377" i="12"/>
  <c r="I377" i="12"/>
  <c r="N376" i="12"/>
  <c r="K376" i="12"/>
  <c r="I376" i="12"/>
  <c r="N375" i="12"/>
  <c r="K375" i="12"/>
  <c r="I375" i="12"/>
  <c r="N374" i="12"/>
  <c r="K374" i="12"/>
  <c r="I374" i="12"/>
  <c r="N373" i="12"/>
  <c r="K373" i="12"/>
  <c r="I373" i="12"/>
  <c r="N372" i="12"/>
  <c r="K372" i="12"/>
  <c r="I372" i="12"/>
  <c r="N371" i="12"/>
  <c r="K371" i="12"/>
  <c r="I371" i="12"/>
  <c r="N370" i="12"/>
  <c r="K370" i="12"/>
  <c r="I370" i="12"/>
  <c r="N369" i="12"/>
  <c r="K369" i="12"/>
  <c r="I369" i="12"/>
  <c r="N368" i="12"/>
  <c r="K368" i="12"/>
  <c r="I368" i="12"/>
  <c r="N367" i="12"/>
  <c r="K367" i="12"/>
  <c r="I367" i="12"/>
  <c r="N366" i="12"/>
  <c r="K366" i="12"/>
  <c r="I366" i="12"/>
  <c r="N365" i="12"/>
  <c r="K365" i="12"/>
  <c r="I365" i="12"/>
  <c r="N364" i="12"/>
  <c r="K364" i="12"/>
  <c r="I364" i="12"/>
  <c r="N363" i="12"/>
  <c r="K363" i="12"/>
  <c r="I363" i="12"/>
  <c r="N362" i="12"/>
  <c r="K362" i="12"/>
  <c r="I362" i="12"/>
  <c r="N361" i="12"/>
  <c r="K361" i="12"/>
  <c r="I361" i="12"/>
  <c r="N360" i="12"/>
  <c r="K360" i="12"/>
  <c r="I360" i="12"/>
  <c r="N359" i="12"/>
  <c r="K359" i="12"/>
  <c r="I359" i="12"/>
  <c r="N358" i="12"/>
  <c r="K358" i="12"/>
  <c r="I358" i="12"/>
  <c r="N357" i="12"/>
  <c r="K357" i="12"/>
  <c r="I357" i="12"/>
  <c r="N356" i="12"/>
  <c r="K356" i="12"/>
  <c r="I356" i="12"/>
  <c r="N355" i="12"/>
  <c r="K355" i="12"/>
  <c r="I355" i="12"/>
  <c r="N354" i="12"/>
  <c r="K354" i="12"/>
  <c r="I354" i="12"/>
  <c r="N353" i="12"/>
  <c r="K353" i="12"/>
  <c r="I353" i="12"/>
  <c r="N352" i="12"/>
  <c r="K352" i="12"/>
  <c r="I352" i="12"/>
  <c r="N351" i="12"/>
  <c r="K351" i="12"/>
  <c r="I351" i="12"/>
  <c r="N350" i="12"/>
  <c r="K350" i="12"/>
  <c r="I350" i="12"/>
  <c r="N349" i="12"/>
  <c r="K349" i="12"/>
  <c r="I349" i="12"/>
  <c r="N348" i="12"/>
  <c r="K348" i="12"/>
  <c r="I348" i="12"/>
  <c r="N347" i="12"/>
  <c r="K347" i="12"/>
  <c r="I347" i="12"/>
  <c r="N346" i="12"/>
  <c r="K346" i="12"/>
  <c r="I346" i="12"/>
  <c r="N345" i="12"/>
  <c r="K345" i="12"/>
  <c r="I345" i="12"/>
  <c r="N344" i="12"/>
  <c r="K344" i="12"/>
  <c r="I344" i="12"/>
  <c r="N343" i="12"/>
  <c r="K343" i="12"/>
  <c r="I343" i="12"/>
  <c r="N342" i="12"/>
  <c r="K342" i="12"/>
  <c r="I342" i="12"/>
  <c r="N341" i="12"/>
  <c r="K341" i="12"/>
  <c r="I341" i="12"/>
  <c r="N340" i="12"/>
  <c r="K340" i="12"/>
  <c r="I340" i="12"/>
  <c r="N339" i="12"/>
  <c r="K339" i="12"/>
  <c r="I339" i="12"/>
  <c r="N338" i="12"/>
  <c r="K338" i="12"/>
  <c r="I338" i="12"/>
  <c r="N337" i="12"/>
  <c r="K337" i="12"/>
  <c r="I337" i="12"/>
  <c r="N336" i="12"/>
  <c r="K336" i="12"/>
  <c r="I336" i="12"/>
  <c r="N335" i="12"/>
  <c r="K335" i="12"/>
  <c r="I335" i="12"/>
  <c r="N334" i="12"/>
  <c r="K334" i="12"/>
  <c r="I334" i="12"/>
  <c r="N333" i="12"/>
  <c r="K333" i="12"/>
  <c r="I333" i="12"/>
  <c r="N332" i="12"/>
  <c r="K332" i="12"/>
  <c r="I332" i="12"/>
  <c r="N331" i="12"/>
  <c r="K331" i="12"/>
  <c r="I331" i="12"/>
  <c r="N330" i="12"/>
  <c r="K330" i="12"/>
  <c r="I330" i="12"/>
  <c r="N329" i="12"/>
  <c r="K329" i="12"/>
  <c r="I329" i="12"/>
  <c r="N328" i="12"/>
  <c r="K328" i="12"/>
  <c r="I328" i="12"/>
  <c r="N327" i="12"/>
  <c r="K327" i="12"/>
  <c r="I327" i="12"/>
  <c r="N326" i="12"/>
  <c r="K326" i="12"/>
  <c r="I326" i="12"/>
  <c r="N325" i="12"/>
  <c r="K325" i="12"/>
  <c r="I325" i="12"/>
  <c r="N324" i="12"/>
  <c r="K324" i="12"/>
  <c r="I324" i="12"/>
  <c r="N323" i="12"/>
  <c r="K323" i="12"/>
  <c r="I323" i="12"/>
  <c r="N322" i="12"/>
  <c r="K322" i="12"/>
  <c r="I322" i="12"/>
  <c r="N321" i="12"/>
  <c r="K321" i="12"/>
  <c r="I321" i="12"/>
  <c r="N320" i="12"/>
  <c r="K320" i="12"/>
  <c r="I320" i="12"/>
  <c r="N319" i="12"/>
  <c r="K319" i="12"/>
  <c r="I319" i="12"/>
  <c r="N318" i="12"/>
  <c r="K318" i="12"/>
  <c r="I318" i="12"/>
  <c r="N317" i="12"/>
  <c r="K317" i="12"/>
  <c r="I317" i="12"/>
  <c r="N316" i="12"/>
  <c r="K316" i="12"/>
  <c r="I316" i="12"/>
  <c r="N315" i="12"/>
  <c r="K315" i="12"/>
  <c r="I315" i="12"/>
  <c r="N314" i="12"/>
  <c r="K314" i="12"/>
  <c r="I314" i="12"/>
  <c r="N313" i="12"/>
  <c r="K313" i="12"/>
  <c r="I313" i="12"/>
  <c r="N312" i="12"/>
  <c r="K312" i="12"/>
  <c r="I312" i="12"/>
  <c r="N311" i="12"/>
  <c r="K311" i="12"/>
  <c r="I311" i="12"/>
  <c r="N310" i="12"/>
  <c r="K310" i="12"/>
  <c r="I310" i="12"/>
  <c r="N309" i="12"/>
  <c r="K309" i="12"/>
  <c r="I309" i="12"/>
  <c r="N308" i="12"/>
  <c r="K308" i="12"/>
  <c r="I308" i="12"/>
  <c r="N307" i="12"/>
  <c r="K307" i="12"/>
  <c r="I307" i="12"/>
  <c r="N306" i="12"/>
  <c r="K306" i="12"/>
  <c r="I306" i="12"/>
  <c r="N305" i="12"/>
  <c r="K305" i="12"/>
  <c r="I305" i="12"/>
  <c r="N304" i="12"/>
  <c r="K304" i="12"/>
  <c r="I304" i="12"/>
  <c r="N303" i="12"/>
  <c r="K303" i="12"/>
  <c r="I303" i="12"/>
  <c r="N302" i="12"/>
  <c r="K302" i="12"/>
  <c r="I302" i="12"/>
  <c r="N301" i="12"/>
  <c r="K301" i="12"/>
  <c r="I301" i="12"/>
  <c r="N300" i="12"/>
  <c r="K300" i="12"/>
  <c r="I300" i="12"/>
  <c r="N299" i="12"/>
  <c r="K299" i="12"/>
  <c r="I299" i="12"/>
  <c r="N298" i="12"/>
  <c r="K298" i="12"/>
  <c r="I298" i="12"/>
  <c r="N297" i="12"/>
  <c r="K297" i="12"/>
  <c r="I297" i="12"/>
  <c r="N296" i="12"/>
  <c r="K296" i="12"/>
  <c r="I296" i="12"/>
  <c r="N295" i="12"/>
  <c r="K295" i="12"/>
  <c r="I295" i="12"/>
  <c r="N294" i="12"/>
  <c r="K294" i="12"/>
  <c r="I294" i="12"/>
  <c r="N293" i="12"/>
  <c r="K293" i="12"/>
  <c r="I293" i="12"/>
  <c r="N292" i="12"/>
  <c r="K292" i="12"/>
  <c r="I292" i="12"/>
  <c r="N291" i="12"/>
  <c r="K291" i="12"/>
  <c r="I291" i="12"/>
  <c r="N290" i="12"/>
  <c r="K290" i="12"/>
  <c r="I290" i="12"/>
  <c r="N289" i="12"/>
  <c r="K289" i="12"/>
  <c r="I289" i="12"/>
  <c r="N288" i="12"/>
  <c r="K288" i="12"/>
  <c r="I288" i="12"/>
  <c r="N287" i="12"/>
  <c r="K287" i="12"/>
  <c r="I287" i="12"/>
  <c r="N286" i="12"/>
  <c r="K286" i="12"/>
  <c r="I286" i="12"/>
  <c r="N285" i="12"/>
  <c r="K285" i="12"/>
  <c r="I285" i="12"/>
  <c r="N284" i="12"/>
  <c r="K284" i="12"/>
  <c r="I284" i="12"/>
  <c r="N283" i="12"/>
  <c r="K283" i="12"/>
  <c r="I283" i="12"/>
  <c r="N282" i="12"/>
  <c r="K282" i="12"/>
  <c r="I282" i="12"/>
  <c r="N281" i="12"/>
  <c r="K281" i="12"/>
  <c r="I281" i="12"/>
  <c r="N280" i="12"/>
  <c r="K280" i="12"/>
  <c r="I280" i="12"/>
  <c r="N279" i="12"/>
  <c r="K279" i="12"/>
  <c r="I279" i="12"/>
  <c r="N278" i="12"/>
  <c r="K278" i="12"/>
  <c r="I278" i="12"/>
  <c r="N277" i="12"/>
  <c r="K277" i="12"/>
  <c r="I277" i="12"/>
  <c r="N276" i="12"/>
  <c r="K276" i="12"/>
  <c r="I276" i="12"/>
  <c r="N275" i="12"/>
  <c r="K275" i="12"/>
  <c r="I275" i="12"/>
  <c r="N274" i="12"/>
  <c r="K274" i="12"/>
  <c r="I274" i="12"/>
  <c r="N273" i="12"/>
  <c r="K273" i="12"/>
  <c r="I273" i="12"/>
  <c r="N272" i="12"/>
  <c r="K272" i="12"/>
  <c r="I272" i="12"/>
  <c r="N271" i="12"/>
  <c r="K271" i="12"/>
  <c r="I271" i="12"/>
  <c r="N270" i="12"/>
  <c r="K270" i="12"/>
  <c r="I270" i="12"/>
  <c r="N269" i="12"/>
  <c r="K269" i="12"/>
  <c r="I269" i="12"/>
  <c r="N268" i="12"/>
  <c r="K268" i="12"/>
  <c r="I268" i="12"/>
  <c r="N267" i="12"/>
  <c r="K267" i="12"/>
  <c r="I267" i="12"/>
  <c r="N266" i="12"/>
  <c r="K266" i="12"/>
  <c r="I266" i="12"/>
  <c r="N265" i="12"/>
  <c r="K265" i="12"/>
  <c r="I265" i="12"/>
  <c r="N264" i="12"/>
  <c r="K264" i="12"/>
  <c r="I264" i="12"/>
  <c r="N263" i="12"/>
  <c r="K263" i="12"/>
  <c r="I263" i="12"/>
  <c r="N262" i="12"/>
  <c r="K262" i="12"/>
  <c r="I262" i="12"/>
  <c r="N261" i="12"/>
  <c r="K261" i="12"/>
  <c r="I261" i="12"/>
  <c r="N260" i="12"/>
  <c r="K260" i="12"/>
  <c r="I260" i="12"/>
  <c r="N259" i="12"/>
  <c r="K259" i="12"/>
  <c r="I259" i="12"/>
  <c r="N258" i="12"/>
  <c r="K258" i="12"/>
  <c r="I258" i="12"/>
  <c r="N257" i="12"/>
  <c r="K257" i="12"/>
  <c r="I257" i="12"/>
  <c r="N256" i="12"/>
  <c r="K256" i="12"/>
  <c r="I256" i="12"/>
  <c r="N255" i="12"/>
  <c r="K255" i="12"/>
  <c r="I255" i="12"/>
  <c r="N254" i="12"/>
  <c r="K254" i="12"/>
  <c r="I254" i="12"/>
  <c r="N253" i="12"/>
  <c r="K253" i="12"/>
  <c r="I253" i="12"/>
  <c r="N252" i="12"/>
  <c r="K252" i="12"/>
  <c r="I252" i="12"/>
  <c r="N251" i="12"/>
  <c r="K251" i="12"/>
  <c r="I251" i="12"/>
  <c r="N250" i="12"/>
  <c r="K250" i="12"/>
  <c r="I250" i="12"/>
  <c r="N249" i="12"/>
  <c r="K249" i="12"/>
  <c r="I249" i="12"/>
  <c r="N248" i="12"/>
  <c r="K248" i="12"/>
  <c r="I248" i="12"/>
  <c r="N247" i="12"/>
  <c r="K247" i="12"/>
  <c r="I247" i="12"/>
  <c r="N246" i="12"/>
  <c r="K246" i="12"/>
  <c r="I246" i="12"/>
  <c r="N245" i="12"/>
  <c r="K245" i="12"/>
  <c r="I245" i="12"/>
  <c r="N244" i="12"/>
  <c r="K244" i="12"/>
  <c r="I244" i="12"/>
  <c r="N243" i="12"/>
  <c r="K243" i="12"/>
  <c r="I243" i="12"/>
  <c r="N242" i="12"/>
  <c r="K242" i="12"/>
  <c r="I242" i="12"/>
  <c r="N241" i="12"/>
  <c r="K241" i="12"/>
  <c r="I241" i="12"/>
  <c r="N240" i="12"/>
  <c r="K240" i="12"/>
  <c r="I240" i="12"/>
  <c r="N239" i="12"/>
  <c r="K239" i="12"/>
  <c r="I239" i="12"/>
  <c r="N238" i="12"/>
  <c r="K238" i="12"/>
  <c r="I238" i="12"/>
  <c r="N237" i="12"/>
  <c r="K237" i="12"/>
  <c r="I237" i="12"/>
  <c r="N236" i="12"/>
  <c r="K236" i="12"/>
  <c r="I236" i="12"/>
  <c r="N235" i="12"/>
  <c r="K235" i="12"/>
  <c r="I235" i="12"/>
  <c r="N234" i="12"/>
  <c r="K234" i="12"/>
  <c r="I234" i="12"/>
  <c r="N233" i="12"/>
  <c r="K233" i="12"/>
  <c r="I233" i="12"/>
  <c r="N232" i="12"/>
  <c r="K232" i="12"/>
  <c r="I232" i="12"/>
  <c r="N231" i="12"/>
  <c r="K231" i="12"/>
  <c r="I231" i="12"/>
  <c r="N230" i="12"/>
  <c r="K230" i="12"/>
  <c r="I230" i="12"/>
  <c r="N229" i="12"/>
  <c r="K229" i="12"/>
  <c r="I229" i="12"/>
  <c r="N228" i="12"/>
  <c r="K228" i="12"/>
  <c r="I228" i="12"/>
  <c r="N227" i="12"/>
  <c r="K227" i="12"/>
  <c r="I227" i="12"/>
  <c r="N226" i="12"/>
  <c r="K226" i="12"/>
  <c r="I226" i="12"/>
  <c r="N225" i="12"/>
  <c r="K225" i="12"/>
  <c r="I225" i="12"/>
  <c r="N224" i="12"/>
  <c r="K224" i="12"/>
  <c r="I224" i="12"/>
  <c r="N223" i="12"/>
  <c r="K223" i="12"/>
  <c r="I223" i="12"/>
  <c r="N222" i="12"/>
  <c r="K222" i="12"/>
  <c r="I222" i="12"/>
  <c r="N221" i="12"/>
  <c r="K221" i="12"/>
  <c r="I221" i="12"/>
  <c r="N220" i="12"/>
  <c r="K220" i="12"/>
  <c r="I220" i="12"/>
  <c r="N219" i="12"/>
  <c r="K219" i="12"/>
  <c r="I219" i="12"/>
  <c r="N218" i="12"/>
  <c r="K218" i="12"/>
  <c r="I218" i="12"/>
  <c r="N217" i="12"/>
  <c r="K217" i="12"/>
  <c r="I217" i="12"/>
  <c r="N216" i="12"/>
  <c r="K216" i="12"/>
  <c r="I216" i="12"/>
  <c r="N215" i="12"/>
  <c r="K215" i="12"/>
  <c r="I215" i="12"/>
  <c r="N214" i="12"/>
  <c r="K214" i="12"/>
  <c r="I214" i="12"/>
  <c r="N213" i="12"/>
  <c r="K213" i="12"/>
  <c r="I213" i="12"/>
  <c r="N212" i="12"/>
  <c r="K212" i="12"/>
  <c r="I212" i="12"/>
  <c r="N211" i="12"/>
  <c r="K211" i="12"/>
  <c r="I211" i="12"/>
  <c r="N210" i="12"/>
  <c r="K210" i="12"/>
  <c r="I210" i="12"/>
  <c r="N209" i="12"/>
  <c r="K209" i="12"/>
  <c r="I209" i="12"/>
  <c r="N208" i="12"/>
  <c r="K208" i="12"/>
  <c r="I208" i="12"/>
  <c r="N207" i="12"/>
  <c r="K207" i="12"/>
  <c r="I207" i="12"/>
  <c r="N206" i="12"/>
  <c r="K206" i="12"/>
  <c r="I206" i="12"/>
  <c r="N205" i="12"/>
  <c r="K205" i="12"/>
  <c r="I205" i="12"/>
  <c r="N204" i="12"/>
  <c r="K204" i="12"/>
  <c r="I204" i="12"/>
  <c r="N203" i="12"/>
  <c r="K203" i="12"/>
  <c r="I203" i="12"/>
  <c r="N202" i="12"/>
  <c r="K202" i="12"/>
  <c r="I202" i="12"/>
  <c r="N201" i="12"/>
  <c r="K201" i="12"/>
  <c r="I201" i="12"/>
  <c r="N200" i="12"/>
  <c r="K200" i="12"/>
  <c r="I200" i="12"/>
  <c r="N199" i="12"/>
  <c r="K199" i="12"/>
  <c r="I199" i="12"/>
  <c r="N198" i="12"/>
  <c r="K198" i="12"/>
  <c r="I198" i="12"/>
  <c r="N197" i="12"/>
  <c r="K197" i="12"/>
  <c r="I197" i="12"/>
  <c r="N196" i="12"/>
  <c r="K196" i="12"/>
  <c r="I196" i="12"/>
  <c r="N195" i="12"/>
  <c r="K195" i="12"/>
  <c r="I195" i="12"/>
  <c r="N194" i="12"/>
  <c r="K194" i="12"/>
  <c r="I194" i="12"/>
  <c r="N193" i="12"/>
  <c r="K193" i="12"/>
  <c r="I193" i="12"/>
  <c r="N192" i="12"/>
  <c r="K192" i="12"/>
  <c r="I192" i="12"/>
  <c r="N191" i="12"/>
  <c r="K191" i="12"/>
  <c r="I191" i="12"/>
  <c r="N190" i="12"/>
  <c r="K190" i="12"/>
  <c r="I190" i="12"/>
  <c r="N189" i="12"/>
  <c r="K189" i="12"/>
  <c r="I189" i="12"/>
  <c r="N188" i="12"/>
  <c r="K188" i="12"/>
  <c r="I188" i="12"/>
  <c r="N187" i="12"/>
  <c r="K187" i="12"/>
  <c r="I187" i="12"/>
  <c r="N186" i="12"/>
  <c r="K186" i="12"/>
  <c r="I186" i="12"/>
  <c r="N185" i="12"/>
  <c r="K185" i="12"/>
  <c r="I185" i="12"/>
  <c r="N184" i="12"/>
  <c r="K184" i="12"/>
  <c r="I184" i="12"/>
  <c r="N183" i="12"/>
  <c r="K183" i="12"/>
  <c r="I183" i="12"/>
  <c r="N182" i="12"/>
  <c r="K182" i="12"/>
  <c r="I182" i="12"/>
  <c r="N181" i="12"/>
  <c r="K181" i="12"/>
  <c r="I181" i="12"/>
  <c r="N180" i="12"/>
  <c r="K180" i="12"/>
  <c r="I180" i="12"/>
  <c r="N179" i="12"/>
  <c r="K179" i="12"/>
  <c r="I179" i="12"/>
  <c r="N178" i="12"/>
  <c r="K178" i="12"/>
  <c r="I178" i="12"/>
  <c r="N177" i="12"/>
  <c r="K177" i="12"/>
  <c r="I177" i="12"/>
  <c r="N176" i="12"/>
  <c r="K176" i="12"/>
  <c r="I176" i="12"/>
  <c r="N175" i="12"/>
  <c r="K175" i="12"/>
  <c r="I175" i="12"/>
  <c r="N174" i="12"/>
  <c r="K174" i="12"/>
  <c r="I174" i="12"/>
  <c r="N173" i="12"/>
  <c r="K173" i="12"/>
  <c r="I173" i="12"/>
  <c r="N172" i="12"/>
  <c r="K172" i="12"/>
  <c r="I172" i="12"/>
  <c r="N171" i="12"/>
  <c r="K171" i="12"/>
  <c r="I171" i="12"/>
  <c r="N170" i="12"/>
  <c r="K170" i="12"/>
  <c r="I170" i="12"/>
  <c r="N169" i="12"/>
  <c r="K169" i="12"/>
  <c r="I169" i="12"/>
  <c r="N168" i="12"/>
  <c r="K168" i="12"/>
  <c r="I168" i="12"/>
  <c r="N167" i="12"/>
  <c r="K167" i="12"/>
  <c r="I167" i="12"/>
  <c r="N166" i="12"/>
  <c r="K166" i="12"/>
  <c r="I166" i="12"/>
  <c r="N165" i="12"/>
  <c r="K165" i="12"/>
  <c r="I165" i="12"/>
  <c r="N164" i="12"/>
  <c r="K164" i="12"/>
  <c r="I164" i="12"/>
  <c r="N163" i="12"/>
  <c r="K163" i="12"/>
  <c r="I163" i="12"/>
  <c r="N162" i="12"/>
  <c r="K162" i="12"/>
  <c r="I162" i="12"/>
  <c r="N161" i="12"/>
  <c r="K161" i="12"/>
  <c r="I161" i="12"/>
  <c r="N160" i="12"/>
  <c r="K160" i="12"/>
  <c r="I160" i="12"/>
  <c r="N159" i="12"/>
  <c r="K159" i="12"/>
  <c r="I159" i="12"/>
  <c r="N158" i="12"/>
  <c r="K158" i="12"/>
  <c r="I158" i="12"/>
  <c r="N157" i="12"/>
  <c r="K157" i="12"/>
  <c r="I157" i="12"/>
  <c r="N156" i="12"/>
  <c r="K156" i="12"/>
  <c r="I156" i="12"/>
  <c r="N155" i="12"/>
  <c r="K155" i="12"/>
  <c r="I155" i="12"/>
  <c r="N154" i="12"/>
  <c r="K154" i="12"/>
  <c r="I154" i="12"/>
  <c r="N153" i="12"/>
  <c r="K153" i="12"/>
  <c r="I153" i="12"/>
  <c r="N152" i="12"/>
  <c r="K152" i="12"/>
  <c r="I152" i="12"/>
  <c r="N151" i="12"/>
  <c r="K151" i="12"/>
  <c r="I151" i="12"/>
  <c r="N150" i="12"/>
  <c r="K150" i="12"/>
  <c r="I150" i="12"/>
  <c r="N149" i="12"/>
  <c r="K149" i="12"/>
  <c r="I149" i="12"/>
  <c r="N148" i="12"/>
  <c r="K148" i="12"/>
  <c r="I148" i="12"/>
  <c r="N147" i="12"/>
  <c r="K147" i="12"/>
  <c r="I147" i="12"/>
  <c r="N146" i="12"/>
  <c r="K146" i="12"/>
  <c r="I146" i="12"/>
  <c r="N145" i="12"/>
  <c r="K145" i="12"/>
  <c r="I145" i="12"/>
  <c r="N144" i="12"/>
  <c r="K144" i="12"/>
  <c r="I144" i="12"/>
  <c r="N143" i="12"/>
  <c r="K143" i="12"/>
  <c r="I143" i="12"/>
  <c r="N142" i="12"/>
  <c r="K142" i="12"/>
  <c r="I142" i="12"/>
  <c r="N141" i="12"/>
  <c r="K141" i="12"/>
  <c r="I141" i="12"/>
  <c r="N140" i="12"/>
  <c r="K140" i="12"/>
  <c r="I140" i="12"/>
  <c r="N139" i="12"/>
  <c r="K139" i="12"/>
  <c r="I139" i="12"/>
  <c r="N138" i="12"/>
  <c r="K138" i="12"/>
  <c r="I138" i="12"/>
  <c r="N137" i="12"/>
  <c r="K137" i="12"/>
  <c r="I137" i="12"/>
  <c r="N136" i="12"/>
  <c r="K136" i="12"/>
  <c r="I136" i="12"/>
  <c r="N135" i="12"/>
  <c r="K135" i="12"/>
  <c r="I135" i="12"/>
  <c r="N134" i="12"/>
  <c r="K134" i="12"/>
  <c r="I134" i="12"/>
  <c r="N133" i="12"/>
  <c r="K133" i="12"/>
  <c r="I133" i="12"/>
  <c r="N132" i="12"/>
  <c r="K132" i="12"/>
  <c r="I132" i="12"/>
  <c r="N131" i="12"/>
  <c r="K131" i="12"/>
  <c r="I131" i="12"/>
  <c r="N130" i="12"/>
  <c r="K130" i="12"/>
  <c r="I130" i="12"/>
  <c r="N129" i="12"/>
  <c r="K129" i="12"/>
  <c r="I129" i="12"/>
  <c r="N128" i="12"/>
  <c r="K128" i="12"/>
  <c r="I128" i="12"/>
  <c r="N127" i="12"/>
  <c r="K127" i="12"/>
  <c r="I127" i="12"/>
  <c r="N126" i="12"/>
  <c r="K126" i="12"/>
  <c r="I126" i="12"/>
  <c r="N125" i="12"/>
  <c r="K125" i="12"/>
  <c r="I125" i="12"/>
  <c r="N124" i="12"/>
  <c r="K124" i="12"/>
  <c r="I124" i="12"/>
  <c r="N123" i="12"/>
  <c r="K123" i="12"/>
  <c r="I123" i="12"/>
  <c r="N122" i="12"/>
  <c r="K122" i="12"/>
  <c r="I122" i="12"/>
  <c r="N121" i="12"/>
  <c r="K121" i="12"/>
  <c r="I121" i="12"/>
  <c r="N120" i="12"/>
  <c r="K120" i="12"/>
  <c r="I120" i="12"/>
  <c r="N119" i="12"/>
  <c r="K119" i="12"/>
  <c r="I119" i="12"/>
  <c r="N118" i="12"/>
  <c r="K118" i="12"/>
  <c r="I118" i="12"/>
  <c r="N117" i="12"/>
  <c r="K117" i="12"/>
  <c r="I117" i="12"/>
  <c r="N116" i="12"/>
  <c r="K116" i="12"/>
  <c r="I116" i="12"/>
  <c r="N115" i="12"/>
  <c r="K115" i="12"/>
  <c r="I115" i="12"/>
  <c r="N114" i="12"/>
  <c r="K114" i="12"/>
  <c r="I114" i="12"/>
  <c r="N113" i="12"/>
  <c r="K113" i="12"/>
  <c r="I113" i="12"/>
  <c r="N112" i="12"/>
  <c r="K112" i="12"/>
  <c r="I112" i="12"/>
  <c r="N111" i="12"/>
  <c r="K111" i="12"/>
  <c r="I111" i="12"/>
  <c r="N110" i="12"/>
  <c r="K110" i="12"/>
  <c r="I110" i="12"/>
  <c r="N109" i="12"/>
  <c r="K109" i="12"/>
  <c r="I109" i="12"/>
  <c r="N108" i="12"/>
  <c r="K108" i="12"/>
  <c r="I108" i="12"/>
  <c r="N107" i="12"/>
  <c r="K107" i="12"/>
  <c r="I107" i="12"/>
  <c r="N106" i="12"/>
  <c r="K106" i="12"/>
  <c r="I106" i="12"/>
  <c r="N105" i="12"/>
  <c r="K105" i="12"/>
  <c r="I105" i="12"/>
  <c r="N104" i="12"/>
  <c r="K104" i="12"/>
  <c r="I104" i="12"/>
  <c r="N103" i="12"/>
  <c r="K103" i="12"/>
  <c r="I103" i="12"/>
  <c r="N102" i="12"/>
  <c r="K102" i="12"/>
  <c r="I102" i="12"/>
  <c r="N101" i="12"/>
  <c r="K101" i="12"/>
  <c r="I101" i="12"/>
  <c r="N100" i="12"/>
  <c r="K100" i="12"/>
  <c r="I100" i="12"/>
  <c r="N99" i="12"/>
  <c r="K99" i="12"/>
  <c r="I99" i="12"/>
  <c r="N98" i="12"/>
  <c r="K98" i="12"/>
  <c r="I98" i="12"/>
  <c r="N97" i="12"/>
  <c r="K97" i="12"/>
  <c r="I97" i="12"/>
  <c r="N96" i="12"/>
  <c r="K96" i="12"/>
  <c r="I96" i="12"/>
  <c r="N95" i="12"/>
  <c r="K95" i="12"/>
  <c r="I95" i="12"/>
  <c r="N94" i="12"/>
  <c r="K94" i="12"/>
  <c r="I94" i="12"/>
  <c r="N93" i="12"/>
  <c r="K93" i="12"/>
  <c r="I93" i="12"/>
  <c r="N92" i="12"/>
  <c r="K92" i="12"/>
  <c r="I92" i="12"/>
  <c r="N91" i="12"/>
  <c r="K91" i="12"/>
  <c r="I91" i="12"/>
  <c r="N90" i="12"/>
  <c r="K90" i="12"/>
  <c r="I90" i="12"/>
  <c r="N89" i="12"/>
  <c r="K89" i="12"/>
  <c r="I89" i="12"/>
  <c r="N88" i="12"/>
  <c r="K88" i="12"/>
  <c r="I88" i="12"/>
  <c r="N87" i="12"/>
  <c r="K87" i="12"/>
  <c r="I87" i="12"/>
  <c r="N86" i="12"/>
  <c r="K86" i="12"/>
  <c r="I86" i="12"/>
  <c r="N85" i="12"/>
  <c r="K85" i="12"/>
  <c r="I85" i="12"/>
  <c r="N84" i="12"/>
  <c r="K84" i="12"/>
  <c r="I84" i="12"/>
  <c r="N83" i="12"/>
  <c r="K83" i="12"/>
  <c r="I83" i="12"/>
  <c r="N82" i="12"/>
  <c r="K82" i="12"/>
  <c r="I82" i="12"/>
  <c r="N81" i="12"/>
  <c r="K81" i="12"/>
  <c r="I81" i="12"/>
  <c r="N80" i="12"/>
  <c r="K80" i="12"/>
  <c r="I80" i="12"/>
  <c r="N79" i="12"/>
  <c r="K79" i="12"/>
  <c r="I79" i="12"/>
  <c r="N78" i="12"/>
  <c r="K78" i="12"/>
  <c r="I78" i="12"/>
  <c r="N77" i="12"/>
  <c r="K77" i="12"/>
  <c r="I77" i="12"/>
  <c r="N76" i="12"/>
  <c r="K76" i="12"/>
  <c r="I76" i="12"/>
  <c r="N75" i="12"/>
  <c r="K75" i="12"/>
  <c r="I75" i="12"/>
  <c r="N74" i="12"/>
  <c r="K74" i="12"/>
  <c r="I74" i="12"/>
  <c r="N73" i="12"/>
  <c r="K73" i="12"/>
  <c r="I73" i="12"/>
  <c r="N72" i="12"/>
  <c r="K72" i="12"/>
  <c r="I72" i="12"/>
  <c r="N71" i="12"/>
  <c r="K71" i="12"/>
  <c r="I71" i="12"/>
  <c r="N70" i="12"/>
  <c r="K70" i="12"/>
  <c r="I70" i="12"/>
  <c r="N69" i="12"/>
  <c r="K69" i="12"/>
  <c r="I69" i="12"/>
  <c r="N68" i="12"/>
  <c r="K68" i="12"/>
  <c r="I68" i="12"/>
  <c r="N67" i="12"/>
  <c r="K67" i="12"/>
  <c r="I67" i="12"/>
  <c r="N66" i="12"/>
  <c r="K66" i="12"/>
  <c r="I66" i="12"/>
  <c r="N65" i="12"/>
  <c r="K65" i="12"/>
  <c r="I65" i="12"/>
  <c r="N64" i="12"/>
  <c r="K64" i="12"/>
  <c r="I64" i="12"/>
  <c r="N63" i="12"/>
  <c r="K63" i="12"/>
  <c r="I63" i="12"/>
  <c r="N62" i="12"/>
  <c r="K62" i="12"/>
  <c r="I62" i="12"/>
  <c r="N61" i="12"/>
  <c r="K61" i="12"/>
  <c r="I61" i="12"/>
  <c r="N60" i="12"/>
  <c r="K60" i="12"/>
  <c r="I60" i="12"/>
  <c r="N59" i="12"/>
  <c r="K59" i="12"/>
  <c r="I59" i="12"/>
  <c r="N58" i="12"/>
  <c r="K58" i="12"/>
  <c r="I58" i="12"/>
  <c r="N57" i="12"/>
  <c r="K57" i="12"/>
  <c r="I57" i="12"/>
  <c r="N56" i="12"/>
  <c r="K56" i="12"/>
  <c r="I56" i="12"/>
  <c r="N55" i="12"/>
  <c r="K55" i="12"/>
  <c r="I55" i="12"/>
  <c r="N54" i="12"/>
  <c r="K54" i="12"/>
  <c r="I54" i="12"/>
  <c r="N53" i="12"/>
  <c r="K53" i="12"/>
  <c r="I53" i="12"/>
  <c r="N52" i="12"/>
  <c r="K52" i="12"/>
  <c r="I52" i="12"/>
  <c r="N51" i="12"/>
  <c r="K51" i="12"/>
  <c r="I51" i="12"/>
  <c r="N50" i="12"/>
  <c r="K50" i="12"/>
  <c r="I50" i="12"/>
  <c r="N49" i="12"/>
  <c r="K49" i="12"/>
  <c r="I49" i="12"/>
  <c r="N48" i="12"/>
  <c r="K48" i="12"/>
  <c r="I48" i="12"/>
  <c r="N47" i="12"/>
  <c r="K47" i="12"/>
  <c r="I47" i="12"/>
  <c r="N46" i="12"/>
  <c r="K46" i="12"/>
  <c r="I46" i="12"/>
  <c r="N45" i="12"/>
  <c r="K45" i="12"/>
  <c r="I45" i="12"/>
  <c r="N44" i="12"/>
  <c r="K44" i="12"/>
  <c r="I44" i="12"/>
  <c r="N43" i="12"/>
  <c r="K43" i="12"/>
  <c r="I43" i="12"/>
  <c r="N42" i="12"/>
  <c r="K42" i="12"/>
  <c r="I42" i="12"/>
  <c r="N41" i="12"/>
  <c r="K41" i="12"/>
  <c r="I41" i="12"/>
  <c r="N40" i="12"/>
  <c r="K40" i="12"/>
  <c r="I40" i="12"/>
  <c r="N39" i="12"/>
  <c r="K39" i="12"/>
  <c r="I39" i="12"/>
  <c r="N38" i="12"/>
  <c r="K38" i="12"/>
  <c r="I38" i="12"/>
  <c r="N37" i="12"/>
  <c r="K37" i="12"/>
  <c r="I37" i="12"/>
  <c r="N36" i="12"/>
  <c r="K36" i="12"/>
  <c r="I36" i="12"/>
  <c r="N35" i="12"/>
  <c r="K35" i="12"/>
  <c r="I35" i="12"/>
  <c r="N34" i="12"/>
  <c r="K34" i="12"/>
  <c r="I34" i="12"/>
  <c r="N33" i="12"/>
  <c r="K33" i="12"/>
  <c r="I33" i="12"/>
  <c r="N32" i="12"/>
  <c r="K32" i="12"/>
  <c r="I32" i="12"/>
  <c r="N31" i="12"/>
  <c r="K31" i="12"/>
  <c r="I31" i="12"/>
  <c r="N30" i="12"/>
  <c r="K30" i="12"/>
  <c r="I30" i="12"/>
  <c r="N29" i="12"/>
  <c r="K29" i="12"/>
  <c r="I29" i="12"/>
  <c r="N28" i="12"/>
  <c r="K28" i="12"/>
  <c r="I28" i="12"/>
  <c r="N27" i="12"/>
  <c r="K27" i="12"/>
  <c r="I27" i="12"/>
  <c r="N26" i="12"/>
  <c r="K26" i="12"/>
  <c r="I26" i="12"/>
  <c r="N25" i="12"/>
  <c r="K25" i="12"/>
  <c r="I25" i="12"/>
  <c r="N24" i="12"/>
  <c r="K24" i="12"/>
  <c r="I24" i="12"/>
  <c r="N23" i="12"/>
  <c r="K23" i="12"/>
  <c r="I23" i="12"/>
  <c r="N22" i="12"/>
  <c r="K22" i="12"/>
  <c r="I22" i="12"/>
  <c r="N21" i="12"/>
  <c r="K21" i="12"/>
  <c r="I21" i="12"/>
  <c r="N20" i="12"/>
  <c r="K20" i="12"/>
  <c r="I20" i="12"/>
  <c r="N19" i="12"/>
  <c r="K19" i="12"/>
  <c r="I19" i="12"/>
  <c r="N18" i="12"/>
  <c r="K18" i="12"/>
  <c r="I18" i="12"/>
  <c r="N17" i="12"/>
  <c r="K17" i="12"/>
  <c r="I17" i="12"/>
  <c r="N16" i="12"/>
  <c r="K16" i="12"/>
  <c r="I16" i="12"/>
  <c r="N15" i="12"/>
  <c r="K15" i="12"/>
  <c r="I15" i="12"/>
  <c r="N14" i="12"/>
  <c r="K14" i="12"/>
  <c r="I14" i="12"/>
  <c r="N13" i="12"/>
  <c r="K13" i="12"/>
  <c r="I13" i="12"/>
  <c r="N12" i="12"/>
  <c r="K12" i="12"/>
  <c r="I12" i="12"/>
  <c r="N11" i="12"/>
  <c r="K11" i="12"/>
  <c r="I11" i="12"/>
  <c r="N10" i="12"/>
  <c r="K10" i="12"/>
  <c r="I10" i="12"/>
  <c r="N9" i="12"/>
  <c r="K9" i="12"/>
  <c r="I9" i="12"/>
  <c r="N8" i="12"/>
  <c r="K8" i="12"/>
  <c r="I8" i="12"/>
  <c r="N7" i="12"/>
  <c r="K7" i="12"/>
  <c r="I7" i="12"/>
  <c r="N6" i="12"/>
  <c r="K6" i="12"/>
  <c r="I6" i="12"/>
  <c r="N5" i="12"/>
  <c r="K5" i="12"/>
  <c r="I5" i="12"/>
  <c r="N4" i="12"/>
  <c r="K4" i="12"/>
  <c r="I4" i="12"/>
  <c r="N3" i="12"/>
  <c r="K3" i="12"/>
  <c r="I3" i="12"/>
  <c r="N2" i="12"/>
  <c r="K2" i="12"/>
  <c r="I2" i="12"/>
  <c r="H38" i="1" l="1"/>
  <c r="H39" i="1"/>
  <c r="H40" i="1"/>
  <c r="H41" i="1"/>
  <c r="H42" i="1"/>
  <c r="H43" i="1"/>
  <c r="H44" i="1"/>
  <c r="H45" i="1"/>
  <c r="H46" i="1"/>
  <c r="H47" i="1"/>
  <c r="H48" i="1"/>
  <c r="H49" i="1"/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<sst xmlns="http://schemas.openxmlformats.org/spreadsheetml/2006/main" count="49802" uniqueCount="1151">
  <si>
    <t>Year</t>
  </si>
  <si>
    <t>Month</t>
  </si>
  <si>
    <t>Plant</t>
  </si>
  <si>
    <t>LE0 PPDS, THB/kg</t>
  </si>
  <si>
    <t>LV PPDS, THB/kg</t>
  </si>
  <si>
    <t>Act. PPDS, THB/kg</t>
  </si>
  <si>
    <t>TTSA Price</t>
  </si>
  <si>
    <t>Act. PPDS cost against TTSA, THB/kg</t>
  </si>
  <si>
    <t>Est. PPDS cost against TTSA, THB/kg</t>
  </si>
  <si>
    <t>Est. PPDS accuracy, %</t>
  </si>
  <si>
    <t>Act. PPDS accuracy, %</t>
  </si>
  <si>
    <t>LE0 Starch content, %</t>
  </si>
  <si>
    <t>LV Starch content, %</t>
  </si>
  <si>
    <t>Act. Starch content, %</t>
  </si>
  <si>
    <t>LE0 Price THB/kg</t>
  </si>
  <si>
    <t>LV Price THB/kg</t>
  </si>
  <si>
    <t>Act. Price THB/kg</t>
  </si>
  <si>
    <t>Jan</t>
  </si>
  <si>
    <t>Sikhiu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</si>
  <si>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</si>
  <si>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</si>
  <si>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</si>
  <si>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</si>
  <si>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</si>
  <si>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</si>
  <si>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</si>
  <si>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</si>
  <si>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</si>
  <si>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</si>
  <si>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</si>
  <si>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</t>
  </si>
  <si>
    <t>Vendor type</t>
  </si>
  <si>
    <t>Vendor</t>
  </si>
  <si>
    <t>District</t>
  </si>
  <si>
    <t>Province</t>
  </si>
  <si>
    <t>Farmer</t>
  </si>
  <si>
    <t>น.ส.นันทวัน รากพุฒ</t>
  </si>
  <si>
    <t>แก่งคอย</t>
  </si>
  <si>
    <t>สระบุรี</t>
  </si>
  <si>
    <t>Broker</t>
  </si>
  <si>
    <t>นายอุ้มบุญ อินทสร</t>
  </si>
  <si>
    <t>ชัยบาดาล</t>
  </si>
  <si>
    <t>ลพบุรี</t>
  </si>
  <si>
    <t>น.ส.ทองประเสริฐ ภิญโญทรัพย์</t>
  </si>
  <si>
    <t>ชุมตาบง</t>
  </si>
  <si>
    <t>นครสวรรค์</t>
  </si>
  <si>
    <t>นายจรัส ดินขุนทด</t>
  </si>
  <si>
    <t>ด่านขุนทด</t>
  </si>
  <si>
    <t>นครราชสีมา</t>
  </si>
  <si>
    <t>นายจิตชัย มักขุนทด</t>
  </si>
  <si>
    <t>นายเจริญ คมพุดซา</t>
  </si>
  <si>
    <t>นายเชิญ เกียรติสูงเนิน</t>
  </si>
  <si>
    <t>นายไชยา โกดกลางดอน</t>
  </si>
  <si>
    <t>นางดวงรัตน์ เจิมขุนทด</t>
  </si>
  <si>
    <t>นายทวีเกียรติ์ เพียรขุนทด</t>
  </si>
  <si>
    <t>น.ส.ธิติมา ตะโกทอง</t>
  </si>
  <si>
    <t>นางนฤทัย คำสัตย์</t>
  </si>
  <si>
    <t>นายบดินทร์ ใสพลกรัง</t>
  </si>
  <si>
    <t>นายประยงค์ เกตุค้างพลู</t>
  </si>
  <si>
    <t>นางประนอม เทียมทูลถวาย</t>
  </si>
  <si>
    <t>นางประจวบ ชูสำโรง</t>
  </si>
  <si>
    <t>นายผาสุข ขิงสันเทียะ</t>
  </si>
  <si>
    <t>นางรุ่งนภา กาบขุนทด</t>
  </si>
  <si>
    <t>นายวิรัตน์ ถนอมพลกรัง</t>
  </si>
  <si>
    <t>นางวราภรณ์ เปิงขุนทด</t>
  </si>
  <si>
    <t>นายวิชาญ โวกสูงเนิน</t>
  </si>
  <si>
    <t>น.ส.ศสิณา บวนขุนทด</t>
  </si>
  <si>
    <t>น.ส.ศิริวรรณ์ มักขุนทด</t>
  </si>
  <si>
    <t>นายสมภาส ใสพลกรัง</t>
  </si>
  <si>
    <t>นายสำฤทธิ์ โคมขุนทด</t>
  </si>
  <si>
    <t>นางสมควร พินขุนทด</t>
  </si>
  <si>
    <t>นายสนั่น สุขนอก</t>
  </si>
  <si>
    <t>นายสุวรรณ พี่พิมาย</t>
  </si>
  <si>
    <t>นายสมนึก คมพุดซา</t>
  </si>
  <si>
    <t>นางสำรวย แกล้งกลางดอน</t>
  </si>
  <si>
    <t>นายสมบัติ กลองกลางดอน</t>
  </si>
  <si>
    <t>นายสราวุฒิ เลี้ยวกลาง</t>
  </si>
  <si>
    <t>นายอารักษ์ ดุนขุนทด</t>
  </si>
  <si>
    <t>นายเดชณรงค์ เอสันเทียะ</t>
  </si>
  <si>
    <t>นายสุริยา สุทนัง</t>
  </si>
  <si>
    <t>นาจะหลวย</t>
  </si>
  <si>
    <t>อุบลราชธานี</t>
  </si>
  <si>
    <t>นายฉัตรชัย หงษ์ขุนทด</t>
  </si>
  <si>
    <t>โนนไทย</t>
  </si>
  <si>
    <t>นายโสภณวิชญ์ สรศักดิ์</t>
  </si>
  <si>
    <t>นายทิวาธร เหลางาม</t>
  </si>
  <si>
    <t>บรบือ</t>
  </si>
  <si>
    <t>มหาสารคาม</t>
  </si>
  <si>
    <t>นายอนุรัตน์ ทุมขุนทด</t>
  </si>
  <si>
    <t>บึงสามพัน</t>
  </si>
  <si>
    <t>เพชรบูรณ์</t>
  </si>
  <si>
    <t>นางสมสมัย มีสวัสดิ์</t>
  </si>
  <si>
    <t>ปักธงชัย</t>
  </si>
  <si>
    <t>นายอาทิตย์ เกริ่นสระน้อย</t>
  </si>
  <si>
    <t>นายพนม เขียนโคกกรวด</t>
  </si>
  <si>
    <t>ปากช่อง</t>
  </si>
  <si>
    <t>นางพนิดา บุญเทียม</t>
  </si>
  <si>
    <t>นางมนต์ลักษณ์ ศรุติลาวัณย์</t>
  </si>
  <si>
    <t>นางนิภา อันธพันธ์</t>
  </si>
  <si>
    <t>พัฒนานิคม</t>
  </si>
  <si>
    <t>นายเสริมศักดิ์ พวงมาลา</t>
  </si>
  <si>
    <t>นางเนตรชนก วงษา</t>
  </si>
  <si>
    <t>ซำสูง</t>
  </si>
  <si>
    <t>ขอนแก่น</t>
  </si>
  <si>
    <t>น.ส.กาญจนา ไปร่บึง</t>
  </si>
  <si>
    <t>สีคิ้ว</t>
  </si>
  <si>
    <t>น.ส.ขวัญเรือน โขสันเทียะ</t>
  </si>
  <si>
    <t>นายจตุรงค์ เมืองจันทึก</t>
  </si>
  <si>
    <t>นายจีระศักดิ์ ประทุมศรี</t>
  </si>
  <si>
    <t>น.ส.จุฑามาศ ผานกระโทก</t>
  </si>
  <si>
    <t>นายฉันทพล บุญรักษา</t>
  </si>
  <si>
    <t>นายชาญวิทย์ เขื่อนจันทึก</t>
  </si>
  <si>
    <t>นางแดง พวกจันทึก</t>
  </si>
  <si>
    <t>นายเที่ยง รักกุศล</t>
  </si>
  <si>
    <t>นางธัญญลักษณ์ จุลขุนทด</t>
  </si>
  <si>
    <t>นายธีรวราชัย เลิศประเสริฐ</t>
  </si>
  <si>
    <t>นายธวัชชัย พิรมย์รัตน์</t>
  </si>
  <si>
    <t>น.ส.นันทิดา คำพันธ์ดุง</t>
  </si>
  <si>
    <t>นายนำชัย เขียนจอหอ</t>
  </si>
  <si>
    <t>นายนรินทร์ พิรักษา</t>
  </si>
  <si>
    <t>นายนุกูล การมวย</t>
  </si>
  <si>
    <t>นางหนิดหน่อย บำขุนทด</t>
  </si>
  <si>
    <t>นายนิยม โพธิ์ชะอุ่ม</t>
  </si>
  <si>
    <t>น.ส.นิตยา เงางาม</t>
  </si>
  <si>
    <t>นายบรรดิษฐ หล่ำจันทึก</t>
  </si>
  <si>
    <t>นายบุญเลิศ บุญสูงเนิน</t>
  </si>
  <si>
    <t>นายประจวบ สารจันทึก</t>
  </si>
  <si>
    <t>นายประยูร เกิดจันทึก</t>
  </si>
  <si>
    <t>น.ส.ปัญชญา ผึ้งเมือง</t>
  </si>
  <si>
    <t>นางประจบ สุดลา</t>
  </si>
  <si>
    <t>นายประกอบ เพ็ชรจันทึก</t>
  </si>
  <si>
    <t>นายประกอบ นุยจันทึก</t>
  </si>
  <si>
    <t>นางปิ่น จงสุขกลาง</t>
  </si>
  <si>
    <t>นายเพิ่มเกียรติ โมงขุนทด</t>
  </si>
  <si>
    <t>นางพิสมัย เทียบจันทึก</t>
  </si>
  <si>
    <t>นายไพฑูรณ์ มิลจันทึก</t>
  </si>
  <si>
    <t>นายภาณุวัฒน์ เพียซ้าย</t>
  </si>
  <si>
    <t>นายมนตรี กรินรักษ์</t>
  </si>
  <si>
    <t>นางมะลิวรรณ ไพจักร</t>
  </si>
  <si>
    <t>นายยุทธนา กะการตี</t>
  </si>
  <si>
    <t>นายร่วม จ่ากลาง</t>
  </si>
  <si>
    <t>นางรุ่งนภา จันทอง</t>
  </si>
  <si>
    <t>นายวีระพงษ์ หวลขุนทด</t>
  </si>
  <si>
    <t>นายวุฒิพงษ์ ผลชู</t>
  </si>
  <si>
    <t>นายวิชัย ศรีธิ</t>
  </si>
  <si>
    <t>นายวิรัตน์ โอดจันทึก</t>
  </si>
  <si>
    <t>นายวิชัย บำรุงจิต</t>
  </si>
  <si>
    <t>นายศราวุฒิ มาจันทึก</t>
  </si>
  <si>
    <t>นายสุรชัย เรืองจันทึก</t>
  </si>
  <si>
    <t>นายสายมุ่ง ศรีโคกสูง</t>
  </si>
  <si>
    <t>นายสมชาย วงศ์พินิจ</t>
  </si>
  <si>
    <t>นายสมชิต อาษากลาง</t>
  </si>
  <si>
    <t>นายเสนห์ จงจันทึก</t>
  </si>
  <si>
    <t>นายสมหมาย แก้วโพธิ์กลาง</t>
  </si>
  <si>
    <t>นายสุพรรณ การมวย</t>
  </si>
  <si>
    <t>น.ส.สมร คบขุนทด</t>
  </si>
  <si>
    <t>นางสมนึก ฆ้องโนนสูง</t>
  </si>
  <si>
    <t>นางสุภาพ เชิดชู</t>
  </si>
  <si>
    <t>นายสมศักดิ์ ปลั่งกลาง</t>
  </si>
  <si>
    <t>นางสาคร เทศสูงเนิน</t>
  </si>
  <si>
    <t>นายสมหวัง ชำนาญกลาง</t>
  </si>
  <si>
    <t>นายสิริวัฒน์ หล่อนจันทึก</t>
  </si>
  <si>
    <t>นายสถาพร สายสวรรค์</t>
  </si>
  <si>
    <t>นายสุเทพ หลั่นจันทึก</t>
  </si>
  <si>
    <t>น.ส.สุภาพ เกิดสำโรง</t>
  </si>
  <si>
    <t>นายสรศักดิ์ สิทธิเสือ</t>
  </si>
  <si>
    <t>นายสมชาย อุทัยรัตน์</t>
  </si>
  <si>
    <t>น.ส.สุกัญญา ทองกลาง</t>
  </si>
  <si>
    <t>น.ส.โสรญา จันทร์เพ็ชร</t>
  </si>
  <si>
    <t>นายสุรชัย เขียนจอหอ</t>
  </si>
  <si>
    <t>นายเสน่ห์ เชิดชู</t>
  </si>
  <si>
    <t>น.ส.สุรีย์พร เดชขุนทด</t>
  </si>
  <si>
    <t>นายสุภชัย คุ้มหมื่นไวย์</t>
  </si>
  <si>
    <t>นางสอาด เปล่งสันเทียะ</t>
  </si>
  <si>
    <t>นายอำนาจ ศรีคำภา</t>
  </si>
  <si>
    <t>นายอดิศักดิ์ ชุ่มกลาง</t>
  </si>
  <si>
    <t>นางอำนวย ศรีสุภาพ</t>
  </si>
  <si>
    <t>นายอรุณ รัตนจันทร์</t>
  </si>
  <si>
    <t>นายอนันต์ เขตสูงเนิน</t>
  </si>
  <si>
    <t>นายอุเทน ท่วมพุดซา</t>
  </si>
  <si>
    <t>นายอรรถกร มงคล</t>
  </si>
  <si>
    <t>นายอนุชา ยะวงษา</t>
  </si>
  <si>
    <t>นายอนุวัฒน์ เรืองจันทึก</t>
  </si>
  <si>
    <t>นายอดิศักดิ์ ธรรมรักษ์</t>
  </si>
  <si>
    <t xml:space="preserve">Farmer </t>
  </si>
  <si>
    <t>นายก้องเกียรติ ทูลกลาง</t>
  </si>
  <si>
    <t>นายกิตติพงษ์ บุญล้อม</t>
  </si>
  <si>
    <t>สูงเนิน</t>
  </si>
  <si>
    <t>นางเกณ คำกลาง</t>
  </si>
  <si>
    <t>นายเกรียงศักดิ์ มุ่งเมืองกลาง</t>
  </si>
  <si>
    <t>น.ส.กรรณิกา เปลนากลาง</t>
  </si>
  <si>
    <t>น.ส.กนิษฐา ชูชีพ</t>
  </si>
  <si>
    <t>นายชัยพร สร้างการนอก</t>
  </si>
  <si>
    <t>นายณัฐพงษ์ พรมยกบัตร</t>
  </si>
  <si>
    <t>นายตี๋ ผึ่งสูงเนิน</t>
  </si>
  <si>
    <t>นางทรายทอง ดีอุบล</t>
  </si>
  <si>
    <t>นางปาริฉัตร แพบขุนทด</t>
  </si>
  <si>
    <t>นางปุก ทรรณวงษ์</t>
  </si>
  <si>
    <t>นายไพวัลย์ ออสูงเนิน</t>
  </si>
  <si>
    <t>นายพงษ์ศักดิ์ ชื่นสระน้อย</t>
  </si>
  <si>
    <t>นางมณี เนื้อนา</t>
  </si>
  <si>
    <t>นายมานนท์ น้อมสูงเนิน</t>
  </si>
  <si>
    <t>นายโรจน์ทวี รุ่งโรจน์คุณาสิน</t>
  </si>
  <si>
    <t>นางรวง กอกลาง</t>
  </si>
  <si>
    <t>นายฤาชา เลนนาแซง</t>
  </si>
  <si>
    <t>นางเล็ก ศรีเทพ</t>
  </si>
  <si>
    <t>นางวาสนา ขยันงาน</t>
  </si>
  <si>
    <t>นางสุชินา ชุ่มสูงเนิน</t>
  </si>
  <si>
    <t>นายแสวง ไม้เท้าแก้ว</t>
  </si>
  <si>
    <t>นางสมพร ใจบุญ</t>
  </si>
  <si>
    <t>นางสมบัตร ทองดีนอก</t>
  </si>
  <si>
    <t>นายสมบัตร โทสูงเนิน</t>
  </si>
  <si>
    <t>นายสวัสดิ์ ชัยเสนหาร</t>
  </si>
  <si>
    <t>นางสมหมาย ญาติตะคุ</t>
  </si>
  <si>
    <t>นายสมบูรณ์ ฅนโคกสูง</t>
  </si>
  <si>
    <t>นายสนิท บุญสูงเนิน</t>
  </si>
  <si>
    <t>นายสุชาติ ปากกาแดง</t>
  </si>
  <si>
    <t>นายอนิรุทธ์ รักษาวัติ</t>
  </si>
  <si>
    <t>น.ส.กานต์มณี ปอมขุนทด</t>
  </si>
  <si>
    <t>จัตุรัส</t>
  </si>
  <si>
    <t>ชัยภูมิ</t>
  </si>
  <si>
    <t>นางวัลญา บรรเลงการ</t>
  </si>
  <si>
    <t>โชคชัย</t>
  </si>
  <si>
    <t>ปลูกมันสำปะหลัง (TTDI)</t>
  </si>
  <si>
    <t>นายมานะ ดุลย์ขุนทด</t>
  </si>
  <si>
    <t>นายเสริม เสขุนทด</t>
  </si>
  <si>
    <t>นายศักดิ์ณธี ใจดี</t>
  </si>
  <si>
    <t>ท่าหลวง</t>
  </si>
  <si>
    <t>นายประยูร ภูพาดศรี</t>
  </si>
  <si>
    <t>น.ส.วรรณิษา กายกิ่ง</t>
  </si>
  <si>
    <t>นายเกรียงไกร ฐานิวัฒน์</t>
  </si>
  <si>
    <t>นายจตุรงค์ บุญจันทร์</t>
  </si>
  <si>
    <t>น.ส.จินตนา บำรุงราษฏร์</t>
  </si>
  <si>
    <t>นางดุจดาว โชติจันทึก</t>
  </si>
  <si>
    <t>นายต้นตระกาล หล่ำจันทึก</t>
  </si>
  <si>
    <t>นายทองใส แผนจันทึก</t>
  </si>
  <si>
    <t>นางธนภรณ์ ธรรมส่งสุข</t>
  </si>
  <si>
    <t>นายธีรพงศ์ พรมสองชั้น</t>
  </si>
  <si>
    <t>น.ส.นฤมล เทศสูงเนิน</t>
  </si>
  <si>
    <t>นายบุญ ชะนอมรัมย์</t>
  </si>
  <si>
    <t>นายบุญชู ปาสารักษ์</t>
  </si>
  <si>
    <t>นายไพฑูรย์ พุทไธสง</t>
  </si>
  <si>
    <t>นายมณี ภิญโญ</t>
  </si>
  <si>
    <t>นางระเบียบ ฝอดสูงเนิน</t>
  </si>
  <si>
    <t>น.ส.รุ่งทิพย์ ทองสุกกลาง</t>
  </si>
  <si>
    <t>นายลมูล ศรีสูงเนิน</t>
  </si>
  <si>
    <t>นางลำไพร ทับกลาง</t>
  </si>
  <si>
    <t>นายวิศรุต ประเสริฐ</t>
  </si>
  <si>
    <t>นางวาสนา นิ้วจันทึก</t>
  </si>
  <si>
    <t>น.ส.วรัชยา แย้มจันทึก</t>
  </si>
  <si>
    <t>นายวีระ ราชวงศ์</t>
  </si>
  <si>
    <t>นายศักดิ์ดา เจ็กจันทึก</t>
  </si>
  <si>
    <t>นายสมสินธ์ ไฝจันทึก</t>
  </si>
  <si>
    <t>น.ส.สรวีย์ สงวนวงค์วิจิตร</t>
  </si>
  <si>
    <t>นายสมคิด แลจบก</t>
  </si>
  <si>
    <t>น.ส.สอาด จงชิดกลาง</t>
  </si>
  <si>
    <t>นายสมบัติ พาหนองแวง</t>
  </si>
  <si>
    <t>นางสาคร เทียนประสาท</t>
  </si>
  <si>
    <t>น.ส.อัมพาพัชร์ ชินนอก</t>
  </si>
  <si>
    <t>น.ส.อุสาห์ เทียมมาลา</t>
  </si>
  <si>
    <t>นายอุทัย ปิ่นโคกกรวด</t>
  </si>
  <si>
    <t>นายเชิดศักดิ์ ดุงสูงเนิน</t>
  </si>
  <si>
    <t>นางดุษฎี ออสูงเนิน</t>
  </si>
  <si>
    <t>นายทินกร เสขุนทด</t>
  </si>
  <si>
    <t>นายประยูนร์ บัตรจัตุรัส</t>
  </si>
  <si>
    <t>นายวิทยา จิตตวชิรานนท์</t>
  </si>
  <si>
    <t>นายวิชิต จรจันทร์</t>
  </si>
  <si>
    <t>น.ส.ศิริณภา ปากกาแดง</t>
  </si>
  <si>
    <t>นายสาโรจน์ หมู่สูงเนิน</t>
  </si>
  <si>
    <t>นายสมบูรณ์ ปลิวกระโทก</t>
  </si>
  <si>
    <t>นายอดุลย์ บัตรจัตุรัส</t>
  </si>
  <si>
    <t>นายอนุราช สมัครกาล</t>
  </si>
  <si>
    <t>นายอดิเรก ศรีชัยภูมิ</t>
  </si>
  <si>
    <t>คอนสวรรค์</t>
  </si>
  <si>
    <t>นางวารินทร์ สงขุนทด</t>
  </si>
  <si>
    <t>นางวงศ์เดือน อิ่มจิต</t>
  </si>
  <si>
    <t>นายณรงค์ โตจันทึก</t>
  </si>
  <si>
    <t>นางบุบผา หาญสูงเนิน</t>
  </si>
  <si>
    <t>นายสมัย พิศนอก</t>
  </si>
  <si>
    <t>นายสมโภชน์ มิ่งขวัญ</t>
  </si>
  <si>
    <t>นายสมภพ เซี่ยงคิ้ว</t>
  </si>
  <si>
    <t>มวกเหล็ก</t>
  </si>
  <si>
    <t>น.ส.กันยาพร เทศสูงเนิน</t>
  </si>
  <si>
    <t>เมืองนครราชสีมา</t>
  </si>
  <si>
    <t>น.ส.ดวงนภา ชัยเวชการ</t>
  </si>
  <si>
    <t>ด่านช้าง</t>
  </si>
  <si>
    <t>สุพรรณบุรี</t>
  </si>
  <si>
    <t>นายก้าน ขำรัมย์</t>
  </si>
  <si>
    <t>น.ส.เกษกมล บินนอก</t>
  </si>
  <si>
    <t>นายจำลอง จงจิตร์กลาง</t>
  </si>
  <si>
    <t>นายจรัส สานนอก</t>
  </si>
  <si>
    <t>นางจงรักษ์ ปราณีตพลกรัง</t>
  </si>
  <si>
    <t>น.ส.จริยา อุ่นจันทึก</t>
  </si>
  <si>
    <t>นางฉอ้อน ประพาตะนัน</t>
  </si>
  <si>
    <t>นายเฉลิม เทศจันทึก</t>
  </si>
  <si>
    <t>นายณรงค์ มุมขุนทด</t>
  </si>
  <si>
    <t>นายธนาทร งิมสันเทียะ</t>
  </si>
  <si>
    <t>นายนภา เพ็ชรจันทึก</t>
  </si>
  <si>
    <t>นางนวลจันทร์ เฉจันทึก</t>
  </si>
  <si>
    <t>นายบุญชัย บุญชู</t>
  </si>
  <si>
    <t>นายประสิทธิ์ อิ่มจันทึก</t>
  </si>
  <si>
    <t>น.ส.พานิช เผือดสูงเนิน</t>
  </si>
  <si>
    <t>นายโพธิ์ ชินจอหอ</t>
  </si>
  <si>
    <t>นางยุพา ชิณวงศ์</t>
  </si>
  <si>
    <t>นายรวม สงนอก</t>
  </si>
  <si>
    <t>นางเรณู เรืองจันทึก</t>
  </si>
  <si>
    <t>นางรัตนา หาญสงคราม</t>
  </si>
  <si>
    <t>น.ส.ระเบียบ สอนจันทึก</t>
  </si>
  <si>
    <t>น.ส.รัชดาวรรณ ทันใจ</t>
  </si>
  <si>
    <t>น.ส.ละไม ชาญเสาร์</t>
  </si>
  <si>
    <t>นายวิรัตน์ การุณกิตติสาร</t>
  </si>
  <si>
    <t>นายวินัย พรมจันทึก</t>
  </si>
  <si>
    <t>นายวิระชัย เพ็ชรทองหลาง</t>
  </si>
  <si>
    <t>นางแสงแข ชาญเสาร์</t>
  </si>
  <si>
    <t>นางสุพิน ขอลดกลาง</t>
  </si>
  <si>
    <t>นายสุเนตร ตาวงษา</t>
  </si>
  <si>
    <t>นายสมพบ โนมขุนทด</t>
  </si>
  <si>
    <t>นางสุดใจ สุนทรินทร์</t>
  </si>
  <si>
    <t>นายสนอง ศรีแสง</t>
  </si>
  <si>
    <t>น.ส.สายฝน อาชญาสิทธิ์</t>
  </si>
  <si>
    <t>นางสุวิทย์ ภูนา</t>
  </si>
  <si>
    <t>นางสด ส่งศรี</t>
  </si>
  <si>
    <t>นางสมัย หันขุนทด</t>
  </si>
  <si>
    <t>น.ส.สุวรรณรัตน์ พรหมเนรมิต</t>
  </si>
  <si>
    <t>น.ส.สมปอง การมวย</t>
  </si>
  <si>
    <t>นายสุทิน พิผ่วนนอก</t>
  </si>
  <si>
    <t>นายสาคร เผียนอก</t>
  </si>
  <si>
    <t>นายอำนวย เพ็งสระเกษ</t>
  </si>
  <si>
    <t>นายอุทิศ แย้มจันทึก</t>
  </si>
  <si>
    <t>นายอธินันต์ เปาจันทึก</t>
  </si>
  <si>
    <t>นางกวา จรจันทร์</t>
  </si>
  <si>
    <t>นายธนารัตน์ กนก</t>
  </si>
  <si>
    <t>นายระวี แดงจันทร์</t>
  </si>
  <si>
    <t>นายสิทธิชัย ผุยกระโทก</t>
  </si>
  <si>
    <t>นางสุวรรณ เหล่านอก</t>
  </si>
  <si>
    <t>นายสิงห์ พวงพิมาย</t>
  </si>
  <si>
    <t>นางช่อเพ็ชร หร่ายขุนทด</t>
  </si>
  <si>
    <t>นายประจิม เหงี่ยมสูงเนิน</t>
  </si>
  <si>
    <t>น.ส.ประภาสิริ สือขุนทด</t>
  </si>
  <si>
    <t>นายไม้ วงศ์วิไลย์</t>
  </si>
  <si>
    <t>น.ส.วรัญญา นนท์ขุนทด</t>
  </si>
  <si>
    <t>นายสุกิจ แกล้งกลางดอน</t>
  </si>
  <si>
    <t>นายกิตติชัย ปฐมวัฒนกิจ</t>
  </si>
  <si>
    <t>เลาขวัญ</t>
  </si>
  <si>
    <t>กาญจนบุรี</t>
  </si>
  <si>
    <t>นายพัลลภ ระย้า</t>
  </si>
  <si>
    <t>นายนัฎธพงษ์ จันทวงษ์</t>
  </si>
  <si>
    <t>น.ส.สุวรรณา ลุนทอ</t>
  </si>
  <si>
    <t>เวียงเก่า</t>
  </si>
  <si>
    <t>นางคำเตียน จุขุนทด</t>
  </si>
  <si>
    <t>นายจำลอง อนุตรี</t>
  </si>
  <si>
    <t>น.ส.ฉัตรศิริ โบราณสาร</t>
  </si>
  <si>
    <t>นายชาญชัย ช่วยงาน</t>
  </si>
  <si>
    <t>นายทองใบ พรมบุตร</t>
  </si>
  <si>
    <t>นายทนงศักดิ์ ร้อยจันทึก</t>
  </si>
  <si>
    <t>นายบุญคลุ้ม เพียซ้าย</t>
  </si>
  <si>
    <t>นางปราณีต วิชาดี</t>
  </si>
  <si>
    <t>นายมิตร มึมขุนทด</t>
  </si>
  <si>
    <t>นายเรืองศักดิ์ ตาวงษา</t>
  </si>
  <si>
    <t>นางระดา สิงห์หนองหว้า</t>
  </si>
  <si>
    <t>นายวินัย ที่ระลึก</t>
  </si>
  <si>
    <t>นางแววดาว จรมั่งนอก</t>
  </si>
  <si>
    <t>นางศิริรัตน์ ธูปขุนทด</t>
  </si>
  <si>
    <t>น.ส.ศิริพร เอมโอช</t>
  </si>
  <si>
    <t>นายสิทธิพล นิจันทึก</t>
  </si>
  <si>
    <t>นายสถิต เค้าเฮ้า</t>
  </si>
  <si>
    <t>นายสันติ ชูใจ</t>
  </si>
  <si>
    <t>นายสนั่น ยมสูงเนิน</t>
  </si>
  <si>
    <t>นายสมเกียรติ แซ่ห่าน</t>
  </si>
  <si>
    <t>นางอุไร จอมสูงเนิน</t>
  </si>
  <si>
    <t>นายจอน เตียงนิล</t>
  </si>
  <si>
    <t>นายทองรัก ครองเคหา</t>
  </si>
  <si>
    <t>นางพรพนา ปลื้มกลาง</t>
  </si>
  <si>
    <t>นายราวี เปลนากลาง</t>
  </si>
  <si>
    <t>นายวิรัตน์ แก้วสำโรง</t>
  </si>
  <si>
    <t>นายสุพจน์ ภูมิศาสตร์</t>
  </si>
  <si>
    <t>คำม่วง</t>
  </si>
  <si>
    <t>กาฬสินธุ์</t>
  </si>
  <si>
    <t>นางเนาวรัตน์ เพียรขุนทด</t>
  </si>
  <si>
    <t>นายบุญทรง ลาภประเสริฐ</t>
  </si>
  <si>
    <t>นายสัน นาคพลกรัง</t>
  </si>
  <si>
    <t>นายอดิเทพ เล็บสูงเนิน</t>
  </si>
  <si>
    <t>นายสมชาย เที่ยงสันเทียะ</t>
  </si>
  <si>
    <t>น.ส.อักษรา เทียนพลกรัง</t>
  </si>
  <si>
    <t>นางสาวภัทรนันท์ จันทะคัด</t>
  </si>
  <si>
    <t>นามน</t>
  </si>
  <si>
    <t>นายณัฐพงษ์ สุขล้ำเลิศ</t>
  </si>
  <si>
    <t>นายภิญโญ ไทยทองสุขสกุล</t>
  </si>
  <si>
    <t>โนนศิลา</t>
  </si>
  <si>
    <t>น.ส.พิมลพรรณ มูลสันเทียะ</t>
  </si>
  <si>
    <t>น.ส.อนุสรา ชื่นสระน้อย</t>
  </si>
  <si>
    <t>นายสำเริง ศรอินทร์</t>
  </si>
  <si>
    <t>นางปภัสรา คำศรียา</t>
  </si>
  <si>
    <t>เมืองกาฬสินธุ์</t>
  </si>
  <si>
    <t>นายธีระวัฒน์ แจ่มศักดิ์</t>
  </si>
  <si>
    <t>นายวิศรุต ภูถินเชือก</t>
  </si>
  <si>
    <t>ยางตลาด</t>
  </si>
  <si>
    <t>นายพัลลภ ไชยสัตย์</t>
  </si>
  <si>
    <t>สมเด็จ</t>
  </si>
  <si>
    <t>นายศักดิ์ พิมสาร</t>
  </si>
  <si>
    <t>สามชัย</t>
  </si>
  <si>
    <t>นางจันใด สังข์ทอง</t>
  </si>
  <si>
    <t>นายถาวร ตามั่นพลกรัง</t>
  </si>
  <si>
    <t>นายทองใบ เพชรงาม</t>
  </si>
  <si>
    <t>น.ส.บุญล้อม ค่ายสงคราม</t>
  </si>
  <si>
    <t>นางลำพอง เช็ดสันเทียะ</t>
  </si>
  <si>
    <t>นายกอบกาญจ์ จันทร์พล</t>
  </si>
  <si>
    <t>นายประยงค์ สมจันทึก</t>
  </si>
  <si>
    <t>นางสมบุญ ยุนกระโทก</t>
  </si>
  <si>
    <t>น.ส.เหนือเกล้า รื่นจำปี</t>
  </si>
  <si>
    <t>น.ส.อาริสรา นาคสูงเนิน</t>
  </si>
  <si>
    <t>นางรัชนิกรณ์ กระธรรมมะ</t>
  </si>
  <si>
    <t>หนองกรุงศรี</t>
  </si>
  <si>
    <t>นางกิ่งแก้ว ธารศรี</t>
  </si>
  <si>
    <t>นางบรรทม แจ่มสุวรรณ</t>
  </si>
  <si>
    <t>นางประครอง คำมะลิ</t>
  </si>
  <si>
    <t>นางวราพร ปุระชะตา</t>
  </si>
  <si>
    <t>นางสมุด พันจรุง</t>
  </si>
  <si>
    <t>นางสาวณัฐนรี่ สุราฤทธิ์</t>
  </si>
  <si>
    <t>นางสาวดลกมล ถินประสาท</t>
  </si>
  <si>
    <t>นางสาวถวิล การหาญ</t>
  </si>
  <si>
    <t>นางสาวมลิวรรณ์ จำปาลา</t>
  </si>
  <si>
    <t>สหัสขันธ์</t>
  </si>
  <si>
    <t>นางสาววิริยะ เห็มชัย</t>
  </si>
  <si>
    <t>ห้วยผึ้ง</t>
  </si>
  <si>
    <t>นางสาวเสาวนีย์ หาญพิมาย</t>
  </si>
  <si>
    <t>นางสาวอรพรรณ ทองอด</t>
  </si>
  <si>
    <t>นางอรุณรักษ์ มูลอินทร์</t>
  </si>
  <si>
    <t>นางอ่อนจันทร์ สำราญสม</t>
  </si>
  <si>
    <t>นาย เพชร ปิ่นละออ</t>
  </si>
  <si>
    <t>นายคำกรุง สุมา</t>
  </si>
  <si>
    <t>นายจักรกฤษณ์ ประทุม</t>
  </si>
  <si>
    <t>ดอนจาน</t>
  </si>
  <si>
    <t>นายฉลอง ปรีสมบัติ</t>
  </si>
  <si>
    <t>นายถวิล แก้วบุรมย์</t>
  </si>
  <si>
    <t>นายทวี ปะริวันตา</t>
  </si>
  <si>
    <t>นายทอง ทองคำแสง</t>
  </si>
  <si>
    <t>นายไทยพิชิต อาริสาโพธิ์</t>
  </si>
  <si>
    <t>นายธงชัย ฉายจิตร</t>
  </si>
  <si>
    <t>นายนิพนธ์ การไสว</t>
  </si>
  <si>
    <t>นายบัญชา การประไพ</t>
  </si>
  <si>
    <t>นายบัญญัติ ผาริผล</t>
  </si>
  <si>
    <t>นายบุญเจียม โพธิสาลาแสง</t>
  </si>
  <si>
    <t>นายประยุทธ ปรีพัฒน์</t>
  </si>
  <si>
    <t>นายเพชร ศรีบุรัมย์</t>
  </si>
  <si>
    <t>นายไพทูลย์ เปลือยหนองแข้</t>
  </si>
  <si>
    <t>นายไพรวรรณ เศรษฐานาม</t>
  </si>
  <si>
    <t>นายไมตรี จันทร์สุวรรณ์</t>
  </si>
  <si>
    <t>นายยงค์ นิกร</t>
  </si>
  <si>
    <t>นายสมเพชร เขระภูมิ</t>
  </si>
  <si>
    <t>นายสุริยา เสริฐวาสนา</t>
  </si>
  <si>
    <t>นายไสว ทองการ</t>
  </si>
  <si>
    <t>นายอดิพงษ์ ศรีสองเมือง</t>
  </si>
  <si>
    <t>นายอภิรักษ์ ยุบลชู</t>
  </si>
  <si>
    <t>นายเอกบุรุษ ภูละมุล</t>
  </si>
  <si>
    <t>นายมงคล ทวีจิตร์</t>
  </si>
  <si>
    <t>นายอิทธิฤทธิ์ งามสันเทียะ</t>
  </si>
  <si>
    <t>นายเกรียงไกร เลี้ยวกลาง</t>
  </si>
  <si>
    <t>นายดวง กล้ากลางดอน</t>
  </si>
  <si>
    <t>นายไตรภพ เจริญ</t>
  </si>
  <si>
    <t>นายถิรพงศ์ พี่พิมาย</t>
  </si>
  <si>
    <t>นายทองคูณ จันวงษา</t>
  </si>
  <si>
    <t>นายนิรัญ สนขุนทด</t>
  </si>
  <si>
    <t>นายนิวัฒน์ สุ่ยขุนทด</t>
  </si>
  <si>
    <t>นางบุญทัน แก่สูงเนิน</t>
  </si>
  <si>
    <t>นายประเสริฐ พินขุนทด</t>
  </si>
  <si>
    <t>น.ส.ปราณี ทำขุนทด</t>
  </si>
  <si>
    <t>นายประจักษ์ ดุลย์ขุนทด</t>
  </si>
  <si>
    <t>นายมงคล รันสันเทียะ</t>
  </si>
  <si>
    <t>นายวิทูรย์ ดนขุนทด</t>
  </si>
  <si>
    <t>นายสมชาย สามขุนทด</t>
  </si>
  <si>
    <t>นายเสรีย์ เสิกขุนทด</t>
  </si>
  <si>
    <t>นายใส สามขุนทด</t>
  </si>
  <si>
    <t>นางสุกัญญารัตน์ ลาภประเสริฐ</t>
  </si>
  <si>
    <t>นางสายทอง บุญบก</t>
  </si>
  <si>
    <t>นายอมร เอสันเทียะ</t>
  </si>
  <si>
    <t>นายอุทัย โคมขุนทด</t>
  </si>
  <si>
    <t>นายอดิเรก กรึกสำโรง</t>
  </si>
  <si>
    <t>นายธีระวุฒิ เซ็นทองหลาง</t>
  </si>
  <si>
    <t>นายแสวง พานทอง</t>
  </si>
  <si>
    <t>นางเกศณี แก้วจันทรานนท์</t>
  </si>
  <si>
    <t>นายขวัญชัย แก่นสูงเนิน</t>
  </si>
  <si>
    <t>นายเดชา ทรัพย์กลาง</t>
  </si>
  <si>
    <t>นายทนงค์ บุรินทร์รัมย์</t>
  </si>
  <si>
    <t>น.ส.นิตยา ทองพูล</t>
  </si>
  <si>
    <t>นายนาท ดับสันเทียะ</t>
  </si>
  <si>
    <t>นายบุญรัตน์ สาจันทึก</t>
  </si>
  <si>
    <t>นางบุญเริ่ม เกิดจันทึก</t>
  </si>
  <si>
    <t>นายปฏิภาณ กาญจนพันธ์</t>
  </si>
  <si>
    <t>นายประพันธ์ ศาสตร์กลาง</t>
  </si>
  <si>
    <t>นางปราณี ธรรมวัฒน์</t>
  </si>
  <si>
    <t>นายพสุธา จงเย็นกลาง</t>
  </si>
  <si>
    <t>นายไพศาล ฤทธิวิชัย</t>
  </si>
  <si>
    <t>น.ส.ภคนันท์ มินทร์จันทึก</t>
  </si>
  <si>
    <t>นายมงคล เพียซ้าย</t>
  </si>
  <si>
    <t>นางรสริน พันจันทึก</t>
  </si>
  <si>
    <t>นางลำพรวน คำวงษ์</t>
  </si>
  <si>
    <t>นายวาด หาญสงคราม</t>
  </si>
  <si>
    <t>นายวีระเดช เจิมขุนทด</t>
  </si>
  <si>
    <t>นายสมบัติ สุขโข</t>
  </si>
  <si>
    <t>นางสมบัติ ฉูตร์สูงเนิน</t>
  </si>
  <si>
    <t>นายสำรวย เกืยบสันเทียะ</t>
  </si>
  <si>
    <t>นายสมหมาย ปิ่นพรหม</t>
  </si>
  <si>
    <t>น.ส.สุภาภรณ์ เมืองจันทึก</t>
  </si>
  <si>
    <t>นางสุดตา มินทร์จันทึก</t>
  </si>
  <si>
    <t>น.ส.สโรชา โสภีผ่อง</t>
  </si>
  <si>
    <t>น.ส.สุธิมา ราชสมัคร</t>
  </si>
  <si>
    <t>นางหนึ่งฤทัย ประจวบบุญ</t>
  </si>
  <si>
    <t>น.ส.อาภัสรา เยาวศรี</t>
  </si>
  <si>
    <t>นายอำนาจ ฉูดสูงเนิน</t>
  </si>
  <si>
    <t>น.ส.กนกวรรณ ศรีใหม่</t>
  </si>
  <si>
    <t>น.ส.จรัณยา อ้วนสูงเนิน</t>
  </si>
  <si>
    <t>น.ส.จุฑารัตน์ อึ่งชัยภูมิ</t>
  </si>
  <si>
    <t>นายชุมพล ทำจันทา</t>
  </si>
  <si>
    <t>นายชั้น กระชั้นกลาง</t>
  </si>
  <si>
    <t>นางดวงจันทร์ พานใหม่</t>
  </si>
  <si>
    <t>นายธีรยุทธ แสงนวล</t>
  </si>
  <si>
    <t>นายธีรฉัตร อุสูงเนิน</t>
  </si>
  <si>
    <t>นายนำชัย นิจาย</t>
  </si>
  <si>
    <t>นายนิวัฒน์ วิเศษสวัสดิ์</t>
  </si>
  <si>
    <t>นายบุญรอด รัตนจักร</t>
  </si>
  <si>
    <t>นายประเดิม ลัดสูงเนิน</t>
  </si>
  <si>
    <t>นางประเสริฐ จิตรกระโทก</t>
  </si>
  <si>
    <t>นายปรีชา เจ็กมะดัน</t>
  </si>
  <si>
    <t>นายพนม บุ่งขี้เหล็ก</t>
  </si>
  <si>
    <t>นายไพรัช สุโข</t>
  </si>
  <si>
    <t>น.ส.มะลิ ภูฆัง</t>
  </si>
  <si>
    <t>นายยุทธศิลป์ ศรีอุดร</t>
  </si>
  <si>
    <t>นายรังสรร พันสวัสดิ์</t>
  </si>
  <si>
    <t>นางวันเพ็ญ ญาติจันอัด</t>
  </si>
  <si>
    <t>นางแวว เนตรสูงเนิน</t>
  </si>
  <si>
    <t>น.ส.วิภา โคกสวัสดิ์</t>
  </si>
  <si>
    <t>นางส้มจีน มิ่งขวัญ</t>
  </si>
  <si>
    <t>นายสุเนตร ศิริ</t>
  </si>
  <si>
    <t>นายสุชาติ อุดสูงเนิน</t>
  </si>
  <si>
    <t>นายสมพงษ์ ถาดไธสง</t>
  </si>
  <si>
    <t>นายสุนทร หอมสูงเนิน</t>
  </si>
  <si>
    <t>นางสาคร รัตนารักษ์</t>
  </si>
  <si>
    <t>นายคมศักดิ์ โจไธสง</t>
  </si>
  <si>
    <t>น.ส.สุธิรักษ์ ป้อมทะเล</t>
  </si>
  <si>
    <t>นายสมพงษ์ มิ่งขวัญ</t>
  </si>
  <si>
    <t>นายสมใจ กาดสูงเนิน</t>
  </si>
  <si>
    <t>นายสมคิด มิกขุนทด</t>
  </si>
  <si>
    <t>นายอนันท์ ดุจจันทึก</t>
  </si>
  <si>
    <t>นายสมบูรณ์ เหิงขุนทด</t>
  </si>
  <si>
    <t>นายอภิศักดิ์ เบ้าลี</t>
  </si>
  <si>
    <t>นางกาญจนา โมมขุนทด</t>
  </si>
  <si>
    <t>นายบัญชา มุมขุนทด</t>
  </si>
  <si>
    <t>นายปรีชา วสุธารัฐ</t>
  </si>
  <si>
    <t>น.ส.สุนี รวมดอน</t>
  </si>
  <si>
    <t>นางต่วน ฉิมกลาง</t>
  </si>
  <si>
    <t>เนินสง่า</t>
  </si>
  <si>
    <t>น.ส.สุภาพร ยอดเสรนีย์</t>
  </si>
  <si>
    <t>นายพนม เจิมจอหอ</t>
  </si>
  <si>
    <t>น.ส.วิลาวรรณ มงคลแพทย์</t>
  </si>
  <si>
    <t>นายสราวุธ สถิตย์ธรรม</t>
  </si>
  <si>
    <t>นายฉัตรชัย ฤทธิ์เดชไชยชาญ</t>
  </si>
  <si>
    <t>นายทองดึง เทียมจันทึก</t>
  </si>
  <si>
    <t>น.ส.ทิพย์พาดา สง่าสูงเนิน</t>
  </si>
  <si>
    <t>นายธนากร ชิณวงค์</t>
  </si>
  <si>
    <t>นางธนาภรณ์ สอนจันทึก</t>
  </si>
  <si>
    <t>นายนิภพ สุนทรินทร์</t>
  </si>
  <si>
    <t>นายนิรุทธิ์ จองกลาง</t>
  </si>
  <si>
    <t>นางบัวไข สังข์กลาง</t>
  </si>
  <si>
    <t>นายปภพ พรหมพันธุ์ใจ</t>
  </si>
  <si>
    <t>นางปวีพร รอสูงเนิน</t>
  </si>
  <si>
    <t>น.ส.ไพริน แหยมนุช</t>
  </si>
  <si>
    <t>นางรุ่งมณี เพียซ้าย</t>
  </si>
  <si>
    <t>นางวิไลวรรณ์ งามพานิชกิจ</t>
  </si>
  <si>
    <t>นายวาระวุท เจพันดุง</t>
  </si>
  <si>
    <t>นายสวัสดิ์ สิงห์จันทึก</t>
  </si>
  <si>
    <t>น.ส.สุชาดา บุญคงทน</t>
  </si>
  <si>
    <t>น.ส.จิรัชยา หึกขุนทด</t>
  </si>
  <si>
    <t>นายสามารถ เมืองจันทึก</t>
  </si>
  <si>
    <t>นายสมศักดิ์ สงจันทร์</t>
  </si>
  <si>
    <t>นายเหลือง รอสูงเนิน</t>
  </si>
  <si>
    <t>นายโอภาส หัตถแพทย์</t>
  </si>
  <si>
    <t>น.ส.อารีย์ โนสูงเนิน</t>
  </si>
  <si>
    <t>นายอนุวัฒน์ วัฒนากลาง</t>
  </si>
  <si>
    <t>น.ส.กรวรรณ สถิตย์ไพบูลย์</t>
  </si>
  <si>
    <t>นางขวัญจิต สมบัติ</t>
  </si>
  <si>
    <t>นางจันทิมา โกสินทร์รักษา</t>
  </si>
  <si>
    <t>นายจรัส พฤษพงษ์</t>
  </si>
  <si>
    <t>น.ส.จารุณี ตรีจังหรีด</t>
  </si>
  <si>
    <t>นายเชิดชัย มุงขุนทด</t>
  </si>
  <si>
    <t>นายณรงค์ บัลลังค์</t>
  </si>
  <si>
    <t>นายดำรงค์ศักดิ์ บัตรจัตุรัส</t>
  </si>
  <si>
    <t>นายทนุธรรม ธงชัย</t>
  </si>
  <si>
    <t>นางธัญญา คชช้าง</t>
  </si>
  <si>
    <t>นายนิกร โป๊ะสูงเนิน</t>
  </si>
  <si>
    <t>นายปุ่น กิ้นบุราณ</t>
  </si>
  <si>
    <t>น.ส.พัชรี กุลสันเทียะ</t>
  </si>
  <si>
    <t>น.ส.รพีพรรณ นันสูงเนิน</t>
  </si>
  <si>
    <t>นายรัชชานนท์ พบพิมาย</t>
  </si>
  <si>
    <t>นายวิชญ์ จงรวมกลาง</t>
  </si>
  <si>
    <t>นายเสกสรร กิสูงเนิน</t>
  </si>
  <si>
    <t>นางสุพรรณ แซ่เฮง</t>
  </si>
  <si>
    <t>นายสมชาย เศษจันทึก</t>
  </si>
  <si>
    <t>นายสมควร ทวีจิตร์</t>
  </si>
  <si>
    <t>นายทวี ทามี</t>
  </si>
  <si>
    <t>นายเทพบัญชา ละมัยวงศ์</t>
  </si>
  <si>
    <t>นายปิง เรียงสันเทียะ</t>
  </si>
  <si>
    <t>นายปราโมช จันทร์ทองสุข</t>
  </si>
  <si>
    <t>นายประภาศ เพียซ้าย</t>
  </si>
  <si>
    <t>นายสุชาติ หร่ายขุนทด</t>
  </si>
  <si>
    <t>นายอุเทน ครคง</t>
  </si>
  <si>
    <t>น.ส.แก้วแหวน ลัดสูงเนิน</t>
  </si>
  <si>
    <t>น.ส.ขวัญจิรา โมรินทร์</t>
  </si>
  <si>
    <t>น.ส.จำปา บ่อไทย</t>
  </si>
  <si>
    <t>นายเฉลิมพล โคจำปา</t>
  </si>
  <si>
    <t>นายประทีป เจริญผล</t>
  </si>
  <si>
    <t>นายพนม มะนาวนอก</t>
  </si>
  <si>
    <t>นายพงศ์ เกสูงเนิน</t>
  </si>
  <si>
    <t>นายสวั่น ฉลูพันธ์</t>
  </si>
  <si>
    <t>นายกองเจียน สถานธง</t>
  </si>
  <si>
    <t>บจก.เทพประสิทธิ์ คอร์ปอร์เรชั่น</t>
  </si>
  <si>
    <t>น.ส.บังอร เกตุพิบูรณ์</t>
  </si>
  <si>
    <t>นายณรงค์ ปิ่นวิเศษ</t>
  </si>
  <si>
    <t>น.ส.ศิริจิตร์ อักวะรัง</t>
  </si>
  <si>
    <t>นางสายสุนีย์ แซ่ตัน</t>
  </si>
  <si>
    <t>นายสมาน เพิ่มพูน</t>
  </si>
  <si>
    <t>น.ส.ดวงมณี วิจิตรศักดิ์</t>
  </si>
  <si>
    <t>นายวิไล การบรรจง</t>
  </si>
  <si>
    <t>นายสราวุธ งามชื่น</t>
  </si>
  <si>
    <t>นางดวงฤทัย กำขุนทด</t>
  </si>
  <si>
    <t>นายบุญฤทธิ์ แนมพลกรัง</t>
  </si>
  <si>
    <t>นายอิทธิพล มะโน</t>
  </si>
  <si>
    <t>น.ส.ชุติมณฑน์ กังสันเทียะ</t>
  </si>
  <si>
    <t>พระทองคำ</t>
  </si>
  <si>
    <t>นายสนธยา สมชัย</t>
  </si>
  <si>
    <t>นางจงรัก ปัดทุม</t>
  </si>
  <si>
    <t>นายจรูญ ดอกสันเทียะ</t>
  </si>
  <si>
    <t>นางจงดี หล่าจันทึก</t>
  </si>
  <si>
    <t>นายธำรงค์ บรรจงปรุ</t>
  </si>
  <si>
    <t>นายบุญเชิด ขึมสูงเนิน</t>
  </si>
  <si>
    <t>นายประสิทธิ์ หวังกุลกลาง</t>
  </si>
  <si>
    <t>นางพรวลัย พิกขุนทด</t>
  </si>
  <si>
    <t>น.ส.รพีพรรณ สงขุนทด</t>
  </si>
  <si>
    <t>นายวินัย พลจันทึก</t>
  </si>
  <si>
    <t>นายสว่าง ภู่วิเศษ</t>
  </si>
  <si>
    <t>น.ส.อรวรรณ แมมขุนทด</t>
  </si>
  <si>
    <t>นางอรพินท์ ปราณีตพลกรัง</t>
  </si>
  <si>
    <t>นายโชคอำนวย ครุฑขุนทด</t>
  </si>
  <si>
    <t>นางปราณี ถีสูงเนิน</t>
  </si>
  <si>
    <t>นางเสน่ห์ กลั่นหมอ</t>
  </si>
  <si>
    <t>พิมาย</t>
  </si>
  <si>
    <t>นายวิทยา จงจิตร์กลาง</t>
  </si>
  <si>
    <t>นายสุพล หมั่นกิจ</t>
  </si>
  <si>
    <t>นางอัมรินทร์ อำพันทอง</t>
  </si>
  <si>
    <t>นายคมสัน นิคงรัมย์</t>
  </si>
  <si>
    <t>นายประเสริฐ เตียงนิล</t>
  </si>
  <si>
    <t>นายสุภาพ รากพุฒ</t>
  </si>
  <si>
    <t>น.ส.วาสนา ทั่งทอง</t>
  </si>
  <si>
    <t>ขามทะเลสอ</t>
  </si>
  <si>
    <t>นายเดชนรินทร์ นวนกลางดอน</t>
  </si>
  <si>
    <t>นายบุญธรรม เชิดวงค์</t>
  </si>
  <si>
    <t>นายพิมพ์ ดาขุนทด</t>
  </si>
  <si>
    <t>นายภานุวัฒน์ แนมพลกรัง</t>
  </si>
  <si>
    <t>นายมานะ มอมขุนทด</t>
  </si>
  <si>
    <t>นางวารินทร์ ถีสูงเนิน</t>
  </si>
  <si>
    <t>นายวิโรจน์ แนมพลกรัง</t>
  </si>
  <si>
    <t>นายสมพล ใสพลกรัง</t>
  </si>
  <si>
    <t>น.ส.ณัฐพร วรธงไชย</t>
  </si>
  <si>
    <t>นายบุญธรรม โพพระยา</t>
  </si>
  <si>
    <t>นายสมถวิล อุ่นนิ่ม</t>
  </si>
  <si>
    <t>นางดาวรุ้ง มืมขุนทด</t>
  </si>
  <si>
    <t>นายเทียน ศรีเพ็ชร</t>
  </si>
  <si>
    <t>นายประวิทย์ สาศิลา</t>
  </si>
  <si>
    <t>นายวุฒิภัทร ไฝจันทึก</t>
  </si>
  <si>
    <t>นายสำรวม แช่มพุฒทรา</t>
  </si>
  <si>
    <t>นางสมหมาย สิงห์จันทึก</t>
  </si>
  <si>
    <t>นายธานินทร์ ถมมา</t>
  </si>
  <si>
    <t>นางสุวรรณา ยศสันเทียะ</t>
  </si>
  <si>
    <t>น.ส.ภิรมล นาคพลกรัง</t>
  </si>
  <si>
    <t>นางดาวเทียม แรงสูงเนิน</t>
  </si>
  <si>
    <t>นายเกตุมณี นุ่มนวล</t>
  </si>
  <si>
    <t>นายวิรุต เมืองขุนทด</t>
  </si>
  <si>
    <t>นายสนธิ ชาญนอก</t>
  </si>
  <si>
    <t>นายอิ๊ต แก่สูงเนิน</t>
  </si>
  <si>
    <t>นายธวัช กอบฉิมพลี</t>
  </si>
  <si>
    <t>นายถิรยศ สกุลบรรเลงการ</t>
  </si>
  <si>
    <t>นายทรงวุฒิ เทศสูงเนิน</t>
  </si>
  <si>
    <t>น.ส.พวงผกา เพ็ชรจันทึก</t>
  </si>
  <si>
    <t>นางเข็มพร จันทร์เพ็ชร</t>
  </si>
  <si>
    <t>นายเกียรติศักดิ์ หาดทะเล</t>
  </si>
  <si>
    <t>นายเทวัญ เทศสูงเนิน</t>
  </si>
  <si>
    <t>นายพงษ์ศิริ ประจันศรี</t>
  </si>
  <si>
    <t>นายเสรก เพ้ยจันทึก</t>
  </si>
  <si>
    <t>น.ส.ศุจีนันทน์ รุ่งโรจน์คุณาสิน</t>
  </si>
  <si>
    <t>นางสมปอง ทองเจือ</t>
  </si>
  <si>
    <t>นายวีระยุทธ ขุนสูงเนิน</t>
  </si>
  <si>
    <t>นายสยมภู ตั้งชัยธรรม</t>
  </si>
  <si>
    <t>นายวิทยา มีกุดเวียน</t>
  </si>
  <si>
    <t>นางอรนุช เจริญ</t>
  </si>
  <si>
    <t>นางอรัญญา นุ่มนวล</t>
  </si>
  <si>
    <t>นายกิตติ ตากิ่มนอก</t>
  </si>
  <si>
    <t>นายณัฐพล วงษ์เปี่ยม</t>
  </si>
  <si>
    <t>น.ส.กุสุมา ศรีจันทึก</t>
  </si>
  <si>
    <t>นายทวิช มีเบ้า</t>
  </si>
  <si>
    <t>นายประจวบ แย้มจันทึก</t>
  </si>
  <si>
    <t>นายสมพงษ์ ชำนาญกิจ</t>
  </si>
  <si>
    <t>นายชาญณรงค์ เล็กสุวงษ์</t>
  </si>
  <si>
    <t>นายยอดรัก บุ่งขี้เหล็ก</t>
  </si>
  <si>
    <t>นายวิเชียร เผียงสูงเนิน</t>
  </si>
  <si>
    <t>นายสุขสัย ดีสูงเนิน</t>
  </si>
  <si>
    <t>นางอมร กองพิธี</t>
  </si>
  <si>
    <t>นางอุดมลักษณ์ เล็กสุวงษ์</t>
  </si>
  <si>
    <t>น.ส.วนิสา พานทอง</t>
  </si>
  <si>
    <t>นางจีราพร เกตกลางดอน</t>
  </si>
  <si>
    <t>นางบุญคอง ก่อมขุนทด</t>
  </si>
  <si>
    <t>นางประสงค์ เพียรขุนทด</t>
  </si>
  <si>
    <t>นายประกอบ บำรุงนา</t>
  </si>
  <si>
    <t>นายประยุทธ ปัญญา</t>
  </si>
  <si>
    <t>น.ส.จารุวรรณ คมขำ</t>
  </si>
  <si>
    <t>น.ส.ณัฐกษมา ดีจันทึก</t>
  </si>
  <si>
    <t>นายบัณฑิต เพียซ้าย</t>
  </si>
  <si>
    <t>นายบุญเกิด เจ็กจันทึก</t>
  </si>
  <si>
    <t>นายไพฑูรย์ คึงจันทึก</t>
  </si>
  <si>
    <t>น.ส.มาลิสา ศรีระนันท์</t>
  </si>
  <si>
    <t>นางพรศิริ กล้าสูงเนิน</t>
  </si>
  <si>
    <t>นายสมมาตร แตะต้อง</t>
  </si>
  <si>
    <t>นายสุเทพ หล่ำจันทึก</t>
  </si>
  <si>
    <t>นายสมบัติ ขออยู่กลาง</t>
  </si>
  <si>
    <t>นางฉอ้อน กาบคำ</t>
  </si>
  <si>
    <t>นางนวลจันทร์ สามสูงเนิน</t>
  </si>
  <si>
    <t>นายพิเชษฐ์ ชัยบุรี</t>
  </si>
  <si>
    <t>นางอัศนีย์ กล้วยสูงเนิน</t>
  </si>
  <si>
    <t>นายอัตฐวัลย์ พรมวงษ์</t>
  </si>
  <si>
    <t>นายขันติ รากพุฒ</t>
  </si>
  <si>
    <t>น.ส.บังอร สนขุนทด</t>
  </si>
  <si>
    <t>นางวรรณา มาบขุนทด</t>
  </si>
  <si>
    <t>นายจรัญ สุภาพันธ์</t>
  </si>
  <si>
    <t>นายสมบัติ วิเชียรณรัตน์</t>
  </si>
  <si>
    <t>นายเกรียงศักดิ์ เพ็งสระเกษ</t>
  </si>
  <si>
    <t>นายณรงค์ วันมะเริง</t>
  </si>
  <si>
    <t>นายนันท์พิพัฒน์ เพียรทำดี</t>
  </si>
  <si>
    <t>นายบุญเกิด เลียมสันเที้ยะ</t>
  </si>
  <si>
    <t>นางเพ็ชรา คล่องแคล่ว</t>
  </si>
  <si>
    <t>นางลำพูน ดีเลิศ</t>
  </si>
  <si>
    <t>นางสมพร วงศ์พินิจ</t>
  </si>
  <si>
    <t>นายอนุชิต เวกสูงเนิน</t>
  </si>
  <si>
    <t>นางอำพร โชติจันทึก</t>
  </si>
  <si>
    <t>น.ส.มะลิวรรณ์ หอมสูงเนิน</t>
  </si>
  <si>
    <t>นายสุพจน์ หอมสูงเนิน</t>
  </si>
  <si>
    <t>นายธีรศักดิ์ วรรณนิภา</t>
  </si>
  <si>
    <t>น.ส.สุวรรณณา อยู่สุข</t>
  </si>
  <si>
    <t>บ้านนา</t>
  </si>
  <si>
    <t>นครนายก</t>
  </si>
  <si>
    <t>นายรังสิวุฒิ คงเพชรศักดิ์</t>
  </si>
  <si>
    <t>นายทองแดง ป่วนครบุรี</t>
  </si>
  <si>
    <t>นายสราวุฒิ นิ่มกลาง</t>
  </si>
  <si>
    <t>นายชัยโย พรมสองชั้น</t>
  </si>
  <si>
    <t>นายทองลา พุดอุดม</t>
  </si>
  <si>
    <t>นายธวัชชัย ทางกลาง</t>
  </si>
  <si>
    <t>นายประสงค์ สงจันทร์</t>
  </si>
  <si>
    <t>นายพวง มาศรีสุขสานี</t>
  </si>
  <si>
    <t>นางสระเหงียม มาบจะบก</t>
  </si>
  <si>
    <t>นางอนงค์ ดวงมาลี</t>
  </si>
  <si>
    <t>นายจักรพันธุ์ พรหมพันธุ์ใจ</t>
  </si>
  <si>
    <t>นายพชรพล น้อยจันทร์</t>
  </si>
  <si>
    <t>นายสาธิต มิกขุนทด</t>
  </si>
  <si>
    <t>นายอดิศร ใสจันทึก</t>
  </si>
  <si>
    <t>นางชลิตา ยอดภีระ</t>
  </si>
  <si>
    <t>น.ส.อรปรียา พันธุ</t>
  </si>
  <si>
    <t>นายพชร วงศ์วิไลย์</t>
  </si>
  <si>
    <t>นางโสภา บัตรจัตุรัส</t>
  </si>
  <si>
    <t>นายอดุลย์ กวกขุนทด</t>
  </si>
  <si>
    <t>นายดนัสวิน ลี้กิจเจริญผล</t>
  </si>
  <si>
    <t>นายทองอาน เวหน</t>
  </si>
  <si>
    <t>น.ส.นงเยาว์ แสนพุฒ</t>
  </si>
  <si>
    <t>นายประเสริฐ การินทร์รัตน์</t>
  </si>
  <si>
    <t>นายสาธิต จันอ้น</t>
  </si>
  <si>
    <t>นางอุทัย พันสวัสดิ์</t>
  </si>
  <si>
    <t>นายอัครภณ เยาวศรี</t>
  </si>
  <si>
    <t>นายองอาจ ไวยธรรม</t>
  </si>
  <si>
    <t>น.ส.กชนิภา มิกขุนทด</t>
  </si>
  <si>
    <t>นายชาญณรงค์ งอบโคกกรวด</t>
  </si>
  <si>
    <t>นายรุ่งเพชร ทองเจือ</t>
  </si>
  <si>
    <t>นายวีระวุธ ศรีทอง</t>
  </si>
  <si>
    <t>นายแสงอรุณ ทูลแก้ว</t>
  </si>
  <si>
    <t>เสิงสาง</t>
  </si>
  <si>
    <t>นางละมิด กิสันเทียะ</t>
  </si>
  <si>
    <t>นายธนกุล วรรณปะโค</t>
  </si>
  <si>
    <t xml:space="preserve">เชียงยืน </t>
  </si>
  <si>
    <t>นางกัญญา เอสันเทียะ</t>
  </si>
  <si>
    <t>นางนิตยา เผ่าสอน</t>
  </si>
  <si>
    <t>นายพูนสุข เชื่อมหนองปลิง</t>
  </si>
  <si>
    <t>นายสะวิทย์ สิทธิ์ขุนทด</t>
  </si>
  <si>
    <t>นายนาถ ก้านขุนทด</t>
  </si>
  <si>
    <t>นายวีระศักดิ์ สาสูงเนิน</t>
  </si>
  <si>
    <t>นายสุนทร จุลศรี</t>
  </si>
  <si>
    <t>นายสนั่น เศษสูงเนิน</t>
  </si>
  <si>
    <t>นายสมศักดิ์ เพ็งจันทึก</t>
  </si>
  <si>
    <t>นายอำนาจ พิมพ์จันทร์</t>
  </si>
  <si>
    <t>นายจตุรงค์ สุวคนธ์</t>
  </si>
  <si>
    <t>นางบำเพ็ญ ไขขุนทด</t>
  </si>
  <si>
    <t>นายวิโรจน์ เทียมโคกกรวด</t>
  </si>
  <si>
    <t>นายทัศนะ นิรินทร์</t>
  </si>
  <si>
    <t>กุดชุม</t>
  </si>
  <si>
    <t>ยโสธร</t>
  </si>
  <si>
    <t>นางน้ำอ้อย อ่อนประทุม</t>
  </si>
  <si>
    <t>วิเชียรบุรี</t>
  </si>
  <si>
    <t>นายกรกฎ โหจันทึก</t>
  </si>
  <si>
    <t>นายเดชณรงค์ โจ้พิมาย</t>
  </si>
  <si>
    <t>นายธนพล สุขโข</t>
  </si>
  <si>
    <t>นายธนกร ราชวงศ์</t>
  </si>
  <si>
    <t>น.ส.นฤมล จัดกลาง</t>
  </si>
  <si>
    <t>นายประพาส ไชยนอก</t>
  </si>
  <si>
    <t>นายพิพัฒน์ เปลื้องจันทึก</t>
  </si>
  <si>
    <t>นายเพิ่มพูล แก้วคูนอก</t>
  </si>
  <si>
    <t>นายมงคล หุยจันทึก</t>
  </si>
  <si>
    <t>นายสนอง บุญประสิทธิ์</t>
  </si>
  <si>
    <t>น.ส.เสาวลักษณ์ ตุ้มพะเนา</t>
  </si>
  <si>
    <t>นายบรรเจิด สมบัติ</t>
  </si>
  <si>
    <t>นายบุญสม น้อมสูงเนิน</t>
  </si>
  <si>
    <t>นายสุทัศน์ กกกระโทก</t>
  </si>
  <si>
    <t>นางสุกัญญา โมราสูงเนิน</t>
  </si>
  <si>
    <t>นายเม็ง แซ่ตัง</t>
  </si>
  <si>
    <t>นายณัฐดนัย พันชนะ</t>
  </si>
  <si>
    <t>เทพารักษ์</t>
  </si>
  <si>
    <t>นายสุวิจักษณ์ สระกบแก้ว</t>
  </si>
  <si>
    <t>โนนสัง</t>
  </si>
  <si>
    <t>หนองบัวลำภู</t>
  </si>
  <si>
    <t>น.ส.จันทรา เจ็กจันทึก</t>
  </si>
  <si>
    <t>นายชัยณรงค์ เทินสะเกษ</t>
  </si>
  <si>
    <t>นายทวี ศรีสุวรรณ์</t>
  </si>
  <si>
    <t>นายนิพล เพียซ้าย</t>
  </si>
  <si>
    <t>นางปิ่นทอง แย้มจันทึก</t>
  </si>
  <si>
    <t>นายสมชิด โนสูงเนิน</t>
  </si>
  <si>
    <t>นางอรุณรัตน์ มาพิทักษ์</t>
  </si>
  <si>
    <t>นายธวัชชัย ปานเพชร</t>
  </si>
  <si>
    <t>นายอนุชิต แทพันดุง</t>
  </si>
  <si>
    <t>นางกรรนิกา คำสวัสดิ์</t>
  </si>
  <si>
    <t>นางกัญญารัตน์ คำหงษา</t>
  </si>
  <si>
    <t>นางขาวจร คงมูล</t>
  </si>
  <si>
    <t>นางตุ๊กตา อนันตพัฒน์</t>
  </si>
  <si>
    <t>นางทองสุข คงถิ่น</t>
  </si>
  <si>
    <t>นางนวลจันทร์ เนตรเสนา</t>
  </si>
  <si>
    <t>นางนันที วรรณจักร</t>
  </si>
  <si>
    <t>นางบุญมี มาตรมงคล</t>
  </si>
  <si>
    <t>นางประมวล ถินวิลัย</t>
  </si>
  <si>
    <t>นางพนิดา พัสดร</t>
  </si>
  <si>
    <t>นางพรทิพย์ เวียงอินทร์</t>
  </si>
  <si>
    <t>นางพิศมัย คำยุธา</t>
  </si>
  <si>
    <t>นางพิศมัย นันสมบัติ</t>
  </si>
  <si>
    <t>นางพิศมัย พันธ์พิพิธ</t>
  </si>
  <si>
    <t>นางมลฤฎี นระแสน</t>
  </si>
  <si>
    <t>นางมะลิวรรร์ กุลแก้ว</t>
  </si>
  <si>
    <t>นางวรรณดี ภารภิรมย์</t>
  </si>
  <si>
    <t>นางสมาน เพ็ชรสังหาร</t>
  </si>
  <si>
    <t>นางสลี โสภาพร</t>
  </si>
  <si>
    <t>นางสาวจันทร์ฉาย แน่นอุดร</t>
  </si>
  <si>
    <t>นางสาวจันทิมา วัยเจริญ</t>
  </si>
  <si>
    <t>นางสาวดวงฤดี ภูละอิ่ม</t>
  </si>
  <si>
    <t>นางสาวทองไสย คำทูลศรี</t>
  </si>
  <si>
    <t>นางสาวทิพย์ประภาพร ทุมพล</t>
  </si>
  <si>
    <t>นางสาวนงค์นารถ พิมพะทิตย์</t>
  </si>
  <si>
    <t>นางสาวพนมวัย ฉายวงศ์</t>
  </si>
  <si>
    <t>นางสาวพัชริน นามไพร</t>
  </si>
  <si>
    <t>เมืองร้อยเอ็ด</t>
  </si>
  <si>
    <t>ร้อยเอ็ด</t>
  </si>
  <si>
    <t>นางสาวรัชนี อิ่มเสถียร</t>
  </si>
  <si>
    <t>นางสาววงเดือน นาสอ้าน</t>
  </si>
  <si>
    <t>นางสาวศิริวรรณ จำเริญเจือ</t>
  </si>
  <si>
    <t>นางสาวสุพรรนิภา พลยาง</t>
  </si>
  <si>
    <t>นางสาวหนูจันทร์ เจริญศิลป์</t>
  </si>
  <si>
    <t>นางสำเนียง ศรีอากาศ</t>
  </si>
  <si>
    <t>นางสำราญ แสนโบราณ</t>
  </si>
  <si>
    <t>นางสุพรรณี แจ่มสุวรรณ</t>
  </si>
  <si>
    <t>นางหนูกูล ศรีจันทร์</t>
  </si>
  <si>
    <t>นางอรพรรณ ซื่อสัตย์</t>
  </si>
  <si>
    <t>นายกฤษดา อุ่นทะยา</t>
  </si>
  <si>
    <t>หนองกุงศรี</t>
  </si>
  <si>
    <t>นายกิตติพงค์ แก้วจิตตะ</t>
  </si>
  <si>
    <t>นายกิหลัน ไชยสา</t>
  </si>
  <si>
    <t>นายคำกอง ผลเลขา</t>
  </si>
  <si>
    <t>นายคำมี แวดไธยสงค์</t>
  </si>
  <si>
    <t>นายคำมูล ภูขำ</t>
  </si>
  <si>
    <t>นายจำรูญ ตันสร้าง</t>
  </si>
  <si>
    <t>นายทรงศักดิ์ ไชยเกรินทร์</t>
  </si>
  <si>
    <t>นายทองจันทร์ เจริญศิลป์</t>
  </si>
  <si>
    <t>นายธนพล ทาบรรหาร</t>
  </si>
  <si>
    <t>นายธนวัฒน์ ทาบรรหาร</t>
  </si>
  <si>
    <t>นายธวัชชัย นาสมจิตร</t>
  </si>
  <si>
    <t>นายนิรันดร์ คุณพระรักษ์</t>
  </si>
  <si>
    <t>นายบรรจง บุญบุตร</t>
  </si>
  <si>
    <t>นายบุญชู การดี</t>
  </si>
  <si>
    <t>นายบุญตา พิมพิลา</t>
  </si>
  <si>
    <t>นายบุญทัน แน่นอุดร</t>
  </si>
  <si>
    <t>นายบุญทัน ภูขำ</t>
  </si>
  <si>
    <t>นายบุญล้น บริบูรณ์</t>
  </si>
  <si>
    <t>นายประกาย ศรีษะ</t>
  </si>
  <si>
    <t>นายประยูร ไพรัช</t>
  </si>
  <si>
    <t>นายปรีชา ถินสถิตย์</t>
  </si>
  <si>
    <t>นายพร ปัญญา</t>
  </si>
  <si>
    <t>นายพร อิ่มพูล</t>
  </si>
  <si>
    <t>นายพสุธา หาญไชย</t>
  </si>
  <si>
    <t>นายพันโทมังกร พันประดับ</t>
  </si>
  <si>
    <t>นายพิทักษ์ บุญบุตร</t>
  </si>
  <si>
    <t>นายพิทักษ์พงศ์ จิตเย็น</t>
  </si>
  <si>
    <t>นายไพทูรย์ เรียนทิพย์</t>
  </si>
  <si>
    <t>นายภูชิชย์ อิ่มเสถียร</t>
  </si>
  <si>
    <t>นายเย็น เวียงนนท์</t>
  </si>
  <si>
    <t>นายวรรณชัย เจริญศิลป์</t>
  </si>
  <si>
    <t>นายวรรณชัย บุญเรือน</t>
  </si>
  <si>
    <t>นายวรรลพ มุลตรีบุตร</t>
  </si>
  <si>
    <t>นายวิบูรณ์ วงไชยา</t>
  </si>
  <si>
    <t>นายศักดิ์ ภูตองโขบ</t>
  </si>
  <si>
    <t>นายสนาม ไชยสา</t>
  </si>
  <si>
    <t>นายสมเพชร สว่างศรี</t>
  </si>
  <si>
    <t>นายสมยนร์ ปัญญา</t>
  </si>
  <si>
    <t>นายสมยศ คำมะลา</t>
  </si>
  <si>
    <t>นายสมัย เศษบุญ</t>
  </si>
  <si>
    <t>นายสำรวย พันทอง</t>
  </si>
  <si>
    <t>นายสุวรรณ์ พะละ</t>
  </si>
  <si>
    <t>นายสุวรรณ์ สิมารับ</t>
  </si>
  <si>
    <t>นายเสาร์ ผิวบาง</t>
  </si>
  <si>
    <t>นายหน่อคำ สีแพงมน</t>
  </si>
  <si>
    <t>นายหนูนา เกลือสีโท</t>
  </si>
  <si>
    <t>นายองอาจ รูปสวย</t>
  </si>
  <si>
    <t>นายอนุวัตร แพงโคตร</t>
  </si>
  <si>
    <t>นายอาดุลเดช ภูวังแทบ</t>
  </si>
  <si>
    <t>นายอำคา ระวิชัย</t>
  </si>
  <si>
    <t>นายอุดร ศรีจรัญ</t>
  </si>
  <si>
    <t>น.ส.นฤมล แสงเงิน</t>
  </si>
  <si>
    <t>นางกาญจนา ทูพันดุง</t>
  </si>
  <si>
    <t>นางวรรณิภา เจิมขุนทด</t>
  </si>
  <si>
    <t>นายเอนก เทียนพลกรัง</t>
  </si>
  <si>
    <t>นายอดิศร เดโชพลสกุล</t>
  </si>
  <si>
    <t>ศรีเชียงใหม่</t>
  </si>
  <si>
    <t>หนองคาย</t>
  </si>
  <si>
    <t>น.ส.ชุดาวัณย์ แก้วคูนอก</t>
  </si>
  <si>
    <t>น.ส.ไพรัตน์ ธาตะนะ</t>
  </si>
  <si>
    <t>น.ส.ละออง ศรีขันชัย</t>
  </si>
  <si>
    <t>นางสัมฤทธิ์ หวังเจือกลาง</t>
  </si>
  <si>
    <t>นางสำรวย สิงห์จันทึก</t>
  </si>
  <si>
    <t>นางสมอน เที่ยงจันทึก</t>
  </si>
  <si>
    <t>น.ส.เสาวรส เมยขุนทด</t>
  </si>
  <si>
    <t>น.ส.สุนิสา ดวนจันทึก</t>
  </si>
  <si>
    <t>นายเอก นวมนารี</t>
  </si>
  <si>
    <t>นายสันติ รอดวินิจ</t>
  </si>
  <si>
    <t>นายมนัส แมมขุนทด</t>
  </si>
  <si>
    <t>นายสรศักดิ์ เอี้ยงหมื่นไวย</t>
  </si>
  <si>
    <t>นางหนึ่งฤทัย พุ่มขจร</t>
  </si>
  <si>
    <t>นางกำไร สุบิน</t>
  </si>
  <si>
    <t>น.ส.จีราภรณ์ บุญประสิทธิ์</t>
  </si>
  <si>
    <t>น.ส.น้ำอ้อม โจ้พิมาย</t>
  </si>
  <si>
    <t>นายแบน พลสว่าง</t>
  </si>
  <si>
    <t>นายปัญญา แถวโสภา</t>
  </si>
  <si>
    <t>นางพิกุน ตะไลกลาง</t>
  </si>
  <si>
    <t>นายพงศธร มินทร์จันทึก</t>
  </si>
  <si>
    <t>นายเลี่ยม สงนอก</t>
  </si>
  <si>
    <t>นายวรวุฒิ หนองขุ่นสาร</t>
  </si>
  <si>
    <t>นายสมโชค กระทุ่มกลาง</t>
  </si>
  <si>
    <t>นายสมบูรณ์ โสภีผ่อง</t>
  </si>
  <si>
    <t>น.ส.สิริรัตน์ กล้าหาญ</t>
  </si>
  <si>
    <t>น.ส.สุกัญญา นินจันทึก</t>
  </si>
  <si>
    <t>นางเสถียร นามนอก</t>
  </si>
  <si>
    <t>นายสายชล แย้มจันทึก</t>
  </si>
  <si>
    <t>นายอนุรักษ์ ประสาร</t>
  </si>
  <si>
    <t>นายชัยยศ ภูมิจันทึก</t>
  </si>
  <si>
    <t>นางชุ่มเย็น ผาวิรัตน์</t>
  </si>
  <si>
    <t>น.ส.จิรพร สร้อยขุนทด</t>
  </si>
  <si>
    <t>นายขุนแผน พวงสันเทียะ</t>
  </si>
  <si>
    <t>นายชราวุฒิ สิมจันทึก</t>
  </si>
  <si>
    <t>นางทองไหล ยศสุนทร</t>
  </si>
  <si>
    <t>นางปรารถนา ก้อนจันทึก</t>
  </si>
  <si>
    <t>น.ส.ลัดดา ไพจันทึก</t>
  </si>
  <si>
    <t>นายสมาน มั่งจันทึก</t>
  </si>
  <si>
    <t>นางอรนุช มิ่งจันทึก</t>
  </si>
  <si>
    <t>น.ส.สิริภรย์ แบนขุนทด</t>
  </si>
  <si>
    <t>นายวิชัย เหมี่ยงสันเทียะ</t>
  </si>
  <si>
    <t>นายพงษ์ดนัย บุญชู</t>
  </si>
  <si>
    <t>โนนสูง</t>
  </si>
  <si>
    <t>นายทองเลี้ยง สุขพเนา</t>
  </si>
  <si>
    <t>นายนัฐวุฒิ แสงบัว</t>
  </si>
  <si>
    <t>นายบัญชา ทีจันทึก</t>
  </si>
  <si>
    <t>นายบุญเรือง หลั่นจันทึก</t>
  </si>
  <si>
    <t>นายประดับ เพ้ยจันทึก</t>
  </si>
  <si>
    <t>นายมนตรี จันทร์ปางาม</t>
  </si>
  <si>
    <t>น.ส.สุนันท์ เฟื้องสูงเนิน</t>
  </si>
  <si>
    <t>นายสถาพร ญาติกลาง</t>
  </si>
  <si>
    <t>น.ส.อำนวย บุญสูงเนิน</t>
  </si>
  <si>
    <t>นายอาธร ลาขุนทด</t>
  </si>
  <si>
    <t>นายมีนา ภาณุพงศ์ภักดิ์</t>
  </si>
  <si>
    <t>นางวาสนา เข็มอินทร์</t>
  </si>
  <si>
    <t>นายกายสิทธิ์ พจน์สูงเนิน</t>
  </si>
  <si>
    <t>นายครรชิต ดำงูเหลือม</t>
  </si>
  <si>
    <t>นายทิพเนตร เกตจันทึก</t>
  </si>
  <si>
    <t>นายธิเบศ ทมธิแสง</t>
  </si>
  <si>
    <t>น.ส.นิตยา จันทสิทธิ์</t>
  </si>
  <si>
    <t>นายศิริกุล จงชิดกลาง</t>
  </si>
  <si>
    <t>นางสุพี เพียจันทึก</t>
  </si>
  <si>
    <t>นายสุชาติ ติจันทึก</t>
  </si>
  <si>
    <t>นายสมชาย ศรีอภัย</t>
  </si>
  <si>
    <t>นายณัฐวุฒิ ใจจันทึก</t>
  </si>
  <si>
    <t>นายกุศล พลสูงเนิน</t>
  </si>
  <si>
    <t>นายทนงศักดิ์ วรสาร</t>
  </si>
  <si>
    <t>เมืองมหาสารคาม</t>
  </si>
  <si>
    <t>นายบำเพ็ญ สินปรุ</t>
  </si>
  <si>
    <t>น.ส.ปัทมาภรณ์ อนุตรี</t>
  </si>
  <si>
    <t>นางพรทิพย์ เพียซ้าย</t>
  </si>
  <si>
    <t>นายภาวัต หมื่นฤทธิ์</t>
  </si>
  <si>
    <t>นายรุณ เกตุสำโรง</t>
  </si>
  <si>
    <t>นายอภิญเชษฐ์ กุณฑลเมฆพัตร์</t>
  </si>
  <si>
    <t>น.ส.ศิริพร ณะมอญรัมย์</t>
  </si>
  <si>
    <t>น.ส.กัญญา ใสจันทึก</t>
  </si>
  <si>
    <t>นายจำรอง โปร่งจันทึก</t>
  </si>
  <si>
    <t>นายบุญชิด ลับสันเทียะ</t>
  </si>
  <si>
    <t>นางประเทือง แย้มจันทึก</t>
  </si>
  <si>
    <t>นายแวว ชินจันทึก</t>
  </si>
  <si>
    <t>นายวิทยา ตินานพ</t>
  </si>
  <si>
    <t>พนมดงรัก</t>
  </si>
  <si>
    <t>สุรินทร์</t>
  </si>
  <si>
    <t>นายสุริยา จันทะพันธ์</t>
  </si>
  <si>
    <t>นายเสกสรร จุขุนทด</t>
  </si>
  <si>
    <t>นางอ๊อต เนียมใย</t>
  </si>
  <si>
    <t>น.ส.จุฑาทิพย์ ทองวงษา</t>
  </si>
  <si>
    <t>เมืองขอนแก่น</t>
  </si>
  <si>
    <t>นายเชื้อ อยู่สูงเนิน</t>
  </si>
  <si>
    <t>นายชัยวัฒน์ พิอุดมพัฒน์</t>
  </si>
  <si>
    <t>คูเมือง</t>
  </si>
  <si>
    <t>บุรีรัมย์</t>
  </si>
  <si>
    <t>นายทับทิม เลียมสันเที้ยะ</t>
  </si>
  <si>
    <t>น.ส.เพ็ญนภา บุญเชิญ</t>
  </si>
  <si>
    <t>นายเลิศสกุล ศรีมงคล</t>
  </si>
  <si>
    <t>นายสุชาติ บุญเสร็จ</t>
  </si>
  <si>
    <t>นายสมวย อุดสูงเนิน</t>
  </si>
  <si>
    <t>น.ส.กุ้ง ยศกลาง</t>
  </si>
  <si>
    <t>นายเจษฎา ปางพุฒิพงษ์</t>
  </si>
  <si>
    <t>นายณัฐดนัย บุญหมื่นไวย์</t>
  </si>
  <si>
    <t>นายทวีศักดิ์ ผินงูเหลือม</t>
  </si>
  <si>
    <t>นางทองขัน โพธิ์พ่วงพันธ์</t>
  </si>
  <si>
    <t>นายธนศักดิ์ แซ่ตัง</t>
  </si>
  <si>
    <t>นายธีรพล หมายด่านกลาง</t>
  </si>
  <si>
    <t>น.ส.นิกาย ฉ่ำกลาง</t>
  </si>
  <si>
    <t>น.ส.เนตรนภา จอดสันเทียะ</t>
  </si>
  <si>
    <t>น.ส.ปฐมาวดี เขตขุนทด</t>
  </si>
  <si>
    <t>นายพิชิต ทองดา</t>
  </si>
  <si>
    <t>นายศราวุธ หนูน้อยจันทึก</t>
  </si>
  <si>
    <t>นายศิลปชัย พรรณภัทราพงษ์</t>
  </si>
  <si>
    <t>นายกิตติพัฒน์ หอมสูงเนิน</t>
  </si>
  <si>
    <t>นายสุวิทย์ คำไทย</t>
  </si>
  <si>
    <t>น.ส.สุภาพันธ์ เรียบจันทึก</t>
  </si>
  <si>
    <t>นางสายชล ซ้อนจันทึก</t>
  </si>
  <si>
    <t>นายสิโณทัย วัฒนชาญกิจ</t>
  </si>
  <si>
    <t>นางเกสรา การุณวงค์</t>
  </si>
  <si>
    <t>น.ส.จุฑามาศ เพียซ้าย</t>
  </si>
  <si>
    <t>นายทองปาน ศรีเพ็ชร์</t>
  </si>
  <si>
    <t>น.ส.ประครอง โหมดขุนทด</t>
  </si>
  <si>
    <t>น.ส.ปัณณลักษณ์ เอี่ยมประเสริฐกุล</t>
  </si>
  <si>
    <t>ขามสะแกแสง</t>
  </si>
  <si>
    <t>นางสายฝน วงศ์พินิจ</t>
  </si>
  <si>
    <t>นางสาวแอ๋ว รอดกระโทก</t>
  </si>
  <si>
    <t>นายอณาวิน หาญเวช</t>
  </si>
  <si>
    <t>พล</t>
  </si>
  <si>
    <t>น.ส.สำรวม ไชยชนะ</t>
  </si>
  <si>
    <t>นายเกียรติคุณ เพิ่มชูชีพ</t>
  </si>
  <si>
    <t>นายเกรียงไกร สิงห์สนอง</t>
  </si>
  <si>
    <t>นายทวีป ชินจันทึก</t>
  </si>
  <si>
    <t>น.ส.ธารทิพย์ พลสิทธิ์</t>
  </si>
  <si>
    <t>นายประเวศ น้อยศรี</t>
  </si>
  <si>
    <t>กระนวน</t>
  </si>
  <si>
    <t>นางภัทรา ปานแสงทอง</t>
  </si>
  <si>
    <t>หนองบัวแดง</t>
  </si>
  <si>
    <t>นายรัฐกรณ์ สมปู่</t>
  </si>
  <si>
    <t>นายศักดิ์ชัย เต็งกลาง</t>
  </si>
  <si>
    <t>นายเอกพงษ์ จุดจันทึก</t>
  </si>
  <si>
    <t>นายชาญชัย หงษ์โยธี</t>
  </si>
  <si>
    <t>ห้วยเม็ก</t>
  </si>
  <si>
    <t>นายประโยชน์ จิรจารุวงศ์</t>
  </si>
  <si>
    <t>นางไรวินท์ ตะติฉิม</t>
  </si>
  <si>
    <t>ชุมแพ</t>
  </si>
  <si>
    <t>นางประนอม อเล็กซานเดอร์</t>
  </si>
  <si>
    <t>น.ส.ชเนษฎาภา เชื่อมมะลัง</t>
  </si>
  <si>
    <t>เฉลิมพระเกียรติ</t>
  </si>
  <si>
    <t>นายสถานุ เอกคำพันธ์</t>
  </si>
  <si>
    <t>โนนสะอาด</t>
  </si>
  <si>
    <t>อุดรธานี</t>
  </si>
  <si>
    <t>นางสำเนียง ปราบพรม</t>
  </si>
  <si>
    <t>นายวิเชียร สอนจันทึก</t>
  </si>
  <si>
    <t>นายวิทวัส ปานทอง</t>
  </si>
  <si>
    <t>นายเพ็ชร พิมดา</t>
  </si>
  <si>
    <t>ห้างหุ้นส่วนจำกัด ที ที ครีเอทีฟ</t>
  </si>
  <si>
    <t>นากลาง</t>
  </si>
  <si>
    <t>นายเจตน์ สุดจันทึก</t>
  </si>
  <si>
    <t>น.ส.ฐิติมา ประดิษฐ์จา</t>
  </si>
  <si>
    <t>นางธัญวรันต์ ประเสริฐ</t>
  </si>
  <si>
    <t>นายณัฐวุฒิ สิงห์เพชร</t>
  </si>
  <si>
    <t>นายไกรสร สมานมิตร</t>
  </si>
  <si>
    <t>น.ส.แต๋ว โพธิ์สาร</t>
  </si>
  <si>
    <t>นายนนทนันท์ เมินขุนทด</t>
  </si>
  <si>
    <t>นายนำชัย เต็งกลาง</t>
  </si>
  <si>
    <t>นายประกิต การุณกิตติสาร</t>
  </si>
  <si>
    <t>นางพรวลัย แสงบัว</t>
  </si>
  <si>
    <t>นายอนันต์ นั่งสันเทียะ</t>
  </si>
  <si>
    <t>นายทวีศักดิ์ ป่ากว้าง</t>
  </si>
  <si>
    <t>นายบรรจง จงจิตร์กลาง</t>
  </si>
  <si>
    <t>น.ส.ฝอยทอง โพธิตา</t>
  </si>
  <si>
    <t>น.ส.มณีวงค์ สุวรรณฉาย</t>
  </si>
  <si>
    <t>นายสุวิทย์ หาญจันทึก</t>
  </si>
  <si>
    <t>นายอนุวัชร์ หอมจันทึก</t>
  </si>
  <si>
    <t>นายจิรวัฒน์ วิชาเกวียน</t>
  </si>
  <si>
    <t>นางสาวชลธิชา เคยชัยภูมิ</t>
  </si>
  <si>
    <t>นายมนตรี วินิจนัยภาค</t>
  </si>
  <si>
    <t>นางรัตน์กล้า แซ่ตั้ง</t>
  </si>
  <si>
    <t>นางรัศมี สุวัยยน</t>
  </si>
  <si>
    <t>นายอนุชา สิงห์ชงค์</t>
  </si>
  <si>
    <t>น.ส.อมริสา ลือเทพ</t>
  </si>
  <si>
    <t>น.ส.สุดารัตน์ แก้วประเสริฐ</t>
  </si>
  <si>
    <t>วังน้ำเขียว</t>
  </si>
  <si>
    <t>นางสายสุนีย์ ศรีเพ็ชร</t>
  </si>
  <si>
    <t>นายทองสา เจ๊กจันทึก</t>
  </si>
  <si>
    <t>นายธีระศักดิ์ วงศ์พินิจ</t>
  </si>
  <si>
    <t>นายธนวัฒน์ ตู้สูงเนิน</t>
  </si>
  <si>
    <t>นายปริญญา เพียซ้าย</t>
  </si>
  <si>
    <t>นางพิมพ์ลดา อินต๊ะวิชัย</t>
  </si>
  <si>
    <t>นายวิวัตรพงษ์ มาดี</t>
  </si>
  <si>
    <t>นางสุจิตตรา นุขุนทด</t>
  </si>
  <si>
    <t>นายอดุลย์ จันทร์กาบ</t>
  </si>
  <si>
    <t>นายคำพรวน โทนสูงเนิน</t>
  </si>
  <si>
    <t>น.ส.จตุพร เป๋าจันทึก</t>
  </si>
  <si>
    <t>น.ส.ธีรตี ศรีแสง</t>
  </si>
  <si>
    <t>นางธัญวรัตน์ ประเสริฐ</t>
  </si>
  <si>
    <t>นายพันธ์ประดิษฐ์ ชำนิยา</t>
  </si>
  <si>
    <t>นายยงยุทธ์ กอสันเทียะ</t>
  </si>
  <si>
    <t>นายศรนรินทร์ เที่ยงสันเทียะ</t>
  </si>
  <si>
    <t>นายณัฐพล ชมจันทร์</t>
  </si>
  <si>
    <t>ไชยวาน</t>
  </si>
  <si>
    <t>นายธีรสุวัฒน์ วัฒนาศักดิ์</t>
  </si>
  <si>
    <t>ลานสัก</t>
  </si>
  <si>
    <t>อุทัยธานี</t>
  </si>
  <si>
    <t>นายสัญชัย เลาหพูนรังษี</t>
  </si>
  <si>
    <t>นางสาวกรทิพย์ หมานจันทร์</t>
  </si>
  <si>
    <t>โกสุมพิสัย</t>
  </si>
  <si>
    <t>นายสมบัติ มาลา</t>
  </si>
  <si>
    <t>น้ำขุ่น</t>
  </si>
  <si>
    <t>Roots type</t>
  </si>
  <si>
    <t>Volume, kg</t>
  </si>
  <si>
    <t>Volume, MT</t>
  </si>
  <si>
    <t>Starch content</t>
  </si>
  <si>
    <t>Weigh starch</t>
  </si>
  <si>
    <t>Price</t>
  </si>
  <si>
    <t>Amount</t>
  </si>
  <si>
    <t>PPDS</t>
  </si>
  <si>
    <t>Regular roots</t>
  </si>
  <si>
    <t>เมือง</t>
  </si>
  <si>
    <t xml:space="preserve"> -   </t>
  </si>
  <si>
    <t>Broker volume, tons</t>
  </si>
  <si>
    <t>Farmer volume, tons</t>
  </si>
  <si>
    <t>Regular volume,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</si>
</sst>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.000_);_(* \(#,##0.000\);_(* &quot;-&quot;??_);_(@_)"/>
    <numFmt numFmtId="166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  <charset val="222"/>
    </font>
    <font>
      <sz val="11"/>
      <color rgb="FF000000"/>
      <name val="Gill Sans MT"/>
      <family val="2"/>
    </font>
    <font>
      <sz val="10"/>
      <name val="Arial"/>
      <family val="2"/>
    </font>
    <font>
      <sz val="1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0" xfId="2" applyNumberFormat="1" applyFont="1" applyAlignment="1">
      <alignment vertical="top" wrapText="1"/>
    </xf>
    <xf numFmtId="165" fontId="3" fillId="0" borderId="0" xfId="1" applyNumberFormat="1" applyFont="1"/>
    <xf numFmtId="0" fontId="4" fillId="0" borderId="0" xfId="2" applyNumberFormat="1" applyFont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43" fontId="6" fillId="0" borderId="0" xfId="0" applyNumberFormat="1" applyFont="1" applyFill="1" applyBorder="1" applyAlignment="1"/>
    <xf numFmtId="43" fontId="7" fillId="0" borderId="0" xfId="0" applyNumberFormat="1" applyFont="1" applyFill="1" applyBorder="1" applyAlignment="1"/>
    <xf numFmtId="164" fontId="8" fillId="0" borderId="0" xfId="1" applyFont="1" applyFill="1" applyBorder="1" applyAlignment="1"/>
    <xf numFmtId="0" fontId="9" fillId="0" borderId="0" xfId="3" applyFont="1" applyAlignment="1">
      <alignment horizontal="left"/>
    </xf>
    <xf numFmtId="0" fontId="9" fillId="0" borderId="0" xfId="3" applyFont="1"/>
    <xf numFmtId="0" fontId="1" fillId="0" borderId="0" xfId="3"/>
    <xf numFmtId="0" fontId="1" fillId="0" borderId="0" xfId="3" applyAlignment="1">
      <alignment horizontal="left"/>
    </xf>
    <xf numFmtId="0" fontId="9" fillId="0" borderId="0" xfId="3" applyFont="1" applyAlignment="1">
      <alignment horizontal="center"/>
    </xf>
    <xf numFmtId="43" fontId="9" fillId="0" borderId="0" xfId="4" applyFont="1" applyAlignment="1">
      <alignment horizontal="center" vertical="center"/>
    </xf>
    <xf numFmtId="166" fontId="9" fillId="0" borderId="0" xfId="4" applyNumberFormat="1" applyFont="1" applyAlignment="1">
      <alignment horizontal="center" vertical="center"/>
    </xf>
    <xf numFmtId="166" fontId="9" fillId="0" borderId="0" xfId="4" applyNumberFormat="1" applyFont="1"/>
    <xf numFmtId="43" fontId="9" fillId="0" borderId="0" xfId="4" applyFont="1"/>
    <xf numFmtId="166" fontId="9" fillId="0" borderId="0" xfId="4" applyNumberFormat="1" applyFont="1" applyFill="1"/>
    <xf numFmtId="43" fontId="9" fillId="0" borderId="0" xfId="4" applyFont="1" applyFill="1"/>
    <xf numFmtId="0" fontId="9" fillId="2" borderId="0" xfId="3" applyFont="1" applyFill="1" applyAlignment="1">
      <alignment horizontal="center"/>
    </xf>
    <xf numFmtId="43" fontId="9" fillId="0" borderId="0" xfId="4" applyFont="1" applyAlignment="1">
      <alignment horizontal="right"/>
    </xf>
    <xf numFmtId="43" fontId="9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166" fontId="0" fillId="0" borderId="0" xfId="4" applyNumberFormat="1" applyFont="1"/>
    <xf numFmtId="43" fontId="0" fillId="0" borderId="0" xfId="4" applyFont="1"/>
    <xf numFmtId="0" fontId="4" fillId="0" borderId="0" xfId="5" applyFont="1" applyAlignment="1">
      <alignment horizontal="left"/>
    </xf>
    <xf numFmtId="0" fontId="4" fillId="0" borderId="0" xfId="5" applyFont="1"/>
    <xf numFmtId="43" fontId="4" fillId="0" borderId="0" xfId="5" applyNumberFormat="1" applyFont="1" applyAlignment="1">
      <alignment horizontal="right"/>
    </xf>
    <xf numFmtId="43" fontId="4" fillId="0" borderId="0" xfId="6" applyNumberFormat="1" applyFont="1" applyAlignment="1">
      <alignment horizontal="right"/>
    </xf>
    <xf numFmtId="0" fontId="3" fillId="0" borderId="0" xfId="5" applyFont="1"/>
    <xf numFmtId="0" fontId="4" fillId="0" borderId="0" xfId="3" applyFont="1" applyAlignment="1">
      <alignment horizontal="left"/>
    </xf>
    <xf numFmtId="0" fontId="4" fillId="0" borderId="0" xfId="3" applyFont="1"/>
    <xf numFmtId="43" fontId="4" fillId="0" borderId="0" xfId="4" applyFont="1" applyAlignment="1">
      <alignment horizontal="right"/>
    </xf>
    <xf numFmtId="0" fontId="3" fillId="0" borderId="0" xfId="5" applyFont="1" applyAlignment="1">
      <alignment horizontal="left"/>
    </xf>
    <xf numFmtId="43" fontId="3" fillId="0" borderId="0" xfId="5" applyNumberFormat="1" applyFont="1" applyAlignment="1">
      <alignment horizontal="right"/>
    </xf>
    <xf numFmtId="43" fontId="3" fillId="0" borderId="0" xfId="6" applyNumberFormat="1" applyFont="1" applyAlignment="1">
      <alignment horizontal="right"/>
    </xf>
  </cellXfs>
  <cellStyles count="7">
    <cellStyle name="Comma" xfId="1" builtinId="3"/>
    <cellStyle name="Comma 2" xfId="4" xr:uid="{0CDE9705-759F-43BA-BCB3-9E5B6969A1B4}"/>
    <cellStyle name="Comma 2 2" xfId="6" xr:uid="{8EC241A4-A83B-4703-A0D8-E665227E8D87}"/>
    <cellStyle name="Normal" xfId="0" builtinId="0"/>
    <cellStyle name="Normal 2" xfId="3" xr:uid="{5D19AD2F-EA9A-4A52-A8D8-119005EA754D}"/>
    <cellStyle name="Normal 2 2" xfId="5" xr:uid="{85F96916-4042-4573-857D-643D2AC89634}"/>
    <cellStyle name="Percent" xfId="2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5" formatCode="_-* #,##0.00_-;\-* #,##0.00_-;_-* &quot;-&quot;??_-;_-@_-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5" formatCode="_-* #,##0.00_-;\-* #,##0.00_-;_-* &quot;-&quot;??_-;_-@_-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5" formatCode="_-* #,##0.00_-;\-* #,##0.00_-;_-* &quot;-&quot;??_-;_-@_-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numFmt numFmtId="166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CF73C6-02FA-4683-BA30-CF61A64B7EA3}" name="T_raw.KPI.SK" displayName="T_raw.KPI.SK" ref="A1:Q49" totalsRowShown="0" headerRowDxfId="62" dataDxfId="61" headerRowCellStyle="Comma">
  <autoFilter ref="A1:Q49" xr:uid="{F7CF73C6-02FA-4683-BA30-CF61A64B7EA3}"/>
  <tableColumns count="17">
    <tableColumn id="1" xr3:uid="{35417428-99C9-48BC-A721-829BC84D7830}" name="Year" dataDxfId="60"/>
    <tableColumn id="2" xr3:uid="{E4EE42A5-C5A4-4EDC-971C-ACDA028B72EA}" name="Month" dataDxfId="59"/>
    <tableColumn id="3" xr3:uid="{A9D8801E-C9BE-4885-9A6D-754D4B13CD59}" name="Plant" dataDxfId="58"/>
    <tableColumn id="17" xr3:uid="{B08FB535-1C6A-4CE5-B015-542B310B9A9F}" name="LE0 PPDS, THB/kg" dataDxfId="57" dataCellStyle="Comma"/>
    <tableColumn id="18" xr3:uid="{85C215BF-877E-4772-9E5B-FA6BF25C5C74}" name="LV PPDS, THB/kg" dataDxfId="56" dataCellStyle="Comma"/>
    <tableColumn id="13" xr3:uid="{132D5622-91D6-4DB5-BC55-7C50B3F95755}" name="Act. PPDS, THB/kg" dataDxfId="55" dataCellStyle="Comma"/>
    <tableColumn id="12" xr3:uid="{362A18EC-0A74-4D7F-9D45-CD9B427A2C35}" name="TTSA Price" dataDxfId="54" dataCellStyle="Percent"/>
    <tableColumn id="5" xr3:uid="{AC746EE8-669E-4BD4-8272-75F760234B30}" name="Act. PPDS cost against TTSA, THB/kg" dataDxfId="53" dataCellStyle="Comma">
      <calculatedColumnFormula>T_raw.KPI.SK[[#This Row],[TTSA Price]]-T_raw.KPI.SK[[#This Row],[Act. PPDS, THB/kg]]</calculatedColumnFormula>
    </tableColumn>
    <tableColumn id="4" xr3:uid="{69A7F05E-499E-4566-BDCF-12A323EED0C4}" name="Est. PPDS cost against TTSA, THB/kg" dataDxfId="52" dataCellStyle="Comma"/>
    <tableColumn id="6" xr3:uid="{91E14547-DED3-4A9E-9856-7EDA82C5E4D9}" name="Est. PPDS accuracy, %" dataDxfId="51" dataCellStyle="Percent"/>
    <tableColumn id="7" xr3:uid="{E1F13B5A-4A7C-4775-A832-539ED64AD39A}" name="Act. PPDS accuracy, %" dataDxfId="50" dataCellStyle="Percent"/>
    <tableColumn id="15" xr3:uid="{ECA0A536-D1C3-4A4B-8E23-086EE24D1BE8}" name="LE0 Starch content, %" dataDxfId="49" dataCellStyle="Comma"/>
    <tableColumn id="16" xr3:uid="{FBF64BD5-79FA-470B-80CD-DA738B0ED7B0}" name="LV Starch content, %" dataDxfId="48" dataCellStyle="Comma"/>
    <tableColumn id="14" xr3:uid="{F5039849-7475-4929-BF26-EA9C159B289E}" name="Act. Starch content, %" dataDxfId="47" dataCellStyle="Percent"/>
    <tableColumn id="19" xr3:uid="{14B58E84-91C4-4D67-8A6A-C158FDC13C54}" name="LE0 Price THB/kg" dataDxfId="46" dataCellStyle="Percent"/>
    <tableColumn id="20" xr3:uid="{EC8F92B9-A3E4-45D1-867F-68C739C1289E}" name="LV Price THB/kg" dataDxfId="45" dataCellStyle="Percent"/>
    <tableColumn id="21" xr3:uid="{5025FC9F-E817-4EA2-84A7-68A2629CADCA}" name="Act. Price THB/kg" dataDxfId="44" dataCellStyle="Percent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C163D-2473-44E6-A14A-D36B119203D8}" name="T_reg.root.SK" displayName="T_reg.root.SK" ref="A1:N7592" totalsRowShown="0" headerRowDxfId="28" dataDxfId="27" headerRowCellStyle="Comma" dataCellStyle="Comma">
  <autoFilter ref="A1:N7592" xr:uid="{94D747E9-CA0B-4560-8C1A-B53D15646C56}"/>
  <tableColumns count="14">
    <tableColumn id="1" xr3:uid="{24739F98-D789-4E4E-A375-7FC1A2E3A673}" name="Year" dataDxfId="26"/>
    <tableColumn id="2" xr3:uid="{7DB3D0FD-9A70-4D3B-9825-4CD03389C6AC}" name="Month" dataDxfId="25"/>
    <tableColumn id="4" xr3:uid="{60A80310-5214-4B4B-8F23-2EF132CFCB49}" name="Roots type" dataDxfId="24"/>
    <tableColumn id="5" xr3:uid="{BBCBC8C7-340A-4E7C-B411-C31A3A38D586}" name="Vendor type" dataDxfId="23"/>
    <tableColumn id="6" xr3:uid="{60C2541A-622E-465A-8F82-B99674C1BB42}" name="Vendor" dataDxfId="22"/>
    <tableColumn id="13" xr3:uid="{B521272C-203C-49DB-920F-FA0B74368D3F}" name="District" dataDxfId="21"/>
    <tableColumn id="14" xr3:uid="{64D49D82-1D8E-4FB9-95CE-B884617B6187}" name="Province" dataDxfId="20"/>
    <tableColumn id="7" xr3:uid="{E8FC4D90-7BEB-4D91-927B-2395BBE5905D}" name="Volume, kg" dataDxfId="19" dataCellStyle="Comma"/>
    <tableColumn id="15" xr3:uid="{C583592D-44E0-475F-8D04-6777C312AB13}" name="Volume, MT" dataDxfId="18" dataCellStyle="Comma">
      <calculatedColumnFormula>T_reg.root.SK[[#This Row],[Volume, kg]]/1000</calculatedColumnFormula>
    </tableColumn>
    <tableColumn id="8" xr3:uid="{538D4FFD-AAFA-4709-9501-2249A623E316}" name="Starch content" dataDxfId="17" dataCellStyle="Comma"/>
    <tableColumn id="9" xr3:uid="{89C75F5E-72F4-45E5-9947-CF645F581B47}" name="Weigh starch" dataDxfId="16" dataCellStyle="Comma">
      <calculatedColumnFormula>H2*J2</calculatedColumnFormula>
    </tableColumn>
    <tableColumn id="10" xr3:uid="{32406865-451F-410F-B8EF-098A9E38EF7D}" name="Price" dataDxfId="15" dataCellStyle="Comma"/>
    <tableColumn id="11" xr3:uid="{662516E3-7FD4-4BD9-B041-46CF82546F9C}" name="Amount" dataDxfId="14" dataCellStyle="Comma"/>
    <tableColumn id="12" xr3:uid="{A221498A-093A-4B23-96DD-E6A6DB1D3081}" name="PPDS" dataDxfId="13" dataCellStyle="Comma">
      <calculatedColumnFormula>IFERROR(T_reg.root.SK[[#This Row],[Price]]/T_reg.root.SK[[#This Row],[Starch content]],"")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242995-0231-4609-AA8C-98239F145FB7}" name="T_farmer.contri.SK" displayName="T_farmer.contri.SK" ref="A1:E49" totalsRowShown="0" headerRowDxfId="12" dataDxfId="11">
  <autoFilter ref="A1:E49" xr:uid="{6186166B-F2DA-416C-B1CB-89C84AF69CDB}"/>
  <tableColumns count="5">
    <tableColumn id="1" xr3:uid="{0C0A28FE-DEFA-4C14-86BC-0C28F1C042BA}" name="Year" dataDxfId="10"/>
    <tableColumn id="2" xr3:uid="{D6AD656C-840B-4617-9F9A-3FE6112591FA}" name="Month" dataDxfId="9"/>
    <tableColumn id="4" xr3:uid="{29380B37-FA14-4265-94ED-0ECB80BAA26F}" name="Broker volume, tons" dataDxfId="8"/>
    <tableColumn id="5" xr3:uid="{F63CC38A-B8C7-466A-8074-4763FB675059}" name="Farmer volume, tons" dataDxfId="7" dataCellStyle="Comma"/>
    <tableColumn id="10" xr3:uid="{80E7271B-0797-41F9-A2A5-21B4880F590A}" name="Regular volume, tons" dataDxfId="6" dataCellStyle="Normal 2">
      <calculatedColumnFormula>T_farmer.contri.SK[[#This Row],[Broker volume, tons]]+T_farmer.contri.SK[[#This Row],[Farmer volume, tons]]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B76B6-A9A7-4277-8A11-65BB54C9F367}" name="T_name.SK" displayName="T_name.SK" ref="A1:E1012" totalsRowShown="0" headerRowDxfId="35" dataDxfId="34">
  <autoFilter ref="A1:E1012" xr:uid="{213B51C6-565C-466C-8CF6-302BA442017B}"/>
  <tableColumns count="5">
    <tableColumn id="1" xr3:uid="{6925CA2A-1585-45E3-B125-490490E5CE75}" name="No" dataDxfId="33"/>
    <tableColumn id="2" xr3:uid="{E441FAFD-7543-47BC-A7A3-D9CEEB8FB695}" name="Vendor type" dataDxfId="32"/>
    <tableColumn id="3" xr3:uid="{1E090AE9-F285-4A7D-B464-644AF1DA1E52}" name="Vendor" dataDxfId="31"/>
    <tableColumn id="4" xr3:uid="{84EA1027-A614-4413-A1C8-C1598754E445}" name="District" dataDxfId="30"/>
    <tableColumn id="5" xr3:uid="{6478BC78-DE45-4DC7-88F1-2B35805F6C1A}" name="Province" dataDxfId="29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DF79F-F05F-4D9A-BDAA-DB5DC60CF950}" name="T_year.SK" displayName="T_year.SK" ref="A1:B5" totalsRowShown="0" headerRowDxfId="43" dataDxfId="42">
  <autoFilter ref="A1:B5" xr:uid="{64CDF79F-F05F-4D9A-BDAA-DB5DC60CF950}"/>
  <tableColumns count="2">
    <tableColumn id="1" xr3:uid="{E1EC94B9-5087-4C07-BB8F-EE3E50B21D8C}" name="No" dataDxfId="41"/>
    <tableColumn id="2" xr3:uid="{6D6D84FA-B019-4016-BE1F-48EC19B9E880}" name="Year" dataDxfId="40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106D6-441B-47F1-B37B-FC77AC3D37FB}" name="T_month.SK" displayName="T_month.SK" ref="A1:B13" totalsRowShown="0" headerRowDxfId="39" dataDxfId="38">
  <autoFilter ref="A1:B13" xr:uid="{EDB106D6-441B-47F1-B37B-FC77AC3D37FB}"/>
  <tableColumns count="2">
    <tableColumn id="1" xr3:uid="{96959ABE-30E0-433B-B2FB-54B34CA7117B}" name="No" dataDxfId="37"/>
    <tableColumn id="2" xr3:uid="{D44F2963-12A9-4E77-8053-8A42A47E2100}" name="Month" dataDxfId="36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7741-69DA-4EBD-A0D4-54123F57C123}">
  <dimension ref="A1:S49"/>
  <sheetViews>
    <sheetView tabSelected="1" zoomScale="80" zoomScaleNormal="80" workbookViewId="0">
      <pane ySplit="1" topLeftCell="A26" activePane="bottomLeft" state="frozen"/>
      <selection pane="bottomLeft" activeCell="I52" sqref="I52"/>
    </sheetView>
  </sheetViews>
  <sheetFormatPr defaultColWidth="8.7265625" defaultRowHeight="14.5"/>
  <cols>
    <col min="1" max="1" width="11.6328125" style="2" customWidth="1"/>
    <col min="2" max="3" width="11.6328125" style="1" customWidth="1"/>
    <col min="4" max="4" width="11.6328125" customWidth="1"/>
    <col min="5" max="6" width="11.6328125" style="3" customWidth="1"/>
    <col min="7" max="7" width="11.6328125" customWidth="1"/>
    <col min="8" max="12" width="11.6328125" style="3" customWidth="1"/>
    <col min="13" max="17" width="11.6328125" style="4" customWidth="1"/>
    <col min="18" max="18" width="29.81640625" style="5" customWidth="1"/>
    <col min="19" max="19" width="30.1796875" style="5" customWidth="1"/>
    <col min="20" max="16384" width="8.7265625" style="1"/>
  </cols>
  <sheetData>
    <row r="1" spans="1:19" s="13" customFormat="1" ht="58">
      <c r="A1" s="10" t="s">
        <v>0</v>
      </c>
      <c r="B1" s="11" t="s">
        <v>1</v>
      </c>
      <c r="C1" s="11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9">
      <c r="A2" s="7">
        <v>2023</v>
      </c>
      <c r="B2" s="8" t="s">
        <v>17</v>
      </c>
      <c r="C2" s="8" t="s">
        <v>18</v>
      </c>
      <c r="D2" s="9">
        <v>11.387900355871885</v>
      </c>
      <c r="E2" s="9">
        <v>11.916548797736917</v>
      </c>
      <c r="F2" s="9">
        <v>11.917760084084573</v>
      </c>
      <c r="G2" s="9">
        <v>16.52</v>
      </c>
      <c r="H2" s="9">
        <f>T_raw.KPI.SK[[#This Row],[TTSA Price]]-T_raw.KPI.SK[[#This Row],[Act. PPDS, THB/kg]]</f>
        <v>4.6022399159154261</v>
      </c>
      <c r="I2" s="9">
        <v>3.9</v>
      </c>
      <c r="J2" s="6">
        <v>0.97</v>
      </c>
      <c r="K2" s="9">
        <v>0.95366461070372499</v>
      </c>
      <c r="L2" s="9">
        <v>0.28100000000000003</v>
      </c>
      <c r="M2" s="9">
        <v>0.2828</v>
      </c>
      <c r="N2" s="9">
        <v>0.28283012310622996</v>
      </c>
      <c r="O2" s="9">
        <v>3.2</v>
      </c>
      <c r="P2" s="9">
        <v>3.37</v>
      </c>
      <c r="Q2" s="9">
        <v>3.3707015517321537</v>
      </c>
      <c r="R2" s="1"/>
      <c r="S2" s="1"/>
    </row>
    <row r="3" spans="1:19">
      <c r="A3" s="7">
        <v>2023</v>
      </c>
      <c r="B3" s="8" t="s">
        <v>19</v>
      </c>
      <c r="C3" s="8" t="s">
        <v>18</v>
      </c>
      <c r="D3" s="9">
        <v>11.413043478260867</v>
      </c>
      <c r="E3" s="9">
        <v>12.495575221238939</v>
      </c>
      <c r="F3" s="9">
        <v>12.499820270919114</v>
      </c>
      <c r="G3" s="9">
        <v>16.962499999999999</v>
      </c>
      <c r="H3" s="9">
        <f>T_raw.KPI.SK[[#This Row],[TTSA Price]]-T_raw.KPI.SK[[#This Row],[Act. PPDS, THB/kg]]</f>
        <v>4.4626797290808842</v>
      </c>
      <c r="I3" s="9">
        <v>3.9</v>
      </c>
      <c r="J3" s="6">
        <v>0.97</v>
      </c>
      <c r="K3" s="9">
        <v>0.99599837181372575</v>
      </c>
      <c r="L3" s="9">
        <v>0.27600000000000002</v>
      </c>
      <c r="M3" s="9">
        <v>0.28249999999999997</v>
      </c>
      <c r="N3" s="9">
        <v>0.28246148563420276</v>
      </c>
      <c r="O3" s="9">
        <v>3.15</v>
      </c>
      <c r="P3" s="9">
        <v>3.53</v>
      </c>
      <c r="Q3" s="9">
        <v>3.5307178038843361</v>
      </c>
      <c r="R3" s="1"/>
      <c r="S3" s="1"/>
    </row>
    <row r="4" spans="1:19">
      <c r="A4" s="7">
        <v>2023</v>
      </c>
      <c r="B4" s="8" t="s">
        <v>20</v>
      </c>
      <c r="C4" s="8" t="s">
        <v>18</v>
      </c>
      <c r="D4" s="9">
        <v>11.6412213740458</v>
      </c>
      <c r="E4" s="9">
        <v>14.044737807114045</v>
      </c>
      <c r="F4" s="9">
        <v>14.03310107876011</v>
      </c>
      <c r="G4" s="9">
        <v>17.599999999999998</v>
      </c>
      <c r="H4" s="9">
        <f>T_raw.KPI.SK[[#This Row],[TTSA Price]]-T_raw.KPI.SK[[#This Row],[Act. PPDS, THB/kg]]</f>
        <v>3.5668989212398881</v>
      </c>
      <c r="I4" s="9">
        <v>3.9</v>
      </c>
      <c r="J4" s="6">
        <v>0.97</v>
      </c>
      <c r="K4" s="9">
        <v>0.94961818272753673</v>
      </c>
      <c r="L4" s="9">
        <v>0.26200000000000001</v>
      </c>
      <c r="M4" s="9">
        <v>0.2727</v>
      </c>
      <c r="N4" s="9">
        <v>0.27272569943814168</v>
      </c>
      <c r="O4" s="9">
        <v>3.05</v>
      </c>
      <c r="P4" s="9">
        <v>3.83</v>
      </c>
      <c r="Q4" s="9">
        <v>3.8271873069909916</v>
      </c>
      <c r="R4" s="1"/>
      <c r="S4" s="1"/>
    </row>
    <row r="5" spans="1:19">
      <c r="A5" s="7">
        <v>2023</v>
      </c>
      <c r="B5" s="8" t="s">
        <v>21</v>
      </c>
      <c r="C5" s="8" t="s">
        <v>18</v>
      </c>
      <c r="D5" s="9">
        <v>12.778904665314402</v>
      </c>
      <c r="E5" s="9">
        <v>16.111796136457048</v>
      </c>
      <c r="F5" s="9">
        <v>16.112195013335974</v>
      </c>
      <c r="G5" s="9">
        <v>17.95</v>
      </c>
      <c r="H5" s="9">
        <f>T_raw.KPI.SK[[#This Row],[TTSA Price]]-T_raw.KPI.SK[[#This Row],[Act. PPDS, THB/kg]]</f>
        <v>1.8378049866640254</v>
      </c>
      <c r="I5" s="9">
        <v>3.9</v>
      </c>
      <c r="J5" s="6">
        <v>0.97</v>
      </c>
      <c r="K5" s="9">
        <v>0.96517694198227533</v>
      </c>
      <c r="L5" s="9">
        <v>0.2465</v>
      </c>
      <c r="M5" s="9">
        <v>0.24329999999999999</v>
      </c>
      <c r="N5" s="9">
        <v>0.2433130890634741</v>
      </c>
      <c r="O5" s="9">
        <v>3.15</v>
      </c>
      <c r="P5" s="9">
        <v>3.92</v>
      </c>
      <c r="Q5" s="9">
        <v>3.9203079402878793</v>
      </c>
      <c r="R5" s="1"/>
      <c r="S5" s="1"/>
    </row>
    <row r="6" spans="1:19">
      <c r="A6" s="7">
        <v>2023</v>
      </c>
      <c r="B6" s="8" t="s">
        <v>22</v>
      </c>
      <c r="C6" s="8" t="s">
        <v>18</v>
      </c>
      <c r="D6" s="9">
        <v>13.275488069414317</v>
      </c>
      <c r="E6" s="9">
        <v>17.486604968339016</v>
      </c>
      <c r="F6" s="9">
        <v>17.495083541063362</v>
      </c>
      <c r="G6" s="9">
        <v>18.360000000000003</v>
      </c>
      <c r="H6" s="9">
        <f>T_raw.KPI.SK[[#This Row],[TTSA Price]]-T_raw.KPI.SK[[#This Row],[Act. PPDS, THB/kg]]</f>
        <v>0.86491645893664071</v>
      </c>
      <c r="I6" s="9">
        <v>3.9</v>
      </c>
      <c r="J6" s="6">
        <v>0.97</v>
      </c>
      <c r="K6" s="9">
        <v>0.93322661334979484</v>
      </c>
      <c r="L6" s="9">
        <v>0.23050000000000001</v>
      </c>
      <c r="M6" s="9">
        <v>0.20530000000000001</v>
      </c>
      <c r="N6" s="9">
        <v>0.20530842212100722</v>
      </c>
      <c r="O6" s="9">
        <v>3.06</v>
      </c>
      <c r="P6" s="9">
        <v>3.59</v>
      </c>
      <c r="Q6" s="9">
        <v>3.591887996690923</v>
      </c>
      <c r="R6" s="1"/>
      <c r="S6" s="1"/>
    </row>
    <row r="7" spans="1:19">
      <c r="A7" s="7">
        <v>2023</v>
      </c>
      <c r="B7" s="8" t="s">
        <v>23</v>
      </c>
      <c r="C7" s="8" t="s">
        <v>18</v>
      </c>
      <c r="D7" s="9">
        <v>13.275488069414317</v>
      </c>
      <c r="E7" s="9">
        <v>15.873810716074111</v>
      </c>
      <c r="F7" s="9">
        <v>15.825321062929683</v>
      </c>
      <c r="G7" s="9">
        <v>18.424999999999997</v>
      </c>
      <c r="H7" s="9">
        <f>T_raw.KPI.SK[[#This Row],[TTSA Price]]-T_raw.KPI.SK[[#This Row],[Act. PPDS, THB/kg]]</f>
        <v>2.5996789370703137</v>
      </c>
      <c r="I7" s="9">
        <v>3.9</v>
      </c>
      <c r="J7" s="6">
        <v>0.97</v>
      </c>
      <c r="K7" s="9">
        <v>0.91002421293442681</v>
      </c>
      <c r="L7" s="9">
        <v>0.23050000000000001</v>
      </c>
      <c r="M7" s="9">
        <v>0.19969999999999999</v>
      </c>
      <c r="N7" s="9">
        <v>0.20079999999999998</v>
      </c>
      <c r="O7" s="9">
        <v>3.06</v>
      </c>
      <c r="P7" s="9">
        <v>3.17</v>
      </c>
      <c r="Q7" s="9">
        <v>3.1777244694362805</v>
      </c>
      <c r="R7" s="1"/>
      <c r="S7" s="1"/>
    </row>
    <row r="8" spans="1:19">
      <c r="A8" s="7">
        <v>2023</v>
      </c>
      <c r="B8" s="8" t="s">
        <v>24</v>
      </c>
      <c r="C8" s="8" t="s">
        <v>18</v>
      </c>
      <c r="D8" s="9">
        <v>12.681912681912682</v>
      </c>
      <c r="E8" s="9">
        <v>15.169660678642714</v>
      </c>
      <c r="F8" s="9">
        <v>15.173235380583153</v>
      </c>
      <c r="G8" s="9">
        <v>18.5</v>
      </c>
      <c r="H8" s="9">
        <f>T_raw.KPI.SK[[#This Row],[TTSA Price]]-T_raw.KPI.SK[[#This Row],[Act. PPDS, THB/kg]]</f>
        <v>3.3267646194168474</v>
      </c>
      <c r="I8" s="9">
        <v>3.9</v>
      </c>
      <c r="J8" s="6">
        <v>0.97</v>
      </c>
      <c r="K8" s="9">
        <v>0.95130002386101287</v>
      </c>
      <c r="L8" s="9">
        <v>0.24050000000000002</v>
      </c>
      <c r="M8" s="9">
        <v>0.22545000000000001</v>
      </c>
      <c r="N8" s="9">
        <v>0.22568159106166683</v>
      </c>
      <c r="O8" s="9">
        <v>3.05</v>
      </c>
      <c r="P8" s="9">
        <v>3.42</v>
      </c>
      <c r="Q8" s="9">
        <v>3.4243199022431816</v>
      </c>
      <c r="R8" s="1"/>
      <c r="S8" s="1"/>
    </row>
    <row r="9" spans="1:19">
      <c r="A9" s="7">
        <v>2023</v>
      </c>
      <c r="B9" s="8" t="s">
        <v>25</v>
      </c>
      <c r="C9" s="8" t="s">
        <v>18</v>
      </c>
      <c r="D9" s="9">
        <v>12.627291242362526</v>
      </c>
      <c r="E9" s="9">
        <v>14.969072164948454</v>
      </c>
      <c r="F9" s="9">
        <v>14.7811766222218</v>
      </c>
      <c r="G9" s="9">
        <v>18.5</v>
      </c>
      <c r="H9" s="9">
        <f>T_raw.KPI.SK[[#This Row],[TTSA Price]]-T_raw.KPI.SK[[#This Row],[Act. PPDS, THB/kg]]</f>
        <v>3.7188233777782003</v>
      </c>
      <c r="I9" s="9">
        <v>3.9</v>
      </c>
      <c r="J9" s="6">
        <v>0.97</v>
      </c>
      <c r="K9" s="9">
        <v>0.97116797780695119</v>
      </c>
      <c r="L9" s="9">
        <v>0.2455</v>
      </c>
      <c r="M9" s="9">
        <v>0.24249999999999999</v>
      </c>
      <c r="N9" s="9">
        <v>0.24498753013808247</v>
      </c>
      <c r="O9" s="9">
        <v>3.1</v>
      </c>
      <c r="P9" s="9">
        <v>3.63</v>
      </c>
      <c r="Q9" s="9">
        <v>3.6212039532128832</v>
      </c>
      <c r="R9" s="1"/>
      <c r="S9" s="1"/>
    </row>
    <row r="10" spans="1:19">
      <c r="A10" s="7">
        <v>2023</v>
      </c>
      <c r="B10" s="8" t="s">
        <v>26</v>
      </c>
      <c r="C10" s="8" t="s">
        <v>18</v>
      </c>
      <c r="D10" s="9">
        <v>12.579365079365079</v>
      </c>
      <c r="E10" s="9">
        <v>14.831013916500995</v>
      </c>
      <c r="F10" s="9">
        <v>14.952028645374401</v>
      </c>
      <c r="G10" s="9">
        <v>18.600000000000001</v>
      </c>
      <c r="H10" s="9">
        <f>T_raw.KPI.SK[[#This Row],[TTSA Price]]-T_raw.KPI.SK[[#This Row],[Act. PPDS, THB/kg]]</f>
        <v>3.6479713546256001</v>
      </c>
      <c r="I10" s="9">
        <v>3.9</v>
      </c>
      <c r="J10" s="6">
        <v>0.97</v>
      </c>
      <c r="K10" s="9">
        <v>0.99177150064906261</v>
      </c>
      <c r="L10" s="9">
        <v>0.252</v>
      </c>
      <c r="M10" s="9">
        <v>0.2515</v>
      </c>
      <c r="N10" s="9">
        <v>0.2404</v>
      </c>
      <c r="O10" s="9">
        <v>3.17</v>
      </c>
      <c r="P10" s="9">
        <v>3.73</v>
      </c>
      <c r="Q10" s="9">
        <v>3.5944676863480063</v>
      </c>
      <c r="R10" s="1"/>
      <c r="S10" s="1"/>
    </row>
    <row r="11" spans="1:19">
      <c r="A11" s="7">
        <v>2023</v>
      </c>
      <c r="B11" s="8" t="s">
        <v>27</v>
      </c>
      <c r="C11" s="8" t="s">
        <v>18</v>
      </c>
      <c r="D11" s="9">
        <v>12.140077821011673</v>
      </c>
      <c r="E11" s="9">
        <v>14.763779527559056</v>
      </c>
      <c r="F11" s="9">
        <v>14.859697363072943</v>
      </c>
      <c r="G11" s="9">
        <v>18.7</v>
      </c>
      <c r="H11" s="9">
        <f>T_raw.KPI.SK[[#This Row],[TTSA Price]]-T_raw.KPI.SK[[#This Row],[Act. PPDS, THB/kg]]</f>
        <v>3.8403026369270563</v>
      </c>
      <c r="I11" s="9">
        <v>3.9</v>
      </c>
      <c r="J11" s="6">
        <v>0.97</v>
      </c>
      <c r="K11" s="9">
        <v>0.98669969210311703</v>
      </c>
      <c r="L11" s="9">
        <v>0.25700000000000001</v>
      </c>
      <c r="M11" s="9">
        <v>0.254</v>
      </c>
      <c r="N11" s="9">
        <v>0.23844146627666299</v>
      </c>
      <c r="O11" s="9">
        <v>3.12</v>
      </c>
      <c r="P11" s="9">
        <v>3.75</v>
      </c>
      <c r="Q11" s="9">
        <v>3.5431680276785751</v>
      </c>
      <c r="R11" s="1"/>
      <c r="S11" s="1"/>
    </row>
    <row r="12" spans="1:19">
      <c r="A12" s="7">
        <v>2023</v>
      </c>
      <c r="B12" s="8" t="s">
        <v>28</v>
      </c>
      <c r="C12" s="8" t="s">
        <v>18</v>
      </c>
      <c r="D12" s="9">
        <v>11.983775811209439</v>
      </c>
      <c r="E12" s="9">
        <v>14.689265536723163</v>
      </c>
      <c r="F12" s="9">
        <v>15.791157748313914</v>
      </c>
      <c r="G12" s="9">
        <v>19.074999999999999</v>
      </c>
      <c r="H12" s="9">
        <f>T_raw.KPI.SK[[#This Row],[TTSA Price]]-T_raw.KPI.SK[[#This Row],[Act. PPDS, THB/kg]]</f>
        <v>3.2838422516860852</v>
      </c>
      <c r="I12" s="9">
        <v>3.9</v>
      </c>
      <c r="J12" s="6">
        <v>0.97</v>
      </c>
      <c r="K12" s="9">
        <v>0.98537931073947826</v>
      </c>
      <c r="L12" s="9">
        <v>0.2712</v>
      </c>
      <c r="M12" s="9">
        <v>0.26550000000000001</v>
      </c>
      <c r="N12" s="9">
        <v>0.243703643396635</v>
      </c>
      <c r="O12" s="9">
        <v>3.25</v>
      </c>
      <c r="P12" s="9">
        <v>3.9</v>
      </c>
      <c r="Q12" s="9">
        <v>3.8483626767151033</v>
      </c>
      <c r="R12" s="1"/>
      <c r="S12" s="1"/>
    </row>
    <row r="13" spans="1:19">
      <c r="A13" s="7">
        <v>2023</v>
      </c>
      <c r="B13" s="8" t="s">
        <v>29</v>
      </c>
      <c r="C13" s="8" t="s">
        <v>18</v>
      </c>
      <c r="D13" s="9">
        <v>11.565836298932384</v>
      </c>
      <c r="E13" s="9">
        <v>14.087591240875911</v>
      </c>
      <c r="F13" s="9">
        <v>14.981583543127616</v>
      </c>
      <c r="G13" s="9">
        <v>19.3</v>
      </c>
      <c r="H13" s="9">
        <f>T_raw.KPI.SK[[#This Row],[TTSA Price]]-T_raw.KPI.SK[[#This Row],[Act. PPDS, THB/kg]]</f>
        <v>4.3184164568723844</v>
      </c>
      <c r="I13" s="9">
        <v>3.9</v>
      </c>
      <c r="J13" s="6">
        <v>0.97</v>
      </c>
      <c r="K13" s="9">
        <v>0.96638369461200246</v>
      </c>
      <c r="L13" s="9">
        <v>0.28100000000000003</v>
      </c>
      <c r="M13" s="9">
        <v>0.27399999999999997</v>
      </c>
      <c r="N13" s="9">
        <v>0.25544211422650098</v>
      </c>
      <c r="O13" s="9">
        <v>3.25</v>
      </c>
      <c r="P13" s="9">
        <v>3.86</v>
      </c>
      <c r="Q13" s="9">
        <v>3.8269273747174717</v>
      </c>
      <c r="R13" s="1"/>
      <c r="S13" s="1"/>
    </row>
    <row r="14" spans="1:19">
      <c r="A14" s="7">
        <v>2024</v>
      </c>
      <c r="B14" s="8" t="s">
        <v>17</v>
      </c>
      <c r="C14" s="8" t="s">
        <v>18</v>
      </c>
      <c r="D14" s="9">
        <v>15.263157894736842</v>
      </c>
      <c r="E14" s="9">
        <v>14.621468926553671</v>
      </c>
      <c r="F14" s="9">
        <v>14.616978763071268</v>
      </c>
      <c r="G14" s="9">
        <v>19.074999999999999</v>
      </c>
      <c r="H14" s="9">
        <f>T_raw.KPI.SK[[#This Row],[TTSA Price]]-T_raw.KPI.SK[[#This Row],[Act. PPDS, THB/kg]]</f>
        <v>4.4580212369287313</v>
      </c>
      <c r="I14" s="9">
        <v>3.9</v>
      </c>
      <c r="J14" s="6">
        <v>0.97</v>
      </c>
      <c r="K14" s="9">
        <v>0.97752348703677749</v>
      </c>
      <c r="L14" s="9">
        <v>0.25650000000000001</v>
      </c>
      <c r="M14" s="9">
        <v>0.26550000000000001</v>
      </c>
      <c r="N14" s="9">
        <v>0.26552126276134652</v>
      </c>
      <c r="O14" s="9">
        <v>3.915</v>
      </c>
      <c r="P14" s="9">
        <v>3.8820000000000001</v>
      </c>
      <c r="Q14" s="9">
        <v>3.8811186589264675</v>
      </c>
      <c r="R14" s="1"/>
      <c r="S14" s="1"/>
    </row>
    <row r="15" spans="1:19">
      <c r="A15" s="7">
        <v>2024</v>
      </c>
      <c r="B15" s="8" t="s">
        <v>19</v>
      </c>
      <c r="C15" s="8" t="s">
        <v>18</v>
      </c>
      <c r="D15" s="9">
        <v>15.269110764430577</v>
      </c>
      <c r="E15" s="9">
        <v>14.07011070110701</v>
      </c>
      <c r="F15" s="9">
        <v>14.067860950771987</v>
      </c>
      <c r="G15" s="9">
        <v>19.0625</v>
      </c>
      <c r="H15" s="9">
        <f>T_raw.KPI.SK[[#This Row],[TTSA Price]]-T_raw.KPI.SK[[#This Row],[Act. PPDS, THB/kg]]</f>
        <v>4.9946390492280131</v>
      </c>
      <c r="I15" s="9">
        <v>3.9</v>
      </c>
      <c r="J15" s="6">
        <v>0.97</v>
      </c>
      <c r="K15" s="9">
        <v>0.95347233800570375</v>
      </c>
      <c r="L15" s="9">
        <v>0.25640000000000002</v>
      </c>
      <c r="M15" s="9">
        <v>0.27100000000000002</v>
      </c>
      <c r="N15" s="9">
        <v>0.27098025650778496</v>
      </c>
      <c r="O15" s="9">
        <v>3.915</v>
      </c>
      <c r="P15" s="9">
        <v>3.8130000000000002</v>
      </c>
      <c r="Q15" s="9">
        <v>3.8121125689560444</v>
      </c>
      <c r="R15" s="1"/>
      <c r="S15" s="1"/>
    </row>
    <row r="16" spans="1:19">
      <c r="A16" s="7">
        <v>2024</v>
      </c>
      <c r="B16" s="8" t="s">
        <v>20</v>
      </c>
      <c r="C16" s="8" t="s">
        <v>18</v>
      </c>
      <c r="D16" s="9">
        <v>16.09704641350211</v>
      </c>
      <c r="E16" s="9">
        <v>14.007952286282306</v>
      </c>
      <c r="F16" s="9">
        <v>14.012085456116891</v>
      </c>
      <c r="G16" s="9">
        <v>19.100000000000001</v>
      </c>
      <c r="H16" s="9">
        <f>T_raw.KPI.SK[[#This Row],[TTSA Price]]-T_raw.KPI.SK[[#This Row],[Act. PPDS, THB/kg]]</f>
        <v>5.0879145438831106</v>
      </c>
      <c r="I16" s="9">
        <v>3.9</v>
      </c>
      <c r="J16" s="6">
        <v>0.97</v>
      </c>
      <c r="K16" s="9">
        <v>0.98676658141668261</v>
      </c>
      <c r="L16" s="9">
        <v>0.23699999999999999</v>
      </c>
      <c r="M16" s="9">
        <v>0.2515</v>
      </c>
      <c r="N16" s="9">
        <v>0.25153571853769952</v>
      </c>
      <c r="O16" s="9">
        <v>3.8149999999999999</v>
      </c>
      <c r="P16" s="9">
        <v>3.5230000000000001</v>
      </c>
      <c r="Q16" s="9">
        <v>3.5245399834160107</v>
      </c>
      <c r="R16" s="1"/>
      <c r="S16" s="1"/>
    </row>
    <row r="17" spans="1:19">
      <c r="A17" s="7">
        <v>2024</v>
      </c>
      <c r="B17" s="8" t="s">
        <v>21</v>
      </c>
      <c r="C17" s="8" t="s">
        <v>18</v>
      </c>
      <c r="D17" s="9">
        <v>17.190388170055453</v>
      </c>
      <c r="E17" s="9">
        <v>14.482439926062845</v>
      </c>
      <c r="F17" s="9">
        <v>14.483125068634845</v>
      </c>
      <c r="G17" s="9">
        <v>18.989999999999998</v>
      </c>
      <c r="H17" s="9">
        <f>T_raw.KPI.SK[[#This Row],[TTSA Price]]-T_raw.KPI.SK[[#This Row],[Act. PPDS, THB/kg]]</f>
        <v>4.5068749313651537</v>
      </c>
      <c r="I17" s="9">
        <v>3.9</v>
      </c>
      <c r="J17" s="6">
        <v>0.97</v>
      </c>
      <c r="K17" s="9">
        <v>0.94952846772338173</v>
      </c>
      <c r="L17" s="9">
        <v>0.21640000000000001</v>
      </c>
      <c r="M17" s="9">
        <v>0.21640000000000001</v>
      </c>
      <c r="N17" s="9">
        <v>0.21636709085960226</v>
      </c>
      <c r="O17" s="9">
        <v>3.72</v>
      </c>
      <c r="P17" s="9">
        <v>3.1339999999999999</v>
      </c>
      <c r="Q17" s="9">
        <v>3.1336716376562985</v>
      </c>
      <c r="R17" s="1"/>
      <c r="S17" s="1"/>
    </row>
    <row r="18" spans="1:19">
      <c r="A18" s="7">
        <v>2024</v>
      </c>
      <c r="B18" s="8" t="s">
        <v>22</v>
      </c>
      <c r="C18" s="8" t="s">
        <v>18</v>
      </c>
      <c r="D18" s="9">
        <v>17.475728155339809</v>
      </c>
      <c r="E18" s="9">
        <v>15.526315789473683</v>
      </c>
      <c r="F18" s="9">
        <v>15.530704206544261</v>
      </c>
      <c r="G18" s="9">
        <v>18.737500000000001</v>
      </c>
      <c r="H18" s="9">
        <f>T_raw.KPI.SK[[#This Row],[TTSA Price]]-T_raw.KPI.SK[[#This Row],[Act. PPDS, THB/kg]]</f>
        <v>3.2067957934557398</v>
      </c>
      <c r="I18" s="9">
        <v>3.9</v>
      </c>
      <c r="J18" s="6">
        <v>0.97</v>
      </c>
      <c r="K18" s="9">
        <v>0.94860335794020079</v>
      </c>
      <c r="L18" s="9">
        <v>0.20600000000000002</v>
      </c>
      <c r="M18" s="9">
        <v>0.18239999999999998</v>
      </c>
      <c r="N18" s="9">
        <v>0.18241590967803004</v>
      </c>
      <c r="O18" s="9">
        <v>3.6</v>
      </c>
      <c r="P18" s="9">
        <v>2.8319999999999999</v>
      </c>
      <c r="Q18" s="9">
        <v>2.8330475357771787</v>
      </c>
      <c r="R18" s="1"/>
      <c r="S18" s="1"/>
    </row>
    <row r="19" spans="1:19">
      <c r="A19" s="7">
        <v>2024</v>
      </c>
      <c r="B19" s="8" t="s">
        <v>23</v>
      </c>
      <c r="C19" s="8" t="s">
        <v>18</v>
      </c>
      <c r="D19" s="9">
        <v>17.38095238095238</v>
      </c>
      <c r="E19" s="9">
        <v>14.311485267588694</v>
      </c>
      <c r="F19" s="9">
        <v>14.310638113360191</v>
      </c>
      <c r="G19" s="9">
        <v>18.55</v>
      </c>
      <c r="H19" s="9">
        <f>T_raw.KPI.SK[[#This Row],[TTSA Price]]-T_raw.KPI.SK[[#This Row],[Act. PPDS, THB/kg]]</f>
        <v>4.2393618866398093</v>
      </c>
      <c r="I19" s="9">
        <v>3.9</v>
      </c>
      <c r="J19" s="6">
        <v>0.97</v>
      </c>
      <c r="K19" s="9">
        <v>0.98694055954208215</v>
      </c>
      <c r="L19" s="9">
        <v>0.21</v>
      </c>
      <c r="M19" s="9">
        <v>0.1663</v>
      </c>
      <c r="N19" s="9">
        <v>0.16633930718177822</v>
      </c>
      <c r="O19" s="9">
        <v>3.65</v>
      </c>
      <c r="P19" s="9">
        <v>2.38</v>
      </c>
      <c r="Q19" s="9">
        <v>2.3804216291054838</v>
      </c>
      <c r="R19" s="1"/>
      <c r="S19" s="1"/>
    </row>
    <row r="20" spans="1:19">
      <c r="A20" s="7">
        <v>2024</v>
      </c>
      <c r="B20" s="8" t="s">
        <v>24</v>
      </c>
      <c r="C20" s="8" t="s">
        <v>18</v>
      </c>
      <c r="D20" s="9">
        <v>16.317432010699957</v>
      </c>
      <c r="E20" s="9">
        <v>13.985587583148559</v>
      </c>
      <c r="F20" s="9">
        <v>13.9899375143619</v>
      </c>
      <c r="G20" s="9">
        <v>18.100000000000001</v>
      </c>
      <c r="H20" s="9">
        <f>T_raw.KPI.SK[[#This Row],[TTSA Price]]-T_raw.KPI.SK[[#This Row],[Act. PPDS, THB/kg]]</f>
        <v>4.1100624856381014</v>
      </c>
      <c r="I20" s="9">
        <v>3.9</v>
      </c>
      <c r="J20" s="6">
        <v>0.97</v>
      </c>
      <c r="K20" s="9">
        <v>0.97558839012286613</v>
      </c>
      <c r="L20" s="9">
        <v>0.2243</v>
      </c>
      <c r="M20" s="9">
        <v>0.1804</v>
      </c>
      <c r="N20" s="9">
        <v>0.18040337332814751</v>
      </c>
      <c r="O20" s="9">
        <v>3.66</v>
      </c>
      <c r="P20" s="9">
        <v>2.5230000000000001</v>
      </c>
      <c r="Q20" s="9">
        <v>2.5238319202408857</v>
      </c>
      <c r="R20" s="1"/>
      <c r="S20" s="1"/>
    </row>
    <row r="21" spans="1:19">
      <c r="A21" s="7">
        <v>2024</v>
      </c>
      <c r="B21" s="8" t="s">
        <v>25</v>
      </c>
      <c r="C21" s="8" t="s">
        <v>18</v>
      </c>
      <c r="D21" s="9">
        <v>16.032492518170159</v>
      </c>
      <c r="E21" s="9">
        <v>12.754860123281176</v>
      </c>
      <c r="F21" s="9">
        <v>12.778091366851388</v>
      </c>
      <c r="G21" s="9">
        <v>17.725000000000001</v>
      </c>
      <c r="H21" s="9">
        <f>T_raw.KPI.SK[[#This Row],[TTSA Price]]-T_raw.KPI.SK[[#This Row],[Act. PPDS, THB/kg]]</f>
        <v>4.9469086331486132</v>
      </c>
      <c r="I21" s="9">
        <v>3.9</v>
      </c>
      <c r="J21" s="6">
        <v>0.97</v>
      </c>
      <c r="K21" s="9">
        <v>0.9340710063487857</v>
      </c>
      <c r="L21" s="9">
        <v>0.2339</v>
      </c>
      <c r="M21" s="9">
        <v>0.2109</v>
      </c>
      <c r="N21" s="9">
        <v>0.21335160325335115</v>
      </c>
      <c r="O21" s="9">
        <v>3.75</v>
      </c>
      <c r="P21" s="9">
        <v>2.69</v>
      </c>
      <c r="Q21" s="9">
        <v>2.7262262796355485</v>
      </c>
      <c r="R21" s="1"/>
      <c r="S21" s="1"/>
    </row>
    <row r="22" spans="1:19">
      <c r="A22" s="7">
        <v>2024</v>
      </c>
      <c r="B22" s="8" t="s">
        <v>26</v>
      </c>
      <c r="C22" s="8" t="s">
        <v>18</v>
      </c>
      <c r="D22" s="9">
        <v>15.949367088607595</v>
      </c>
      <c r="E22" s="9">
        <v>12.180052956751986</v>
      </c>
      <c r="F22" s="9">
        <v>12.360691769369268</v>
      </c>
      <c r="G22" s="9">
        <v>17.087499999999999</v>
      </c>
      <c r="H22" s="9">
        <f>T_raw.KPI.SK[[#This Row],[TTSA Price]]-T_raw.KPI.SK[[#This Row],[Act. PPDS, THB/kg]]</f>
        <v>4.7268082306307306</v>
      </c>
      <c r="I22" s="9">
        <v>3.9</v>
      </c>
      <c r="J22" s="6">
        <v>0.97</v>
      </c>
      <c r="K22" s="9">
        <v>0.96192153847231665</v>
      </c>
      <c r="L22" s="9">
        <v>0.23699999999999999</v>
      </c>
      <c r="M22" s="9">
        <v>0.2266</v>
      </c>
      <c r="N22" s="9">
        <v>0.23015574781182987</v>
      </c>
      <c r="O22" s="9">
        <v>3.78</v>
      </c>
      <c r="P22" s="9">
        <v>2.76</v>
      </c>
      <c r="Q22" s="9">
        <v>2.8448842576507145</v>
      </c>
      <c r="R22" s="1"/>
      <c r="S22" s="1"/>
    </row>
    <row r="23" spans="1:19">
      <c r="A23" s="7">
        <v>2024</v>
      </c>
      <c r="B23" s="8" t="s">
        <v>27</v>
      </c>
      <c r="C23" s="8" t="s">
        <v>18</v>
      </c>
      <c r="D23" s="9">
        <v>15.774180157741801</v>
      </c>
      <c r="E23" s="9">
        <v>11.982758620689653</v>
      </c>
      <c r="F23" s="9">
        <v>10.973772497459471</v>
      </c>
      <c r="G23" s="9">
        <v>15.969999999999999</v>
      </c>
      <c r="H23" s="9">
        <f>T_raw.KPI.SK[[#This Row],[TTSA Price]]-T_raw.KPI.SK[[#This Row],[Act. PPDS, THB/kg]]</f>
        <v>4.9962275025405276</v>
      </c>
      <c r="I23" s="9">
        <v>3.9</v>
      </c>
      <c r="J23" s="6">
        <v>0.97</v>
      </c>
      <c r="K23" s="9">
        <v>0.92216575608903117</v>
      </c>
      <c r="L23" s="9">
        <v>0.2409</v>
      </c>
      <c r="M23" s="9">
        <v>0.23199999999999998</v>
      </c>
      <c r="N23" s="9">
        <v>0.23447746926504481</v>
      </c>
      <c r="O23" s="9">
        <v>3.8</v>
      </c>
      <c r="P23" s="9">
        <v>2.78</v>
      </c>
      <c r="Q23" s="9">
        <v>2.573102403494647</v>
      </c>
      <c r="R23" s="1"/>
      <c r="S23" s="1"/>
    </row>
    <row r="24" spans="1:19">
      <c r="A24" s="7">
        <v>2024</v>
      </c>
      <c r="B24" s="8" t="s">
        <v>28</v>
      </c>
      <c r="C24" s="8" t="s">
        <v>18</v>
      </c>
      <c r="D24" s="9">
        <v>15.946709729511506</v>
      </c>
      <c r="E24" s="9">
        <v>12.107438016528926</v>
      </c>
      <c r="F24" s="9">
        <v>10.339609390988302</v>
      </c>
      <c r="G24" s="9">
        <v>14.824999999999999</v>
      </c>
      <c r="H24" s="9">
        <f>T_raw.KPI.SK[[#This Row],[TTSA Price]]-T_raw.KPI.SK[[#This Row],[Act. PPDS, THB/kg]]</f>
        <v>4.4853906090116968</v>
      </c>
      <c r="I24" s="9">
        <v>3.9</v>
      </c>
      <c r="J24" s="6">
        <v>0.97</v>
      </c>
      <c r="K24" s="9">
        <v>0.95773319500647791</v>
      </c>
      <c r="L24" s="9">
        <v>0.2477</v>
      </c>
      <c r="M24" s="9">
        <v>0.24199999999999999</v>
      </c>
      <c r="N24" s="9">
        <v>0.2428108630241862</v>
      </c>
      <c r="O24" s="9">
        <v>3.95</v>
      </c>
      <c r="P24" s="9">
        <v>2.93</v>
      </c>
      <c r="Q24" s="9">
        <v>2.5105694795588498</v>
      </c>
      <c r="R24" s="1"/>
      <c r="S24" s="1"/>
    </row>
    <row r="25" spans="1:19">
      <c r="A25" s="7">
        <v>2024</v>
      </c>
      <c r="B25" s="8" t="s">
        <v>29</v>
      </c>
      <c r="C25" s="8" t="s">
        <v>18</v>
      </c>
      <c r="D25" s="9">
        <v>15.153846153846153</v>
      </c>
      <c r="E25" s="9">
        <v>11.400778210116732</v>
      </c>
      <c r="F25" s="9">
        <v>9.0682873049083312</v>
      </c>
      <c r="G25" s="9">
        <v>14.324999999999999</v>
      </c>
      <c r="H25" s="9">
        <f>T_raw.KPI.SK[[#This Row],[TTSA Price]]-T_raw.KPI.SK[[#This Row],[Act. PPDS, THB/kg]]</f>
        <v>5.2567126950916681</v>
      </c>
      <c r="I25" s="9">
        <v>3.9</v>
      </c>
      <c r="J25" s="6">
        <v>0.97</v>
      </c>
      <c r="K25" s="9">
        <v>0.95960712221252176</v>
      </c>
      <c r="L25" s="9">
        <v>0.26</v>
      </c>
      <c r="M25" s="9">
        <v>0.25700000000000001</v>
      </c>
      <c r="N25" s="9">
        <v>0.25663568068153625</v>
      </c>
      <c r="O25" s="9">
        <v>3.94</v>
      </c>
      <c r="P25" s="9">
        <v>2.93</v>
      </c>
      <c r="Q25" s="9">
        <v>2.3272460851108834</v>
      </c>
      <c r="R25" s="1"/>
      <c r="S25" s="1"/>
    </row>
    <row r="26" spans="1:19">
      <c r="A26" s="7">
        <v>2025</v>
      </c>
      <c r="B26" s="8" t="s">
        <v>17</v>
      </c>
      <c r="C26" s="8" t="s">
        <v>18</v>
      </c>
      <c r="D26" s="9">
        <v>9.4868913857677892</v>
      </c>
      <c r="E26" s="9">
        <v>8.4525547445255462</v>
      </c>
      <c r="F26" s="9">
        <v>8.4491963971631066</v>
      </c>
      <c r="G26" s="9">
        <v>13.95</v>
      </c>
      <c r="H26" s="9">
        <f>T_raw.KPI.SK[[#This Row],[TTSA Price]]-T_raw.KPI.SK[[#This Row],[Act. PPDS, THB/kg]]</f>
        <v>5.5008036028368927</v>
      </c>
      <c r="I26" s="9">
        <v>3.7</v>
      </c>
      <c r="J26" s="6">
        <v>0.97</v>
      </c>
      <c r="K26" s="9">
        <v>0.97716793115016831</v>
      </c>
      <c r="L26" s="9">
        <v>0.26700000000000002</v>
      </c>
      <c r="M26" s="9">
        <v>0.27399999999999997</v>
      </c>
      <c r="N26" s="9">
        <v>0.27465482392752893</v>
      </c>
      <c r="O26" s="9">
        <v>2.5329999999999999</v>
      </c>
      <c r="P26" s="9">
        <v>2.3159999999999998</v>
      </c>
      <c r="Q26" s="9">
        <v>2.3206125487919449</v>
      </c>
      <c r="R26" s="1"/>
      <c r="S26" s="1"/>
    </row>
    <row r="27" spans="1:19">
      <c r="A27" s="7">
        <v>2025</v>
      </c>
      <c r="B27" s="8" t="s">
        <v>19</v>
      </c>
      <c r="C27" s="8" t="s">
        <v>18</v>
      </c>
      <c r="D27" s="9">
        <v>9.5309568480300175</v>
      </c>
      <c r="E27" s="9">
        <v>8.4377302873986739</v>
      </c>
      <c r="F27" s="9">
        <v>8.4479659204339548</v>
      </c>
      <c r="G27" s="9">
        <v>14</v>
      </c>
      <c r="H27" s="9">
        <f>T_raw.KPI.SK[[#This Row],[TTSA Price]]-T_raw.KPI.SK[[#This Row],[Act. PPDS, THB/kg]]</f>
        <v>5.5520340795660452</v>
      </c>
      <c r="I27" s="9">
        <v>3.7</v>
      </c>
      <c r="J27" s="6">
        <v>0.97</v>
      </c>
      <c r="K27" s="9">
        <v>0.91626528421192599</v>
      </c>
      <c r="L27" s="9">
        <v>0.26649999999999996</v>
      </c>
      <c r="M27" s="9">
        <v>0.27140000000000003</v>
      </c>
      <c r="N27" s="9">
        <v>0.27142097027379258</v>
      </c>
      <c r="O27" s="9">
        <v>2.54</v>
      </c>
      <c r="P27" s="9">
        <v>2.29</v>
      </c>
      <c r="Q27" s="9">
        <v>2.2929551069641172</v>
      </c>
      <c r="R27" s="1"/>
      <c r="S27" s="1"/>
    </row>
    <row r="28" spans="1:19" ht="16" customHeight="1">
      <c r="A28" s="7">
        <v>2025</v>
      </c>
      <c r="B28" s="8" t="s">
        <v>20</v>
      </c>
      <c r="C28" s="8" t="s">
        <v>18</v>
      </c>
      <c r="D28" s="9">
        <v>9.9606299212598408</v>
      </c>
      <c r="E28" s="9">
        <v>8.0167173252279635</v>
      </c>
      <c r="F28" s="9">
        <v>7.98</v>
      </c>
      <c r="G28" s="14">
        <v>13.887499999999999</v>
      </c>
      <c r="H28" s="9">
        <f>T_raw.KPI.SK[[#This Row],[TTSA Price]]-T_raw.KPI.SK[[#This Row],[Act. PPDS, THB/kg]]</f>
        <v>5.9074999999999989</v>
      </c>
      <c r="I28" s="9">
        <v>3.7</v>
      </c>
      <c r="J28" s="6">
        <v>0.97</v>
      </c>
      <c r="K28" s="15">
        <v>0.94644318599999999</v>
      </c>
      <c r="L28" s="9">
        <v>0.254</v>
      </c>
      <c r="M28" s="9">
        <v>0.26319999999999999</v>
      </c>
      <c r="N28" s="9">
        <v>0.25506313790000001</v>
      </c>
      <c r="O28" s="9">
        <v>2.5299999999999998</v>
      </c>
      <c r="P28" s="9">
        <v>2.11</v>
      </c>
      <c r="Q28" s="16">
        <v>2.035025342</v>
      </c>
      <c r="R28" s="1"/>
      <c r="S28" s="1"/>
    </row>
    <row r="29" spans="1:19" ht="14" customHeight="1">
      <c r="A29" s="7">
        <v>2025</v>
      </c>
      <c r="B29" s="8" t="s">
        <v>21</v>
      </c>
      <c r="C29" s="8" t="s">
        <v>18</v>
      </c>
      <c r="D29" s="9">
        <v>10.79059829059829</v>
      </c>
      <c r="E29" s="9">
        <v>8.5654008438818554</v>
      </c>
      <c r="F29" s="9">
        <v>8.354534022387865</v>
      </c>
      <c r="G29" s="9">
        <v>13.299999999999999</v>
      </c>
      <c r="H29" s="9">
        <f>T_raw.KPI.SK[[#This Row],[TTSA Price]]-T_raw.KPI.SK[[#This Row],[Act. PPDS, THB/kg]]</f>
        <v>4.9454659776121339</v>
      </c>
      <c r="I29" s="9">
        <v>3.7</v>
      </c>
      <c r="J29" s="6">
        <v>0.97</v>
      </c>
      <c r="K29" s="9">
        <v>0.96584208351304801</v>
      </c>
      <c r="L29" s="9">
        <v>0.23399999999999999</v>
      </c>
      <c r="M29" s="9">
        <v>0.23699999999999999</v>
      </c>
      <c r="N29" s="9">
        <v>0.223634594932865</v>
      </c>
      <c r="O29" s="9">
        <v>2.5249999999999999</v>
      </c>
      <c r="P29" s="9">
        <v>2.0299999999999998</v>
      </c>
      <c r="Q29" s="9">
        <v>1.8683628319495535</v>
      </c>
      <c r="R29" s="1"/>
      <c r="S29" s="1"/>
    </row>
    <row r="30" spans="1:19">
      <c r="A30" s="7">
        <v>2025</v>
      </c>
      <c r="B30" s="8" t="s">
        <v>22</v>
      </c>
      <c r="C30" s="8" t="s">
        <v>18</v>
      </c>
      <c r="D30" s="9">
        <v>11.331775700934578</v>
      </c>
      <c r="E30" s="9">
        <v>9.0783410138248843</v>
      </c>
      <c r="F30" s="9">
        <v>9.309079282567593</v>
      </c>
      <c r="G30" s="9">
        <v>13.137499999999999</v>
      </c>
      <c r="H30" s="9">
        <f>T_raw.KPI.SK[[#This Row],[TTSA Price]]-T_raw.KPI.SK[[#This Row],[Act. PPDS, THB/kg]]</f>
        <v>3.8284207174324063</v>
      </c>
      <c r="I30" s="9">
        <v>3.7</v>
      </c>
      <c r="J30" s="6">
        <v>0.97</v>
      </c>
      <c r="K30" s="9">
        <v>0.94215008152641</v>
      </c>
      <c r="L30" s="9">
        <v>0.214</v>
      </c>
      <c r="M30" s="9">
        <v>0.217</v>
      </c>
      <c r="N30" s="9">
        <v>0.19449638274974301</v>
      </c>
      <c r="O30" s="9">
        <v>2.4249999999999998</v>
      </c>
      <c r="P30" s="9">
        <v>1.97</v>
      </c>
      <c r="Q30" s="9">
        <v>1.8105822471899711</v>
      </c>
      <c r="R30" s="1"/>
      <c r="S30" s="1"/>
    </row>
    <row r="31" spans="1:19">
      <c r="A31" s="7">
        <v>2025</v>
      </c>
      <c r="B31" s="8" t="s">
        <v>23</v>
      </c>
      <c r="C31" s="8" t="s">
        <v>18</v>
      </c>
      <c r="D31" s="9">
        <v>11.707317073170731</v>
      </c>
      <c r="E31" s="9">
        <v>9.2705882352941185</v>
      </c>
      <c r="F31" s="9">
        <v>9.2311977899095474</v>
      </c>
      <c r="G31" s="9">
        <v>13.383333333333333</v>
      </c>
      <c r="H31" s="9">
        <f>T_raw.KPI.SK[[#This Row],[TTSA Price]]-T_raw.KPI.SK[[#This Row],[Act. PPDS, THB/kg]]</f>
        <v>4.1521355434237854</v>
      </c>
      <c r="I31" s="9">
        <v>3.7</v>
      </c>
      <c r="J31" s="6">
        <v>0.97</v>
      </c>
      <c r="K31" s="9">
        <v>0.94485136027733296</v>
      </c>
      <c r="L31" s="9">
        <v>0.20499999999999999</v>
      </c>
      <c r="M31" s="9">
        <v>0.21249999999999999</v>
      </c>
      <c r="N31" s="9">
        <v>0.205980807794476</v>
      </c>
      <c r="O31" s="9">
        <v>2.4</v>
      </c>
      <c r="P31" s="9">
        <v>1.97</v>
      </c>
      <c r="Q31" s="9">
        <v>1.9014495776761533</v>
      </c>
      <c r="R31" s="1"/>
      <c r="S31" s="1"/>
    </row>
    <row r="32" spans="1:19">
      <c r="A32" s="7">
        <v>2025</v>
      </c>
      <c r="B32" s="8" t="s">
        <v>24</v>
      </c>
      <c r="C32" s="8" t="s">
        <v>18</v>
      </c>
      <c r="D32" s="9">
        <v>11.136363636363637</v>
      </c>
      <c r="E32" s="9">
        <v>10.56</v>
      </c>
      <c r="F32" s="9">
        <v>10.191197580245166</v>
      </c>
      <c r="G32" s="9">
        <v>13.569999999999999</v>
      </c>
      <c r="H32" s="9">
        <f>T_raw.KPI.SK[[#This Row],[TTSA Price]]-T_raw.KPI.SK[[#This Row],[Act. PPDS, THB/kg]]</f>
        <v>3.3788024197548321</v>
      </c>
      <c r="I32" s="9">
        <v>3.7</v>
      </c>
      <c r="J32" s="6">
        <v>0.97</v>
      </c>
      <c r="K32" s="9">
        <v>0.95445776018908401</v>
      </c>
      <c r="L32" s="9">
        <v>0.22</v>
      </c>
      <c r="M32" s="9">
        <v>0.22500000000000001</v>
      </c>
      <c r="N32" s="9">
        <v>0.23384067466140401</v>
      </c>
      <c r="O32" s="9">
        <v>2.4500000000000002</v>
      </c>
      <c r="P32" s="9">
        <v>2.3831165177722</v>
      </c>
      <c r="Q32" s="9">
        <v>2.3831165177722</v>
      </c>
      <c r="R32" s="1"/>
      <c r="S32" s="1"/>
    </row>
    <row r="33" spans="1:19">
      <c r="A33" s="7">
        <v>2025</v>
      </c>
      <c r="B33" s="8" t="s">
        <v>25</v>
      </c>
      <c r="C33" s="8" t="s">
        <v>18</v>
      </c>
      <c r="D33" s="9">
        <v>10.86206896551724</v>
      </c>
      <c r="E33" s="9">
        <v>10.293460183721066</v>
      </c>
      <c r="F33" s="9">
        <v>10.278404809940387</v>
      </c>
      <c r="G33" s="9">
        <v>13.5</v>
      </c>
      <c r="H33" s="9">
        <f>T_raw.KPI.SK[[#This Row],[TTSA Price]]-T_raw.KPI.SK[[#This Row],[Act. PPDS, THB/kg]]</f>
        <v>3.2215951900596131</v>
      </c>
      <c r="I33" s="9">
        <v>3.7</v>
      </c>
      <c r="J33" s="6">
        <v>0.97</v>
      </c>
      <c r="K33" s="9">
        <v>0.98948018525313297</v>
      </c>
      <c r="L33" s="9">
        <v>0.23199999999999998</v>
      </c>
      <c r="M33" s="9">
        <v>0.242111636610637</v>
      </c>
      <c r="N33" s="9">
        <v>0.242385622930332</v>
      </c>
      <c r="O33" s="9">
        <v>2.52</v>
      </c>
      <c r="P33" s="9">
        <v>2.4921664914671373</v>
      </c>
      <c r="Q33" s="9">
        <v>2.4913375525875234</v>
      </c>
      <c r="R33" s="1"/>
      <c r="S33" s="1"/>
    </row>
    <row r="34" spans="1:19">
      <c r="A34" s="7">
        <v>2025</v>
      </c>
      <c r="B34" s="8" t="s">
        <v>26</v>
      </c>
      <c r="C34" s="8" t="s">
        <v>18</v>
      </c>
      <c r="D34" s="9">
        <v>10.717299578059073</v>
      </c>
      <c r="E34" s="9">
        <v>10.091733927080435</v>
      </c>
      <c r="F34" s="9">
        <v>9.9182503814856879</v>
      </c>
      <c r="G34" s="9">
        <v>13.4</v>
      </c>
      <c r="H34" s="9">
        <f>T_raw.KPI.SK[[#This Row],[TTSA Price]]-T_raw.KPI.SK[[#This Row],[Act. PPDS, THB/kg]]</f>
        <v>3.4817496185143124</v>
      </c>
      <c r="I34" s="9">
        <v>3.7</v>
      </c>
      <c r="J34" s="6">
        <v>0.97</v>
      </c>
      <c r="K34" s="9">
        <v>0.98345065127931297</v>
      </c>
      <c r="L34" s="9">
        <v>0.23699999999999999</v>
      </c>
      <c r="M34" s="9">
        <v>0.24475476839237101</v>
      </c>
      <c r="N34" s="9">
        <v>0.24537915452164299</v>
      </c>
      <c r="O34" s="9">
        <v>2.54</v>
      </c>
      <c r="P34" s="9">
        <v>2.4700000000000002</v>
      </c>
      <c r="Q34" s="9">
        <v>2.4337318929429248</v>
      </c>
      <c r="R34" s="1"/>
      <c r="S34" s="1"/>
    </row>
    <row r="35" spans="1:19">
      <c r="A35" s="7">
        <v>2025</v>
      </c>
      <c r="B35" s="8" t="s">
        <v>27</v>
      </c>
      <c r="C35" s="8" t="s">
        <v>18</v>
      </c>
      <c r="D35" s="9">
        <v>10.37344398340249</v>
      </c>
      <c r="E35" s="9">
        <v>9.6815286624203818</v>
      </c>
      <c r="F35" s="9">
        <v>9.9807477897832371</v>
      </c>
      <c r="G35" s="9">
        <v>13.475</v>
      </c>
      <c r="H35" s="9">
        <f>T_raw.KPI.SK[[#This Row],[TTSA Price]]-T_raw.KPI.SK[[#This Row],[Act. PPDS, THB/kg]]</f>
        <v>3.4942522102167626</v>
      </c>
      <c r="I35" s="9">
        <v>3.7</v>
      </c>
      <c r="J35" s="6">
        <v>0.97</v>
      </c>
      <c r="K35" s="9">
        <v>0.96874575181115796</v>
      </c>
      <c r="L35" s="9">
        <v>0.24100000000000002</v>
      </c>
      <c r="M35" s="9">
        <v>0.25119999999999998</v>
      </c>
      <c r="N35" s="9">
        <v>0.24001490786461799</v>
      </c>
      <c r="O35" s="9">
        <v>2.5</v>
      </c>
      <c r="P35" s="9">
        <v>2.4319999999999999</v>
      </c>
      <c r="Q35" s="9">
        <v>2.395528261184813</v>
      </c>
      <c r="R35" s="1"/>
      <c r="S35" s="1"/>
    </row>
    <row r="36" spans="1:19">
      <c r="A36" s="7">
        <v>2025</v>
      </c>
      <c r="B36" s="8" t="s">
        <v>28</v>
      </c>
      <c r="C36" s="8" t="s">
        <v>18</v>
      </c>
      <c r="D36" s="9">
        <v>10.604838709677418</v>
      </c>
      <c r="E36" s="9">
        <v>10.143371728569939</v>
      </c>
      <c r="F36" s="9">
        <v>10.45511639557734</v>
      </c>
      <c r="G36" s="9">
        <v>13.600000000000001</v>
      </c>
      <c r="H36" s="9">
        <f>T_raw.KPI.SK[[#This Row],[TTSA Price]]-T_raw.KPI.SK[[#This Row],[Act. PPDS, THB/kg]]</f>
        <v>3.1448836044226613</v>
      </c>
      <c r="I36" s="9">
        <v>3.7</v>
      </c>
      <c r="J36" s="6">
        <v>0.97</v>
      </c>
      <c r="K36" s="9">
        <v>0.96926616953913503</v>
      </c>
      <c r="L36" s="9">
        <v>0.248</v>
      </c>
      <c r="M36" s="9">
        <v>0.24869607477959901</v>
      </c>
      <c r="N36" s="9">
        <v>0.24842138573843001</v>
      </c>
      <c r="O36" s="9">
        <v>2.63</v>
      </c>
      <c r="P36" s="9">
        <v>2.5226167339256986</v>
      </c>
      <c r="Q36" s="9">
        <v>2.5972745030458975</v>
      </c>
      <c r="R36" s="1"/>
      <c r="S36" s="1"/>
    </row>
    <row r="37" spans="1:19">
      <c r="A37" s="7">
        <v>2025</v>
      </c>
      <c r="B37" s="8" t="s">
        <v>29</v>
      </c>
      <c r="C37" s="8" t="s">
        <v>18</v>
      </c>
      <c r="D37" s="9">
        <v>10.155038759689923</v>
      </c>
      <c r="E37" s="9">
        <v>9.9803921568627452</v>
      </c>
      <c r="F37" s="9">
        <v>10.306672125667019</v>
      </c>
      <c r="G37" s="9">
        <v>13.925000000000001</v>
      </c>
      <c r="H37" s="9">
        <f>T_raw.KPI.SK[[#This Row],[TTSA Price]]-T_raw.KPI.SK[[#This Row],[Act. PPDS, THB/kg]]</f>
        <v>3.6183278743329819</v>
      </c>
      <c r="I37" s="9">
        <v>3.7</v>
      </c>
      <c r="J37" s="6">
        <v>0.97</v>
      </c>
      <c r="K37" s="9">
        <v>0.96730790096460095</v>
      </c>
      <c r="L37" s="9">
        <v>0.25800000000000001</v>
      </c>
      <c r="M37" s="9">
        <v>0.255</v>
      </c>
      <c r="N37" s="9">
        <v>0.25807675352800102</v>
      </c>
      <c r="O37" s="9">
        <v>2.62</v>
      </c>
      <c r="P37" s="9">
        <v>2.5449999999999999</v>
      </c>
      <c r="Q37" s="9">
        <v>2.6599124818696804</v>
      </c>
      <c r="R37" s="1"/>
      <c r="S37" s="1"/>
    </row>
    <row r="38" spans="1:19">
      <c r="A38" s="7">
        <v>2026</v>
      </c>
      <c r="B38" s="8" t="s">
        <v>17</v>
      </c>
      <c r="C38" s="8" t="s">
        <v>18</v>
      </c>
      <c r="D38" s="9">
        <v>10.145677843715488</v>
      </c>
      <c r="E38" s="9">
        <v>10.409564463775958</v>
      </c>
      <c r="F38" s="9">
        <v>10.409564463775958</v>
      </c>
      <c r="G38" s="9">
        <v>14.1875</v>
      </c>
      <c r="H38" s="9">
        <f>T_raw.KPI.SK[[#This Row],[TTSA Price]]-T_raw.KPI.SK[[#This Row],[Act. PPDS, THB/kg]]</f>
        <v>3.7779355362240423</v>
      </c>
      <c r="I38" s="9">
        <v>3.75</v>
      </c>
      <c r="J38" s="6">
        <v>0.97</v>
      </c>
      <c r="K38" s="9">
        <v>0.97490943254488804</v>
      </c>
      <c r="L38" s="9">
        <v>0.26495498392283001</v>
      </c>
      <c r="M38" s="9">
        <v>0.27073367879280141</v>
      </c>
      <c r="N38" s="9">
        <v>0.27073367879280102</v>
      </c>
      <c r="O38" s="9">
        <v>2.6881479099678458</v>
      </c>
      <c r="P38" s="9">
        <v>2.8110986408396008</v>
      </c>
      <c r="Q38" s="9">
        <v>2.8182196819088805</v>
      </c>
    </row>
    <row r="39" spans="1:19">
      <c r="A39" s="7">
        <v>2026</v>
      </c>
      <c r="B39" s="8" t="s">
        <v>19</v>
      </c>
      <c r="C39" s="8" t="s">
        <v>18</v>
      </c>
      <c r="D39" s="9">
        <v>9.9632352941176485</v>
      </c>
      <c r="E39" s="9">
        <v>10.45415687112631</v>
      </c>
      <c r="F39" s="9">
        <v>10.983429583207002</v>
      </c>
      <c r="G39" s="9">
        <v>14.4</v>
      </c>
      <c r="H39" s="9">
        <f>T_raw.KPI.SK[[#This Row],[TTSA Price]]-T_raw.KPI.SK[[#This Row],[Act. PPDS, THB/kg]]</f>
        <v>3.4165704167929984</v>
      </c>
      <c r="I39" s="9">
        <v>3.75</v>
      </c>
      <c r="J39" s="6">
        <v>0.97</v>
      </c>
      <c r="K39" s="9">
        <v>0.94937203271336901</v>
      </c>
      <c r="L39" s="9">
        <v>0.27200000000000002</v>
      </c>
      <c r="M39" s="9">
        <v>0.27256310679611701</v>
      </c>
      <c r="N39" s="9">
        <v>0.26625763391829599</v>
      </c>
      <c r="O39" s="9">
        <v>2.71</v>
      </c>
      <c r="P39" s="9">
        <v>2.8494174757281554</v>
      </c>
      <c r="Q39" s="9">
        <v>2.9244219731329131</v>
      </c>
    </row>
    <row r="40" spans="1:19">
      <c r="A40" s="7">
        <v>2026</v>
      </c>
      <c r="B40" s="8" t="s">
        <v>20</v>
      </c>
      <c r="C40" s="8" t="s">
        <v>18</v>
      </c>
      <c r="D40" s="9">
        <v>10.114503816793894</v>
      </c>
      <c r="E40" s="9">
        <v>11.29</v>
      </c>
      <c r="F40" s="9">
        <v>12.004154342863151</v>
      </c>
      <c r="G40" s="9">
        <v>15.34</v>
      </c>
      <c r="H40" s="9">
        <f>T_raw.KPI.SK[[#This Row],[TTSA Price]]-T_raw.KPI.SK[[#This Row],[Act. PPDS, THB/kg]]</f>
        <v>3.3358456571368489</v>
      </c>
      <c r="I40" s="9">
        <v>3.75</v>
      </c>
      <c r="J40" s="6">
        <v>0.97</v>
      </c>
      <c r="K40" s="9">
        <v>0.93660452622571999</v>
      </c>
      <c r="L40" s="9">
        <v>0.26200000000000001</v>
      </c>
      <c r="M40" s="9">
        <v>0.26840000000000003</v>
      </c>
      <c r="N40" s="9">
        <v>0.24644386796969001</v>
      </c>
      <c r="O40" s="9">
        <v>2.65</v>
      </c>
      <c r="P40" s="9">
        <v>3.03</v>
      </c>
      <c r="Q40" s="9">
        <v>2.9583502279603495</v>
      </c>
    </row>
    <row r="41" spans="1:19">
      <c r="A41" s="7">
        <v>2026</v>
      </c>
      <c r="B41" s="8" t="s">
        <v>21</v>
      </c>
      <c r="C41" s="8" t="s">
        <v>18</v>
      </c>
      <c r="D41" s="9">
        <v>10.37190082644628</v>
      </c>
      <c r="E41" s="9">
        <v>13.999382811294552</v>
      </c>
      <c r="F41" s="9">
        <v>15.442993615369231</v>
      </c>
      <c r="G41" s="9">
        <v>16.8</v>
      </c>
      <c r="H41" s="9">
        <f>T_raw.KPI.SK[[#This Row],[TTSA Price]]-T_raw.KPI.SK[[#This Row],[Act. PPDS, THB/kg]]</f>
        <v>1.3570063846307701</v>
      </c>
      <c r="I41" s="9">
        <v>3.75</v>
      </c>
      <c r="J41" s="6">
        <v>0.97</v>
      </c>
      <c r="K41" s="9">
        <v>0.89688039654791196</v>
      </c>
      <c r="L41" s="9">
        <v>0.24199999999999999</v>
      </c>
      <c r="M41" s="9">
        <v>0.21969491525423701</v>
      </c>
      <c r="N41" s="9">
        <v>0.21281728955114401</v>
      </c>
      <c r="O41" s="9">
        <v>2.5099999999999998</v>
      </c>
      <c r="P41" s="9">
        <v>3.0755932203389831</v>
      </c>
      <c r="Q41" s="9">
        <v>3.2865360437785078</v>
      </c>
    </row>
    <row r="42" spans="1:19">
      <c r="A42" s="7">
        <v>2026</v>
      </c>
      <c r="B42" s="8" t="s">
        <v>22</v>
      </c>
      <c r="C42" s="8" t="s">
        <v>18</v>
      </c>
      <c r="D42" s="9">
        <v>10.8</v>
      </c>
      <c r="E42" s="9">
        <v>18.404365904365903</v>
      </c>
      <c r="F42" s="9">
        <v>19.159704408071381</v>
      </c>
      <c r="G42" s="9">
        <v>18.975000000000001</v>
      </c>
      <c r="H42" s="9">
        <f>T_raw.KPI.SK[[#This Row],[TTSA Price]]-T_raw.KPI.SK[[#This Row],[Act. PPDS, THB/kg]]</f>
        <v>-0.18470440807137933</v>
      </c>
      <c r="I42" s="9">
        <v>3.75</v>
      </c>
      <c r="J42" s="6">
        <v>0.97</v>
      </c>
      <c r="K42" s="9">
        <v>0.95895873252953001</v>
      </c>
      <c r="L42" s="9">
        <v>0.22500000000000001</v>
      </c>
      <c r="M42" s="9">
        <v>0.185</v>
      </c>
      <c r="N42" s="9">
        <v>0.17956789224299899</v>
      </c>
      <c r="O42" s="9">
        <v>2.4300000000000002</v>
      </c>
      <c r="P42" s="9">
        <v>3.404807692307692</v>
      </c>
      <c r="Q42" s="9">
        <v>3.4404677365562808</v>
      </c>
    </row>
    <row r="43" spans="1:19">
      <c r="A43" s="7">
        <v>2026</v>
      </c>
      <c r="B43" s="8" t="s">
        <v>23</v>
      </c>
      <c r="C43" s="8" t="s">
        <v>18</v>
      </c>
      <c r="D43" s="9">
        <v>10.855855855855857</v>
      </c>
      <c r="E43" s="9">
        <v>19.721175030599756</v>
      </c>
      <c r="F43" s="9">
        <v>0.01</v>
      </c>
      <c r="G43" s="9">
        <v>0.01</v>
      </c>
      <c r="H43" s="9">
        <f>T_raw.KPI.SK[[#This Row],[TTSA Price]]-T_raw.KPI.SK[[#This Row],[Act. PPDS, THB/kg]]</f>
        <v>0</v>
      </c>
      <c r="I43" s="9">
        <v>3.75</v>
      </c>
      <c r="J43" s="6">
        <v>0.97</v>
      </c>
      <c r="K43" s="9">
        <v>0.01</v>
      </c>
      <c r="L43" s="9">
        <v>0.222</v>
      </c>
      <c r="M43" s="9">
        <v>0.17020833333333299</v>
      </c>
      <c r="N43" s="9">
        <v>0.01</v>
      </c>
      <c r="O43" s="9">
        <v>2.41</v>
      </c>
      <c r="P43" s="9">
        <v>3.3567083333333336</v>
      </c>
      <c r="Q43" s="9">
        <v>0.01</v>
      </c>
    </row>
    <row r="44" spans="1:19">
      <c r="A44" s="7">
        <v>2026</v>
      </c>
      <c r="B44" s="8" t="s">
        <v>24</v>
      </c>
      <c r="C44" s="8" t="s">
        <v>18</v>
      </c>
      <c r="D44" s="9">
        <v>10.544969952779475</v>
      </c>
      <c r="E44" s="9">
        <v>17.944078947368418</v>
      </c>
      <c r="F44" s="9">
        <v>0.01</v>
      </c>
      <c r="G44" s="9">
        <v>0.01</v>
      </c>
      <c r="H44" s="9">
        <f>T_raw.KPI.SK[[#This Row],[TTSA Price]]-T_raw.KPI.SK[[#This Row],[Act. PPDS, THB/kg]]</f>
        <v>0</v>
      </c>
      <c r="I44" s="9">
        <v>3.75</v>
      </c>
      <c r="J44" s="6">
        <v>0.97</v>
      </c>
      <c r="K44" s="9">
        <v>0.01</v>
      </c>
      <c r="L44" s="9">
        <v>0.235183221109731</v>
      </c>
      <c r="M44" s="9">
        <v>0.19</v>
      </c>
      <c r="N44" s="9">
        <v>0.01</v>
      </c>
      <c r="O44" s="9">
        <v>2.48</v>
      </c>
      <c r="P44" s="9">
        <v>3.4093749999999998</v>
      </c>
      <c r="Q44" s="9">
        <v>0.01</v>
      </c>
    </row>
    <row r="45" spans="1:19">
      <c r="A45" s="7">
        <v>2026</v>
      </c>
      <c r="B45" s="8" t="s">
        <v>25</v>
      </c>
      <c r="C45" s="8" t="s">
        <v>18</v>
      </c>
      <c r="D45" s="9">
        <v>10.60919940189196</v>
      </c>
      <c r="E45" s="9">
        <v>15.984347442680777</v>
      </c>
      <c r="F45" s="9">
        <v>0.01</v>
      </c>
      <c r="G45" s="9">
        <v>0.01</v>
      </c>
      <c r="H45" s="9">
        <f>T_raw.KPI.SK[[#This Row],[TTSA Price]]-T_raw.KPI.SK[[#This Row],[Act. PPDS, THB/kg]]</f>
        <v>0</v>
      </c>
      <c r="I45" s="9">
        <v>3.75</v>
      </c>
      <c r="J45" s="6">
        <v>0.97</v>
      </c>
      <c r="K45" s="9">
        <v>0.01</v>
      </c>
      <c r="L45" s="9">
        <v>0.249783221109731</v>
      </c>
      <c r="M45" s="9">
        <v>0.21</v>
      </c>
      <c r="N45" s="9">
        <v>0.01</v>
      </c>
      <c r="O45" s="9">
        <v>2.6500000000000004</v>
      </c>
      <c r="P45" s="9">
        <v>3.3567129629629631</v>
      </c>
      <c r="Q45" s="9">
        <v>0.01</v>
      </c>
    </row>
    <row r="46" spans="1:19">
      <c r="A46" s="7">
        <v>2026</v>
      </c>
      <c r="B46" s="8" t="s">
        <v>26</v>
      </c>
      <c r="C46" s="8" t="s">
        <v>18</v>
      </c>
      <c r="D46" s="9">
        <v>10.332570882591948</v>
      </c>
      <c r="E46" s="9">
        <v>15.110406646261479</v>
      </c>
      <c r="F46" s="9">
        <v>0.01</v>
      </c>
      <c r="G46" s="9">
        <v>0.01</v>
      </c>
      <c r="H46" s="9">
        <f>T_raw.KPI.SK[[#This Row],[TTSA Price]]-T_raw.KPI.SK[[#This Row],[Act. PPDS, THB/kg]]</f>
        <v>0</v>
      </c>
      <c r="I46" s="9">
        <v>3.75</v>
      </c>
      <c r="J46" s="6">
        <v>0.97</v>
      </c>
      <c r="K46" s="9">
        <v>0.01</v>
      </c>
      <c r="L46" s="9">
        <v>0.25259928333976001</v>
      </c>
      <c r="M46" s="9">
        <v>0.22096618357487899</v>
      </c>
      <c r="N46" s="9">
        <v>0.01</v>
      </c>
      <c r="O46" s="9">
        <v>2.6100000000000003</v>
      </c>
      <c r="P46" s="9">
        <v>3.3388888888888895</v>
      </c>
      <c r="Q46" s="9">
        <v>0.01</v>
      </c>
    </row>
    <row r="47" spans="1:19">
      <c r="A47" s="7">
        <v>2026</v>
      </c>
      <c r="B47" s="8" t="s">
        <v>27</v>
      </c>
      <c r="C47" s="8" t="s">
        <v>18</v>
      </c>
      <c r="D47" s="9">
        <v>10.137245130815479</v>
      </c>
      <c r="E47" s="9">
        <v>14.689265536723164</v>
      </c>
      <c r="F47" s="9">
        <v>0.01</v>
      </c>
      <c r="G47" s="9">
        <v>0.01</v>
      </c>
      <c r="H47" s="9">
        <f>T_raw.KPI.SK[[#This Row],[TTSA Price]]-T_raw.KPI.SK[[#This Row],[Act. PPDS, THB/kg]]</f>
        <v>0</v>
      </c>
      <c r="I47" s="9">
        <v>3.75</v>
      </c>
      <c r="J47" s="6">
        <v>0.97</v>
      </c>
      <c r="K47" s="9">
        <v>0.01</v>
      </c>
      <c r="L47" s="9">
        <v>0.25352055384234901</v>
      </c>
      <c r="M47" s="9">
        <v>0.2301</v>
      </c>
      <c r="N47" s="9">
        <v>0.01</v>
      </c>
      <c r="O47" s="9">
        <v>2.57</v>
      </c>
      <c r="P47" s="9">
        <v>3.3800000000000003</v>
      </c>
      <c r="Q47" s="9">
        <v>0.01</v>
      </c>
    </row>
    <row r="48" spans="1:19">
      <c r="A48" s="7">
        <v>2026</v>
      </c>
      <c r="B48" s="8" t="s">
        <v>28</v>
      </c>
      <c r="C48" s="8" t="s">
        <v>18</v>
      </c>
      <c r="D48" s="9">
        <v>9.8100026041552013</v>
      </c>
      <c r="E48" s="9">
        <v>14.638888888888889</v>
      </c>
      <c r="F48" s="9">
        <v>0.01</v>
      </c>
      <c r="G48" s="9">
        <v>0.01</v>
      </c>
      <c r="H48" s="9">
        <f>T_raw.KPI.SK[[#This Row],[TTSA Price]]-T_raw.KPI.SK[[#This Row],[Act. PPDS, THB/kg]]</f>
        <v>0</v>
      </c>
      <c r="I48" s="9">
        <v>3.75</v>
      </c>
      <c r="J48" s="6">
        <v>0.97</v>
      </c>
      <c r="K48" s="9">
        <v>0.01</v>
      </c>
      <c r="L48" s="9">
        <v>0.25993876891734002</v>
      </c>
      <c r="M48" s="9">
        <v>0.24</v>
      </c>
      <c r="N48" s="9">
        <v>0.01</v>
      </c>
      <c r="O48" s="9">
        <v>2.5499999999999998</v>
      </c>
      <c r="P48" s="9">
        <v>3.5133333333333336</v>
      </c>
      <c r="Q48" s="9">
        <v>0.01</v>
      </c>
    </row>
    <row r="49" spans="1:17">
      <c r="A49" s="7">
        <v>2026</v>
      </c>
      <c r="B49" s="8" t="s">
        <v>29</v>
      </c>
      <c r="C49" s="8" t="s">
        <v>18</v>
      </c>
      <c r="D49" s="9">
        <v>9.629629629629628</v>
      </c>
      <c r="E49" s="9">
        <v>14.110144927536233</v>
      </c>
      <c r="F49" s="9">
        <v>0.01</v>
      </c>
      <c r="G49" s="9">
        <v>0.01</v>
      </c>
      <c r="H49" s="9">
        <f>T_raw.KPI.SK[[#This Row],[TTSA Price]]-T_raw.KPI.SK[[#This Row],[Act. PPDS, THB/kg]]</f>
        <v>0</v>
      </c>
      <c r="I49" s="9">
        <v>3.75</v>
      </c>
      <c r="J49" s="6">
        <v>0.97</v>
      </c>
      <c r="K49" s="9">
        <v>0.01</v>
      </c>
      <c r="L49" s="9">
        <v>0.27</v>
      </c>
      <c r="M49" s="9">
        <v>0.25</v>
      </c>
      <c r="N49" s="9">
        <v>0.01</v>
      </c>
      <c r="O49" s="9">
        <v>2.5999999999999996</v>
      </c>
      <c r="P49" s="9">
        <v>3.5275362318840582</v>
      </c>
      <c r="Q49" s="9">
        <v>0.01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9744-4DC3-4B5C-929C-7573F6CCA7C8}">
  <dimension ref="A1:N7592"/>
  <sheetViews>
    <sheetView topLeftCell="A7577" zoomScale="70" zoomScaleNormal="70" workbookViewId="0">
      <selection activeCell="I7601" sqref="I7601"/>
    </sheetView>
  </sheetViews>
  <sheetFormatPr defaultRowHeight="16.5"/>
  <cols>
    <col min="1" max="2" width="8.7265625" style="31"/>
    <col min="3" max="4" width="13.90625" style="31" customWidth="1"/>
    <col min="5" max="6" width="25.453125" style="20" customWidth="1"/>
    <col min="7" max="8" width="17.90625" style="19" customWidth="1"/>
    <col min="9" max="10" width="13.90625" style="32" customWidth="1"/>
    <col min="11" max="11" width="16.08984375" style="33" customWidth="1"/>
    <col min="12" max="12" width="15.08984375" style="33" customWidth="1"/>
    <col min="13" max="13" width="13.90625" style="33" customWidth="1"/>
    <col min="14" max="14" width="18.90625" style="32" customWidth="1"/>
    <col min="15" max="16384" width="8.7265625" style="19"/>
  </cols>
  <sheetData>
    <row r="1" spans="1:14">
      <c r="A1" s="21" t="s">
        <v>0</v>
      </c>
      <c r="B1" s="21" t="s">
        <v>1</v>
      </c>
      <c r="C1" s="21" t="s">
        <v>1137</v>
      </c>
      <c r="D1" s="21" t="s">
        <v>31</v>
      </c>
      <c r="E1" s="21" t="s">
        <v>32</v>
      </c>
      <c r="F1" s="22" t="s">
        <v>33</v>
      </c>
      <c r="G1" s="22" t="s">
        <v>34</v>
      </c>
      <c r="H1" s="23" t="s">
        <v>1138</v>
      </c>
      <c r="I1" s="23" t="s">
        <v>1139</v>
      </c>
      <c r="J1" s="22" t="s">
        <v>1140</v>
      </c>
      <c r="K1" s="22" t="s">
        <v>1141</v>
      </c>
      <c r="L1" s="22" t="s">
        <v>1142</v>
      </c>
      <c r="M1" s="23" t="s">
        <v>1143</v>
      </c>
      <c r="N1" s="22" t="s">
        <v>1144</v>
      </c>
    </row>
    <row r="2" spans="1:14">
      <c r="A2" s="21">
        <v>2023</v>
      </c>
      <c r="B2" s="21" t="s">
        <v>17</v>
      </c>
      <c r="C2" s="21" t="s">
        <v>1145</v>
      </c>
      <c r="D2" s="21" t="s">
        <v>35</v>
      </c>
      <c r="E2" s="17" t="s">
        <v>36</v>
      </c>
      <c r="F2" s="18" t="s">
        <v>37</v>
      </c>
      <c r="G2" s="18" t="s">
        <v>38</v>
      </c>
      <c r="H2" s="24">
        <v>31910</v>
      </c>
      <c r="I2" s="24">
        <f>T_reg.root.SK[[#This Row],[Volume, kg]]/1000</f>
        <v>31.91</v>
      </c>
      <c r="J2" s="25">
        <v>0.25530000000000003</v>
      </c>
      <c r="K2" s="25">
        <f>H2*J2</f>
        <v>8146.6230000000005</v>
      </c>
      <c r="L2" s="25">
        <v>3.15</v>
      </c>
      <c r="M2" s="24">
        <v>100516.5</v>
      </c>
      <c r="N2" s="25">
        <f>IFERROR(T_reg.root.SK[[#This Row],[Price]]/T_reg.root.SK[[#This Row],[Starch content]],"")</f>
        <v>12.33842538190364</v>
      </c>
    </row>
    <row r="3" spans="1:14">
      <c r="A3" s="21">
        <v>2023</v>
      </c>
      <c r="B3" s="21" t="s">
        <v>17</v>
      </c>
      <c r="C3" s="21" t="s">
        <v>1145</v>
      </c>
      <c r="D3" s="21" t="s">
        <v>39</v>
      </c>
      <c r="E3" s="17" t="s">
        <v>40</v>
      </c>
      <c r="F3" s="18" t="s">
        <v>41</v>
      </c>
      <c r="G3" s="18" t="s">
        <v>42</v>
      </c>
      <c r="H3" s="24">
        <v>46030</v>
      </c>
      <c r="I3" s="24">
        <f>T_reg.root.SK[[#This Row],[Volume, kg]]/1000</f>
        <v>46.03</v>
      </c>
      <c r="J3" s="25">
        <v>0.30620000000000003</v>
      </c>
      <c r="K3" s="25">
        <f t="shared" ref="K3:K66" si="0">H3*J3</f>
        <v>14094.386</v>
      </c>
      <c r="L3" s="25">
        <v>3.55</v>
      </c>
      <c r="M3" s="24">
        <v>163406.5</v>
      </c>
      <c r="N3" s="25">
        <f>IFERROR(T_reg.root.SK[[#This Row],[Price]]/T_reg.root.SK[[#This Row],[Starch content]],"")</f>
        <v>11.593729588504244</v>
      </c>
    </row>
    <row r="4" spans="1:14">
      <c r="A4" s="21">
        <v>2023</v>
      </c>
      <c r="B4" s="21" t="s">
        <v>17</v>
      </c>
      <c r="C4" s="21" t="s">
        <v>1145</v>
      </c>
      <c r="D4" s="21" t="s">
        <v>39</v>
      </c>
      <c r="E4" s="17" t="s">
        <v>43</v>
      </c>
      <c r="F4" s="18" t="s">
        <v>44</v>
      </c>
      <c r="G4" s="18" t="s">
        <v>45</v>
      </c>
      <c r="H4" s="24">
        <v>377670</v>
      </c>
      <c r="I4" s="24">
        <f>T_reg.root.SK[[#This Row],[Volume, kg]]/1000</f>
        <v>377.67</v>
      </c>
      <c r="J4" s="25">
        <v>0.29549999999999998</v>
      </c>
      <c r="K4" s="25">
        <f t="shared" si="0"/>
        <v>111601.485</v>
      </c>
      <c r="L4" s="25">
        <v>3.43</v>
      </c>
      <c r="M4" s="24">
        <v>1295001.5</v>
      </c>
      <c r="N4" s="25">
        <f>IFERROR(T_reg.root.SK[[#This Row],[Price]]/T_reg.root.SK[[#This Row],[Starch content]],"")</f>
        <v>11.607445008460237</v>
      </c>
    </row>
    <row r="5" spans="1:14">
      <c r="A5" s="21">
        <v>2023</v>
      </c>
      <c r="B5" s="21" t="s">
        <v>17</v>
      </c>
      <c r="C5" s="21" t="s">
        <v>1145</v>
      </c>
      <c r="D5" s="21" t="s">
        <v>35</v>
      </c>
      <c r="E5" s="17" t="s">
        <v>46</v>
      </c>
      <c r="F5" s="18" t="s">
        <v>47</v>
      </c>
      <c r="G5" s="18" t="s">
        <v>48</v>
      </c>
      <c r="H5" s="24">
        <v>49200</v>
      </c>
      <c r="I5" s="24">
        <f>T_reg.root.SK[[#This Row],[Volume, kg]]/1000</f>
        <v>49.2</v>
      </c>
      <c r="J5" s="25">
        <v>0.30820000000000003</v>
      </c>
      <c r="K5" s="25">
        <f t="shared" si="0"/>
        <v>15163.440000000002</v>
      </c>
      <c r="L5" s="25">
        <v>3.45</v>
      </c>
      <c r="M5" s="24">
        <v>169754.5</v>
      </c>
      <c r="N5" s="25">
        <f>IFERROR(T_reg.root.SK[[#This Row],[Price]]/T_reg.root.SK[[#This Row],[Starch content]],"")</f>
        <v>11.194029850746269</v>
      </c>
    </row>
    <row r="6" spans="1:14">
      <c r="A6" s="21">
        <v>2023</v>
      </c>
      <c r="B6" s="21" t="s">
        <v>17</v>
      </c>
      <c r="C6" s="21" t="s">
        <v>1145</v>
      </c>
      <c r="D6" s="21" t="s">
        <v>35</v>
      </c>
      <c r="E6" s="17" t="s">
        <v>49</v>
      </c>
      <c r="F6" s="18" t="s">
        <v>47</v>
      </c>
      <c r="G6" s="18" t="s">
        <v>48</v>
      </c>
      <c r="H6" s="24">
        <v>69050</v>
      </c>
      <c r="I6" s="24">
        <f>T_reg.root.SK[[#This Row],[Volume, kg]]/1000</f>
        <v>69.05</v>
      </c>
      <c r="J6" s="25">
        <v>0.28129999999999999</v>
      </c>
      <c r="K6" s="25">
        <f t="shared" si="0"/>
        <v>19423.764999999999</v>
      </c>
      <c r="L6" s="25">
        <v>3.23</v>
      </c>
      <c r="M6" s="24">
        <v>223283</v>
      </c>
      <c r="N6" s="25">
        <f>IFERROR(T_reg.root.SK[[#This Row],[Price]]/T_reg.root.SK[[#This Row],[Starch content]],"")</f>
        <v>11.482403128332741</v>
      </c>
    </row>
    <row r="7" spans="1:14">
      <c r="A7" s="21">
        <v>2023</v>
      </c>
      <c r="B7" s="21" t="s">
        <v>17</v>
      </c>
      <c r="C7" s="21" t="s">
        <v>1145</v>
      </c>
      <c r="D7" s="21" t="s">
        <v>35</v>
      </c>
      <c r="E7" s="17" t="s">
        <v>50</v>
      </c>
      <c r="F7" s="18" t="s">
        <v>47</v>
      </c>
      <c r="G7" s="18" t="s">
        <v>48</v>
      </c>
      <c r="H7" s="24">
        <v>36410</v>
      </c>
      <c r="I7" s="24">
        <f>T_reg.root.SK[[#This Row],[Volume, kg]]/1000</f>
        <v>36.409999999999997</v>
      </c>
      <c r="J7" s="25">
        <v>0.25730000000000003</v>
      </c>
      <c r="K7" s="25">
        <f t="shared" si="0"/>
        <v>9368.2930000000015</v>
      </c>
      <c r="L7" s="25">
        <v>3.14</v>
      </c>
      <c r="M7" s="24">
        <v>114351.5</v>
      </c>
      <c r="N7" s="25">
        <f>IFERROR(T_reg.root.SK[[#This Row],[Price]]/T_reg.root.SK[[#This Row],[Starch content]],"")</f>
        <v>12.203653322969295</v>
      </c>
    </row>
    <row r="8" spans="1:14">
      <c r="A8" s="21">
        <v>2023</v>
      </c>
      <c r="B8" s="21" t="s">
        <v>17</v>
      </c>
      <c r="C8" s="21" t="s">
        <v>1145</v>
      </c>
      <c r="D8" s="21" t="s">
        <v>35</v>
      </c>
      <c r="E8" s="17" t="s">
        <v>51</v>
      </c>
      <c r="F8" s="18" t="s">
        <v>47</v>
      </c>
      <c r="G8" s="18" t="s">
        <v>48</v>
      </c>
      <c r="H8" s="24">
        <v>42290</v>
      </c>
      <c r="I8" s="24">
        <f>T_reg.root.SK[[#This Row],[Volume, kg]]/1000</f>
        <v>42.29</v>
      </c>
      <c r="J8" s="25">
        <v>0.30030000000000001</v>
      </c>
      <c r="K8" s="25">
        <f t="shared" si="0"/>
        <v>12699.687</v>
      </c>
      <c r="L8" s="25">
        <v>3.36</v>
      </c>
      <c r="M8" s="24">
        <v>142200</v>
      </c>
      <c r="N8" s="25">
        <f>IFERROR(T_reg.root.SK[[#This Row],[Price]]/T_reg.root.SK[[#This Row],[Starch content]],"")</f>
        <v>11.188811188811188</v>
      </c>
    </row>
    <row r="9" spans="1:14">
      <c r="A9" s="21">
        <v>2023</v>
      </c>
      <c r="B9" s="21" t="s">
        <v>17</v>
      </c>
      <c r="C9" s="21" t="s">
        <v>1145</v>
      </c>
      <c r="D9" s="21" t="s">
        <v>35</v>
      </c>
      <c r="E9" s="17" t="s">
        <v>52</v>
      </c>
      <c r="F9" s="18" t="s">
        <v>47</v>
      </c>
      <c r="G9" s="18" t="s">
        <v>48</v>
      </c>
      <c r="H9" s="24">
        <v>68450</v>
      </c>
      <c r="I9" s="24">
        <f>T_reg.root.SK[[#This Row],[Volume, kg]]/1000</f>
        <v>68.45</v>
      </c>
      <c r="J9" s="25">
        <v>0.23329999999999998</v>
      </c>
      <c r="K9" s="25">
        <f t="shared" si="0"/>
        <v>15969.384999999998</v>
      </c>
      <c r="L9" s="25">
        <v>3.04</v>
      </c>
      <c r="M9" s="24">
        <v>208206.5</v>
      </c>
      <c r="N9" s="25">
        <f>IFERROR(T_reg.root.SK[[#This Row],[Price]]/T_reg.root.SK[[#This Row],[Starch content]],"")</f>
        <v>13.030432918988428</v>
      </c>
    </row>
    <row r="10" spans="1:14">
      <c r="A10" s="21">
        <v>2023</v>
      </c>
      <c r="B10" s="21" t="s">
        <v>17</v>
      </c>
      <c r="C10" s="21" t="s">
        <v>1145</v>
      </c>
      <c r="D10" s="21" t="s">
        <v>35</v>
      </c>
      <c r="E10" s="17" t="s">
        <v>53</v>
      </c>
      <c r="F10" s="18" t="s">
        <v>47</v>
      </c>
      <c r="G10" s="18" t="s">
        <v>48</v>
      </c>
      <c r="H10" s="24">
        <v>54550</v>
      </c>
      <c r="I10" s="24">
        <f>T_reg.root.SK[[#This Row],[Volume, kg]]/1000</f>
        <v>54.55</v>
      </c>
      <c r="J10" s="25">
        <v>0.28383919340054997</v>
      </c>
      <c r="K10" s="25">
        <f t="shared" si="0"/>
        <v>15483.428000000002</v>
      </c>
      <c r="L10" s="25">
        <v>3.3157103574702109</v>
      </c>
      <c r="M10" s="24">
        <v>180872</v>
      </c>
      <c r="N10" s="25">
        <f>IFERROR(T_reg.root.SK[[#This Row],[Price]]/T_reg.root.SK[[#This Row],[Starch content]],"")</f>
        <v>11.681650859228331</v>
      </c>
    </row>
    <row r="11" spans="1:14">
      <c r="A11" s="21">
        <v>2023</v>
      </c>
      <c r="B11" s="21" t="s">
        <v>17</v>
      </c>
      <c r="C11" s="21" t="s">
        <v>1145</v>
      </c>
      <c r="D11" s="21" t="s">
        <v>35</v>
      </c>
      <c r="E11" s="17" t="s">
        <v>54</v>
      </c>
      <c r="F11" s="18" t="s">
        <v>47</v>
      </c>
      <c r="G11" s="18" t="s">
        <v>48</v>
      </c>
      <c r="H11" s="24">
        <v>25060</v>
      </c>
      <c r="I11" s="24">
        <f>T_reg.root.SK[[#This Row],[Volume, kg]]/1000</f>
        <v>25.06</v>
      </c>
      <c r="J11" s="25">
        <v>0.28220000000000001</v>
      </c>
      <c r="K11" s="25">
        <f t="shared" si="0"/>
        <v>7071.9319999999998</v>
      </c>
      <c r="L11" s="25">
        <v>3.27</v>
      </c>
      <c r="M11" s="24">
        <v>82039</v>
      </c>
      <c r="N11" s="25">
        <f>IFERROR(T_reg.root.SK[[#This Row],[Price]]/T_reg.root.SK[[#This Row],[Starch content]],"")</f>
        <v>11.587526576895819</v>
      </c>
    </row>
    <row r="12" spans="1:14">
      <c r="A12" s="21">
        <v>2023</v>
      </c>
      <c r="B12" s="21" t="s">
        <v>17</v>
      </c>
      <c r="C12" s="21" t="s">
        <v>1145</v>
      </c>
      <c r="D12" s="21" t="s">
        <v>35</v>
      </c>
      <c r="E12" s="17" t="s">
        <v>55</v>
      </c>
      <c r="F12" s="18" t="s">
        <v>47</v>
      </c>
      <c r="G12" s="18" t="s">
        <v>48</v>
      </c>
      <c r="H12" s="24">
        <v>68140</v>
      </c>
      <c r="I12" s="24">
        <f>T_reg.root.SK[[#This Row],[Volume, kg]]/1000</f>
        <v>68.14</v>
      </c>
      <c r="J12" s="25">
        <v>0.26280000000000003</v>
      </c>
      <c r="K12" s="25">
        <f t="shared" si="0"/>
        <v>17907.192000000003</v>
      </c>
      <c r="L12" s="25">
        <v>3.11</v>
      </c>
      <c r="M12" s="24">
        <v>212062</v>
      </c>
      <c r="N12" s="25">
        <f>IFERROR(T_reg.root.SK[[#This Row],[Price]]/T_reg.root.SK[[#This Row],[Starch content]],"")</f>
        <v>11.834094368340942</v>
      </c>
    </row>
    <row r="13" spans="1:14">
      <c r="A13" s="21">
        <v>2023</v>
      </c>
      <c r="B13" s="21" t="s">
        <v>17</v>
      </c>
      <c r="C13" s="21" t="s">
        <v>1145</v>
      </c>
      <c r="D13" s="21" t="s">
        <v>35</v>
      </c>
      <c r="E13" s="17" t="s">
        <v>56</v>
      </c>
      <c r="F13" s="18" t="s">
        <v>47</v>
      </c>
      <c r="G13" s="18" t="s">
        <v>48</v>
      </c>
      <c r="H13" s="24">
        <v>40840</v>
      </c>
      <c r="I13" s="24">
        <f>T_reg.root.SK[[#This Row],[Volume, kg]]/1000</f>
        <v>40.840000000000003</v>
      </c>
      <c r="J13" s="25">
        <v>0.24780000000000002</v>
      </c>
      <c r="K13" s="25">
        <f t="shared" si="0"/>
        <v>10120.152</v>
      </c>
      <c r="L13" s="25">
        <v>3.11</v>
      </c>
      <c r="M13" s="24">
        <v>127095.5</v>
      </c>
      <c r="N13" s="25">
        <f>IFERROR(T_reg.root.SK[[#This Row],[Price]]/T_reg.root.SK[[#This Row],[Starch content]],"")</f>
        <v>12.550443906376108</v>
      </c>
    </row>
    <row r="14" spans="1:14">
      <c r="A14" s="21">
        <v>2023</v>
      </c>
      <c r="B14" s="21" t="s">
        <v>17</v>
      </c>
      <c r="C14" s="21" t="s">
        <v>1145</v>
      </c>
      <c r="D14" s="21" t="s">
        <v>35</v>
      </c>
      <c r="E14" s="17" t="s">
        <v>57</v>
      </c>
      <c r="F14" s="18" t="s">
        <v>47</v>
      </c>
      <c r="G14" s="18" t="s">
        <v>48</v>
      </c>
      <c r="H14" s="24">
        <v>170450</v>
      </c>
      <c r="I14" s="24">
        <f>T_reg.root.SK[[#This Row],[Volume, kg]]/1000</f>
        <v>170.45</v>
      </c>
      <c r="J14" s="25">
        <v>0.25935075975359345</v>
      </c>
      <c r="K14" s="25">
        <f t="shared" si="0"/>
        <v>44206.337000000007</v>
      </c>
      <c r="L14" s="25">
        <v>3.1752654737459665</v>
      </c>
      <c r="M14" s="24">
        <v>541224</v>
      </c>
      <c r="N14" s="25">
        <f>IFERROR(T_reg.root.SK[[#This Row],[Price]]/T_reg.root.SK[[#This Row],[Starch content]],"")</f>
        <v>12.243131567313526</v>
      </c>
    </row>
    <row r="15" spans="1:14">
      <c r="A15" s="21">
        <v>2023</v>
      </c>
      <c r="B15" s="21" t="s">
        <v>17</v>
      </c>
      <c r="C15" s="21" t="s">
        <v>1145</v>
      </c>
      <c r="D15" s="21" t="s">
        <v>35</v>
      </c>
      <c r="E15" s="17" t="s">
        <v>58</v>
      </c>
      <c r="F15" s="18" t="s">
        <v>47</v>
      </c>
      <c r="G15" s="18" t="s">
        <v>48</v>
      </c>
      <c r="H15" s="24">
        <v>24680</v>
      </c>
      <c r="I15" s="24">
        <f>T_reg.root.SK[[#This Row],[Volume, kg]]/1000</f>
        <v>24.68</v>
      </c>
      <c r="J15" s="25">
        <v>0.2646</v>
      </c>
      <c r="K15" s="25">
        <f t="shared" si="0"/>
        <v>6530.3280000000004</v>
      </c>
      <c r="L15" s="25">
        <v>3.16</v>
      </c>
      <c r="M15" s="24">
        <v>77983.5</v>
      </c>
      <c r="N15" s="25">
        <f>IFERROR(T_reg.root.SK[[#This Row],[Price]]/T_reg.root.SK[[#This Row],[Starch content]],"")</f>
        <v>11.942554799697657</v>
      </c>
    </row>
    <row r="16" spans="1:14">
      <c r="A16" s="21">
        <v>2023</v>
      </c>
      <c r="B16" s="21" t="s">
        <v>17</v>
      </c>
      <c r="C16" s="21" t="s">
        <v>1145</v>
      </c>
      <c r="D16" s="21" t="s">
        <v>35</v>
      </c>
      <c r="E16" s="17" t="s">
        <v>59</v>
      </c>
      <c r="F16" s="18" t="s">
        <v>47</v>
      </c>
      <c r="G16" s="18" t="s">
        <v>48</v>
      </c>
      <c r="H16" s="24">
        <v>36560</v>
      </c>
      <c r="I16" s="24">
        <f>T_reg.root.SK[[#This Row],[Volume, kg]]/1000</f>
        <v>36.56</v>
      </c>
      <c r="J16" s="25">
        <v>0.3075</v>
      </c>
      <c r="K16" s="25">
        <f t="shared" si="0"/>
        <v>11242.2</v>
      </c>
      <c r="L16" s="25">
        <v>3.35</v>
      </c>
      <c r="M16" s="24">
        <v>122501.5</v>
      </c>
      <c r="N16" s="25">
        <f>IFERROR(T_reg.root.SK[[#This Row],[Price]]/T_reg.root.SK[[#This Row],[Starch content]],"")</f>
        <v>10.894308943089431</v>
      </c>
    </row>
    <row r="17" spans="1:14">
      <c r="A17" s="21">
        <v>2023</v>
      </c>
      <c r="B17" s="21" t="s">
        <v>17</v>
      </c>
      <c r="C17" s="21" t="s">
        <v>1145</v>
      </c>
      <c r="D17" s="21" t="s">
        <v>35</v>
      </c>
      <c r="E17" s="17" t="s">
        <v>60</v>
      </c>
      <c r="F17" s="18" t="s">
        <v>47</v>
      </c>
      <c r="G17" s="18" t="s">
        <v>48</v>
      </c>
      <c r="H17" s="24">
        <v>10900</v>
      </c>
      <c r="I17" s="24">
        <f>T_reg.root.SK[[#This Row],[Volume, kg]]/1000</f>
        <v>10.9</v>
      </c>
      <c r="J17" s="25">
        <v>0.31900000000000001</v>
      </c>
      <c r="K17" s="25">
        <f t="shared" si="0"/>
        <v>3477.1</v>
      </c>
      <c r="L17" s="25">
        <v>3.5</v>
      </c>
      <c r="M17" s="24">
        <v>38150</v>
      </c>
      <c r="N17" s="25">
        <f>IFERROR(T_reg.root.SK[[#This Row],[Price]]/T_reg.root.SK[[#This Row],[Starch content]],"")</f>
        <v>10.971786833855798</v>
      </c>
    </row>
    <row r="18" spans="1:14">
      <c r="A18" s="21">
        <v>2023</v>
      </c>
      <c r="B18" s="21" t="s">
        <v>17</v>
      </c>
      <c r="C18" s="21" t="s">
        <v>1145</v>
      </c>
      <c r="D18" s="21" t="s">
        <v>35</v>
      </c>
      <c r="E18" s="17" t="s">
        <v>61</v>
      </c>
      <c r="F18" s="18" t="s">
        <v>47</v>
      </c>
      <c r="G18" s="18" t="s">
        <v>48</v>
      </c>
      <c r="H18" s="24">
        <v>96300</v>
      </c>
      <c r="I18" s="24">
        <f>T_reg.root.SK[[#This Row],[Volume, kg]]/1000</f>
        <v>96.3</v>
      </c>
      <c r="J18" s="25">
        <v>0.27498151609553478</v>
      </c>
      <c r="K18" s="25">
        <f t="shared" si="0"/>
        <v>26480.720000000001</v>
      </c>
      <c r="L18" s="25">
        <v>3.26398753894081</v>
      </c>
      <c r="M18" s="24">
        <v>314322</v>
      </c>
      <c r="N18" s="25">
        <f>IFERROR(T_reg.root.SK[[#This Row],[Price]]/T_reg.root.SK[[#This Row],[Starch content]],"")</f>
        <v>11.869843418154794</v>
      </c>
    </row>
    <row r="19" spans="1:14">
      <c r="A19" s="21">
        <v>2023</v>
      </c>
      <c r="B19" s="21" t="s">
        <v>17</v>
      </c>
      <c r="C19" s="21" t="s">
        <v>1145</v>
      </c>
      <c r="D19" s="21" t="s">
        <v>35</v>
      </c>
      <c r="E19" s="17" t="s">
        <v>62</v>
      </c>
      <c r="F19" s="18" t="s">
        <v>47</v>
      </c>
      <c r="G19" s="18" t="s">
        <v>48</v>
      </c>
      <c r="H19" s="24">
        <v>250220</v>
      </c>
      <c r="I19" s="24">
        <f>T_reg.root.SK[[#This Row],[Volume, kg]]/1000</f>
        <v>250.22</v>
      </c>
      <c r="J19" s="25">
        <v>0.29102095755734952</v>
      </c>
      <c r="K19" s="25">
        <f t="shared" si="0"/>
        <v>72819.263999999996</v>
      </c>
      <c r="L19" s="25">
        <v>3.3268044121173368</v>
      </c>
      <c r="M19" s="24">
        <v>832433</v>
      </c>
      <c r="N19" s="25">
        <f>IFERROR(T_reg.root.SK[[#This Row],[Price]]/T_reg.root.SK[[#This Row],[Starch content]],"")</f>
        <v>11.431494281513199</v>
      </c>
    </row>
    <row r="20" spans="1:14">
      <c r="A20" s="21">
        <v>2023</v>
      </c>
      <c r="B20" s="21" t="s">
        <v>17</v>
      </c>
      <c r="C20" s="21" t="s">
        <v>1145</v>
      </c>
      <c r="D20" s="21" t="s">
        <v>35</v>
      </c>
      <c r="E20" s="17" t="s">
        <v>63</v>
      </c>
      <c r="F20" s="18" t="s">
        <v>47</v>
      </c>
      <c r="G20" s="18" t="s">
        <v>48</v>
      </c>
      <c r="H20" s="24">
        <v>10220</v>
      </c>
      <c r="I20" s="24">
        <f>T_reg.root.SK[[#This Row],[Volume, kg]]/1000</f>
        <v>10.220000000000001</v>
      </c>
      <c r="J20" s="25">
        <v>0.255</v>
      </c>
      <c r="K20" s="25">
        <f t="shared" si="0"/>
        <v>2606.1</v>
      </c>
      <c r="L20" s="25">
        <v>3.05</v>
      </c>
      <c r="M20" s="24">
        <v>31171</v>
      </c>
      <c r="N20" s="25">
        <f>IFERROR(T_reg.root.SK[[#This Row],[Price]]/T_reg.root.SK[[#This Row],[Starch content]],"")</f>
        <v>11.960784313725489</v>
      </c>
    </row>
    <row r="21" spans="1:14">
      <c r="A21" s="21">
        <v>2023</v>
      </c>
      <c r="B21" s="21" t="s">
        <v>17</v>
      </c>
      <c r="C21" s="21" t="s">
        <v>1145</v>
      </c>
      <c r="D21" s="21" t="s">
        <v>35</v>
      </c>
      <c r="E21" s="17" t="s">
        <v>64</v>
      </c>
      <c r="F21" s="18" t="s">
        <v>47</v>
      </c>
      <c r="G21" s="18" t="s">
        <v>48</v>
      </c>
      <c r="H21" s="24">
        <v>8110</v>
      </c>
      <c r="I21" s="24">
        <f>T_reg.root.SK[[#This Row],[Volume, kg]]/1000</f>
        <v>8.11</v>
      </c>
      <c r="J21" s="25">
        <v>0.25650000000000001</v>
      </c>
      <c r="K21" s="25">
        <f t="shared" si="0"/>
        <v>2080.2150000000001</v>
      </c>
      <c r="L21" s="25">
        <v>3.2</v>
      </c>
      <c r="M21" s="24">
        <v>25952</v>
      </c>
      <c r="N21" s="25">
        <f>IFERROR(T_reg.root.SK[[#This Row],[Price]]/T_reg.root.SK[[#This Row],[Starch content]],"")</f>
        <v>12.475633528265108</v>
      </c>
    </row>
    <row r="22" spans="1:14">
      <c r="A22" s="21">
        <v>2023</v>
      </c>
      <c r="B22" s="21" t="s">
        <v>17</v>
      </c>
      <c r="C22" s="21" t="s">
        <v>1145</v>
      </c>
      <c r="D22" s="21" t="s">
        <v>35</v>
      </c>
      <c r="E22" s="17" t="s">
        <v>65</v>
      </c>
      <c r="F22" s="18" t="s">
        <v>47</v>
      </c>
      <c r="G22" s="18" t="s">
        <v>48</v>
      </c>
      <c r="H22" s="24">
        <v>25810</v>
      </c>
      <c r="I22" s="24">
        <f>T_reg.root.SK[[#This Row],[Volume, kg]]/1000</f>
        <v>25.81</v>
      </c>
      <c r="J22" s="25">
        <v>0.30449999999999999</v>
      </c>
      <c r="K22" s="25">
        <f t="shared" si="0"/>
        <v>7859.1449999999995</v>
      </c>
      <c r="L22" s="25">
        <v>3.36</v>
      </c>
      <c r="M22" s="24">
        <v>86828.5</v>
      </c>
      <c r="N22" s="25">
        <f>IFERROR(T_reg.root.SK[[#This Row],[Price]]/T_reg.root.SK[[#This Row],[Starch content]],"")</f>
        <v>11.03448275862069</v>
      </c>
    </row>
    <row r="23" spans="1:14">
      <c r="A23" s="21">
        <v>2023</v>
      </c>
      <c r="B23" s="21" t="s">
        <v>17</v>
      </c>
      <c r="C23" s="21" t="s">
        <v>1145</v>
      </c>
      <c r="D23" s="21" t="s">
        <v>35</v>
      </c>
      <c r="E23" s="17" t="s">
        <v>66</v>
      </c>
      <c r="F23" s="18" t="s">
        <v>47</v>
      </c>
      <c r="G23" s="18" t="s">
        <v>48</v>
      </c>
      <c r="H23" s="24">
        <v>97360</v>
      </c>
      <c r="I23" s="24">
        <f>T_reg.root.SK[[#This Row],[Volume, kg]]/1000</f>
        <v>97.36</v>
      </c>
      <c r="J23" s="25">
        <v>0.2969658894823336</v>
      </c>
      <c r="K23" s="25">
        <f t="shared" si="0"/>
        <v>28912.598999999998</v>
      </c>
      <c r="L23" s="25">
        <v>3.3820665571076418</v>
      </c>
      <c r="M23" s="24">
        <v>329278</v>
      </c>
      <c r="N23" s="25">
        <f>IFERROR(T_reg.root.SK[[#This Row],[Price]]/T_reg.root.SK[[#This Row],[Starch content]],"")</f>
        <v>11.388737484305718</v>
      </c>
    </row>
    <row r="24" spans="1:14">
      <c r="A24" s="21">
        <v>2023</v>
      </c>
      <c r="B24" s="21" t="s">
        <v>17</v>
      </c>
      <c r="C24" s="21" t="s">
        <v>1145</v>
      </c>
      <c r="D24" s="21" t="s">
        <v>35</v>
      </c>
      <c r="E24" s="17" t="s">
        <v>67</v>
      </c>
      <c r="F24" s="18" t="s">
        <v>47</v>
      </c>
      <c r="G24" s="18" t="s">
        <v>48</v>
      </c>
      <c r="H24" s="24">
        <v>21120</v>
      </c>
      <c r="I24" s="24">
        <f>T_reg.root.SK[[#This Row],[Volume, kg]]/1000</f>
        <v>21.12</v>
      </c>
      <c r="J24" s="25">
        <v>0.2984</v>
      </c>
      <c r="K24" s="25">
        <f t="shared" si="0"/>
        <v>6302.2079999999996</v>
      </c>
      <c r="L24" s="25">
        <v>3.4</v>
      </c>
      <c r="M24" s="24">
        <v>71819</v>
      </c>
      <c r="N24" s="25">
        <f>IFERROR(T_reg.root.SK[[#This Row],[Price]]/T_reg.root.SK[[#This Row],[Starch content]],"")</f>
        <v>11.394101876675602</v>
      </c>
    </row>
    <row r="25" spans="1:14">
      <c r="A25" s="21">
        <v>2023</v>
      </c>
      <c r="B25" s="21" t="s">
        <v>17</v>
      </c>
      <c r="C25" s="21" t="s">
        <v>1145</v>
      </c>
      <c r="D25" s="21" t="s">
        <v>35</v>
      </c>
      <c r="E25" s="17" t="s">
        <v>68</v>
      </c>
      <c r="F25" s="18" t="s">
        <v>47</v>
      </c>
      <c r="G25" s="18" t="s">
        <v>48</v>
      </c>
      <c r="H25" s="24">
        <v>40030</v>
      </c>
      <c r="I25" s="24">
        <f>T_reg.root.SK[[#This Row],[Volume, kg]]/1000</f>
        <v>40.03</v>
      </c>
      <c r="J25" s="25">
        <v>0.28989999999999999</v>
      </c>
      <c r="K25" s="25">
        <f t="shared" si="0"/>
        <v>11604.697</v>
      </c>
      <c r="L25" s="25">
        <v>3.3</v>
      </c>
      <c r="M25" s="24">
        <v>132188.5</v>
      </c>
      <c r="N25" s="25">
        <f>IFERROR(T_reg.root.SK[[#This Row],[Price]]/T_reg.root.SK[[#This Row],[Starch content]],"")</f>
        <v>11.383235598482235</v>
      </c>
    </row>
    <row r="26" spans="1:14">
      <c r="A26" s="21">
        <v>2023</v>
      </c>
      <c r="B26" s="21" t="s">
        <v>17</v>
      </c>
      <c r="C26" s="21" t="s">
        <v>1145</v>
      </c>
      <c r="D26" s="21" t="s">
        <v>35</v>
      </c>
      <c r="E26" s="17" t="s">
        <v>69</v>
      </c>
      <c r="F26" s="18" t="s">
        <v>47</v>
      </c>
      <c r="G26" s="18" t="s">
        <v>48</v>
      </c>
      <c r="H26" s="24">
        <v>6040</v>
      </c>
      <c r="I26" s="24">
        <f>T_reg.root.SK[[#This Row],[Volume, kg]]/1000</f>
        <v>6.04</v>
      </c>
      <c r="J26" s="25">
        <v>0.27100000000000002</v>
      </c>
      <c r="K26" s="25">
        <f t="shared" si="0"/>
        <v>1636.8400000000001</v>
      </c>
      <c r="L26" s="25">
        <v>3.2</v>
      </c>
      <c r="M26" s="24">
        <v>19328</v>
      </c>
      <c r="N26" s="25">
        <f>IFERROR(T_reg.root.SK[[#This Row],[Price]]/T_reg.root.SK[[#This Row],[Starch content]],"")</f>
        <v>11.808118081180812</v>
      </c>
    </row>
    <row r="27" spans="1:14">
      <c r="A27" s="21">
        <v>2023</v>
      </c>
      <c r="B27" s="21" t="s">
        <v>17</v>
      </c>
      <c r="C27" s="21" t="s">
        <v>1145</v>
      </c>
      <c r="D27" s="21" t="s">
        <v>35</v>
      </c>
      <c r="E27" s="17" t="s">
        <v>70</v>
      </c>
      <c r="F27" s="18" t="s">
        <v>47</v>
      </c>
      <c r="G27" s="18" t="s">
        <v>48</v>
      </c>
      <c r="H27" s="24">
        <v>228210</v>
      </c>
      <c r="I27" s="24">
        <f>T_reg.root.SK[[#This Row],[Volume, kg]]/1000</f>
        <v>228.21</v>
      </c>
      <c r="J27" s="25">
        <v>0.26770593313176461</v>
      </c>
      <c r="K27" s="25">
        <f t="shared" si="0"/>
        <v>61093.171000000002</v>
      </c>
      <c r="L27" s="25">
        <v>3.2085622891196706</v>
      </c>
      <c r="M27" s="24">
        <v>732226</v>
      </c>
      <c r="N27" s="25">
        <f>IFERROR(T_reg.root.SK[[#This Row],[Price]]/T_reg.root.SK[[#This Row],[Starch content]],"")</f>
        <v>11.985398498958256</v>
      </c>
    </row>
    <row r="28" spans="1:14">
      <c r="A28" s="21">
        <v>2023</v>
      </c>
      <c r="B28" s="21" t="s">
        <v>17</v>
      </c>
      <c r="C28" s="21" t="s">
        <v>1145</v>
      </c>
      <c r="D28" s="21" t="s">
        <v>35</v>
      </c>
      <c r="E28" s="17" t="s">
        <v>71</v>
      </c>
      <c r="F28" s="18" t="s">
        <v>47</v>
      </c>
      <c r="G28" s="18" t="s">
        <v>48</v>
      </c>
      <c r="H28" s="24">
        <v>9290</v>
      </c>
      <c r="I28" s="24">
        <f>T_reg.root.SK[[#This Row],[Volume, kg]]/1000</f>
        <v>9.2899999999999991</v>
      </c>
      <c r="J28" s="25">
        <v>0.29799999999999999</v>
      </c>
      <c r="K28" s="25">
        <f t="shared" si="0"/>
        <v>2768.42</v>
      </c>
      <c r="L28" s="25">
        <v>3.4</v>
      </c>
      <c r="M28" s="24">
        <v>31586</v>
      </c>
      <c r="N28" s="25">
        <f>IFERROR(T_reg.root.SK[[#This Row],[Price]]/T_reg.root.SK[[#This Row],[Starch content]],"")</f>
        <v>11.409395973154362</v>
      </c>
    </row>
    <row r="29" spans="1:14">
      <c r="A29" s="21">
        <v>2023</v>
      </c>
      <c r="B29" s="21" t="s">
        <v>17</v>
      </c>
      <c r="C29" s="21" t="s">
        <v>1145</v>
      </c>
      <c r="D29" s="21" t="s">
        <v>35</v>
      </c>
      <c r="E29" s="17" t="s">
        <v>72</v>
      </c>
      <c r="F29" s="18" t="s">
        <v>47</v>
      </c>
      <c r="G29" s="18" t="s">
        <v>48</v>
      </c>
      <c r="H29" s="24">
        <v>51340</v>
      </c>
      <c r="I29" s="24">
        <f>T_reg.root.SK[[#This Row],[Volume, kg]]/1000</f>
        <v>51.34</v>
      </c>
      <c r="J29" s="25">
        <v>0.2596</v>
      </c>
      <c r="K29" s="25">
        <f t="shared" si="0"/>
        <v>13327.864</v>
      </c>
      <c r="L29" s="25">
        <v>3.2</v>
      </c>
      <c r="M29" s="24">
        <v>164482</v>
      </c>
      <c r="N29" s="25">
        <f>IFERROR(T_reg.root.SK[[#This Row],[Price]]/T_reg.root.SK[[#This Row],[Starch content]],"")</f>
        <v>12.326656394453005</v>
      </c>
    </row>
    <row r="30" spans="1:14">
      <c r="A30" s="21">
        <v>2023</v>
      </c>
      <c r="B30" s="21" t="s">
        <v>17</v>
      </c>
      <c r="C30" s="21" t="s">
        <v>1145</v>
      </c>
      <c r="D30" s="21" t="s">
        <v>35</v>
      </c>
      <c r="E30" s="17" t="s">
        <v>73</v>
      </c>
      <c r="F30" s="18" t="s">
        <v>47</v>
      </c>
      <c r="G30" s="18" t="s">
        <v>48</v>
      </c>
      <c r="H30" s="24">
        <v>40030</v>
      </c>
      <c r="I30" s="24">
        <f>T_reg.root.SK[[#This Row],[Volume, kg]]/1000</f>
        <v>40.03</v>
      </c>
      <c r="J30" s="25">
        <v>0.29109999999999997</v>
      </c>
      <c r="K30" s="25">
        <f t="shared" si="0"/>
        <v>11652.732999999998</v>
      </c>
      <c r="L30" s="25">
        <v>3.31</v>
      </c>
      <c r="M30" s="24">
        <v>132472.5</v>
      </c>
      <c r="N30" s="25">
        <f>IFERROR(T_reg.root.SK[[#This Row],[Price]]/T_reg.root.SK[[#This Row],[Starch content]],"")</f>
        <v>11.370663002404672</v>
      </c>
    </row>
    <row r="31" spans="1:14">
      <c r="A31" s="21">
        <v>2023</v>
      </c>
      <c r="B31" s="21" t="s">
        <v>17</v>
      </c>
      <c r="C31" s="21" t="s">
        <v>1145</v>
      </c>
      <c r="D31" s="21" t="s">
        <v>35</v>
      </c>
      <c r="E31" s="17" t="s">
        <v>74</v>
      </c>
      <c r="F31" s="18" t="s">
        <v>47</v>
      </c>
      <c r="G31" s="18" t="s">
        <v>48</v>
      </c>
      <c r="H31" s="24">
        <v>65240</v>
      </c>
      <c r="I31" s="24">
        <f>T_reg.root.SK[[#This Row],[Volume, kg]]/1000</f>
        <v>65.239999999999995</v>
      </c>
      <c r="J31" s="25">
        <v>0.22899999999999998</v>
      </c>
      <c r="K31" s="25">
        <f t="shared" si="0"/>
        <v>14939.96</v>
      </c>
      <c r="L31" s="25">
        <v>3.03</v>
      </c>
      <c r="M31" s="24">
        <v>197995.5</v>
      </c>
      <c r="N31" s="25">
        <f>IFERROR(T_reg.root.SK[[#This Row],[Price]]/T_reg.root.SK[[#This Row],[Starch content]],"")</f>
        <v>13.231441048034934</v>
      </c>
    </row>
    <row r="32" spans="1:14">
      <c r="A32" s="21">
        <v>2023</v>
      </c>
      <c r="B32" s="21" t="s">
        <v>17</v>
      </c>
      <c r="C32" s="21" t="s">
        <v>1145</v>
      </c>
      <c r="D32" s="21" t="s">
        <v>35</v>
      </c>
      <c r="E32" s="17" t="s">
        <v>75</v>
      </c>
      <c r="F32" s="18" t="s">
        <v>47</v>
      </c>
      <c r="G32" s="18" t="s">
        <v>48</v>
      </c>
      <c r="H32" s="24">
        <v>64640</v>
      </c>
      <c r="I32" s="24">
        <f>T_reg.root.SK[[#This Row],[Volume, kg]]/1000</f>
        <v>64.64</v>
      </c>
      <c r="J32" s="25">
        <v>0.27879999999999999</v>
      </c>
      <c r="K32" s="25">
        <f t="shared" si="0"/>
        <v>18021.631999999998</v>
      </c>
      <c r="L32" s="25">
        <v>3.26</v>
      </c>
      <c r="M32" s="24">
        <v>210988</v>
      </c>
      <c r="N32" s="25">
        <f>IFERROR(T_reg.root.SK[[#This Row],[Price]]/T_reg.root.SK[[#This Row],[Starch content]],"")</f>
        <v>11.69296987087518</v>
      </c>
    </row>
    <row r="33" spans="1:14">
      <c r="A33" s="21">
        <v>2023</v>
      </c>
      <c r="B33" s="21" t="s">
        <v>17</v>
      </c>
      <c r="C33" s="21" t="s">
        <v>1145</v>
      </c>
      <c r="D33" s="21" t="s">
        <v>35</v>
      </c>
      <c r="E33" s="17" t="s">
        <v>76</v>
      </c>
      <c r="F33" s="18" t="s">
        <v>47</v>
      </c>
      <c r="G33" s="18" t="s">
        <v>48</v>
      </c>
      <c r="H33" s="24">
        <v>19120</v>
      </c>
      <c r="I33" s="24">
        <f>T_reg.root.SK[[#This Row],[Volume, kg]]/1000</f>
        <v>19.12</v>
      </c>
      <c r="J33" s="25">
        <v>0.2349</v>
      </c>
      <c r="K33" s="25">
        <f t="shared" si="0"/>
        <v>4491.2879999999996</v>
      </c>
      <c r="L33" s="25">
        <v>3.07</v>
      </c>
      <c r="M33" s="24">
        <v>58675.5</v>
      </c>
      <c r="N33" s="25">
        <f>IFERROR(T_reg.root.SK[[#This Row],[Price]]/T_reg.root.SK[[#This Row],[Starch content]],"")</f>
        <v>13.069391230310769</v>
      </c>
    </row>
    <row r="34" spans="1:14">
      <c r="A34" s="21">
        <v>2023</v>
      </c>
      <c r="B34" s="21" t="s">
        <v>17</v>
      </c>
      <c r="C34" s="21" t="s">
        <v>1145</v>
      </c>
      <c r="D34" s="21" t="s">
        <v>35</v>
      </c>
      <c r="E34" s="17" t="s">
        <v>77</v>
      </c>
      <c r="F34" s="18" t="s">
        <v>47</v>
      </c>
      <c r="G34" s="18" t="s">
        <v>48</v>
      </c>
      <c r="H34" s="24">
        <v>127000</v>
      </c>
      <c r="I34" s="24">
        <f>T_reg.root.SK[[#This Row],[Volume, kg]]/1000</f>
        <v>127</v>
      </c>
      <c r="J34" s="25">
        <v>0.26229999999999998</v>
      </c>
      <c r="K34" s="25">
        <f t="shared" si="0"/>
        <v>33312.1</v>
      </c>
      <c r="L34" s="25">
        <v>3.13</v>
      </c>
      <c r="M34" s="24">
        <v>397931</v>
      </c>
      <c r="N34" s="25">
        <f>IFERROR(T_reg.root.SK[[#This Row],[Price]]/T_reg.root.SK[[#This Row],[Starch content]],"")</f>
        <v>11.932901258101412</v>
      </c>
    </row>
    <row r="35" spans="1:14">
      <c r="A35" s="21">
        <v>2023</v>
      </c>
      <c r="B35" s="21" t="s">
        <v>17</v>
      </c>
      <c r="C35" s="21" t="s">
        <v>1145</v>
      </c>
      <c r="D35" s="21" t="s">
        <v>35</v>
      </c>
      <c r="E35" s="17" t="s">
        <v>78</v>
      </c>
      <c r="F35" s="18" t="s">
        <v>47</v>
      </c>
      <c r="G35" s="18" t="s">
        <v>48</v>
      </c>
      <c r="H35" s="24">
        <v>23490</v>
      </c>
      <c r="I35" s="24">
        <f>T_reg.root.SK[[#This Row],[Volume, kg]]/1000</f>
        <v>23.49</v>
      </c>
      <c r="J35" s="25">
        <v>0.25708429118773946</v>
      </c>
      <c r="K35" s="25">
        <f t="shared" si="0"/>
        <v>6038.91</v>
      </c>
      <c r="L35" s="25">
        <v>3.1845466155810982</v>
      </c>
      <c r="M35" s="24">
        <v>74805</v>
      </c>
      <c r="N35" s="25">
        <f>IFERROR(T_reg.root.SK[[#This Row],[Price]]/T_reg.root.SK[[#This Row],[Starch content]],"")</f>
        <v>12.387169207688142</v>
      </c>
    </row>
    <row r="36" spans="1:14">
      <c r="A36" s="21">
        <v>2023</v>
      </c>
      <c r="B36" s="21" t="s">
        <v>17</v>
      </c>
      <c r="C36" s="21" t="s">
        <v>1145</v>
      </c>
      <c r="D36" s="21" t="s">
        <v>35</v>
      </c>
      <c r="E36" s="17" t="s">
        <v>79</v>
      </c>
      <c r="F36" s="18" t="s">
        <v>80</v>
      </c>
      <c r="G36" s="18" t="s">
        <v>81</v>
      </c>
      <c r="H36" s="24">
        <v>30150</v>
      </c>
      <c r="I36" s="24">
        <f>T_reg.root.SK[[#This Row],[Volume, kg]]/1000</f>
        <v>30.15</v>
      </c>
      <c r="J36" s="25">
        <v>0.29100000000000004</v>
      </c>
      <c r="K36" s="25">
        <f t="shared" si="0"/>
        <v>8773.6500000000015</v>
      </c>
      <c r="L36" s="25">
        <v>3.33</v>
      </c>
      <c r="M36" s="24">
        <v>100255.5</v>
      </c>
      <c r="N36" s="25">
        <f>IFERROR(T_reg.root.SK[[#This Row],[Price]]/T_reg.root.SK[[#This Row],[Starch content]],"")</f>
        <v>11.443298969072163</v>
      </c>
    </row>
    <row r="37" spans="1:14">
      <c r="A37" s="21">
        <v>2023</v>
      </c>
      <c r="B37" s="21" t="s">
        <v>17</v>
      </c>
      <c r="C37" s="21" t="s">
        <v>1145</v>
      </c>
      <c r="D37" s="21" t="s">
        <v>35</v>
      </c>
      <c r="E37" s="17" t="s">
        <v>82</v>
      </c>
      <c r="F37" s="18" t="s">
        <v>83</v>
      </c>
      <c r="G37" s="18" t="s">
        <v>48</v>
      </c>
      <c r="H37" s="24">
        <v>37480</v>
      </c>
      <c r="I37" s="24">
        <f>T_reg.root.SK[[#This Row],[Volume, kg]]/1000</f>
        <v>37.479999999999997</v>
      </c>
      <c r="J37" s="25">
        <v>0.22390000000000002</v>
      </c>
      <c r="K37" s="25">
        <f t="shared" si="0"/>
        <v>8391.7720000000008</v>
      </c>
      <c r="L37" s="25">
        <v>2.99</v>
      </c>
      <c r="M37" s="24">
        <v>111952</v>
      </c>
      <c r="N37" s="25">
        <f>IFERROR(T_reg.root.SK[[#This Row],[Price]]/T_reg.root.SK[[#This Row],[Starch content]],"")</f>
        <v>13.354175971415811</v>
      </c>
    </row>
    <row r="38" spans="1:14">
      <c r="A38" s="21">
        <v>2023</v>
      </c>
      <c r="B38" s="21" t="s">
        <v>17</v>
      </c>
      <c r="C38" s="21" t="s">
        <v>1145</v>
      </c>
      <c r="D38" s="21" t="s">
        <v>35</v>
      </c>
      <c r="E38" s="17" t="s">
        <v>84</v>
      </c>
      <c r="F38" s="18" t="s">
        <v>83</v>
      </c>
      <c r="G38" s="18" t="s">
        <v>48</v>
      </c>
      <c r="H38" s="24">
        <v>29010</v>
      </c>
      <c r="I38" s="24">
        <f>T_reg.root.SK[[#This Row],[Volume, kg]]/1000</f>
        <v>29.01</v>
      </c>
      <c r="J38" s="25">
        <v>0.20269999999999999</v>
      </c>
      <c r="K38" s="25">
        <f t="shared" si="0"/>
        <v>5880.3269999999993</v>
      </c>
      <c r="L38" s="25">
        <v>2.87</v>
      </c>
      <c r="M38" s="24">
        <v>83128.5</v>
      </c>
      <c r="N38" s="25">
        <f>IFERROR(T_reg.root.SK[[#This Row],[Price]]/T_reg.root.SK[[#This Row],[Starch content]],"")</f>
        <v>14.158855451406019</v>
      </c>
    </row>
    <row r="39" spans="1:14">
      <c r="A39" s="21">
        <v>2023</v>
      </c>
      <c r="B39" s="21" t="s">
        <v>17</v>
      </c>
      <c r="C39" s="21" t="s">
        <v>1145</v>
      </c>
      <c r="D39" s="21" t="s">
        <v>39</v>
      </c>
      <c r="E39" s="17" t="s">
        <v>85</v>
      </c>
      <c r="F39" s="18" t="s">
        <v>86</v>
      </c>
      <c r="G39" s="18" t="s">
        <v>87</v>
      </c>
      <c r="H39" s="24">
        <v>979480</v>
      </c>
      <c r="I39" s="24">
        <f>T_reg.root.SK[[#This Row],[Volume, kg]]/1000</f>
        <v>979.48</v>
      </c>
      <c r="J39" s="25">
        <v>0.28486852547610297</v>
      </c>
      <c r="K39" s="25">
        <f t="shared" si="0"/>
        <v>279023.02333333332</v>
      </c>
      <c r="L39" s="25">
        <v>3.4961576550822886</v>
      </c>
      <c r="M39" s="24">
        <v>3424416.5</v>
      </c>
      <c r="N39" s="25">
        <f>IFERROR(T_reg.root.SK[[#This Row],[Price]]/T_reg.root.SK[[#This Row],[Starch content]],"")</f>
        <v>12.272881495908097</v>
      </c>
    </row>
    <row r="40" spans="1:14">
      <c r="A40" s="21">
        <v>2023</v>
      </c>
      <c r="B40" s="21" t="s">
        <v>17</v>
      </c>
      <c r="C40" s="21" t="s">
        <v>1145</v>
      </c>
      <c r="D40" s="21" t="s">
        <v>39</v>
      </c>
      <c r="E40" s="17" t="s">
        <v>88</v>
      </c>
      <c r="F40" s="18" t="s">
        <v>89</v>
      </c>
      <c r="G40" s="18" t="s">
        <v>90</v>
      </c>
      <c r="H40" s="24">
        <v>2481220</v>
      </c>
      <c r="I40" s="24">
        <f>T_reg.root.SK[[#This Row],[Volume, kg]]/1000</f>
        <v>2481.2199999999998</v>
      </c>
      <c r="J40" s="25">
        <v>0.28506498657918289</v>
      </c>
      <c r="K40" s="25">
        <f t="shared" si="0"/>
        <v>707308.94600000011</v>
      </c>
      <c r="L40" s="25">
        <v>3.4427368391355864</v>
      </c>
      <c r="M40" s="24">
        <v>8542187.5</v>
      </c>
      <c r="N40" s="25">
        <f>IFERROR(T_reg.root.SK[[#This Row],[Price]]/T_reg.root.SK[[#This Row],[Starch content]],"")</f>
        <v>12.077024542539856</v>
      </c>
    </row>
    <row r="41" spans="1:14">
      <c r="A41" s="21">
        <v>2023</v>
      </c>
      <c r="B41" s="21" t="s">
        <v>17</v>
      </c>
      <c r="C41" s="21" t="s">
        <v>1145</v>
      </c>
      <c r="D41" s="21" t="s">
        <v>35</v>
      </c>
      <c r="E41" s="17" t="s">
        <v>91</v>
      </c>
      <c r="F41" s="18" t="s">
        <v>92</v>
      </c>
      <c r="G41" s="18" t="s">
        <v>48</v>
      </c>
      <c r="H41" s="24">
        <v>9410</v>
      </c>
      <c r="I41" s="24">
        <f>T_reg.root.SK[[#This Row],[Volume, kg]]/1000</f>
        <v>9.41</v>
      </c>
      <c r="J41" s="25">
        <v>0.26550000000000001</v>
      </c>
      <c r="K41" s="25">
        <f t="shared" si="0"/>
        <v>2498.355</v>
      </c>
      <c r="L41" s="25">
        <v>3.25</v>
      </c>
      <c r="M41" s="24">
        <v>30582.5</v>
      </c>
      <c r="N41" s="25">
        <f>IFERROR(T_reg.root.SK[[#This Row],[Price]]/T_reg.root.SK[[#This Row],[Starch content]],"")</f>
        <v>12.241054613935969</v>
      </c>
    </row>
    <row r="42" spans="1:14">
      <c r="A42" s="21">
        <v>2023</v>
      </c>
      <c r="B42" s="21" t="s">
        <v>17</v>
      </c>
      <c r="C42" s="21" t="s">
        <v>1145</v>
      </c>
      <c r="D42" s="21" t="s">
        <v>35</v>
      </c>
      <c r="E42" s="17" t="s">
        <v>93</v>
      </c>
      <c r="F42" s="18" t="s">
        <v>92</v>
      </c>
      <c r="G42" s="18" t="s">
        <v>48</v>
      </c>
      <c r="H42" s="24">
        <v>86410</v>
      </c>
      <c r="I42" s="24">
        <f>T_reg.root.SK[[#This Row],[Volume, kg]]/1000</f>
        <v>86.41</v>
      </c>
      <c r="J42" s="25">
        <v>0.3004</v>
      </c>
      <c r="K42" s="25">
        <f t="shared" si="0"/>
        <v>25957.563999999998</v>
      </c>
      <c r="L42" s="25">
        <v>3.41</v>
      </c>
      <c r="M42" s="24">
        <v>294331</v>
      </c>
      <c r="N42" s="25">
        <f>IFERROR(T_reg.root.SK[[#This Row],[Price]]/T_reg.root.SK[[#This Row],[Starch content]],"")</f>
        <v>11.351531291611186</v>
      </c>
    </row>
    <row r="43" spans="1:14">
      <c r="A43" s="21">
        <v>2023</v>
      </c>
      <c r="B43" s="21" t="s">
        <v>17</v>
      </c>
      <c r="C43" s="21" t="s">
        <v>1145</v>
      </c>
      <c r="D43" s="21" t="s">
        <v>39</v>
      </c>
      <c r="E43" s="17" t="s">
        <v>94</v>
      </c>
      <c r="F43" s="18" t="s">
        <v>95</v>
      </c>
      <c r="G43" s="18" t="s">
        <v>48</v>
      </c>
      <c r="H43" s="24">
        <v>8172930</v>
      </c>
      <c r="I43" s="24">
        <f>T_reg.root.SK[[#This Row],[Volume, kg]]/1000</f>
        <v>8172.93</v>
      </c>
      <c r="J43" s="25">
        <v>0.2792806839162944</v>
      </c>
      <c r="K43" s="25">
        <f t="shared" si="0"/>
        <v>2282541.48</v>
      </c>
      <c r="L43" s="25">
        <v>3.4749699312241753</v>
      </c>
      <c r="M43" s="24">
        <v>28400686</v>
      </c>
      <c r="N43" s="25">
        <f>IFERROR(T_reg.root.SK[[#This Row],[Price]]/T_reg.root.SK[[#This Row],[Starch content]],"")</f>
        <v>12.442571689869135</v>
      </c>
    </row>
    <row r="44" spans="1:14">
      <c r="A44" s="21">
        <v>2023</v>
      </c>
      <c r="B44" s="21" t="s">
        <v>17</v>
      </c>
      <c r="C44" s="21" t="s">
        <v>1145</v>
      </c>
      <c r="D44" s="21" t="s">
        <v>35</v>
      </c>
      <c r="E44" s="17" t="s">
        <v>96</v>
      </c>
      <c r="F44" s="18" t="s">
        <v>95</v>
      </c>
      <c r="G44" s="18" t="s">
        <v>48</v>
      </c>
      <c r="H44" s="24">
        <v>56360</v>
      </c>
      <c r="I44" s="24">
        <f>T_reg.root.SK[[#This Row],[Volume, kg]]/1000</f>
        <v>56.36</v>
      </c>
      <c r="J44" s="25">
        <v>0.28539999999999999</v>
      </c>
      <c r="K44" s="25">
        <f t="shared" si="0"/>
        <v>16085.143999999998</v>
      </c>
      <c r="L44" s="25">
        <v>3.24</v>
      </c>
      <c r="M44" s="24">
        <v>182586</v>
      </c>
      <c r="N44" s="25">
        <f>IFERROR(T_reg.root.SK[[#This Row],[Price]]/T_reg.root.SK[[#This Row],[Starch content]],"")</f>
        <v>11.352487736510163</v>
      </c>
    </row>
    <row r="45" spans="1:14">
      <c r="A45" s="21">
        <v>2023</v>
      </c>
      <c r="B45" s="21" t="s">
        <v>17</v>
      </c>
      <c r="C45" s="21" t="s">
        <v>1145</v>
      </c>
      <c r="D45" s="21" t="s">
        <v>35</v>
      </c>
      <c r="E45" s="17" t="s">
        <v>97</v>
      </c>
      <c r="F45" s="18" t="s">
        <v>95</v>
      </c>
      <c r="G45" s="18" t="s">
        <v>48</v>
      </c>
      <c r="H45" s="24">
        <v>51640</v>
      </c>
      <c r="I45" s="24">
        <f>T_reg.root.SK[[#This Row],[Volume, kg]]/1000</f>
        <v>51.64</v>
      </c>
      <c r="J45" s="25">
        <v>0.33560000000000001</v>
      </c>
      <c r="K45" s="25">
        <f t="shared" si="0"/>
        <v>17330.384000000002</v>
      </c>
      <c r="L45" s="25">
        <v>3.53</v>
      </c>
      <c r="M45" s="24">
        <v>182087.5</v>
      </c>
      <c r="N45" s="25">
        <f>IFERROR(T_reg.root.SK[[#This Row],[Price]]/T_reg.root.SK[[#This Row],[Starch content]],"")</f>
        <v>10.518474374255065</v>
      </c>
    </row>
    <row r="46" spans="1:14">
      <c r="A46" s="21">
        <v>2023</v>
      </c>
      <c r="B46" s="21" t="s">
        <v>17</v>
      </c>
      <c r="C46" s="21" t="s">
        <v>1145</v>
      </c>
      <c r="D46" s="21" t="s">
        <v>39</v>
      </c>
      <c r="E46" s="17" t="s">
        <v>98</v>
      </c>
      <c r="F46" s="18" t="s">
        <v>99</v>
      </c>
      <c r="G46" s="18" t="s">
        <v>42</v>
      </c>
      <c r="H46" s="24">
        <v>1308550</v>
      </c>
      <c r="I46" s="24">
        <f>T_reg.root.SK[[#This Row],[Volume, kg]]/1000</f>
        <v>1308.55</v>
      </c>
      <c r="J46" s="25">
        <v>0.2850379526957319</v>
      </c>
      <c r="K46" s="25">
        <f t="shared" si="0"/>
        <v>372986.413</v>
      </c>
      <c r="L46" s="25">
        <v>3.414918803255512</v>
      </c>
      <c r="M46" s="24">
        <v>4468592</v>
      </c>
      <c r="N46" s="25">
        <f>IFERROR(T_reg.root.SK[[#This Row],[Price]]/T_reg.root.SK[[#This Row],[Starch content]],"")</f>
        <v>11.980575817918602</v>
      </c>
    </row>
    <row r="47" spans="1:14">
      <c r="A47" s="21">
        <v>2023</v>
      </c>
      <c r="B47" s="21" t="s">
        <v>17</v>
      </c>
      <c r="C47" s="21" t="s">
        <v>1145</v>
      </c>
      <c r="D47" s="21" t="s">
        <v>39</v>
      </c>
      <c r="E47" s="17" t="s">
        <v>100</v>
      </c>
      <c r="F47" s="18" t="s">
        <v>99</v>
      </c>
      <c r="G47" s="18" t="s">
        <v>42</v>
      </c>
      <c r="H47" s="24">
        <v>296670</v>
      </c>
      <c r="I47" s="24">
        <f>T_reg.root.SK[[#This Row],[Volume, kg]]/1000</f>
        <v>296.67</v>
      </c>
      <c r="J47" s="25">
        <v>0.2989</v>
      </c>
      <c r="K47" s="25">
        <f t="shared" si="0"/>
        <v>88674.663</v>
      </c>
      <c r="L47" s="25">
        <v>3.42</v>
      </c>
      <c r="M47" s="24">
        <v>1014187.5</v>
      </c>
      <c r="N47" s="25">
        <f>IFERROR(T_reg.root.SK[[#This Row],[Price]]/T_reg.root.SK[[#This Row],[Starch content]],"")</f>
        <v>11.441953830712613</v>
      </c>
    </row>
    <row r="48" spans="1:14">
      <c r="A48" s="21">
        <v>2023</v>
      </c>
      <c r="B48" s="21" t="s">
        <v>17</v>
      </c>
      <c r="C48" s="21" t="s">
        <v>1145</v>
      </c>
      <c r="D48" s="21" t="s">
        <v>39</v>
      </c>
      <c r="E48" s="17" t="s">
        <v>101</v>
      </c>
      <c r="F48" s="18" t="s">
        <v>102</v>
      </c>
      <c r="G48" s="18" t="s">
        <v>103</v>
      </c>
      <c r="H48" s="24">
        <v>510690</v>
      </c>
      <c r="I48" s="24">
        <f>T_reg.root.SK[[#This Row],[Volume, kg]]/1000</f>
        <v>510.69</v>
      </c>
      <c r="J48" s="25">
        <v>0.27739999999999998</v>
      </c>
      <c r="K48" s="25">
        <f t="shared" si="0"/>
        <v>141665.40599999999</v>
      </c>
      <c r="L48" s="25">
        <v>3.47</v>
      </c>
      <c r="M48" s="24">
        <v>1771943.5</v>
      </c>
      <c r="N48" s="25">
        <f>IFERROR(T_reg.root.SK[[#This Row],[Price]]/T_reg.root.SK[[#This Row],[Starch content]],"")</f>
        <v>12.509012256669072</v>
      </c>
    </row>
    <row r="49" spans="1:14">
      <c r="A49" s="21">
        <v>2023</v>
      </c>
      <c r="B49" s="21" t="s">
        <v>17</v>
      </c>
      <c r="C49" s="21" t="s">
        <v>1145</v>
      </c>
      <c r="D49" s="21" t="s">
        <v>35</v>
      </c>
      <c r="E49" s="17" t="s">
        <v>104</v>
      </c>
      <c r="F49" s="18" t="s">
        <v>105</v>
      </c>
      <c r="G49" s="18" t="s">
        <v>48</v>
      </c>
      <c r="H49" s="24">
        <v>37690</v>
      </c>
      <c r="I49" s="24">
        <f>T_reg.root.SK[[#This Row],[Volume, kg]]/1000</f>
        <v>37.69</v>
      </c>
      <c r="J49" s="25">
        <v>0.30673971875829131</v>
      </c>
      <c r="K49" s="25">
        <f t="shared" si="0"/>
        <v>11561.02</v>
      </c>
      <c r="L49" s="25">
        <v>3.4271159458742373</v>
      </c>
      <c r="M49" s="24">
        <v>129168</v>
      </c>
      <c r="N49" s="25">
        <f>IFERROR(T_reg.root.SK[[#This Row],[Price]]/T_reg.root.SK[[#This Row],[Starch content]],"")</f>
        <v>11.172716594210547</v>
      </c>
    </row>
    <row r="50" spans="1:14">
      <c r="A50" s="21">
        <v>2023</v>
      </c>
      <c r="B50" s="21" t="s">
        <v>17</v>
      </c>
      <c r="C50" s="21" t="s">
        <v>1145</v>
      </c>
      <c r="D50" s="21" t="s">
        <v>35</v>
      </c>
      <c r="E50" s="17" t="s">
        <v>106</v>
      </c>
      <c r="F50" s="18" t="s">
        <v>105</v>
      </c>
      <c r="G50" s="18" t="s">
        <v>48</v>
      </c>
      <c r="H50" s="24">
        <v>3680</v>
      </c>
      <c r="I50" s="24">
        <f>T_reg.root.SK[[#This Row],[Volume, kg]]/1000</f>
        <v>3.68</v>
      </c>
      <c r="J50" s="25">
        <v>0.29799999999999999</v>
      </c>
      <c r="K50" s="25">
        <f t="shared" si="0"/>
        <v>1096.6399999999999</v>
      </c>
      <c r="L50" s="25">
        <v>3.25</v>
      </c>
      <c r="M50" s="24">
        <v>11960</v>
      </c>
      <c r="N50" s="25">
        <f>IFERROR(T_reg.root.SK[[#This Row],[Price]]/T_reg.root.SK[[#This Row],[Starch content]],"")</f>
        <v>10.906040268456376</v>
      </c>
    </row>
    <row r="51" spans="1:14">
      <c r="A51" s="21">
        <v>2023</v>
      </c>
      <c r="B51" s="21" t="s">
        <v>17</v>
      </c>
      <c r="C51" s="21" t="s">
        <v>1145</v>
      </c>
      <c r="D51" s="21" t="s">
        <v>35</v>
      </c>
      <c r="E51" s="17" t="s">
        <v>107</v>
      </c>
      <c r="F51" s="18" t="s">
        <v>105</v>
      </c>
      <c r="G51" s="18" t="s">
        <v>48</v>
      </c>
      <c r="H51" s="24">
        <v>633790</v>
      </c>
      <c r="I51" s="24">
        <f>T_reg.root.SK[[#This Row],[Volume, kg]]/1000</f>
        <v>633.79</v>
      </c>
      <c r="J51" s="25">
        <v>0.27129999999999999</v>
      </c>
      <c r="K51" s="25">
        <f t="shared" si="0"/>
        <v>171947.22699999998</v>
      </c>
      <c r="L51" s="25">
        <v>3.2</v>
      </c>
      <c r="M51" s="24">
        <v>2029827.2</v>
      </c>
      <c r="N51" s="25">
        <f>IFERROR(T_reg.root.SK[[#This Row],[Price]]/T_reg.root.SK[[#This Row],[Starch content]],"")</f>
        <v>11.795060818282346</v>
      </c>
    </row>
    <row r="52" spans="1:14">
      <c r="A52" s="21">
        <v>2023</v>
      </c>
      <c r="B52" s="21" t="s">
        <v>17</v>
      </c>
      <c r="C52" s="21" t="s">
        <v>1145</v>
      </c>
      <c r="D52" s="21" t="s">
        <v>35</v>
      </c>
      <c r="E52" s="17" t="s">
        <v>108</v>
      </c>
      <c r="F52" s="18" t="s">
        <v>105</v>
      </c>
      <c r="G52" s="18" t="s">
        <v>48</v>
      </c>
      <c r="H52" s="24">
        <v>268580</v>
      </c>
      <c r="I52" s="24">
        <f>T_reg.root.SK[[#This Row],[Volume, kg]]/1000</f>
        <v>268.58</v>
      </c>
      <c r="J52" s="25">
        <v>0.28468325266214911</v>
      </c>
      <c r="K52" s="25">
        <f t="shared" si="0"/>
        <v>76460.228000000003</v>
      </c>
      <c r="L52" s="25">
        <v>3.2670258396008638</v>
      </c>
      <c r="M52" s="24">
        <v>877457.8</v>
      </c>
      <c r="N52" s="25">
        <f>IFERROR(T_reg.root.SK[[#This Row],[Price]]/T_reg.root.SK[[#This Row],[Starch content]],"")</f>
        <v>11.476002922722122</v>
      </c>
    </row>
    <row r="53" spans="1:14">
      <c r="A53" s="21">
        <v>2023</v>
      </c>
      <c r="B53" s="21" t="s">
        <v>17</v>
      </c>
      <c r="C53" s="21" t="s">
        <v>1145</v>
      </c>
      <c r="D53" s="21" t="s">
        <v>35</v>
      </c>
      <c r="E53" s="17" t="s">
        <v>109</v>
      </c>
      <c r="F53" s="18" t="s">
        <v>105</v>
      </c>
      <c r="G53" s="18" t="s">
        <v>48</v>
      </c>
      <c r="H53" s="24">
        <v>308990</v>
      </c>
      <c r="I53" s="24">
        <f>T_reg.root.SK[[#This Row],[Volume, kg]]/1000</f>
        <v>308.99</v>
      </c>
      <c r="J53" s="25">
        <v>0.30070356645846147</v>
      </c>
      <c r="K53" s="25">
        <f t="shared" si="0"/>
        <v>92914.395000000004</v>
      </c>
      <c r="L53" s="25">
        <v>3.3596135797274993</v>
      </c>
      <c r="M53" s="24">
        <v>1038087</v>
      </c>
      <c r="N53" s="25">
        <f>IFERROR(T_reg.root.SK[[#This Row],[Price]]/T_reg.root.SK[[#This Row],[Starch content]],"")</f>
        <v>11.172509921632702</v>
      </c>
    </row>
    <row r="54" spans="1:14">
      <c r="A54" s="21">
        <v>2023</v>
      </c>
      <c r="B54" s="21" t="s">
        <v>17</v>
      </c>
      <c r="C54" s="21" t="s">
        <v>1145</v>
      </c>
      <c r="D54" s="21" t="s">
        <v>35</v>
      </c>
      <c r="E54" s="17" t="s">
        <v>110</v>
      </c>
      <c r="F54" s="18" t="s">
        <v>105</v>
      </c>
      <c r="G54" s="18" t="s">
        <v>48</v>
      </c>
      <c r="H54" s="24">
        <v>9210</v>
      </c>
      <c r="I54" s="24">
        <f>T_reg.root.SK[[#This Row],[Volume, kg]]/1000</f>
        <v>9.2100000000000009</v>
      </c>
      <c r="J54" s="25">
        <v>0.27800000000000002</v>
      </c>
      <c r="K54" s="25">
        <f t="shared" si="0"/>
        <v>2560.38</v>
      </c>
      <c r="L54" s="25">
        <v>3.3</v>
      </c>
      <c r="M54" s="24">
        <v>30393</v>
      </c>
      <c r="N54" s="25">
        <f>IFERROR(T_reg.root.SK[[#This Row],[Price]]/T_reg.root.SK[[#This Row],[Starch content]],"")</f>
        <v>11.870503597122301</v>
      </c>
    </row>
    <row r="55" spans="1:14">
      <c r="A55" s="21">
        <v>2023</v>
      </c>
      <c r="B55" s="21" t="s">
        <v>17</v>
      </c>
      <c r="C55" s="21" t="s">
        <v>1145</v>
      </c>
      <c r="D55" s="21" t="s">
        <v>35</v>
      </c>
      <c r="E55" s="17" t="s">
        <v>111</v>
      </c>
      <c r="F55" s="18" t="s">
        <v>105</v>
      </c>
      <c r="G55" s="18" t="s">
        <v>48</v>
      </c>
      <c r="H55" s="24">
        <v>11980</v>
      </c>
      <c r="I55" s="24">
        <f>T_reg.root.SK[[#This Row],[Volume, kg]]/1000</f>
        <v>11.98</v>
      </c>
      <c r="J55" s="25">
        <v>0.3095</v>
      </c>
      <c r="K55" s="25">
        <f t="shared" si="0"/>
        <v>3707.81</v>
      </c>
      <c r="L55" s="25">
        <v>3.45</v>
      </c>
      <c r="M55" s="24">
        <v>41331</v>
      </c>
      <c r="N55" s="25">
        <f>IFERROR(T_reg.root.SK[[#This Row],[Price]]/T_reg.root.SK[[#This Row],[Starch content]],"")</f>
        <v>11.147011308562197</v>
      </c>
    </row>
    <row r="56" spans="1:14">
      <c r="A56" s="21">
        <v>2023</v>
      </c>
      <c r="B56" s="21" t="s">
        <v>17</v>
      </c>
      <c r="C56" s="21" t="s">
        <v>1145</v>
      </c>
      <c r="D56" s="21" t="s">
        <v>35</v>
      </c>
      <c r="E56" s="17" t="s">
        <v>112</v>
      </c>
      <c r="F56" s="18" t="s">
        <v>105</v>
      </c>
      <c r="G56" s="18" t="s">
        <v>48</v>
      </c>
      <c r="H56" s="24">
        <v>6850</v>
      </c>
      <c r="I56" s="24">
        <f>T_reg.root.SK[[#This Row],[Volume, kg]]/1000</f>
        <v>6.85</v>
      </c>
      <c r="J56" s="25">
        <v>0.24600000000000002</v>
      </c>
      <c r="K56" s="25">
        <f t="shared" si="0"/>
        <v>1685.1000000000001</v>
      </c>
      <c r="L56" s="25">
        <v>3.1</v>
      </c>
      <c r="M56" s="24">
        <v>21235</v>
      </c>
      <c r="N56" s="25">
        <f>IFERROR(T_reg.root.SK[[#This Row],[Price]]/T_reg.root.SK[[#This Row],[Starch content]],"")</f>
        <v>12.601626016260163</v>
      </c>
    </row>
    <row r="57" spans="1:14">
      <c r="A57" s="21">
        <v>2023</v>
      </c>
      <c r="B57" s="21" t="s">
        <v>17</v>
      </c>
      <c r="C57" s="21" t="s">
        <v>1145</v>
      </c>
      <c r="D57" s="21" t="s">
        <v>35</v>
      </c>
      <c r="E57" s="17" t="s">
        <v>113</v>
      </c>
      <c r="F57" s="18" t="s">
        <v>105</v>
      </c>
      <c r="G57" s="18" t="s">
        <v>48</v>
      </c>
      <c r="H57" s="24">
        <v>3900</v>
      </c>
      <c r="I57" s="24">
        <f>T_reg.root.SK[[#This Row],[Volume, kg]]/1000</f>
        <v>3.9</v>
      </c>
      <c r="J57" s="25">
        <v>0.27250000000000002</v>
      </c>
      <c r="K57" s="25">
        <f t="shared" si="0"/>
        <v>1062.75</v>
      </c>
      <c r="L57" s="25">
        <v>3.2</v>
      </c>
      <c r="M57" s="24">
        <v>12480</v>
      </c>
      <c r="N57" s="25">
        <f>IFERROR(T_reg.root.SK[[#This Row],[Price]]/T_reg.root.SK[[#This Row],[Starch content]],"")</f>
        <v>11.743119266055047</v>
      </c>
    </row>
    <row r="58" spans="1:14">
      <c r="A58" s="21">
        <v>2023</v>
      </c>
      <c r="B58" s="21" t="s">
        <v>17</v>
      </c>
      <c r="C58" s="21" t="s">
        <v>1145</v>
      </c>
      <c r="D58" s="21" t="s">
        <v>35</v>
      </c>
      <c r="E58" s="17" t="s">
        <v>114</v>
      </c>
      <c r="F58" s="18" t="s">
        <v>105</v>
      </c>
      <c r="G58" s="18" t="s">
        <v>48</v>
      </c>
      <c r="H58" s="24">
        <v>75110</v>
      </c>
      <c r="I58" s="24">
        <f>T_reg.root.SK[[#This Row],[Volume, kg]]/1000</f>
        <v>75.11</v>
      </c>
      <c r="J58" s="25">
        <v>0.29839962721342034</v>
      </c>
      <c r="K58" s="25">
        <f t="shared" si="0"/>
        <v>22412.796000000002</v>
      </c>
      <c r="L58" s="25">
        <v>3.2733324457462389</v>
      </c>
      <c r="M58" s="24">
        <v>245860</v>
      </c>
      <c r="N58" s="25">
        <f>IFERROR(T_reg.root.SK[[#This Row],[Price]]/T_reg.root.SK[[#This Row],[Starch content]],"")</f>
        <v>10.969626458028708</v>
      </c>
    </row>
    <row r="59" spans="1:14">
      <c r="A59" s="21">
        <v>2023</v>
      </c>
      <c r="B59" s="21" t="s">
        <v>17</v>
      </c>
      <c r="C59" s="21" t="s">
        <v>1145</v>
      </c>
      <c r="D59" s="21" t="s">
        <v>35</v>
      </c>
      <c r="E59" s="17" t="s">
        <v>115</v>
      </c>
      <c r="F59" s="18" t="s">
        <v>105</v>
      </c>
      <c r="G59" s="18" t="s">
        <v>48</v>
      </c>
      <c r="H59" s="24">
        <v>16630</v>
      </c>
      <c r="I59" s="24">
        <f>T_reg.root.SK[[#This Row],[Volume, kg]]/1000</f>
        <v>16.63</v>
      </c>
      <c r="J59" s="25">
        <v>0.27789999999999998</v>
      </c>
      <c r="K59" s="25">
        <f t="shared" si="0"/>
        <v>4621.4769999999999</v>
      </c>
      <c r="L59" s="25">
        <v>3.29</v>
      </c>
      <c r="M59" s="24">
        <v>54677</v>
      </c>
      <c r="N59" s="25">
        <f>IFERROR(T_reg.root.SK[[#This Row],[Price]]/T_reg.root.SK[[#This Row],[Starch content]],"")</f>
        <v>11.838790931989925</v>
      </c>
    </row>
    <row r="60" spans="1:14">
      <c r="A60" s="21">
        <v>2023</v>
      </c>
      <c r="B60" s="21" t="s">
        <v>17</v>
      </c>
      <c r="C60" s="21" t="s">
        <v>1145</v>
      </c>
      <c r="D60" s="21" t="s">
        <v>35</v>
      </c>
      <c r="E60" s="17" t="s">
        <v>116</v>
      </c>
      <c r="F60" s="18" t="s">
        <v>105</v>
      </c>
      <c r="G60" s="18" t="s">
        <v>48</v>
      </c>
      <c r="H60" s="24">
        <v>0</v>
      </c>
      <c r="I60" s="24">
        <f>T_reg.root.SK[[#This Row],[Volume, kg]]/1000</f>
        <v>0</v>
      </c>
      <c r="J60" s="25">
        <v>0</v>
      </c>
      <c r="K60" s="25">
        <f t="shared" si="0"/>
        <v>0</v>
      </c>
      <c r="L60" s="25">
        <v>0</v>
      </c>
      <c r="M60" s="24">
        <v>0</v>
      </c>
      <c r="N60" s="25" t="str">
        <f>IFERROR(T_reg.root.SK[[#This Row],[Price]]/T_reg.root.SK[[#This Row],[Starch content]],"")</f>
        <v/>
      </c>
    </row>
    <row r="61" spans="1:14">
      <c r="A61" s="21">
        <v>2023</v>
      </c>
      <c r="B61" s="21" t="s">
        <v>17</v>
      </c>
      <c r="C61" s="21" t="s">
        <v>1145</v>
      </c>
      <c r="D61" s="21" t="s">
        <v>35</v>
      </c>
      <c r="E61" s="17" t="s">
        <v>117</v>
      </c>
      <c r="F61" s="18" t="s">
        <v>105</v>
      </c>
      <c r="G61" s="18" t="s">
        <v>48</v>
      </c>
      <c r="H61" s="24">
        <v>23550</v>
      </c>
      <c r="I61" s="24">
        <f>T_reg.root.SK[[#This Row],[Volume, kg]]/1000</f>
        <v>23.55</v>
      </c>
      <c r="J61" s="25">
        <v>0.28699999999999998</v>
      </c>
      <c r="K61" s="25">
        <f t="shared" si="0"/>
        <v>6758.8499999999995</v>
      </c>
      <c r="L61" s="25">
        <v>3.3</v>
      </c>
      <c r="M61" s="24">
        <v>77715</v>
      </c>
      <c r="N61" s="25">
        <f>IFERROR(T_reg.root.SK[[#This Row],[Price]]/T_reg.root.SK[[#This Row],[Starch content]],"")</f>
        <v>11.498257839721255</v>
      </c>
    </row>
    <row r="62" spans="1:14">
      <c r="A62" s="21">
        <v>2023</v>
      </c>
      <c r="B62" s="21" t="s">
        <v>17</v>
      </c>
      <c r="C62" s="21" t="s">
        <v>1145</v>
      </c>
      <c r="D62" s="21" t="s">
        <v>35</v>
      </c>
      <c r="E62" s="17" t="s">
        <v>118</v>
      </c>
      <c r="F62" s="18" t="s">
        <v>105</v>
      </c>
      <c r="G62" s="18" t="s">
        <v>48</v>
      </c>
      <c r="H62" s="24">
        <v>130050</v>
      </c>
      <c r="I62" s="24">
        <f>T_reg.root.SK[[#This Row],[Volume, kg]]/1000</f>
        <v>130.05000000000001</v>
      </c>
      <c r="J62" s="25">
        <v>0.29270000000000002</v>
      </c>
      <c r="K62" s="25">
        <f t="shared" si="0"/>
        <v>38065.635000000002</v>
      </c>
      <c r="L62" s="25">
        <v>3.32</v>
      </c>
      <c r="M62" s="24">
        <v>432074.5</v>
      </c>
      <c r="N62" s="25">
        <f>IFERROR(T_reg.root.SK[[#This Row],[Price]]/T_reg.root.SK[[#This Row],[Starch content]],"")</f>
        <v>11.342671677485479</v>
      </c>
    </row>
    <row r="63" spans="1:14">
      <c r="A63" s="21">
        <v>2023</v>
      </c>
      <c r="B63" s="21" t="s">
        <v>17</v>
      </c>
      <c r="C63" s="21" t="s">
        <v>1145</v>
      </c>
      <c r="D63" s="21" t="s">
        <v>35</v>
      </c>
      <c r="E63" s="17" t="s">
        <v>119</v>
      </c>
      <c r="F63" s="18" t="s">
        <v>105</v>
      </c>
      <c r="G63" s="18" t="s">
        <v>48</v>
      </c>
      <c r="H63" s="24">
        <v>21880</v>
      </c>
      <c r="I63" s="24">
        <f>T_reg.root.SK[[#This Row],[Volume, kg]]/1000</f>
        <v>21.88</v>
      </c>
      <c r="J63" s="25">
        <v>0.29320000000000002</v>
      </c>
      <c r="K63" s="25">
        <f t="shared" si="0"/>
        <v>6415.2160000000003</v>
      </c>
      <c r="L63" s="25">
        <v>3.38</v>
      </c>
      <c r="M63" s="24">
        <v>73909</v>
      </c>
      <c r="N63" s="25">
        <f>IFERROR(T_reg.root.SK[[#This Row],[Price]]/T_reg.root.SK[[#This Row],[Starch content]],"")</f>
        <v>11.527967257844473</v>
      </c>
    </row>
    <row r="64" spans="1:14">
      <c r="A64" s="21">
        <v>2023</v>
      </c>
      <c r="B64" s="21" t="s">
        <v>17</v>
      </c>
      <c r="C64" s="21" t="s">
        <v>1145</v>
      </c>
      <c r="D64" s="21" t="s">
        <v>35</v>
      </c>
      <c r="E64" s="17" t="s">
        <v>120</v>
      </c>
      <c r="F64" s="18" t="s">
        <v>105</v>
      </c>
      <c r="G64" s="18" t="s">
        <v>48</v>
      </c>
      <c r="H64" s="24">
        <v>33060</v>
      </c>
      <c r="I64" s="24">
        <f>T_reg.root.SK[[#This Row],[Volume, kg]]/1000</f>
        <v>33.06</v>
      </c>
      <c r="J64" s="25">
        <v>0.27160000000000001</v>
      </c>
      <c r="K64" s="25">
        <f t="shared" si="0"/>
        <v>8979.0959999999995</v>
      </c>
      <c r="L64" s="25">
        <v>3.2</v>
      </c>
      <c r="M64" s="24">
        <v>105735</v>
      </c>
      <c r="N64" s="25">
        <f>IFERROR(T_reg.root.SK[[#This Row],[Price]]/T_reg.root.SK[[#This Row],[Starch content]],"")</f>
        <v>11.782032400589102</v>
      </c>
    </row>
    <row r="65" spans="1:14">
      <c r="A65" s="21">
        <v>2023</v>
      </c>
      <c r="B65" s="21" t="s">
        <v>17</v>
      </c>
      <c r="C65" s="21" t="s">
        <v>1145</v>
      </c>
      <c r="D65" s="21" t="s">
        <v>35</v>
      </c>
      <c r="E65" s="17" t="s">
        <v>121</v>
      </c>
      <c r="F65" s="18" t="s">
        <v>105</v>
      </c>
      <c r="G65" s="18" t="s">
        <v>48</v>
      </c>
      <c r="H65" s="24">
        <v>3760</v>
      </c>
      <c r="I65" s="24">
        <f>T_reg.root.SK[[#This Row],[Volume, kg]]/1000</f>
        <v>3.76</v>
      </c>
      <c r="J65" s="25">
        <v>0.23550000000000001</v>
      </c>
      <c r="K65" s="25">
        <f t="shared" si="0"/>
        <v>885.48</v>
      </c>
      <c r="L65" s="25">
        <v>3.05</v>
      </c>
      <c r="M65" s="24">
        <v>11468</v>
      </c>
      <c r="N65" s="25">
        <f>IFERROR(T_reg.root.SK[[#This Row],[Price]]/T_reg.root.SK[[#This Row],[Starch content]],"")</f>
        <v>12.95116772823779</v>
      </c>
    </row>
    <row r="66" spans="1:14">
      <c r="A66" s="21">
        <v>2023</v>
      </c>
      <c r="B66" s="21" t="s">
        <v>17</v>
      </c>
      <c r="C66" s="21" t="s">
        <v>1145</v>
      </c>
      <c r="D66" s="21" t="s">
        <v>35</v>
      </c>
      <c r="E66" s="17" t="s">
        <v>122</v>
      </c>
      <c r="F66" s="18" t="s">
        <v>105</v>
      </c>
      <c r="G66" s="18" t="s">
        <v>48</v>
      </c>
      <c r="H66" s="24">
        <v>314180</v>
      </c>
      <c r="I66" s="24">
        <f>T_reg.root.SK[[#This Row],[Volume, kg]]/1000</f>
        <v>314.18</v>
      </c>
      <c r="J66" s="25">
        <v>0.28423535552867785</v>
      </c>
      <c r="K66" s="25">
        <f t="shared" si="0"/>
        <v>89301.064000000013</v>
      </c>
      <c r="L66" s="25">
        <v>3.2816792921255331</v>
      </c>
      <c r="M66" s="24">
        <v>1031038</v>
      </c>
      <c r="N66" s="25">
        <f>IFERROR(T_reg.root.SK[[#This Row],[Price]]/T_reg.root.SK[[#This Row],[Starch content]],"")</f>
        <v>11.545640710395118</v>
      </c>
    </row>
    <row r="67" spans="1:14">
      <c r="A67" s="21">
        <v>2023</v>
      </c>
      <c r="B67" s="21" t="s">
        <v>17</v>
      </c>
      <c r="C67" s="21" t="s">
        <v>1145</v>
      </c>
      <c r="D67" s="21" t="s">
        <v>35</v>
      </c>
      <c r="E67" s="17" t="s">
        <v>123</v>
      </c>
      <c r="F67" s="18" t="s">
        <v>105</v>
      </c>
      <c r="G67" s="18" t="s">
        <v>48</v>
      </c>
      <c r="H67" s="24">
        <v>30410</v>
      </c>
      <c r="I67" s="24">
        <f>T_reg.root.SK[[#This Row],[Volume, kg]]/1000</f>
        <v>30.41</v>
      </c>
      <c r="J67" s="25">
        <v>0.29380000000000001</v>
      </c>
      <c r="K67" s="25">
        <f t="shared" ref="K67:K130" si="1">H67*J67</f>
        <v>8934.4580000000005</v>
      </c>
      <c r="L67" s="25">
        <v>3.32</v>
      </c>
      <c r="M67" s="24">
        <v>101048.5</v>
      </c>
      <c r="N67" s="25">
        <f>IFERROR(T_reg.root.SK[[#This Row],[Price]]/T_reg.root.SK[[#This Row],[Starch content]],"")</f>
        <v>11.300204220558202</v>
      </c>
    </row>
    <row r="68" spans="1:14">
      <c r="A68" s="21">
        <v>2023</v>
      </c>
      <c r="B68" s="21" t="s">
        <v>17</v>
      </c>
      <c r="C68" s="21" t="s">
        <v>1145</v>
      </c>
      <c r="D68" s="21" t="s">
        <v>35</v>
      </c>
      <c r="E68" s="17" t="s">
        <v>124</v>
      </c>
      <c r="F68" s="18" t="s">
        <v>105</v>
      </c>
      <c r="G68" s="18" t="s">
        <v>48</v>
      </c>
      <c r="H68" s="24">
        <v>25720</v>
      </c>
      <c r="I68" s="24">
        <f>T_reg.root.SK[[#This Row],[Volume, kg]]/1000</f>
        <v>25.72</v>
      </c>
      <c r="J68" s="25">
        <v>0.2786128304821151</v>
      </c>
      <c r="K68" s="25">
        <f t="shared" si="1"/>
        <v>7165.9220000000005</v>
      </c>
      <c r="L68" s="25">
        <v>3.2962869362363918</v>
      </c>
      <c r="M68" s="24">
        <v>84780.5</v>
      </c>
      <c r="N68" s="25">
        <f>IFERROR(T_reg.root.SK[[#This Row],[Price]]/T_reg.root.SK[[#This Row],[Starch content]],"")</f>
        <v>11.831066539658119</v>
      </c>
    </row>
    <row r="69" spans="1:14">
      <c r="A69" s="21">
        <v>2023</v>
      </c>
      <c r="B69" s="21" t="s">
        <v>17</v>
      </c>
      <c r="C69" s="21" t="s">
        <v>1145</v>
      </c>
      <c r="D69" s="21" t="s">
        <v>35</v>
      </c>
      <c r="E69" s="17" t="s">
        <v>125</v>
      </c>
      <c r="F69" s="18" t="s">
        <v>105</v>
      </c>
      <c r="G69" s="18" t="s">
        <v>48</v>
      </c>
      <c r="H69" s="24">
        <v>18630</v>
      </c>
      <c r="I69" s="24">
        <f>T_reg.root.SK[[#This Row],[Volume, kg]]/1000</f>
        <v>18.63</v>
      </c>
      <c r="J69" s="25">
        <v>0.29909999999999998</v>
      </c>
      <c r="K69" s="25">
        <f t="shared" si="1"/>
        <v>5572.2329999999993</v>
      </c>
      <c r="L69" s="25">
        <v>3.34</v>
      </c>
      <c r="M69" s="24">
        <v>62191</v>
      </c>
      <c r="N69" s="25">
        <f>IFERROR(T_reg.root.SK[[#This Row],[Price]]/T_reg.root.SK[[#This Row],[Starch content]],"")</f>
        <v>11.166833834837847</v>
      </c>
    </row>
    <row r="70" spans="1:14">
      <c r="A70" s="21">
        <v>2023</v>
      </c>
      <c r="B70" s="21" t="s">
        <v>17</v>
      </c>
      <c r="C70" s="21" t="s">
        <v>1145</v>
      </c>
      <c r="D70" s="21" t="s">
        <v>35</v>
      </c>
      <c r="E70" s="17" t="s">
        <v>126</v>
      </c>
      <c r="F70" s="18" t="s">
        <v>105</v>
      </c>
      <c r="G70" s="18" t="s">
        <v>48</v>
      </c>
      <c r="H70" s="24">
        <v>0</v>
      </c>
      <c r="I70" s="24">
        <f>T_reg.root.SK[[#This Row],[Volume, kg]]/1000</f>
        <v>0</v>
      </c>
      <c r="J70" s="25">
        <v>0</v>
      </c>
      <c r="K70" s="25">
        <f t="shared" si="1"/>
        <v>0</v>
      </c>
      <c r="L70" s="25">
        <v>0</v>
      </c>
      <c r="M70" s="24">
        <v>0</v>
      </c>
      <c r="N70" s="25" t="str">
        <f>IFERROR(T_reg.root.SK[[#This Row],[Price]]/T_reg.root.SK[[#This Row],[Starch content]],"")</f>
        <v/>
      </c>
    </row>
    <row r="71" spans="1:14">
      <c r="A71" s="21">
        <v>2023</v>
      </c>
      <c r="B71" s="21" t="s">
        <v>17</v>
      </c>
      <c r="C71" s="21" t="s">
        <v>1145</v>
      </c>
      <c r="D71" s="21" t="s">
        <v>35</v>
      </c>
      <c r="E71" s="17" t="s">
        <v>127</v>
      </c>
      <c r="F71" s="18" t="s">
        <v>105</v>
      </c>
      <c r="G71" s="18" t="s">
        <v>48</v>
      </c>
      <c r="H71" s="24">
        <v>37980</v>
      </c>
      <c r="I71" s="24">
        <f>T_reg.root.SK[[#This Row],[Volume, kg]]/1000</f>
        <v>37.979999999999997</v>
      </c>
      <c r="J71" s="25">
        <v>0.3049017904160084</v>
      </c>
      <c r="K71" s="25">
        <f t="shared" si="1"/>
        <v>11580.169999999998</v>
      </c>
      <c r="L71" s="25">
        <v>3.3992101105845181</v>
      </c>
      <c r="M71" s="24">
        <v>129102</v>
      </c>
      <c r="N71" s="25">
        <f>IFERROR(T_reg.root.SK[[#This Row],[Price]]/T_reg.root.SK[[#This Row],[Starch content]],"")</f>
        <v>11.148540997239246</v>
      </c>
    </row>
    <row r="72" spans="1:14">
      <c r="A72" s="21">
        <v>2023</v>
      </c>
      <c r="B72" s="21" t="s">
        <v>17</v>
      </c>
      <c r="C72" s="21" t="s">
        <v>1145</v>
      </c>
      <c r="D72" s="21" t="s">
        <v>35</v>
      </c>
      <c r="E72" s="17" t="s">
        <v>128</v>
      </c>
      <c r="F72" s="18" t="s">
        <v>105</v>
      </c>
      <c r="G72" s="18" t="s">
        <v>48</v>
      </c>
      <c r="H72" s="24">
        <v>29230</v>
      </c>
      <c r="I72" s="24">
        <f>T_reg.root.SK[[#This Row],[Volume, kg]]/1000</f>
        <v>29.23</v>
      </c>
      <c r="J72" s="25">
        <v>0.29221587410195005</v>
      </c>
      <c r="K72" s="25">
        <f t="shared" si="1"/>
        <v>8541.4699999999993</v>
      </c>
      <c r="L72" s="25">
        <v>3.3662333219295246</v>
      </c>
      <c r="M72" s="24">
        <v>98395</v>
      </c>
      <c r="N72" s="25">
        <f>IFERROR(T_reg.root.SK[[#This Row],[Price]]/T_reg.root.SK[[#This Row],[Starch content]],"")</f>
        <v>11.519679867751103</v>
      </c>
    </row>
    <row r="73" spans="1:14">
      <c r="A73" s="21">
        <v>2023</v>
      </c>
      <c r="B73" s="21" t="s">
        <v>17</v>
      </c>
      <c r="C73" s="21" t="s">
        <v>1145</v>
      </c>
      <c r="D73" s="21" t="s">
        <v>35</v>
      </c>
      <c r="E73" s="17" t="s">
        <v>129</v>
      </c>
      <c r="F73" s="18" t="s">
        <v>105</v>
      </c>
      <c r="G73" s="18" t="s">
        <v>48</v>
      </c>
      <c r="H73" s="24">
        <v>53560</v>
      </c>
      <c r="I73" s="24">
        <f>T_reg.root.SK[[#This Row],[Volume, kg]]/1000</f>
        <v>53.56</v>
      </c>
      <c r="J73" s="25">
        <v>0.28960000000000002</v>
      </c>
      <c r="K73" s="25">
        <f t="shared" si="1"/>
        <v>15510.976000000001</v>
      </c>
      <c r="L73" s="25">
        <v>3.3</v>
      </c>
      <c r="M73" s="24">
        <v>176985.5</v>
      </c>
      <c r="N73" s="25">
        <f>IFERROR(T_reg.root.SK[[#This Row],[Price]]/T_reg.root.SK[[#This Row],[Starch content]],"")</f>
        <v>11.395027624309391</v>
      </c>
    </row>
    <row r="74" spans="1:14">
      <c r="A74" s="21">
        <v>2023</v>
      </c>
      <c r="B74" s="21" t="s">
        <v>17</v>
      </c>
      <c r="C74" s="21" t="s">
        <v>1145</v>
      </c>
      <c r="D74" s="21" t="s">
        <v>35</v>
      </c>
      <c r="E74" s="17" t="s">
        <v>130</v>
      </c>
      <c r="F74" s="18" t="s">
        <v>105</v>
      </c>
      <c r="G74" s="18" t="s">
        <v>48</v>
      </c>
      <c r="H74" s="24">
        <v>12260</v>
      </c>
      <c r="I74" s="24">
        <f>T_reg.root.SK[[#This Row],[Volume, kg]]/1000</f>
        <v>12.26</v>
      </c>
      <c r="J74" s="25">
        <v>0.25600000000000001</v>
      </c>
      <c r="K74" s="25">
        <f t="shared" si="1"/>
        <v>3138.56</v>
      </c>
      <c r="L74" s="25">
        <v>3.15</v>
      </c>
      <c r="M74" s="24">
        <v>38602</v>
      </c>
      <c r="N74" s="25">
        <f>IFERROR(T_reg.root.SK[[#This Row],[Price]]/T_reg.root.SK[[#This Row],[Starch content]],"")</f>
        <v>12.3046875</v>
      </c>
    </row>
    <row r="75" spans="1:14">
      <c r="A75" s="21">
        <v>2023</v>
      </c>
      <c r="B75" s="21" t="s">
        <v>17</v>
      </c>
      <c r="C75" s="21" t="s">
        <v>1145</v>
      </c>
      <c r="D75" s="21" t="s">
        <v>35</v>
      </c>
      <c r="E75" s="17" t="s">
        <v>131</v>
      </c>
      <c r="F75" s="18" t="s">
        <v>105</v>
      </c>
      <c r="G75" s="18" t="s">
        <v>48</v>
      </c>
      <c r="H75" s="24">
        <v>13620</v>
      </c>
      <c r="I75" s="24">
        <f>T_reg.root.SK[[#This Row],[Volume, kg]]/1000</f>
        <v>13.62</v>
      </c>
      <c r="J75" s="25">
        <v>0.31480000000000002</v>
      </c>
      <c r="K75" s="25">
        <f t="shared" si="1"/>
        <v>4287.576</v>
      </c>
      <c r="L75" s="25">
        <v>3.43</v>
      </c>
      <c r="M75" s="24">
        <v>46651.5</v>
      </c>
      <c r="N75" s="25">
        <f>IFERROR(T_reg.root.SK[[#This Row],[Price]]/T_reg.root.SK[[#This Row],[Starch content]],"")</f>
        <v>10.895806861499365</v>
      </c>
    </row>
    <row r="76" spans="1:14">
      <c r="A76" s="21">
        <v>2023</v>
      </c>
      <c r="B76" s="21" t="s">
        <v>17</v>
      </c>
      <c r="C76" s="21" t="s">
        <v>1145</v>
      </c>
      <c r="D76" s="21" t="s">
        <v>35</v>
      </c>
      <c r="E76" s="17" t="s">
        <v>132</v>
      </c>
      <c r="F76" s="18" t="s">
        <v>105</v>
      </c>
      <c r="G76" s="18" t="s">
        <v>48</v>
      </c>
      <c r="H76" s="24">
        <v>7600</v>
      </c>
      <c r="I76" s="24">
        <f>T_reg.root.SK[[#This Row],[Volume, kg]]/1000</f>
        <v>7.6</v>
      </c>
      <c r="J76" s="25">
        <v>0.28600000000000003</v>
      </c>
      <c r="K76" s="25">
        <f t="shared" si="1"/>
        <v>2173.6000000000004</v>
      </c>
      <c r="L76" s="25">
        <v>3.3</v>
      </c>
      <c r="M76" s="24">
        <v>25080</v>
      </c>
      <c r="N76" s="25">
        <f>IFERROR(T_reg.root.SK[[#This Row],[Price]]/T_reg.root.SK[[#This Row],[Starch content]],"")</f>
        <v>11.538461538461537</v>
      </c>
    </row>
    <row r="77" spans="1:14">
      <c r="A77" s="21">
        <v>2023</v>
      </c>
      <c r="B77" s="21" t="s">
        <v>17</v>
      </c>
      <c r="C77" s="21" t="s">
        <v>1145</v>
      </c>
      <c r="D77" s="21" t="s">
        <v>35</v>
      </c>
      <c r="E77" s="17" t="s">
        <v>133</v>
      </c>
      <c r="F77" s="18" t="s">
        <v>105</v>
      </c>
      <c r="G77" s="18" t="s">
        <v>48</v>
      </c>
      <c r="H77" s="24">
        <v>112900</v>
      </c>
      <c r="I77" s="24">
        <f>T_reg.root.SK[[#This Row],[Volume, kg]]/1000</f>
        <v>112.9</v>
      </c>
      <c r="J77" s="25">
        <v>0.26791665190434011</v>
      </c>
      <c r="K77" s="25">
        <f t="shared" si="1"/>
        <v>30247.789999999997</v>
      </c>
      <c r="L77" s="25">
        <v>3.2212267493356954</v>
      </c>
      <c r="M77" s="24">
        <v>363676.5</v>
      </c>
      <c r="N77" s="25">
        <f>IFERROR(T_reg.root.SK[[#This Row],[Price]]/T_reg.root.SK[[#This Row],[Starch content]],"")</f>
        <v>12.023242028591181</v>
      </c>
    </row>
    <row r="78" spans="1:14">
      <c r="A78" s="21">
        <v>2023</v>
      </c>
      <c r="B78" s="21" t="s">
        <v>17</v>
      </c>
      <c r="C78" s="21" t="s">
        <v>1145</v>
      </c>
      <c r="D78" s="21" t="s">
        <v>35</v>
      </c>
      <c r="E78" s="17" t="s">
        <v>134</v>
      </c>
      <c r="F78" s="18" t="s">
        <v>105</v>
      </c>
      <c r="G78" s="18" t="s">
        <v>48</v>
      </c>
      <c r="H78" s="24">
        <v>25700</v>
      </c>
      <c r="I78" s="24">
        <f>T_reg.root.SK[[#This Row],[Volume, kg]]/1000</f>
        <v>25.7</v>
      </c>
      <c r="J78" s="25">
        <v>0.29770000000000002</v>
      </c>
      <c r="K78" s="25">
        <f t="shared" si="1"/>
        <v>7650.89</v>
      </c>
      <c r="L78" s="25">
        <v>3.33</v>
      </c>
      <c r="M78" s="24">
        <v>85622</v>
      </c>
      <c r="N78" s="25">
        <f>IFERROR(T_reg.root.SK[[#This Row],[Price]]/T_reg.root.SK[[#This Row],[Starch content]],"")</f>
        <v>11.185757473967081</v>
      </c>
    </row>
    <row r="79" spans="1:14">
      <c r="A79" s="21">
        <v>2023</v>
      </c>
      <c r="B79" s="21" t="s">
        <v>17</v>
      </c>
      <c r="C79" s="21" t="s">
        <v>1145</v>
      </c>
      <c r="D79" s="21" t="s">
        <v>35</v>
      </c>
      <c r="E79" s="17" t="s">
        <v>135</v>
      </c>
      <c r="F79" s="18" t="s">
        <v>105</v>
      </c>
      <c r="G79" s="18" t="s">
        <v>48</v>
      </c>
      <c r="H79" s="24">
        <v>31620</v>
      </c>
      <c r="I79" s="24">
        <f>T_reg.root.SK[[#This Row],[Volume, kg]]/1000</f>
        <v>31.62</v>
      </c>
      <c r="J79" s="25">
        <v>0.2661</v>
      </c>
      <c r="K79" s="25">
        <f t="shared" si="1"/>
        <v>8414.0820000000003</v>
      </c>
      <c r="L79" s="25">
        <v>3.23</v>
      </c>
      <c r="M79" s="24">
        <v>102207</v>
      </c>
      <c r="N79" s="25">
        <f>IFERROR(T_reg.root.SK[[#This Row],[Price]]/T_reg.root.SK[[#This Row],[Starch content]],"")</f>
        <v>12.138293874483276</v>
      </c>
    </row>
    <row r="80" spans="1:14">
      <c r="A80" s="21">
        <v>2023</v>
      </c>
      <c r="B80" s="21" t="s">
        <v>17</v>
      </c>
      <c r="C80" s="21" t="s">
        <v>1145</v>
      </c>
      <c r="D80" s="21" t="s">
        <v>35</v>
      </c>
      <c r="E80" s="17" t="s">
        <v>136</v>
      </c>
      <c r="F80" s="18" t="s">
        <v>105</v>
      </c>
      <c r="G80" s="18" t="s">
        <v>48</v>
      </c>
      <c r="H80" s="24">
        <v>338750</v>
      </c>
      <c r="I80" s="24">
        <f>T_reg.root.SK[[#This Row],[Volume, kg]]/1000</f>
        <v>338.75</v>
      </c>
      <c r="J80" s="25">
        <v>0.29276150848708488</v>
      </c>
      <c r="K80" s="25">
        <f t="shared" si="1"/>
        <v>99172.960999999996</v>
      </c>
      <c r="L80" s="25">
        <v>3.3237774169741701</v>
      </c>
      <c r="M80" s="24">
        <v>1125929.6000000001</v>
      </c>
      <c r="N80" s="25">
        <f>IFERROR(T_reg.root.SK[[#This Row],[Price]]/T_reg.root.SK[[#This Row],[Starch content]],"")</f>
        <v>11.35319131996069</v>
      </c>
    </row>
    <row r="81" spans="1:14">
      <c r="A81" s="21">
        <v>2023</v>
      </c>
      <c r="B81" s="21" t="s">
        <v>17</v>
      </c>
      <c r="C81" s="21" t="s">
        <v>1145</v>
      </c>
      <c r="D81" s="21" t="s">
        <v>35</v>
      </c>
      <c r="E81" s="17" t="s">
        <v>137</v>
      </c>
      <c r="F81" s="18" t="s">
        <v>105</v>
      </c>
      <c r="G81" s="18" t="s">
        <v>48</v>
      </c>
      <c r="H81" s="24">
        <v>156160</v>
      </c>
      <c r="I81" s="24">
        <f>T_reg.root.SK[[#This Row],[Volume, kg]]/1000</f>
        <v>156.16</v>
      </c>
      <c r="J81" s="25">
        <v>0.28992656249999998</v>
      </c>
      <c r="K81" s="25">
        <f t="shared" si="1"/>
        <v>45274.932000000001</v>
      </c>
      <c r="L81" s="25">
        <v>3.307322617827869</v>
      </c>
      <c r="M81" s="24">
        <v>516471.5</v>
      </c>
      <c r="N81" s="25">
        <f>IFERROR(T_reg.root.SK[[#This Row],[Price]]/T_reg.root.SK[[#This Row],[Starch content]],"")</f>
        <v>11.407449491034024</v>
      </c>
    </row>
    <row r="82" spans="1:14">
      <c r="A82" s="21">
        <v>2023</v>
      </c>
      <c r="B82" s="21" t="s">
        <v>17</v>
      </c>
      <c r="C82" s="21" t="s">
        <v>1145</v>
      </c>
      <c r="D82" s="21" t="s">
        <v>35</v>
      </c>
      <c r="E82" s="17" t="s">
        <v>138</v>
      </c>
      <c r="F82" s="18" t="s">
        <v>105</v>
      </c>
      <c r="G82" s="18" t="s">
        <v>48</v>
      </c>
      <c r="H82" s="24">
        <v>277540</v>
      </c>
      <c r="I82" s="24">
        <f>T_reg.root.SK[[#This Row],[Volume, kg]]/1000</f>
        <v>277.54000000000002</v>
      </c>
      <c r="J82" s="25">
        <v>0.2863</v>
      </c>
      <c r="K82" s="25">
        <f t="shared" si="1"/>
        <v>79459.702000000005</v>
      </c>
      <c r="L82" s="25">
        <v>3.29</v>
      </c>
      <c r="M82" s="24">
        <v>912208.4</v>
      </c>
      <c r="N82" s="25">
        <f>IFERROR(T_reg.root.SK[[#This Row],[Price]]/T_reg.root.SK[[#This Row],[Starch content]],"")</f>
        <v>11.491442542787286</v>
      </c>
    </row>
    <row r="83" spans="1:14">
      <c r="A83" s="21">
        <v>2023</v>
      </c>
      <c r="B83" s="21" t="s">
        <v>17</v>
      </c>
      <c r="C83" s="21" t="s">
        <v>1145</v>
      </c>
      <c r="D83" s="21" t="s">
        <v>35</v>
      </c>
      <c r="E83" s="17" t="s">
        <v>139</v>
      </c>
      <c r="F83" s="18" t="s">
        <v>105</v>
      </c>
      <c r="G83" s="18" t="s">
        <v>48</v>
      </c>
      <c r="H83" s="24">
        <v>18340</v>
      </c>
      <c r="I83" s="24">
        <f>T_reg.root.SK[[#This Row],[Volume, kg]]/1000</f>
        <v>18.34</v>
      </c>
      <c r="J83" s="25">
        <v>0.31290000000000001</v>
      </c>
      <c r="K83" s="25">
        <f t="shared" si="1"/>
        <v>5738.5860000000002</v>
      </c>
      <c r="L83" s="25">
        <v>3.37</v>
      </c>
      <c r="M83" s="24">
        <v>61791</v>
      </c>
      <c r="N83" s="25">
        <f>IFERROR(T_reg.root.SK[[#This Row],[Price]]/T_reg.root.SK[[#This Row],[Starch content]],"")</f>
        <v>10.770214125918823</v>
      </c>
    </row>
    <row r="84" spans="1:14">
      <c r="A84" s="21">
        <v>2023</v>
      </c>
      <c r="B84" s="21" t="s">
        <v>17</v>
      </c>
      <c r="C84" s="21" t="s">
        <v>1145</v>
      </c>
      <c r="D84" s="21" t="s">
        <v>35</v>
      </c>
      <c r="E84" s="17" t="s">
        <v>140</v>
      </c>
      <c r="F84" s="18" t="s">
        <v>105</v>
      </c>
      <c r="G84" s="18" t="s">
        <v>48</v>
      </c>
      <c r="H84" s="24">
        <v>8400</v>
      </c>
      <c r="I84" s="24">
        <f>T_reg.root.SK[[#This Row],[Volume, kg]]/1000</f>
        <v>8.4</v>
      </c>
      <c r="J84" s="25">
        <v>0.31</v>
      </c>
      <c r="K84" s="25">
        <f t="shared" si="1"/>
        <v>2604</v>
      </c>
      <c r="L84" s="25">
        <v>3.4</v>
      </c>
      <c r="M84" s="24">
        <v>28560</v>
      </c>
      <c r="N84" s="25">
        <f>IFERROR(T_reg.root.SK[[#This Row],[Price]]/T_reg.root.SK[[#This Row],[Starch content]],"")</f>
        <v>10.96774193548387</v>
      </c>
    </row>
    <row r="85" spans="1:14">
      <c r="A85" s="21">
        <v>2023</v>
      </c>
      <c r="B85" s="21" t="s">
        <v>17</v>
      </c>
      <c r="C85" s="21" t="s">
        <v>1145</v>
      </c>
      <c r="D85" s="21" t="s">
        <v>35</v>
      </c>
      <c r="E85" s="17" t="s">
        <v>141</v>
      </c>
      <c r="F85" s="18" t="s">
        <v>105</v>
      </c>
      <c r="G85" s="18" t="s">
        <v>48</v>
      </c>
      <c r="H85" s="24">
        <v>17780</v>
      </c>
      <c r="I85" s="24">
        <f>T_reg.root.SK[[#This Row],[Volume, kg]]/1000</f>
        <v>17.78</v>
      </c>
      <c r="J85" s="25">
        <v>0.32789999999999997</v>
      </c>
      <c r="K85" s="25">
        <f t="shared" si="1"/>
        <v>5830.0619999999999</v>
      </c>
      <c r="L85" s="25">
        <v>3.55</v>
      </c>
      <c r="M85" s="24">
        <v>63119</v>
      </c>
      <c r="N85" s="25">
        <f>IFERROR(T_reg.root.SK[[#This Row],[Price]]/T_reg.root.SK[[#This Row],[Starch content]],"")</f>
        <v>10.826471485208906</v>
      </c>
    </row>
    <row r="86" spans="1:14">
      <c r="A86" s="21">
        <v>2023</v>
      </c>
      <c r="B86" s="21" t="s">
        <v>17</v>
      </c>
      <c r="C86" s="21" t="s">
        <v>1145</v>
      </c>
      <c r="D86" s="21" t="s">
        <v>35</v>
      </c>
      <c r="E86" s="17" t="s">
        <v>142</v>
      </c>
      <c r="F86" s="18" t="s">
        <v>105</v>
      </c>
      <c r="G86" s="18" t="s">
        <v>48</v>
      </c>
      <c r="H86" s="24">
        <v>66550</v>
      </c>
      <c r="I86" s="24">
        <f>T_reg.root.SK[[#This Row],[Volume, kg]]/1000</f>
        <v>66.55</v>
      </c>
      <c r="J86" s="25">
        <v>0.28580999248685196</v>
      </c>
      <c r="K86" s="25">
        <f t="shared" si="1"/>
        <v>19020.654999999999</v>
      </c>
      <c r="L86" s="25">
        <v>3.262757325319309</v>
      </c>
      <c r="M86" s="24">
        <v>217136.5</v>
      </c>
      <c r="N86" s="25">
        <f>IFERROR(T_reg.root.SK[[#This Row],[Price]]/T_reg.root.SK[[#This Row],[Starch content]],"")</f>
        <v>11.41582663688501</v>
      </c>
    </row>
    <row r="87" spans="1:14">
      <c r="A87" s="21">
        <v>2023</v>
      </c>
      <c r="B87" s="21" t="s">
        <v>17</v>
      </c>
      <c r="C87" s="21" t="s">
        <v>1145</v>
      </c>
      <c r="D87" s="21" t="s">
        <v>35</v>
      </c>
      <c r="E87" s="17" t="s">
        <v>143</v>
      </c>
      <c r="F87" s="18" t="s">
        <v>105</v>
      </c>
      <c r="G87" s="18" t="s">
        <v>48</v>
      </c>
      <c r="H87" s="24">
        <v>96570</v>
      </c>
      <c r="I87" s="24">
        <f>T_reg.root.SK[[#This Row],[Volume, kg]]/1000</f>
        <v>96.57</v>
      </c>
      <c r="J87" s="25">
        <v>0.30208783266024647</v>
      </c>
      <c r="K87" s="25">
        <f t="shared" si="1"/>
        <v>29172.622000000003</v>
      </c>
      <c r="L87" s="25">
        <v>3.3369731800766282</v>
      </c>
      <c r="M87" s="24">
        <v>322251.5</v>
      </c>
      <c r="N87" s="25">
        <f>IFERROR(T_reg.root.SK[[#This Row],[Price]]/T_reg.root.SK[[#This Row],[Starch content]],"")</f>
        <v>11.046367378290507</v>
      </c>
    </row>
    <row r="88" spans="1:14">
      <c r="A88" s="21">
        <v>2023</v>
      </c>
      <c r="B88" s="21" t="s">
        <v>17</v>
      </c>
      <c r="C88" s="21" t="s">
        <v>1145</v>
      </c>
      <c r="D88" s="21" t="s">
        <v>35</v>
      </c>
      <c r="E88" s="17" t="s">
        <v>144</v>
      </c>
      <c r="F88" s="18" t="s">
        <v>105</v>
      </c>
      <c r="G88" s="18" t="s">
        <v>48</v>
      </c>
      <c r="H88" s="24">
        <v>14640</v>
      </c>
      <c r="I88" s="24">
        <f>T_reg.root.SK[[#This Row],[Volume, kg]]/1000</f>
        <v>14.64</v>
      </c>
      <c r="J88" s="25">
        <v>0.28160000000000002</v>
      </c>
      <c r="K88" s="25">
        <f t="shared" si="1"/>
        <v>4122.6239999999998</v>
      </c>
      <c r="L88" s="25">
        <v>3.27</v>
      </c>
      <c r="M88" s="24">
        <v>47898</v>
      </c>
      <c r="N88" s="25">
        <f>IFERROR(T_reg.root.SK[[#This Row],[Price]]/T_reg.root.SK[[#This Row],[Starch content]],"")</f>
        <v>11.612215909090908</v>
      </c>
    </row>
    <row r="89" spans="1:14">
      <c r="A89" s="21">
        <v>2023</v>
      </c>
      <c r="B89" s="21" t="s">
        <v>17</v>
      </c>
      <c r="C89" s="21" t="s">
        <v>1145</v>
      </c>
      <c r="D89" s="21" t="s">
        <v>35</v>
      </c>
      <c r="E89" s="17" t="s">
        <v>145</v>
      </c>
      <c r="F89" s="18" t="s">
        <v>105</v>
      </c>
      <c r="G89" s="18" t="s">
        <v>48</v>
      </c>
      <c r="H89" s="24">
        <v>75990</v>
      </c>
      <c r="I89" s="24">
        <f>T_reg.root.SK[[#This Row],[Volume, kg]]/1000</f>
        <v>75.989999999999995</v>
      </c>
      <c r="J89" s="25">
        <v>0.2853</v>
      </c>
      <c r="K89" s="25">
        <f t="shared" si="1"/>
        <v>21679.947</v>
      </c>
      <c r="L89" s="25">
        <v>3.26</v>
      </c>
      <c r="M89" s="24">
        <v>247388.5</v>
      </c>
      <c r="N89" s="25">
        <f>IFERROR(T_reg.root.SK[[#This Row],[Price]]/T_reg.root.SK[[#This Row],[Starch content]],"")</f>
        <v>11.426568524360322</v>
      </c>
    </row>
    <row r="90" spans="1:14">
      <c r="A90" s="21">
        <v>2023</v>
      </c>
      <c r="B90" s="21" t="s">
        <v>17</v>
      </c>
      <c r="C90" s="21" t="s">
        <v>1145</v>
      </c>
      <c r="D90" s="21" t="s">
        <v>35</v>
      </c>
      <c r="E90" s="17" t="s">
        <v>146</v>
      </c>
      <c r="F90" s="18" t="s">
        <v>105</v>
      </c>
      <c r="G90" s="18" t="s">
        <v>48</v>
      </c>
      <c r="H90" s="24">
        <v>1175520</v>
      </c>
      <c r="I90" s="24">
        <f>T_reg.root.SK[[#This Row],[Volume, kg]]/1000</f>
        <v>1175.52</v>
      </c>
      <c r="J90" s="25">
        <v>0.27415984670613847</v>
      </c>
      <c r="K90" s="25">
        <f t="shared" si="1"/>
        <v>322280.38299999991</v>
      </c>
      <c r="L90" s="25">
        <v>3.2315325983394585</v>
      </c>
      <c r="M90" s="24">
        <v>3798731.2</v>
      </c>
      <c r="N90" s="25">
        <f>IFERROR(T_reg.root.SK[[#This Row],[Price]]/T_reg.root.SK[[#This Row],[Starch content]],"")</f>
        <v>11.787038244893738</v>
      </c>
    </row>
    <row r="91" spans="1:14">
      <c r="A91" s="21">
        <v>2023</v>
      </c>
      <c r="B91" s="21" t="s">
        <v>17</v>
      </c>
      <c r="C91" s="21" t="s">
        <v>1145</v>
      </c>
      <c r="D91" s="21" t="s">
        <v>35</v>
      </c>
      <c r="E91" s="17" t="s">
        <v>147</v>
      </c>
      <c r="F91" s="18" t="s">
        <v>105</v>
      </c>
      <c r="G91" s="18" t="s">
        <v>48</v>
      </c>
      <c r="H91" s="24">
        <v>85500</v>
      </c>
      <c r="I91" s="24">
        <f>T_reg.root.SK[[#This Row],[Volume, kg]]/1000</f>
        <v>85.5</v>
      </c>
      <c r="J91" s="25">
        <v>0.28350000000000003</v>
      </c>
      <c r="K91" s="25">
        <f t="shared" si="1"/>
        <v>24239.250000000004</v>
      </c>
      <c r="L91" s="25">
        <v>3.32</v>
      </c>
      <c r="M91" s="24">
        <v>283828.5</v>
      </c>
      <c r="N91" s="25">
        <f>IFERROR(T_reg.root.SK[[#This Row],[Price]]/T_reg.root.SK[[#This Row],[Starch content]],"")</f>
        <v>11.710758377425043</v>
      </c>
    </row>
    <row r="92" spans="1:14">
      <c r="A92" s="21">
        <v>2023</v>
      </c>
      <c r="B92" s="21" t="s">
        <v>17</v>
      </c>
      <c r="C92" s="21" t="s">
        <v>1145</v>
      </c>
      <c r="D92" s="21" t="s">
        <v>35</v>
      </c>
      <c r="E92" s="17" t="s">
        <v>148</v>
      </c>
      <c r="F92" s="18" t="s">
        <v>105</v>
      </c>
      <c r="G92" s="18" t="s">
        <v>48</v>
      </c>
      <c r="H92" s="24">
        <v>62570</v>
      </c>
      <c r="I92" s="24">
        <f>T_reg.root.SK[[#This Row],[Volume, kg]]/1000</f>
        <v>62.57</v>
      </c>
      <c r="J92" s="25">
        <v>0.28559999999999997</v>
      </c>
      <c r="K92" s="25">
        <f t="shared" si="1"/>
        <v>17869.991999999998</v>
      </c>
      <c r="L92" s="25">
        <v>3.3</v>
      </c>
      <c r="M92" s="24">
        <v>206252.5</v>
      </c>
      <c r="N92" s="25">
        <f>IFERROR(T_reg.root.SK[[#This Row],[Price]]/T_reg.root.SK[[#This Row],[Starch content]],"")</f>
        <v>11.554621848739497</v>
      </c>
    </row>
    <row r="93" spans="1:14">
      <c r="A93" s="21">
        <v>2023</v>
      </c>
      <c r="B93" s="21" t="s">
        <v>17</v>
      </c>
      <c r="C93" s="21" t="s">
        <v>1145</v>
      </c>
      <c r="D93" s="21" t="s">
        <v>35</v>
      </c>
      <c r="E93" s="17" t="s">
        <v>149</v>
      </c>
      <c r="F93" s="18" t="s">
        <v>105</v>
      </c>
      <c r="G93" s="18" t="s">
        <v>48</v>
      </c>
      <c r="H93" s="24">
        <v>68480</v>
      </c>
      <c r="I93" s="24">
        <f>T_reg.root.SK[[#This Row],[Volume, kg]]/1000</f>
        <v>68.48</v>
      </c>
      <c r="J93" s="25">
        <v>0.27</v>
      </c>
      <c r="K93" s="25">
        <f t="shared" si="1"/>
        <v>18489.600000000002</v>
      </c>
      <c r="L93" s="25">
        <v>3.15</v>
      </c>
      <c r="M93" s="24">
        <v>215743.5</v>
      </c>
      <c r="N93" s="25">
        <f>IFERROR(T_reg.root.SK[[#This Row],[Price]]/T_reg.root.SK[[#This Row],[Starch content]],"")</f>
        <v>11.666666666666666</v>
      </c>
    </row>
    <row r="94" spans="1:14">
      <c r="A94" s="21">
        <v>2023</v>
      </c>
      <c r="B94" s="21" t="s">
        <v>17</v>
      </c>
      <c r="C94" s="21" t="s">
        <v>1145</v>
      </c>
      <c r="D94" s="21" t="s">
        <v>35</v>
      </c>
      <c r="E94" s="17" t="s">
        <v>150</v>
      </c>
      <c r="F94" s="18" t="s">
        <v>105</v>
      </c>
      <c r="G94" s="18" t="s">
        <v>48</v>
      </c>
      <c r="H94" s="24">
        <v>18140</v>
      </c>
      <c r="I94" s="24">
        <f>T_reg.root.SK[[#This Row],[Volume, kg]]/1000</f>
        <v>18.14</v>
      </c>
      <c r="J94" s="25">
        <v>0.27429999999999999</v>
      </c>
      <c r="K94" s="25">
        <f t="shared" si="1"/>
        <v>4975.8019999999997</v>
      </c>
      <c r="L94" s="25">
        <v>3.28</v>
      </c>
      <c r="M94" s="24">
        <v>59431</v>
      </c>
      <c r="N94" s="25">
        <f>IFERROR(T_reg.root.SK[[#This Row],[Price]]/T_reg.root.SK[[#This Row],[Starch content]],"")</f>
        <v>11.957710535909587</v>
      </c>
    </row>
    <row r="95" spans="1:14">
      <c r="A95" s="21">
        <v>2023</v>
      </c>
      <c r="B95" s="21" t="s">
        <v>17</v>
      </c>
      <c r="C95" s="21" t="s">
        <v>1145</v>
      </c>
      <c r="D95" s="21" t="s">
        <v>35</v>
      </c>
      <c r="E95" s="17" t="s">
        <v>151</v>
      </c>
      <c r="F95" s="18" t="s">
        <v>105</v>
      </c>
      <c r="G95" s="18" t="s">
        <v>48</v>
      </c>
      <c r="H95" s="24">
        <v>209080</v>
      </c>
      <c r="I95" s="24">
        <f>T_reg.root.SK[[#This Row],[Volume, kg]]/1000</f>
        <v>209.08</v>
      </c>
      <c r="J95" s="25">
        <v>0.29869983259996175</v>
      </c>
      <c r="K95" s="25">
        <f t="shared" si="1"/>
        <v>62452.161</v>
      </c>
      <c r="L95" s="25">
        <v>3.3435168356609912</v>
      </c>
      <c r="M95" s="24">
        <v>699062.5</v>
      </c>
      <c r="N95" s="25">
        <f>IFERROR(T_reg.root.SK[[#This Row],[Price]]/T_reg.root.SK[[#This Row],[Starch content]],"")</f>
        <v>11.193567825459235</v>
      </c>
    </row>
    <row r="96" spans="1:14">
      <c r="A96" s="21">
        <v>2023</v>
      </c>
      <c r="B96" s="21" t="s">
        <v>17</v>
      </c>
      <c r="C96" s="21" t="s">
        <v>1145</v>
      </c>
      <c r="D96" s="21" t="s">
        <v>35</v>
      </c>
      <c r="E96" s="17" t="s">
        <v>152</v>
      </c>
      <c r="F96" s="18" t="s">
        <v>105</v>
      </c>
      <c r="G96" s="18" t="s">
        <v>48</v>
      </c>
      <c r="H96" s="24">
        <v>33910</v>
      </c>
      <c r="I96" s="24">
        <f>T_reg.root.SK[[#This Row],[Volume, kg]]/1000</f>
        <v>33.909999999999997</v>
      </c>
      <c r="J96" s="25">
        <v>0.28920000000000001</v>
      </c>
      <c r="K96" s="25">
        <f t="shared" si="1"/>
        <v>9806.7720000000008</v>
      </c>
      <c r="L96" s="25">
        <v>3.3</v>
      </c>
      <c r="M96" s="24">
        <v>111896</v>
      </c>
      <c r="N96" s="25">
        <f>IFERROR(T_reg.root.SK[[#This Row],[Price]]/T_reg.root.SK[[#This Row],[Starch content]],"")</f>
        <v>11.410788381742737</v>
      </c>
    </row>
    <row r="97" spans="1:14">
      <c r="A97" s="21">
        <v>2023</v>
      </c>
      <c r="B97" s="21" t="s">
        <v>17</v>
      </c>
      <c r="C97" s="21" t="s">
        <v>1145</v>
      </c>
      <c r="D97" s="21" t="s">
        <v>35</v>
      </c>
      <c r="E97" s="17" t="s">
        <v>153</v>
      </c>
      <c r="F97" s="18" t="s">
        <v>105</v>
      </c>
      <c r="G97" s="18" t="s">
        <v>48</v>
      </c>
      <c r="H97" s="24">
        <v>9070</v>
      </c>
      <c r="I97" s="24">
        <f>T_reg.root.SK[[#This Row],[Volume, kg]]/1000</f>
        <v>9.07</v>
      </c>
      <c r="J97" s="25">
        <v>0.29415986769570007</v>
      </c>
      <c r="K97" s="25">
        <f t="shared" si="1"/>
        <v>2668.0299999999997</v>
      </c>
      <c r="L97" s="25">
        <v>3.3668687982359429</v>
      </c>
      <c r="M97" s="24">
        <v>30537.5</v>
      </c>
      <c r="N97" s="25">
        <f>IFERROR(T_reg.root.SK[[#This Row],[Price]]/T_reg.root.SK[[#This Row],[Starch content]],"")</f>
        <v>11.445710880312442</v>
      </c>
    </row>
    <row r="98" spans="1:14">
      <c r="A98" s="21">
        <v>2023</v>
      </c>
      <c r="B98" s="21" t="s">
        <v>17</v>
      </c>
      <c r="C98" s="21" t="s">
        <v>1145</v>
      </c>
      <c r="D98" s="21" t="s">
        <v>35</v>
      </c>
      <c r="E98" s="17" t="s">
        <v>154</v>
      </c>
      <c r="F98" s="18" t="s">
        <v>105</v>
      </c>
      <c r="G98" s="18" t="s">
        <v>48</v>
      </c>
      <c r="H98" s="24">
        <v>34960</v>
      </c>
      <c r="I98" s="24">
        <f>T_reg.root.SK[[#This Row],[Volume, kg]]/1000</f>
        <v>34.96</v>
      </c>
      <c r="J98" s="25">
        <v>0.28320000000000001</v>
      </c>
      <c r="K98" s="25">
        <f t="shared" si="1"/>
        <v>9900.6720000000005</v>
      </c>
      <c r="L98" s="25">
        <v>3.25</v>
      </c>
      <c r="M98" s="24">
        <v>113620</v>
      </c>
      <c r="N98" s="25">
        <f>IFERROR(T_reg.root.SK[[#This Row],[Price]]/T_reg.root.SK[[#This Row],[Starch content]],"")</f>
        <v>11.475988700564972</v>
      </c>
    </row>
    <row r="99" spans="1:14">
      <c r="A99" s="21">
        <v>2023</v>
      </c>
      <c r="B99" s="21" t="s">
        <v>17</v>
      </c>
      <c r="C99" s="21" t="s">
        <v>1145</v>
      </c>
      <c r="D99" s="21" t="s">
        <v>35</v>
      </c>
      <c r="E99" s="17" t="s">
        <v>155</v>
      </c>
      <c r="F99" s="18" t="s">
        <v>105</v>
      </c>
      <c r="G99" s="18" t="s">
        <v>48</v>
      </c>
      <c r="H99" s="24">
        <v>114210</v>
      </c>
      <c r="I99" s="24">
        <f>T_reg.root.SK[[#This Row],[Volume, kg]]/1000</f>
        <v>114.21</v>
      </c>
      <c r="J99" s="25">
        <v>0.28441062078627088</v>
      </c>
      <c r="K99" s="25">
        <f t="shared" si="1"/>
        <v>32482.536999999997</v>
      </c>
      <c r="L99" s="25">
        <v>3.2812625864635323</v>
      </c>
      <c r="M99" s="24">
        <v>374753</v>
      </c>
      <c r="N99" s="25">
        <f>IFERROR(T_reg.root.SK[[#This Row],[Price]]/T_reg.root.SK[[#This Row],[Starch content]],"")</f>
        <v>11.537060667397995</v>
      </c>
    </row>
    <row r="100" spans="1:14">
      <c r="A100" s="21">
        <v>2023</v>
      </c>
      <c r="B100" s="21" t="s">
        <v>17</v>
      </c>
      <c r="C100" s="21" t="s">
        <v>1145</v>
      </c>
      <c r="D100" s="21" t="s">
        <v>35</v>
      </c>
      <c r="E100" s="17" t="s">
        <v>156</v>
      </c>
      <c r="F100" s="18" t="s">
        <v>105</v>
      </c>
      <c r="G100" s="18" t="s">
        <v>48</v>
      </c>
      <c r="H100" s="24">
        <v>48990</v>
      </c>
      <c r="I100" s="24">
        <f>T_reg.root.SK[[#This Row],[Volume, kg]]/1000</f>
        <v>48.99</v>
      </c>
      <c r="J100" s="25">
        <v>0.29220000000000002</v>
      </c>
      <c r="K100" s="25">
        <f t="shared" si="1"/>
        <v>14314.878000000001</v>
      </c>
      <c r="L100" s="25">
        <v>3.32</v>
      </c>
      <c r="M100" s="24">
        <v>162666</v>
      </c>
      <c r="N100" s="25">
        <f>IFERROR(T_reg.root.SK[[#This Row],[Price]]/T_reg.root.SK[[#This Row],[Starch content]],"")</f>
        <v>11.362080766598218</v>
      </c>
    </row>
    <row r="101" spans="1:14">
      <c r="A101" s="21">
        <v>2023</v>
      </c>
      <c r="B101" s="21" t="s">
        <v>17</v>
      </c>
      <c r="C101" s="21" t="s">
        <v>1145</v>
      </c>
      <c r="D101" s="21" t="s">
        <v>35</v>
      </c>
      <c r="E101" s="17" t="s">
        <v>157</v>
      </c>
      <c r="F101" s="18" t="s">
        <v>105</v>
      </c>
      <c r="G101" s="18" t="s">
        <v>48</v>
      </c>
      <c r="H101" s="24">
        <v>37350</v>
      </c>
      <c r="I101" s="24">
        <f>T_reg.root.SK[[#This Row],[Volume, kg]]/1000</f>
        <v>37.35</v>
      </c>
      <c r="J101" s="25">
        <v>0.30199999999999999</v>
      </c>
      <c r="K101" s="25">
        <f t="shared" si="1"/>
        <v>11279.699999999999</v>
      </c>
      <c r="L101" s="25">
        <v>3.37</v>
      </c>
      <c r="M101" s="24">
        <v>125963</v>
      </c>
      <c r="N101" s="25">
        <f>IFERROR(T_reg.root.SK[[#This Row],[Price]]/T_reg.root.SK[[#This Row],[Starch content]],"")</f>
        <v>11.158940397350994</v>
      </c>
    </row>
    <row r="102" spans="1:14">
      <c r="A102" s="21">
        <v>2023</v>
      </c>
      <c r="B102" s="21" t="s">
        <v>17</v>
      </c>
      <c r="C102" s="21" t="s">
        <v>1145</v>
      </c>
      <c r="D102" s="21" t="s">
        <v>35</v>
      </c>
      <c r="E102" s="17" t="s">
        <v>158</v>
      </c>
      <c r="F102" s="18" t="s">
        <v>105</v>
      </c>
      <c r="G102" s="18" t="s">
        <v>48</v>
      </c>
      <c r="H102" s="24">
        <v>44360</v>
      </c>
      <c r="I102" s="24">
        <f>T_reg.root.SK[[#This Row],[Volume, kg]]/1000</f>
        <v>44.36</v>
      </c>
      <c r="J102" s="25">
        <v>0.27979244815148785</v>
      </c>
      <c r="K102" s="25">
        <f t="shared" si="1"/>
        <v>12411.593000000001</v>
      </c>
      <c r="L102" s="25">
        <v>3.2940486925157799</v>
      </c>
      <c r="M102" s="24">
        <v>146124</v>
      </c>
      <c r="N102" s="25">
        <f>IFERROR(T_reg.root.SK[[#This Row],[Price]]/T_reg.root.SK[[#This Row],[Starch content]],"")</f>
        <v>11.773186568396175</v>
      </c>
    </row>
    <row r="103" spans="1:14">
      <c r="A103" s="21">
        <v>2023</v>
      </c>
      <c r="B103" s="21" t="s">
        <v>17</v>
      </c>
      <c r="C103" s="21" t="s">
        <v>1145</v>
      </c>
      <c r="D103" s="21" t="s">
        <v>35</v>
      </c>
      <c r="E103" s="17" t="s">
        <v>159</v>
      </c>
      <c r="F103" s="18" t="s">
        <v>105</v>
      </c>
      <c r="G103" s="18" t="s">
        <v>48</v>
      </c>
      <c r="H103" s="24">
        <v>629200</v>
      </c>
      <c r="I103" s="24">
        <f>T_reg.root.SK[[#This Row],[Volume, kg]]/1000</f>
        <v>629.20000000000005</v>
      </c>
      <c r="J103" s="25">
        <v>0.27254880324221231</v>
      </c>
      <c r="K103" s="25">
        <f t="shared" si="1"/>
        <v>171487.70699999999</v>
      </c>
      <c r="L103" s="25">
        <v>3.216430228862047</v>
      </c>
      <c r="M103" s="24">
        <v>2023777.9</v>
      </c>
      <c r="N103" s="25">
        <f>IFERROR(T_reg.root.SK[[#This Row],[Price]]/T_reg.root.SK[[#This Row],[Starch content]],"")</f>
        <v>11.801300136341553</v>
      </c>
    </row>
    <row r="104" spans="1:14">
      <c r="A104" s="21">
        <v>2023</v>
      </c>
      <c r="B104" s="21" t="s">
        <v>17</v>
      </c>
      <c r="C104" s="21" t="s">
        <v>1145</v>
      </c>
      <c r="D104" s="21" t="s">
        <v>35</v>
      </c>
      <c r="E104" s="17" t="s">
        <v>160</v>
      </c>
      <c r="F104" s="18" t="s">
        <v>105</v>
      </c>
      <c r="G104" s="18" t="s">
        <v>48</v>
      </c>
      <c r="H104" s="24">
        <v>30790</v>
      </c>
      <c r="I104" s="24">
        <f>T_reg.root.SK[[#This Row],[Volume, kg]]/1000</f>
        <v>30.79</v>
      </c>
      <c r="J104" s="25">
        <v>0.29010000000000002</v>
      </c>
      <c r="K104" s="25">
        <f t="shared" si="1"/>
        <v>8932.1790000000001</v>
      </c>
      <c r="L104" s="25">
        <v>3.37</v>
      </c>
      <c r="M104" s="24">
        <v>103690</v>
      </c>
      <c r="N104" s="25">
        <f>IFERROR(T_reg.root.SK[[#This Row],[Price]]/T_reg.root.SK[[#This Row],[Starch content]],"")</f>
        <v>11.616683902102723</v>
      </c>
    </row>
    <row r="105" spans="1:14">
      <c r="A105" s="21">
        <v>2023</v>
      </c>
      <c r="B105" s="21" t="s">
        <v>17</v>
      </c>
      <c r="C105" s="21" t="s">
        <v>1145</v>
      </c>
      <c r="D105" s="21" t="s">
        <v>35</v>
      </c>
      <c r="E105" s="17" t="s">
        <v>161</v>
      </c>
      <c r="F105" s="18" t="s">
        <v>105</v>
      </c>
      <c r="G105" s="18" t="s">
        <v>48</v>
      </c>
      <c r="H105" s="24">
        <v>301080</v>
      </c>
      <c r="I105" s="24">
        <f>T_reg.root.SK[[#This Row],[Volume, kg]]/1000</f>
        <v>301.08</v>
      </c>
      <c r="J105" s="25">
        <v>0.29853421349807363</v>
      </c>
      <c r="K105" s="25">
        <f t="shared" si="1"/>
        <v>89882.681000000011</v>
      </c>
      <c r="L105" s="25">
        <v>3.366304636641424</v>
      </c>
      <c r="M105" s="24">
        <v>1013527</v>
      </c>
      <c r="N105" s="25">
        <f>IFERROR(T_reg.root.SK[[#This Row],[Price]]/T_reg.root.SK[[#This Row],[Starch content]],"")</f>
        <v>11.27611002168482</v>
      </c>
    </row>
    <row r="106" spans="1:14">
      <c r="A106" s="21">
        <v>2023</v>
      </c>
      <c r="B106" s="21" t="s">
        <v>17</v>
      </c>
      <c r="C106" s="21" t="s">
        <v>1145</v>
      </c>
      <c r="D106" s="21" t="s">
        <v>35</v>
      </c>
      <c r="E106" s="17" t="s">
        <v>162</v>
      </c>
      <c r="F106" s="18" t="s">
        <v>105</v>
      </c>
      <c r="G106" s="18" t="s">
        <v>48</v>
      </c>
      <c r="H106" s="24">
        <v>39350</v>
      </c>
      <c r="I106" s="24">
        <f>T_reg.root.SK[[#This Row],[Volume, kg]]/1000</f>
        <v>39.35</v>
      </c>
      <c r="J106" s="25">
        <v>0.25929999999999997</v>
      </c>
      <c r="K106" s="25">
        <f t="shared" si="1"/>
        <v>10203.454999999998</v>
      </c>
      <c r="L106" s="25">
        <v>3.15</v>
      </c>
      <c r="M106" s="24">
        <v>123923</v>
      </c>
      <c r="N106" s="25">
        <f>IFERROR(T_reg.root.SK[[#This Row],[Price]]/T_reg.root.SK[[#This Row],[Starch content]],"")</f>
        <v>12.148091014269188</v>
      </c>
    </row>
    <row r="107" spans="1:14">
      <c r="A107" s="21">
        <v>2023</v>
      </c>
      <c r="B107" s="21" t="s">
        <v>17</v>
      </c>
      <c r="C107" s="21" t="s">
        <v>1145</v>
      </c>
      <c r="D107" s="21" t="s">
        <v>35</v>
      </c>
      <c r="E107" s="17" t="s">
        <v>163</v>
      </c>
      <c r="F107" s="18" t="s">
        <v>105</v>
      </c>
      <c r="G107" s="18" t="s">
        <v>48</v>
      </c>
      <c r="H107" s="24">
        <v>153980</v>
      </c>
      <c r="I107" s="24">
        <f>T_reg.root.SK[[#This Row],[Volume, kg]]/1000</f>
        <v>153.97999999999999</v>
      </c>
      <c r="J107" s="25">
        <v>0.27984088842706839</v>
      </c>
      <c r="K107" s="25">
        <f t="shared" si="1"/>
        <v>43089.899999999994</v>
      </c>
      <c r="L107" s="25">
        <v>3.2677587998441355</v>
      </c>
      <c r="M107" s="24">
        <v>503169.5</v>
      </c>
      <c r="N107" s="25">
        <f>IFERROR(T_reg.root.SK[[#This Row],[Price]]/T_reg.root.SK[[#This Row],[Starch content]],"")</f>
        <v>11.677202778377302</v>
      </c>
    </row>
    <row r="108" spans="1:14">
      <c r="A108" s="21">
        <v>2023</v>
      </c>
      <c r="B108" s="21" t="s">
        <v>17</v>
      </c>
      <c r="C108" s="21" t="s">
        <v>1145</v>
      </c>
      <c r="D108" s="21" t="s">
        <v>35</v>
      </c>
      <c r="E108" s="17" t="s">
        <v>164</v>
      </c>
      <c r="F108" s="18" t="s">
        <v>105</v>
      </c>
      <c r="G108" s="18" t="s">
        <v>48</v>
      </c>
      <c r="H108" s="24">
        <v>548090</v>
      </c>
      <c r="I108" s="24">
        <f>T_reg.root.SK[[#This Row],[Volume, kg]]/1000</f>
        <v>548.09</v>
      </c>
      <c r="J108" s="25">
        <v>0.28022787680855332</v>
      </c>
      <c r="K108" s="25">
        <f t="shared" si="1"/>
        <v>153590.09699999998</v>
      </c>
      <c r="L108" s="25">
        <v>3.2570245762557244</v>
      </c>
      <c r="M108" s="24">
        <v>1785142.6</v>
      </c>
      <c r="N108" s="25">
        <f>IFERROR(T_reg.root.SK[[#This Row],[Price]]/T_reg.root.SK[[#This Row],[Starch content]],"")</f>
        <v>11.62277148636738</v>
      </c>
    </row>
    <row r="109" spans="1:14">
      <c r="A109" s="21">
        <v>2023</v>
      </c>
      <c r="B109" s="21" t="s">
        <v>17</v>
      </c>
      <c r="C109" s="21" t="s">
        <v>1145</v>
      </c>
      <c r="D109" s="21" t="s">
        <v>35</v>
      </c>
      <c r="E109" s="17" t="s">
        <v>165</v>
      </c>
      <c r="F109" s="18" t="s">
        <v>105</v>
      </c>
      <c r="G109" s="18" t="s">
        <v>48</v>
      </c>
      <c r="H109" s="24">
        <v>174320</v>
      </c>
      <c r="I109" s="24">
        <f>T_reg.root.SK[[#This Row],[Volume, kg]]/1000</f>
        <v>174.32</v>
      </c>
      <c r="J109" s="25">
        <v>0.29887322166131253</v>
      </c>
      <c r="K109" s="25">
        <f t="shared" si="1"/>
        <v>52099.58</v>
      </c>
      <c r="L109" s="25">
        <v>3.343701239100505</v>
      </c>
      <c r="M109" s="24">
        <v>582874</v>
      </c>
      <c r="N109" s="25">
        <f>IFERROR(T_reg.root.SK[[#This Row],[Price]]/T_reg.root.SK[[#This Row],[Starch content]],"")</f>
        <v>11.187690956433814</v>
      </c>
    </row>
    <row r="110" spans="1:14">
      <c r="A110" s="21">
        <v>2023</v>
      </c>
      <c r="B110" s="21" t="s">
        <v>17</v>
      </c>
      <c r="C110" s="21" t="s">
        <v>1145</v>
      </c>
      <c r="D110" s="21" t="s">
        <v>35</v>
      </c>
      <c r="E110" s="17" t="s">
        <v>166</v>
      </c>
      <c r="F110" s="18" t="s">
        <v>105</v>
      </c>
      <c r="G110" s="18" t="s">
        <v>48</v>
      </c>
      <c r="H110" s="24">
        <v>24050</v>
      </c>
      <c r="I110" s="24">
        <f>T_reg.root.SK[[#This Row],[Volume, kg]]/1000</f>
        <v>24.05</v>
      </c>
      <c r="J110" s="25">
        <v>0.29199999999999998</v>
      </c>
      <c r="K110" s="25">
        <f t="shared" si="1"/>
        <v>7022.5999999999995</v>
      </c>
      <c r="L110" s="25">
        <v>3.33</v>
      </c>
      <c r="M110" s="24">
        <v>80137.5</v>
      </c>
      <c r="N110" s="25">
        <f>IFERROR(T_reg.root.SK[[#This Row],[Price]]/T_reg.root.SK[[#This Row],[Starch content]],"")</f>
        <v>11.404109589041097</v>
      </c>
    </row>
    <row r="111" spans="1:14">
      <c r="A111" s="21">
        <v>2023</v>
      </c>
      <c r="B111" s="21" t="s">
        <v>17</v>
      </c>
      <c r="C111" s="21" t="s">
        <v>1145</v>
      </c>
      <c r="D111" s="21" t="s">
        <v>35</v>
      </c>
      <c r="E111" s="17" t="s">
        <v>167</v>
      </c>
      <c r="F111" s="18" t="s">
        <v>105</v>
      </c>
      <c r="G111" s="18" t="s">
        <v>48</v>
      </c>
      <c r="H111" s="24">
        <v>77910</v>
      </c>
      <c r="I111" s="24">
        <f>T_reg.root.SK[[#This Row],[Volume, kg]]/1000</f>
        <v>77.91</v>
      </c>
      <c r="J111" s="25">
        <v>0.2641</v>
      </c>
      <c r="K111" s="25">
        <f t="shared" si="1"/>
        <v>20576.030999999999</v>
      </c>
      <c r="L111" s="25">
        <v>3.16</v>
      </c>
      <c r="M111" s="24">
        <v>246539.5</v>
      </c>
      <c r="N111" s="25">
        <f>IFERROR(T_reg.root.SK[[#This Row],[Price]]/T_reg.root.SK[[#This Row],[Starch content]],"")</f>
        <v>11.965164710336994</v>
      </c>
    </row>
    <row r="112" spans="1:14">
      <c r="A112" s="21">
        <v>2023</v>
      </c>
      <c r="B112" s="21" t="s">
        <v>17</v>
      </c>
      <c r="C112" s="21" t="s">
        <v>1145</v>
      </c>
      <c r="D112" s="21" t="s">
        <v>35</v>
      </c>
      <c r="E112" s="17" t="s">
        <v>168</v>
      </c>
      <c r="F112" s="18" t="s">
        <v>105</v>
      </c>
      <c r="G112" s="18" t="s">
        <v>48</v>
      </c>
      <c r="H112" s="24">
        <v>20760</v>
      </c>
      <c r="I112" s="24">
        <f>T_reg.root.SK[[#This Row],[Volume, kg]]/1000</f>
        <v>20.76</v>
      </c>
      <c r="J112" s="25">
        <v>0.30159999999999998</v>
      </c>
      <c r="K112" s="25">
        <f t="shared" si="1"/>
        <v>6261.2159999999994</v>
      </c>
      <c r="L112" s="25">
        <v>3.4</v>
      </c>
      <c r="M112" s="24">
        <v>70561</v>
      </c>
      <c r="N112" s="25">
        <f>IFERROR(T_reg.root.SK[[#This Row],[Price]]/T_reg.root.SK[[#This Row],[Starch content]],"")</f>
        <v>11.273209549071618</v>
      </c>
    </row>
    <row r="113" spans="1:14">
      <c r="A113" s="21">
        <v>2023</v>
      </c>
      <c r="B113" s="21" t="s">
        <v>17</v>
      </c>
      <c r="C113" s="21" t="s">
        <v>1145</v>
      </c>
      <c r="D113" s="21" t="s">
        <v>35</v>
      </c>
      <c r="E113" s="17" t="s">
        <v>169</v>
      </c>
      <c r="F113" s="18" t="s">
        <v>105</v>
      </c>
      <c r="G113" s="18" t="s">
        <v>48</v>
      </c>
      <c r="H113" s="24">
        <v>172510</v>
      </c>
      <c r="I113" s="24">
        <f>T_reg.root.SK[[#This Row],[Volume, kg]]/1000</f>
        <v>172.51</v>
      </c>
      <c r="J113" s="25">
        <v>0.27717275520259699</v>
      </c>
      <c r="K113" s="25">
        <f t="shared" si="1"/>
        <v>47815.072000000007</v>
      </c>
      <c r="L113" s="25">
        <v>3.2537302185380557</v>
      </c>
      <c r="M113" s="24">
        <v>561301</v>
      </c>
      <c r="N113" s="25">
        <f>IFERROR(T_reg.root.SK[[#This Row],[Price]]/T_reg.root.SK[[#This Row],[Starch content]],"")</f>
        <v>11.738997276841911</v>
      </c>
    </row>
    <row r="114" spans="1:14">
      <c r="A114" s="21">
        <v>2023</v>
      </c>
      <c r="B114" s="21" t="s">
        <v>17</v>
      </c>
      <c r="C114" s="21" t="s">
        <v>1145</v>
      </c>
      <c r="D114" s="21" t="s">
        <v>35</v>
      </c>
      <c r="E114" s="17" t="s">
        <v>170</v>
      </c>
      <c r="F114" s="18" t="s">
        <v>105</v>
      </c>
      <c r="G114" s="18" t="s">
        <v>48</v>
      </c>
      <c r="H114" s="24">
        <v>116300</v>
      </c>
      <c r="I114" s="24">
        <f>T_reg.root.SK[[#This Row],[Volume, kg]]/1000</f>
        <v>116.3</v>
      </c>
      <c r="J114" s="25">
        <v>0.2591</v>
      </c>
      <c r="K114" s="25">
        <f t="shared" si="1"/>
        <v>30133.329999999998</v>
      </c>
      <c r="L114" s="25">
        <v>3.1</v>
      </c>
      <c r="M114" s="24">
        <v>360175</v>
      </c>
      <c r="N114" s="25">
        <f>IFERROR(T_reg.root.SK[[#This Row],[Price]]/T_reg.root.SK[[#This Row],[Starch content]],"")</f>
        <v>11.964492473948283</v>
      </c>
    </row>
    <row r="115" spans="1:14">
      <c r="A115" s="21">
        <v>2023</v>
      </c>
      <c r="B115" s="21" t="s">
        <v>17</v>
      </c>
      <c r="C115" s="21" t="s">
        <v>1145</v>
      </c>
      <c r="D115" s="21" t="s">
        <v>35</v>
      </c>
      <c r="E115" s="17" t="s">
        <v>171</v>
      </c>
      <c r="F115" s="18" t="s">
        <v>105</v>
      </c>
      <c r="G115" s="18" t="s">
        <v>48</v>
      </c>
      <c r="H115" s="24">
        <v>29900</v>
      </c>
      <c r="I115" s="24">
        <f>T_reg.root.SK[[#This Row],[Volume, kg]]/1000</f>
        <v>29.9</v>
      </c>
      <c r="J115" s="25">
        <v>0.31790000000000002</v>
      </c>
      <c r="K115" s="25">
        <f t="shared" si="1"/>
        <v>9505.2100000000009</v>
      </c>
      <c r="L115" s="25">
        <v>3.4</v>
      </c>
      <c r="M115" s="24">
        <v>101753</v>
      </c>
      <c r="N115" s="25">
        <f>IFERROR(T_reg.root.SK[[#This Row],[Price]]/T_reg.root.SK[[#This Row],[Starch content]],"")</f>
        <v>10.695187165775399</v>
      </c>
    </row>
    <row r="116" spans="1:14">
      <c r="A116" s="21">
        <v>2023</v>
      </c>
      <c r="B116" s="21" t="s">
        <v>17</v>
      </c>
      <c r="C116" s="21" t="s">
        <v>1145</v>
      </c>
      <c r="D116" s="21" t="s">
        <v>35</v>
      </c>
      <c r="E116" s="17" t="s">
        <v>172</v>
      </c>
      <c r="F116" s="18" t="s">
        <v>105</v>
      </c>
      <c r="G116" s="18" t="s">
        <v>48</v>
      </c>
      <c r="H116" s="24">
        <v>105150</v>
      </c>
      <c r="I116" s="24">
        <f>T_reg.root.SK[[#This Row],[Volume, kg]]/1000</f>
        <v>105.15</v>
      </c>
      <c r="J116" s="25">
        <v>0.27469052781740372</v>
      </c>
      <c r="K116" s="25">
        <f t="shared" si="1"/>
        <v>28883.709000000003</v>
      </c>
      <c r="L116" s="25">
        <v>3.2850641940085592</v>
      </c>
      <c r="M116" s="24">
        <v>345424.5</v>
      </c>
      <c r="N116" s="25">
        <f>IFERROR(T_reg.root.SK[[#This Row],[Price]]/T_reg.root.SK[[#This Row],[Starch content]],"")</f>
        <v>11.959146243995187</v>
      </c>
    </row>
    <row r="117" spans="1:14">
      <c r="A117" s="21">
        <v>2023</v>
      </c>
      <c r="B117" s="21" t="s">
        <v>17</v>
      </c>
      <c r="C117" s="21" t="s">
        <v>1145</v>
      </c>
      <c r="D117" s="21" t="s">
        <v>35</v>
      </c>
      <c r="E117" s="17" t="s">
        <v>173</v>
      </c>
      <c r="F117" s="18" t="s">
        <v>105</v>
      </c>
      <c r="G117" s="18" t="s">
        <v>48</v>
      </c>
      <c r="H117" s="24">
        <v>15260</v>
      </c>
      <c r="I117" s="24">
        <f>T_reg.root.SK[[#This Row],[Volume, kg]]/1000</f>
        <v>15.26</v>
      </c>
      <c r="J117" s="25">
        <v>0.31730000000000003</v>
      </c>
      <c r="K117" s="25">
        <f t="shared" si="1"/>
        <v>4841.9980000000005</v>
      </c>
      <c r="L117" s="25">
        <v>3.48</v>
      </c>
      <c r="M117" s="24">
        <v>53154.5</v>
      </c>
      <c r="N117" s="25">
        <f>IFERROR(T_reg.root.SK[[#This Row],[Price]]/T_reg.root.SK[[#This Row],[Starch content]],"")</f>
        <v>10.967538606996532</v>
      </c>
    </row>
    <row r="118" spans="1:14">
      <c r="A118" s="21">
        <v>2023</v>
      </c>
      <c r="B118" s="21" t="s">
        <v>17</v>
      </c>
      <c r="C118" s="21" t="s">
        <v>1145</v>
      </c>
      <c r="D118" s="21" t="s">
        <v>35</v>
      </c>
      <c r="E118" s="17" t="s">
        <v>174</v>
      </c>
      <c r="F118" s="18" t="s">
        <v>105</v>
      </c>
      <c r="G118" s="18" t="s">
        <v>48</v>
      </c>
      <c r="H118" s="24">
        <v>8560</v>
      </c>
      <c r="I118" s="24">
        <f>T_reg.root.SK[[#This Row],[Volume, kg]]/1000</f>
        <v>8.56</v>
      </c>
      <c r="J118" s="25">
        <v>0.2717</v>
      </c>
      <c r="K118" s="25">
        <f t="shared" si="1"/>
        <v>2325.752</v>
      </c>
      <c r="L118" s="25">
        <v>3.2</v>
      </c>
      <c r="M118" s="24">
        <v>27392</v>
      </c>
      <c r="N118" s="25">
        <f>IFERROR(T_reg.root.SK[[#This Row],[Price]]/T_reg.root.SK[[#This Row],[Starch content]],"")</f>
        <v>11.777695988222305</v>
      </c>
    </row>
    <row r="119" spans="1:14">
      <c r="A119" s="21">
        <v>2023</v>
      </c>
      <c r="B119" s="21" t="s">
        <v>17</v>
      </c>
      <c r="C119" s="21" t="s">
        <v>1145</v>
      </c>
      <c r="D119" s="21" t="s">
        <v>35</v>
      </c>
      <c r="E119" s="17" t="s">
        <v>175</v>
      </c>
      <c r="F119" s="18" t="s">
        <v>105</v>
      </c>
      <c r="G119" s="18" t="s">
        <v>48</v>
      </c>
      <c r="H119" s="24">
        <v>109900</v>
      </c>
      <c r="I119" s="24">
        <f>T_reg.root.SK[[#This Row],[Volume, kg]]/1000</f>
        <v>109.9</v>
      </c>
      <c r="J119" s="25">
        <v>0.30022169244767971</v>
      </c>
      <c r="K119" s="25">
        <f t="shared" si="1"/>
        <v>32994.364000000001</v>
      </c>
      <c r="L119" s="25">
        <v>3.3613466787989079</v>
      </c>
      <c r="M119" s="24">
        <v>369412</v>
      </c>
      <c r="N119" s="25">
        <f>IFERROR(T_reg.root.SK[[#This Row],[Price]]/T_reg.root.SK[[#This Row],[Starch content]],"")</f>
        <v>11.196215208148882</v>
      </c>
    </row>
    <row r="120" spans="1:14">
      <c r="A120" s="21">
        <v>2023</v>
      </c>
      <c r="B120" s="21" t="s">
        <v>17</v>
      </c>
      <c r="C120" s="21" t="s">
        <v>1145</v>
      </c>
      <c r="D120" s="21" t="s">
        <v>35</v>
      </c>
      <c r="E120" s="17" t="s">
        <v>176</v>
      </c>
      <c r="F120" s="18" t="s">
        <v>105</v>
      </c>
      <c r="G120" s="18" t="s">
        <v>48</v>
      </c>
      <c r="H120" s="24">
        <v>40130</v>
      </c>
      <c r="I120" s="24">
        <f>T_reg.root.SK[[#This Row],[Volume, kg]]/1000</f>
        <v>40.130000000000003</v>
      </c>
      <c r="J120" s="25">
        <v>0.27053501121355594</v>
      </c>
      <c r="K120" s="25">
        <f t="shared" si="1"/>
        <v>10856.57</v>
      </c>
      <c r="L120" s="25">
        <v>3.2284450535758782</v>
      </c>
      <c r="M120" s="24">
        <v>129557.5</v>
      </c>
      <c r="N120" s="25">
        <f>IFERROR(T_reg.root.SK[[#This Row],[Price]]/T_reg.root.SK[[#This Row],[Starch content]],"")</f>
        <v>11.933557283746154</v>
      </c>
    </row>
    <row r="121" spans="1:14">
      <c r="A121" s="21">
        <v>2023</v>
      </c>
      <c r="B121" s="21" t="s">
        <v>17</v>
      </c>
      <c r="C121" s="21" t="s">
        <v>1145</v>
      </c>
      <c r="D121" s="21" t="s">
        <v>35</v>
      </c>
      <c r="E121" s="17" t="s">
        <v>177</v>
      </c>
      <c r="F121" s="18" t="s">
        <v>105</v>
      </c>
      <c r="G121" s="18" t="s">
        <v>48</v>
      </c>
      <c r="H121" s="24">
        <v>21680</v>
      </c>
      <c r="I121" s="24">
        <f>T_reg.root.SK[[#This Row],[Volume, kg]]/1000</f>
        <v>21.68</v>
      </c>
      <c r="J121" s="25">
        <v>0.33939999999999998</v>
      </c>
      <c r="K121" s="25">
        <f t="shared" si="1"/>
        <v>7358.192</v>
      </c>
      <c r="L121" s="25">
        <v>3.55</v>
      </c>
      <c r="M121" s="24">
        <v>76964</v>
      </c>
      <c r="N121" s="25">
        <f>IFERROR(T_reg.root.SK[[#This Row],[Price]]/T_reg.root.SK[[#This Row],[Starch content]],"")</f>
        <v>10.459634649381261</v>
      </c>
    </row>
    <row r="122" spans="1:14">
      <c r="A122" s="21">
        <v>2023</v>
      </c>
      <c r="B122" s="21" t="s">
        <v>17</v>
      </c>
      <c r="C122" s="21" t="s">
        <v>1145</v>
      </c>
      <c r="D122" s="21" t="s">
        <v>35</v>
      </c>
      <c r="E122" s="17" t="s">
        <v>178</v>
      </c>
      <c r="F122" s="18" t="s">
        <v>105</v>
      </c>
      <c r="G122" s="18" t="s">
        <v>48</v>
      </c>
      <c r="H122" s="24">
        <v>78630</v>
      </c>
      <c r="I122" s="24">
        <f>T_reg.root.SK[[#This Row],[Volume, kg]]/1000</f>
        <v>78.63</v>
      </c>
      <c r="J122" s="25">
        <v>0.29232937809996185</v>
      </c>
      <c r="K122" s="25">
        <f t="shared" si="1"/>
        <v>22985.859</v>
      </c>
      <c r="L122" s="25">
        <v>3.3374793335876891</v>
      </c>
      <c r="M122" s="24">
        <v>262426</v>
      </c>
      <c r="N122" s="25">
        <f>IFERROR(T_reg.root.SK[[#This Row],[Price]]/T_reg.root.SK[[#This Row],[Starch content]],"")</f>
        <v>11.416845461376928</v>
      </c>
    </row>
    <row r="123" spans="1:14">
      <c r="A123" s="21">
        <v>2023</v>
      </c>
      <c r="B123" s="21" t="s">
        <v>17</v>
      </c>
      <c r="C123" s="21" t="s">
        <v>1145</v>
      </c>
      <c r="D123" s="21" t="s">
        <v>35</v>
      </c>
      <c r="E123" s="17" t="s">
        <v>179</v>
      </c>
      <c r="F123" s="18" t="s">
        <v>105</v>
      </c>
      <c r="G123" s="18" t="s">
        <v>48</v>
      </c>
      <c r="H123" s="24">
        <v>192290</v>
      </c>
      <c r="I123" s="24">
        <f>T_reg.root.SK[[#This Row],[Volume, kg]]/1000</f>
        <v>192.29</v>
      </c>
      <c r="J123" s="25">
        <v>0.28125377294711112</v>
      </c>
      <c r="K123" s="25">
        <f t="shared" si="1"/>
        <v>54082.288</v>
      </c>
      <c r="L123" s="25">
        <v>3.2525633158250562</v>
      </c>
      <c r="M123" s="24">
        <v>625435.4</v>
      </c>
      <c r="N123" s="25">
        <f>IFERROR(T_reg.root.SK[[#This Row],[Price]]/T_reg.root.SK[[#This Row],[Starch content]],"")</f>
        <v>11.564514430306648</v>
      </c>
    </row>
    <row r="124" spans="1:14">
      <c r="A124" s="21">
        <v>2023</v>
      </c>
      <c r="B124" s="21" t="s">
        <v>17</v>
      </c>
      <c r="C124" s="21" t="s">
        <v>1145</v>
      </c>
      <c r="D124" s="21" t="s">
        <v>35</v>
      </c>
      <c r="E124" s="17" t="s">
        <v>180</v>
      </c>
      <c r="F124" s="18" t="s">
        <v>105</v>
      </c>
      <c r="G124" s="18" t="s">
        <v>48</v>
      </c>
      <c r="H124" s="24">
        <v>22200</v>
      </c>
      <c r="I124" s="24">
        <f>T_reg.root.SK[[#This Row],[Volume, kg]]/1000</f>
        <v>22.2</v>
      </c>
      <c r="J124" s="25">
        <v>0.30903639639639641</v>
      </c>
      <c r="K124" s="25">
        <f t="shared" si="1"/>
        <v>6860.6080000000002</v>
      </c>
      <c r="L124" s="25">
        <v>3.4239639639639639</v>
      </c>
      <c r="M124" s="24">
        <v>76012</v>
      </c>
      <c r="N124" s="25">
        <f>IFERROR(T_reg.root.SK[[#This Row],[Price]]/T_reg.root.SK[[#This Row],[Starch content]],"")</f>
        <v>11.079484500499081</v>
      </c>
    </row>
    <row r="125" spans="1:14">
      <c r="A125" s="21">
        <v>2023</v>
      </c>
      <c r="B125" s="21" t="s">
        <v>17</v>
      </c>
      <c r="C125" s="21" t="s">
        <v>1145</v>
      </c>
      <c r="D125" s="21" t="s">
        <v>35</v>
      </c>
      <c r="E125" s="17" t="s">
        <v>181</v>
      </c>
      <c r="F125" s="18" t="s">
        <v>105</v>
      </c>
      <c r="G125" s="18" t="s">
        <v>48</v>
      </c>
      <c r="H125" s="24">
        <v>832880</v>
      </c>
      <c r="I125" s="24">
        <f>T_reg.root.SK[[#This Row],[Volume, kg]]/1000</f>
        <v>832.88</v>
      </c>
      <c r="J125" s="25">
        <v>0.28628941864374213</v>
      </c>
      <c r="K125" s="25">
        <f t="shared" si="1"/>
        <v>238444.73099999994</v>
      </c>
      <c r="L125" s="25">
        <v>3.2798335894726729</v>
      </c>
      <c r="M125" s="24">
        <v>2731707.8</v>
      </c>
      <c r="N125" s="25">
        <f>IFERROR(T_reg.root.SK[[#This Row],[Price]]/T_reg.root.SK[[#This Row],[Starch content]],"")</f>
        <v>11.456356315963218</v>
      </c>
    </row>
    <row r="126" spans="1:14">
      <c r="A126" s="21">
        <v>2023</v>
      </c>
      <c r="B126" s="21" t="s">
        <v>17</v>
      </c>
      <c r="C126" s="21" t="s">
        <v>1145</v>
      </c>
      <c r="D126" s="21" t="s">
        <v>35</v>
      </c>
      <c r="E126" s="17" t="s">
        <v>182</v>
      </c>
      <c r="F126" s="18" t="s">
        <v>105</v>
      </c>
      <c r="G126" s="18" t="s">
        <v>48</v>
      </c>
      <c r="H126" s="24">
        <v>68190</v>
      </c>
      <c r="I126" s="24">
        <f>T_reg.root.SK[[#This Row],[Volume, kg]]/1000</f>
        <v>68.19</v>
      </c>
      <c r="J126" s="25">
        <v>0.24306637336852915</v>
      </c>
      <c r="K126" s="25">
        <f t="shared" si="1"/>
        <v>16574.696000000004</v>
      </c>
      <c r="L126" s="25">
        <v>3.1028229945739842</v>
      </c>
      <c r="M126" s="24">
        <v>211581.5</v>
      </c>
      <c r="N126" s="25">
        <f>IFERROR(T_reg.root.SK[[#This Row],[Price]]/T_reg.root.SK[[#This Row],[Starch content]],"")</f>
        <v>12.765332166574877</v>
      </c>
    </row>
    <row r="127" spans="1:14">
      <c r="A127" s="21">
        <v>2023</v>
      </c>
      <c r="B127" s="21" t="s">
        <v>17</v>
      </c>
      <c r="C127" s="21" t="s">
        <v>1145</v>
      </c>
      <c r="D127" s="21" t="s">
        <v>35</v>
      </c>
      <c r="E127" s="17" t="s">
        <v>183</v>
      </c>
      <c r="F127" s="18" t="s">
        <v>105</v>
      </c>
      <c r="G127" s="18" t="s">
        <v>48</v>
      </c>
      <c r="H127" s="24">
        <v>509880</v>
      </c>
      <c r="I127" s="24">
        <f>T_reg.root.SK[[#This Row],[Volume, kg]]/1000</f>
        <v>509.88</v>
      </c>
      <c r="J127" s="25">
        <v>0.31418717345257707</v>
      </c>
      <c r="K127" s="25">
        <f t="shared" si="1"/>
        <v>160197.75599999999</v>
      </c>
      <c r="L127" s="25">
        <v>3.421787675531498</v>
      </c>
      <c r="M127" s="24">
        <v>1744701.1</v>
      </c>
      <c r="N127" s="25">
        <f>IFERROR(T_reg.root.SK[[#This Row],[Price]]/T_reg.root.SK[[#This Row],[Starch content]],"")</f>
        <v>10.890920968955397</v>
      </c>
    </row>
    <row r="128" spans="1:14">
      <c r="A128" s="21">
        <v>2023</v>
      </c>
      <c r="B128" s="21" t="s">
        <v>17</v>
      </c>
      <c r="C128" s="21" t="s">
        <v>1145</v>
      </c>
      <c r="D128" s="21" t="s">
        <v>184</v>
      </c>
      <c r="E128" s="17" t="s">
        <v>185</v>
      </c>
      <c r="F128" s="18" t="s">
        <v>105</v>
      </c>
      <c r="G128" s="18" t="s">
        <v>48</v>
      </c>
      <c r="H128" s="24">
        <v>202230</v>
      </c>
      <c r="I128" s="24">
        <f>T_reg.root.SK[[#This Row],[Volume, kg]]/1000</f>
        <v>202.23</v>
      </c>
      <c r="J128" s="25">
        <v>0.3108614201651585</v>
      </c>
      <c r="K128" s="25">
        <f t="shared" si="1"/>
        <v>62865.505000000005</v>
      </c>
      <c r="L128" s="25">
        <v>3.3912747861345993</v>
      </c>
      <c r="M128" s="24">
        <v>685817.5</v>
      </c>
      <c r="N128" s="25">
        <f>IFERROR(T_reg.root.SK[[#This Row],[Price]]/T_reg.root.SK[[#This Row],[Starch content]],"")</f>
        <v>10.909281648178917</v>
      </c>
    </row>
    <row r="129" spans="1:14">
      <c r="A129" s="21">
        <v>2023</v>
      </c>
      <c r="B129" s="21" t="s">
        <v>17</v>
      </c>
      <c r="C129" s="21" t="s">
        <v>1145</v>
      </c>
      <c r="D129" s="21" t="s">
        <v>35</v>
      </c>
      <c r="E129" s="17" t="s">
        <v>186</v>
      </c>
      <c r="F129" s="18" t="s">
        <v>187</v>
      </c>
      <c r="G129" s="18" t="s">
        <v>48</v>
      </c>
      <c r="H129" s="24">
        <v>9890</v>
      </c>
      <c r="I129" s="24">
        <f>T_reg.root.SK[[#This Row],[Volume, kg]]/1000</f>
        <v>9.89</v>
      </c>
      <c r="J129" s="25">
        <v>0.24199999999999999</v>
      </c>
      <c r="K129" s="25">
        <f t="shared" si="1"/>
        <v>2393.38</v>
      </c>
      <c r="L129" s="25">
        <v>3.05</v>
      </c>
      <c r="M129" s="24">
        <v>30164.5</v>
      </c>
      <c r="N129" s="25">
        <f>IFERROR(T_reg.root.SK[[#This Row],[Price]]/T_reg.root.SK[[#This Row],[Starch content]],"")</f>
        <v>12.603305785123966</v>
      </c>
    </row>
    <row r="130" spans="1:14">
      <c r="A130" s="21">
        <v>2023</v>
      </c>
      <c r="B130" s="21" t="s">
        <v>17</v>
      </c>
      <c r="C130" s="21" t="s">
        <v>1145</v>
      </c>
      <c r="D130" s="21" t="s">
        <v>35</v>
      </c>
      <c r="E130" s="17" t="s">
        <v>188</v>
      </c>
      <c r="F130" s="18" t="s">
        <v>187</v>
      </c>
      <c r="G130" s="18" t="s">
        <v>48</v>
      </c>
      <c r="H130" s="24">
        <v>7300</v>
      </c>
      <c r="I130" s="24">
        <f>T_reg.root.SK[[#This Row],[Volume, kg]]/1000</f>
        <v>7.3</v>
      </c>
      <c r="J130" s="25">
        <v>0.27699999999999997</v>
      </c>
      <c r="K130" s="25">
        <f t="shared" si="1"/>
        <v>2022.0999999999997</v>
      </c>
      <c r="L130" s="25">
        <v>3.25</v>
      </c>
      <c r="M130" s="24">
        <v>23725</v>
      </c>
      <c r="N130" s="25">
        <f>IFERROR(T_reg.root.SK[[#This Row],[Price]]/T_reg.root.SK[[#This Row],[Starch content]],"")</f>
        <v>11.732851985559568</v>
      </c>
    </row>
    <row r="131" spans="1:14">
      <c r="A131" s="21">
        <v>2023</v>
      </c>
      <c r="B131" s="21" t="s">
        <v>17</v>
      </c>
      <c r="C131" s="21" t="s">
        <v>1145</v>
      </c>
      <c r="D131" s="21" t="s">
        <v>35</v>
      </c>
      <c r="E131" s="17" t="s">
        <v>189</v>
      </c>
      <c r="F131" s="18" t="s">
        <v>187</v>
      </c>
      <c r="G131" s="18" t="s">
        <v>48</v>
      </c>
      <c r="H131" s="24">
        <v>11460</v>
      </c>
      <c r="I131" s="24">
        <f>T_reg.root.SK[[#This Row],[Volume, kg]]/1000</f>
        <v>11.46</v>
      </c>
      <c r="J131" s="25">
        <v>0.31489999999999996</v>
      </c>
      <c r="K131" s="25">
        <f t="shared" ref="K131:K194" si="2">H131*J131</f>
        <v>3608.7539999999995</v>
      </c>
      <c r="L131" s="25">
        <v>3.42</v>
      </c>
      <c r="M131" s="24">
        <v>39240.5</v>
      </c>
      <c r="N131" s="25">
        <f>IFERROR(T_reg.root.SK[[#This Row],[Price]]/T_reg.root.SK[[#This Row],[Starch content]],"")</f>
        <v>10.860590663702764</v>
      </c>
    </row>
    <row r="132" spans="1:14">
      <c r="A132" s="21">
        <v>2023</v>
      </c>
      <c r="B132" s="21" t="s">
        <v>17</v>
      </c>
      <c r="C132" s="21" t="s">
        <v>1145</v>
      </c>
      <c r="D132" s="21" t="s">
        <v>35</v>
      </c>
      <c r="E132" s="17" t="s">
        <v>190</v>
      </c>
      <c r="F132" s="18" t="s">
        <v>187</v>
      </c>
      <c r="G132" s="18" t="s">
        <v>48</v>
      </c>
      <c r="H132" s="24">
        <v>5110</v>
      </c>
      <c r="I132" s="24">
        <f>T_reg.root.SK[[#This Row],[Volume, kg]]/1000</f>
        <v>5.1100000000000003</v>
      </c>
      <c r="J132" s="25">
        <v>0.27300000000000002</v>
      </c>
      <c r="K132" s="25">
        <f t="shared" si="2"/>
        <v>1395.0300000000002</v>
      </c>
      <c r="L132" s="25">
        <v>3.2</v>
      </c>
      <c r="M132" s="24">
        <v>16352</v>
      </c>
      <c r="N132" s="25">
        <f>IFERROR(T_reg.root.SK[[#This Row],[Price]]/T_reg.root.SK[[#This Row],[Starch content]],"")</f>
        <v>11.721611721611721</v>
      </c>
    </row>
    <row r="133" spans="1:14">
      <c r="A133" s="21">
        <v>2023</v>
      </c>
      <c r="B133" s="21" t="s">
        <v>17</v>
      </c>
      <c r="C133" s="21" t="s">
        <v>1145</v>
      </c>
      <c r="D133" s="21" t="s">
        <v>35</v>
      </c>
      <c r="E133" s="17" t="s">
        <v>191</v>
      </c>
      <c r="F133" s="18" t="s">
        <v>187</v>
      </c>
      <c r="G133" s="18" t="s">
        <v>48</v>
      </c>
      <c r="H133" s="24">
        <v>60670</v>
      </c>
      <c r="I133" s="24">
        <f>T_reg.root.SK[[#This Row],[Volume, kg]]/1000</f>
        <v>60.67</v>
      </c>
      <c r="J133" s="25">
        <v>0.28834179990110431</v>
      </c>
      <c r="K133" s="25">
        <f t="shared" si="2"/>
        <v>17493.697</v>
      </c>
      <c r="L133" s="25">
        <v>3.2911076314488215</v>
      </c>
      <c r="M133" s="24">
        <v>199671.5</v>
      </c>
      <c r="N133" s="25">
        <f>IFERROR(T_reg.root.SK[[#This Row],[Price]]/T_reg.root.SK[[#This Row],[Starch content]],"")</f>
        <v>11.413910964617715</v>
      </c>
    </row>
    <row r="134" spans="1:14">
      <c r="A134" s="21">
        <v>2023</v>
      </c>
      <c r="B134" s="21" t="s">
        <v>17</v>
      </c>
      <c r="C134" s="21" t="s">
        <v>1145</v>
      </c>
      <c r="D134" s="21" t="s">
        <v>35</v>
      </c>
      <c r="E134" s="17" t="s">
        <v>192</v>
      </c>
      <c r="F134" s="18" t="s">
        <v>187</v>
      </c>
      <c r="G134" s="18" t="s">
        <v>48</v>
      </c>
      <c r="H134" s="24">
        <v>36420</v>
      </c>
      <c r="I134" s="24">
        <f>T_reg.root.SK[[#This Row],[Volume, kg]]/1000</f>
        <v>36.42</v>
      </c>
      <c r="J134" s="25">
        <v>0.24340000000000001</v>
      </c>
      <c r="K134" s="25">
        <f t="shared" si="2"/>
        <v>8864.6280000000006</v>
      </c>
      <c r="L134" s="25">
        <v>3.06</v>
      </c>
      <c r="M134" s="24">
        <v>111493.5</v>
      </c>
      <c r="N134" s="25">
        <f>IFERROR(T_reg.root.SK[[#This Row],[Price]]/T_reg.root.SK[[#This Row],[Starch content]],"")</f>
        <v>12.571898110106821</v>
      </c>
    </row>
    <row r="135" spans="1:14">
      <c r="A135" s="21">
        <v>2023</v>
      </c>
      <c r="B135" s="21" t="s">
        <v>17</v>
      </c>
      <c r="C135" s="21" t="s">
        <v>1145</v>
      </c>
      <c r="D135" s="21" t="s">
        <v>35</v>
      </c>
      <c r="E135" s="17" t="s">
        <v>193</v>
      </c>
      <c r="F135" s="18" t="s">
        <v>187</v>
      </c>
      <c r="G135" s="18" t="s">
        <v>48</v>
      </c>
      <c r="H135" s="24">
        <v>14740</v>
      </c>
      <c r="I135" s="24">
        <f>T_reg.root.SK[[#This Row],[Volume, kg]]/1000</f>
        <v>14.74</v>
      </c>
      <c r="J135" s="25">
        <v>0.24329999999999999</v>
      </c>
      <c r="K135" s="25">
        <f t="shared" si="2"/>
        <v>3586.2419999999997</v>
      </c>
      <c r="L135" s="25">
        <v>3.06</v>
      </c>
      <c r="M135" s="24">
        <v>45154.5</v>
      </c>
      <c r="N135" s="25">
        <f>IFERROR(T_reg.root.SK[[#This Row],[Price]]/T_reg.root.SK[[#This Row],[Starch content]],"")</f>
        <v>12.577065351418003</v>
      </c>
    </row>
    <row r="136" spans="1:14">
      <c r="A136" s="21">
        <v>2023</v>
      </c>
      <c r="B136" s="21" t="s">
        <v>17</v>
      </c>
      <c r="C136" s="21" t="s">
        <v>1145</v>
      </c>
      <c r="D136" s="21" t="s">
        <v>35</v>
      </c>
      <c r="E136" s="17" t="s">
        <v>194</v>
      </c>
      <c r="F136" s="18" t="s">
        <v>187</v>
      </c>
      <c r="G136" s="18" t="s">
        <v>48</v>
      </c>
      <c r="H136" s="24">
        <v>92090</v>
      </c>
      <c r="I136" s="24">
        <f>T_reg.root.SK[[#This Row],[Volume, kg]]/1000</f>
        <v>92.09</v>
      </c>
      <c r="J136" s="25">
        <v>0.28260000000000002</v>
      </c>
      <c r="K136" s="25">
        <f t="shared" si="2"/>
        <v>26024.634000000002</v>
      </c>
      <c r="L136" s="25">
        <v>3.25</v>
      </c>
      <c r="M136" s="24">
        <v>299026</v>
      </c>
      <c r="N136" s="25">
        <f>IFERROR(T_reg.root.SK[[#This Row],[Price]]/T_reg.root.SK[[#This Row],[Starch content]],"")</f>
        <v>11.500353857041754</v>
      </c>
    </row>
    <row r="137" spans="1:14">
      <c r="A137" s="21">
        <v>2023</v>
      </c>
      <c r="B137" s="21" t="s">
        <v>17</v>
      </c>
      <c r="C137" s="21" t="s">
        <v>1145</v>
      </c>
      <c r="D137" s="21" t="s">
        <v>35</v>
      </c>
      <c r="E137" s="17" t="s">
        <v>195</v>
      </c>
      <c r="F137" s="18" t="s">
        <v>187</v>
      </c>
      <c r="G137" s="18" t="s">
        <v>48</v>
      </c>
      <c r="H137" s="24">
        <v>26810</v>
      </c>
      <c r="I137" s="24">
        <f>T_reg.root.SK[[#This Row],[Volume, kg]]/1000</f>
        <v>26.81</v>
      </c>
      <c r="J137" s="25">
        <v>0.22719999999999999</v>
      </c>
      <c r="K137" s="25">
        <f t="shared" si="2"/>
        <v>6091.232</v>
      </c>
      <c r="L137" s="25">
        <v>2.98</v>
      </c>
      <c r="M137" s="24">
        <v>79985</v>
      </c>
      <c r="N137" s="25">
        <f>IFERROR(T_reg.root.SK[[#This Row],[Price]]/T_reg.root.SK[[#This Row],[Starch content]],"")</f>
        <v>13.116197183098592</v>
      </c>
    </row>
    <row r="138" spans="1:14">
      <c r="A138" s="21">
        <v>2023</v>
      </c>
      <c r="B138" s="21" t="s">
        <v>17</v>
      </c>
      <c r="C138" s="21" t="s">
        <v>1145</v>
      </c>
      <c r="D138" s="21" t="s">
        <v>35</v>
      </c>
      <c r="E138" s="17" t="s">
        <v>196</v>
      </c>
      <c r="F138" s="18" t="s">
        <v>187</v>
      </c>
      <c r="G138" s="18" t="s">
        <v>48</v>
      </c>
      <c r="H138" s="24">
        <v>22470</v>
      </c>
      <c r="I138" s="24">
        <f>T_reg.root.SK[[#This Row],[Volume, kg]]/1000</f>
        <v>22.47</v>
      </c>
      <c r="J138" s="25">
        <v>0.22517432131731197</v>
      </c>
      <c r="K138" s="25">
        <f t="shared" si="2"/>
        <v>5059.6669999999995</v>
      </c>
      <c r="L138" s="25">
        <v>3.0440364931019137</v>
      </c>
      <c r="M138" s="24">
        <v>68399.5</v>
      </c>
      <c r="N138" s="25">
        <f>IFERROR(T_reg.root.SK[[#This Row],[Price]]/T_reg.root.SK[[#This Row],[Starch content]],"")</f>
        <v>13.518577408355135</v>
      </c>
    </row>
    <row r="139" spans="1:14">
      <c r="A139" s="21">
        <v>2023</v>
      </c>
      <c r="B139" s="21" t="s">
        <v>17</v>
      </c>
      <c r="C139" s="21" t="s">
        <v>1145</v>
      </c>
      <c r="D139" s="21" t="s">
        <v>35</v>
      </c>
      <c r="E139" s="17" t="s">
        <v>197</v>
      </c>
      <c r="F139" s="18" t="s">
        <v>187</v>
      </c>
      <c r="G139" s="18" t="s">
        <v>48</v>
      </c>
      <c r="H139" s="24">
        <v>154080</v>
      </c>
      <c r="I139" s="24">
        <f>T_reg.root.SK[[#This Row],[Volume, kg]]/1000</f>
        <v>154.08000000000001</v>
      </c>
      <c r="J139" s="25">
        <v>0.29849999999999999</v>
      </c>
      <c r="K139" s="25">
        <f t="shared" si="2"/>
        <v>45992.88</v>
      </c>
      <c r="L139" s="25">
        <v>3.34</v>
      </c>
      <c r="M139" s="24">
        <v>514173</v>
      </c>
      <c r="N139" s="25">
        <f>IFERROR(T_reg.root.SK[[#This Row],[Price]]/T_reg.root.SK[[#This Row],[Starch content]],"")</f>
        <v>11.189279731993301</v>
      </c>
    </row>
    <row r="140" spans="1:14">
      <c r="A140" s="21">
        <v>2023</v>
      </c>
      <c r="B140" s="21" t="s">
        <v>17</v>
      </c>
      <c r="C140" s="21" t="s">
        <v>1145</v>
      </c>
      <c r="D140" s="21" t="s">
        <v>35</v>
      </c>
      <c r="E140" s="17" t="s">
        <v>198</v>
      </c>
      <c r="F140" s="18" t="s">
        <v>187</v>
      </c>
      <c r="G140" s="18" t="s">
        <v>48</v>
      </c>
      <c r="H140" s="24">
        <v>9020</v>
      </c>
      <c r="I140" s="24">
        <f>T_reg.root.SK[[#This Row],[Volume, kg]]/1000</f>
        <v>9.02</v>
      </c>
      <c r="J140" s="25">
        <v>0.28100000000000003</v>
      </c>
      <c r="K140" s="25">
        <f t="shared" si="2"/>
        <v>2534.6200000000003</v>
      </c>
      <c r="L140" s="25">
        <v>3.25</v>
      </c>
      <c r="M140" s="24">
        <v>29315</v>
      </c>
      <c r="N140" s="25">
        <f>IFERROR(T_reg.root.SK[[#This Row],[Price]]/T_reg.root.SK[[#This Row],[Starch content]],"")</f>
        <v>11.565836298932384</v>
      </c>
    </row>
    <row r="141" spans="1:14">
      <c r="A141" s="21">
        <v>2023</v>
      </c>
      <c r="B141" s="21" t="s">
        <v>17</v>
      </c>
      <c r="C141" s="21" t="s">
        <v>1145</v>
      </c>
      <c r="D141" s="21" t="s">
        <v>35</v>
      </c>
      <c r="E141" s="17" t="s">
        <v>199</v>
      </c>
      <c r="F141" s="18" t="s">
        <v>187</v>
      </c>
      <c r="G141" s="18" t="s">
        <v>48</v>
      </c>
      <c r="H141" s="24">
        <v>33040</v>
      </c>
      <c r="I141" s="24">
        <f>T_reg.root.SK[[#This Row],[Volume, kg]]/1000</f>
        <v>33.04</v>
      </c>
      <c r="J141" s="25">
        <v>0.31609999999999999</v>
      </c>
      <c r="K141" s="25">
        <f t="shared" si="2"/>
        <v>10443.944</v>
      </c>
      <c r="L141" s="25">
        <v>3.42</v>
      </c>
      <c r="M141" s="24">
        <v>112844</v>
      </c>
      <c r="N141" s="25">
        <f>IFERROR(T_reg.root.SK[[#This Row],[Price]]/T_reg.root.SK[[#This Row],[Starch content]],"")</f>
        <v>10.819360961720975</v>
      </c>
    </row>
    <row r="142" spans="1:14">
      <c r="A142" s="21">
        <v>2023</v>
      </c>
      <c r="B142" s="21" t="s">
        <v>17</v>
      </c>
      <c r="C142" s="21" t="s">
        <v>1145</v>
      </c>
      <c r="D142" s="21" t="s">
        <v>35</v>
      </c>
      <c r="E142" s="17" t="s">
        <v>200</v>
      </c>
      <c r="F142" s="18" t="s">
        <v>187</v>
      </c>
      <c r="G142" s="18" t="s">
        <v>48</v>
      </c>
      <c r="H142" s="24">
        <v>125940</v>
      </c>
      <c r="I142" s="24">
        <f>T_reg.root.SK[[#This Row],[Volume, kg]]/1000</f>
        <v>125.94</v>
      </c>
      <c r="J142" s="25">
        <v>0.25840000000000002</v>
      </c>
      <c r="K142" s="25">
        <f t="shared" si="2"/>
        <v>32542.896000000001</v>
      </c>
      <c r="L142" s="25">
        <v>3.12</v>
      </c>
      <c r="M142" s="24">
        <v>393390</v>
      </c>
      <c r="N142" s="25">
        <f>IFERROR(T_reg.root.SK[[#This Row],[Price]]/T_reg.root.SK[[#This Row],[Starch content]],"")</f>
        <v>12.074303405572754</v>
      </c>
    </row>
    <row r="143" spans="1:14">
      <c r="A143" s="21">
        <v>2023</v>
      </c>
      <c r="B143" s="21" t="s">
        <v>17</v>
      </c>
      <c r="C143" s="21" t="s">
        <v>1145</v>
      </c>
      <c r="D143" s="21" t="s">
        <v>35</v>
      </c>
      <c r="E143" s="17" t="s">
        <v>201</v>
      </c>
      <c r="F143" s="18" t="s">
        <v>187</v>
      </c>
      <c r="G143" s="18" t="s">
        <v>48</v>
      </c>
      <c r="H143" s="24">
        <v>153270</v>
      </c>
      <c r="I143" s="24">
        <f>T_reg.root.SK[[#This Row],[Volume, kg]]/1000</f>
        <v>153.27000000000001</v>
      </c>
      <c r="J143" s="25">
        <v>0.31869999999999998</v>
      </c>
      <c r="K143" s="25">
        <f t="shared" si="2"/>
        <v>48847.148999999998</v>
      </c>
      <c r="L143" s="25">
        <v>3.42</v>
      </c>
      <c r="M143" s="24">
        <v>524330</v>
      </c>
      <c r="N143" s="25">
        <f>IFERROR(T_reg.root.SK[[#This Row],[Price]]/T_reg.root.SK[[#This Row],[Starch content]],"")</f>
        <v>10.731095073737057</v>
      </c>
    </row>
    <row r="144" spans="1:14">
      <c r="A144" s="21">
        <v>2023</v>
      </c>
      <c r="B144" s="21" t="s">
        <v>17</v>
      </c>
      <c r="C144" s="21" t="s">
        <v>1145</v>
      </c>
      <c r="D144" s="21" t="s">
        <v>35</v>
      </c>
      <c r="E144" s="17" t="s">
        <v>202</v>
      </c>
      <c r="F144" s="18" t="s">
        <v>187</v>
      </c>
      <c r="G144" s="18" t="s">
        <v>48</v>
      </c>
      <c r="H144" s="24">
        <v>60440</v>
      </c>
      <c r="I144" s="24">
        <f>T_reg.root.SK[[#This Row],[Volume, kg]]/1000</f>
        <v>60.44</v>
      </c>
      <c r="J144" s="25">
        <v>0.26650221707478494</v>
      </c>
      <c r="K144" s="25">
        <f t="shared" si="2"/>
        <v>16107.394000000002</v>
      </c>
      <c r="L144" s="25">
        <v>3.2358620119126407</v>
      </c>
      <c r="M144" s="24">
        <v>195575.5</v>
      </c>
      <c r="N144" s="25">
        <f>IFERROR(T_reg.root.SK[[#This Row],[Price]]/T_reg.root.SK[[#This Row],[Starch content]],"")</f>
        <v>12.141970327416091</v>
      </c>
    </row>
    <row r="145" spans="1:14">
      <c r="A145" s="21">
        <v>2023</v>
      </c>
      <c r="B145" s="21" t="s">
        <v>17</v>
      </c>
      <c r="C145" s="21" t="s">
        <v>1145</v>
      </c>
      <c r="D145" s="21" t="s">
        <v>35</v>
      </c>
      <c r="E145" s="17" t="s">
        <v>203</v>
      </c>
      <c r="F145" s="18" t="s">
        <v>187</v>
      </c>
      <c r="G145" s="18" t="s">
        <v>48</v>
      </c>
      <c r="H145" s="24">
        <v>33190</v>
      </c>
      <c r="I145" s="24">
        <f>T_reg.root.SK[[#This Row],[Volume, kg]]/1000</f>
        <v>33.19</v>
      </c>
      <c r="J145" s="25">
        <v>0.30480000000000002</v>
      </c>
      <c r="K145" s="25">
        <f t="shared" si="2"/>
        <v>10116.312</v>
      </c>
      <c r="L145" s="25">
        <v>3.39</v>
      </c>
      <c r="M145" s="24">
        <v>112392</v>
      </c>
      <c r="N145" s="25">
        <f>IFERROR(T_reg.root.SK[[#This Row],[Price]]/T_reg.root.SK[[#This Row],[Starch content]],"")</f>
        <v>11.122047244094489</v>
      </c>
    </row>
    <row r="146" spans="1:14">
      <c r="A146" s="21">
        <v>2023</v>
      </c>
      <c r="B146" s="21" t="s">
        <v>17</v>
      </c>
      <c r="C146" s="21" t="s">
        <v>1145</v>
      </c>
      <c r="D146" s="21" t="s">
        <v>35</v>
      </c>
      <c r="E146" s="17" t="s">
        <v>204</v>
      </c>
      <c r="F146" s="18" t="s">
        <v>187</v>
      </c>
      <c r="G146" s="18" t="s">
        <v>48</v>
      </c>
      <c r="H146" s="24">
        <v>75690</v>
      </c>
      <c r="I146" s="24">
        <f>T_reg.root.SK[[#This Row],[Volume, kg]]/1000</f>
        <v>75.69</v>
      </c>
      <c r="J146" s="25">
        <v>0.29460000000000003</v>
      </c>
      <c r="K146" s="25">
        <f t="shared" si="2"/>
        <v>22298.274000000001</v>
      </c>
      <c r="L146" s="25">
        <v>3.35</v>
      </c>
      <c r="M146" s="24">
        <v>253663.5</v>
      </c>
      <c r="N146" s="25">
        <f>IFERROR(T_reg.root.SK[[#This Row],[Price]]/T_reg.root.SK[[#This Row],[Starch content]],"")</f>
        <v>11.371350984385607</v>
      </c>
    </row>
    <row r="147" spans="1:14">
      <c r="A147" s="21">
        <v>2023</v>
      </c>
      <c r="B147" s="21" t="s">
        <v>17</v>
      </c>
      <c r="C147" s="21" t="s">
        <v>1145</v>
      </c>
      <c r="D147" s="21" t="s">
        <v>35</v>
      </c>
      <c r="E147" s="17" t="s">
        <v>205</v>
      </c>
      <c r="F147" s="18" t="s">
        <v>187</v>
      </c>
      <c r="G147" s="18" t="s">
        <v>48</v>
      </c>
      <c r="H147" s="24">
        <v>155950</v>
      </c>
      <c r="I147" s="24">
        <f>T_reg.root.SK[[#This Row],[Volume, kg]]/1000</f>
        <v>155.94999999999999</v>
      </c>
      <c r="J147" s="25">
        <v>0.29544123757614615</v>
      </c>
      <c r="K147" s="25">
        <f t="shared" si="2"/>
        <v>46074.060999999994</v>
      </c>
      <c r="L147" s="25">
        <v>3.3736069252965692</v>
      </c>
      <c r="M147" s="24">
        <v>526114</v>
      </c>
      <c r="N147" s="25">
        <f>IFERROR(T_reg.root.SK[[#This Row],[Price]]/T_reg.root.SK[[#This Row],[Starch content]],"")</f>
        <v>11.418876230597517</v>
      </c>
    </row>
    <row r="148" spans="1:14">
      <c r="A148" s="21">
        <v>2023</v>
      </c>
      <c r="B148" s="21" t="s">
        <v>17</v>
      </c>
      <c r="C148" s="21" t="s">
        <v>1145</v>
      </c>
      <c r="D148" s="21" t="s">
        <v>35</v>
      </c>
      <c r="E148" s="17" t="s">
        <v>206</v>
      </c>
      <c r="F148" s="18" t="s">
        <v>187</v>
      </c>
      <c r="G148" s="18" t="s">
        <v>48</v>
      </c>
      <c r="H148" s="24">
        <v>67860</v>
      </c>
      <c r="I148" s="24">
        <f>T_reg.root.SK[[#This Row],[Volume, kg]]/1000</f>
        <v>67.86</v>
      </c>
      <c r="J148" s="25">
        <v>0.27500000000000002</v>
      </c>
      <c r="K148" s="25">
        <f t="shared" si="2"/>
        <v>18661.5</v>
      </c>
      <c r="L148" s="25">
        <v>3.19</v>
      </c>
      <c r="M148" s="24">
        <v>216442.5</v>
      </c>
      <c r="N148" s="25">
        <f>IFERROR(T_reg.root.SK[[#This Row],[Price]]/T_reg.root.SK[[#This Row],[Starch content]],"")</f>
        <v>11.6</v>
      </c>
    </row>
    <row r="149" spans="1:14">
      <c r="A149" s="21">
        <v>2023</v>
      </c>
      <c r="B149" s="21" t="s">
        <v>17</v>
      </c>
      <c r="C149" s="21" t="s">
        <v>1145</v>
      </c>
      <c r="D149" s="21" t="s">
        <v>35</v>
      </c>
      <c r="E149" s="17" t="s">
        <v>207</v>
      </c>
      <c r="F149" s="18" t="s">
        <v>187</v>
      </c>
      <c r="G149" s="18" t="s">
        <v>48</v>
      </c>
      <c r="H149" s="24">
        <v>11620</v>
      </c>
      <c r="I149" s="24">
        <f>T_reg.root.SK[[#This Row],[Volume, kg]]/1000</f>
        <v>11.62</v>
      </c>
      <c r="J149" s="25">
        <v>0.2505</v>
      </c>
      <c r="K149" s="25">
        <f t="shared" si="2"/>
        <v>2910.81</v>
      </c>
      <c r="L149" s="25">
        <v>3.1</v>
      </c>
      <c r="M149" s="24">
        <v>36022</v>
      </c>
      <c r="N149" s="25">
        <f>IFERROR(T_reg.root.SK[[#This Row],[Price]]/T_reg.root.SK[[#This Row],[Starch content]],"")</f>
        <v>12.375249500998004</v>
      </c>
    </row>
    <row r="150" spans="1:14">
      <c r="A150" s="21">
        <v>2023</v>
      </c>
      <c r="B150" s="21" t="s">
        <v>17</v>
      </c>
      <c r="C150" s="21" t="s">
        <v>1145</v>
      </c>
      <c r="D150" s="21" t="s">
        <v>35</v>
      </c>
      <c r="E150" s="17" t="s">
        <v>208</v>
      </c>
      <c r="F150" s="18" t="s">
        <v>187</v>
      </c>
      <c r="G150" s="18" t="s">
        <v>48</v>
      </c>
      <c r="H150" s="24">
        <v>109250</v>
      </c>
      <c r="I150" s="24">
        <f>T_reg.root.SK[[#This Row],[Volume, kg]]/1000</f>
        <v>109.25</v>
      </c>
      <c r="J150" s="25">
        <v>0.2855729977116705</v>
      </c>
      <c r="K150" s="25">
        <f t="shared" si="2"/>
        <v>31198.850000000002</v>
      </c>
      <c r="L150" s="25">
        <v>3.2945400457665905</v>
      </c>
      <c r="M150" s="24">
        <v>359928.5</v>
      </c>
      <c r="N150" s="25">
        <f>IFERROR(T_reg.root.SK[[#This Row],[Price]]/T_reg.root.SK[[#This Row],[Starch content]],"")</f>
        <v>11.536595098857811</v>
      </c>
    </row>
    <row r="151" spans="1:14">
      <c r="A151" s="21">
        <v>2023</v>
      </c>
      <c r="B151" s="21" t="s">
        <v>17</v>
      </c>
      <c r="C151" s="21" t="s">
        <v>1145</v>
      </c>
      <c r="D151" s="21" t="s">
        <v>35</v>
      </c>
      <c r="E151" s="17" t="s">
        <v>209</v>
      </c>
      <c r="F151" s="18" t="s">
        <v>187</v>
      </c>
      <c r="G151" s="18" t="s">
        <v>48</v>
      </c>
      <c r="H151" s="24">
        <v>50610</v>
      </c>
      <c r="I151" s="24">
        <f>T_reg.root.SK[[#This Row],[Volume, kg]]/1000</f>
        <v>50.61</v>
      </c>
      <c r="J151" s="25">
        <v>0.28043080418889549</v>
      </c>
      <c r="K151" s="25">
        <f t="shared" si="2"/>
        <v>14192.603000000001</v>
      </c>
      <c r="L151" s="25">
        <v>3.3007113218731474</v>
      </c>
      <c r="M151" s="24">
        <v>167049</v>
      </c>
      <c r="N151" s="25">
        <f>IFERROR(T_reg.root.SK[[#This Row],[Price]]/T_reg.root.SK[[#This Row],[Starch content]],"")</f>
        <v>11.770145335566703</v>
      </c>
    </row>
    <row r="152" spans="1:14">
      <c r="A152" s="21">
        <v>2023</v>
      </c>
      <c r="B152" s="21" t="s">
        <v>17</v>
      </c>
      <c r="C152" s="21" t="s">
        <v>1145</v>
      </c>
      <c r="D152" s="21" t="s">
        <v>35</v>
      </c>
      <c r="E152" s="17" t="s">
        <v>210</v>
      </c>
      <c r="F152" s="18" t="s">
        <v>187</v>
      </c>
      <c r="G152" s="18" t="s">
        <v>48</v>
      </c>
      <c r="H152" s="24">
        <v>36240</v>
      </c>
      <c r="I152" s="24">
        <f>T_reg.root.SK[[#This Row],[Volume, kg]]/1000</f>
        <v>36.24</v>
      </c>
      <c r="J152" s="25">
        <v>0.28758752759381895</v>
      </c>
      <c r="K152" s="25">
        <f t="shared" si="2"/>
        <v>10422.171999999999</v>
      </c>
      <c r="L152" s="25">
        <v>3.3443156732891834</v>
      </c>
      <c r="M152" s="24">
        <v>121198</v>
      </c>
      <c r="N152" s="25">
        <f>IFERROR(T_reg.root.SK[[#This Row],[Price]]/T_reg.root.SK[[#This Row],[Starch content]],"")</f>
        <v>11.62886200688302</v>
      </c>
    </row>
    <row r="153" spans="1:14">
      <c r="A153" s="21">
        <v>2023</v>
      </c>
      <c r="B153" s="21" t="s">
        <v>17</v>
      </c>
      <c r="C153" s="21" t="s">
        <v>1145</v>
      </c>
      <c r="D153" s="21" t="s">
        <v>35</v>
      </c>
      <c r="E153" s="17" t="s">
        <v>211</v>
      </c>
      <c r="F153" s="18" t="s">
        <v>187</v>
      </c>
      <c r="G153" s="18" t="s">
        <v>48</v>
      </c>
      <c r="H153" s="24">
        <v>36240</v>
      </c>
      <c r="I153" s="24">
        <f>T_reg.root.SK[[#This Row],[Volume, kg]]/1000</f>
        <v>36.24</v>
      </c>
      <c r="J153" s="25">
        <v>0.2492</v>
      </c>
      <c r="K153" s="25">
        <f t="shared" si="2"/>
        <v>9031.0079999999998</v>
      </c>
      <c r="L153" s="25">
        <v>3.14</v>
      </c>
      <c r="M153" s="24">
        <v>113816.5</v>
      </c>
      <c r="N153" s="25">
        <f>IFERROR(T_reg.root.SK[[#This Row],[Price]]/T_reg.root.SK[[#This Row],[Starch content]],"")</f>
        <v>12.60032102728732</v>
      </c>
    </row>
    <row r="154" spans="1:14">
      <c r="A154" s="21">
        <v>2023</v>
      </c>
      <c r="B154" s="21" t="s">
        <v>17</v>
      </c>
      <c r="C154" s="21" t="s">
        <v>1145</v>
      </c>
      <c r="D154" s="21" t="s">
        <v>35</v>
      </c>
      <c r="E154" s="17" t="s">
        <v>212</v>
      </c>
      <c r="F154" s="18" t="s">
        <v>187</v>
      </c>
      <c r="G154" s="18" t="s">
        <v>48</v>
      </c>
      <c r="H154" s="24">
        <v>9060</v>
      </c>
      <c r="I154" s="24">
        <f>T_reg.root.SK[[#This Row],[Volume, kg]]/1000</f>
        <v>9.06</v>
      </c>
      <c r="J154" s="25">
        <v>0.24100000000000002</v>
      </c>
      <c r="K154" s="25">
        <f t="shared" si="2"/>
        <v>2183.46</v>
      </c>
      <c r="L154" s="25">
        <v>3.1</v>
      </c>
      <c r="M154" s="24">
        <v>28086</v>
      </c>
      <c r="N154" s="25">
        <f>IFERROR(T_reg.root.SK[[#This Row],[Price]]/T_reg.root.SK[[#This Row],[Starch content]],"")</f>
        <v>12.863070539419086</v>
      </c>
    </row>
    <row r="155" spans="1:14">
      <c r="A155" s="21">
        <v>2023</v>
      </c>
      <c r="B155" s="21" t="s">
        <v>17</v>
      </c>
      <c r="C155" s="21" t="s">
        <v>1145</v>
      </c>
      <c r="D155" s="21" t="s">
        <v>35</v>
      </c>
      <c r="E155" s="17" t="s">
        <v>213</v>
      </c>
      <c r="F155" s="18" t="s">
        <v>187</v>
      </c>
      <c r="G155" s="18" t="s">
        <v>48</v>
      </c>
      <c r="H155" s="24">
        <v>133090</v>
      </c>
      <c r="I155" s="24">
        <f>T_reg.root.SK[[#This Row],[Volume, kg]]/1000</f>
        <v>133.09</v>
      </c>
      <c r="J155" s="25">
        <v>0.30769999999999997</v>
      </c>
      <c r="K155" s="25">
        <f t="shared" si="2"/>
        <v>40951.792999999998</v>
      </c>
      <c r="L155" s="25">
        <v>3.4</v>
      </c>
      <c r="M155" s="24">
        <v>452649</v>
      </c>
      <c r="N155" s="25">
        <f>IFERROR(T_reg.root.SK[[#This Row],[Price]]/T_reg.root.SK[[#This Row],[Starch content]],"")</f>
        <v>11.049723756906078</v>
      </c>
    </row>
    <row r="156" spans="1:14">
      <c r="A156" s="21">
        <v>2023</v>
      </c>
      <c r="B156" s="21" t="s">
        <v>17</v>
      </c>
      <c r="C156" s="21" t="s">
        <v>1145</v>
      </c>
      <c r="D156" s="21" t="s">
        <v>35</v>
      </c>
      <c r="E156" s="17" t="s">
        <v>214</v>
      </c>
      <c r="F156" s="18" t="s">
        <v>187</v>
      </c>
      <c r="G156" s="18" t="s">
        <v>48</v>
      </c>
      <c r="H156" s="24">
        <v>133900</v>
      </c>
      <c r="I156" s="24">
        <f>T_reg.root.SK[[#This Row],[Volume, kg]]/1000</f>
        <v>133.9</v>
      </c>
      <c r="J156" s="25">
        <v>0.26679999999999998</v>
      </c>
      <c r="K156" s="25">
        <f t="shared" si="2"/>
        <v>35724.519999999997</v>
      </c>
      <c r="L156" s="25">
        <v>3.18</v>
      </c>
      <c r="M156" s="24">
        <v>425389.5</v>
      </c>
      <c r="N156" s="25">
        <f>IFERROR(T_reg.root.SK[[#This Row],[Price]]/T_reg.root.SK[[#This Row],[Starch content]],"")</f>
        <v>11.919040479760122</v>
      </c>
    </row>
    <row r="157" spans="1:14">
      <c r="A157" s="21">
        <v>2023</v>
      </c>
      <c r="B157" s="21" t="s">
        <v>17</v>
      </c>
      <c r="C157" s="21" t="s">
        <v>1145</v>
      </c>
      <c r="D157" s="21" t="s">
        <v>35</v>
      </c>
      <c r="E157" s="17" t="s">
        <v>215</v>
      </c>
      <c r="F157" s="18" t="s">
        <v>187</v>
      </c>
      <c r="G157" s="18" t="s">
        <v>48</v>
      </c>
      <c r="H157" s="24">
        <v>24740</v>
      </c>
      <c r="I157" s="24">
        <f>T_reg.root.SK[[#This Row],[Volume, kg]]/1000</f>
        <v>24.74</v>
      </c>
      <c r="J157" s="25">
        <v>0.28139999999999998</v>
      </c>
      <c r="K157" s="25">
        <f t="shared" si="2"/>
        <v>6961.8359999999993</v>
      </c>
      <c r="L157" s="25">
        <v>3.31</v>
      </c>
      <c r="M157" s="24">
        <v>81902.5</v>
      </c>
      <c r="N157" s="25">
        <f>IFERROR(T_reg.root.SK[[#This Row],[Price]]/T_reg.root.SK[[#This Row],[Starch content]],"")</f>
        <v>11.762615493958778</v>
      </c>
    </row>
    <row r="158" spans="1:14">
      <c r="A158" s="21">
        <v>2023</v>
      </c>
      <c r="B158" s="21" t="s">
        <v>17</v>
      </c>
      <c r="C158" s="21" t="s">
        <v>1145</v>
      </c>
      <c r="D158" s="21" t="s">
        <v>35</v>
      </c>
      <c r="E158" s="17" t="s">
        <v>216</v>
      </c>
      <c r="F158" s="18" t="s">
        <v>187</v>
      </c>
      <c r="G158" s="18" t="s">
        <v>48</v>
      </c>
      <c r="H158" s="24">
        <v>18180</v>
      </c>
      <c r="I158" s="24">
        <f>T_reg.root.SK[[#This Row],[Volume, kg]]/1000</f>
        <v>18.18</v>
      </c>
      <c r="J158" s="25">
        <v>0.2495</v>
      </c>
      <c r="K158" s="25">
        <f t="shared" si="2"/>
        <v>4535.91</v>
      </c>
      <c r="L158" s="25">
        <v>3.15</v>
      </c>
      <c r="M158" s="24">
        <v>57226</v>
      </c>
      <c r="N158" s="25">
        <f>IFERROR(T_reg.root.SK[[#This Row],[Price]]/T_reg.root.SK[[#This Row],[Starch content]],"")</f>
        <v>12.625250501002004</v>
      </c>
    </row>
    <row r="159" spans="1:14">
      <c r="A159" s="21">
        <v>2023</v>
      </c>
      <c r="B159" s="21" t="s">
        <v>17</v>
      </c>
      <c r="C159" s="21" t="s">
        <v>1145</v>
      </c>
      <c r="D159" s="21" t="s">
        <v>35</v>
      </c>
      <c r="E159" s="17" t="s">
        <v>217</v>
      </c>
      <c r="F159" s="18" t="s">
        <v>187</v>
      </c>
      <c r="G159" s="18" t="s">
        <v>48</v>
      </c>
      <c r="H159" s="24">
        <v>17970</v>
      </c>
      <c r="I159" s="24">
        <f>T_reg.root.SK[[#This Row],[Volume, kg]]/1000</f>
        <v>17.97</v>
      </c>
      <c r="J159" s="25">
        <v>0.315</v>
      </c>
      <c r="K159" s="25">
        <f t="shared" si="2"/>
        <v>5660.55</v>
      </c>
      <c r="L159" s="25">
        <v>3.42</v>
      </c>
      <c r="M159" s="24">
        <v>61508</v>
      </c>
      <c r="N159" s="25">
        <f>IFERROR(T_reg.root.SK[[#This Row],[Price]]/T_reg.root.SK[[#This Row],[Starch content]],"")</f>
        <v>10.857142857142858</v>
      </c>
    </row>
    <row r="160" spans="1:14">
      <c r="A160" s="21">
        <v>2023</v>
      </c>
      <c r="B160" s="21" t="s">
        <v>19</v>
      </c>
      <c r="C160" s="21" t="s">
        <v>1145</v>
      </c>
      <c r="D160" s="21" t="s">
        <v>39</v>
      </c>
      <c r="E160" s="17" t="s">
        <v>218</v>
      </c>
      <c r="F160" s="18" t="s">
        <v>219</v>
      </c>
      <c r="G160" s="18" t="s">
        <v>220</v>
      </c>
      <c r="H160" s="24">
        <v>42560</v>
      </c>
      <c r="I160" s="24">
        <f>T_reg.root.SK[[#This Row],[Volume, kg]]/1000</f>
        <v>42.56</v>
      </c>
      <c r="J160" s="25">
        <v>0.23199999999999998</v>
      </c>
      <c r="K160" s="25">
        <f t="shared" si="2"/>
        <v>9873.92</v>
      </c>
      <c r="L160" s="25">
        <v>3.3</v>
      </c>
      <c r="M160" s="24">
        <v>140448</v>
      </c>
      <c r="N160" s="25">
        <f>IFERROR(T_reg.root.SK[[#This Row],[Price]]/T_reg.root.SK[[#This Row],[Starch content]],"")</f>
        <v>14.224137931034482</v>
      </c>
    </row>
    <row r="161" spans="1:14">
      <c r="A161" s="21">
        <v>2023</v>
      </c>
      <c r="B161" s="21" t="s">
        <v>19</v>
      </c>
      <c r="C161" s="21" t="s">
        <v>1145</v>
      </c>
      <c r="D161" s="21" t="s">
        <v>35</v>
      </c>
      <c r="E161" s="17" t="s">
        <v>221</v>
      </c>
      <c r="F161" s="18" t="s">
        <v>222</v>
      </c>
      <c r="G161" s="18" t="s">
        <v>48</v>
      </c>
      <c r="H161" s="24">
        <v>11290</v>
      </c>
      <c r="I161" s="24">
        <f>T_reg.root.SK[[#This Row],[Volume, kg]]/1000</f>
        <v>11.29</v>
      </c>
      <c r="J161" s="25">
        <v>0.27710000000000001</v>
      </c>
      <c r="K161" s="25">
        <f t="shared" si="2"/>
        <v>3128.4590000000003</v>
      </c>
      <c r="L161" s="25">
        <v>3.44</v>
      </c>
      <c r="M161" s="24">
        <v>38892</v>
      </c>
      <c r="N161" s="25">
        <f>IFERROR(T_reg.root.SK[[#This Row],[Price]]/T_reg.root.SK[[#This Row],[Starch content]],"")</f>
        <v>12.414290869722121</v>
      </c>
    </row>
    <row r="162" spans="1:14">
      <c r="A162" s="21">
        <v>2023</v>
      </c>
      <c r="B162" s="21" t="s">
        <v>19</v>
      </c>
      <c r="C162" s="21" t="s">
        <v>1145</v>
      </c>
      <c r="D162" s="21" t="s">
        <v>35</v>
      </c>
      <c r="E162" s="17" t="s">
        <v>46</v>
      </c>
      <c r="F162" s="18" t="s">
        <v>47</v>
      </c>
      <c r="G162" s="18" t="s">
        <v>48</v>
      </c>
      <c r="H162" s="24">
        <v>10210</v>
      </c>
      <c r="I162" s="24">
        <f>T_reg.root.SK[[#This Row],[Volume, kg]]/1000</f>
        <v>10.210000000000001</v>
      </c>
      <c r="J162" s="25">
        <v>0.28749999999999998</v>
      </c>
      <c r="K162" s="25">
        <f t="shared" si="2"/>
        <v>2935.375</v>
      </c>
      <c r="L162" s="25">
        <v>3.35</v>
      </c>
      <c r="M162" s="24">
        <v>34203.5</v>
      </c>
      <c r="N162" s="25">
        <f>IFERROR(T_reg.root.SK[[#This Row],[Price]]/T_reg.root.SK[[#This Row],[Starch content]],"")</f>
        <v>11.65217391304348</v>
      </c>
    </row>
    <row r="163" spans="1:14">
      <c r="A163" s="21">
        <v>2023</v>
      </c>
      <c r="B163" s="21" t="s">
        <v>19</v>
      </c>
      <c r="C163" s="21" t="s">
        <v>1145</v>
      </c>
      <c r="D163" s="21" t="s">
        <v>35</v>
      </c>
      <c r="E163" s="17" t="s">
        <v>50</v>
      </c>
      <c r="F163" s="18" t="s">
        <v>47</v>
      </c>
      <c r="G163" s="18" t="s">
        <v>48</v>
      </c>
      <c r="H163" s="24">
        <v>22010</v>
      </c>
      <c r="I163" s="24">
        <f>T_reg.root.SK[[#This Row],[Volume, kg]]/1000</f>
        <v>22.01</v>
      </c>
      <c r="J163" s="25">
        <v>0.2394</v>
      </c>
      <c r="K163" s="25">
        <f t="shared" si="2"/>
        <v>5269.1940000000004</v>
      </c>
      <c r="L163" s="25">
        <v>3.09</v>
      </c>
      <c r="M163" s="24">
        <v>67996.5</v>
      </c>
      <c r="N163" s="25">
        <f>IFERROR(T_reg.root.SK[[#This Row],[Price]]/T_reg.root.SK[[#This Row],[Starch content]],"")</f>
        <v>12.907268170426065</v>
      </c>
    </row>
    <row r="164" spans="1:14">
      <c r="A164" s="21">
        <v>2023</v>
      </c>
      <c r="B164" s="21" t="s">
        <v>19</v>
      </c>
      <c r="C164" s="21" t="s">
        <v>1145</v>
      </c>
      <c r="D164" s="21" t="s">
        <v>35</v>
      </c>
      <c r="E164" s="17" t="s">
        <v>55</v>
      </c>
      <c r="F164" s="18" t="s">
        <v>47</v>
      </c>
      <c r="G164" s="18" t="s">
        <v>48</v>
      </c>
      <c r="H164" s="24">
        <v>20950</v>
      </c>
      <c r="I164" s="24">
        <f>T_reg.root.SK[[#This Row],[Volume, kg]]/1000</f>
        <v>20.95</v>
      </c>
      <c r="J164" s="25">
        <v>0.2787</v>
      </c>
      <c r="K164" s="25">
        <f t="shared" si="2"/>
        <v>5838.7650000000003</v>
      </c>
      <c r="L164" s="25">
        <v>3.45</v>
      </c>
      <c r="M164" s="24">
        <v>72277.5</v>
      </c>
      <c r="N164" s="25">
        <f>IFERROR(T_reg.root.SK[[#This Row],[Price]]/T_reg.root.SK[[#This Row],[Starch content]],"")</f>
        <v>12.378902045209903</v>
      </c>
    </row>
    <row r="165" spans="1:14">
      <c r="A165" s="21">
        <v>2023</v>
      </c>
      <c r="B165" s="21" t="s">
        <v>19</v>
      </c>
      <c r="C165" s="21" t="s">
        <v>1145</v>
      </c>
      <c r="D165" s="21" t="s">
        <v>35</v>
      </c>
      <c r="E165" s="17" t="s">
        <v>56</v>
      </c>
      <c r="F165" s="18" t="s">
        <v>47</v>
      </c>
      <c r="G165" s="18" t="s">
        <v>48</v>
      </c>
      <c r="H165" s="24">
        <v>30160</v>
      </c>
      <c r="I165" s="24">
        <f>T_reg.root.SK[[#This Row],[Volume, kg]]/1000</f>
        <v>30.16</v>
      </c>
      <c r="J165" s="25">
        <v>0.2218</v>
      </c>
      <c r="K165" s="25">
        <f t="shared" si="2"/>
        <v>6689.4880000000003</v>
      </c>
      <c r="L165" s="25">
        <v>3.16</v>
      </c>
      <c r="M165" s="24">
        <v>95451</v>
      </c>
      <c r="N165" s="25">
        <f>IFERROR(T_reg.root.SK[[#This Row],[Price]]/T_reg.root.SK[[#This Row],[Starch content]],"")</f>
        <v>14.24706943192065</v>
      </c>
    </row>
    <row r="166" spans="1:14">
      <c r="A166" s="21">
        <v>2023</v>
      </c>
      <c r="B166" s="21" t="s">
        <v>19</v>
      </c>
      <c r="C166" s="21" t="s">
        <v>1145</v>
      </c>
      <c r="D166" s="21" t="s">
        <v>35</v>
      </c>
      <c r="E166" s="17" t="s">
        <v>58</v>
      </c>
      <c r="F166" s="18" t="s">
        <v>47</v>
      </c>
      <c r="G166" s="18" t="s">
        <v>48</v>
      </c>
      <c r="H166" s="24">
        <v>23810</v>
      </c>
      <c r="I166" s="24">
        <f>T_reg.root.SK[[#This Row],[Volume, kg]]/1000</f>
        <v>23.81</v>
      </c>
      <c r="J166" s="25">
        <v>0.27589999999999998</v>
      </c>
      <c r="K166" s="25">
        <f t="shared" si="2"/>
        <v>6569.1789999999992</v>
      </c>
      <c r="L166" s="25">
        <v>3.5</v>
      </c>
      <c r="M166" s="24">
        <v>83438</v>
      </c>
      <c r="N166" s="25">
        <f>IFERROR(T_reg.root.SK[[#This Row],[Price]]/T_reg.root.SK[[#This Row],[Starch content]],"")</f>
        <v>12.685755708590071</v>
      </c>
    </row>
    <row r="167" spans="1:14">
      <c r="A167" s="21">
        <v>2023</v>
      </c>
      <c r="B167" s="21" t="s">
        <v>19</v>
      </c>
      <c r="C167" s="21" t="s">
        <v>1145</v>
      </c>
      <c r="D167" s="21" t="s">
        <v>35</v>
      </c>
      <c r="E167" s="17" t="s">
        <v>60</v>
      </c>
      <c r="F167" s="18" t="s">
        <v>47</v>
      </c>
      <c r="G167" s="18" t="s">
        <v>48</v>
      </c>
      <c r="H167" s="24">
        <v>52410</v>
      </c>
      <c r="I167" s="24">
        <f>T_reg.root.SK[[#This Row],[Volume, kg]]/1000</f>
        <v>52.41</v>
      </c>
      <c r="J167" s="25">
        <v>0.26950000000000002</v>
      </c>
      <c r="K167" s="25">
        <f t="shared" si="2"/>
        <v>14124.495000000001</v>
      </c>
      <c r="L167" s="25">
        <v>3.26</v>
      </c>
      <c r="M167" s="24">
        <v>170882.5</v>
      </c>
      <c r="N167" s="25">
        <f>IFERROR(T_reg.root.SK[[#This Row],[Price]]/T_reg.root.SK[[#This Row],[Starch content]],"")</f>
        <v>12.096474953617809</v>
      </c>
    </row>
    <row r="168" spans="1:14">
      <c r="A168" s="21">
        <v>2023</v>
      </c>
      <c r="B168" s="21" t="s">
        <v>19</v>
      </c>
      <c r="C168" s="21" t="s">
        <v>1145</v>
      </c>
      <c r="D168" s="21" t="s">
        <v>35</v>
      </c>
      <c r="E168" s="17" t="s">
        <v>223</v>
      </c>
      <c r="F168" s="18" t="s">
        <v>47</v>
      </c>
      <c r="G168" s="18" t="s">
        <v>48</v>
      </c>
      <c r="H168" s="24">
        <v>7310</v>
      </c>
      <c r="I168" s="24">
        <f>T_reg.root.SK[[#This Row],[Volume, kg]]/1000</f>
        <v>7.31</v>
      </c>
      <c r="J168" s="25">
        <v>0.28199999999999997</v>
      </c>
      <c r="K168" s="25">
        <f t="shared" si="2"/>
        <v>2061.4199999999996</v>
      </c>
      <c r="L168" s="25">
        <v>2.95</v>
      </c>
      <c r="M168" s="24">
        <v>21564.5</v>
      </c>
      <c r="N168" s="25">
        <f>IFERROR(T_reg.root.SK[[#This Row],[Price]]/T_reg.root.SK[[#This Row],[Starch content]],"")</f>
        <v>10.460992907801421</v>
      </c>
    </row>
    <row r="169" spans="1:14">
      <c r="A169" s="21">
        <v>2023</v>
      </c>
      <c r="B169" s="21" t="s">
        <v>19</v>
      </c>
      <c r="C169" s="21" t="s">
        <v>1145</v>
      </c>
      <c r="D169" s="21" t="s">
        <v>35</v>
      </c>
      <c r="E169" s="17" t="s">
        <v>224</v>
      </c>
      <c r="F169" s="18" t="s">
        <v>47</v>
      </c>
      <c r="G169" s="18" t="s">
        <v>48</v>
      </c>
      <c r="H169" s="24">
        <v>22360</v>
      </c>
      <c r="I169" s="24">
        <f>T_reg.root.SK[[#This Row],[Volume, kg]]/1000</f>
        <v>22.36</v>
      </c>
      <c r="J169" s="25">
        <v>0.309</v>
      </c>
      <c r="K169" s="25">
        <f t="shared" si="2"/>
        <v>6909.24</v>
      </c>
      <c r="L169" s="25">
        <v>3.7</v>
      </c>
      <c r="M169" s="24">
        <v>82732</v>
      </c>
      <c r="N169" s="25">
        <f>IFERROR(T_reg.root.SK[[#This Row],[Price]]/T_reg.root.SK[[#This Row],[Starch content]],"")</f>
        <v>11.974110032362461</v>
      </c>
    </row>
    <row r="170" spans="1:14">
      <c r="A170" s="21">
        <v>2023</v>
      </c>
      <c r="B170" s="21" t="s">
        <v>19</v>
      </c>
      <c r="C170" s="21" t="s">
        <v>1145</v>
      </c>
      <c r="D170" s="21" t="s">
        <v>35</v>
      </c>
      <c r="E170" s="17" t="s">
        <v>62</v>
      </c>
      <c r="F170" s="18" t="s">
        <v>47</v>
      </c>
      <c r="G170" s="18" t="s">
        <v>48</v>
      </c>
      <c r="H170" s="24">
        <v>27310</v>
      </c>
      <c r="I170" s="24">
        <f>T_reg.root.SK[[#This Row],[Volume, kg]]/1000</f>
        <v>27.31</v>
      </c>
      <c r="J170" s="25">
        <v>0.29699999999999999</v>
      </c>
      <c r="K170" s="25">
        <f t="shared" si="2"/>
        <v>8111.07</v>
      </c>
      <c r="L170" s="25">
        <v>3.43</v>
      </c>
      <c r="M170" s="24">
        <v>93796.5</v>
      </c>
      <c r="N170" s="25">
        <f>IFERROR(T_reg.root.SK[[#This Row],[Price]]/T_reg.root.SK[[#This Row],[Starch content]],"")</f>
        <v>11.54882154882155</v>
      </c>
    </row>
    <row r="171" spans="1:14">
      <c r="A171" s="21">
        <v>2023</v>
      </c>
      <c r="B171" s="21" t="s">
        <v>19</v>
      </c>
      <c r="C171" s="21" t="s">
        <v>1145</v>
      </c>
      <c r="D171" s="21" t="s">
        <v>35</v>
      </c>
      <c r="E171" s="17" t="s">
        <v>66</v>
      </c>
      <c r="F171" s="18" t="s">
        <v>47</v>
      </c>
      <c r="G171" s="18" t="s">
        <v>48</v>
      </c>
      <c r="H171" s="24">
        <v>76720</v>
      </c>
      <c r="I171" s="24">
        <f>T_reg.root.SK[[#This Row],[Volume, kg]]/1000</f>
        <v>76.72</v>
      </c>
      <c r="J171" s="25">
        <v>0.28170000000000001</v>
      </c>
      <c r="K171" s="25">
        <f t="shared" si="2"/>
        <v>21612.024000000001</v>
      </c>
      <c r="L171" s="25">
        <v>3.33</v>
      </c>
      <c r="M171" s="24">
        <v>255109.5</v>
      </c>
      <c r="N171" s="25">
        <f>IFERROR(T_reg.root.SK[[#This Row],[Price]]/T_reg.root.SK[[#This Row],[Starch content]],"")</f>
        <v>11.821086261980831</v>
      </c>
    </row>
    <row r="172" spans="1:14">
      <c r="A172" s="21">
        <v>2023</v>
      </c>
      <c r="B172" s="21" t="s">
        <v>19</v>
      </c>
      <c r="C172" s="21" t="s">
        <v>1145</v>
      </c>
      <c r="D172" s="21" t="s">
        <v>35</v>
      </c>
      <c r="E172" s="17" t="s">
        <v>70</v>
      </c>
      <c r="F172" s="18" t="s">
        <v>47</v>
      </c>
      <c r="G172" s="18" t="s">
        <v>48</v>
      </c>
      <c r="H172" s="24">
        <v>191400</v>
      </c>
      <c r="I172" s="24">
        <f>T_reg.root.SK[[#This Row],[Volume, kg]]/1000</f>
        <v>191.4</v>
      </c>
      <c r="J172" s="25">
        <v>0.29339999999999999</v>
      </c>
      <c r="K172" s="25">
        <f t="shared" si="2"/>
        <v>56156.76</v>
      </c>
      <c r="L172" s="25">
        <v>3.37</v>
      </c>
      <c r="M172" s="24">
        <v>645012</v>
      </c>
      <c r="N172" s="25">
        <f>IFERROR(T_reg.root.SK[[#This Row],[Price]]/T_reg.root.SK[[#This Row],[Starch content]],"")</f>
        <v>11.486025903203817</v>
      </c>
    </row>
    <row r="173" spans="1:14">
      <c r="A173" s="21">
        <v>2023</v>
      </c>
      <c r="B173" s="21" t="s">
        <v>19</v>
      </c>
      <c r="C173" s="21" t="s">
        <v>1145</v>
      </c>
      <c r="D173" s="21" t="s">
        <v>35</v>
      </c>
      <c r="E173" s="17" t="s">
        <v>72</v>
      </c>
      <c r="F173" s="18" t="s">
        <v>47</v>
      </c>
      <c r="G173" s="18" t="s">
        <v>48</v>
      </c>
      <c r="H173" s="24">
        <v>6810</v>
      </c>
      <c r="I173" s="24">
        <f>T_reg.root.SK[[#This Row],[Volume, kg]]/1000</f>
        <v>6.81</v>
      </c>
      <c r="J173" s="25">
        <v>0.22899999999999998</v>
      </c>
      <c r="K173" s="25">
        <f t="shared" si="2"/>
        <v>1559.4899999999998</v>
      </c>
      <c r="L173" s="25">
        <v>3.05</v>
      </c>
      <c r="M173" s="24">
        <v>20770.5</v>
      </c>
      <c r="N173" s="25">
        <f>IFERROR(T_reg.root.SK[[#This Row],[Price]]/T_reg.root.SK[[#This Row],[Starch content]],"")</f>
        <v>13.318777292576419</v>
      </c>
    </row>
    <row r="174" spans="1:14">
      <c r="A174" s="21">
        <v>2023</v>
      </c>
      <c r="B174" s="21" t="s">
        <v>19</v>
      </c>
      <c r="C174" s="21" t="s">
        <v>1145</v>
      </c>
      <c r="D174" s="21" t="s">
        <v>35</v>
      </c>
      <c r="E174" s="17" t="s">
        <v>225</v>
      </c>
      <c r="F174" s="18" t="s">
        <v>47</v>
      </c>
      <c r="G174" s="18" t="s">
        <v>48</v>
      </c>
      <c r="H174" s="24">
        <v>13780</v>
      </c>
      <c r="I174" s="24">
        <f>T_reg.root.SK[[#This Row],[Volume, kg]]/1000</f>
        <v>13.78</v>
      </c>
      <c r="J174" s="25">
        <v>0.2555</v>
      </c>
      <c r="K174" s="25">
        <f t="shared" si="2"/>
        <v>3520.79</v>
      </c>
      <c r="L174" s="25">
        <v>3.2</v>
      </c>
      <c r="M174" s="24">
        <v>44096</v>
      </c>
      <c r="N174" s="25">
        <f>IFERROR(T_reg.root.SK[[#This Row],[Price]]/T_reg.root.SK[[#This Row],[Starch content]],"")</f>
        <v>12.524461839530334</v>
      </c>
    </row>
    <row r="175" spans="1:14">
      <c r="A175" s="21">
        <v>2023</v>
      </c>
      <c r="B175" s="21" t="s">
        <v>19</v>
      </c>
      <c r="C175" s="21" t="s">
        <v>1145</v>
      </c>
      <c r="D175" s="21" t="s">
        <v>39</v>
      </c>
      <c r="E175" s="17" t="s">
        <v>226</v>
      </c>
      <c r="F175" s="18" t="s">
        <v>227</v>
      </c>
      <c r="G175" s="18" t="s">
        <v>42</v>
      </c>
      <c r="H175" s="24">
        <v>35190</v>
      </c>
      <c r="I175" s="24">
        <f>T_reg.root.SK[[#This Row],[Volume, kg]]/1000</f>
        <v>35.19</v>
      </c>
      <c r="J175" s="25">
        <v>0.23620000000000002</v>
      </c>
      <c r="K175" s="25">
        <f t="shared" si="2"/>
        <v>8311.8780000000006</v>
      </c>
      <c r="L175" s="25">
        <v>3.35</v>
      </c>
      <c r="M175" s="24">
        <v>117886.5</v>
      </c>
      <c r="N175" s="25">
        <f>IFERROR(T_reg.root.SK[[#This Row],[Price]]/T_reg.root.SK[[#This Row],[Starch content]],"")</f>
        <v>14.18289585097375</v>
      </c>
    </row>
    <row r="176" spans="1:14">
      <c r="A176" s="21">
        <v>2023</v>
      </c>
      <c r="B176" s="21" t="s">
        <v>19</v>
      </c>
      <c r="C176" s="21" t="s">
        <v>1145</v>
      </c>
      <c r="D176" s="21" t="s">
        <v>35</v>
      </c>
      <c r="E176" s="17" t="s">
        <v>79</v>
      </c>
      <c r="F176" s="18" t="s">
        <v>80</v>
      </c>
      <c r="G176" s="18" t="s">
        <v>81</v>
      </c>
      <c r="H176" s="24">
        <v>112360</v>
      </c>
      <c r="I176" s="24">
        <f>T_reg.root.SK[[#This Row],[Volume, kg]]/1000</f>
        <v>112.36</v>
      </c>
      <c r="J176" s="25">
        <v>0.30420000000000003</v>
      </c>
      <c r="K176" s="25">
        <f t="shared" si="2"/>
        <v>34179.912000000004</v>
      </c>
      <c r="L176" s="25">
        <v>3.56</v>
      </c>
      <c r="M176" s="24">
        <v>399596</v>
      </c>
      <c r="N176" s="25">
        <f>IFERROR(T_reg.root.SK[[#This Row],[Price]]/T_reg.root.SK[[#This Row],[Starch content]],"")</f>
        <v>11.702827087442472</v>
      </c>
    </row>
    <row r="177" spans="1:14">
      <c r="A177" s="21">
        <v>2023</v>
      </c>
      <c r="B177" s="21" t="s">
        <v>19</v>
      </c>
      <c r="C177" s="21" t="s">
        <v>1145</v>
      </c>
      <c r="D177" s="21" t="s">
        <v>39</v>
      </c>
      <c r="E177" s="17" t="s">
        <v>85</v>
      </c>
      <c r="F177" s="18" t="s">
        <v>86</v>
      </c>
      <c r="G177" s="18" t="s">
        <v>87</v>
      </c>
      <c r="H177" s="24">
        <v>1213500</v>
      </c>
      <c r="I177" s="24">
        <f>T_reg.root.SK[[#This Row],[Volume, kg]]/1000</f>
        <v>1213.5</v>
      </c>
      <c r="J177" s="25">
        <v>0.27729999999999999</v>
      </c>
      <c r="K177" s="25">
        <f t="shared" si="2"/>
        <v>336503.55</v>
      </c>
      <c r="L177" s="25">
        <v>3.63</v>
      </c>
      <c r="M177" s="24">
        <v>4407238.5</v>
      </c>
      <c r="N177" s="25">
        <f>IFERROR(T_reg.root.SK[[#This Row],[Price]]/T_reg.root.SK[[#This Row],[Starch content]],"")</f>
        <v>13.090515686981609</v>
      </c>
    </row>
    <row r="178" spans="1:14">
      <c r="A178" s="21">
        <v>2023</v>
      </c>
      <c r="B178" s="21" t="s">
        <v>19</v>
      </c>
      <c r="C178" s="21" t="s">
        <v>1145</v>
      </c>
      <c r="D178" s="21" t="s">
        <v>39</v>
      </c>
      <c r="E178" s="17" t="s">
        <v>88</v>
      </c>
      <c r="F178" s="18" t="s">
        <v>89</v>
      </c>
      <c r="G178" s="18" t="s">
        <v>90</v>
      </c>
      <c r="H178" s="24">
        <v>2031650</v>
      </c>
      <c r="I178" s="24">
        <f>T_reg.root.SK[[#This Row],[Volume, kg]]/1000</f>
        <v>2031.65</v>
      </c>
      <c r="J178" s="25">
        <v>0.28120000000000001</v>
      </c>
      <c r="K178" s="25">
        <f t="shared" si="2"/>
        <v>571299.98</v>
      </c>
      <c r="L178" s="25">
        <v>3.54</v>
      </c>
      <c r="M178" s="24">
        <v>7187573</v>
      </c>
      <c r="N178" s="25">
        <f>IFERROR(T_reg.root.SK[[#This Row],[Price]]/T_reg.root.SK[[#This Row],[Starch content]],"")</f>
        <v>12.588904694167852</v>
      </c>
    </row>
    <row r="179" spans="1:14">
      <c r="A179" s="21">
        <v>2023</v>
      </c>
      <c r="B179" s="21" t="s">
        <v>19</v>
      </c>
      <c r="C179" s="21" t="s">
        <v>1145</v>
      </c>
      <c r="D179" s="21" t="s">
        <v>35</v>
      </c>
      <c r="E179" s="17" t="s">
        <v>228</v>
      </c>
      <c r="F179" s="18" t="s">
        <v>92</v>
      </c>
      <c r="G179" s="18" t="s">
        <v>48</v>
      </c>
      <c r="H179" s="24">
        <v>87750</v>
      </c>
      <c r="I179" s="24">
        <f>T_reg.root.SK[[#This Row],[Volume, kg]]/1000</f>
        <v>87.75</v>
      </c>
      <c r="J179" s="25">
        <v>0.29170000000000001</v>
      </c>
      <c r="K179" s="25">
        <f t="shared" si="2"/>
        <v>25596.675000000003</v>
      </c>
      <c r="L179" s="25">
        <v>3.52</v>
      </c>
      <c r="M179" s="24">
        <v>308469.5</v>
      </c>
      <c r="N179" s="25">
        <f>IFERROR(T_reg.root.SK[[#This Row],[Price]]/T_reg.root.SK[[#This Row],[Starch content]],"")</f>
        <v>12.067192320877613</v>
      </c>
    </row>
    <row r="180" spans="1:14">
      <c r="A180" s="21">
        <v>2023</v>
      </c>
      <c r="B180" s="21" t="s">
        <v>19</v>
      </c>
      <c r="C180" s="21" t="s">
        <v>1145</v>
      </c>
      <c r="D180" s="21" t="s">
        <v>35</v>
      </c>
      <c r="E180" s="17" t="s">
        <v>229</v>
      </c>
      <c r="F180" s="18" t="s">
        <v>92</v>
      </c>
      <c r="G180" s="18" t="s">
        <v>48</v>
      </c>
      <c r="H180" s="24">
        <v>20590</v>
      </c>
      <c r="I180" s="24">
        <f>T_reg.root.SK[[#This Row],[Volume, kg]]/1000</f>
        <v>20.59</v>
      </c>
      <c r="J180" s="25">
        <v>0.2742</v>
      </c>
      <c r="K180" s="25">
        <f t="shared" si="2"/>
        <v>5645.7780000000002</v>
      </c>
      <c r="L180" s="25">
        <v>3.53</v>
      </c>
      <c r="M180" s="24">
        <v>72696</v>
      </c>
      <c r="N180" s="25">
        <f>IFERROR(T_reg.root.SK[[#This Row],[Price]]/T_reg.root.SK[[#This Row],[Starch content]],"")</f>
        <v>12.873814733770969</v>
      </c>
    </row>
    <row r="181" spans="1:14">
      <c r="A181" s="21">
        <v>2023</v>
      </c>
      <c r="B181" s="21" t="s">
        <v>19</v>
      </c>
      <c r="C181" s="21" t="s">
        <v>1145</v>
      </c>
      <c r="D181" s="21" t="s">
        <v>35</v>
      </c>
      <c r="E181" s="17" t="s">
        <v>91</v>
      </c>
      <c r="F181" s="18" t="s">
        <v>92</v>
      </c>
      <c r="G181" s="18" t="s">
        <v>48</v>
      </c>
      <c r="H181" s="24">
        <v>65780</v>
      </c>
      <c r="I181" s="24">
        <f>T_reg.root.SK[[#This Row],[Volume, kg]]/1000</f>
        <v>65.78</v>
      </c>
      <c r="J181" s="25">
        <v>0.25140000000000001</v>
      </c>
      <c r="K181" s="25">
        <f t="shared" si="2"/>
        <v>16537.092000000001</v>
      </c>
      <c r="L181" s="25">
        <v>3.32</v>
      </c>
      <c r="M181" s="24">
        <v>218606</v>
      </c>
      <c r="N181" s="25">
        <f>IFERROR(T_reg.root.SK[[#This Row],[Price]]/T_reg.root.SK[[#This Row],[Starch content]],"")</f>
        <v>13.206046141606999</v>
      </c>
    </row>
    <row r="182" spans="1:14">
      <c r="A182" s="21">
        <v>2023</v>
      </c>
      <c r="B182" s="21" t="s">
        <v>19</v>
      </c>
      <c r="C182" s="21" t="s">
        <v>1145</v>
      </c>
      <c r="D182" s="21" t="s">
        <v>35</v>
      </c>
      <c r="E182" s="17" t="s">
        <v>93</v>
      </c>
      <c r="F182" s="18" t="s">
        <v>92</v>
      </c>
      <c r="G182" s="18" t="s">
        <v>48</v>
      </c>
      <c r="H182" s="24">
        <v>74090</v>
      </c>
      <c r="I182" s="24">
        <f>T_reg.root.SK[[#This Row],[Volume, kg]]/1000</f>
        <v>74.09</v>
      </c>
      <c r="J182" s="25">
        <v>0.2742</v>
      </c>
      <c r="K182" s="25">
        <f t="shared" si="2"/>
        <v>20315.477999999999</v>
      </c>
      <c r="L182" s="25">
        <v>3.28</v>
      </c>
      <c r="M182" s="24">
        <v>242650.5</v>
      </c>
      <c r="N182" s="25">
        <f>IFERROR(T_reg.root.SK[[#This Row],[Price]]/T_reg.root.SK[[#This Row],[Starch content]],"")</f>
        <v>11.962071480671042</v>
      </c>
    </row>
    <row r="183" spans="1:14">
      <c r="A183" s="21">
        <v>2023</v>
      </c>
      <c r="B183" s="21" t="s">
        <v>19</v>
      </c>
      <c r="C183" s="21" t="s">
        <v>1145</v>
      </c>
      <c r="D183" s="21" t="s">
        <v>39</v>
      </c>
      <c r="E183" s="17" t="s">
        <v>94</v>
      </c>
      <c r="F183" s="18" t="s">
        <v>95</v>
      </c>
      <c r="G183" s="18" t="s">
        <v>48</v>
      </c>
      <c r="H183" s="24">
        <v>10516800</v>
      </c>
      <c r="I183" s="24">
        <f>T_reg.root.SK[[#This Row],[Volume, kg]]/1000</f>
        <v>10516.8</v>
      </c>
      <c r="J183" s="25">
        <v>0.28300000000000003</v>
      </c>
      <c r="K183" s="25">
        <f t="shared" si="2"/>
        <v>2976254.4000000004</v>
      </c>
      <c r="L183" s="25">
        <v>3.66</v>
      </c>
      <c r="M183" s="24">
        <v>38515769.5</v>
      </c>
      <c r="N183" s="25">
        <f>IFERROR(T_reg.root.SK[[#This Row],[Price]]/T_reg.root.SK[[#This Row],[Starch content]],"")</f>
        <v>12.93286219081272</v>
      </c>
    </row>
    <row r="184" spans="1:14">
      <c r="A184" s="21">
        <v>2023</v>
      </c>
      <c r="B184" s="21" t="s">
        <v>19</v>
      </c>
      <c r="C184" s="21" t="s">
        <v>1145</v>
      </c>
      <c r="D184" s="21" t="s">
        <v>39</v>
      </c>
      <c r="E184" s="17" t="s">
        <v>98</v>
      </c>
      <c r="F184" s="18" t="s">
        <v>99</v>
      </c>
      <c r="G184" s="18" t="s">
        <v>42</v>
      </c>
      <c r="H184" s="24">
        <v>1080880</v>
      </c>
      <c r="I184" s="24">
        <f>T_reg.root.SK[[#This Row],[Volume, kg]]/1000</f>
        <v>1080.8800000000001</v>
      </c>
      <c r="J184" s="25">
        <v>0.27560000000000001</v>
      </c>
      <c r="K184" s="25">
        <f t="shared" si="2"/>
        <v>297890.52799999999</v>
      </c>
      <c r="L184" s="25">
        <v>3.52</v>
      </c>
      <c r="M184" s="24">
        <v>3801046.5</v>
      </c>
      <c r="N184" s="25">
        <f>IFERROR(T_reg.root.SK[[#This Row],[Price]]/T_reg.root.SK[[#This Row],[Starch content]],"")</f>
        <v>12.772133526850508</v>
      </c>
    </row>
    <row r="185" spans="1:14">
      <c r="A185" s="21">
        <v>2023</v>
      </c>
      <c r="B185" s="21" t="s">
        <v>19</v>
      </c>
      <c r="C185" s="21" t="s">
        <v>1145</v>
      </c>
      <c r="D185" s="21" t="s">
        <v>39</v>
      </c>
      <c r="E185" s="17" t="s">
        <v>100</v>
      </c>
      <c r="F185" s="18" t="s">
        <v>99</v>
      </c>
      <c r="G185" s="18" t="s">
        <v>42</v>
      </c>
      <c r="H185" s="24">
        <v>74650</v>
      </c>
      <c r="I185" s="24">
        <f>T_reg.root.SK[[#This Row],[Volume, kg]]/1000</f>
        <v>74.650000000000006</v>
      </c>
      <c r="J185" s="25">
        <v>0.29430000000000001</v>
      </c>
      <c r="K185" s="25">
        <f t="shared" si="2"/>
        <v>21969.494999999999</v>
      </c>
      <c r="L185" s="25">
        <v>3.57</v>
      </c>
      <c r="M185" s="24">
        <v>266839</v>
      </c>
      <c r="N185" s="25">
        <f>IFERROR(T_reg.root.SK[[#This Row],[Price]]/T_reg.root.SK[[#This Row],[Starch content]],"")</f>
        <v>12.130479102956166</v>
      </c>
    </row>
    <row r="186" spans="1:14">
      <c r="A186" s="21">
        <v>2023</v>
      </c>
      <c r="B186" s="21" t="s">
        <v>19</v>
      </c>
      <c r="C186" s="21" t="s">
        <v>1145</v>
      </c>
      <c r="D186" s="21" t="s">
        <v>35</v>
      </c>
      <c r="E186" s="17" t="s">
        <v>185</v>
      </c>
      <c r="F186" s="18" t="s">
        <v>105</v>
      </c>
      <c r="G186" s="18" t="s">
        <v>48</v>
      </c>
      <c r="H186" s="24">
        <v>266710</v>
      </c>
      <c r="I186" s="24">
        <f>T_reg.root.SK[[#This Row],[Volume, kg]]/1000</f>
        <v>266.70999999999998</v>
      </c>
      <c r="J186" s="25">
        <v>0.28360000000000002</v>
      </c>
      <c r="K186" s="25">
        <f t="shared" si="2"/>
        <v>75638.956000000006</v>
      </c>
      <c r="L186" s="25">
        <v>3.38</v>
      </c>
      <c r="M186" s="24">
        <v>900883.5</v>
      </c>
      <c r="N186" s="25">
        <f>IFERROR(T_reg.root.SK[[#This Row],[Price]]/T_reg.root.SK[[#This Row],[Starch content]],"")</f>
        <v>11.918194640338504</v>
      </c>
    </row>
    <row r="187" spans="1:14">
      <c r="A187" s="21">
        <v>2023</v>
      </c>
      <c r="B187" s="21" t="s">
        <v>19</v>
      </c>
      <c r="C187" s="21" t="s">
        <v>1145</v>
      </c>
      <c r="D187" s="21" t="s">
        <v>35</v>
      </c>
      <c r="E187" s="17" t="s">
        <v>104</v>
      </c>
      <c r="F187" s="18" t="s">
        <v>105</v>
      </c>
      <c r="G187" s="18" t="s">
        <v>48</v>
      </c>
      <c r="H187" s="24">
        <v>62660</v>
      </c>
      <c r="I187" s="24">
        <f>T_reg.root.SK[[#This Row],[Volume, kg]]/1000</f>
        <v>62.66</v>
      </c>
      <c r="J187" s="25">
        <v>0.30940000000000001</v>
      </c>
      <c r="K187" s="25">
        <f t="shared" si="2"/>
        <v>19387.004000000001</v>
      </c>
      <c r="L187" s="25">
        <v>3.48</v>
      </c>
      <c r="M187" s="24">
        <v>218318</v>
      </c>
      <c r="N187" s="25">
        <f>IFERROR(T_reg.root.SK[[#This Row],[Price]]/T_reg.root.SK[[#This Row],[Starch content]],"")</f>
        <v>11.247575953458306</v>
      </c>
    </row>
    <row r="188" spans="1:14">
      <c r="A188" s="21">
        <v>2023</v>
      </c>
      <c r="B188" s="21" t="s">
        <v>19</v>
      </c>
      <c r="C188" s="21" t="s">
        <v>1145</v>
      </c>
      <c r="D188" s="21" t="s">
        <v>35</v>
      </c>
      <c r="E188" s="17" t="s">
        <v>230</v>
      </c>
      <c r="F188" s="18" t="s">
        <v>105</v>
      </c>
      <c r="G188" s="18" t="s">
        <v>48</v>
      </c>
      <c r="H188" s="24">
        <v>32740</v>
      </c>
      <c r="I188" s="24">
        <f>T_reg.root.SK[[#This Row],[Volume, kg]]/1000</f>
        <v>32.74</v>
      </c>
      <c r="J188" s="25">
        <v>0.26039999999999996</v>
      </c>
      <c r="K188" s="25">
        <f t="shared" si="2"/>
        <v>8525.4959999999992</v>
      </c>
      <c r="L188" s="25">
        <v>3.22</v>
      </c>
      <c r="M188" s="24">
        <v>105343</v>
      </c>
      <c r="N188" s="25">
        <f>IFERROR(T_reg.root.SK[[#This Row],[Price]]/T_reg.root.SK[[#This Row],[Starch content]],"")</f>
        <v>12.365591397849466</v>
      </c>
    </row>
    <row r="189" spans="1:14">
      <c r="A189" s="21">
        <v>2023</v>
      </c>
      <c r="B189" s="21" t="s">
        <v>19</v>
      </c>
      <c r="C189" s="21" t="s">
        <v>1145</v>
      </c>
      <c r="D189" s="21" t="s">
        <v>35</v>
      </c>
      <c r="E189" s="17" t="s">
        <v>107</v>
      </c>
      <c r="F189" s="18" t="s">
        <v>105</v>
      </c>
      <c r="G189" s="18" t="s">
        <v>48</v>
      </c>
      <c r="H189" s="24">
        <v>683590</v>
      </c>
      <c r="I189" s="24">
        <f>T_reg.root.SK[[#This Row],[Volume, kg]]/1000</f>
        <v>683.59</v>
      </c>
      <c r="J189" s="25">
        <v>0.28620000000000001</v>
      </c>
      <c r="K189" s="25">
        <f t="shared" si="2"/>
        <v>195643.45800000001</v>
      </c>
      <c r="L189" s="25">
        <v>3.44</v>
      </c>
      <c r="M189" s="24">
        <v>2351358</v>
      </c>
      <c r="N189" s="25">
        <f>IFERROR(T_reg.root.SK[[#This Row],[Price]]/T_reg.root.SK[[#This Row],[Starch content]],"")</f>
        <v>12.019566736547867</v>
      </c>
    </row>
    <row r="190" spans="1:14">
      <c r="A190" s="21">
        <v>2023</v>
      </c>
      <c r="B190" s="21" t="s">
        <v>19</v>
      </c>
      <c r="C190" s="21" t="s">
        <v>1145</v>
      </c>
      <c r="D190" s="21" t="s">
        <v>35</v>
      </c>
      <c r="E190" s="17" t="s">
        <v>231</v>
      </c>
      <c r="F190" s="18" t="s">
        <v>105</v>
      </c>
      <c r="G190" s="18" t="s">
        <v>48</v>
      </c>
      <c r="H190" s="24">
        <v>54720</v>
      </c>
      <c r="I190" s="24">
        <f>T_reg.root.SK[[#This Row],[Volume, kg]]/1000</f>
        <v>54.72</v>
      </c>
      <c r="J190" s="25">
        <v>0.28089999999999998</v>
      </c>
      <c r="K190" s="25">
        <f t="shared" si="2"/>
        <v>15370.848</v>
      </c>
      <c r="L190" s="25">
        <v>3.39</v>
      </c>
      <c r="M190" s="24">
        <v>185471.5</v>
      </c>
      <c r="N190" s="25">
        <f>IFERROR(T_reg.root.SK[[#This Row],[Price]]/T_reg.root.SK[[#This Row],[Starch content]],"")</f>
        <v>12.068351726593095</v>
      </c>
    </row>
    <row r="191" spans="1:14">
      <c r="A191" s="21">
        <v>2023</v>
      </c>
      <c r="B191" s="21" t="s">
        <v>19</v>
      </c>
      <c r="C191" s="21" t="s">
        <v>1145</v>
      </c>
      <c r="D191" s="21" t="s">
        <v>35</v>
      </c>
      <c r="E191" s="17" t="s">
        <v>108</v>
      </c>
      <c r="F191" s="18" t="s">
        <v>105</v>
      </c>
      <c r="G191" s="18" t="s">
        <v>48</v>
      </c>
      <c r="H191" s="24">
        <v>228450</v>
      </c>
      <c r="I191" s="24">
        <f>T_reg.root.SK[[#This Row],[Volume, kg]]/1000</f>
        <v>228.45</v>
      </c>
      <c r="J191" s="25">
        <v>0.29239999999999999</v>
      </c>
      <c r="K191" s="25">
        <f t="shared" si="2"/>
        <v>66798.78</v>
      </c>
      <c r="L191" s="25">
        <v>3.48</v>
      </c>
      <c r="M191" s="24">
        <v>794387</v>
      </c>
      <c r="N191" s="25">
        <f>IFERROR(T_reg.root.SK[[#This Row],[Price]]/T_reg.root.SK[[#This Row],[Starch content]],"")</f>
        <v>11.901504787961697</v>
      </c>
    </row>
    <row r="192" spans="1:14">
      <c r="A192" s="21">
        <v>2023</v>
      </c>
      <c r="B192" s="21" t="s">
        <v>19</v>
      </c>
      <c r="C192" s="21" t="s">
        <v>1145</v>
      </c>
      <c r="D192" s="21" t="s">
        <v>35</v>
      </c>
      <c r="E192" s="17" t="s">
        <v>109</v>
      </c>
      <c r="F192" s="18" t="s">
        <v>105</v>
      </c>
      <c r="G192" s="18" t="s">
        <v>48</v>
      </c>
      <c r="H192" s="24">
        <v>193670</v>
      </c>
      <c r="I192" s="24">
        <f>T_reg.root.SK[[#This Row],[Volume, kg]]/1000</f>
        <v>193.67</v>
      </c>
      <c r="J192" s="25">
        <v>0.28820000000000001</v>
      </c>
      <c r="K192" s="25">
        <f t="shared" si="2"/>
        <v>55815.694000000003</v>
      </c>
      <c r="L192" s="25">
        <v>3.49</v>
      </c>
      <c r="M192" s="24">
        <v>676255</v>
      </c>
      <c r="N192" s="25">
        <f>IFERROR(T_reg.root.SK[[#This Row],[Price]]/T_reg.root.SK[[#This Row],[Starch content]],"")</f>
        <v>12.109646079111728</v>
      </c>
    </row>
    <row r="193" spans="1:14">
      <c r="A193" s="21">
        <v>2023</v>
      </c>
      <c r="B193" s="21" t="s">
        <v>19</v>
      </c>
      <c r="C193" s="21" t="s">
        <v>1145</v>
      </c>
      <c r="D193" s="21" t="s">
        <v>35</v>
      </c>
      <c r="E193" s="17" t="s">
        <v>232</v>
      </c>
      <c r="F193" s="18" t="s">
        <v>105</v>
      </c>
      <c r="G193" s="18" t="s">
        <v>48</v>
      </c>
      <c r="H193" s="24">
        <v>19870</v>
      </c>
      <c r="I193" s="24">
        <f>T_reg.root.SK[[#This Row],[Volume, kg]]/1000</f>
        <v>19.87</v>
      </c>
      <c r="J193" s="25">
        <v>0.28910000000000002</v>
      </c>
      <c r="K193" s="25">
        <f t="shared" si="2"/>
        <v>5744.4170000000004</v>
      </c>
      <c r="L193" s="25">
        <v>3.48</v>
      </c>
      <c r="M193" s="24">
        <v>69076</v>
      </c>
      <c r="N193" s="25">
        <f>IFERROR(T_reg.root.SK[[#This Row],[Price]]/T_reg.root.SK[[#This Row],[Starch content]],"")</f>
        <v>12.037357315807679</v>
      </c>
    </row>
    <row r="194" spans="1:14">
      <c r="A194" s="21">
        <v>2023</v>
      </c>
      <c r="B194" s="21" t="s">
        <v>19</v>
      </c>
      <c r="C194" s="21" t="s">
        <v>1145</v>
      </c>
      <c r="D194" s="21" t="s">
        <v>35</v>
      </c>
      <c r="E194" s="17" t="s">
        <v>112</v>
      </c>
      <c r="F194" s="18" t="s">
        <v>105</v>
      </c>
      <c r="G194" s="18" t="s">
        <v>48</v>
      </c>
      <c r="H194" s="24">
        <v>142680</v>
      </c>
      <c r="I194" s="24">
        <f>T_reg.root.SK[[#This Row],[Volume, kg]]/1000</f>
        <v>142.68</v>
      </c>
      <c r="J194" s="25">
        <v>0.2661</v>
      </c>
      <c r="K194" s="25">
        <f t="shared" si="2"/>
        <v>37967.148000000001</v>
      </c>
      <c r="L194" s="25">
        <v>3.42</v>
      </c>
      <c r="M194" s="24">
        <v>487837.5</v>
      </c>
      <c r="N194" s="25">
        <f>IFERROR(T_reg.root.SK[[#This Row],[Price]]/T_reg.root.SK[[#This Row],[Starch content]],"")</f>
        <v>12.852311161217587</v>
      </c>
    </row>
    <row r="195" spans="1:14">
      <c r="A195" s="21">
        <v>2023</v>
      </c>
      <c r="B195" s="21" t="s">
        <v>19</v>
      </c>
      <c r="C195" s="21" t="s">
        <v>1145</v>
      </c>
      <c r="D195" s="21" t="s">
        <v>35</v>
      </c>
      <c r="E195" s="17" t="s">
        <v>233</v>
      </c>
      <c r="F195" s="18" t="s">
        <v>105</v>
      </c>
      <c r="G195" s="18" t="s">
        <v>48</v>
      </c>
      <c r="H195" s="24">
        <v>37770</v>
      </c>
      <c r="I195" s="24">
        <f>T_reg.root.SK[[#This Row],[Volume, kg]]/1000</f>
        <v>37.770000000000003</v>
      </c>
      <c r="J195" s="25">
        <v>0.27229999999999999</v>
      </c>
      <c r="K195" s="25">
        <f t="shared" ref="K195:K258" si="3">H195*J195</f>
        <v>10284.770999999999</v>
      </c>
      <c r="L195" s="25">
        <v>3.41</v>
      </c>
      <c r="M195" s="24">
        <v>128627.5</v>
      </c>
      <c r="N195" s="25">
        <f>IFERROR(T_reg.root.SK[[#This Row],[Price]]/T_reg.root.SK[[#This Row],[Starch content]],"")</f>
        <v>12.522952625780391</v>
      </c>
    </row>
    <row r="196" spans="1:14">
      <c r="A196" s="21">
        <v>2023</v>
      </c>
      <c r="B196" s="21" t="s">
        <v>19</v>
      </c>
      <c r="C196" s="21" t="s">
        <v>1145</v>
      </c>
      <c r="D196" s="21" t="s">
        <v>35</v>
      </c>
      <c r="E196" s="17" t="s">
        <v>234</v>
      </c>
      <c r="F196" s="18" t="s">
        <v>105</v>
      </c>
      <c r="G196" s="18" t="s">
        <v>48</v>
      </c>
      <c r="H196" s="24">
        <v>86780</v>
      </c>
      <c r="I196" s="24">
        <f>T_reg.root.SK[[#This Row],[Volume, kg]]/1000</f>
        <v>86.78</v>
      </c>
      <c r="J196" s="25">
        <v>0.26899999999999996</v>
      </c>
      <c r="K196" s="25">
        <f t="shared" si="3"/>
        <v>23343.819999999996</v>
      </c>
      <c r="L196" s="25">
        <v>3.44</v>
      </c>
      <c r="M196" s="24">
        <v>298296</v>
      </c>
      <c r="N196" s="25">
        <f>IFERROR(T_reg.root.SK[[#This Row],[Price]]/T_reg.root.SK[[#This Row],[Starch content]],"")</f>
        <v>12.788104089219333</v>
      </c>
    </row>
    <row r="197" spans="1:14">
      <c r="A197" s="21">
        <v>2023</v>
      </c>
      <c r="B197" s="21" t="s">
        <v>19</v>
      </c>
      <c r="C197" s="21" t="s">
        <v>1145</v>
      </c>
      <c r="D197" s="21" t="s">
        <v>35</v>
      </c>
      <c r="E197" s="17" t="s">
        <v>235</v>
      </c>
      <c r="F197" s="18" t="s">
        <v>105</v>
      </c>
      <c r="G197" s="18" t="s">
        <v>48</v>
      </c>
      <c r="H197" s="24">
        <v>113840</v>
      </c>
      <c r="I197" s="24">
        <f>T_reg.root.SK[[#This Row],[Volume, kg]]/1000</f>
        <v>113.84</v>
      </c>
      <c r="J197" s="25">
        <v>0.26390000000000002</v>
      </c>
      <c r="K197" s="25">
        <f t="shared" si="3"/>
        <v>30042.376000000004</v>
      </c>
      <c r="L197" s="25">
        <v>3.33</v>
      </c>
      <c r="M197" s="24">
        <v>378992.5</v>
      </c>
      <c r="N197" s="25">
        <f>IFERROR(T_reg.root.SK[[#This Row],[Price]]/T_reg.root.SK[[#This Row],[Starch content]],"")</f>
        <v>12.618416066691928</v>
      </c>
    </row>
    <row r="198" spans="1:14">
      <c r="A198" s="21">
        <v>2023</v>
      </c>
      <c r="B198" s="21" t="s">
        <v>19</v>
      </c>
      <c r="C198" s="21" t="s">
        <v>1145</v>
      </c>
      <c r="D198" s="21" t="s">
        <v>35</v>
      </c>
      <c r="E198" s="17" t="s">
        <v>114</v>
      </c>
      <c r="F198" s="18" t="s">
        <v>105</v>
      </c>
      <c r="G198" s="18" t="s">
        <v>48</v>
      </c>
      <c r="H198" s="24">
        <v>21940</v>
      </c>
      <c r="I198" s="24">
        <f>T_reg.root.SK[[#This Row],[Volume, kg]]/1000</f>
        <v>21.94</v>
      </c>
      <c r="J198" s="25">
        <v>0.31230000000000002</v>
      </c>
      <c r="K198" s="25">
        <f t="shared" si="3"/>
        <v>6851.8620000000001</v>
      </c>
      <c r="L198" s="25">
        <v>3.53</v>
      </c>
      <c r="M198" s="24">
        <v>77413</v>
      </c>
      <c r="N198" s="25">
        <f>IFERROR(T_reg.root.SK[[#This Row],[Price]]/T_reg.root.SK[[#This Row],[Starch content]],"")</f>
        <v>11.303234069804674</v>
      </c>
    </row>
    <row r="199" spans="1:14">
      <c r="A199" s="21">
        <v>2023</v>
      </c>
      <c r="B199" s="21" t="s">
        <v>19</v>
      </c>
      <c r="C199" s="21" t="s">
        <v>1145</v>
      </c>
      <c r="D199" s="21" t="s">
        <v>35</v>
      </c>
      <c r="E199" s="17" t="s">
        <v>236</v>
      </c>
      <c r="F199" s="18" t="s">
        <v>105</v>
      </c>
      <c r="G199" s="18" t="s">
        <v>48</v>
      </c>
      <c r="H199" s="24">
        <v>44120</v>
      </c>
      <c r="I199" s="24">
        <f>T_reg.root.SK[[#This Row],[Volume, kg]]/1000</f>
        <v>44.12</v>
      </c>
      <c r="J199" s="25">
        <v>0.29749999999999999</v>
      </c>
      <c r="K199" s="25">
        <f t="shared" si="3"/>
        <v>13125.699999999999</v>
      </c>
      <c r="L199" s="25">
        <v>3.4</v>
      </c>
      <c r="M199" s="24">
        <v>149819.5</v>
      </c>
      <c r="N199" s="25">
        <f>IFERROR(T_reg.root.SK[[#This Row],[Price]]/T_reg.root.SK[[#This Row],[Starch content]],"")</f>
        <v>11.428571428571429</v>
      </c>
    </row>
    <row r="200" spans="1:14">
      <c r="A200" s="21">
        <v>2023</v>
      </c>
      <c r="B200" s="21" t="s">
        <v>19</v>
      </c>
      <c r="C200" s="21" t="s">
        <v>1145</v>
      </c>
      <c r="D200" s="21" t="s">
        <v>35</v>
      </c>
      <c r="E200" s="17" t="s">
        <v>115</v>
      </c>
      <c r="F200" s="18" t="s">
        <v>105</v>
      </c>
      <c r="G200" s="18" t="s">
        <v>48</v>
      </c>
      <c r="H200" s="24">
        <v>46730</v>
      </c>
      <c r="I200" s="24">
        <f>T_reg.root.SK[[#This Row],[Volume, kg]]/1000</f>
        <v>46.73</v>
      </c>
      <c r="J200" s="25">
        <v>0.29289999999999999</v>
      </c>
      <c r="K200" s="25">
        <f t="shared" si="3"/>
        <v>13687.217000000001</v>
      </c>
      <c r="L200" s="25">
        <v>3.36</v>
      </c>
      <c r="M200" s="24">
        <v>157018</v>
      </c>
      <c r="N200" s="25">
        <f>IFERROR(T_reg.root.SK[[#This Row],[Price]]/T_reg.root.SK[[#This Row],[Starch content]],"")</f>
        <v>11.471491976783884</v>
      </c>
    </row>
    <row r="201" spans="1:14">
      <c r="A201" s="21">
        <v>2023</v>
      </c>
      <c r="B201" s="21" t="s">
        <v>19</v>
      </c>
      <c r="C201" s="21" t="s">
        <v>1145</v>
      </c>
      <c r="D201" s="21" t="s">
        <v>35</v>
      </c>
      <c r="E201" s="17" t="s">
        <v>237</v>
      </c>
      <c r="F201" s="18" t="s">
        <v>105</v>
      </c>
      <c r="G201" s="18" t="s">
        <v>48</v>
      </c>
      <c r="H201" s="24">
        <v>72180</v>
      </c>
      <c r="I201" s="24">
        <f>T_reg.root.SK[[#This Row],[Volume, kg]]/1000</f>
        <v>72.180000000000007</v>
      </c>
      <c r="J201" s="25">
        <v>0.28949999999999998</v>
      </c>
      <c r="K201" s="25">
        <f t="shared" si="3"/>
        <v>20896.109999999997</v>
      </c>
      <c r="L201" s="25">
        <v>3.52</v>
      </c>
      <c r="M201" s="24">
        <v>254347</v>
      </c>
      <c r="N201" s="25">
        <f>IFERROR(T_reg.root.SK[[#This Row],[Price]]/T_reg.root.SK[[#This Row],[Starch content]],"")</f>
        <v>12.158894645941279</v>
      </c>
    </row>
    <row r="202" spans="1:14">
      <c r="A202" s="21">
        <v>2023</v>
      </c>
      <c r="B202" s="21" t="s">
        <v>19</v>
      </c>
      <c r="C202" s="21" t="s">
        <v>1145</v>
      </c>
      <c r="D202" s="21" t="s">
        <v>35</v>
      </c>
      <c r="E202" s="17" t="s">
        <v>118</v>
      </c>
      <c r="F202" s="18" t="s">
        <v>105</v>
      </c>
      <c r="G202" s="18" t="s">
        <v>48</v>
      </c>
      <c r="H202" s="24">
        <v>269950</v>
      </c>
      <c r="I202" s="24">
        <f>T_reg.root.SK[[#This Row],[Volume, kg]]/1000</f>
        <v>269.95</v>
      </c>
      <c r="J202" s="25">
        <v>0.29480000000000001</v>
      </c>
      <c r="K202" s="25">
        <f t="shared" si="3"/>
        <v>79581.259999999995</v>
      </c>
      <c r="L202" s="25">
        <v>3.49</v>
      </c>
      <c r="M202" s="24">
        <v>941180</v>
      </c>
      <c r="N202" s="25">
        <f>IFERROR(T_reg.root.SK[[#This Row],[Price]]/T_reg.root.SK[[#This Row],[Starch content]],"")</f>
        <v>11.83853459972863</v>
      </c>
    </row>
    <row r="203" spans="1:14">
      <c r="A203" s="21">
        <v>2023</v>
      </c>
      <c r="B203" s="21" t="s">
        <v>19</v>
      </c>
      <c r="C203" s="21" t="s">
        <v>1145</v>
      </c>
      <c r="D203" s="21" t="s">
        <v>35</v>
      </c>
      <c r="E203" s="17" t="s">
        <v>119</v>
      </c>
      <c r="F203" s="18" t="s">
        <v>105</v>
      </c>
      <c r="G203" s="18" t="s">
        <v>48</v>
      </c>
      <c r="H203" s="24">
        <v>48480</v>
      </c>
      <c r="I203" s="24">
        <f>T_reg.root.SK[[#This Row],[Volume, kg]]/1000</f>
        <v>48.48</v>
      </c>
      <c r="J203" s="25">
        <v>0.29120000000000001</v>
      </c>
      <c r="K203" s="25">
        <f t="shared" si="3"/>
        <v>14117.376</v>
      </c>
      <c r="L203" s="25">
        <v>3.47</v>
      </c>
      <c r="M203" s="24">
        <v>168323</v>
      </c>
      <c r="N203" s="25">
        <f>IFERROR(T_reg.root.SK[[#This Row],[Price]]/T_reg.root.SK[[#This Row],[Starch content]],"")</f>
        <v>11.916208791208792</v>
      </c>
    </row>
    <row r="204" spans="1:14">
      <c r="A204" s="21">
        <v>2023</v>
      </c>
      <c r="B204" s="21" t="s">
        <v>19</v>
      </c>
      <c r="C204" s="21" t="s">
        <v>1145</v>
      </c>
      <c r="D204" s="21" t="s">
        <v>35</v>
      </c>
      <c r="E204" s="17" t="s">
        <v>121</v>
      </c>
      <c r="F204" s="18" t="s">
        <v>105</v>
      </c>
      <c r="G204" s="18" t="s">
        <v>48</v>
      </c>
      <c r="H204" s="24">
        <v>121620</v>
      </c>
      <c r="I204" s="24">
        <f>T_reg.root.SK[[#This Row],[Volume, kg]]/1000</f>
        <v>121.62</v>
      </c>
      <c r="J204" s="25">
        <v>0.25800000000000001</v>
      </c>
      <c r="K204" s="25">
        <f t="shared" si="3"/>
        <v>31377.96</v>
      </c>
      <c r="L204" s="25">
        <v>3.3</v>
      </c>
      <c r="M204" s="24">
        <v>401671</v>
      </c>
      <c r="N204" s="25">
        <f>IFERROR(T_reg.root.SK[[#This Row],[Price]]/T_reg.root.SK[[#This Row],[Starch content]],"")</f>
        <v>12.790697674418604</v>
      </c>
    </row>
    <row r="205" spans="1:14">
      <c r="A205" s="21">
        <v>2023</v>
      </c>
      <c r="B205" s="21" t="s">
        <v>19</v>
      </c>
      <c r="C205" s="21" t="s">
        <v>1145</v>
      </c>
      <c r="D205" s="21" t="s">
        <v>35</v>
      </c>
      <c r="E205" s="17" t="s">
        <v>122</v>
      </c>
      <c r="F205" s="18" t="s">
        <v>105</v>
      </c>
      <c r="G205" s="18" t="s">
        <v>48</v>
      </c>
      <c r="H205" s="24">
        <v>153850</v>
      </c>
      <c r="I205" s="24">
        <f>T_reg.root.SK[[#This Row],[Volume, kg]]/1000</f>
        <v>153.85</v>
      </c>
      <c r="J205" s="25">
        <v>0.27979999999999999</v>
      </c>
      <c r="K205" s="25">
        <f t="shared" si="3"/>
        <v>43047.229999999996</v>
      </c>
      <c r="L205" s="25">
        <v>3.37</v>
      </c>
      <c r="M205" s="24">
        <v>519213</v>
      </c>
      <c r="N205" s="25">
        <f>IFERROR(T_reg.root.SK[[#This Row],[Price]]/T_reg.root.SK[[#This Row],[Starch content]],"")</f>
        <v>12.044317369549679</v>
      </c>
    </row>
    <row r="206" spans="1:14">
      <c r="A206" s="21">
        <v>2023</v>
      </c>
      <c r="B206" s="21" t="s">
        <v>19</v>
      </c>
      <c r="C206" s="21" t="s">
        <v>1145</v>
      </c>
      <c r="D206" s="21" t="s">
        <v>35</v>
      </c>
      <c r="E206" s="17" t="s">
        <v>238</v>
      </c>
      <c r="F206" s="18" t="s">
        <v>105</v>
      </c>
      <c r="G206" s="18" t="s">
        <v>48</v>
      </c>
      <c r="H206" s="24">
        <v>61010</v>
      </c>
      <c r="I206" s="24">
        <f>T_reg.root.SK[[#This Row],[Volume, kg]]/1000</f>
        <v>61.01</v>
      </c>
      <c r="J206" s="25">
        <v>0.26700000000000002</v>
      </c>
      <c r="K206" s="25">
        <f t="shared" si="3"/>
        <v>16289.67</v>
      </c>
      <c r="L206" s="25">
        <v>3.39</v>
      </c>
      <c r="M206" s="24">
        <v>206596</v>
      </c>
      <c r="N206" s="25">
        <f>IFERROR(T_reg.root.SK[[#This Row],[Price]]/T_reg.root.SK[[#This Row],[Starch content]],"")</f>
        <v>12.696629213483146</v>
      </c>
    </row>
    <row r="207" spans="1:14">
      <c r="A207" s="21">
        <v>2023</v>
      </c>
      <c r="B207" s="21" t="s">
        <v>19</v>
      </c>
      <c r="C207" s="21" t="s">
        <v>1145</v>
      </c>
      <c r="D207" s="21" t="s">
        <v>35</v>
      </c>
      <c r="E207" s="17" t="s">
        <v>239</v>
      </c>
      <c r="F207" s="18" t="s">
        <v>105</v>
      </c>
      <c r="G207" s="18" t="s">
        <v>48</v>
      </c>
      <c r="H207" s="24">
        <v>28810</v>
      </c>
      <c r="I207" s="24">
        <f>T_reg.root.SK[[#This Row],[Volume, kg]]/1000</f>
        <v>28.81</v>
      </c>
      <c r="J207" s="25">
        <v>0.29289999999999999</v>
      </c>
      <c r="K207" s="25">
        <f t="shared" si="3"/>
        <v>8438.4490000000005</v>
      </c>
      <c r="L207" s="25">
        <v>3.5</v>
      </c>
      <c r="M207" s="24">
        <v>100702</v>
      </c>
      <c r="N207" s="25">
        <f>IFERROR(T_reg.root.SK[[#This Row],[Price]]/T_reg.root.SK[[#This Row],[Starch content]],"")</f>
        <v>11.949470809149881</v>
      </c>
    </row>
    <row r="208" spans="1:14">
      <c r="A208" s="21">
        <v>2023</v>
      </c>
      <c r="B208" s="21" t="s">
        <v>19</v>
      </c>
      <c r="C208" s="21" t="s">
        <v>1145</v>
      </c>
      <c r="D208" s="21" t="s">
        <v>35</v>
      </c>
      <c r="E208" s="17" t="s">
        <v>124</v>
      </c>
      <c r="F208" s="18" t="s">
        <v>105</v>
      </c>
      <c r="G208" s="18" t="s">
        <v>48</v>
      </c>
      <c r="H208" s="24">
        <v>217140</v>
      </c>
      <c r="I208" s="24">
        <f>T_reg.root.SK[[#This Row],[Volume, kg]]/1000</f>
        <v>217.14</v>
      </c>
      <c r="J208" s="25">
        <v>0.28670000000000001</v>
      </c>
      <c r="K208" s="25">
        <f t="shared" si="3"/>
        <v>62254.038</v>
      </c>
      <c r="L208" s="25">
        <v>3.4</v>
      </c>
      <c r="M208" s="24">
        <v>739073.5</v>
      </c>
      <c r="N208" s="25">
        <f>IFERROR(T_reg.root.SK[[#This Row],[Price]]/T_reg.root.SK[[#This Row],[Starch content]],"")</f>
        <v>11.859086152772933</v>
      </c>
    </row>
    <row r="209" spans="1:14">
      <c r="A209" s="21">
        <v>2023</v>
      </c>
      <c r="B209" s="21" t="s">
        <v>19</v>
      </c>
      <c r="C209" s="21" t="s">
        <v>1145</v>
      </c>
      <c r="D209" s="21" t="s">
        <v>35</v>
      </c>
      <c r="E209" s="17" t="s">
        <v>240</v>
      </c>
      <c r="F209" s="18" t="s">
        <v>105</v>
      </c>
      <c r="G209" s="18" t="s">
        <v>48</v>
      </c>
      <c r="H209" s="24">
        <v>15520</v>
      </c>
      <c r="I209" s="24">
        <f>T_reg.root.SK[[#This Row],[Volume, kg]]/1000</f>
        <v>15.52</v>
      </c>
      <c r="J209" s="25">
        <v>0.29109999999999997</v>
      </c>
      <c r="K209" s="25">
        <f t="shared" si="3"/>
        <v>4517.8719999999994</v>
      </c>
      <c r="L209" s="25">
        <v>3.5</v>
      </c>
      <c r="M209" s="24">
        <v>54380</v>
      </c>
      <c r="N209" s="25">
        <f>IFERROR(T_reg.root.SK[[#This Row],[Price]]/T_reg.root.SK[[#This Row],[Starch content]],"")</f>
        <v>12.023359670216422</v>
      </c>
    </row>
    <row r="210" spans="1:14">
      <c r="A210" s="21">
        <v>2023</v>
      </c>
      <c r="B210" s="21" t="s">
        <v>19</v>
      </c>
      <c r="C210" s="21" t="s">
        <v>1145</v>
      </c>
      <c r="D210" s="21" t="s">
        <v>35</v>
      </c>
      <c r="E210" s="17" t="s">
        <v>127</v>
      </c>
      <c r="F210" s="18" t="s">
        <v>105</v>
      </c>
      <c r="G210" s="18" t="s">
        <v>48</v>
      </c>
      <c r="H210" s="24">
        <v>24810</v>
      </c>
      <c r="I210" s="24">
        <f>T_reg.root.SK[[#This Row],[Volume, kg]]/1000</f>
        <v>24.81</v>
      </c>
      <c r="J210" s="25">
        <v>0.2918</v>
      </c>
      <c r="K210" s="25">
        <f t="shared" si="3"/>
        <v>7239.558</v>
      </c>
      <c r="L210" s="25">
        <v>3.56</v>
      </c>
      <c r="M210" s="24">
        <v>88226</v>
      </c>
      <c r="N210" s="25">
        <f>IFERROR(T_reg.root.SK[[#This Row],[Price]]/T_reg.root.SK[[#This Row],[Starch content]],"")</f>
        <v>12.200137080191912</v>
      </c>
    </row>
    <row r="211" spans="1:14">
      <c r="A211" s="21">
        <v>2023</v>
      </c>
      <c r="B211" s="21" t="s">
        <v>19</v>
      </c>
      <c r="C211" s="21" t="s">
        <v>1145</v>
      </c>
      <c r="D211" s="21" t="s">
        <v>35</v>
      </c>
      <c r="E211" s="17" t="s">
        <v>129</v>
      </c>
      <c r="F211" s="18" t="s">
        <v>105</v>
      </c>
      <c r="G211" s="18" t="s">
        <v>48</v>
      </c>
      <c r="H211" s="24">
        <v>72190</v>
      </c>
      <c r="I211" s="24">
        <f>T_reg.root.SK[[#This Row],[Volume, kg]]/1000</f>
        <v>72.19</v>
      </c>
      <c r="J211" s="25">
        <v>0.27979999999999999</v>
      </c>
      <c r="K211" s="25">
        <f t="shared" si="3"/>
        <v>20198.761999999999</v>
      </c>
      <c r="L211" s="25">
        <v>3.42</v>
      </c>
      <c r="M211" s="24">
        <v>246677</v>
      </c>
      <c r="N211" s="25">
        <f>IFERROR(T_reg.root.SK[[#This Row],[Price]]/T_reg.root.SK[[#This Row],[Starch content]],"")</f>
        <v>12.22301644031451</v>
      </c>
    </row>
    <row r="212" spans="1:14">
      <c r="A212" s="21">
        <v>2023</v>
      </c>
      <c r="B212" s="21" t="s">
        <v>19</v>
      </c>
      <c r="C212" s="21" t="s">
        <v>1145</v>
      </c>
      <c r="D212" s="21" t="s">
        <v>35</v>
      </c>
      <c r="E212" s="17" t="s">
        <v>130</v>
      </c>
      <c r="F212" s="18" t="s">
        <v>105</v>
      </c>
      <c r="G212" s="18" t="s">
        <v>48</v>
      </c>
      <c r="H212" s="24">
        <v>18000</v>
      </c>
      <c r="I212" s="24">
        <f>T_reg.root.SK[[#This Row],[Volume, kg]]/1000</f>
        <v>18</v>
      </c>
      <c r="J212" s="25">
        <v>0.30549999999999999</v>
      </c>
      <c r="K212" s="25">
        <f t="shared" si="3"/>
        <v>5499</v>
      </c>
      <c r="L212" s="25">
        <v>3.58</v>
      </c>
      <c r="M212" s="24">
        <v>64426.5</v>
      </c>
      <c r="N212" s="25">
        <f>IFERROR(T_reg.root.SK[[#This Row],[Price]]/T_reg.root.SK[[#This Row],[Starch content]],"")</f>
        <v>11.718494271685762</v>
      </c>
    </row>
    <row r="213" spans="1:14">
      <c r="A213" s="21">
        <v>2023</v>
      </c>
      <c r="B213" s="21" t="s">
        <v>19</v>
      </c>
      <c r="C213" s="21" t="s">
        <v>1145</v>
      </c>
      <c r="D213" s="21" t="s">
        <v>35</v>
      </c>
      <c r="E213" s="17" t="s">
        <v>131</v>
      </c>
      <c r="F213" s="18" t="s">
        <v>105</v>
      </c>
      <c r="G213" s="18" t="s">
        <v>48</v>
      </c>
      <c r="H213" s="24">
        <v>18010</v>
      </c>
      <c r="I213" s="24">
        <f>T_reg.root.SK[[#This Row],[Volume, kg]]/1000</f>
        <v>18.010000000000002</v>
      </c>
      <c r="J213" s="25">
        <v>0.26079999999999998</v>
      </c>
      <c r="K213" s="25">
        <f t="shared" si="3"/>
        <v>4697.0079999999998</v>
      </c>
      <c r="L213" s="25">
        <v>3.2</v>
      </c>
      <c r="M213" s="24">
        <v>57632</v>
      </c>
      <c r="N213" s="25">
        <f>IFERROR(T_reg.root.SK[[#This Row],[Price]]/T_reg.root.SK[[#This Row],[Starch content]],"")</f>
        <v>12.26993865030675</v>
      </c>
    </row>
    <row r="214" spans="1:14">
      <c r="A214" s="21">
        <v>2023</v>
      </c>
      <c r="B214" s="21" t="s">
        <v>19</v>
      </c>
      <c r="C214" s="21" t="s">
        <v>1145</v>
      </c>
      <c r="D214" s="21" t="s">
        <v>35</v>
      </c>
      <c r="E214" s="17" t="s">
        <v>241</v>
      </c>
      <c r="F214" s="18" t="s">
        <v>105</v>
      </c>
      <c r="G214" s="18" t="s">
        <v>48</v>
      </c>
      <c r="H214" s="24">
        <v>79600</v>
      </c>
      <c r="I214" s="24">
        <f>T_reg.root.SK[[#This Row],[Volume, kg]]/1000</f>
        <v>79.599999999999994</v>
      </c>
      <c r="J214" s="25">
        <v>0.27399999999999997</v>
      </c>
      <c r="K214" s="25">
        <f t="shared" si="3"/>
        <v>21810.399999999998</v>
      </c>
      <c r="L214" s="25">
        <v>3.33</v>
      </c>
      <c r="M214" s="24">
        <v>265451.5</v>
      </c>
      <c r="N214" s="25">
        <f>IFERROR(T_reg.root.SK[[#This Row],[Price]]/T_reg.root.SK[[#This Row],[Starch content]],"")</f>
        <v>12.153284671532848</v>
      </c>
    </row>
    <row r="215" spans="1:14">
      <c r="A215" s="21">
        <v>2023</v>
      </c>
      <c r="B215" s="21" t="s">
        <v>19</v>
      </c>
      <c r="C215" s="21" t="s">
        <v>1145</v>
      </c>
      <c r="D215" s="21" t="s">
        <v>35</v>
      </c>
      <c r="E215" s="17" t="s">
        <v>133</v>
      </c>
      <c r="F215" s="18" t="s">
        <v>105</v>
      </c>
      <c r="G215" s="18" t="s">
        <v>48</v>
      </c>
      <c r="H215" s="24">
        <v>14070</v>
      </c>
      <c r="I215" s="24">
        <f>T_reg.root.SK[[#This Row],[Volume, kg]]/1000</f>
        <v>14.07</v>
      </c>
      <c r="J215" s="25">
        <v>0.27429999999999999</v>
      </c>
      <c r="K215" s="25">
        <f t="shared" si="3"/>
        <v>3859.4009999999998</v>
      </c>
      <c r="L215" s="25">
        <v>3.27</v>
      </c>
      <c r="M215" s="24">
        <v>45952.5</v>
      </c>
      <c r="N215" s="25">
        <f>IFERROR(T_reg.root.SK[[#This Row],[Price]]/T_reg.root.SK[[#This Row],[Starch content]],"")</f>
        <v>11.92125410134889</v>
      </c>
    </row>
    <row r="216" spans="1:14">
      <c r="A216" s="21">
        <v>2023</v>
      </c>
      <c r="B216" s="21" t="s">
        <v>19</v>
      </c>
      <c r="C216" s="21" t="s">
        <v>1145</v>
      </c>
      <c r="D216" s="21" t="s">
        <v>35</v>
      </c>
      <c r="E216" s="17" t="s">
        <v>134</v>
      </c>
      <c r="F216" s="18" t="s">
        <v>105</v>
      </c>
      <c r="G216" s="18" t="s">
        <v>48</v>
      </c>
      <c r="H216" s="24">
        <v>52710</v>
      </c>
      <c r="I216" s="24">
        <f>T_reg.root.SK[[#This Row],[Volume, kg]]/1000</f>
        <v>52.71</v>
      </c>
      <c r="J216" s="25">
        <v>0.25739999999999996</v>
      </c>
      <c r="K216" s="25">
        <f t="shared" si="3"/>
        <v>13567.553999999998</v>
      </c>
      <c r="L216" s="25">
        <v>3.3</v>
      </c>
      <c r="M216" s="24">
        <v>173852</v>
      </c>
      <c r="N216" s="25">
        <f>IFERROR(T_reg.root.SK[[#This Row],[Price]]/T_reg.root.SK[[#This Row],[Starch content]],"")</f>
        <v>12.820512820512821</v>
      </c>
    </row>
    <row r="217" spans="1:14">
      <c r="A217" s="21">
        <v>2023</v>
      </c>
      <c r="B217" s="21" t="s">
        <v>19</v>
      </c>
      <c r="C217" s="21" t="s">
        <v>1145</v>
      </c>
      <c r="D217" s="21" t="s">
        <v>35</v>
      </c>
      <c r="E217" s="17" t="s">
        <v>136</v>
      </c>
      <c r="F217" s="18" t="s">
        <v>105</v>
      </c>
      <c r="G217" s="18" t="s">
        <v>48</v>
      </c>
      <c r="H217" s="24">
        <v>111030</v>
      </c>
      <c r="I217" s="24">
        <f>T_reg.root.SK[[#This Row],[Volume, kg]]/1000</f>
        <v>111.03</v>
      </c>
      <c r="J217" s="25">
        <v>0.309</v>
      </c>
      <c r="K217" s="25">
        <f t="shared" si="3"/>
        <v>34308.269999999997</v>
      </c>
      <c r="L217" s="25">
        <v>3.48</v>
      </c>
      <c r="M217" s="24">
        <v>386728.5</v>
      </c>
      <c r="N217" s="25">
        <f>IFERROR(T_reg.root.SK[[#This Row],[Price]]/T_reg.root.SK[[#This Row],[Starch content]],"")</f>
        <v>11.262135922330097</v>
      </c>
    </row>
    <row r="218" spans="1:14">
      <c r="A218" s="21">
        <v>2023</v>
      </c>
      <c r="B218" s="21" t="s">
        <v>19</v>
      </c>
      <c r="C218" s="21" t="s">
        <v>1145</v>
      </c>
      <c r="D218" s="21" t="s">
        <v>35</v>
      </c>
      <c r="E218" s="17" t="s">
        <v>242</v>
      </c>
      <c r="F218" s="18" t="s">
        <v>105</v>
      </c>
      <c r="G218" s="18" t="s">
        <v>48</v>
      </c>
      <c r="H218" s="24">
        <v>26570</v>
      </c>
      <c r="I218" s="24">
        <f>T_reg.root.SK[[#This Row],[Volume, kg]]/1000</f>
        <v>26.57</v>
      </c>
      <c r="J218" s="25">
        <v>0.31319999999999998</v>
      </c>
      <c r="K218" s="25">
        <f t="shared" si="3"/>
        <v>8321.7240000000002</v>
      </c>
      <c r="L218" s="25">
        <v>3.62</v>
      </c>
      <c r="M218" s="24">
        <v>96114.5</v>
      </c>
      <c r="N218" s="25">
        <f>IFERROR(T_reg.root.SK[[#This Row],[Price]]/T_reg.root.SK[[#This Row],[Starch content]],"")</f>
        <v>11.558109833971905</v>
      </c>
    </row>
    <row r="219" spans="1:14">
      <c r="A219" s="21">
        <v>2023</v>
      </c>
      <c r="B219" s="21" t="s">
        <v>19</v>
      </c>
      <c r="C219" s="21" t="s">
        <v>1145</v>
      </c>
      <c r="D219" s="21" t="s">
        <v>35</v>
      </c>
      <c r="E219" s="17" t="s">
        <v>138</v>
      </c>
      <c r="F219" s="18" t="s">
        <v>105</v>
      </c>
      <c r="G219" s="18" t="s">
        <v>48</v>
      </c>
      <c r="H219" s="24">
        <v>506130</v>
      </c>
      <c r="I219" s="24">
        <f>T_reg.root.SK[[#This Row],[Volume, kg]]/1000</f>
        <v>506.13</v>
      </c>
      <c r="J219" s="25">
        <v>0.28160000000000002</v>
      </c>
      <c r="K219" s="25">
        <f t="shared" si="3"/>
        <v>142526.20800000001</v>
      </c>
      <c r="L219" s="25">
        <v>3.38</v>
      </c>
      <c r="M219" s="24">
        <v>1708767</v>
      </c>
      <c r="N219" s="25">
        <f>IFERROR(T_reg.root.SK[[#This Row],[Price]]/T_reg.root.SK[[#This Row],[Starch content]],"")</f>
        <v>12.002840909090908</v>
      </c>
    </row>
    <row r="220" spans="1:14">
      <c r="A220" s="21">
        <v>2023</v>
      </c>
      <c r="B220" s="21" t="s">
        <v>19</v>
      </c>
      <c r="C220" s="21" t="s">
        <v>1145</v>
      </c>
      <c r="D220" s="21" t="s">
        <v>35</v>
      </c>
      <c r="E220" s="17" t="s">
        <v>139</v>
      </c>
      <c r="F220" s="18" t="s">
        <v>105</v>
      </c>
      <c r="G220" s="18" t="s">
        <v>48</v>
      </c>
      <c r="H220" s="24">
        <v>15460</v>
      </c>
      <c r="I220" s="24">
        <f>T_reg.root.SK[[#This Row],[Volume, kg]]/1000</f>
        <v>15.46</v>
      </c>
      <c r="J220" s="25">
        <v>0.28889999999999999</v>
      </c>
      <c r="K220" s="25">
        <f t="shared" si="3"/>
        <v>4466.3940000000002</v>
      </c>
      <c r="L220" s="25">
        <v>3.43</v>
      </c>
      <c r="M220" s="24">
        <v>53012</v>
      </c>
      <c r="N220" s="25">
        <f>IFERROR(T_reg.root.SK[[#This Row],[Price]]/T_reg.root.SK[[#This Row],[Starch content]],"")</f>
        <v>11.872620283835237</v>
      </c>
    </row>
    <row r="221" spans="1:14">
      <c r="A221" s="21">
        <v>2023</v>
      </c>
      <c r="B221" s="21" t="s">
        <v>19</v>
      </c>
      <c r="C221" s="21" t="s">
        <v>1145</v>
      </c>
      <c r="D221" s="21" t="s">
        <v>35</v>
      </c>
      <c r="E221" s="17" t="s">
        <v>243</v>
      </c>
      <c r="F221" s="18" t="s">
        <v>105</v>
      </c>
      <c r="G221" s="18" t="s">
        <v>48</v>
      </c>
      <c r="H221" s="24">
        <v>30290</v>
      </c>
      <c r="I221" s="24">
        <f>T_reg.root.SK[[#This Row],[Volume, kg]]/1000</f>
        <v>30.29</v>
      </c>
      <c r="J221" s="25">
        <v>0.27179999999999999</v>
      </c>
      <c r="K221" s="25">
        <f t="shared" si="3"/>
        <v>8232.8220000000001</v>
      </c>
      <c r="L221" s="25">
        <v>3.4</v>
      </c>
      <c r="M221" s="24">
        <v>103085.5</v>
      </c>
      <c r="N221" s="25">
        <f>IFERROR(T_reg.root.SK[[#This Row],[Price]]/T_reg.root.SK[[#This Row],[Starch content]],"")</f>
        <v>12.509197939661517</v>
      </c>
    </row>
    <row r="222" spans="1:14">
      <c r="A222" s="21">
        <v>2023</v>
      </c>
      <c r="B222" s="21" t="s">
        <v>19</v>
      </c>
      <c r="C222" s="21" t="s">
        <v>1145</v>
      </c>
      <c r="D222" s="21" t="s">
        <v>35</v>
      </c>
      <c r="E222" s="17" t="s">
        <v>244</v>
      </c>
      <c r="F222" s="18" t="s">
        <v>105</v>
      </c>
      <c r="G222" s="18" t="s">
        <v>48</v>
      </c>
      <c r="H222" s="24">
        <v>11390</v>
      </c>
      <c r="I222" s="24">
        <f>T_reg.root.SK[[#This Row],[Volume, kg]]/1000</f>
        <v>11.39</v>
      </c>
      <c r="J222" s="25">
        <v>0.31309999999999999</v>
      </c>
      <c r="K222" s="25">
        <f t="shared" si="3"/>
        <v>3566.2089999999998</v>
      </c>
      <c r="L222" s="25">
        <v>3.62</v>
      </c>
      <c r="M222" s="24">
        <v>41279</v>
      </c>
      <c r="N222" s="25">
        <f>IFERROR(T_reg.root.SK[[#This Row],[Price]]/T_reg.root.SK[[#This Row],[Starch content]],"")</f>
        <v>11.561801341424466</v>
      </c>
    </row>
    <row r="223" spans="1:14">
      <c r="A223" s="21">
        <v>2023</v>
      </c>
      <c r="B223" s="21" t="s">
        <v>19</v>
      </c>
      <c r="C223" s="21" t="s">
        <v>1145</v>
      </c>
      <c r="D223" s="21" t="s">
        <v>35</v>
      </c>
      <c r="E223" s="17" t="s">
        <v>141</v>
      </c>
      <c r="F223" s="18" t="s">
        <v>105</v>
      </c>
      <c r="G223" s="18" t="s">
        <v>48</v>
      </c>
      <c r="H223" s="24">
        <v>67840</v>
      </c>
      <c r="I223" s="24">
        <f>T_reg.root.SK[[#This Row],[Volume, kg]]/1000</f>
        <v>67.84</v>
      </c>
      <c r="J223" s="25">
        <v>0.31739999999999996</v>
      </c>
      <c r="K223" s="25">
        <f t="shared" si="3"/>
        <v>21532.415999999997</v>
      </c>
      <c r="L223" s="25">
        <v>3.59</v>
      </c>
      <c r="M223" s="24">
        <v>243550</v>
      </c>
      <c r="N223" s="25">
        <f>IFERROR(T_reg.root.SK[[#This Row],[Price]]/T_reg.root.SK[[#This Row],[Starch content]],"")</f>
        <v>11.310649023314431</v>
      </c>
    </row>
    <row r="224" spans="1:14">
      <c r="A224" s="21">
        <v>2023</v>
      </c>
      <c r="B224" s="21" t="s">
        <v>19</v>
      </c>
      <c r="C224" s="21" t="s">
        <v>1145</v>
      </c>
      <c r="D224" s="21" t="s">
        <v>35</v>
      </c>
      <c r="E224" s="17" t="s">
        <v>245</v>
      </c>
      <c r="F224" s="18" t="s">
        <v>105</v>
      </c>
      <c r="G224" s="18" t="s">
        <v>48</v>
      </c>
      <c r="H224" s="24">
        <v>49180</v>
      </c>
      <c r="I224" s="24">
        <f>T_reg.root.SK[[#This Row],[Volume, kg]]/1000</f>
        <v>49.18</v>
      </c>
      <c r="J224" s="25">
        <v>0.25609999999999999</v>
      </c>
      <c r="K224" s="25">
        <f t="shared" si="3"/>
        <v>12594.998</v>
      </c>
      <c r="L224" s="25">
        <v>3.33</v>
      </c>
      <c r="M224" s="24">
        <v>163772</v>
      </c>
      <c r="N224" s="25">
        <f>IFERROR(T_reg.root.SK[[#This Row],[Price]]/T_reg.root.SK[[#This Row],[Starch content]],"")</f>
        <v>13.002733307301837</v>
      </c>
    </row>
    <row r="225" spans="1:14">
      <c r="A225" s="21">
        <v>2023</v>
      </c>
      <c r="B225" s="21" t="s">
        <v>19</v>
      </c>
      <c r="C225" s="21" t="s">
        <v>1145</v>
      </c>
      <c r="D225" s="21" t="s">
        <v>35</v>
      </c>
      <c r="E225" s="17" t="s">
        <v>246</v>
      </c>
      <c r="F225" s="18" t="s">
        <v>105</v>
      </c>
      <c r="G225" s="18" t="s">
        <v>48</v>
      </c>
      <c r="H225" s="24">
        <v>8140</v>
      </c>
      <c r="I225" s="24">
        <f>T_reg.root.SK[[#This Row],[Volume, kg]]/1000</f>
        <v>8.14</v>
      </c>
      <c r="J225" s="25">
        <v>0.29299999999999998</v>
      </c>
      <c r="K225" s="25">
        <f t="shared" si="3"/>
        <v>2385.02</v>
      </c>
      <c r="L225" s="25">
        <v>3.5</v>
      </c>
      <c r="M225" s="24">
        <v>28490</v>
      </c>
      <c r="N225" s="25">
        <f>IFERROR(T_reg.root.SK[[#This Row],[Price]]/T_reg.root.SK[[#This Row],[Starch content]],"")</f>
        <v>11.945392491467578</v>
      </c>
    </row>
    <row r="226" spans="1:14">
      <c r="A226" s="21">
        <v>2023</v>
      </c>
      <c r="B226" s="21" t="s">
        <v>19</v>
      </c>
      <c r="C226" s="21" t="s">
        <v>1145</v>
      </c>
      <c r="D226" s="21" t="s">
        <v>35</v>
      </c>
      <c r="E226" s="17" t="s">
        <v>247</v>
      </c>
      <c r="F226" s="18" t="s">
        <v>105</v>
      </c>
      <c r="G226" s="18" t="s">
        <v>48</v>
      </c>
      <c r="H226" s="24">
        <v>28100</v>
      </c>
      <c r="I226" s="24">
        <f>T_reg.root.SK[[#This Row],[Volume, kg]]/1000</f>
        <v>28.1</v>
      </c>
      <c r="J226" s="25">
        <v>0.2477</v>
      </c>
      <c r="K226" s="25">
        <f t="shared" si="3"/>
        <v>6960.37</v>
      </c>
      <c r="L226" s="25">
        <v>3.35</v>
      </c>
      <c r="M226" s="24">
        <v>94038.5</v>
      </c>
      <c r="N226" s="25">
        <f>IFERROR(T_reg.root.SK[[#This Row],[Price]]/T_reg.root.SK[[#This Row],[Starch content]],"")</f>
        <v>13.524424707307226</v>
      </c>
    </row>
    <row r="227" spans="1:14">
      <c r="A227" s="21">
        <v>2023</v>
      </c>
      <c r="B227" s="21" t="s">
        <v>19</v>
      </c>
      <c r="C227" s="21" t="s">
        <v>1145</v>
      </c>
      <c r="D227" s="21" t="s">
        <v>35</v>
      </c>
      <c r="E227" s="17" t="s">
        <v>248</v>
      </c>
      <c r="F227" s="18" t="s">
        <v>105</v>
      </c>
      <c r="G227" s="18" t="s">
        <v>48</v>
      </c>
      <c r="H227" s="24">
        <v>11630</v>
      </c>
      <c r="I227" s="24">
        <f>T_reg.root.SK[[#This Row],[Volume, kg]]/1000</f>
        <v>11.63</v>
      </c>
      <c r="J227" s="25">
        <v>0.29449999999999998</v>
      </c>
      <c r="K227" s="25">
        <f t="shared" si="3"/>
        <v>3425.0349999999999</v>
      </c>
      <c r="L227" s="25">
        <v>3.43</v>
      </c>
      <c r="M227" s="24">
        <v>39901</v>
      </c>
      <c r="N227" s="25">
        <f>IFERROR(T_reg.root.SK[[#This Row],[Price]]/T_reg.root.SK[[#This Row],[Starch content]],"")</f>
        <v>11.646859083191853</v>
      </c>
    </row>
    <row r="228" spans="1:14">
      <c r="A228" s="21">
        <v>2023</v>
      </c>
      <c r="B228" s="21" t="s">
        <v>19</v>
      </c>
      <c r="C228" s="21" t="s">
        <v>1145</v>
      </c>
      <c r="D228" s="21" t="s">
        <v>35</v>
      </c>
      <c r="E228" s="17" t="s">
        <v>143</v>
      </c>
      <c r="F228" s="18" t="s">
        <v>105</v>
      </c>
      <c r="G228" s="18" t="s">
        <v>48</v>
      </c>
      <c r="H228" s="24">
        <v>72930</v>
      </c>
      <c r="I228" s="24">
        <f>T_reg.root.SK[[#This Row],[Volume, kg]]/1000</f>
        <v>72.930000000000007</v>
      </c>
      <c r="J228" s="25">
        <v>0.30299999999999999</v>
      </c>
      <c r="K228" s="25">
        <f t="shared" si="3"/>
        <v>22097.79</v>
      </c>
      <c r="L228" s="25">
        <v>3.55</v>
      </c>
      <c r="M228" s="24">
        <v>258868</v>
      </c>
      <c r="N228" s="25">
        <f>IFERROR(T_reg.root.SK[[#This Row],[Price]]/T_reg.root.SK[[#This Row],[Starch content]],"")</f>
        <v>11.716171617161717</v>
      </c>
    </row>
    <row r="229" spans="1:14">
      <c r="A229" s="21">
        <v>2023</v>
      </c>
      <c r="B229" s="21" t="s">
        <v>19</v>
      </c>
      <c r="C229" s="21" t="s">
        <v>1145</v>
      </c>
      <c r="D229" s="21" t="s">
        <v>35</v>
      </c>
      <c r="E229" s="17" t="s">
        <v>144</v>
      </c>
      <c r="F229" s="18" t="s">
        <v>105</v>
      </c>
      <c r="G229" s="18" t="s">
        <v>48</v>
      </c>
      <c r="H229" s="24">
        <v>53740</v>
      </c>
      <c r="I229" s="24">
        <f>T_reg.root.SK[[#This Row],[Volume, kg]]/1000</f>
        <v>53.74</v>
      </c>
      <c r="J229" s="25">
        <v>0.26600000000000001</v>
      </c>
      <c r="K229" s="25">
        <f t="shared" si="3"/>
        <v>14294.84</v>
      </c>
      <c r="L229" s="25">
        <v>3.33</v>
      </c>
      <c r="M229" s="24">
        <v>178821</v>
      </c>
      <c r="N229" s="25">
        <f>IFERROR(T_reg.root.SK[[#This Row],[Price]]/T_reg.root.SK[[#This Row],[Starch content]],"")</f>
        <v>12.518796992481203</v>
      </c>
    </row>
    <row r="230" spans="1:14">
      <c r="A230" s="21">
        <v>2023</v>
      </c>
      <c r="B230" s="21" t="s">
        <v>19</v>
      </c>
      <c r="C230" s="21" t="s">
        <v>1145</v>
      </c>
      <c r="D230" s="21" t="s">
        <v>35</v>
      </c>
      <c r="E230" s="17" t="s">
        <v>146</v>
      </c>
      <c r="F230" s="18" t="s">
        <v>105</v>
      </c>
      <c r="G230" s="18" t="s">
        <v>48</v>
      </c>
      <c r="H230" s="24">
        <v>1229000</v>
      </c>
      <c r="I230" s="24">
        <f>T_reg.root.SK[[#This Row],[Volume, kg]]/1000</f>
        <v>1229</v>
      </c>
      <c r="J230" s="25">
        <v>0.27610000000000001</v>
      </c>
      <c r="K230" s="25">
        <f t="shared" si="3"/>
        <v>339326.9</v>
      </c>
      <c r="L230" s="25">
        <v>3.39</v>
      </c>
      <c r="M230" s="24">
        <v>4167501</v>
      </c>
      <c r="N230" s="25">
        <f>IFERROR(T_reg.root.SK[[#This Row],[Price]]/T_reg.root.SK[[#This Row],[Starch content]],"")</f>
        <v>12.278160086925027</v>
      </c>
    </row>
    <row r="231" spans="1:14">
      <c r="A231" s="21">
        <v>2023</v>
      </c>
      <c r="B231" s="21" t="s">
        <v>19</v>
      </c>
      <c r="C231" s="21" t="s">
        <v>1145</v>
      </c>
      <c r="D231" s="21" t="s">
        <v>35</v>
      </c>
      <c r="E231" s="17" t="s">
        <v>249</v>
      </c>
      <c r="F231" s="18" t="s">
        <v>105</v>
      </c>
      <c r="G231" s="18" t="s">
        <v>48</v>
      </c>
      <c r="H231" s="24">
        <v>4010</v>
      </c>
      <c r="I231" s="24">
        <f>T_reg.root.SK[[#This Row],[Volume, kg]]/1000</f>
        <v>4.01</v>
      </c>
      <c r="J231" s="25">
        <v>0.22649999999999998</v>
      </c>
      <c r="K231" s="25">
        <f t="shared" si="3"/>
        <v>908.26499999999987</v>
      </c>
      <c r="L231" s="25">
        <v>3.05</v>
      </c>
      <c r="M231" s="24">
        <v>12230.5</v>
      </c>
      <c r="N231" s="25">
        <f>IFERROR(T_reg.root.SK[[#This Row],[Price]]/T_reg.root.SK[[#This Row],[Starch content]],"")</f>
        <v>13.465783664459162</v>
      </c>
    </row>
    <row r="232" spans="1:14">
      <c r="A232" s="21">
        <v>2023</v>
      </c>
      <c r="B232" s="21" t="s">
        <v>19</v>
      </c>
      <c r="C232" s="21" t="s">
        <v>1145</v>
      </c>
      <c r="D232" s="21" t="s">
        <v>35</v>
      </c>
      <c r="E232" s="17" t="s">
        <v>250</v>
      </c>
      <c r="F232" s="18" t="s">
        <v>105</v>
      </c>
      <c r="G232" s="18" t="s">
        <v>48</v>
      </c>
      <c r="H232" s="24">
        <v>23000</v>
      </c>
      <c r="I232" s="24">
        <f>T_reg.root.SK[[#This Row],[Volume, kg]]/1000</f>
        <v>23</v>
      </c>
      <c r="J232" s="25">
        <v>0.27779999999999999</v>
      </c>
      <c r="K232" s="25">
        <f t="shared" si="3"/>
        <v>6389.4</v>
      </c>
      <c r="L232" s="25">
        <v>3.29</v>
      </c>
      <c r="M232" s="24">
        <v>75726.5</v>
      </c>
      <c r="N232" s="25">
        <f>IFERROR(T_reg.root.SK[[#This Row],[Price]]/T_reg.root.SK[[#This Row],[Starch content]],"")</f>
        <v>11.843052555795538</v>
      </c>
    </row>
    <row r="233" spans="1:14">
      <c r="A233" s="21">
        <v>2023</v>
      </c>
      <c r="B233" s="21" t="s">
        <v>19</v>
      </c>
      <c r="C233" s="21" t="s">
        <v>1145</v>
      </c>
      <c r="D233" s="21" t="s">
        <v>35</v>
      </c>
      <c r="E233" s="17" t="s">
        <v>147</v>
      </c>
      <c r="F233" s="18" t="s">
        <v>105</v>
      </c>
      <c r="G233" s="18" t="s">
        <v>48</v>
      </c>
      <c r="H233" s="24">
        <v>99320</v>
      </c>
      <c r="I233" s="24">
        <f>T_reg.root.SK[[#This Row],[Volume, kg]]/1000</f>
        <v>99.32</v>
      </c>
      <c r="J233" s="25">
        <v>0.25170000000000003</v>
      </c>
      <c r="K233" s="25">
        <f t="shared" si="3"/>
        <v>24998.844000000005</v>
      </c>
      <c r="L233" s="25">
        <v>3.17</v>
      </c>
      <c r="M233" s="24">
        <v>314780.5</v>
      </c>
      <c r="N233" s="25">
        <f>IFERROR(T_reg.root.SK[[#This Row],[Price]]/T_reg.root.SK[[#This Row],[Starch content]],"")</f>
        <v>12.594358363130709</v>
      </c>
    </row>
    <row r="234" spans="1:14">
      <c r="A234" s="21">
        <v>2023</v>
      </c>
      <c r="B234" s="21" t="s">
        <v>19</v>
      </c>
      <c r="C234" s="21" t="s">
        <v>1145</v>
      </c>
      <c r="D234" s="21" t="s">
        <v>35</v>
      </c>
      <c r="E234" s="17" t="s">
        <v>251</v>
      </c>
      <c r="F234" s="18" t="s">
        <v>105</v>
      </c>
      <c r="G234" s="18" t="s">
        <v>48</v>
      </c>
      <c r="H234" s="24">
        <v>36490</v>
      </c>
      <c r="I234" s="24">
        <f>T_reg.root.SK[[#This Row],[Volume, kg]]/1000</f>
        <v>36.49</v>
      </c>
      <c r="J234" s="25">
        <v>0.22889999999999999</v>
      </c>
      <c r="K234" s="25">
        <f t="shared" si="3"/>
        <v>8352.5609999999997</v>
      </c>
      <c r="L234" s="25">
        <v>3.29</v>
      </c>
      <c r="M234" s="24">
        <v>119965.5</v>
      </c>
      <c r="N234" s="25">
        <f>IFERROR(T_reg.root.SK[[#This Row],[Price]]/T_reg.root.SK[[#This Row],[Starch content]],"")</f>
        <v>14.373088685015292</v>
      </c>
    </row>
    <row r="235" spans="1:14">
      <c r="A235" s="21">
        <v>2023</v>
      </c>
      <c r="B235" s="21" t="s">
        <v>19</v>
      </c>
      <c r="C235" s="21" t="s">
        <v>1145</v>
      </c>
      <c r="D235" s="21" t="s">
        <v>35</v>
      </c>
      <c r="E235" s="17" t="s">
        <v>148</v>
      </c>
      <c r="F235" s="18" t="s">
        <v>105</v>
      </c>
      <c r="G235" s="18" t="s">
        <v>48</v>
      </c>
      <c r="H235" s="24">
        <v>63920</v>
      </c>
      <c r="I235" s="24">
        <f>T_reg.root.SK[[#This Row],[Volume, kg]]/1000</f>
        <v>63.92</v>
      </c>
      <c r="J235" s="25">
        <v>0.29870000000000002</v>
      </c>
      <c r="K235" s="25">
        <f t="shared" si="3"/>
        <v>19092.904000000002</v>
      </c>
      <c r="L235" s="25">
        <v>3.48</v>
      </c>
      <c r="M235" s="24">
        <v>222235.5</v>
      </c>
      <c r="N235" s="25">
        <f>IFERROR(T_reg.root.SK[[#This Row],[Price]]/T_reg.root.SK[[#This Row],[Starch content]],"")</f>
        <v>11.650485436893202</v>
      </c>
    </row>
    <row r="236" spans="1:14">
      <c r="A236" s="21">
        <v>2023</v>
      </c>
      <c r="B236" s="21" t="s">
        <v>19</v>
      </c>
      <c r="C236" s="21" t="s">
        <v>1145</v>
      </c>
      <c r="D236" s="21" t="s">
        <v>35</v>
      </c>
      <c r="E236" s="17" t="s">
        <v>252</v>
      </c>
      <c r="F236" s="18" t="s">
        <v>105</v>
      </c>
      <c r="G236" s="18" t="s">
        <v>48</v>
      </c>
      <c r="H236" s="24">
        <v>28240</v>
      </c>
      <c r="I236" s="24">
        <f>T_reg.root.SK[[#This Row],[Volume, kg]]/1000</f>
        <v>28.24</v>
      </c>
      <c r="J236" s="25">
        <v>0.29330000000000001</v>
      </c>
      <c r="K236" s="25">
        <f t="shared" si="3"/>
        <v>8282.7919999999995</v>
      </c>
      <c r="L236" s="25">
        <v>3.53</v>
      </c>
      <c r="M236" s="24">
        <v>99652</v>
      </c>
      <c r="N236" s="25">
        <f>IFERROR(T_reg.root.SK[[#This Row],[Price]]/T_reg.root.SK[[#This Row],[Starch content]],"")</f>
        <v>12.035458574838049</v>
      </c>
    </row>
    <row r="237" spans="1:14">
      <c r="A237" s="21">
        <v>2023</v>
      </c>
      <c r="B237" s="21" t="s">
        <v>19</v>
      </c>
      <c r="C237" s="21" t="s">
        <v>1145</v>
      </c>
      <c r="D237" s="21" t="s">
        <v>35</v>
      </c>
      <c r="E237" s="17" t="s">
        <v>149</v>
      </c>
      <c r="F237" s="18" t="s">
        <v>105</v>
      </c>
      <c r="G237" s="18" t="s">
        <v>48</v>
      </c>
      <c r="H237" s="24">
        <v>118920</v>
      </c>
      <c r="I237" s="24">
        <f>T_reg.root.SK[[#This Row],[Volume, kg]]/1000</f>
        <v>118.92</v>
      </c>
      <c r="J237" s="25">
        <v>0.27750000000000002</v>
      </c>
      <c r="K237" s="25">
        <f t="shared" si="3"/>
        <v>33000.300000000003</v>
      </c>
      <c r="L237" s="25">
        <v>3.34</v>
      </c>
      <c r="M237" s="24">
        <v>397693</v>
      </c>
      <c r="N237" s="25">
        <f>IFERROR(T_reg.root.SK[[#This Row],[Price]]/T_reg.root.SK[[#This Row],[Starch content]],"")</f>
        <v>12.036036036036034</v>
      </c>
    </row>
    <row r="238" spans="1:14">
      <c r="A238" s="21">
        <v>2023</v>
      </c>
      <c r="B238" s="21" t="s">
        <v>19</v>
      </c>
      <c r="C238" s="21" t="s">
        <v>1145</v>
      </c>
      <c r="D238" s="21" t="s">
        <v>35</v>
      </c>
      <c r="E238" s="17" t="s">
        <v>253</v>
      </c>
      <c r="F238" s="18" t="s">
        <v>105</v>
      </c>
      <c r="G238" s="18" t="s">
        <v>48</v>
      </c>
      <c r="H238" s="24">
        <v>13090</v>
      </c>
      <c r="I238" s="24">
        <f>T_reg.root.SK[[#This Row],[Volume, kg]]/1000</f>
        <v>13.09</v>
      </c>
      <c r="J238" s="25">
        <v>0.28110000000000002</v>
      </c>
      <c r="K238" s="25">
        <f t="shared" si="3"/>
        <v>3679.5990000000002</v>
      </c>
      <c r="L238" s="25">
        <v>3.4</v>
      </c>
      <c r="M238" s="24">
        <v>44506</v>
      </c>
      <c r="N238" s="25">
        <f>IFERROR(T_reg.root.SK[[#This Row],[Price]]/T_reg.root.SK[[#This Row],[Starch content]],"")</f>
        <v>12.095339736748487</v>
      </c>
    </row>
    <row r="239" spans="1:14">
      <c r="A239" s="21">
        <v>2023</v>
      </c>
      <c r="B239" s="21" t="s">
        <v>19</v>
      </c>
      <c r="C239" s="21" t="s">
        <v>1145</v>
      </c>
      <c r="D239" s="21" t="s">
        <v>35</v>
      </c>
      <c r="E239" s="17" t="s">
        <v>150</v>
      </c>
      <c r="F239" s="18" t="s">
        <v>105</v>
      </c>
      <c r="G239" s="18" t="s">
        <v>48</v>
      </c>
      <c r="H239" s="24">
        <v>29790</v>
      </c>
      <c r="I239" s="24">
        <f>T_reg.root.SK[[#This Row],[Volume, kg]]/1000</f>
        <v>29.79</v>
      </c>
      <c r="J239" s="25">
        <v>0.24379999999999999</v>
      </c>
      <c r="K239" s="25">
        <f t="shared" si="3"/>
        <v>7262.8019999999997</v>
      </c>
      <c r="L239" s="25">
        <v>3.11</v>
      </c>
      <c r="M239" s="24">
        <v>92751</v>
      </c>
      <c r="N239" s="25">
        <f>IFERROR(T_reg.root.SK[[#This Row],[Price]]/T_reg.root.SK[[#This Row],[Starch content]],"")</f>
        <v>12.756357670221494</v>
      </c>
    </row>
    <row r="240" spans="1:14">
      <c r="A240" s="21">
        <v>2023</v>
      </c>
      <c r="B240" s="21" t="s">
        <v>19</v>
      </c>
      <c r="C240" s="21" t="s">
        <v>1145</v>
      </c>
      <c r="D240" s="21" t="s">
        <v>35</v>
      </c>
      <c r="E240" s="17" t="s">
        <v>151</v>
      </c>
      <c r="F240" s="18" t="s">
        <v>105</v>
      </c>
      <c r="G240" s="18" t="s">
        <v>48</v>
      </c>
      <c r="H240" s="24">
        <v>560240</v>
      </c>
      <c r="I240" s="24">
        <f>T_reg.root.SK[[#This Row],[Volume, kg]]/1000</f>
        <v>560.24</v>
      </c>
      <c r="J240" s="25">
        <v>0.27639999999999998</v>
      </c>
      <c r="K240" s="25">
        <f t="shared" si="3"/>
        <v>154850.33599999998</v>
      </c>
      <c r="L240" s="25">
        <v>3.4</v>
      </c>
      <c r="M240" s="24">
        <v>1902376.5</v>
      </c>
      <c r="N240" s="25">
        <f>IFERROR(T_reg.root.SK[[#This Row],[Price]]/T_reg.root.SK[[#This Row],[Starch content]],"")</f>
        <v>12.301013024602026</v>
      </c>
    </row>
    <row r="241" spans="1:14">
      <c r="A241" s="21">
        <v>2023</v>
      </c>
      <c r="B241" s="21" t="s">
        <v>19</v>
      </c>
      <c r="C241" s="21" t="s">
        <v>1145</v>
      </c>
      <c r="D241" s="21" t="s">
        <v>35</v>
      </c>
      <c r="E241" s="17" t="s">
        <v>152</v>
      </c>
      <c r="F241" s="18" t="s">
        <v>105</v>
      </c>
      <c r="G241" s="18" t="s">
        <v>48</v>
      </c>
      <c r="H241" s="24">
        <v>16190</v>
      </c>
      <c r="I241" s="24">
        <f>T_reg.root.SK[[#This Row],[Volume, kg]]/1000</f>
        <v>16.190000000000001</v>
      </c>
      <c r="J241" s="25">
        <v>0.2923</v>
      </c>
      <c r="K241" s="25">
        <f t="shared" si="3"/>
        <v>4732.3370000000004</v>
      </c>
      <c r="L241" s="25">
        <v>3.6</v>
      </c>
      <c r="M241" s="24">
        <v>58324</v>
      </c>
      <c r="N241" s="25">
        <f>IFERROR(T_reg.root.SK[[#This Row],[Price]]/T_reg.root.SK[[#This Row],[Starch content]],"")</f>
        <v>12.316113581936367</v>
      </c>
    </row>
    <row r="242" spans="1:14">
      <c r="A242" s="21">
        <v>2023</v>
      </c>
      <c r="B242" s="21" t="s">
        <v>19</v>
      </c>
      <c r="C242" s="21" t="s">
        <v>1145</v>
      </c>
      <c r="D242" s="21" t="s">
        <v>35</v>
      </c>
      <c r="E242" s="17" t="s">
        <v>254</v>
      </c>
      <c r="F242" s="18" t="s">
        <v>105</v>
      </c>
      <c r="G242" s="18" t="s">
        <v>48</v>
      </c>
      <c r="H242" s="24">
        <v>3590</v>
      </c>
      <c r="I242" s="24">
        <f>T_reg.root.SK[[#This Row],[Volume, kg]]/1000</f>
        <v>3.59</v>
      </c>
      <c r="J242" s="25">
        <v>0.25850000000000001</v>
      </c>
      <c r="K242" s="25">
        <f t="shared" si="3"/>
        <v>928.01499999999999</v>
      </c>
      <c r="L242" s="25">
        <v>3.2</v>
      </c>
      <c r="M242" s="24">
        <v>11488</v>
      </c>
      <c r="N242" s="25">
        <f>IFERROR(T_reg.root.SK[[#This Row],[Price]]/T_reg.root.SK[[#This Row],[Starch content]],"")</f>
        <v>12.379110251450678</v>
      </c>
    </row>
    <row r="243" spans="1:14">
      <c r="A243" s="21">
        <v>2023</v>
      </c>
      <c r="B243" s="21" t="s">
        <v>19</v>
      </c>
      <c r="C243" s="21" t="s">
        <v>1145</v>
      </c>
      <c r="D243" s="21" t="s">
        <v>35</v>
      </c>
      <c r="E243" s="17" t="s">
        <v>153</v>
      </c>
      <c r="F243" s="18" t="s">
        <v>105</v>
      </c>
      <c r="G243" s="18" t="s">
        <v>48</v>
      </c>
      <c r="H243" s="24">
        <v>19880</v>
      </c>
      <c r="I243" s="24">
        <f>T_reg.root.SK[[#This Row],[Volume, kg]]/1000</f>
        <v>19.88</v>
      </c>
      <c r="J243" s="25">
        <v>0.27429999999999999</v>
      </c>
      <c r="K243" s="25">
        <f t="shared" si="3"/>
        <v>5453.0839999999998</v>
      </c>
      <c r="L243" s="25">
        <v>3.34</v>
      </c>
      <c r="M243" s="24">
        <v>66428.5</v>
      </c>
      <c r="N243" s="25">
        <f>IFERROR(T_reg.root.SK[[#This Row],[Price]]/T_reg.root.SK[[#This Row],[Starch content]],"")</f>
        <v>12.176449143273787</v>
      </c>
    </row>
    <row r="244" spans="1:14">
      <c r="A244" s="21">
        <v>2023</v>
      </c>
      <c r="B244" s="21" t="s">
        <v>19</v>
      </c>
      <c r="C244" s="21" t="s">
        <v>1145</v>
      </c>
      <c r="D244" s="21" t="s">
        <v>35</v>
      </c>
      <c r="E244" s="17" t="s">
        <v>155</v>
      </c>
      <c r="F244" s="18" t="s">
        <v>105</v>
      </c>
      <c r="G244" s="18" t="s">
        <v>48</v>
      </c>
      <c r="H244" s="24">
        <v>16190</v>
      </c>
      <c r="I244" s="24">
        <f>T_reg.root.SK[[#This Row],[Volume, kg]]/1000</f>
        <v>16.190000000000001</v>
      </c>
      <c r="J244" s="25">
        <v>0.27729999999999999</v>
      </c>
      <c r="K244" s="25">
        <f t="shared" si="3"/>
        <v>4489.4870000000001</v>
      </c>
      <c r="L244" s="25">
        <v>3.27</v>
      </c>
      <c r="M244" s="24">
        <v>53013.5</v>
      </c>
      <c r="N244" s="25">
        <f>IFERROR(T_reg.root.SK[[#This Row],[Price]]/T_reg.root.SK[[#This Row],[Starch content]],"")</f>
        <v>11.792282726289217</v>
      </c>
    </row>
    <row r="245" spans="1:14">
      <c r="A245" s="21">
        <v>2023</v>
      </c>
      <c r="B245" s="21" t="s">
        <v>19</v>
      </c>
      <c r="C245" s="21" t="s">
        <v>1145</v>
      </c>
      <c r="D245" s="21" t="s">
        <v>35</v>
      </c>
      <c r="E245" s="17" t="s">
        <v>156</v>
      </c>
      <c r="F245" s="18" t="s">
        <v>105</v>
      </c>
      <c r="G245" s="18" t="s">
        <v>48</v>
      </c>
      <c r="H245" s="24">
        <v>27010</v>
      </c>
      <c r="I245" s="24">
        <f>T_reg.root.SK[[#This Row],[Volume, kg]]/1000</f>
        <v>27.01</v>
      </c>
      <c r="J245" s="25">
        <v>0.25280000000000002</v>
      </c>
      <c r="K245" s="25">
        <f t="shared" si="3"/>
        <v>6828.1280000000006</v>
      </c>
      <c r="L245" s="25">
        <v>3.27</v>
      </c>
      <c r="M245" s="24">
        <v>88410</v>
      </c>
      <c r="N245" s="25">
        <f>IFERROR(T_reg.root.SK[[#This Row],[Price]]/T_reg.root.SK[[#This Row],[Starch content]],"")</f>
        <v>12.93512658227848</v>
      </c>
    </row>
    <row r="246" spans="1:14">
      <c r="A246" s="21">
        <v>2023</v>
      </c>
      <c r="B246" s="21" t="s">
        <v>19</v>
      </c>
      <c r="C246" s="21" t="s">
        <v>1145</v>
      </c>
      <c r="D246" s="21" t="s">
        <v>35</v>
      </c>
      <c r="E246" s="17" t="s">
        <v>158</v>
      </c>
      <c r="F246" s="18" t="s">
        <v>105</v>
      </c>
      <c r="G246" s="18" t="s">
        <v>48</v>
      </c>
      <c r="H246" s="24">
        <v>6230</v>
      </c>
      <c r="I246" s="24">
        <f>T_reg.root.SK[[#This Row],[Volume, kg]]/1000</f>
        <v>6.23</v>
      </c>
      <c r="J246" s="25">
        <v>0.26</v>
      </c>
      <c r="K246" s="25">
        <f t="shared" si="3"/>
        <v>1619.8</v>
      </c>
      <c r="L246" s="25">
        <v>3.2</v>
      </c>
      <c r="M246" s="24">
        <v>19936</v>
      </c>
      <c r="N246" s="25">
        <f>IFERROR(T_reg.root.SK[[#This Row],[Price]]/T_reg.root.SK[[#This Row],[Starch content]],"")</f>
        <v>12.307692307692308</v>
      </c>
    </row>
    <row r="247" spans="1:14">
      <c r="A247" s="21">
        <v>2023</v>
      </c>
      <c r="B247" s="21" t="s">
        <v>19</v>
      </c>
      <c r="C247" s="21" t="s">
        <v>1145</v>
      </c>
      <c r="D247" s="21" t="s">
        <v>35</v>
      </c>
      <c r="E247" s="17" t="s">
        <v>159</v>
      </c>
      <c r="F247" s="18" t="s">
        <v>105</v>
      </c>
      <c r="G247" s="18" t="s">
        <v>48</v>
      </c>
      <c r="H247" s="24">
        <v>713810</v>
      </c>
      <c r="I247" s="24">
        <f>T_reg.root.SK[[#This Row],[Volume, kg]]/1000</f>
        <v>713.81</v>
      </c>
      <c r="J247" s="25">
        <v>0.27529999999999999</v>
      </c>
      <c r="K247" s="25">
        <f t="shared" si="3"/>
        <v>196511.89299999998</v>
      </c>
      <c r="L247" s="25">
        <v>3.36</v>
      </c>
      <c r="M247" s="24">
        <v>2396129</v>
      </c>
      <c r="N247" s="25">
        <f>IFERROR(T_reg.root.SK[[#This Row],[Price]]/T_reg.root.SK[[#This Row],[Starch content]],"")</f>
        <v>12.204867417362877</v>
      </c>
    </row>
    <row r="248" spans="1:14">
      <c r="A248" s="21">
        <v>2023</v>
      </c>
      <c r="B248" s="21" t="s">
        <v>19</v>
      </c>
      <c r="C248" s="21" t="s">
        <v>1145</v>
      </c>
      <c r="D248" s="21" t="s">
        <v>35</v>
      </c>
      <c r="E248" s="17" t="s">
        <v>255</v>
      </c>
      <c r="F248" s="18" t="s">
        <v>105</v>
      </c>
      <c r="G248" s="18" t="s">
        <v>48</v>
      </c>
      <c r="H248" s="24">
        <v>9230</v>
      </c>
      <c r="I248" s="24">
        <f>T_reg.root.SK[[#This Row],[Volume, kg]]/1000</f>
        <v>9.23</v>
      </c>
      <c r="J248" s="25">
        <v>0.27600000000000002</v>
      </c>
      <c r="K248" s="25">
        <f t="shared" si="3"/>
        <v>2547.48</v>
      </c>
      <c r="L248" s="25">
        <v>3.55</v>
      </c>
      <c r="M248" s="24">
        <v>32766.5</v>
      </c>
      <c r="N248" s="25">
        <f>IFERROR(T_reg.root.SK[[#This Row],[Price]]/T_reg.root.SK[[#This Row],[Starch content]],"")</f>
        <v>12.862318840579709</v>
      </c>
    </row>
    <row r="249" spans="1:14">
      <c r="A249" s="21">
        <v>2023</v>
      </c>
      <c r="B249" s="21" t="s">
        <v>19</v>
      </c>
      <c r="C249" s="21" t="s">
        <v>1145</v>
      </c>
      <c r="D249" s="21" t="s">
        <v>35</v>
      </c>
      <c r="E249" s="17" t="s">
        <v>160</v>
      </c>
      <c r="F249" s="18" t="s">
        <v>105</v>
      </c>
      <c r="G249" s="18" t="s">
        <v>48</v>
      </c>
      <c r="H249" s="24">
        <v>47970</v>
      </c>
      <c r="I249" s="24">
        <f>T_reg.root.SK[[#This Row],[Volume, kg]]/1000</f>
        <v>47.97</v>
      </c>
      <c r="J249" s="25">
        <v>0.31129999999999997</v>
      </c>
      <c r="K249" s="25">
        <f t="shared" si="3"/>
        <v>14933.060999999998</v>
      </c>
      <c r="L249" s="25">
        <v>3.44</v>
      </c>
      <c r="M249" s="24">
        <v>165095.5</v>
      </c>
      <c r="N249" s="25">
        <f>IFERROR(T_reg.root.SK[[#This Row],[Price]]/T_reg.root.SK[[#This Row],[Starch content]],"")</f>
        <v>11.050433665274655</v>
      </c>
    </row>
    <row r="250" spans="1:14">
      <c r="A250" s="21">
        <v>2023</v>
      </c>
      <c r="B250" s="21" t="s">
        <v>19</v>
      </c>
      <c r="C250" s="21" t="s">
        <v>1145</v>
      </c>
      <c r="D250" s="21" t="s">
        <v>35</v>
      </c>
      <c r="E250" s="17" t="s">
        <v>161</v>
      </c>
      <c r="F250" s="18" t="s">
        <v>105</v>
      </c>
      <c r="G250" s="18" t="s">
        <v>48</v>
      </c>
      <c r="H250" s="24">
        <v>64050</v>
      </c>
      <c r="I250" s="24">
        <f>T_reg.root.SK[[#This Row],[Volume, kg]]/1000</f>
        <v>64.05</v>
      </c>
      <c r="J250" s="25">
        <v>0.30519999999999997</v>
      </c>
      <c r="K250" s="25">
        <f t="shared" si="3"/>
        <v>19548.059999999998</v>
      </c>
      <c r="L250" s="25">
        <v>3.49</v>
      </c>
      <c r="M250" s="24">
        <v>223796</v>
      </c>
      <c r="N250" s="25">
        <f>IFERROR(T_reg.root.SK[[#This Row],[Price]]/T_reg.root.SK[[#This Row],[Starch content]],"")</f>
        <v>11.435124508519007</v>
      </c>
    </row>
    <row r="251" spans="1:14">
      <c r="A251" s="21">
        <v>2023</v>
      </c>
      <c r="B251" s="21" t="s">
        <v>19</v>
      </c>
      <c r="C251" s="21" t="s">
        <v>1145</v>
      </c>
      <c r="D251" s="21" t="s">
        <v>35</v>
      </c>
      <c r="E251" s="17" t="s">
        <v>162</v>
      </c>
      <c r="F251" s="18" t="s">
        <v>105</v>
      </c>
      <c r="G251" s="18" t="s">
        <v>48</v>
      </c>
      <c r="H251" s="24">
        <v>43830</v>
      </c>
      <c r="I251" s="24">
        <f>T_reg.root.SK[[#This Row],[Volume, kg]]/1000</f>
        <v>43.83</v>
      </c>
      <c r="J251" s="25">
        <v>0.30210000000000004</v>
      </c>
      <c r="K251" s="25">
        <f t="shared" si="3"/>
        <v>13241.043000000001</v>
      </c>
      <c r="L251" s="25">
        <v>3.43</v>
      </c>
      <c r="M251" s="24">
        <v>150130.5</v>
      </c>
      <c r="N251" s="25">
        <f>IFERROR(T_reg.root.SK[[#This Row],[Price]]/T_reg.root.SK[[#This Row],[Starch content]],"")</f>
        <v>11.353856338960608</v>
      </c>
    </row>
    <row r="252" spans="1:14">
      <c r="A252" s="21">
        <v>2023</v>
      </c>
      <c r="B252" s="21" t="s">
        <v>19</v>
      </c>
      <c r="C252" s="21" t="s">
        <v>1145</v>
      </c>
      <c r="D252" s="21" t="s">
        <v>35</v>
      </c>
      <c r="E252" s="17" t="s">
        <v>163</v>
      </c>
      <c r="F252" s="18" t="s">
        <v>105</v>
      </c>
      <c r="G252" s="18" t="s">
        <v>48</v>
      </c>
      <c r="H252" s="24">
        <v>239040</v>
      </c>
      <c r="I252" s="24">
        <f>T_reg.root.SK[[#This Row],[Volume, kg]]/1000</f>
        <v>239.04</v>
      </c>
      <c r="J252" s="25">
        <v>0.29749999999999999</v>
      </c>
      <c r="K252" s="25">
        <f t="shared" si="3"/>
        <v>71114.399999999994</v>
      </c>
      <c r="L252" s="25">
        <v>3.45</v>
      </c>
      <c r="M252" s="24">
        <v>825248.5</v>
      </c>
      <c r="N252" s="25">
        <f>IFERROR(T_reg.root.SK[[#This Row],[Price]]/T_reg.root.SK[[#This Row],[Starch content]],"")</f>
        <v>11.596638655462186</v>
      </c>
    </row>
    <row r="253" spans="1:14">
      <c r="A253" s="21">
        <v>2023</v>
      </c>
      <c r="B253" s="21" t="s">
        <v>19</v>
      </c>
      <c r="C253" s="21" t="s">
        <v>1145</v>
      </c>
      <c r="D253" s="21" t="s">
        <v>35</v>
      </c>
      <c r="E253" s="17" t="s">
        <v>164</v>
      </c>
      <c r="F253" s="18" t="s">
        <v>105</v>
      </c>
      <c r="G253" s="18" t="s">
        <v>48</v>
      </c>
      <c r="H253" s="24">
        <v>372950</v>
      </c>
      <c r="I253" s="24">
        <f>T_reg.root.SK[[#This Row],[Volume, kg]]/1000</f>
        <v>372.95</v>
      </c>
      <c r="J253" s="25">
        <v>0.2979</v>
      </c>
      <c r="K253" s="25">
        <f t="shared" si="3"/>
        <v>111101.80499999999</v>
      </c>
      <c r="L253" s="25">
        <v>3.44</v>
      </c>
      <c r="M253" s="24">
        <v>1281321</v>
      </c>
      <c r="N253" s="25">
        <f>IFERROR(T_reg.root.SK[[#This Row],[Price]]/T_reg.root.SK[[#This Row],[Starch content]],"")</f>
        <v>11.547499160792212</v>
      </c>
    </row>
    <row r="254" spans="1:14">
      <c r="A254" s="21">
        <v>2023</v>
      </c>
      <c r="B254" s="21" t="s">
        <v>19</v>
      </c>
      <c r="C254" s="21" t="s">
        <v>1145</v>
      </c>
      <c r="D254" s="21" t="s">
        <v>35</v>
      </c>
      <c r="E254" s="17" t="s">
        <v>165</v>
      </c>
      <c r="F254" s="18" t="s">
        <v>105</v>
      </c>
      <c r="G254" s="18" t="s">
        <v>48</v>
      </c>
      <c r="H254" s="24">
        <v>79220</v>
      </c>
      <c r="I254" s="24">
        <f>T_reg.root.SK[[#This Row],[Volume, kg]]/1000</f>
        <v>79.22</v>
      </c>
      <c r="J254" s="25">
        <v>0.29719999999999996</v>
      </c>
      <c r="K254" s="25">
        <f t="shared" si="3"/>
        <v>23544.183999999997</v>
      </c>
      <c r="L254" s="25">
        <v>3.43</v>
      </c>
      <c r="M254" s="24">
        <v>271819</v>
      </c>
      <c r="N254" s="25">
        <f>IFERROR(T_reg.root.SK[[#This Row],[Price]]/T_reg.root.SK[[#This Row],[Starch content]],"")</f>
        <v>11.541049798115749</v>
      </c>
    </row>
    <row r="255" spans="1:14">
      <c r="A255" s="21">
        <v>2023</v>
      </c>
      <c r="B255" s="21" t="s">
        <v>19</v>
      </c>
      <c r="C255" s="21" t="s">
        <v>1145</v>
      </c>
      <c r="D255" s="21" t="s">
        <v>35</v>
      </c>
      <c r="E255" s="17" t="s">
        <v>166</v>
      </c>
      <c r="F255" s="18" t="s">
        <v>105</v>
      </c>
      <c r="G255" s="18" t="s">
        <v>48</v>
      </c>
      <c r="H255" s="24">
        <v>12880</v>
      </c>
      <c r="I255" s="24">
        <f>T_reg.root.SK[[#This Row],[Volume, kg]]/1000</f>
        <v>12.88</v>
      </c>
      <c r="J255" s="25">
        <v>0.30609999999999998</v>
      </c>
      <c r="K255" s="25">
        <f t="shared" si="3"/>
        <v>3942.5679999999998</v>
      </c>
      <c r="L255" s="25">
        <v>3.45</v>
      </c>
      <c r="M255" s="24">
        <v>44432.5</v>
      </c>
      <c r="N255" s="25">
        <f>IFERROR(T_reg.root.SK[[#This Row],[Price]]/T_reg.root.SK[[#This Row],[Starch content]],"")</f>
        <v>11.270826527278668</v>
      </c>
    </row>
    <row r="256" spans="1:14">
      <c r="A256" s="21">
        <v>2023</v>
      </c>
      <c r="B256" s="21" t="s">
        <v>19</v>
      </c>
      <c r="C256" s="21" t="s">
        <v>1145</v>
      </c>
      <c r="D256" s="21" t="s">
        <v>35</v>
      </c>
      <c r="E256" s="17" t="s">
        <v>167</v>
      </c>
      <c r="F256" s="18" t="s">
        <v>105</v>
      </c>
      <c r="G256" s="18" t="s">
        <v>48</v>
      </c>
      <c r="H256" s="24">
        <v>15820</v>
      </c>
      <c r="I256" s="24">
        <f>T_reg.root.SK[[#This Row],[Volume, kg]]/1000</f>
        <v>15.82</v>
      </c>
      <c r="J256" s="25">
        <v>0.28489999999999999</v>
      </c>
      <c r="K256" s="25">
        <f t="shared" si="3"/>
        <v>4507.1179999999995</v>
      </c>
      <c r="L256" s="25">
        <v>3.47</v>
      </c>
      <c r="M256" s="24">
        <v>54829</v>
      </c>
      <c r="N256" s="25">
        <f>IFERROR(T_reg.root.SK[[#This Row],[Price]]/T_reg.root.SK[[#This Row],[Starch content]],"")</f>
        <v>12.179712179712181</v>
      </c>
    </row>
    <row r="257" spans="1:14">
      <c r="A257" s="21">
        <v>2023</v>
      </c>
      <c r="B257" s="21" t="s">
        <v>19</v>
      </c>
      <c r="C257" s="21" t="s">
        <v>1145</v>
      </c>
      <c r="D257" s="21" t="s">
        <v>35</v>
      </c>
      <c r="E257" s="17" t="s">
        <v>168</v>
      </c>
      <c r="F257" s="18" t="s">
        <v>105</v>
      </c>
      <c r="G257" s="18" t="s">
        <v>48</v>
      </c>
      <c r="H257" s="24">
        <v>82560</v>
      </c>
      <c r="I257" s="24">
        <f>T_reg.root.SK[[#This Row],[Volume, kg]]/1000</f>
        <v>82.56</v>
      </c>
      <c r="J257" s="25">
        <v>0.29699999999999999</v>
      </c>
      <c r="K257" s="25">
        <f t="shared" si="3"/>
        <v>24520.32</v>
      </c>
      <c r="L257" s="25">
        <v>3.48</v>
      </c>
      <c r="M257" s="24">
        <v>287692.5</v>
      </c>
      <c r="N257" s="25">
        <f>IFERROR(T_reg.root.SK[[#This Row],[Price]]/T_reg.root.SK[[#This Row],[Starch content]],"")</f>
        <v>11.717171717171718</v>
      </c>
    </row>
    <row r="258" spans="1:14">
      <c r="A258" s="21">
        <v>2023</v>
      </c>
      <c r="B258" s="21" t="s">
        <v>19</v>
      </c>
      <c r="C258" s="21" t="s">
        <v>1145</v>
      </c>
      <c r="D258" s="21" t="s">
        <v>35</v>
      </c>
      <c r="E258" s="17" t="s">
        <v>256</v>
      </c>
      <c r="F258" s="18" t="s">
        <v>105</v>
      </c>
      <c r="G258" s="18" t="s">
        <v>48</v>
      </c>
      <c r="H258" s="24">
        <v>59310</v>
      </c>
      <c r="I258" s="24">
        <f>T_reg.root.SK[[#This Row],[Volume, kg]]/1000</f>
        <v>59.31</v>
      </c>
      <c r="J258" s="25">
        <v>0.29260000000000003</v>
      </c>
      <c r="K258" s="25">
        <f t="shared" si="3"/>
        <v>17354.106</v>
      </c>
      <c r="L258" s="25">
        <v>3.38</v>
      </c>
      <c r="M258" s="24">
        <v>200444</v>
      </c>
      <c r="N258" s="25">
        <f>IFERROR(T_reg.root.SK[[#This Row],[Price]]/T_reg.root.SK[[#This Row],[Starch content]],"")</f>
        <v>11.551606288448392</v>
      </c>
    </row>
    <row r="259" spans="1:14">
      <c r="A259" s="21">
        <v>2023</v>
      </c>
      <c r="B259" s="21" t="s">
        <v>19</v>
      </c>
      <c r="C259" s="21" t="s">
        <v>1145</v>
      </c>
      <c r="D259" s="21" t="s">
        <v>35</v>
      </c>
      <c r="E259" s="17" t="s">
        <v>257</v>
      </c>
      <c r="F259" s="18" t="s">
        <v>105</v>
      </c>
      <c r="G259" s="18" t="s">
        <v>48</v>
      </c>
      <c r="H259" s="24">
        <v>46930</v>
      </c>
      <c r="I259" s="24">
        <f>T_reg.root.SK[[#This Row],[Volume, kg]]/1000</f>
        <v>46.93</v>
      </c>
      <c r="J259" s="25">
        <v>0.25489999999999996</v>
      </c>
      <c r="K259" s="25">
        <f t="shared" ref="K259:K322" si="4">H259*J259</f>
        <v>11962.456999999999</v>
      </c>
      <c r="L259" s="25">
        <v>3.41</v>
      </c>
      <c r="M259" s="24">
        <v>160004</v>
      </c>
      <c r="N259" s="25">
        <f>IFERROR(T_reg.root.SK[[#This Row],[Price]]/T_reg.root.SK[[#This Row],[Starch content]],"")</f>
        <v>13.377795213809339</v>
      </c>
    </row>
    <row r="260" spans="1:14">
      <c r="A260" s="21">
        <v>2023</v>
      </c>
      <c r="B260" s="21" t="s">
        <v>19</v>
      </c>
      <c r="C260" s="21" t="s">
        <v>1145</v>
      </c>
      <c r="D260" s="21" t="s">
        <v>35</v>
      </c>
      <c r="E260" s="17" t="s">
        <v>171</v>
      </c>
      <c r="F260" s="18" t="s">
        <v>105</v>
      </c>
      <c r="G260" s="18" t="s">
        <v>48</v>
      </c>
      <c r="H260" s="24">
        <v>30060</v>
      </c>
      <c r="I260" s="24">
        <f>T_reg.root.SK[[#This Row],[Volume, kg]]/1000</f>
        <v>30.06</v>
      </c>
      <c r="J260" s="25">
        <v>0.30780000000000002</v>
      </c>
      <c r="K260" s="25">
        <f t="shared" si="4"/>
        <v>9252.4680000000008</v>
      </c>
      <c r="L260" s="25">
        <v>3.46</v>
      </c>
      <c r="M260" s="24">
        <v>103896.5</v>
      </c>
      <c r="N260" s="25">
        <f>IFERROR(T_reg.root.SK[[#This Row],[Price]]/T_reg.root.SK[[#This Row],[Starch content]],"")</f>
        <v>11.241065627030538</v>
      </c>
    </row>
    <row r="261" spans="1:14">
      <c r="A261" s="21">
        <v>2023</v>
      </c>
      <c r="B261" s="21" t="s">
        <v>19</v>
      </c>
      <c r="C261" s="21" t="s">
        <v>1145</v>
      </c>
      <c r="D261" s="21" t="s">
        <v>35</v>
      </c>
      <c r="E261" s="17" t="s">
        <v>172</v>
      </c>
      <c r="F261" s="18" t="s">
        <v>105</v>
      </c>
      <c r="G261" s="18" t="s">
        <v>48</v>
      </c>
      <c r="H261" s="24">
        <v>106350</v>
      </c>
      <c r="I261" s="24">
        <f>T_reg.root.SK[[#This Row],[Volume, kg]]/1000</f>
        <v>106.35</v>
      </c>
      <c r="J261" s="25">
        <v>0.28660000000000002</v>
      </c>
      <c r="K261" s="25">
        <f t="shared" si="4"/>
        <v>30479.910000000003</v>
      </c>
      <c r="L261" s="25">
        <v>3.37</v>
      </c>
      <c r="M261" s="24">
        <v>358687</v>
      </c>
      <c r="N261" s="25">
        <f>IFERROR(T_reg.root.SK[[#This Row],[Price]]/T_reg.root.SK[[#This Row],[Starch content]],"")</f>
        <v>11.758548499651081</v>
      </c>
    </row>
    <row r="262" spans="1:14">
      <c r="A262" s="21">
        <v>2023</v>
      </c>
      <c r="B262" s="21" t="s">
        <v>19</v>
      </c>
      <c r="C262" s="21" t="s">
        <v>1145</v>
      </c>
      <c r="D262" s="21" t="s">
        <v>35</v>
      </c>
      <c r="E262" s="17" t="s">
        <v>173</v>
      </c>
      <c r="F262" s="18" t="s">
        <v>105</v>
      </c>
      <c r="G262" s="18" t="s">
        <v>48</v>
      </c>
      <c r="H262" s="24">
        <v>41230</v>
      </c>
      <c r="I262" s="24">
        <f>T_reg.root.SK[[#This Row],[Volume, kg]]/1000</f>
        <v>41.23</v>
      </c>
      <c r="J262" s="25">
        <v>0.2621</v>
      </c>
      <c r="K262" s="25">
        <f t="shared" si="4"/>
        <v>10806.383</v>
      </c>
      <c r="L262" s="25">
        <v>3.33</v>
      </c>
      <c r="M262" s="24">
        <v>137332.5</v>
      </c>
      <c r="N262" s="25">
        <f>IFERROR(T_reg.root.SK[[#This Row],[Price]]/T_reg.root.SK[[#This Row],[Starch content]],"")</f>
        <v>12.705074399084319</v>
      </c>
    </row>
    <row r="263" spans="1:14">
      <c r="A263" s="21">
        <v>2023</v>
      </c>
      <c r="B263" s="21" t="s">
        <v>19</v>
      </c>
      <c r="C263" s="21" t="s">
        <v>1145</v>
      </c>
      <c r="D263" s="21" t="s">
        <v>35</v>
      </c>
      <c r="E263" s="17" t="s">
        <v>175</v>
      </c>
      <c r="F263" s="18" t="s">
        <v>105</v>
      </c>
      <c r="G263" s="18" t="s">
        <v>48</v>
      </c>
      <c r="H263" s="24">
        <v>95770</v>
      </c>
      <c r="I263" s="24">
        <f>T_reg.root.SK[[#This Row],[Volume, kg]]/1000</f>
        <v>95.77</v>
      </c>
      <c r="J263" s="25">
        <v>0.3049</v>
      </c>
      <c r="K263" s="25">
        <f t="shared" si="4"/>
        <v>29200.273000000001</v>
      </c>
      <c r="L263" s="25">
        <v>3.61</v>
      </c>
      <c r="M263" s="24">
        <v>346041</v>
      </c>
      <c r="N263" s="25">
        <f>IFERROR(T_reg.root.SK[[#This Row],[Price]]/T_reg.root.SK[[#This Row],[Starch content]],"")</f>
        <v>11.839947523778287</v>
      </c>
    </row>
    <row r="264" spans="1:14">
      <c r="A264" s="21">
        <v>2023</v>
      </c>
      <c r="B264" s="21" t="s">
        <v>19</v>
      </c>
      <c r="C264" s="21" t="s">
        <v>1145</v>
      </c>
      <c r="D264" s="21" t="s">
        <v>35</v>
      </c>
      <c r="E264" s="17" t="s">
        <v>176</v>
      </c>
      <c r="F264" s="18" t="s">
        <v>105</v>
      </c>
      <c r="G264" s="18" t="s">
        <v>48</v>
      </c>
      <c r="H264" s="24">
        <v>49720</v>
      </c>
      <c r="I264" s="24">
        <f>T_reg.root.SK[[#This Row],[Volume, kg]]/1000</f>
        <v>49.72</v>
      </c>
      <c r="J264" s="25">
        <v>0.27610000000000001</v>
      </c>
      <c r="K264" s="25">
        <f t="shared" si="4"/>
        <v>13727.692000000001</v>
      </c>
      <c r="L264" s="25">
        <v>3.39</v>
      </c>
      <c r="M264" s="24">
        <v>168551</v>
      </c>
      <c r="N264" s="25">
        <f>IFERROR(T_reg.root.SK[[#This Row],[Price]]/T_reg.root.SK[[#This Row],[Starch content]],"")</f>
        <v>12.278160086925027</v>
      </c>
    </row>
    <row r="265" spans="1:14">
      <c r="A265" s="21">
        <v>2023</v>
      </c>
      <c r="B265" s="21" t="s">
        <v>19</v>
      </c>
      <c r="C265" s="21" t="s">
        <v>1145</v>
      </c>
      <c r="D265" s="21" t="s">
        <v>35</v>
      </c>
      <c r="E265" s="17" t="s">
        <v>258</v>
      </c>
      <c r="F265" s="18" t="s">
        <v>105</v>
      </c>
      <c r="G265" s="18" t="s">
        <v>48</v>
      </c>
      <c r="H265" s="24">
        <v>21900</v>
      </c>
      <c r="I265" s="24">
        <f>T_reg.root.SK[[#This Row],[Volume, kg]]/1000</f>
        <v>21.9</v>
      </c>
      <c r="J265" s="25">
        <v>0.2576</v>
      </c>
      <c r="K265" s="25">
        <f t="shared" si="4"/>
        <v>5641.44</v>
      </c>
      <c r="L265" s="25">
        <v>3.38</v>
      </c>
      <c r="M265" s="24">
        <v>73949.5</v>
      </c>
      <c r="N265" s="25">
        <f>IFERROR(T_reg.root.SK[[#This Row],[Price]]/T_reg.root.SK[[#This Row],[Starch content]],"")</f>
        <v>13.121118012422359</v>
      </c>
    </row>
    <row r="266" spans="1:14">
      <c r="A266" s="21">
        <v>2023</v>
      </c>
      <c r="B266" s="21" t="s">
        <v>19</v>
      </c>
      <c r="C266" s="21" t="s">
        <v>1145</v>
      </c>
      <c r="D266" s="21" t="s">
        <v>35</v>
      </c>
      <c r="E266" s="17" t="s">
        <v>259</v>
      </c>
      <c r="F266" s="18" t="s">
        <v>105</v>
      </c>
      <c r="G266" s="18" t="s">
        <v>48</v>
      </c>
      <c r="H266" s="24">
        <v>37120</v>
      </c>
      <c r="I266" s="24">
        <f>T_reg.root.SK[[#This Row],[Volume, kg]]/1000</f>
        <v>37.119999999999997</v>
      </c>
      <c r="J266" s="25">
        <v>0.27379999999999999</v>
      </c>
      <c r="K266" s="25">
        <f t="shared" si="4"/>
        <v>10163.456</v>
      </c>
      <c r="L266" s="25">
        <v>3.52</v>
      </c>
      <c r="M266" s="24">
        <v>130674.5</v>
      </c>
      <c r="N266" s="25">
        <f>IFERROR(T_reg.root.SK[[#This Row],[Price]]/T_reg.root.SK[[#This Row],[Starch content]],"")</f>
        <v>12.85609934258583</v>
      </c>
    </row>
    <row r="267" spans="1:14">
      <c r="A267" s="21">
        <v>2023</v>
      </c>
      <c r="B267" s="21" t="s">
        <v>19</v>
      </c>
      <c r="C267" s="21" t="s">
        <v>1145</v>
      </c>
      <c r="D267" s="21" t="s">
        <v>35</v>
      </c>
      <c r="E267" s="17" t="s">
        <v>179</v>
      </c>
      <c r="F267" s="18" t="s">
        <v>105</v>
      </c>
      <c r="G267" s="18" t="s">
        <v>48</v>
      </c>
      <c r="H267" s="24">
        <v>39710</v>
      </c>
      <c r="I267" s="24">
        <f>T_reg.root.SK[[#This Row],[Volume, kg]]/1000</f>
        <v>39.71</v>
      </c>
      <c r="J267" s="25">
        <v>0.2702</v>
      </c>
      <c r="K267" s="25">
        <f t="shared" si="4"/>
        <v>10729.642</v>
      </c>
      <c r="L267" s="25">
        <v>3.27</v>
      </c>
      <c r="M267" s="24">
        <v>129975</v>
      </c>
      <c r="N267" s="25">
        <f>IFERROR(T_reg.root.SK[[#This Row],[Price]]/T_reg.root.SK[[#This Row],[Starch content]],"")</f>
        <v>12.102146558105108</v>
      </c>
    </row>
    <row r="268" spans="1:14">
      <c r="A268" s="21">
        <v>2023</v>
      </c>
      <c r="B268" s="21" t="s">
        <v>19</v>
      </c>
      <c r="C268" s="21" t="s">
        <v>1145</v>
      </c>
      <c r="D268" s="21" t="s">
        <v>35</v>
      </c>
      <c r="E268" s="17" t="s">
        <v>181</v>
      </c>
      <c r="F268" s="18" t="s">
        <v>105</v>
      </c>
      <c r="G268" s="18" t="s">
        <v>48</v>
      </c>
      <c r="H268" s="24">
        <v>686040</v>
      </c>
      <c r="I268" s="24">
        <f>T_reg.root.SK[[#This Row],[Volume, kg]]/1000</f>
        <v>686.04</v>
      </c>
      <c r="J268" s="25">
        <v>0.29160000000000003</v>
      </c>
      <c r="K268" s="25">
        <f t="shared" si="4"/>
        <v>200049.26400000002</v>
      </c>
      <c r="L268" s="25">
        <v>3.44</v>
      </c>
      <c r="M268" s="24">
        <v>2358410</v>
      </c>
      <c r="N268" s="25">
        <f>IFERROR(T_reg.root.SK[[#This Row],[Price]]/T_reg.root.SK[[#This Row],[Starch content]],"")</f>
        <v>11.796982167352537</v>
      </c>
    </row>
    <row r="269" spans="1:14">
      <c r="A269" s="21">
        <v>2023</v>
      </c>
      <c r="B269" s="21" t="s">
        <v>19</v>
      </c>
      <c r="C269" s="21" t="s">
        <v>1145</v>
      </c>
      <c r="D269" s="21" t="s">
        <v>35</v>
      </c>
      <c r="E269" s="17" t="s">
        <v>182</v>
      </c>
      <c r="F269" s="18" t="s">
        <v>105</v>
      </c>
      <c r="G269" s="18" t="s">
        <v>48</v>
      </c>
      <c r="H269" s="24">
        <v>87620</v>
      </c>
      <c r="I269" s="24">
        <f>T_reg.root.SK[[#This Row],[Volume, kg]]/1000</f>
        <v>87.62</v>
      </c>
      <c r="J269" s="25">
        <v>0.2969</v>
      </c>
      <c r="K269" s="25">
        <f t="shared" si="4"/>
        <v>26014.378000000001</v>
      </c>
      <c r="L269" s="25">
        <v>3.47</v>
      </c>
      <c r="M269" s="24">
        <v>303885.5</v>
      </c>
      <c r="N269" s="25">
        <f>IFERROR(T_reg.root.SK[[#This Row],[Price]]/T_reg.root.SK[[#This Row],[Starch content]],"")</f>
        <v>11.687436847423376</v>
      </c>
    </row>
    <row r="270" spans="1:14">
      <c r="A270" s="21">
        <v>2023</v>
      </c>
      <c r="B270" s="21" t="s">
        <v>19</v>
      </c>
      <c r="C270" s="21" t="s">
        <v>1145</v>
      </c>
      <c r="D270" s="21" t="s">
        <v>35</v>
      </c>
      <c r="E270" s="17" t="s">
        <v>260</v>
      </c>
      <c r="F270" s="18" t="s">
        <v>105</v>
      </c>
      <c r="G270" s="18" t="s">
        <v>48</v>
      </c>
      <c r="H270" s="24">
        <v>17620</v>
      </c>
      <c r="I270" s="24">
        <f>T_reg.root.SK[[#This Row],[Volume, kg]]/1000</f>
        <v>17.62</v>
      </c>
      <c r="J270" s="25">
        <v>0.30099999999999999</v>
      </c>
      <c r="K270" s="25">
        <f t="shared" si="4"/>
        <v>5303.62</v>
      </c>
      <c r="L270" s="25">
        <v>3.4</v>
      </c>
      <c r="M270" s="24">
        <v>59903</v>
      </c>
      <c r="N270" s="25">
        <f>IFERROR(T_reg.root.SK[[#This Row],[Price]]/T_reg.root.SK[[#This Row],[Starch content]],"")</f>
        <v>11.295681063122924</v>
      </c>
    </row>
    <row r="271" spans="1:14">
      <c r="A271" s="21">
        <v>2023</v>
      </c>
      <c r="B271" s="21" t="s">
        <v>19</v>
      </c>
      <c r="C271" s="21" t="s">
        <v>1145</v>
      </c>
      <c r="D271" s="21" t="s">
        <v>35</v>
      </c>
      <c r="E271" s="17" t="s">
        <v>183</v>
      </c>
      <c r="F271" s="18" t="s">
        <v>105</v>
      </c>
      <c r="G271" s="18" t="s">
        <v>48</v>
      </c>
      <c r="H271" s="24">
        <v>618530</v>
      </c>
      <c r="I271" s="24">
        <f>T_reg.root.SK[[#This Row],[Volume, kg]]/1000</f>
        <v>618.53</v>
      </c>
      <c r="J271" s="25">
        <v>0.29520000000000002</v>
      </c>
      <c r="K271" s="25">
        <f t="shared" si="4"/>
        <v>182590.05600000001</v>
      </c>
      <c r="L271" s="25">
        <v>3.48</v>
      </c>
      <c r="M271" s="24">
        <v>2154536</v>
      </c>
      <c r="N271" s="25">
        <f>IFERROR(T_reg.root.SK[[#This Row],[Price]]/T_reg.root.SK[[#This Row],[Starch content]],"")</f>
        <v>11.78861788617886</v>
      </c>
    </row>
    <row r="272" spans="1:14">
      <c r="A272" s="21">
        <v>2023</v>
      </c>
      <c r="B272" s="21" t="s">
        <v>19</v>
      </c>
      <c r="C272" s="21" t="s">
        <v>1145</v>
      </c>
      <c r="D272" s="21" t="s">
        <v>35</v>
      </c>
      <c r="E272" s="17" t="s">
        <v>189</v>
      </c>
      <c r="F272" s="18" t="s">
        <v>187</v>
      </c>
      <c r="G272" s="18" t="s">
        <v>48</v>
      </c>
      <c r="H272" s="24">
        <v>7090</v>
      </c>
      <c r="I272" s="24">
        <f>T_reg.root.SK[[#This Row],[Volume, kg]]/1000</f>
        <v>7.09</v>
      </c>
      <c r="J272" s="25">
        <v>0.20430000000000001</v>
      </c>
      <c r="K272" s="25">
        <f t="shared" si="4"/>
        <v>1448.4870000000001</v>
      </c>
      <c r="L272" s="25">
        <v>2.9</v>
      </c>
      <c r="M272" s="24">
        <v>20561</v>
      </c>
      <c r="N272" s="25">
        <f>IFERROR(T_reg.root.SK[[#This Row],[Price]]/T_reg.root.SK[[#This Row],[Starch content]],"")</f>
        <v>14.194811551639745</v>
      </c>
    </row>
    <row r="273" spans="1:14">
      <c r="A273" s="21">
        <v>2023</v>
      </c>
      <c r="B273" s="21" t="s">
        <v>19</v>
      </c>
      <c r="C273" s="21" t="s">
        <v>1145</v>
      </c>
      <c r="D273" s="21" t="s">
        <v>35</v>
      </c>
      <c r="E273" s="17" t="s">
        <v>261</v>
      </c>
      <c r="F273" s="18" t="s">
        <v>187</v>
      </c>
      <c r="G273" s="18" t="s">
        <v>48</v>
      </c>
      <c r="H273" s="24">
        <v>10040</v>
      </c>
      <c r="I273" s="24">
        <f>T_reg.root.SK[[#This Row],[Volume, kg]]/1000</f>
        <v>10.039999999999999</v>
      </c>
      <c r="J273" s="25">
        <v>0.2535</v>
      </c>
      <c r="K273" s="25">
        <f t="shared" si="4"/>
        <v>2545.14</v>
      </c>
      <c r="L273" s="25">
        <v>3.3</v>
      </c>
      <c r="M273" s="24">
        <v>33132</v>
      </c>
      <c r="N273" s="25">
        <f>IFERROR(T_reg.root.SK[[#This Row],[Price]]/T_reg.root.SK[[#This Row],[Starch content]],"")</f>
        <v>13.01775147928994</v>
      </c>
    </row>
    <row r="274" spans="1:14">
      <c r="A274" s="21">
        <v>2023</v>
      </c>
      <c r="B274" s="21" t="s">
        <v>19</v>
      </c>
      <c r="C274" s="21" t="s">
        <v>1145</v>
      </c>
      <c r="D274" s="21" t="s">
        <v>35</v>
      </c>
      <c r="E274" s="17" t="s">
        <v>262</v>
      </c>
      <c r="F274" s="18" t="s">
        <v>187</v>
      </c>
      <c r="G274" s="18" t="s">
        <v>48</v>
      </c>
      <c r="H274" s="24">
        <v>41200</v>
      </c>
      <c r="I274" s="24">
        <f>T_reg.root.SK[[#This Row],[Volume, kg]]/1000</f>
        <v>41.2</v>
      </c>
      <c r="J274" s="25">
        <v>0.29049999999999998</v>
      </c>
      <c r="K274" s="25">
        <f t="shared" si="4"/>
        <v>11968.599999999999</v>
      </c>
      <c r="L274" s="25">
        <v>3.36</v>
      </c>
      <c r="M274" s="24">
        <v>138479</v>
      </c>
      <c r="N274" s="25">
        <f>IFERROR(T_reg.root.SK[[#This Row],[Price]]/T_reg.root.SK[[#This Row],[Starch content]],"")</f>
        <v>11.566265060240964</v>
      </c>
    </row>
    <row r="275" spans="1:14">
      <c r="A275" s="21">
        <v>2023</v>
      </c>
      <c r="B275" s="21" t="s">
        <v>19</v>
      </c>
      <c r="C275" s="21" t="s">
        <v>1145</v>
      </c>
      <c r="D275" s="21" t="s">
        <v>35</v>
      </c>
      <c r="E275" s="17" t="s">
        <v>194</v>
      </c>
      <c r="F275" s="18" t="s">
        <v>187</v>
      </c>
      <c r="G275" s="18" t="s">
        <v>48</v>
      </c>
      <c r="H275" s="24">
        <v>105320</v>
      </c>
      <c r="I275" s="24">
        <f>T_reg.root.SK[[#This Row],[Volume, kg]]/1000</f>
        <v>105.32</v>
      </c>
      <c r="J275" s="25">
        <v>0.29330000000000001</v>
      </c>
      <c r="K275" s="25">
        <f t="shared" si="4"/>
        <v>30890.356</v>
      </c>
      <c r="L275" s="25">
        <v>3.51</v>
      </c>
      <c r="M275" s="24">
        <v>369761</v>
      </c>
      <c r="N275" s="25">
        <f>IFERROR(T_reg.root.SK[[#This Row],[Price]]/T_reg.root.SK[[#This Row],[Starch content]],"")</f>
        <v>11.9672690078418</v>
      </c>
    </row>
    <row r="276" spans="1:14">
      <c r="A276" s="21">
        <v>2023</v>
      </c>
      <c r="B276" s="21" t="s">
        <v>19</v>
      </c>
      <c r="C276" s="21" t="s">
        <v>1145</v>
      </c>
      <c r="D276" s="21" t="s">
        <v>35</v>
      </c>
      <c r="E276" s="17" t="s">
        <v>263</v>
      </c>
      <c r="F276" s="18" t="s">
        <v>187</v>
      </c>
      <c r="G276" s="18" t="s">
        <v>48</v>
      </c>
      <c r="H276" s="24">
        <v>27300</v>
      </c>
      <c r="I276" s="24">
        <f>T_reg.root.SK[[#This Row],[Volume, kg]]/1000</f>
        <v>27.3</v>
      </c>
      <c r="J276" s="25">
        <v>0.25509999999999999</v>
      </c>
      <c r="K276" s="25">
        <f t="shared" si="4"/>
        <v>6964.23</v>
      </c>
      <c r="L276" s="25">
        <v>3.17</v>
      </c>
      <c r="M276" s="24">
        <v>86420</v>
      </c>
      <c r="N276" s="25">
        <f>IFERROR(T_reg.root.SK[[#This Row],[Price]]/T_reg.root.SK[[#This Row],[Starch content]],"")</f>
        <v>12.426499411995296</v>
      </c>
    </row>
    <row r="277" spans="1:14">
      <c r="A277" s="21">
        <v>2023</v>
      </c>
      <c r="B277" s="21" t="s">
        <v>19</v>
      </c>
      <c r="C277" s="21" t="s">
        <v>1145</v>
      </c>
      <c r="D277" s="21" t="s">
        <v>35</v>
      </c>
      <c r="E277" s="17" t="s">
        <v>195</v>
      </c>
      <c r="F277" s="18" t="s">
        <v>187</v>
      </c>
      <c r="G277" s="18" t="s">
        <v>48</v>
      </c>
      <c r="H277" s="24">
        <v>27530</v>
      </c>
      <c r="I277" s="24">
        <f>T_reg.root.SK[[#This Row],[Volume, kg]]/1000</f>
        <v>27.53</v>
      </c>
      <c r="J277" s="25">
        <v>0.2505</v>
      </c>
      <c r="K277" s="25">
        <f t="shared" si="4"/>
        <v>6896.2650000000003</v>
      </c>
      <c r="L277" s="25">
        <v>3.33</v>
      </c>
      <c r="M277" s="24">
        <v>91645.5</v>
      </c>
      <c r="N277" s="25">
        <f>IFERROR(T_reg.root.SK[[#This Row],[Price]]/T_reg.root.SK[[#This Row],[Starch content]],"")</f>
        <v>13.293413173652695</v>
      </c>
    </row>
    <row r="278" spans="1:14">
      <c r="A278" s="21">
        <v>2023</v>
      </c>
      <c r="B278" s="21" t="s">
        <v>19</v>
      </c>
      <c r="C278" s="21" t="s">
        <v>1145</v>
      </c>
      <c r="D278" s="21" t="s">
        <v>35</v>
      </c>
      <c r="E278" s="17" t="s">
        <v>264</v>
      </c>
      <c r="F278" s="18" t="s">
        <v>187</v>
      </c>
      <c r="G278" s="18" t="s">
        <v>48</v>
      </c>
      <c r="H278" s="24">
        <v>59430</v>
      </c>
      <c r="I278" s="24">
        <f>T_reg.root.SK[[#This Row],[Volume, kg]]/1000</f>
        <v>59.43</v>
      </c>
      <c r="J278" s="25">
        <v>0.28410000000000002</v>
      </c>
      <c r="K278" s="25">
        <f t="shared" si="4"/>
        <v>16884.063000000002</v>
      </c>
      <c r="L278" s="25">
        <v>3.46</v>
      </c>
      <c r="M278" s="24">
        <v>205430.5</v>
      </c>
      <c r="N278" s="25">
        <f>IFERROR(T_reg.root.SK[[#This Row],[Price]]/T_reg.root.SK[[#This Row],[Starch content]],"")</f>
        <v>12.178810278071101</v>
      </c>
    </row>
    <row r="279" spans="1:14">
      <c r="A279" s="21">
        <v>2023</v>
      </c>
      <c r="B279" s="21" t="s">
        <v>19</v>
      </c>
      <c r="C279" s="21" t="s">
        <v>1145</v>
      </c>
      <c r="D279" s="21" t="s">
        <v>35</v>
      </c>
      <c r="E279" s="17" t="s">
        <v>196</v>
      </c>
      <c r="F279" s="18" t="s">
        <v>187</v>
      </c>
      <c r="G279" s="18" t="s">
        <v>48</v>
      </c>
      <c r="H279" s="24">
        <v>14730</v>
      </c>
      <c r="I279" s="24">
        <f>T_reg.root.SK[[#This Row],[Volume, kg]]/1000</f>
        <v>14.73</v>
      </c>
      <c r="J279" s="25">
        <v>0.30149999999999999</v>
      </c>
      <c r="K279" s="25">
        <f t="shared" si="4"/>
        <v>4441.0950000000003</v>
      </c>
      <c r="L279" s="25">
        <v>3.4</v>
      </c>
      <c r="M279" s="24">
        <v>50082</v>
      </c>
      <c r="N279" s="25">
        <f>IFERROR(T_reg.root.SK[[#This Row],[Price]]/T_reg.root.SK[[#This Row],[Starch content]],"")</f>
        <v>11.276948590381426</v>
      </c>
    </row>
    <row r="280" spans="1:14">
      <c r="A280" s="21">
        <v>2023</v>
      </c>
      <c r="B280" s="21" t="s">
        <v>19</v>
      </c>
      <c r="C280" s="21" t="s">
        <v>1145</v>
      </c>
      <c r="D280" s="21" t="s">
        <v>35</v>
      </c>
      <c r="E280" s="17" t="s">
        <v>201</v>
      </c>
      <c r="F280" s="18" t="s">
        <v>187</v>
      </c>
      <c r="G280" s="18" t="s">
        <v>48</v>
      </c>
      <c r="H280" s="24">
        <v>126040</v>
      </c>
      <c r="I280" s="24">
        <f>T_reg.root.SK[[#This Row],[Volume, kg]]/1000</f>
        <v>126.04</v>
      </c>
      <c r="J280" s="25">
        <v>0.28550000000000003</v>
      </c>
      <c r="K280" s="25">
        <f t="shared" si="4"/>
        <v>35984.420000000006</v>
      </c>
      <c r="L280" s="25">
        <v>3.33</v>
      </c>
      <c r="M280" s="24">
        <v>420048.5</v>
      </c>
      <c r="N280" s="25">
        <f>IFERROR(T_reg.root.SK[[#This Row],[Price]]/T_reg.root.SK[[#This Row],[Starch content]],"")</f>
        <v>11.663747810858142</v>
      </c>
    </row>
    <row r="281" spans="1:14">
      <c r="A281" s="21">
        <v>2023</v>
      </c>
      <c r="B281" s="21" t="s">
        <v>19</v>
      </c>
      <c r="C281" s="21" t="s">
        <v>1145</v>
      </c>
      <c r="D281" s="21" t="s">
        <v>35</v>
      </c>
      <c r="E281" s="17" t="s">
        <v>202</v>
      </c>
      <c r="F281" s="18" t="s">
        <v>187</v>
      </c>
      <c r="G281" s="18" t="s">
        <v>48</v>
      </c>
      <c r="H281" s="24">
        <v>60480</v>
      </c>
      <c r="I281" s="24">
        <f>T_reg.root.SK[[#This Row],[Volume, kg]]/1000</f>
        <v>60.48</v>
      </c>
      <c r="J281" s="25">
        <v>0.26300000000000001</v>
      </c>
      <c r="K281" s="25">
        <f t="shared" si="4"/>
        <v>15906.240000000002</v>
      </c>
      <c r="L281" s="25">
        <v>3.23</v>
      </c>
      <c r="M281" s="24">
        <v>195363.5</v>
      </c>
      <c r="N281" s="25">
        <f>IFERROR(T_reg.root.SK[[#This Row],[Price]]/T_reg.root.SK[[#This Row],[Starch content]],"")</f>
        <v>12.281368821292775</v>
      </c>
    </row>
    <row r="282" spans="1:14">
      <c r="A282" s="21">
        <v>2023</v>
      </c>
      <c r="B282" s="21" t="s">
        <v>19</v>
      </c>
      <c r="C282" s="21" t="s">
        <v>1145</v>
      </c>
      <c r="D282" s="21" t="s">
        <v>35</v>
      </c>
      <c r="E282" s="17" t="s">
        <v>265</v>
      </c>
      <c r="F282" s="18" t="s">
        <v>187</v>
      </c>
      <c r="G282" s="18" t="s">
        <v>48</v>
      </c>
      <c r="H282" s="24">
        <v>96370</v>
      </c>
      <c r="I282" s="24">
        <f>T_reg.root.SK[[#This Row],[Volume, kg]]/1000</f>
        <v>96.37</v>
      </c>
      <c r="J282" s="25">
        <v>0.27679999999999999</v>
      </c>
      <c r="K282" s="25">
        <f t="shared" si="4"/>
        <v>26675.216</v>
      </c>
      <c r="L282" s="25">
        <v>3.42</v>
      </c>
      <c r="M282" s="24">
        <v>329633</v>
      </c>
      <c r="N282" s="25">
        <f>IFERROR(T_reg.root.SK[[#This Row],[Price]]/T_reg.root.SK[[#This Row],[Starch content]],"")</f>
        <v>12.355491329479769</v>
      </c>
    </row>
    <row r="283" spans="1:14">
      <c r="A283" s="21">
        <v>2023</v>
      </c>
      <c r="B283" s="21" t="s">
        <v>19</v>
      </c>
      <c r="C283" s="21" t="s">
        <v>1145</v>
      </c>
      <c r="D283" s="21" t="s">
        <v>35</v>
      </c>
      <c r="E283" s="17" t="s">
        <v>266</v>
      </c>
      <c r="F283" s="18" t="s">
        <v>187</v>
      </c>
      <c r="G283" s="18" t="s">
        <v>48</v>
      </c>
      <c r="H283" s="24">
        <v>10400</v>
      </c>
      <c r="I283" s="24">
        <f>T_reg.root.SK[[#This Row],[Volume, kg]]/1000</f>
        <v>10.4</v>
      </c>
      <c r="J283" s="25">
        <v>0.193</v>
      </c>
      <c r="K283" s="25">
        <f t="shared" si="4"/>
        <v>2007.2</v>
      </c>
      <c r="L283" s="25">
        <v>2.85</v>
      </c>
      <c r="M283" s="24">
        <v>29640</v>
      </c>
      <c r="N283" s="25">
        <f>IFERROR(T_reg.root.SK[[#This Row],[Price]]/T_reg.root.SK[[#This Row],[Starch content]],"")</f>
        <v>14.766839378238343</v>
      </c>
    </row>
    <row r="284" spans="1:14">
      <c r="A284" s="21">
        <v>2023</v>
      </c>
      <c r="B284" s="21" t="s">
        <v>19</v>
      </c>
      <c r="C284" s="21" t="s">
        <v>1145</v>
      </c>
      <c r="D284" s="21" t="s">
        <v>35</v>
      </c>
      <c r="E284" s="17" t="s">
        <v>267</v>
      </c>
      <c r="F284" s="18" t="s">
        <v>187</v>
      </c>
      <c r="G284" s="18" t="s">
        <v>48</v>
      </c>
      <c r="H284" s="24">
        <v>30860</v>
      </c>
      <c r="I284" s="24">
        <f>T_reg.root.SK[[#This Row],[Volume, kg]]/1000</f>
        <v>30.86</v>
      </c>
      <c r="J284" s="25">
        <v>0.30570000000000003</v>
      </c>
      <c r="K284" s="25">
        <f t="shared" si="4"/>
        <v>9433.902</v>
      </c>
      <c r="L284" s="25">
        <v>3.44</v>
      </c>
      <c r="M284" s="24">
        <v>106070.5</v>
      </c>
      <c r="N284" s="25">
        <f>IFERROR(T_reg.root.SK[[#This Row],[Price]]/T_reg.root.SK[[#This Row],[Starch content]],"")</f>
        <v>11.252862283284264</v>
      </c>
    </row>
    <row r="285" spans="1:14">
      <c r="A285" s="21">
        <v>2023</v>
      </c>
      <c r="B285" s="21" t="s">
        <v>19</v>
      </c>
      <c r="C285" s="21" t="s">
        <v>1145</v>
      </c>
      <c r="D285" s="21" t="s">
        <v>35</v>
      </c>
      <c r="E285" s="17" t="s">
        <v>268</v>
      </c>
      <c r="F285" s="18" t="s">
        <v>187</v>
      </c>
      <c r="G285" s="18" t="s">
        <v>48</v>
      </c>
      <c r="H285" s="24">
        <v>190500</v>
      </c>
      <c r="I285" s="24">
        <f>T_reg.root.SK[[#This Row],[Volume, kg]]/1000</f>
        <v>190.5</v>
      </c>
      <c r="J285" s="25">
        <v>0.29659999999999997</v>
      </c>
      <c r="K285" s="25">
        <f t="shared" si="4"/>
        <v>56502.299999999996</v>
      </c>
      <c r="L285" s="25">
        <v>3.42</v>
      </c>
      <c r="M285" s="24">
        <v>652077.5</v>
      </c>
      <c r="N285" s="25">
        <f>IFERROR(T_reg.root.SK[[#This Row],[Price]]/T_reg.root.SK[[#This Row],[Starch content]],"")</f>
        <v>11.53068105192178</v>
      </c>
    </row>
    <row r="286" spans="1:14">
      <c r="A286" s="21">
        <v>2023</v>
      </c>
      <c r="B286" s="21" t="s">
        <v>19</v>
      </c>
      <c r="C286" s="21" t="s">
        <v>1145</v>
      </c>
      <c r="D286" s="21" t="s">
        <v>35</v>
      </c>
      <c r="E286" s="17" t="s">
        <v>208</v>
      </c>
      <c r="F286" s="18" t="s">
        <v>187</v>
      </c>
      <c r="G286" s="18" t="s">
        <v>48</v>
      </c>
      <c r="H286" s="24">
        <v>70220</v>
      </c>
      <c r="I286" s="24">
        <f>T_reg.root.SK[[#This Row],[Volume, kg]]/1000</f>
        <v>70.22</v>
      </c>
      <c r="J286" s="25">
        <v>0.29309999999999997</v>
      </c>
      <c r="K286" s="25">
        <f t="shared" si="4"/>
        <v>20581.481999999996</v>
      </c>
      <c r="L286" s="25">
        <v>3.46</v>
      </c>
      <c r="M286" s="24">
        <v>243252</v>
      </c>
      <c r="N286" s="25">
        <f>IFERROR(T_reg.root.SK[[#This Row],[Price]]/T_reg.root.SK[[#This Row],[Starch content]],"")</f>
        <v>11.804844762879565</v>
      </c>
    </row>
    <row r="287" spans="1:14">
      <c r="A287" s="21">
        <v>2023</v>
      </c>
      <c r="B287" s="21" t="s">
        <v>19</v>
      </c>
      <c r="C287" s="21" t="s">
        <v>1145</v>
      </c>
      <c r="D287" s="21" t="s">
        <v>35</v>
      </c>
      <c r="E287" s="17" t="s">
        <v>209</v>
      </c>
      <c r="F287" s="18" t="s">
        <v>187</v>
      </c>
      <c r="G287" s="18" t="s">
        <v>48</v>
      </c>
      <c r="H287" s="24">
        <v>30430</v>
      </c>
      <c r="I287" s="24">
        <f>T_reg.root.SK[[#This Row],[Volume, kg]]/1000</f>
        <v>30.43</v>
      </c>
      <c r="J287" s="25">
        <v>0.2954</v>
      </c>
      <c r="K287" s="25">
        <f t="shared" si="4"/>
        <v>8989.021999999999</v>
      </c>
      <c r="L287" s="25">
        <v>3.38</v>
      </c>
      <c r="M287" s="24">
        <v>102950</v>
      </c>
      <c r="N287" s="25">
        <f>IFERROR(T_reg.root.SK[[#This Row],[Price]]/T_reg.root.SK[[#This Row],[Starch content]],"")</f>
        <v>11.442112389979687</v>
      </c>
    </row>
    <row r="288" spans="1:14">
      <c r="A288" s="21">
        <v>2023</v>
      </c>
      <c r="B288" s="21" t="s">
        <v>19</v>
      </c>
      <c r="C288" s="21" t="s">
        <v>1145</v>
      </c>
      <c r="D288" s="21" t="s">
        <v>35</v>
      </c>
      <c r="E288" s="17" t="s">
        <v>210</v>
      </c>
      <c r="F288" s="18" t="s">
        <v>187</v>
      </c>
      <c r="G288" s="18" t="s">
        <v>48</v>
      </c>
      <c r="H288" s="24">
        <v>9330</v>
      </c>
      <c r="I288" s="24">
        <f>T_reg.root.SK[[#This Row],[Volume, kg]]/1000</f>
        <v>9.33</v>
      </c>
      <c r="J288" s="25">
        <v>0.26350000000000001</v>
      </c>
      <c r="K288" s="25">
        <f t="shared" si="4"/>
        <v>2458.4549999999999</v>
      </c>
      <c r="L288" s="25">
        <v>3.2</v>
      </c>
      <c r="M288" s="24">
        <v>29856</v>
      </c>
      <c r="N288" s="25">
        <f>IFERROR(T_reg.root.SK[[#This Row],[Price]]/T_reg.root.SK[[#This Row],[Starch content]],"")</f>
        <v>12.144212523719165</v>
      </c>
    </row>
    <row r="289" spans="1:14">
      <c r="A289" s="21">
        <v>2023</v>
      </c>
      <c r="B289" s="21" t="s">
        <v>19</v>
      </c>
      <c r="C289" s="21" t="s">
        <v>1145</v>
      </c>
      <c r="D289" s="21" t="s">
        <v>35</v>
      </c>
      <c r="E289" s="17" t="s">
        <v>211</v>
      </c>
      <c r="F289" s="18" t="s">
        <v>187</v>
      </c>
      <c r="G289" s="18" t="s">
        <v>48</v>
      </c>
      <c r="H289" s="24">
        <v>124600</v>
      </c>
      <c r="I289" s="24">
        <f>T_reg.root.SK[[#This Row],[Volume, kg]]/1000</f>
        <v>124.6</v>
      </c>
      <c r="J289" s="25">
        <v>0.28420000000000001</v>
      </c>
      <c r="K289" s="25">
        <f t="shared" si="4"/>
        <v>35411.32</v>
      </c>
      <c r="L289" s="25">
        <v>3.38</v>
      </c>
      <c r="M289" s="24">
        <v>420816</v>
      </c>
      <c r="N289" s="25">
        <f>IFERROR(T_reg.root.SK[[#This Row],[Price]]/T_reg.root.SK[[#This Row],[Starch content]],"")</f>
        <v>11.893033075299085</v>
      </c>
    </row>
    <row r="290" spans="1:14">
      <c r="A290" s="21">
        <v>2023</v>
      </c>
      <c r="B290" s="21" t="s">
        <v>19</v>
      </c>
      <c r="C290" s="21" t="s">
        <v>1145</v>
      </c>
      <c r="D290" s="21" t="s">
        <v>35</v>
      </c>
      <c r="E290" s="17" t="s">
        <v>213</v>
      </c>
      <c r="F290" s="18" t="s">
        <v>187</v>
      </c>
      <c r="G290" s="18" t="s">
        <v>48</v>
      </c>
      <c r="H290" s="24">
        <v>26670</v>
      </c>
      <c r="I290" s="24">
        <f>T_reg.root.SK[[#This Row],[Volume, kg]]/1000</f>
        <v>26.67</v>
      </c>
      <c r="J290" s="25">
        <v>0.29809999999999998</v>
      </c>
      <c r="K290" s="25">
        <f t="shared" si="4"/>
        <v>7950.3269999999993</v>
      </c>
      <c r="L290" s="25">
        <v>3.37</v>
      </c>
      <c r="M290" s="24">
        <v>89968</v>
      </c>
      <c r="N290" s="25">
        <f>IFERROR(T_reg.root.SK[[#This Row],[Price]]/T_reg.root.SK[[#This Row],[Starch content]],"")</f>
        <v>11.304931231130494</v>
      </c>
    </row>
    <row r="291" spans="1:14">
      <c r="A291" s="21">
        <v>2023</v>
      </c>
      <c r="B291" s="21" t="s">
        <v>19</v>
      </c>
      <c r="C291" s="21" t="s">
        <v>1145</v>
      </c>
      <c r="D291" s="21" t="s">
        <v>35</v>
      </c>
      <c r="E291" s="17" t="s">
        <v>269</v>
      </c>
      <c r="F291" s="18" t="s">
        <v>187</v>
      </c>
      <c r="G291" s="18" t="s">
        <v>48</v>
      </c>
      <c r="H291" s="24">
        <v>10260</v>
      </c>
      <c r="I291" s="24">
        <f>T_reg.root.SK[[#This Row],[Volume, kg]]/1000</f>
        <v>10.26</v>
      </c>
      <c r="J291" s="25">
        <v>0.25850000000000001</v>
      </c>
      <c r="K291" s="25">
        <f t="shared" si="4"/>
        <v>2652.21</v>
      </c>
      <c r="L291" s="25">
        <v>3.35</v>
      </c>
      <c r="M291" s="24">
        <v>34371</v>
      </c>
      <c r="N291" s="25">
        <f>IFERROR(T_reg.root.SK[[#This Row],[Price]]/T_reg.root.SK[[#This Row],[Starch content]],"")</f>
        <v>12.959381044487428</v>
      </c>
    </row>
    <row r="292" spans="1:14">
      <c r="A292" s="21">
        <v>2023</v>
      </c>
      <c r="B292" s="21" t="s">
        <v>19</v>
      </c>
      <c r="C292" s="21" t="s">
        <v>1145</v>
      </c>
      <c r="D292" s="21" t="s">
        <v>35</v>
      </c>
      <c r="E292" s="17" t="s">
        <v>215</v>
      </c>
      <c r="F292" s="18" t="s">
        <v>187</v>
      </c>
      <c r="G292" s="18" t="s">
        <v>48</v>
      </c>
      <c r="H292" s="24">
        <v>57480</v>
      </c>
      <c r="I292" s="24">
        <f>T_reg.root.SK[[#This Row],[Volume, kg]]/1000</f>
        <v>57.48</v>
      </c>
      <c r="J292" s="25">
        <v>0.32040000000000002</v>
      </c>
      <c r="K292" s="25">
        <f t="shared" si="4"/>
        <v>18416.592000000001</v>
      </c>
      <c r="L292" s="25">
        <v>3.71</v>
      </c>
      <c r="M292" s="24">
        <v>213284.5</v>
      </c>
      <c r="N292" s="25">
        <f>IFERROR(T_reg.root.SK[[#This Row],[Price]]/T_reg.root.SK[[#This Row],[Starch content]],"")</f>
        <v>11.579275905118601</v>
      </c>
    </row>
    <row r="293" spans="1:14">
      <c r="A293" s="21">
        <v>2023</v>
      </c>
      <c r="B293" s="21" t="s">
        <v>19</v>
      </c>
      <c r="C293" s="21" t="s">
        <v>1145</v>
      </c>
      <c r="D293" s="21" t="s">
        <v>35</v>
      </c>
      <c r="E293" s="17" t="s">
        <v>216</v>
      </c>
      <c r="F293" s="18" t="s">
        <v>187</v>
      </c>
      <c r="G293" s="18" t="s">
        <v>48</v>
      </c>
      <c r="H293" s="24">
        <v>89110</v>
      </c>
      <c r="I293" s="24">
        <f>T_reg.root.SK[[#This Row],[Volume, kg]]/1000</f>
        <v>89.11</v>
      </c>
      <c r="J293" s="25">
        <v>0.24160000000000001</v>
      </c>
      <c r="K293" s="25">
        <f t="shared" si="4"/>
        <v>21528.976000000002</v>
      </c>
      <c r="L293" s="25">
        <v>3.19</v>
      </c>
      <c r="M293" s="24">
        <v>284092</v>
      </c>
      <c r="N293" s="25">
        <f>IFERROR(T_reg.root.SK[[#This Row],[Price]]/T_reg.root.SK[[#This Row],[Starch content]],"")</f>
        <v>13.20364238410596</v>
      </c>
    </row>
    <row r="294" spans="1:14">
      <c r="A294" s="21">
        <v>2023</v>
      </c>
      <c r="B294" s="21" t="s">
        <v>19</v>
      </c>
      <c r="C294" s="21" t="s">
        <v>1145</v>
      </c>
      <c r="D294" s="21" t="s">
        <v>35</v>
      </c>
      <c r="E294" s="17" t="s">
        <v>270</v>
      </c>
      <c r="F294" s="18" t="s">
        <v>187</v>
      </c>
      <c r="G294" s="18" t="s">
        <v>48</v>
      </c>
      <c r="H294" s="24">
        <v>6100</v>
      </c>
      <c r="I294" s="24">
        <f>T_reg.root.SK[[#This Row],[Volume, kg]]/1000</f>
        <v>6.1</v>
      </c>
      <c r="J294" s="25">
        <v>0.27699999999999997</v>
      </c>
      <c r="K294" s="25">
        <f t="shared" si="4"/>
        <v>1689.6999999999998</v>
      </c>
      <c r="L294" s="25">
        <v>3.3</v>
      </c>
      <c r="M294" s="24">
        <v>20130</v>
      </c>
      <c r="N294" s="25">
        <f>IFERROR(T_reg.root.SK[[#This Row],[Price]]/T_reg.root.SK[[#This Row],[Starch content]],"")</f>
        <v>11.913357400722022</v>
      </c>
    </row>
    <row r="295" spans="1:14">
      <c r="A295" s="21">
        <v>2023</v>
      </c>
      <c r="B295" s="21" t="s">
        <v>19</v>
      </c>
      <c r="C295" s="21" t="s">
        <v>1145</v>
      </c>
      <c r="D295" s="21" t="s">
        <v>35</v>
      </c>
      <c r="E295" s="17" t="s">
        <v>271</v>
      </c>
      <c r="F295" s="18" t="s">
        <v>187</v>
      </c>
      <c r="G295" s="18" t="s">
        <v>48</v>
      </c>
      <c r="H295" s="24">
        <v>28220</v>
      </c>
      <c r="I295" s="24">
        <f>T_reg.root.SK[[#This Row],[Volume, kg]]/1000</f>
        <v>28.22</v>
      </c>
      <c r="J295" s="25">
        <v>0.24660000000000001</v>
      </c>
      <c r="K295" s="25">
        <f t="shared" si="4"/>
        <v>6959.0520000000006</v>
      </c>
      <c r="L295" s="25">
        <v>3.3</v>
      </c>
      <c r="M295" s="24">
        <v>93114</v>
      </c>
      <c r="N295" s="25">
        <f>IFERROR(T_reg.root.SK[[#This Row],[Price]]/T_reg.root.SK[[#This Row],[Starch content]],"")</f>
        <v>13.381995133819951</v>
      </c>
    </row>
    <row r="296" spans="1:14">
      <c r="A296" s="21">
        <v>2023</v>
      </c>
      <c r="B296" s="21" t="s">
        <v>20</v>
      </c>
      <c r="C296" s="21" t="s">
        <v>1145</v>
      </c>
      <c r="D296" s="21" t="s">
        <v>39</v>
      </c>
      <c r="E296" s="17" t="s">
        <v>272</v>
      </c>
      <c r="F296" s="18" t="s">
        <v>273</v>
      </c>
      <c r="G296" s="18" t="s">
        <v>220</v>
      </c>
      <c r="H296" s="24">
        <v>30840</v>
      </c>
      <c r="I296" s="24">
        <f>T_reg.root.SK[[#This Row],[Volume, kg]]/1000</f>
        <v>30.84</v>
      </c>
      <c r="J296" s="25">
        <v>0.25</v>
      </c>
      <c r="K296" s="25">
        <f t="shared" si="4"/>
        <v>7710</v>
      </c>
      <c r="L296" s="25">
        <v>3.95</v>
      </c>
      <c r="M296" s="24">
        <v>121818</v>
      </c>
      <c r="N296" s="25">
        <f>IFERROR(T_reg.root.SK[[#This Row],[Price]]/T_reg.root.SK[[#This Row],[Starch content]],"")</f>
        <v>15.8</v>
      </c>
    </row>
    <row r="297" spans="1:14">
      <c r="A297" s="21">
        <v>2023</v>
      </c>
      <c r="B297" s="21" t="s">
        <v>20</v>
      </c>
      <c r="C297" s="21" t="s">
        <v>1145</v>
      </c>
      <c r="D297" s="21" t="s">
        <v>39</v>
      </c>
      <c r="E297" s="17" t="s">
        <v>40</v>
      </c>
      <c r="F297" s="18" t="s">
        <v>41</v>
      </c>
      <c r="G297" s="18" t="s">
        <v>42</v>
      </c>
      <c r="H297" s="24">
        <v>320970</v>
      </c>
      <c r="I297" s="24">
        <f>T_reg.root.SK[[#This Row],[Volume, kg]]/1000</f>
        <v>320.97000000000003</v>
      </c>
      <c r="J297" s="25">
        <v>0.27190000000000003</v>
      </c>
      <c r="K297" s="25">
        <f t="shared" si="4"/>
        <v>87271.743000000017</v>
      </c>
      <c r="L297" s="25">
        <v>4.0599999999999996</v>
      </c>
      <c r="M297" s="24">
        <v>1302547.5</v>
      </c>
      <c r="N297" s="25">
        <f>IFERROR(T_reg.root.SK[[#This Row],[Price]]/T_reg.root.SK[[#This Row],[Starch content]],"")</f>
        <v>14.931960279514524</v>
      </c>
    </row>
    <row r="298" spans="1:14">
      <c r="A298" s="21">
        <v>2023</v>
      </c>
      <c r="B298" s="21" t="s">
        <v>20</v>
      </c>
      <c r="C298" s="21" t="s">
        <v>1145</v>
      </c>
      <c r="D298" s="21" t="s">
        <v>35</v>
      </c>
      <c r="E298" s="17" t="s">
        <v>58</v>
      </c>
      <c r="F298" s="18" t="s">
        <v>47</v>
      </c>
      <c r="G298" s="18" t="s">
        <v>48</v>
      </c>
      <c r="H298" s="24">
        <v>59920</v>
      </c>
      <c r="I298" s="24">
        <f>T_reg.root.SK[[#This Row],[Volume, kg]]/1000</f>
        <v>59.92</v>
      </c>
      <c r="J298" s="25">
        <v>0.26600000000000001</v>
      </c>
      <c r="K298" s="25">
        <f t="shared" si="4"/>
        <v>15938.720000000001</v>
      </c>
      <c r="L298" s="25">
        <v>3.52</v>
      </c>
      <c r="M298" s="24">
        <v>210934</v>
      </c>
      <c r="N298" s="25">
        <f>IFERROR(T_reg.root.SK[[#This Row],[Price]]/T_reg.root.SK[[#This Row],[Starch content]],"")</f>
        <v>13.233082706766917</v>
      </c>
    </row>
    <row r="299" spans="1:14">
      <c r="A299" s="21">
        <v>2023</v>
      </c>
      <c r="B299" s="21" t="s">
        <v>20</v>
      </c>
      <c r="C299" s="21" t="s">
        <v>1145</v>
      </c>
      <c r="D299" s="21" t="s">
        <v>35</v>
      </c>
      <c r="E299" s="17" t="s">
        <v>223</v>
      </c>
      <c r="F299" s="18" t="s">
        <v>47</v>
      </c>
      <c r="G299" s="18" t="s">
        <v>48</v>
      </c>
      <c r="H299" s="24">
        <v>148660</v>
      </c>
      <c r="I299" s="24">
        <f>T_reg.root.SK[[#This Row],[Volume, kg]]/1000</f>
        <v>148.66</v>
      </c>
      <c r="J299" s="25">
        <v>0.27300000000000002</v>
      </c>
      <c r="K299" s="25">
        <f t="shared" si="4"/>
        <v>40584.18</v>
      </c>
      <c r="L299" s="25">
        <v>2.97</v>
      </c>
      <c r="M299" s="24">
        <v>441460</v>
      </c>
      <c r="N299" s="25">
        <f>IFERROR(T_reg.root.SK[[#This Row],[Price]]/T_reg.root.SK[[#This Row],[Starch content]],"")</f>
        <v>10.87912087912088</v>
      </c>
    </row>
    <row r="300" spans="1:14">
      <c r="A300" s="21">
        <v>2023</v>
      </c>
      <c r="B300" s="21" t="s">
        <v>20</v>
      </c>
      <c r="C300" s="21" t="s">
        <v>1145</v>
      </c>
      <c r="D300" s="21" t="s">
        <v>35</v>
      </c>
      <c r="E300" s="17" t="s">
        <v>224</v>
      </c>
      <c r="F300" s="18" t="s">
        <v>47</v>
      </c>
      <c r="G300" s="18" t="s">
        <v>48</v>
      </c>
      <c r="H300" s="24">
        <v>23690</v>
      </c>
      <c r="I300" s="24">
        <f>T_reg.root.SK[[#This Row],[Volume, kg]]/1000</f>
        <v>23.69</v>
      </c>
      <c r="J300" s="25">
        <v>0.29289999999999999</v>
      </c>
      <c r="K300" s="25">
        <f t="shared" si="4"/>
        <v>6938.8009999999995</v>
      </c>
      <c r="L300" s="25">
        <v>3.6</v>
      </c>
      <c r="M300" s="24">
        <v>85387.5</v>
      </c>
      <c r="N300" s="25">
        <f>IFERROR(T_reg.root.SK[[#This Row],[Price]]/T_reg.root.SK[[#This Row],[Starch content]],"")</f>
        <v>12.290884260839878</v>
      </c>
    </row>
    <row r="301" spans="1:14">
      <c r="A301" s="21">
        <v>2023</v>
      </c>
      <c r="B301" s="21" t="s">
        <v>20</v>
      </c>
      <c r="C301" s="21" t="s">
        <v>1145</v>
      </c>
      <c r="D301" s="21" t="s">
        <v>35</v>
      </c>
      <c r="E301" s="17" t="s">
        <v>274</v>
      </c>
      <c r="F301" s="18" t="s">
        <v>47</v>
      </c>
      <c r="G301" s="18" t="s">
        <v>48</v>
      </c>
      <c r="H301" s="24">
        <v>10100</v>
      </c>
      <c r="I301" s="24">
        <f>T_reg.root.SK[[#This Row],[Volume, kg]]/1000</f>
        <v>10.1</v>
      </c>
      <c r="J301" s="25">
        <v>0.28600000000000003</v>
      </c>
      <c r="K301" s="25">
        <f t="shared" si="4"/>
        <v>2888.6000000000004</v>
      </c>
      <c r="L301" s="25">
        <v>3.65</v>
      </c>
      <c r="M301" s="24">
        <v>36865</v>
      </c>
      <c r="N301" s="25">
        <f>IFERROR(T_reg.root.SK[[#This Row],[Price]]/T_reg.root.SK[[#This Row],[Starch content]],"")</f>
        <v>12.76223776223776</v>
      </c>
    </row>
    <row r="302" spans="1:14">
      <c r="A302" s="21">
        <v>2023</v>
      </c>
      <c r="B302" s="21" t="s">
        <v>20</v>
      </c>
      <c r="C302" s="21" t="s">
        <v>1145</v>
      </c>
      <c r="D302" s="21" t="s">
        <v>35</v>
      </c>
      <c r="E302" s="17" t="s">
        <v>71</v>
      </c>
      <c r="F302" s="18" t="s">
        <v>47</v>
      </c>
      <c r="G302" s="18" t="s">
        <v>48</v>
      </c>
      <c r="H302" s="24">
        <v>28800</v>
      </c>
      <c r="I302" s="24">
        <f>T_reg.root.SK[[#This Row],[Volume, kg]]/1000</f>
        <v>28.8</v>
      </c>
      <c r="J302" s="25">
        <v>0.26250000000000001</v>
      </c>
      <c r="K302" s="25">
        <f t="shared" si="4"/>
        <v>7560</v>
      </c>
      <c r="L302" s="25">
        <v>3.53</v>
      </c>
      <c r="M302" s="24">
        <v>101636</v>
      </c>
      <c r="N302" s="25">
        <f>IFERROR(T_reg.root.SK[[#This Row],[Price]]/T_reg.root.SK[[#This Row],[Starch content]],"")</f>
        <v>13.447619047619046</v>
      </c>
    </row>
    <row r="303" spans="1:14">
      <c r="A303" s="21">
        <v>2023</v>
      </c>
      <c r="B303" s="21" t="s">
        <v>20</v>
      </c>
      <c r="C303" s="21" t="s">
        <v>1145</v>
      </c>
      <c r="D303" s="21" t="s">
        <v>39</v>
      </c>
      <c r="E303" s="17" t="s">
        <v>226</v>
      </c>
      <c r="F303" s="18" t="s">
        <v>227</v>
      </c>
      <c r="G303" s="18" t="s">
        <v>42</v>
      </c>
      <c r="H303" s="24">
        <v>271890</v>
      </c>
      <c r="I303" s="24">
        <f>T_reg.root.SK[[#This Row],[Volume, kg]]/1000</f>
        <v>271.89</v>
      </c>
      <c r="J303" s="25">
        <v>0.248</v>
      </c>
      <c r="K303" s="25">
        <f t="shared" si="4"/>
        <v>67428.72</v>
      </c>
      <c r="L303" s="25">
        <v>3.69</v>
      </c>
      <c r="M303" s="24">
        <v>1003087</v>
      </c>
      <c r="N303" s="25">
        <f>IFERROR(T_reg.root.SK[[#This Row],[Price]]/T_reg.root.SK[[#This Row],[Starch content]],"")</f>
        <v>14.879032258064516</v>
      </c>
    </row>
    <row r="304" spans="1:14">
      <c r="A304" s="21">
        <v>2023</v>
      </c>
      <c r="B304" s="21" t="s">
        <v>20</v>
      </c>
      <c r="C304" s="21" t="s">
        <v>1145</v>
      </c>
      <c r="D304" s="21" t="s">
        <v>35</v>
      </c>
      <c r="E304" s="17" t="s">
        <v>79</v>
      </c>
      <c r="F304" s="18" t="s">
        <v>80</v>
      </c>
      <c r="G304" s="18" t="s">
        <v>81</v>
      </c>
      <c r="H304" s="24">
        <v>31640</v>
      </c>
      <c r="I304" s="24">
        <f>T_reg.root.SK[[#This Row],[Volume, kg]]/1000</f>
        <v>31.64</v>
      </c>
      <c r="J304" s="25">
        <v>0.29530000000000001</v>
      </c>
      <c r="K304" s="25">
        <f t="shared" si="4"/>
        <v>9343.2919999999995</v>
      </c>
      <c r="L304" s="25">
        <v>3.64</v>
      </c>
      <c r="M304" s="24">
        <v>115274</v>
      </c>
      <c r="N304" s="25">
        <f>IFERROR(T_reg.root.SK[[#This Row],[Price]]/T_reg.root.SK[[#This Row],[Starch content]],"")</f>
        <v>12.326447680325094</v>
      </c>
    </row>
    <row r="305" spans="1:14">
      <c r="A305" s="21">
        <v>2023</v>
      </c>
      <c r="B305" s="21" t="s">
        <v>20</v>
      </c>
      <c r="C305" s="21" t="s">
        <v>1145</v>
      </c>
      <c r="D305" s="21" t="s">
        <v>39</v>
      </c>
      <c r="E305" s="17" t="s">
        <v>85</v>
      </c>
      <c r="F305" s="18" t="s">
        <v>86</v>
      </c>
      <c r="G305" s="18" t="s">
        <v>87</v>
      </c>
      <c r="H305" s="24">
        <v>3626320</v>
      </c>
      <c r="I305" s="24">
        <f>T_reg.root.SK[[#This Row],[Volume, kg]]/1000</f>
        <v>3626.32</v>
      </c>
      <c r="J305" s="25">
        <v>0.2611</v>
      </c>
      <c r="K305" s="25">
        <f t="shared" si="4"/>
        <v>946832.152</v>
      </c>
      <c r="L305" s="25">
        <v>3.92</v>
      </c>
      <c r="M305" s="24">
        <v>14207414</v>
      </c>
      <c r="N305" s="25">
        <f>IFERROR(T_reg.root.SK[[#This Row],[Price]]/T_reg.root.SK[[#This Row],[Starch content]],"")</f>
        <v>15.013404825737265</v>
      </c>
    </row>
    <row r="306" spans="1:14">
      <c r="A306" s="21">
        <v>2023</v>
      </c>
      <c r="B306" s="21" t="s">
        <v>20</v>
      </c>
      <c r="C306" s="21" t="s">
        <v>1145</v>
      </c>
      <c r="D306" s="21" t="s">
        <v>39</v>
      </c>
      <c r="E306" s="17" t="s">
        <v>88</v>
      </c>
      <c r="F306" s="18" t="s">
        <v>89</v>
      </c>
      <c r="G306" s="18" t="s">
        <v>90</v>
      </c>
      <c r="H306" s="24">
        <v>1394950</v>
      </c>
      <c r="I306" s="24">
        <f>T_reg.root.SK[[#This Row],[Volume, kg]]/1000</f>
        <v>1394.95</v>
      </c>
      <c r="J306" s="25">
        <v>0.26850000000000002</v>
      </c>
      <c r="K306" s="25">
        <f t="shared" si="4"/>
        <v>374544.07500000001</v>
      </c>
      <c r="L306" s="25">
        <v>3.8</v>
      </c>
      <c r="M306" s="24">
        <v>5296241.5</v>
      </c>
      <c r="N306" s="25">
        <f>IFERROR(T_reg.root.SK[[#This Row],[Price]]/T_reg.root.SK[[#This Row],[Starch content]],"")</f>
        <v>14.152700186219738</v>
      </c>
    </row>
    <row r="307" spans="1:14">
      <c r="A307" s="21">
        <v>2023</v>
      </c>
      <c r="B307" s="21" t="s">
        <v>20</v>
      </c>
      <c r="C307" s="21" t="s">
        <v>1145</v>
      </c>
      <c r="D307" s="21" t="s">
        <v>35</v>
      </c>
      <c r="E307" s="17" t="s">
        <v>275</v>
      </c>
      <c r="F307" s="18" t="s">
        <v>92</v>
      </c>
      <c r="G307" s="18" t="s">
        <v>48</v>
      </c>
      <c r="H307" s="24">
        <v>8930</v>
      </c>
      <c r="I307" s="24">
        <f>T_reg.root.SK[[#This Row],[Volume, kg]]/1000</f>
        <v>8.93</v>
      </c>
      <c r="J307" s="25">
        <v>0.28850000000000003</v>
      </c>
      <c r="K307" s="25">
        <f t="shared" si="4"/>
        <v>2576.3050000000003</v>
      </c>
      <c r="L307" s="25">
        <v>3.65</v>
      </c>
      <c r="M307" s="24">
        <v>32594.5</v>
      </c>
      <c r="N307" s="25">
        <f>IFERROR(T_reg.root.SK[[#This Row],[Price]]/T_reg.root.SK[[#This Row],[Starch content]],"")</f>
        <v>12.651646447140379</v>
      </c>
    </row>
    <row r="308" spans="1:14">
      <c r="A308" s="21">
        <v>2023</v>
      </c>
      <c r="B308" s="21" t="s">
        <v>20</v>
      </c>
      <c r="C308" s="21" t="s">
        <v>1145</v>
      </c>
      <c r="D308" s="21" t="s">
        <v>35</v>
      </c>
      <c r="E308" s="17" t="s">
        <v>229</v>
      </c>
      <c r="F308" s="18" t="s">
        <v>92</v>
      </c>
      <c r="G308" s="18" t="s">
        <v>48</v>
      </c>
      <c r="H308" s="24">
        <v>41340</v>
      </c>
      <c r="I308" s="24">
        <f>T_reg.root.SK[[#This Row],[Volume, kg]]/1000</f>
        <v>41.34</v>
      </c>
      <c r="J308" s="25">
        <v>0.2437</v>
      </c>
      <c r="K308" s="25">
        <f t="shared" si="4"/>
        <v>10074.558000000001</v>
      </c>
      <c r="L308" s="25">
        <v>3.35</v>
      </c>
      <c r="M308" s="24">
        <v>138578</v>
      </c>
      <c r="N308" s="25">
        <f>IFERROR(T_reg.root.SK[[#This Row],[Price]]/T_reg.root.SK[[#This Row],[Starch content]],"")</f>
        <v>13.746409519901519</v>
      </c>
    </row>
    <row r="309" spans="1:14">
      <c r="A309" s="21">
        <v>2023</v>
      </c>
      <c r="B309" s="21" t="s">
        <v>20</v>
      </c>
      <c r="C309" s="21" t="s">
        <v>1145</v>
      </c>
      <c r="D309" s="21" t="s">
        <v>35</v>
      </c>
      <c r="E309" s="17" t="s">
        <v>91</v>
      </c>
      <c r="F309" s="18" t="s">
        <v>92</v>
      </c>
      <c r="G309" s="18" t="s">
        <v>48</v>
      </c>
      <c r="H309" s="24">
        <v>41380</v>
      </c>
      <c r="I309" s="24">
        <f>T_reg.root.SK[[#This Row],[Volume, kg]]/1000</f>
        <v>41.38</v>
      </c>
      <c r="J309" s="25">
        <v>0.23399999999999999</v>
      </c>
      <c r="K309" s="25">
        <f t="shared" si="4"/>
        <v>9682.92</v>
      </c>
      <c r="L309" s="25">
        <v>3.38</v>
      </c>
      <c r="M309" s="24">
        <v>139740.5</v>
      </c>
      <c r="N309" s="25">
        <f>IFERROR(T_reg.root.SK[[#This Row],[Price]]/T_reg.root.SK[[#This Row],[Starch content]],"")</f>
        <v>14.444444444444445</v>
      </c>
    </row>
    <row r="310" spans="1:14">
      <c r="A310" s="21">
        <v>2023</v>
      </c>
      <c r="B310" s="21" t="s">
        <v>20</v>
      </c>
      <c r="C310" s="21" t="s">
        <v>1145</v>
      </c>
      <c r="D310" s="21" t="s">
        <v>39</v>
      </c>
      <c r="E310" s="17" t="s">
        <v>94</v>
      </c>
      <c r="F310" s="18" t="s">
        <v>95</v>
      </c>
      <c r="G310" s="18" t="s">
        <v>48</v>
      </c>
      <c r="H310" s="24">
        <v>12706730</v>
      </c>
      <c r="I310" s="24">
        <f>T_reg.root.SK[[#This Row],[Volume, kg]]/1000</f>
        <v>12706.73</v>
      </c>
      <c r="J310" s="25">
        <v>0.2782</v>
      </c>
      <c r="K310" s="25">
        <f t="shared" si="4"/>
        <v>3535012.2859999998</v>
      </c>
      <c r="L310" s="25">
        <v>3.96</v>
      </c>
      <c r="M310" s="24">
        <v>50312980.5</v>
      </c>
      <c r="N310" s="25">
        <f>IFERROR(T_reg.root.SK[[#This Row],[Price]]/T_reg.root.SK[[#This Row],[Starch content]],"")</f>
        <v>14.234363767074047</v>
      </c>
    </row>
    <row r="311" spans="1:14">
      <c r="A311" s="21">
        <v>2023</v>
      </c>
      <c r="B311" s="21" t="s">
        <v>20</v>
      </c>
      <c r="C311" s="21" t="s">
        <v>1145</v>
      </c>
      <c r="D311" s="21" t="s">
        <v>35</v>
      </c>
      <c r="E311" s="17" t="s">
        <v>276</v>
      </c>
      <c r="F311" s="18" t="s">
        <v>95</v>
      </c>
      <c r="G311" s="18" t="s">
        <v>48</v>
      </c>
      <c r="H311" s="24">
        <v>162560</v>
      </c>
      <c r="I311" s="24">
        <f>T_reg.root.SK[[#This Row],[Volume, kg]]/1000</f>
        <v>162.56</v>
      </c>
      <c r="J311" s="25">
        <v>0.24440000000000001</v>
      </c>
      <c r="K311" s="25">
        <f t="shared" si="4"/>
        <v>39729.664000000004</v>
      </c>
      <c r="L311" s="25">
        <v>3.4</v>
      </c>
      <c r="M311" s="24">
        <v>552489</v>
      </c>
      <c r="N311" s="25">
        <f>IFERROR(T_reg.root.SK[[#This Row],[Price]]/T_reg.root.SK[[#This Row],[Starch content]],"")</f>
        <v>13.911620294599018</v>
      </c>
    </row>
    <row r="312" spans="1:14">
      <c r="A312" s="21">
        <v>2023</v>
      </c>
      <c r="B312" s="21" t="s">
        <v>20</v>
      </c>
      <c r="C312" s="21" t="s">
        <v>1145</v>
      </c>
      <c r="D312" s="21" t="s">
        <v>35</v>
      </c>
      <c r="E312" s="17" t="s">
        <v>277</v>
      </c>
      <c r="F312" s="18" t="s">
        <v>95</v>
      </c>
      <c r="G312" s="18" t="s">
        <v>48</v>
      </c>
      <c r="H312" s="24">
        <v>23530</v>
      </c>
      <c r="I312" s="24">
        <f>T_reg.root.SK[[#This Row],[Volume, kg]]/1000</f>
        <v>23.53</v>
      </c>
      <c r="J312" s="25">
        <v>0.28499999999999998</v>
      </c>
      <c r="K312" s="25">
        <f t="shared" si="4"/>
        <v>6706.0499999999993</v>
      </c>
      <c r="L312" s="25">
        <v>3.6</v>
      </c>
      <c r="M312" s="24">
        <v>84708</v>
      </c>
      <c r="N312" s="25">
        <f>IFERROR(T_reg.root.SK[[#This Row],[Price]]/T_reg.root.SK[[#This Row],[Starch content]],"")</f>
        <v>12.631578947368423</v>
      </c>
    </row>
    <row r="313" spans="1:14">
      <c r="A313" s="21">
        <v>2023</v>
      </c>
      <c r="B313" s="21" t="s">
        <v>20</v>
      </c>
      <c r="C313" s="21" t="s">
        <v>1145</v>
      </c>
      <c r="D313" s="21" t="s">
        <v>35</v>
      </c>
      <c r="E313" s="17" t="s">
        <v>278</v>
      </c>
      <c r="F313" s="18" t="s">
        <v>95</v>
      </c>
      <c r="G313" s="18" t="s">
        <v>48</v>
      </c>
      <c r="H313" s="24">
        <v>7610</v>
      </c>
      <c r="I313" s="24">
        <f>T_reg.root.SK[[#This Row],[Volume, kg]]/1000</f>
        <v>7.61</v>
      </c>
      <c r="J313" s="25">
        <v>0.29299999999999998</v>
      </c>
      <c r="K313" s="25">
        <f t="shared" si="4"/>
        <v>2229.73</v>
      </c>
      <c r="L313" s="25">
        <v>3.65</v>
      </c>
      <c r="M313" s="24">
        <v>27776.5</v>
      </c>
      <c r="N313" s="25">
        <f>IFERROR(T_reg.root.SK[[#This Row],[Price]]/T_reg.root.SK[[#This Row],[Starch content]],"")</f>
        <v>12.457337883959045</v>
      </c>
    </row>
    <row r="314" spans="1:14">
      <c r="A314" s="21">
        <v>2023</v>
      </c>
      <c r="B314" s="21" t="s">
        <v>20</v>
      </c>
      <c r="C314" s="21" t="s">
        <v>1145</v>
      </c>
      <c r="D314" s="21" t="s">
        <v>35</v>
      </c>
      <c r="E314" s="17" t="s">
        <v>279</v>
      </c>
      <c r="F314" s="18" t="s">
        <v>95</v>
      </c>
      <c r="G314" s="18" t="s">
        <v>48</v>
      </c>
      <c r="H314" s="24">
        <v>6520</v>
      </c>
      <c r="I314" s="24">
        <f>T_reg.root.SK[[#This Row],[Volume, kg]]/1000</f>
        <v>6.52</v>
      </c>
      <c r="J314" s="25">
        <v>0.29549999999999998</v>
      </c>
      <c r="K314" s="25">
        <f t="shared" si="4"/>
        <v>1926.6599999999999</v>
      </c>
      <c r="L314" s="25">
        <v>3.7</v>
      </c>
      <c r="M314" s="24">
        <v>24124</v>
      </c>
      <c r="N314" s="25">
        <f>IFERROR(T_reg.root.SK[[#This Row],[Price]]/T_reg.root.SK[[#This Row],[Starch content]],"")</f>
        <v>12.521150592216584</v>
      </c>
    </row>
    <row r="315" spans="1:14">
      <c r="A315" s="21">
        <v>2023</v>
      </c>
      <c r="B315" s="21" t="s">
        <v>20</v>
      </c>
      <c r="C315" s="21" t="s">
        <v>1145</v>
      </c>
      <c r="D315" s="21" t="s">
        <v>39</v>
      </c>
      <c r="E315" s="17" t="s">
        <v>98</v>
      </c>
      <c r="F315" s="18" t="s">
        <v>99</v>
      </c>
      <c r="G315" s="18" t="s">
        <v>42</v>
      </c>
      <c r="H315" s="24">
        <v>1120130</v>
      </c>
      <c r="I315" s="24">
        <f>T_reg.root.SK[[#This Row],[Volume, kg]]/1000</f>
        <v>1120.1300000000001</v>
      </c>
      <c r="J315" s="25">
        <v>0.26579999999999998</v>
      </c>
      <c r="K315" s="25">
        <f t="shared" si="4"/>
        <v>297730.554</v>
      </c>
      <c r="L315" s="25">
        <v>3.79</v>
      </c>
      <c r="M315" s="24">
        <v>4246703.5</v>
      </c>
      <c r="N315" s="25">
        <f>IFERROR(T_reg.root.SK[[#This Row],[Price]]/T_reg.root.SK[[#This Row],[Starch content]],"")</f>
        <v>14.258841234010536</v>
      </c>
    </row>
    <row r="316" spans="1:14">
      <c r="A316" s="21">
        <v>2023</v>
      </c>
      <c r="B316" s="21" t="s">
        <v>20</v>
      </c>
      <c r="C316" s="21" t="s">
        <v>1145</v>
      </c>
      <c r="D316" s="21" t="s">
        <v>35</v>
      </c>
      <c r="E316" s="17" t="s">
        <v>280</v>
      </c>
      <c r="F316" s="18" t="s">
        <v>281</v>
      </c>
      <c r="G316" s="18" t="s">
        <v>38</v>
      </c>
      <c r="H316" s="24">
        <v>74760</v>
      </c>
      <c r="I316" s="24">
        <f>T_reg.root.SK[[#This Row],[Volume, kg]]/1000</f>
        <v>74.760000000000005</v>
      </c>
      <c r="J316" s="25">
        <v>0.29020000000000001</v>
      </c>
      <c r="K316" s="25">
        <f t="shared" si="4"/>
        <v>21695.352000000003</v>
      </c>
      <c r="L316" s="25">
        <v>3.6</v>
      </c>
      <c r="M316" s="24">
        <v>269150.5</v>
      </c>
      <c r="N316" s="25">
        <f>IFERROR(T_reg.root.SK[[#This Row],[Price]]/T_reg.root.SK[[#This Row],[Starch content]],"")</f>
        <v>12.405237767057201</v>
      </c>
    </row>
    <row r="317" spans="1:14">
      <c r="A317" s="21">
        <v>2023</v>
      </c>
      <c r="B317" s="21" t="s">
        <v>20</v>
      </c>
      <c r="C317" s="21" t="s">
        <v>1145</v>
      </c>
      <c r="D317" s="21" t="s">
        <v>39</v>
      </c>
      <c r="E317" s="17" t="s">
        <v>101</v>
      </c>
      <c r="F317" s="18" t="s">
        <v>102</v>
      </c>
      <c r="G317" s="18" t="s">
        <v>103</v>
      </c>
      <c r="H317" s="24">
        <v>1358900</v>
      </c>
      <c r="I317" s="24">
        <f>T_reg.root.SK[[#This Row],[Volume, kg]]/1000</f>
        <v>1358.9</v>
      </c>
      <c r="J317" s="25">
        <v>0.2535</v>
      </c>
      <c r="K317" s="25">
        <f t="shared" si="4"/>
        <v>344481.15</v>
      </c>
      <c r="L317" s="25">
        <v>3.84</v>
      </c>
      <c r="M317" s="24">
        <v>5222074.5</v>
      </c>
      <c r="N317" s="25">
        <f>IFERROR(T_reg.root.SK[[#This Row],[Price]]/T_reg.root.SK[[#This Row],[Starch content]],"")</f>
        <v>15.147928994082839</v>
      </c>
    </row>
    <row r="318" spans="1:14">
      <c r="A318" s="21">
        <v>2023</v>
      </c>
      <c r="B318" s="21" t="s">
        <v>20</v>
      </c>
      <c r="C318" s="21" t="s">
        <v>1145</v>
      </c>
      <c r="D318" s="21" t="s">
        <v>35</v>
      </c>
      <c r="E318" s="17" t="s">
        <v>282</v>
      </c>
      <c r="F318" s="18" t="s">
        <v>283</v>
      </c>
      <c r="G318" s="18" t="s">
        <v>48</v>
      </c>
      <c r="H318" s="24">
        <v>11870</v>
      </c>
      <c r="I318" s="24">
        <f>T_reg.root.SK[[#This Row],[Volume, kg]]/1000</f>
        <v>11.87</v>
      </c>
      <c r="J318" s="25">
        <v>0.29749999999999999</v>
      </c>
      <c r="K318" s="25">
        <f t="shared" si="4"/>
        <v>3531.3249999999998</v>
      </c>
      <c r="L318" s="25">
        <v>3.7</v>
      </c>
      <c r="M318" s="24">
        <v>43919</v>
      </c>
      <c r="N318" s="25">
        <f>IFERROR(T_reg.root.SK[[#This Row],[Price]]/T_reg.root.SK[[#This Row],[Starch content]],"")</f>
        <v>12.436974789915968</v>
      </c>
    </row>
    <row r="319" spans="1:14">
      <c r="A319" s="21">
        <v>2023</v>
      </c>
      <c r="B319" s="21" t="s">
        <v>20</v>
      </c>
      <c r="C319" s="21" t="s">
        <v>1145</v>
      </c>
      <c r="D319" s="21" t="s">
        <v>39</v>
      </c>
      <c r="E319" s="17" t="s">
        <v>284</v>
      </c>
      <c r="F319" s="18" t="s">
        <v>285</v>
      </c>
      <c r="G319" s="18" t="s">
        <v>286</v>
      </c>
      <c r="H319" s="24">
        <v>445850</v>
      </c>
      <c r="I319" s="24">
        <f>T_reg.root.SK[[#This Row],[Volume, kg]]/1000</f>
        <v>445.85</v>
      </c>
      <c r="J319" s="25">
        <v>0.28120000000000001</v>
      </c>
      <c r="K319" s="25">
        <f t="shared" si="4"/>
        <v>125373.02</v>
      </c>
      <c r="L319" s="25">
        <v>4.13</v>
      </c>
      <c r="M319" s="24">
        <v>1840044</v>
      </c>
      <c r="N319" s="25">
        <f>IFERROR(T_reg.root.SK[[#This Row],[Price]]/T_reg.root.SK[[#This Row],[Starch content]],"")</f>
        <v>14.68705547652916</v>
      </c>
    </row>
    <row r="320" spans="1:14">
      <c r="A320" s="21">
        <v>2023</v>
      </c>
      <c r="B320" s="21" t="s">
        <v>20</v>
      </c>
      <c r="C320" s="21" t="s">
        <v>1145</v>
      </c>
      <c r="D320" s="21" t="s">
        <v>35</v>
      </c>
      <c r="E320" s="17" t="s">
        <v>185</v>
      </c>
      <c r="F320" s="18" t="s">
        <v>105</v>
      </c>
      <c r="G320" s="18" t="s">
        <v>48</v>
      </c>
      <c r="H320" s="24">
        <v>75410</v>
      </c>
      <c r="I320" s="24">
        <f>T_reg.root.SK[[#This Row],[Volume, kg]]/1000</f>
        <v>75.41</v>
      </c>
      <c r="J320" s="25">
        <v>0.29239999999999999</v>
      </c>
      <c r="K320" s="25">
        <f t="shared" si="4"/>
        <v>22049.883999999998</v>
      </c>
      <c r="L320" s="25">
        <v>3.64</v>
      </c>
      <c r="M320" s="24">
        <v>274282</v>
      </c>
      <c r="N320" s="25">
        <f>IFERROR(T_reg.root.SK[[#This Row],[Price]]/T_reg.root.SK[[#This Row],[Starch content]],"")</f>
        <v>12.448700410396718</v>
      </c>
    </row>
    <row r="321" spans="1:14">
      <c r="A321" s="21">
        <v>2023</v>
      </c>
      <c r="B321" s="21" t="s">
        <v>20</v>
      </c>
      <c r="C321" s="21" t="s">
        <v>1145</v>
      </c>
      <c r="D321" s="21" t="s">
        <v>35</v>
      </c>
      <c r="E321" s="17" t="s">
        <v>287</v>
      </c>
      <c r="F321" s="18" t="s">
        <v>105</v>
      </c>
      <c r="G321" s="18" t="s">
        <v>48</v>
      </c>
      <c r="H321" s="24">
        <v>28440</v>
      </c>
      <c r="I321" s="24">
        <f>T_reg.root.SK[[#This Row],[Volume, kg]]/1000</f>
        <v>28.44</v>
      </c>
      <c r="J321" s="25">
        <v>0.31420000000000003</v>
      </c>
      <c r="K321" s="25">
        <f t="shared" si="4"/>
        <v>8935.8480000000018</v>
      </c>
      <c r="L321" s="25">
        <v>3.72</v>
      </c>
      <c r="M321" s="24">
        <v>105777</v>
      </c>
      <c r="N321" s="25">
        <f>IFERROR(T_reg.root.SK[[#This Row],[Price]]/T_reg.root.SK[[#This Row],[Starch content]],"")</f>
        <v>11.839592616168044</v>
      </c>
    </row>
    <row r="322" spans="1:14">
      <c r="A322" s="21">
        <v>2023</v>
      </c>
      <c r="B322" s="21" t="s">
        <v>20</v>
      </c>
      <c r="C322" s="21" t="s">
        <v>1145</v>
      </c>
      <c r="D322" s="21" t="s">
        <v>35</v>
      </c>
      <c r="E322" s="17" t="s">
        <v>288</v>
      </c>
      <c r="F322" s="18" t="s">
        <v>105</v>
      </c>
      <c r="G322" s="18" t="s">
        <v>48</v>
      </c>
      <c r="H322" s="24">
        <v>7790</v>
      </c>
      <c r="I322" s="24">
        <f>T_reg.root.SK[[#This Row],[Volume, kg]]/1000</f>
        <v>7.79</v>
      </c>
      <c r="J322" s="25">
        <v>0.26250000000000001</v>
      </c>
      <c r="K322" s="25">
        <f t="shared" si="4"/>
        <v>2044.875</v>
      </c>
      <c r="L322" s="25">
        <v>3.5</v>
      </c>
      <c r="M322" s="24">
        <v>27265</v>
      </c>
      <c r="N322" s="25">
        <f>IFERROR(T_reg.root.SK[[#This Row],[Price]]/T_reg.root.SK[[#This Row],[Starch content]],"")</f>
        <v>13.333333333333332</v>
      </c>
    </row>
    <row r="323" spans="1:14">
      <c r="A323" s="21">
        <v>2023</v>
      </c>
      <c r="B323" s="21" t="s">
        <v>20</v>
      </c>
      <c r="C323" s="21" t="s">
        <v>1145</v>
      </c>
      <c r="D323" s="21" t="s">
        <v>35</v>
      </c>
      <c r="E323" s="17" t="s">
        <v>289</v>
      </c>
      <c r="F323" s="18" t="s">
        <v>105</v>
      </c>
      <c r="G323" s="18" t="s">
        <v>48</v>
      </c>
      <c r="H323" s="24">
        <v>99630</v>
      </c>
      <c r="I323" s="24">
        <f>T_reg.root.SK[[#This Row],[Volume, kg]]/1000</f>
        <v>99.63</v>
      </c>
      <c r="J323" s="25">
        <v>0.249</v>
      </c>
      <c r="K323" s="25">
        <f t="shared" ref="K323:K386" si="5">H323*J323</f>
        <v>24807.87</v>
      </c>
      <c r="L323" s="25">
        <v>3.56</v>
      </c>
      <c r="M323" s="24">
        <v>354591</v>
      </c>
      <c r="N323" s="25">
        <f>IFERROR(T_reg.root.SK[[#This Row],[Price]]/T_reg.root.SK[[#This Row],[Starch content]],"")</f>
        <v>14.29718875502008</v>
      </c>
    </row>
    <row r="324" spans="1:14">
      <c r="A324" s="21">
        <v>2023</v>
      </c>
      <c r="B324" s="21" t="s">
        <v>20</v>
      </c>
      <c r="C324" s="21" t="s">
        <v>1145</v>
      </c>
      <c r="D324" s="21" t="s">
        <v>35</v>
      </c>
      <c r="E324" s="17" t="s">
        <v>107</v>
      </c>
      <c r="F324" s="18" t="s">
        <v>105</v>
      </c>
      <c r="G324" s="18" t="s">
        <v>48</v>
      </c>
      <c r="H324" s="24">
        <v>432470</v>
      </c>
      <c r="I324" s="24">
        <f>T_reg.root.SK[[#This Row],[Volume, kg]]/1000</f>
        <v>432.47</v>
      </c>
      <c r="J324" s="25">
        <v>0.2742</v>
      </c>
      <c r="K324" s="25">
        <f t="shared" si="5"/>
        <v>118583.274</v>
      </c>
      <c r="L324" s="25">
        <v>3.61</v>
      </c>
      <c r="M324" s="24">
        <v>1560549</v>
      </c>
      <c r="N324" s="25">
        <f>IFERROR(T_reg.root.SK[[#This Row],[Price]]/T_reg.root.SK[[#This Row],[Starch content]],"")</f>
        <v>13.165572574762946</v>
      </c>
    </row>
    <row r="325" spans="1:14">
      <c r="A325" s="21">
        <v>2023</v>
      </c>
      <c r="B325" s="21" t="s">
        <v>20</v>
      </c>
      <c r="C325" s="21" t="s">
        <v>1145</v>
      </c>
      <c r="D325" s="21" t="s">
        <v>35</v>
      </c>
      <c r="E325" s="17" t="s">
        <v>108</v>
      </c>
      <c r="F325" s="18" t="s">
        <v>105</v>
      </c>
      <c r="G325" s="18" t="s">
        <v>48</v>
      </c>
      <c r="H325" s="24">
        <v>134540</v>
      </c>
      <c r="I325" s="24">
        <f>T_reg.root.SK[[#This Row],[Volume, kg]]/1000</f>
        <v>134.54</v>
      </c>
      <c r="J325" s="25">
        <v>0.2858</v>
      </c>
      <c r="K325" s="25">
        <f t="shared" si="5"/>
        <v>38451.531999999999</v>
      </c>
      <c r="L325" s="25">
        <v>3.68</v>
      </c>
      <c r="M325" s="24">
        <v>494891</v>
      </c>
      <c r="N325" s="25">
        <f>IFERROR(T_reg.root.SK[[#This Row],[Price]]/T_reg.root.SK[[#This Row],[Starch content]],"")</f>
        <v>12.876137158852345</v>
      </c>
    </row>
    <row r="326" spans="1:14">
      <c r="A326" s="21">
        <v>2023</v>
      </c>
      <c r="B326" s="21" t="s">
        <v>20</v>
      </c>
      <c r="C326" s="21" t="s">
        <v>1145</v>
      </c>
      <c r="D326" s="21" t="s">
        <v>35</v>
      </c>
      <c r="E326" s="17" t="s">
        <v>290</v>
      </c>
      <c r="F326" s="18" t="s">
        <v>105</v>
      </c>
      <c r="G326" s="18" t="s">
        <v>48</v>
      </c>
      <c r="H326" s="24">
        <v>43600</v>
      </c>
      <c r="I326" s="24">
        <f>T_reg.root.SK[[#This Row],[Volume, kg]]/1000</f>
        <v>43.6</v>
      </c>
      <c r="J326" s="25">
        <v>0.2913</v>
      </c>
      <c r="K326" s="25">
        <f t="shared" si="5"/>
        <v>12700.68</v>
      </c>
      <c r="L326" s="25">
        <v>3.66</v>
      </c>
      <c r="M326" s="24">
        <v>159424</v>
      </c>
      <c r="N326" s="25">
        <f>IFERROR(T_reg.root.SK[[#This Row],[Price]]/T_reg.root.SK[[#This Row],[Starch content]],"")</f>
        <v>12.564366632337796</v>
      </c>
    </row>
    <row r="327" spans="1:14">
      <c r="A327" s="21">
        <v>2023</v>
      </c>
      <c r="B327" s="21" t="s">
        <v>20</v>
      </c>
      <c r="C327" s="21" t="s">
        <v>1145</v>
      </c>
      <c r="D327" s="21" t="s">
        <v>35</v>
      </c>
      <c r="E327" s="17" t="s">
        <v>291</v>
      </c>
      <c r="F327" s="18" t="s">
        <v>105</v>
      </c>
      <c r="G327" s="18" t="s">
        <v>48</v>
      </c>
      <c r="H327" s="24">
        <v>96550</v>
      </c>
      <c r="I327" s="24">
        <f>T_reg.root.SK[[#This Row],[Volume, kg]]/1000</f>
        <v>96.55</v>
      </c>
      <c r="J327" s="25">
        <v>0.2213</v>
      </c>
      <c r="K327" s="25">
        <f t="shared" si="5"/>
        <v>21366.514999999999</v>
      </c>
      <c r="L327" s="25">
        <v>3.45</v>
      </c>
      <c r="M327" s="24">
        <v>333523.5</v>
      </c>
      <c r="N327" s="25">
        <f>IFERROR(T_reg.root.SK[[#This Row],[Price]]/T_reg.root.SK[[#This Row],[Starch content]],"")</f>
        <v>15.589697243560778</v>
      </c>
    </row>
    <row r="328" spans="1:14">
      <c r="A328" s="21">
        <v>2023</v>
      </c>
      <c r="B328" s="21" t="s">
        <v>20</v>
      </c>
      <c r="C328" s="21" t="s">
        <v>1145</v>
      </c>
      <c r="D328" s="21" t="s">
        <v>35</v>
      </c>
      <c r="E328" s="17" t="s">
        <v>109</v>
      </c>
      <c r="F328" s="18" t="s">
        <v>105</v>
      </c>
      <c r="G328" s="18" t="s">
        <v>48</v>
      </c>
      <c r="H328" s="24">
        <v>128630</v>
      </c>
      <c r="I328" s="24">
        <f>T_reg.root.SK[[#This Row],[Volume, kg]]/1000</f>
        <v>128.63</v>
      </c>
      <c r="J328" s="25">
        <v>0.29719999999999996</v>
      </c>
      <c r="K328" s="25">
        <f t="shared" si="5"/>
        <v>38228.835999999996</v>
      </c>
      <c r="L328" s="25">
        <v>3.67</v>
      </c>
      <c r="M328" s="24">
        <v>471709</v>
      </c>
      <c r="N328" s="25">
        <f>IFERROR(T_reg.root.SK[[#This Row],[Price]]/T_reg.root.SK[[#This Row],[Starch content]],"")</f>
        <v>12.348586810228804</v>
      </c>
    </row>
    <row r="329" spans="1:14">
      <c r="A329" s="21">
        <v>2023</v>
      </c>
      <c r="B329" s="21" t="s">
        <v>20</v>
      </c>
      <c r="C329" s="21" t="s">
        <v>1145</v>
      </c>
      <c r="D329" s="21" t="s">
        <v>35</v>
      </c>
      <c r="E329" s="17" t="s">
        <v>292</v>
      </c>
      <c r="F329" s="18" t="s">
        <v>105</v>
      </c>
      <c r="G329" s="18" t="s">
        <v>48</v>
      </c>
      <c r="H329" s="24">
        <v>4990</v>
      </c>
      <c r="I329" s="24">
        <f>T_reg.root.SK[[#This Row],[Volume, kg]]/1000</f>
        <v>4.99</v>
      </c>
      <c r="J329" s="25">
        <v>0.27449999999999997</v>
      </c>
      <c r="K329" s="25">
        <f t="shared" si="5"/>
        <v>1369.7549999999999</v>
      </c>
      <c r="L329" s="25">
        <v>3.55</v>
      </c>
      <c r="M329" s="24">
        <v>17714.5</v>
      </c>
      <c r="N329" s="25">
        <f>IFERROR(T_reg.root.SK[[#This Row],[Price]]/T_reg.root.SK[[#This Row],[Starch content]],"")</f>
        <v>12.932604735883425</v>
      </c>
    </row>
    <row r="330" spans="1:14">
      <c r="A330" s="21">
        <v>2023</v>
      </c>
      <c r="B330" s="21" t="s">
        <v>20</v>
      </c>
      <c r="C330" s="21" t="s">
        <v>1145</v>
      </c>
      <c r="D330" s="21" t="s">
        <v>35</v>
      </c>
      <c r="E330" s="17" t="s">
        <v>293</v>
      </c>
      <c r="F330" s="18" t="s">
        <v>105</v>
      </c>
      <c r="G330" s="18" t="s">
        <v>48</v>
      </c>
      <c r="H330" s="24">
        <v>29800</v>
      </c>
      <c r="I330" s="24">
        <f>T_reg.root.SK[[#This Row],[Volume, kg]]/1000</f>
        <v>29.8</v>
      </c>
      <c r="J330" s="25">
        <v>0.28170000000000001</v>
      </c>
      <c r="K330" s="25">
        <f t="shared" si="5"/>
        <v>8394.66</v>
      </c>
      <c r="L330" s="25">
        <v>3.61</v>
      </c>
      <c r="M330" s="24">
        <v>107614</v>
      </c>
      <c r="N330" s="25">
        <f>IFERROR(T_reg.root.SK[[#This Row],[Price]]/T_reg.root.SK[[#This Row],[Starch content]],"")</f>
        <v>12.815051473198437</v>
      </c>
    </row>
    <row r="331" spans="1:14">
      <c r="A331" s="21">
        <v>2023</v>
      </c>
      <c r="B331" s="21" t="s">
        <v>20</v>
      </c>
      <c r="C331" s="21" t="s">
        <v>1145</v>
      </c>
      <c r="D331" s="21" t="s">
        <v>35</v>
      </c>
      <c r="E331" s="17" t="s">
        <v>294</v>
      </c>
      <c r="F331" s="18" t="s">
        <v>105</v>
      </c>
      <c r="G331" s="18" t="s">
        <v>48</v>
      </c>
      <c r="H331" s="24">
        <v>52620</v>
      </c>
      <c r="I331" s="24">
        <f>T_reg.root.SK[[#This Row],[Volume, kg]]/1000</f>
        <v>52.62</v>
      </c>
      <c r="J331" s="25">
        <v>0.2908</v>
      </c>
      <c r="K331" s="25">
        <f t="shared" si="5"/>
        <v>15301.896000000001</v>
      </c>
      <c r="L331" s="25">
        <v>3.6</v>
      </c>
      <c r="M331" s="24">
        <v>189556</v>
      </c>
      <c r="N331" s="25">
        <f>IFERROR(T_reg.root.SK[[#This Row],[Price]]/T_reg.root.SK[[#This Row],[Starch content]],"")</f>
        <v>12.379642365887207</v>
      </c>
    </row>
    <row r="332" spans="1:14">
      <c r="A332" s="21">
        <v>2023</v>
      </c>
      <c r="B332" s="21" t="s">
        <v>20</v>
      </c>
      <c r="C332" s="21" t="s">
        <v>1145</v>
      </c>
      <c r="D332" s="21" t="s">
        <v>35</v>
      </c>
      <c r="E332" s="17" t="s">
        <v>295</v>
      </c>
      <c r="F332" s="18" t="s">
        <v>105</v>
      </c>
      <c r="G332" s="18" t="s">
        <v>48</v>
      </c>
      <c r="H332" s="24">
        <v>14940</v>
      </c>
      <c r="I332" s="24">
        <f>T_reg.root.SK[[#This Row],[Volume, kg]]/1000</f>
        <v>14.94</v>
      </c>
      <c r="J332" s="25">
        <v>0.26440000000000002</v>
      </c>
      <c r="K332" s="25">
        <f t="shared" si="5"/>
        <v>3950.1360000000004</v>
      </c>
      <c r="L332" s="25">
        <v>3.82</v>
      </c>
      <c r="M332" s="24">
        <v>57129.5</v>
      </c>
      <c r="N332" s="25">
        <f>IFERROR(T_reg.root.SK[[#This Row],[Price]]/T_reg.root.SK[[#This Row],[Starch content]],"")</f>
        <v>14.447806354009074</v>
      </c>
    </row>
    <row r="333" spans="1:14">
      <c r="A333" s="21">
        <v>2023</v>
      </c>
      <c r="B333" s="21" t="s">
        <v>20</v>
      </c>
      <c r="C333" s="21" t="s">
        <v>1145</v>
      </c>
      <c r="D333" s="21" t="s">
        <v>35</v>
      </c>
      <c r="E333" s="17" t="s">
        <v>112</v>
      </c>
      <c r="F333" s="18" t="s">
        <v>105</v>
      </c>
      <c r="G333" s="18" t="s">
        <v>48</v>
      </c>
      <c r="H333" s="24">
        <v>169180</v>
      </c>
      <c r="I333" s="24">
        <f>T_reg.root.SK[[#This Row],[Volume, kg]]/1000</f>
        <v>169.18</v>
      </c>
      <c r="J333" s="25">
        <v>0.2581</v>
      </c>
      <c r="K333" s="25">
        <f t="shared" si="5"/>
        <v>43665.358</v>
      </c>
      <c r="L333" s="25">
        <v>3.48</v>
      </c>
      <c r="M333" s="24">
        <v>588667.5</v>
      </c>
      <c r="N333" s="25">
        <f>IFERROR(T_reg.root.SK[[#This Row],[Price]]/T_reg.root.SK[[#This Row],[Starch content]],"")</f>
        <v>13.483146067415731</v>
      </c>
    </row>
    <row r="334" spans="1:14">
      <c r="A334" s="21">
        <v>2023</v>
      </c>
      <c r="B334" s="21" t="s">
        <v>20</v>
      </c>
      <c r="C334" s="21" t="s">
        <v>1145</v>
      </c>
      <c r="D334" s="21" t="s">
        <v>35</v>
      </c>
      <c r="E334" s="17" t="s">
        <v>234</v>
      </c>
      <c r="F334" s="18" t="s">
        <v>105</v>
      </c>
      <c r="G334" s="18" t="s">
        <v>48</v>
      </c>
      <c r="H334" s="24">
        <v>139360</v>
      </c>
      <c r="I334" s="24">
        <f>T_reg.root.SK[[#This Row],[Volume, kg]]/1000</f>
        <v>139.36000000000001</v>
      </c>
      <c r="J334" s="25">
        <v>0.29189999999999999</v>
      </c>
      <c r="K334" s="25">
        <f t="shared" si="5"/>
        <v>40679.184000000001</v>
      </c>
      <c r="L334" s="25">
        <v>3.63</v>
      </c>
      <c r="M334" s="24">
        <v>506555.5</v>
      </c>
      <c r="N334" s="25">
        <f>IFERROR(T_reg.root.SK[[#This Row],[Price]]/T_reg.root.SK[[#This Row],[Starch content]],"")</f>
        <v>12.435765673175744</v>
      </c>
    </row>
    <row r="335" spans="1:14">
      <c r="A335" s="21">
        <v>2023</v>
      </c>
      <c r="B335" s="21" t="s">
        <v>20</v>
      </c>
      <c r="C335" s="21" t="s">
        <v>1145</v>
      </c>
      <c r="D335" s="21" t="s">
        <v>35</v>
      </c>
      <c r="E335" s="17" t="s">
        <v>113</v>
      </c>
      <c r="F335" s="18" t="s">
        <v>105</v>
      </c>
      <c r="G335" s="18" t="s">
        <v>48</v>
      </c>
      <c r="H335" s="24">
        <v>8730</v>
      </c>
      <c r="I335" s="24">
        <f>T_reg.root.SK[[#This Row],[Volume, kg]]/1000</f>
        <v>8.73</v>
      </c>
      <c r="J335" s="25">
        <v>0.32100000000000001</v>
      </c>
      <c r="K335" s="25">
        <f t="shared" si="5"/>
        <v>2802.33</v>
      </c>
      <c r="L335" s="25">
        <v>3.75</v>
      </c>
      <c r="M335" s="24">
        <v>32737.5</v>
      </c>
      <c r="N335" s="25">
        <f>IFERROR(T_reg.root.SK[[#This Row],[Price]]/T_reg.root.SK[[#This Row],[Starch content]],"")</f>
        <v>11.682242990654204</v>
      </c>
    </row>
    <row r="336" spans="1:14">
      <c r="A336" s="21">
        <v>2023</v>
      </c>
      <c r="B336" s="21" t="s">
        <v>20</v>
      </c>
      <c r="C336" s="21" t="s">
        <v>1145</v>
      </c>
      <c r="D336" s="21" t="s">
        <v>35</v>
      </c>
      <c r="E336" s="17" t="s">
        <v>235</v>
      </c>
      <c r="F336" s="18" t="s">
        <v>105</v>
      </c>
      <c r="G336" s="18" t="s">
        <v>48</v>
      </c>
      <c r="H336" s="24">
        <v>34550</v>
      </c>
      <c r="I336" s="24">
        <f>T_reg.root.SK[[#This Row],[Volume, kg]]/1000</f>
        <v>34.549999999999997</v>
      </c>
      <c r="J336" s="25">
        <v>0.28889999999999999</v>
      </c>
      <c r="K336" s="25">
        <f t="shared" si="5"/>
        <v>9981.494999999999</v>
      </c>
      <c r="L336" s="25">
        <v>3.64</v>
      </c>
      <c r="M336" s="24">
        <v>125743.5</v>
      </c>
      <c r="N336" s="25">
        <f>IFERROR(T_reg.root.SK[[#This Row],[Price]]/T_reg.root.SK[[#This Row],[Starch content]],"")</f>
        <v>12.599515403253722</v>
      </c>
    </row>
    <row r="337" spans="1:14">
      <c r="A337" s="21">
        <v>2023</v>
      </c>
      <c r="B337" s="21" t="s">
        <v>20</v>
      </c>
      <c r="C337" s="21" t="s">
        <v>1145</v>
      </c>
      <c r="D337" s="21" t="s">
        <v>35</v>
      </c>
      <c r="E337" s="17" t="s">
        <v>236</v>
      </c>
      <c r="F337" s="18" t="s">
        <v>105</v>
      </c>
      <c r="G337" s="18" t="s">
        <v>48</v>
      </c>
      <c r="H337" s="24">
        <v>12420</v>
      </c>
      <c r="I337" s="24">
        <f>T_reg.root.SK[[#This Row],[Volume, kg]]/1000</f>
        <v>12.42</v>
      </c>
      <c r="J337" s="25">
        <v>0.3014</v>
      </c>
      <c r="K337" s="25">
        <f t="shared" si="5"/>
        <v>3743.3879999999999</v>
      </c>
      <c r="L337" s="25">
        <v>3.67</v>
      </c>
      <c r="M337" s="24">
        <v>45567</v>
      </c>
      <c r="N337" s="25">
        <f>IFERROR(T_reg.root.SK[[#This Row],[Price]]/T_reg.root.SK[[#This Row],[Starch content]],"")</f>
        <v>12.176509621765096</v>
      </c>
    </row>
    <row r="338" spans="1:14">
      <c r="A338" s="21">
        <v>2023</v>
      </c>
      <c r="B338" s="21" t="s">
        <v>20</v>
      </c>
      <c r="C338" s="21" t="s">
        <v>1145</v>
      </c>
      <c r="D338" s="21" t="s">
        <v>35</v>
      </c>
      <c r="E338" s="17" t="s">
        <v>115</v>
      </c>
      <c r="F338" s="18" t="s">
        <v>105</v>
      </c>
      <c r="G338" s="18" t="s">
        <v>48</v>
      </c>
      <c r="H338" s="24">
        <v>13960</v>
      </c>
      <c r="I338" s="24">
        <f>T_reg.root.SK[[#This Row],[Volume, kg]]/1000</f>
        <v>13.96</v>
      </c>
      <c r="J338" s="25">
        <v>0.24850000000000003</v>
      </c>
      <c r="K338" s="25">
        <f t="shared" si="5"/>
        <v>3469.0600000000004</v>
      </c>
      <c r="L338" s="25">
        <v>3.75</v>
      </c>
      <c r="M338" s="24">
        <v>52350</v>
      </c>
      <c r="N338" s="25">
        <f>IFERROR(T_reg.root.SK[[#This Row],[Price]]/T_reg.root.SK[[#This Row],[Starch content]],"")</f>
        <v>15.090543259557343</v>
      </c>
    </row>
    <row r="339" spans="1:14">
      <c r="A339" s="21">
        <v>2023</v>
      </c>
      <c r="B339" s="21" t="s">
        <v>20</v>
      </c>
      <c r="C339" s="21" t="s">
        <v>1145</v>
      </c>
      <c r="D339" s="21" t="s">
        <v>35</v>
      </c>
      <c r="E339" s="17" t="s">
        <v>116</v>
      </c>
      <c r="F339" s="18" t="s">
        <v>105</v>
      </c>
      <c r="G339" s="18" t="s">
        <v>48</v>
      </c>
      <c r="H339" s="24">
        <v>6970</v>
      </c>
      <c r="I339" s="24">
        <f>T_reg.root.SK[[#This Row],[Volume, kg]]/1000</f>
        <v>6.97</v>
      </c>
      <c r="J339" s="25">
        <v>0.28100000000000003</v>
      </c>
      <c r="K339" s="25">
        <f t="shared" si="5"/>
        <v>1958.5700000000002</v>
      </c>
      <c r="L339" s="25">
        <v>3.6</v>
      </c>
      <c r="M339" s="24">
        <v>25092</v>
      </c>
      <c r="N339" s="25">
        <f>IFERROR(T_reg.root.SK[[#This Row],[Price]]/T_reg.root.SK[[#This Row],[Starch content]],"")</f>
        <v>12.811387900355871</v>
      </c>
    </row>
    <row r="340" spans="1:14">
      <c r="A340" s="21">
        <v>2023</v>
      </c>
      <c r="B340" s="21" t="s">
        <v>20</v>
      </c>
      <c r="C340" s="21" t="s">
        <v>1145</v>
      </c>
      <c r="D340" s="21" t="s">
        <v>35</v>
      </c>
      <c r="E340" s="17" t="s">
        <v>296</v>
      </c>
      <c r="F340" s="18" t="s">
        <v>105</v>
      </c>
      <c r="G340" s="18" t="s">
        <v>48</v>
      </c>
      <c r="H340" s="24">
        <v>185420</v>
      </c>
      <c r="I340" s="24">
        <f>T_reg.root.SK[[#This Row],[Volume, kg]]/1000</f>
        <v>185.42</v>
      </c>
      <c r="J340" s="25">
        <v>0.28160000000000002</v>
      </c>
      <c r="K340" s="25">
        <f t="shared" si="5"/>
        <v>52214.272000000004</v>
      </c>
      <c r="L340" s="25">
        <v>3.63</v>
      </c>
      <c r="M340" s="24">
        <v>672294</v>
      </c>
      <c r="N340" s="25">
        <f>IFERROR(T_reg.root.SK[[#This Row],[Price]]/T_reg.root.SK[[#This Row],[Starch content]],"")</f>
        <v>12.890624999999998</v>
      </c>
    </row>
    <row r="341" spans="1:14">
      <c r="A341" s="21">
        <v>2023</v>
      </c>
      <c r="B341" s="21" t="s">
        <v>20</v>
      </c>
      <c r="C341" s="21" t="s">
        <v>1145</v>
      </c>
      <c r="D341" s="21" t="s">
        <v>35</v>
      </c>
      <c r="E341" s="17" t="s">
        <v>297</v>
      </c>
      <c r="F341" s="18" t="s">
        <v>105</v>
      </c>
      <c r="G341" s="18" t="s">
        <v>48</v>
      </c>
      <c r="H341" s="24">
        <v>10860</v>
      </c>
      <c r="I341" s="24">
        <f>T_reg.root.SK[[#This Row],[Volume, kg]]/1000</f>
        <v>10.86</v>
      </c>
      <c r="J341" s="25">
        <v>0.29510000000000003</v>
      </c>
      <c r="K341" s="25">
        <f t="shared" si="5"/>
        <v>3204.7860000000005</v>
      </c>
      <c r="L341" s="25">
        <v>3.68</v>
      </c>
      <c r="M341" s="24">
        <v>39914</v>
      </c>
      <c r="N341" s="25">
        <f>IFERROR(T_reg.root.SK[[#This Row],[Price]]/T_reg.root.SK[[#This Row],[Starch content]],"")</f>
        <v>12.470349034225686</v>
      </c>
    </row>
    <row r="342" spans="1:14">
      <c r="A342" s="21">
        <v>2023</v>
      </c>
      <c r="B342" s="21" t="s">
        <v>20</v>
      </c>
      <c r="C342" s="21" t="s">
        <v>1145</v>
      </c>
      <c r="D342" s="21" t="s">
        <v>35</v>
      </c>
      <c r="E342" s="17" t="s">
        <v>118</v>
      </c>
      <c r="F342" s="18" t="s">
        <v>105</v>
      </c>
      <c r="G342" s="18" t="s">
        <v>48</v>
      </c>
      <c r="H342" s="24">
        <v>592510</v>
      </c>
      <c r="I342" s="24">
        <f>T_reg.root.SK[[#This Row],[Volume, kg]]/1000</f>
        <v>592.51</v>
      </c>
      <c r="J342" s="25">
        <v>0.26170000000000004</v>
      </c>
      <c r="K342" s="25">
        <f t="shared" si="5"/>
        <v>155059.86700000003</v>
      </c>
      <c r="L342" s="25">
        <v>3.65</v>
      </c>
      <c r="M342" s="24">
        <v>2162987</v>
      </c>
      <c r="N342" s="25">
        <f>IFERROR(T_reg.root.SK[[#This Row],[Price]]/T_reg.root.SK[[#This Row],[Starch content]],"")</f>
        <v>13.947267863966371</v>
      </c>
    </row>
    <row r="343" spans="1:14">
      <c r="A343" s="21">
        <v>2023</v>
      </c>
      <c r="B343" s="21" t="s">
        <v>20</v>
      </c>
      <c r="C343" s="21" t="s">
        <v>1145</v>
      </c>
      <c r="D343" s="21" t="s">
        <v>35</v>
      </c>
      <c r="E343" s="17" t="s">
        <v>119</v>
      </c>
      <c r="F343" s="18" t="s">
        <v>105</v>
      </c>
      <c r="G343" s="18" t="s">
        <v>48</v>
      </c>
      <c r="H343" s="24">
        <v>21610</v>
      </c>
      <c r="I343" s="24">
        <f>T_reg.root.SK[[#This Row],[Volume, kg]]/1000</f>
        <v>21.61</v>
      </c>
      <c r="J343" s="25">
        <v>0.2863</v>
      </c>
      <c r="K343" s="25">
        <f t="shared" si="5"/>
        <v>6186.9430000000002</v>
      </c>
      <c r="L343" s="25">
        <v>3.6</v>
      </c>
      <c r="M343" s="24">
        <v>77879</v>
      </c>
      <c r="N343" s="25">
        <f>IFERROR(T_reg.root.SK[[#This Row],[Price]]/T_reg.root.SK[[#This Row],[Starch content]],"")</f>
        <v>12.5742228431715</v>
      </c>
    </row>
    <row r="344" spans="1:14">
      <c r="A344" s="21">
        <v>2023</v>
      </c>
      <c r="B344" s="21" t="s">
        <v>20</v>
      </c>
      <c r="C344" s="21" t="s">
        <v>1145</v>
      </c>
      <c r="D344" s="21" t="s">
        <v>35</v>
      </c>
      <c r="E344" s="17" t="s">
        <v>120</v>
      </c>
      <c r="F344" s="18" t="s">
        <v>105</v>
      </c>
      <c r="G344" s="18" t="s">
        <v>48</v>
      </c>
      <c r="H344" s="24">
        <v>39350</v>
      </c>
      <c r="I344" s="24">
        <f>T_reg.root.SK[[#This Row],[Volume, kg]]/1000</f>
        <v>39.35</v>
      </c>
      <c r="J344" s="25">
        <v>0.2737</v>
      </c>
      <c r="K344" s="25">
        <f t="shared" si="5"/>
        <v>10770.094999999999</v>
      </c>
      <c r="L344" s="25">
        <v>3.57</v>
      </c>
      <c r="M344" s="24">
        <v>140522</v>
      </c>
      <c r="N344" s="25">
        <f>IFERROR(T_reg.root.SK[[#This Row],[Price]]/T_reg.root.SK[[#This Row],[Starch content]],"")</f>
        <v>13.043478260869565</v>
      </c>
    </row>
    <row r="345" spans="1:14">
      <c r="A345" s="21">
        <v>2023</v>
      </c>
      <c r="B345" s="21" t="s">
        <v>20</v>
      </c>
      <c r="C345" s="21" t="s">
        <v>1145</v>
      </c>
      <c r="D345" s="21" t="s">
        <v>35</v>
      </c>
      <c r="E345" s="17" t="s">
        <v>121</v>
      </c>
      <c r="F345" s="18" t="s">
        <v>105</v>
      </c>
      <c r="G345" s="18" t="s">
        <v>48</v>
      </c>
      <c r="H345" s="24">
        <v>49510</v>
      </c>
      <c r="I345" s="24">
        <f>T_reg.root.SK[[#This Row],[Volume, kg]]/1000</f>
        <v>49.51</v>
      </c>
      <c r="J345" s="25">
        <v>0.26519999999999999</v>
      </c>
      <c r="K345" s="25">
        <f t="shared" si="5"/>
        <v>13130.052</v>
      </c>
      <c r="L345" s="25">
        <v>3.47</v>
      </c>
      <c r="M345" s="24">
        <v>171861.5</v>
      </c>
      <c r="N345" s="25">
        <f>IFERROR(T_reg.root.SK[[#This Row],[Price]]/T_reg.root.SK[[#This Row],[Starch content]],"")</f>
        <v>13.084464555052792</v>
      </c>
    </row>
    <row r="346" spans="1:14">
      <c r="A346" s="21">
        <v>2023</v>
      </c>
      <c r="B346" s="21" t="s">
        <v>20</v>
      </c>
      <c r="C346" s="21" t="s">
        <v>1145</v>
      </c>
      <c r="D346" s="21" t="s">
        <v>35</v>
      </c>
      <c r="E346" s="17" t="s">
        <v>122</v>
      </c>
      <c r="F346" s="18" t="s">
        <v>105</v>
      </c>
      <c r="G346" s="18" t="s">
        <v>48</v>
      </c>
      <c r="H346" s="24">
        <v>126170</v>
      </c>
      <c r="I346" s="24">
        <f>T_reg.root.SK[[#This Row],[Volume, kg]]/1000</f>
        <v>126.17</v>
      </c>
      <c r="J346" s="25">
        <v>0.27339999999999998</v>
      </c>
      <c r="K346" s="25">
        <f t="shared" si="5"/>
        <v>34494.877999999997</v>
      </c>
      <c r="L346" s="25">
        <v>3.64</v>
      </c>
      <c r="M346" s="24">
        <v>459018</v>
      </c>
      <c r="N346" s="25">
        <f>IFERROR(T_reg.root.SK[[#This Row],[Price]]/T_reg.root.SK[[#This Row],[Starch content]],"")</f>
        <v>13.313825896122898</v>
      </c>
    </row>
    <row r="347" spans="1:14">
      <c r="A347" s="21">
        <v>2023</v>
      </c>
      <c r="B347" s="21" t="s">
        <v>20</v>
      </c>
      <c r="C347" s="21" t="s">
        <v>1145</v>
      </c>
      <c r="D347" s="21" t="s">
        <v>35</v>
      </c>
      <c r="E347" s="17" t="s">
        <v>238</v>
      </c>
      <c r="F347" s="18" t="s">
        <v>105</v>
      </c>
      <c r="G347" s="18" t="s">
        <v>48</v>
      </c>
      <c r="H347" s="24">
        <v>16030</v>
      </c>
      <c r="I347" s="24">
        <f>T_reg.root.SK[[#This Row],[Volume, kg]]/1000</f>
        <v>16.03</v>
      </c>
      <c r="J347" s="25">
        <v>0.24670000000000003</v>
      </c>
      <c r="K347" s="25">
        <f t="shared" si="5"/>
        <v>3954.6010000000006</v>
      </c>
      <c r="L347" s="25">
        <v>3.38</v>
      </c>
      <c r="M347" s="24">
        <v>54115</v>
      </c>
      <c r="N347" s="25">
        <f>IFERROR(T_reg.root.SK[[#This Row],[Price]]/T_reg.root.SK[[#This Row],[Starch content]],"")</f>
        <v>13.700851236319414</v>
      </c>
    </row>
    <row r="348" spans="1:14">
      <c r="A348" s="21">
        <v>2023</v>
      </c>
      <c r="B348" s="21" t="s">
        <v>20</v>
      </c>
      <c r="C348" s="21" t="s">
        <v>1145</v>
      </c>
      <c r="D348" s="21" t="s">
        <v>35</v>
      </c>
      <c r="E348" s="17" t="s">
        <v>298</v>
      </c>
      <c r="F348" s="18" t="s">
        <v>105</v>
      </c>
      <c r="G348" s="18" t="s">
        <v>48</v>
      </c>
      <c r="H348" s="24">
        <v>11380</v>
      </c>
      <c r="I348" s="24">
        <f>T_reg.root.SK[[#This Row],[Volume, kg]]/1000</f>
        <v>11.38</v>
      </c>
      <c r="J348" s="25">
        <v>0.29399999999999998</v>
      </c>
      <c r="K348" s="25">
        <f t="shared" si="5"/>
        <v>3345.72</v>
      </c>
      <c r="L348" s="25">
        <v>3.62</v>
      </c>
      <c r="M348" s="24">
        <v>41230.5</v>
      </c>
      <c r="N348" s="25">
        <f>IFERROR(T_reg.root.SK[[#This Row],[Price]]/T_reg.root.SK[[#This Row],[Starch content]],"")</f>
        <v>12.312925170068029</v>
      </c>
    </row>
    <row r="349" spans="1:14">
      <c r="A349" s="21">
        <v>2023</v>
      </c>
      <c r="B349" s="21" t="s">
        <v>20</v>
      </c>
      <c r="C349" s="21" t="s">
        <v>1145</v>
      </c>
      <c r="D349" s="21" t="s">
        <v>35</v>
      </c>
      <c r="E349" s="17" t="s">
        <v>239</v>
      </c>
      <c r="F349" s="18" t="s">
        <v>105</v>
      </c>
      <c r="G349" s="18" t="s">
        <v>48</v>
      </c>
      <c r="H349" s="24">
        <v>71320</v>
      </c>
      <c r="I349" s="24">
        <f>T_reg.root.SK[[#This Row],[Volume, kg]]/1000</f>
        <v>71.319999999999993</v>
      </c>
      <c r="J349" s="25">
        <v>0.25850000000000001</v>
      </c>
      <c r="K349" s="25">
        <f t="shared" si="5"/>
        <v>18436.22</v>
      </c>
      <c r="L349" s="25">
        <v>3.49</v>
      </c>
      <c r="M349" s="24">
        <v>248893.5</v>
      </c>
      <c r="N349" s="25">
        <f>IFERROR(T_reg.root.SK[[#This Row],[Price]]/T_reg.root.SK[[#This Row],[Starch content]],"")</f>
        <v>13.500967117988395</v>
      </c>
    </row>
    <row r="350" spans="1:14">
      <c r="A350" s="21">
        <v>2023</v>
      </c>
      <c r="B350" s="21" t="s">
        <v>20</v>
      </c>
      <c r="C350" s="21" t="s">
        <v>1145</v>
      </c>
      <c r="D350" s="21" t="s">
        <v>35</v>
      </c>
      <c r="E350" s="17" t="s">
        <v>124</v>
      </c>
      <c r="F350" s="18" t="s">
        <v>105</v>
      </c>
      <c r="G350" s="18" t="s">
        <v>48</v>
      </c>
      <c r="H350" s="24">
        <v>401450</v>
      </c>
      <c r="I350" s="24">
        <f>T_reg.root.SK[[#This Row],[Volume, kg]]/1000</f>
        <v>401.45</v>
      </c>
      <c r="J350" s="25">
        <v>0.2641</v>
      </c>
      <c r="K350" s="25">
        <f t="shared" si="5"/>
        <v>106022.94500000001</v>
      </c>
      <c r="L350" s="25">
        <v>3.57</v>
      </c>
      <c r="M350" s="24">
        <v>1434112</v>
      </c>
      <c r="N350" s="25">
        <f>IFERROR(T_reg.root.SK[[#This Row],[Price]]/T_reg.root.SK[[#This Row],[Starch content]],"")</f>
        <v>13.517606967057931</v>
      </c>
    </row>
    <row r="351" spans="1:14">
      <c r="A351" s="21">
        <v>2023</v>
      </c>
      <c r="B351" s="21" t="s">
        <v>20</v>
      </c>
      <c r="C351" s="21" t="s">
        <v>1145</v>
      </c>
      <c r="D351" s="21" t="s">
        <v>35</v>
      </c>
      <c r="E351" s="17" t="s">
        <v>125</v>
      </c>
      <c r="F351" s="18" t="s">
        <v>105</v>
      </c>
      <c r="G351" s="18" t="s">
        <v>48</v>
      </c>
      <c r="H351" s="24">
        <v>20670</v>
      </c>
      <c r="I351" s="24">
        <f>T_reg.root.SK[[#This Row],[Volume, kg]]/1000</f>
        <v>20.67</v>
      </c>
      <c r="J351" s="25">
        <v>0.2087</v>
      </c>
      <c r="K351" s="25">
        <f t="shared" si="5"/>
        <v>4313.8289999999997</v>
      </c>
      <c r="L351" s="25">
        <v>3.18</v>
      </c>
      <c r="M351" s="24">
        <v>65829</v>
      </c>
      <c r="N351" s="25">
        <f>IFERROR(T_reg.root.SK[[#This Row],[Price]]/T_reg.root.SK[[#This Row],[Starch content]],"")</f>
        <v>15.237182558696695</v>
      </c>
    </row>
    <row r="352" spans="1:14">
      <c r="A352" s="21">
        <v>2023</v>
      </c>
      <c r="B352" s="21" t="s">
        <v>20</v>
      </c>
      <c r="C352" s="21" t="s">
        <v>1145</v>
      </c>
      <c r="D352" s="21" t="s">
        <v>35</v>
      </c>
      <c r="E352" s="17" t="s">
        <v>299</v>
      </c>
      <c r="F352" s="18" t="s">
        <v>105</v>
      </c>
      <c r="G352" s="18" t="s">
        <v>48</v>
      </c>
      <c r="H352" s="24">
        <v>19600</v>
      </c>
      <c r="I352" s="24">
        <f>T_reg.root.SK[[#This Row],[Volume, kg]]/1000</f>
        <v>19.600000000000001</v>
      </c>
      <c r="J352" s="25">
        <v>0.32450000000000001</v>
      </c>
      <c r="K352" s="25">
        <f t="shared" si="5"/>
        <v>6360.2</v>
      </c>
      <c r="L352" s="25">
        <v>4</v>
      </c>
      <c r="M352" s="24">
        <v>78424</v>
      </c>
      <c r="N352" s="25">
        <f>IFERROR(T_reg.root.SK[[#This Row],[Price]]/T_reg.root.SK[[#This Row],[Starch content]],"")</f>
        <v>12.326656394453003</v>
      </c>
    </row>
    <row r="353" spans="1:14">
      <c r="A353" s="21">
        <v>2023</v>
      </c>
      <c r="B353" s="21" t="s">
        <v>20</v>
      </c>
      <c r="C353" s="21" t="s">
        <v>1145</v>
      </c>
      <c r="D353" s="21" t="s">
        <v>35</v>
      </c>
      <c r="E353" s="17" t="s">
        <v>240</v>
      </c>
      <c r="F353" s="18" t="s">
        <v>105</v>
      </c>
      <c r="G353" s="18" t="s">
        <v>48</v>
      </c>
      <c r="H353" s="24">
        <v>19300</v>
      </c>
      <c r="I353" s="24">
        <f>T_reg.root.SK[[#This Row],[Volume, kg]]/1000</f>
        <v>19.3</v>
      </c>
      <c r="J353" s="25">
        <v>0.27310000000000001</v>
      </c>
      <c r="K353" s="25">
        <f t="shared" si="5"/>
        <v>5270.83</v>
      </c>
      <c r="L353" s="25">
        <v>3.53</v>
      </c>
      <c r="M353" s="24">
        <v>68212.5</v>
      </c>
      <c r="N353" s="25">
        <f>IFERROR(T_reg.root.SK[[#This Row],[Price]]/T_reg.root.SK[[#This Row],[Starch content]],"")</f>
        <v>12.925668253387036</v>
      </c>
    </row>
    <row r="354" spans="1:14">
      <c r="A354" s="21">
        <v>2023</v>
      </c>
      <c r="B354" s="21" t="s">
        <v>20</v>
      </c>
      <c r="C354" s="21" t="s">
        <v>1145</v>
      </c>
      <c r="D354" s="21" t="s">
        <v>35</v>
      </c>
      <c r="E354" s="17" t="s">
        <v>127</v>
      </c>
      <c r="F354" s="18" t="s">
        <v>105</v>
      </c>
      <c r="G354" s="18" t="s">
        <v>48</v>
      </c>
      <c r="H354" s="24">
        <v>37650</v>
      </c>
      <c r="I354" s="24">
        <f>T_reg.root.SK[[#This Row],[Volume, kg]]/1000</f>
        <v>37.65</v>
      </c>
      <c r="J354" s="25">
        <v>0.2923</v>
      </c>
      <c r="K354" s="25">
        <f t="shared" si="5"/>
        <v>11005.094999999999</v>
      </c>
      <c r="L354" s="25">
        <v>3.61</v>
      </c>
      <c r="M354" s="24">
        <v>135812.5</v>
      </c>
      <c r="N354" s="25">
        <f>IFERROR(T_reg.root.SK[[#This Row],[Price]]/T_reg.root.SK[[#This Row],[Starch content]],"")</f>
        <v>12.350325008552856</v>
      </c>
    </row>
    <row r="355" spans="1:14">
      <c r="A355" s="21">
        <v>2023</v>
      </c>
      <c r="B355" s="21" t="s">
        <v>20</v>
      </c>
      <c r="C355" s="21" t="s">
        <v>1145</v>
      </c>
      <c r="D355" s="21" t="s">
        <v>35</v>
      </c>
      <c r="E355" s="17" t="s">
        <v>129</v>
      </c>
      <c r="F355" s="18" t="s">
        <v>105</v>
      </c>
      <c r="G355" s="18" t="s">
        <v>48</v>
      </c>
      <c r="H355" s="24">
        <v>91700</v>
      </c>
      <c r="I355" s="24">
        <f>T_reg.root.SK[[#This Row],[Volume, kg]]/1000</f>
        <v>91.7</v>
      </c>
      <c r="J355" s="25">
        <v>0.28620000000000001</v>
      </c>
      <c r="K355" s="25">
        <f t="shared" si="5"/>
        <v>26244.54</v>
      </c>
      <c r="L355" s="25">
        <v>3.63</v>
      </c>
      <c r="M355" s="24">
        <v>333195.5</v>
      </c>
      <c r="N355" s="25">
        <f>IFERROR(T_reg.root.SK[[#This Row],[Price]]/T_reg.root.SK[[#This Row],[Starch content]],"")</f>
        <v>12.683438155136267</v>
      </c>
    </row>
    <row r="356" spans="1:14">
      <c r="A356" s="21">
        <v>2023</v>
      </c>
      <c r="B356" s="21" t="s">
        <v>20</v>
      </c>
      <c r="C356" s="21" t="s">
        <v>1145</v>
      </c>
      <c r="D356" s="21" t="s">
        <v>35</v>
      </c>
      <c r="E356" s="17" t="s">
        <v>131</v>
      </c>
      <c r="F356" s="18" t="s">
        <v>105</v>
      </c>
      <c r="G356" s="18" t="s">
        <v>48</v>
      </c>
      <c r="H356" s="24">
        <v>77720</v>
      </c>
      <c r="I356" s="24">
        <f>T_reg.root.SK[[#This Row],[Volume, kg]]/1000</f>
        <v>77.72</v>
      </c>
      <c r="J356" s="25">
        <v>0.2797</v>
      </c>
      <c r="K356" s="25">
        <f t="shared" si="5"/>
        <v>21738.284</v>
      </c>
      <c r="L356" s="25">
        <v>3.59</v>
      </c>
      <c r="M356" s="24">
        <v>279217</v>
      </c>
      <c r="N356" s="25">
        <f>IFERROR(T_reg.root.SK[[#This Row],[Price]]/T_reg.root.SK[[#This Row],[Starch content]],"")</f>
        <v>12.835180550589918</v>
      </c>
    </row>
    <row r="357" spans="1:14">
      <c r="A357" s="21">
        <v>2023</v>
      </c>
      <c r="B357" s="21" t="s">
        <v>20</v>
      </c>
      <c r="C357" s="21" t="s">
        <v>1145</v>
      </c>
      <c r="D357" s="21" t="s">
        <v>35</v>
      </c>
      <c r="E357" s="17" t="s">
        <v>300</v>
      </c>
      <c r="F357" s="18" t="s">
        <v>105</v>
      </c>
      <c r="G357" s="18" t="s">
        <v>48</v>
      </c>
      <c r="H357" s="24">
        <v>9660</v>
      </c>
      <c r="I357" s="24">
        <f>T_reg.root.SK[[#This Row],[Volume, kg]]/1000</f>
        <v>9.66</v>
      </c>
      <c r="J357" s="25">
        <v>0.26899999999999996</v>
      </c>
      <c r="K357" s="25">
        <f t="shared" si="5"/>
        <v>2598.5399999999995</v>
      </c>
      <c r="L357" s="25">
        <v>3.55</v>
      </c>
      <c r="M357" s="24">
        <v>34293</v>
      </c>
      <c r="N357" s="25">
        <f>IFERROR(T_reg.root.SK[[#This Row],[Price]]/T_reg.root.SK[[#This Row],[Starch content]],"")</f>
        <v>13.197026022304835</v>
      </c>
    </row>
    <row r="358" spans="1:14">
      <c r="A358" s="21">
        <v>2023</v>
      </c>
      <c r="B358" s="21" t="s">
        <v>20</v>
      </c>
      <c r="C358" s="21" t="s">
        <v>1145</v>
      </c>
      <c r="D358" s="21" t="s">
        <v>35</v>
      </c>
      <c r="E358" s="17" t="s">
        <v>241</v>
      </c>
      <c r="F358" s="18" t="s">
        <v>105</v>
      </c>
      <c r="G358" s="18" t="s">
        <v>48</v>
      </c>
      <c r="H358" s="24">
        <v>6670</v>
      </c>
      <c r="I358" s="24">
        <f>T_reg.root.SK[[#This Row],[Volume, kg]]/1000</f>
        <v>6.67</v>
      </c>
      <c r="J358" s="25">
        <v>0.26750000000000002</v>
      </c>
      <c r="K358" s="25">
        <f t="shared" si="5"/>
        <v>1784.2250000000001</v>
      </c>
      <c r="L358" s="25">
        <v>3.55</v>
      </c>
      <c r="M358" s="24">
        <v>23678.5</v>
      </c>
      <c r="N358" s="25">
        <f>IFERROR(T_reg.root.SK[[#This Row],[Price]]/T_reg.root.SK[[#This Row],[Starch content]],"")</f>
        <v>13.271028037383177</v>
      </c>
    </row>
    <row r="359" spans="1:14">
      <c r="A359" s="21">
        <v>2023</v>
      </c>
      <c r="B359" s="21" t="s">
        <v>20</v>
      </c>
      <c r="C359" s="21" t="s">
        <v>1145</v>
      </c>
      <c r="D359" s="21" t="s">
        <v>35</v>
      </c>
      <c r="E359" s="17" t="s">
        <v>301</v>
      </c>
      <c r="F359" s="18" t="s">
        <v>105</v>
      </c>
      <c r="G359" s="18" t="s">
        <v>48</v>
      </c>
      <c r="H359" s="24">
        <v>51460</v>
      </c>
      <c r="I359" s="24">
        <f>T_reg.root.SK[[#This Row],[Volume, kg]]/1000</f>
        <v>51.46</v>
      </c>
      <c r="J359" s="25">
        <v>0.26789999999999997</v>
      </c>
      <c r="K359" s="25">
        <f t="shared" si="5"/>
        <v>13786.133999999998</v>
      </c>
      <c r="L359" s="25">
        <v>3.53</v>
      </c>
      <c r="M359" s="24">
        <v>181879</v>
      </c>
      <c r="N359" s="25">
        <f>IFERROR(T_reg.root.SK[[#This Row],[Price]]/T_reg.root.SK[[#This Row],[Starch content]],"")</f>
        <v>13.176558417319896</v>
      </c>
    </row>
    <row r="360" spans="1:14">
      <c r="A360" s="21">
        <v>2023</v>
      </c>
      <c r="B360" s="21" t="s">
        <v>20</v>
      </c>
      <c r="C360" s="21" t="s">
        <v>1145</v>
      </c>
      <c r="D360" s="21" t="s">
        <v>35</v>
      </c>
      <c r="E360" s="17" t="s">
        <v>302</v>
      </c>
      <c r="F360" s="18" t="s">
        <v>105</v>
      </c>
      <c r="G360" s="18" t="s">
        <v>48</v>
      </c>
      <c r="H360" s="24">
        <v>21750</v>
      </c>
      <c r="I360" s="24">
        <f>T_reg.root.SK[[#This Row],[Volume, kg]]/1000</f>
        <v>21.75</v>
      </c>
      <c r="J360" s="25">
        <v>0.28739999999999999</v>
      </c>
      <c r="K360" s="25">
        <f t="shared" si="5"/>
        <v>6250.95</v>
      </c>
      <c r="L360" s="25">
        <v>3.65</v>
      </c>
      <c r="M360" s="24">
        <v>79356.5</v>
      </c>
      <c r="N360" s="25">
        <f>IFERROR(T_reg.root.SK[[#This Row],[Price]]/T_reg.root.SK[[#This Row],[Starch content]],"")</f>
        <v>12.700069589422409</v>
      </c>
    </row>
    <row r="361" spans="1:14">
      <c r="A361" s="21">
        <v>2023</v>
      </c>
      <c r="B361" s="21" t="s">
        <v>20</v>
      </c>
      <c r="C361" s="21" t="s">
        <v>1145</v>
      </c>
      <c r="D361" s="21" t="s">
        <v>35</v>
      </c>
      <c r="E361" s="17" t="s">
        <v>136</v>
      </c>
      <c r="F361" s="18" t="s">
        <v>105</v>
      </c>
      <c r="G361" s="18" t="s">
        <v>48</v>
      </c>
      <c r="H361" s="24">
        <v>67090</v>
      </c>
      <c r="I361" s="24">
        <f>T_reg.root.SK[[#This Row],[Volume, kg]]/1000</f>
        <v>67.09</v>
      </c>
      <c r="J361" s="25">
        <v>0.28770000000000001</v>
      </c>
      <c r="K361" s="25">
        <f t="shared" si="5"/>
        <v>19301.793000000001</v>
      </c>
      <c r="L361" s="25">
        <v>3.62</v>
      </c>
      <c r="M361" s="24">
        <v>242833</v>
      </c>
      <c r="N361" s="25">
        <f>IFERROR(T_reg.root.SK[[#This Row],[Price]]/T_reg.root.SK[[#This Row],[Starch content]],"")</f>
        <v>12.582551268682655</v>
      </c>
    </row>
    <row r="362" spans="1:14">
      <c r="A362" s="21">
        <v>2023</v>
      </c>
      <c r="B362" s="21" t="s">
        <v>20</v>
      </c>
      <c r="C362" s="21" t="s">
        <v>1145</v>
      </c>
      <c r="D362" s="21" t="s">
        <v>35</v>
      </c>
      <c r="E362" s="17" t="s">
        <v>138</v>
      </c>
      <c r="F362" s="18" t="s">
        <v>105</v>
      </c>
      <c r="G362" s="18" t="s">
        <v>48</v>
      </c>
      <c r="H362" s="24">
        <v>138270</v>
      </c>
      <c r="I362" s="24">
        <f>T_reg.root.SK[[#This Row],[Volume, kg]]/1000</f>
        <v>138.27000000000001</v>
      </c>
      <c r="J362" s="25">
        <v>0.26839999999999997</v>
      </c>
      <c r="K362" s="25">
        <f t="shared" si="5"/>
        <v>37111.667999999998</v>
      </c>
      <c r="L362" s="25">
        <v>3.54</v>
      </c>
      <c r="M362" s="24">
        <v>489933</v>
      </c>
      <c r="N362" s="25">
        <f>IFERROR(T_reg.root.SK[[#This Row],[Price]]/T_reg.root.SK[[#This Row],[Starch content]],"")</f>
        <v>13.189269746646797</v>
      </c>
    </row>
    <row r="363" spans="1:14">
      <c r="A363" s="21">
        <v>2023</v>
      </c>
      <c r="B363" s="21" t="s">
        <v>20</v>
      </c>
      <c r="C363" s="21" t="s">
        <v>1145</v>
      </c>
      <c r="D363" s="21" t="s">
        <v>35</v>
      </c>
      <c r="E363" s="17" t="s">
        <v>303</v>
      </c>
      <c r="F363" s="18" t="s">
        <v>105</v>
      </c>
      <c r="G363" s="18" t="s">
        <v>48</v>
      </c>
      <c r="H363" s="24">
        <v>26520</v>
      </c>
      <c r="I363" s="24">
        <f>T_reg.root.SK[[#This Row],[Volume, kg]]/1000</f>
        <v>26.52</v>
      </c>
      <c r="J363" s="25">
        <v>0.27600000000000002</v>
      </c>
      <c r="K363" s="25">
        <f t="shared" si="5"/>
        <v>7319.52</v>
      </c>
      <c r="L363" s="25">
        <v>3.6</v>
      </c>
      <c r="M363" s="24">
        <v>95472</v>
      </c>
      <c r="N363" s="25">
        <f>IFERROR(T_reg.root.SK[[#This Row],[Price]]/T_reg.root.SK[[#This Row],[Starch content]],"")</f>
        <v>13.043478260869565</v>
      </c>
    </row>
    <row r="364" spans="1:14">
      <c r="A364" s="21">
        <v>2023</v>
      </c>
      <c r="B364" s="21" t="s">
        <v>20</v>
      </c>
      <c r="C364" s="21" t="s">
        <v>1145</v>
      </c>
      <c r="D364" s="21" t="s">
        <v>35</v>
      </c>
      <c r="E364" s="17" t="s">
        <v>304</v>
      </c>
      <c r="F364" s="18" t="s">
        <v>105</v>
      </c>
      <c r="G364" s="18" t="s">
        <v>48</v>
      </c>
      <c r="H364" s="24">
        <v>59240</v>
      </c>
      <c r="I364" s="24">
        <f>T_reg.root.SK[[#This Row],[Volume, kg]]/1000</f>
        <v>59.24</v>
      </c>
      <c r="J364" s="25">
        <v>0.2369</v>
      </c>
      <c r="K364" s="25">
        <f t="shared" si="5"/>
        <v>14033.956</v>
      </c>
      <c r="L364" s="25">
        <v>3.51</v>
      </c>
      <c r="M364" s="24">
        <v>207876.5</v>
      </c>
      <c r="N364" s="25">
        <f>IFERROR(T_reg.root.SK[[#This Row],[Price]]/T_reg.root.SK[[#This Row],[Starch content]],"")</f>
        <v>14.816378218657661</v>
      </c>
    </row>
    <row r="365" spans="1:14">
      <c r="A365" s="21">
        <v>2023</v>
      </c>
      <c r="B365" s="21" t="s">
        <v>20</v>
      </c>
      <c r="C365" s="21" t="s">
        <v>1145</v>
      </c>
      <c r="D365" s="21" t="s">
        <v>35</v>
      </c>
      <c r="E365" s="17" t="s">
        <v>305</v>
      </c>
      <c r="F365" s="18" t="s">
        <v>105</v>
      </c>
      <c r="G365" s="18" t="s">
        <v>48</v>
      </c>
      <c r="H365" s="24">
        <v>56920</v>
      </c>
      <c r="I365" s="24">
        <f>T_reg.root.SK[[#This Row],[Volume, kg]]/1000</f>
        <v>56.92</v>
      </c>
      <c r="J365" s="25">
        <v>0.2999</v>
      </c>
      <c r="K365" s="25">
        <f t="shared" si="5"/>
        <v>17070.308000000001</v>
      </c>
      <c r="L365" s="25">
        <v>3.91</v>
      </c>
      <c r="M365" s="24">
        <v>222587</v>
      </c>
      <c r="N365" s="25">
        <f>IFERROR(T_reg.root.SK[[#This Row],[Price]]/T_reg.root.SK[[#This Row],[Starch content]],"")</f>
        <v>13.037679226408804</v>
      </c>
    </row>
    <row r="366" spans="1:14">
      <c r="A366" s="21">
        <v>2023</v>
      </c>
      <c r="B366" s="21" t="s">
        <v>20</v>
      </c>
      <c r="C366" s="21" t="s">
        <v>1145</v>
      </c>
      <c r="D366" s="21" t="s">
        <v>35</v>
      </c>
      <c r="E366" s="17" t="s">
        <v>306</v>
      </c>
      <c r="F366" s="18" t="s">
        <v>105</v>
      </c>
      <c r="G366" s="18" t="s">
        <v>48</v>
      </c>
      <c r="H366" s="24">
        <v>50150</v>
      </c>
      <c r="I366" s="24">
        <f>T_reg.root.SK[[#This Row],[Volume, kg]]/1000</f>
        <v>50.15</v>
      </c>
      <c r="J366" s="25">
        <v>0.25879999999999997</v>
      </c>
      <c r="K366" s="25">
        <f t="shared" si="5"/>
        <v>12978.819999999998</v>
      </c>
      <c r="L366" s="25">
        <v>3.55</v>
      </c>
      <c r="M366" s="24">
        <v>178032.5</v>
      </c>
      <c r="N366" s="25">
        <f>IFERROR(T_reg.root.SK[[#This Row],[Price]]/T_reg.root.SK[[#This Row],[Starch content]],"")</f>
        <v>13.717156105100464</v>
      </c>
    </row>
    <row r="367" spans="1:14">
      <c r="A367" s="21">
        <v>2023</v>
      </c>
      <c r="B367" s="21" t="s">
        <v>20</v>
      </c>
      <c r="C367" s="21" t="s">
        <v>1145</v>
      </c>
      <c r="D367" s="21" t="s">
        <v>35</v>
      </c>
      <c r="E367" s="17" t="s">
        <v>307</v>
      </c>
      <c r="F367" s="18" t="s">
        <v>105</v>
      </c>
      <c r="G367" s="18" t="s">
        <v>48</v>
      </c>
      <c r="H367" s="24">
        <v>12290</v>
      </c>
      <c r="I367" s="24">
        <f>T_reg.root.SK[[#This Row],[Volume, kg]]/1000</f>
        <v>12.29</v>
      </c>
      <c r="J367" s="25">
        <v>0.25869999999999999</v>
      </c>
      <c r="K367" s="25">
        <f t="shared" si="5"/>
        <v>3179.4229999999998</v>
      </c>
      <c r="L367" s="25">
        <v>3.47</v>
      </c>
      <c r="M367" s="24">
        <v>42657</v>
      </c>
      <c r="N367" s="25">
        <f>IFERROR(T_reg.root.SK[[#This Row],[Price]]/T_reg.root.SK[[#This Row],[Starch content]],"")</f>
        <v>13.413219945883265</v>
      </c>
    </row>
    <row r="368" spans="1:14">
      <c r="A368" s="21">
        <v>2023</v>
      </c>
      <c r="B368" s="21" t="s">
        <v>20</v>
      </c>
      <c r="C368" s="21" t="s">
        <v>1145</v>
      </c>
      <c r="D368" s="21" t="s">
        <v>35</v>
      </c>
      <c r="E368" s="17" t="s">
        <v>308</v>
      </c>
      <c r="F368" s="18" t="s">
        <v>105</v>
      </c>
      <c r="G368" s="18" t="s">
        <v>48</v>
      </c>
      <c r="H368" s="24">
        <v>31990</v>
      </c>
      <c r="I368" s="24">
        <f>T_reg.root.SK[[#This Row],[Volume, kg]]/1000</f>
        <v>31.99</v>
      </c>
      <c r="J368" s="25">
        <v>0.28210000000000002</v>
      </c>
      <c r="K368" s="25">
        <f t="shared" si="5"/>
        <v>9024.3790000000008</v>
      </c>
      <c r="L368" s="25">
        <v>3.61</v>
      </c>
      <c r="M368" s="24">
        <v>115443.5</v>
      </c>
      <c r="N368" s="25">
        <f>IFERROR(T_reg.root.SK[[#This Row],[Price]]/T_reg.root.SK[[#This Row],[Starch content]],"")</f>
        <v>12.796880538816021</v>
      </c>
    </row>
    <row r="369" spans="1:14">
      <c r="A369" s="21">
        <v>2023</v>
      </c>
      <c r="B369" s="21" t="s">
        <v>20</v>
      </c>
      <c r="C369" s="21" t="s">
        <v>1145</v>
      </c>
      <c r="D369" s="21" t="s">
        <v>35</v>
      </c>
      <c r="E369" s="17" t="s">
        <v>141</v>
      </c>
      <c r="F369" s="18" t="s">
        <v>105</v>
      </c>
      <c r="G369" s="18" t="s">
        <v>48</v>
      </c>
      <c r="H369" s="24">
        <v>30700</v>
      </c>
      <c r="I369" s="24">
        <f>T_reg.root.SK[[#This Row],[Volume, kg]]/1000</f>
        <v>30.7</v>
      </c>
      <c r="J369" s="25">
        <v>0.30469999999999997</v>
      </c>
      <c r="K369" s="25">
        <f t="shared" si="5"/>
        <v>9354.2899999999991</v>
      </c>
      <c r="L369" s="25">
        <v>3.7</v>
      </c>
      <c r="M369" s="24">
        <v>113555</v>
      </c>
      <c r="N369" s="25">
        <f>IFERROR(T_reg.root.SK[[#This Row],[Price]]/T_reg.root.SK[[#This Row],[Starch content]],"")</f>
        <v>12.143091565474238</v>
      </c>
    </row>
    <row r="370" spans="1:14">
      <c r="A370" s="21">
        <v>2023</v>
      </c>
      <c r="B370" s="21" t="s">
        <v>20</v>
      </c>
      <c r="C370" s="21" t="s">
        <v>1145</v>
      </c>
      <c r="D370" s="21" t="s">
        <v>35</v>
      </c>
      <c r="E370" s="17" t="s">
        <v>245</v>
      </c>
      <c r="F370" s="18" t="s">
        <v>105</v>
      </c>
      <c r="G370" s="18" t="s">
        <v>48</v>
      </c>
      <c r="H370" s="24">
        <v>24330</v>
      </c>
      <c r="I370" s="24">
        <f>T_reg.root.SK[[#This Row],[Volume, kg]]/1000</f>
        <v>24.33</v>
      </c>
      <c r="J370" s="25">
        <v>0.26919999999999999</v>
      </c>
      <c r="K370" s="25">
        <f t="shared" si="5"/>
        <v>6549.6359999999995</v>
      </c>
      <c r="L370" s="25">
        <v>3.85</v>
      </c>
      <c r="M370" s="24">
        <v>93765</v>
      </c>
      <c r="N370" s="25">
        <f>IFERROR(T_reg.root.SK[[#This Row],[Price]]/T_reg.root.SK[[#This Row],[Starch content]],"")</f>
        <v>14.301634472511145</v>
      </c>
    </row>
    <row r="371" spans="1:14">
      <c r="A371" s="21">
        <v>2023</v>
      </c>
      <c r="B371" s="21" t="s">
        <v>20</v>
      </c>
      <c r="C371" s="21" t="s">
        <v>1145</v>
      </c>
      <c r="D371" s="21" t="s">
        <v>35</v>
      </c>
      <c r="E371" s="17" t="s">
        <v>309</v>
      </c>
      <c r="F371" s="18" t="s">
        <v>105</v>
      </c>
      <c r="G371" s="18" t="s">
        <v>48</v>
      </c>
      <c r="H371" s="24">
        <v>40670</v>
      </c>
      <c r="I371" s="24">
        <f>T_reg.root.SK[[#This Row],[Volume, kg]]/1000</f>
        <v>40.67</v>
      </c>
      <c r="J371" s="25">
        <v>0.28110000000000002</v>
      </c>
      <c r="K371" s="25">
        <f t="shared" si="5"/>
        <v>11432.337000000001</v>
      </c>
      <c r="L371" s="25">
        <v>3.64</v>
      </c>
      <c r="M371" s="24">
        <v>148174</v>
      </c>
      <c r="N371" s="25">
        <f>IFERROR(T_reg.root.SK[[#This Row],[Price]]/T_reg.root.SK[[#This Row],[Starch content]],"")</f>
        <v>12.94912842404838</v>
      </c>
    </row>
    <row r="372" spans="1:14">
      <c r="A372" s="21">
        <v>2023</v>
      </c>
      <c r="B372" s="21" t="s">
        <v>20</v>
      </c>
      <c r="C372" s="21" t="s">
        <v>1145</v>
      </c>
      <c r="D372" s="21" t="s">
        <v>35</v>
      </c>
      <c r="E372" s="17" t="s">
        <v>310</v>
      </c>
      <c r="F372" s="18" t="s">
        <v>105</v>
      </c>
      <c r="G372" s="18" t="s">
        <v>48</v>
      </c>
      <c r="H372" s="24">
        <v>8910</v>
      </c>
      <c r="I372" s="24">
        <f>T_reg.root.SK[[#This Row],[Volume, kg]]/1000</f>
        <v>8.91</v>
      </c>
      <c r="J372" s="25">
        <v>0.26170000000000004</v>
      </c>
      <c r="K372" s="25">
        <f t="shared" si="5"/>
        <v>2331.7470000000003</v>
      </c>
      <c r="L372" s="25">
        <v>3.5</v>
      </c>
      <c r="M372" s="24">
        <v>31185</v>
      </c>
      <c r="N372" s="25">
        <f>IFERROR(T_reg.root.SK[[#This Row],[Price]]/T_reg.root.SK[[#This Row],[Starch content]],"")</f>
        <v>13.374092472296521</v>
      </c>
    </row>
    <row r="373" spans="1:14">
      <c r="A373" s="21">
        <v>2023</v>
      </c>
      <c r="B373" s="21" t="s">
        <v>20</v>
      </c>
      <c r="C373" s="21" t="s">
        <v>1145</v>
      </c>
      <c r="D373" s="21" t="s">
        <v>35</v>
      </c>
      <c r="E373" s="17" t="s">
        <v>143</v>
      </c>
      <c r="F373" s="18" t="s">
        <v>105</v>
      </c>
      <c r="G373" s="18" t="s">
        <v>48</v>
      </c>
      <c r="H373" s="24">
        <v>44940</v>
      </c>
      <c r="I373" s="24">
        <f>T_reg.root.SK[[#This Row],[Volume, kg]]/1000</f>
        <v>44.94</v>
      </c>
      <c r="J373" s="25">
        <v>0.30579999999999996</v>
      </c>
      <c r="K373" s="25">
        <f t="shared" si="5"/>
        <v>13742.651999999998</v>
      </c>
      <c r="L373" s="25">
        <v>3.68</v>
      </c>
      <c r="M373" s="24">
        <v>165207</v>
      </c>
      <c r="N373" s="25">
        <f>IFERROR(T_reg.root.SK[[#This Row],[Price]]/T_reg.root.SK[[#This Row],[Starch content]],"")</f>
        <v>12.034009156311317</v>
      </c>
    </row>
    <row r="374" spans="1:14">
      <c r="A374" s="21">
        <v>2023</v>
      </c>
      <c r="B374" s="21" t="s">
        <v>20</v>
      </c>
      <c r="C374" s="21" t="s">
        <v>1145</v>
      </c>
      <c r="D374" s="21" t="s">
        <v>35</v>
      </c>
      <c r="E374" s="17" t="s">
        <v>311</v>
      </c>
      <c r="F374" s="18" t="s">
        <v>105</v>
      </c>
      <c r="G374" s="18" t="s">
        <v>48</v>
      </c>
      <c r="H374" s="24">
        <v>10510</v>
      </c>
      <c r="I374" s="24">
        <f>T_reg.root.SK[[#This Row],[Volume, kg]]/1000</f>
        <v>10.51</v>
      </c>
      <c r="J374" s="25">
        <v>0.29100000000000004</v>
      </c>
      <c r="K374" s="25">
        <f t="shared" si="5"/>
        <v>3058.4100000000003</v>
      </c>
      <c r="L374" s="25">
        <v>3.6</v>
      </c>
      <c r="M374" s="24">
        <v>37836</v>
      </c>
      <c r="N374" s="25">
        <f>IFERROR(T_reg.root.SK[[#This Row],[Price]]/T_reg.root.SK[[#This Row],[Starch content]],"")</f>
        <v>12.371134020618555</v>
      </c>
    </row>
    <row r="375" spans="1:14">
      <c r="A375" s="21">
        <v>2023</v>
      </c>
      <c r="B375" s="21" t="s">
        <v>20</v>
      </c>
      <c r="C375" s="21" t="s">
        <v>1145</v>
      </c>
      <c r="D375" s="21" t="s">
        <v>35</v>
      </c>
      <c r="E375" s="17" t="s">
        <v>312</v>
      </c>
      <c r="F375" s="18" t="s">
        <v>105</v>
      </c>
      <c r="G375" s="18" t="s">
        <v>48</v>
      </c>
      <c r="H375" s="24">
        <v>5310</v>
      </c>
      <c r="I375" s="24">
        <f>T_reg.root.SK[[#This Row],[Volume, kg]]/1000</f>
        <v>5.31</v>
      </c>
      <c r="J375" s="25">
        <v>0.24399999999999999</v>
      </c>
      <c r="K375" s="25">
        <f t="shared" si="5"/>
        <v>1295.6399999999999</v>
      </c>
      <c r="L375" s="25">
        <v>3.35</v>
      </c>
      <c r="M375" s="24">
        <v>17788.5</v>
      </c>
      <c r="N375" s="25">
        <f>IFERROR(T_reg.root.SK[[#This Row],[Price]]/T_reg.root.SK[[#This Row],[Starch content]],"")</f>
        <v>13.729508196721312</v>
      </c>
    </row>
    <row r="376" spans="1:14">
      <c r="A376" s="21">
        <v>2023</v>
      </c>
      <c r="B376" s="21" t="s">
        <v>20</v>
      </c>
      <c r="C376" s="21" t="s">
        <v>1145</v>
      </c>
      <c r="D376" s="21" t="s">
        <v>35</v>
      </c>
      <c r="E376" s="17" t="s">
        <v>146</v>
      </c>
      <c r="F376" s="18" t="s">
        <v>105</v>
      </c>
      <c r="G376" s="18" t="s">
        <v>48</v>
      </c>
      <c r="H376" s="24">
        <v>291600</v>
      </c>
      <c r="I376" s="24">
        <f>T_reg.root.SK[[#This Row],[Volume, kg]]/1000</f>
        <v>291.60000000000002</v>
      </c>
      <c r="J376" s="25">
        <v>0.27850000000000003</v>
      </c>
      <c r="K376" s="25">
        <f t="shared" si="5"/>
        <v>81210.600000000006</v>
      </c>
      <c r="L376" s="25">
        <v>3.62</v>
      </c>
      <c r="M376" s="24">
        <v>1055993.5</v>
      </c>
      <c r="N376" s="25">
        <f>IFERROR(T_reg.root.SK[[#This Row],[Price]]/T_reg.root.SK[[#This Row],[Starch content]],"")</f>
        <v>12.998204667863554</v>
      </c>
    </row>
    <row r="377" spans="1:14">
      <c r="A377" s="21">
        <v>2023</v>
      </c>
      <c r="B377" s="21" t="s">
        <v>20</v>
      </c>
      <c r="C377" s="21" t="s">
        <v>1145</v>
      </c>
      <c r="D377" s="21" t="s">
        <v>35</v>
      </c>
      <c r="E377" s="17" t="s">
        <v>147</v>
      </c>
      <c r="F377" s="18" t="s">
        <v>105</v>
      </c>
      <c r="G377" s="18" t="s">
        <v>48</v>
      </c>
      <c r="H377" s="24">
        <v>21440</v>
      </c>
      <c r="I377" s="24">
        <f>T_reg.root.SK[[#This Row],[Volume, kg]]/1000</f>
        <v>21.44</v>
      </c>
      <c r="J377" s="25">
        <v>0.27979999999999999</v>
      </c>
      <c r="K377" s="25">
        <f t="shared" si="5"/>
        <v>5998.9120000000003</v>
      </c>
      <c r="L377" s="25">
        <v>3.6</v>
      </c>
      <c r="M377" s="24">
        <v>77184</v>
      </c>
      <c r="N377" s="25">
        <f>IFERROR(T_reg.root.SK[[#This Row],[Price]]/T_reg.root.SK[[#This Row],[Starch content]],"")</f>
        <v>12.866333095067906</v>
      </c>
    </row>
    <row r="378" spans="1:14">
      <c r="A378" s="21">
        <v>2023</v>
      </c>
      <c r="B378" s="21" t="s">
        <v>20</v>
      </c>
      <c r="C378" s="21" t="s">
        <v>1145</v>
      </c>
      <c r="D378" s="21" t="s">
        <v>35</v>
      </c>
      <c r="E378" s="17" t="s">
        <v>251</v>
      </c>
      <c r="F378" s="18" t="s">
        <v>105</v>
      </c>
      <c r="G378" s="18" t="s">
        <v>48</v>
      </c>
      <c r="H378" s="24">
        <v>43240</v>
      </c>
      <c r="I378" s="24">
        <f>T_reg.root.SK[[#This Row],[Volume, kg]]/1000</f>
        <v>43.24</v>
      </c>
      <c r="J378" s="25">
        <v>0.23250000000000001</v>
      </c>
      <c r="K378" s="25">
        <f t="shared" si="5"/>
        <v>10053.300000000001</v>
      </c>
      <c r="L378" s="25">
        <v>3.31</v>
      </c>
      <c r="M378" s="24">
        <v>142961.5</v>
      </c>
      <c r="N378" s="25">
        <f>IFERROR(T_reg.root.SK[[#This Row],[Price]]/T_reg.root.SK[[#This Row],[Starch content]],"")</f>
        <v>14.236559139784946</v>
      </c>
    </row>
    <row r="379" spans="1:14">
      <c r="A379" s="21">
        <v>2023</v>
      </c>
      <c r="B379" s="21" t="s">
        <v>20</v>
      </c>
      <c r="C379" s="21" t="s">
        <v>1145</v>
      </c>
      <c r="D379" s="21" t="s">
        <v>35</v>
      </c>
      <c r="E379" s="17" t="s">
        <v>148</v>
      </c>
      <c r="F379" s="18" t="s">
        <v>105</v>
      </c>
      <c r="G379" s="18" t="s">
        <v>48</v>
      </c>
      <c r="H379" s="24">
        <v>188710</v>
      </c>
      <c r="I379" s="24">
        <f>T_reg.root.SK[[#This Row],[Volume, kg]]/1000</f>
        <v>188.71</v>
      </c>
      <c r="J379" s="25">
        <v>0.26419999999999999</v>
      </c>
      <c r="K379" s="25">
        <f t="shared" si="5"/>
        <v>49857.182000000001</v>
      </c>
      <c r="L379" s="25">
        <v>3.58</v>
      </c>
      <c r="M379" s="24">
        <v>676153</v>
      </c>
      <c r="N379" s="25">
        <f>IFERROR(T_reg.root.SK[[#This Row],[Price]]/T_reg.root.SK[[#This Row],[Starch content]],"")</f>
        <v>13.550340651021953</v>
      </c>
    </row>
    <row r="380" spans="1:14">
      <c r="A380" s="21">
        <v>2023</v>
      </c>
      <c r="B380" s="21" t="s">
        <v>20</v>
      </c>
      <c r="C380" s="21" t="s">
        <v>1145</v>
      </c>
      <c r="D380" s="21" t="s">
        <v>35</v>
      </c>
      <c r="E380" s="17" t="s">
        <v>149</v>
      </c>
      <c r="F380" s="18" t="s">
        <v>105</v>
      </c>
      <c r="G380" s="18" t="s">
        <v>48</v>
      </c>
      <c r="H380" s="24">
        <v>57160</v>
      </c>
      <c r="I380" s="24">
        <f>T_reg.root.SK[[#This Row],[Volume, kg]]/1000</f>
        <v>57.16</v>
      </c>
      <c r="J380" s="25">
        <v>0.27589999999999998</v>
      </c>
      <c r="K380" s="25">
        <f t="shared" si="5"/>
        <v>15770.444</v>
      </c>
      <c r="L380" s="25">
        <v>3.54</v>
      </c>
      <c r="M380" s="24">
        <v>202426.5</v>
      </c>
      <c r="N380" s="25">
        <f>IFERROR(T_reg.root.SK[[#This Row],[Price]]/T_reg.root.SK[[#This Row],[Starch content]],"")</f>
        <v>12.830735773831099</v>
      </c>
    </row>
    <row r="381" spans="1:14">
      <c r="A381" s="21">
        <v>2023</v>
      </c>
      <c r="B381" s="21" t="s">
        <v>20</v>
      </c>
      <c r="C381" s="21" t="s">
        <v>1145</v>
      </c>
      <c r="D381" s="21" t="s">
        <v>35</v>
      </c>
      <c r="E381" s="17" t="s">
        <v>313</v>
      </c>
      <c r="F381" s="18" t="s">
        <v>105</v>
      </c>
      <c r="G381" s="18" t="s">
        <v>48</v>
      </c>
      <c r="H381" s="24">
        <v>48320</v>
      </c>
      <c r="I381" s="24">
        <f>T_reg.root.SK[[#This Row],[Volume, kg]]/1000</f>
        <v>48.32</v>
      </c>
      <c r="J381" s="25">
        <v>0.27100000000000002</v>
      </c>
      <c r="K381" s="25">
        <f t="shared" si="5"/>
        <v>13094.720000000001</v>
      </c>
      <c r="L381" s="25">
        <v>3.85</v>
      </c>
      <c r="M381" s="24">
        <v>186029.5</v>
      </c>
      <c r="N381" s="25">
        <f>IFERROR(T_reg.root.SK[[#This Row],[Price]]/T_reg.root.SK[[#This Row],[Starch content]],"")</f>
        <v>14.206642066420663</v>
      </c>
    </row>
    <row r="382" spans="1:14">
      <c r="A382" s="21">
        <v>2023</v>
      </c>
      <c r="B382" s="21" t="s">
        <v>20</v>
      </c>
      <c r="C382" s="21" t="s">
        <v>1145</v>
      </c>
      <c r="D382" s="21" t="s">
        <v>35</v>
      </c>
      <c r="E382" s="17" t="s">
        <v>314</v>
      </c>
      <c r="F382" s="18" t="s">
        <v>105</v>
      </c>
      <c r="G382" s="18" t="s">
        <v>48</v>
      </c>
      <c r="H382" s="24">
        <v>39220</v>
      </c>
      <c r="I382" s="24">
        <f>T_reg.root.SK[[#This Row],[Volume, kg]]/1000</f>
        <v>39.22</v>
      </c>
      <c r="J382" s="25">
        <v>0.29170000000000001</v>
      </c>
      <c r="K382" s="25">
        <f t="shared" si="5"/>
        <v>11440.474</v>
      </c>
      <c r="L382" s="25">
        <v>3.64</v>
      </c>
      <c r="M382" s="24">
        <v>142720.5</v>
      </c>
      <c r="N382" s="25">
        <f>IFERROR(T_reg.root.SK[[#This Row],[Price]]/T_reg.root.SK[[#This Row],[Starch content]],"")</f>
        <v>12.478573877271169</v>
      </c>
    </row>
    <row r="383" spans="1:14">
      <c r="A383" s="21">
        <v>2023</v>
      </c>
      <c r="B383" s="21" t="s">
        <v>20</v>
      </c>
      <c r="C383" s="21" t="s">
        <v>1145</v>
      </c>
      <c r="D383" s="21" t="s">
        <v>35</v>
      </c>
      <c r="E383" s="17" t="s">
        <v>315</v>
      </c>
      <c r="F383" s="18" t="s">
        <v>105</v>
      </c>
      <c r="G383" s="18" t="s">
        <v>48</v>
      </c>
      <c r="H383" s="24">
        <v>86000</v>
      </c>
      <c r="I383" s="24">
        <f>T_reg.root.SK[[#This Row],[Volume, kg]]/1000</f>
        <v>86</v>
      </c>
      <c r="J383" s="25">
        <v>0.28149999999999997</v>
      </c>
      <c r="K383" s="25">
        <f t="shared" si="5"/>
        <v>24208.999999999996</v>
      </c>
      <c r="L383" s="25">
        <v>3.63</v>
      </c>
      <c r="M383" s="24">
        <v>312219</v>
      </c>
      <c r="N383" s="25">
        <f>IFERROR(T_reg.root.SK[[#This Row],[Price]]/T_reg.root.SK[[#This Row],[Starch content]],"")</f>
        <v>12.895204262877444</v>
      </c>
    </row>
    <row r="384" spans="1:14">
      <c r="A384" s="21">
        <v>2023</v>
      </c>
      <c r="B384" s="21" t="s">
        <v>20</v>
      </c>
      <c r="C384" s="21" t="s">
        <v>1145</v>
      </c>
      <c r="D384" s="21" t="s">
        <v>35</v>
      </c>
      <c r="E384" s="17" t="s">
        <v>150</v>
      </c>
      <c r="F384" s="18" t="s">
        <v>105</v>
      </c>
      <c r="G384" s="18" t="s">
        <v>48</v>
      </c>
      <c r="H384" s="24">
        <v>251500</v>
      </c>
      <c r="I384" s="24">
        <f>T_reg.root.SK[[#This Row],[Volume, kg]]/1000</f>
        <v>251.5</v>
      </c>
      <c r="J384" s="25">
        <v>0.25790000000000002</v>
      </c>
      <c r="K384" s="25">
        <f t="shared" si="5"/>
        <v>64861.850000000006</v>
      </c>
      <c r="L384" s="25">
        <v>3.64</v>
      </c>
      <c r="M384" s="24">
        <v>916341.5</v>
      </c>
      <c r="N384" s="25">
        <f>IFERROR(T_reg.root.SK[[#This Row],[Price]]/T_reg.root.SK[[#This Row],[Starch content]],"")</f>
        <v>14.113997673516867</v>
      </c>
    </row>
    <row r="385" spans="1:14">
      <c r="A385" s="21">
        <v>2023</v>
      </c>
      <c r="B385" s="21" t="s">
        <v>20</v>
      </c>
      <c r="C385" s="21" t="s">
        <v>1145</v>
      </c>
      <c r="D385" s="21" t="s">
        <v>35</v>
      </c>
      <c r="E385" s="17" t="s">
        <v>151</v>
      </c>
      <c r="F385" s="18" t="s">
        <v>105</v>
      </c>
      <c r="G385" s="18" t="s">
        <v>48</v>
      </c>
      <c r="H385" s="24">
        <v>760550</v>
      </c>
      <c r="I385" s="24">
        <f>T_reg.root.SK[[#This Row],[Volume, kg]]/1000</f>
        <v>760.55</v>
      </c>
      <c r="J385" s="25">
        <v>0.26669999999999999</v>
      </c>
      <c r="K385" s="25">
        <f t="shared" si="5"/>
        <v>202838.685</v>
      </c>
      <c r="L385" s="25">
        <v>3.58</v>
      </c>
      <c r="M385" s="24">
        <v>2719729.5</v>
      </c>
      <c r="N385" s="25">
        <f>IFERROR(T_reg.root.SK[[#This Row],[Price]]/T_reg.root.SK[[#This Row],[Starch content]],"")</f>
        <v>13.423322084739409</v>
      </c>
    </row>
    <row r="386" spans="1:14">
      <c r="A386" s="21">
        <v>2023</v>
      </c>
      <c r="B386" s="21" t="s">
        <v>20</v>
      </c>
      <c r="C386" s="21" t="s">
        <v>1145</v>
      </c>
      <c r="D386" s="21" t="s">
        <v>35</v>
      </c>
      <c r="E386" s="17" t="s">
        <v>316</v>
      </c>
      <c r="F386" s="18" t="s">
        <v>105</v>
      </c>
      <c r="G386" s="18" t="s">
        <v>48</v>
      </c>
      <c r="H386" s="24">
        <v>5540</v>
      </c>
      <c r="I386" s="24">
        <f>T_reg.root.SK[[#This Row],[Volume, kg]]/1000</f>
        <v>5.54</v>
      </c>
      <c r="J386" s="25">
        <v>0.2495</v>
      </c>
      <c r="K386" s="25">
        <f t="shared" si="5"/>
        <v>1382.23</v>
      </c>
      <c r="L386" s="25">
        <v>3.4</v>
      </c>
      <c r="M386" s="24">
        <v>18836</v>
      </c>
      <c r="N386" s="25">
        <f>IFERROR(T_reg.root.SK[[#This Row],[Price]]/T_reg.root.SK[[#This Row],[Starch content]],"")</f>
        <v>13.627254509018035</v>
      </c>
    </row>
    <row r="387" spans="1:14">
      <c r="A387" s="21">
        <v>2023</v>
      </c>
      <c r="B387" s="21" t="s">
        <v>20</v>
      </c>
      <c r="C387" s="21" t="s">
        <v>1145</v>
      </c>
      <c r="D387" s="21" t="s">
        <v>35</v>
      </c>
      <c r="E387" s="17" t="s">
        <v>152</v>
      </c>
      <c r="F387" s="18" t="s">
        <v>105</v>
      </c>
      <c r="G387" s="18" t="s">
        <v>48</v>
      </c>
      <c r="H387" s="24">
        <v>18310</v>
      </c>
      <c r="I387" s="24">
        <f>T_reg.root.SK[[#This Row],[Volume, kg]]/1000</f>
        <v>18.309999999999999</v>
      </c>
      <c r="J387" s="25">
        <v>0.25019999999999998</v>
      </c>
      <c r="K387" s="25">
        <f t="shared" ref="K387:K450" si="6">H387*J387</f>
        <v>4581.1619999999994</v>
      </c>
      <c r="L387" s="25">
        <v>3.42</v>
      </c>
      <c r="M387" s="24">
        <v>62658.5</v>
      </c>
      <c r="N387" s="25">
        <f>IFERROR(T_reg.root.SK[[#This Row],[Price]]/T_reg.root.SK[[#This Row],[Starch content]],"")</f>
        <v>13.669064748201439</v>
      </c>
    </row>
    <row r="388" spans="1:14">
      <c r="A388" s="21">
        <v>2023</v>
      </c>
      <c r="B388" s="21" t="s">
        <v>20</v>
      </c>
      <c r="C388" s="21" t="s">
        <v>1145</v>
      </c>
      <c r="D388" s="21" t="s">
        <v>35</v>
      </c>
      <c r="E388" s="17" t="s">
        <v>317</v>
      </c>
      <c r="F388" s="18" t="s">
        <v>105</v>
      </c>
      <c r="G388" s="18" t="s">
        <v>48</v>
      </c>
      <c r="H388" s="24">
        <v>12050</v>
      </c>
      <c r="I388" s="24">
        <f>T_reg.root.SK[[#This Row],[Volume, kg]]/1000</f>
        <v>12.05</v>
      </c>
      <c r="J388" s="25">
        <v>0.29649999999999999</v>
      </c>
      <c r="K388" s="25">
        <f t="shared" si="6"/>
        <v>3572.8249999999998</v>
      </c>
      <c r="L388" s="25">
        <v>3.7</v>
      </c>
      <c r="M388" s="24">
        <v>44585</v>
      </c>
      <c r="N388" s="25">
        <f>IFERROR(T_reg.root.SK[[#This Row],[Price]]/T_reg.root.SK[[#This Row],[Starch content]],"")</f>
        <v>12.478920741989883</v>
      </c>
    </row>
    <row r="389" spans="1:14">
      <c r="A389" s="21">
        <v>2023</v>
      </c>
      <c r="B389" s="21" t="s">
        <v>20</v>
      </c>
      <c r="C389" s="21" t="s">
        <v>1145</v>
      </c>
      <c r="D389" s="21" t="s">
        <v>35</v>
      </c>
      <c r="E389" s="17" t="s">
        <v>153</v>
      </c>
      <c r="F389" s="18" t="s">
        <v>105</v>
      </c>
      <c r="G389" s="18" t="s">
        <v>48</v>
      </c>
      <c r="H389" s="24">
        <v>4480</v>
      </c>
      <c r="I389" s="24">
        <f>T_reg.root.SK[[#This Row],[Volume, kg]]/1000</f>
        <v>4.4800000000000004</v>
      </c>
      <c r="J389" s="25">
        <v>0.27350000000000002</v>
      </c>
      <c r="K389" s="25">
        <f t="shared" si="6"/>
        <v>1225.2800000000002</v>
      </c>
      <c r="L389" s="25">
        <v>3.85</v>
      </c>
      <c r="M389" s="24">
        <v>17248</v>
      </c>
      <c r="N389" s="25">
        <f>IFERROR(T_reg.root.SK[[#This Row],[Price]]/T_reg.root.SK[[#This Row],[Starch content]],"")</f>
        <v>14.076782449725776</v>
      </c>
    </row>
    <row r="390" spans="1:14">
      <c r="A390" s="21">
        <v>2023</v>
      </c>
      <c r="B390" s="21" t="s">
        <v>20</v>
      </c>
      <c r="C390" s="21" t="s">
        <v>1145</v>
      </c>
      <c r="D390" s="21" t="s">
        <v>35</v>
      </c>
      <c r="E390" s="17" t="s">
        <v>154</v>
      </c>
      <c r="F390" s="18" t="s">
        <v>105</v>
      </c>
      <c r="G390" s="18" t="s">
        <v>48</v>
      </c>
      <c r="H390" s="24">
        <v>59710</v>
      </c>
      <c r="I390" s="24">
        <f>T_reg.root.SK[[#This Row],[Volume, kg]]/1000</f>
        <v>59.71</v>
      </c>
      <c r="J390" s="25">
        <v>0.26550000000000001</v>
      </c>
      <c r="K390" s="25">
        <f t="shared" si="6"/>
        <v>15853.005000000001</v>
      </c>
      <c r="L390" s="25">
        <v>3.58</v>
      </c>
      <c r="M390" s="24">
        <v>213993</v>
      </c>
      <c r="N390" s="25">
        <f>IFERROR(T_reg.root.SK[[#This Row],[Price]]/T_reg.root.SK[[#This Row],[Starch content]],"")</f>
        <v>13.483992467043315</v>
      </c>
    </row>
    <row r="391" spans="1:14">
      <c r="A391" s="21">
        <v>2023</v>
      </c>
      <c r="B391" s="21" t="s">
        <v>20</v>
      </c>
      <c r="C391" s="21" t="s">
        <v>1145</v>
      </c>
      <c r="D391" s="21" t="s">
        <v>35</v>
      </c>
      <c r="E391" s="17" t="s">
        <v>155</v>
      </c>
      <c r="F391" s="18" t="s">
        <v>105</v>
      </c>
      <c r="G391" s="18" t="s">
        <v>48</v>
      </c>
      <c r="H391" s="24">
        <v>5330</v>
      </c>
      <c r="I391" s="24">
        <f>T_reg.root.SK[[#This Row],[Volume, kg]]/1000</f>
        <v>5.33</v>
      </c>
      <c r="J391" s="25">
        <v>0.26400000000000001</v>
      </c>
      <c r="K391" s="25">
        <f t="shared" si="6"/>
        <v>1407.1200000000001</v>
      </c>
      <c r="L391" s="25">
        <v>3.5</v>
      </c>
      <c r="M391" s="24">
        <v>18655</v>
      </c>
      <c r="N391" s="25">
        <f>IFERROR(T_reg.root.SK[[#This Row],[Price]]/T_reg.root.SK[[#This Row],[Starch content]],"")</f>
        <v>13.257575757575758</v>
      </c>
    </row>
    <row r="392" spans="1:14">
      <c r="A392" s="21">
        <v>2023</v>
      </c>
      <c r="B392" s="21" t="s">
        <v>20</v>
      </c>
      <c r="C392" s="21" t="s">
        <v>1145</v>
      </c>
      <c r="D392" s="21" t="s">
        <v>35</v>
      </c>
      <c r="E392" s="17" t="s">
        <v>156</v>
      </c>
      <c r="F392" s="18" t="s">
        <v>105</v>
      </c>
      <c r="G392" s="18" t="s">
        <v>48</v>
      </c>
      <c r="H392" s="24">
        <v>9280</v>
      </c>
      <c r="I392" s="24">
        <f>T_reg.root.SK[[#This Row],[Volume, kg]]/1000</f>
        <v>9.2799999999999994</v>
      </c>
      <c r="J392" s="25">
        <v>0.25969999999999999</v>
      </c>
      <c r="K392" s="25">
        <f t="shared" si="6"/>
        <v>2410.0160000000001</v>
      </c>
      <c r="L392" s="25">
        <v>3.47</v>
      </c>
      <c r="M392" s="24">
        <v>32226.5</v>
      </c>
      <c r="N392" s="25">
        <f>IFERROR(T_reg.root.SK[[#This Row],[Price]]/T_reg.root.SK[[#This Row],[Starch content]],"")</f>
        <v>13.361571043511745</v>
      </c>
    </row>
    <row r="393" spans="1:14">
      <c r="A393" s="21">
        <v>2023</v>
      </c>
      <c r="B393" s="21" t="s">
        <v>20</v>
      </c>
      <c r="C393" s="21" t="s">
        <v>1145</v>
      </c>
      <c r="D393" s="21" t="s">
        <v>35</v>
      </c>
      <c r="E393" s="17" t="s">
        <v>159</v>
      </c>
      <c r="F393" s="18" t="s">
        <v>105</v>
      </c>
      <c r="G393" s="18" t="s">
        <v>48</v>
      </c>
      <c r="H393" s="24">
        <v>232230</v>
      </c>
      <c r="I393" s="24">
        <f>T_reg.root.SK[[#This Row],[Volume, kg]]/1000</f>
        <v>232.23</v>
      </c>
      <c r="J393" s="25">
        <v>0.2833</v>
      </c>
      <c r="K393" s="25">
        <f t="shared" si="6"/>
        <v>65790.759000000005</v>
      </c>
      <c r="L393" s="25">
        <v>3.62</v>
      </c>
      <c r="M393" s="24">
        <v>841711</v>
      </c>
      <c r="N393" s="25">
        <f>IFERROR(T_reg.root.SK[[#This Row],[Price]]/T_reg.root.SK[[#This Row],[Starch content]],"")</f>
        <v>12.777973879279916</v>
      </c>
    </row>
    <row r="394" spans="1:14">
      <c r="A394" s="21">
        <v>2023</v>
      </c>
      <c r="B394" s="21" t="s">
        <v>20</v>
      </c>
      <c r="C394" s="21" t="s">
        <v>1145</v>
      </c>
      <c r="D394" s="21" t="s">
        <v>35</v>
      </c>
      <c r="E394" s="17" t="s">
        <v>318</v>
      </c>
      <c r="F394" s="18" t="s">
        <v>105</v>
      </c>
      <c r="G394" s="18" t="s">
        <v>48</v>
      </c>
      <c r="H394" s="24">
        <v>10750</v>
      </c>
      <c r="I394" s="24">
        <f>T_reg.root.SK[[#This Row],[Volume, kg]]/1000</f>
        <v>10.75</v>
      </c>
      <c r="J394" s="25">
        <v>0.32409999999999994</v>
      </c>
      <c r="K394" s="25">
        <f t="shared" si="6"/>
        <v>3484.0749999999994</v>
      </c>
      <c r="L394" s="25">
        <v>3.87</v>
      </c>
      <c r="M394" s="24">
        <v>41594</v>
      </c>
      <c r="N394" s="25">
        <f>IFERROR(T_reg.root.SK[[#This Row],[Price]]/T_reg.root.SK[[#This Row],[Starch content]],"")</f>
        <v>11.940759024992289</v>
      </c>
    </row>
    <row r="395" spans="1:14">
      <c r="A395" s="21">
        <v>2023</v>
      </c>
      <c r="B395" s="21" t="s">
        <v>20</v>
      </c>
      <c r="C395" s="21" t="s">
        <v>1145</v>
      </c>
      <c r="D395" s="21" t="s">
        <v>35</v>
      </c>
      <c r="E395" s="17" t="s">
        <v>255</v>
      </c>
      <c r="F395" s="18" t="s">
        <v>105</v>
      </c>
      <c r="G395" s="18" t="s">
        <v>48</v>
      </c>
      <c r="H395" s="24">
        <v>26700</v>
      </c>
      <c r="I395" s="24">
        <f>T_reg.root.SK[[#This Row],[Volume, kg]]/1000</f>
        <v>26.7</v>
      </c>
      <c r="J395" s="25">
        <v>0.26700000000000002</v>
      </c>
      <c r="K395" s="25">
        <f t="shared" si="6"/>
        <v>7128.9000000000005</v>
      </c>
      <c r="L395" s="25">
        <v>3.7</v>
      </c>
      <c r="M395" s="24">
        <v>98680.5</v>
      </c>
      <c r="N395" s="25">
        <f>IFERROR(T_reg.root.SK[[#This Row],[Price]]/T_reg.root.SK[[#This Row],[Starch content]],"")</f>
        <v>13.857677902621722</v>
      </c>
    </row>
    <row r="396" spans="1:14">
      <c r="A396" s="21">
        <v>2023</v>
      </c>
      <c r="B396" s="21" t="s">
        <v>20</v>
      </c>
      <c r="C396" s="21" t="s">
        <v>1145</v>
      </c>
      <c r="D396" s="21" t="s">
        <v>35</v>
      </c>
      <c r="E396" s="17" t="s">
        <v>160</v>
      </c>
      <c r="F396" s="18" t="s">
        <v>105</v>
      </c>
      <c r="G396" s="18" t="s">
        <v>48</v>
      </c>
      <c r="H396" s="24">
        <v>20560</v>
      </c>
      <c r="I396" s="24">
        <f>T_reg.root.SK[[#This Row],[Volume, kg]]/1000</f>
        <v>20.56</v>
      </c>
      <c r="J396" s="25">
        <v>0.31609999999999999</v>
      </c>
      <c r="K396" s="25">
        <f t="shared" si="6"/>
        <v>6499.0159999999996</v>
      </c>
      <c r="L396" s="25">
        <v>3.78</v>
      </c>
      <c r="M396" s="24">
        <v>77643.5</v>
      </c>
      <c r="N396" s="25">
        <f>IFERROR(T_reg.root.SK[[#This Row],[Price]]/T_reg.root.SK[[#This Row],[Starch content]],"")</f>
        <v>11.958241062954761</v>
      </c>
    </row>
    <row r="397" spans="1:14">
      <c r="A397" s="21">
        <v>2023</v>
      </c>
      <c r="B397" s="21" t="s">
        <v>20</v>
      </c>
      <c r="C397" s="21" t="s">
        <v>1145</v>
      </c>
      <c r="D397" s="21" t="s">
        <v>35</v>
      </c>
      <c r="E397" s="17" t="s">
        <v>161</v>
      </c>
      <c r="F397" s="18" t="s">
        <v>105</v>
      </c>
      <c r="G397" s="18" t="s">
        <v>48</v>
      </c>
      <c r="H397" s="24">
        <v>81250</v>
      </c>
      <c r="I397" s="24">
        <f>T_reg.root.SK[[#This Row],[Volume, kg]]/1000</f>
        <v>81.25</v>
      </c>
      <c r="J397" s="25">
        <v>0.25700000000000001</v>
      </c>
      <c r="K397" s="25">
        <f t="shared" si="6"/>
        <v>20881.25</v>
      </c>
      <c r="L397" s="25">
        <v>3.58</v>
      </c>
      <c r="M397" s="24">
        <v>291003</v>
      </c>
      <c r="N397" s="25">
        <f>IFERROR(T_reg.root.SK[[#This Row],[Price]]/T_reg.root.SK[[#This Row],[Starch content]],"")</f>
        <v>13.929961089494164</v>
      </c>
    </row>
    <row r="398" spans="1:14">
      <c r="A398" s="21">
        <v>2023</v>
      </c>
      <c r="B398" s="21" t="s">
        <v>20</v>
      </c>
      <c r="C398" s="21" t="s">
        <v>1145</v>
      </c>
      <c r="D398" s="21" t="s">
        <v>35</v>
      </c>
      <c r="E398" s="17" t="s">
        <v>162</v>
      </c>
      <c r="F398" s="18" t="s">
        <v>105</v>
      </c>
      <c r="G398" s="18" t="s">
        <v>48</v>
      </c>
      <c r="H398" s="24">
        <v>10450</v>
      </c>
      <c r="I398" s="24">
        <f>T_reg.root.SK[[#This Row],[Volume, kg]]/1000</f>
        <v>10.45</v>
      </c>
      <c r="J398" s="25">
        <v>0.3115</v>
      </c>
      <c r="K398" s="25">
        <f t="shared" si="6"/>
        <v>3255.1750000000002</v>
      </c>
      <c r="L398" s="25">
        <v>3.75</v>
      </c>
      <c r="M398" s="24">
        <v>39187.5</v>
      </c>
      <c r="N398" s="25">
        <f>IFERROR(T_reg.root.SK[[#This Row],[Price]]/T_reg.root.SK[[#This Row],[Starch content]],"")</f>
        <v>12.038523274478331</v>
      </c>
    </row>
    <row r="399" spans="1:14">
      <c r="A399" s="21">
        <v>2023</v>
      </c>
      <c r="B399" s="21" t="s">
        <v>20</v>
      </c>
      <c r="C399" s="21" t="s">
        <v>1145</v>
      </c>
      <c r="D399" s="21" t="s">
        <v>35</v>
      </c>
      <c r="E399" s="17" t="s">
        <v>163</v>
      </c>
      <c r="F399" s="18" t="s">
        <v>105</v>
      </c>
      <c r="G399" s="18" t="s">
        <v>48</v>
      </c>
      <c r="H399" s="24">
        <v>139300</v>
      </c>
      <c r="I399" s="24">
        <f>T_reg.root.SK[[#This Row],[Volume, kg]]/1000</f>
        <v>139.30000000000001</v>
      </c>
      <c r="J399" s="25">
        <v>0.28639999999999999</v>
      </c>
      <c r="K399" s="25">
        <f t="shared" si="6"/>
        <v>39895.519999999997</v>
      </c>
      <c r="L399" s="25">
        <v>3.82</v>
      </c>
      <c r="M399" s="24">
        <v>532474</v>
      </c>
      <c r="N399" s="25">
        <f>IFERROR(T_reg.root.SK[[#This Row],[Price]]/T_reg.root.SK[[#This Row],[Starch content]],"")</f>
        <v>13.337988826815643</v>
      </c>
    </row>
    <row r="400" spans="1:14">
      <c r="A400" s="21">
        <v>2023</v>
      </c>
      <c r="B400" s="21" t="s">
        <v>20</v>
      </c>
      <c r="C400" s="21" t="s">
        <v>1145</v>
      </c>
      <c r="D400" s="21" t="s">
        <v>35</v>
      </c>
      <c r="E400" s="17" t="s">
        <v>164</v>
      </c>
      <c r="F400" s="18" t="s">
        <v>105</v>
      </c>
      <c r="G400" s="18" t="s">
        <v>48</v>
      </c>
      <c r="H400" s="24">
        <v>315620</v>
      </c>
      <c r="I400" s="24">
        <f>T_reg.root.SK[[#This Row],[Volume, kg]]/1000</f>
        <v>315.62</v>
      </c>
      <c r="J400" s="25">
        <v>0.29249999999999998</v>
      </c>
      <c r="K400" s="25">
        <f t="shared" si="6"/>
        <v>92318.849999999991</v>
      </c>
      <c r="L400" s="25">
        <v>3.67</v>
      </c>
      <c r="M400" s="24">
        <v>1159164.5</v>
      </c>
      <c r="N400" s="25">
        <f>IFERROR(T_reg.root.SK[[#This Row],[Price]]/T_reg.root.SK[[#This Row],[Starch content]],"")</f>
        <v>12.547008547008547</v>
      </c>
    </row>
    <row r="401" spans="1:14">
      <c r="A401" s="21">
        <v>2023</v>
      </c>
      <c r="B401" s="21" t="s">
        <v>20</v>
      </c>
      <c r="C401" s="21" t="s">
        <v>1145</v>
      </c>
      <c r="D401" s="21" t="s">
        <v>35</v>
      </c>
      <c r="E401" s="17" t="s">
        <v>165</v>
      </c>
      <c r="F401" s="18" t="s">
        <v>105</v>
      </c>
      <c r="G401" s="18" t="s">
        <v>48</v>
      </c>
      <c r="H401" s="24">
        <v>89640</v>
      </c>
      <c r="I401" s="24">
        <f>T_reg.root.SK[[#This Row],[Volume, kg]]/1000</f>
        <v>89.64</v>
      </c>
      <c r="J401" s="25">
        <v>0.3014</v>
      </c>
      <c r="K401" s="25">
        <f t="shared" si="6"/>
        <v>27017.495999999999</v>
      </c>
      <c r="L401" s="25">
        <v>3.68</v>
      </c>
      <c r="M401" s="24">
        <v>329506</v>
      </c>
      <c r="N401" s="25">
        <f>IFERROR(T_reg.root.SK[[#This Row],[Price]]/T_reg.root.SK[[#This Row],[Starch content]],"")</f>
        <v>12.209688122096882</v>
      </c>
    </row>
    <row r="402" spans="1:14">
      <c r="A402" s="21">
        <v>2023</v>
      </c>
      <c r="B402" s="21" t="s">
        <v>20</v>
      </c>
      <c r="C402" s="21" t="s">
        <v>1145</v>
      </c>
      <c r="D402" s="21" t="s">
        <v>35</v>
      </c>
      <c r="E402" s="17" t="s">
        <v>167</v>
      </c>
      <c r="F402" s="18" t="s">
        <v>105</v>
      </c>
      <c r="G402" s="18" t="s">
        <v>48</v>
      </c>
      <c r="H402" s="24">
        <v>2020</v>
      </c>
      <c r="I402" s="24">
        <f>T_reg.root.SK[[#This Row],[Volume, kg]]/1000</f>
        <v>2.02</v>
      </c>
      <c r="J402" s="25">
        <v>0.24399999999999999</v>
      </c>
      <c r="K402" s="25">
        <f t="shared" si="6"/>
        <v>492.88</v>
      </c>
      <c r="L402" s="25">
        <v>3.45</v>
      </c>
      <c r="M402" s="24">
        <v>6969</v>
      </c>
      <c r="N402" s="25">
        <f>IFERROR(T_reg.root.SK[[#This Row],[Price]]/T_reg.root.SK[[#This Row],[Starch content]],"")</f>
        <v>14.139344262295083</v>
      </c>
    </row>
    <row r="403" spans="1:14">
      <c r="A403" s="21">
        <v>2023</v>
      </c>
      <c r="B403" s="21" t="s">
        <v>20</v>
      </c>
      <c r="C403" s="21" t="s">
        <v>1145</v>
      </c>
      <c r="D403" s="21" t="s">
        <v>35</v>
      </c>
      <c r="E403" s="17" t="s">
        <v>168</v>
      </c>
      <c r="F403" s="18" t="s">
        <v>105</v>
      </c>
      <c r="G403" s="18" t="s">
        <v>48</v>
      </c>
      <c r="H403" s="24">
        <v>29860</v>
      </c>
      <c r="I403" s="24">
        <f>T_reg.root.SK[[#This Row],[Volume, kg]]/1000</f>
        <v>29.86</v>
      </c>
      <c r="J403" s="25">
        <v>0.30740000000000001</v>
      </c>
      <c r="K403" s="25">
        <f t="shared" si="6"/>
        <v>9178.9639999999999</v>
      </c>
      <c r="L403" s="25">
        <v>3.74</v>
      </c>
      <c r="M403" s="24">
        <v>111599</v>
      </c>
      <c r="N403" s="25">
        <f>IFERROR(T_reg.root.SK[[#This Row],[Price]]/T_reg.root.SK[[#This Row],[Starch content]],"")</f>
        <v>12.166558230318802</v>
      </c>
    </row>
    <row r="404" spans="1:14">
      <c r="A404" s="21">
        <v>2023</v>
      </c>
      <c r="B404" s="21" t="s">
        <v>20</v>
      </c>
      <c r="C404" s="21" t="s">
        <v>1145</v>
      </c>
      <c r="D404" s="21" t="s">
        <v>35</v>
      </c>
      <c r="E404" s="17" t="s">
        <v>257</v>
      </c>
      <c r="F404" s="18" t="s">
        <v>105</v>
      </c>
      <c r="G404" s="18" t="s">
        <v>48</v>
      </c>
      <c r="H404" s="24">
        <v>123360</v>
      </c>
      <c r="I404" s="24">
        <f>T_reg.root.SK[[#This Row],[Volume, kg]]/1000</f>
        <v>123.36</v>
      </c>
      <c r="J404" s="25">
        <v>0.27839999999999998</v>
      </c>
      <c r="K404" s="25">
        <f t="shared" si="6"/>
        <v>34343.423999999999</v>
      </c>
      <c r="L404" s="25">
        <v>3.58</v>
      </c>
      <c r="M404" s="24">
        <v>441192.5</v>
      </c>
      <c r="N404" s="25">
        <f>IFERROR(T_reg.root.SK[[#This Row],[Price]]/T_reg.root.SK[[#This Row],[Starch content]],"")</f>
        <v>12.859195402298852</v>
      </c>
    </row>
    <row r="405" spans="1:14">
      <c r="A405" s="21">
        <v>2023</v>
      </c>
      <c r="B405" s="21" t="s">
        <v>20</v>
      </c>
      <c r="C405" s="21" t="s">
        <v>1145</v>
      </c>
      <c r="D405" s="21" t="s">
        <v>35</v>
      </c>
      <c r="E405" s="17" t="s">
        <v>170</v>
      </c>
      <c r="F405" s="18" t="s">
        <v>105</v>
      </c>
      <c r="G405" s="18" t="s">
        <v>48</v>
      </c>
      <c r="H405" s="24">
        <v>12920</v>
      </c>
      <c r="I405" s="24">
        <f>T_reg.root.SK[[#This Row],[Volume, kg]]/1000</f>
        <v>12.92</v>
      </c>
      <c r="J405" s="25">
        <v>0.23920000000000002</v>
      </c>
      <c r="K405" s="25">
        <f t="shared" si="6"/>
        <v>3090.4640000000004</v>
      </c>
      <c r="L405" s="25">
        <v>3.68</v>
      </c>
      <c r="M405" s="24">
        <v>47538.5</v>
      </c>
      <c r="N405" s="25">
        <f>IFERROR(T_reg.root.SK[[#This Row],[Price]]/T_reg.root.SK[[#This Row],[Starch content]],"")</f>
        <v>15.384615384615383</v>
      </c>
    </row>
    <row r="406" spans="1:14">
      <c r="A406" s="21">
        <v>2023</v>
      </c>
      <c r="B406" s="21" t="s">
        <v>20</v>
      </c>
      <c r="C406" s="21" t="s">
        <v>1145</v>
      </c>
      <c r="D406" s="21" t="s">
        <v>35</v>
      </c>
      <c r="E406" s="17" t="s">
        <v>319</v>
      </c>
      <c r="F406" s="18" t="s">
        <v>105</v>
      </c>
      <c r="G406" s="18" t="s">
        <v>48</v>
      </c>
      <c r="H406" s="24">
        <v>44590</v>
      </c>
      <c r="I406" s="24">
        <f>T_reg.root.SK[[#This Row],[Volume, kg]]/1000</f>
        <v>44.59</v>
      </c>
      <c r="J406" s="25">
        <v>0.254</v>
      </c>
      <c r="K406" s="25">
        <f t="shared" si="6"/>
        <v>11325.86</v>
      </c>
      <c r="L406" s="25">
        <v>3.47</v>
      </c>
      <c r="M406" s="24">
        <v>154817</v>
      </c>
      <c r="N406" s="25">
        <f>IFERROR(T_reg.root.SK[[#This Row],[Price]]/T_reg.root.SK[[#This Row],[Starch content]],"")</f>
        <v>13.661417322834646</v>
      </c>
    </row>
    <row r="407" spans="1:14">
      <c r="A407" s="21">
        <v>2023</v>
      </c>
      <c r="B407" s="21" t="s">
        <v>20</v>
      </c>
      <c r="C407" s="21" t="s">
        <v>1145</v>
      </c>
      <c r="D407" s="21" t="s">
        <v>35</v>
      </c>
      <c r="E407" s="17" t="s">
        <v>320</v>
      </c>
      <c r="F407" s="18" t="s">
        <v>105</v>
      </c>
      <c r="G407" s="18" t="s">
        <v>48</v>
      </c>
      <c r="H407" s="24">
        <v>41590</v>
      </c>
      <c r="I407" s="24">
        <f>T_reg.root.SK[[#This Row],[Volume, kg]]/1000</f>
        <v>41.59</v>
      </c>
      <c r="J407" s="25">
        <v>0.26719999999999999</v>
      </c>
      <c r="K407" s="25">
        <f t="shared" si="6"/>
        <v>11112.848</v>
      </c>
      <c r="L407" s="25">
        <v>3.72</v>
      </c>
      <c r="M407" s="24">
        <v>154754</v>
      </c>
      <c r="N407" s="25">
        <f>IFERROR(T_reg.root.SK[[#This Row],[Price]]/T_reg.root.SK[[#This Row],[Starch content]],"")</f>
        <v>13.922155688622755</v>
      </c>
    </row>
    <row r="408" spans="1:14">
      <c r="A408" s="21">
        <v>2023</v>
      </c>
      <c r="B408" s="21" t="s">
        <v>20</v>
      </c>
      <c r="C408" s="21" t="s">
        <v>1145</v>
      </c>
      <c r="D408" s="21" t="s">
        <v>35</v>
      </c>
      <c r="E408" s="17" t="s">
        <v>321</v>
      </c>
      <c r="F408" s="18" t="s">
        <v>105</v>
      </c>
      <c r="G408" s="18" t="s">
        <v>48</v>
      </c>
      <c r="H408" s="24">
        <v>26670</v>
      </c>
      <c r="I408" s="24">
        <f>T_reg.root.SK[[#This Row],[Volume, kg]]/1000</f>
        <v>26.67</v>
      </c>
      <c r="J408" s="25">
        <v>0.26750000000000002</v>
      </c>
      <c r="K408" s="25">
        <f t="shared" si="6"/>
        <v>7134.2250000000004</v>
      </c>
      <c r="L408" s="25">
        <v>3.53</v>
      </c>
      <c r="M408" s="24">
        <v>94203</v>
      </c>
      <c r="N408" s="25">
        <f>IFERROR(T_reg.root.SK[[#This Row],[Price]]/T_reg.root.SK[[#This Row],[Starch content]],"")</f>
        <v>13.196261682242989</v>
      </c>
    </row>
    <row r="409" spans="1:14">
      <c r="A409" s="21">
        <v>2023</v>
      </c>
      <c r="B409" s="21" t="s">
        <v>20</v>
      </c>
      <c r="C409" s="21" t="s">
        <v>1145</v>
      </c>
      <c r="D409" s="21" t="s">
        <v>35</v>
      </c>
      <c r="E409" s="17" t="s">
        <v>322</v>
      </c>
      <c r="F409" s="18" t="s">
        <v>105</v>
      </c>
      <c r="G409" s="18" t="s">
        <v>48</v>
      </c>
      <c r="H409" s="24">
        <v>4330</v>
      </c>
      <c r="I409" s="24">
        <f>T_reg.root.SK[[#This Row],[Volume, kg]]/1000</f>
        <v>4.33</v>
      </c>
      <c r="J409" s="25">
        <v>0.27850000000000003</v>
      </c>
      <c r="K409" s="25">
        <f t="shared" si="6"/>
        <v>1205.9050000000002</v>
      </c>
      <c r="L409" s="25">
        <v>3.55</v>
      </c>
      <c r="M409" s="24">
        <v>15371.5</v>
      </c>
      <c r="N409" s="25">
        <f>IFERROR(T_reg.root.SK[[#This Row],[Price]]/T_reg.root.SK[[#This Row],[Starch content]],"")</f>
        <v>12.74685816876122</v>
      </c>
    </row>
    <row r="410" spans="1:14">
      <c r="A410" s="21">
        <v>2023</v>
      </c>
      <c r="B410" s="21" t="s">
        <v>20</v>
      </c>
      <c r="C410" s="21" t="s">
        <v>1145</v>
      </c>
      <c r="D410" s="21" t="s">
        <v>35</v>
      </c>
      <c r="E410" s="17" t="s">
        <v>323</v>
      </c>
      <c r="F410" s="18" t="s">
        <v>105</v>
      </c>
      <c r="G410" s="18" t="s">
        <v>48</v>
      </c>
      <c r="H410" s="24">
        <v>69730</v>
      </c>
      <c r="I410" s="24">
        <f>T_reg.root.SK[[#This Row],[Volume, kg]]/1000</f>
        <v>69.73</v>
      </c>
      <c r="J410" s="25">
        <v>0.3226</v>
      </c>
      <c r="K410" s="25">
        <f t="shared" si="6"/>
        <v>22494.898000000001</v>
      </c>
      <c r="L410" s="25">
        <v>3.81</v>
      </c>
      <c r="M410" s="24">
        <v>265513</v>
      </c>
      <c r="N410" s="25">
        <f>IFERROR(T_reg.root.SK[[#This Row],[Price]]/T_reg.root.SK[[#This Row],[Starch content]],"")</f>
        <v>11.810291382517049</v>
      </c>
    </row>
    <row r="411" spans="1:14">
      <c r="A411" s="21">
        <v>2023</v>
      </c>
      <c r="B411" s="21" t="s">
        <v>20</v>
      </c>
      <c r="C411" s="21" t="s">
        <v>1145</v>
      </c>
      <c r="D411" s="21" t="s">
        <v>35</v>
      </c>
      <c r="E411" s="17" t="s">
        <v>324</v>
      </c>
      <c r="F411" s="18" t="s">
        <v>105</v>
      </c>
      <c r="G411" s="18" t="s">
        <v>48</v>
      </c>
      <c r="H411" s="24">
        <v>5060</v>
      </c>
      <c r="I411" s="24">
        <f>T_reg.root.SK[[#This Row],[Volume, kg]]/1000</f>
        <v>5.0599999999999996</v>
      </c>
      <c r="J411" s="25">
        <v>0.29249999999999998</v>
      </c>
      <c r="K411" s="25">
        <f t="shared" si="6"/>
        <v>1480.05</v>
      </c>
      <c r="L411" s="25">
        <v>3.65</v>
      </c>
      <c r="M411" s="24">
        <v>18469</v>
      </c>
      <c r="N411" s="25">
        <f>IFERROR(T_reg.root.SK[[#This Row],[Price]]/T_reg.root.SK[[#This Row],[Starch content]],"")</f>
        <v>12.478632478632479</v>
      </c>
    </row>
    <row r="412" spans="1:14">
      <c r="A412" s="21">
        <v>2023</v>
      </c>
      <c r="B412" s="21" t="s">
        <v>20</v>
      </c>
      <c r="C412" s="21" t="s">
        <v>1145</v>
      </c>
      <c r="D412" s="21" t="s">
        <v>35</v>
      </c>
      <c r="E412" s="17" t="s">
        <v>325</v>
      </c>
      <c r="F412" s="18" t="s">
        <v>105</v>
      </c>
      <c r="G412" s="18" t="s">
        <v>48</v>
      </c>
      <c r="H412" s="24">
        <v>22640</v>
      </c>
      <c r="I412" s="24">
        <f>T_reg.root.SK[[#This Row],[Volume, kg]]/1000</f>
        <v>22.64</v>
      </c>
      <c r="J412" s="25">
        <v>0.25679999999999997</v>
      </c>
      <c r="K412" s="25">
        <f t="shared" si="6"/>
        <v>5813.9519999999993</v>
      </c>
      <c r="L412" s="25">
        <v>3.5</v>
      </c>
      <c r="M412" s="24">
        <v>79240</v>
      </c>
      <c r="N412" s="25">
        <f>IFERROR(T_reg.root.SK[[#This Row],[Price]]/T_reg.root.SK[[#This Row],[Starch content]],"")</f>
        <v>13.629283489096574</v>
      </c>
    </row>
    <row r="413" spans="1:14">
      <c r="A413" s="21">
        <v>2023</v>
      </c>
      <c r="B413" s="21" t="s">
        <v>20</v>
      </c>
      <c r="C413" s="21" t="s">
        <v>1145</v>
      </c>
      <c r="D413" s="21" t="s">
        <v>35</v>
      </c>
      <c r="E413" s="17" t="s">
        <v>326</v>
      </c>
      <c r="F413" s="18" t="s">
        <v>105</v>
      </c>
      <c r="G413" s="18" t="s">
        <v>48</v>
      </c>
      <c r="H413" s="24">
        <v>11390</v>
      </c>
      <c r="I413" s="24">
        <f>T_reg.root.SK[[#This Row],[Volume, kg]]/1000</f>
        <v>11.39</v>
      </c>
      <c r="J413" s="25">
        <v>0.27310000000000001</v>
      </c>
      <c r="K413" s="25">
        <f t="shared" si="6"/>
        <v>3110.6089999999999</v>
      </c>
      <c r="L413" s="25">
        <v>3.56</v>
      </c>
      <c r="M413" s="24">
        <v>40496</v>
      </c>
      <c r="N413" s="25">
        <f>IFERROR(T_reg.root.SK[[#This Row],[Price]]/T_reg.root.SK[[#This Row],[Starch content]],"")</f>
        <v>13.035518125228853</v>
      </c>
    </row>
    <row r="414" spans="1:14">
      <c r="A414" s="21">
        <v>2023</v>
      </c>
      <c r="B414" s="21" t="s">
        <v>20</v>
      </c>
      <c r="C414" s="21" t="s">
        <v>1145</v>
      </c>
      <c r="D414" s="21" t="s">
        <v>35</v>
      </c>
      <c r="E414" s="17" t="s">
        <v>174</v>
      </c>
      <c r="F414" s="18" t="s">
        <v>105</v>
      </c>
      <c r="G414" s="18" t="s">
        <v>48</v>
      </c>
      <c r="H414" s="24">
        <v>6720</v>
      </c>
      <c r="I414" s="24">
        <f>T_reg.root.SK[[#This Row],[Volume, kg]]/1000</f>
        <v>6.72</v>
      </c>
      <c r="J414" s="25">
        <v>0.24399999999999999</v>
      </c>
      <c r="K414" s="25">
        <f t="shared" si="6"/>
        <v>1639.68</v>
      </c>
      <c r="L414" s="25">
        <v>3.4</v>
      </c>
      <c r="M414" s="24">
        <v>22848</v>
      </c>
      <c r="N414" s="25">
        <f>IFERROR(T_reg.root.SK[[#This Row],[Price]]/T_reg.root.SK[[#This Row],[Starch content]],"")</f>
        <v>13.934426229508198</v>
      </c>
    </row>
    <row r="415" spans="1:14">
      <c r="A415" s="21">
        <v>2023</v>
      </c>
      <c r="B415" s="21" t="s">
        <v>20</v>
      </c>
      <c r="C415" s="21" t="s">
        <v>1145</v>
      </c>
      <c r="D415" s="21" t="s">
        <v>35</v>
      </c>
      <c r="E415" s="17" t="s">
        <v>327</v>
      </c>
      <c r="F415" s="18" t="s">
        <v>105</v>
      </c>
      <c r="G415" s="18" t="s">
        <v>48</v>
      </c>
      <c r="H415" s="24">
        <v>34700</v>
      </c>
      <c r="I415" s="24">
        <f>T_reg.root.SK[[#This Row],[Volume, kg]]/1000</f>
        <v>34.700000000000003</v>
      </c>
      <c r="J415" s="25">
        <v>0.28770000000000001</v>
      </c>
      <c r="K415" s="25">
        <f t="shared" si="6"/>
        <v>9983.19</v>
      </c>
      <c r="L415" s="25">
        <v>3.63</v>
      </c>
      <c r="M415" s="24">
        <v>126018.5</v>
      </c>
      <c r="N415" s="25">
        <f>IFERROR(T_reg.root.SK[[#This Row],[Price]]/T_reg.root.SK[[#This Row],[Starch content]],"")</f>
        <v>12.617309697601668</v>
      </c>
    </row>
    <row r="416" spans="1:14">
      <c r="A416" s="21">
        <v>2023</v>
      </c>
      <c r="B416" s="21" t="s">
        <v>20</v>
      </c>
      <c r="C416" s="21" t="s">
        <v>1145</v>
      </c>
      <c r="D416" s="21" t="s">
        <v>35</v>
      </c>
      <c r="E416" s="17" t="s">
        <v>175</v>
      </c>
      <c r="F416" s="18" t="s">
        <v>105</v>
      </c>
      <c r="G416" s="18" t="s">
        <v>48</v>
      </c>
      <c r="H416" s="24">
        <v>69250</v>
      </c>
      <c r="I416" s="24">
        <f>T_reg.root.SK[[#This Row],[Volume, kg]]/1000</f>
        <v>69.25</v>
      </c>
      <c r="J416" s="25">
        <v>0.29580000000000001</v>
      </c>
      <c r="K416" s="25">
        <f t="shared" si="6"/>
        <v>20484.150000000001</v>
      </c>
      <c r="L416" s="25">
        <v>3.67</v>
      </c>
      <c r="M416" s="24">
        <v>253937.5</v>
      </c>
      <c r="N416" s="25">
        <f>IFERROR(T_reg.root.SK[[#This Row],[Price]]/T_reg.root.SK[[#This Row],[Starch content]],"")</f>
        <v>12.407031778228532</v>
      </c>
    </row>
    <row r="417" spans="1:14">
      <c r="A417" s="21">
        <v>2023</v>
      </c>
      <c r="B417" s="21" t="s">
        <v>20</v>
      </c>
      <c r="C417" s="21" t="s">
        <v>1145</v>
      </c>
      <c r="D417" s="21" t="s">
        <v>35</v>
      </c>
      <c r="E417" s="17" t="s">
        <v>176</v>
      </c>
      <c r="F417" s="18" t="s">
        <v>105</v>
      </c>
      <c r="G417" s="18" t="s">
        <v>48</v>
      </c>
      <c r="H417" s="24">
        <v>61480</v>
      </c>
      <c r="I417" s="24">
        <f>T_reg.root.SK[[#This Row],[Volume, kg]]/1000</f>
        <v>61.48</v>
      </c>
      <c r="J417" s="25">
        <v>0.26119999999999999</v>
      </c>
      <c r="K417" s="25">
        <f t="shared" si="6"/>
        <v>16058.575999999999</v>
      </c>
      <c r="L417" s="25">
        <v>3.58</v>
      </c>
      <c r="M417" s="24">
        <v>220305.5</v>
      </c>
      <c r="N417" s="25">
        <f>IFERROR(T_reg.root.SK[[#This Row],[Price]]/T_reg.root.SK[[#This Row],[Starch content]],"")</f>
        <v>13.705972434915774</v>
      </c>
    </row>
    <row r="418" spans="1:14">
      <c r="A418" s="21">
        <v>2023</v>
      </c>
      <c r="B418" s="21" t="s">
        <v>20</v>
      </c>
      <c r="C418" s="21" t="s">
        <v>1145</v>
      </c>
      <c r="D418" s="21" t="s">
        <v>35</v>
      </c>
      <c r="E418" s="17" t="s">
        <v>178</v>
      </c>
      <c r="F418" s="18" t="s">
        <v>105</v>
      </c>
      <c r="G418" s="18" t="s">
        <v>48</v>
      </c>
      <c r="H418" s="24">
        <v>26270</v>
      </c>
      <c r="I418" s="24">
        <f>T_reg.root.SK[[#This Row],[Volume, kg]]/1000</f>
        <v>26.27</v>
      </c>
      <c r="J418" s="25">
        <v>0.24829999999999999</v>
      </c>
      <c r="K418" s="25">
        <f t="shared" si="6"/>
        <v>6522.8409999999994</v>
      </c>
      <c r="L418" s="25">
        <v>3.7</v>
      </c>
      <c r="M418" s="24">
        <v>97199</v>
      </c>
      <c r="N418" s="25">
        <f>IFERROR(T_reg.root.SK[[#This Row],[Price]]/T_reg.root.SK[[#This Row],[Starch content]],"")</f>
        <v>14.901329037454692</v>
      </c>
    </row>
    <row r="419" spans="1:14">
      <c r="A419" s="21">
        <v>2023</v>
      </c>
      <c r="B419" s="21" t="s">
        <v>20</v>
      </c>
      <c r="C419" s="21" t="s">
        <v>1145</v>
      </c>
      <c r="D419" s="21" t="s">
        <v>35</v>
      </c>
      <c r="E419" s="17" t="s">
        <v>328</v>
      </c>
      <c r="F419" s="18" t="s">
        <v>105</v>
      </c>
      <c r="G419" s="18" t="s">
        <v>48</v>
      </c>
      <c r="H419" s="24">
        <v>27490</v>
      </c>
      <c r="I419" s="24">
        <f>T_reg.root.SK[[#This Row],[Volume, kg]]/1000</f>
        <v>27.49</v>
      </c>
      <c r="J419" s="25">
        <v>0.28399999999999997</v>
      </c>
      <c r="K419" s="25">
        <f t="shared" si="6"/>
        <v>7807.1599999999989</v>
      </c>
      <c r="L419" s="25">
        <v>3.57</v>
      </c>
      <c r="M419" s="24">
        <v>98044</v>
      </c>
      <c r="N419" s="25">
        <f>IFERROR(T_reg.root.SK[[#This Row],[Price]]/T_reg.root.SK[[#This Row],[Starch content]],"")</f>
        <v>12.570422535211268</v>
      </c>
    </row>
    <row r="420" spans="1:14">
      <c r="A420" s="21">
        <v>2023</v>
      </c>
      <c r="B420" s="21" t="s">
        <v>20</v>
      </c>
      <c r="C420" s="21" t="s">
        <v>1145</v>
      </c>
      <c r="D420" s="21" t="s">
        <v>35</v>
      </c>
      <c r="E420" s="17" t="s">
        <v>258</v>
      </c>
      <c r="F420" s="18" t="s">
        <v>105</v>
      </c>
      <c r="G420" s="18" t="s">
        <v>48</v>
      </c>
      <c r="H420" s="24">
        <v>28600</v>
      </c>
      <c r="I420" s="24">
        <f>T_reg.root.SK[[#This Row],[Volume, kg]]/1000</f>
        <v>28.6</v>
      </c>
      <c r="J420" s="25">
        <v>0.28220000000000001</v>
      </c>
      <c r="K420" s="25">
        <f t="shared" si="6"/>
        <v>8070.92</v>
      </c>
      <c r="L420" s="25">
        <v>3.58</v>
      </c>
      <c r="M420" s="24">
        <v>102493</v>
      </c>
      <c r="N420" s="25">
        <f>IFERROR(T_reg.root.SK[[#This Row],[Price]]/T_reg.root.SK[[#This Row],[Starch content]],"")</f>
        <v>12.686038270729979</v>
      </c>
    </row>
    <row r="421" spans="1:14">
      <c r="A421" s="21">
        <v>2023</v>
      </c>
      <c r="B421" s="21" t="s">
        <v>20</v>
      </c>
      <c r="C421" s="21" t="s">
        <v>1145</v>
      </c>
      <c r="D421" s="21" t="s">
        <v>35</v>
      </c>
      <c r="E421" s="17" t="s">
        <v>259</v>
      </c>
      <c r="F421" s="18" t="s">
        <v>105</v>
      </c>
      <c r="G421" s="18" t="s">
        <v>48</v>
      </c>
      <c r="H421" s="24">
        <v>43830</v>
      </c>
      <c r="I421" s="24">
        <f>T_reg.root.SK[[#This Row],[Volume, kg]]/1000</f>
        <v>43.83</v>
      </c>
      <c r="J421" s="25">
        <v>0.2606</v>
      </c>
      <c r="K421" s="25">
        <f t="shared" si="6"/>
        <v>11422.098</v>
      </c>
      <c r="L421" s="25">
        <v>3.5</v>
      </c>
      <c r="M421" s="24">
        <v>153217</v>
      </c>
      <c r="N421" s="25">
        <f>IFERROR(T_reg.root.SK[[#This Row],[Price]]/T_reg.root.SK[[#This Row],[Starch content]],"")</f>
        <v>13.43054489639294</v>
      </c>
    </row>
    <row r="422" spans="1:14">
      <c r="A422" s="21">
        <v>2023</v>
      </c>
      <c r="B422" s="21" t="s">
        <v>20</v>
      </c>
      <c r="C422" s="21" t="s">
        <v>1145</v>
      </c>
      <c r="D422" s="21" t="s">
        <v>35</v>
      </c>
      <c r="E422" s="17" t="s">
        <v>329</v>
      </c>
      <c r="F422" s="18" t="s">
        <v>105</v>
      </c>
      <c r="G422" s="18" t="s">
        <v>48</v>
      </c>
      <c r="H422" s="24">
        <v>41280</v>
      </c>
      <c r="I422" s="24">
        <f>T_reg.root.SK[[#This Row],[Volume, kg]]/1000</f>
        <v>41.28</v>
      </c>
      <c r="J422" s="25">
        <v>0.25929999999999997</v>
      </c>
      <c r="K422" s="25">
        <f t="shared" si="6"/>
        <v>10703.903999999999</v>
      </c>
      <c r="L422" s="25">
        <v>3.52</v>
      </c>
      <c r="M422" s="24">
        <v>145192.5</v>
      </c>
      <c r="N422" s="25">
        <f>IFERROR(T_reg.root.SK[[#This Row],[Price]]/T_reg.root.SK[[#This Row],[Starch content]],"")</f>
        <v>13.575009641342076</v>
      </c>
    </row>
    <row r="423" spans="1:14">
      <c r="A423" s="21">
        <v>2023</v>
      </c>
      <c r="B423" s="21" t="s">
        <v>20</v>
      </c>
      <c r="C423" s="21" t="s">
        <v>1145</v>
      </c>
      <c r="D423" s="21" t="s">
        <v>35</v>
      </c>
      <c r="E423" s="17" t="s">
        <v>180</v>
      </c>
      <c r="F423" s="18" t="s">
        <v>105</v>
      </c>
      <c r="G423" s="18" t="s">
        <v>48</v>
      </c>
      <c r="H423" s="24">
        <v>6780</v>
      </c>
      <c r="I423" s="24">
        <f>T_reg.root.SK[[#This Row],[Volume, kg]]/1000</f>
        <v>6.78</v>
      </c>
      <c r="J423" s="25">
        <v>0.28300000000000003</v>
      </c>
      <c r="K423" s="25">
        <f t="shared" si="6"/>
        <v>1918.7400000000002</v>
      </c>
      <c r="L423" s="25">
        <v>3.6</v>
      </c>
      <c r="M423" s="24">
        <v>24408</v>
      </c>
      <c r="N423" s="25">
        <f>IFERROR(T_reg.root.SK[[#This Row],[Price]]/T_reg.root.SK[[#This Row],[Starch content]],"")</f>
        <v>12.720848056537102</v>
      </c>
    </row>
    <row r="424" spans="1:14">
      <c r="A424" s="21">
        <v>2023</v>
      </c>
      <c r="B424" s="21" t="s">
        <v>20</v>
      </c>
      <c r="C424" s="21" t="s">
        <v>1145</v>
      </c>
      <c r="D424" s="21" t="s">
        <v>35</v>
      </c>
      <c r="E424" s="17" t="s">
        <v>181</v>
      </c>
      <c r="F424" s="18" t="s">
        <v>105</v>
      </c>
      <c r="G424" s="18" t="s">
        <v>48</v>
      </c>
      <c r="H424" s="24">
        <v>508380</v>
      </c>
      <c r="I424" s="24">
        <f>T_reg.root.SK[[#This Row],[Volume, kg]]/1000</f>
        <v>508.38</v>
      </c>
      <c r="J424" s="25">
        <v>0.28889999999999999</v>
      </c>
      <c r="K424" s="25">
        <f t="shared" si="6"/>
        <v>146870.98199999999</v>
      </c>
      <c r="L424" s="25">
        <v>3.64</v>
      </c>
      <c r="M424" s="24">
        <v>1849293.5</v>
      </c>
      <c r="N424" s="25">
        <f>IFERROR(T_reg.root.SK[[#This Row],[Price]]/T_reg.root.SK[[#This Row],[Starch content]],"")</f>
        <v>12.599515403253722</v>
      </c>
    </row>
    <row r="425" spans="1:14">
      <c r="A425" s="21">
        <v>2023</v>
      </c>
      <c r="B425" s="21" t="s">
        <v>20</v>
      </c>
      <c r="C425" s="21" t="s">
        <v>1145</v>
      </c>
      <c r="D425" s="21" t="s">
        <v>35</v>
      </c>
      <c r="E425" s="17" t="s">
        <v>183</v>
      </c>
      <c r="F425" s="18" t="s">
        <v>105</v>
      </c>
      <c r="G425" s="18" t="s">
        <v>48</v>
      </c>
      <c r="H425" s="24">
        <v>471900</v>
      </c>
      <c r="I425" s="24">
        <f>T_reg.root.SK[[#This Row],[Volume, kg]]/1000</f>
        <v>471.9</v>
      </c>
      <c r="J425" s="25">
        <v>0.27949999999999997</v>
      </c>
      <c r="K425" s="25">
        <f t="shared" si="6"/>
        <v>131896.04999999999</v>
      </c>
      <c r="L425" s="25">
        <v>3.59</v>
      </c>
      <c r="M425" s="24">
        <v>1695296.5</v>
      </c>
      <c r="N425" s="25">
        <f>IFERROR(T_reg.root.SK[[#This Row],[Price]]/T_reg.root.SK[[#This Row],[Starch content]],"")</f>
        <v>12.844364937388194</v>
      </c>
    </row>
    <row r="426" spans="1:14">
      <c r="A426" s="21">
        <v>2023</v>
      </c>
      <c r="B426" s="21" t="s">
        <v>20</v>
      </c>
      <c r="C426" s="21" t="s">
        <v>1145</v>
      </c>
      <c r="D426" s="21" t="s">
        <v>35</v>
      </c>
      <c r="E426" s="17" t="s">
        <v>330</v>
      </c>
      <c r="F426" s="18" t="s">
        <v>187</v>
      </c>
      <c r="G426" s="18" t="s">
        <v>48</v>
      </c>
      <c r="H426" s="24">
        <v>30550</v>
      </c>
      <c r="I426" s="24">
        <f>T_reg.root.SK[[#This Row],[Volume, kg]]/1000</f>
        <v>30.55</v>
      </c>
      <c r="J426" s="25">
        <v>0.27760000000000001</v>
      </c>
      <c r="K426" s="25">
        <f t="shared" si="6"/>
        <v>8480.68</v>
      </c>
      <c r="L426" s="25">
        <v>3.59</v>
      </c>
      <c r="M426" s="24">
        <v>109807.5</v>
      </c>
      <c r="N426" s="25">
        <f>IFERROR(T_reg.root.SK[[#This Row],[Price]]/T_reg.root.SK[[#This Row],[Starch content]],"")</f>
        <v>12.932276657060518</v>
      </c>
    </row>
    <row r="427" spans="1:14">
      <c r="A427" s="21">
        <v>2023</v>
      </c>
      <c r="B427" s="21" t="s">
        <v>20</v>
      </c>
      <c r="C427" s="21" t="s">
        <v>1145</v>
      </c>
      <c r="D427" s="21" t="s">
        <v>35</v>
      </c>
      <c r="E427" s="17" t="s">
        <v>186</v>
      </c>
      <c r="F427" s="18" t="s">
        <v>187</v>
      </c>
      <c r="G427" s="18" t="s">
        <v>48</v>
      </c>
      <c r="H427" s="24">
        <v>20990</v>
      </c>
      <c r="I427" s="24">
        <f>T_reg.root.SK[[#This Row],[Volume, kg]]/1000</f>
        <v>20.99</v>
      </c>
      <c r="J427" s="25">
        <v>0.32189999999999996</v>
      </c>
      <c r="K427" s="25">
        <f t="shared" si="6"/>
        <v>6756.6809999999996</v>
      </c>
      <c r="L427" s="25">
        <v>4.3099999999999996</v>
      </c>
      <c r="M427" s="24">
        <v>90372.5</v>
      </c>
      <c r="N427" s="25">
        <f>IFERROR(T_reg.root.SK[[#This Row],[Price]]/T_reg.root.SK[[#This Row],[Starch content]],"")</f>
        <v>13.389251320285803</v>
      </c>
    </row>
    <row r="428" spans="1:14">
      <c r="A428" s="21">
        <v>2023</v>
      </c>
      <c r="B428" s="21" t="s">
        <v>20</v>
      </c>
      <c r="C428" s="21" t="s">
        <v>1145</v>
      </c>
      <c r="D428" s="21" t="s">
        <v>35</v>
      </c>
      <c r="E428" s="17" t="s">
        <v>261</v>
      </c>
      <c r="F428" s="18" t="s">
        <v>187</v>
      </c>
      <c r="G428" s="18" t="s">
        <v>48</v>
      </c>
      <c r="H428" s="24">
        <v>82650</v>
      </c>
      <c r="I428" s="24">
        <f>T_reg.root.SK[[#This Row],[Volume, kg]]/1000</f>
        <v>82.65</v>
      </c>
      <c r="J428" s="25">
        <v>0.26769999999999999</v>
      </c>
      <c r="K428" s="25">
        <f t="shared" si="6"/>
        <v>22125.404999999999</v>
      </c>
      <c r="L428" s="25">
        <v>3.54</v>
      </c>
      <c r="M428" s="24">
        <v>292583.5</v>
      </c>
      <c r="N428" s="25">
        <f>IFERROR(T_reg.root.SK[[#This Row],[Price]]/T_reg.root.SK[[#This Row],[Starch content]],"")</f>
        <v>13.223757937990287</v>
      </c>
    </row>
    <row r="429" spans="1:14">
      <c r="A429" s="21">
        <v>2023</v>
      </c>
      <c r="B429" s="21" t="s">
        <v>20</v>
      </c>
      <c r="C429" s="21" t="s">
        <v>1145</v>
      </c>
      <c r="D429" s="21" t="s">
        <v>35</v>
      </c>
      <c r="E429" s="17" t="s">
        <v>193</v>
      </c>
      <c r="F429" s="18" t="s">
        <v>187</v>
      </c>
      <c r="G429" s="18" t="s">
        <v>48</v>
      </c>
      <c r="H429" s="24">
        <v>90510</v>
      </c>
      <c r="I429" s="24">
        <f>T_reg.root.SK[[#This Row],[Volume, kg]]/1000</f>
        <v>90.51</v>
      </c>
      <c r="J429" s="25">
        <v>0.26250000000000001</v>
      </c>
      <c r="K429" s="25">
        <f t="shared" si="6"/>
        <v>23758.875</v>
      </c>
      <c r="L429" s="25">
        <v>4.01</v>
      </c>
      <c r="M429" s="24">
        <v>362718</v>
      </c>
      <c r="N429" s="25">
        <f>IFERROR(T_reg.root.SK[[#This Row],[Price]]/T_reg.root.SK[[#This Row],[Starch content]],"")</f>
        <v>15.276190476190475</v>
      </c>
    </row>
    <row r="430" spans="1:14">
      <c r="A430" s="21">
        <v>2023</v>
      </c>
      <c r="B430" s="21" t="s">
        <v>20</v>
      </c>
      <c r="C430" s="21" t="s">
        <v>1145</v>
      </c>
      <c r="D430" s="21" t="s">
        <v>35</v>
      </c>
      <c r="E430" s="17" t="s">
        <v>331</v>
      </c>
      <c r="F430" s="18" t="s">
        <v>187</v>
      </c>
      <c r="G430" s="18" t="s">
        <v>48</v>
      </c>
      <c r="H430" s="24">
        <v>37230</v>
      </c>
      <c r="I430" s="24">
        <f>T_reg.root.SK[[#This Row],[Volume, kg]]/1000</f>
        <v>37.229999999999997</v>
      </c>
      <c r="J430" s="25">
        <v>0.25700000000000001</v>
      </c>
      <c r="K430" s="25">
        <f t="shared" si="6"/>
        <v>9568.11</v>
      </c>
      <c r="L430" s="25">
        <v>3.48</v>
      </c>
      <c r="M430" s="24">
        <v>129438</v>
      </c>
      <c r="N430" s="25">
        <f>IFERROR(T_reg.root.SK[[#This Row],[Price]]/T_reg.root.SK[[#This Row],[Starch content]],"")</f>
        <v>13.540856031128405</v>
      </c>
    </row>
    <row r="431" spans="1:14">
      <c r="A431" s="21">
        <v>2023</v>
      </c>
      <c r="B431" s="21" t="s">
        <v>20</v>
      </c>
      <c r="C431" s="21" t="s">
        <v>1145</v>
      </c>
      <c r="D431" s="21" t="s">
        <v>35</v>
      </c>
      <c r="E431" s="17" t="s">
        <v>264</v>
      </c>
      <c r="F431" s="18" t="s">
        <v>187</v>
      </c>
      <c r="G431" s="18" t="s">
        <v>48</v>
      </c>
      <c r="H431" s="24">
        <v>6670</v>
      </c>
      <c r="I431" s="24">
        <f>T_reg.root.SK[[#This Row],[Volume, kg]]/1000</f>
        <v>6.67</v>
      </c>
      <c r="J431" s="25">
        <v>0.27899999999999997</v>
      </c>
      <c r="K431" s="25">
        <f t="shared" si="6"/>
        <v>1860.9299999999998</v>
      </c>
      <c r="L431" s="25">
        <v>3.55</v>
      </c>
      <c r="M431" s="24">
        <v>23678.5</v>
      </c>
      <c r="N431" s="25">
        <f>IFERROR(T_reg.root.SK[[#This Row],[Price]]/T_reg.root.SK[[#This Row],[Starch content]],"")</f>
        <v>12.724014336917563</v>
      </c>
    </row>
    <row r="432" spans="1:14">
      <c r="A432" s="21">
        <v>2023</v>
      </c>
      <c r="B432" s="21" t="s">
        <v>20</v>
      </c>
      <c r="C432" s="21" t="s">
        <v>1145</v>
      </c>
      <c r="D432" s="21" t="s">
        <v>35</v>
      </c>
      <c r="E432" s="17" t="s">
        <v>196</v>
      </c>
      <c r="F432" s="18" t="s">
        <v>187</v>
      </c>
      <c r="G432" s="18" t="s">
        <v>48</v>
      </c>
      <c r="H432" s="24">
        <v>17680</v>
      </c>
      <c r="I432" s="24">
        <f>T_reg.root.SK[[#This Row],[Volume, kg]]/1000</f>
        <v>17.68</v>
      </c>
      <c r="J432" s="25">
        <v>0.29530000000000001</v>
      </c>
      <c r="K432" s="25">
        <f t="shared" si="6"/>
        <v>5220.9040000000005</v>
      </c>
      <c r="L432" s="25">
        <v>3.63</v>
      </c>
      <c r="M432" s="24">
        <v>64094.5</v>
      </c>
      <c r="N432" s="25">
        <f>IFERROR(T_reg.root.SK[[#This Row],[Price]]/T_reg.root.SK[[#This Row],[Starch content]],"")</f>
        <v>12.292583813071452</v>
      </c>
    </row>
    <row r="433" spans="1:14">
      <c r="A433" s="21">
        <v>2023</v>
      </c>
      <c r="B433" s="21" t="s">
        <v>20</v>
      </c>
      <c r="C433" s="21" t="s">
        <v>1145</v>
      </c>
      <c r="D433" s="21" t="s">
        <v>35</v>
      </c>
      <c r="E433" s="17" t="s">
        <v>199</v>
      </c>
      <c r="F433" s="18" t="s">
        <v>187</v>
      </c>
      <c r="G433" s="18" t="s">
        <v>48</v>
      </c>
      <c r="H433" s="24">
        <v>38140</v>
      </c>
      <c r="I433" s="24">
        <f>T_reg.root.SK[[#This Row],[Volume, kg]]/1000</f>
        <v>38.14</v>
      </c>
      <c r="J433" s="25">
        <v>0.2576</v>
      </c>
      <c r="K433" s="25">
        <f t="shared" si="6"/>
        <v>9824.8639999999996</v>
      </c>
      <c r="L433" s="25">
        <v>3.9</v>
      </c>
      <c r="M433" s="24">
        <v>148864</v>
      </c>
      <c r="N433" s="25">
        <f>IFERROR(T_reg.root.SK[[#This Row],[Price]]/T_reg.root.SK[[#This Row],[Starch content]],"")</f>
        <v>15.139751552795031</v>
      </c>
    </row>
    <row r="434" spans="1:14">
      <c r="A434" s="21">
        <v>2023</v>
      </c>
      <c r="B434" s="21" t="s">
        <v>20</v>
      </c>
      <c r="C434" s="21" t="s">
        <v>1145</v>
      </c>
      <c r="D434" s="21" t="s">
        <v>35</v>
      </c>
      <c r="E434" s="17" t="s">
        <v>200</v>
      </c>
      <c r="F434" s="18" t="s">
        <v>187</v>
      </c>
      <c r="G434" s="18" t="s">
        <v>48</v>
      </c>
      <c r="H434" s="24">
        <v>45440</v>
      </c>
      <c r="I434" s="24">
        <f>T_reg.root.SK[[#This Row],[Volume, kg]]/1000</f>
        <v>45.44</v>
      </c>
      <c r="J434" s="25">
        <v>0.26839999999999997</v>
      </c>
      <c r="K434" s="25">
        <f t="shared" si="6"/>
        <v>12196.096</v>
      </c>
      <c r="L434" s="25">
        <v>3.55</v>
      </c>
      <c r="M434" s="24">
        <v>161159.5</v>
      </c>
      <c r="N434" s="25">
        <f>IFERROR(T_reg.root.SK[[#This Row],[Price]]/T_reg.root.SK[[#This Row],[Starch content]],"")</f>
        <v>13.226527570789866</v>
      </c>
    </row>
    <row r="435" spans="1:14">
      <c r="A435" s="21">
        <v>2023</v>
      </c>
      <c r="B435" s="21" t="s">
        <v>20</v>
      </c>
      <c r="C435" s="21" t="s">
        <v>1145</v>
      </c>
      <c r="D435" s="21" t="s">
        <v>35</v>
      </c>
      <c r="E435" s="17" t="s">
        <v>332</v>
      </c>
      <c r="F435" s="18" t="s">
        <v>187</v>
      </c>
      <c r="G435" s="18" t="s">
        <v>48</v>
      </c>
      <c r="H435" s="24">
        <v>43910</v>
      </c>
      <c r="I435" s="24">
        <f>T_reg.root.SK[[#This Row],[Volume, kg]]/1000</f>
        <v>43.91</v>
      </c>
      <c r="J435" s="25">
        <v>0.30070000000000002</v>
      </c>
      <c r="K435" s="25">
        <f t="shared" si="6"/>
        <v>13203.737000000001</v>
      </c>
      <c r="L435" s="25">
        <v>3.8</v>
      </c>
      <c r="M435" s="24">
        <v>166839</v>
      </c>
      <c r="N435" s="25">
        <f>IFERROR(T_reg.root.SK[[#This Row],[Price]]/T_reg.root.SK[[#This Row],[Starch content]],"")</f>
        <v>12.637179913535084</v>
      </c>
    </row>
    <row r="436" spans="1:14">
      <c r="A436" s="21">
        <v>2023</v>
      </c>
      <c r="B436" s="21" t="s">
        <v>20</v>
      </c>
      <c r="C436" s="21" t="s">
        <v>1145</v>
      </c>
      <c r="D436" s="21" t="s">
        <v>35</v>
      </c>
      <c r="E436" s="17" t="s">
        <v>202</v>
      </c>
      <c r="F436" s="18" t="s">
        <v>187</v>
      </c>
      <c r="G436" s="18" t="s">
        <v>48</v>
      </c>
      <c r="H436" s="24">
        <v>92390</v>
      </c>
      <c r="I436" s="24">
        <f>T_reg.root.SK[[#This Row],[Volume, kg]]/1000</f>
        <v>92.39</v>
      </c>
      <c r="J436" s="25">
        <v>0.28889999999999999</v>
      </c>
      <c r="K436" s="25">
        <f t="shared" si="6"/>
        <v>26691.470999999998</v>
      </c>
      <c r="L436" s="25">
        <v>3.61</v>
      </c>
      <c r="M436" s="24">
        <v>333072.5</v>
      </c>
      <c r="N436" s="25">
        <f>IFERROR(T_reg.root.SK[[#This Row],[Price]]/T_reg.root.SK[[#This Row],[Starch content]],"")</f>
        <v>12.495673243336794</v>
      </c>
    </row>
    <row r="437" spans="1:14">
      <c r="A437" s="21">
        <v>2023</v>
      </c>
      <c r="B437" s="21" t="s">
        <v>20</v>
      </c>
      <c r="C437" s="21" t="s">
        <v>1145</v>
      </c>
      <c r="D437" s="21" t="s">
        <v>35</v>
      </c>
      <c r="E437" s="17" t="s">
        <v>203</v>
      </c>
      <c r="F437" s="18" t="s">
        <v>187</v>
      </c>
      <c r="G437" s="18" t="s">
        <v>48</v>
      </c>
      <c r="H437" s="24">
        <v>48010</v>
      </c>
      <c r="I437" s="24">
        <f>T_reg.root.SK[[#This Row],[Volume, kg]]/1000</f>
        <v>48.01</v>
      </c>
      <c r="J437" s="25">
        <v>0.29549999999999998</v>
      </c>
      <c r="K437" s="25">
        <f t="shared" si="6"/>
        <v>14186.955</v>
      </c>
      <c r="L437" s="25">
        <v>3.63</v>
      </c>
      <c r="M437" s="24">
        <v>174087.5</v>
      </c>
      <c r="N437" s="25">
        <f>IFERROR(T_reg.root.SK[[#This Row],[Price]]/T_reg.root.SK[[#This Row],[Starch content]],"")</f>
        <v>12.284263959390863</v>
      </c>
    </row>
    <row r="438" spans="1:14">
      <c r="A438" s="21">
        <v>2023</v>
      </c>
      <c r="B438" s="21" t="s">
        <v>20</v>
      </c>
      <c r="C438" s="21" t="s">
        <v>1145</v>
      </c>
      <c r="D438" s="21" t="s">
        <v>35</v>
      </c>
      <c r="E438" s="17" t="s">
        <v>265</v>
      </c>
      <c r="F438" s="18" t="s">
        <v>187</v>
      </c>
      <c r="G438" s="18" t="s">
        <v>48</v>
      </c>
      <c r="H438" s="24">
        <v>108650</v>
      </c>
      <c r="I438" s="24">
        <f>T_reg.root.SK[[#This Row],[Volume, kg]]/1000</f>
        <v>108.65</v>
      </c>
      <c r="J438" s="25">
        <v>0.25780000000000003</v>
      </c>
      <c r="K438" s="25">
        <f t="shared" si="6"/>
        <v>28009.970000000005</v>
      </c>
      <c r="L438" s="25">
        <v>3.66</v>
      </c>
      <c r="M438" s="24">
        <v>398130.5</v>
      </c>
      <c r="N438" s="25">
        <f>IFERROR(T_reg.root.SK[[#This Row],[Price]]/T_reg.root.SK[[#This Row],[Starch content]],"")</f>
        <v>14.197051978277734</v>
      </c>
    </row>
    <row r="439" spans="1:14">
      <c r="A439" s="21">
        <v>2023</v>
      </c>
      <c r="B439" s="21" t="s">
        <v>20</v>
      </c>
      <c r="C439" s="21" t="s">
        <v>1145</v>
      </c>
      <c r="D439" s="21" t="s">
        <v>35</v>
      </c>
      <c r="E439" s="17" t="s">
        <v>206</v>
      </c>
      <c r="F439" s="18" t="s">
        <v>187</v>
      </c>
      <c r="G439" s="18" t="s">
        <v>48</v>
      </c>
      <c r="H439" s="24">
        <v>17210</v>
      </c>
      <c r="I439" s="24">
        <f>T_reg.root.SK[[#This Row],[Volume, kg]]/1000</f>
        <v>17.21</v>
      </c>
      <c r="J439" s="25">
        <v>0.2515</v>
      </c>
      <c r="K439" s="25">
        <f t="shared" si="6"/>
        <v>4328.3149999999996</v>
      </c>
      <c r="L439" s="25">
        <v>3.45</v>
      </c>
      <c r="M439" s="24">
        <v>59313</v>
      </c>
      <c r="N439" s="25">
        <f>IFERROR(T_reg.root.SK[[#This Row],[Price]]/T_reg.root.SK[[#This Row],[Starch content]],"")</f>
        <v>13.717693836978132</v>
      </c>
    </row>
    <row r="440" spans="1:14">
      <c r="A440" s="21">
        <v>2023</v>
      </c>
      <c r="B440" s="21" t="s">
        <v>20</v>
      </c>
      <c r="C440" s="21" t="s">
        <v>1145</v>
      </c>
      <c r="D440" s="21" t="s">
        <v>35</v>
      </c>
      <c r="E440" s="17" t="s">
        <v>208</v>
      </c>
      <c r="F440" s="18" t="s">
        <v>187</v>
      </c>
      <c r="G440" s="18" t="s">
        <v>48</v>
      </c>
      <c r="H440" s="24">
        <v>24140</v>
      </c>
      <c r="I440" s="24">
        <f>T_reg.root.SK[[#This Row],[Volume, kg]]/1000</f>
        <v>24.14</v>
      </c>
      <c r="J440" s="25">
        <v>0.24729999999999999</v>
      </c>
      <c r="K440" s="25">
        <f t="shared" si="6"/>
        <v>5969.8220000000001</v>
      </c>
      <c r="L440" s="25">
        <v>3.39</v>
      </c>
      <c r="M440" s="24">
        <v>81866.5</v>
      </c>
      <c r="N440" s="25">
        <f>IFERROR(T_reg.root.SK[[#This Row],[Price]]/T_reg.root.SK[[#This Row],[Starch content]],"")</f>
        <v>13.708046906591186</v>
      </c>
    </row>
    <row r="441" spans="1:14">
      <c r="A441" s="21">
        <v>2023</v>
      </c>
      <c r="B441" s="21" t="s">
        <v>20</v>
      </c>
      <c r="C441" s="21" t="s">
        <v>1145</v>
      </c>
      <c r="D441" s="21" t="s">
        <v>35</v>
      </c>
      <c r="E441" s="17" t="s">
        <v>333</v>
      </c>
      <c r="F441" s="18" t="s">
        <v>187</v>
      </c>
      <c r="G441" s="18" t="s">
        <v>48</v>
      </c>
      <c r="H441" s="24">
        <v>50910</v>
      </c>
      <c r="I441" s="24">
        <f>T_reg.root.SK[[#This Row],[Volume, kg]]/1000</f>
        <v>50.91</v>
      </c>
      <c r="J441" s="25">
        <v>0.25969999999999999</v>
      </c>
      <c r="K441" s="25">
        <f t="shared" si="6"/>
        <v>13221.326999999999</v>
      </c>
      <c r="L441" s="25">
        <v>4.0199999999999996</v>
      </c>
      <c r="M441" s="24">
        <v>204590.5</v>
      </c>
      <c r="N441" s="25">
        <f>IFERROR(T_reg.root.SK[[#This Row],[Price]]/T_reg.root.SK[[#This Row],[Starch content]],"")</f>
        <v>15.479399306892567</v>
      </c>
    </row>
    <row r="442" spans="1:14">
      <c r="A442" s="21">
        <v>2023</v>
      </c>
      <c r="B442" s="21" t="s">
        <v>20</v>
      </c>
      <c r="C442" s="21" t="s">
        <v>1145</v>
      </c>
      <c r="D442" s="21" t="s">
        <v>35</v>
      </c>
      <c r="E442" s="17" t="s">
        <v>211</v>
      </c>
      <c r="F442" s="18" t="s">
        <v>187</v>
      </c>
      <c r="G442" s="18" t="s">
        <v>48</v>
      </c>
      <c r="H442" s="24">
        <v>18140</v>
      </c>
      <c r="I442" s="24">
        <f>T_reg.root.SK[[#This Row],[Volume, kg]]/1000</f>
        <v>18.14</v>
      </c>
      <c r="J442" s="25">
        <v>0.23559999999999998</v>
      </c>
      <c r="K442" s="25">
        <f t="shared" si="6"/>
        <v>4273.7839999999997</v>
      </c>
      <c r="L442" s="25">
        <v>3.47</v>
      </c>
      <c r="M442" s="24">
        <v>63012.5</v>
      </c>
      <c r="N442" s="25">
        <f>IFERROR(T_reg.root.SK[[#This Row],[Price]]/T_reg.root.SK[[#This Row],[Starch content]],"")</f>
        <v>14.728353140916811</v>
      </c>
    </row>
    <row r="443" spans="1:14">
      <c r="A443" s="21">
        <v>2023</v>
      </c>
      <c r="B443" s="21" t="s">
        <v>20</v>
      </c>
      <c r="C443" s="21" t="s">
        <v>1145</v>
      </c>
      <c r="D443" s="21" t="s">
        <v>35</v>
      </c>
      <c r="E443" s="17" t="s">
        <v>334</v>
      </c>
      <c r="F443" s="18" t="s">
        <v>187</v>
      </c>
      <c r="G443" s="18" t="s">
        <v>48</v>
      </c>
      <c r="H443" s="24">
        <v>10630</v>
      </c>
      <c r="I443" s="24">
        <f>T_reg.root.SK[[#This Row],[Volume, kg]]/1000</f>
        <v>10.63</v>
      </c>
      <c r="J443" s="25">
        <v>0.28050000000000003</v>
      </c>
      <c r="K443" s="25">
        <f t="shared" si="6"/>
        <v>2981.7150000000001</v>
      </c>
      <c r="L443" s="25">
        <v>3.6</v>
      </c>
      <c r="M443" s="24">
        <v>38268</v>
      </c>
      <c r="N443" s="25">
        <f>IFERROR(T_reg.root.SK[[#This Row],[Price]]/T_reg.root.SK[[#This Row],[Starch content]],"")</f>
        <v>12.834224598930481</v>
      </c>
    </row>
    <row r="444" spans="1:14">
      <c r="A444" s="21">
        <v>2023</v>
      </c>
      <c r="B444" s="21" t="s">
        <v>20</v>
      </c>
      <c r="C444" s="21" t="s">
        <v>1145</v>
      </c>
      <c r="D444" s="21" t="s">
        <v>35</v>
      </c>
      <c r="E444" s="17" t="s">
        <v>214</v>
      </c>
      <c r="F444" s="18" t="s">
        <v>187</v>
      </c>
      <c r="G444" s="18" t="s">
        <v>48</v>
      </c>
      <c r="H444" s="24">
        <v>18710</v>
      </c>
      <c r="I444" s="24">
        <f>T_reg.root.SK[[#This Row],[Volume, kg]]/1000</f>
        <v>18.71</v>
      </c>
      <c r="J444" s="25">
        <v>0.28470000000000001</v>
      </c>
      <c r="K444" s="25">
        <f t="shared" si="6"/>
        <v>5326.7370000000001</v>
      </c>
      <c r="L444" s="25">
        <v>3.57</v>
      </c>
      <c r="M444" s="24">
        <v>66888</v>
      </c>
      <c r="N444" s="25">
        <f>IFERROR(T_reg.root.SK[[#This Row],[Price]]/T_reg.root.SK[[#This Row],[Starch content]],"")</f>
        <v>12.539515279241305</v>
      </c>
    </row>
    <row r="445" spans="1:14">
      <c r="A445" s="21">
        <v>2023</v>
      </c>
      <c r="B445" s="21" t="s">
        <v>20</v>
      </c>
      <c r="C445" s="21" t="s">
        <v>1145</v>
      </c>
      <c r="D445" s="21" t="s">
        <v>35</v>
      </c>
      <c r="E445" s="17" t="s">
        <v>215</v>
      </c>
      <c r="F445" s="18" t="s">
        <v>187</v>
      </c>
      <c r="G445" s="18" t="s">
        <v>48</v>
      </c>
      <c r="H445" s="24">
        <v>23720</v>
      </c>
      <c r="I445" s="24">
        <f>T_reg.root.SK[[#This Row],[Volume, kg]]/1000</f>
        <v>23.72</v>
      </c>
      <c r="J445" s="25">
        <v>0.30670000000000003</v>
      </c>
      <c r="K445" s="25">
        <f t="shared" si="6"/>
        <v>7274.9240000000009</v>
      </c>
      <c r="L445" s="25">
        <v>3.68</v>
      </c>
      <c r="M445" s="24">
        <v>87287.5</v>
      </c>
      <c r="N445" s="25">
        <f>IFERROR(T_reg.root.SK[[#This Row],[Price]]/T_reg.root.SK[[#This Row],[Starch content]],"")</f>
        <v>11.998695793935442</v>
      </c>
    </row>
    <row r="446" spans="1:14">
      <c r="A446" s="21">
        <v>2023</v>
      </c>
      <c r="B446" s="21" t="s">
        <v>20</v>
      </c>
      <c r="C446" s="21" t="s">
        <v>1145</v>
      </c>
      <c r="D446" s="21" t="s">
        <v>35</v>
      </c>
      <c r="E446" s="17" t="s">
        <v>335</v>
      </c>
      <c r="F446" s="18" t="s">
        <v>187</v>
      </c>
      <c r="G446" s="18" t="s">
        <v>48</v>
      </c>
      <c r="H446" s="24">
        <v>133880</v>
      </c>
      <c r="I446" s="24">
        <f>T_reg.root.SK[[#This Row],[Volume, kg]]/1000</f>
        <v>133.88</v>
      </c>
      <c r="J446" s="25">
        <v>0.2949</v>
      </c>
      <c r="K446" s="25">
        <f t="shared" si="6"/>
        <v>39481.212</v>
      </c>
      <c r="L446" s="25">
        <v>3.96</v>
      </c>
      <c r="M446" s="24">
        <v>530832</v>
      </c>
      <c r="N446" s="25">
        <f>IFERROR(T_reg.root.SK[[#This Row],[Price]]/T_reg.root.SK[[#This Row],[Starch content]],"")</f>
        <v>13.428280773143438</v>
      </c>
    </row>
    <row r="447" spans="1:14">
      <c r="A447" s="21">
        <v>2023</v>
      </c>
      <c r="B447" s="21" t="s">
        <v>20</v>
      </c>
      <c r="C447" s="21" t="s">
        <v>1145</v>
      </c>
      <c r="D447" s="21" t="s">
        <v>35</v>
      </c>
      <c r="E447" s="17" t="s">
        <v>216</v>
      </c>
      <c r="F447" s="18" t="s">
        <v>187</v>
      </c>
      <c r="G447" s="18" t="s">
        <v>48</v>
      </c>
      <c r="H447" s="24">
        <v>53280</v>
      </c>
      <c r="I447" s="24">
        <f>T_reg.root.SK[[#This Row],[Volume, kg]]/1000</f>
        <v>53.28</v>
      </c>
      <c r="J447" s="25">
        <v>0.26600000000000001</v>
      </c>
      <c r="K447" s="25">
        <f t="shared" si="6"/>
        <v>14172.480000000001</v>
      </c>
      <c r="L447" s="25">
        <v>3.48</v>
      </c>
      <c r="M447" s="24">
        <v>185307</v>
      </c>
      <c r="N447" s="25">
        <f>IFERROR(T_reg.root.SK[[#This Row],[Price]]/T_reg.root.SK[[#This Row],[Starch content]],"")</f>
        <v>13.082706766917292</v>
      </c>
    </row>
    <row r="448" spans="1:14">
      <c r="A448" s="21">
        <v>2023</v>
      </c>
      <c r="B448" s="21" t="s">
        <v>21</v>
      </c>
      <c r="C448" s="21" t="s">
        <v>1145</v>
      </c>
      <c r="D448" s="21" t="s">
        <v>39</v>
      </c>
      <c r="E448" s="17" t="s">
        <v>272</v>
      </c>
      <c r="F448" s="18" t="s">
        <v>273</v>
      </c>
      <c r="G448" s="18" t="s">
        <v>220</v>
      </c>
      <c r="H448" s="24">
        <v>0</v>
      </c>
      <c r="I448" s="24">
        <f>T_reg.root.SK[[#This Row],[Volume, kg]]/1000</f>
        <v>0</v>
      </c>
      <c r="J448" s="25">
        <v>0</v>
      </c>
      <c r="K448" s="25">
        <f t="shared" si="6"/>
        <v>0</v>
      </c>
      <c r="L448" s="25">
        <v>0</v>
      </c>
      <c r="M448" s="24">
        <v>0</v>
      </c>
      <c r="N448" s="25" t="str">
        <f>IFERROR(T_reg.root.SK[[#This Row],[Price]]/T_reg.root.SK[[#This Row],[Starch content]],"")</f>
        <v/>
      </c>
    </row>
    <row r="449" spans="1:14">
      <c r="A449" s="21">
        <v>2023</v>
      </c>
      <c r="B449" s="21" t="s">
        <v>21</v>
      </c>
      <c r="C449" s="21" t="s">
        <v>1145</v>
      </c>
      <c r="D449" s="21" t="s">
        <v>39</v>
      </c>
      <c r="E449" s="17" t="s">
        <v>40</v>
      </c>
      <c r="F449" s="18" t="s">
        <v>41</v>
      </c>
      <c r="G449" s="18" t="s">
        <v>42</v>
      </c>
      <c r="H449" s="24">
        <v>2051250</v>
      </c>
      <c r="I449" s="24">
        <f>T_reg.root.SK[[#This Row],[Volume, kg]]/1000</f>
        <v>2051.25</v>
      </c>
      <c r="J449" s="25">
        <v>0.2515</v>
      </c>
      <c r="K449" s="25">
        <f t="shared" si="6"/>
        <v>515889.375</v>
      </c>
      <c r="L449" s="25">
        <v>3.96</v>
      </c>
      <c r="M449" s="24">
        <v>8113626.5</v>
      </c>
      <c r="N449" s="25">
        <f>IFERROR(T_reg.root.SK[[#This Row],[Price]]/T_reg.root.SK[[#This Row],[Starch content]],"")</f>
        <v>15.745526838966203</v>
      </c>
    </row>
    <row r="450" spans="1:14">
      <c r="A450" s="21">
        <v>2023</v>
      </c>
      <c r="B450" s="21" t="s">
        <v>21</v>
      </c>
      <c r="C450" s="21" t="s">
        <v>1145</v>
      </c>
      <c r="D450" s="21" t="s">
        <v>39</v>
      </c>
      <c r="E450" s="17" t="s">
        <v>43</v>
      </c>
      <c r="F450" s="18" t="s">
        <v>44</v>
      </c>
      <c r="G450" s="18" t="s">
        <v>45</v>
      </c>
      <c r="H450" s="24">
        <v>433800</v>
      </c>
      <c r="I450" s="24">
        <f>T_reg.root.SK[[#This Row],[Volume, kg]]/1000</f>
        <v>433.8</v>
      </c>
      <c r="J450" s="25">
        <v>0.24230000000000002</v>
      </c>
      <c r="K450" s="25">
        <f t="shared" si="6"/>
        <v>105109.74</v>
      </c>
      <c r="L450" s="25">
        <v>3.9</v>
      </c>
      <c r="M450" s="24">
        <v>1690302</v>
      </c>
      <c r="N450" s="25">
        <f>IFERROR(T_reg.root.SK[[#This Row],[Price]]/T_reg.root.SK[[#This Row],[Starch content]],"")</f>
        <v>16.095749071399091</v>
      </c>
    </row>
    <row r="451" spans="1:14">
      <c r="A451" s="21">
        <v>2023</v>
      </c>
      <c r="B451" s="21" t="s">
        <v>21</v>
      </c>
      <c r="C451" s="21" t="s">
        <v>1145</v>
      </c>
      <c r="D451" s="21" t="s">
        <v>35</v>
      </c>
      <c r="E451" s="17" t="s">
        <v>46</v>
      </c>
      <c r="F451" s="18" t="s">
        <v>47</v>
      </c>
      <c r="G451" s="18" t="s">
        <v>48</v>
      </c>
      <c r="H451" s="24">
        <v>10640</v>
      </c>
      <c r="I451" s="24">
        <f>T_reg.root.SK[[#This Row],[Volume, kg]]/1000</f>
        <v>10.64</v>
      </c>
      <c r="J451" s="25">
        <v>0.22870000000000001</v>
      </c>
      <c r="K451" s="25">
        <f t="shared" ref="K451:K514" si="7">H451*J451</f>
        <v>2433.3679999999999</v>
      </c>
      <c r="L451" s="25">
        <v>3.95</v>
      </c>
      <c r="M451" s="24">
        <v>42028</v>
      </c>
      <c r="N451" s="25">
        <f>IFERROR(T_reg.root.SK[[#This Row],[Price]]/T_reg.root.SK[[#This Row],[Starch content]],"")</f>
        <v>17.271534761696547</v>
      </c>
    </row>
    <row r="452" spans="1:14">
      <c r="A452" s="21">
        <v>2023</v>
      </c>
      <c r="B452" s="21" t="s">
        <v>21</v>
      </c>
      <c r="C452" s="21" t="s">
        <v>1145</v>
      </c>
      <c r="D452" s="21" t="s">
        <v>35</v>
      </c>
      <c r="E452" s="17" t="s">
        <v>336</v>
      </c>
      <c r="F452" s="18" t="s">
        <v>47</v>
      </c>
      <c r="G452" s="18" t="s">
        <v>48</v>
      </c>
      <c r="H452" s="24">
        <v>6090</v>
      </c>
      <c r="I452" s="24">
        <f>T_reg.root.SK[[#This Row],[Volume, kg]]/1000</f>
        <v>6.09</v>
      </c>
      <c r="J452" s="25">
        <v>0.2195</v>
      </c>
      <c r="K452" s="25">
        <f t="shared" si="7"/>
        <v>1336.7550000000001</v>
      </c>
      <c r="L452" s="25">
        <v>3.9</v>
      </c>
      <c r="M452" s="24">
        <v>23751</v>
      </c>
      <c r="N452" s="25">
        <f>IFERROR(T_reg.root.SK[[#This Row],[Price]]/T_reg.root.SK[[#This Row],[Starch content]],"")</f>
        <v>17.767653758542142</v>
      </c>
    </row>
    <row r="453" spans="1:14">
      <c r="A453" s="21">
        <v>2023</v>
      </c>
      <c r="B453" s="21" t="s">
        <v>21</v>
      </c>
      <c r="C453" s="21" t="s">
        <v>1145</v>
      </c>
      <c r="D453" s="21" t="s">
        <v>35</v>
      </c>
      <c r="E453" s="17" t="s">
        <v>78</v>
      </c>
      <c r="F453" s="18" t="s">
        <v>47</v>
      </c>
      <c r="G453" s="18" t="s">
        <v>48</v>
      </c>
      <c r="H453" s="24">
        <v>22390</v>
      </c>
      <c r="I453" s="24">
        <f>T_reg.root.SK[[#This Row],[Volume, kg]]/1000</f>
        <v>22.39</v>
      </c>
      <c r="J453" s="25">
        <v>0.2016</v>
      </c>
      <c r="K453" s="25">
        <f t="shared" si="7"/>
        <v>4513.8239999999996</v>
      </c>
      <c r="L453" s="25">
        <v>3.82</v>
      </c>
      <c r="M453" s="24">
        <v>85538</v>
      </c>
      <c r="N453" s="25">
        <f>IFERROR(T_reg.root.SK[[#This Row],[Price]]/T_reg.root.SK[[#This Row],[Starch content]],"")</f>
        <v>18.948412698412696</v>
      </c>
    </row>
    <row r="454" spans="1:14">
      <c r="A454" s="21">
        <v>2023</v>
      </c>
      <c r="B454" s="21" t="s">
        <v>21</v>
      </c>
      <c r="C454" s="21" t="s">
        <v>1145</v>
      </c>
      <c r="D454" s="21" t="s">
        <v>35</v>
      </c>
      <c r="E454" s="17" t="s">
        <v>58</v>
      </c>
      <c r="F454" s="18" t="s">
        <v>47</v>
      </c>
      <c r="G454" s="18" t="s">
        <v>48</v>
      </c>
      <c r="H454" s="24">
        <v>53430</v>
      </c>
      <c r="I454" s="24">
        <f>T_reg.root.SK[[#This Row],[Volume, kg]]/1000</f>
        <v>53.43</v>
      </c>
      <c r="J454" s="25">
        <v>0.21879999999999999</v>
      </c>
      <c r="K454" s="25">
        <f t="shared" si="7"/>
        <v>11690.484</v>
      </c>
      <c r="L454" s="25">
        <v>3.9</v>
      </c>
      <c r="M454" s="24">
        <v>208157</v>
      </c>
      <c r="N454" s="25">
        <f>IFERROR(T_reg.root.SK[[#This Row],[Price]]/T_reg.root.SK[[#This Row],[Starch content]],"")</f>
        <v>17.824497257769654</v>
      </c>
    </row>
    <row r="455" spans="1:14">
      <c r="A455" s="21">
        <v>2023</v>
      </c>
      <c r="B455" s="21" t="s">
        <v>21</v>
      </c>
      <c r="C455" s="21" t="s">
        <v>1145</v>
      </c>
      <c r="D455" s="21" t="s">
        <v>35</v>
      </c>
      <c r="E455" s="17" t="s">
        <v>337</v>
      </c>
      <c r="F455" s="18" t="s">
        <v>47</v>
      </c>
      <c r="G455" s="18" t="s">
        <v>48</v>
      </c>
      <c r="H455" s="24">
        <v>39060</v>
      </c>
      <c r="I455" s="24">
        <f>T_reg.root.SK[[#This Row],[Volume, kg]]/1000</f>
        <v>39.06</v>
      </c>
      <c r="J455" s="25">
        <v>0.19469999999999998</v>
      </c>
      <c r="K455" s="25">
        <f t="shared" si="7"/>
        <v>7604.9819999999991</v>
      </c>
      <c r="L455" s="25">
        <v>3.76</v>
      </c>
      <c r="M455" s="24">
        <v>146782.5</v>
      </c>
      <c r="N455" s="25">
        <f>IFERROR(T_reg.root.SK[[#This Row],[Price]]/T_reg.root.SK[[#This Row],[Starch content]],"")</f>
        <v>19.311761684643042</v>
      </c>
    </row>
    <row r="456" spans="1:14">
      <c r="A456" s="21">
        <v>2023</v>
      </c>
      <c r="B456" s="21" t="s">
        <v>21</v>
      </c>
      <c r="C456" s="21" t="s">
        <v>1145</v>
      </c>
      <c r="D456" s="21" t="s">
        <v>35</v>
      </c>
      <c r="E456" s="17" t="s">
        <v>338</v>
      </c>
      <c r="F456" s="18" t="s">
        <v>47</v>
      </c>
      <c r="G456" s="18" t="s">
        <v>48</v>
      </c>
      <c r="H456" s="24">
        <v>8470</v>
      </c>
      <c r="I456" s="24">
        <f>T_reg.root.SK[[#This Row],[Volume, kg]]/1000</f>
        <v>8.4700000000000006</v>
      </c>
      <c r="J456" s="25">
        <v>0.1575</v>
      </c>
      <c r="K456" s="25">
        <f t="shared" si="7"/>
        <v>1334.0250000000001</v>
      </c>
      <c r="L456" s="25">
        <v>3.6</v>
      </c>
      <c r="M456" s="24">
        <v>30492</v>
      </c>
      <c r="N456" s="25">
        <f>IFERROR(T_reg.root.SK[[#This Row],[Price]]/T_reg.root.SK[[#This Row],[Starch content]],"")</f>
        <v>22.857142857142858</v>
      </c>
    </row>
    <row r="457" spans="1:14">
      <c r="A457" s="21">
        <v>2023</v>
      </c>
      <c r="B457" s="21" t="s">
        <v>21</v>
      </c>
      <c r="C457" s="21" t="s">
        <v>1145</v>
      </c>
      <c r="D457" s="21" t="s">
        <v>35</v>
      </c>
      <c r="E457" s="17" t="s">
        <v>223</v>
      </c>
      <c r="F457" s="18" t="s">
        <v>47</v>
      </c>
      <c r="G457" s="18" t="s">
        <v>48</v>
      </c>
      <c r="H457" s="24">
        <v>117080</v>
      </c>
      <c r="I457" s="24">
        <f>T_reg.root.SK[[#This Row],[Volume, kg]]/1000</f>
        <v>117.08</v>
      </c>
      <c r="J457" s="25">
        <v>0.23269999999999999</v>
      </c>
      <c r="K457" s="25">
        <f t="shared" si="7"/>
        <v>27244.516</v>
      </c>
      <c r="L457" s="25">
        <v>3.21</v>
      </c>
      <c r="M457" s="24">
        <v>376357</v>
      </c>
      <c r="N457" s="25">
        <f>IFERROR(T_reg.root.SK[[#This Row],[Price]]/T_reg.root.SK[[#This Row],[Starch content]],"")</f>
        <v>13.794585302965192</v>
      </c>
    </row>
    <row r="458" spans="1:14">
      <c r="A458" s="21">
        <v>2023</v>
      </c>
      <c r="B458" s="21" t="s">
        <v>21</v>
      </c>
      <c r="C458" s="21" t="s">
        <v>1145</v>
      </c>
      <c r="D458" s="21" t="s">
        <v>35</v>
      </c>
      <c r="E458" s="17" t="s">
        <v>339</v>
      </c>
      <c r="F458" s="18" t="s">
        <v>47</v>
      </c>
      <c r="G458" s="18" t="s">
        <v>48</v>
      </c>
      <c r="H458" s="24">
        <v>32220</v>
      </c>
      <c r="I458" s="24">
        <f>T_reg.root.SK[[#This Row],[Volume, kg]]/1000</f>
        <v>32.22</v>
      </c>
      <c r="J458" s="25">
        <v>0.20100000000000001</v>
      </c>
      <c r="K458" s="25">
        <f t="shared" si="7"/>
        <v>6476.22</v>
      </c>
      <c r="L458" s="25">
        <v>3.81</v>
      </c>
      <c r="M458" s="24">
        <v>122748.5</v>
      </c>
      <c r="N458" s="25">
        <f>IFERROR(T_reg.root.SK[[#This Row],[Price]]/T_reg.root.SK[[#This Row],[Starch content]],"")</f>
        <v>18.955223880597014</v>
      </c>
    </row>
    <row r="459" spans="1:14">
      <c r="A459" s="21">
        <v>2023</v>
      </c>
      <c r="B459" s="21" t="s">
        <v>21</v>
      </c>
      <c r="C459" s="21" t="s">
        <v>1145</v>
      </c>
      <c r="D459" s="21" t="s">
        <v>35</v>
      </c>
      <c r="E459" s="17" t="s">
        <v>62</v>
      </c>
      <c r="F459" s="18" t="s">
        <v>47</v>
      </c>
      <c r="G459" s="18" t="s">
        <v>48</v>
      </c>
      <c r="H459" s="24">
        <v>8770</v>
      </c>
      <c r="I459" s="24">
        <f>T_reg.root.SK[[#This Row],[Volume, kg]]/1000</f>
        <v>8.77</v>
      </c>
      <c r="J459" s="25">
        <v>0.22899999999999998</v>
      </c>
      <c r="K459" s="25">
        <f t="shared" si="7"/>
        <v>2008.33</v>
      </c>
      <c r="L459" s="25">
        <v>3.95</v>
      </c>
      <c r="M459" s="24">
        <v>34641.5</v>
      </c>
      <c r="N459" s="25">
        <f>IFERROR(T_reg.root.SK[[#This Row],[Price]]/T_reg.root.SK[[#This Row],[Starch content]],"")</f>
        <v>17.248908296943235</v>
      </c>
    </row>
    <row r="460" spans="1:14">
      <c r="A460" s="21">
        <v>2023</v>
      </c>
      <c r="B460" s="21" t="s">
        <v>21</v>
      </c>
      <c r="C460" s="21" t="s">
        <v>1145</v>
      </c>
      <c r="D460" s="21" t="s">
        <v>35</v>
      </c>
      <c r="E460" s="17" t="s">
        <v>340</v>
      </c>
      <c r="F460" s="18" t="s">
        <v>47</v>
      </c>
      <c r="G460" s="18" t="s">
        <v>48</v>
      </c>
      <c r="H460" s="24">
        <v>114440</v>
      </c>
      <c r="I460" s="24">
        <f>T_reg.root.SK[[#This Row],[Volume, kg]]/1000</f>
        <v>114.44</v>
      </c>
      <c r="J460" s="25">
        <v>0.26170000000000004</v>
      </c>
      <c r="K460" s="25">
        <f t="shared" si="7"/>
        <v>29948.948000000004</v>
      </c>
      <c r="L460" s="25">
        <v>4.09</v>
      </c>
      <c r="M460" s="24">
        <v>468450.5</v>
      </c>
      <c r="N460" s="25">
        <f>IFERROR(T_reg.root.SK[[#This Row],[Price]]/T_reg.root.SK[[#This Row],[Starch content]],"")</f>
        <v>15.628582346197934</v>
      </c>
    </row>
    <row r="461" spans="1:14">
      <c r="A461" s="21">
        <v>2023</v>
      </c>
      <c r="B461" s="21" t="s">
        <v>21</v>
      </c>
      <c r="C461" s="21" t="s">
        <v>1145</v>
      </c>
      <c r="D461" s="21" t="s">
        <v>35</v>
      </c>
      <c r="E461" s="17" t="s">
        <v>341</v>
      </c>
      <c r="F461" s="18" t="s">
        <v>47</v>
      </c>
      <c r="G461" s="18" t="s">
        <v>48</v>
      </c>
      <c r="H461" s="24">
        <v>56070</v>
      </c>
      <c r="I461" s="24">
        <f>T_reg.root.SK[[#This Row],[Volume, kg]]/1000</f>
        <v>56.07</v>
      </c>
      <c r="J461" s="25">
        <v>0.25679999999999997</v>
      </c>
      <c r="K461" s="25">
        <f t="shared" si="7"/>
        <v>14398.775999999998</v>
      </c>
      <c r="L461" s="25">
        <v>4.08</v>
      </c>
      <c r="M461" s="24">
        <v>228812.5</v>
      </c>
      <c r="N461" s="25">
        <f>IFERROR(T_reg.root.SK[[#This Row],[Price]]/T_reg.root.SK[[#This Row],[Starch content]],"")</f>
        <v>15.887850467289722</v>
      </c>
    </row>
    <row r="462" spans="1:14">
      <c r="A462" s="21">
        <v>2023</v>
      </c>
      <c r="B462" s="21" t="s">
        <v>21</v>
      </c>
      <c r="C462" s="21" t="s">
        <v>1145</v>
      </c>
      <c r="D462" s="21" t="s">
        <v>35</v>
      </c>
      <c r="E462" s="17" t="s">
        <v>77</v>
      </c>
      <c r="F462" s="18" t="s">
        <v>47</v>
      </c>
      <c r="G462" s="18" t="s">
        <v>48</v>
      </c>
      <c r="H462" s="24">
        <v>32670</v>
      </c>
      <c r="I462" s="24">
        <f>T_reg.root.SK[[#This Row],[Volume, kg]]/1000</f>
        <v>32.67</v>
      </c>
      <c r="J462" s="25">
        <v>0.21829999999999999</v>
      </c>
      <c r="K462" s="25">
        <f t="shared" si="7"/>
        <v>7131.8609999999999</v>
      </c>
      <c r="L462" s="25">
        <v>3.9</v>
      </c>
      <c r="M462" s="24">
        <v>127299</v>
      </c>
      <c r="N462" s="25">
        <f>IFERROR(T_reg.root.SK[[#This Row],[Price]]/T_reg.root.SK[[#This Row],[Starch content]],"")</f>
        <v>17.865322950068713</v>
      </c>
    </row>
    <row r="463" spans="1:14">
      <c r="A463" s="21">
        <v>2023</v>
      </c>
      <c r="B463" s="21" t="s">
        <v>21</v>
      </c>
      <c r="C463" s="21" t="s">
        <v>1145</v>
      </c>
      <c r="D463" s="21" t="s">
        <v>39</v>
      </c>
      <c r="E463" s="17" t="s">
        <v>226</v>
      </c>
      <c r="F463" s="18" t="s">
        <v>227</v>
      </c>
      <c r="G463" s="18" t="s">
        <v>42</v>
      </c>
      <c r="H463" s="24">
        <v>283300</v>
      </c>
      <c r="I463" s="24">
        <f>T_reg.root.SK[[#This Row],[Volume, kg]]/1000</f>
        <v>283.3</v>
      </c>
      <c r="J463" s="25">
        <v>0.23850000000000002</v>
      </c>
      <c r="K463" s="25">
        <f t="shared" si="7"/>
        <v>67567.05</v>
      </c>
      <c r="L463" s="25">
        <v>3.89</v>
      </c>
      <c r="M463" s="24">
        <v>1102211.5</v>
      </c>
      <c r="N463" s="25">
        <f>IFERROR(T_reg.root.SK[[#This Row],[Price]]/T_reg.root.SK[[#This Row],[Starch content]],"")</f>
        <v>16.310272536687631</v>
      </c>
    </row>
    <row r="464" spans="1:14">
      <c r="A464" s="21">
        <v>2023</v>
      </c>
      <c r="B464" s="21" t="s">
        <v>21</v>
      </c>
      <c r="C464" s="21" t="s">
        <v>1145</v>
      </c>
      <c r="D464" s="21" t="s">
        <v>39</v>
      </c>
      <c r="E464" s="17" t="s">
        <v>85</v>
      </c>
      <c r="F464" s="18" t="s">
        <v>86</v>
      </c>
      <c r="G464" s="18" t="s">
        <v>87</v>
      </c>
      <c r="H464" s="24">
        <v>2187060</v>
      </c>
      <c r="I464" s="24">
        <f>T_reg.root.SK[[#This Row],[Volume, kg]]/1000</f>
        <v>2187.06</v>
      </c>
      <c r="J464" s="25">
        <v>0.23440000000000003</v>
      </c>
      <c r="K464" s="25">
        <f t="shared" si="7"/>
        <v>512646.86400000006</v>
      </c>
      <c r="L464" s="25">
        <v>3.89</v>
      </c>
      <c r="M464" s="24">
        <v>8498850</v>
      </c>
      <c r="N464" s="25">
        <f>IFERROR(T_reg.root.SK[[#This Row],[Price]]/T_reg.root.SK[[#This Row],[Starch content]],"")</f>
        <v>16.595563139931741</v>
      </c>
    </row>
    <row r="465" spans="1:14">
      <c r="A465" s="21">
        <v>2023</v>
      </c>
      <c r="B465" s="21" t="s">
        <v>21</v>
      </c>
      <c r="C465" s="21" t="s">
        <v>1145</v>
      </c>
      <c r="D465" s="21" t="s">
        <v>39</v>
      </c>
      <c r="E465" s="17" t="s">
        <v>342</v>
      </c>
      <c r="F465" s="18" t="s">
        <v>343</v>
      </c>
      <c r="G465" s="18" t="s">
        <v>344</v>
      </c>
      <c r="H465" s="24">
        <v>370420</v>
      </c>
      <c r="I465" s="24">
        <f>T_reg.root.SK[[#This Row],[Volume, kg]]/1000</f>
        <v>370.42</v>
      </c>
      <c r="J465" s="25">
        <v>0.26960000000000001</v>
      </c>
      <c r="K465" s="25">
        <f t="shared" si="7"/>
        <v>99865.232000000004</v>
      </c>
      <c r="L465" s="25">
        <v>4.0999999999999996</v>
      </c>
      <c r="M465" s="24">
        <v>1518326.5</v>
      </c>
      <c r="N465" s="25">
        <f>IFERROR(T_reg.root.SK[[#This Row],[Price]]/T_reg.root.SK[[#This Row],[Starch content]],"")</f>
        <v>15.207715133531156</v>
      </c>
    </row>
    <row r="466" spans="1:14">
      <c r="A466" s="21">
        <v>2023</v>
      </c>
      <c r="B466" s="21" t="s">
        <v>21</v>
      </c>
      <c r="C466" s="21" t="s">
        <v>1145</v>
      </c>
      <c r="D466" s="21" t="s">
        <v>39</v>
      </c>
      <c r="E466" s="17" t="s">
        <v>88</v>
      </c>
      <c r="F466" s="18" t="s">
        <v>89</v>
      </c>
      <c r="G466" s="18" t="s">
        <v>90</v>
      </c>
      <c r="H466" s="24">
        <v>1145950</v>
      </c>
      <c r="I466" s="24">
        <f>T_reg.root.SK[[#This Row],[Volume, kg]]/1000</f>
        <v>1145.95</v>
      </c>
      <c r="J466" s="25">
        <v>0.23499999999999999</v>
      </c>
      <c r="K466" s="25">
        <f t="shared" si="7"/>
        <v>269298.25</v>
      </c>
      <c r="L466" s="25">
        <v>3.85</v>
      </c>
      <c r="M466" s="24">
        <v>4409620.5</v>
      </c>
      <c r="N466" s="25">
        <f>IFERROR(T_reg.root.SK[[#This Row],[Price]]/T_reg.root.SK[[#This Row],[Starch content]],"")</f>
        <v>16.382978723404257</v>
      </c>
    </row>
    <row r="467" spans="1:14">
      <c r="A467" s="21">
        <v>2023</v>
      </c>
      <c r="B467" s="21" t="s">
        <v>21</v>
      </c>
      <c r="C467" s="21" t="s">
        <v>1145</v>
      </c>
      <c r="D467" s="21" t="s">
        <v>39</v>
      </c>
      <c r="E467" s="17" t="s">
        <v>94</v>
      </c>
      <c r="F467" s="18" t="s">
        <v>95</v>
      </c>
      <c r="G467" s="18" t="s">
        <v>48</v>
      </c>
      <c r="H467" s="24">
        <v>6983600</v>
      </c>
      <c r="I467" s="24">
        <f>T_reg.root.SK[[#This Row],[Volume, kg]]/1000</f>
        <v>6983.6</v>
      </c>
      <c r="J467" s="25">
        <v>0.2407</v>
      </c>
      <c r="K467" s="25">
        <f t="shared" si="7"/>
        <v>1680952.52</v>
      </c>
      <c r="L467" s="25">
        <v>3.92</v>
      </c>
      <c r="M467" s="24">
        <v>27406156.5</v>
      </c>
      <c r="N467" s="25">
        <f>IFERROR(T_reg.root.SK[[#This Row],[Price]]/T_reg.root.SK[[#This Row],[Starch content]],"")</f>
        <v>16.285832987120898</v>
      </c>
    </row>
    <row r="468" spans="1:14">
      <c r="A468" s="21">
        <v>2023</v>
      </c>
      <c r="B468" s="21" t="s">
        <v>21</v>
      </c>
      <c r="C468" s="21" t="s">
        <v>1145</v>
      </c>
      <c r="D468" s="21" t="s">
        <v>35</v>
      </c>
      <c r="E468" s="17" t="s">
        <v>345</v>
      </c>
      <c r="F468" s="18" t="s">
        <v>95</v>
      </c>
      <c r="G468" s="18" t="s">
        <v>48</v>
      </c>
      <c r="H468" s="24">
        <v>19220</v>
      </c>
      <c r="I468" s="24">
        <f>T_reg.root.SK[[#This Row],[Volume, kg]]/1000</f>
        <v>19.22</v>
      </c>
      <c r="J468" s="25">
        <v>0.28320000000000001</v>
      </c>
      <c r="K468" s="25">
        <f t="shared" si="7"/>
        <v>5443.1040000000003</v>
      </c>
      <c r="L468" s="25">
        <v>4.2</v>
      </c>
      <c r="M468" s="24">
        <v>80715</v>
      </c>
      <c r="N468" s="25">
        <f>IFERROR(T_reg.root.SK[[#This Row],[Price]]/T_reg.root.SK[[#This Row],[Starch content]],"")</f>
        <v>14.830508474576272</v>
      </c>
    </row>
    <row r="469" spans="1:14">
      <c r="A469" s="21">
        <v>2023</v>
      </c>
      <c r="B469" s="21" t="s">
        <v>21</v>
      </c>
      <c r="C469" s="21" t="s">
        <v>1145</v>
      </c>
      <c r="D469" s="21" t="s">
        <v>39</v>
      </c>
      <c r="E469" s="17" t="s">
        <v>98</v>
      </c>
      <c r="F469" s="18" t="s">
        <v>99</v>
      </c>
      <c r="G469" s="18" t="s">
        <v>42</v>
      </c>
      <c r="H469" s="24">
        <v>1100040</v>
      </c>
      <c r="I469" s="24">
        <f>T_reg.root.SK[[#This Row],[Volume, kg]]/1000</f>
        <v>1100.04</v>
      </c>
      <c r="J469" s="25">
        <v>0.24170000000000003</v>
      </c>
      <c r="K469" s="25">
        <f t="shared" si="7"/>
        <v>265879.66800000001</v>
      </c>
      <c r="L469" s="25">
        <v>3.92</v>
      </c>
      <c r="M469" s="24">
        <v>4307498.5</v>
      </c>
      <c r="N469" s="25">
        <f>IFERROR(T_reg.root.SK[[#This Row],[Price]]/T_reg.root.SK[[#This Row],[Starch content]],"")</f>
        <v>16.218452627223829</v>
      </c>
    </row>
    <row r="470" spans="1:14">
      <c r="A470" s="21">
        <v>2023</v>
      </c>
      <c r="B470" s="21" t="s">
        <v>21</v>
      </c>
      <c r="C470" s="21" t="s">
        <v>1145</v>
      </c>
      <c r="D470" s="21" t="s">
        <v>39</v>
      </c>
      <c r="E470" s="17" t="s">
        <v>346</v>
      </c>
      <c r="F470" s="18" t="s">
        <v>99</v>
      </c>
      <c r="G470" s="18" t="s">
        <v>42</v>
      </c>
      <c r="H470" s="24">
        <v>1527870</v>
      </c>
      <c r="I470" s="24">
        <f>T_reg.root.SK[[#This Row],[Volume, kg]]/1000</f>
        <v>1527.87</v>
      </c>
      <c r="J470" s="25">
        <v>0.22800000000000001</v>
      </c>
      <c r="K470" s="25">
        <f t="shared" si="7"/>
        <v>348354.36</v>
      </c>
      <c r="L470" s="25">
        <v>3.86</v>
      </c>
      <c r="M470" s="24">
        <v>5903155.5</v>
      </c>
      <c r="N470" s="25">
        <f>IFERROR(T_reg.root.SK[[#This Row],[Price]]/T_reg.root.SK[[#This Row],[Starch content]],"")</f>
        <v>16.929824561403507</v>
      </c>
    </row>
    <row r="471" spans="1:14">
      <c r="A471" s="21">
        <v>2023</v>
      </c>
      <c r="B471" s="21" t="s">
        <v>21</v>
      </c>
      <c r="C471" s="21" t="s">
        <v>1145</v>
      </c>
      <c r="D471" s="21" t="s">
        <v>39</v>
      </c>
      <c r="E471" s="17" t="s">
        <v>101</v>
      </c>
      <c r="F471" s="18" t="s">
        <v>102</v>
      </c>
      <c r="G471" s="18" t="s">
        <v>103</v>
      </c>
      <c r="H471" s="24">
        <v>88840</v>
      </c>
      <c r="I471" s="24">
        <f>T_reg.root.SK[[#This Row],[Volume, kg]]/1000</f>
        <v>88.84</v>
      </c>
      <c r="J471" s="25">
        <v>0.24760000000000001</v>
      </c>
      <c r="K471" s="25">
        <f t="shared" si="7"/>
        <v>21996.784</v>
      </c>
      <c r="L471" s="25">
        <v>3.96</v>
      </c>
      <c r="M471" s="24">
        <v>351373</v>
      </c>
      <c r="N471" s="25">
        <f>IFERROR(T_reg.root.SK[[#This Row],[Price]]/T_reg.root.SK[[#This Row],[Starch content]],"")</f>
        <v>15.993537964458804</v>
      </c>
    </row>
    <row r="472" spans="1:14">
      <c r="A472" s="21">
        <v>2023</v>
      </c>
      <c r="B472" s="21" t="s">
        <v>21</v>
      </c>
      <c r="C472" s="21" t="s">
        <v>1145</v>
      </c>
      <c r="D472" s="21" t="s">
        <v>39</v>
      </c>
      <c r="E472" s="17" t="s">
        <v>284</v>
      </c>
      <c r="F472" s="18" t="s">
        <v>285</v>
      </c>
      <c r="G472" s="18" t="s">
        <v>286</v>
      </c>
      <c r="H472" s="24">
        <v>1424700</v>
      </c>
      <c r="I472" s="24">
        <f>T_reg.root.SK[[#This Row],[Volume, kg]]/1000</f>
        <v>1424.7</v>
      </c>
      <c r="J472" s="25">
        <v>0.27789999999999998</v>
      </c>
      <c r="K472" s="25">
        <f t="shared" si="7"/>
        <v>395924.12999999995</v>
      </c>
      <c r="L472" s="25">
        <v>4.12</v>
      </c>
      <c r="M472" s="24">
        <v>5866089</v>
      </c>
      <c r="N472" s="25">
        <f>IFERROR(T_reg.root.SK[[#This Row],[Price]]/T_reg.root.SK[[#This Row],[Starch content]],"")</f>
        <v>14.825476790212308</v>
      </c>
    </row>
    <row r="473" spans="1:14">
      <c r="A473" s="21">
        <v>2023</v>
      </c>
      <c r="B473" s="21" t="s">
        <v>21</v>
      </c>
      <c r="C473" s="21" t="s">
        <v>1145</v>
      </c>
      <c r="D473" s="21" t="s">
        <v>39</v>
      </c>
      <c r="E473" s="17" t="s">
        <v>347</v>
      </c>
      <c r="F473" s="18" t="s">
        <v>1146</v>
      </c>
      <c r="G473" s="18" t="s">
        <v>103</v>
      </c>
      <c r="H473" s="24">
        <v>84230</v>
      </c>
      <c r="I473" s="24">
        <f>T_reg.root.SK[[#This Row],[Volume, kg]]/1000</f>
        <v>84.23</v>
      </c>
      <c r="J473" s="25">
        <v>0.21690000000000001</v>
      </c>
      <c r="K473" s="25">
        <f t="shared" si="7"/>
        <v>18269.487000000001</v>
      </c>
      <c r="L473" s="25">
        <v>3.67</v>
      </c>
      <c r="M473" s="24">
        <v>309306</v>
      </c>
      <c r="N473" s="25">
        <f>IFERROR(T_reg.root.SK[[#This Row],[Price]]/T_reg.root.SK[[#This Row],[Starch content]],"")</f>
        <v>16.920239741816506</v>
      </c>
    </row>
    <row r="474" spans="1:14">
      <c r="A474" s="21">
        <v>2023</v>
      </c>
      <c r="B474" s="21" t="s">
        <v>21</v>
      </c>
      <c r="C474" s="21" t="s">
        <v>1145</v>
      </c>
      <c r="D474" s="21" t="s">
        <v>35</v>
      </c>
      <c r="E474" s="17" t="s">
        <v>349</v>
      </c>
      <c r="F474" s="18" t="s">
        <v>105</v>
      </c>
      <c r="G474" s="18" t="s">
        <v>48</v>
      </c>
      <c r="H474" s="24">
        <v>39020</v>
      </c>
      <c r="I474" s="24">
        <f>T_reg.root.SK[[#This Row],[Volume, kg]]/1000</f>
        <v>39.020000000000003</v>
      </c>
      <c r="J474" s="25">
        <v>0.26019999999999999</v>
      </c>
      <c r="K474" s="25">
        <f t="shared" si="7"/>
        <v>10153.003999999999</v>
      </c>
      <c r="L474" s="25">
        <v>3.91</v>
      </c>
      <c r="M474" s="24">
        <v>152605.5</v>
      </c>
      <c r="N474" s="25">
        <f>IFERROR(T_reg.root.SK[[#This Row],[Price]]/T_reg.root.SK[[#This Row],[Starch content]],"")</f>
        <v>15.026902382782476</v>
      </c>
    </row>
    <row r="475" spans="1:14">
      <c r="A475" s="21">
        <v>2023</v>
      </c>
      <c r="B475" s="21" t="s">
        <v>21</v>
      </c>
      <c r="C475" s="21" t="s">
        <v>1145</v>
      </c>
      <c r="D475" s="21" t="s">
        <v>35</v>
      </c>
      <c r="E475" s="17" t="s">
        <v>289</v>
      </c>
      <c r="F475" s="18" t="s">
        <v>105</v>
      </c>
      <c r="G475" s="18" t="s">
        <v>48</v>
      </c>
      <c r="H475" s="24">
        <v>8950</v>
      </c>
      <c r="I475" s="24">
        <f>T_reg.root.SK[[#This Row],[Volume, kg]]/1000</f>
        <v>8.9499999999999993</v>
      </c>
      <c r="J475" s="25">
        <v>0.28050000000000003</v>
      </c>
      <c r="K475" s="25">
        <f t="shared" si="7"/>
        <v>2510.4750000000004</v>
      </c>
      <c r="L475" s="25">
        <v>3.9</v>
      </c>
      <c r="M475" s="24">
        <v>34905</v>
      </c>
      <c r="N475" s="25">
        <f>IFERROR(T_reg.root.SK[[#This Row],[Price]]/T_reg.root.SK[[#This Row],[Starch content]],"")</f>
        <v>13.90374331550802</v>
      </c>
    </row>
    <row r="476" spans="1:14">
      <c r="A476" s="21">
        <v>2023</v>
      </c>
      <c r="B476" s="21" t="s">
        <v>21</v>
      </c>
      <c r="C476" s="21" t="s">
        <v>1145</v>
      </c>
      <c r="D476" s="21" t="s">
        <v>35</v>
      </c>
      <c r="E476" s="17" t="s">
        <v>107</v>
      </c>
      <c r="F476" s="18" t="s">
        <v>105</v>
      </c>
      <c r="G476" s="18" t="s">
        <v>48</v>
      </c>
      <c r="H476" s="24">
        <v>78040</v>
      </c>
      <c r="I476" s="24">
        <f>T_reg.root.SK[[#This Row],[Volume, kg]]/1000</f>
        <v>78.040000000000006</v>
      </c>
      <c r="J476" s="25">
        <v>0.25869999999999999</v>
      </c>
      <c r="K476" s="25">
        <f t="shared" si="7"/>
        <v>20188.948</v>
      </c>
      <c r="L476" s="25">
        <v>3.94</v>
      </c>
      <c r="M476" s="24">
        <v>307799</v>
      </c>
      <c r="N476" s="25">
        <f>IFERROR(T_reg.root.SK[[#This Row],[Price]]/T_reg.root.SK[[#This Row],[Starch content]],"")</f>
        <v>15.229996134518748</v>
      </c>
    </row>
    <row r="477" spans="1:14">
      <c r="A477" s="21">
        <v>2023</v>
      </c>
      <c r="B477" s="21" t="s">
        <v>21</v>
      </c>
      <c r="C477" s="21" t="s">
        <v>1145</v>
      </c>
      <c r="D477" s="21" t="s">
        <v>35</v>
      </c>
      <c r="E477" s="17" t="s">
        <v>231</v>
      </c>
      <c r="F477" s="18" t="s">
        <v>105</v>
      </c>
      <c r="G477" s="18" t="s">
        <v>48</v>
      </c>
      <c r="H477" s="24">
        <v>8600</v>
      </c>
      <c r="I477" s="24">
        <f>T_reg.root.SK[[#This Row],[Volume, kg]]/1000</f>
        <v>8.6</v>
      </c>
      <c r="J477" s="25">
        <v>0.20949999999999999</v>
      </c>
      <c r="K477" s="25">
        <f t="shared" si="7"/>
        <v>1801.6999999999998</v>
      </c>
      <c r="L477" s="25">
        <v>3.65</v>
      </c>
      <c r="M477" s="24">
        <v>31390</v>
      </c>
      <c r="N477" s="25">
        <f>IFERROR(T_reg.root.SK[[#This Row],[Price]]/T_reg.root.SK[[#This Row],[Starch content]],"")</f>
        <v>17.422434367541765</v>
      </c>
    </row>
    <row r="478" spans="1:14">
      <c r="A478" s="21">
        <v>2023</v>
      </c>
      <c r="B478" s="21" t="s">
        <v>21</v>
      </c>
      <c r="C478" s="21" t="s">
        <v>1145</v>
      </c>
      <c r="D478" s="21" t="s">
        <v>35</v>
      </c>
      <c r="E478" s="17" t="s">
        <v>108</v>
      </c>
      <c r="F478" s="18" t="s">
        <v>105</v>
      </c>
      <c r="G478" s="18" t="s">
        <v>48</v>
      </c>
      <c r="H478" s="24">
        <v>121220</v>
      </c>
      <c r="I478" s="24">
        <f>T_reg.root.SK[[#This Row],[Volume, kg]]/1000</f>
        <v>121.22</v>
      </c>
      <c r="J478" s="25">
        <v>0.2452</v>
      </c>
      <c r="K478" s="25">
        <f t="shared" si="7"/>
        <v>29723.144</v>
      </c>
      <c r="L478" s="25">
        <v>3.92</v>
      </c>
      <c r="M478" s="24">
        <v>474910</v>
      </c>
      <c r="N478" s="25">
        <f>IFERROR(T_reg.root.SK[[#This Row],[Price]]/T_reg.root.SK[[#This Row],[Starch content]],"")</f>
        <v>15.986949429037519</v>
      </c>
    </row>
    <row r="479" spans="1:14">
      <c r="A479" s="21">
        <v>2023</v>
      </c>
      <c r="B479" s="21" t="s">
        <v>21</v>
      </c>
      <c r="C479" s="21" t="s">
        <v>1145</v>
      </c>
      <c r="D479" s="21" t="s">
        <v>35</v>
      </c>
      <c r="E479" s="17" t="s">
        <v>291</v>
      </c>
      <c r="F479" s="18" t="s">
        <v>105</v>
      </c>
      <c r="G479" s="18" t="s">
        <v>48</v>
      </c>
      <c r="H479" s="24">
        <v>9640</v>
      </c>
      <c r="I479" s="24">
        <f>T_reg.root.SK[[#This Row],[Volume, kg]]/1000</f>
        <v>9.64</v>
      </c>
      <c r="J479" s="25">
        <v>0.1885</v>
      </c>
      <c r="K479" s="25">
        <f t="shared" si="7"/>
        <v>1817.14</v>
      </c>
      <c r="L479" s="25">
        <v>3.45</v>
      </c>
      <c r="M479" s="24">
        <v>33258</v>
      </c>
      <c r="N479" s="25">
        <f>IFERROR(T_reg.root.SK[[#This Row],[Price]]/T_reg.root.SK[[#This Row],[Starch content]],"")</f>
        <v>18.302387267904511</v>
      </c>
    </row>
    <row r="480" spans="1:14">
      <c r="A480" s="21">
        <v>2023</v>
      </c>
      <c r="B480" s="21" t="s">
        <v>21</v>
      </c>
      <c r="C480" s="21" t="s">
        <v>1145</v>
      </c>
      <c r="D480" s="21" t="s">
        <v>35</v>
      </c>
      <c r="E480" s="17" t="s">
        <v>109</v>
      </c>
      <c r="F480" s="18" t="s">
        <v>105</v>
      </c>
      <c r="G480" s="18" t="s">
        <v>48</v>
      </c>
      <c r="H480" s="24">
        <v>18570</v>
      </c>
      <c r="I480" s="24">
        <f>T_reg.root.SK[[#This Row],[Volume, kg]]/1000</f>
        <v>18.57</v>
      </c>
      <c r="J480" s="25">
        <v>0.24809999999999999</v>
      </c>
      <c r="K480" s="25">
        <f t="shared" si="7"/>
        <v>4607.2169999999996</v>
      </c>
      <c r="L480" s="25">
        <v>3.83</v>
      </c>
      <c r="M480" s="24">
        <v>71095</v>
      </c>
      <c r="N480" s="25">
        <f>IFERROR(T_reg.root.SK[[#This Row],[Price]]/T_reg.root.SK[[#This Row],[Starch content]],"")</f>
        <v>15.437323659814592</v>
      </c>
    </row>
    <row r="481" spans="1:14">
      <c r="A481" s="21">
        <v>2023</v>
      </c>
      <c r="B481" s="21" t="s">
        <v>21</v>
      </c>
      <c r="C481" s="21" t="s">
        <v>1145</v>
      </c>
      <c r="D481" s="21" t="s">
        <v>35</v>
      </c>
      <c r="E481" s="17" t="s">
        <v>292</v>
      </c>
      <c r="F481" s="18" t="s">
        <v>105</v>
      </c>
      <c r="G481" s="18" t="s">
        <v>48</v>
      </c>
      <c r="H481" s="24">
        <v>23550</v>
      </c>
      <c r="I481" s="24">
        <f>T_reg.root.SK[[#This Row],[Volume, kg]]/1000</f>
        <v>23.55</v>
      </c>
      <c r="J481" s="25">
        <v>0.2576</v>
      </c>
      <c r="K481" s="25">
        <f t="shared" si="7"/>
        <v>6066.48</v>
      </c>
      <c r="L481" s="25">
        <v>3.89</v>
      </c>
      <c r="M481" s="24">
        <v>91534</v>
      </c>
      <c r="N481" s="25">
        <f>IFERROR(T_reg.root.SK[[#This Row],[Price]]/T_reg.root.SK[[#This Row],[Starch content]],"")</f>
        <v>15.100931677018634</v>
      </c>
    </row>
    <row r="482" spans="1:14">
      <c r="A482" s="21">
        <v>2023</v>
      </c>
      <c r="B482" s="21" t="s">
        <v>21</v>
      </c>
      <c r="C482" s="21" t="s">
        <v>1145</v>
      </c>
      <c r="D482" s="21" t="s">
        <v>35</v>
      </c>
      <c r="E482" s="17" t="s">
        <v>350</v>
      </c>
      <c r="F482" s="18" t="s">
        <v>105</v>
      </c>
      <c r="G482" s="18" t="s">
        <v>48</v>
      </c>
      <c r="H482" s="24">
        <v>34380</v>
      </c>
      <c r="I482" s="24">
        <f>T_reg.root.SK[[#This Row],[Volume, kg]]/1000</f>
        <v>34.380000000000003</v>
      </c>
      <c r="J482" s="25">
        <v>0.26590000000000003</v>
      </c>
      <c r="K482" s="25">
        <f t="shared" si="7"/>
        <v>9141.6420000000016</v>
      </c>
      <c r="L482" s="25">
        <v>3.93</v>
      </c>
      <c r="M482" s="24">
        <v>134967</v>
      </c>
      <c r="N482" s="25">
        <f>IFERROR(T_reg.root.SK[[#This Row],[Price]]/T_reg.root.SK[[#This Row],[Starch content]],"")</f>
        <v>14.779992478375329</v>
      </c>
    </row>
    <row r="483" spans="1:14">
      <c r="A483" s="21">
        <v>2023</v>
      </c>
      <c r="B483" s="21" t="s">
        <v>21</v>
      </c>
      <c r="C483" s="21" t="s">
        <v>1145</v>
      </c>
      <c r="D483" s="21" t="s">
        <v>35</v>
      </c>
      <c r="E483" s="17" t="s">
        <v>293</v>
      </c>
      <c r="F483" s="18" t="s">
        <v>105</v>
      </c>
      <c r="G483" s="18" t="s">
        <v>48</v>
      </c>
      <c r="H483" s="24">
        <v>3280</v>
      </c>
      <c r="I483" s="24">
        <f>T_reg.root.SK[[#This Row],[Volume, kg]]/1000</f>
        <v>3.28</v>
      </c>
      <c r="J483" s="25">
        <v>0.27350000000000002</v>
      </c>
      <c r="K483" s="25">
        <f t="shared" si="7"/>
        <v>897.08</v>
      </c>
      <c r="L483" s="25">
        <v>3.95</v>
      </c>
      <c r="M483" s="24">
        <v>12956</v>
      </c>
      <c r="N483" s="25">
        <f>IFERROR(T_reg.root.SK[[#This Row],[Price]]/T_reg.root.SK[[#This Row],[Starch content]],"")</f>
        <v>14.442413162705666</v>
      </c>
    </row>
    <row r="484" spans="1:14">
      <c r="A484" s="21">
        <v>2023</v>
      </c>
      <c r="B484" s="21" t="s">
        <v>21</v>
      </c>
      <c r="C484" s="21" t="s">
        <v>1145</v>
      </c>
      <c r="D484" s="21" t="s">
        <v>35</v>
      </c>
      <c r="E484" s="17" t="s">
        <v>351</v>
      </c>
      <c r="F484" s="18" t="s">
        <v>105</v>
      </c>
      <c r="G484" s="18" t="s">
        <v>48</v>
      </c>
      <c r="H484" s="24">
        <v>33140</v>
      </c>
      <c r="I484" s="24">
        <f>T_reg.root.SK[[#This Row],[Volume, kg]]/1000</f>
        <v>33.14</v>
      </c>
      <c r="J484" s="25">
        <v>0.24170000000000003</v>
      </c>
      <c r="K484" s="25">
        <f t="shared" si="7"/>
        <v>8009.938000000001</v>
      </c>
      <c r="L484" s="25">
        <v>3.81</v>
      </c>
      <c r="M484" s="24">
        <v>126240.5</v>
      </c>
      <c r="N484" s="25">
        <f>IFERROR(T_reg.root.SK[[#This Row],[Price]]/T_reg.root.SK[[#This Row],[Starch content]],"")</f>
        <v>15.763342987174182</v>
      </c>
    </row>
    <row r="485" spans="1:14">
      <c r="A485" s="21">
        <v>2023</v>
      </c>
      <c r="B485" s="21" t="s">
        <v>21</v>
      </c>
      <c r="C485" s="21" t="s">
        <v>1145</v>
      </c>
      <c r="D485" s="21" t="s">
        <v>35</v>
      </c>
      <c r="E485" s="17" t="s">
        <v>352</v>
      </c>
      <c r="F485" s="18" t="s">
        <v>105</v>
      </c>
      <c r="G485" s="18" t="s">
        <v>48</v>
      </c>
      <c r="H485" s="24">
        <v>4170</v>
      </c>
      <c r="I485" s="24">
        <f>T_reg.root.SK[[#This Row],[Volume, kg]]/1000</f>
        <v>4.17</v>
      </c>
      <c r="J485" s="25">
        <v>0.20699999999999999</v>
      </c>
      <c r="K485" s="25">
        <f t="shared" si="7"/>
        <v>863.18999999999994</v>
      </c>
      <c r="L485" s="25">
        <v>3.65</v>
      </c>
      <c r="M485" s="24">
        <v>15220.5</v>
      </c>
      <c r="N485" s="25">
        <f>IFERROR(T_reg.root.SK[[#This Row],[Price]]/T_reg.root.SK[[#This Row],[Starch content]],"")</f>
        <v>17.632850241545896</v>
      </c>
    </row>
    <row r="486" spans="1:14">
      <c r="A486" s="21">
        <v>2023</v>
      </c>
      <c r="B486" s="21" t="s">
        <v>21</v>
      </c>
      <c r="C486" s="21" t="s">
        <v>1145</v>
      </c>
      <c r="D486" s="21" t="s">
        <v>35</v>
      </c>
      <c r="E486" s="17" t="s">
        <v>295</v>
      </c>
      <c r="F486" s="18" t="s">
        <v>105</v>
      </c>
      <c r="G486" s="18" t="s">
        <v>48</v>
      </c>
      <c r="H486" s="24">
        <v>20530</v>
      </c>
      <c r="I486" s="24">
        <f>T_reg.root.SK[[#This Row],[Volume, kg]]/1000</f>
        <v>20.53</v>
      </c>
      <c r="J486" s="25">
        <v>0.25989999999999996</v>
      </c>
      <c r="K486" s="25">
        <f t="shared" si="7"/>
        <v>5335.7469999999994</v>
      </c>
      <c r="L486" s="25">
        <v>3.9</v>
      </c>
      <c r="M486" s="24">
        <v>80048.5</v>
      </c>
      <c r="N486" s="25">
        <f>IFERROR(T_reg.root.SK[[#This Row],[Price]]/T_reg.root.SK[[#This Row],[Starch content]],"")</f>
        <v>15.005771450557909</v>
      </c>
    </row>
    <row r="487" spans="1:14">
      <c r="A487" s="21">
        <v>2023</v>
      </c>
      <c r="B487" s="21" t="s">
        <v>21</v>
      </c>
      <c r="C487" s="21" t="s">
        <v>1145</v>
      </c>
      <c r="D487" s="21" t="s">
        <v>35</v>
      </c>
      <c r="E487" s="17" t="s">
        <v>112</v>
      </c>
      <c r="F487" s="18" t="s">
        <v>105</v>
      </c>
      <c r="G487" s="18" t="s">
        <v>48</v>
      </c>
      <c r="H487" s="24">
        <v>1700</v>
      </c>
      <c r="I487" s="24">
        <f>T_reg.root.SK[[#This Row],[Volume, kg]]/1000</f>
        <v>1.7</v>
      </c>
      <c r="J487" s="25">
        <v>0.21249999999999999</v>
      </c>
      <c r="K487" s="25">
        <f t="shared" si="7"/>
        <v>361.25</v>
      </c>
      <c r="L487" s="25">
        <v>3.65</v>
      </c>
      <c r="M487" s="24">
        <v>6205</v>
      </c>
      <c r="N487" s="25">
        <f>IFERROR(T_reg.root.SK[[#This Row],[Price]]/T_reg.root.SK[[#This Row],[Starch content]],"")</f>
        <v>17.176470588235293</v>
      </c>
    </row>
    <row r="488" spans="1:14">
      <c r="A488" s="21">
        <v>2023</v>
      </c>
      <c r="B488" s="21" t="s">
        <v>21</v>
      </c>
      <c r="C488" s="21" t="s">
        <v>1145</v>
      </c>
      <c r="D488" s="21" t="s">
        <v>35</v>
      </c>
      <c r="E488" s="17" t="s">
        <v>353</v>
      </c>
      <c r="F488" s="18" t="s">
        <v>105</v>
      </c>
      <c r="G488" s="18" t="s">
        <v>48</v>
      </c>
      <c r="H488" s="24">
        <v>5960</v>
      </c>
      <c r="I488" s="24">
        <f>T_reg.root.SK[[#This Row],[Volume, kg]]/1000</f>
        <v>5.96</v>
      </c>
      <c r="J488" s="25">
        <v>0.26649999999999996</v>
      </c>
      <c r="K488" s="25">
        <f t="shared" si="7"/>
        <v>1588.3399999999997</v>
      </c>
      <c r="L488" s="25">
        <v>3.95</v>
      </c>
      <c r="M488" s="24">
        <v>23542</v>
      </c>
      <c r="N488" s="25">
        <f>IFERROR(T_reg.root.SK[[#This Row],[Price]]/T_reg.root.SK[[#This Row],[Starch content]],"")</f>
        <v>14.82176360225141</v>
      </c>
    </row>
    <row r="489" spans="1:14">
      <c r="A489" s="21">
        <v>2023</v>
      </c>
      <c r="B489" s="21" t="s">
        <v>21</v>
      </c>
      <c r="C489" s="21" t="s">
        <v>1145</v>
      </c>
      <c r="D489" s="21" t="s">
        <v>35</v>
      </c>
      <c r="E489" s="17" t="s">
        <v>354</v>
      </c>
      <c r="F489" s="18" t="s">
        <v>105</v>
      </c>
      <c r="G489" s="18" t="s">
        <v>48</v>
      </c>
      <c r="H489" s="24">
        <v>15020</v>
      </c>
      <c r="I489" s="24">
        <f>T_reg.root.SK[[#This Row],[Volume, kg]]/1000</f>
        <v>15.02</v>
      </c>
      <c r="J489" s="25">
        <v>0.21530000000000002</v>
      </c>
      <c r="K489" s="25">
        <f t="shared" si="7"/>
        <v>3233.8060000000005</v>
      </c>
      <c r="L489" s="25">
        <v>3.68</v>
      </c>
      <c r="M489" s="24">
        <v>55265</v>
      </c>
      <c r="N489" s="25">
        <f>IFERROR(T_reg.root.SK[[#This Row],[Price]]/T_reg.root.SK[[#This Row],[Starch content]],"")</f>
        <v>17.092429168601949</v>
      </c>
    </row>
    <row r="490" spans="1:14">
      <c r="A490" s="21">
        <v>2023</v>
      </c>
      <c r="B490" s="21" t="s">
        <v>21</v>
      </c>
      <c r="C490" s="21" t="s">
        <v>1145</v>
      </c>
      <c r="D490" s="21" t="s">
        <v>35</v>
      </c>
      <c r="E490" s="17" t="s">
        <v>235</v>
      </c>
      <c r="F490" s="18" t="s">
        <v>105</v>
      </c>
      <c r="G490" s="18" t="s">
        <v>48</v>
      </c>
      <c r="H490" s="24">
        <v>10750</v>
      </c>
      <c r="I490" s="24">
        <f>T_reg.root.SK[[#This Row],[Volume, kg]]/1000</f>
        <v>10.75</v>
      </c>
      <c r="J490" s="25">
        <v>0.27800000000000002</v>
      </c>
      <c r="K490" s="25">
        <f t="shared" si="7"/>
        <v>2988.5000000000005</v>
      </c>
      <c r="L490" s="25">
        <v>3.9</v>
      </c>
      <c r="M490" s="24">
        <v>41925</v>
      </c>
      <c r="N490" s="25">
        <f>IFERROR(T_reg.root.SK[[#This Row],[Price]]/T_reg.root.SK[[#This Row],[Starch content]],"")</f>
        <v>14.028776978417264</v>
      </c>
    </row>
    <row r="491" spans="1:14">
      <c r="A491" s="21">
        <v>2023</v>
      </c>
      <c r="B491" s="21" t="s">
        <v>21</v>
      </c>
      <c r="C491" s="21" t="s">
        <v>1145</v>
      </c>
      <c r="D491" s="21" t="s">
        <v>35</v>
      </c>
      <c r="E491" s="17" t="s">
        <v>115</v>
      </c>
      <c r="F491" s="18" t="s">
        <v>105</v>
      </c>
      <c r="G491" s="18" t="s">
        <v>48</v>
      </c>
      <c r="H491" s="24">
        <v>36750</v>
      </c>
      <c r="I491" s="24">
        <f>T_reg.root.SK[[#This Row],[Volume, kg]]/1000</f>
        <v>36.75</v>
      </c>
      <c r="J491" s="25">
        <v>0.2336</v>
      </c>
      <c r="K491" s="25">
        <f t="shared" si="7"/>
        <v>8584.7999999999993</v>
      </c>
      <c r="L491" s="25">
        <v>3.76</v>
      </c>
      <c r="M491" s="24">
        <v>138138</v>
      </c>
      <c r="N491" s="25">
        <f>IFERROR(T_reg.root.SK[[#This Row],[Price]]/T_reg.root.SK[[#This Row],[Starch content]],"")</f>
        <v>16.095890410958901</v>
      </c>
    </row>
    <row r="492" spans="1:14">
      <c r="A492" s="21">
        <v>2023</v>
      </c>
      <c r="B492" s="21" t="s">
        <v>21</v>
      </c>
      <c r="C492" s="21" t="s">
        <v>1145</v>
      </c>
      <c r="D492" s="21" t="s">
        <v>35</v>
      </c>
      <c r="E492" s="17" t="s">
        <v>116</v>
      </c>
      <c r="F492" s="18" t="s">
        <v>105</v>
      </c>
      <c r="G492" s="18" t="s">
        <v>48</v>
      </c>
      <c r="H492" s="24">
        <v>23460</v>
      </c>
      <c r="I492" s="24">
        <f>T_reg.root.SK[[#This Row],[Volume, kg]]/1000</f>
        <v>23.46</v>
      </c>
      <c r="J492" s="25">
        <v>0.24640000000000001</v>
      </c>
      <c r="K492" s="25">
        <f t="shared" si="7"/>
        <v>5780.5439999999999</v>
      </c>
      <c r="L492" s="25">
        <v>3.73</v>
      </c>
      <c r="M492" s="24">
        <v>87494.5</v>
      </c>
      <c r="N492" s="25">
        <f>IFERROR(T_reg.root.SK[[#This Row],[Price]]/T_reg.root.SK[[#This Row],[Starch content]],"")</f>
        <v>15.137987012987013</v>
      </c>
    </row>
    <row r="493" spans="1:14">
      <c r="A493" s="21">
        <v>2023</v>
      </c>
      <c r="B493" s="21" t="s">
        <v>21</v>
      </c>
      <c r="C493" s="21" t="s">
        <v>1145</v>
      </c>
      <c r="D493" s="21" t="s">
        <v>35</v>
      </c>
      <c r="E493" s="17" t="s">
        <v>296</v>
      </c>
      <c r="F493" s="18" t="s">
        <v>105</v>
      </c>
      <c r="G493" s="18" t="s">
        <v>48</v>
      </c>
      <c r="H493" s="24">
        <v>119490</v>
      </c>
      <c r="I493" s="24">
        <f>T_reg.root.SK[[#This Row],[Volume, kg]]/1000</f>
        <v>119.49</v>
      </c>
      <c r="J493" s="25">
        <v>0.28190000000000004</v>
      </c>
      <c r="K493" s="25">
        <f t="shared" si="7"/>
        <v>33684.231000000007</v>
      </c>
      <c r="L493" s="25">
        <v>4.09</v>
      </c>
      <c r="M493" s="24">
        <v>488529.5</v>
      </c>
      <c r="N493" s="25">
        <f>IFERROR(T_reg.root.SK[[#This Row],[Price]]/T_reg.root.SK[[#This Row],[Starch content]],"")</f>
        <v>14.508691025186234</v>
      </c>
    </row>
    <row r="494" spans="1:14">
      <c r="A494" s="21">
        <v>2023</v>
      </c>
      <c r="B494" s="21" t="s">
        <v>21</v>
      </c>
      <c r="C494" s="21" t="s">
        <v>1145</v>
      </c>
      <c r="D494" s="21" t="s">
        <v>35</v>
      </c>
      <c r="E494" s="17" t="s">
        <v>118</v>
      </c>
      <c r="F494" s="18" t="s">
        <v>105</v>
      </c>
      <c r="G494" s="18" t="s">
        <v>48</v>
      </c>
      <c r="H494" s="24">
        <v>200230</v>
      </c>
      <c r="I494" s="24">
        <f>T_reg.root.SK[[#This Row],[Volume, kg]]/1000</f>
        <v>200.23</v>
      </c>
      <c r="J494" s="25">
        <v>0.2349</v>
      </c>
      <c r="K494" s="25">
        <f t="shared" si="7"/>
        <v>47034.027000000002</v>
      </c>
      <c r="L494" s="25">
        <v>3.82</v>
      </c>
      <c r="M494" s="24">
        <v>764772.5</v>
      </c>
      <c r="N494" s="25">
        <f>IFERROR(T_reg.root.SK[[#This Row],[Price]]/T_reg.root.SK[[#This Row],[Starch content]],"")</f>
        <v>16.262239250744997</v>
      </c>
    </row>
    <row r="495" spans="1:14">
      <c r="A495" s="21">
        <v>2023</v>
      </c>
      <c r="B495" s="21" t="s">
        <v>21</v>
      </c>
      <c r="C495" s="21" t="s">
        <v>1145</v>
      </c>
      <c r="D495" s="21" t="s">
        <v>35</v>
      </c>
      <c r="E495" s="17" t="s">
        <v>120</v>
      </c>
      <c r="F495" s="18" t="s">
        <v>105</v>
      </c>
      <c r="G495" s="18" t="s">
        <v>48</v>
      </c>
      <c r="H495" s="24">
        <v>11790</v>
      </c>
      <c r="I495" s="24">
        <f>T_reg.root.SK[[#This Row],[Volume, kg]]/1000</f>
        <v>11.79</v>
      </c>
      <c r="J495" s="25">
        <v>0.27390000000000003</v>
      </c>
      <c r="K495" s="25">
        <f t="shared" si="7"/>
        <v>3229.2810000000004</v>
      </c>
      <c r="L495" s="25">
        <v>3.98</v>
      </c>
      <c r="M495" s="24">
        <v>46951.5</v>
      </c>
      <c r="N495" s="25">
        <f>IFERROR(T_reg.root.SK[[#This Row],[Price]]/T_reg.root.SK[[#This Row],[Starch content]],"")</f>
        <v>14.530850675428987</v>
      </c>
    </row>
    <row r="496" spans="1:14">
      <c r="A496" s="21">
        <v>2023</v>
      </c>
      <c r="B496" s="21" t="s">
        <v>21</v>
      </c>
      <c r="C496" s="21" t="s">
        <v>1145</v>
      </c>
      <c r="D496" s="21" t="s">
        <v>35</v>
      </c>
      <c r="E496" s="17" t="s">
        <v>121</v>
      </c>
      <c r="F496" s="18" t="s">
        <v>105</v>
      </c>
      <c r="G496" s="18" t="s">
        <v>48</v>
      </c>
      <c r="H496" s="24">
        <v>8020</v>
      </c>
      <c r="I496" s="24">
        <f>T_reg.root.SK[[#This Row],[Volume, kg]]/1000</f>
        <v>8.02</v>
      </c>
      <c r="J496" s="25">
        <v>0.28449999999999998</v>
      </c>
      <c r="K496" s="25">
        <f t="shared" si="7"/>
        <v>2281.6899999999996</v>
      </c>
      <c r="L496" s="25">
        <v>4</v>
      </c>
      <c r="M496" s="24">
        <v>32080</v>
      </c>
      <c r="N496" s="25">
        <f>IFERROR(T_reg.root.SK[[#This Row],[Price]]/T_reg.root.SK[[#This Row],[Starch content]],"")</f>
        <v>14.059753954305801</v>
      </c>
    </row>
    <row r="497" spans="1:14">
      <c r="A497" s="21">
        <v>2023</v>
      </c>
      <c r="B497" s="21" t="s">
        <v>21</v>
      </c>
      <c r="C497" s="21" t="s">
        <v>1145</v>
      </c>
      <c r="D497" s="21" t="s">
        <v>35</v>
      </c>
      <c r="E497" s="17" t="s">
        <v>122</v>
      </c>
      <c r="F497" s="18" t="s">
        <v>105</v>
      </c>
      <c r="G497" s="18" t="s">
        <v>48</v>
      </c>
      <c r="H497" s="24">
        <v>5570</v>
      </c>
      <c r="I497" s="24">
        <f>T_reg.root.SK[[#This Row],[Volume, kg]]/1000</f>
        <v>5.57</v>
      </c>
      <c r="J497" s="25">
        <v>0.26649999999999996</v>
      </c>
      <c r="K497" s="25">
        <f t="shared" si="7"/>
        <v>1484.4049999999997</v>
      </c>
      <c r="L497" s="25">
        <v>3.95</v>
      </c>
      <c r="M497" s="24">
        <v>22001.5</v>
      </c>
      <c r="N497" s="25">
        <f>IFERROR(T_reg.root.SK[[#This Row],[Price]]/T_reg.root.SK[[#This Row],[Starch content]],"")</f>
        <v>14.82176360225141</v>
      </c>
    </row>
    <row r="498" spans="1:14">
      <c r="A498" s="21">
        <v>2023</v>
      </c>
      <c r="B498" s="21" t="s">
        <v>21</v>
      </c>
      <c r="C498" s="21" t="s">
        <v>1145</v>
      </c>
      <c r="D498" s="21" t="s">
        <v>35</v>
      </c>
      <c r="E498" s="17" t="s">
        <v>355</v>
      </c>
      <c r="F498" s="18" t="s">
        <v>105</v>
      </c>
      <c r="G498" s="18" t="s">
        <v>48</v>
      </c>
      <c r="H498" s="24">
        <v>90190</v>
      </c>
      <c r="I498" s="24">
        <f>T_reg.root.SK[[#This Row],[Volume, kg]]/1000</f>
        <v>90.19</v>
      </c>
      <c r="J498" s="25">
        <v>0.24160000000000001</v>
      </c>
      <c r="K498" s="25">
        <f t="shared" si="7"/>
        <v>21789.904000000002</v>
      </c>
      <c r="L498" s="25">
        <v>3.81</v>
      </c>
      <c r="M498" s="24">
        <v>343990</v>
      </c>
      <c r="N498" s="25">
        <f>IFERROR(T_reg.root.SK[[#This Row],[Price]]/T_reg.root.SK[[#This Row],[Starch content]],"")</f>
        <v>15.769867549668874</v>
      </c>
    </row>
    <row r="499" spans="1:14">
      <c r="A499" s="21">
        <v>2023</v>
      </c>
      <c r="B499" s="21" t="s">
        <v>21</v>
      </c>
      <c r="C499" s="21" t="s">
        <v>1145</v>
      </c>
      <c r="D499" s="21" t="s">
        <v>35</v>
      </c>
      <c r="E499" s="17" t="s">
        <v>124</v>
      </c>
      <c r="F499" s="18" t="s">
        <v>105</v>
      </c>
      <c r="G499" s="18" t="s">
        <v>48</v>
      </c>
      <c r="H499" s="24">
        <v>213070</v>
      </c>
      <c r="I499" s="24">
        <f>T_reg.root.SK[[#This Row],[Volume, kg]]/1000</f>
        <v>213.07</v>
      </c>
      <c r="J499" s="25">
        <v>0.26590000000000003</v>
      </c>
      <c r="K499" s="25">
        <f t="shared" si="7"/>
        <v>56655.313000000002</v>
      </c>
      <c r="L499" s="25">
        <v>3.99</v>
      </c>
      <c r="M499" s="24">
        <v>850407</v>
      </c>
      <c r="N499" s="25">
        <f>IFERROR(T_reg.root.SK[[#This Row],[Price]]/T_reg.root.SK[[#This Row],[Starch content]],"")</f>
        <v>15.005641218503197</v>
      </c>
    </row>
    <row r="500" spans="1:14">
      <c r="A500" s="21">
        <v>2023</v>
      </c>
      <c r="B500" s="21" t="s">
        <v>21</v>
      </c>
      <c r="C500" s="21" t="s">
        <v>1145</v>
      </c>
      <c r="D500" s="21" t="s">
        <v>35</v>
      </c>
      <c r="E500" s="17" t="s">
        <v>125</v>
      </c>
      <c r="F500" s="18" t="s">
        <v>105</v>
      </c>
      <c r="G500" s="18" t="s">
        <v>48</v>
      </c>
      <c r="H500" s="24">
        <v>8120</v>
      </c>
      <c r="I500" s="24">
        <f>T_reg.root.SK[[#This Row],[Volume, kg]]/1000</f>
        <v>8.1199999999999992</v>
      </c>
      <c r="J500" s="25">
        <v>0.2268</v>
      </c>
      <c r="K500" s="25">
        <f t="shared" si="7"/>
        <v>1841.616</v>
      </c>
      <c r="L500" s="25">
        <v>3.74</v>
      </c>
      <c r="M500" s="24">
        <v>30366</v>
      </c>
      <c r="N500" s="25">
        <f>IFERROR(T_reg.root.SK[[#This Row],[Price]]/T_reg.root.SK[[#This Row],[Starch content]],"")</f>
        <v>16.490299823633158</v>
      </c>
    </row>
    <row r="501" spans="1:14">
      <c r="A501" s="21">
        <v>2023</v>
      </c>
      <c r="B501" s="21" t="s">
        <v>21</v>
      </c>
      <c r="C501" s="21" t="s">
        <v>1145</v>
      </c>
      <c r="D501" s="21" t="s">
        <v>35</v>
      </c>
      <c r="E501" s="17" t="s">
        <v>356</v>
      </c>
      <c r="F501" s="18" t="s">
        <v>105</v>
      </c>
      <c r="G501" s="18" t="s">
        <v>48</v>
      </c>
      <c r="H501" s="24">
        <v>3270</v>
      </c>
      <c r="I501" s="24">
        <f>T_reg.root.SK[[#This Row],[Volume, kg]]/1000</f>
        <v>3.27</v>
      </c>
      <c r="J501" s="25">
        <v>0.26649999999999996</v>
      </c>
      <c r="K501" s="25">
        <f t="shared" si="7"/>
        <v>871.45499999999981</v>
      </c>
      <c r="L501" s="25">
        <v>3.85</v>
      </c>
      <c r="M501" s="24">
        <v>12589.5</v>
      </c>
      <c r="N501" s="25">
        <f>IFERROR(T_reg.root.SK[[#This Row],[Price]]/T_reg.root.SK[[#This Row],[Starch content]],"")</f>
        <v>14.446529080675425</v>
      </c>
    </row>
    <row r="502" spans="1:14">
      <c r="A502" s="21">
        <v>2023</v>
      </c>
      <c r="B502" s="21" t="s">
        <v>21</v>
      </c>
      <c r="C502" s="21" t="s">
        <v>1145</v>
      </c>
      <c r="D502" s="21" t="s">
        <v>35</v>
      </c>
      <c r="E502" s="17" t="s">
        <v>129</v>
      </c>
      <c r="F502" s="18" t="s">
        <v>105</v>
      </c>
      <c r="G502" s="18" t="s">
        <v>48</v>
      </c>
      <c r="H502" s="24">
        <v>17160</v>
      </c>
      <c r="I502" s="24">
        <f>T_reg.root.SK[[#This Row],[Volume, kg]]/1000</f>
        <v>17.16</v>
      </c>
      <c r="J502" s="25">
        <v>0.27500000000000002</v>
      </c>
      <c r="K502" s="25">
        <f t="shared" si="7"/>
        <v>4719</v>
      </c>
      <c r="L502" s="25">
        <v>3.96</v>
      </c>
      <c r="M502" s="24">
        <v>68030.5</v>
      </c>
      <c r="N502" s="25">
        <f>IFERROR(T_reg.root.SK[[#This Row],[Price]]/T_reg.root.SK[[#This Row],[Starch content]],"")</f>
        <v>14.399999999999999</v>
      </c>
    </row>
    <row r="503" spans="1:14">
      <c r="A503" s="21">
        <v>2023</v>
      </c>
      <c r="B503" s="21" t="s">
        <v>21</v>
      </c>
      <c r="C503" s="21" t="s">
        <v>1145</v>
      </c>
      <c r="D503" s="21" t="s">
        <v>35</v>
      </c>
      <c r="E503" s="17" t="s">
        <v>133</v>
      </c>
      <c r="F503" s="18" t="s">
        <v>105</v>
      </c>
      <c r="G503" s="18" t="s">
        <v>48</v>
      </c>
      <c r="H503" s="24">
        <v>9490</v>
      </c>
      <c r="I503" s="24">
        <f>T_reg.root.SK[[#This Row],[Volume, kg]]/1000</f>
        <v>9.49</v>
      </c>
      <c r="J503" s="25">
        <v>0.22170000000000001</v>
      </c>
      <c r="K503" s="25">
        <f t="shared" si="7"/>
        <v>2103.933</v>
      </c>
      <c r="L503" s="25">
        <v>3.7</v>
      </c>
      <c r="M503" s="24">
        <v>35113</v>
      </c>
      <c r="N503" s="25">
        <f>IFERROR(T_reg.root.SK[[#This Row],[Price]]/T_reg.root.SK[[#This Row],[Starch content]],"")</f>
        <v>16.689219666215607</v>
      </c>
    </row>
    <row r="504" spans="1:14">
      <c r="A504" s="21">
        <v>2023</v>
      </c>
      <c r="B504" s="21" t="s">
        <v>21</v>
      </c>
      <c r="C504" s="21" t="s">
        <v>1145</v>
      </c>
      <c r="D504" s="21" t="s">
        <v>35</v>
      </c>
      <c r="E504" s="17" t="s">
        <v>301</v>
      </c>
      <c r="F504" s="18" t="s">
        <v>105</v>
      </c>
      <c r="G504" s="18" t="s">
        <v>48</v>
      </c>
      <c r="H504" s="24">
        <v>217340</v>
      </c>
      <c r="I504" s="24">
        <f>T_reg.root.SK[[#This Row],[Volume, kg]]/1000</f>
        <v>217.34</v>
      </c>
      <c r="J504" s="25">
        <v>0.22219999999999998</v>
      </c>
      <c r="K504" s="25">
        <f t="shared" si="7"/>
        <v>48292.947999999997</v>
      </c>
      <c r="L504" s="25">
        <v>3.78</v>
      </c>
      <c r="M504" s="24">
        <v>821423</v>
      </c>
      <c r="N504" s="25">
        <f>IFERROR(T_reg.root.SK[[#This Row],[Price]]/T_reg.root.SK[[#This Row],[Starch content]],"")</f>
        <v>17.011701170117011</v>
      </c>
    </row>
    <row r="505" spans="1:14">
      <c r="A505" s="21">
        <v>2023</v>
      </c>
      <c r="B505" s="21" t="s">
        <v>21</v>
      </c>
      <c r="C505" s="21" t="s">
        <v>1145</v>
      </c>
      <c r="D505" s="21" t="s">
        <v>35</v>
      </c>
      <c r="E505" s="17" t="s">
        <v>136</v>
      </c>
      <c r="F505" s="18" t="s">
        <v>105</v>
      </c>
      <c r="G505" s="18" t="s">
        <v>48</v>
      </c>
      <c r="H505" s="24">
        <v>70330</v>
      </c>
      <c r="I505" s="24">
        <f>T_reg.root.SK[[#This Row],[Volume, kg]]/1000</f>
        <v>70.33</v>
      </c>
      <c r="J505" s="25">
        <v>0.27800000000000002</v>
      </c>
      <c r="K505" s="25">
        <f t="shared" si="7"/>
        <v>19551.740000000002</v>
      </c>
      <c r="L505" s="25">
        <v>4.05</v>
      </c>
      <c r="M505" s="24">
        <v>285011.5</v>
      </c>
      <c r="N505" s="25">
        <f>IFERROR(T_reg.root.SK[[#This Row],[Price]]/T_reg.root.SK[[#This Row],[Starch content]],"")</f>
        <v>14.568345323741005</v>
      </c>
    </row>
    <row r="506" spans="1:14">
      <c r="A506" s="21">
        <v>2023</v>
      </c>
      <c r="B506" s="21" t="s">
        <v>21</v>
      </c>
      <c r="C506" s="21" t="s">
        <v>1145</v>
      </c>
      <c r="D506" s="21" t="s">
        <v>35</v>
      </c>
      <c r="E506" s="17" t="s">
        <v>357</v>
      </c>
      <c r="F506" s="18" t="s">
        <v>105</v>
      </c>
      <c r="G506" s="18" t="s">
        <v>48</v>
      </c>
      <c r="H506" s="24">
        <v>18190</v>
      </c>
      <c r="I506" s="24">
        <f>T_reg.root.SK[[#This Row],[Volume, kg]]/1000</f>
        <v>18.190000000000001</v>
      </c>
      <c r="J506" s="25">
        <v>0.26919999999999999</v>
      </c>
      <c r="K506" s="25">
        <f t="shared" si="7"/>
        <v>4896.7479999999996</v>
      </c>
      <c r="L506" s="25">
        <v>3.95</v>
      </c>
      <c r="M506" s="24">
        <v>71850.5</v>
      </c>
      <c r="N506" s="25">
        <f>IFERROR(T_reg.root.SK[[#This Row],[Price]]/T_reg.root.SK[[#This Row],[Starch content]],"")</f>
        <v>14.673105497771175</v>
      </c>
    </row>
    <row r="507" spans="1:14">
      <c r="A507" s="21">
        <v>2023</v>
      </c>
      <c r="B507" s="21" t="s">
        <v>21</v>
      </c>
      <c r="C507" s="21" t="s">
        <v>1145</v>
      </c>
      <c r="D507" s="21" t="s">
        <v>35</v>
      </c>
      <c r="E507" s="17" t="s">
        <v>304</v>
      </c>
      <c r="F507" s="18" t="s">
        <v>105</v>
      </c>
      <c r="G507" s="18" t="s">
        <v>48</v>
      </c>
      <c r="H507" s="24">
        <v>15530</v>
      </c>
      <c r="I507" s="24">
        <f>T_reg.root.SK[[#This Row],[Volume, kg]]/1000</f>
        <v>15.53</v>
      </c>
      <c r="J507" s="25">
        <v>0.2366</v>
      </c>
      <c r="K507" s="25">
        <f t="shared" si="7"/>
        <v>3674.3980000000001</v>
      </c>
      <c r="L507" s="25">
        <v>3.66</v>
      </c>
      <c r="M507" s="24">
        <v>56903</v>
      </c>
      <c r="N507" s="25">
        <f>IFERROR(T_reg.root.SK[[#This Row],[Price]]/T_reg.root.SK[[#This Row],[Starch content]],"")</f>
        <v>15.469146238377007</v>
      </c>
    </row>
    <row r="508" spans="1:14">
      <c r="A508" s="21">
        <v>2023</v>
      </c>
      <c r="B508" s="21" t="s">
        <v>21</v>
      </c>
      <c r="C508" s="21" t="s">
        <v>1145</v>
      </c>
      <c r="D508" s="21" t="s">
        <v>35</v>
      </c>
      <c r="E508" s="17" t="s">
        <v>305</v>
      </c>
      <c r="F508" s="18" t="s">
        <v>105</v>
      </c>
      <c r="G508" s="18" t="s">
        <v>48</v>
      </c>
      <c r="H508" s="24">
        <v>24890</v>
      </c>
      <c r="I508" s="24">
        <f>T_reg.root.SK[[#This Row],[Volume, kg]]/1000</f>
        <v>24.89</v>
      </c>
      <c r="J508" s="25">
        <v>0.2802</v>
      </c>
      <c r="K508" s="25">
        <f t="shared" si="7"/>
        <v>6974.1779999999999</v>
      </c>
      <c r="L508" s="25">
        <v>3.89</v>
      </c>
      <c r="M508" s="24">
        <v>96787</v>
      </c>
      <c r="N508" s="25">
        <f>IFERROR(T_reg.root.SK[[#This Row],[Price]]/T_reg.root.SK[[#This Row],[Starch content]],"")</f>
        <v>13.882940756602427</v>
      </c>
    </row>
    <row r="509" spans="1:14">
      <c r="A509" s="21">
        <v>2023</v>
      </c>
      <c r="B509" s="21" t="s">
        <v>21</v>
      </c>
      <c r="C509" s="21" t="s">
        <v>1145</v>
      </c>
      <c r="D509" s="21" t="s">
        <v>35</v>
      </c>
      <c r="E509" s="17" t="s">
        <v>358</v>
      </c>
      <c r="F509" s="18" t="s">
        <v>105</v>
      </c>
      <c r="G509" s="18" t="s">
        <v>48</v>
      </c>
      <c r="H509" s="24">
        <v>5920</v>
      </c>
      <c r="I509" s="24">
        <f>T_reg.root.SK[[#This Row],[Volume, kg]]/1000</f>
        <v>5.92</v>
      </c>
      <c r="J509" s="25">
        <v>0.27699999999999997</v>
      </c>
      <c r="K509" s="25">
        <f t="shared" si="7"/>
        <v>1639.84</v>
      </c>
      <c r="L509" s="25">
        <v>3.9</v>
      </c>
      <c r="M509" s="24">
        <v>23088</v>
      </c>
      <c r="N509" s="25">
        <f>IFERROR(T_reg.root.SK[[#This Row],[Price]]/T_reg.root.SK[[#This Row],[Starch content]],"")</f>
        <v>14.079422382671481</v>
      </c>
    </row>
    <row r="510" spans="1:14">
      <c r="A510" s="21">
        <v>2023</v>
      </c>
      <c r="B510" s="21" t="s">
        <v>21</v>
      </c>
      <c r="C510" s="21" t="s">
        <v>1145</v>
      </c>
      <c r="D510" s="21" t="s">
        <v>35</v>
      </c>
      <c r="E510" s="17" t="s">
        <v>359</v>
      </c>
      <c r="F510" s="18" t="s">
        <v>105</v>
      </c>
      <c r="G510" s="18" t="s">
        <v>48</v>
      </c>
      <c r="H510" s="24">
        <v>3460</v>
      </c>
      <c r="I510" s="24">
        <f>T_reg.root.SK[[#This Row],[Volume, kg]]/1000</f>
        <v>3.46</v>
      </c>
      <c r="J510" s="25">
        <v>0.2155</v>
      </c>
      <c r="K510" s="25">
        <f t="shared" si="7"/>
        <v>745.63</v>
      </c>
      <c r="L510" s="25">
        <v>3.7</v>
      </c>
      <c r="M510" s="24">
        <v>12802</v>
      </c>
      <c r="N510" s="25">
        <f>IFERROR(T_reg.root.SK[[#This Row],[Price]]/T_reg.root.SK[[#This Row],[Starch content]],"")</f>
        <v>17.169373549883993</v>
      </c>
    </row>
    <row r="511" spans="1:14">
      <c r="A511" s="21">
        <v>2023</v>
      </c>
      <c r="B511" s="21" t="s">
        <v>21</v>
      </c>
      <c r="C511" s="21" t="s">
        <v>1145</v>
      </c>
      <c r="D511" s="21" t="s">
        <v>35</v>
      </c>
      <c r="E511" s="17" t="s">
        <v>140</v>
      </c>
      <c r="F511" s="18" t="s">
        <v>105</v>
      </c>
      <c r="G511" s="18" t="s">
        <v>48</v>
      </c>
      <c r="H511" s="24">
        <v>38730</v>
      </c>
      <c r="I511" s="24">
        <f>T_reg.root.SK[[#This Row],[Volume, kg]]/1000</f>
        <v>38.729999999999997</v>
      </c>
      <c r="J511" s="25">
        <v>0.21739999999999998</v>
      </c>
      <c r="K511" s="25">
        <f t="shared" si="7"/>
        <v>8419.902</v>
      </c>
      <c r="L511" s="25">
        <v>3.67</v>
      </c>
      <c r="M511" s="24">
        <v>142324</v>
      </c>
      <c r="N511" s="25">
        <f>IFERROR(T_reg.root.SK[[#This Row],[Price]]/T_reg.root.SK[[#This Row],[Starch content]],"")</f>
        <v>16.881324747010122</v>
      </c>
    </row>
    <row r="512" spans="1:14">
      <c r="A512" s="21">
        <v>2023</v>
      </c>
      <c r="B512" s="21" t="s">
        <v>21</v>
      </c>
      <c r="C512" s="21" t="s">
        <v>1145</v>
      </c>
      <c r="D512" s="21" t="s">
        <v>35</v>
      </c>
      <c r="E512" s="17" t="s">
        <v>307</v>
      </c>
      <c r="F512" s="18" t="s">
        <v>105</v>
      </c>
      <c r="G512" s="18" t="s">
        <v>48</v>
      </c>
      <c r="H512" s="24">
        <v>11870</v>
      </c>
      <c r="I512" s="24">
        <f>T_reg.root.SK[[#This Row],[Volume, kg]]/1000</f>
        <v>11.87</v>
      </c>
      <c r="J512" s="25">
        <v>0.24239999999999998</v>
      </c>
      <c r="K512" s="25">
        <f t="shared" si="7"/>
        <v>2877.2879999999996</v>
      </c>
      <c r="L512" s="25">
        <v>3.72</v>
      </c>
      <c r="M512" s="24">
        <v>44138.5</v>
      </c>
      <c r="N512" s="25">
        <f>IFERROR(T_reg.root.SK[[#This Row],[Price]]/T_reg.root.SK[[#This Row],[Starch content]],"")</f>
        <v>15.34653465346535</v>
      </c>
    </row>
    <row r="513" spans="1:14">
      <c r="A513" s="21">
        <v>2023</v>
      </c>
      <c r="B513" s="21" t="s">
        <v>21</v>
      </c>
      <c r="C513" s="21" t="s">
        <v>1145</v>
      </c>
      <c r="D513" s="21" t="s">
        <v>35</v>
      </c>
      <c r="E513" s="17" t="s">
        <v>141</v>
      </c>
      <c r="F513" s="18" t="s">
        <v>105</v>
      </c>
      <c r="G513" s="18" t="s">
        <v>48</v>
      </c>
      <c r="H513" s="24">
        <v>11580</v>
      </c>
      <c r="I513" s="24">
        <f>T_reg.root.SK[[#This Row],[Volume, kg]]/1000</f>
        <v>11.58</v>
      </c>
      <c r="J513" s="25">
        <v>0.2545</v>
      </c>
      <c r="K513" s="25">
        <f t="shared" si="7"/>
        <v>2947.11</v>
      </c>
      <c r="L513" s="25">
        <v>3.88</v>
      </c>
      <c r="M513" s="24">
        <v>44892</v>
      </c>
      <c r="N513" s="25">
        <f>IFERROR(T_reg.root.SK[[#This Row],[Price]]/T_reg.root.SK[[#This Row],[Starch content]],"")</f>
        <v>15.245579567779959</v>
      </c>
    </row>
    <row r="514" spans="1:14">
      <c r="A514" s="21">
        <v>2023</v>
      </c>
      <c r="B514" s="21" t="s">
        <v>21</v>
      </c>
      <c r="C514" s="21" t="s">
        <v>1145</v>
      </c>
      <c r="D514" s="21" t="s">
        <v>35</v>
      </c>
      <c r="E514" s="17" t="s">
        <v>360</v>
      </c>
      <c r="F514" s="18" t="s">
        <v>105</v>
      </c>
      <c r="G514" s="18" t="s">
        <v>48</v>
      </c>
      <c r="H514" s="24">
        <v>2620</v>
      </c>
      <c r="I514" s="24">
        <f>T_reg.root.SK[[#This Row],[Volume, kg]]/1000</f>
        <v>2.62</v>
      </c>
      <c r="J514" s="25">
        <v>0.27899999999999997</v>
      </c>
      <c r="K514" s="25">
        <f t="shared" si="7"/>
        <v>730.9799999999999</v>
      </c>
      <c r="L514" s="25">
        <v>4</v>
      </c>
      <c r="M514" s="24">
        <v>10480</v>
      </c>
      <c r="N514" s="25">
        <f>IFERROR(T_reg.root.SK[[#This Row],[Price]]/T_reg.root.SK[[#This Row],[Starch content]],"")</f>
        <v>14.336917562724016</v>
      </c>
    </row>
    <row r="515" spans="1:14">
      <c r="A515" s="21">
        <v>2023</v>
      </c>
      <c r="B515" s="21" t="s">
        <v>21</v>
      </c>
      <c r="C515" s="21" t="s">
        <v>1145</v>
      </c>
      <c r="D515" s="21" t="s">
        <v>35</v>
      </c>
      <c r="E515" s="17" t="s">
        <v>247</v>
      </c>
      <c r="F515" s="18" t="s">
        <v>105</v>
      </c>
      <c r="G515" s="18" t="s">
        <v>48</v>
      </c>
      <c r="H515" s="24">
        <v>8080</v>
      </c>
      <c r="I515" s="24">
        <f>T_reg.root.SK[[#This Row],[Volume, kg]]/1000</f>
        <v>8.08</v>
      </c>
      <c r="J515" s="25">
        <v>0.24299999999999999</v>
      </c>
      <c r="K515" s="25">
        <f t="shared" ref="K515:K578" si="8">H515*J515</f>
        <v>1963.44</v>
      </c>
      <c r="L515" s="25">
        <v>3.8</v>
      </c>
      <c r="M515" s="24">
        <v>30704</v>
      </c>
      <c r="N515" s="25">
        <f>IFERROR(T_reg.root.SK[[#This Row],[Price]]/T_reg.root.SK[[#This Row],[Starch content]],"")</f>
        <v>15.637860082304526</v>
      </c>
    </row>
    <row r="516" spans="1:14">
      <c r="A516" s="21">
        <v>2023</v>
      </c>
      <c r="B516" s="21" t="s">
        <v>21</v>
      </c>
      <c r="C516" s="21" t="s">
        <v>1145</v>
      </c>
      <c r="D516" s="21" t="s">
        <v>35</v>
      </c>
      <c r="E516" s="17" t="s">
        <v>143</v>
      </c>
      <c r="F516" s="18" t="s">
        <v>105</v>
      </c>
      <c r="G516" s="18" t="s">
        <v>48</v>
      </c>
      <c r="H516" s="24">
        <v>15720</v>
      </c>
      <c r="I516" s="24">
        <f>T_reg.root.SK[[#This Row],[Volume, kg]]/1000</f>
        <v>15.72</v>
      </c>
      <c r="J516" s="25">
        <v>0.26729999999999998</v>
      </c>
      <c r="K516" s="25">
        <f t="shared" si="8"/>
        <v>4201.9560000000001</v>
      </c>
      <c r="L516" s="25">
        <v>3.92</v>
      </c>
      <c r="M516" s="24">
        <v>61652.5</v>
      </c>
      <c r="N516" s="25">
        <f>IFERROR(T_reg.root.SK[[#This Row],[Price]]/T_reg.root.SK[[#This Row],[Starch content]],"")</f>
        <v>14.665170220725777</v>
      </c>
    </row>
    <row r="517" spans="1:14">
      <c r="A517" s="21">
        <v>2023</v>
      </c>
      <c r="B517" s="21" t="s">
        <v>21</v>
      </c>
      <c r="C517" s="21" t="s">
        <v>1145</v>
      </c>
      <c r="D517" s="21" t="s">
        <v>35</v>
      </c>
      <c r="E517" s="17" t="s">
        <v>311</v>
      </c>
      <c r="F517" s="18" t="s">
        <v>105</v>
      </c>
      <c r="G517" s="18" t="s">
        <v>48</v>
      </c>
      <c r="H517" s="24">
        <v>74820</v>
      </c>
      <c r="I517" s="24">
        <f>T_reg.root.SK[[#This Row],[Volume, kg]]/1000</f>
        <v>74.819999999999993</v>
      </c>
      <c r="J517" s="25">
        <v>0.26090000000000002</v>
      </c>
      <c r="K517" s="25">
        <f t="shared" si="8"/>
        <v>19520.538</v>
      </c>
      <c r="L517" s="25">
        <v>3.9</v>
      </c>
      <c r="M517" s="24">
        <v>292161.5</v>
      </c>
      <c r="N517" s="25">
        <f>IFERROR(T_reg.root.SK[[#This Row],[Price]]/T_reg.root.SK[[#This Row],[Starch content]],"")</f>
        <v>14.948256036795705</v>
      </c>
    </row>
    <row r="518" spans="1:14">
      <c r="A518" s="21">
        <v>2023</v>
      </c>
      <c r="B518" s="21" t="s">
        <v>21</v>
      </c>
      <c r="C518" s="21" t="s">
        <v>1145</v>
      </c>
      <c r="D518" s="21" t="s">
        <v>35</v>
      </c>
      <c r="E518" s="17" t="s">
        <v>361</v>
      </c>
      <c r="F518" s="18" t="s">
        <v>105</v>
      </c>
      <c r="G518" s="18" t="s">
        <v>48</v>
      </c>
      <c r="H518" s="24">
        <v>13780</v>
      </c>
      <c r="I518" s="24">
        <f>T_reg.root.SK[[#This Row],[Volume, kg]]/1000</f>
        <v>13.78</v>
      </c>
      <c r="J518" s="25">
        <v>0.28899999999999998</v>
      </c>
      <c r="K518" s="25">
        <f t="shared" si="8"/>
        <v>3982.4199999999996</v>
      </c>
      <c r="L518" s="25">
        <v>3.95</v>
      </c>
      <c r="M518" s="24">
        <v>54431</v>
      </c>
      <c r="N518" s="25">
        <f>IFERROR(T_reg.root.SK[[#This Row],[Price]]/T_reg.root.SK[[#This Row],[Starch content]],"")</f>
        <v>13.667820069204154</v>
      </c>
    </row>
    <row r="519" spans="1:14">
      <c r="A519" s="21">
        <v>2023</v>
      </c>
      <c r="B519" s="21" t="s">
        <v>21</v>
      </c>
      <c r="C519" s="21" t="s">
        <v>1145</v>
      </c>
      <c r="D519" s="21" t="s">
        <v>35</v>
      </c>
      <c r="E519" s="17" t="s">
        <v>146</v>
      </c>
      <c r="F519" s="18" t="s">
        <v>105</v>
      </c>
      <c r="G519" s="18" t="s">
        <v>48</v>
      </c>
      <c r="H519" s="24">
        <v>58340</v>
      </c>
      <c r="I519" s="24">
        <f>T_reg.root.SK[[#This Row],[Volume, kg]]/1000</f>
        <v>58.34</v>
      </c>
      <c r="J519" s="25">
        <v>0.25</v>
      </c>
      <c r="K519" s="25">
        <f t="shared" si="8"/>
        <v>14585</v>
      </c>
      <c r="L519" s="25">
        <v>3.95</v>
      </c>
      <c r="M519" s="24">
        <v>230378</v>
      </c>
      <c r="N519" s="25">
        <f>IFERROR(T_reg.root.SK[[#This Row],[Price]]/T_reg.root.SK[[#This Row],[Starch content]],"")</f>
        <v>15.8</v>
      </c>
    </row>
    <row r="520" spans="1:14">
      <c r="A520" s="21">
        <v>2023</v>
      </c>
      <c r="B520" s="21" t="s">
        <v>21</v>
      </c>
      <c r="C520" s="21" t="s">
        <v>1145</v>
      </c>
      <c r="D520" s="21" t="s">
        <v>35</v>
      </c>
      <c r="E520" s="17" t="s">
        <v>362</v>
      </c>
      <c r="F520" s="18" t="s">
        <v>105</v>
      </c>
      <c r="G520" s="18" t="s">
        <v>48</v>
      </c>
      <c r="H520" s="24">
        <v>7270</v>
      </c>
      <c r="I520" s="24">
        <f>T_reg.root.SK[[#This Row],[Volume, kg]]/1000</f>
        <v>7.27</v>
      </c>
      <c r="J520" s="25">
        <v>0.21899999999999997</v>
      </c>
      <c r="K520" s="25">
        <f t="shared" si="8"/>
        <v>1592.1299999999999</v>
      </c>
      <c r="L520" s="25">
        <v>3.7</v>
      </c>
      <c r="M520" s="24">
        <v>26899</v>
      </c>
      <c r="N520" s="25">
        <f>IFERROR(T_reg.root.SK[[#This Row],[Price]]/T_reg.root.SK[[#This Row],[Starch content]],"")</f>
        <v>16.894977168949776</v>
      </c>
    </row>
    <row r="521" spans="1:14">
      <c r="A521" s="21">
        <v>2023</v>
      </c>
      <c r="B521" s="21" t="s">
        <v>21</v>
      </c>
      <c r="C521" s="21" t="s">
        <v>1145</v>
      </c>
      <c r="D521" s="21" t="s">
        <v>35</v>
      </c>
      <c r="E521" s="17" t="s">
        <v>363</v>
      </c>
      <c r="F521" s="18" t="s">
        <v>105</v>
      </c>
      <c r="G521" s="18" t="s">
        <v>48</v>
      </c>
      <c r="H521" s="24">
        <v>57340</v>
      </c>
      <c r="I521" s="24">
        <f>T_reg.root.SK[[#This Row],[Volume, kg]]/1000</f>
        <v>57.34</v>
      </c>
      <c r="J521" s="25">
        <v>0.22949999999999998</v>
      </c>
      <c r="K521" s="25">
        <f t="shared" si="8"/>
        <v>13159.529999999999</v>
      </c>
      <c r="L521" s="25">
        <v>3.69</v>
      </c>
      <c r="M521" s="24">
        <v>211425.5</v>
      </c>
      <c r="N521" s="25">
        <f>IFERROR(T_reg.root.SK[[#This Row],[Price]]/T_reg.root.SK[[#This Row],[Starch content]],"")</f>
        <v>16.078431372549019</v>
      </c>
    </row>
    <row r="522" spans="1:14">
      <c r="A522" s="21">
        <v>2023</v>
      </c>
      <c r="B522" s="21" t="s">
        <v>21</v>
      </c>
      <c r="C522" s="21" t="s">
        <v>1145</v>
      </c>
      <c r="D522" s="21" t="s">
        <v>35</v>
      </c>
      <c r="E522" s="17" t="s">
        <v>251</v>
      </c>
      <c r="F522" s="18" t="s">
        <v>105</v>
      </c>
      <c r="G522" s="18" t="s">
        <v>48</v>
      </c>
      <c r="H522" s="24">
        <v>44480</v>
      </c>
      <c r="I522" s="24">
        <f>T_reg.root.SK[[#This Row],[Volume, kg]]/1000</f>
        <v>44.48</v>
      </c>
      <c r="J522" s="25">
        <v>0.22109999999999999</v>
      </c>
      <c r="K522" s="25">
        <f t="shared" si="8"/>
        <v>9834.5280000000002</v>
      </c>
      <c r="L522" s="25">
        <v>3.7</v>
      </c>
      <c r="M522" s="24">
        <v>164562</v>
      </c>
      <c r="N522" s="25">
        <f>IFERROR(T_reg.root.SK[[#This Row],[Price]]/T_reg.root.SK[[#This Row],[Starch content]],"")</f>
        <v>16.734509271822706</v>
      </c>
    </row>
    <row r="523" spans="1:14">
      <c r="A523" s="21">
        <v>2023</v>
      </c>
      <c r="B523" s="21" t="s">
        <v>21</v>
      </c>
      <c r="C523" s="21" t="s">
        <v>1145</v>
      </c>
      <c r="D523" s="21" t="s">
        <v>35</v>
      </c>
      <c r="E523" s="17" t="s">
        <v>148</v>
      </c>
      <c r="F523" s="18" t="s">
        <v>105</v>
      </c>
      <c r="G523" s="18" t="s">
        <v>48</v>
      </c>
      <c r="H523" s="24">
        <v>88290</v>
      </c>
      <c r="I523" s="24">
        <f>T_reg.root.SK[[#This Row],[Volume, kg]]/1000</f>
        <v>88.29</v>
      </c>
      <c r="J523" s="25">
        <v>0.23769999999999999</v>
      </c>
      <c r="K523" s="25">
        <f t="shared" si="8"/>
        <v>20986.532999999999</v>
      </c>
      <c r="L523" s="25">
        <v>3.79</v>
      </c>
      <c r="M523" s="24">
        <v>335011.5</v>
      </c>
      <c r="N523" s="25">
        <f>IFERROR(T_reg.root.SK[[#This Row],[Price]]/T_reg.root.SK[[#This Row],[Starch content]],"")</f>
        <v>15.944467816575516</v>
      </c>
    </row>
    <row r="524" spans="1:14">
      <c r="A524" s="21">
        <v>2023</v>
      </c>
      <c r="B524" s="21" t="s">
        <v>21</v>
      </c>
      <c r="C524" s="21" t="s">
        <v>1145</v>
      </c>
      <c r="D524" s="21" t="s">
        <v>35</v>
      </c>
      <c r="E524" s="17" t="s">
        <v>364</v>
      </c>
      <c r="F524" s="18" t="s">
        <v>105</v>
      </c>
      <c r="G524" s="18" t="s">
        <v>48</v>
      </c>
      <c r="H524" s="24">
        <v>73740</v>
      </c>
      <c r="I524" s="24">
        <f>T_reg.root.SK[[#This Row],[Volume, kg]]/1000</f>
        <v>73.739999999999995</v>
      </c>
      <c r="J524" s="25">
        <v>0.25409999999999999</v>
      </c>
      <c r="K524" s="25">
        <f t="shared" si="8"/>
        <v>18737.333999999999</v>
      </c>
      <c r="L524" s="25">
        <v>3.87</v>
      </c>
      <c r="M524" s="24">
        <v>285314</v>
      </c>
      <c r="N524" s="25">
        <f>IFERROR(T_reg.root.SK[[#This Row],[Price]]/T_reg.root.SK[[#This Row],[Starch content]],"")</f>
        <v>15.230224321133413</v>
      </c>
    </row>
    <row r="525" spans="1:14">
      <c r="A525" s="21">
        <v>2023</v>
      </c>
      <c r="B525" s="21" t="s">
        <v>21</v>
      </c>
      <c r="C525" s="21" t="s">
        <v>1145</v>
      </c>
      <c r="D525" s="21" t="s">
        <v>35</v>
      </c>
      <c r="E525" s="17" t="s">
        <v>314</v>
      </c>
      <c r="F525" s="18" t="s">
        <v>105</v>
      </c>
      <c r="G525" s="18" t="s">
        <v>48</v>
      </c>
      <c r="H525" s="24">
        <v>5800</v>
      </c>
      <c r="I525" s="24">
        <f>T_reg.root.SK[[#This Row],[Volume, kg]]/1000</f>
        <v>5.8</v>
      </c>
      <c r="J525" s="25">
        <v>0.251</v>
      </c>
      <c r="K525" s="25">
        <f t="shared" si="8"/>
        <v>1455.8</v>
      </c>
      <c r="L525" s="25">
        <v>3.75</v>
      </c>
      <c r="M525" s="24">
        <v>21750</v>
      </c>
      <c r="N525" s="25">
        <f>IFERROR(T_reg.root.SK[[#This Row],[Price]]/T_reg.root.SK[[#This Row],[Starch content]],"")</f>
        <v>14.9402390438247</v>
      </c>
    </row>
    <row r="526" spans="1:14">
      <c r="A526" s="21">
        <v>2023</v>
      </c>
      <c r="B526" s="21" t="s">
        <v>21</v>
      </c>
      <c r="C526" s="21" t="s">
        <v>1145</v>
      </c>
      <c r="D526" s="21" t="s">
        <v>35</v>
      </c>
      <c r="E526" s="17" t="s">
        <v>150</v>
      </c>
      <c r="F526" s="18" t="s">
        <v>105</v>
      </c>
      <c r="G526" s="18" t="s">
        <v>48</v>
      </c>
      <c r="H526" s="24">
        <v>269740</v>
      </c>
      <c r="I526" s="24">
        <f>T_reg.root.SK[[#This Row],[Volume, kg]]/1000</f>
        <v>269.74</v>
      </c>
      <c r="J526" s="25">
        <v>0.2132</v>
      </c>
      <c r="K526" s="25">
        <f t="shared" si="8"/>
        <v>57508.567999999999</v>
      </c>
      <c r="L526" s="25">
        <v>3.75</v>
      </c>
      <c r="M526" s="24">
        <v>1011440.5</v>
      </c>
      <c r="N526" s="25">
        <f>IFERROR(T_reg.root.SK[[#This Row],[Price]]/T_reg.root.SK[[#This Row],[Starch content]],"")</f>
        <v>17.589118198874296</v>
      </c>
    </row>
    <row r="527" spans="1:14">
      <c r="A527" s="21">
        <v>2023</v>
      </c>
      <c r="B527" s="21" t="s">
        <v>21</v>
      </c>
      <c r="C527" s="21" t="s">
        <v>1145</v>
      </c>
      <c r="D527" s="21" t="s">
        <v>35</v>
      </c>
      <c r="E527" s="17" t="s">
        <v>151</v>
      </c>
      <c r="F527" s="18" t="s">
        <v>105</v>
      </c>
      <c r="G527" s="18" t="s">
        <v>48</v>
      </c>
      <c r="H527" s="24">
        <v>273910</v>
      </c>
      <c r="I527" s="24">
        <f>T_reg.root.SK[[#This Row],[Volume, kg]]/1000</f>
        <v>273.91000000000003</v>
      </c>
      <c r="J527" s="25">
        <v>0.24780000000000002</v>
      </c>
      <c r="K527" s="25">
        <f t="shared" si="8"/>
        <v>67874.898000000001</v>
      </c>
      <c r="L527" s="25">
        <v>3.89</v>
      </c>
      <c r="M527" s="24">
        <v>1066737</v>
      </c>
      <c r="N527" s="25">
        <f>IFERROR(T_reg.root.SK[[#This Row],[Price]]/T_reg.root.SK[[#This Row],[Starch content]],"")</f>
        <v>15.698143664245359</v>
      </c>
    </row>
    <row r="528" spans="1:14">
      <c r="A528" s="21">
        <v>2023</v>
      </c>
      <c r="B528" s="21" t="s">
        <v>21</v>
      </c>
      <c r="C528" s="21" t="s">
        <v>1145</v>
      </c>
      <c r="D528" s="21" t="s">
        <v>35</v>
      </c>
      <c r="E528" s="17" t="s">
        <v>365</v>
      </c>
      <c r="F528" s="18" t="s">
        <v>105</v>
      </c>
      <c r="G528" s="18" t="s">
        <v>48</v>
      </c>
      <c r="H528" s="24">
        <v>8660</v>
      </c>
      <c r="I528" s="24">
        <f>T_reg.root.SK[[#This Row],[Volume, kg]]/1000</f>
        <v>8.66</v>
      </c>
      <c r="J528" s="25">
        <v>0.23399999999999999</v>
      </c>
      <c r="K528" s="25">
        <f t="shared" si="8"/>
        <v>2026.4399999999998</v>
      </c>
      <c r="L528" s="25">
        <v>3.75</v>
      </c>
      <c r="M528" s="24">
        <v>32475</v>
      </c>
      <c r="N528" s="25">
        <f>IFERROR(T_reg.root.SK[[#This Row],[Price]]/T_reg.root.SK[[#This Row],[Starch content]],"")</f>
        <v>16.025641025641026</v>
      </c>
    </row>
    <row r="529" spans="1:14">
      <c r="A529" s="21">
        <v>2023</v>
      </c>
      <c r="B529" s="21" t="s">
        <v>21</v>
      </c>
      <c r="C529" s="21" t="s">
        <v>1145</v>
      </c>
      <c r="D529" s="21" t="s">
        <v>35</v>
      </c>
      <c r="E529" s="17" t="s">
        <v>153</v>
      </c>
      <c r="F529" s="18" t="s">
        <v>105</v>
      </c>
      <c r="G529" s="18" t="s">
        <v>48</v>
      </c>
      <c r="H529" s="24">
        <v>44440</v>
      </c>
      <c r="I529" s="24">
        <f>T_reg.root.SK[[#This Row],[Volume, kg]]/1000</f>
        <v>44.44</v>
      </c>
      <c r="J529" s="25">
        <v>0.25569999999999998</v>
      </c>
      <c r="K529" s="25">
        <f t="shared" si="8"/>
        <v>11363.307999999999</v>
      </c>
      <c r="L529" s="25">
        <v>3.83</v>
      </c>
      <c r="M529" s="24">
        <v>170075.5</v>
      </c>
      <c r="N529" s="25">
        <f>IFERROR(T_reg.root.SK[[#This Row],[Price]]/T_reg.root.SK[[#This Row],[Starch content]],"")</f>
        <v>14.978490418459133</v>
      </c>
    </row>
    <row r="530" spans="1:14">
      <c r="A530" s="21">
        <v>2023</v>
      </c>
      <c r="B530" s="21" t="s">
        <v>21</v>
      </c>
      <c r="C530" s="21" t="s">
        <v>1145</v>
      </c>
      <c r="D530" s="21" t="s">
        <v>35</v>
      </c>
      <c r="E530" s="17" t="s">
        <v>154</v>
      </c>
      <c r="F530" s="18" t="s">
        <v>105</v>
      </c>
      <c r="G530" s="18" t="s">
        <v>48</v>
      </c>
      <c r="H530" s="24">
        <v>9150</v>
      </c>
      <c r="I530" s="24">
        <f>T_reg.root.SK[[#This Row],[Volume, kg]]/1000</f>
        <v>9.15</v>
      </c>
      <c r="J530" s="25">
        <v>0.27500000000000002</v>
      </c>
      <c r="K530" s="25">
        <f t="shared" si="8"/>
        <v>2516.25</v>
      </c>
      <c r="L530" s="25">
        <v>4</v>
      </c>
      <c r="M530" s="24">
        <v>36600</v>
      </c>
      <c r="N530" s="25">
        <f>IFERROR(T_reg.root.SK[[#This Row],[Price]]/T_reg.root.SK[[#This Row],[Starch content]],"")</f>
        <v>14.545454545454545</v>
      </c>
    </row>
    <row r="531" spans="1:14">
      <c r="A531" s="21">
        <v>2023</v>
      </c>
      <c r="B531" s="21" t="s">
        <v>21</v>
      </c>
      <c r="C531" s="21" t="s">
        <v>1145</v>
      </c>
      <c r="D531" s="21" t="s">
        <v>35</v>
      </c>
      <c r="E531" s="17" t="s">
        <v>155</v>
      </c>
      <c r="F531" s="18" t="s">
        <v>105</v>
      </c>
      <c r="G531" s="18" t="s">
        <v>48</v>
      </c>
      <c r="H531" s="24">
        <v>41380</v>
      </c>
      <c r="I531" s="24">
        <f>T_reg.root.SK[[#This Row],[Volume, kg]]/1000</f>
        <v>41.38</v>
      </c>
      <c r="J531" s="25">
        <v>0.253</v>
      </c>
      <c r="K531" s="25">
        <f t="shared" si="8"/>
        <v>10469.14</v>
      </c>
      <c r="L531" s="25">
        <v>3.87</v>
      </c>
      <c r="M531" s="24">
        <v>160158</v>
      </c>
      <c r="N531" s="25">
        <f>IFERROR(T_reg.root.SK[[#This Row],[Price]]/T_reg.root.SK[[#This Row],[Starch content]],"")</f>
        <v>15.296442687747035</v>
      </c>
    </row>
    <row r="532" spans="1:14">
      <c r="A532" s="21">
        <v>2023</v>
      </c>
      <c r="B532" s="21" t="s">
        <v>21</v>
      </c>
      <c r="C532" s="21" t="s">
        <v>1145</v>
      </c>
      <c r="D532" s="21" t="s">
        <v>35</v>
      </c>
      <c r="E532" s="17" t="s">
        <v>366</v>
      </c>
      <c r="F532" s="18" t="s">
        <v>105</v>
      </c>
      <c r="G532" s="18" t="s">
        <v>48</v>
      </c>
      <c r="H532" s="24">
        <v>37300</v>
      </c>
      <c r="I532" s="24">
        <f>T_reg.root.SK[[#This Row],[Volume, kg]]/1000</f>
        <v>37.299999999999997</v>
      </c>
      <c r="J532" s="25">
        <v>0.22519999999999998</v>
      </c>
      <c r="K532" s="25">
        <f t="shared" si="8"/>
        <v>8399.9599999999991</v>
      </c>
      <c r="L532" s="25">
        <v>3.72</v>
      </c>
      <c r="M532" s="24">
        <v>138897.5</v>
      </c>
      <c r="N532" s="25">
        <f>IFERROR(T_reg.root.SK[[#This Row],[Price]]/T_reg.root.SK[[#This Row],[Starch content]],"")</f>
        <v>16.518650088809949</v>
      </c>
    </row>
    <row r="533" spans="1:14">
      <c r="A533" s="21">
        <v>2023</v>
      </c>
      <c r="B533" s="21" t="s">
        <v>21</v>
      </c>
      <c r="C533" s="21" t="s">
        <v>1145</v>
      </c>
      <c r="D533" s="21" t="s">
        <v>35</v>
      </c>
      <c r="E533" s="17" t="s">
        <v>158</v>
      </c>
      <c r="F533" s="18" t="s">
        <v>105</v>
      </c>
      <c r="G533" s="18" t="s">
        <v>48</v>
      </c>
      <c r="H533" s="24">
        <v>120620</v>
      </c>
      <c r="I533" s="24">
        <f>T_reg.root.SK[[#This Row],[Volume, kg]]/1000</f>
        <v>120.62</v>
      </c>
      <c r="J533" s="25">
        <v>0.27329999999999999</v>
      </c>
      <c r="K533" s="25">
        <f t="shared" si="8"/>
        <v>32965.445999999996</v>
      </c>
      <c r="L533" s="25">
        <v>3.94</v>
      </c>
      <c r="M533" s="24">
        <v>475484.5</v>
      </c>
      <c r="N533" s="25">
        <f>IFERROR(T_reg.root.SK[[#This Row],[Price]]/T_reg.root.SK[[#This Row],[Starch content]],"")</f>
        <v>14.416392242956459</v>
      </c>
    </row>
    <row r="534" spans="1:14">
      <c r="A534" s="21">
        <v>2023</v>
      </c>
      <c r="B534" s="21" t="s">
        <v>21</v>
      </c>
      <c r="C534" s="21" t="s">
        <v>1145</v>
      </c>
      <c r="D534" s="21" t="s">
        <v>35</v>
      </c>
      <c r="E534" s="17" t="s">
        <v>159</v>
      </c>
      <c r="F534" s="18" t="s">
        <v>105</v>
      </c>
      <c r="G534" s="18" t="s">
        <v>48</v>
      </c>
      <c r="H534" s="24">
        <v>174970</v>
      </c>
      <c r="I534" s="24">
        <f>T_reg.root.SK[[#This Row],[Volume, kg]]/1000</f>
        <v>174.97</v>
      </c>
      <c r="J534" s="25">
        <v>0.20469999999999999</v>
      </c>
      <c r="K534" s="25">
        <f t="shared" si="8"/>
        <v>35816.358999999997</v>
      </c>
      <c r="L534" s="25">
        <v>3.69</v>
      </c>
      <c r="M534" s="24">
        <v>646253</v>
      </c>
      <c r="N534" s="25">
        <f>IFERROR(T_reg.root.SK[[#This Row],[Price]]/T_reg.root.SK[[#This Row],[Starch content]],"")</f>
        <v>18.026380068392772</v>
      </c>
    </row>
    <row r="535" spans="1:14">
      <c r="A535" s="21">
        <v>2023</v>
      </c>
      <c r="B535" s="21" t="s">
        <v>21</v>
      </c>
      <c r="C535" s="21" t="s">
        <v>1145</v>
      </c>
      <c r="D535" s="21" t="s">
        <v>35</v>
      </c>
      <c r="E535" s="17" t="s">
        <v>160</v>
      </c>
      <c r="F535" s="18" t="s">
        <v>105</v>
      </c>
      <c r="G535" s="18" t="s">
        <v>48</v>
      </c>
      <c r="H535" s="24">
        <v>10660</v>
      </c>
      <c r="I535" s="24">
        <f>T_reg.root.SK[[#This Row],[Volume, kg]]/1000</f>
        <v>10.66</v>
      </c>
      <c r="J535" s="25">
        <v>0.2475</v>
      </c>
      <c r="K535" s="25">
        <f t="shared" si="8"/>
        <v>2638.35</v>
      </c>
      <c r="L535" s="25">
        <v>3.85</v>
      </c>
      <c r="M535" s="24">
        <v>41041</v>
      </c>
      <c r="N535" s="25">
        <f>IFERROR(T_reg.root.SK[[#This Row],[Price]]/T_reg.root.SK[[#This Row],[Starch content]],"")</f>
        <v>15.555555555555555</v>
      </c>
    </row>
    <row r="536" spans="1:14">
      <c r="A536" s="21">
        <v>2023</v>
      </c>
      <c r="B536" s="21" t="s">
        <v>21</v>
      </c>
      <c r="C536" s="21" t="s">
        <v>1145</v>
      </c>
      <c r="D536" s="21" t="s">
        <v>35</v>
      </c>
      <c r="E536" s="17" t="s">
        <v>367</v>
      </c>
      <c r="F536" s="18" t="s">
        <v>105</v>
      </c>
      <c r="G536" s="18" t="s">
        <v>48</v>
      </c>
      <c r="H536" s="24">
        <v>8780</v>
      </c>
      <c r="I536" s="24">
        <f>T_reg.root.SK[[#This Row],[Volume, kg]]/1000</f>
        <v>8.7799999999999994</v>
      </c>
      <c r="J536" s="25">
        <v>0.26600000000000001</v>
      </c>
      <c r="K536" s="25">
        <f t="shared" si="8"/>
        <v>2335.48</v>
      </c>
      <c r="L536" s="25">
        <v>3.85</v>
      </c>
      <c r="M536" s="24">
        <v>33803</v>
      </c>
      <c r="N536" s="25">
        <f>IFERROR(T_reg.root.SK[[#This Row],[Price]]/T_reg.root.SK[[#This Row],[Starch content]],"")</f>
        <v>14.473684210526315</v>
      </c>
    </row>
    <row r="537" spans="1:14">
      <c r="A537" s="21">
        <v>2023</v>
      </c>
      <c r="B537" s="21" t="s">
        <v>21</v>
      </c>
      <c r="C537" s="21" t="s">
        <v>1145</v>
      </c>
      <c r="D537" s="21" t="s">
        <v>35</v>
      </c>
      <c r="E537" s="17" t="s">
        <v>161</v>
      </c>
      <c r="F537" s="18" t="s">
        <v>105</v>
      </c>
      <c r="G537" s="18" t="s">
        <v>48</v>
      </c>
      <c r="H537" s="24">
        <v>14040</v>
      </c>
      <c r="I537" s="24">
        <f>T_reg.root.SK[[#This Row],[Volume, kg]]/1000</f>
        <v>14.04</v>
      </c>
      <c r="J537" s="25">
        <v>0.2475</v>
      </c>
      <c r="K537" s="25">
        <f t="shared" si="8"/>
        <v>3474.9</v>
      </c>
      <c r="L537" s="25">
        <v>3.95</v>
      </c>
      <c r="M537" s="24">
        <v>55458</v>
      </c>
      <c r="N537" s="25">
        <f>IFERROR(T_reg.root.SK[[#This Row],[Price]]/T_reg.root.SK[[#This Row],[Starch content]],"")</f>
        <v>15.95959595959596</v>
      </c>
    </row>
    <row r="538" spans="1:14">
      <c r="A538" s="21">
        <v>2023</v>
      </c>
      <c r="B538" s="21" t="s">
        <v>21</v>
      </c>
      <c r="C538" s="21" t="s">
        <v>1145</v>
      </c>
      <c r="D538" s="21" t="s">
        <v>35</v>
      </c>
      <c r="E538" s="17" t="s">
        <v>162</v>
      </c>
      <c r="F538" s="18" t="s">
        <v>105</v>
      </c>
      <c r="G538" s="18" t="s">
        <v>48</v>
      </c>
      <c r="H538" s="24">
        <v>9260</v>
      </c>
      <c r="I538" s="24">
        <f>T_reg.root.SK[[#This Row],[Volume, kg]]/1000</f>
        <v>9.26</v>
      </c>
      <c r="J538" s="25">
        <v>0.23100000000000001</v>
      </c>
      <c r="K538" s="25">
        <f t="shared" si="8"/>
        <v>2139.06</v>
      </c>
      <c r="L538" s="25">
        <v>3.75</v>
      </c>
      <c r="M538" s="24">
        <v>34725</v>
      </c>
      <c r="N538" s="25">
        <f>IFERROR(T_reg.root.SK[[#This Row],[Price]]/T_reg.root.SK[[#This Row],[Starch content]],"")</f>
        <v>16.233766233766232</v>
      </c>
    </row>
    <row r="539" spans="1:14">
      <c r="A539" s="21">
        <v>2023</v>
      </c>
      <c r="B539" s="21" t="s">
        <v>21</v>
      </c>
      <c r="C539" s="21" t="s">
        <v>1145</v>
      </c>
      <c r="D539" s="21" t="s">
        <v>35</v>
      </c>
      <c r="E539" s="17" t="s">
        <v>163</v>
      </c>
      <c r="F539" s="18" t="s">
        <v>105</v>
      </c>
      <c r="G539" s="18" t="s">
        <v>48</v>
      </c>
      <c r="H539" s="24">
        <v>215560</v>
      </c>
      <c r="I539" s="24">
        <f>T_reg.root.SK[[#This Row],[Volume, kg]]/1000</f>
        <v>215.56</v>
      </c>
      <c r="J539" s="25">
        <v>0.22600000000000001</v>
      </c>
      <c r="K539" s="25">
        <f t="shared" si="8"/>
        <v>48716.560000000005</v>
      </c>
      <c r="L539" s="25">
        <v>3.78</v>
      </c>
      <c r="M539" s="24">
        <v>813994.5</v>
      </c>
      <c r="N539" s="25">
        <f>IFERROR(T_reg.root.SK[[#This Row],[Price]]/T_reg.root.SK[[#This Row],[Starch content]],"")</f>
        <v>16.725663716814157</v>
      </c>
    </row>
    <row r="540" spans="1:14">
      <c r="A540" s="21">
        <v>2023</v>
      </c>
      <c r="B540" s="21" t="s">
        <v>21</v>
      </c>
      <c r="C540" s="21" t="s">
        <v>1145</v>
      </c>
      <c r="D540" s="21" t="s">
        <v>35</v>
      </c>
      <c r="E540" s="17" t="s">
        <v>164</v>
      </c>
      <c r="F540" s="18" t="s">
        <v>105</v>
      </c>
      <c r="G540" s="18" t="s">
        <v>48</v>
      </c>
      <c r="H540" s="24">
        <v>128070</v>
      </c>
      <c r="I540" s="24">
        <f>T_reg.root.SK[[#This Row],[Volume, kg]]/1000</f>
        <v>128.07</v>
      </c>
      <c r="J540" s="25">
        <v>0.248</v>
      </c>
      <c r="K540" s="25">
        <f t="shared" si="8"/>
        <v>31761.360000000001</v>
      </c>
      <c r="L540" s="25">
        <v>3.95</v>
      </c>
      <c r="M540" s="24">
        <v>505554</v>
      </c>
      <c r="N540" s="25">
        <f>IFERROR(T_reg.root.SK[[#This Row],[Price]]/T_reg.root.SK[[#This Row],[Starch content]],"")</f>
        <v>15.92741935483871</v>
      </c>
    </row>
    <row r="541" spans="1:14">
      <c r="A541" s="21">
        <v>2023</v>
      </c>
      <c r="B541" s="21" t="s">
        <v>21</v>
      </c>
      <c r="C541" s="21" t="s">
        <v>1145</v>
      </c>
      <c r="D541" s="21" t="s">
        <v>35</v>
      </c>
      <c r="E541" s="17" t="s">
        <v>166</v>
      </c>
      <c r="F541" s="18" t="s">
        <v>105</v>
      </c>
      <c r="G541" s="18" t="s">
        <v>48</v>
      </c>
      <c r="H541" s="24">
        <v>5270</v>
      </c>
      <c r="I541" s="24">
        <f>T_reg.root.SK[[#This Row],[Volume, kg]]/1000</f>
        <v>5.27</v>
      </c>
      <c r="J541" s="25">
        <v>0.254</v>
      </c>
      <c r="K541" s="25">
        <f t="shared" si="8"/>
        <v>1338.58</v>
      </c>
      <c r="L541" s="25">
        <v>3.75</v>
      </c>
      <c r="M541" s="24">
        <v>19762.5</v>
      </c>
      <c r="N541" s="25">
        <f>IFERROR(T_reg.root.SK[[#This Row],[Price]]/T_reg.root.SK[[#This Row],[Starch content]],"")</f>
        <v>14.763779527559056</v>
      </c>
    </row>
    <row r="542" spans="1:14">
      <c r="A542" s="21">
        <v>2023</v>
      </c>
      <c r="B542" s="21" t="s">
        <v>21</v>
      </c>
      <c r="C542" s="21" t="s">
        <v>1145</v>
      </c>
      <c r="D542" s="21" t="s">
        <v>35</v>
      </c>
      <c r="E542" s="17" t="s">
        <v>257</v>
      </c>
      <c r="F542" s="18" t="s">
        <v>105</v>
      </c>
      <c r="G542" s="18" t="s">
        <v>48</v>
      </c>
      <c r="H542" s="24">
        <v>68780</v>
      </c>
      <c r="I542" s="24">
        <f>T_reg.root.SK[[#This Row],[Volume, kg]]/1000</f>
        <v>68.78</v>
      </c>
      <c r="J542" s="25">
        <v>0.1827</v>
      </c>
      <c r="K542" s="25">
        <f t="shared" si="8"/>
        <v>12566.106</v>
      </c>
      <c r="L542" s="25">
        <v>3.52</v>
      </c>
      <c r="M542" s="24">
        <v>242138</v>
      </c>
      <c r="N542" s="25">
        <f>IFERROR(T_reg.root.SK[[#This Row],[Price]]/T_reg.root.SK[[#This Row],[Starch content]],"")</f>
        <v>19.266557197591681</v>
      </c>
    </row>
    <row r="543" spans="1:14">
      <c r="A543" s="21">
        <v>2023</v>
      </c>
      <c r="B543" s="21" t="s">
        <v>21</v>
      </c>
      <c r="C543" s="21" t="s">
        <v>1145</v>
      </c>
      <c r="D543" s="21" t="s">
        <v>35</v>
      </c>
      <c r="E543" s="17" t="s">
        <v>368</v>
      </c>
      <c r="F543" s="18" t="s">
        <v>105</v>
      </c>
      <c r="G543" s="18" t="s">
        <v>48</v>
      </c>
      <c r="H543" s="24">
        <v>7320</v>
      </c>
      <c r="I543" s="24">
        <f>T_reg.root.SK[[#This Row],[Volume, kg]]/1000</f>
        <v>7.32</v>
      </c>
      <c r="J543" s="25">
        <v>0.25780000000000003</v>
      </c>
      <c r="K543" s="25">
        <f t="shared" si="8"/>
        <v>1887.0960000000002</v>
      </c>
      <c r="L543" s="25">
        <v>3.82</v>
      </c>
      <c r="M543" s="24">
        <v>27992</v>
      </c>
      <c r="N543" s="25">
        <f>IFERROR(T_reg.root.SK[[#This Row],[Price]]/T_reg.root.SK[[#This Row],[Starch content]],"")</f>
        <v>14.81768813033359</v>
      </c>
    </row>
    <row r="544" spans="1:14">
      <c r="A544" s="21">
        <v>2023</v>
      </c>
      <c r="B544" s="21" t="s">
        <v>21</v>
      </c>
      <c r="C544" s="21" t="s">
        <v>1145</v>
      </c>
      <c r="D544" s="21" t="s">
        <v>35</v>
      </c>
      <c r="E544" s="17" t="s">
        <v>324</v>
      </c>
      <c r="F544" s="18" t="s">
        <v>105</v>
      </c>
      <c r="G544" s="18" t="s">
        <v>48</v>
      </c>
      <c r="H544" s="24">
        <v>6380</v>
      </c>
      <c r="I544" s="24">
        <f>T_reg.root.SK[[#This Row],[Volume, kg]]/1000</f>
        <v>6.38</v>
      </c>
      <c r="J544" s="25">
        <v>0.314</v>
      </c>
      <c r="K544" s="25">
        <f t="shared" si="8"/>
        <v>2003.32</v>
      </c>
      <c r="L544" s="25">
        <v>4.05</v>
      </c>
      <c r="M544" s="24">
        <v>25839</v>
      </c>
      <c r="N544" s="25">
        <f>IFERROR(T_reg.root.SK[[#This Row],[Price]]/T_reg.root.SK[[#This Row],[Starch content]],"")</f>
        <v>12.898089171974522</v>
      </c>
    </row>
    <row r="545" spans="1:14">
      <c r="A545" s="21">
        <v>2023</v>
      </c>
      <c r="B545" s="21" t="s">
        <v>21</v>
      </c>
      <c r="C545" s="21" t="s">
        <v>1145</v>
      </c>
      <c r="D545" s="21" t="s">
        <v>35</v>
      </c>
      <c r="E545" s="17" t="s">
        <v>325</v>
      </c>
      <c r="F545" s="18" t="s">
        <v>105</v>
      </c>
      <c r="G545" s="18" t="s">
        <v>48</v>
      </c>
      <c r="H545" s="24">
        <v>15360</v>
      </c>
      <c r="I545" s="24">
        <f>T_reg.root.SK[[#This Row],[Volume, kg]]/1000</f>
        <v>15.36</v>
      </c>
      <c r="J545" s="25">
        <v>0.23050000000000001</v>
      </c>
      <c r="K545" s="25">
        <f t="shared" si="8"/>
        <v>3540.48</v>
      </c>
      <c r="L545" s="25">
        <v>3.71</v>
      </c>
      <c r="M545" s="24">
        <v>57058</v>
      </c>
      <c r="N545" s="25">
        <f>IFERROR(T_reg.root.SK[[#This Row],[Price]]/T_reg.root.SK[[#This Row],[Starch content]],"")</f>
        <v>16.095444685466376</v>
      </c>
    </row>
    <row r="546" spans="1:14">
      <c r="A546" s="21">
        <v>2023</v>
      </c>
      <c r="B546" s="21" t="s">
        <v>21</v>
      </c>
      <c r="C546" s="21" t="s">
        <v>1145</v>
      </c>
      <c r="D546" s="21" t="s">
        <v>35</v>
      </c>
      <c r="E546" s="17" t="s">
        <v>174</v>
      </c>
      <c r="F546" s="18" t="s">
        <v>105</v>
      </c>
      <c r="G546" s="18" t="s">
        <v>48</v>
      </c>
      <c r="H546" s="24">
        <v>137030</v>
      </c>
      <c r="I546" s="24">
        <f>T_reg.root.SK[[#This Row],[Volume, kg]]/1000</f>
        <v>137.03</v>
      </c>
      <c r="J546" s="25">
        <v>0.28970000000000001</v>
      </c>
      <c r="K546" s="25">
        <f t="shared" si="8"/>
        <v>39697.591</v>
      </c>
      <c r="L546" s="25">
        <v>4.09</v>
      </c>
      <c r="M546" s="24">
        <v>560232</v>
      </c>
      <c r="N546" s="25">
        <f>IFERROR(T_reg.root.SK[[#This Row],[Price]]/T_reg.root.SK[[#This Row],[Starch content]],"")</f>
        <v>14.118053158439764</v>
      </c>
    </row>
    <row r="547" spans="1:14">
      <c r="A547" s="21">
        <v>2023</v>
      </c>
      <c r="B547" s="21" t="s">
        <v>21</v>
      </c>
      <c r="C547" s="21" t="s">
        <v>1145</v>
      </c>
      <c r="D547" s="21" t="s">
        <v>35</v>
      </c>
      <c r="E547" s="17" t="s">
        <v>369</v>
      </c>
      <c r="F547" s="18" t="s">
        <v>105</v>
      </c>
      <c r="G547" s="18" t="s">
        <v>48</v>
      </c>
      <c r="H547" s="24">
        <v>57600</v>
      </c>
      <c r="I547" s="24">
        <f>T_reg.root.SK[[#This Row],[Volume, kg]]/1000</f>
        <v>57.6</v>
      </c>
      <c r="J547" s="25">
        <v>0.27539999999999998</v>
      </c>
      <c r="K547" s="25">
        <f t="shared" si="8"/>
        <v>15863.039999999999</v>
      </c>
      <c r="L547" s="25">
        <v>3.98</v>
      </c>
      <c r="M547" s="24">
        <v>229373.5</v>
      </c>
      <c r="N547" s="25">
        <f>IFERROR(T_reg.root.SK[[#This Row],[Price]]/T_reg.root.SK[[#This Row],[Starch content]],"")</f>
        <v>14.451706608569355</v>
      </c>
    </row>
    <row r="548" spans="1:14">
      <c r="A548" s="21">
        <v>2023</v>
      </c>
      <c r="B548" s="21" t="s">
        <v>21</v>
      </c>
      <c r="C548" s="21" t="s">
        <v>1145</v>
      </c>
      <c r="D548" s="21" t="s">
        <v>35</v>
      </c>
      <c r="E548" s="17" t="s">
        <v>176</v>
      </c>
      <c r="F548" s="18" t="s">
        <v>105</v>
      </c>
      <c r="G548" s="18" t="s">
        <v>48</v>
      </c>
      <c r="H548" s="24">
        <v>12900</v>
      </c>
      <c r="I548" s="24">
        <f>T_reg.root.SK[[#This Row],[Volume, kg]]/1000</f>
        <v>12.9</v>
      </c>
      <c r="J548" s="25">
        <v>0.2104</v>
      </c>
      <c r="K548" s="25">
        <f t="shared" si="8"/>
        <v>2714.16</v>
      </c>
      <c r="L548" s="25">
        <v>3.62</v>
      </c>
      <c r="M548" s="24">
        <v>46684.5</v>
      </c>
      <c r="N548" s="25">
        <f>IFERROR(T_reg.root.SK[[#This Row],[Price]]/T_reg.root.SK[[#This Row],[Starch content]],"")</f>
        <v>17.20532319391635</v>
      </c>
    </row>
    <row r="549" spans="1:14">
      <c r="A549" s="21">
        <v>2023</v>
      </c>
      <c r="B549" s="21" t="s">
        <v>21</v>
      </c>
      <c r="C549" s="21" t="s">
        <v>1145</v>
      </c>
      <c r="D549" s="21" t="s">
        <v>35</v>
      </c>
      <c r="E549" s="17" t="s">
        <v>178</v>
      </c>
      <c r="F549" s="18" t="s">
        <v>105</v>
      </c>
      <c r="G549" s="18" t="s">
        <v>48</v>
      </c>
      <c r="H549" s="24">
        <v>120780</v>
      </c>
      <c r="I549" s="24">
        <f>T_reg.root.SK[[#This Row],[Volume, kg]]/1000</f>
        <v>120.78</v>
      </c>
      <c r="J549" s="25">
        <v>0.25879999999999997</v>
      </c>
      <c r="K549" s="25">
        <f t="shared" si="8"/>
        <v>31257.863999999998</v>
      </c>
      <c r="L549" s="25">
        <v>3.94</v>
      </c>
      <c r="M549" s="24">
        <v>476238.5</v>
      </c>
      <c r="N549" s="25">
        <f>IFERROR(T_reg.root.SK[[#This Row],[Price]]/T_reg.root.SK[[#This Row],[Starch content]],"")</f>
        <v>15.224111282843896</v>
      </c>
    </row>
    <row r="550" spans="1:14">
      <c r="A550" s="21">
        <v>2023</v>
      </c>
      <c r="B550" s="21" t="s">
        <v>21</v>
      </c>
      <c r="C550" s="21" t="s">
        <v>1145</v>
      </c>
      <c r="D550" s="21" t="s">
        <v>35</v>
      </c>
      <c r="E550" s="17" t="s">
        <v>179</v>
      </c>
      <c r="F550" s="18" t="s">
        <v>105</v>
      </c>
      <c r="G550" s="18" t="s">
        <v>48</v>
      </c>
      <c r="H550" s="24">
        <v>49860</v>
      </c>
      <c r="I550" s="24">
        <f>T_reg.root.SK[[#This Row],[Volume, kg]]/1000</f>
        <v>49.86</v>
      </c>
      <c r="J550" s="25">
        <v>0.23469999999999999</v>
      </c>
      <c r="K550" s="25">
        <f t="shared" si="8"/>
        <v>11702.142</v>
      </c>
      <c r="L550" s="25">
        <v>3.87</v>
      </c>
      <c r="M550" s="24">
        <v>192850.5</v>
      </c>
      <c r="N550" s="25">
        <f>IFERROR(T_reg.root.SK[[#This Row],[Price]]/T_reg.root.SK[[#This Row],[Starch content]],"")</f>
        <v>16.489135066041758</v>
      </c>
    </row>
    <row r="551" spans="1:14">
      <c r="A551" s="21">
        <v>2023</v>
      </c>
      <c r="B551" s="21" t="s">
        <v>21</v>
      </c>
      <c r="C551" s="21" t="s">
        <v>1145</v>
      </c>
      <c r="D551" s="21" t="s">
        <v>35</v>
      </c>
      <c r="E551" s="17" t="s">
        <v>180</v>
      </c>
      <c r="F551" s="18" t="s">
        <v>105</v>
      </c>
      <c r="G551" s="18" t="s">
        <v>48</v>
      </c>
      <c r="H551" s="24">
        <v>18640</v>
      </c>
      <c r="I551" s="24">
        <f>T_reg.root.SK[[#This Row],[Volume, kg]]/1000</f>
        <v>18.64</v>
      </c>
      <c r="J551" s="25">
        <v>0.2422</v>
      </c>
      <c r="K551" s="25">
        <f t="shared" si="8"/>
        <v>4514.6080000000002</v>
      </c>
      <c r="L551" s="25">
        <v>3.81</v>
      </c>
      <c r="M551" s="24">
        <v>70989</v>
      </c>
      <c r="N551" s="25">
        <f>IFERROR(T_reg.root.SK[[#This Row],[Price]]/T_reg.root.SK[[#This Row],[Starch content]],"")</f>
        <v>15.730800990916599</v>
      </c>
    </row>
    <row r="552" spans="1:14">
      <c r="A552" s="21">
        <v>2023</v>
      </c>
      <c r="B552" s="21" t="s">
        <v>21</v>
      </c>
      <c r="C552" s="21" t="s">
        <v>1145</v>
      </c>
      <c r="D552" s="21" t="s">
        <v>35</v>
      </c>
      <c r="E552" s="17" t="s">
        <v>181</v>
      </c>
      <c r="F552" s="18" t="s">
        <v>105</v>
      </c>
      <c r="G552" s="18" t="s">
        <v>48</v>
      </c>
      <c r="H552" s="24">
        <v>106860</v>
      </c>
      <c r="I552" s="24">
        <f>T_reg.root.SK[[#This Row],[Volume, kg]]/1000</f>
        <v>106.86</v>
      </c>
      <c r="J552" s="25">
        <v>0.25819999999999999</v>
      </c>
      <c r="K552" s="25">
        <f t="shared" si="8"/>
        <v>27591.251999999997</v>
      </c>
      <c r="L552" s="25">
        <v>3.94</v>
      </c>
      <c r="M552" s="24">
        <v>420707.5</v>
      </c>
      <c r="N552" s="25">
        <f>IFERROR(T_reg.root.SK[[#This Row],[Price]]/T_reg.root.SK[[#This Row],[Starch content]],"")</f>
        <v>15.259488768396592</v>
      </c>
    </row>
    <row r="553" spans="1:14">
      <c r="A553" s="21">
        <v>2023</v>
      </c>
      <c r="B553" s="21" t="s">
        <v>21</v>
      </c>
      <c r="C553" s="21" t="s">
        <v>1145</v>
      </c>
      <c r="D553" s="21" t="s">
        <v>35</v>
      </c>
      <c r="E553" s="17" t="s">
        <v>182</v>
      </c>
      <c r="F553" s="18" t="s">
        <v>105</v>
      </c>
      <c r="G553" s="18" t="s">
        <v>48</v>
      </c>
      <c r="H553" s="24">
        <v>33490</v>
      </c>
      <c r="I553" s="24">
        <f>T_reg.root.SK[[#This Row],[Volume, kg]]/1000</f>
        <v>33.49</v>
      </c>
      <c r="J553" s="25">
        <v>0.22469999999999998</v>
      </c>
      <c r="K553" s="25">
        <f t="shared" si="8"/>
        <v>7525.2029999999995</v>
      </c>
      <c r="L553" s="25">
        <v>3.74</v>
      </c>
      <c r="M553" s="24">
        <v>125140</v>
      </c>
      <c r="N553" s="25">
        <f>IFERROR(T_reg.root.SK[[#This Row],[Price]]/T_reg.root.SK[[#This Row],[Starch content]],"")</f>
        <v>16.6444147752559</v>
      </c>
    </row>
    <row r="554" spans="1:14">
      <c r="A554" s="21">
        <v>2023</v>
      </c>
      <c r="B554" s="21" t="s">
        <v>21</v>
      </c>
      <c r="C554" s="21" t="s">
        <v>1145</v>
      </c>
      <c r="D554" s="21" t="s">
        <v>35</v>
      </c>
      <c r="E554" s="17" t="s">
        <v>183</v>
      </c>
      <c r="F554" s="18" t="s">
        <v>105</v>
      </c>
      <c r="G554" s="18" t="s">
        <v>48</v>
      </c>
      <c r="H554" s="24">
        <v>190550</v>
      </c>
      <c r="I554" s="24">
        <f>T_reg.root.SK[[#This Row],[Volume, kg]]/1000</f>
        <v>190.55</v>
      </c>
      <c r="J554" s="25">
        <v>0.23879999999999998</v>
      </c>
      <c r="K554" s="25">
        <f t="shared" si="8"/>
        <v>45503.34</v>
      </c>
      <c r="L554" s="25">
        <v>3.87</v>
      </c>
      <c r="M554" s="24">
        <v>738230</v>
      </c>
      <c r="N554" s="25">
        <f>IFERROR(T_reg.root.SK[[#This Row],[Price]]/T_reg.root.SK[[#This Row],[Starch content]],"")</f>
        <v>16.206030150753769</v>
      </c>
    </row>
    <row r="555" spans="1:14">
      <c r="A555" s="21">
        <v>2023</v>
      </c>
      <c r="B555" s="21" t="s">
        <v>21</v>
      </c>
      <c r="C555" s="21" t="s">
        <v>1145</v>
      </c>
      <c r="D555" s="21" t="s">
        <v>35</v>
      </c>
      <c r="E555" s="17" t="s">
        <v>330</v>
      </c>
      <c r="F555" s="18" t="s">
        <v>187</v>
      </c>
      <c r="G555" s="18" t="s">
        <v>48</v>
      </c>
      <c r="H555" s="24">
        <v>75340</v>
      </c>
      <c r="I555" s="24">
        <f>T_reg.root.SK[[#This Row],[Volume, kg]]/1000</f>
        <v>75.34</v>
      </c>
      <c r="J555" s="25">
        <v>0.26800000000000002</v>
      </c>
      <c r="K555" s="25">
        <f t="shared" si="8"/>
        <v>20191.120000000003</v>
      </c>
      <c r="L555" s="25">
        <v>4.1399999999999997</v>
      </c>
      <c r="M555" s="24">
        <v>311681.5</v>
      </c>
      <c r="N555" s="25">
        <f>IFERROR(T_reg.root.SK[[#This Row],[Price]]/T_reg.root.SK[[#This Row],[Starch content]],"")</f>
        <v>15.447761194029848</v>
      </c>
    </row>
    <row r="556" spans="1:14">
      <c r="A556" s="21">
        <v>2023</v>
      </c>
      <c r="B556" s="21" t="s">
        <v>21</v>
      </c>
      <c r="C556" s="21" t="s">
        <v>1145</v>
      </c>
      <c r="D556" s="21" t="s">
        <v>35</v>
      </c>
      <c r="E556" s="17" t="s">
        <v>190</v>
      </c>
      <c r="F556" s="18" t="s">
        <v>187</v>
      </c>
      <c r="G556" s="18" t="s">
        <v>48</v>
      </c>
      <c r="H556" s="24">
        <v>22000</v>
      </c>
      <c r="I556" s="24">
        <f>T_reg.root.SK[[#This Row],[Volume, kg]]/1000</f>
        <v>22</v>
      </c>
      <c r="J556" s="25">
        <v>0.27760000000000001</v>
      </c>
      <c r="K556" s="25">
        <f t="shared" si="8"/>
        <v>6107.2000000000007</v>
      </c>
      <c r="L556" s="25">
        <v>4.0999999999999996</v>
      </c>
      <c r="M556" s="24">
        <v>90148</v>
      </c>
      <c r="N556" s="25">
        <f>IFERROR(T_reg.root.SK[[#This Row],[Price]]/T_reg.root.SK[[#This Row],[Starch content]],"")</f>
        <v>14.769452449567721</v>
      </c>
    </row>
    <row r="557" spans="1:14">
      <c r="A557" s="21">
        <v>2023</v>
      </c>
      <c r="B557" s="21" t="s">
        <v>21</v>
      </c>
      <c r="C557" s="21" t="s">
        <v>1145</v>
      </c>
      <c r="D557" s="21" t="s">
        <v>35</v>
      </c>
      <c r="E557" s="17" t="s">
        <v>370</v>
      </c>
      <c r="F557" s="18" t="s">
        <v>187</v>
      </c>
      <c r="G557" s="18" t="s">
        <v>48</v>
      </c>
      <c r="H557" s="24">
        <v>8350</v>
      </c>
      <c r="I557" s="24">
        <f>T_reg.root.SK[[#This Row],[Volume, kg]]/1000</f>
        <v>8.35</v>
      </c>
      <c r="J557" s="25">
        <v>0.25650000000000001</v>
      </c>
      <c r="K557" s="25">
        <f t="shared" si="8"/>
        <v>2141.7750000000001</v>
      </c>
      <c r="L557" s="25">
        <v>4.0999999999999996</v>
      </c>
      <c r="M557" s="24">
        <v>34235</v>
      </c>
      <c r="N557" s="25">
        <f>IFERROR(T_reg.root.SK[[#This Row],[Price]]/T_reg.root.SK[[#This Row],[Starch content]],"")</f>
        <v>15.984405458089666</v>
      </c>
    </row>
    <row r="558" spans="1:14">
      <c r="A558" s="21">
        <v>2023</v>
      </c>
      <c r="B558" s="21" t="s">
        <v>21</v>
      </c>
      <c r="C558" s="21" t="s">
        <v>1145</v>
      </c>
      <c r="D558" s="21" t="s">
        <v>35</v>
      </c>
      <c r="E558" s="17" t="s">
        <v>192</v>
      </c>
      <c r="F558" s="18" t="s">
        <v>187</v>
      </c>
      <c r="G558" s="18" t="s">
        <v>48</v>
      </c>
      <c r="H558" s="24">
        <v>21610</v>
      </c>
      <c r="I558" s="24">
        <f>T_reg.root.SK[[#This Row],[Volume, kg]]/1000</f>
        <v>21.61</v>
      </c>
      <c r="J558" s="25">
        <v>0.26550000000000001</v>
      </c>
      <c r="K558" s="25">
        <f t="shared" si="8"/>
        <v>5737.4549999999999</v>
      </c>
      <c r="L558" s="25">
        <v>4.13</v>
      </c>
      <c r="M558" s="24">
        <v>89167.5</v>
      </c>
      <c r="N558" s="25">
        <f>IFERROR(T_reg.root.SK[[#This Row],[Price]]/T_reg.root.SK[[#This Row],[Starch content]],"")</f>
        <v>15.555555555555554</v>
      </c>
    </row>
    <row r="559" spans="1:14">
      <c r="A559" s="21">
        <v>2023</v>
      </c>
      <c r="B559" s="21" t="s">
        <v>21</v>
      </c>
      <c r="C559" s="21" t="s">
        <v>1145</v>
      </c>
      <c r="D559" s="21" t="s">
        <v>35</v>
      </c>
      <c r="E559" s="17" t="s">
        <v>262</v>
      </c>
      <c r="F559" s="18" t="s">
        <v>187</v>
      </c>
      <c r="G559" s="18" t="s">
        <v>48</v>
      </c>
      <c r="H559" s="24">
        <v>117940</v>
      </c>
      <c r="I559" s="24">
        <f>T_reg.root.SK[[#This Row],[Volume, kg]]/1000</f>
        <v>117.94</v>
      </c>
      <c r="J559" s="25">
        <v>0.25129999999999997</v>
      </c>
      <c r="K559" s="25">
        <f t="shared" si="8"/>
        <v>29638.321999999996</v>
      </c>
      <c r="L559" s="25">
        <v>4.0599999999999996</v>
      </c>
      <c r="M559" s="24">
        <v>478805</v>
      </c>
      <c r="N559" s="25">
        <f>IFERROR(T_reg.root.SK[[#This Row],[Price]]/T_reg.root.SK[[#This Row],[Starch content]],"")</f>
        <v>16.15598885793872</v>
      </c>
    </row>
    <row r="560" spans="1:14">
      <c r="A560" s="21">
        <v>2023</v>
      </c>
      <c r="B560" s="21" t="s">
        <v>21</v>
      </c>
      <c r="C560" s="21" t="s">
        <v>1145</v>
      </c>
      <c r="D560" s="21" t="s">
        <v>35</v>
      </c>
      <c r="E560" s="17" t="s">
        <v>194</v>
      </c>
      <c r="F560" s="18" t="s">
        <v>187</v>
      </c>
      <c r="G560" s="18" t="s">
        <v>48</v>
      </c>
      <c r="H560" s="24">
        <v>59440</v>
      </c>
      <c r="I560" s="24">
        <f>T_reg.root.SK[[#This Row],[Volume, kg]]/1000</f>
        <v>59.44</v>
      </c>
      <c r="J560" s="25">
        <v>0.28059999999999996</v>
      </c>
      <c r="K560" s="25">
        <f t="shared" si="8"/>
        <v>16678.863999999998</v>
      </c>
      <c r="L560" s="25">
        <v>4.21</v>
      </c>
      <c r="M560" s="24">
        <v>250010</v>
      </c>
      <c r="N560" s="25">
        <f>IFERROR(T_reg.root.SK[[#This Row],[Price]]/T_reg.root.SK[[#This Row],[Starch content]],"")</f>
        <v>15.003563791874557</v>
      </c>
    </row>
    <row r="561" spans="1:14">
      <c r="A561" s="21">
        <v>2023</v>
      </c>
      <c r="B561" s="21" t="s">
        <v>21</v>
      </c>
      <c r="C561" s="21" t="s">
        <v>1145</v>
      </c>
      <c r="D561" s="21" t="s">
        <v>35</v>
      </c>
      <c r="E561" s="17" t="s">
        <v>371</v>
      </c>
      <c r="F561" s="18" t="s">
        <v>187</v>
      </c>
      <c r="G561" s="18" t="s">
        <v>48</v>
      </c>
      <c r="H561" s="24">
        <v>10370</v>
      </c>
      <c r="I561" s="24">
        <f>T_reg.root.SK[[#This Row],[Volume, kg]]/1000</f>
        <v>10.37</v>
      </c>
      <c r="J561" s="25">
        <v>0.25879999999999997</v>
      </c>
      <c r="K561" s="25">
        <f t="shared" si="8"/>
        <v>2683.7559999999999</v>
      </c>
      <c r="L561" s="25">
        <v>4.08</v>
      </c>
      <c r="M561" s="24">
        <v>42348.5</v>
      </c>
      <c r="N561" s="25">
        <f>IFERROR(T_reg.root.SK[[#This Row],[Price]]/T_reg.root.SK[[#This Row],[Starch content]],"")</f>
        <v>15.765069551777437</v>
      </c>
    </row>
    <row r="562" spans="1:14">
      <c r="A562" s="21">
        <v>2023</v>
      </c>
      <c r="B562" s="21" t="s">
        <v>21</v>
      </c>
      <c r="C562" s="21" t="s">
        <v>1145</v>
      </c>
      <c r="D562" s="21" t="s">
        <v>35</v>
      </c>
      <c r="E562" s="17" t="s">
        <v>195</v>
      </c>
      <c r="F562" s="18" t="s">
        <v>187</v>
      </c>
      <c r="G562" s="18" t="s">
        <v>48</v>
      </c>
      <c r="H562" s="24">
        <v>72860</v>
      </c>
      <c r="I562" s="24">
        <f>T_reg.root.SK[[#This Row],[Volume, kg]]/1000</f>
        <v>72.86</v>
      </c>
      <c r="J562" s="25">
        <v>0.21440000000000001</v>
      </c>
      <c r="K562" s="25">
        <f t="shared" si="8"/>
        <v>15621.184000000001</v>
      </c>
      <c r="L562" s="25">
        <v>3.87</v>
      </c>
      <c r="M562" s="24">
        <v>282038.5</v>
      </c>
      <c r="N562" s="25">
        <f>IFERROR(T_reg.root.SK[[#This Row],[Price]]/T_reg.root.SK[[#This Row],[Starch content]],"")</f>
        <v>18.050373134328357</v>
      </c>
    </row>
    <row r="563" spans="1:14">
      <c r="A563" s="21">
        <v>2023</v>
      </c>
      <c r="B563" s="21" t="s">
        <v>21</v>
      </c>
      <c r="C563" s="21" t="s">
        <v>1145</v>
      </c>
      <c r="D563" s="21" t="s">
        <v>35</v>
      </c>
      <c r="E563" s="17" t="s">
        <v>372</v>
      </c>
      <c r="F563" s="18" t="s">
        <v>187</v>
      </c>
      <c r="G563" s="18" t="s">
        <v>48</v>
      </c>
      <c r="H563" s="24">
        <v>41720</v>
      </c>
      <c r="I563" s="24">
        <f>T_reg.root.SK[[#This Row],[Volume, kg]]/1000</f>
        <v>41.72</v>
      </c>
      <c r="J563" s="25">
        <v>0.2253</v>
      </c>
      <c r="K563" s="25">
        <f t="shared" si="8"/>
        <v>9399.5159999999996</v>
      </c>
      <c r="L563" s="25">
        <v>3.92</v>
      </c>
      <c r="M563" s="24">
        <v>163623</v>
      </c>
      <c r="N563" s="25">
        <f>IFERROR(T_reg.root.SK[[#This Row],[Price]]/T_reg.root.SK[[#This Row],[Starch content]],"")</f>
        <v>17.399023524189968</v>
      </c>
    </row>
    <row r="564" spans="1:14">
      <c r="A564" s="21">
        <v>2023</v>
      </c>
      <c r="B564" s="21" t="s">
        <v>21</v>
      </c>
      <c r="C564" s="21" t="s">
        <v>1145</v>
      </c>
      <c r="D564" s="21" t="s">
        <v>35</v>
      </c>
      <c r="E564" s="17" t="s">
        <v>198</v>
      </c>
      <c r="F564" s="18" t="s">
        <v>187</v>
      </c>
      <c r="G564" s="18" t="s">
        <v>48</v>
      </c>
      <c r="H564" s="24">
        <v>37570</v>
      </c>
      <c r="I564" s="24">
        <f>T_reg.root.SK[[#This Row],[Volume, kg]]/1000</f>
        <v>37.57</v>
      </c>
      <c r="J564" s="25">
        <v>0.26319999999999999</v>
      </c>
      <c r="K564" s="25">
        <f t="shared" si="8"/>
        <v>9888.4239999999991</v>
      </c>
      <c r="L564" s="25">
        <v>4.12</v>
      </c>
      <c r="M564" s="24">
        <v>154672</v>
      </c>
      <c r="N564" s="25">
        <f>IFERROR(T_reg.root.SK[[#This Row],[Price]]/T_reg.root.SK[[#This Row],[Starch content]],"")</f>
        <v>15.653495440729484</v>
      </c>
    </row>
    <row r="565" spans="1:14">
      <c r="A565" s="21">
        <v>2023</v>
      </c>
      <c r="B565" s="21" t="s">
        <v>21</v>
      </c>
      <c r="C565" s="21" t="s">
        <v>1145</v>
      </c>
      <c r="D565" s="21" t="s">
        <v>35</v>
      </c>
      <c r="E565" s="17" t="s">
        <v>200</v>
      </c>
      <c r="F565" s="18" t="s">
        <v>187</v>
      </c>
      <c r="G565" s="18" t="s">
        <v>48</v>
      </c>
      <c r="H565" s="24">
        <v>43990</v>
      </c>
      <c r="I565" s="24">
        <f>T_reg.root.SK[[#This Row],[Volume, kg]]/1000</f>
        <v>43.99</v>
      </c>
      <c r="J565" s="25">
        <v>0.2162</v>
      </c>
      <c r="K565" s="25">
        <f t="shared" si="8"/>
        <v>9510.6380000000008</v>
      </c>
      <c r="L565" s="25">
        <v>3.89</v>
      </c>
      <c r="M565" s="24">
        <v>171129</v>
      </c>
      <c r="N565" s="25">
        <f>IFERROR(T_reg.root.SK[[#This Row],[Price]]/T_reg.root.SK[[#This Row],[Starch content]],"")</f>
        <v>17.992599444958373</v>
      </c>
    </row>
    <row r="566" spans="1:14">
      <c r="A566" s="21">
        <v>2023</v>
      </c>
      <c r="B566" s="21" t="s">
        <v>21</v>
      </c>
      <c r="C566" s="21" t="s">
        <v>1145</v>
      </c>
      <c r="D566" s="21" t="s">
        <v>35</v>
      </c>
      <c r="E566" s="17" t="s">
        <v>373</v>
      </c>
      <c r="F566" s="18" t="s">
        <v>187</v>
      </c>
      <c r="G566" s="18" t="s">
        <v>48</v>
      </c>
      <c r="H566" s="24">
        <v>9880</v>
      </c>
      <c r="I566" s="24">
        <f>T_reg.root.SK[[#This Row],[Volume, kg]]/1000</f>
        <v>9.8800000000000008</v>
      </c>
      <c r="J566" s="25">
        <v>0.21149999999999999</v>
      </c>
      <c r="K566" s="25">
        <f t="shared" si="8"/>
        <v>2089.62</v>
      </c>
      <c r="L566" s="25">
        <v>3.85</v>
      </c>
      <c r="M566" s="24">
        <v>38038</v>
      </c>
      <c r="N566" s="25">
        <f>IFERROR(T_reg.root.SK[[#This Row],[Price]]/T_reg.root.SK[[#This Row],[Starch content]],"")</f>
        <v>18.203309692671397</v>
      </c>
    </row>
    <row r="567" spans="1:14">
      <c r="A567" s="21">
        <v>2023</v>
      </c>
      <c r="B567" s="21" t="s">
        <v>21</v>
      </c>
      <c r="C567" s="21" t="s">
        <v>1145</v>
      </c>
      <c r="D567" s="21" t="s">
        <v>35</v>
      </c>
      <c r="E567" s="17" t="s">
        <v>332</v>
      </c>
      <c r="F567" s="18" t="s">
        <v>187</v>
      </c>
      <c r="G567" s="18" t="s">
        <v>48</v>
      </c>
      <c r="H567" s="24">
        <v>18350</v>
      </c>
      <c r="I567" s="24">
        <f>T_reg.root.SK[[#This Row],[Volume, kg]]/1000</f>
        <v>18.350000000000001</v>
      </c>
      <c r="J567" s="25">
        <v>0.26150000000000001</v>
      </c>
      <c r="K567" s="25">
        <f t="shared" si="8"/>
        <v>4798.5250000000005</v>
      </c>
      <c r="L567" s="25">
        <v>4.13</v>
      </c>
      <c r="M567" s="24">
        <v>75723</v>
      </c>
      <c r="N567" s="25">
        <f>IFERROR(T_reg.root.SK[[#This Row],[Price]]/T_reg.root.SK[[#This Row],[Starch content]],"")</f>
        <v>15.793499043977054</v>
      </c>
    </row>
    <row r="568" spans="1:14">
      <c r="A568" s="21">
        <v>2023</v>
      </c>
      <c r="B568" s="21" t="s">
        <v>21</v>
      </c>
      <c r="C568" s="21" t="s">
        <v>1145</v>
      </c>
      <c r="D568" s="21" t="s">
        <v>35</v>
      </c>
      <c r="E568" s="17" t="s">
        <v>204</v>
      </c>
      <c r="F568" s="18" t="s">
        <v>187</v>
      </c>
      <c r="G568" s="18" t="s">
        <v>48</v>
      </c>
      <c r="H568" s="24">
        <v>42100</v>
      </c>
      <c r="I568" s="24">
        <f>T_reg.root.SK[[#This Row],[Volume, kg]]/1000</f>
        <v>42.1</v>
      </c>
      <c r="J568" s="25">
        <v>0.2364</v>
      </c>
      <c r="K568" s="25">
        <f t="shared" si="8"/>
        <v>9952.44</v>
      </c>
      <c r="L568" s="25">
        <v>3.97</v>
      </c>
      <c r="M568" s="24">
        <v>167111</v>
      </c>
      <c r="N568" s="25">
        <f>IFERROR(T_reg.root.SK[[#This Row],[Price]]/T_reg.root.SK[[#This Row],[Starch content]],"")</f>
        <v>16.79357021996616</v>
      </c>
    </row>
    <row r="569" spans="1:14">
      <c r="A569" s="21">
        <v>2023</v>
      </c>
      <c r="B569" s="21" t="s">
        <v>21</v>
      </c>
      <c r="C569" s="21" t="s">
        <v>1145</v>
      </c>
      <c r="D569" s="21" t="s">
        <v>35</v>
      </c>
      <c r="E569" s="17" t="s">
        <v>374</v>
      </c>
      <c r="F569" s="18" t="s">
        <v>187</v>
      </c>
      <c r="G569" s="18" t="s">
        <v>48</v>
      </c>
      <c r="H569" s="24">
        <v>2410</v>
      </c>
      <c r="I569" s="24">
        <f>T_reg.root.SK[[#This Row],[Volume, kg]]/1000</f>
        <v>2.41</v>
      </c>
      <c r="J569" s="25">
        <v>0.28100000000000003</v>
      </c>
      <c r="K569" s="25">
        <f t="shared" si="8"/>
        <v>677.21</v>
      </c>
      <c r="L569" s="25">
        <v>4.2</v>
      </c>
      <c r="M569" s="24">
        <v>10122</v>
      </c>
      <c r="N569" s="25">
        <f>IFERROR(T_reg.root.SK[[#This Row],[Price]]/T_reg.root.SK[[#This Row],[Starch content]],"")</f>
        <v>14.946619217081849</v>
      </c>
    </row>
    <row r="570" spans="1:14">
      <c r="A570" s="21">
        <v>2023</v>
      </c>
      <c r="B570" s="21" t="s">
        <v>21</v>
      </c>
      <c r="C570" s="21" t="s">
        <v>1145</v>
      </c>
      <c r="D570" s="21" t="s">
        <v>35</v>
      </c>
      <c r="E570" s="17" t="s">
        <v>333</v>
      </c>
      <c r="F570" s="18" t="s">
        <v>187</v>
      </c>
      <c r="G570" s="18" t="s">
        <v>48</v>
      </c>
      <c r="H570" s="24">
        <v>16830</v>
      </c>
      <c r="I570" s="24">
        <f>T_reg.root.SK[[#This Row],[Volume, kg]]/1000</f>
        <v>16.829999999999998</v>
      </c>
      <c r="J570" s="25">
        <v>0.23480000000000001</v>
      </c>
      <c r="K570" s="25">
        <f t="shared" si="8"/>
        <v>3951.6840000000002</v>
      </c>
      <c r="L570" s="25">
        <v>3.95</v>
      </c>
      <c r="M570" s="24">
        <v>66478.5</v>
      </c>
      <c r="N570" s="25">
        <f>IFERROR(T_reg.root.SK[[#This Row],[Price]]/T_reg.root.SK[[#This Row],[Starch content]],"")</f>
        <v>16.82282793867121</v>
      </c>
    </row>
    <row r="571" spans="1:14">
      <c r="A571" s="21">
        <v>2023</v>
      </c>
      <c r="B571" s="21" t="s">
        <v>21</v>
      </c>
      <c r="C571" s="21" t="s">
        <v>1145</v>
      </c>
      <c r="D571" s="21" t="s">
        <v>35</v>
      </c>
      <c r="E571" s="17" t="s">
        <v>211</v>
      </c>
      <c r="F571" s="18" t="s">
        <v>187</v>
      </c>
      <c r="G571" s="18" t="s">
        <v>48</v>
      </c>
      <c r="H571" s="24">
        <v>37270</v>
      </c>
      <c r="I571" s="24">
        <f>T_reg.root.SK[[#This Row],[Volume, kg]]/1000</f>
        <v>37.270000000000003</v>
      </c>
      <c r="J571" s="25">
        <v>0.20480000000000001</v>
      </c>
      <c r="K571" s="25">
        <f t="shared" si="8"/>
        <v>7632.8960000000006</v>
      </c>
      <c r="L571" s="25">
        <v>3.83</v>
      </c>
      <c r="M571" s="24">
        <v>142622.5</v>
      </c>
      <c r="N571" s="25">
        <f>IFERROR(T_reg.root.SK[[#This Row],[Price]]/T_reg.root.SK[[#This Row],[Starch content]],"")</f>
        <v>18.701171875</v>
      </c>
    </row>
    <row r="572" spans="1:14">
      <c r="A572" s="21">
        <v>2023</v>
      </c>
      <c r="B572" s="21" t="s">
        <v>21</v>
      </c>
      <c r="C572" s="21" t="s">
        <v>1145</v>
      </c>
      <c r="D572" s="21" t="s">
        <v>35</v>
      </c>
      <c r="E572" s="17" t="s">
        <v>335</v>
      </c>
      <c r="F572" s="18" t="s">
        <v>187</v>
      </c>
      <c r="G572" s="18" t="s">
        <v>48</v>
      </c>
      <c r="H572" s="24">
        <v>39620</v>
      </c>
      <c r="I572" s="24">
        <f>T_reg.root.SK[[#This Row],[Volume, kg]]/1000</f>
        <v>39.619999999999997</v>
      </c>
      <c r="J572" s="25">
        <v>0.26079999999999998</v>
      </c>
      <c r="K572" s="25">
        <f t="shared" si="8"/>
        <v>10332.895999999999</v>
      </c>
      <c r="L572" s="25">
        <v>4.1100000000000003</v>
      </c>
      <c r="M572" s="24">
        <v>162871</v>
      </c>
      <c r="N572" s="25">
        <f>IFERROR(T_reg.root.SK[[#This Row],[Price]]/T_reg.root.SK[[#This Row],[Starch content]],"")</f>
        <v>15.759202453987733</v>
      </c>
    </row>
    <row r="573" spans="1:14">
      <c r="A573" s="21">
        <v>2023</v>
      </c>
      <c r="B573" s="21" t="s">
        <v>21</v>
      </c>
      <c r="C573" s="21" t="s">
        <v>1145</v>
      </c>
      <c r="D573" s="21" t="s">
        <v>35</v>
      </c>
      <c r="E573" s="17" t="s">
        <v>216</v>
      </c>
      <c r="F573" s="18" t="s">
        <v>187</v>
      </c>
      <c r="G573" s="18" t="s">
        <v>48</v>
      </c>
      <c r="H573" s="24">
        <v>66150</v>
      </c>
      <c r="I573" s="24">
        <f>T_reg.root.SK[[#This Row],[Volume, kg]]/1000</f>
        <v>66.150000000000006</v>
      </c>
      <c r="J573" s="25">
        <v>0.22589999999999999</v>
      </c>
      <c r="K573" s="25">
        <f t="shared" si="8"/>
        <v>14943.285</v>
      </c>
      <c r="L573" s="25">
        <v>3.93</v>
      </c>
      <c r="M573" s="24">
        <v>259813.5</v>
      </c>
      <c r="N573" s="25">
        <f>IFERROR(T_reg.root.SK[[#This Row],[Price]]/T_reg.root.SK[[#This Row],[Starch content]],"")</f>
        <v>17.397078353253654</v>
      </c>
    </row>
    <row r="574" spans="1:14">
      <c r="A574" s="21">
        <v>2023</v>
      </c>
      <c r="B574" s="21" t="s">
        <v>22</v>
      </c>
      <c r="C574" s="21" t="s">
        <v>1145</v>
      </c>
      <c r="D574" s="21" t="s">
        <v>39</v>
      </c>
      <c r="E574" s="17" t="s">
        <v>272</v>
      </c>
      <c r="F574" s="18" t="s">
        <v>273</v>
      </c>
      <c r="G574" s="18" t="s">
        <v>220</v>
      </c>
      <c r="H574" s="24">
        <v>91650</v>
      </c>
      <c r="I574" s="24">
        <f>T_reg.root.SK[[#This Row],[Volume, kg]]/1000</f>
        <v>91.65</v>
      </c>
      <c r="J574" s="25">
        <v>0.18469999999999998</v>
      </c>
      <c r="K574" s="25">
        <f t="shared" si="8"/>
        <v>16927.754999999997</v>
      </c>
      <c r="L574" s="25">
        <v>3.54</v>
      </c>
      <c r="M574" s="24">
        <v>324070.5</v>
      </c>
      <c r="N574" s="25">
        <f>IFERROR(T_reg.root.SK[[#This Row],[Price]]/T_reg.root.SK[[#This Row],[Starch content]],"")</f>
        <v>19.166215484569577</v>
      </c>
    </row>
    <row r="575" spans="1:14">
      <c r="A575" s="21">
        <v>2023</v>
      </c>
      <c r="B575" s="21" t="s">
        <v>22</v>
      </c>
      <c r="C575" s="21" t="s">
        <v>1145</v>
      </c>
      <c r="D575" s="21" t="s">
        <v>35</v>
      </c>
      <c r="E575" s="17" t="s">
        <v>375</v>
      </c>
      <c r="F575" s="18" t="s">
        <v>376</v>
      </c>
      <c r="G575" s="18" t="s">
        <v>377</v>
      </c>
      <c r="H575" s="24">
        <v>20220</v>
      </c>
      <c r="I575" s="24">
        <f>T_reg.root.SK[[#This Row],[Volume, kg]]/1000</f>
        <v>20.22</v>
      </c>
      <c r="J575" s="25">
        <v>0.17850000000000002</v>
      </c>
      <c r="K575" s="25">
        <f t="shared" si="8"/>
        <v>3609.2700000000004</v>
      </c>
      <c r="L575" s="25">
        <v>2.65</v>
      </c>
      <c r="M575" s="24">
        <v>53583</v>
      </c>
      <c r="N575" s="25">
        <f>IFERROR(T_reg.root.SK[[#This Row],[Price]]/T_reg.root.SK[[#This Row],[Starch content]],"")</f>
        <v>14.845938375350137</v>
      </c>
    </row>
    <row r="576" spans="1:14">
      <c r="A576" s="21">
        <v>2023</v>
      </c>
      <c r="B576" s="21" t="s">
        <v>22</v>
      </c>
      <c r="C576" s="21" t="s">
        <v>1145</v>
      </c>
      <c r="D576" s="21" t="s">
        <v>39</v>
      </c>
      <c r="E576" s="17" t="s">
        <v>218</v>
      </c>
      <c r="F576" s="18" t="s">
        <v>219</v>
      </c>
      <c r="G576" s="18" t="s">
        <v>220</v>
      </c>
      <c r="H576" s="24">
        <v>98850</v>
      </c>
      <c r="I576" s="24">
        <f>T_reg.root.SK[[#This Row],[Volume, kg]]/1000</f>
        <v>98.85</v>
      </c>
      <c r="J576" s="25">
        <v>0.1832</v>
      </c>
      <c r="K576" s="25">
        <f t="shared" si="8"/>
        <v>18109.32</v>
      </c>
      <c r="L576" s="25">
        <v>3.51</v>
      </c>
      <c r="M576" s="24">
        <v>346634.5</v>
      </c>
      <c r="N576" s="25">
        <f>IFERROR(T_reg.root.SK[[#This Row],[Price]]/T_reg.root.SK[[#This Row],[Starch content]],"")</f>
        <v>19.159388646288207</v>
      </c>
    </row>
    <row r="577" spans="1:14">
      <c r="A577" s="21">
        <v>2023</v>
      </c>
      <c r="B577" s="21" t="s">
        <v>22</v>
      </c>
      <c r="C577" s="21" t="s">
        <v>1145</v>
      </c>
      <c r="D577" s="21" t="s">
        <v>39</v>
      </c>
      <c r="E577" s="17" t="s">
        <v>40</v>
      </c>
      <c r="F577" s="18" t="s">
        <v>41</v>
      </c>
      <c r="G577" s="18" t="s">
        <v>42</v>
      </c>
      <c r="H577" s="24">
        <v>781570</v>
      </c>
      <c r="I577" s="24">
        <f>T_reg.root.SK[[#This Row],[Volume, kg]]/1000</f>
        <v>781.57</v>
      </c>
      <c r="J577" s="25">
        <v>0.2311</v>
      </c>
      <c r="K577" s="25">
        <f t="shared" si="8"/>
        <v>180620.82699999999</v>
      </c>
      <c r="L577" s="25">
        <v>3.72</v>
      </c>
      <c r="M577" s="24">
        <v>2909878</v>
      </c>
      <c r="N577" s="25">
        <f>IFERROR(T_reg.root.SK[[#This Row],[Price]]/T_reg.root.SK[[#This Row],[Starch content]],"")</f>
        <v>16.09692773691043</v>
      </c>
    </row>
    <row r="578" spans="1:14">
      <c r="A578" s="21">
        <v>2023</v>
      </c>
      <c r="B578" s="21" t="s">
        <v>22</v>
      </c>
      <c r="C578" s="21" t="s">
        <v>1145</v>
      </c>
      <c r="D578" s="21" t="s">
        <v>35</v>
      </c>
      <c r="E578" s="17" t="s">
        <v>46</v>
      </c>
      <c r="F578" s="18" t="s">
        <v>47</v>
      </c>
      <c r="G578" s="18" t="s">
        <v>48</v>
      </c>
      <c r="H578" s="24">
        <v>98160</v>
      </c>
      <c r="I578" s="24">
        <f>T_reg.root.SK[[#This Row],[Volume, kg]]/1000</f>
        <v>98.16</v>
      </c>
      <c r="J578" s="25">
        <v>0.25379999999999997</v>
      </c>
      <c r="K578" s="25">
        <f t="shared" si="8"/>
        <v>24913.007999999998</v>
      </c>
      <c r="L578" s="25">
        <v>3.98</v>
      </c>
      <c r="M578" s="24">
        <v>390280.5</v>
      </c>
      <c r="N578" s="25">
        <f>IFERROR(T_reg.root.SK[[#This Row],[Price]]/T_reg.root.SK[[#This Row],[Starch content]],"")</f>
        <v>15.681639085894407</v>
      </c>
    </row>
    <row r="579" spans="1:14">
      <c r="A579" s="21">
        <v>2023</v>
      </c>
      <c r="B579" s="21" t="s">
        <v>22</v>
      </c>
      <c r="C579" s="21" t="s">
        <v>1145</v>
      </c>
      <c r="D579" s="21" t="s">
        <v>35</v>
      </c>
      <c r="E579" s="17" t="s">
        <v>50</v>
      </c>
      <c r="F579" s="18" t="s">
        <v>47</v>
      </c>
      <c r="G579" s="18" t="s">
        <v>48</v>
      </c>
      <c r="H579" s="24">
        <v>8810</v>
      </c>
      <c r="I579" s="24">
        <f>T_reg.root.SK[[#This Row],[Volume, kg]]/1000</f>
        <v>8.81</v>
      </c>
      <c r="J579" s="25">
        <v>0.23469999999999999</v>
      </c>
      <c r="K579" s="25">
        <f t="shared" ref="K579:K642" si="9">H579*J579</f>
        <v>2067.7069999999999</v>
      </c>
      <c r="L579" s="25">
        <v>3.97</v>
      </c>
      <c r="M579" s="24">
        <v>35001.5</v>
      </c>
      <c r="N579" s="25">
        <f>IFERROR(T_reg.root.SK[[#This Row],[Price]]/T_reg.root.SK[[#This Row],[Starch content]],"")</f>
        <v>16.915210907541542</v>
      </c>
    </row>
    <row r="580" spans="1:14">
      <c r="A580" s="21">
        <v>2023</v>
      </c>
      <c r="B580" s="21" t="s">
        <v>22</v>
      </c>
      <c r="C580" s="21" t="s">
        <v>1145</v>
      </c>
      <c r="D580" s="21" t="s">
        <v>35</v>
      </c>
      <c r="E580" s="17" t="s">
        <v>78</v>
      </c>
      <c r="F580" s="18" t="s">
        <v>47</v>
      </c>
      <c r="G580" s="18" t="s">
        <v>48</v>
      </c>
      <c r="H580" s="24">
        <v>23950</v>
      </c>
      <c r="I580" s="24">
        <f>T_reg.root.SK[[#This Row],[Volume, kg]]/1000</f>
        <v>23.95</v>
      </c>
      <c r="J580" s="25">
        <v>0.18539999999999998</v>
      </c>
      <c r="K580" s="25">
        <f t="shared" si="9"/>
        <v>4440.33</v>
      </c>
      <c r="L580" s="25">
        <v>3.67</v>
      </c>
      <c r="M580" s="24">
        <v>87985</v>
      </c>
      <c r="N580" s="25">
        <f>IFERROR(T_reg.root.SK[[#This Row],[Price]]/T_reg.root.SK[[#This Row],[Starch content]],"")</f>
        <v>19.795037756202806</v>
      </c>
    </row>
    <row r="581" spans="1:14">
      <c r="A581" s="21">
        <v>2023</v>
      </c>
      <c r="B581" s="21" t="s">
        <v>22</v>
      </c>
      <c r="C581" s="21" t="s">
        <v>1145</v>
      </c>
      <c r="D581" s="21" t="s">
        <v>35</v>
      </c>
      <c r="E581" s="17" t="s">
        <v>378</v>
      </c>
      <c r="F581" s="18" t="s">
        <v>47</v>
      </c>
      <c r="G581" s="18" t="s">
        <v>48</v>
      </c>
      <c r="H581" s="24">
        <v>69980</v>
      </c>
      <c r="I581" s="24">
        <f>T_reg.root.SK[[#This Row],[Volume, kg]]/1000</f>
        <v>69.98</v>
      </c>
      <c r="J581" s="25">
        <v>0.2414</v>
      </c>
      <c r="K581" s="25">
        <f t="shared" si="9"/>
        <v>16893.171999999999</v>
      </c>
      <c r="L581" s="25">
        <v>3.94</v>
      </c>
      <c r="M581" s="24">
        <v>275532.5</v>
      </c>
      <c r="N581" s="25">
        <f>IFERROR(T_reg.root.SK[[#This Row],[Price]]/T_reg.root.SK[[#This Row],[Starch content]],"")</f>
        <v>16.32145816072908</v>
      </c>
    </row>
    <row r="582" spans="1:14">
      <c r="A582" s="21">
        <v>2023</v>
      </c>
      <c r="B582" s="21" t="s">
        <v>22</v>
      </c>
      <c r="C582" s="21" t="s">
        <v>1145</v>
      </c>
      <c r="D582" s="21" t="s">
        <v>35</v>
      </c>
      <c r="E582" s="17" t="s">
        <v>379</v>
      </c>
      <c r="F582" s="18" t="s">
        <v>47</v>
      </c>
      <c r="G582" s="18" t="s">
        <v>48</v>
      </c>
      <c r="H582" s="24">
        <v>12930</v>
      </c>
      <c r="I582" s="24">
        <f>T_reg.root.SK[[#This Row],[Volume, kg]]/1000</f>
        <v>12.93</v>
      </c>
      <c r="J582" s="25">
        <v>0.2069</v>
      </c>
      <c r="K582" s="25">
        <f t="shared" si="9"/>
        <v>2675.2170000000001</v>
      </c>
      <c r="L582" s="25">
        <v>3.68</v>
      </c>
      <c r="M582" s="24">
        <v>47534.5</v>
      </c>
      <c r="N582" s="25">
        <f>IFERROR(T_reg.root.SK[[#This Row],[Price]]/T_reg.root.SK[[#This Row],[Starch content]],"")</f>
        <v>17.78637022716288</v>
      </c>
    </row>
    <row r="583" spans="1:14">
      <c r="A583" s="21">
        <v>2023</v>
      </c>
      <c r="B583" s="21" t="s">
        <v>22</v>
      </c>
      <c r="C583" s="21" t="s">
        <v>1145</v>
      </c>
      <c r="D583" s="21" t="s">
        <v>35</v>
      </c>
      <c r="E583" s="17" t="s">
        <v>339</v>
      </c>
      <c r="F583" s="18" t="s">
        <v>47</v>
      </c>
      <c r="G583" s="18" t="s">
        <v>48</v>
      </c>
      <c r="H583" s="24">
        <v>30680</v>
      </c>
      <c r="I583" s="24">
        <f>T_reg.root.SK[[#This Row],[Volume, kg]]/1000</f>
        <v>30.68</v>
      </c>
      <c r="J583" s="25">
        <v>0.16889999999999999</v>
      </c>
      <c r="K583" s="25">
        <f t="shared" si="9"/>
        <v>5181.8519999999999</v>
      </c>
      <c r="L583" s="25">
        <v>3.57</v>
      </c>
      <c r="M583" s="24">
        <v>109646</v>
      </c>
      <c r="N583" s="25">
        <f>IFERROR(T_reg.root.SK[[#This Row],[Price]]/T_reg.root.SK[[#This Row],[Starch content]],"")</f>
        <v>21.136767317939608</v>
      </c>
    </row>
    <row r="584" spans="1:14">
      <c r="A584" s="21">
        <v>2023</v>
      </c>
      <c r="B584" s="21" t="s">
        <v>22</v>
      </c>
      <c r="C584" s="21" t="s">
        <v>1145</v>
      </c>
      <c r="D584" s="21" t="s">
        <v>35</v>
      </c>
      <c r="E584" s="17" t="s">
        <v>66</v>
      </c>
      <c r="F584" s="18" t="s">
        <v>47</v>
      </c>
      <c r="G584" s="18" t="s">
        <v>48</v>
      </c>
      <c r="H584" s="24">
        <v>18790</v>
      </c>
      <c r="I584" s="24">
        <f>T_reg.root.SK[[#This Row],[Volume, kg]]/1000</f>
        <v>18.79</v>
      </c>
      <c r="J584" s="25">
        <v>0.16140000000000002</v>
      </c>
      <c r="K584" s="25">
        <f t="shared" si="9"/>
        <v>3032.7060000000001</v>
      </c>
      <c r="L584" s="25">
        <v>3.38</v>
      </c>
      <c r="M584" s="24">
        <v>63535.5</v>
      </c>
      <c r="N584" s="25">
        <f>IFERROR(T_reg.root.SK[[#This Row],[Price]]/T_reg.root.SK[[#This Row],[Starch content]],"")</f>
        <v>20.941759603469638</v>
      </c>
    </row>
    <row r="585" spans="1:14">
      <c r="A585" s="21">
        <v>2023</v>
      </c>
      <c r="B585" s="21" t="s">
        <v>22</v>
      </c>
      <c r="C585" s="21" t="s">
        <v>1145</v>
      </c>
      <c r="D585" s="21" t="s">
        <v>35</v>
      </c>
      <c r="E585" s="17" t="s">
        <v>380</v>
      </c>
      <c r="F585" s="18" t="s">
        <v>47</v>
      </c>
      <c r="G585" s="18" t="s">
        <v>48</v>
      </c>
      <c r="H585" s="24">
        <v>0</v>
      </c>
      <c r="I585" s="24">
        <f>T_reg.root.SK[[#This Row],[Volume, kg]]/1000</f>
        <v>0</v>
      </c>
      <c r="J585" s="25">
        <v>0</v>
      </c>
      <c r="K585" s="25">
        <f t="shared" si="9"/>
        <v>0</v>
      </c>
      <c r="L585" s="25">
        <v>0</v>
      </c>
      <c r="M585" s="24">
        <v>0</v>
      </c>
      <c r="N585" s="25" t="str">
        <f>IFERROR(T_reg.root.SK[[#This Row],[Price]]/T_reg.root.SK[[#This Row],[Starch content]],"")</f>
        <v/>
      </c>
    </row>
    <row r="586" spans="1:14">
      <c r="A586" s="21">
        <v>2023</v>
      </c>
      <c r="B586" s="21" t="s">
        <v>22</v>
      </c>
      <c r="C586" s="21" t="s">
        <v>1145</v>
      </c>
      <c r="D586" s="21" t="s">
        <v>35</v>
      </c>
      <c r="E586" s="17" t="s">
        <v>341</v>
      </c>
      <c r="F586" s="18" t="s">
        <v>47</v>
      </c>
      <c r="G586" s="18" t="s">
        <v>48</v>
      </c>
      <c r="H586" s="24">
        <v>103740</v>
      </c>
      <c r="I586" s="24">
        <f>T_reg.root.SK[[#This Row],[Volume, kg]]/1000</f>
        <v>103.74</v>
      </c>
      <c r="J586" s="25">
        <v>0.19030000000000002</v>
      </c>
      <c r="K586" s="25">
        <f t="shared" si="9"/>
        <v>19741.722000000002</v>
      </c>
      <c r="L586" s="25">
        <v>3.58</v>
      </c>
      <c r="M586" s="24">
        <v>371575.5</v>
      </c>
      <c r="N586" s="25">
        <f>IFERROR(T_reg.root.SK[[#This Row],[Price]]/T_reg.root.SK[[#This Row],[Starch content]],"")</f>
        <v>18.812401471361007</v>
      </c>
    </row>
    <row r="587" spans="1:14">
      <c r="A587" s="21">
        <v>2023</v>
      </c>
      <c r="B587" s="21" t="s">
        <v>22</v>
      </c>
      <c r="C587" s="21" t="s">
        <v>1145</v>
      </c>
      <c r="D587" s="21" t="s">
        <v>35</v>
      </c>
      <c r="E587" s="17" t="s">
        <v>69</v>
      </c>
      <c r="F587" s="18" t="s">
        <v>47</v>
      </c>
      <c r="G587" s="18" t="s">
        <v>48</v>
      </c>
      <c r="H587" s="24">
        <v>4680</v>
      </c>
      <c r="I587" s="24">
        <f>T_reg.root.SK[[#This Row],[Volume, kg]]/1000</f>
        <v>4.68</v>
      </c>
      <c r="J587" s="25">
        <v>0.19500000000000001</v>
      </c>
      <c r="K587" s="25">
        <f t="shared" si="9"/>
        <v>912.6</v>
      </c>
      <c r="L587" s="25">
        <v>3.65</v>
      </c>
      <c r="M587" s="24">
        <v>17082</v>
      </c>
      <c r="N587" s="25">
        <f>IFERROR(T_reg.root.SK[[#This Row],[Price]]/T_reg.root.SK[[#This Row],[Starch content]],"")</f>
        <v>18.717948717948715</v>
      </c>
    </row>
    <row r="588" spans="1:14">
      <c r="A588" s="21">
        <v>2023</v>
      </c>
      <c r="B588" s="21" t="s">
        <v>22</v>
      </c>
      <c r="C588" s="21" t="s">
        <v>1145</v>
      </c>
      <c r="D588" s="21" t="s">
        <v>35</v>
      </c>
      <c r="E588" s="17" t="s">
        <v>381</v>
      </c>
      <c r="F588" s="18" t="s">
        <v>47</v>
      </c>
      <c r="G588" s="18" t="s">
        <v>48</v>
      </c>
      <c r="H588" s="24">
        <v>3130</v>
      </c>
      <c r="I588" s="24">
        <f>T_reg.root.SK[[#This Row],[Volume, kg]]/1000</f>
        <v>3.13</v>
      </c>
      <c r="J588" s="25">
        <v>0.16350000000000001</v>
      </c>
      <c r="K588" s="25">
        <f t="shared" si="9"/>
        <v>511.755</v>
      </c>
      <c r="L588" s="25">
        <v>3.5</v>
      </c>
      <c r="M588" s="24">
        <v>10955</v>
      </c>
      <c r="N588" s="25">
        <f>IFERROR(T_reg.root.SK[[#This Row],[Price]]/T_reg.root.SK[[#This Row],[Starch content]],"")</f>
        <v>21.406727828746178</v>
      </c>
    </row>
    <row r="589" spans="1:14">
      <c r="A589" s="21">
        <v>2023</v>
      </c>
      <c r="B589" s="21" t="s">
        <v>22</v>
      </c>
      <c r="C589" s="21" t="s">
        <v>1145</v>
      </c>
      <c r="D589" s="21" t="s">
        <v>35</v>
      </c>
      <c r="E589" s="17" t="s">
        <v>73</v>
      </c>
      <c r="F589" s="18" t="s">
        <v>47</v>
      </c>
      <c r="G589" s="18" t="s">
        <v>48</v>
      </c>
      <c r="H589" s="24">
        <v>1460</v>
      </c>
      <c r="I589" s="24">
        <f>T_reg.root.SK[[#This Row],[Volume, kg]]/1000</f>
        <v>1.46</v>
      </c>
      <c r="J589" s="25">
        <v>0.17449999999999999</v>
      </c>
      <c r="K589" s="25">
        <f t="shared" si="9"/>
        <v>254.76999999999998</v>
      </c>
      <c r="L589" s="25">
        <v>3.4</v>
      </c>
      <c r="M589" s="24">
        <v>4964</v>
      </c>
      <c r="N589" s="25">
        <f>IFERROR(T_reg.root.SK[[#This Row],[Price]]/T_reg.root.SK[[#This Row],[Starch content]],"")</f>
        <v>19.484240687679083</v>
      </c>
    </row>
    <row r="590" spans="1:14">
      <c r="A590" s="21">
        <v>2023</v>
      </c>
      <c r="B590" s="21" t="s">
        <v>22</v>
      </c>
      <c r="C590" s="21" t="s">
        <v>1145</v>
      </c>
      <c r="D590" s="21" t="s">
        <v>35</v>
      </c>
      <c r="E590" s="17" t="s">
        <v>382</v>
      </c>
      <c r="F590" s="18" t="s">
        <v>47</v>
      </c>
      <c r="G590" s="18" t="s">
        <v>48</v>
      </c>
      <c r="H590" s="24">
        <v>7150</v>
      </c>
      <c r="I590" s="24">
        <f>T_reg.root.SK[[#This Row],[Volume, kg]]/1000</f>
        <v>7.15</v>
      </c>
      <c r="J590" s="25">
        <v>0.19879999999999998</v>
      </c>
      <c r="K590" s="25">
        <f t="shared" si="9"/>
        <v>1421.4199999999998</v>
      </c>
      <c r="L590" s="25">
        <v>3.48</v>
      </c>
      <c r="M590" s="24">
        <v>24860</v>
      </c>
      <c r="N590" s="25">
        <f>IFERROR(T_reg.root.SK[[#This Row],[Price]]/T_reg.root.SK[[#This Row],[Starch content]],"")</f>
        <v>17.505030181086521</v>
      </c>
    </row>
    <row r="591" spans="1:14">
      <c r="A591" s="21">
        <v>2023</v>
      </c>
      <c r="B591" s="21" t="s">
        <v>22</v>
      </c>
      <c r="C591" s="21" t="s">
        <v>1145</v>
      </c>
      <c r="D591" s="21" t="s">
        <v>35</v>
      </c>
      <c r="E591" s="17" t="s">
        <v>77</v>
      </c>
      <c r="F591" s="18" t="s">
        <v>47</v>
      </c>
      <c r="G591" s="18" t="s">
        <v>48</v>
      </c>
      <c r="H591" s="24">
        <v>12440</v>
      </c>
      <c r="I591" s="24">
        <f>T_reg.root.SK[[#This Row],[Volume, kg]]/1000</f>
        <v>12.44</v>
      </c>
      <c r="J591" s="25">
        <v>0.21510000000000001</v>
      </c>
      <c r="K591" s="25">
        <f t="shared" si="9"/>
        <v>2675.8440000000001</v>
      </c>
      <c r="L591" s="25">
        <v>3.72</v>
      </c>
      <c r="M591" s="24">
        <v>46288</v>
      </c>
      <c r="N591" s="25">
        <f>IFERROR(T_reg.root.SK[[#This Row],[Price]]/T_reg.root.SK[[#This Row],[Starch content]],"")</f>
        <v>17.294281729428175</v>
      </c>
    </row>
    <row r="592" spans="1:14">
      <c r="A592" s="21">
        <v>2023</v>
      </c>
      <c r="B592" s="21" t="s">
        <v>22</v>
      </c>
      <c r="C592" s="21" t="s">
        <v>1145</v>
      </c>
      <c r="D592" s="21" t="s">
        <v>35</v>
      </c>
      <c r="E592" s="17" t="s">
        <v>383</v>
      </c>
      <c r="F592" s="18" t="s">
        <v>47</v>
      </c>
      <c r="G592" s="18" t="s">
        <v>48</v>
      </c>
      <c r="H592" s="24">
        <v>2180</v>
      </c>
      <c r="I592" s="24">
        <f>T_reg.root.SK[[#This Row],[Volume, kg]]/1000</f>
        <v>2.1800000000000002</v>
      </c>
      <c r="J592" s="25">
        <v>0.159</v>
      </c>
      <c r="K592" s="25">
        <f t="shared" si="9"/>
        <v>346.62</v>
      </c>
      <c r="L592" s="25">
        <v>3.5</v>
      </c>
      <c r="M592" s="24">
        <v>7630</v>
      </c>
      <c r="N592" s="25">
        <f>IFERROR(T_reg.root.SK[[#This Row],[Price]]/T_reg.root.SK[[#This Row],[Starch content]],"")</f>
        <v>22.012578616352201</v>
      </c>
    </row>
    <row r="593" spans="1:14">
      <c r="A593" s="21">
        <v>2023</v>
      </c>
      <c r="B593" s="21" t="s">
        <v>22</v>
      </c>
      <c r="C593" s="21" t="s">
        <v>1145</v>
      </c>
      <c r="D593" s="21" t="s">
        <v>35</v>
      </c>
      <c r="E593" s="17" t="s">
        <v>384</v>
      </c>
      <c r="F593" s="18" t="s">
        <v>385</v>
      </c>
      <c r="G593" s="18" t="s">
        <v>377</v>
      </c>
      <c r="H593" s="24">
        <v>6950</v>
      </c>
      <c r="I593" s="24">
        <f>T_reg.root.SK[[#This Row],[Volume, kg]]/1000</f>
        <v>6.95</v>
      </c>
      <c r="J593" s="25">
        <v>0.18149999999999999</v>
      </c>
      <c r="K593" s="25">
        <f t="shared" si="9"/>
        <v>1261.425</v>
      </c>
      <c r="L593" s="25">
        <v>2.65</v>
      </c>
      <c r="M593" s="24">
        <v>18417.5</v>
      </c>
      <c r="N593" s="25">
        <f>IFERROR(T_reg.root.SK[[#This Row],[Price]]/T_reg.root.SK[[#This Row],[Starch content]],"")</f>
        <v>14.600550964187327</v>
      </c>
    </row>
    <row r="594" spans="1:14">
      <c r="A594" s="21">
        <v>2023</v>
      </c>
      <c r="B594" s="21" t="s">
        <v>22</v>
      </c>
      <c r="C594" s="21" t="s">
        <v>1145</v>
      </c>
      <c r="D594" s="21" t="s">
        <v>35</v>
      </c>
      <c r="E594" s="17" t="s">
        <v>386</v>
      </c>
      <c r="F594" s="18" t="s">
        <v>385</v>
      </c>
      <c r="G594" s="18" t="s">
        <v>377</v>
      </c>
      <c r="H594" s="24">
        <v>16900</v>
      </c>
      <c r="I594" s="24">
        <f>T_reg.root.SK[[#This Row],[Volume, kg]]/1000</f>
        <v>16.899999999999999</v>
      </c>
      <c r="J594" s="25">
        <v>0.17100000000000001</v>
      </c>
      <c r="K594" s="25">
        <f t="shared" si="9"/>
        <v>2889.9</v>
      </c>
      <c r="L594" s="25">
        <v>2.6</v>
      </c>
      <c r="M594" s="24">
        <v>46475</v>
      </c>
      <c r="N594" s="25">
        <f>IFERROR(T_reg.root.SK[[#This Row],[Price]]/T_reg.root.SK[[#This Row],[Starch content]],"")</f>
        <v>15.204678362573098</v>
      </c>
    </row>
    <row r="595" spans="1:14">
      <c r="A595" s="21">
        <v>2023</v>
      </c>
      <c r="B595" s="21" t="s">
        <v>22</v>
      </c>
      <c r="C595" s="21" t="s">
        <v>1145</v>
      </c>
      <c r="D595" s="21" t="s">
        <v>39</v>
      </c>
      <c r="E595" s="17" t="s">
        <v>387</v>
      </c>
      <c r="F595" s="18" t="s">
        <v>388</v>
      </c>
      <c r="G595" s="18" t="s">
        <v>103</v>
      </c>
      <c r="H595" s="24">
        <v>472280</v>
      </c>
      <c r="I595" s="24">
        <f>T_reg.root.SK[[#This Row],[Volume, kg]]/1000</f>
        <v>472.28</v>
      </c>
      <c r="J595" s="25">
        <v>0.2036</v>
      </c>
      <c r="K595" s="25">
        <f t="shared" si="9"/>
        <v>96156.207999999999</v>
      </c>
      <c r="L595" s="25">
        <v>3.61</v>
      </c>
      <c r="M595" s="24">
        <v>1705062</v>
      </c>
      <c r="N595" s="25">
        <f>IFERROR(T_reg.root.SK[[#This Row],[Price]]/T_reg.root.SK[[#This Row],[Starch content]],"")</f>
        <v>17.730844793713164</v>
      </c>
    </row>
    <row r="596" spans="1:14">
      <c r="A596" s="21">
        <v>2023</v>
      </c>
      <c r="B596" s="21" t="s">
        <v>22</v>
      </c>
      <c r="C596" s="21" t="s">
        <v>1145</v>
      </c>
      <c r="D596" s="21" t="s">
        <v>39</v>
      </c>
      <c r="E596" s="17" t="s">
        <v>85</v>
      </c>
      <c r="F596" s="18" t="s">
        <v>86</v>
      </c>
      <c r="G596" s="18" t="s">
        <v>87</v>
      </c>
      <c r="H596" s="24">
        <v>5382770</v>
      </c>
      <c r="I596" s="24">
        <f>T_reg.root.SK[[#This Row],[Volume, kg]]/1000</f>
        <v>5382.77</v>
      </c>
      <c r="J596" s="25">
        <v>0.20319999999999999</v>
      </c>
      <c r="K596" s="25">
        <f t="shared" si="9"/>
        <v>1093778.8640000001</v>
      </c>
      <c r="L596" s="25">
        <v>3.58</v>
      </c>
      <c r="M596" s="24">
        <v>19276178</v>
      </c>
      <c r="N596" s="25">
        <f>IFERROR(T_reg.root.SK[[#This Row],[Price]]/T_reg.root.SK[[#This Row],[Starch content]],"")</f>
        <v>17.618110236220474</v>
      </c>
    </row>
    <row r="597" spans="1:14">
      <c r="A597" s="21">
        <v>2023</v>
      </c>
      <c r="B597" s="21" t="s">
        <v>22</v>
      </c>
      <c r="C597" s="21" t="s">
        <v>1145</v>
      </c>
      <c r="D597" s="21" t="s">
        <v>39</v>
      </c>
      <c r="E597" s="17" t="s">
        <v>342</v>
      </c>
      <c r="F597" s="18" t="s">
        <v>343</v>
      </c>
      <c r="G597" s="18" t="s">
        <v>344</v>
      </c>
      <c r="H597" s="24">
        <v>117390</v>
      </c>
      <c r="I597" s="24">
        <f>T_reg.root.SK[[#This Row],[Volume, kg]]/1000</f>
        <v>117.39</v>
      </c>
      <c r="J597" s="25">
        <v>0.24329999999999999</v>
      </c>
      <c r="K597" s="25">
        <f t="shared" si="9"/>
        <v>28560.986999999997</v>
      </c>
      <c r="L597" s="25">
        <v>3.97</v>
      </c>
      <c r="M597" s="24">
        <v>465762</v>
      </c>
      <c r="N597" s="25">
        <f>IFERROR(T_reg.root.SK[[#This Row],[Price]]/T_reg.root.SK[[#This Row],[Starch content]],"")</f>
        <v>16.31730374023839</v>
      </c>
    </row>
    <row r="598" spans="1:14">
      <c r="A598" s="21">
        <v>2023</v>
      </c>
      <c r="B598" s="21" t="s">
        <v>22</v>
      </c>
      <c r="C598" s="21" t="s">
        <v>1145</v>
      </c>
      <c r="D598" s="21" t="s">
        <v>39</v>
      </c>
      <c r="E598" s="17" t="s">
        <v>88</v>
      </c>
      <c r="F598" s="18" t="s">
        <v>89</v>
      </c>
      <c r="G598" s="18" t="s">
        <v>90</v>
      </c>
      <c r="H598" s="24">
        <v>3628890</v>
      </c>
      <c r="I598" s="24">
        <f>T_reg.root.SK[[#This Row],[Volume, kg]]/1000</f>
        <v>3628.89</v>
      </c>
      <c r="J598" s="25">
        <v>0.19370000000000001</v>
      </c>
      <c r="K598" s="25">
        <f t="shared" si="9"/>
        <v>702915.99300000002</v>
      </c>
      <c r="L598" s="25">
        <v>3.5</v>
      </c>
      <c r="M598" s="24">
        <v>12695437</v>
      </c>
      <c r="N598" s="25">
        <f>IFERROR(T_reg.root.SK[[#This Row],[Price]]/T_reg.root.SK[[#This Row],[Starch content]],"")</f>
        <v>18.069179143004646</v>
      </c>
    </row>
    <row r="599" spans="1:14">
      <c r="A599" s="21">
        <v>2023</v>
      </c>
      <c r="B599" s="21" t="s">
        <v>22</v>
      </c>
      <c r="C599" s="21" t="s">
        <v>1145</v>
      </c>
      <c r="D599" s="21" t="s">
        <v>35</v>
      </c>
      <c r="E599" s="17" t="s">
        <v>389</v>
      </c>
      <c r="F599" s="18" t="s">
        <v>92</v>
      </c>
      <c r="G599" s="18" t="s">
        <v>48</v>
      </c>
      <c r="H599" s="24">
        <v>17290</v>
      </c>
      <c r="I599" s="24">
        <f>T_reg.root.SK[[#This Row],[Volume, kg]]/1000</f>
        <v>17.29</v>
      </c>
      <c r="J599" s="25">
        <v>0.2072</v>
      </c>
      <c r="K599" s="25">
        <f t="shared" si="9"/>
        <v>3582.4879999999998</v>
      </c>
      <c r="L599" s="25">
        <v>3.72</v>
      </c>
      <c r="M599" s="24">
        <v>64400</v>
      </c>
      <c r="N599" s="25">
        <f>IFERROR(T_reg.root.SK[[#This Row],[Price]]/T_reg.root.SK[[#This Row],[Starch content]],"")</f>
        <v>17.953667953667956</v>
      </c>
    </row>
    <row r="600" spans="1:14">
      <c r="A600" s="21">
        <v>2023</v>
      </c>
      <c r="B600" s="21" t="s">
        <v>22</v>
      </c>
      <c r="C600" s="21" t="s">
        <v>1145</v>
      </c>
      <c r="D600" s="21" t="s">
        <v>35</v>
      </c>
      <c r="E600" s="17" t="s">
        <v>275</v>
      </c>
      <c r="F600" s="18" t="s">
        <v>92</v>
      </c>
      <c r="G600" s="18" t="s">
        <v>48</v>
      </c>
      <c r="H600" s="24">
        <v>4440</v>
      </c>
      <c r="I600" s="24">
        <f>T_reg.root.SK[[#This Row],[Volume, kg]]/1000</f>
        <v>4.4400000000000004</v>
      </c>
      <c r="J600" s="25">
        <v>0.20899999999999999</v>
      </c>
      <c r="K600" s="25">
        <f t="shared" si="9"/>
        <v>927.95999999999992</v>
      </c>
      <c r="L600" s="25">
        <v>3.75</v>
      </c>
      <c r="M600" s="24">
        <v>16650</v>
      </c>
      <c r="N600" s="25">
        <f>IFERROR(T_reg.root.SK[[#This Row],[Price]]/T_reg.root.SK[[#This Row],[Starch content]],"")</f>
        <v>17.942583732057418</v>
      </c>
    </row>
    <row r="601" spans="1:14">
      <c r="A601" s="21">
        <v>2023</v>
      </c>
      <c r="B601" s="21" t="s">
        <v>22</v>
      </c>
      <c r="C601" s="21" t="s">
        <v>1145</v>
      </c>
      <c r="D601" s="21" t="s">
        <v>35</v>
      </c>
      <c r="E601" s="17" t="s">
        <v>390</v>
      </c>
      <c r="F601" s="18" t="s">
        <v>92</v>
      </c>
      <c r="G601" s="18" t="s">
        <v>48</v>
      </c>
      <c r="H601" s="24">
        <v>66810</v>
      </c>
      <c r="I601" s="24">
        <f>T_reg.root.SK[[#This Row],[Volume, kg]]/1000</f>
        <v>66.81</v>
      </c>
      <c r="J601" s="25">
        <v>0.22829999999999998</v>
      </c>
      <c r="K601" s="25">
        <f t="shared" si="9"/>
        <v>15252.722999999998</v>
      </c>
      <c r="L601" s="25">
        <v>3.8</v>
      </c>
      <c r="M601" s="24">
        <v>254074.5</v>
      </c>
      <c r="N601" s="25">
        <f>IFERROR(T_reg.root.SK[[#This Row],[Price]]/T_reg.root.SK[[#This Row],[Starch content]],"")</f>
        <v>16.644765659220326</v>
      </c>
    </row>
    <row r="602" spans="1:14">
      <c r="A602" s="21">
        <v>2023</v>
      </c>
      <c r="B602" s="21" t="s">
        <v>22</v>
      </c>
      <c r="C602" s="21" t="s">
        <v>1145</v>
      </c>
      <c r="D602" s="21" t="s">
        <v>39</v>
      </c>
      <c r="E602" s="17" t="s">
        <v>94</v>
      </c>
      <c r="F602" s="18" t="s">
        <v>95</v>
      </c>
      <c r="G602" s="18" t="s">
        <v>48</v>
      </c>
      <c r="H602" s="24">
        <v>7221840</v>
      </c>
      <c r="I602" s="24">
        <f>T_reg.root.SK[[#This Row],[Volume, kg]]/1000</f>
        <v>7221.84</v>
      </c>
      <c r="J602" s="25">
        <v>0.20679999999999998</v>
      </c>
      <c r="K602" s="25">
        <f t="shared" si="9"/>
        <v>1493476.5119999999</v>
      </c>
      <c r="L602" s="25">
        <v>3.61</v>
      </c>
      <c r="M602" s="24">
        <v>26084499.5</v>
      </c>
      <c r="N602" s="25">
        <f>IFERROR(T_reg.root.SK[[#This Row],[Price]]/T_reg.root.SK[[#This Row],[Starch content]],"")</f>
        <v>17.456479690522244</v>
      </c>
    </row>
    <row r="603" spans="1:14">
      <c r="A603" s="21">
        <v>2023</v>
      </c>
      <c r="B603" s="21" t="s">
        <v>22</v>
      </c>
      <c r="C603" s="21" t="s">
        <v>1145</v>
      </c>
      <c r="D603" s="21" t="s">
        <v>35</v>
      </c>
      <c r="E603" s="17" t="s">
        <v>391</v>
      </c>
      <c r="F603" s="18" t="s">
        <v>95</v>
      </c>
      <c r="G603" s="18" t="s">
        <v>48</v>
      </c>
      <c r="H603" s="24">
        <v>32450</v>
      </c>
      <c r="I603" s="24">
        <f>T_reg.root.SK[[#This Row],[Volume, kg]]/1000</f>
        <v>32.450000000000003</v>
      </c>
      <c r="J603" s="25">
        <v>0.20800000000000002</v>
      </c>
      <c r="K603" s="25">
        <f t="shared" si="9"/>
        <v>6749.6</v>
      </c>
      <c r="L603" s="25">
        <v>3.63</v>
      </c>
      <c r="M603" s="24">
        <v>117743.5</v>
      </c>
      <c r="N603" s="25">
        <f>IFERROR(T_reg.root.SK[[#This Row],[Price]]/T_reg.root.SK[[#This Row],[Starch content]],"")</f>
        <v>17.451923076923077</v>
      </c>
    </row>
    <row r="604" spans="1:14">
      <c r="A604" s="21">
        <v>2023</v>
      </c>
      <c r="B604" s="21" t="s">
        <v>22</v>
      </c>
      <c r="C604" s="21" t="s">
        <v>1145</v>
      </c>
      <c r="D604" s="21" t="s">
        <v>39</v>
      </c>
      <c r="E604" s="17" t="s">
        <v>98</v>
      </c>
      <c r="F604" s="18" t="s">
        <v>99</v>
      </c>
      <c r="G604" s="18" t="s">
        <v>42</v>
      </c>
      <c r="H604" s="24">
        <v>595320</v>
      </c>
      <c r="I604" s="24">
        <f>T_reg.root.SK[[#This Row],[Volume, kg]]/1000</f>
        <v>595.32000000000005</v>
      </c>
      <c r="J604" s="25">
        <v>0.2152</v>
      </c>
      <c r="K604" s="25">
        <f t="shared" si="9"/>
        <v>128112.864</v>
      </c>
      <c r="L604" s="25">
        <v>3.64</v>
      </c>
      <c r="M604" s="24">
        <v>2168555</v>
      </c>
      <c r="N604" s="25">
        <f>IFERROR(T_reg.root.SK[[#This Row],[Price]]/T_reg.root.SK[[#This Row],[Starch content]],"")</f>
        <v>16.914498141263941</v>
      </c>
    </row>
    <row r="605" spans="1:14">
      <c r="A605" s="21">
        <v>2023</v>
      </c>
      <c r="B605" s="21" t="s">
        <v>22</v>
      </c>
      <c r="C605" s="21" t="s">
        <v>1145</v>
      </c>
      <c r="D605" s="21" t="s">
        <v>39</v>
      </c>
      <c r="E605" s="17" t="s">
        <v>346</v>
      </c>
      <c r="F605" s="18" t="s">
        <v>99</v>
      </c>
      <c r="G605" s="18" t="s">
        <v>42</v>
      </c>
      <c r="H605" s="24">
        <v>3451640</v>
      </c>
      <c r="I605" s="24">
        <f>T_reg.root.SK[[#This Row],[Volume, kg]]/1000</f>
        <v>3451.64</v>
      </c>
      <c r="J605" s="25">
        <v>0.20050000000000001</v>
      </c>
      <c r="K605" s="25">
        <f t="shared" si="9"/>
        <v>692053.82000000007</v>
      </c>
      <c r="L605" s="25">
        <v>3.58</v>
      </c>
      <c r="M605" s="24">
        <v>12363445.5</v>
      </c>
      <c r="N605" s="25">
        <f>IFERROR(T_reg.root.SK[[#This Row],[Price]]/T_reg.root.SK[[#This Row],[Starch content]],"")</f>
        <v>17.855361596009974</v>
      </c>
    </row>
    <row r="606" spans="1:14">
      <c r="A606" s="21">
        <v>2023</v>
      </c>
      <c r="B606" s="21" t="s">
        <v>22</v>
      </c>
      <c r="C606" s="21" t="s">
        <v>1145</v>
      </c>
      <c r="D606" s="21" t="s">
        <v>35</v>
      </c>
      <c r="E606" s="17" t="s">
        <v>280</v>
      </c>
      <c r="F606" s="18" t="s">
        <v>281</v>
      </c>
      <c r="G606" s="18" t="s">
        <v>38</v>
      </c>
      <c r="H606" s="24">
        <v>14280</v>
      </c>
      <c r="I606" s="24">
        <f>T_reg.root.SK[[#This Row],[Volume, kg]]/1000</f>
        <v>14.28</v>
      </c>
      <c r="J606" s="25">
        <v>0.23199999999999998</v>
      </c>
      <c r="K606" s="25">
        <f t="shared" si="9"/>
        <v>3312.9599999999996</v>
      </c>
      <c r="L606" s="25">
        <v>3.57</v>
      </c>
      <c r="M606" s="24">
        <v>50914.5</v>
      </c>
      <c r="N606" s="25">
        <f>IFERROR(T_reg.root.SK[[#This Row],[Price]]/T_reg.root.SK[[#This Row],[Starch content]],"")</f>
        <v>15.38793103448276</v>
      </c>
    </row>
    <row r="607" spans="1:14">
      <c r="A607" s="21">
        <v>2023</v>
      </c>
      <c r="B607" s="21" t="s">
        <v>22</v>
      </c>
      <c r="C607" s="21" t="s">
        <v>1145</v>
      </c>
      <c r="D607" s="21" t="s">
        <v>35</v>
      </c>
      <c r="E607" s="17" t="s">
        <v>392</v>
      </c>
      <c r="F607" s="18" t="s">
        <v>393</v>
      </c>
      <c r="G607" s="18" t="s">
        <v>377</v>
      </c>
      <c r="H607" s="24">
        <v>2920</v>
      </c>
      <c r="I607" s="24">
        <f>T_reg.root.SK[[#This Row],[Volume, kg]]/1000</f>
        <v>2.92</v>
      </c>
      <c r="J607" s="25">
        <v>0.20987157534246578</v>
      </c>
      <c r="K607" s="25">
        <f t="shared" si="9"/>
        <v>612.82500000000005</v>
      </c>
      <c r="L607" s="25">
        <v>2.8001712328767123</v>
      </c>
      <c r="M607" s="24">
        <v>8176.5</v>
      </c>
      <c r="N607" s="25">
        <f>IFERROR(T_reg.root.SK[[#This Row],[Price]]/T_reg.root.SK[[#This Row],[Starch content]],"")</f>
        <v>13.342308163015542</v>
      </c>
    </row>
    <row r="608" spans="1:14">
      <c r="A608" s="21">
        <v>2023</v>
      </c>
      <c r="B608" s="21" t="s">
        <v>22</v>
      </c>
      <c r="C608" s="21" t="s">
        <v>1145</v>
      </c>
      <c r="D608" s="21" t="s">
        <v>35</v>
      </c>
      <c r="E608" s="17" t="s">
        <v>394</v>
      </c>
      <c r="F608" s="18" t="s">
        <v>393</v>
      </c>
      <c r="G608" s="18" t="s">
        <v>377</v>
      </c>
      <c r="H608" s="24">
        <v>54670</v>
      </c>
      <c r="I608" s="24">
        <f>T_reg.root.SK[[#This Row],[Volume, kg]]/1000</f>
        <v>54.67</v>
      </c>
      <c r="J608" s="25">
        <v>0.17100000000000001</v>
      </c>
      <c r="K608" s="25">
        <f t="shared" si="9"/>
        <v>9348.5700000000015</v>
      </c>
      <c r="L608" s="25">
        <v>2.6</v>
      </c>
      <c r="M608" s="24">
        <v>149788</v>
      </c>
      <c r="N608" s="25">
        <f>IFERROR(T_reg.root.SK[[#This Row],[Price]]/T_reg.root.SK[[#This Row],[Starch content]],"")</f>
        <v>15.204678362573098</v>
      </c>
    </row>
    <row r="609" spans="1:14">
      <c r="A609" s="21">
        <v>2023</v>
      </c>
      <c r="B609" s="21" t="s">
        <v>22</v>
      </c>
      <c r="C609" s="21" t="s">
        <v>1145</v>
      </c>
      <c r="D609" s="21" t="s">
        <v>39</v>
      </c>
      <c r="E609" s="17" t="s">
        <v>101</v>
      </c>
      <c r="F609" s="18" t="s">
        <v>102</v>
      </c>
      <c r="G609" s="18" t="s">
        <v>103</v>
      </c>
      <c r="H609" s="24">
        <v>0</v>
      </c>
      <c r="I609" s="24">
        <f>T_reg.root.SK[[#This Row],[Volume, kg]]/1000</f>
        <v>0</v>
      </c>
      <c r="J609" s="25">
        <v>0</v>
      </c>
      <c r="K609" s="25">
        <f t="shared" si="9"/>
        <v>0</v>
      </c>
      <c r="L609" s="25">
        <v>0</v>
      </c>
      <c r="M609" s="24">
        <v>0</v>
      </c>
      <c r="N609" s="25" t="str">
        <f>IFERROR(T_reg.root.SK[[#This Row],[Price]]/T_reg.root.SK[[#This Row],[Starch content]],"")</f>
        <v/>
      </c>
    </row>
    <row r="610" spans="1:14">
      <c r="A610" s="21">
        <v>2023</v>
      </c>
      <c r="B610" s="21" t="s">
        <v>22</v>
      </c>
      <c r="C610" s="21" t="s">
        <v>1145</v>
      </c>
      <c r="D610" s="21" t="s">
        <v>35</v>
      </c>
      <c r="E610" s="17" t="s">
        <v>395</v>
      </c>
      <c r="F610" s="18" t="s">
        <v>396</v>
      </c>
      <c r="G610" s="18" t="s">
        <v>377</v>
      </c>
      <c r="H610" s="24">
        <v>21290</v>
      </c>
      <c r="I610" s="24">
        <f>T_reg.root.SK[[#This Row],[Volume, kg]]/1000</f>
        <v>21.29</v>
      </c>
      <c r="J610" s="25">
        <v>0.18969304837952092</v>
      </c>
      <c r="K610" s="25">
        <f>H610*J610</f>
        <v>4038.5650000000005</v>
      </c>
      <c r="L610" s="25">
        <v>2.6861202442461249</v>
      </c>
      <c r="M610" s="24">
        <v>57187.5</v>
      </c>
      <c r="N610" s="25">
        <f>IFERROR(T_reg.root.SK[[#This Row],[Price]]/T_reg.root.SK[[#This Row],[Starch content]],"")</f>
        <v>14.160351510994621</v>
      </c>
    </row>
    <row r="611" spans="1:14">
      <c r="A611" s="21">
        <v>2023</v>
      </c>
      <c r="B611" s="21" t="s">
        <v>22</v>
      </c>
      <c r="C611" s="21" t="s">
        <v>1145</v>
      </c>
      <c r="D611" s="21" t="s">
        <v>39</v>
      </c>
      <c r="E611" s="17" t="s">
        <v>284</v>
      </c>
      <c r="F611" s="18" t="s">
        <v>285</v>
      </c>
      <c r="G611" s="18" t="s">
        <v>286</v>
      </c>
      <c r="H611" s="24">
        <v>924590</v>
      </c>
      <c r="I611" s="24">
        <f>T_reg.root.SK[[#This Row],[Volume, kg]]/1000</f>
        <v>924.59</v>
      </c>
      <c r="J611" s="25">
        <v>0.21190000000000001</v>
      </c>
      <c r="K611" s="25">
        <f t="shared" si="9"/>
        <v>195920.62100000001</v>
      </c>
      <c r="L611" s="25">
        <v>3.76</v>
      </c>
      <c r="M611" s="24">
        <v>3477358.5</v>
      </c>
      <c r="N611" s="25">
        <f>IFERROR(T_reg.root.SK[[#This Row],[Price]]/T_reg.root.SK[[#This Row],[Starch content]],"")</f>
        <v>17.744218971212835</v>
      </c>
    </row>
    <row r="612" spans="1:14">
      <c r="A612" s="21">
        <v>2023</v>
      </c>
      <c r="B612" s="21" t="s">
        <v>22</v>
      </c>
      <c r="C612" s="21" t="s">
        <v>1145</v>
      </c>
      <c r="D612" s="21" t="s">
        <v>39</v>
      </c>
      <c r="E612" s="17" t="s">
        <v>347</v>
      </c>
      <c r="F612" s="18" t="s">
        <v>1146</v>
      </c>
      <c r="G612" s="18" t="s">
        <v>103</v>
      </c>
      <c r="H612" s="24">
        <v>823590</v>
      </c>
      <c r="I612" s="24">
        <f>T_reg.root.SK[[#This Row],[Volume, kg]]/1000</f>
        <v>823.59</v>
      </c>
      <c r="J612" s="25">
        <v>0.2011</v>
      </c>
      <c r="K612" s="25">
        <f t="shared" si="9"/>
        <v>165623.94899999999</v>
      </c>
      <c r="L612" s="25">
        <v>3.61</v>
      </c>
      <c r="M612" s="24">
        <v>2972281</v>
      </c>
      <c r="N612" s="25">
        <f>IFERROR(T_reg.root.SK[[#This Row],[Price]]/T_reg.root.SK[[#This Row],[Starch content]],"")</f>
        <v>17.951268025857782</v>
      </c>
    </row>
    <row r="613" spans="1:14">
      <c r="A613" s="21">
        <v>2023</v>
      </c>
      <c r="B613" s="21" t="s">
        <v>22</v>
      </c>
      <c r="C613" s="21" t="s">
        <v>1145</v>
      </c>
      <c r="D613" s="21" t="s">
        <v>35</v>
      </c>
      <c r="E613" s="17" t="s">
        <v>397</v>
      </c>
      <c r="F613" s="18" t="s">
        <v>398</v>
      </c>
      <c r="G613" s="18" t="s">
        <v>377</v>
      </c>
      <c r="H613" s="24">
        <v>3580</v>
      </c>
      <c r="I613" s="24">
        <f>T_reg.root.SK[[#This Row],[Volume, kg]]/1000</f>
        <v>3.58</v>
      </c>
      <c r="J613" s="25">
        <v>0.2155</v>
      </c>
      <c r="K613" s="25">
        <f t="shared" si="9"/>
        <v>771.49</v>
      </c>
      <c r="L613" s="25">
        <v>2.85</v>
      </c>
      <c r="M613" s="24">
        <v>10203</v>
      </c>
      <c r="N613" s="25">
        <f>IFERROR(T_reg.root.SK[[#This Row],[Price]]/T_reg.root.SK[[#This Row],[Starch content]],"")</f>
        <v>13.225058004640372</v>
      </c>
    </row>
    <row r="614" spans="1:14">
      <c r="A614" s="21">
        <v>2023</v>
      </c>
      <c r="B614" s="21" t="s">
        <v>22</v>
      </c>
      <c r="C614" s="21" t="s">
        <v>1145</v>
      </c>
      <c r="D614" s="21" t="s">
        <v>35</v>
      </c>
      <c r="E614" s="17" t="s">
        <v>399</v>
      </c>
      <c r="F614" s="18" t="s">
        <v>400</v>
      </c>
      <c r="G614" s="18" t="s">
        <v>377</v>
      </c>
      <c r="H614" s="24">
        <v>38330</v>
      </c>
      <c r="I614" s="24">
        <f>T_reg.root.SK[[#This Row],[Volume, kg]]/1000</f>
        <v>38.33</v>
      </c>
      <c r="J614" s="25">
        <v>0.17100000000000001</v>
      </c>
      <c r="K614" s="25">
        <f t="shared" si="9"/>
        <v>6554.43</v>
      </c>
      <c r="L614" s="25">
        <v>2.6</v>
      </c>
      <c r="M614" s="24">
        <v>101485</v>
      </c>
      <c r="N614" s="25">
        <f>IFERROR(T_reg.root.SK[[#This Row],[Price]]/T_reg.root.SK[[#This Row],[Starch content]],"")</f>
        <v>15.204678362573098</v>
      </c>
    </row>
    <row r="615" spans="1:14">
      <c r="A615" s="21">
        <v>2023</v>
      </c>
      <c r="B615" s="21" t="s">
        <v>22</v>
      </c>
      <c r="C615" s="21" t="s">
        <v>1145</v>
      </c>
      <c r="D615" s="21" t="s">
        <v>35</v>
      </c>
      <c r="E615" s="17" t="s">
        <v>349</v>
      </c>
      <c r="F615" s="18" t="s">
        <v>105</v>
      </c>
      <c r="G615" s="18" t="s">
        <v>48</v>
      </c>
      <c r="H615" s="24">
        <v>53260</v>
      </c>
      <c r="I615" s="24">
        <f>T_reg.root.SK[[#This Row],[Volume, kg]]/1000</f>
        <v>53.26</v>
      </c>
      <c r="J615" s="25">
        <v>0.2457</v>
      </c>
      <c r="K615" s="25">
        <f t="shared" si="9"/>
        <v>13085.982</v>
      </c>
      <c r="L615" s="25">
        <v>3.74</v>
      </c>
      <c r="M615" s="24">
        <v>199224.5</v>
      </c>
      <c r="N615" s="25">
        <f>IFERROR(T_reg.root.SK[[#This Row],[Price]]/T_reg.root.SK[[#This Row],[Starch content]],"")</f>
        <v>15.221815221815223</v>
      </c>
    </row>
    <row r="616" spans="1:14">
      <c r="A616" s="21">
        <v>2023</v>
      </c>
      <c r="B616" s="21" t="s">
        <v>22</v>
      </c>
      <c r="C616" s="21" t="s">
        <v>1145</v>
      </c>
      <c r="D616" s="21" t="s">
        <v>35</v>
      </c>
      <c r="E616" s="17" t="s">
        <v>107</v>
      </c>
      <c r="F616" s="18" t="s">
        <v>105</v>
      </c>
      <c r="G616" s="18" t="s">
        <v>48</v>
      </c>
      <c r="H616" s="24">
        <v>1650</v>
      </c>
      <c r="I616" s="24">
        <f>T_reg.root.SK[[#This Row],[Volume, kg]]/1000</f>
        <v>1.65</v>
      </c>
      <c r="J616" s="25">
        <v>0.26050000000000001</v>
      </c>
      <c r="K616" s="25">
        <f t="shared" si="9"/>
        <v>429.82499999999999</v>
      </c>
      <c r="L616" s="25">
        <v>4</v>
      </c>
      <c r="M616" s="24">
        <v>6600</v>
      </c>
      <c r="N616" s="25">
        <f>IFERROR(T_reg.root.SK[[#This Row],[Price]]/T_reg.root.SK[[#This Row],[Starch content]],"")</f>
        <v>15.355086372360844</v>
      </c>
    </row>
    <row r="617" spans="1:14">
      <c r="A617" s="21">
        <v>2023</v>
      </c>
      <c r="B617" s="21" t="s">
        <v>22</v>
      </c>
      <c r="C617" s="21" t="s">
        <v>1145</v>
      </c>
      <c r="D617" s="21" t="s">
        <v>35</v>
      </c>
      <c r="E617" s="17" t="s">
        <v>231</v>
      </c>
      <c r="F617" s="18" t="s">
        <v>105</v>
      </c>
      <c r="G617" s="18" t="s">
        <v>48</v>
      </c>
      <c r="H617" s="24">
        <v>8200</v>
      </c>
      <c r="I617" s="24">
        <f>T_reg.root.SK[[#This Row],[Volume, kg]]/1000</f>
        <v>8.1999999999999993</v>
      </c>
      <c r="J617" s="25">
        <v>0.22600000000000001</v>
      </c>
      <c r="K617" s="25">
        <f t="shared" si="9"/>
        <v>1853.2</v>
      </c>
      <c r="L617" s="25">
        <v>3.75</v>
      </c>
      <c r="M617" s="24">
        <v>30750</v>
      </c>
      <c r="N617" s="25">
        <f>IFERROR(T_reg.root.SK[[#This Row],[Price]]/T_reg.root.SK[[#This Row],[Starch content]],"")</f>
        <v>16.592920353982301</v>
      </c>
    </row>
    <row r="618" spans="1:14">
      <c r="A618" s="21">
        <v>2023</v>
      </c>
      <c r="B618" s="21" t="s">
        <v>22</v>
      </c>
      <c r="C618" s="21" t="s">
        <v>1145</v>
      </c>
      <c r="D618" s="21" t="s">
        <v>35</v>
      </c>
      <c r="E618" s="17" t="s">
        <v>108</v>
      </c>
      <c r="F618" s="18" t="s">
        <v>105</v>
      </c>
      <c r="G618" s="18" t="s">
        <v>48</v>
      </c>
      <c r="H618" s="24">
        <v>131600</v>
      </c>
      <c r="I618" s="24">
        <f>T_reg.root.SK[[#This Row],[Volume, kg]]/1000</f>
        <v>131.6</v>
      </c>
      <c r="J618" s="25">
        <v>0.23319999999999999</v>
      </c>
      <c r="K618" s="25">
        <f t="shared" si="9"/>
        <v>30689.119999999999</v>
      </c>
      <c r="L618" s="25">
        <v>3.74</v>
      </c>
      <c r="M618" s="24">
        <v>492286</v>
      </c>
      <c r="N618" s="25">
        <f>IFERROR(T_reg.root.SK[[#This Row],[Price]]/T_reg.root.SK[[#This Row],[Starch content]],"")</f>
        <v>16.037735849056606</v>
      </c>
    </row>
    <row r="619" spans="1:14">
      <c r="A619" s="21">
        <v>2023</v>
      </c>
      <c r="B619" s="21" t="s">
        <v>22</v>
      </c>
      <c r="C619" s="21" t="s">
        <v>1145</v>
      </c>
      <c r="D619" s="21" t="s">
        <v>35</v>
      </c>
      <c r="E619" s="17" t="s">
        <v>401</v>
      </c>
      <c r="F619" s="18" t="s">
        <v>105</v>
      </c>
      <c r="G619" s="18" t="s">
        <v>48</v>
      </c>
      <c r="H619" s="24">
        <v>18030</v>
      </c>
      <c r="I619" s="24">
        <f>T_reg.root.SK[[#This Row],[Volume, kg]]/1000</f>
        <v>18.03</v>
      </c>
      <c r="J619" s="25">
        <v>0.2225</v>
      </c>
      <c r="K619" s="25">
        <f t="shared" si="9"/>
        <v>4011.6750000000002</v>
      </c>
      <c r="L619" s="25">
        <v>3.65</v>
      </c>
      <c r="M619" s="24">
        <v>65809.5</v>
      </c>
      <c r="N619" s="25">
        <f>IFERROR(T_reg.root.SK[[#This Row],[Price]]/T_reg.root.SK[[#This Row],[Starch content]],"")</f>
        <v>16.40449438202247</v>
      </c>
    </row>
    <row r="620" spans="1:14">
      <c r="A620" s="21">
        <v>2023</v>
      </c>
      <c r="B620" s="21" t="s">
        <v>22</v>
      </c>
      <c r="C620" s="21" t="s">
        <v>1145</v>
      </c>
      <c r="D620" s="21" t="s">
        <v>35</v>
      </c>
      <c r="E620" s="17" t="s">
        <v>290</v>
      </c>
      <c r="F620" s="18" t="s">
        <v>105</v>
      </c>
      <c r="G620" s="18" t="s">
        <v>48</v>
      </c>
      <c r="H620" s="24">
        <v>1560</v>
      </c>
      <c r="I620" s="24">
        <f>T_reg.root.SK[[#This Row],[Volume, kg]]/1000</f>
        <v>1.56</v>
      </c>
      <c r="J620" s="25">
        <v>0.26100000000000001</v>
      </c>
      <c r="K620" s="25">
        <f t="shared" si="9"/>
        <v>407.16</v>
      </c>
      <c r="L620" s="25">
        <v>3.8</v>
      </c>
      <c r="M620" s="24">
        <v>5928</v>
      </c>
      <c r="N620" s="25">
        <f>IFERROR(T_reg.root.SK[[#This Row],[Price]]/T_reg.root.SK[[#This Row],[Starch content]],"")</f>
        <v>14.559386973180075</v>
      </c>
    </row>
    <row r="621" spans="1:14">
      <c r="A621" s="21">
        <v>2023</v>
      </c>
      <c r="B621" s="21" t="s">
        <v>22</v>
      </c>
      <c r="C621" s="21" t="s">
        <v>1145</v>
      </c>
      <c r="D621" s="21" t="s">
        <v>35</v>
      </c>
      <c r="E621" s="17" t="s">
        <v>350</v>
      </c>
      <c r="F621" s="18" t="s">
        <v>105</v>
      </c>
      <c r="G621" s="18" t="s">
        <v>48</v>
      </c>
      <c r="H621" s="24">
        <v>16800</v>
      </c>
      <c r="I621" s="24">
        <f>T_reg.root.SK[[#This Row],[Volume, kg]]/1000</f>
        <v>16.8</v>
      </c>
      <c r="J621" s="25">
        <v>0.25190000000000001</v>
      </c>
      <c r="K621" s="25">
        <f t="shared" si="9"/>
        <v>4231.92</v>
      </c>
      <c r="L621" s="25">
        <v>3.8</v>
      </c>
      <c r="M621" s="24">
        <v>63836</v>
      </c>
      <c r="N621" s="25">
        <f>IFERROR(T_reg.root.SK[[#This Row],[Price]]/T_reg.root.SK[[#This Row],[Starch content]],"")</f>
        <v>15.085351329892813</v>
      </c>
    </row>
    <row r="622" spans="1:14">
      <c r="A622" s="21">
        <v>2023</v>
      </c>
      <c r="B622" s="21" t="s">
        <v>22</v>
      </c>
      <c r="C622" s="21" t="s">
        <v>1145</v>
      </c>
      <c r="D622" s="21" t="s">
        <v>35</v>
      </c>
      <c r="E622" s="17" t="s">
        <v>402</v>
      </c>
      <c r="F622" s="18" t="s">
        <v>105</v>
      </c>
      <c r="G622" s="18" t="s">
        <v>48</v>
      </c>
      <c r="H622" s="24">
        <v>7730</v>
      </c>
      <c r="I622" s="24">
        <f>T_reg.root.SK[[#This Row],[Volume, kg]]/1000</f>
        <v>7.73</v>
      </c>
      <c r="J622" s="25">
        <v>0.22899999999999998</v>
      </c>
      <c r="K622" s="25">
        <f t="shared" si="9"/>
        <v>1770.1699999999998</v>
      </c>
      <c r="L622" s="25">
        <v>3.65</v>
      </c>
      <c r="M622" s="24">
        <v>28214.5</v>
      </c>
      <c r="N622" s="25">
        <f>IFERROR(T_reg.root.SK[[#This Row],[Price]]/T_reg.root.SK[[#This Row],[Starch content]],"")</f>
        <v>15.938864628820962</v>
      </c>
    </row>
    <row r="623" spans="1:14">
      <c r="A623" s="21">
        <v>2023</v>
      </c>
      <c r="B623" s="21" t="s">
        <v>22</v>
      </c>
      <c r="C623" s="21" t="s">
        <v>1145</v>
      </c>
      <c r="D623" s="21" t="s">
        <v>35</v>
      </c>
      <c r="E623" s="17" t="s">
        <v>403</v>
      </c>
      <c r="F623" s="18" t="s">
        <v>105</v>
      </c>
      <c r="G623" s="18" t="s">
        <v>48</v>
      </c>
      <c r="H623" s="24">
        <v>18670</v>
      </c>
      <c r="I623" s="24">
        <f>T_reg.root.SK[[#This Row],[Volume, kg]]/1000</f>
        <v>18.670000000000002</v>
      </c>
      <c r="J623" s="25">
        <v>0.2107</v>
      </c>
      <c r="K623" s="25">
        <f t="shared" si="9"/>
        <v>3933.7689999999998</v>
      </c>
      <c r="L623" s="25">
        <v>3.56</v>
      </c>
      <c r="M623" s="24">
        <v>66392</v>
      </c>
      <c r="N623" s="25">
        <f>IFERROR(T_reg.root.SK[[#This Row],[Price]]/T_reg.root.SK[[#This Row],[Starch content]],"")</f>
        <v>16.896060749881347</v>
      </c>
    </row>
    <row r="624" spans="1:14">
      <c r="A624" s="21">
        <v>2023</v>
      </c>
      <c r="B624" s="21" t="s">
        <v>22</v>
      </c>
      <c r="C624" s="21" t="s">
        <v>1145</v>
      </c>
      <c r="D624" s="21" t="s">
        <v>35</v>
      </c>
      <c r="E624" s="17" t="s">
        <v>354</v>
      </c>
      <c r="F624" s="18" t="s">
        <v>105</v>
      </c>
      <c r="G624" s="18" t="s">
        <v>48</v>
      </c>
      <c r="H624" s="24">
        <v>22280</v>
      </c>
      <c r="I624" s="24">
        <f>T_reg.root.SK[[#This Row],[Volume, kg]]/1000</f>
        <v>22.28</v>
      </c>
      <c r="J624" s="25">
        <v>0.2505</v>
      </c>
      <c r="K624" s="25">
        <f t="shared" si="9"/>
        <v>5581.14</v>
      </c>
      <c r="L624" s="25">
        <v>3.83</v>
      </c>
      <c r="M624" s="24">
        <v>85231.5</v>
      </c>
      <c r="N624" s="25">
        <f>IFERROR(T_reg.root.SK[[#This Row],[Price]]/T_reg.root.SK[[#This Row],[Starch content]],"")</f>
        <v>15.289421157684631</v>
      </c>
    </row>
    <row r="625" spans="1:14">
      <c r="A625" s="21">
        <v>2023</v>
      </c>
      <c r="B625" s="21" t="s">
        <v>22</v>
      </c>
      <c r="C625" s="21" t="s">
        <v>1145</v>
      </c>
      <c r="D625" s="21" t="s">
        <v>35</v>
      </c>
      <c r="E625" s="17" t="s">
        <v>115</v>
      </c>
      <c r="F625" s="18" t="s">
        <v>105</v>
      </c>
      <c r="G625" s="18" t="s">
        <v>48</v>
      </c>
      <c r="H625" s="24">
        <v>32010</v>
      </c>
      <c r="I625" s="24">
        <f>T_reg.root.SK[[#This Row],[Volume, kg]]/1000</f>
        <v>32.01</v>
      </c>
      <c r="J625" s="25">
        <v>0.22899999999999998</v>
      </c>
      <c r="K625" s="25">
        <f t="shared" si="9"/>
        <v>7330.2899999999991</v>
      </c>
      <c r="L625" s="25">
        <v>3.7</v>
      </c>
      <c r="M625" s="24">
        <v>118291</v>
      </c>
      <c r="N625" s="25">
        <f>IFERROR(T_reg.root.SK[[#This Row],[Price]]/T_reg.root.SK[[#This Row],[Starch content]],"")</f>
        <v>16.157205240174676</v>
      </c>
    </row>
    <row r="626" spans="1:14">
      <c r="A626" s="21">
        <v>2023</v>
      </c>
      <c r="B626" s="21" t="s">
        <v>22</v>
      </c>
      <c r="C626" s="21" t="s">
        <v>1145</v>
      </c>
      <c r="D626" s="21" t="s">
        <v>35</v>
      </c>
      <c r="E626" s="17" t="s">
        <v>296</v>
      </c>
      <c r="F626" s="18" t="s">
        <v>105</v>
      </c>
      <c r="G626" s="18" t="s">
        <v>48</v>
      </c>
      <c r="H626" s="24">
        <v>6320</v>
      </c>
      <c r="I626" s="24">
        <f>T_reg.root.SK[[#This Row],[Volume, kg]]/1000</f>
        <v>6.32</v>
      </c>
      <c r="J626" s="25">
        <v>0.19500000000000001</v>
      </c>
      <c r="K626" s="25">
        <f t="shared" si="9"/>
        <v>1232.4000000000001</v>
      </c>
      <c r="L626" s="25">
        <v>3.55</v>
      </c>
      <c r="M626" s="24">
        <v>22436</v>
      </c>
      <c r="N626" s="25">
        <f>IFERROR(T_reg.root.SK[[#This Row],[Price]]/T_reg.root.SK[[#This Row],[Starch content]],"")</f>
        <v>18.205128205128204</v>
      </c>
    </row>
    <row r="627" spans="1:14">
      <c r="A627" s="21">
        <v>2023</v>
      </c>
      <c r="B627" s="21" t="s">
        <v>22</v>
      </c>
      <c r="C627" s="21" t="s">
        <v>1145</v>
      </c>
      <c r="D627" s="21" t="s">
        <v>35</v>
      </c>
      <c r="E627" s="17" t="s">
        <v>118</v>
      </c>
      <c r="F627" s="18" t="s">
        <v>105</v>
      </c>
      <c r="G627" s="18" t="s">
        <v>48</v>
      </c>
      <c r="H627" s="24">
        <v>298360</v>
      </c>
      <c r="I627" s="24">
        <f>T_reg.root.SK[[#This Row],[Volume, kg]]/1000</f>
        <v>298.36</v>
      </c>
      <c r="J627" s="25">
        <v>0.21820000000000001</v>
      </c>
      <c r="K627" s="25">
        <f t="shared" si="9"/>
        <v>65102.152000000002</v>
      </c>
      <c r="L627" s="25">
        <v>3.67</v>
      </c>
      <c r="M627" s="24">
        <v>1095858.5</v>
      </c>
      <c r="N627" s="25">
        <f>IFERROR(T_reg.root.SK[[#This Row],[Price]]/T_reg.root.SK[[#This Row],[Starch content]],"")</f>
        <v>16.819431714023832</v>
      </c>
    </row>
    <row r="628" spans="1:14">
      <c r="A628" s="21">
        <v>2023</v>
      </c>
      <c r="B628" s="21" t="s">
        <v>22</v>
      </c>
      <c r="C628" s="21" t="s">
        <v>1145</v>
      </c>
      <c r="D628" s="21" t="s">
        <v>35</v>
      </c>
      <c r="E628" s="17" t="s">
        <v>121</v>
      </c>
      <c r="F628" s="18" t="s">
        <v>105</v>
      </c>
      <c r="G628" s="18" t="s">
        <v>48</v>
      </c>
      <c r="H628" s="24">
        <v>27080</v>
      </c>
      <c r="I628" s="24">
        <f>T_reg.root.SK[[#This Row],[Volume, kg]]/1000</f>
        <v>27.08</v>
      </c>
      <c r="J628" s="25">
        <v>0.182</v>
      </c>
      <c r="K628" s="25">
        <f t="shared" si="9"/>
        <v>4928.5599999999995</v>
      </c>
      <c r="L628" s="25">
        <v>3.38</v>
      </c>
      <c r="M628" s="24">
        <v>91426</v>
      </c>
      <c r="N628" s="25">
        <f>IFERROR(T_reg.root.SK[[#This Row],[Price]]/T_reg.root.SK[[#This Row],[Starch content]],"")</f>
        <v>18.571428571428573</v>
      </c>
    </row>
    <row r="629" spans="1:14">
      <c r="A629" s="21">
        <v>2023</v>
      </c>
      <c r="B629" s="21" t="s">
        <v>22</v>
      </c>
      <c r="C629" s="21" t="s">
        <v>1145</v>
      </c>
      <c r="D629" s="21" t="s">
        <v>35</v>
      </c>
      <c r="E629" s="17" t="s">
        <v>122</v>
      </c>
      <c r="F629" s="18" t="s">
        <v>105</v>
      </c>
      <c r="G629" s="18" t="s">
        <v>48</v>
      </c>
      <c r="H629" s="24">
        <v>33670</v>
      </c>
      <c r="I629" s="24">
        <f>T_reg.root.SK[[#This Row],[Volume, kg]]/1000</f>
        <v>33.67</v>
      </c>
      <c r="J629" s="25">
        <v>0.24</v>
      </c>
      <c r="K629" s="25">
        <f t="shared" si="9"/>
        <v>8080.7999999999993</v>
      </c>
      <c r="L629" s="25">
        <v>3.75</v>
      </c>
      <c r="M629" s="24">
        <v>126320</v>
      </c>
      <c r="N629" s="25">
        <f>IFERROR(T_reg.root.SK[[#This Row],[Price]]/T_reg.root.SK[[#This Row],[Starch content]],"")</f>
        <v>15.625</v>
      </c>
    </row>
    <row r="630" spans="1:14">
      <c r="A630" s="21">
        <v>2023</v>
      </c>
      <c r="B630" s="21" t="s">
        <v>22</v>
      </c>
      <c r="C630" s="21" t="s">
        <v>1145</v>
      </c>
      <c r="D630" s="21" t="s">
        <v>35</v>
      </c>
      <c r="E630" s="17" t="s">
        <v>355</v>
      </c>
      <c r="F630" s="18" t="s">
        <v>105</v>
      </c>
      <c r="G630" s="18" t="s">
        <v>48</v>
      </c>
      <c r="H630" s="24">
        <v>20410</v>
      </c>
      <c r="I630" s="24">
        <f>T_reg.root.SK[[#This Row],[Volume, kg]]/1000</f>
        <v>20.41</v>
      </c>
      <c r="J630" s="25">
        <v>0.26469999999999999</v>
      </c>
      <c r="K630" s="25">
        <f t="shared" si="9"/>
        <v>5402.527</v>
      </c>
      <c r="L630" s="25">
        <v>3.85</v>
      </c>
      <c r="M630" s="24">
        <v>78523</v>
      </c>
      <c r="N630" s="25">
        <f>IFERROR(T_reg.root.SK[[#This Row],[Price]]/T_reg.root.SK[[#This Row],[Starch content]],"")</f>
        <v>14.54476766150359</v>
      </c>
    </row>
    <row r="631" spans="1:14">
      <c r="A631" s="21">
        <v>2023</v>
      </c>
      <c r="B631" s="21" t="s">
        <v>22</v>
      </c>
      <c r="C631" s="21" t="s">
        <v>1145</v>
      </c>
      <c r="D631" s="21" t="s">
        <v>35</v>
      </c>
      <c r="E631" s="17" t="s">
        <v>239</v>
      </c>
      <c r="F631" s="18" t="s">
        <v>105</v>
      </c>
      <c r="G631" s="18" t="s">
        <v>48</v>
      </c>
      <c r="H631" s="24">
        <v>23180</v>
      </c>
      <c r="I631" s="24">
        <f>T_reg.root.SK[[#This Row],[Volume, kg]]/1000</f>
        <v>23.18</v>
      </c>
      <c r="J631" s="25">
        <v>0.2286</v>
      </c>
      <c r="K631" s="25">
        <f t="shared" si="9"/>
        <v>5298.9480000000003</v>
      </c>
      <c r="L631" s="25">
        <v>3.66</v>
      </c>
      <c r="M631" s="24">
        <v>84822</v>
      </c>
      <c r="N631" s="25">
        <f>IFERROR(T_reg.root.SK[[#This Row],[Price]]/T_reg.root.SK[[#This Row],[Starch content]],"")</f>
        <v>16.010498687664043</v>
      </c>
    </row>
    <row r="632" spans="1:14">
      <c r="A632" s="21">
        <v>2023</v>
      </c>
      <c r="B632" s="21" t="s">
        <v>22</v>
      </c>
      <c r="C632" s="21" t="s">
        <v>1145</v>
      </c>
      <c r="D632" s="21" t="s">
        <v>35</v>
      </c>
      <c r="E632" s="17" t="s">
        <v>124</v>
      </c>
      <c r="F632" s="18" t="s">
        <v>105</v>
      </c>
      <c r="G632" s="18" t="s">
        <v>48</v>
      </c>
      <c r="H632" s="24">
        <v>45720</v>
      </c>
      <c r="I632" s="24">
        <f>T_reg.root.SK[[#This Row],[Volume, kg]]/1000</f>
        <v>45.72</v>
      </c>
      <c r="J632" s="25">
        <v>0.218</v>
      </c>
      <c r="K632" s="25">
        <f t="shared" si="9"/>
        <v>9966.9599999999991</v>
      </c>
      <c r="L632" s="25">
        <v>3.62</v>
      </c>
      <c r="M632" s="24">
        <v>165437.5</v>
      </c>
      <c r="N632" s="25">
        <f>IFERROR(T_reg.root.SK[[#This Row],[Price]]/T_reg.root.SK[[#This Row],[Starch content]],"")</f>
        <v>16.605504587155963</v>
      </c>
    </row>
    <row r="633" spans="1:14">
      <c r="A633" s="21">
        <v>2023</v>
      </c>
      <c r="B633" s="21" t="s">
        <v>22</v>
      </c>
      <c r="C633" s="21" t="s">
        <v>1145</v>
      </c>
      <c r="D633" s="21" t="s">
        <v>35</v>
      </c>
      <c r="E633" s="17" t="s">
        <v>404</v>
      </c>
      <c r="F633" s="18" t="s">
        <v>105</v>
      </c>
      <c r="G633" s="18" t="s">
        <v>48</v>
      </c>
      <c r="H633" s="24">
        <v>15960</v>
      </c>
      <c r="I633" s="24">
        <f>T_reg.root.SK[[#This Row],[Volume, kg]]/1000</f>
        <v>15.96</v>
      </c>
      <c r="J633" s="25">
        <v>0.17559999999999998</v>
      </c>
      <c r="K633" s="25">
        <f t="shared" si="9"/>
        <v>2802.5759999999996</v>
      </c>
      <c r="L633" s="25">
        <v>3.4</v>
      </c>
      <c r="M633" s="24">
        <v>54194</v>
      </c>
      <c r="N633" s="25">
        <f>IFERROR(T_reg.root.SK[[#This Row],[Price]]/T_reg.root.SK[[#This Row],[Starch content]],"")</f>
        <v>19.362186788154901</v>
      </c>
    </row>
    <row r="634" spans="1:14">
      <c r="A634" s="21">
        <v>2023</v>
      </c>
      <c r="B634" s="21" t="s">
        <v>22</v>
      </c>
      <c r="C634" s="21" t="s">
        <v>1145</v>
      </c>
      <c r="D634" s="21" t="s">
        <v>35</v>
      </c>
      <c r="E634" s="17" t="s">
        <v>299</v>
      </c>
      <c r="F634" s="18" t="s">
        <v>105</v>
      </c>
      <c r="G634" s="18" t="s">
        <v>48</v>
      </c>
      <c r="H634" s="24">
        <v>3350</v>
      </c>
      <c r="I634" s="24">
        <f>T_reg.root.SK[[#This Row],[Volume, kg]]/1000</f>
        <v>3.35</v>
      </c>
      <c r="J634" s="25">
        <v>0.24299999999999999</v>
      </c>
      <c r="K634" s="25">
        <f t="shared" si="9"/>
        <v>814.05</v>
      </c>
      <c r="L634" s="25">
        <v>3.7</v>
      </c>
      <c r="M634" s="24">
        <v>12395</v>
      </c>
      <c r="N634" s="25">
        <f>IFERROR(T_reg.root.SK[[#This Row],[Price]]/T_reg.root.SK[[#This Row],[Starch content]],"")</f>
        <v>15.226337448559672</v>
      </c>
    </row>
    <row r="635" spans="1:14">
      <c r="A635" s="21">
        <v>2023</v>
      </c>
      <c r="B635" s="21" t="s">
        <v>22</v>
      </c>
      <c r="C635" s="21" t="s">
        <v>1145</v>
      </c>
      <c r="D635" s="21" t="s">
        <v>35</v>
      </c>
      <c r="E635" s="17" t="s">
        <v>240</v>
      </c>
      <c r="F635" s="18" t="s">
        <v>105</v>
      </c>
      <c r="G635" s="18" t="s">
        <v>48</v>
      </c>
      <c r="H635" s="24">
        <v>3380</v>
      </c>
      <c r="I635" s="24">
        <f>T_reg.root.SK[[#This Row],[Volume, kg]]/1000</f>
        <v>3.38</v>
      </c>
      <c r="J635" s="25">
        <v>0.221</v>
      </c>
      <c r="K635" s="25">
        <f t="shared" si="9"/>
        <v>746.98</v>
      </c>
      <c r="L635" s="25">
        <v>3.55</v>
      </c>
      <c r="M635" s="24">
        <v>11999</v>
      </c>
      <c r="N635" s="25">
        <f>IFERROR(T_reg.root.SK[[#This Row],[Price]]/T_reg.root.SK[[#This Row],[Starch content]],"")</f>
        <v>16.063348416289593</v>
      </c>
    </row>
    <row r="636" spans="1:14">
      <c r="A636" s="21">
        <v>2023</v>
      </c>
      <c r="B636" s="21" t="s">
        <v>22</v>
      </c>
      <c r="C636" s="21" t="s">
        <v>1145</v>
      </c>
      <c r="D636" s="21" t="s">
        <v>35</v>
      </c>
      <c r="E636" s="17" t="s">
        <v>129</v>
      </c>
      <c r="F636" s="18" t="s">
        <v>105</v>
      </c>
      <c r="G636" s="18" t="s">
        <v>48</v>
      </c>
      <c r="H636" s="24">
        <v>3010</v>
      </c>
      <c r="I636" s="24">
        <f>T_reg.root.SK[[#This Row],[Volume, kg]]/1000</f>
        <v>3.01</v>
      </c>
      <c r="J636" s="25">
        <v>0.23250000000000001</v>
      </c>
      <c r="K636" s="25">
        <f t="shared" si="9"/>
        <v>699.82500000000005</v>
      </c>
      <c r="L636" s="25">
        <v>3.75</v>
      </c>
      <c r="M636" s="24">
        <v>11287.5</v>
      </c>
      <c r="N636" s="25">
        <f>IFERROR(T_reg.root.SK[[#This Row],[Price]]/T_reg.root.SK[[#This Row],[Starch content]],"")</f>
        <v>16.129032258064516</v>
      </c>
    </row>
    <row r="637" spans="1:14">
      <c r="A637" s="21">
        <v>2023</v>
      </c>
      <c r="B637" s="21" t="s">
        <v>22</v>
      </c>
      <c r="C637" s="21" t="s">
        <v>1145</v>
      </c>
      <c r="D637" s="21" t="s">
        <v>35</v>
      </c>
      <c r="E637" s="17" t="s">
        <v>134</v>
      </c>
      <c r="F637" s="18" t="s">
        <v>105</v>
      </c>
      <c r="G637" s="18" t="s">
        <v>48</v>
      </c>
      <c r="H637" s="24">
        <v>5270</v>
      </c>
      <c r="I637" s="24">
        <f>T_reg.root.SK[[#This Row],[Volume, kg]]/1000</f>
        <v>5.27</v>
      </c>
      <c r="J637" s="25">
        <v>0.20949999999999999</v>
      </c>
      <c r="K637" s="25">
        <f t="shared" si="9"/>
        <v>1104.0650000000001</v>
      </c>
      <c r="L637" s="25">
        <v>3.3</v>
      </c>
      <c r="M637" s="24">
        <v>17391</v>
      </c>
      <c r="N637" s="25">
        <f>IFERROR(T_reg.root.SK[[#This Row],[Price]]/T_reg.root.SK[[#This Row],[Starch content]],"")</f>
        <v>15.751789976133651</v>
      </c>
    </row>
    <row r="638" spans="1:14">
      <c r="A638" s="21">
        <v>2023</v>
      </c>
      <c r="B638" s="21" t="s">
        <v>22</v>
      </c>
      <c r="C638" s="21" t="s">
        <v>1145</v>
      </c>
      <c r="D638" s="21" t="s">
        <v>35</v>
      </c>
      <c r="E638" s="17" t="s">
        <v>136</v>
      </c>
      <c r="F638" s="18" t="s">
        <v>105</v>
      </c>
      <c r="G638" s="18" t="s">
        <v>48</v>
      </c>
      <c r="H638" s="24">
        <v>51390</v>
      </c>
      <c r="I638" s="24">
        <f>T_reg.root.SK[[#This Row],[Volume, kg]]/1000</f>
        <v>51.39</v>
      </c>
      <c r="J638" s="25">
        <v>0.21309999999999998</v>
      </c>
      <c r="K638" s="25">
        <f t="shared" si="9"/>
        <v>10951.208999999999</v>
      </c>
      <c r="L638" s="25">
        <v>3.7</v>
      </c>
      <c r="M638" s="24">
        <v>190248.5</v>
      </c>
      <c r="N638" s="25">
        <f>IFERROR(T_reg.root.SK[[#This Row],[Price]]/T_reg.root.SK[[#This Row],[Starch content]],"")</f>
        <v>17.362740497419054</v>
      </c>
    </row>
    <row r="639" spans="1:14">
      <c r="A639" s="21">
        <v>2023</v>
      </c>
      <c r="B639" s="21" t="s">
        <v>22</v>
      </c>
      <c r="C639" s="21" t="s">
        <v>1145</v>
      </c>
      <c r="D639" s="21" t="s">
        <v>35</v>
      </c>
      <c r="E639" s="17" t="s">
        <v>138</v>
      </c>
      <c r="F639" s="18" t="s">
        <v>105</v>
      </c>
      <c r="G639" s="18" t="s">
        <v>48</v>
      </c>
      <c r="H639" s="24">
        <v>190160</v>
      </c>
      <c r="I639" s="24">
        <f>T_reg.root.SK[[#This Row],[Volume, kg]]/1000</f>
        <v>190.16</v>
      </c>
      <c r="J639" s="25">
        <v>0.21249999999999999</v>
      </c>
      <c r="K639" s="25">
        <f t="shared" si="9"/>
        <v>40409</v>
      </c>
      <c r="L639" s="25">
        <v>3.69</v>
      </c>
      <c r="M639" s="24">
        <v>701952.5</v>
      </c>
      <c r="N639" s="25">
        <f>IFERROR(T_reg.root.SK[[#This Row],[Price]]/T_reg.root.SK[[#This Row],[Starch content]],"")</f>
        <v>17.36470588235294</v>
      </c>
    </row>
    <row r="640" spans="1:14">
      <c r="A640" s="21">
        <v>2023</v>
      </c>
      <c r="B640" s="21" t="s">
        <v>22</v>
      </c>
      <c r="C640" s="21" t="s">
        <v>1145</v>
      </c>
      <c r="D640" s="21" t="s">
        <v>35</v>
      </c>
      <c r="E640" s="17" t="s">
        <v>304</v>
      </c>
      <c r="F640" s="18" t="s">
        <v>105</v>
      </c>
      <c r="G640" s="18" t="s">
        <v>48</v>
      </c>
      <c r="H640" s="24">
        <v>44510</v>
      </c>
      <c r="I640" s="24">
        <f>T_reg.root.SK[[#This Row],[Volume, kg]]/1000</f>
        <v>44.51</v>
      </c>
      <c r="J640" s="25">
        <v>0.20039999999999999</v>
      </c>
      <c r="K640" s="25">
        <f t="shared" si="9"/>
        <v>8919.8040000000001</v>
      </c>
      <c r="L640" s="25">
        <v>3.5</v>
      </c>
      <c r="M640" s="24">
        <v>155573.5</v>
      </c>
      <c r="N640" s="25">
        <f>IFERROR(T_reg.root.SK[[#This Row],[Price]]/T_reg.root.SK[[#This Row],[Starch content]],"")</f>
        <v>17.465069860279442</v>
      </c>
    </row>
    <row r="641" spans="1:14">
      <c r="A641" s="21">
        <v>2023</v>
      </c>
      <c r="B641" s="21" t="s">
        <v>22</v>
      </c>
      <c r="C641" s="21" t="s">
        <v>1145</v>
      </c>
      <c r="D641" s="21" t="s">
        <v>35</v>
      </c>
      <c r="E641" s="17" t="s">
        <v>244</v>
      </c>
      <c r="F641" s="18" t="s">
        <v>105</v>
      </c>
      <c r="G641" s="18" t="s">
        <v>48</v>
      </c>
      <c r="H641" s="24">
        <v>17250</v>
      </c>
      <c r="I641" s="24">
        <f>T_reg.root.SK[[#This Row],[Volume, kg]]/1000</f>
        <v>17.25</v>
      </c>
      <c r="J641" s="25">
        <v>0.22359999999999999</v>
      </c>
      <c r="K641" s="25">
        <f t="shared" si="9"/>
        <v>3857.1</v>
      </c>
      <c r="L641" s="25">
        <v>3.61</v>
      </c>
      <c r="M641" s="24">
        <v>62296</v>
      </c>
      <c r="N641" s="25">
        <f>IFERROR(T_reg.root.SK[[#This Row],[Price]]/T_reg.root.SK[[#This Row],[Starch content]],"")</f>
        <v>16.144901610017889</v>
      </c>
    </row>
    <row r="642" spans="1:14">
      <c r="A642" s="21">
        <v>2023</v>
      </c>
      <c r="B642" s="21" t="s">
        <v>22</v>
      </c>
      <c r="C642" s="21" t="s">
        <v>1145</v>
      </c>
      <c r="D642" s="21" t="s">
        <v>35</v>
      </c>
      <c r="E642" s="17" t="s">
        <v>405</v>
      </c>
      <c r="F642" s="18" t="s">
        <v>105</v>
      </c>
      <c r="G642" s="18" t="s">
        <v>48</v>
      </c>
      <c r="H642" s="24">
        <v>29690</v>
      </c>
      <c r="I642" s="24">
        <f>T_reg.root.SK[[#This Row],[Volume, kg]]/1000</f>
        <v>29.69</v>
      </c>
      <c r="J642" s="25">
        <v>0.26590000000000003</v>
      </c>
      <c r="K642" s="25">
        <f t="shared" si="9"/>
        <v>7894.5710000000008</v>
      </c>
      <c r="L642" s="25">
        <v>3.9</v>
      </c>
      <c r="M642" s="24">
        <v>115799.5</v>
      </c>
      <c r="N642" s="25">
        <f>IFERROR(T_reg.root.SK[[#This Row],[Price]]/T_reg.root.SK[[#This Row],[Starch content]],"")</f>
        <v>14.667168108311394</v>
      </c>
    </row>
    <row r="643" spans="1:14">
      <c r="A643" s="21">
        <v>2023</v>
      </c>
      <c r="B643" s="21" t="s">
        <v>22</v>
      </c>
      <c r="C643" s="21" t="s">
        <v>1145</v>
      </c>
      <c r="D643" s="21" t="s">
        <v>35</v>
      </c>
      <c r="E643" s="17" t="s">
        <v>310</v>
      </c>
      <c r="F643" s="18" t="s">
        <v>105</v>
      </c>
      <c r="G643" s="18" t="s">
        <v>48</v>
      </c>
      <c r="H643" s="24">
        <v>32130</v>
      </c>
      <c r="I643" s="24">
        <f>T_reg.root.SK[[#This Row],[Volume, kg]]/1000</f>
        <v>32.130000000000003</v>
      </c>
      <c r="J643" s="25">
        <v>0.18289999999999998</v>
      </c>
      <c r="K643" s="25">
        <f t="shared" ref="K643:K706" si="10">H643*J643</f>
        <v>5876.5769999999993</v>
      </c>
      <c r="L643" s="25">
        <v>3.33</v>
      </c>
      <c r="M643" s="24">
        <v>106920</v>
      </c>
      <c r="N643" s="25">
        <f>IFERROR(T_reg.root.SK[[#This Row],[Price]]/T_reg.root.SK[[#This Row],[Starch content]],"")</f>
        <v>18.206670311645709</v>
      </c>
    </row>
    <row r="644" spans="1:14">
      <c r="A644" s="21">
        <v>2023</v>
      </c>
      <c r="B644" s="21" t="s">
        <v>22</v>
      </c>
      <c r="C644" s="21" t="s">
        <v>1145</v>
      </c>
      <c r="D644" s="21" t="s">
        <v>35</v>
      </c>
      <c r="E644" s="17" t="s">
        <v>247</v>
      </c>
      <c r="F644" s="18" t="s">
        <v>105</v>
      </c>
      <c r="G644" s="18" t="s">
        <v>48</v>
      </c>
      <c r="H644" s="24">
        <v>18030</v>
      </c>
      <c r="I644" s="24">
        <f>T_reg.root.SK[[#This Row],[Volume, kg]]/1000</f>
        <v>18.03</v>
      </c>
      <c r="J644" s="25">
        <v>0.16789999999999999</v>
      </c>
      <c r="K644" s="25">
        <f t="shared" si="10"/>
        <v>3027.2370000000001</v>
      </c>
      <c r="L644" s="25">
        <v>3.32</v>
      </c>
      <c r="M644" s="24">
        <v>59869.5</v>
      </c>
      <c r="N644" s="25">
        <f>IFERROR(T_reg.root.SK[[#This Row],[Price]]/T_reg.root.SK[[#This Row],[Starch content]],"")</f>
        <v>19.7736748064324</v>
      </c>
    </row>
    <row r="645" spans="1:14">
      <c r="A645" s="21">
        <v>2023</v>
      </c>
      <c r="B645" s="21" t="s">
        <v>22</v>
      </c>
      <c r="C645" s="21" t="s">
        <v>1145</v>
      </c>
      <c r="D645" s="21" t="s">
        <v>35</v>
      </c>
      <c r="E645" s="17" t="s">
        <v>143</v>
      </c>
      <c r="F645" s="18" t="s">
        <v>105</v>
      </c>
      <c r="G645" s="18" t="s">
        <v>48</v>
      </c>
      <c r="H645" s="24">
        <v>15870</v>
      </c>
      <c r="I645" s="24">
        <f>T_reg.root.SK[[#This Row],[Volume, kg]]/1000</f>
        <v>15.87</v>
      </c>
      <c r="J645" s="25">
        <v>0.22359999999999999</v>
      </c>
      <c r="K645" s="25">
        <f t="shared" si="10"/>
        <v>3548.5319999999997</v>
      </c>
      <c r="L645" s="25">
        <v>3.53</v>
      </c>
      <c r="M645" s="24">
        <v>56093.5</v>
      </c>
      <c r="N645" s="25">
        <f>IFERROR(T_reg.root.SK[[#This Row],[Price]]/T_reg.root.SK[[#This Row],[Starch content]],"")</f>
        <v>15.787119856887298</v>
      </c>
    </row>
    <row r="646" spans="1:14">
      <c r="A646" s="21">
        <v>2023</v>
      </c>
      <c r="B646" s="21" t="s">
        <v>22</v>
      </c>
      <c r="C646" s="21" t="s">
        <v>1145</v>
      </c>
      <c r="D646" s="21" t="s">
        <v>35</v>
      </c>
      <c r="E646" s="17" t="s">
        <v>311</v>
      </c>
      <c r="F646" s="18" t="s">
        <v>105</v>
      </c>
      <c r="G646" s="18" t="s">
        <v>48</v>
      </c>
      <c r="H646" s="24">
        <v>50290</v>
      </c>
      <c r="I646" s="24">
        <f>T_reg.root.SK[[#This Row],[Volume, kg]]/1000</f>
        <v>50.29</v>
      </c>
      <c r="J646" s="25">
        <v>0.21390000000000001</v>
      </c>
      <c r="K646" s="25">
        <f t="shared" si="10"/>
        <v>10757.031000000001</v>
      </c>
      <c r="L646" s="25">
        <v>3.47</v>
      </c>
      <c r="M646" s="24">
        <v>174348</v>
      </c>
      <c r="N646" s="25">
        <f>IFERROR(T_reg.root.SK[[#This Row],[Price]]/T_reg.root.SK[[#This Row],[Starch content]],"")</f>
        <v>16.222533894343151</v>
      </c>
    </row>
    <row r="647" spans="1:14">
      <c r="A647" s="21">
        <v>2023</v>
      </c>
      <c r="B647" s="21" t="s">
        <v>22</v>
      </c>
      <c r="C647" s="21" t="s">
        <v>1145</v>
      </c>
      <c r="D647" s="21" t="s">
        <v>35</v>
      </c>
      <c r="E647" s="17" t="s">
        <v>312</v>
      </c>
      <c r="F647" s="18" t="s">
        <v>105</v>
      </c>
      <c r="G647" s="18" t="s">
        <v>48</v>
      </c>
      <c r="H647" s="24">
        <v>29700</v>
      </c>
      <c r="I647" s="24">
        <f>T_reg.root.SK[[#This Row],[Volume, kg]]/1000</f>
        <v>29.7</v>
      </c>
      <c r="J647" s="25">
        <v>0.22409999999999999</v>
      </c>
      <c r="K647" s="25">
        <f t="shared" si="10"/>
        <v>6655.7699999999995</v>
      </c>
      <c r="L647" s="25">
        <v>3.65</v>
      </c>
      <c r="M647" s="24">
        <v>108405</v>
      </c>
      <c r="N647" s="25">
        <f>IFERROR(T_reg.root.SK[[#This Row],[Price]]/T_reg.root.SK[[#This Row],[Starch content]],"")</f>
        <v>16.287371709058455</v>
      </c>
    </row>
    <row r="648" spans="1:14">
      <c r="A648" s="21">
        <v>2023</v>
      </c>
      <c r="B648" s="21" t="s">
        <v>22</v>
      </c>
      <c r="C648" s="21" t="s">
        <v>1145</v>
      </c>
      <c r="D648" s="21" t="s">
        <v>35</v>
      </c>
      <c r="E648" s="17" t="s">
        <v>146</v>
      </c>
      <c r="F648" s="18" t="s">
        <v>105</v>
      </c>
      <c r="G648" s="18" t="s">
        <v>48</v>
      </c>
      <c r="H648" s="24">
        <v>38570</v>
      </c>
      <c r="I648" s="24">
        <f>T_reg.root.SK[[#This Row],[Volume, kg]]/1000</f>
        <v>38.57</v>
      </c>
      <c r="J648" s="25">
        <v>0.20749999999999999</v>
      </c>
      <c r="K648" s="25">
        <f t="shared" si="10"/>
        <v>8003.2749999999996</v>
      </c>
      <c r="L648" s="25">
        <v>3.52</v>
      </c>
      <c r="M648" s="24">
        <v>135648</v>
      </c>
      <c r="N648" s="25">
        <f>IFERROR(T_reg.root.SK[[#This Row],[Price]]/T_reg.root.SK[[#This Row],[Starch content]],"")</f>
        <v>16.963855421686748</v>
      </c>
    </row>
    <row r="649" spans="1:14">
      <c r="A649" s="21">
        <v>2023</v>
      </c>
      <c r="B649" s="21" t="s">
        <v>22</v>
      </c>
      <c r="C649" s="21" t="s">
        <v>1145</v>
      </c>
      <c r="D649" s="21" t="s">
        <v>35</v>
      </c>
      <c r="E649" s="17" t="s">
        <v>250</v>
      </c>
      <c r="F649" s="18" t="s">
        <v>105</v>
      </c>
      <c r="G649" s="18" t="s">
        <v>48</v>
      </c>
      <c r="H649" s="24">
        <v>6840</v>
      </c>
      <c r="I649" s="24">
        <f>T_reg.root.SK[[#This Row],[Volume, kg]]/1000</f>
        <v>6.84</v>
      </c>
      <c r="J649" s="25">
        <v>0.19269999999999998</v>
      </c>
      <c r="K649" s="25">
        <f t="shared" si="10"/>
        <v>1318.068</v>
      </c>
      <c r="L649" s="25">
        <v>3.45</v>
      </c>
      <c r="M649" s="24">
        <v>23610</v>
      </c>
      <c r="N649" s="25">
        <f>IFERROR(T_reg.root.SK[[#This Row],[Price]]/T_reg.root.SK[[#This Row],[Starch content]],"")</f>
        <v>17.9034769071095</v>
      </c>
    </row>
    <row r="650" spans="1:14">
      <c r="A650" s="21">
        <v>2023</v>
      </c>
      <c r="B650" s="21" t="s">
        <v>22</v>
      </c>
      <c r="C650" s="21" t="s">
        <v>1145</v>
      </c>
      <c r="D650" s="21" t="s">
        <v>35</v>
      </c>
      <c r="E650" s="17" t="s">
        <v>148</v>
      </c>
      <c r="F650" s="18" t="s">
        <v>105</v>
      </c>
      <c r="G650" s="18" t="s">
        <v>48</v>
      </c>
      <c r="H650" s="24">
        <v>117720</v>
      </c>
      <c r="I650" s="24">
        <f>T_reg.root.SK[[#This Row],[Volume, kg]]/1000</f>
        <v>117.72</v>
      </c>
      <c r="J650" s="25">
        <v>0.2094</v>
      </c>
      <c r="K650" s="25">
        <f t="shared" si="10"/>
        <v>24650.567999999999</v>
      </c>
      <c r="L650" s="25">
        <v>3.53</v>
      </c>
      <c r="M650" s="24">
        <v>415198</v>
      </c>
      <c r="N650" s="25">
        <f>IFERROR(T_reg.root.SK[[#This Row],[Price]]/T_reg.root.SK[[#This Row],[Starch content]],"")</f>
        <v>16.857688634192932</v>
      </c>
    </row>
    <row r="651" spans="1:14">
      <c r="A651" s="21">
        <v>2023</v>
      </c>
      <c r="B651" s="21" t="s">
        <v>22</v>
      </c>
      <c r="C651" s="21" t="s">
        <v>1145</v>
      </c>
      <c r="D651" s="21" t="s">
        <v>35</v>
      </c>
      <c r="E651" s="17" t="s">
        <v>364</v>
      </c>
      <c r="F651" s="18" t="s">
        <v>105</v>
      </c>
      <c r="G651" s="18" t="s">
        <v>48</v>
      </c>
      <c r="H651" s="24">
        <v>14540</v>
      </c>
      <c r="I651" s="24">
        <f>T_reg.root.SK[[#This Row],[Volume, kg]]/1000</f>
        <v>14.54</v>
      </c>
      <c r="J651" s="25">
        <v>0.26450000000000001</v>
      </c>
      <c r="K651" s="25">
        <f t="shared" si="10"/>
        <v>3845.8300000000004</v>
      </c>
      <c r="L651" s="25">
        <v>3.94</v>
      </c>
      <c r="M651" s="24">
        <v>57319</v>
      </c>
      <c r="N651" s="25">
        <f>IFERROR(T_reg.root.SK[[#This Row],[Price]]/T_reg.root.SK[[#This Row],[Starch content]],"")</f>
        <v>14.89603024574669</v>
      </c>
    </row>
    <row r="652" spans="1:14">
      <c r="A652" s="21">
        <v>2023</v>
      </c>
      <c r="B652" s="21" t="s">
        <v>22</v>
      </c>
      <c r="C652" s="21" t="s">
        <v>1145</v>
      </c>
      <c r="D652" s="21" t="s">
        <v>35</v>
      </c>
      <c r="E652" s="17" t="s">
        <v>150</v>
      </c>
      <c r="F652" s="18" t="s">
        <v>105</v>
      </c>
      <c r="G652" s="18" t="s">
        <v>48</v>
      </c>
      <c r="H652" s="24">
        <v>132280</v>
      </c>
      <c r="I652" s="24">
        <f>T_reg.root.SK[[#This Row],[Volume, kg]]/1000</f>
        <v>132.28</v>
      </c>
      <c r="J652" s="25">
        <v>0.23629999999999998</v>
      </c>
      <c r="K652" s="25">
        <f t="shared" si="10"/>
        <v>31257.763999999999</v>
      </c>
      <c r="L652" s="25">
        <v>3.78</v>
      </c>
      <c r="M652" s="24">
        <v>500408</v>
      </c>
      <c r="N652" s="25">
        <f>IFERROR(T_reg.root.SK[[#This Row],[Price]]/T_reg.root.SK[[#This Row],[Starch content]],"")</f>
        <v>15.99661447312738</v>
      </c>
    </row>
    <row r="653" spans="1:14">
      <c r="A653" s="21">
        <v>2023</v>
      </c>
      <c r="B653" s="21" t="s">
        <v>22</v>
      </c>
      <c r="C653" s="21" t="s">
        <v>1145</v>
      </c>
      <c r="D653" s="21" t="s">
        <v>35</v>
      </c>
      <c r="E653" s="17" t="s">
        <v>151</v>
      </c>
      <c r="F653" s="18" t="s">
        <v>105</v>
      </c>
      <c r="G653" s="18" t="s">
        <v>48</v>
      </c>
      <c r="H653" s="24">
        <v>87760</v>
      </c>
      <c r="I653" s="24">
        <f>T_reg.root.SK[[#This Row],[Volume, kg]]/1000</f>
        <v>87.76</v>
      </c>
      <c r="J653" s="25">
        <v>0.2225</v>
      </c>
      <c r="K653" s="25">
        <f t="shared" si="10"/>
        <v>19526.599999999999</v>
      </c>
      <c r="L653" s="25">
        <v>3.67</v>
      </c>
      <c r="M653" s="24">
        <v>321690</v>
      </c>
      <c r="N653" s="25">
        <f>IFERROR(T_reg.root.SK[[#This Row],[Price]]/T_reg.root.SK[[#This Row],[Starch content]],"")</f>
        <v>16.49438202247191</v>
      </c>
    </row>
    <row r="654" spans="1:14">
      <c r="A654" s="21">
        <v>2023</v>
      </c>
      <c r="B654" s="21" t="s">
        <v>22</v>
      </c>
      <c r="C654" s="21" t="s">
        <v>1145</v>
      </c>
      <c r="D654" s="21" t="s">
        <v>35</v>
      </c>
      <c r="E654" s="17" t="s">
        <v>153</v>
      </c>
      <c r="F654" s="18" t="s">
        <v>105</v>
      </c>
      <c r="G654" s="18" t="s">
        <v>48</v>
      </c>
      <c r="H654" s="24">
        <v>16210</v>
      </c>
      <c r="I654" s="24">
        <f>T_reg.root.SK[[#This Row],[Volume, kg]]/1000</f>
        <v>16.21</v>
      </c>
      <c r="J654" s="25">
        <v>0.25730000000000003</v>
      </c>
      <c r="K654" s="25">
        <f t="shared" si="10"/>
        <v>4170.8330000000005</v>
      </c>
      <c r="L654" s="25">
        <v>3.77</v>
      </c>
      <c r="M654" s="24">
        <v>61154</v>
      </c>
      <c r="N654" s="25">
        <f>IFERROR(T_reg.root.SK[[#This Row],[Price]]/T_reg.root.SK[[#This Row],[Starch content]],"")</f>
        <v>14.652157015157401</v>
      </c>
    </row>
    <row r="655" spans="1:14">
      <c r="A655" s="21">
        <v>2023</v>
      </c>
      <c r="B655" s="21" t="s">
        <v>22</v>
      </c>
      <c r="C655" s="21" t="s">
        <v>1145</v>
      </c>
      <c r="D655" s="21" t="s">
        <v>35</v>
      </c>
      <c r="E655" s="17" t="s">
        <v>154</v>
      </c>
      <c r="F655" s="18" t="s">
        <v>105</v>
      </c>
      <c r="G655" s="18" t="s">
        <v>48</v>
      </c>
      <c r="H655" s="24">
        <v>20450</v>
      </c>
      <c r="I655" s="24">
        <f>T_reg.root.SK[[#This Row],[Volume, kg]]/1000</f>
        <v>20.45</v>
      </c>
      <c r="J655" s="25">
        <v>0.15740000000000001</v>
      </c>
      <c r="K655" s="25">
        <f t="shared" si="10"/>
        <v>3218.8300000000004</v>
      </c>
      <c r="L655" s="25">
        <v>3.3</v>
      </c>
      <c r="M655" s="24">
        <v>67542.5</v>
      </c>
      <c r="N655" s="25">
        <f>IFERROR(T_reg.root.SK[[#This Row],[Price]]/T_reg.root.SK[[#This Row],[Starch content]],"")</f>
        <v>20.965692503176616</v>
      </c>
    </row>
    <row r="656" spans="1:14">
      <c r="A656" s="21">
        <v>2023</v>
      </c>
      <c r="B656" s="21" t="s">
        <v>22</v>
      </c>
      <c r="C656" s="21" t="s">
        <v>1145</v>
      </c>
      <c r="D656" s="21" t="s">
        <v>35</v>
      </c>
      <c r="E656" s="17" t="s">
        <v>155</v>
      </c>
      <c r="F656" s="18" t="s">
        <v>105</v>
      </c>
      <c r="G656" s="18" t="s">
        <v>48</v>
      </c>
      <c r="H656" s="24">
        <v>11290</v>
      </c>
      <c r="I656" s="24">
        <f>T_reg.root.SK[[#This Row],[Volume, kg]]/1000</f>
        <v>11.29</v>
      </c>
      <c r="J656" s="25">
        <v>0.2235</v>
      </c>
      <c r="K656" s="25">
        <f t="shared" si="10"/>
        <v>2523.3150000000001</v>
      </c>
      <c r="L656" s="25">
        <v>3.69</v>
      </c>
      <c r="M656" s="24">
        <v>41692.5</v>
      </c>
      <c r="N656" s="25">
        <f>IFERROR(T_reg.root.SK[[#This Row],[Price]]/T_reg.root.SK[[#This Row],[Starch content]],"")</f>
        <v>16.51006711409396</v>
      </c>
    </row>
    <row r="657" spans="1:14">
      <c r="A657" s="21">
        <v>2023</v>
      </c>
      <c r="B657" s="21" t="s">
        <v>22</v>
      </c>
      <c r="C657" s="21" t="s">
        <v>1145</v>
      </c>
      <c r="D657" s="21" t="s">
        <v>35</v>
      </c>
      <c r="E657" s="17" t="s">
        <v>159</v>
      </c>
      <c r="F657" s="18" t="s">
        <v>105</v>
      </c>
      <c r="G657" s="18" t="s">
        <v>48</v>
      </c>
      <c r="H657" s="24">
        <v>44690</v>
      </c>
      <c r="I657" s="24">
        <f>T_reg.root.SK[[#This Row],[Volume, kg]]/1000</f>
        <v>44.69</v>
      </c>
      <c r="J657" s="25">
        <v>0.21739999999999998</v>
      </c>
      <c r="K657" s="25">
        <f t="shared" si="10"/>
        <v>9715.6059999999998</v>
      </c>
      <c r="L657" s="25">
        <v>3.71</v>
      </c>
      <c r="M657" s="24">
        <v>165778.5</v>
      </c>
      <c r="N657" s="25">
        <f>IFERROR(T_reg.root.SK[[#This Row],[Price]]/T_reg.root.SK[[#This Row],[Starch content]],"")</f>
        <v>17.065317387304511</v>
      </c>
    </row>
    <row r="658" spans="1:14">
      <c r="A658" s="21">
        <v>2023</v>
      </c>
      <c r="B658" s="21" t="s">
        <v>22</v>
      </c>
      <c r="C658" s="21" t="s">
        <v>1145</v>
      </c>
      <c r="D658" s="21" t="s">
        <v>35</v>
      </c>
      <c r="E658" s="17" t="s">
        <v>318</v>
      </c>
      <c r="F658" s="18" t="s">
        <v>105</v>
      </c>
      <c r="G658" s="18" t="s">
        <v>48</v>
      </c>
      <c r="H658" s="24">
        <v>10000</v>
      </c>
      <c r="I658" s="24">
        <f>T_reg.root.SK[[#This Row],[Volume, kg]]/1000</f>
        <v>10</v>
      </c>
      <c r="J658" s="25">
        <v>0.21249999999999999</v>
      </c>
      <c r="K658" s="25">
        <f t="shared" si="10"/>
        <v>2125</v>
      </c>
      <c r="L658" s="25">
        <v>3.43</v>
      </c>
      <c r="M658" s="24">
        <v>34326.5</v>
      </c>
      <c r="N658" s="25">
        <f>IFERROR(T_reg.root.SK[[#This Row],[Price]]/T_reg.root.SK[[#This Row],[Starch content]],"")</f>
        <v>16.141176470588235</v>
      </c>
    </row>
    <row r="659" spans="1:14">
      <c r="A659" s="21">
        <v>2023</v>
      </c>
      <c r="B659" s="21" t="s">
        <v>22</v>
      </c>
      <c r="C659" s="21" t="s">
        <v>1145</v>
      </c>
      <c r="D659" s="21" t="s">
        <v>35</v>
      </c>
      <c r="E659" s="17" t="s">
        <v>255</v>
      </c>
      <c r="F659" s="18" t="s">
        <v>105</v>
      </c>
      <c r="G659" s="18" t="s">
        <v>48</v>
      </c>
      <c r="H659" s="24">
        <v>7760</v>
      </c>
      <c r="I659" s="24">
        <f>T_reg.root.SK[[#This Row],[Volume, kg]]/1000</f>
        <v>7.76</v>
      </c>
      <c r="J659" s="25">
        <v>0.1605</v>
      </c>
      <c r="K659" s="25">
        <f t="shared" si="10"/>
        <v>1245.48</v>
      </c>
      <c r="L659" s="25">
        <v>3.3</v>
      </c>
      <c r="M659" s="24">
        <v>25608</v>
      </c>
      <c r="N659" s="25">
        <f>IFERROR(T_reg.root.SK[[#This Row],[Price]]/T_reg.root.SK[[#This Row],[Starch content]],"")</f>
        <v>20.5607476635514</v>
      </c>
    </row>
    <row r="660" spans="1:14">
      <c r="A660" s="21">
        <v>2023</v>
      </c>
      <c r="B660" s="21" t="s">
        <v>22</v>
      </c>
      <c r="C660" s="21" t="s">
        <v>1145</v>
      </c>
      <c r="D660" s="21" t="s">
        <v>35</v>
      </c>
      <c r="E660" s="17" t="s">
        <v>161</v>
      </c>
      <c r="F660" s="18" t="s">
        <v>105</v>
      </c>
      <c r="G660" s="18" t="s">
        <v>48</v>
      </c>
      <c r="H660" s="24">
        <v>34690</v>
      </c>
      <c r="I660" s="24">
        <f>T_reg.root.SK[[#This Row],[Volume, kg]]/1000</f>
        <v>34.69</v>
      </c>
      <c r="J660" s="25">
        <v>0.18780000000000002</v>
      </c>
      <c r="K660" s="25">
        <f t="shared" si="10"/>
        <v>6514.7820000000011</v>
      </c>
      <c r="L660" s="25">
        <v>3.33</v>
      </c>
      <c r="M660" s="24">
        <v>115573</v>
      </c>
      <c r="N660" s="25">
        <f>IFERROR(T_reg.root.SK[[#This Row],[Price]]/T_reg.root.SK[[#This Row],[Starch content]],"")</f>
        <v>17.731629392971243</v>
      </c>
    </row>
    <row r="661" spans="1:14">
      <c r="A661" s="21">
        <v>2023</v>
      </c>
      <c r="B661" s="21" t="s">
        <v>22</v>
      </c>
      <c r="C661" s="21" t="s">
        <v>1145</v>
      </c>
      <c r="D661" s="21" t="s">
        <v>35</v>
      </c>
      <c r="E661" s="17" t="s">
        <v>163</v>
      </c>
      <c r="F661" s="18" t="s">
        <v>105</v>
      </c>
      <c r="G661" s="18" t="s">
        <v>48</v>
      </c>
      <c r="H661" s="24">
        <v>117490</v>
      </c>
      <c r="I661" s="24">
        <f>T_reg.root.SK[[#This Row],[Volume, kg]]/1000</f>
        <v>117.49</v>
      </c>
      <c r="J661" s="25">
        <v>0.21660000000000001</v>
      </c>
      <c r="K661" s="25">
        <f t="shared" si="10"/>
        <v>25448.334000000003</v>
      </c>
      <c r="L661" s="25">
        <v>3.53</v>
      </c>
      <c r="M661" s="24">
        <v>414431</v>
      </c>
      <c r="N661" s="25">
        <f>IFERROR(T_reg.root.SK[[#This Row],[Price]]/T_reg.root.SK[[#This Row],[Starch content]],"")</f>
        <v>16.297322253000921</v>
      </c>
    </row>
    <row r="662" spans="1:14">
      <c r="A662" s="21">
        <v>2023</v>
      </c>
      <c r="B662" s="21" t="s">
        <v>22</v>
      </c>
      <c r="C662" s="21" t="s">
        <v>1145</v>
      </c>
      <c r="D662" s="21" t="s">
        <v>35</v>
      </c>
      <c r="E662" s="17" t="s">
        <v>164</v>
      </c>
      <c r="F662" s="18" t="s">
        <v>105</v>
      </c>
      <c r="G662" s="18" t="s">
        <v>48</v>
      </c>
      <c r="H662" s="24">
        <v>93410</v>
      </c>
      <c r="I662" s="24">
        <f>T_reg.root.SK[[#This Row],[Volume, kg]]/1000</f>
        <v>93.41</v>
      </c>
      <c r="J662" s="25">
        <v>0.20980000000000001</v>
      </c>
      <c r="K662" s="25">
        <f t="shared" si="10"/>
        <v>19597.418000000001</v>
      </c>
      <c r="L662" s="25">
        <v>3.53</v>
      </c>
      <c r="M662" s="24">
        <v>330183</v>
      </c>
      <c r="N662" s="25">
        <f>IFERROR(T_reg.root.SK[[#This Row],[Price]]/T_reg.root.SK[[#This Row],[Starch content]],"")</f>
        <v>16.825548141086749</v>
      </c>
    </row>
    <row r="663" spans="1:14">
      <c r="A663" s="21">
        <v>2023</v>
      </c>
      <c r="B663" s="21" t="s">
        <v>22</v>
      </c>
      <c r="C663" s="21" t="s">
        <v>1145</v>
      </c>
      <c r="D663" s="21" t="s">
        <v>35</v>
      </c>
      <c r="E663" s="17" t="s">
        <v>256</v>
      </c>
      <c r="F663" s="18" t="s">
        <v>105</v>
      </c>
      <c r="G663" s="18" t="s">
        <v>48</v>
      </c>
      <c r="H663" s="24">
        <v>9300</v>
      </c>
      <c r="I663" s="24">
        <f>T_reg.root.SK[[#This Row],[Volume, kg]]/1000</f>
        <v>9.3000000000000007</v>
      </c>
      <c r="J663" s="25">
        <v>0.21249999999999999</v>
      </c>
      <c r="K663" s="25">
        <f t="shared" si="10"/>
        <v>1976.25</v>
      </c>
      <c r="L663" s="25">
        <v>3.45</v>
      </c>
      <c r="M663" s="24">
        <v>32085</v>
      </c>
      <c r="N663" s="25">
        <f>IFERROR(T_reg.root.SK[[#This Row],[Price]]/T_reg.root.SK[[#This Row],[Starch content]],"")</f>
        <v>16.235294117647062</v>
      </c>
    </row>
    <row r="664" spans="1:14">
      <c r="A664" s="21">
        <v>2023</v>
      </c>
      <c r="B664" s="21" t="s">
        <v>22</v>
      </c>
      <c r="C664" s="21" t="s">
        <v>1145</v>
      </c>
      <c r="D664" s="21" t="s">
        <v>35</v>
      </c>
      <c r="E664" s="17" t="s">
        <v>257</v>
      </c>
      <c r="F664" s="18" t="s">
        <v>105</v>
      </c>
      <c r="G664" s="18" t="s">
        <v>48</v>
      </c>
      <c r="H664" s="24">
        <v>40660</v>
      </c>
      <c r="I664" s="24">
        <f>T_reg.root.SK[[#This Row],[Volume, kg]]/1000</f>
        <v>40.659999999999997</v>
      </c>
      <c r="J664" s="25">
        <v>0.20499999999999999</v>
      </c>
      <c r="K664" s="25">
        <f t="shared" si="10"/>
        <v>8335.2999999999993</v>
      </c>
      <c r="L664" s="25">
        <v>3.58</v>
      </c>
      <c r="M664" s="24">
        <v>145676</v>
      </c>
      <c r="N664" s="25">
        <f>IFERROR(T_reg.root.SK[[#This Row],[Price]]/T_reg.root.SK[[#This Row],[Starch content]],"")</f>
        <v>17.463414634146343</v>
      </c>
    </row>
    <row r="665" spans="1:14">
      <c r="A665" s="21">
        <v>2023</v>
      </c>
      <c r="B665" s="21" t="s">
        <v>22</v>
      </c>
      <c r="C665" s="21" t="s">
        <v>1145</v>
      </c>
      <c r="D665" s="21" t="s">
        <v>35</v>
      </c>
      <c r="E665" s="17" t="s">
        <v>319</v>
      </c>
      <c r="F665" s="18" t="s">
        <v>105</v>
      </c>
      <c r="G665" s="18" t="s">
        <v>48</v>
      </c>
      <c r="H665" s="24">
        <v>0</v>
      </c>
      <c r="I665" s="24">
        <f>T_reg.root.SK[[#This Row],[Volume, kg]]/1000</f>
        <v>0</v>
      </c>
      <c r="J665" s="25">
        <v>0</v>
      </c>
      <c r="K665" s="25">
        <f t="shared" si="10"/>
        <v>0</v>
      </c>
      <c r="L665" s="25">
        <v>0</v>
      </c>
      <c r="M665" s="24">
        <v>0</v>
      </c>
      <c r="N665" s="25" t="str">
        <f>IFERROR(T_reg.root.SK[[#This Row],[Price]]/T_reg.root.SK[[#This Row],[Starch content]],"")</f>
        <v/>
      </c>
    </row>
    <row r="666" spans="1:14">
      <c r="A666" s="21">
        <v>2023</v>
      </c>
      <c r="B666" s="21" t="s">
        <v>22</v>
      </c>
      <c r="C666" s="21" t="s">
        <v>1145</v>
      </c>
      <c r="D666" s="21" t="s">
        <v>35</v>
      </c>
      <c r="E666" s="17" t="s">
        <v>368</v>
      </c>
      <c r="F666" s="18" t="s">
        <v>105</v>
      </c>
      <c r="G666" s="18" t="s">
        <v>48</v>
      </c>
      <c r="H666" s="24">
        <v>730</v>
      </c>
      <c r="I666" s="24">
        <f>T_reg.root.SK[[#This Row],[Volume, kg]]/1000</f>
        <v>0.73</v>
      </c>
      <c r="J666" s="25">
        <v>0.14150000000000001</v>
      </c>
      <c r="K666" s="25">
        <f t="shared" si="10"/>
        <v>103.29500000000002</v>
      </c>
      <c r="L666" s="25">
        <v>2.95</v>
      </c>
      <c r="M666" s="24">
        <v>2153.5</v>
      </c>
      <c r="N666" s="25">
        <f>IFERROR(T_reg.root.SK[[#This Row],[Price]]/T_reg.root.SK[[#This Row],[Starch content]],"")</f>
        <v>20.848056537102472</v>
      </c>
    </row>
    <row r="667" spans="1:14">
      <c r="A667" s="21">
        <v>2023</v>
      </c>
      <c r="B667" s="21" t="s">
        <v>22</v>
      </c>
      <c r="C667" s="21" t="s">
        <v>1145</v>
      </c>
      <c r="D667" s="21" t="s">
        <v>35</v>
      </c>
      <c r="E667" s="17" t="s">
        <v>322</v>
      </c>
      <c r="F667" s="18" t="s">
        <v>105</v>
      </c>
      <c r="G667" s="18" t="s">
        <v>48</v>
      </c>
      <c r="H667" s="24">
        <v>15670</v>
      </c>
      <c r="I667" s="24">
        <f>T_reg.root.SK[[#This Row],[Volume, kg]]/1000</f>
        <v>15.67</v>
      </c>
      <c r="J667" s="25">
        <v>0.21340000000000001</v>
      </c>
      <c r="K667" s="25">
        <f t="shared" si="10"/>
        <v>3343.9780000000001</v>
      </c>
      <c r="L667" s="25">
        <v>3.63</v>
      </c>
      <c r="M667" s="24">
        <v>56914</v>
      </c>
      <c r="N667" s="25">
        <f>IFERROR(T_reg.root.SK[[#This Row],[Price]]/T_reg.root.SK[[#This Row],[Starch content]],"")</f>
        <v>17.010309278350515</v>
      </c>
    </row>
    <row r="668" spans="1:14">
      <c r="A668" s="21">
        <v>2023</v>
      </c>
      <c r="B668" s="21" t="s">
        <v>22</v>
      </c>
      <c r="C668" s="21" t="s">
        <v>1145</v>
      </c>
      <c r="D668" s="21" t="s">
        <v>35</v>
      </c>
      <c r="E668" s="17" t="s">
        <v>176</v>
      </c>
      <c r="F668" s="18" t="s">
        <v>105</v>
      </c>
      <c r="G668" s="18" t="s">
        <v>48</v>
      </c>
      <c r="H668" s="24">
        <v>50100</v>
      </c>
      <c r="I668" s="24">
        <f>T_reg.root.SK[[#This Row],[Volume, kg]]/1000</f>
        <v>50.1</v>
      </c>
      <c r="J668" s="25">
        <v>0.20850000000000002</v>
      </c>
      <c r="K668" s="25">
        <f t="shared" si="10"/>
        <v>10445.85</v>
      </c>
      <c r="L668" s="25">
        <v>3.49</v>
      </c>
      <c r="M668" s="24">
        <v>174667.5</v>
      </c>
      <c r="N668" s="25">
        <f>IFERROR(T_reg.root.SK[[#This Row],[Price]]/T_reg.root.SK[[#This Row],[Starch content]],"")</f>
        <v>16.738609112709831</v>
      </c>
    </row>
    <row r="669" spans="1:14">
      <c r="A669" s="21">
        <v>2023</v>
      </c>
      <c r="B669" s="21" t="s">
        <v>22</v>
      </c>
      <c r="C669" s="21" t="s">
        <v>1145</v>
      </c>
      <c r="D669" s="21" t="s">
        <v>35</v>
      </c>
      <c r="E669" s="17" t="s">
        <v>179</v>
      </c>
      <c r="F669" s="18" t="s">
        <v>105</v>
      </c>
      <c r="G669" s="18" t="s">
        <v>48</v>
      </c>
      <c r="H669" s="24">
        <v>8330</v>
      </c>
      <c r="I669" s="24">
        <f>T_reg.root.SK[[#This Row],[Volume, kg]]/1000</f>
        <v>8.33</v>
      </c>
      <c r="J669" s="25">
        <v>0.27200000000000002</v>
      </c>
      <c r="K669" s="25">
        <f t="shared" si="10"/>
        <v>2265.7600000000002</v>
      </c>
      <c r="L669" s="25">
        <v>4</v>
      </c>
      <c r="M669" s="24">
        <v>33320</v>
      </c>
      <c r="N669" s="25">
        <f>IFERROR(T_reg.root.SK[[#This Row],[Price]]/T_reg.root.SK[[#This Row],[Starch content]],"")</f>
        <v>14.705882352941176</v>
      </c>
    </row>
    <row r="670" spans="1:14">
      <c r="A670" s="21">
        <v>2023</v>
      </c>
      <c r="B670" s="21" t="s">
        <v>22</v>
      </c>
      <c r="C670" s="21" t="s">
        <v>1145</v>
      </c>
      <c r="D670" s="21" t="s">
        <v>35</v>
      </c>
      <c r="E670" s="17" t="s">
        <v>181</v>
      </c>
      <c r="F670" s="18" t="s">
        <v>105</v>
      </c>
      <c r="G670" s="18" t="s">
        <v>48</v>
      </c>
      <c r="H670" s="24">
        <v>316220</v>
      </c>
      <c r="I670" s="24">
        <f>T_reg.root.SK[[#This Row],[Volume, kg]]/1000</f>
        <v>316.22000000000003</v>
      </c>
      <c r="J670" s="25">
        <v>0.21050000000000002</v>
      </c>
      <c r="K670" s="25">
        <f t="shared" si="10"/>
        <v>66564.310000000012</v>
      </c>
      <c r="L670" s="25">
        <v>3.56</v>
      </c>
      <c r="M670" s="24">
        <v>1125090</v>
      </c>
      <c r="N670" s="25">
        <f>IFERROR(T_reg.root.SK[[#This Row],[Price]]/T_reg.root.SK[[#This Row],[Starch content]],"")</f>
        <v>16.912114014251781</v>
      </c>
    </row>
    <row r="671" spans="1:14">
      <c r="A671" s="21">
        <v>2023</v>
      </c>
      <c r="B671" s="21" t="s">
        <v>22</v>
      </c>
      <c r="C671" s="21" t="s">
        <v>1145</v>
      </c>
      <c r="D671" s="21" t="s">
        <v>35</v>
      </c>
      <c r="E671" s="17" t="s">
        <v>182</v>
      </c>
      <c r="F671" s="18" t="s">
        <v>105</v>
      </c>
      <c r="G671" s="18" t="s">
        <v>48</v>
      </c>
      <c r="H671" s="24">
        <v>49830</v>
      </c>
      <c r="I671" s="24">
        <f>T_reg.root.SK[[#This Row],[Volume, kg]]/1000</f>
        <v>49.83</v>
      </c>
      <c r="J671" s="25">
        <v>0.20010000000000003</v>
      </c>
      <c r="K671" s="25">
        <f t="shared" si="10"/>
        <v>9970.983000000002</v>
      </c>
      <c r="L671" s="25">
        <v>3.47</v>
      </c>
      <c r="M671" s="24">
        <v>172847</v>
      </c>
      <c r="N671" s="25">
        <f>IFERROR(T_reg.root.SK[[#This Row],[Price]]/T_reg.root.SK[[#This Row],[Starch content]],"")</f>
        <v>17.341329335332333</v>
      </c>
    </row>
    <row r="672" spans="1:14">
      <c r="A672" s="21">
        <v>2023</v>
      </c>
      <c r="B672" s="21" t="s">
        <v>22</v>
      </c>
      <c r="C672" s="21" t="s">
        <v>1145</v>
      </c>
      <c r="D672" s="21" t="s">
        <v>35</v>
      </c>
      <c r="E672" s="17" t="s">
        <v>183</v>
      </c>
      <c r="F672" s="18" t="s">
        <v>105</v>
      </c>
      <c r="G672" s="18" t="s">
        <v>48</v>
      </c>
      <c r="H672" s="24">
        <v>34020</v>
      </c>
      <c r="I672" s="24">
        <f>T_reg.root.SK[[#This Row],[Volume, kg]]/1000</f>
        <v>34.020000000000003</v>
      </c>
      <c r="J672" s="25">
        <v>0.20129999999999998</v>
      </c>
      <c r="K672" s="25">
        <f t="shared" si="10"/>
        <v>6848.2259999999997</v>
      </c>
      <c r="L672" s="25">
        <v>3.57</v>
      </c>
      <c r="M672" s="24">
        <v>121478.5</v>
      </c>
      <c r="N672" s="25">
        <f>IFERROR(T_reg.root.SK[[#This Row],[Price]]/T_reg.root.SK[[#This Row],[Starch content]],"")</f>
        <v>17.734724292101344</v>
      </c>
    </row>
    <row r="673" spans="1:14">
      <c r="A673" s="21">
        <v>2023</v>
      </c>
      <c r="B673" s="21" t="s">
        <v>22</v>
      </c>
      <c r="C673" s="21" t="s">
        <v>1145</v>
      </c>
      <c r="D673" s="21" t="s">
        <v>35</v>
      </c>
      <c r="E673" s="17" t="s">
        <v>330</v>
      </c>
      <c r="F673" s="18" t="s">
        <v>187</v>
      </c>
      <c r="G673" s="18" t="s">
        <v>48</v>
      </c>
      <c r="H673" s="24">
        <v>27850</v>
      </c>
      <c r="I673" s="24">
        <f>T_reg.root.SK[[#This Row],[Volume, kg]]/1000</f>
        <v>27.85</v>
      </c>
      <c r="J673" s="25">
        <v>0.2104</v>
      </c>
      <c r="K673" s="25">
        <f t="shared" si="10"/>
        <v>5859.64</v>
      </c>
      <c r="L673" s="25">
        <v>3.82</v>
      </c>
      <c r="M673" s="24">
        <v>106463.5</v>
      </c>
      <c r="N673" s="25">
        <f>IFERROR(T_reg.root.SK[[#This Row],[Price]]/T_reg.root.SK[[#This Row],[Starch content]],"")</f>
        <v>18.15589353612167</v>
      </c>
    </row>
    <row r="674" spans="1:14">
      <c r="A674" s="21">
        <v>2023</v>
      </c>
      <c r="B674" s="21" t="s">
        <v>22</v>
      </c>
      <c r="C674" s="21" t="s">
        <v>1145</v>
      </c>
      <c r="D674" s="21" t="s">
        <v>35</v>
      </c>
      <c r="E674" s="17" t="s">
        <v>189</v>
      </c>
      <c r="F674" s="18" t="s">
        <v>187</v>
      </c>
      <c r="G674" s="18" t="s">
        <v>48</v>
      </c>
      <c r="H674" s="24">
        <v>17060</v>
      </c>
      <c r="I674" s="24">
        <f>T_reg.root.SK[[#This Row],[Volume, kg]]/1000</f>
        <v>17.059999999999999</v>
      </c>
      <c r="J674" s="25">
        <v>0.23129999999999998</v>
      </c>
      <c r="K674" s="25">
        <f t="shared" si="10"/>
        <v>3945.9779999999996</v>
      </c>
      <c r="L674" s="25">
        <v>3.9</v>
      </c>
      <c r="M674" s="24">
        <v>66537</v>
      </c>
      <c r="N674" s="25">
        <f>IFERROR(T_reg.root.SK[[#This Row],[Price]]/T_reg.root.SK[[#This Row],[Starch content]],"")</f>
        <v>16.861219195849547</v>
      </c>
    </row>
    <row r="675" spans="1:14">
      <c r="A675" s="21">
        <v>2023</v>
      </c>
      <c r="B675" s="21" t="s">
        <v>22</v>
      </c>
      <c r="C675" s="21" t="s">
        <v>1145</v>
      </c>
      <c r="D675" s="21" t="s">
        <v>35</v>
      </c>
      <c r="E675" s="17" t="s">
        <v>190</v>
      </c>
      <c r="F675" s="18" t="s">
        <v>187</v>
      </c>
      <c r="G675" s="18" t="s">
        <v>48</v>
      </c>
      <c r="H675" s="24">
        <v>5670</v>
      </c>
      <c r="I675" s="24">
        <f>T_reg.root.SK[[#This Row],[Volume, kg]]/1000</f>
        <v>5.67</v>
      </c>
      <c r="J675" s="25">
        <v>0.26200000000000001</v>
      </c>
      <c r="K675" s="25">
        <f t="shared" si="10"/>
        <v>1485.54</v>
      </c>
      <c r="L675" s="25">
        <v>4</v>
      </c>
      <c r="M675" s="24">
        <v>22680</v>
      </c>
      <c r="N675" s="25">
        <f>IFERROR(T_reg.root.SK[[#This Row],[Price]]/T_reg.root.SK[[#This Row],[Starch content]],"")</f>
        <v>15.267175572519083</v>
      </c>
    </row>
    <row r="676" spans="1:14">
      <c r="A676" s="21">
        <v>2023</v>
      </c>
      <c r="B676" s="21" t="s">
        <v>22</v>
      </c>
      <c r="C676" s="21" t="s">
        <v>1145</v>
      </c>
      <c r="D676" s="21" t="s">
        <v>35</v>
      </c>
      <c r="E676" s="17" t="s">
        <v>406</v>
      </c>
      <c r="F676" s="18" t="s">
        <v>187</v>
      </c>
      <c r="G676" s="18" t="s">
        <v>48</v>
      </c>
      <c r="H676" s="24">
        <v>3640</v>
      </c>
      <c r="I676" s="24">
        <f>T_reg.root.SK[[#This Row],[Volume, kg]]/1000</f>
        <v>3.64</v>
      </c>
      <c r="J676" s="25">
        <v>0.151</v>
      </c>
      <c r="K676" s="25">
        <f t="shared" si="10"/>
        <v>549.64</v>
      </c>
      <c r="L676" s="25">
        <v>3.5</v>
      </c>
      <c r="M676" s="24">
        <v>12740</v>
      </c>
      <c r="N676" s="25">
        <f>IFERROR(T_reg.root.SK[[#This Row],[Price]]/T_reg.root.SK[[#This Row],[Starch content]],"")</f>
        <v>23.17880794701987</v>
      </c>
    </row>
    <row r="677" spans="1:14">
      <c r="A677" s="21">
        <v>2023</v>
      </c>
      <c r="B677" s="21" t="s">
        <v>22</v>
      </c>
      <c r="C677" s="21" t="s">
        <v>1145</v>
      </c>
      <c r="D677" s="21" t="s">
        <v>35</v>
      </c>
      <c r="E677" s="17" t="s">
        <v>192</v>
      </c>
      <c r="F677" s="18" t="s">
        <v>187</v>
      </c>
      <c r="G677" s="18" t="s">
        <v>48</v>
      </c>
      <c r="H677" s="24">
        <v>14210</v>
      </c>
      <c r="I677" s="24">
        <f>T_reg.root.SK[[#This Row],[Volume, kg]]/1000</f>
        <v>14.21</v>
      </c>
      <c r="J677" s="25">
        <v>0.2525</v>
      </c>
      <c r="K677" s="25">
        <f t="shared" si="10"/>
        <v>3588.0250000000001</v>
      </c>
      <c r="L677" s="25">
        <v>4.03</v>
      </c>
      <c r="M677" s="24">
        <v>57199</v>
      </c>
      <c r="N677" s="25">
        <f>IFERROR(T_reg.root.SK[[#This Row],[Price]]/T_reg.root.SK[[#This Row],[Starch content]],"")</f>
        <v>15.96039603960396</v>
      </c>
    </row>
    <row r="678" spans="1:14">
      <c r="A678" s="21">
        <v>2023</v>
      </c>
      <c r="B678" s="21" t="s">
        <v>22</v>
      </c>
      <c r="C678" s="21" t="s">
        <v>1145</v>
      </c>
      <c r="D678" s="21" t="s">
        <v>35</v>
      </c>
      <c r="E678" s="17" t="s">
        <v>193</v>
      </c>
      <c r="F678" s="18" t="s">
        <v>187</v>
      </c>
      <c r="G678" s="18" t="s">
        <v>48</v>
      </c>
      <c r="H678" s="24">
        <v>4600</v>
      </c>
      <c r="I678" s="24">
        <f>T_reg.root.SK[[#This Row],[Volume, kg]]/1000</f>
        <v>4.5999999999999996</v>
      </c>
      <c r="J678" s="25">
        <v>0.24100000000000002</v>
      </c>
      <c r="K678" s="25">
        <f t="shared" si="10"/>
        <v>1108.6000000000001</v>
      </c>
      <c r="L678" s="25">
        <v>3.95</v>
      </c>
      <c r="M678" s="24">
        <v>18170</v>
      </c>
      <c r="N678" s="25">
        <f>IFERROR(T_reg.root.SK[[#This Row],[Price]]/T_reg.root.SK[[#This Row],[Starch content]],"")</f>
        <v>16.390041493775932</v>
      </c>
    </row>
    <row r="679" spans="1:14">
      <c r="A679" s="21">
        <v>2023</v>
      </c>
      <c r="B679" s="21" t="s">
        <v>22</v>
      </c>
      <c r="C679" s="21" t="s">
        <v>1145</v>
      </c>
      <c r="D679" s="21" t="s">
        <v>35</v>
      </c>
      <c r="E679" s="17" t="s">
        <v>262</v>
      </c>
      <c r="F679" s="18" t="s">
        <v>187</v>
      </c>
      <c r="G679" s="18" t="s">
        <v>48</v>
      </c>
      <c r="H679" s="24">
        <v>22370</v>
      </c>
      <c r="I679" s="24">
        <f>T_reg.root.SK[[#This Row],[Volume, kg]]/1000</f>
        <v>22.37</v>
      </c>
      <c r="J679" s="25">
        <v>0.25670000000000004</v>
      </c>
      <c r="K679" s="25">
        <f t="shared" si="10"/>
        <v>5742.3790000000008</v>
      </c>
      <c r="L679" s="25">
        <v>4.09</v>
      </c>
      <c r="M679" s="24">
        <v>91398.5</v>
      </c>
      <c r="N679" s="25">
        <f>IFERROR(T_reg.root.SK[[#This Row],[Price]]/T_reg.root.SK[[#This Row],[Starch content]],"")</f>
        <v>15.932995714842225</v>
      </c>
    </row>
    <row r="680" spans="1:14">
      <c r="A680" s="21">
        <v>2023</v>
      </c>
      <c r="B680" s="21" t="s">
        <v>22</v>
      </c>
      <c r="C680" s="21" t="s">
        <v>1145</v>
      </c>
      <c r="D680" s="21" t="s">
        <v>35</v>
      </c>
      <c r="E680" s="17" t="s">
        <v>407</v>
      </c>
      <c r="F680" s="18" t="s">
        <v>187</v>
      </c>
      <c r="G680" s="18" t="s">
        <v>48</v>
      </c>
      <c r="H680" s="24">
        <v>61880</v>
      </c>
      <c r="I680" s="24">
        <f>T_reg.root.SK[[#This Row],[Volume, kg]]/1000</f>
        <v>61.88</v>
      </c>
      <c r="J680" s="25">
        <v>0.21660000000000001</v>
      </c>
      <c r="K680" s="25">
        <f t="shared" si="10"/>
        <v>13403.208000000001</v>
      </c>
      <c r="L680" s="25">
        <v>3.69</v>
      </c>
      <c r="M680" s="24">
        <v>228266</v>
      </c>
      <c r="N680" s="25">
        <f>IFERROR(T_reg.root.SK[[#This Row],[Price]]/T_reg.root.SK[[#This Row],[Starch content]],"")</f>
        <v>17.036011080332408</v>
      </c>
    </row>
    <row r="681" spans="1:14">
      <c r="A681" s="21">
        <v>2023</v>
      </c>
      <c r="B681" s="21" t="s">
        <v>22</v>
      </c>
      <c r="C681" s="21" t="s">
        <v>1145</v>
      </c>
      <c r="D681" s="21" t="s">
        <v>35</v>
      </c>
      <c r="E681" s="17" t="s">
        <v>199</v>
      </c>
      <c r="F681" s="18" t="s">
        <v>187</v>
      </c>
      <c r="G681" s="18" t="s">
        <v>48</v>
      </c>
      <c r="H681" s="24">
        <v>64630</v>
      </c>
      <c r="I681" s="24">
        <f>T_reg.root.SK[[#This Row],[Volume, kg]]/1000</f>
        <v>64.63</v>
      </c>
      <c r="J681" s="25">
        <v>0.182</v>
      </c>
      <c r="K681" s="25">
        <f t="shared" si="10"/>
        <v>11762.66</v>
      </c>
      <c r="L681" s="25">
        <v>3.61</v>
      </c>
      <c r="M681" s="24">
        <v>233131.5</v>
      </c>
      <c r="N681" s="25">
        <f>IFERROR(T_reg.root.SK[[#This Row],[Price]]/T_reg.root.SK[[#This Row],[Starch content]],"")</f>
        <v>19.835164835164836</v>
      </c>
    </row>
    <row r="682" spans="1:14">
      <c r="A682" s="21">
        <v>2023</v>
      </c>
      <c r="B682" s="21" t="s">
        <v>22</v>
      </c>
      <c r="C682" s="21" t="s">
        <v>1145</v>
      </c>
      <c r="D682" s="21" t="s">
        <v>35</v>
      </c>
      <c r="E682" s="17" t="s">
        <v>202</v>
      </c>
      <c r="F682" s="18" t="s">
        <v>187</v>
      </c>
      <c r="G682" s="18" t="s">
        <v>48</v>
      </c>
      <c r="H682" s="24">
        <v>3190</v>
      </c>
      <c r="I682" s="24">
        <f>T_reg.root.SK[[#This Row],[Volume, kg]]/1000</f>
        <v>3.19</v>
      </c>
      <c r="J682" s="25">
        <v>0.183</v>
      </c>
      <c r="K682" s="25">
        <f t="shared" si="10"/>
        <v>583.77</v>
      </c>
      <c r="L682" s="25">
        <v>3.65</v>
      </c>
      <c r="M682" s="24">
        <v>11643.5</v>
      </c>
      <c r="N682" s="25">
        <f>IFERROR(T_reg.root.SK[[#This Row],[Price]]/T_reg.root.SK[[#This Row],[Starch content]],"")</f>
        <v>19.94535519125683</v>
      </c>
    </row>
    <row r="683" spans="1:14">
      <c r="A683" s="21">
        <v>2023</v>
      </c>
      <c r="B683" s="21" t="s">
        <v>22</v>
      </c>
      <c r="C683" s="21" t="s">
        <v>1145</v>
      </c>
      <c r="D683" s="21" t="s">
        <v>35</v>
      </c>
      <c r="E683" s="17" t="s">
        <v>211</v>
      </c>
      <c r="F683" s="18" t="s">
        <v>187</v>
      </c>
      <c r="G683" s="18" t="s">
        <v>48</v>
      </c>
      <c r="H683" s="24">
        <v>156830</v>
      </c>
      <c r="I683" s="24">
        <f>T_reg.root.SK[[#This Row],[Volume, kg]]/1000</f>
        <v>156.83000000000001</v>
      </c>
      <c r="J683" s="25">
        <v>0.1845</v>
      </c>
      <c r="K683" s="25">
        <f t="shared" si="10"/>
        <v>28935.134999999998</v>
      </c>
      <c r="L683" s="25">
        <v>3.51</v>
      </c>
      <c r="M683" s="24">
        <v>550277.5</v>
      </c>
      <c r="N683" s="25">
        <f>IFERROR(T_reg.root.SK[[#This Row],[Price]]/T_reg.root.SK[[#This Row],[Starch content]],"")</f>
        <v>19.024390243902438</v>
      </c>
    </row>
    <row r="684" spans="1:14">
      <c r="A684" s="21">
        <v>2023</v>
      </c>
      <c r="B684" s="21" t="s">
        <v>22</v>
      </c>
      <c r="C684" s="21" t="s">
        <v>1145</v>
      </c>
      <c r="D684" s="21" t="s">
        <v>35</v>
      </c>
      <c r="E684" s="17" t="s">
        <v>408</v>
      </c>
      <c r="F684" s="18" t="s">
        <v>187</v>
      </c>
      <c r="G684" s="18" t="s">
        <v>48</v>
      </c>
      <c r="H684" s="24">
        <v>53380</v>
      </c>
      <c r="I684" s="24">
        <f>T_reg.root.SK[[#This Row],[Volume, kg]]/1000</f>
        <v>53.38</v>
      </c>
      <c r="J684" s="25">
        <v>0.22550000000000001</v>
      </c>
      <c r="K684" s="25">
        <f t="shared" si="10"/>
        <v>12037.19</v>
      </c>
      <c r="L684" s="25">
        <v>3.87</v>
      </c>
      <c r="M684" s="24">
        <v>206590.5</v>
      </c>
      <c r="N684" s="25">
        <f>IFERROR(T_reg.root.SK[[#This Row],[Price]]/T_reg.root.SK[[#This Row],[Starch content]],"")</f>
        <v>17.161862527716185</v>
      </c>
    </row>
    <row r="685" spans="1:14">
      <c r="A685" s="21">
        <v>2023</v>
      </c>
      <c r="B685" s="21" t="s">
        <v>22</v>
      </c>
      <c r="C685" s="21" t="s">
        <v>1145</v>
      </c>
      <c r="D685" s="21" t="s">
        <v>35</v>
      </c>
      <c r="E685" s="17" t="s">
        <v>214</v>
      </c>
      <c r="F685" s="18" t="s">
        <v>187</v>
      </c>
      <c r="G685" s="18" t="s">
        <v>48</v>
      </c>
      <c r="H685" s="24">
        <v>11480</v>
      </c>
      <c r="I685" s="24">
        <f>T_reg.root.SK[[#This Row],[Volume, kg]]/1000</f>
        <v>11.48</v>
      </c>
      <c r="J685" s="25">
        <v>0.2122</v>
      </c>
      <c r="K685" s="25">
        <f t="shared" si="10"/>
        <v>2436.056</v>
      </c>
      <c r="L685" s="25">
        <v>3.77</v>
      </c>
      <c r="M685" s="24">
        <v>43285</v>
      </c>
      <c r="N685" s="25">
        <f>IFERROR(T_reg.root.SK[[#This Row],[Price]]/T_reg.root.SK[[#This Row],[Starch content]],"")</f>
        <v>17.766258246936854</v>
      </c>
    </row>
    <row r="686" spans="1:14">
      <c r="A686" s="21">
        <v>2023</v>
      </c>
      <c r="B686" s="21" t="s">
        <v>22</v>
      </c>
      <c r="C686" s="21" t="s">
        <v>1145</v>
      </c>
      <c r="D686" s="21" t="s">
        <v>35</v>
      </c>
      <c r="E686" s="17" t="s">
        <v>409</v>
      </c>
      <c r="F686" s="18" t="s">
        <v>187</v>
      </c>
      <c r="G686" s="18" t="s">
        <v>48</v>
      </c>
      <c r="H686" s="24">
        <v>6870</v>
      </c>
      <c r="I686" s="24">
        <f>T_reg.root.SK[[#This Row],[Volume, kg]]/1000</f>
        <v>6.87</v>
      </c>
      <c r="J686" s="25">
        <v>0.22899999999999998</v>
      </c>
      <c r="K686" s="25">
        <f t="shared" si="10"/>
        <v>1573.2299999999998</v>
      </c>
      <c r="L686" s="25">
        <v>3.7</v>
      </c>
      <c r="M686" s="24">
        <v>25419</v>
      </c>
      <c r="N686" s="25">
        <f>IFERROR(T_reg.root.SK[[#This Row],[Price]]/T_reg.root.SK[[#This Row],[Starch content]],"")</f>
        <v>16.157205240174676</v>
      </c>
    </row>
    <row r="687" spans="1:14">
      <c r="A687" s="21">
        <v>2023</v>
      </c>
      <c r="B687" s="21" t="s">
        <v>22</v>
      </c>
      <c r="C687" s="21" t="s">
        <v>1145</v>
      </c>
      <c r="D687" s="21" t="s">
        <v>35</v>
      </c>
      <c r="E687" s="17" t="s">
        <v>410</v>
      </c>
      <c r="F687" s="18" t="s">
        <v>187</v>
      </c>
      <c r="G687" s="18" t="s">
        <v>48</v>
      </c>
      <c r="H687" s="24">
        <v>8020</v>
      </c>
      <c r="I687" s="24">
        <f>T_reg.root.SK[[#This Row],[Volume, kg]]/1000</f>
        <v>8.02</v>
      </c>
      <c r="J687" s="25">
        <v>0.23149999999999998</v>
      </c>
      <c r="K687" s="25">
        <f t="shared" si="10"/>
        <v>1856.6299999999999</v>
      </c>
      <c r="L687" s="25">
        <v>3.7</v>
      </c>
      <c r="M687" s="24">
        <v>29674</v>
      </c>
      <c r="N687" s="25">
        <f>IFERROR(T_reg.root.SK[[#This Row],[Price]]/T_reg.root.SK[[#This Row],[Starch content]],"")</f>
        <v>15.982721382289419</v>
      </c>
    </row>
    <row r="688" spans="1:14">
      <c r="A688" s="21">
        <v>2023</v>
      </c>
      <c r="B688" s="21" t="s">
        <v>22</v>
      </c>
      <c r="C688" s="21" t="s">
        <v>1145</v>
      </c>
      <c r="D688" s="21" t="s">
        <v>35</v>
      </c>
      <c r="E688" s="17" t="s">
        <v>411</v>
      </c>
      <c r="F688" s="18" t="s">
        <v>412</v>
      </c>
      <c r="G688" s="18" t="s">
        <v>377</v>
      </c>
      <c r="H688" s="24">
        <v>12100</v>
      </c>
      <c r="I688" s="24">
        <f>T_reg.root.SK[[#This Row],[Volume, kg]]/1000</f>
        <v>12.1</v>
      </c>
      <c r="J688" s="25">
        <v>0.18049999999999999</v>
      </c>
      <c r="K688" s="25">
        <f t="shared" si="10"/>
        <v>2184.0499999999997</v>
      </c>
      <c r="L688" s="25">
        <v>2.65</v>
      </c>
      <c r="M688" s="24">
        <v>32065</v>
      </c>
      <c r="N688" s="25">
        <f>IFERROR(T_reg.root.SK[[#This Row],[Price]]/T_reg.root.SK[[#This Row],[Starch content]],"")</f>
        <v>14.681440443213296</v>
      </c>
    </row>
    <row r="689" spans="1:14">
      <c r="A689" s="21">
        <v>2023</v>
      </c>
      <c r="B689" s="21" t="s">
        <v>22</v>
      </c>
      <c r="C689" s="21" t="s">
        <v>1145</v>
      </c>
      <c r="D689" s="21" t="s">
        <v>35</v>
      </c>
      <c r="E689" s="17" t="s">
        <v>413</v>
      </c>
      <c r="F689" s="18" t="s">
        <v>393</v>
      </c>
      <c r="G689" s="18" t="s">
        <v>377</v>
      </c>
      <c r="H689" s="24">
        <v>6070</v>
      </c>
      <c r="I689" s="24">
        <f>T_reg.root.SK[[#This Row],[Volume, kg]]/1000</f>
        <v>6.07</v>
      </c>
      <c r="J689" s="25">
        <v>0.19949999999999998</v>
      </c>
      <c r="K689" s="25">
        <f t="shared" si="10"/>
        <v>1210.9649999999999</v>
      </c>
      <c r="L689" s="25">
        <v>2.75</v>
      </c>
      <c r="M689" s="24">
        <v>16692.5</v>
      </c>
      <c r="N689" s="25">
        <f>IFERROR(T_reg.root.SK[[#This Row],[Price]]/T_reg.root.SK[[#This Row],[Starch content]],"")</f>
        <v>13.784461152882207</v>
      </c>
    </row>
    <row r="690" spans="1:14">
      <c r="A690" s="21">
        <v>2023</v>
      </c>
      <c r="B690" s="21" t="s">
        <v>22</v>
      </c>
      <c r="C690" s="21" t="s">
        <v>1145</v>
      </c>
      <c r="D690" s="21" t="s">
        <v>35</v>
      </c>
      <c r="E690" s="17" t="s">
        <v>414</v>
      </c>
      <c r="F690" s="18" t="s">
        <v>393</v>
      </c>
      <c r="G690" s="18" t="s">
        <v>377</v>
      </c>
      <c r="H690" s="24">
        <v>11600</v>
      </c>
      <c r="I690" s="24">
        <f>T_reg.root.SK[[#This Row],[Volume, kg]]/1000</f>
        <v>11.6</v>
      </c>
      <c r="J690" s="25">
        <v>0.17406034482758626</v>
      </c>
      <c r="K690" s="25">
        <f t="shared" si="10"/>
        <v>2019.1000000000006</v>
      </c>
      <c r="L690" s="25">
        <v>2.6103448275862071</v>
      </c>
      <c r="M690" s="24">
        <v>30280</v>
      </c>
      <c r="N690" s="25">
        <f>IFERROR(T_reg.root.SK[[#This Row],[Price]]/T_reg.root.SK[[#This Row],[Starch content]],"")</f>
        <v>14.996780743895792</v>
      </c>
    </row>
    <row r="691" spans="1:14">
      <c r="A691" s="21">
        <v>2023</v>
      </c>
      <c r="B691" s="21" t="s">
        <v>22</v>
      </c>
      <c r="C691" s="21" t="s">
        <v>1145</v>
      </c>
      <c r="D691" s="21" t="s">
        <v>35</v>
      </c>
      <c r="E691" s="17" t="s">
        <v>415</v>
      </c>
      <c r="F691" s="18" t="s">
        <v>393</v>
      </c>
      <c r="G691" s="18" t="s">
        <v>377</v>
      </c>
      <c r="H691" s="24">
        <v>4690</v>
      </c>
      <c r="I691" s="24">
        <f>T_reg.root.SK[[#This Row],[Volume, kg]]/1000</f>
        <v>4.6900000000000004</v>
      </c>
      <c r="J691" s="25">
        <v>0.17100000000000001</v>
      </c>
      <c r="K691" s="25">
        <f t="shared" si="10"/>
        <v>801.99</v>
      </c>
      <c r="L691" s="25">
        <v>2.6</v>
      </c>
      <c r="M691" s="24">
        <v>12194</v>
      </c>
      <c r="N691" s="25">
        <f>IFERROR(T_reg.root.SK[[#This Row],[Price]]/T_reg.root.SK[[#This Row],[Starch content]],"")</f>
        <v>15.204678362573098</v>
      </c>
    </row>
    <row r="692" spans="1:14">
      <c r="A692" s="21">
        <v>2023</v>
      </c>
      <c r="B692" s="21" t="s">
        <v>22</v>
      </c>
      <c r="C692" s="21" t="s">
        <v>1145</v>
      </c>
      <c r="D692" s="21" t="s">
        <v>35</v>
      </c>
      <c r="E692" s="17" t="s">
        <v>416</v>
      </c>
      <c r="F692" s="18" t="s">
        <v>393</v>
      </c>
      <c r="G692" s="18" t="s">
        <v>377</v>
      </c>
      <c r="H692" s="24">
        <v>18450</v>
      </c>
      <c r="I692" s="24">
        <f>T_reg.root.SK[[#This Row],[Volume, kg]]/1000</f>
        <v>18.45</v>
      </c>
      <c r="J692" s="25">
        <v>0.17100000000000001</v>
      </c>
      <c r="K692" s="25">
        <f t="shared" si="10"/>
        <v>3154.9500000000003</v>
      </c>
      <c r="L692" s="25">
        <v>2.6</v>
      </c>
      <c r="M692" s="24">
        <v>48428.5</v>
      </c>
      <c r="N692" s="25">
        <f>IFERROR(T_reg.root.SK[[#This Row],[Price]]/T_reg.root.SK[[#This Row],[Starch content]],"")</f>
        <v>15.204678362573098</v>
      </c>
    </row>
    <row r="693" spans="1:14">
      <c r="A693" s="21">
        <v>2023</v>
      </c>
      <c r="B693" s="21" t="s">
        <v>22</v>
      </c>
      <c r="C693" s="21" t="s">
        <v>1145</v>
      </c>
      <c r="D693" s="21" t="s">
        <v>35</v>
      </c>
      <c r="E693" s="17" t="s">
        <v>417</v>
      </c>
      <c r="F693" s="18" t="s">
        <v>393</v>
      </c>
      <c r="G693" s="18" t="s">
        <v>377</v>
      </c>
      <c r="H693" s="24">
        <v>10350</v>
      </c>
      <c r="I693" s="24">
        <f>T_reg.root.SK[[#This Row],[Volume, kg]]/1000</f>
        <v>10.35</v>
      </c>
      <c r="J693" s="25">
        <v>0.217</v>
      </c>
      <c r="K693" s="25">
        <f t="shared" si="10"/>
        <v>2245.9499999999998</v>
      </c>
      <c r="L693" s="25">
        <v>2.85</v>
      </c>
      <c r="M693" s="24">
        <v>29497.5</v>
      </c>
      <c r="N693" s="25">
        <f>IFERROR(T_reg.root.SK[[#This Row],[Price]]/T_reg.root.SK[[#This Row],[Starch content]],"")</f>
        <v>13.133640552995391</v>
      </c>
    </row>
    <row r="694" spans="1:14">
      <c r="A694" s="21">
        <v>2023</v>
      </c>
      <c r="B694" s="21" t="s">
        <v>22</v>
      </c>
      <c r="C694" s="21" t="s">
        <v>1145</v>
      </c>
      <c r="D694" s="21" t="s">
        <v>35</v>
      </c>
      <c r="E694" s="17" t="s">
        <v>418</v>
      </c>
      <c r="F694" s="18" t="s">
        <v>393</v>
      </c>
      <c r="G694" s="18" t="s">
        <v>377</v>
      </c>
      <c r="H694" s="24">
        <v>5020</v>
      </c>
      <c r="I694" s="24">
        <f>T_reg.root.SK[[#This Row],[Volume, kg]]/1000</f>
        <v>5.0199999999999996</v>
      </c>
      <c r="J694" s="25">
        <v>0.17100000000000001</v>
      </c>
      <c r="K694" s="25">
        <f t="shared" si="10"/>
        <v>858.42000000000007</v>
      </c>
      <c r="L694" s="25">
        <v>2.6</v>
      </c>
      <c r="M694" s="24">
        <v>14154</v>
      </c>
      <c r="N694" s="25">
        <f>IFERROR(T_reg.root.SK[[#This Row],[Price]]/T_reg.root.SK[[#This Row],[Starch content]],"")</f>
        <v>15.204678362573098</v>
      </c>
    </row>
    <row r="695" spans="1:14">
      <c r="A695" s="21">
        <v>2023</v>
      </c>
      <c r="B695" s="21" t="s">
        <v>22</v>
      </c>
      <c r="C695" s="21" t="s">
        <v>1145</v>
      </c>
      <c r="D695" s="21" t="s">
        <v>35</v>
      </c>
      <c r="E695" s="17" t="s">
        <v>419</v>
      </c>
      <c r="F695" s="18" t="s">
        <v>393</v>
      </c>
      <c r="G695" s="18" t="s">
        <v>377</v>
      </c>
      <c r="H695" s="24">
        <v>1790</v>
      </c>
      <c r="I695" s="24">
        <f>T_reg.root.SK[[#This Row],[Volume, kg]]/1000</f>
        <v>1.79</v>
      </c>
      <c r="J695" s="25">
        <v>0.184</v>
      </c>
      <c r="K695" s="25">
        <f t="shared" si="10"/>
        <v>329.36</v>
      </c>
      <c r="L695" s="25">
        <v>2.65</v>
      </c>
      <c r="M695" s="24">
        <v>4743.5</v>
      </c>
      <c r="N695" s="25">
        <f>IFERROR(T_reg.root.SK[[#This Row],[Price]]/T_reg.root.SK[[#This Row],[Starch content]],"")</f>
        <v>14.402173913043478</v>
      </c>
    </row>
    <row r="696" spans="1:14">
      <c r="A696" s="21">
        <v>2023</v>
      </c>
      <c r="B696" s="21" t="s">
        <v>22</v>
      </c>
      <c r="C696" s="21" t="s">
        <v>1145</v>
      </c>
      <c r="D696" s="21" t="s">
        <v>35</v>
      </c>
      <c r="E696" s="17" t="s">
        <v>420</v>
      </c>
      <c r="F696" s="18" t="s">
        <v>393</v>
      </c>
      <c r="G696" s="18" t="s">
        <v>377</v>
      </c>
      <c r="H696" s="24">
        <v>18320</v>
      </c>
      <c r="I696" s="24">
        <f>T_reg.root.SK[[#This Row],[Volume, kg]]/1000</f>
        <v>18.32</v>
      </c>
      <c r="J696" s="25">
        <v>0.17100000000000001</v>
      </c>
      <c r="K696" s="25">
        <f t="shared" si="10"/>
        <v>3132.7200000000003</v>
      </c>
      <c r="L696" s="25">
        <v>2.6</v>
      </c>
      <c r="M696" s="24">
        <v>51541.5</v>
      </c>
      <c r="N696" s="25">
        <f>IFERROR(T_reg.root.SK[[#This Row],[Price]]/T_reg.root.SK[[#This Row],[Starch content]],"")</f>
        <v>15.204678362573098</v>
      </c>
    </row>
    <row r="697" spans="1:14">
      <c r="A697" s="21">
        <v>2023</v>
      </c>
      <c r="B697" s="21" t="s">
        <v>22</v>
      </c>
      <c r="C697" s="21" t="s">
        <v>1145</v>
      </c>
      <c r="D697" s="21" t="s">
        <v>35</v>
      </c>
      <c r="E697" s="17" t="s">
        <v>421</v>
      </c>
      <c r="F697" s="18" t="s">
        <v>422</v>
      </c>
      <c r="G697" s="18" t="s">
        <v>377</v>
      </c>
      <c r="H697" s="24">
        <v>7100</v>
      </c>
      <c r="I697" s="24">
        <f>T_reg.root.SK[[#This Row],[Volume, kg]]/1000</f>
        <v>7.1</v>
      </c>
      <c r="J697" s="25">
        <v>0.21600000000000003</v>
      </c>
      <c r="K697" s="25">
        <f t="shared" si="10"/>
        <v>1533.6000000000001</v>
      </c>
      <c r="L697" s="25">
        <v>2.85</v>
      </c>
      <c r="M697" s="24">
        <v>20235</v>
      </c>
      <c r="N697" s="25">
        <f>IFERROR(T_reg.root.SK[[#This Row],[Price]]/T_reg.root.SK[[#This Row],[Starch content]],"")</f>
        <v>13.194444444444443</v>
      </c>
    </row>
    <row r="698" spans="1:14">
      <c r="A698" s="21">
        <v>2023</v>
      </c>
      <c r="B698" s="21" t="s">
        <v>22</v>
      </c>
      <c r="C698" s="21" t="s">
        <v>1145</v>
      </c>
      <c r="D698" s="21" t="s">
        <v>35</v>
      </c>
      <c r="E698" s="17" t="s">
        <v>423</v>
      </c>
      <c r="F698" s="18" t="s">
        <v>424</v>
      </c>
      <c r="G698" s="18" t="s">
        <v>377</v>
      </c>
      <c r="H698" s="24">
        <v>29460</v>
      </c>
      <c r="I698" s="24">
        <f>T_reg.root.SK[[#This Row],[Volume, kg]]/1000</f>
        <v>29.46</v>
      </c>
      <c r="J698" s="25">
        <v>0.17100000000000001</v>
      </c>
      <c r="K698" s="25">
        <f t="shared" si="10"/>
        <v>5037.6600000000008</v>
      </c>
      <c r="L698" s="25">
        <v>2.6</v>
      </c>
      <c r="M698" s="24">
        <v>86751</v>
      </c>
      <c r="N698" s="25">
        <f>IFERROR(T_reg.root.SK[[#This Row],[Price]]/T_reg.root.SK[[#This Row],[Starch content]],"")</f>
        <v>15.204678362573098</v>
      </c>
    </row>
    <row r="699" spans="1:14">
      <c r="A699" s="21">
        <v>2023</v>
      </c>
      <c r="B699" s="21" t="s">
        <v>22</v>
      </c>
      <c r="C699" s="21" t="s">
        <v>1145</v>
      </c>
      <c r="D699" s="21" t="s">
        <v>35</v>
      </c>
      <c r="E699" s="17" t="s">
        <v>425</v>
      </c>
      <c r="F699" s="18" t="s">
        <v>385</v>
      </c>
      <c r="G699" s="18" t="s">
        <v>377</v>
      </c>
      <c r="H699" s="24">
        <v>11600</v>
      </c>
      <c r="I699" s="24">
        <f>T_reg.root.SK[[#This Row],[Volume, kg]]/1000</f>
        <v>11.6</v>
      </c>
      <c r="J699" s="25">
        <v>0.16750000000000001</v>
      </c>
      <c r="K699" s="25">
        <f t="shared" si="10"/>
        <v>1943.0000000000002</v>
      </c>
      <c r="L699" s="25">
        <v>2.6</v>
      </c>
      <c r="M699" s="24">
        <v>30160</v>
      </c>
      <c r="N699" s="25">
        <f>IFERROR(T_reg.root.SK[[#This Row],[Price]]/T_reg.root.SK[[#This Row],[Starch content]],"")</f>
        <v>15.522388059701493</v>
      </c>
    </row>
    <row r="700" spans="1:14">
      <c r="A700" s="21">
        <v>2023</v>
      </c>
      <c r="B700" s="21" t="s">
        <v>22</v>
      </c>
      <c r="C700" s="21" t="s">
        <v>1145</v>
      </c>
      <c r="D700" s="21" t="s">
        <v>35</v>
      </c>
      <c r="E700" s="17" t="s">
        <v>426</v>
      </c>
      <c r="F700" s="18" t="s">
        <v>393</v>
      </c>
      <c r="G700" s="18" t="s">
        <v>377</v>
      </c>
      <c r="H700" s="24">
        <v>12580</v>
      </c>
      <c r="I700" s="24">
        <f>T_reg.root.SK[[#This Row],[Volume, kg]]/1000</f>
        <v>12.58</v>
      </c>
      <c r="J700" s="25">
        <v>0.17100000000000001</v>
      </c>
      <c r="K700" s="25">
        <f t="shared" si="10"/>
        <v>2151.1800000000003</v>
      </c>
      <c r="L700" s="25">
        <v>2.6</v>
      </c>
      <c r="M700" s="24">
        <v>33966</v>
      </c>
      <c r="N700" s="25">
        <f>IFERROR(T_reg.root.SK[[#This Row],[Price]]/T_reg.root.SK[[#This Row],[Starch content]],"")</f>
        <v>15.204678362573098</v>
      </c>
    </row>
    <row r="701" spans="1:14">
      <c r="A701" s="21">
        <v>2023</v>
      </c>
      <c r="B701" s="21" t="s">
        <v>22</v>
      </c>
      <c r="C701" s="21" t="s">
        <v>1145</v>
      </c>
      <c r="D701" s="21" t="s">
        <v>35</v>
      </c>
      <c r="E701" s="17" t="s">
        <v>427</v>
      </c>
      <c r="F701" s="18" t="s">
        <v>393</v>
      </c>
      <c r="G701" s="18" t="s">
        <v>377</v>
      </c>
      <c r="H701" s="24">
        <v>9780</v>
      </c>
      <c r="I701" s="24">
        <f>T_reg.root.SK[[#This Row],[Volume, kg]]/1000</f>
        <v>9.7799999999999994</v>
      </c>
      <c r="J701" s="25">
        <v>0.17100000000000001</v>
      </c>
      <c r="K701" s="25">
        <f t="shared" si="10"/>
        <v>1672.38</v>
      </c>
      <c r="L701" s="25">
        <v>2.6</v>
      </c>
      <c r="M701" s="24">
        <v>27794</v>
      </c>
      <c r="N701" s="25">
        <f>IFERROR(T_reg.root.SK[[#This Row],[Price]]/T_reg.root.SK[[#This Row],[Starch content]],"")</f>
        <v>15.204678362573098</v>
      </c>
    </row>
    <row r="702" spans="1:14">
      <c r="A702" s="21">
        <v>2023</v>
      </c>
      <c r="B702" s="21" t="s">
        <v>22</v>
      </c>
      <c r="C702" s="21" t="s">
        <v>1145</v>
      </c>
      <c r="D702" s="21" t="s">
        <v>35</v>
      </c>
      <c r="E702" s="17" t="s">
        <v>428</v>
      </c>
      <c r="F702" s="18" t="s">
        <v>393</v>
      </c>
      <c r="G702" s="18" t="s">
        <v>377</v>
      </c>
      <c r="H702" s="24">
        <v>4630</v>
      </c>
      <c r="I702" s="24">
        <f>T_reg.root.SK[[#This Row],[Volume, kg]]/1000</f>
        <v>4.63</v>
      </c>
      <c r="J702" s="25">
        <v>0.18350000000000002</v>
      </c>
      <c r="K702" s="25">
        <f t="shared" si="10"/>
        <v>849.60500000000013</v>
      </c>
      <c r="L702" s="25">
        <v>2.65</v>
      </c>
      <c r="M702" s="24">
        <v>12269.5</v>
      </c>
      <c r="N702" s="25">
        <f>IFERROR(T_reg.root.SK[[#This Row],[Price]]/T_reg.root.SK[[#This Row],[Starch content]],"")</f>
        <v>14.441416893732967</v>
      </c>
    </row>
    <row r="703" spans="1:14">
      <c r="A703" s="21">
        <v>2023</v>
      </c>
      <c r="B703" s="21" t="s">
        <v>22</v>
      </c>
      <c r="C703" s="21" t="s">
        <v>1145</v>
      </c>
      <c r="D703" s="21" t="s">
        <v>35</v>
      </c>
      <c r="E703" s="17" t="s">
        <v>429</v>
      </c>
      <c r="F703" s="18" t="s">
        <v>422</v>
      </c>
      <c r="G703" s="18" t="s">
        <v>377</v>
      </c>
      <c r="H703" s="24">
        <v>5270</v>
      </c>
      <c r="I703" s="24">
        <f>T_reg.root.SK[[#This Row],[Volume, kg]]/1000</f>
        <v>5.27</v>
      </c>
      <c r="J703" s="25">
        <v>0.19149999999999998</v>
      </c>
      <c r="K703" s="25">
        <f t="shared" si="10"/>
        <v>1009.2049999999999</v>
      </c>
      <c r="L703" s="25">
        <v>2.7</v>
      </c>
      <c r="M703" s="24">
        <v>14229.000000000002</v>
      </c>
      <c r="N703" s="25">
        <f>IFERROR(T_reg.root.SK[[#This Row],[Price]]/T_reg.root.SK[[#This Row],[Starch content]],"")</f>
        <v>14.09921671018277</v>
      </c>
    </row>
    <row r="704" spans="1:14">
      <c r="A704" s="21">
        <v>2023</v>
      </c>
      <c r="B704" s="21" t="s">
        <v>22</v>
      </c>
      <c r="C704" s="21" t="s">
        <v>1145</v>
      </c>
      <c r="D704" s="21" t="s">
        <v>35</v>
      </c>
      <c r="E704" s="17" t="s">
        <v>430</v>
      </c>
      <c r="F704" s="18" t="s">
        <v>393</v>
      </c>
      <c r="G704" s="18" t="s">
        <v>377</v>
      </c>
      <c r="H704" s="24">
        <v>4400</v>
      </c>
      <c r="I704" s="24">
        <f>T_reg.root.SK[[#This Row],[Volume, kg]]/1000</f>
        <v>4.4000000000000004</v>
      </c>
      <c r="J704" s="25">
        <v>0.20250000000000001</v>
      </c>
      <c r="K704" s="25">
        <f t="shared" si="10"/>
        <v>891.00000000000011</v>
      </c>
      <c r="L704" s="25">
        <v>2.75</v>
      </c>
      <c r="M704" s="24">
        <v>12100</v>
      </c>
      <c r="N704" s="25">
        <f>IFERROR(T_reg.root.SK[[#This Row],[Price]]/T_reg.root.SK[[#This Row],[Starch content]],"")</f>
        <v>13.580246913580247</v>
      </c>
    </row>
    <row r="705" spans="1:14">
      <c r="A705" s="21">
        <v>2023</v>
      </c>
      <c r="B705" s="21" t="s">
        <v>22</v>
      </c>
      <c r="C705" s="21" t="s">
        <v>1145</v>
      </c>
      <c r="D705" s="21" t="s">
        <v>35</v>
      </c>
      <c r="E705" s="17" t="s">
        <v>431</v>
      </c>
      <c r="F705" s="18" t="s">
        <v>432</v>
      </c>
      <c r="G705" s="18" t="s">
        <v>377</v>
      </c>
      <c r="H705" s="24">
        <v>11990</v>
      </c>
      <c r="I705" s="24">
        <f>T_reg.root.SK[[#This Row],[Volume, kg]]/1000</f>
        <v>11.99</v>
      </c>
      <c r="J705" s="25">
        <v>0.17100000000000001</v>
      </c>
      <c r="K705" s="25">
        <f t="shared" si="10"/>
        <v>2050.29</v>
      </c>
      <c r="L705" s="25">
        <v>2.6</v>
      </c>
      <c r="M705" s="24">
        <v>33675.5</v>
      </c>
      <c r="N705" s="25">
        <f>IFERROR(T_reg.root.SK[[#This Row],[Price]]/T_reg.root.SK[[#This Row],[Starch content]],"")</f>
        <v>15.204678362573098</v>
      </c>
    </row>
    <row r="706" spans="1:14">
      <c r="A706" s="21">
        <v>2023</v>
      </c>
      <c r="B706" s="21" t="s">
        <v>22</v>
      </c>
      <c r="C706" s="21" t="s">
        <v>1145</v>
      </c>
      <c r="D706" s="21" t="s">
        <v>35</v>
      </c>
      <c r="E706" s="17" t="s">
        <v>433</v>
      </c>
      <c r="F706" s="18" t="s">
        <v>422</v>
      </c>
      <c r="G706" s="18" t="s">
        <v>377</v>
      </c>
      <c r="H706" s="24">
        <v>20990</v>
      </c>
      <c r="I706" s="24">
        <f>T_reg.root.SK[[#This Row],[Volume, kg]]/1000</f>
        <v>20.99</v>
      </c>
      <c r="J706" s="25">
        <v>0.17100000000000001</v>
      </c>
      <c r="K706" s="25">
        <f t="shared" si="10"/>
        <v>3589.2900000000004</v>
      </c>
      <c r="L706" s="25">
        <v>2.6</v>
      </c>
      <c r="M706" s="24">
        <v>56114.5</v>
      </c>
      <c r="N706" s="25">
        <f>IFERROR(T_reg.root.SK[[#This Row],[Price]]/T_reg.root.SK[[#This Row],[Starch content]],"")</f>
        <v>15.204678362573098</v>
      </c>
    </row>
    <row r="707" spans="1:14">
      <c r="A707" s="21">
        <v>2023</v>
      </c>
      <c r="B707" s="21" t="s">
        <v>22</v>
      </c>
      <c r="C707" s="21" t="s">
        <v>1145</v>
      </c>
      <c r="D707" s="21" t="s">
        <v>35</v>
      </c>
      <c r="E707" s="17" t="s">
        <v>434</v>
      </c>
      <c r="F707" s="18" t="s">
        <v>422</v>
      </c>
      <c r="G707" s="18" t="s">
        <v>377</v>
      </c>
      <c r="H707" s="24">
        <v>3120</v>
      </c>
      <c r="I707" s="24">
        <f>T_reg.root.SK[[#This Row],[Volume, kg]]/1000</f>
        <v>3.12</v>
      </c>
      <c r="J707" s="25">
        <v>0.192</v>
      </c>
      <c r="K707" s="25">
        <f t="shared" ref="K707:K770" si="11">H707*J707</f>
        <v>599.04</v>
      </c>
      <c r="L707" s="25">
        <v>2.7</v>
      </c>
      <c r="M707" s="24">
        <v>8424</v>
      </c>
      <c r="N707" s="25">
        <f>IFERROR(T_reg.root.SK[[#This Row],[Price]]/T_reg.root.SK[[#This Row],[Starch content]],"")</f>
        <v>14.0625</v>
      </c>
    </row>
    <row r="708" spans="1:14">
      <c r="A708" s="21">
        <v>2023</v>
      </c>
      <c r="B708" s="21" t="s">
        <v>22</v>
      </c>
      <c r="C708" s="21" t="s">
        <v>1145</v>
      </c>
      <c r="D708" s="21" t="s">
        <v>35</v>
      </c>
      <c r="E708" s="17" t="s">
        <v>435</v>
      </c>
      <c r="F708" s="18" t="s">
        <v>393</v>
      </c>
      <c r="G708" s="18" t="s">
        <v>377</v>
      </c>
      <c r="H708" s="24">
        <v>6770</v>
      </c>
      <c r="I708" s="24">
        <f>T_reg.root.SK[[#This Row],[Volume, kg]]/1000</f>
        <v>6.77</v>
      </c>
      <c r="J708" s="25">
        <v>0.21350000000000002</v>
      </c>
      <c r="K708" s="25">
        <f t="shared" si="11"/>
        <v>1445.3950000000002</v>
      </c>
      <c r="L708" s="25">
        <v>2.8</v>
      </c>
      <c r="M708" s="24">
        <v>18956</v>
      </c>
      <c r="N708" s="25">
        <f>IFERROR(T_reg.root.SK[[#This Row],[Price]]/T_reg.root.SK[[#This Row],[Starch content]],"")</f>
        <v>13.114754098360654</v>
      </c>
    </row>
    <row r="709" spans="1:14">
      <c r="A709" s="21">
        <v>2023</v>
      </c>
      <c r="B709" s="21" t="s">
        <v>22</v>
      </c>
      <c r="C709" s="21" t="s">
        <v>1145</v>
      </c>
      <c r="D709" s="21" t="s">
        <v>35</v>
      </c>
      <c r="E709" s="17" t="s">
        <v>436</v>
      </c>
      <c r="F709" s="18" t="s">
        <v>393</v>
      </c>
      <c r="G709" s="18" t="s">
        <v>377</v>
      </c>
      <c r="H709" s="24">
        <v>17990</v>
      </c>
      <c r="I709" s="24">
        <f>T_reg.root.SK[[#This Row],[Volume, kg]]/1000</f>
        <v>17.989999999999998</v>
      </c>
      <c r="J709" s="25">
        <v>0.22149999999999997</v>
      </c>
      <c r="K709" s="25">
        <f t="shared" si="11"/>
        <v>3984.7849999999994</v>
      </c>
      <c r="L709" s="25">
        <v>2.85</v>
      </c>
      <c r="M709" s="24">
        <v>51271.5</v>
      </c>
      <c r="N709" s="25">
        <f>IFERROR(T_reg.root.SK[[#This Row],[Price]]/T_reg.root.SK[[#This Row],[Starch content]],"")</f>
        <v>12.866817155756209</v>
      </c>
    </row>
    <row r="710" spans="1:14">
      <c r="A710" s="21">
        <v>2023</v>
      </c>
      <c r="B710" s="21" t="s">
        <v>22</v>
      </c>
      <c r="C710" s="21" t="s">
        <v>1145</v>
      </c>
      <c r="D710" s="21" t="s">
        <v>35</v>
      </c>
      <c r="E710" s="17" t="s">
        <v>437</v>
      </c>
      <c r="F710" s="18" t="s">
        <v>393</v>
      </c>
      <c r="G710" s="18" t="s">
        <v>377</v>
      </c>
      <c r="H710" s="24">
        <v>4730</v>
      </c>
      <c r="I710" s="24">
        <f>T_reg.root.SK[[#This Row],[Volume, kg]]/1000</f>
        <v>4.7300000000000004</v>
      </c>
      <c r="J710" s="25">
        <v>0.21100000000000002</v>
      </c>
      <c r="K710" s="25">
        <f t="shared" si="11"/>
        <v>998.03000000000009</v>
      </c>
      <c r="L710" s="25">
        <v>2.8</v>
      </c>
      <c r="M710" s="24">
        <v>13244</v>
      </c>
      <c r="N710" s="25">
        <f>IFERROR(T_reg.root.SK[[#This Row],[Price]]/T_reg.root.SK[[#This Row],[Starch content]],"")</f>
        <v>13.270142180094785</v>
      </c>
    </row>
    <row r="711" spans="1:14">
      <c r="A711" s="21">
        <v>2023</v>
      </c>
      <c r="B711" s="21" t="s">
        <v>22</v>
      </c>
      <c r="C711" s="21" t="s">
        <v>1145</v>
      </c>
      <c r="D711" s="21" t="s">
        <v>35</v>
      </c>
      <c r="E711" s="17" t="s">
        <v>438</v>
      </c>
      <c r="F711" s="18" t="s">
        <v>393</v>
      </c>
      <c r="G711" s="18" t="s">
        <v>377</v>
      </c>
      <c r="H711" s="24">
        <v>15610</v>
      </c>
      <c r="I711" s="24">
        <f>T_reg.root.SK[[#This Row],[Volume, kg]]/1000</f>
        <v>15.61</v>
      </c>
      <c r="J711" s="25">
        <v>0.17100000000000001</v>
      </c>
      <c r="K711" s="25">
        <f t="shared" si="11"/>
        <v>2669.3100000000004</v>
      </c>
      <c r="L711" s="25">
        <v>2.6</v>
      </c>
      <c r="M711" s="24">
        <v>42437.5</v>
      </c>
      <c r="N711" s="25">
        <f>IFERROR(T_reg.root.SK[[#This Row],[Price]]/T_reg.root.SK[[#This Row],[Starch content]],"")</f>
        <v>15.204678362573098</v>
      </c>
    </row>
    <row r="712" spans="1:14">
      <c r="A712" s="21">
        <v>2023</v>
      </c>
      <c r="B712" s="21" t="s">
        <v>22</v>
      </c>
      <c r="C712" s="21" t="s">
        <v>1145</v>
      </c>
      <c r="D712" s="21" t="s">
        <v>35</v>
      </c>
      <c r="E712" s="17" t="s">
        <v>439</v>
      </c>
      <c r="F712" s="18" t="s">
        <v>385</v>
      </c>
      <c r="G712" s="18" t="s">
        <v>377</v>
      </c>
      <c r="H712" s="24">
        <v>6660</v>
      </c>
      <c r="I712" s="24">
        <f>T_reg.root.SK[[#This Row],[Volume, kg]]/1000</f>
        <v>6.66</v>
      </c>
      <c r="J712" s="25">
        <v>0.187</v>
      </c>
      <c r="K712" s="25">
        <f t="shared" si="11"/>
        <v>1245.42</v>
      </c>
      <c r="L712" s="25">
        <v>2.7</v>
      </c>
      <c r="M712" s="24">
        <v>17982</v>
      </c>
      <c r="N712" s="25">
        <f>IFERROR(T_reg.root.SK[[#This Row],[Price]]/T_reg.root.SK[[#This Row],[Starch content]],"")</f>
        <v>14.438502673796792</v>
      </c>
    </row>
    <row r="713" spans="1:14">
      <c r="A713" s="21">
        <v>2023</v>
      </c>
      <c r="B713" s="21" t="s">
        <v>22</v>
      </c>
      <c r="C713" s="21" t="s">
        <v>1145</v>
      </c>
      <c r="D713" s="21" t="s">
        <v>35</v>
      </c>
      <c r="E713" s="17" t="s">
        <v>440</v>
      </c>
      <c r="F713" s="18" t="s">
        <v>398</v>
      </c>
      <c r="G713" s="18" t="s">
        <v>377</v>
      </c>
      <c r="H713" s="24">
        <v>8700</v>
      </c>
      <c r="I713" s="24">
        <f>T_reg.root.SK[[#This Row],[Volume, kg]]/1000</f>
        <v>8.6999999999999993</v>
      </c>
      <c r="J713" s="25">
        <v>0.17100000000000001</v>
      </c>
      <c r="K713" s="25">
        <f t="shared" si="11"/>
        <v>1487.7</v>
      </c>
      <c r="L713" s="25">
        <v>2.6</v>
      </c>
      <c r="M713" s="24">
        <v>23983</v>
      </c>
      <c r="N713" s="25">
        <f>IFERROR(T_reg.root.SK[[#This Row],[Price]]/T_reg.root.SK[[#This Row],[Starch content]],"")</f>
        <v>15.204678362573098</v>
      </c>
    </row>
    <row r="714" spans="1:14">
      <c r="A714" s="21">
        <v>2023</v>
      </c>
      <c r="B714" s="21" t="s">
        <v>22</v>
      </c>
      <c r="C714" s="21" t="s">
        <v>1145</v>
      </c>
      <c r="D714" s="21" t="s">
        <v>35</v>
      </c>
      <c r="E714" s="17" t="s">
        <v>441</v>
      </c>
      <c r="F714" s="18" t="s">
        <v>398</v>
      </c>
      <c r="G714" s="18" t="s">
        <v>377</v>
      </c>
      <c r="H714" s="24">
        <v>8520</v>
      </c>
      <c r="I714" s="24">
        <f>T_reg.root.SK[[#This Row],[Volume, kg]]/1000</f>
        <v>8.52</v>
      </c>
      <c r="J714" s="25">
        <v>0.23499999999999999</v>
      </c>
      <c r="K714" s="25">
        <f t="shared" si="11"/>
        <v>2002.1999999999998</v>
      </c>
      <c r="L714" s="25">
        <v>3.3</v>
      </c>
      <c r="M714" s="24">
        <v>28116</v>
      </c>
      <c r="N714" s="25">
        <f>IFERROR(T_reg.root.SK[[#This Row],[Price]]/T_reg.root.SK[[#This Row],[Starch content]],"")</f>
        <v>14.042553191489361</v>
      </c>
    </row>
    <row r="715" spans="1:14">
      <c r="A715" s="21">
        <v>2023</v>
      </c>
      <c r="B715" s="21" t="s">
        <v>22</v>
      </c>
      <c r="C715" s="21" t="s">
        <v>1145</v>
      </c>
      <c r="D715" s="21" t="s">
        <v>35</v>
      </c>
      <c r="E715" s="17" t="s">
        <v>442</v>
      </c>
      <c r="F715" s="18" t="s">
        <v>432</v>
      </c>
      <c r="G715" s="18" t="s">
        <v>377</v>
      </c>
      <c r="H715" s="24">
        <v>22860</v>
      </c>
      <c r="I715" s="24">
        <f>T_reg.root.SK[[#This Row],[Volume, kg]]/1000</f>
        <v>22.86</v>
      </c>
      <c r="J715" s="25">
        <v>0.22649999999999998</v>
      </c>
      <c r="K715" s="25">
        <f t="shared" si="11"/>
        <v>5177.79</v>
      </c>
      <c r="L715" s="25">
        <v>2.9</v>
      </c>
      <c r="M715" s="24">
        <v>66294</v>
      </c>
      <c r="N715" s="25">
        <f>IFERROR(T_reg.root.SK[[#This Row],[Price]]/T_reg.root.SK[[#This Row],[Starch content]],"")</f>
        <v>12.803532008830024</v>
      </c>
    </row>
    <row r="716" spans="1:14">
      <c r="A716" s="21">
        <v>2023</v>
      </c>
      <c r="B716" s="21" t="s">
        <v>22</v>
      </c>
      <c r="C716" s="21" t="s">
        <v>1145</v>
      </c>
      <c r="D716" s="21" t="s">
        <v>35</v>
      </c>
      <c r="E716" s="17" t="s">
        <v>443</v>
      </c>
      <c r="F716" s="18" t="s">
        <v>422</v>
      </c>
      <c r="G716" s="18" t="s">
        <v>377</v>
      </c>
      <c r="H716" s="24">
        <v>3680</v>
      </c>
      <c r="I716" s="24">
        <f>T_reg.root.SK[[#This Row],[Volume, kg]]/1000</f>
        <v>3.68</v>
      </c>
      <c r="J716" s="25">
        <v>0.22450000000000001</v>
      </c>
      <c r="K716" s="25">
        <f t="shared" si="11"/>
        <v>826.16</v>
      </c>
      <c r="L716" s="25">
        <v>2.85</v>
      </c>
      <c r="M716" s="24">
        <v>10488</v>
      </c>
      <c r="N716" s="25">
        <f>IFERROR(T_reg.root.SK[[#This Row],[Price]]/T_reg.root.SK[[#This Row],[Starch content]],"")</f>
        <v>12.694877505567929</v>
      </c>
    </row>
    <row r="717" spans="1:14">
      <c r="A717" s="21">
        <v>2023</v>
      </c>
      <c r="B717" s="21" t="s">
        <v>22</v>
      </c>
      <c r="C717" s="21" t="s">
        <v>1145</v>
      </c>
      <c r="D717" s="21" t="s">
        <v>35</v>
      </c>
      <c r="E717" s="17" t="s">
        <v>444</v>
      </c>
      <c r="F717" s="18" t="s">
        <v>393</v>
      </c>
      <c r="G717" s="18" t="s">
        <v>377</v>
      </c>
      <c r="H717" s="24">
        <v>10260</v>
      </c>
      <c r="I717" s="24">
        <f>T_reg.root.SK[[#This Row],[Volume, kg]]/1000</f>
        <v>10.26</v>
      </c>
      <c r="J717" s="25">
        <v>0.1845</v>
      </c>
      <c r="K717" s="25">
        <f t="shared" si="11"/>
        <v>1892.97</v>
      </c>
      <c r="L717" s="25">
        <v>2.65</v>
      </c>
      <c r="M717" s="24">
        <v>27189</v>
      </c>
      <c r="N717" s="25">
        <f>IFERROR(T_reg.root.SK[[#This Row],[Price]]/T_reg.root.SK[[#This Row],[Starch content]],"")</f>
        <v>14.363143631436314</v>
      </c>
    </row>
    <row r="718" spans="1:14">
      <c r="A718" s="21">
        <v>2023</v>
      </c>
      <c r="B718" s="21" t="s">
        <v>22</v>
      </c>
      <c r="C718" s="21" t="s">
        <v>1145</v>
      </c>
      <c r="D718" s="21" t="s">
        <v>35</v>
      </c>
      <c r="E718" s="17" t="s">
        <v>445</v>
      </c>
      <c r="F718" s="18" t="s">
        <v>398</v>
      </c>
      <c r="G718" s="18" t="s">
        <v>377</v>
      </c>
      <c r="H718" s="24">
        <v>3680</v>
      </c>
      <c r="I718" s="24">
        <f>T_reg.root.SK[[#This Row],[Volume, kg]]/1000</f>
        <v>3.68</v>
      </c>
      <c r="J718" s="25">
        <v>0.20449999999999999</v>
      </c>
      <c r="K718" s="25">
        <f t="shared" si="11"/>
        <v>752.56</v>
      </c>
      <c r="L718" s="25">
        <v>2.75</v>
      </c>
      <c r="M718" s="24">
        <v>10120</v>
      </c>
      <c r="N718" s="25">
        <f>IFERROR(T_reg.root.SK[[#This Row],[Price]]/T_reg.root.SK[[#This Row],[Starch content]],"")</f>
        <v>13.447432762836186</v>
      </c>
    </row>
    <row r="719" spans="1:14">
      <c r="A719" s="21">
        <v>2023</v>
      </c>
      <c r="B719" s="21" t="s">
        <v>22</v>
      </c>
      <c r="C719" s="21" t="s">
        <v>1145</v>
      </c>
      <c r="D719" s="21" t="s">
        <v>35</v>
      </c>
      <c r="E719" s="17" t="s">
        <v>446</v>
      </c>
      <c r="F719" s="18" t="s">
        <v>422</v>
      </c>
      <c r="G719" s="18" t="s">
        <v>377</v>
      </c>
      <c r="H719" s="24">
        <v>5010</v>
      </c>
      <c r="I719" s="24">
        <f>T_reg.root.SK[[#This Row],[Volume, kg]]/1000</f>
        <v>5.01</v>
      </c>
      <c r="J719" s="25">
        <v>0.20350000000000001</v>
      </c>
      <c r="K719" s="25">
        <f t="shared" si="11"/>
        <v>1019.5350000000001</v>
      </c>
      <c r="L719" s="25">
        <v>2.75</v>
      </c>
      <c r="M719" s="24">
        <v>13777.5</v>
      </c>
      <c r="N719" s="25">
        <f>IFERROR(T_reg.root.SK[[#This Row],[Price]]/T_reg.root.SK[[#This Row],[Starch content]],"")</f>
        <v>13.513513513513512</v>
      </c>
    </row>
    <row r="720" spans="1:14">
      <c r="A720" s="21">
        <v>2023</v>
      </c>
      <c r="B720" s="21" t="s">
        <v>22</v>
      </c>
      <c r="C720" s="21" t="s">
        <v>1145</v>
      </c>
      <c r="D720" s="21" t="s">
        <v>35</v>
      </c>
      <c r="E720" s="17" t="s">
        <v>447</v>
      </c>
      <c r="F720" s="18" t="s">
        <v>393</v>
      </c>
      <c r="G720" s="18" t="s">
        <v>377</v>
      </c>
      <c r="H720" s="24">
        <v>25480</v>
      </c>
      <c r="I720" s="24">
        <f>T_reg.root.SK[[#This Row],[Volume, kg]]/1000</f>
        <v>25.48</v>
      </c>
      <c r="J720" s="25">
        <v>0.17100000000000001</v>
      </c>
      <c r="K720" s="25">
        <f t="shared" si="11"/>
        <v>4357.08</v>
      </c>
      <c r="L720" s="25">
        <v>2.6</v>
      </c>
      <c r="M720" s="24">
        <v>70589.5</v>
      </c>
      <c r="N720" s="25">
        <f>IFERROR(T_reg.root.SK[[#This Row],[Price]]/T_reg.root.SK[[#This Row],[Starch content]],"")</f>
        <v>15.204678362573098</v>
      </c>
    </row>
    <row r="721" spans="1:14">
      <c r="A721" s="21">
        <v>2023</v>
      </c>
      <c r="B721" s="21" t="s">
        <v>22</v>
      </c>
      <c r="C721" s="21" t="s">
        <v>1145</v>
      </c>
      <c r="D721" s="21" t="s">
        <v>35</v>
      </c>
      <c r="E721" s="17" t="s">
        <v>448</v>
      </c>
      <c r="F721" s="18" t="s">
        <v>422</v>
      </c>
      <c r="G721" s="18" t="s">
        <v>377</v>
      </c>
      <c r="H721" s="24">
        <v>8230</v>
      </c>
      <c r="I721" s="24">
        <f>T_reg.root.SK[[#This Row],[Volume, kg]]/1000</f>
        <v>8.23</v>
      </c>
      <c r="J721" s="25">
        <v>0.1875</v>
      </c>
      <c r="K721" s="25">
        <f t="shared" si="11"/>
        <v>1543.125</v>
      </c>
      <c r="L721" s="25">
        <v>2.7</v>
      </c>
      <c r="M721" s="24">
        <v>22221</v>
      </c>
      <c r="N721" s="25">
        <f>IFERROR(T_reg.root.SK[[#This Row],[Price]]/T_reg.root.SK[[#This Row],[Starch content]],"")</f>
        <v>14.4</v>
      </c>
    </row>
    <row r="722" spans="1:14">
      <c r="A722" s="21">
        <v>2023</v>
      </c>
      <c r="B722" s="21" t="s">
        <v>22</v>
      </c>
      <c r="C722" s="21" t="s">
        <v>1145</v>
      </c>
      <c r="D722" s="21" t="s">
        <v>35</v>
      </c>
      <c r="E722" s="17" t="s">
        <v>449</v>
      </c>
      <c r="F722" s="18" t="s">
        <v>393</v>
      </c>
      <c r="G722" s="18" t="s">
        <v>377</v>
      </c>
      <c r="H722" s="24">
        <v>6640</v>
      </c>
      <c r="I722" s="24">
        <f>T_reg.root.SK[[#This Row],[Volume, kg]]/1000</f>
        <v>6.64</v>
      </c>
      <c r="J722" s="25">
        <v>0.19570000000000001</v>
      </c>
      <c r="K722" s="25">
        <f t="shared" si="11"/>
        <v>1299.4480000000001</v>
      </c>
      <c r="L722" s="25">
        <v>2.75</v>
      </c>
      <c r="M722" s="24">
        <v>18260</v>
      </c>
      <c r="N722" s="25">
        <f>IFERROR(T_reg.root.SK[[#This Row],[Price]]/T_reg.root.SK[[#This Row],[Starch content]],"")</f>
        <v>14.052120592743995</v>
      </c>
    </row>
    <row r="723" spans="1:14">
      <c r="A723" s="21">
        <v>2023</v>
      </c>
      <c r="B723" s="21" t="s">
        <v>22</v>
      </c>
      <c r="C723" s="21" t="s">
        <v>1145</v>
      </c>
      <c r="D723" s="21" t="s">
        <v>35</v>
      </c>
      <c r="E723" s="17" t="s">
        <v>450</v>
      </c>
      <c r="F723" s="18" t="s">
        <v>422</v>
      </c>
      <c r="G723" s="18" t="s">
        <v>377</v>
      </c>
      <c r="H723" s="24">
        <v>1700</v>
      </c>
      <c r="I723" s="24">
        <f>T_reg.root.SK[[#This Row],[Volume, kg]]/1000</f>
        <v>1.7</v>
      </c>
      <c r="J723" s="25">
        <v>0.19450000000000001</v>
      </c>
      <c r="K723" s="25">
        <f t="shared" si="11"/>
        <v>330.65000000000003</v>
      </c>
      <c r="L723" s="25">
        <v>2.7</v>
      </c>
      <c r="M723" s="24">
        <v>4590</v>
      </c>
      <c r="N723" s="25">
        <f>IFERROR(T_reg.root.SK[[#This Row],[Price]]/T_reg.root.SK[[#This Row],[Starch content]],"")</f>
        <v>13.881748071979436</v>
      </c>
    </row>
    <row r="724" spans="1:14">
      <c r="A724" s="21">
        <v>2023</v>
      </c>
      <c r="B724" s="21" t="s">
        <v>22</v>
      </c>
      <c r="C724" s="21" t="s">
        <v>1145</v>
      </c>
      <c r="D724" s="21" t="s">
        <v>35</v>
      </c>
      <c r="E724" s="17" t="s">
        <v>451</v>
      </c>
      <c r="F724" s="18" t="s">
        <v>398</v>
      </c>
      <c r="G724" s="18" t="s">
        <v>377</v>
      </c>
      <c r="H724" s="24">
        <v>16550</v>
      </c>
      <c r="I724" s="24">
        <f>T_reg.root.SK[[#This Row],[Volume, kg]]/1000</f>
        <v>16.55</v>
      </c>
      <c r="J724" s="25">
        <v>0.17100000000000001</v>
      </c>
      <c r="K724" s="25">
        <f t="shared" si="11"/>
        <v>2830.05</v>
      </c>
      <c r="L724" s="25">
        <v>2.6</v>
      </c>
      <c r="M724" s="24">
        <v>47995</v>
      </c>
      <c r="N724" s="25">
        <f>IFERROR(T_reg.root.SK[[#This Row],[Price]]/T_reg.root.SK[[#This Row],[Starch content]],"")</f>
        <v>15.204678362573098</v>
      </c>
    </row>
    <row r="725" spans="1:14">
      <c r="A725" s="21">
        <v>2023</v>
      </c>
      <c r="B725" s="21" t="s">
        <v>22</v>
      </c>
      <c r="C725" s="21" t="s">
        <v>1145</v>
      </c>
      <c r="D725" s="21" t="s">
        <v>35</v>
      </c>
      <c r="E725" s="17" t="s">
        <v>452</v>
      </c>
      <c r="F725" s="18" t="s">
        <v>376</v>
      </c>
      <c r="G725" s="18" t="s">
        <v>377</v>
      </c>
      <c r="H725" s="24">
        <v>9140</v>
      </c>
      <c r="I725" s="24">
        <f>T_reg.root.SK[[#This Row],[Volume, kg]]/1000</f>
        <v>9.14</v>
      </c>
      <c r="J725" s="25">
        <v>0.20199999999999999</v>
      </c>
      <c r="K725" s="25">
        <f t="shared" si="11"/>
        <v>1846.28</v>
      </c>
      <c r="L725" s="25">
        <v>2.75</v>
      </c>
      <c r="M725" s="24">
        <v>25135</v>
      </c>
      <c r="N725" s="25">
        <f>IFERROR(T_reg.root.SK[[#This Row],[Price]]/T_reg.root.SK[[#This Row],[Starch content]],"")</f>
        <v>13.613861386138614</v>
      </c>
    </row>
    <row r="726" spans="1:14">
      <c r="A726" s="21">
        <v>2023</v>
      </c>
      <c r="B726" s="21" t="s">
        <v>22</v>
      </c>
      <c r="C726" s="21" t="s">
        <v>1145</v>
      </c>
      <c r="D726" s="21" t="s">
        <v>35</v>
      </c>
      <c r="E726" s="17" t="s">
        <v>453</v>
      </c>
      <c r="F726" s="18" t="s">
        <v>393</v>
      </c>
      <c r="G726" s="18" t="s">
        <v>377</v>
      </c>
      <c r="H726" s="24">
        <v>6030</v>
      </c>
      <c r="I726" s="24">
        <f>T_reg.root.SK[[#This Row],[Volume, kg]]/1000</f>
        <v>6.03</v>
      </c>
      <c r="J726" s="25">
        <v>0.21050000000000002</v>
      </c>
      <c r="K726" s="25">
        <f t="shared" si="11"/>
        <v>1269.3150000000001</v>
      </c>
      <c r="L726" s="25">
        <v>2.8</v>
      </c>
      <c r="M726" s="24">
        <v>16884</v>
      </c>
      <c r="N726" s="25">
        <f>IFERROR(T_reg.root.SK[[#This Row],[Price]]/T_reg.root.SK[[#This Row],[Starch content]],"")</f>
        <v>13.301662707838478</v>
      </c>
    </row>
    <row r="727" spans="1:14">
      <c r="A727" s="21">
        <v>2023</v>
      </c>
      <c r="B727" s="21" t="s">
        <v>22</v>
      </c>
      <c r="C727" s="21" t="s">
        <v>1145</v>
      </c>
      <c r="D727" s="21" t="s">
        <v>35</v>
      </c>
      <c r="E727" s="17" t="s">
        <v>454</v>
      </c>
      <c r="F727" s="18" t="s">
        <v>422</v>
      </c>
      <c r="G727" s="18" t="s">
        <v>377</v>
      </c>
      <c r="H727" s="24">
        <v>2710</v>
      </c>
      <c r="I727" s="24">
        <f>T_reg.root.SK[[#This Row],[Volume, kg]]/1000</f>
        <v>2.71</v>
      </c>
      <c r="J727" s="25">
        <v>0.22</v>
      </c>
      <c r="K727" s="25">
        <f t="shared" si="11"/>
        <v>596.20000000000005</v>
      </c>
      <c r="L727" s="25">
        <v>2.85</v>
      </c>
      <c r="M727" s="24">
        <v>7723.5</v>
      </c>
      <c r="N727" s="25">
        <f>IFERROR(T_reg.root.SK[[#This Row],[Price]]/T_reg.root.SK[[#This Row],[Starch content]],"")</f>
        <v>12.954545454545455</v>
      </c>
    </row>
    <row r="728" spans="1:14">
      <c r="A728" s="21">
        <v>2023</v>
      </c>
      <c r="B728" s="21" t="s">
        <v>23</v>
      </c>
      <c r="C728" s="21" t="s">
        <v>1145</v>
      </c>
      <c r="D728" s="21" t="s">
        <v>35</v>
      </c>
      <c r="E728" s="17" t="s">
        <v>455</v>
      </c>
      <c r="F728" s="18" t="s">
        <v>219</v>
      </c>
      <c r="G728" s="18" t="s">
        <v>220</v>
      </c>
      <c r="H728" s="24">
        <v>85230</v>
      </c>
      <c r="I728" s="24">
        <f>T_reg.root.SK[[#This Row],[Volume, kg]]/1000</f>
        <v>85.23</v>
      </c>
      <c r="J728" s="25">
        <v>0.21719999999999998</v>
      </c>
      <c r="K728" s="25">
        <f t="shared" si="11"/>
        <v>18511.955999999998</v>
      </c>
      <c r="L728" s="25">
        <v>3.29</v>
      </c>
      <c r="M728" s="24">
        <v>280136</v>
      </c>
      <c r="N728" s="25">
        <f>IFERROR(T_reg.root.SK[[#This Row],[Price]]/T_reg.root.SK[[#This Row],[Starch content]],"")</f>
        <v>15.147329650092082</v>
      </c>
    </row>
    <row r="729" spans="1:14">
      <c r="A729" s="21">
        <v>2023</v>
      </c>
      <c r="B729" s="21" t="s">
        <v>23</v>
      </c>
      <c r="C729" s="21" t="s">
        <v>1145</v>
      </c>
      <c r="D729" s="21" t="s">
        <v>35</v>
      </c>
      <c r="E729" s="17" t="s">
        <v>456</v>
      </c>
      <c r="F729" s="18" t="s">
        <v>219</v>
      </c>
      <c r="G729" s="18" t="s">
        <v>220</v>
      </c>
      <c r="H729" s="24">
        <v>65060</v>
      </c>
      <c r="I729" s="24">
        <f>T_reg.root.SK[[#This Row],[Volume, kg]]/1000</f>
        <v>65.06</v>
      </c>
      <c r="J729" s="25">
        <v>0.19260000000000002</v>
      </c>
      <c r="K729" s="25">
        <f t="shared" si="11"/>
        <v>12530.556</v>
      </c>
      <c r="L729" s="25">
        <v>3.1</v>
      </c>
      <c r="M729" s="24">
        <v>201763.5</v>
      </c>
      <c r="N729" s="25">
        <f>IFERROR(T_reg.root.SK[[#This Row],[Price]]/T_reg.root.SK[[#This Row],[Starch content]],"")</f>
        <v>16.095534787123572</v>
      </c>
    </row>
    <row r="730" spans="1:14">
      <c r="A730" s="21">
        <v>2023</v>
      </c>
      <c r="B730" s="21" t="s">
        <v>23</v>
      </c>
      <c r="C730" s="21" t="s">
        <v>1145</v>
      </c>
      <c r="D730" s="21" t="s">
        <v>35</v>
      </c>
      <c r="E730" s="17" t="s">
        <v>221</v>
      </c>
      <c r="F730" s="18" t="s">
        <v>222</v>
      </c>
      <c r="G730" s="18" t="s">
        <v>48</v>
      </c>
      <c r="H730" s="24">
        <v>5260</v>
      </c>
      <c r="I730" s="24">
        <f>T_reg.root.SK[[#This Row],[Volume, kg]]/1000</f>
        <v>5.26</v>
      </c>
      <c r="J730" s="25">
        <v>0.20749999999999999</v>
      </c>
      <c r="K730" s="25">
        <f t="shared" si="11"/>
        <v>1091.45</v>
      </c>
      <c r="L730" s="25">
        <v>3.05</v>
      </c>
      <c r="M730" s="24">
        <v>16043</v>
      </c>
      <c r="N730" s="25">
        <f>IFERROR(T_reg.root.SK[[#This Row],[Price]]/T_reg.root.SK[[#This Row],[Starch content]],"")</f>
        <v>14.698795180722891</v>
      </c>
    </row>
    <row r="731" spans="1:14">
      <c r="A731" s="21">
        <v>2023</v>
      </c>
      <c r="B731" s="21" t="s">
        <v>23</v>
      </c>
      <c r="C731" s="21" t="s">
        <v>1145</v>
      </c>
      <c r="D731" s="21" t="s">
        <v>35</v>
      </c>
      <c r="E731" s="17" t="s">
        <v>457</v>
      </c>
      <c r="F731" s="18" t="s">
        <v>47</v>
      </c>
      <c r="G731" s="18" t="s">
        <v>48</v>
      </c>
      <c r="H731" s="24">
        <v>4990</v>
      </c>
      <c r="I731" s="24">
        <f>T_reg.root.SK[[#This Row],[Volume, kg]]/1000</f>
        <v>4.99</v>
      </c>
      <c r="J731" s="25">
        <v>0.16899999999999998</v>
      </c>
      <c r="K731" s="25">
        <f t="shared" si="11"/>
        <v>843.31</v>
      </c>
      <c r="L731" s="25">
        <v>3</v>
      </c>
      <c r="M731" s="24">
        <v>14970</v>
      </c>
      <c r="N731" s="25">
        <f>IFERROR(T_reg.root.SK[[#This Row],[Price]]/T_reg.root.SK[[#This Row],[Starch content]],"")</f>
        <v>17.751479289940828</v>
      </c>
    </row>
    <row r="732" spans="1:14">
      <c r="A732" s="21">
        <v>2023</v>
      </c>
      <c r="B732" s="21" t="s">
        <v>23</v>
      </c>
      <c r="C732" s="21" t="s">
        <v>1145</v>
      </c>
      <c r="D732" s="21" t="s">
        <v>35</v>
      </c>
      <c r="E732" s="17" t="s">
        <v>46</v>
      </c>
      <c r="F732" s="18" t="s">
        <v>47</v>
      </c>
      <c r="G732" s="18" t="s">
        <v>48</v>
      </c>
      <c r="H732" s="24">
        <v>2430</v>
      </c>
      <c r="I732" s="24">
        <f>T_reg.root.SK[[#This Row],[Volume, kg]]/1000</f>
        <v>2.4300000000000002</v>
      </c>
      <c r="J732" s="25">
        <v>0.18899999999999997</v>
      </c>
      <c r="K732" s="25">
        <f t="shared" si="11"/>
        <v>459.26999999999992</v>
      </c>
      <c r="L732" s="25">
        <v>3.2</v>
      </c>
      <c r="M732" s="24">
        <v>7776</v>
      </c>
      <c r="N732" s="25">
        <f>IFERROR(T_reg.root.SK[[#This Row],[Price]]/T_reg.root.SK[[#This Row],[Starch content]],"")</f>
        <v>16.931216931216934</v>
      </c>
    </row>
    <row r="733" spans="1:14">
      <c r="A733" s="21">
        <v>2023</v>
      </c>
      <c r="B733" s="21" t="s">
        <v>23</v>
      </c>
      <c r="C733" s="21" t="s">
        <v>1145</v>
      </c>
      <c r="D733" s="21" t="s">
        <v>35</v>
      </c>
      <c r="E733" s="17" t="s">
        <v>50</v>
      </c>
      <c r="F733" s="18" t="s">
        <v>47</v>
      </c>
      <c r="G733" s="18" t="s">
        <v>48</v>
      </c>
      <c r="H733" s="24">
        <v>16440</v>
      </c>
      <c r="I733" s="24">
        <f>T_reg.root.SK[[#This Row],[Volume, kg]]/1000</f>
        <v>16.440000000000001</v>
      </c>
      <c r="J733" s="25">
        <v>0.20440000000000003</v>
      </c>
      <c r="K733" s="25">
        <f t="shared" si="11"/>
        <v>3360.3360000000002</v>
      </c>
      <c r="L733" s="25">
        <v>3.25</v>
      </c>
      <c r="M733" s="24">
        <v>53472.5</v>
      </c>
      <c r="N733" s="25">
        <f>IFERROR(T_reg.root.SK[[#This Row],[Price]]/T_reg.root.SK[[#This Row],[Starch content]],"")</f>
        <v>15.90019569471624</v>
      </c>
    </row>
    <row r="734" spans="1:14">
      <c r="A734" s="21">
        <v>2023</v>
      </c>
      <c r="B734" s="21" t="s">
        <v>23</v>
      </c>
      <c r="C734" s="21" t="s">
        <v>1145</v>
      </c>
      <c r="D734" s="21" t="s">
        <v>35</v>
      </c>
      <c r="E734" s="17" t="s">
        <v>52</v>
      </c>
      <c r="F734" s="18" t="s">
        <v>47</v>
      </c>
      <c r="G734" s="18" t="s">
        <v>48</v>
      </c>
      <c r="H734" s="24">
        <v>21070</v>
      </c>
      <c r="I734" s="24">
        <f>T_reg.root.SK[[#This Row],[Volume, kg]]/1000</f>
        <v>21.07</v>
      </c>
      <c r="J734" s="25">
        <v>0.18030000000000002</v>
      </c>
      <c r="K734" s="25">
        <f t="shared" si="11"/>
        <v>3798.9210000000003</v>
      </c>
      <c r="L734" s="25">
        <v>3.11</v>
      </c>
      <c r="M734" s="24">
        <v>65629</v>
      </c>
      <c r="N734" s="25">
        <f>IFERROR(T_reg.root.SK[[#This Row],[Price]]/T_reg.root.SK[[#This Row],[Starch content]],"")</f>
        <v>17.249029395452023</v>
      </c>
    </row>
    <row r="735" spans="1:14">
      <c r="A735" s="21">
        <v>2023</v>
      </c>
      <c r="B735" s="21" t="s">
        <v>23</v>
      </c>
      <c r="C735" s="21" t="s">
        <v>1145</v>
      </c>
      <c r="D735" s="21" t="s">
        <v>35</v>
      </c>
      <c r="E735" s="17" t="s">
        <v>78</v>
      </c>
      <c r="F735" s="18" t="s">
        <v>47</v>
      </c>
      <c r="G735" s="18" t="s">
        <v>48</v>
      </c>
      <c r="H735" s="24">
        <v>53410</v>
      </c>
      <c r="I735" s="24">
        <f>T_reg.root.SK[[#This Row],[Volume, kg]]/1000</f>
        <v>53.41</v>
      </c>
      <c r="J735" s="25">
        <v>0.16149999999999998</v>
      </c>
      <c r="K735" s="25">
        <f t="shared" si="11"/>
        <v>8625.7149999999983</v>
      </c>
      <c r="L735" s="25">
        <v>2.98</v>
      </c>
      <c r="M735" s="24">
        <v>159380</v>
      </c>
      <c r="N735" s="25">
        <f>IFERROR(T_reg.root.SK[[#This Row],[Price]]/T_reg.root.SK[[#This Row],[Starch content]],"")</f>
        <v>18.452012383900932</v>
      </c>
    </row>
    <row r="736" spans="1:14">
      <c r="A736" s="21">
        <v>2023</v>
      </c>
      <c r="B736" s="21" t="s">
        <v>23</v>
      </c>
      <c r="C736" s="21" t="s">
        <v>1145</v>
      </c>
      <c r="D736" s="21" t="s">
        <v>35</v>
      </c>
      <c r="E736" s="17" t="s">
        <v>458</v>
      </c>
      <c r="F736" s="18" t="s">
        <v>47</v>
      </c>
      <c r="G736" s="18" t="s">
        <v>48</v>
      </c>
      <c r="H736" s="24">
        <v>0</v>
      </c>
      <c r="I736" s="24">
        <f>T_reg.root.SK[[#This Row],[Volume, kg]]/1000</f>
        <v>0</v>
      </c>
      <c r="J736" s="25">
        <v>0</v>
      </c>
      <c r="K736" s="25">
        <f t="shared" si="11"/>
        <v>0</v>
      </c>
      <c r="L736" s="25">
        <v>0</v>
      </c>
      <c r="M736" s="24">
        <v>0</v>
      </c>
      <c r="N736" s="25" t="str">
        <f>IFERROR(T_reg.root.SK[[#This Row],[Price]]/T_reg.root.SK[[#This Row],[Starch content]],"")</f>
        <v/>
      </c>
    </row>
    <row r="737" spans="1:14">
      <c r="A737" s="21">
        <v>2023</v>
      </c>
      <c r="B737" s="21" t="s">
        <v>23</v>
      </c>
      <c r="C737" s="21" t="s">
        <v>1145</v>
      </c>
      <c r="D737" s="21" t="s">
        <v>35</v>
      </c>
      <c r="E737" s="17" t="s">
        <v>53</v>
      </c>
      <c r="F737" s="18" t="s">
        <v>47</v>
      </c>
      <c r="G737" s="18" t="s">
        <v>48</v>
      </c>
      <c r="H737" s="24">
        <v>9740</v>
      </c>
      <c r="I737" s="24">
        <f>T_reg.root.SK[[#This Row],[Volume, kg]]/1000</f>
        <v>9.74</v>
      </c>
      <c r="J737" s="25">
        <v>0.21820000000000001</v>
      </c>
      <c r="K737" s="25">
        <f t="shared" si="11"/>
        <v>2125.268</v>
      </c>
      <c r="L737" s="25">
        <v>3.3</v>
      </c>
      <c r="M737" s="24">
        <v>32142</v>
      </c>
      <c r="N737" s="25">
        <f>IFERROR(T_reg.root.SK[[#This Row],[Price]]/T_reg.root.SK[[#This Row],[Starch content]],"")</f>
        <v>15.123739688359302</v>
      </c>
    </row>
    <row r="738" spans="1:14">
      <c r="A738" s="21">
        <v>2023</v>
      </c>
      <c r="B738" s="21" t="s">
        <v>23</v>
      </c>
      <c r="C738" s="21" t="s">
        <v>1145</v>
      </c>
      <c r="D738" s="21" t="s">
        <v>35</v>
      </c>
      <c r="E738" s="17" t="s">
        <v>459</v>
      </c>
      <c r="F738" s="18" t="s">
        <v>47</v>
      </c>
      <c r="G738" s="18" t="s">
        <v>48</v>
      </c>
      <c r="H738" s="24">
        <v>20060</v>
      </c>
      <c r="I738" s="24">
        <f>T_reg.root.SK[[#This Row],[Volume, kg]]/1000</f>
        <v>20.059999999999999</v>
      </c>
      <c r="J738" s="25">
        <v>0.20480000000000001</v>
      </c>
      <c r="K738" s="25">
        <f t="shared" si="11"/>
        <v>4108.2880000000005</v>
      </c>
      <c r="L738" s="25">
        <v>3.31</v>
      </c>
      <c r="M738" s="24">
        <v>66445.5</v>
      </c>
      <c r="N738" s="25">
        <f>IFERROR(T_reg.root.SK[[#This Row],[Price]]/T_reg.root.SK[[#This Row],[Starch content]],"")</f>
        <v>16.162109375</v>
      </c>
    </row>
    <row r="739" spans="1:14">
      <c r="A739" s="21">
        <v>2023</v>
      </c>
      <c r="B739" s="21" t="s">
        <v>23</v>
      </c>
      <c r="C739" s="21" t="s">
        <v>1145</v>
      </c>
      <c r="D739" s="21" t="s">
        <v>35</v>
      </c>
      <c r="E739" s="17" t="s">
        <v>460</v>
      </c>
      <c r="F739" s="18" t="s">
        <v>47</v>
      </c>
      <c r="G739" s="18" t="s">
        <v>48</v>
      </c>
      <c r="H739" s="24">
        <v>32760</v>
      </c>
      <c r="I739" s="24">
        <f>T_reg.root.SK[[#This Row],[Volume, kg]]/1000</f>
        <v>32.76</v>
      </c>
      <c r="J739" s="25">
        <v>0.19980000000000001</v>
      </c>
      <c r="K739" s="25">
        <f t="shared" si="11"/>
        <v>6545.4480000000003</v>
      </c>
      <c r="L739" s="25">
        <v>3.27</v>
      </c>
      <c r="M739" s="24">
        <v>107260</v>
      </c>
      <c r="N739" s="25">
        <f>IFERROR(T_reg.root.SK[[#This Row],[Price]]/T_reg.root.SK[[#This Row],[Starch content]],"")</f>
        <v>16.366366366366368</v>
      </c>
    </row>
    <row r="740" spans="1:14">
      <c r="A740" s="21">
        <v>2023</v>
      </c>
      <c r="B740" s="21" t="s">
        <v>23</v>
      </c>
      <c r="C740" s="21" t="s">
        <v>1145</v>
      </c>
      <c r="D740" s="21" t="s">
        <v>35</v>
      </c>
      <c r="E740" s="17" t="s">
        <v>461</v>
      </c>
      <c r="F740" s="18" t="s">
        <v>47</v>
      </c>
      <c r="G740" s="18" t="s">
        <v>48</v>
      </c>
      <c r="H740" s="24">
        <v>22070</v>
      </c>
      <c r="I740" s="24">
        <f>T_reg.root.SK[[#This Row],[Volume, kg]]/1000</f>
        <v>22.07</v>
      </c>
      <c r="J740" s="25">
        <v>0.18809999999999999</v>
      </c>
      <c r="K740" s="25">
        <f t="shared" si="11"/>
        <v>4151.3670000000002</v>
      </c>
      <c r="L740" s="25">
        <v>3.17</v>
      </c>
      <c r="M740" s="24">
        <v>69933</v>
      </c>
      <c r="N740" s="25">
        <f>IFERROR(T_reg.root.SK[[#This Row],[Price]]/T_reg.root.SK[[#This Row],[Starch content]],"")</f>
        <v>16.852737905369484</v>
      </c>
    </row>
    <row r="741" spans="1:14">
      <c r="A741" s="21">
        <v>2023</v>
      </c>
      <c r="B741" s="21" t="s">
        <v>23</v>
      </c>
      <c r="C741" s="21" t="s">
        <v>1145</v>
      </c>
      <c r="D741" s="21" t="s">
        <v>35</v>
      </c>
      <c r="E741" s="17" t="s">
        <v>54</v>
      </c>
      <c r="F741" s="18" t="s">
        <v>47</v>
      </c>
      <c r="G741" s="18" t="s">
        <v>48</v>
      </c>
      <c r="H741" s="24">
        <v>4420</v>
      </c>
      <c r="I741" s="24">
        <f>T_reg.root.SK[[#This Row],[Volume, kg]]/1000</f>
        <v>4.42</v>
      </c>
      <c r="J741" s="25">
        <v>0.1895</v>
      </c>
      <c r="K741" s="25">
        <f t="shared" si="11"/>
        <v>837.59</v>
      </c>
      <c r="L741" s="25">
        <v>3.2</v>
      </c>
      <c r="M741" s="24">
        <v>14144</v>
      </c>
      <c r="N741" s="25">
        <f>IFERROR(T_reg.root.SK[[#This Row],[Price]]/T_reg.root.SK[[#This Row],[Starch content]],"")</f>
        <v>16.886543535620053</v>
      </c>
    </row>
    <row r="742" spans="1:14">
      <c r="A742" s="21">
        <v>2023</v>
      </c>
      <c r="B742" s="21" t="s">
        <v>23</v>
      </c>
      <c r="C742" s="21" t="s">
        <v>1145</v>
      </c>
      <c r="D742" s="21" t="s">
        <v>35</v>
      </c>
      <c r="E742" s="17" t="s">
        <v>55</v>
      </c>
      <c r="F742" s="18" t="s">
        <v>47</v>
      </c>
      <c r="G742" s="18" t="s">
        <v>48</v>
      </c>
      <c r="H742" s="24">
        <v>18090</v>
      </c>
      <c r="I742" s="24">
        <f>T_reg.root.SK[[#This Row],[Volume, kg]]/1000</f>
        <v>18.09</v>
      </c>
      <c r="J742" s="25">
        <v>0.1595</v>
      </c>
      <c r="K742" s="25">
        <f t="shared" si="11"/>
        <v>2885.355</v>
      </c>
      <c r="L742" s="25">
        <v>3.01</v>
      </c>
      <c r="M742" s="24">
        <v>54385.5</v>
      </c>
      <c r="N742" s="25">
        <f>IFERROR(T_reg.root.SK[[#This Row],[Price]]/T_reg.root.SK[[#This Row],[Starch content]],"")</f>
        <v>18.871473354231973</v>
      </c>
    </row>
    <row r="743" spans="1:14">
      <c r="A743" s="21">
        <v>2023</v>
      </c>
      <c r="B743" s="21" t="s">
        <v>23</v>
      </c>
      <c r="C743" s="21" t="s">
        <v>1145</v>
      </c>
      <c r="D743" s="21" t="s">
        <v>35</v>
      </c>
      <c r="E743" s="17" t="s">
        <v>462</v>
      </c>
      <c r="F743" s="18" t="s">
        <v>47</v>
      </c>
      <c r="G743" s="18" t="s">
        <v>48</v>
      </c>
      <c r="H743" s="24">
        <v>41580</v>
      </c>
      <c r="I743" s="24">
        <f>T_reg.root.SK[[#This Row],[Volume, kg]]/1000</f>
        <v>41.58</v>
      </c>
      <c r="J743" s="25">
        <v>0.19329999999999997</v>
      </c>
      <c r="K743" s="25">
        <f t="shared" si="11"/>
        <v>8037.4139999999989</v>
      </c>
      <c r="L743" s="25">
        <v>3.19</v>
      </c>
      <c r="M743" s="24">
        <v>132830</v>
      </c>
      <c r="N743" s="25">
        <f>IFERROR(T_reg.root.SK[[#This Row],[Price]]/T_reg.root.SK[[#This Row],[Starch content]],"")</f>
        <v>16.502845318158304</v>
      </c>
    </row>
    <row r="744" spans="1:14">
      <c r="A744" s="21">
        <v>2023</v>
      </c>
      <c r="B744" s="21" t="s">
        <v>23</v>
      </c>
      <c r="C744" s="21" t="s">
        <v>1145</v>
      </c>
      <c r="D744" s="21" t="s">
        <v>35</v>
      </c>
      <c r="E744" s="17" t="s">
        <v>463</v>
      </c>
      <c r="F744" s="18" t="s">
        <v>47</v>
      </c>
      <c r="G744" s="18" t="s">
        <v>48</v>
      </c>
      <c r="H744" s="24">
        <v>17770</v>
      </c>
      <c r="I744" s="24">
        <f>T_reg.root.SK[[#This Row],[Volume, kg]]/1000</f>
        <v>17.77</v>
      </c>
      <c r="J744" s="25">
        <v>0.1777</v>
      </c>
      <c r="K744" s="25">
        <f t="shared" si="11"/>
        <v>3157.7289999999998</v>
      </c>
      <c r="L744" s="25">
        <v>3.05</v>
      </c>
      <c r="M744" s="24">
        <v>54111</v>
      </c>
      <c r="N744" s="25">
        <f>IFERROR(T_reg.root.SK[[#This Row],[Price]]/T_reg.root.SK[[#This Row],[Starch content]],"")</f>
        <v>17.163759144625772</v>
      </c>
    </row>
    <row r="745" spans="1:14">
      <c r="A745" s="21">
        <v>2023</v>
      </c>
      <c r="B745" s="21" t="s">
        <v>23</v>
      </c>
      <c r="C745" s="21" t="s">
        <v>1145</v>
      </c>
      <c r="D745" s="21" t="s">
        <v>35</v>
      </c>
      <c r="E745" s="17" t="s">
        <v>464</v>
      </c>
      <c r="F745" s="18" t="s">
        <v>47</v>
      </c>
      <c r="G745" s="18" t="s">
        <v>48</v>
      </c>
      <c r="H745" s="24">
        <v>7970</v>
      </c>
      <c r="I745" s="24">
        <f>T_reg.root.SK[[#This Row],[Volume, kg]]/1000</f>
        <v>7.97</v>
      </c>
      <c r="J745" s="25">
        <v>0.14949999999999999</v>
      </c>
      <c r="K745" s="25">
        <f t="shared" si="11"/>
        <v>1191.5149999999999</v>
      </c>
      <c r="L745" s="25">
        <v>2.9</v>
      </c>
      <c r="M745" s="24">
        <v>23113</v>
      </c>
      <c r="N745" s="25">
        <f>IFERROR(T_reg.root.SK[[#This Row],[Price]]/T_reg.root.SK[[#This Row],[Starch content]],"")</f>
        <v>19.397993311036789</v>
      </c>
    </row>
    <row r="746" spans="1:14">
      <c r="A746" s="21">
        <v>2023</v>
      </c>
      <c r="B746" s="21" t="s">
        <v>23</v>
      </c>
      <c r="C746" s="21" t="s">
        <v>1145</v>
      </c>
      <c r="D746" s="21" t="s">
        <v>35</v>
      </c>
      <c r="E746" s="17" t="s">
        <v>57</v>
      </c>
      <c r="F746" s="18" t="s">
        <v>47</v>
      </c>
      <c r="G746" s="18" t="s">
        <v>48</v>
      </c>
      <c r="H746" s="24">
        <v>76150</v>
      </c>
      <c r="I746" s="24">
        <f>T_reg.root.SK[[#This Row],[Volume, kg]]/1000</f>
        <v>76.150000000000006</v>
      </c>
      <c r="J746" s="25">
        <v>0.2137</v>
      </c>
      <c r="K746" s="25">
        <f t="shared" si="11"/>
        <v>16273.254999999999</v>
      </c>
      <c r="L746" s="25">
        <v>3.42</v>
      </c>
      <c r="M746" s="24">
        <v>260399.5</v>
      </c>
      <c r="N746" s="25">
        <f>IFERROR(T_reg.root.SK[[#This Row],[Price]]/T_reg.root.SK[[#This Row],[Starch content]],"")</f>
        <v>16.003743565746372</v>
      </c>
    </row>
    <row r="747" spans="1:14">
      <c r="A747" s="21">
        <v>2023</v>
      </c>
      <c r="B747" s="21" t="s">
        <v>23</v>
      </c>
      <c r="C747" s="21" t="s">
        <v>1145</v>
      </c>
      <c r="D747" s="21" t="s">
        <v>35</v>
      </c>
      <c r="E747" s="17" t="s">
        <v>379</v>
      </c>
      <c r="F747" s="18" t="s">
        <v>47</v>
      </c>
      <c r="G747" s="18" t="s">
        <v>48</v>
      </c>
      <c r="H747" s="24">
        <v>35230</v>
      </c>
      <c r="I747" s="24">
        <f>T_reg.root.SK[[#This Row],[Volume, kg]]/1000</f>
        <v>35.229999999999997</v>
      </c>
      <c r="J747" s="25">
        <v>0.20579999999999998</v>
      </c>
      <c r="K747" s="25">
        <f t="shared" si="11"/>
        <v>7250.3339999999998</v>
      </c>
      <c r="L747" s="25">
        <v>3.33</v>
      </c>
      <c r="M747" s="24">
        <v>117408</v>
      </c>
      <c r="N747" s="25">
        <f>IFERROR(T_reg.root.SK[[#This Row],[Price]]/T_reg.root.SK[[#This Row],[Starch content]],"")</f>
        <v>16.180758017492714</v>
      </c>
    </row>
    <row r="748" spans="1:14">
      <c r="A748" s="21">
        <v>2023</v>
      </c>
      <c r="B748" s="21" t="s">
        <v>23</v>
      </c>
      <c r="C748" s="21" t="s">
        <v>1145</v>
      </c>
      <c r="D748" s="21" t="s">
        <v>35</v>
      </c>
      <c r="E748" s="17" t="s">
        <v>465</v>
      </c>
      <c r="F748" s="18" t="s">
        <v>47</v>
      </c>
      <c r="G748" s="18" t="s">
        <v>48</v>
      </c>
      <c r="H748" s="24">
        <v>0</v>
      </c>
      <c r="I748" s="24">
        <f>T_reg.root.SK[[#This Row],[Volume, kg]]/1000</f>
        <v>0</v>
      </c>
      <c r="J748" s="25">
        <v>0</v>
      </c>
      <c r="K748" s="25">
        <f t="shared" si="11"/>
        <v>0</v>
      </c>
      <c r="L748" s="25">
        <v>0</v>
      </c>
      <c r="M748" s="24">
        <v>0</v>
      </c>
      <c r="N748" s="25" t="str">
        <f>IFERROR(T_reg.root.SK[[#This Row],[Price]]/T_reg.root.SK[[#This Row],[Starch content]],"")</f>
        <v/>
      </c>
    </row>
    <row r="749" spans="1:14">
      <c r="A749" s="21">
        <v>2023</v>
      </c>
      <c r="B749" s="21" t="s">
        <v>23</v>
      </c>
      <c r="C749" s="21" t="s">
        <v>1145</v>
      </c>
      <c r="D749" s="21" t="s">
        <v>35</v>
      </c>
      <c r="E749" s="17" t="s">
        <v>466</v>
      </c>
      <c r="F749" s="18" t="s">
        <v>47</v>
      </c>
      <c r="G749" s="18" t="s">
        <v>48</v>
      </c>
      <c r="H749" s="24">
        <v>4060</v>
      </c>
      <c r="I749" s="24">
        <f>T_reg.root.SK[[#This Row],[Volume, kg]]/1000</f>
        <v>4.0599999999999996</v>
      </c>
      <c r="J749" s="25">
        <v>0.22450000000000001</v>
      </c>
      <c r="K749" s="25">
        <f t="shared" si="11"/>
        <v>911.47</v>
      </c>
      <c r="L749" s="25">
        <v>3.25</v>
      </c>
      <c r="M749" s="24">
        <v>13195</v>
      </c>
      <c r="N749" s="25">
        <f>IFERROR(T_reg.root.SK[[#This Row],[Price]]/T_reg.root.SK[[#This Row],[Starch content]],"")</f>
        <v>14.476614699331849</v>
      </c>
    </row>
    <row r="750" spans="1:14">
      <c r="A750" s="21">
        <v>2023</v>
      </c>
      <c r="B750" s="21" t="s">
        <v>23</v>
      </c>
      <c r="C750" s="21" t="s">
        <v>1145</v>
      </c>
      <c r="D750" s="21" t="s">
        <v>35</v>
      </c>
      <c r="E750" s="17" t="s">
        <v>60</v>
      </c>
      <c r="F750" s="18" t="s">
        <v>47</v>
      </c>
      <c r="G750" s="18" t="s">
        <v>48</v>
      </c>
      <c r="H750" s="24">
        <v>4260</v>
      </c>
      <c r="I750" s="24">
        <f>T_reg.root.SK[[#This Row],[Volume, kg]]/1000</f>
        <v>4.26</v>
      </c>
      <c r="J750" s="25">
        <v>0.1525</v>
      </c>
      <c r="K750" s="25">
        <f t="shared" si="11"/>
        <v>649.65</v>
      </c>
      <c r="L750" s="25">
        <v>2.9</v>
      </c>
      <c r="M750" s="24">
        <v>12354</v>
      </c>
      <c r="N750" s="25">
        <f>IFERROR(T_reg.root.SK[[#This Row],[Price]]/T_reg.root.SK[[#This Row],[Starch content]],"")</f>
        <v>19.016393442622952</v>
      </c>
    </row>
    <row r="751" spans="1:14">
      <c r="A751" s="21">
        <v>2023</v>
      </c>
      <c r="B751" s="21" t="s">
        <v>23</v>
      </c>
      <c r="C751" s="21" t="s">
        <v>1145</v>
      </c>
      <c r="D751" s="21" t="s">
        <v>35</v>
      </c>
      <c r="E751" s="17" t="s">
        <v>467</v>
      </c>
      <c r="F751" s="18" t="s">
        <v>47</v>
      </c>
      <c r="G751" s="18" t="s">
        <v>48</v>
      </c>
      <c r="H751" s="24">
        <v>89580</v>
      </c>
      <c r="I751" s="24">
        <f>T_reg.root.SK[[#This Row],[Volume, kg]]/1000</f>
        <v>89.58</v>
      </c>
      <c r="J751" s="25">
        <v>0.18969999999999998</v>
      </c>
      <c r="K751" s="25">
        <f t="shared" si="11"/>
        <v>16993.325999999997</v>
      </c>
      <c r="L751" s="25">
        <v>3.17</v>
      </c>
      <c r="M751" s="24">
        <v>283967.5</v>
      </c>
      <c r="N751" s="25">
        <f>IFERROR(T_reg.root.SK[[#This Row],[Price]]/T_reg.root.SK[[#This Row],[Starch content]],"")</f>
        <v>16.710595677385346</v>
      </c>
    </row>
    <row r="752" spans="1:14">
      <c r="A752" s="21">
        <v>2023</v>
      </c>
      <c r="B752" s="21" t="s">
        <v>23</v>
      </c>
      <c r="C752" s="21" t="s">
        <v>1145</v>
      </c>
      <c r="D752" s="21" t="s">
        <v>35</v>
      </c>
      <c r="E752" s="17" t="s">
        <v>338</v>
      </c>
      <c r="F752" s="18" t="s">
        <v>47</v>
      </c>
      <c r="G752" s="18" t="s">
        <v>48</v>
      </c>
      <c r="H752" s="24">
        <v>58910</v>
      </c>
      <c r="I752" s="24">
        <f>T_reg.root.SK[[#This Row],[Volume, kg]]/1000</f>
        <v>58.91</v>
      </c>
      <c r="J752" s="25">
        <v>0.17230000000000001</v>
      </c>
      <c r="K752" s="25">
        <f t="shared" si="11"/>
        <v>10150.193000000001</v>
      </c>
      <c r="L752" s="25">
        <v>3.17</v>
      </c>
      <c r="M752" s="24">
        <v>186998.5</v>
      </c>
      <c r="N752" s="25">
        <f>IFERROR(T_reg.root.SK[[#This Row],[Price]]/T_reg.root.SK[[#This Row],[Starch content]],"")</f>
        <v>18.39814277423099</v>
      </c>
    </row>
    <row r="753" spans="1:14">
      <c r="A753" s="21">
        <v>2023</v>
      </c>
      <c r="B753" s="21" t="s">
        <v>23</v>
      </c>
      <c r="C753" s="21" t="s">
        <v>1145</v>
      </c>
      <c r="D753" s="21" t="s">
        <v>35</v>
      </c>
      <c r="E753" s="17" t="s">
        <v>61</v>
      </c>
      <c r="F753" s="18" t="s">
        <v>47</v>
      </c>
      <c r="G753" s="18" t="s">
        <v>48</v>
      </c>
      <c r="H753" s="24">
        <v>21370</v>
      </c>
      <c r="I753" s="24">
        <f>T_reg.root.SK[[#This Row],[Volume, kg]]/1000</f>
        <v>21.37</v>
      </c>
      <c r="J753" s="25">
        <v>0.19079999999999997</v>
      </c>
      <c r="K753" s="25">
        <f t="shared" si="11"/>
        <v>4077.3959999999993</v>
      </c>
      <c r="L753" s="25">
        <v>3.18</v>
      </c>
      <c r="M753" s="24">
        <v>68001.5</v>
      </c>
      <c r="N753" s="25">
        <f>IFERROR(T_reg.root.SK[[#This Row],[Price]]/T_reg.root.SK[[#This Row],[Starch content]],"")</f>
        <v>16.666666666666671</v>
      </c>
    </row>
    <row r="754" spans="1:14">
      <c r="A754" s="21">
        <v>2023</v>
      </c>
      <c r="B754" s="21" t="s">
        <v>23</v>
      </c>
      <c r="C754" s="21" t="s">
        <v>1145</v>
      </c>
      <c r="D754" s="21" t="s">
        <v>35</v>
      </c>
      <c r="E754" s="17" t="s">
        <v>224</v>
      </c>
      <c r="F754" s="18" t="s">
        <v>47</v>
      </c>
      <c r="G754" s="18" t="s">
        <v>48</v>
      </c>
      <c r="H754" s="24">
        <v>3620</v>
      </c>
      <c r="I754" s="24">
        <f>T_reg.root.SK[[#This Row],[Volume, kg]]/1000</f>
        <v>3.62</v>
      </c>
      <c r="J754" s="25">
        <v>0.1875</v>
      </c>
      <c r="K754" s="25">
        <f t="shared" si="11"/>
        <v>678.75</v>
      </c>
      <c r="L754" s="25">
        <v>3.1</v>
      </c>
      <c r="M754" s="24">
        <v>11222</v>
      </c>
      <c r="N754" s="25">
        <f>IFERROR(T_reg.root.SK[[#This Row],[Price]]/T_reg.root.SK[[#This Row],[Starch content]],"")</f>
        <v>16.533333333333335</v>
      </c>
    </row>
    <row r="755" spans="1:14">
      <c r="A755" s="21">
        <v>2023</v>
      </c>
      <c r="B755" s="21" t="s">
        <v>23</v>
      </c>
      <c r="C755" s="21" t="s">
        <v>1145</v>
      </c>
      <c r="D755" s="21" t="s">
        <v>35</v>
      </c>
      <c r="E755" s="17" t="s">
        <v>468</v>
      </c>
      <c r="F755" s="18" t="s">
        <v>47</v>
      </c>
      <c r="G755" s="18" t="s">
        <v>48</v>
      </c>
      <c r="H755" s="24">
        <v>63080</v>
      </c>
      <c r="I755" s="24">
        <f>T_reg.root.SK[[#This Row],[Volume, kg]]/1000</f>
        <v>63.08</v>
      </c>
      <c r="J755" s="25">
        <v>0.18109999999999998</v>
      </c>
      <c r="K755" s="25">
        <f t="shared" si="11"/>
        <v>11423.787999999999</v>
      </c>
      <c r="L755" s="25">
        <v>3.05</v>
      </c>
      <c r="M755" s="24">
        <v>192623.5</v>
      </c>
      <c r="N755" s="25">
        <f>IFERROR(T_reg.root.SK[[#This Row],[Price]]/T_reg.root.SK[[#This Row],[Starch content]],"")</f>
        <v>16.84152401987852</v>
      </c>
    </row>
    <row r="756" spans="1:14">
      <c r="A756" s="21">
        <v>2023</v>
      </c>
      <c r="B756" s="21" t="s">
        <v>23</v>
      </c>
      <c r="C756" s="21" t="s">
        <v>1145</v>
      </c>
      <c r="D756" s="21" t="s">
        <v>35</v>
      </c>
      <c r="E756" s="17" t="s">
        <v>62</v>
      </c>
      <c r="F756" s="18" t="s">
        <v>47</v>
      </c>
      <c r="G756" s="18" t="s">
        <v>48</v>
      </c>
      <c r="H756" s="24">
        <v>64530</v>
      </c>
      <c r="I756" s="24">
        <f>T_reg.root.SK[[#This Row],[Volume, kg]]/1000</f>
        <v>64.53</v>
      </c>
      <c r="J756" s="25">
        <v>0.2039</v>
      </c>
      <c r="K756" s="25">
        <f t="shared" si="11"/>
        <v>13157.666999999999</v>
      </c>
      <c r="L756" s="25">
        <v>3.29</v>
      </c>
      <c r="M756" s="24">
        <v>212619.5</v>
      </c>
      <c r="N756" s="25">
        <f>IFERROR(T_reg.root.SK[[#This Row],[Price]]/T_reg.root.SK[[#This Row],[Starch content]],"")</f>
        <v>16.13536047081903</v>
      </c>
    </row>
    <row r="757" spans="1:14">
      <c r="A757" s="21">
        <v>2023</v>
      </c>
      <c r="B757" s="21" t="s">
        <v>23</v>
      </c>
      <c r="C757" s="21" t="s">
        <v>1145</v>
      </c>
      <c r="D757" s="21" t="s">
        <v>35</v>
      </c>
      <c r="E757" s="17" t="s">
        <v>63</v>
      </c>
      <c r="F757" s="18" t="s">
        <v>47</v>
      </c>
      <c r="G757" s="18" t="s">
        <v>48</v>
      </c>
      <c r="H757" s="24">
        <v>17770</v>
      </c>
      <c r="I757" s="24">
        <f>T_reg.root.SK[[#This Row],[Volume, kg]]/1000</f>
        <v>17.77</v>
      </c>
      <c r="J757" s="25">
        <v>0.22020000000000001</v>
      </c>
      <c r="K757" s="25">
        <f t="shared" si="11"/>
        <v>3912.9540000000002</v>
      </c>
      <c r="L757" s="25">
        <v>3.25</v>
      </c>
      <c r="M757" s="24">
        <v>57752.5</v>
      </c>
      <c r="N757" s="25">
        <f>IFERROR(T_reg.root.SK[[#This Row],[Price]]/T_reg.root.SK[[#This Row],[Starch content]],"")</f>
        <v>14.759309718437784</v>
      </c>
    </row>
    <row r="758" spans="1:14">
      <c r="A758" s="21">
        <v>2023</v>
      </c>
      <c r="B758" s="21" t="s">
        <v>23</v>
      </c>
      <c r="C758" s="21" t="s">
        <v>1145</v>
      </c>
      <c r="D758" s="21" t="s">
        <v>35</v>
      </c>
      <c r="E758" s="17" t="s">
        <v>340</v>
      </c>
      <c r="F758" s="18" t="s">
        <v>47</v>
      </c>
      <c r="G758" s="18" t="s">
        <v>48</v>
      </c>
      <c r="H758" s="24">
        <v>34580</v>
      </c>
      <c r="I758" s="24">
        <f>T_reg.root.SK[[#This Row],[Volume, kg]]/1000</f>
        <v>34.58</v>
      </c>
      <c r="J758" s="25">
        <v>0.19750000000000001</v>
      </c>
      <c r="K758" s="25">
        <f t="shared" si="11"/>
        <v>6829.55</v>
      </c>
      <c r="L758" s="25">
        <v>3.15</v>
      </c>
      <c r="M758" s="24">
        <v>109022</v>
      </c>
      <c r="N758" s="25">
        <f>IFERROR(T_reg.root.SK[[#This Row],[Price]]/T_reg.root.SK[[#This Row],[Starch content]],"")</f>
        <v>15.949367088607593</v>
      </c>
    </row>
    <row r="759" spans="1:14">
      <c r="A759" s="21">
        <v>2023</v>
      </c>
      <c r="B759" s="21" t="s">
        <v>23</v>
      </c>
      <c r="C759" s="21" t="s">
        <v>1145</v>
      </c>
      <c r="D759" s="21" t="s">
        <v>35</v>
      </c>
      <c r="E759" s="17" t="s">
        <v>469</v>
      </c>
      <c r="F759" s="18" t="s">
        <v>47</v>
      </c>
      <c r="G759" s="18" t="s">
        <v>48</v>
      </c>
      <c r="H759" s="24">
        <v>10310</v>
      </c>
      <c r="I759" s="24">
        <f>T_reg.root.SK[[#This Row],[Volume, kg]]/1000</f>
        <v>10.31</v>
      </c>
      <c r="J759" s="25">
        <v>0.2157</v>
      </c>
      <c r="K759" s="25">
        <f t="shared" si="11"/>
        <v>2223.8670000000002</v>
      </c>
      <c r="L759" s="25">
        <v>3.25</v>
      </c>
      <c r="M759" s="24">
        <v>33507.5</v>
      </c>
      <c r="N759" s="25">
        <f>IFERROR(T_reg.root.SK[[#This Row],[Price]]/T_reg.root.SK[[#This Row],[Starch content]],"")</f>
        <v>15.067222994900325</v>
      </c>
    </row>
    <row r="760" spans="1:14">
      <c r="A760" s="21">
        <v>2023</v>
      </c>
      <c r="B760" s="21" t="s">
        <v>23</v>
      </c>
      <c r="C760" s="21" t="s">
        <v>1145</v>
      </c>
      <c r="D760" s="21" t="s">
        <v>35</v>
      </c>
      <c r="E760" s="17" t="s">
        <v>66</v>
      </c>
      <c r="F760" s="18" t="s">
        <v>47</v>
      </c>
      <c r="G760" s="18" t="s">
        <v>48</v>
      </c>
      <c r="H760" s="24">
        <v>12070</v>
      </c>
      <c r="I760" s="24">
        <f>T_reg.root.SK[[#This Row],[Volume, kg]]/1000</f>
        <v>12.07</v>
      </c>
      <c r="J760" s="25">
        <v>0.17600000000000002</v>
      </c>
      <c r="K760" s="25">
        <f t="shared" si="11"/>
        <v>2124.3200000000002</v>
      </c>
      <c r="L760" s="25">
        <v>3.03</v>
      </c>
      <c r="M760" s="24">
        <v>36560</v>
      </c>
      <c r="N760" s="25">
        <f>IFERROR(T_reg.root.SK[[#This Row],[Price]]/T_reg.root.SK[[#This Row],[Starch content]],"")</f>
        <v>17.215909090909086</v>
      </c>
    </row>
    <row r="761" spans="1:14">
      <c r="A761" s="21">
        <v>2023</v>
      </c>
      <c r="B761" s="21" t="s">
        <v>23</v>
      </c>
      <c r="C761" s="21" t="s">
        <v>1145</v>
      </c>
      <c r="D761" s="21" t="s">
        <v>35</v>
      </c>
      <c r="E761" s="17" t="s">
        <v>380</v>
      </c>
      <c r="F761" s="18" t="s">
        <v>47</v>
      </c>
      <c r="G761" s="18" t="s">
        <v>48</v>
      </c>
      <c r="H761" s="24">
        <v>20600</v>
      </c>
      <c r="I761" s="24">
        <f>T_reg.root.SK[[#This Row],[Volume, kg]]/1000</f>
        <v>20.6</v>
      </c>
      <c r="J761" s="25">
        <v>0.18</v>
      </c>
      <c r="K761" s="25">
        <f t="shared" si="11"/>
        <v>3708</v>
      </c>
      <c r="L761" s="25">
        <v>3.14</v>
      </c>
      <c r="M761" s="24">
        <v>64732.5</v>
      </c>
      <c r="N761" s="25">
        <f>IFERROR(T_reg.root.SK[[#This Row],[Price]]/T_reg.root.SK[[#This Row],[Starch content]],"")</f>
        <v>17.444444444444446</v>
      </c>
    </row>
    <row r="762" spans="1:14">
      <c r="A762" s="21">
        <v>2023</v>
      </c>
      <c r="B762" s="21" t="s">
        <v>23</v>
      </c>
      <c r="C762" s="21" t="s">
        <v>1145</v>
      </c>
      <c r="D762" s="21" t="s">
        <v>35</v>
      </c>
      <c r="E762" s="17" t="s">
        <v>68</v>
      </c>
      <c r="F762" s="18" t="s">
        <v>47</v>
      </c>
      <c r="G762" s="18" t="s">
        <v>48</v>
      </c>
      <c r="H762" s="24">
        <v>5760</v>
      </c>
      <c r="I762" s="24">
        <f>T_reg.root.SK[[#This Row],[Volume, kg]]/1000</f>
        <v>5.76</v>
      </c>
      <c r="J762" s="25">
        <v>0.18600000000000003</v>
      </c>
      <c r="K762" s="25">
        <f t="shared" si="11"/>
        <v>1071.3600000000001</v>
      </c>
      <c r="L762" s="25">
        <v>3.1</v>
      </c>
      <c r="M762" s="24">
        <v>17856</v>
      </c>
      <c r="N762" s="25">
        <f>IFERROR(T_reg.root.SK[[#This Row],[Price]]/T_reg.root.SK[[#This Row],[Starch content]],"")</f>
        <v>16.666666666666664</v>
      </c>
    </row>
    <row r="763" spans="1:14">
      <c r="A763" s="21">
        <v>2023</v>
      </c>
      <c r="B763" s="21" t="s">
        <v>23</v>
      </c>
      <c r="C763" s="21" t="s">
        <v>1145</v>
      </c>
      <c r="D763" s="21" t="s">
        <v>35</v>
      </c>
      <c r="E763" s="17" t="s">
        <v>470</v>
      </c>
      <c r="F763" s="18" t="s">
        <v>47</v>
      </c>
      <c r="G763" s="18" t="s">
        <v>48</v>
      </c>
      <c r="H763" s="24">
        <v>39090</v>
      </c>
      <c r="I763" s="24">
        <f>T_reg.root.SK[[#This Row],[Volume, kg]]/1000</f>
        <v>39.090000000000003</v>
      </c>
      <c r="J763" s="25">
        <v>0.1646</v>
      </c>
      <c r="K763" s="25">
        <f t="shared" si="11"/>
        <v>6434.2139999999999</v>
      </c>
      <c r="L763" s="25">
        <v>3.17</v>
      </c>
      <c r="M763" s="24">
        <v>123874</v>
      </c>
      <c r="N763" s="25">
        <f>IFERROR(T_reg.root.SK[[#This Row],[Price]]/T_reg.root.SK[[#This Row],[Starch content]],"")</f>
        <v>19.258809234507897</v>
      </c>
    </row>
    <row r="764" spans="1:14">
      <c r="A764" s="21">
        <v>2023</v>
      </c>
      <c r="B764" s="21" t="s">
        <v>23</v>
      </c>
      <c r="C764" s="21" t="s">
        <v>1145</v>
      </c>
      <c r="D764" s="21" t="s">
        <v>35</v>
      </c>
      <c r="E764" s="17" t="s">
        <v>471</v>
      </c>
      <c r="F764" s="18" t="s">
        <v>47</v>
      </c>
      <c r="G764" s="18" t="s">
        <v>48</v>
      </c>
      <c r="H764" s="24">
        <v>11530</v>
      </c>
      <c r="I764" s="24">
        <f>T_reg.root.SK[[#This Row],[Volume, kg]]/1000</f>
        <v>11.53</v>
      </c>
      <c r="J764" s="25">
        <v>0.20120000000000002</v>
      </c>
      <c r="K764" s="25">
        <f t="shared" si="11"/>
        <v>2319.8360000000002</v>
      </c>
      <c r="L764" s="25">
        <v>3.22</v>
      </c>
      <c r="M764" s="24">
        <v>37145</v>
      </c>
      <c r="N764" s="25">
        <f>IFERROR(T_reg.root.SK[[#This Row],[Price]]/T_reg.root.SK[[#This Row],[Starch content]],"")</f>
        <v>16.003976143141152</v>
      </c>
    </row>
    <row r="765" spans="1:14">
      <c r="A765" s="21">
        <v>2023</v>
      </c>
      <c r="B765" s="21" t="s">
        <v>23</v>
      </c>
      <c r="C765" s="21" t="s">
        <v>1145</v>
      </c>
      <c r="D765" s="21" t="s">
        <v>35</v>
      </c>
      <c r="E765" s="17" t="s">
        <v>69</v>
      </c>
      <c r="F765" s="18" t="s">
        <v>47</v>
      </c>
      <c r="G765" s="18" t="s">
        <v>48</v>
      </c>
      <c r="H765" s="24">
        <v>127950</v>
      </c>
      <c r="I765" s="24">
        <f>T_reg.root.SK[[#This Row],[Volume, kg]]/1000</f>
        <v>127.95</v>
      </c>
      <c r="J765" s="25">
        <v>0.20760000000000001</v>
      </c>
      <c r="K765" s="25">
        <f t="shared" si="11"/>
        <v>26562.420000000002</v>
      </c>
      <c r="L765" s="25">
        <v>3.25</v>
      </c>
      <c r="M765" s="24">
        <v>415430.5</v>
      </c>
      <c r="N765" s="25">
        <f>IFERROR(T_reg.root.SK[[#This Row],[Price]]/T_reg.root.SK[[#This Row],[Starch content]],"")</f>
        <v>15.655105973025048</v>
      </c>
    </row>
    <row r="766" spans="1:14">
      <c r="A766" s="21">
        <v>2023</v>
      </c>
      <c r="B766" s="21" t="s">
        <v>23</v>
      </c>
      <c r="C766" s="21" t="s">
        <v>1145</v>
      </c>
      <c r="D766" s="21" t="s">
        <v>35</v>
      </c>
      <c r="E766" s="17" t="s">
        <v>70</v>
      </c>
      <c r="F766" s="18" t="s">
        <v>47</v>
      </c>
      <c r="G766" s="18" t="s">
        <v>48</v>
      </c>
      <c r="H766" s="24">
        <v>9280</v>
      </c>
      <c r="I766" s="24">
        <f>T_reg.root.SK[[#This Row],[Volume, kg]]/1000</f>
        <v>9.2799999999999994</v>
      </c>
      <c r="J766" s="25">
        <v>0.16639999999999999</v>
      </c>
      <c r="K766" s="25">
        <f t="shared" si="11"/>
        <v>1544.192</v>
      </c>
      <c r="L766" s="25">
        <v>3</v>
      </c>
      <c r="M766" s="24">
        <v>27800</v>
      </c>
      <c r="N766" s="25">
        <f>IFERROR(T_reg.root.SK[[#This Row],[Price]]/T_reg.root.SK[[#This Row],[Starch content]],"")</f>
        <v>18.028846153846153</v>
      </c>
    </row>
    <row r="767" spans="1:14">
      <c r="A767" s="21">
        <v>2023</v>
      </c>
      <c r="B767" s="21" t="s">
        <v>23</v>
      </c>
      <c r="C767" s="21" t="s">
        <v>1145</v>
      </c>
      <c r="D767" s="21" t="s">
        <v>35</v>
      </c>
      <c r="E767" s="17" t="s">
        <v>71</v>
      </c>
      <c r="F767" s="18" t="s">
        <v>47</v>
      </c>
      <c r="G767" s="18" t="s">
        <v>48</v>
      </c>
      <c r="H767" s="24">
        <v>17830</v>
      </c>
      <c r="I767" s="24">
        <f>T_reg.root.SK[[#This Row],[Volume, kg]]/1000</f>
        <v>17.829999999999998</v>
      </c>
      <c r="J767" s="25">
        <v>0.18940000000000001</v>
      </c>
      <c r="K767" s="25">
        <f t="shared" si="11"/>
        <v>3377.0020000000004</v>
      </c>
      <c r="L767" s="25">
        <v>3.2</v>
      </c>
      <c r="M767" s="24">
        <v>57029.5</v>
      </c>
      <c r="N767" s="25">
        <f>IFERROR(T_reg.root.SK[[#This Row],[Price]]/T_reg.root.SK[[#This Row],[Starch content]],"")</f>
        <v>16.895459345300949</v>
      </c>
    </row>
    <row r="768" spans="1:14">
      <c r="A768" s="21">
        <v>2023</v>
      </c>
      <c r="B768" s="21" t="s">
        <v>23</v>
      </c>
      <c r="C768" s="21" t="s">
        <v>1145</v>
      </c>
      <c r="D768" s="21" t="s">
        <v>35</v>
      </c>
      <c r="E768" s="17" t="s">
        <v>72</v>
      </c>
      <c r="F768" s="18" t="s">
        <v>47</v>
      </c>
      <c r="G768" s="18" t="s">
        <v>48</v>
      </c>
      <c r="H768" s="24">
        <v>65950</v>
      </c>
      <c r="I768" s="24">
        <f>T_reg.root.SK[[#This Row],[Volume, kg]]/1000</f>
        <v>65.95</v>
      </c>
      <c r="J768" s="25">
        <v>0.18609999999999999</v>
      </c>
      <c r="K768" s="25">
        <f t="shared" si="11"/>
        <v>12273.295</v>
      </c>
      <c r="L768" s="25">
        <v>3.17</v>
      </c>
      <c r="M768" s="24">
        <v>209239.5</v>
      </c>
      <c r="N768" s="25">
        <f>IFERROR(T_reg.root.SK[[#This Row],[Price]]/T_reg.root.SK[[#This Row],[Starch content]],"")</f>
        <v>17.033852767329392</v>
      </c>
    </row>
    <row r="769" spans="1:14">
      <c r="A769" s="21">
        <v>2023</v>
      </c>
      <c r="B769" s="21" t="s">
        <v>23</v>
      </c>
      <c r="C769" s="21" t="s">
        <v>1145</v>
      </c>
      <c r="D769" s="21" t="s">
        <v>35</v>
      </c>
      <c r="E769" s="17" t="s">
        <v>472</v>
      </c>
      <c r="F769" s="18" t="s">
        <v>47</v>
      </c>
      <c r="G769" s="18" t="s">
        <v>48</v>
      </c>
      <c r="H769" s="24">
        <v>23150</v>
      </c>
      <c r="I769" s="24">
        <f>T_reg.root.SK[[#This Row],[Volume, kg]]/1000</f>
        <v>23.15</v>
      </c>
      <c r="J769" s="25">
        <v>0.16920000000000002</v>
      </c>
      <c r="K769" s="25">
        <f t="shared" si="11"/>
        <v>3916.9800000000005</v>
      </c>
      <c r="L769" s="25">
        <v>3.24</v>
      </c>
      <c r="M769" s="24">
        <v>74992</v>
      </c>
      <c r="N769" s="25">
        <f>IFERROR(T_reg.root.SK[[#This Row],[Price]]/T_reg.root.SK[[#This Row],[Starch content]],"")</f>
        <v>19.148936170212764</v>
      </c>
    </row>
    <row r="770" spans="1:14">
      <c r="A770" s="21">
        <v>2023</v>
      </c>
      <c r="B770" s="21" t="s">
        <v>23</v>
      </c>
      <c r="C770" s="21" t="s">
        <v>1145</v>
      </c>
      <c r="D770" s="21" t="s">
        <v>35</v>
      </c>
      <c r="E770" s="17" t="s">
        <v>381</v>
      </c>
      <c r="F770" s="18" t="s">
        <v>47</v>
      </c>
      <c r="G770" s="18" t="s">
        <v>48</v>
      </c>
      <c r="H770" s="24">
        <v>38980</v>
      </c>
      <c r="I770" s="24">
        <f>T_reg.root.SK[[#This Row],[Volume, kg]]/1000</f>
        <v>38.979999999999997</v>
      </c>
      <c r="J770" s="25">
        <v>0.20620000000000002</v>
      </c>
      <c r="K770" s="25">
        <f t="shared" si="11"/>
        <v>8037.6760000000013</v>
      </c>
      <c r="L770" s="25">
        <v>3.38</v>
      </c>
      <c r="M770" s="24">
        <v>131638.5</v>
      </c>
      <c r="N770" s="25">
        <f>IFERROR(T_reg.root.SK[[#This Row],[Price]]/T_reg.root.SK[[#This Row],[Starch content]],"")</f>
        <v>16.391852570320076</v>
      </c>
    </row>
    <row r="771" spans="1:14">
      <c r="A771" s="21">
        <v>2023</v>
      </c>
      <c r="B771" s="21" t="s">
        <v>23</v>
      </c>
      <c r="C771" s="21" t="s">
        <v>1145</v>
      </c>
      <c r="D771" s="21" t="s">
        <v>35</v>
      </c>
      <c r="E771" s="17" t="s">
        <v>73</v>
      </c>
      <c r="F771" s="18" t="s">
        <v>47</v>
      </c>
      <c r="G771" s="18" t="s">
        <v>48</v>
      </c>
      <c r="H771" s="24">
        <v>7890</v>
      </c>
      <c r="I771" s="24">
        <f>T_reg.root.SK[[#This Row],[Volume, kg]]/1000</f>
        <v>7.89</v>
      </c>
      <c r="J771" s="25">
        <v>0.17350000000000002</v>
      </c>
      <c r="K771" s="25">
        <f t="shared" ref="K771:K834" si="12">H771*J771</f>
        <v>1368.9150000000002</v>
      </c>
      <c r="L771" s="25">
        <v>3.15</v>
      </c>
      <c r="M771" s="24">
        <v>24853.5</v>
      </c>
      <c r="N771" s="25">
        <f>IFERROR(T_reg.root.SK[[#This Row],[Price]]/T_reg.root.SK[[#This Row],[Starch content]],"")</f>
        <v>18.155619596541786</v>
      </c>
    </row>
    <row r="772" spans="1:14">
      <c r="A772" s="21">
        <v>2023</v>
      </c>
      <c r="B772" s="21" t="s">
        <v>23</v>
      </c>
      <c r="C772" s="21" t="s">
        <v>1145</v>
      </c>
      <c r="D772" s="21" t="s">
        <v>35</v>
      </c>
      <c r="E772" s="17" t="s">
        <v>74</v>
      </c>
      <c r="F772" s="18" t="s">
        <v>47</v>
      </c>
      <c r="G772" s="18" t="s">
        <v>48</v>
      </c>
      <c r="H772" s="24">
        <v>63820</v>
      </c>
      <c r="I772" s="24">
        <f>T_reg.root.SK[[#This Row],[Volume, kg]]/1000</f>
        <v>63.82</v>
      </c>
      <c r="J772" s="25">
        <v>0.18809999999999999</v>
      </c>
      <c r="K772" s="25">
        <f t="shared" si="12"/>
        <v>12004.541999999999</v>
      </c>
      <c r="L772" s="25">
        <v>3.16</v>
      </c>
      <c r="M772" s="24">
        <v>201856</v>
      </c>
      <c r="N772" s="25">
        <f>IFERROR(T_reg.root.SK[[#This Row],[Price]]/T_reg.root.SK[[#This Row],[Starch content]],"")</f>
        <v>16.799574694311538</v>
      </c>
    </row>
    <row r="773" spans="1:14">
      <c r="A773" s="21">
        <v>2023</v>
      </c>
      <c r="B773" s="21" t="s">
        <v>23</v>
      </c>
      <c r="C773" s="21" t="s">
        <v>1145</v>
      </c>
      <c r="D773" s="21" t="s">
        <v>35</v>
      </c>
      <c r="E773" s="17" t="s">
        <v>382</v>
      </c>
      <c r="F773" s="18" t="s">
        <v>47</v>
      </c>
      <c r="G773" s="18" t="s">
        <v>48</v>
      </c>
      <c r="H773" s="24">
        <v>35610</v>
      </c>
      <c r="I773" s="24">
        <f>T_reg.root.SK[[#This Row],[Volume, kg]]/1000</f>
        <v>35.61</v>
      </c>
      <c r="J773" s="25">
        <v>0.23980000000000001</v>
      </c>
      <c r="K773" s="25">
        <f t="shared" si="12"/>
        <v>8539.2780000000002</v>
      </c>
      <c r="L773" s="25">
        <v>3.38</v>
      </c>
      <c r="M773" s="24">
        <v>120204</v>
      </c>
      <c r="N773" s="25">
        <f>IFERROR(T_reg.root.SK[[#This Row],[Price]]/T_reg.root.SK[[#This Row],[Starch content]],"")</f>
        <v>14.09507923269391</v>
      </c>
    </row>
    <row r="774" spans="1:14">
      <c r="A774" s="21">
        <v>2023</v>
      </c>
      <c r="B774" s="21" t="s">
        <v>23</v>
      </c>
      <c r="C774" s="21" t="s">
        <v>1145</v>
      </c>
      <c r="D774" s="21" t="s">
        <v>35</v>
      </c>
      <c r="E774" s="17" t="s">
        <v>473</v>
      </c>
      <c r="F774" s="18" t="s">
        <v>47</v>
      </c>
      <c r="G774" s="18" t="s">
        <v>48</v>
      </c>
      <c r="H774" s="24">
        <v>56120</v>
      </c>
      <c r="I774" s="24">
        <f>T_reg.root.SK[[#This Row],[Volume, kg]]/1000</f>
        <v>56.12</v>
      </c>
      <c r="J774" s="25">
        <v>0.1875</v>
      </c>
      <c r="K774" s="25">
        <f t="shared" si="12"/>
        <v>10522.5</v>
      </c>
      <c r="L774" s="25">
        <v>3.13</v>
      </c>
      <c r="M774" s="24">
        <v>175856.5</v>
      </c>
      <c r="N774" s="25">
        <f>IFERROR(T_reg.root.SK[[#This Row],[Price]]/T_reg.root.SK[[#This Row],[Starch content]],"")</f>
        <v>16.693333333333332</v>
      </c>
    </row>
    <row r="775" spans="1:14">
      <c r="A775" s="21">
        <v>2023</v>
      </c>
      <c r="B775" s="21" t="s">
        <v>23</v>
      </c>
      <c r="C775" s="21" t="s">
        <v>1145</v>
      </c>
      <c r="D775" s="21" t="s">
        <v>35</v>
      </c>
      <c r="E775" s="17" t="s">
        <v>474</v>
      </c>
      <c r="F775" s="18" t="s">
        <v>47</v>
      </c>
      <c r="G775" s="18" t="s">
        <v>48</v>
      </c>
      <c r="H775" s="24">
        <v>21420</v>
      </c>
      <c r="I775" s="24">
        <f>T_reg.root.SK[[#This Row],[Volume, kg]]/1000</f>
        <v>21.42</v>
      </c>
      <c r="J775" s="25">
        <v>0.24079999999999999</v>
      </c>
      <c r="K775" s="25">
        <f t="shared" si="12"/>
        <v>5157.9359999999997</v>
      </c>
      <c r="L775" s="25">
        <v>3.35</v>
      </c>
      <c r="M775" s="24">
        <v>71784.5</v>
      </c>
      <c r="N775" s="25">
        <f>IFERROR(T_reg.root.SK[[#This Row],[Price]]/T_reg.root.SK[[#This Row],[Starch content]],"")</f>
        <v>13.911960132890366</v>
      </c>
    </row>
    <row r="776" spans="1:14">
      <c r="A776" s="21">
        <v>2023</v>
      </c>
      <c r="B776" s="21" t="s">
        <v>23</v>
      </c>
      <c r="C776" s="21" t="s">
        <v>1145</v>
      </c>
      <c r="D776" s="21" t="s">
        <v>35</v>
      </c>
      <c r="E776" s="17" t="s">
        <v>475</v>
      </c>
      <c r="F776" s="18" t="s">
        <v>47</v>
      </c>
      <c r="G776" s="18" t="s">
        <v>48</v>
      </c>
      <c r="H776" s="24">
        <v>0</v>
      </c>
      <c r="I776" s="24">
        <f>T_reg.root.SK[[#This Row],[Volume, kg]]/1000</f>
        <v>0</v>
      </c>
      <c r="J776" s="25">
        <v>0</v>
      </c>
      <c r="K776" s="25">
        <f t="shared" si="12"/>
        <v>0</v>
      </c>
      <c r="L776" s="25">
        <v>0</v>
      </c>
      <c r="M776" s="24">
        <v>0</v>
      </c>
      <c r="N776" s="25" t="str">
        <f>IFERROR(T_reg.root.SK[[#This Row],[Price]]/T_reg.root.SK[[#This Row],[Starch content]],"")</f>
        <v/>
      </c>
    </row>
    <row r="777" spans="1:14">
      <c r="A777" s="21">
        <v>2023</v>
      </c>
      <c r="B777" s="21" t="s">
        <v>23</v>
      </c>
      <c r="C777" s="21" t="s">
        <v>1145</v>
      </c>
      <c r="D777" s="21" t="s">
        <v>35</v>
      </c>
      <c r="E777" s="17" t="s">
        <v>77</v>
      </c>
      <c r="F777" s="18" t="s">
        <v>47</v>
      </c>
      <c r="G777" s="18" t="s">
        <v>48</v>
      </c>
      <c r="H777" s="24">
        <v>57430</v>
      </c>
      <c r="I777" s="24">
        <f>T_reg.root.SK[[#This Row],[Volume, kg]]/1000</f>
        <v>57.43</v>
      </c>
      <c r="J777" s="25">
        <v>0.17749999999999999</v>
      </c>
      <c r="K777" s="25">
        <f t="shared" si="12"/>
        <v>10193.824999999999</v>
      </c>
      <c r="L777" s="25">
        <v>3.16</v>
      </c>
      <c r="M777" s="24">
        <v>181242.5</v>
      </c>
      <c r="N777" s="25">
        <f>IFERROR(T_reg.root.SK[[#This Row],[Price]]/T_reg.root.SK[[#This Row],[Starch content]],"")</f>
        <v>17.802816901408452</v>
      </c>
    </row>
    <row r="778" spans="1:14">
      <c r="A778" s="21">
        <v>2023</v>
      </c>
      <c r="B778" s="21" t="s">
        <v>23</v>
      </c>
      <c r="C778" s="21" t="s">
        <v>1145</v>
      </c>
      <c r="D778" s="21" t="s">
        <v>35</v>
      </c>
      <c r="E778" s="17" t="s">
        <v>476</v>
      </c>
      <c r="F778" s="18" t="s">
        <v>47</v>
      </c>
      <c r="G778" s="18" t="s">
        <v>48</v>
      </c>
      <c r="H778" s="24">
        <v>32110</v>
      </c>
      <c r="I778" s="24">
        <f>T_reg.root.SK[[#This Row],[Volume, kg]]/1000</f>
        <v>32.11</v>
      </c>
      <c r="J778" s="25">
        <v>0.20019999999999999</v>
      </c>
      <c r="K778" s="25">
        <f t="shared" si="12"/>
        <v>6428.4219999999996</v>
      </c>
      <c r="L778" s="25">
        <v>3.25</v>
      </c>
      <c r="M778" s="24">
        <v>104474</v>
      </c>
      <c r="N778" s="25">
        <f>IFERROR(T_reg.root.SK[[#This Row],[Price]]/T_reg.root.SK[[#This Row],[Starch content]],"")</f>
        <v>16.233766233766236</v>
      </c>
    </row>
    <row r="779" spans="1:14">
      <c r="A779" s="21">
        <v>2023</v>
      </c>
      <c r="B779" s="21" t="s">
        <v>23</v>
      </c>
      <c r="C779" s="21" t="s">
        <v>1145</v>
      </c>
      <c r="D779" s="21" t="s">
        <v>35</v>
      </c>
      <c r="E779" s="17" t="s">
        <v>79</v>
      </c>
      <c r="F779" s="18" t="s">
        <v>80</v>
      </c>
      <c r="G779" s="18" t="s">
        <v>81</v>
      </c>
      <c r="H779" s="24">
        <v>3960</v>
      </c>
      <c r="I779" s="24">
        <f>T_reg.root.SK[[#This Row],[Volume, kg]]/1000</f>
        <v>3.96</v>
      </c>
      <c r="J779" s="25">
        <v>0.22149999999999997</v>
      </c>
      <c r="K779" s="25">
        <f t="shared" si="12"/>
        <v>877.13999999999987</v>
      </c>
      <c r="L779" s="25">
        <v>3.25</v>
      </c>
      <c r="M779" s="24">
        <v>12870</v>
      </c>
      <c r="N779" s="25">
        <f>IFERROR(T_reg.root.SK[[#This Row],[Price]]/T_reg.root.SK[[#This Row],[Starch content]],"")</f>
        <v>14.672686230248308</v>
      </c>
    </row>
    <row r="780" spans="1:14">
      <c r="A780" s="21">
        <v>2023</v>
      </c>
      <c r="B780" s="21" t="s">
        <v>23</v>
      </c>
      <c r="C780" s="21" t="s">
        <v>1145</v>
      </c>
      <c r="D780" s="21" t="s">
        <v>35</v>
      </c>
      <c r="E780" s="17" t="s">
        <v>82</v>
      </c>
      <c r="F780" s="18" t="s">
        <v>83</v>
      </c>
      <c r="G780" s="18" t="s">
        <v>48</v>
      </c>
      <c r="H780" s="24">
        <v>29180</v>
      </c>
      <c r="I780" s="24">
        <f>T_reg.root.SK[[#This Row],[Volume, kg]]/1000</f>
        <v>29.18</v>
      </c>
      <c r="J780" s="25">
        <v>0.17019999999999999</v>
      </c>
      <c r="K780" s="25">
        <f t="shared" si="12"/>
        <v>4966.4359999999997</v>
      </c>
      <c r="L780" s="25">
        <v>3.07</v>
      </c>
      <c r="M780" s="24">
        <v>89494</v>
      </c>
      <c r="N780" s="25">
        <f>IFERROR(T_reg.root.SK[[#This Row],[Price]]/T_reg.root.SK[[#This Row],[Starch content]],"")</f>
        <v>18.037602820211514</v>
      </c>
    </row>
    <row r="781" spans="1:14">
      <c r="A781" s="21">
        <v>2023</v>
      </c>
      <c r="B781" s="21" t="s">
        <v>23</v>
      </c>
      <c r="C781" s="21" t="s">
        <v>1145</v>
      </c>
      <c r="D781" s="21" t="s">
        <v>35</v>
      </c>
      <c r="E781" s="17" t="s">
        <v>477</v>
      </c>
      <c r="F781" s="18" t="s">
        <v>83</v>
      </c>
      <c r="G781" s="18" t="s">
        <v>48</v>
      </c>
      <c r="H781" s="24">
        <v>38710</v>
      </c>
      <c r="I781" s="24">
        <f>T_reg.root.SK[[#This Row],[Volume, kg]]/1000</f>
        <v>38.71</v>
      </c>
      <c r="J781" s="25">
        <v>0.1918</v>
      </c>
      <c r="K781" s="25">
        <f t="shared" si="12"/>
        <v>7424.5779999999995</v>
      </c>
      <c r="L781" s="25">
        <v>3.1</v>
      </c>
      <c r="M781" s="24">
        <v>119982.5</v>
      </c>
      <c r="N781" s="25">
        <f>IFERROR(T_reg.root.SK[[#This Row],[Price]]/T_reg.root.SK[[#This Row],[Starch content]],"")</f>
        <v>16.162669447340981</v>
      </c>
    </row>
    <row r="782" spans="1:14">
      <c r="A782" s="21">
        <v>2023</v>
      </c>
      <c r="B782" s="21" t="s">
        <v>23</v>
      </c>
      <c r="C782" s="21" t="s">
        <v>1145</v>
      </c>
      <c r="D782" s="21" t="s">
        <v>39</v>
      </c>
      <c r="E782" s="17" t="s">
        <v>85</v>
      </c>
      <c r="F782" s="18" t="s">
        <v>86</v>
      </c>
      <c r="G782" s="18" t="s">
        <v>87</v>
      </c>
      <c r="H782" s="24">
        <v>3873460</v>
      </c>
      <c r="I782" s="24">
        <f>T_reg.root.SK[[#This Row],[Volume, kg]]/1000</f>
        <v>3873.46</v>
      </c>
      <c r="J782" s="25">
        <v>0.2218</v>
      </c>
      <c r="K782" s="25">
        <f t="shared" si="12"/>
        <v>859133.42799999996</v>
      </c>
      <c r="L782" s="25">
        <v>3.31</v>
      </c>
      <c r="M782" s="24">
        <v>12832155</v>
      </c>
      <c r="N782" s="25">
        <f>IFERROR(T_reg.root.SK[[#This Row],[Price]]/T_reg.root.SK[[#This Row],[Starch content]],"")</f>
        <v>14.923354373309287</v>
      </c>
    </row>
    <row r="783" spans="1:14">
      <c r="A783" s="21">
        <v>2023</v>
      </c>
      <c r="B783" s="21" t="s">
        <v>23</v>
      </c>
      <c r="C783" s="21" t="s">
        <v>1145</v>
      </c>
      <c r="D783" s="21" t="s">
        <v>39</v>
      </c>
      <c r="E783" s="17" t="s">
        <v>88</v>
      </c>
      <c r="F783" s="18" t="s">
        <v>89</v>
      </c>
      <c r="G783" s="18" t="s">
        <v>90</v>
      </c>
      <c r="H783" s="24">
        <v>2047630</v>
      </c>
      <c r="I783" s="24">
        <f>T_reg.root.SK[[#This Row],[Volume, kg]]/1000</f>
        <v>2047.63</v>
      </c>
      <c r="J783" s="25">
        <v>0.20329999999999998</v>
      </c>
      <c r="K783" s="25">
        <f t="shared" si="12"/>
        <v>416283.17899999995</v>
      </c>
      <c r="L783" s="25">
        <v>3.19</v>
      </c>
      <c r="M783" s="24">
        <v>6539059</v>
      </c>
      <c r="N783" s="25">
        <f>IFERROR(T_reg.root.SK[[#This Row],[Price]]/T_reg.root.SK[[#This Row],[Starch content]],"")</f>
        <v>15.691096901131335</v>
      </c>
    </row>
    <row r="784" spans="1:14">
      <c r="A784" s="21">
        <v>2023</v>
      </c>
      <c r="B784" s="21" t="s">
        <v>23</v>
      </c>
      <c r="C784" s="21" t="s">
        <v>1145</v>
      </c>
      <c r="D784" s="21" t="s">
        <v>35</v>
      </c>
      <c r="E784" s="17" t="s">
        <v>478</v>
      </c>
      <c r="F784" s="18" t="s">
        <v>92</v>
      </c>
      <c r="G784" s="18" t="s">
        <v>48</v>
      </c>
      <c r="H784" s="24">
        <v>0</v>
      </c>
      <c r="I784" s="24">
        <f>T_reg.root.SK[[#This Row],[Volume, kg]]/1000</f>
        <v>0</v>
      </c>
      <c r="J784" s="25">
        <v>0</v>
      </c>
      <c r="K784" s="25">
        <f t="shared" si="12"/>
        <v>0</v>
      </c>
      <c r="L784" s="25">
        <v>0</v>
      </c>
      <c r="M784" s="24">
        <v>0</v>
      </c>
      <c r="N784" s="25" t="str">
        <f>IFERROR(T_reg.root.SK[[#This Row],[Price]]/T_reg.root.SK[[#This Row],[Starch content]],"")</f>
        <v/>
      </c>
    </row>
    <row r="785" spans="1:14">
      <c r="A785" s="21">
        <v>2023</v>
      </c>
      <c r="B785" s="21" t="s">
        <v>23</v>
      </c>
      <c r="C785" s="21" t="s">
        <v>1145</v>
      </c>
      <c r="D785" s="21" t="s">
        <v>35</v>
      </c>
      <c r="E785" s="17" t="s">
        <v>389</v>
      </c>
      <c r="F785" s="18" t="s">
        <v>92</v>
      </c>
      <c r="G785" s="18" t="s">
        <v>48</v>
      </c>
      <c r="H785" s="24">
        <v>9580</v>
      </c>
      <c r="I785" s="24">
        <f>T_reg.root.SK[[#This Row],[Volume, kg]]/1000</f>
        <v>9.58</v>
      </c>
      <c r="J785" s="25">
        <v>0.1865</v>
      </c>
      <c r="K785" s="25">
        <f t="shared" si="12"/>
        <v>1786.67</v>
      </c>
      <c r="L785" s="25">
        <v>3.1</v>
      </c>
      <c r="M785" s="24">
        <v>29698</v>
      </c>
      <c r="N785" s="25">
        <f>IFERROR(T_reg.root.SK[[#This Row],[Price]]/T_reg.root.SK[[#This Row],[Starch content]],"")</f>
        <v>16.621983914209117</v>
      </c>
    </row>
    <row r="786" spans="1:14">
      <c r="A786" s="21">
        <v>2023</v>
      </c>
      <c r="B786" s="21" t="s">
        <v>23</v>
      </c>
      <c r="C786" s="21" t="s">
        <v>1145</v>
      </c>
      <c r="D786" s="21" t="s">
        <v>35</v>
      </c>
      <c r="E786" s="17" t="s">
        <v>229</v>
      </c>
      <c r="F786" s="18" t="s">
        <v>92</v>
      </c>
      <c r="G786" s="18" t="s">
        <v>48</v>
      </c>
      <c r="H786" s="24">
        <v>19130</v>
      </c>
      <c r="I786" s="24">
        <f>T_reg.root.SK[[#This Row],[Volume, kg]]/1000</f>
        <v>19.13</v>
      </c>
      <c r="J786" s="25">
        <v>0.20730000000000001</v>
      </c>
      <c r="K786" s="25">
        <f t="shared" si="12"/>
        <v>3965.6490000000003</v>
      </c>
      <c r="L786" s="25">
        <v>3.18</v>
      </c>
      <c r="M786" s="24">
        <v>60821</v>
      </c>
      <c r="N786" s="25">
        <f>IFERROR(T_reg.root.SK[[#This Row],[Price]]/T_reg.root.SK[[#This Row],[Starch content]],"")</f>
        <v>15.340086830680173</v>
      </c>
    </row>
    <row r="787" spans="1:14">
      <c r="A787" s="21">
        <v>2023</v>
      </c>
      <c r="B787" s="21" t="s">
        <v>23</v>
      </c>
      <c r="C787" s="21" t="s">
        <v>1145</v>
      </c>
      <c r="D787" s="21" t="s">
        <v>35</v>
      </c>
      <c r="E787" s="17" t="s">
        <v>91</v>
      </c>
      <c r="F787" s="18" t="s">
        <v>92</v>
      </c>
      <c r="G787" s="18" t="s">
        <v>48</v>
      </c>
      <c r="H787" s="24">
        <v>94660</v>
      </c>
      <c r="I787" s="24">
        <f>T_reg.root.SK[[#This Row],[Volume, kg]]/1000</f>
        <v>94.66</v>
      </c>
      <c r="J787" s="25">
        <v>0.17899999999999999</v>
      </c>
      <c r="K787" s="25">
        <f t="shared" si="12"/>
        <v>16944.14</v>
      </c>
      <c r="L787" s="25">
        <v>3.11</v>
      </c>
      <c r="M787" s="24">
        <v>294324</v>
      </c>
      <c r="N787" s="25">
        <f>IFERROR(T_reg.root.SK[[#This Row],[Price]]/T_reg.root.SK[[#This Row],[Starch content]],"")</f>
        <v>17.374301675977655</v>
      </c>
    </row>
    <row r="788" spans="1:14">
      <c r="A788" s="21">
        <v>2023</v>
      </c>
      <c r="B788" s="21" t="s">
        <v>23</v>
      </c>
      <c r="C788" s="21" t="s">
        <v>1145</v>
      </c>
      <c r="D788" s="21" t="s">
        <v>35</v>
      </c>
      <c r="E788" s="17" t="s">
        <v>93</v>
      </c>
      <c r="F788" s="18" t="s">
        <v>92</v>
      </c>
      <c r="G788" s="18" t="s">
        <v>48</v>
      </c>
      <c r="H788" s="24">
        <v>102740</v>
      </c>
      <c r="I788" s="24">
        <f>T_reg.root.SK[[#This Row],[Volume, kg]]/1000</f>
        <v>102.74</v>
      </c>
      <c r="J788" s="25">
        <v>0.1555</v>
      </c>
      <c r="K788" s="25">
        <f t="shared" si="12"/>
        <v>15976.07</v>
      </c>
      <c r="L788" s="25">
        <v>2.95</v>
      </c>
      <c r="M788" s="24">
        <v>303127.5</v>
      </c>
      <c r="N788" s="25">
        <f>IFERROR(T_reg.root.SK[[#This Row],[Price]]/T_reg.root.SK[[#This Row],[Starch content]],"")</f>
        <v>18.971061093247588</v>
      </c>
    </row>
    <row r="789" spans="1:14">
      <c r="A789" s="21">
        <v>2023</v>
      </c>
      <c r="B789" s="21" t="s">
        <v>23</v>
      </c>
      <c r="C789" s="21" t="s">
        <v>1145</v>
      </c>
      <c r="D789" s="21" t="s">
        <v>39</v>
      </c>
      <c r="E789" s="17" t="s">
        <v>94</v>
      </c>
      <c r="F789" s="18" t="s">
        <v>95</v>
      </c>
      <c r="G789" s="18" t="s">
        <v>48</v>
      </c>
      <c r="H789" s="24">
        <v>4812230</v>
      </c>
      <c r="I789" s="24">
        <f>T_reg.root.SK[[#This Row],[Volume, kg]]/1000</f>
        <v>4812.2299999999996</v>
      </c>
      <c r="J789" s="25">
        <v>0.1893</v>
      </c>
      <c r="K789" s="25">
        <f t="shared" si="12"/>
        <v>910955.13899999997</v>
      </c>
      <c r="L789" s="25">
        <v>3.13</v>
      </c>
      <c r="M789" s="24">
        <v>15040093</v>
      </c>
      <c r="N789" s="25">
        <f>IFERROR(T_reg.root.SK[[#This Row],[Price]]/T_reg.root.SK[[#This Row],[Starch content]],"")</f>
        <v>16.53460116217644</v>
      </c>
    </row>
    <row r="790" spans="1:14">
      <c r="A790" s="21">
        <v>2023</v>
      </c>
      <c r="B790" s="21" t="s">
        <v>23</v>
      </c>
      <c r="C790" s="21" t="s">
        <v>1145</v>
      </c>
      <c r="D790" s="21" t="s">
        <v>35</v>
      </c>
      <c r="E790" s="17" t="s">
        <v>276</v>
      </c>
      <c r="F790" s="18" t="s">
        <v>95</v>
      </c>
      <c r="G790" s="18" t="s">
        <v>48</v>
      </c>
      <c r="H790" s="24">
        <v>36050</v>
      </c>
      <c r="I790" s="24">
        <f>T_reg.root.SK[[#This Row],[Volume, kg]]/1000</f>
        <v>36.049999999999997</v>
      </c>
      <c r="J790" s="25">
        <v>0.21260000000000001</v>
      </c>
      <c r="K790" s="25">
        <f t="shared" si="12"/>
        <v>7664.2300000000005</v>
      </c>
      <c r="L790" s="25">
        <v>3.22</v>
      </c>
      <c r="M790" s="24">
        <v>116107</v>
      </c>
      <c r="N790" s="25">
        <f>IFERROR(T_reg.root.SK[[#This Row],[Price]]/T_reg.root.SK[[#This Row],[Starch content]],"")</f>
        <v>15.145813734713077</v>
      </c>
    </row>
    <row r="791" spans="1:14">
      <c r="A791" s="21">
        <v>2023</v>
      </c>
      <c r="B791" s="21" t="s">
        <v>23</v>
      </c>
      <c r="C791" s="21" t="s">
        <v>1145</v>
      </c>
      <c r="D791" s="21" t="s">
        <v>35</v>
      </c>
      <c r="E791" s="17" t="s">
        <v>345</v>
      </c>
      <c r="F791" s="18" t="s">
        <v>95</v>
      </c>
      <c r="G791" s="18" t="s">
        <v>48</v>
      </c>
      <c r="H791" s="24">
        <v>47470</v>
      </c>
      <c r="I791" s="24">
        <f>T_reg.root.SK[[#This Row],[Volume, kg]]/1000</f>
        <v>47.47</v>
      </c>
      <c r="J791" s="25">
        <v>0.21739999999999998</v>
      </c>
      <c r="K791" s="25">
        <f t="shared" si="12"/>
        <v>10319.977999999999</v>
      </c>
      <c r="L791" s="25">
        <v>3.44</v>
      </c>
      <c r="M791" s="24">
        <v>163083.5</v>
      </c>
      <c r="N791" s="25">
        <f>IFERROR(T_reg.root.SK[[#This Row],[Price]]/T_reg.root.SK[[#This Row],[Starch content]],"")</f>
        <v>15.823367065317388</v>
      </c>
    </row>
    <row r="792" spans="1:14">
      <c r="A792" s="21">
        <v>2023</v>
      </c>
      <c r="B792" s="21" t="s">
        <v>23</v>
      </c>
      <c r="C792" s="21" t="s">
        <v>1145</v>
      </c>
      <c r="D792" s="21" t="s">
        <v>39</v>
      </c>
      <c r="E792" s="17" t="s">
        <v>98</v>
      </c>
      <c r="F792" s="18" t="s">
        <v>99</v>
      </c>
      <c r="G792" s="18" t="s">
        <v>42</v>
      </c>
      <c r="H792" s="24">
        <v>56410</v>
      </c>
      <c r="I792" s="24">
        <f>T_reg.root.SK[[#This Row],[Volume, kg]]/1000</f>
        <v>56.41</v>
      </c>
      <c r="J792" s="25">
        <v>0.19070000000000001</v>
      </c>
      <c r="K792" s="25">
        <f t="shared" si="12"/>
        <v>10757.387000000001</v>
      </c>
      <c r="L792" s="25">
        <v>3.15</v>
      </c>
      <c r="M792" s="24">
        <v>177691.5</v>
      </c>
      <c r="N792" s="25">
        <f>IFERROR(T_reg.root.SK[[#This Row],[Price]]/T_reg.root.SK[[#This Row],[Starch content]],"")</f>
        <v>16.518091242789723</v>
      </c>
    </row>
    <row r="793" spans="1:14">
      <c r="A793" s="21">
        <v>2023</v>
      </c>
      <c r="B793" s="21" t="s">
        <v>23</v>
      </c>
      <c r="C793" s="21" t="s">
        <v>1145</v>
      </c>
      <c r="D793" s="21" t="s">
        <v>39</v>
      </c>
      <c r="E793" s="17" t="s">
        <v>346</v>
      </c>
      <c r="F793" s="18" t="s">
        <v>99</v>
      </c>
      <c r="G793" s="18" t="s">
        <v>42</v>
      </c>
      <c r="H793" s="24">
        <v>1460640</v>
      </c>
      <c r="I793" s="24">
        <f>T_reg.root.SK[[#This Row],[Volume, kg]]/1000</f>
        <v>1460.64</v>
      </c>
      <c r="J793" s="25">
        <v>0.192</v>
      </c>
      <c r="K793" s="25">
        <f t="shared" si="12"/>
        <v>280442.88</v>
      </c>
      <c r="L793" s="25">
        <v>3.16</v>
      </c>
      <c r="M793" s="24">
        <v>4619584.5</v>
      </c>
      <c r="N793" s="25">
        <f>IFERROR(T_reg.root.SK[[#This Row],[Price]]/T_reg.root.SK[[#This Row],[Starch content]],"")</f>
        <v>16.458333333333332</v>
      </c>
    </row>
    <row r="794" spans="1:14">
      <c r="A794" s="21">
        <v>2023</v>
      </c>
      <c r="B794" s="21" t="s">
        <v>23</v>
      </c>
      <c r="C794" s="21" t="s">
        <v>1145</v>
      </c>
      <c r="D794" s="21" t="s">
        <v>39</v>
      </c>
      <c r="E794" s="17" t="s">
        <v>101</v>
      </c>
      <c r="F794" s="18" t="s">
        <v>102</v>
      </c>
      <c r="G794" s="18" t="s">
        <v>103</v>
      </c>
      <c r="H794" s="24">
        <v>30120</v>
      </c>
      <c r="I794" s="24">
        <f>T_reg.root.SK[[#This Row],[Volume, kg]]/1000</f>
        <v>30.12</v>
      </c>
      <c r="J794" s="25">
        <v>0.19949999999999998</v>
      </c>
      <c r="K794" s="25">
        <f t="shared" si="12"/>
        <v>6008.94</v>
      </c>
      <c r="L794" s="25">
        <v>3.15</v>
      </c>
      <c r="M794" s="24">
        <v>94878</v>
      </c>
      <c r="N794" s="25">
        <f>IFERROR(T_reg.root.SK[[#This Row],[Price]]/T_reg.root.SK[[#This Row],[Starch content]],"")</f>
        <v>15.789473684210527</v>
      </c>
    </row>
    <row r="795" spans="1:14">
      <c r="A795" s="21">
        <v>2023</v>
      </c>
      <c r="B795" s="21" t="s">
        <v>23</v>
      </c>
      <c r="C795" s="21" t="s">
        <v>1145</v>
      </c>
      <c r="D795" s="21" t="s">
        <v>35</v>
      </c>
      <c r="E795" s="17" t="s">
        <v>479</v>
      </c>
      <c r="F795" s="18" t="s">
        <v>283</v>
      </c>
      <c r="G795" s="18" t="s">
        <v>48</v>
      </c>
      <c r="H795" s="24">
        <v>24960</v>
      </c>
      <c r="I795" s="24">
        <f>T_reg.root.SK[[#This Row],[Volume, kg]]/1000</f>
        <v>24.96</v>
      </c>
      <c r="J795" s="25">
        <v>0.1686</v>
      </c>
      <c r="K795" s="25">
        <f t="shared" si="12"/>
        <v>4208.2560000000003</v>
      </c>
      <c r="L795" s="25">
        <v>3.13</v>
      </c>
      <c r="M795" s="24">
        <v>78248</v>
      </c>
      <c r="N795" s="25">
        <f>IFERROR(T_reg.root.SK[[#This Row],[Price]]/T_reg.root.SK[[#This Row],[Starch content]],"")</f>
        <v>18.56465005931198</v>
      </c>
    </row>
    <row r="796" spans="1:14">
      <c r="A796" s="21">
        <v>2023</v>
      </c>
      <c r="B796" s="21" t="s">
        <v>23</v>
      </c>
      <c r="C796" s="21" t="s">
        <v>1145</v>
      </c>
      <c r="D796" s="21" t="s">
        <v>35</v>
      </c>
      <c r="E796" s="17" t="s">
        <v>480</v>
      </c>
      <c r="F796" s="18" t="s">
        <v>105</v>
      </c>
      <c r="G796" s="18" t="s">
        <v>48</v>
      </c>
      <c r="H796" s="24">
        <v>19430</v>
      </c>
      <c r="I796" s="24">
        <f>T_reg.root.SK[[#This Row],[Volume, kg]]/1000</f>
        <v>19.43</v>
      </c>
      <c r="J796" s="25">
        <v>0.23350000000000001</v>
      </c>
      <c r="K796" s="25">
        <f t="shared" si="12"/>
        <v>4536.9050000000007</v>
      </c>
      <c r="L796" s="25">
        <v>3.18</v>
      </c>
      <c r="M796" s="24">
        <v>61775.5</v>
      </c>
      <c r="N796" s="25">
        <f>IFERROR(T_reg.root.SK[[#This Row],[Price]]/T_reg.root.SK[[#This Row],[Starch content]],"")</f>
        <v>13.618843683083512</v>
      </c>
    </row>
    <row r="797" spans="1:14">
      <c r="A797" s="21">
        <v>2023</v>
      </c>
      <c r="B797" s="21" t="s">
        <v>23</v>
      </c>
      <c r="C797" s="21" t="s">
        <v>1145</v>
      </c>
      <c r="D797" s="21" t="s">
        <v>35</v>
      </c>
      <c r="E797" s="17" t="s">
        <v>104</v>
      </c>
      <c r="F797" s="18" t="s">
        <v>105</v>
      </c>
      <c r="G797" s="18" t="s">
        <v>48</v>
      </c>
      <c r="H797" s="24">
        <v>140010</v>
      </c>
      <c r="I797" s="24">
        <f>T_reg.root.SK[[#This Row],[Volume, kg]]/1000</f>
        <v>140.01</v>
      </c>
      <c r="J797" s="25">
        <v>0.22450000000000001</v>
      </c>
      <c r="K797" s="25">
        <f t="shared" si="12"/>
        <v>31432.244999999999</v>
      </c>
      <c r="L797" s="25">
        <v>3.17</v>
      </c>
      <c r="M797" s="24">
        <v>443846</v>
      </c>
      <c r="N797" s="25">
        <f>IFERROR(T_reg.root.SK[[#This Row],[Price]]/T_reg.root.SK[[#This Row],[Starch content]],"")</f>
        <v>14.120267260579064</v>
      </c>
    </row>
    <row r="798" spans="1:14">
      <c r="A798" s="21">
        <v>2023</v>
      </c>
      <c r="B798" s="21" t="s">
        <v>23</v>
      </c>
      <c r="C798" s="21" t="s">
        <v>1145</v>
      </c>
      <c r="D798" s="21" t="s">
        <v>35</v>
      </c>
      <c r="E798" s="17" t="s">
        <v>481</v>
      </c>
      <c r="F798" s="18" t="s">
        <v>105</v>
      </c>
      <c r="G798" s="18" t="s">
        <v>48</v>
      </c>
      <c r="H798" s="24">
        <v>22710</v>
      </c>
      <c r="I798" s="24">
        <f>T_reg.root.SK[[#This Row],[Volume, kg]]/1000</f>
        <v>22.71</v>
      </c>
      <c r="J798" s="25">
        <v>0.23120000000000002</v>
      </c>
      <c r="K798" s="25">
        <f t="shared" si="12"/>
        <v>5250.5520000000006</v>
      </c>
      <c r="L798" s="25">
        <v>3.2</v>
      </c>
      <c r="M798" s="24">
        <v>72759</v>
      </c>
      <c r="N798" s="25">
        <f>IFERROR(T_reg.root.SK[[#This Row],[Price]]/T_reg.root.SK[[#This Row],[Starch content]],"")</f>
        <v>13.840830449826989</v>
      </c>
    </row>
    <row r="799" spans="1:14">
      <c r="A799" s="21">
        <v>2023</v>
      </c>
      <c r="B799" s="21" t="s">
        <v>23</v>
      </c>
      <c r="C799" s="21" t="s">
        <v>1145</v>
      </c>
      <c r="D799" s="21" t="s">
        <v>35</v>
      </c>
      <c r="E799" s="17" t="s">
        <v>289</v>
      </c>
      <c r="F799" s="18" t="s">
        <v>105</v>
      </c>
      <c r="G799" s="18" t="s">
        <v>48</v>
      </c>
      <c r="H799" s="24">
        <v>9350</v>
      </c>
      <c r="I799" s="24">
        <f>T_reg.root.SK[[#This Row],[Volume, kg]]/1000</f>
        <v>9.35</v>
      </c>
      <c r="J799" s="25">
        <v>0.20300000000000001</v>
      </c>
      <c r="K799" s="25">
        <f t="shared" si="12"/>
        <v>1898.0500000000002</v>
      </c>
      <c r="L799" s="25">
        <v>3.05</v>
      </c>
      <c r="M799" s="24">
        <v>28517.5</v>
      </c>
      <c r="N799" s="25">
        <f>IFERROR(T_reg.root.SK[[#This Row],[Price]]/T_reg.root.SK[[#This Row],[Starch content]],"")</f>
        <v>15.02463054187192</v>
      </c>
    </row>
    <row r="800" spans="1:14">
      <c r="A800" s="21">
        <v>2023</v>
      </c>
      <c r="B800" s="21" t="s">
        <v>23</v>
      </c>
      <c r="C800" s="21" t="s">
        <v>1145</v>
      </c>
      <c r="D800" s="21" t="s">
        <v>35</v>
      </c>
      <c r="E800" s="17" t="s">
        <v>107</v>
      </c>
      <c r="F800" s="18" t="s">
        <v>105</v>
      </c>
      <c r="G800" s="18" t="s">
        <v>48</v>
      </c>
      <c r="H800" s="24">
        <v>87560</v>
      </c>
      <c r="I800" s="24">
        <f>T_reg.root.SK[[#This Row],[Volume, kg]]/1000</f>
        <v>87.56</v>
      </c>
      <c r="J800" s="25">
        <v>0.19170000000000001</v>
      </c>
      <c r="K800" s="25">
        <f t="shared" si="12"/>
        <v>16785.252</v>
      </c>
      <c r="L800" s="25">
        <v>3.05</v>
      </c>
      <c r="M800" s="24">
        <v>267430.5</v>
      </c>
      <c r="N800" s="25">
        <f>IFERROR(T_reg.root.SK[[#This Row],[Price]]/T_reg.root.SK[[#This Row],[Starch content]],"")</f>
        <v>15.910276473656754</v>
      </c>
    </row>
    <row r="801" spans="1:14">
      <c r="A801" s="21">
        <v>2023</v>
      </c>
      <c r="B801" s="21" t="s">
        <v>23</v>
      </c>
      <c r="C801" s="21" t="s">
        <v>1145</v>
      </c>
      <c r="D801" s="21" t="s">
        <v>35</v>
      </c>
      <c r="E801" s="17" t="s">
        <v>231</v>
      </c>
      <c r="F801" s="18" t="s">
        <v>105</v>
      </c>
      <c r="G801" s="18" t="s">
        <v>48</v>
      </c>
      <c r="H801" s="24">
        <v>4160</v>
      </c>
      <c r="I801" s="24">
        <f>T_reg.root.SK[[#This Row],[Volume, kg]]/1000</f>
        <v>4.16</v>
      </c>
      <c r="J801" s="25">
        <v>0.1905</v>
      </c>
      <c r="K801" s="25">
        <f t="shared" si="12"/>
        <v>792.48</v>
      </c>
      <c r="L801" s="25">
        <v>2.95</v>
      </c>
      <c r="M801" s="24">
        <v>12272</v>
      </c>
      <c r="N801" s="25">
        <f>IFERROR(T_reg.root.SK[[#This Row],[Price]]/T_reg.root.SK[[#This Row],[Starch content]],"")</f>
        <v>15.485564304461944</v>
      </c>
    </row>
    <row r="802" spans="1:14">
      <c r="A802" s="21">
        <v>2023</v>
      </c>
      <c r="B802" s="21" t="s">
        <v>23</v>
      </c>
      <c r="C802" s="21" t="s">
        <v>1145</v>
      </c>
      <c r="D802" s="21" t="s">
        <v>35</v>
      </c>
      <c r="E802" s="17" t="s">
        <v>108</v>
      </c>
      <c r="F802" s="18" t="s">
        <v>105</v>
      </c>
      <c r="G802" s="18" t="s">
        <v>48</v>
      </c>
      <c r="H802" s="24">
        <v>35010</v>
      </c>
      <c r="I802" s="24">
        <f>T_reg.root.SK[[#This Row],[Volume, kg]]/1000</f>
        <v>35.01</v>
      </c>
      <c r="J802" s="25">
        <v>0.16769999999999999</v>
      </c>
      <c r="K802" s="25">
        <f t="shared" si="12"/>
        <v>5871.1769999999997</v>
      </c>
      <c r="L802" s="25">
        <v>3.15</v>
      </c>
      <c r="M802" s="24">
        <v>110149</v>
      </c>
      <c r="N802" s="25">
        <f>IFERROR(T_reg.root.SK[[#This Row],[Price]]/T_reg.root.SK[[#This Row],[Starch content]],"")</f>
        <v>18.783542039355993</v>
      </c>
    </row>
    <row r="803" spans="1:14">
      <c r="A803" s="21">
        <v>2023</v>
      </c>
      <c r="B803" s="21" t="s">
        <v>23</v>
      </c>
      <c r="C803" s="21" t="s">
        <v>1145</v>
      </c>
      <c r="D803" s="21" t="s">
        <v>35</v>
      </c>
      <c r="E803" s="17" t="s">
        <v>292</v>
      </c>
      <c r="F803" s="18" t="s">
        <v>105</v>
      </c>
      <c r="G803" s="18" t="s">
        <v>48</v>
      </c>
      <c r="H803" s="24">
        <v>8060</v>
      </c>
      <c r="I803" s="24">
        <f>T_reg.root.SK[[#This Row],[Volume, kg]]/1000</f>
        <v>8.06</v>
      </c>
      <c r="J803" s="25">
        <v>0.1865</v>
      </c>
      <c r="K803" s="25">
        <f t="shared" si="12"/>
        <v>1503.19</v>
      </c>
      <c r="L803" s="25">
        <v>2.95</v>
      </c>
      <c r="M803" s="24">
        <v>23777</v>
      </c>
      <c r="N803" s="25">
        <f>IFERROR(T_reg.root.SK[[#This Row],[Price]]/T_reg.root.SK[[#This Row],[Starch content]],"")</f>
        <v>15.817694369973191</v>
      </c>
    </row>
    <row r="804" spans="1:14">
      <c r="A804" s="21">
        <v>2023</v>
      </c>
      <c r="B804" s="21" t="s">
        <v>23</v>
      </c>
      <c r="C804" s="21" t="s">
        <v>1145</v>
      </c>
      <c r="D804" s="21" t="s">
        <v>35</v>
      </c>
      <c r="E804" s="17" t="s">
        <v>293</v>
      </c>
      <c r="F804" s="18" t="s">
        <v>105</v>
      </c>
      <c r="G804" s="18" t="s">
        <v>48</v>
      </c>
      <c r="H804" s="24">
        <v>6230</v>
      </c>
      <c r="I804" s="24">
        <f>T_reg.root.SK[[#This Row],[Volume, kg]]/1000</f>
        <v>6.23</v>
      </c>
      <c r="J804" s="25">
        <v>0.17129999999999998</v>
      </c>
      <c r="K804" s="25">
        <f t="shared" si="12"/>
        <v>1067.1989999999998</v>
      </c>
      <c r="L804" s="25">
        <v>3.06</v>
      </c>
      <c r="M804" s="24">
        <v>19077.5</v>
      </c>
      <c r="N804" s="25">
        <f>IFERROR(T_reg.root.SK[[#This Row],[Price]]/T_reg.root.SK[[#This Row],[Starch content]],"")</f>
        <v>17.863397548161124</v>
      </c>
    </row>
    <row r="805" spans="1:14">
      <c r="A805" s="21">
        <v>2023</v>
      </c>
      <c r="B805" s="21" t="s">
        <v>23</v>
      </c>
      <c r="C805" s="21" t="s">
        <v>1145</v>
      </c>
      <c r="D805" s="21" t="s">
        <v>35</v>
      </c>
      <c r="E805" s="17" t="s">
        <v>294</v>
      </c>
      <c r="F805" s="18" t="s">
        <v>105</v>
      </c>
      <c r="G805" s="18" t="s">
        <v>48</v>
      </c>
      <c r="H805" s="24">
        <v>92600</v>
      </c>
      <c r="I805" s="24">
        <f>T_reg.root.SK[[#This Row],[Volume, kg]]/1000</f>
        <v>92.6</v>
      </c>
      <c r="J805" s="25">
        <v>0.17379999999999998</v>
      </c>
      <c r="K805" s="25">
        <f t="shared" si="12"/>
        <v>16093.88</v>
      </c>
      <c r="L805" s="25">
        <v>2.89</v>
      </c>
      <c r="M805" s="24">
        <v>267965</v>
      </c>
      <c r="N805" s="25">
        <f>IFERROR(T_reg.root.SK[[#This Row],[Price]]/T_reg.root.SK[[#This Row],[Starch content]],"")</f>
        <v>16.628308400460302</v>
      </c>
    </row>
    <row r="806" spans="1:14">
      <c r="A806" s="21">
        <v>2023</v>
      </c>
      <c r="B806" s="21" t="s">
        <v>23</v>
      </c>
      <c r="C806" s="21" t="s">
        <v>1145</v>
      </c>
      <c r="D806" s="21" t="s">
        <v>35</v>
      </c>
      <c r="E806" s="17" t="s">
        <v>112</v>
      </c>
      <c r="F806" s="18" t="s">
        <v>105</v>
      </c>
      <c r="G806" s="18" t="s">
        <v>48</v>
      </c>
      <c r="H806" s="24">
        <v>35120</v>
      </c>
      <c r="I806" s="24">
        <f>T_reg.root.SK[[#This Row],[Volume, kg]]/1000</f>
        <v>35.119999999999997</v>
      </c>
      <c r="J806" s="25">
        <v>0.16469999999999999</v>
      </c>
      <c r="K806" s="25">
        <f t="shared" si="12"/>
        <v>5784.2639999999992</v>
      </c>
      <c r="L806" s="25">
        <v>2.84</v>
      </c>
      <c r="M806" s="24">
        <v>99829.5</v>
      </c>
      <c r="N806" s="25">
        <f>IFERROR(T_reg.root.SK[[#This Row],[Price]]/T_reg.root.SK[[#This Row],[Starch content]],"")</f>
        <v>17.243472981177899</v>
      </c>
    </row>
    <row r="807" spans="1:14">
      <c r="A807" s="21">
        <v>2023</v>
      </c>
      <c r="B807" s="21" t="s">
        <v>23</v>
      </c>
      <c r="C807" s="21" t="s">
        <v>1145</v>
      </c>
      <c r="D807" s="21" t="s">
        <v>35</v>
      </c>
      <c r="E807" s="17" t="s">
        <v>482</v>
      </c>
      <c r="F807" s="18" t="s">
        <v>105</v>
      </c>
      <c r="G807" s="18" t="s">
        <v>48</v>
      </c>
      <c r="H807" s="24">
        <v>45700</v>
      </c>
      <c r="I807" s="24">
        <f>T_reg.root.SK[[#This Row],[Volume, kg]]/1000</f>
        <v>45.7</v>
      </c>
      <c r="J807" s="25">
        <v>0.1986</v>
      </c>
      <c r="K807" s="25">
        <f t="shared" si="12"/>
        <v>9076.02</v>
      </c>
      <c r="L807" s="25">
        <v>2.98</v>
      </c>
      <c r="M807" s="24">
        <v>136371</v>
      </c>
      <c r="N807" s="25">
        <f>IFERROR(T_reg.root.SK[[#This Row],[Price]]/T_reg.root.SK[[#This Row],[Starch content]],"")</f>
        <v>15.00503524672709</v>
      </c>
    </row>
    <row r="808" spans="1:14">
      <c r="A808" s="21">
        <v>2023</v>
      </c>
      <c r="B808" s="21" t="s">
        <v>23</v>
      </c>
      <c r="C808" s="21" t="s">
        <v>1145</v>
      </c>
      <c r="D808" s="21" t="s">
        <v>35</v>
      </c>
      <c r="E808" s="17" t="s">
        <v>353</v>
      </c>
      <c r="F808" s="18" t="s">
        <v>105</v>
      </c>
      <c r="G808" s="18" t="s">
        <v>48</v>
      </c>
      <c r="H808" s="24">
        <v>4640</v>
      </c>
      <c r="I808" s="24">
        <f>T_reg.root.SK[[#This Row],[Volume, kg]]/1000</f>
        <v>4.6399999999999997</v>
      </c>
      <c r="J808" s="25">
        <v>0.17100000000000001</v>
      </c>
      <c r="K808" s="25">
        <f t="shared" si="12"/>
        <v>793.44</v>
      </c>
      <c r="L808" s="25">
        <v>2.85</v>
      </c>
      <c r="M808" s="24">
        <v>13224</v>
      </c>
      <c r="N808" s="25">
        <f>IFERROR(T_reg.root.SK[[#This Row],[Price]]/T_reg.root.SK[[#This Row],[Starch content]],"")</f>
        <v>16.666666666666664</v>
      </c>
    </row>
    <row r="809" spans="1:14">
      <c r="A809" s="21">
        <v>2023</v>
      </c>
      <c r="B809" s="21" t="s">
        <v>23</v>
      </c>
      <c r="C809" s="21" t="s">
        <v>1145</v>
      </c>
      <c r="D809" s="21" t="s">
        <v>35</v>
      </c>
      <c r="E809" s="17" t="s">
        <v>483</v>
      </c>
      <c r="F809" s="18" t="s">
        <v>105</v>
      </c>
      <c r="G809" s="18" t="s">
        <v>48</v>
      </c>
      <c r="H809" s="24">
        <v>14920</v>
      </c>
      <c r="I809" s="24">
        <f>T_reg.root.SK[[#This Row],[Volume, kg]]/1000</f>
        <v>14.92</v>
      </c>
      <c r="J809" s="25">
        <v>0.21030000000000001</v>
      </c>
      <c r="K809" s="25">
        <f t="shared" si="12"/>
        <v>3137.6760000000004</v>
      </c>
      <c r="L809" s="25">
        <v>3.05</v>
      </c>
      <c r="M809" s="24">
        <v>45555</v>
      </c>
      <c r="N809" s="25">
        <f>IFERROR(T_reg.root.SK[[#This Row],[Price]]/T_reg.root.SK[[#This Row],[Starch content]],"")</f>
        <v>14.503090822634331</v>
      </c>
    </row>
    <row r="810" spans="1:14">
      <c r="A810" s="21">
        <v>2023</v>
      </c>
      <c r="B810" s="21" t="s">
        <v>23</v>
      </c>
      <c r="C810" s="21" t="s">
        <v>1145</v>
      </c>
      <c r="D810" s="21" t="s">
        <v>35</v>
      </c>
      <c r="E810" s="17" t="s">
        <v>236</v>
      </c>
      <c r="F810" s="18" t="s">
        <v>105</v>
      </c>
      <c r="G810" s="18" t="s">
        <v>48</v>
      </c>
      <c r="H810" s="24">
        <v>20230</v>
      </c>
      <c r="I810" s="24">
        <f>T_reg.root.SK[[#This Row],[Volume, kg]]/1000</f>
        <v>20.23</v>
      </c>
      <c r="J810" s="25">
        <v>0.1716</v>
      </c>
      <c r="K810" s="25">
        <f t="shared" si="12"/>
        <v>3471.4679999999998</v>
      </c>
      <c r="L810" s="25">
        <v>2.86</v>
      </c>
      <c r="M810" s="24">
        <v>57956</v>
      </c>
      <c r="N810" s="25">
        <f>IFERROR(T_reg.root.SK[[#This Row],[Price]]/T_reg.root.SK[[#This Row],[Starch content]],"")</f>
        <v>16.666666666666664</v>
      </c>
    </row>
    <row r="811" spans="1:14">
      <c r="A811" s="21">
        <v>2023</v>
      </c>
      <c r="B811" s="21" t="s">
        <v>23</v>
      </c>
      <c r="C811" s="21" t="s">
        <v>1145</v>
      </c>
      <c r="D811" s="21" t="s">
        <v>35</v>
      </c>
      <c r="E811" s="17" t="s">
        <v>115</v>
      </c>
      <c r="F811" s="18" t="s">
        <v>105</v>
      </c>
      <c r="G811" s="18" t="s">
        <v>48</v>
      </c>
      <c r="H811" s="24">
        <v>90360</v>
      </c>
      <c r="I811" s="24">
        <f>T_reg.root.SK[[#This Row],[Volume, kg]]/1000</f>
        <v>90.36</v>
      </c>
      <c r="J811" s="25">
        <v>0.18890000000000001</v>
      </c>
      <c r="K811" s="25">
        <f t="shared" si="12"/>
        <v>17069.004000000001</v>
      </c>
      <c r="L811" s="25">
        <v>3.08</v>
      </c>
      <c r="M811" s="24">
        <v>278040</v>
      </c>
      <c r="N811" s="25">
        <f>IFERROR(T_reg.root.SK[[#This Row],[Price]]/T_reg.root.SK[[#This Row],[Starch content]],"")</f>
        <v>16.304923239809423</v>
      </c>
    </row>
    <row r="812" spans="1:14">
      <c r="A812" s="21">
        <v>2023</v>
      </c>
      <c r="B812" s="21" t="s">
        <v>23</v>
      </c>
      <c r="C812" s="21" t="s">
        <v>1145</v>
      </c>
      <c r="D812" s="21" t="s">
        <v>35</v>
      </c>
      <c r="E812" s="17" t="s">
        <v>116</v>
      </c>
      <c r="F812" s="18" t="s">
        <v>105</v>
      </c>
      <c r="G812" s="18" t="s">
        <v>48</v>
      </c>
      <c r="H812" s="24">
        <v>11700</v>
      </c>
      <c r="I812" s="24">
        <f>T_reg.root.SK[[#This Row],[Volume, kg]]/1000</f>
        <v>11.7</v>
      </c>
      <c r="J812" s="25">
        <v>0.27810000000000001</v>
      </c>
      <c r="K812" s="25">
        <f t="shared" si="12"/>
        <v>3253.77</v>
      </c>
      <c r="L812" s="25">
        <v>3.5</v>
      </c>
      <c r="M812" s="24">
        <v>40964</v>
      </c>
      <c r="N812" s="25">
        <f>IFERROR(T_reg.root.SK[[#This Row],[Price]]/T_reg.root.SK[[#This Row],[Starch content]],"")</f>
        <v>12.585400934915498</v>
      </c>
    </row>
    <row r="813" spans="1:14">
      <c r="A813" s="21">
        <v>2023</v>
      </c>
      <c r="B813" s="21" t="s">
        <v>23</v>
      </c>
      <c r="C813" s="21" t="s">
        <v>1145</v>
      </c>
      <c r="D813" s="21" t="s">
        <v>35</v>
      </c>
      <c r="E813" s="17" t="s">
        <v>296</v>
      </c>
      <c r="F813" s="18" t="s">
        <v>105</v>
      </c>
      <c r="G813" s="18" t="s">
        <v>48</v>
      </c>
      <c r="H813" s="24">
        <v>86810</v>
      </c>
      <c r="I813" s="24">
        <f>T_reg.root.SK[[#This Row],[Volume, kg]]/1000</f>
        <v>86.81</v>
      </c>
      <c r="J813" s="25">
        <v>0.22750000000000001</v>
      </c>
      <c r="K813" s="25">
        <f t="shared" si="12"/>
        <v>19749.275000000001</v>
      </c>
      <c r="L813" s="25">
        <v>3.23</v>
      </c>
      <c r="M813" s="24">
        <v>280199.5</v>
      </c>
      <c r="N813" s="25">
        <f>IFERROR(T_reg.root.SK[[#This Row],[Price]]/T_reg.root.SK[[#This Row],[Starch content]],"")</f>
        <v>14.197802197802197</v>
      </c>
    </row>
    <row r="814" spans="1:14">
      <c r="A814" s="21">
        <v>2023</v>
      </c>
      <c r="B814" s="21" t="s">
        <v>23</v>
      </c>
      <c r="C814" s="21" t="s">
        <v>1145</v>
      </c>
      <c r="D814" s="21" t="s">
        <v>35</v>
      </c>
      <c r="E814" s="17" t="s">
        <v>484</v>
      </c>
      <c r="F814" s="18" t="s">
        <v>105</v>
      </c>
      <c r="G814" s="18" t="s">
        <v>48</v>
      </c>
      <c r="H814" s="24">
        <v>21780</v>
      </c>
      <c r="I814" s="24">
        <f>T_reg.root.SK[[#This Row],[Volume, kg]]/1000</f>
        <v>21.78</v>
      </c>
      <c r="J814" s="25">
        <v>0.21340000000000001</v>
      </c>
      <c r="K814" s="25">
        <f t="shared" si="12"/>
        <v>4647.8519999999999</v>
      </c>
      <c r="L814" s="25">
        <v>3.06</v>
      </c>
      <c r="M814" s="24">
        <v>66636.5</v>
      </c>
      <c r="N814" s="25">
        <f>IFERROR(T_reg.root.SK[[#This Row],[Price]]/T_reg.root.SK[[#This Row],[Starch content]],"")</f>
        <v>14.339268978444236</v>
      </c>
    </row>
    <row r="815" spans="1:14">
      <c r="A815" s="21">
        <v>2023</v>
      </c>
      <c r="B815" s="21" t="s">
        <v>23</v>
      </c>
      <c r="C815" s="21" t="s">
        <v>1145</v>
      </c>
      <c r="D815" s="21" t="s">
        <v>35</v>
      </c>
      <c r="E815" s="17" t="s">
        <v>297</v>
      </c>
      <c r="F815" s="18" t="s">
        <v>105</v>
      </c>
      <c r="G815" s="18" t="s">
        <v>48</v>
      </c>
      <c r="H815" s="24">
        <v>13800</v>
      </c>
      <c r="I815" s="24">
        <f>T_reg.root.SK[[#This Row],[Volume, kg]]/1000</f>
        <v>13.8</v>
      </c>
      <c r="J815" s="25">
        <v>0.22420000000000001</v>
      </c>
      <c r="K815" s="25">
        <f t="shared" si="12"/>
        <v>3093.96</v>
      </c>
      <c r="L815" s="25">
        <v>3.12</v>
      </c>
      <c r="M815" s="24">
        <v>43044</v>
      </c>
      <c r="N815" s="25">
        <f>IFERROR(T_reg.root.SK[[#This Row],[Price]]/T_reg.root.SK[[#This Row],[Starch content]],"")</f>
        <v>13.916146297948261</v>
      </c>
    </row>
    <row r="816" spans="1:14">
      <c r="A816" s="21">
        <v>2023</v>
      </c>
      <c r="B816" s="21" t="s">
        <v>23</v>
      </c>
      <c r="C816" s="21" t="s">
        <v>1145</v>
      </c>
      <c r="D816" s="21" t="s">
        <v>35</v>
      </c>
      <c r="E816" s="17" t="s">
        <v>118</v>
      </c>
      <c r="F816" s="18" t="s">
        <v>105</v>
      </c>
      <c r="G816" s="18" t="s">
        <v>48</v>
      </c>
      <c r="H816" s="24">
        <v>259820</v>
      </c>
      <c r="I816" s="24">
        <f>T_reg.root.SK[[#This Row],[Volume, kg]]/1000</f>
        <v>259.82</v>
      </c>
      <c r="J816" s="25">
        <v>0.20469999999999999</v>
      </c>
      <c r="K816" s="25">
        <f t="shared" si="12"/>
        <v>53185.153999999995</v>
      </c>
      <c r="L816" s="25">
        <v>3.18</v>
      </c>
      <c r="M816" s="24">
        <v>825985.5</v>
      </c>
      <c r="N816" s="25">
        <f>IFERROR(T_reg.root.SK[[#This Row],[Price]]/T_reg.root.SK[[#This Row],[Starch content]],"")</f>
        <v>15.534929164631169</v>
      </c>
    </row>
    <row r="817" spans="1:14">
      <c r="A817" s="21">
        <v>2023</v>
      </c>
      <c r="B817" s="21" t="s">
        <v>23</v>
      </c>
      <c r="C817" s="21" t="s">
        <v>1145</v>
      </c>
      <c r="D817" s="21" t="s">
        <v>35</v>
      </c>
      <c r="E817" s="17" t="s">
        <v>119</v>
      </c>
      <c r="F817" s="18" t="s">
        <v>105</v>
      </c>
      <c r="G817" s="18" t="s">
        <v>48</v>
      </c>
      <c r="H817" s="24">
        <v>23830</v>
      </c>
      <c r="I817" s="24">
        <f>T_reg.root.SK[[#This Row],[Volume, kg]]/1000</f>
        <v>23.83</v>
      </c>
      <c r="J817" s="25">
        <v>0.2596</v>
      </c>
      <c r="K817" s="25">
        <f t="shared" si="12"/>
        <v>6186.268</v>
      </c>
      <c r="L817" s="25">
        <v>3.3</v>
      </c>
      <c r="M817" s="24">
        <v>78639</v>
      </c>
      <c r="N817" s="25">
        <f>IFERROR(T_reg.root.SK[[#This Row],[Price]]/T_reg.root.SK[[#This Row],[Starch content]],"")</f>
        <v>12.711864406779661</v>
      </c>
    </row>
    <row r="818" spans="1:14">
      <c r="A818" s="21">
        <v>2023</v>
      </c>
      <c r="B818" s="21" t="s">
        <v>23</v>
      </c>
      <c r="C818" s="21" t="s">
        <v>1145</v>
      </c>
      <c r="D818" s="21" t="s">
        <v>35</v>
      </c>
      <c r="E818" s="17" t="s">
        <v>485</v>
      </c>
      <c r="F818" s="18" t="s">
        <v>105</v>
      </c>
      <c r="G818" s="18" t="s">
        <v>48</v>
      </c>
      <c r="H818" s="24">
        <v>11560</v>
      </c>
      <c r="I818" s="24">
        <f>T_reg.root.SK[[#This Row],[Volume, kg]]/1000</f>
        <v>11.56</v>
      </c>
      <c r="J818" s="25">
        <v>0.187</v>
      </c>
      <c r="K818" s="25">
        <f t="shared" si="12"/>
        <v>2161.7199999999998</v>
      </c>
      <c r="L818" s="25">
        <v>2.95</v>
      </c>
      <c r="M818" s="24">
        <v>34102</v>
      </c>
      <c r="N818" s="25">
        <f>IFERROR(T_reg.root.SK[[#This Row],[Price]]/T_reg.root.SK[[#This Row],[Starch content]],"")</f>
        <v>15.775401069518718</v>
      </c>
    </row>
    <row r="819" spans="1:14">
      <c r="A819" s="21">
        <v>2023</v>
      </c>
      <c r="B819" s="21" t="s">
        <v>23</v>
      </c>
      <c r="C819" s="21" t="s">
        <v>1145</v>
      </c>
      <c r="D819" s="21" t="s">
        <v>35</v>
      </c>
      <c r="E819" s="17" t="s">
        <v>121</v>
      </c>
      <c r="F819" s="18" t="s">
        <v>105</v>
      </c>
      <c r="G819" s="18" t="s">
        <v>48</v>
      </c>
      <c r="H819" s="24">
        <v>117110</v>
      </c>
      <c r="I819" s="24">
        <f>T_reg.root.SK[[#This Row],[Volume, kg]]/1000</f>
        <v>117.11</v>
      </c>
      <c r="J819" s="25">
        <v>0.2102</v>
      </c>
      <c r="K819" s="25">
        <f t="shared" si="12"/>
        <v>24616.522000000001</v>
      </c>
      <c r="L819" s="25">
        <v>3.14</v>
      </c>
      <c r="M819" s="24">
        <v>367466</v>
      </c>
      <c r="N819" s="25">
        <f>IFERROR(T_reg.root.SK[[#This Row],[Price]]/T_reg.root.SK[[#This Row],[Starch content]],"")</f>
        <v>14.938154138915319</v>
      </c>
    </row>
    <row r="820" spans="1:14">
      <c r="A820" s="21">
        <v>2023</v>
      </c>
      <c r="B820" s="21" t="s">
        <v>23</v>
      </c>
      <c r="C820" s="21" t="s">
        <v>1145</v>
      </c>
      <c r="D820" s="21" t="s">
        <v>35</v>
      </c>
      <c r="E820" s="17" t="s">
        <v>122</v>
      </c>
      <c r="F820" s="18" t="s">
        <v>105</v>
      </c>
      <c r="G820" s="18" t="s">
        <v>48</v>
      </c>
      <c r="H820" s="24">
        <v>24010</v>
      </c>
      <c r="I820" s="24">
        <f>T_reg.root.SK[[#This Row],[Volume, kg]]/1000</f>
        <v>24.01</v>
      </c>
      <c r="J820" s="25">
        <v>0.17519999999999999</v>
      </c>
      <c r="K820" s="25">
        <f t="shared" si="12"/>
        <v>4206.5519999999997</v>
      </c>
      <c r="L820" s="25">
        <v>2.87</v>
      </c>
      <c r="M820" s="24">
        <v>68880</v>
      </c>
      <c r="N820" s="25">
        <f>IFERROR(T_reg.root.SK[[#This Row],[Price]]/T_reg.root.SK[[#This Row],[Starch content]],"")</f>
        <v>16.381278538812786</v>
      </c>
    </row>
    <row r="821" spans="1:14">
      <c r="A821" s="21">
        <v>2023</v>
      </c>
      <c r="B821" s="21" t="s">
        <v>23</v>
      </c>
      <c r="C821" s="21" t="s">
        <v>1145</v>
      </c>
      <c r="D821" s="21" t="s">
        <v>35</v>
      </c>
      <c r="E821" s="17" t="s">
        <v>123</v>
      </c>
      <c r="F821" s="18" t="s">
        <v>105</v>
      </c>
      <c r="G821" s="18" t="s">
        <v>48</v>
      </c>
      <c r="H821" s="24">
        <v>8080</v>
      </c>
      <c r="I821" s="24">
        <f>T_reg.root.SK[[#This Row],[Volume, kg]]/1000</f>
        <v>8.08</v>
      </c>
      <c r="J821" s="25">
        <v>0.20519999999999999</v>
      </c>
      <c r="K821" s="25">
        <f t="shared" si="12"/>
        <v>1658.0159999999998</v>
      </c>
      <c r="L821" s="25">
        <v>3.17</v>
      </c>
      <c r="M821" s="24">
        <v>25632.5</v>
      </c>
      <c r="N821" s="25">
        <f>IFERROR(T_reg.root.SK[[#This Row],[Price]]/T_reg.root.SK[[#This Row],[Starch content]],"")</f>
        <v>15.448343079922028</v>
      </c>
    </row>
    <row r="822" spans="1:14">
      <c r="A822" s="21">
        <v>2023</v>
      </c>
      <c r="B822" s="21" t="s">
        <v>23</v>
      </c>
      <c r="C822" s="21" t="s">
        <v>1145</v>
      </c>
      <c r="D822" s="21" t="s">
        <v>35</v>
      </c>
      <c r="E822" s="17" t="s">
        <v>239</v>
      </c>
      <c r="F822" s="18" t="s">
        <v>105</v>
      </c>
      <c r="G822" s="18" t="s">
        <v>48</v>
      </c>
      <c r="H822" s="24">
        <v>3840</v>
      </c>
      <c r="I822" s="24">
        <f>T_reg.root.SK[[#This Row],[Volume, kg]]/1000</f>
        <v>3.84</v>
      </c>
      <c r="J822" s="25">
        <v>0.18600000000000003</v>
      </c>
      <c r="K822" s="25">
        <f t="shared" si="12"/>
        <v>714.24000000000012</v>
      </c>
      <c r="L822" s="25">
        <v>3.1</v>
      </c>
      <c r="M822" s="24">
        <v>11904</v>
      </c>
      <c r="N822" s="25">
        <f>IFERROR(T_reg.root.SK[[#This Row],[Price]]/T_reg.root.SK[[#This Row],[Starch content]],"")</f>
        <v>16.666666666666664</v>
      </c>
    </row>
    <row r="823" spans="1:14">
      <c r="A823" s="21">
        <v>2023</v>
      </c>
      <c r="B823" s="21" t="s">
        <v>23</v>
      </c>
      <c r="C823" s="21" t="s">
        <v>1145</v>
      </c>
      <c r="D823" s="21" t="s">
        <v>35</v>
      </c>
      <c r="E823" s="17" t="s">
        <v>124</v>
      </c>
      <c r="F823" s="18" t="s">
        <v>105</v>
      </c>
      <c r="G823" s="18" t="s">
        <v>48</v>
      </c>
      <c r="H823" s="24">
        <v>25310</v>
      </c>
      <c r="I823" s="24">
        <f>T_reg.root.SK[[#This Row],[Volume, kg]]/1000</f>
        <v>25.31</v>
      </c>
      <c r="J823" s="25">
        <v>0.18969999999999998</v>
      </c>
      <c r="K823" s="25">
        <f t="shared" si="12"/>
        <v>4801.3069999999998</v>
      </c>
      <c r="L823" s="25">
        <v>2.94</v>
      </c>
      <c r="M823" s="24">
        <v>74507.5</v>
      </c>
      <c r="N823" s="25">
        <f>IFERROR(T_reg.root.SK[[#This Row],[Price]]/T_reg.root.SK[[#This Row],[Starch content]],"")</f>
        <v>15.498154981549817</v>
      </c>
    </row>
    <row r="824" spans="1:14">
      <c r="A824" s="21">
        <v>2023</v>
      </c>
      <c r="B824" s="21" t="s">
        <v>23</v>
      </c>
      <c r="C824" s="21" t="s">
        <v>1145</v>
      </c>
      <c r="D824" s="21" t="s">
        <v>35</v>
      </c>
      <c r="E824" s="17" t="s">
        <v>404</v>
      </c>
      <c r="F824" s="18" t="s">
        <v>105</v>
      </c>
      <c r="G824" s="18" t="s">
        <v>48</v>
      </c>
      <c r="H824" s="24">
        <v>51900</v>
      </c>
      <c r="I824" s="24">
        <f>T_reg.root.SK[[#This Row],[Volume, kg]]/1000</f>
        <v>51.9</v>
      </c>
      <c r="J824" s="25">
        <v>0.1865</v>
      </c>
      <c r="K824" s="25">
        <f t="shared" si="12"/>
        <v>9679.35</v>
      </c>
      <c r="L824" s="25">
        <v>3.09</v>
      </c>
      <c r="M824" s="24">
        <v>160428.5</v>
      </c>
      <c r="N824" s="25">
        <f>IFERROR(T_reg.root.SK[[#This Row],[Price]]/T_reg.root.SK[[#This Row],[Starch content]],"")</f>
        <v>16.568364611260051</v>
      </c>
    </row>
    <row r="825" spans="1:14">
      <c r="A825" s="21">
        <v>2023</v>
      </c>
      <c r="B825" s="21" t="s">
        <v>23</v>
      </c>
      <c r="C825" s="21" t="s">
        <v>1145</v>
      </c>
      <c r="D825" s="21" t="s">
        <v>35</v>
      </c>
      <c r="E825" s="17" t="s">
        <v>486</v>
      </c>
      <c r="F825" s="18" t="s">
        <v>105</v>
      </c>
      <c r="G825" s="18" t="s">
        <v>48</v>
      </c>
      <c r="H825" s="24">
        <v>43000</v>
      </c>
      <c r="I825" s="24">
        <f>T_reg.root.SK[[#This Row],[Volume, kg]]/1000</f>
        <v>43</v>
      </c>
      <c r="J825" s="25">
        <v>0.21530000000000002</v>
      </c>
      <c r="K825" s="25">
        <f t="shared" si="12"/>
        <v>9257.9000000000015</v>
      </c>
      <c r="L825" s="25">
        <v>3.22</v>
      </c>
      <c r="M825" s="24">
        <v>138305</v>
      </c>
      <c r="N825" s="25">
        <f>IFERROR(T_reg.root.SK[[#This Row],[Price]]/T_reg.root.SK[[#This Row],[Starch content]],"")</f>
        <v>14.955875522526707</v>
      </c>
    </row>
    <row r="826" spans="1:14">
      <c r="A826" s="21">
        <v>2023</v>
      </c>
      <c r="B826" s="21" t="s">
        <v>23</v>
      </c>
      <c r="C826" s="21" t="s">
        <v>1145</v>
      </c>
      <c r="D826" s="21" t="s">
        <v>35</v>
      </c>
      <c r="E826" s="17" t="s">
        <v>487</v>
      </c>
      <c r="F826" s="18" t="s">
        <v>105</v>
      </c>
      <c r="G826" s="18" t="s">
        <v>48</v>
      </c>
      <c r="H826" s="24">
        <v>117140</v>
      </c>
      <c r="I826" s="24">
        <f>T_reg.root.SK[[#This Row],[Volume, kg]]/1000</f>
        <v>117.14</v>
      </c>
      <c r="J826" s="25">
        <v>0.22370000000000001</v>
      </c>
      <c r="K826" s="25">
        <f t="shared" si="12"/>
        <v>26204.218000000001</v>
      </c>
      <c r="L826" s="25">
        <v>3.16</v>
      </c>
      <c r="M826" s="24">
        <v>370084.5</v>
      </c>
      <c r="N826" s="25">
        <f>IFERROR(T_reg.root.SK[[#This Row],[Price]]/T_reg.root.SK[[#This Row],[Starch content]],"")</f>
        <v>14.126061689763075</v>
      </c>
    </row>
    <row r="827" spans="1:14">
      <c r="A827" s="21">
        <v>2023</v>
      </c>
      <c r="B827" s="21" t="s">
        <v>23</v>
      </c>
      <c r="C827" s="21" t="s">
        <v>1145</v>
      </c>
      <c r="D827" s="21" t="s">
        <v>35</v>
      </c>
      <c r="E827" s="17" t="s">
        <v>125</v>
      </c>
      <c r="F827" s="18" t="s">
        <v>105</v>
      </c>
      <c r="G827" s="18" t="s">
        <v>48</v>
      </c>
      <c r="H827" s="24">
        <v>32430</v>
      </c>
      <c r="I827" s="24">
        <f>T_reg.root.SK[[#This Row],[Volume, kg]]/1000</f>
        <v>32.43</v>
      </c>
      <c r="J827" s="25">
        <v>0.21359999999999998</v>
      </c>
      <c r="K827" s="25">
        <f t="shared" si="12"/>
        <v>6927.0479999999998</v>
      </c>
      <c r="L827" s="25">
        <v>3.07</v>
      </c>
      <c r="M827" s="24">
        <v>99516.5</v>
      </c>
      <c r="N827" s="25">
        <f>IFERROR(T_reg.root.SK[[#This Row],[Price]]/T_reg.root.SK[[#This Row],[Starch content]],"")</f>
        <v>14.372659176029963</v>
      </c>
    </row>
    <row r="828" spans="1:14">
      <c r="A828" s="21">
        <v>2023</v>
      </c>
      <c r="B828" s="21" t="s">
        <v>23</v>
      </c>
      <c r="C828" s="21" t="s">
        <v>1145</v>
      </c>
      <c r="D828" s="21" t="s">
        <v>35</v>
      </c>
      <c r="E828" s="17" t="s">
        <v>127</v>
      </c>
      <c r="F828" s="18" t="s">
        <v>105</v>
      </c>
      <c r="G828" s="18" t="s">
        <v>48</v>
      </c>
      <c r="H828" s="24">
        <v>25250</v>
      </c>
      <c r="I828" s="24">
        <f>T_reg.root.SK[[#This Row],[Volume, kg]]/1000</f>
        <v>25.25</v>
      </c>
      <c r="J828" s="25">
        <v>0.19010000000000002</v>
      </c>
      <c r="K828" s="25">
        <f t="shared" si="12"/>
        <v>4800.0250000000005</v>
      </c>
      <c r="L828" s="25">
        <v>3.05</v>
      </c>
      <c r="M828" s="24">
        <v>77009</v>
      </c>
      <c r="N828" s="25">
        <f>IFERROR(T_reg.root.SK[[#This Row],[Price]]/T_reg.root.SK[[#This Row],[Starch content]],"")</f>
        <v>16.044187269857968</v>
      </c>
    </row>
    <row r="829" spans="1:14">
      <c r="A829" s="21">
        <v>2023</v>
      </c>
      <c r="B829" s="21" t="s">
        <v>23</v>
      </c>
      <c r="C829" s="21" t="s">
        <v>1145</v>
      </c>
      <c r="D829" s="21" t="s">
        <v>35</v>
      </c>
      <c r="E829" s="17" t="s">
        <v>356</v>
      </c>
      <c r="F829" s="18" t="s">
        <v>105</v>
      </c>
      <c r="G829" s="18" t="s">
        <v>48</v>
      </c>
      <c r="H829" s="24">
        <v>12980</v>
      </c>
      <c r="I829" s="24">
        <f>T_reg.root.SK[[#This Row],[Volume, kg]]/1000</f>
        <v>12.98</v>
      </c>
      <c r="J829" s="25">
        <v>0.19399999999999998</v>
      </c>
      <c r="K829" s="25">
        <f t="shared" si="12"/>
        <v>2518.12</v>
      </c>
      <c r="L829" s="25">
        <v>3.05</v>
      </c>
      <c r="M829" s="24">
        <v>39589</v>
      </c>
      <c r="N829" s="25">
        <f>IFERROR(T_reg.root.SK[[#This Row],[Price]]/T_reg.root.SK[[#This Row],[Starch content]],"")</f>
        <v>15.721649484536083</v>
      </c>
    </row>
    <row r="830" spans="1:14">
      <c r="A830" s="21">
        <v>2023</v>
      </c>
      <c r="B830" s="21" t="s">
        <v>23</v>
      </c>
      <c r="C830" s="21" t="s">
        <v>1145</v>
      </c>
      <c r="D830" s="21" t="s">
        <v>35</v>
      </c>
      <c r="E830" s="17" t="s">
        <v>488</v>
      </c>
      <c r="F830" s="18" t="s">
        <v>105</v>
      </c>
      <c r="G830" s="18" t="s">
        <v>48</v>
      </c>
      <c r="H830" s="24">
        <v>17890</v>
      </c>
      <c r="I830" s="24">
        <f>T_reg.root.SK[[#This Row],[Volume, kg]]/1000</f>
        <v>17.89</v>
      </c>
      <c r="J830" s="25">
        <v>0.1918</v>
      </c>
      <c r="K830" s="25">
        <f t="shared" si="12"/>
        <v>3431.3020000000001</v>
      </c>
      <c r="L830" s="25">
        <v>2.95</v>
      </c>
      <c r="M830" s="24">
        <v>52845</v>
      </c>
      <c r="N830" s="25">
        <f>IFERROR(T_reg.root.SK[[#This Row],[Price]]/T_reg.root.SK[[#This Row],[Starch content]],"")</f>
        <v>15.380604796663192</v>
      </c>
    </row>
    <row r="831" spans="1:14">
      <c r="A831" s="21">
        <v>2023</v>
      </c>
      <c r="B831" s="21" t="s">
        <v>23</v>
      </c>
      <c r="C831" s="21" t="s">
        <v>1145</v>
      </c>
      <c r="D831" s="21" t="s">
        <v>35</v>
      </c>
      <c r="E831" s="17" t="s">
        <v>129</v>
      </c>
      <c r="F831" s="18" t="s">
        <v>105</v>
      </c>
      <c r="G831" s="18" t="s">
        <v>48</v>
      </c>
      <c r="H831" s="24">
        <v>9120</v>
      </c>
      <c r="I831" s="24">
        <f>T_reg.root.SK[[#This Row],[Volume, kg]]/1000</f>
        <v>9.1199999999999992</v>
      </c>
      <c r="J831" s="25">
        <v>0.2268</v>
      </c>
      <c r="K831" s="25">
        <f t="shared" si="12"/>
        <v>2068.4160000000002</v>
      </c>
      <c r="L831" s="25">
        <v>3.15</v>
      </c>
      <c r="M831" s="24">
        <v>28728</v>
      </c>
      <c r="N831" s="25">
        <f>IFERROR(T_reg.root.SK[[#This Row],[Price]]/T_reg.root.SK[[#This Row],[Starch content]],"")</f>
        <v>13.888888888888889</v>
      </c>
    </row>
    <row r="832" spans="1:14">
      <c r="A832" s="21">
        <v>2023</v>
      </c>
      <c r="B832" s="21" t="s">
        <v>23</v>
      </c>
      <c r="C832" s="21" t="s">
        <v>1145</v>
      </c>
      <c r="D832" s="21" t="s">
        <v>35</v>
      </c>
      <c r="E832" s="17" t="s">
        <v>489</v>
      </c>
      <c r="F832" s="18" t="s">
        <v>105</v>
      </c>
      <c r="G832" s="18" t="s">
        <v>48</v>
      </c>
      <c r="H832" s="24">
        <v>11720</v>
      </c>
      <c r="I832" s="24">
        <f>T_reg.root.SK[[#This Row],[Volume, kg]]/1000</f>
        <v>11.72</v>
      </c>
      <c r="J832" s="25">
        <v>0.21539999999999998</v>
      </c>
      <c r="K832" s="25">
        <f t="shared" si="12"/>
        <v>2524.4879999999998</v>
      </c>
      <c r="L832" s="25">
        <v>3.07</v>
      </c>
      <c r="M832" s="24">
        <v>36002.5</v>
      </c>
      <c r="N832" s="25">
        <f>IFERROR(T_reg.root.SK[[#This Row],[Price]]/T_reg.root.SK[[#This Row],[Starch content]],"")</f>
        <v>14.252553389043641</v>
      </c>
    </row>
    <row r="833" spans="1:14">
      <c r="A833" s="21">
        <v>2023</v>
      </c>
      <c r="B833" s="21" t="s">
        <v>23</v>
      </c>
      <c r="C833" s="21" t="s">
        <v>1145</v>
      </c>
      <c r="D833" s="21" t="s">
        <v>35</v>
      </c>
      <c r="E833" s="17" t="s">
        <v>490</v>
      </c>
      <c r="F833" s="18" t="s">
        <v>105</v>
      </c>
      <c r="G833" s="18" t="s">
        <v>48</v>
      </c>
      <c r="H833" s="24">
        <v>17560</v>
      </c>
      <c r="I833" s="24">
        <f>T_reg.root.SK[[#This Row],[Volume, kg]]/1000</f>
        <v>17.559999999999999</v>
      </c>
      <c r="J833" s="25">
        <v>0.2402</v>
      </c>
      <c r="K833" s="25">
        <f t="shared" si="12"/>
        <v>4217.9120000000003</v>
      </c>
      <c r="L833" s="25">
        <v>3.2</v>
      </c>
      <c r="M833" s="24">
        <v>56192</v>
      </c>
      <c r="N833" s="25">
        <f>IFERROR(T_reg.root.SK[[#This Row],[Price]]/T_reg.root.SK[[#This Row],[Starch content]],"")</f>
        <v>13.322231473771858</v>
      </c>
    </row>
    <row r="834" spans="1:14">
      <c r="A834" s="21">
        <v>2023</v>
      </c>
      <c r="B834" s="21" t="s">
        <v>23</v>
      </c>
      <c r="C834" s="21" t="s">
        <v>1145</v>
      </c>
      <c r="D834" s="21" t="s">
        <v>35</v>
      </c>
      <c r="E834" s="17" t="s">
        <v>300</v>
      </c>
      <c r="F834" s="18" t="s">
        <v>105</v>
      </c>
      <c r="G834" s="18" t="s">
        <v>48</v>
      </c>
      <c r="H834" s="24">
        <v>18730</v>
      </c>
      <c r="I834" s="24">
        <f>T_reg.root.SK[[#This Row],[Volume, kg]]/1000</f>
        <v>18.73</v>
      </c>
      <c r="J834" s="25">
        <v>0.2097</v>
      </c>
      <c r="K834" s="25">
        <f t="shared" si="12"/>
        <v>3927.681</v>
      </c>
      <c r="L834" s="25">
        <v>3.05</v>
      </c>
      <c r="M834" s="24">
        <v>57126.5</v>
      </c>
      <c r="N834" s="25">
        <f>IFERROR(T_reg.root.SK[[#This Row],[Price]]/T_reg.root.SK[[#This Row],[Starch content]],"")</f>
        <v>14.544587505960896</v>
      </c>
    </row>
    <row r="835" spans="1:14">
      <c r="A835" s="21">
        <v>2023</v>
      </c>
      <c r="B835" s="21" t="s">
        <v>23</v>
      </c>
      <c r="C835" s="21" t="s">
        <v>1145</v>
      </c>
      <c r="D835" s="21" t="s">
        <v>35</v>
      </c>
      <c r="E835" s="17" t="s">
        <v>133</v>
      </c>
      <c r="F835" s="18" t="s">
        <v>105</v>
      </c>
      <c r="G835" s="18" t="s">
        <v>48</v>
      </c>
      <c r="H835" s="24">
        <v>5120</v>
      </c>
      <c r="I835" s="24">
        <f>T_reg.root.SK[[#This Row],[Volume, kg]]/1000</f>
        <v>5.12</v>
      </c>
      <c r="J835" s="25">
        <v>0.16600000000000001</v>
      </c>
      <c r="K835" s="25">
        <f t="shared" ref="K835:K898" si="13">H835*J835</f>
        <v>849.92000000000007</v>
      </c>
      <c r="L835" s="25">
        <v>2.85</v>
      </c>
      <c r="M835" s="24">
        <v>14592</v>
      </c>
      <c r="N835" s="25">
        <f>IFERROR(T_reg.root.SK[[#This Row],[Price]]/T_reg.root.SK[[#This Row],[Starch content]],"")</f>
        <v>17.168674698795179</v>
      </c>
    </row>
    <row r="836" spans="1:14">
      <c r="A836" s="21">
        <v>2023</v>
      </c>
      <c r="B836" s="21" t="s">
        <v>23</v>
      </c>
      <c r="C836" s="21" t="s">
        <v>1145</v>
      </c>
      <c r="D836" s="21" t="s">
        <v>35</v>
      </c>
      <c r="E836" s="17" t="s">
        <v>491</v>
      </c>
      <c r="F836" s="18" t="s">
        <v>105</v>
      </c>
      <c r="G836" s="18" t="s">
        <v>48</v>
      </c>
      <c r="H836" s="24">
        <v>20350</v>
      </c>
      <c r="I836" s="24">
        <f>T_reg.root.SK[[#This Row],[Volume, kg]]/1000</f>
        <v>20.350000000000001</v>
      </c>
      <c r="J836" s="25">
        <v>0.2341</v>
      </c>
      <c r="K836" s="25">
        <f t="shared" si="13"/>
        <v>4763.9350000000004</v>
      </c>
      <c r="L836" s="25">
        <v>3.18</v>
      </c>
      <c r="M836" s="24">
        <v>64647</v>
      </c>
      <c r="N836" s="25">
        <f>IFERROR(T_reg.root.SK[[#This Row],[Price]]/T_reg.root.SK[[#This Row],[Starch content]],"")</f>
        <v>13.583938487825716</v>
      </c>
    </row>
    <row r="837" spans="1:14">
      <c r="A837" s="21">
        <v>2023</v>
      </c>
      <c r="B837" s="21" t="s">
        <v>23</v>
      </c>
      <c r="C837" s="21" t="s">
        <v>1145</v>
      </c>
      <c r="D837" s="21" t="s">
        <v>35</v>
      </c>
      <c r="E837" s="17" t="s">
        <v>492</v>
      </c>
      <c r="F837" s="18" t="s">
        <v>105</v>
      </c>
      <c r="G837" s="18" t="s">
        <v>48</v>
      </c>
      <c r="H837" s="24">
        <v>58890</v>
      </c>
      <c r="I837" s="24">
        <f>T_reg.root.SK[[#This Row],[Volume, kg]]/1000</f>
        <v>58.89</v>
      </c>
      <c r="J837" s="25">
        <v>0.22329999999999997</v>
      </c>
      <c r="K837" s="25">
        <f t="shared" si="13"/>
        <v>13150.136999999999</v>
      </c>
      <c r="L837" s="25">
        <v>3.12</v>
      </c>
      <c r="M837" s="24">
        <v>183582.5</v>
      </c>
      <c r="N837" s="25">
        <f>IFERROR(T_reg.root.SK[[#This Row],[Price]]/T_reg.root.SK[[#This Row],[Starch content]],"")</f>
        <v>13.972234661889837</v>
      </c>
    </row>
    <row r="838" spans="1:14">
      <c r="A838" s="21">
        <v>2023</v>
      </c>
      <c r="B838" s="21" t="s">
        <v>23</v>
      </c>
      <c r="C838" s="21" t="s">
        <v>1145</v>
      </c>
      <c r="D838" s="21" t="s">
        <v>35</v>
      </c>
      <c r="E838" s="17" t="s">
        <v>134</v>
      </c>
      <c r="F838" s="18" t="s">
        <v>105</v>
      </c>
      <c r="G838" s="18" t="s">
        <v>48</v>
      </c>
      <c r="H838" s="24">
        <v>18510</v>
      </c>
      <c r="I838" s="24">
        <f>T_reg.root.SK[[#This Row],[Volume, kg]]/1000</f>
        <v>18.510000000000002</v>
      </c>
      <c r="J838" s="25">
        <v>0.18100000000000002</v>
      </c>
      <c r="K838" s="25">
        <f t="shared" si="13"/>
        <v>3350.3100000000004</v>
      </c>
      <c r="L838" s="25">
        <v>3.09</v>
      </c>
      <c r="M838" s="24">
        <v>57247</v>
      </c>
      <c r="N838" s="25">
        <f>IFERROR(T_reg.root.SK[[#This Row],[Price]]/T_reg.root.SK[[#This Row],[Starch content]],"")</f>
        <v>17.071823204419886</v>
      </c>
    </row>
    <row r="839" spans="1:14">
      <c r="A839" s="21">
        <v>2023</v>
      </c>
      <c r="B839" s="21" t="s">
        <v>23</v>
      </c>
      <c r="C839" s="21" t="s">
        <v>1145</v>
      </c>
      <c r="D839" s="21" t="s">
        <v>35</v>
      </c>
      <c r="E839" s="17" t="s">
        <v>136</v>
      </c>
      <c r="F839" s="18" t="s">
        <v>105</v>
      </c>
      <c r="G839" s="18" t="s">
        <v>48</v>
      </c>
      <c r="H839" s="24">
        <v>25140</v>
      </c>
      <c r="I839" s="24">
        <f>T_reg.root.SK[[#This Row],[Volume, kg]]/1000</f>
        <v>25.14</v>
      </c>
      <c r="J839" s="25">
        <v>0.19920000000000002</v>
      </c>
      <c r="K839" s="25">
        <f t="shared" si="13"/>
        <v>5007.8880000000008</v>
      </c>
      <c r="L839" s="25">
        <v>3.12</v>
      </c>
      <c r="M839" s="24">
        <v>78393.5</v>
      </c>
      <c r="N839" s="25">
        <f>IFERROR(T_reg.root.SK[[#This Row],[Price]]/T_reg.root.SK[[#This Row],[Starch content]],"")</f>
        <v>15.662650602409638</v>
      </c>
    </row>
    <row r="840" spans="1:14">
      <c r="A840" s="21">
        <v>2023</v>
      </c>
      <c r="B840" s="21" t="s">
        <v>23</v>
      </c>
      <c r="C840" s="21" t="s">
        <v>1145</v>
      </c>
      <c r="D840" s="21" t="s">
        <v>35</v>
      </c>
      <c r="E840" s="17" t="s">
        <v>493</v>
      </c>
      <c r="F840" s="18" t="s">
        <v>105</v>
      </c>
      <c r="G840" s="18" t="s">
        <v>48</v>
      </c>
      <c r="H840" s="24">
        <v>20200</v>
      </c>
      <c r="I840" s="24">
        <f>T_reg.root.SK[[#This Row],[Volume, kg]]/1000</f>
        <v>20.2</v>
      </c>
      <c r="J840" s="25">
        <v>0.21640000000000001</v>
      </c>
      <c r="K840" s="25">
        <f t="shared" si="13"/>
        <v>4371.28</v>
      </c>
      <c r="L840" s="25">
        <v>3.08</v>
      </c>
      <c r="M840" s="24">
        <v>62187</v>
      </c>
      <c r="N840" s="25">
        <f>IFERROR(T_reg.root.SK[[#This Row],[Price]]/T_reg.root.SK[[#This Row],[Starch content]],"")</f>
        <v>14.232902033271719</v>
      </c>
    </row>
    <row r="841" spans="1:14">
      <c r="A841" s="21">
        <v>2023</v>
      </c>
      <c r="B841" s="21" t="s">
        <v>23</v>
      </c>
      <c r="C841" s="21" t="s">
        <v>1145</v>
      </c>
      <c r="D841" s="21" t="s">
        <v>35</v>
      </c>
      <c r="E841" s="17" t="s">
        <v>494</v>
      </c>
      <c r="F841" s="18" t="s">
        <v>105</v>
      </c>
      <c r="G841" s="18" t="s">
        <v>48</v>
      </c>
      <c r="H841" s="24">
        <v>21830</v>
      </c>
      <c r="I841" s="24">
        <f>T_reg.root.SK[[#This Row],[Volume, kg]]/1000</f>
        <v>21.83</v>
      </c>
      <c r="J841" s="25">
        <v>0.22800000000000001</v>
      </c>
      <c r="K841" s="25">
        <f t="shared" si="13"/>
        <v>4977.24</v>
      </c>
      <c r="L841" s="25">
        <v>3.13</v>
      </c>
      <c r="M841" s="24">
        <v>68361.5</v>
      </c>
      <c r="N841" s="25">
        <f>IFERROR(T_reg.root.SK[[#This Row],[Price]]/T_reg.root.SK[[#This Row],[Starch content]],"")</f>
        <v>13.728070175438596</v>
      </c>
    </row>
    <row r="842" spans="1:14">
      <c r="A842" s="21">
        <v>2023</v>
      </c>
      <c r="B842" s="21" t="s">
        <v>23</v>
      </c>
      <c r="C842" s="21" t="s">
        <v>1145</v>
      </c>
      <c r="D842" s="21" t="s">
        <v>35</v>
      </c>
      <c r="E842" s="17" t="s">
        <v>138</v>
      </c>
      <c r="F842" s="18" t="s">
        <v>105</v>
      </c>
      <c r="G842" s="18" t="s">
        <v>48</v>
      </c>
      <c r="H842" s="24">
        <v>177720</v>
      </c>
      <c r="I842" s="24">
        <f>T_reg.root.SK[[#This Row],[Volume, kg]]/1000</f>
        <v>177.72</v>
      </c>
      <c r="J842" s="25">
        <v>0.20800000000000002</v>
      </c>
      <c r="K842" s="25">
        <f t="shared" si="13"/>
        <v>36965.760000000002</v>
      </c>
      <c r="L842" s="25">
        <v>3.24</v>
      </c>
      <c r="M842" s="24">
        <v>576535</v>
      </c>
      <c r="N842" s="25">
        <f>IFERROR(T_reg.root.SK[[#This Row],[Price]]/T_reg.root.SK[[#This Row],[Starch content]],"")</f>
        <v>15.576923076923077</v>
      </c>
    </row>
    <row r="843" spans="1:14">
      <c r="A843" s="21">
        <v>2023</v>
      </c>
      <c r="B843" s="21" t="s">
        <v>23</v>
      </c>
      <c r="C843" s="21" t="s">
        <v>1145</v>
      </c>
      <c r="D843" s="21" t="s">
        <v>35</v>
      </c>
      <c r="E843" s="17" t="s">
        <v>304</v>
      </c>
      <c r="F843" s="18" t="s">
        <v>105</v>
      </c>
      <c r="G843" s="18" t="s">
        <v>48</v>
      </c>
      <c r="H843" s="24">
        <v>21200</v>
      </c>
      <c r="I843" s="24">
        <f>T_reg.root.SK[[#This Row],[Volume, kg]]/1000</f>
        <v>21.2</v>
      </c>
      <c r="J843" s="25">
        <v>0.15289999999999998</v>
      </c>
      <c r="K843" s="25">
        <f t="shared" si="13"/>
        <v>3241.4799999999996</v>
      </c>
      <c r="L843" s="25">
        <v>2.95</v>
      </c>
      <c r="M843" s="24">
        <v>62600.5</v>
      </c>
      <c r="N843" s="25">
        <f>IFERROR(T_reg.root.SK[[#This Row],[Price]]/T_reg.root.SK[[#This Row],[Starch content]],"")</f>
        <v>19.29365598430347</v>
      </c>
    </row>
    <row r="844" spans="1:14">
      <c r="A844" s="21">
        <v>2023</v>
      </c>
      <c r="B844" s="21" t="s">
        <v>23</v>
      </c>
      <c r="C844" s="21" t="s">
        <v>1145</v>
      </c>
      <c r="D844" s="21" t="s">
        <v>35</v>
      </c>
      <c r="E844" s="17" t="s">
        <v>495</v>
      </c>
      <c r="F844" s="18" t="s">
        <v>105</v>
      </c>
      <c r="G844" s="18" t="s">
        <v>48</v>
      </c>
      <c r="H844" s="24">
        <v>7790</v>
      </c>
      <c r="I844" s="24">
        <f>T_reg.root.SK[[#This Row],[Volume, kg]]/1000</f>
        <v>7.79</v>
      </c>
      <c r="J844" s="25">
        <v>0.17809999999999998</v>
      </c>
      <c r="K844" s="25">
        <f t="shared" si="13"/>
        <v>1387.3989999999999</v>
      </c>
      <c r="L844" s="25">
        <v>2.97</v>
      </c>
      <c r="M844" s="24">
        <v>23113</v>
      </c>
      <c r="N844" s="25">
        <f>IFERROR(T_reg.root.SK[[#This Row],[Price]]/T_reg.root.SK[[#This Row],[Starch content]],"")</f>
        <v>16.676024705221788</v>
      </c>
    </row>
    <row r="845" spans="1:14">
      <c r="A845" s="21">
        <v>2023</v>
      </c>
      <c r="B845" s="21" t="s">
        <v>23</v>
      </c>
      <c r="C845" s="21" t="s">
        <v>1145</v>
      </c>
      <c r="D845" s="21" t="s">
        <v>35</v>
      </c>
      <c r="E845" s="17" t="s">
        <v>140</v>
      </c>
      <c r="F845" s="18" t="s">
        <v>105</v>
      </c>
      <c r="G845" s="18" t="s">
        <v>48</v>
      </c>
      <c r="H845" s="24">
        <v>6770</v>
      </c>
      <c r="I845" s="24">
        <f>T_reg.root.SK[[#This Row],[Volume, kg]]/1000</f>
        <v>6.77</v>
      </c>
      <c r="J845" s="25">
        <v>0.222</v>
      </c>
      <c r="K845" s="25">
        <f t="shared" si="13"/>
        <v>1502.94</v>
      </c>
      <c r="L845" s="25">
        <v>3.1</v>
      </c>
      <c r="M845" s="24">
        <v>20987</v>
      </c>
      <c r="N845" s="25">
        <f>IFERROR(T_reg.root.SK[[#This Row],[Price]]/T_reg.root.SK[[#This Row],[Starch content]],"")</f>
        <v>13.963963963963964</v>
      </c>
    </row>
    <row r="846" spans="1:14">
      <c r="A846" s="21">
        <v>2023</v>
      </c>
      <c r="B846" s="21" t="s">
        <v>23</v>
      </c>
      <c r="C846" s="21" t="s">
        <v>1145</v>
      </c>
      <c r="D846" s="21" t="s">
        <v>35</v>
      </c>
      <c r="E846" s="17" t="s">
        <v>307</v>
      </c>
      <c r="F846" s="18" t="s">
        <v>105</v>
      </c>
      <c r="G846" s="18" t="s">
        <v>48</v>
      </c>
      <c r="H846" s="24">
        <v>59360</v>
      </c>
      <c r="I846" s="24">
        <f>T_reg.root.SK[[#This Row],[Volume, kg]]/1000</f>
        <v>59.36</v>
      </c>
      <c r="J846" s="25">
        <v>0.17249999999999999</v>
      </c>
      <c r="K846" s="25">
        <f t="shared" si="13"/>
        <v>10239.599999999999</v>
      </c>
      <c r="L846" s="25">
        <v>2.93</v>
      </c>
      <c r="M846" s="24">
        <v>173705</v>
      </c>
      <c r="N846" s="25">
        <f>IFERROR(T_reg.root.SK[[#This Row],[Price]]/T_reg.root.SK[[#This Row],[Starch content]],"")</f>
        <v>16.985507246376812</v>
      </c>
    </row>
    <row r="847" spans="1:14">
      <c r="A847" s="21">
        <v>2023</v>
      </c>
      <c r="B847" s="21" t="s">
        <v>23</v>
      </c>
      <c r="C847" s="21" t="s">
        <v>1145</v>
      </c>
      <c r="D847" s="21" t="s">
        <v>35</v>
      </c>
      <c r="E847" s="17" t="s">
        <v>308</v>
      </c>
      <c r="F847" s="18" t="s">
        <v>105</v>
      </c>
      <c r="G847" s="18" t="s">
        <v>48</v>
      </c>
      <c r="H847" s="24">
        <v>10210</v>
      </c>
      <c r="I847" s="24">
        <f>T_reg.root.SK[[#This Row],[Volume, kg]]/1000</f>
        <v>10.210000000000001</v>
      </c>
      <c r="J847" s="25">
        <v>0.19190000000000002</v>
      </c>
      <c r="K847" s="25">
        <f t="shared" si="13"/>
        <v>1959.2990000000002</v>
      </c>
      <c r="L847" s="25">
        <v>2.97</v>
      </c>
      <c r="M847" s="24">
        <v>30294.5</v>
      </c>
      <c r="N847" s="25">
        <f>IFERROR(T_reg.root.SK[[#This Row],[Price]]/T_reg.root.SK[[#This Row],[Starch content]],"")</f>
        <v>15.476810838978635</v>
      </c>
    </row>
    <row r="848" spans="1:14">
      <c r="A848" s="21">
        <v>2023</v>
      </c>
      <c r="B848" s="21" t="s">
        <v>23</v>
      </c>
      <c r="C848" s="21" t="s">
        <v>1145</v>
      </c>
      <c r="D848" s="21" t="s">
        <v>35</v>
      </c>
      <c r="E848" s="17" t="s">
        <v>244</v>
      </c>
      <c r="F848" s="18" t="s">
        <v>105</v>
      </c>
      <c r="G848" s="18" t="s">
        <v>48</v>
      </c>
      <c r="H848" s="24">
        <v>2280</v>
      </c>
      <c r="I848" s="24">
        <f>T_reg.root.SK[[#This Row],[Volume, kg]]/1000</f>
        <v>2.2799999999999998</v>
      </c>
      <c r="J848" s="25">
        <v>0.20850000000000002</v>
      </c>
      <c r="K848" s="25">
        <f t="shared" si="13"/>
        <v>475.38000000000005</v>
      </c>
      <c r="L848" s="25">
        <v>3.05</v>
      </c>
      <c r="M848" s="24">
        <v>6954</v>
      </c>
      <c r="N848" s="25">
        <f>IFERROR(T_reg.root.SK[[#This Row],[Price]]/T_reg.root.SK[[#This Row],[Starch content]],"")</f>
        <v>14.62829736211031</v>
      </c>
    </row>
    <row r="849" spans="1:14">
      <c r="A849" s="21">
        <v>2023</v>
      </c>
      <c r="B849" s="21" t="s">
        <v>23</v>
      </c>
      <c r="C849" s="21" t="s">
        <v>1145</v>
      </c>
      <c r="D849" s="21" t="s">
        <v>35</v>
      </c>
      <c r="E849" s="17" t="s">
        <v>309</v>
      </c>
      <c r="F849" s="18" t="s">
        <v>105</v>
      </c>
      <c r="G849" s="18" t="s">
        <v>48</v>
      </c>
      <c r="H849" s="24">
        <v>38620</v>
      </c>
      <c r="I849" s="24">
        <f>T_reg.root.SK[[#This Row],[Volume, kg]]/1000</f>
        <v>38.619999999999997</v>
      </c>
      <c r="J849" s="25">
        <v>0.20989999999999998</v>
      </c>
      <c r="K849" s="25">
        <f t="shared" si="13"/>
        <v>8106.3379999999988</v>
      </c>
      <c r="L849" s="25">
        <v>3.11</v>
      </c>
      <c r="M849" s="24">
        <v>120293</v>
      </c>
      <c r="N849" s="25">
        <f>IFERROR(T_reg.root.SK[[#This Row],[Price]]/T_reg.root.SK[[#This Row],[Starch content]],"")</f>
        <v>14.816579323487376</v>
      </c>
    </row>
    <row r="850" spans="1:14">
      <c r="A850" s="21">
        <v>2023</v>
      </c>
      <c r="B850" s="21" t="s">
        <v>23</v>
      </c>
      <c r="C850" s="21" t="s">
        <v>1145</v>
      </c>
      <c r="D850" s="21" t="s">
        <v>35</v>
      </c>
      <c r="E850" s="17" t="s">
        <v>405</v>
      </c>
      <c r="F850" s="18" t="s">
        <v>105</v>
      </c>
      <c r="G850" s="18" t="s">
        <v>48</v>
      </c>
      <c r="H850" s="24">
        <v>10430</v>
      </c>
      <c r="I850" s="24">
        <f>T_reg.root.SK[[#This Row],[Volume, kg]]/1000</f>
        <v>10.43</v>
      </c>
      <c r="J850" s="25">
        <v>0.22739999999999999</v>
      </c>
      <c r="K850" s="25">
        <f t="shared" si="13"/>
        <v>2371.7819999999997</v>
      </c>
      <c r="L850" s="25">
        <v>3.25</v>
      </c>
      <c r="M850" s="24">
        <v>33897.5</v>
      </c>
      <c r="N850" s="25">
        <f>IFERROR(T_reg.root.SK[[#This Row],[Price]]/T_reg.root.SK[[#This Row],[Starch content]],"")</f>
        <v>14.291996481970097</v>
      </c>
    </row>
    <row r="851" spans="1:14">
      <c r="A851" s="21">
        <v>2023</v>
      </c>
      <c r="B851" s="21" t="s">
        <v>23</v>
      </c>
      <c r="C851" s="21" t="s">
        <v>1145</v>
      </c>
      <c r="D851" s="21" t="s">
        <v>35</v>
      </c>
      <c r="E851" s="17" t="s">
        <v>496</v>
      </c>
      <c r="F851" s="18" t="s">
        <v>105</v>
      </c>
      <c r="G851" s="18" t="s">
        <v>48</v>
      </c>
      <c r="H851" s="24">
        <v>6300</v>
      </c>
      <c r="I851" s="24">
        <f>T_reg.root.SK[[#This Row],[Volume, kg]]/1000</f>
        <v>6.3</v>
      </c>
      <c r="J851" s="25">
        <v>0.1885</v>
      </c>
      <c r="K851" s="25">
        <f t="shared" si="13"/>
        <v>1187.55</v>
      </c>
      <c r="L851" s="25">
        <v>3.1</v>
      </c>
      <c r="M851" s="24">
        <v>19530</v>
      </c>
      <c r="N851" s="25">
        <f>IFERROR(T_reg.root.SK[[#This Row],[Price]]/T_reg.root.SK[[#This Row],[Starch content]],"")</f>
        <v>16.445623342175068</v>
      </c>
    </row>
    <row r="852" spans="1:14">
      <c r="A852" s="21">
        <v>2023</v>
      </c>
      <c r="B852" s="21" t="s">
        <v>23</v>
      </c>
      <c r="C852" s="21" t="s">
        <v>1145</v>
      </c>
      <c r="D852" s="21" t="s">
        <v>35</v>
      </c>
      <c r="E852" s="17" t="s">
        <v>497</v>
      </c>
      <c r="F852" s="18" t="s">
        <v>105</v>
      </c>
      <c r="G852" s="18" t="s">
        <v>48</v>
      </c>
      <c r="H852" s="24">
        <v>82400</v>
      </c>
      <c r="I852" s="24">
        <f>T_reg.root.SK[[#This Row],[Volume, kg]]/1000</f>
        <v>82.4</v>
      </c>
      <c r="J852" s="25">
        <v>0.1905</v>
      </c>
      <c r="K852" s="25">
        <f t="shared" si="13"/>
        <v>15697.2</v>
      </c>
      <c r="L852" s="25">
        <v>3.05</v>
      </c>
      <c r="M852" s="24">
        <v>251553</v>
      </c>
      <c r="N852" s="25">
        <f>IFERROR(T_reg.root.SK[[#This Row],[Price]]/T_reg.root.SK[[#This Row],[Starch content]],"")</f>
        <v>16.01049868766404</v>
      </c>
    </row>
    <row r="853" spans="1:14">
      <c r="A853" s="21">
        <v>2023</v>
      </c>
      <c r="B853" s="21" t="s">
        <v>23</v>
      </c>
      <c r="C853" s="21" t="s">
        <v>1145</v>
      </c>
      <c r="D853" s="21" t="s">
        <v>35</v>
      </c>
      <c r="E853" s="17" t="s">
        <v>310</v>
      </c>
      <c r="F853" s="18" t="s">
        <v>105</v>
      </c>
      <c r="G853" s="18" t="s">
        <v>48</v>
      </c>
      <c r="H853" s="24">
        <v>79420</v>
      </c>
      <c r="I853" s="24">
        <f>T_reg.root.SK[[#This Row],[Volume, kg]]/1000</f>
        <v>79.42</v>
      </c>
      <c r="J853" s="25">
        <v>0.21909999999999999</v>
      </c>
      <c r="K853" s="25">
        <f t="shared" si="13"/>
        <v>17400.921999999999</v>
      </c>
      <c r="L853" s="25">
        <v>3.2</v>
      </c>
      <c r="M853" s="24">
        <v>254250</v>
      </c>
      <c r="N853" s="25">
        <f>IFERROR(T_reg.root.SK[[#This Row],[Price]]/T_reg.root.SK[[#This Row],[Starch content]],"")</f>
        <v>14.60520310360566</v>
      </c>
    </row>
    <row r="854" spans="1:14">
      <c r="A854" s="21">
        <v>2023</v>
      </c>
      <c r="B854" s="21" t="s">
        <v>23</v>
      </c>
      <c r="C854" s="21" t="s">
        <v>1145</v>
      </c>
      <c r="D854" s="21" t="s">
        <v>35</v>
      </c>
      <c r="E854" s="17" t="s">
        <v>247</v>
      </c>
      <c r="F854" s="18" t="s">
        <v>105</v>
      </c>
      <c r="G854" s="18" t="s">
        <v>48</v>
      </c>
      <c r="H854" s="24">
        <v>4280</v>
      </c>
      <c r="I854" s="24">
        <f>T_reg.root.SK[[#This Row],[Volume, kg]]/1000</f>
        <v>4.28</v>
      </c>
      <c r="J854" s="25">
        <v>0.1845</v>
      </c>
      <c r="K854" s="25">
        <f t="shared" si="13"/>
        <v>789.66</v>
      </c>
      <c r="L854" s="25">
        <v>3.1</v>
      </c>
      <c r="M854" s="24">
        <v>13268</v>
      </c>
      <c r="N854" s="25">
        <f>IFERROR(T_reg.root.SK[[#This Row],[Price]]/T_reg.root.SK[[#This Row],[Starch content]],"")</f>
        <v>16.802168021680217</v>
      </c>
    </row>
    <row r="855" spans="1:14">
      <c r="A855" s="21">
        <v>2023</v>
      </c>
      <c r="B855" s="21" t="s">
        <v>23</v>
      </c>
      <c r="C855" s="21" t="s">
        <v>1145</v>
      </c>
      <c r="D855" s="21" t="s">
        <v>35</v>
      </c>
      <c r="E855" s="17" t="s">
        <v>498</v>
      </c>
      <c r="F855" s="18" t="s">
        <v>105</v>
      </c>
      <c r="G855" s="18" t="s">
        <v>48</v>
      </c>
      <c r="H855" s="24">
        <v>41520</v>
      </c>
      <c r="I855" s="24">
        <f>T_reg.root.SK[[#This Row],[Volume, kg]]/1000</f>
        <v>41.52</v>
      </c>
      <c r="J855" s="25">
        <v>0.20809999999999998</v>
      </c>
      <c r="K855" s="25">
        <f t="shared" si="13"/>
        <v>8640.3119999999999</v>
      </c>
      <c r="L855" s="25">
        <v>3.05</v>
      </c>
      <c r="M855" s="24">
        <v>126695</v>
      </c>
      <c r="N855" s="25">
        <f>IFERROR(T_reg.root.SK[[#This Row],[Price]]/T_reg.root.SK[[#This Row],[Starch content]],"")</f>
        <v>14.656415185007209</v>
      </c>
    </row>
    <row r="856" spans="1:14">
      <c r="A856" s="21">
        <v>2023</v>
      </c>
      <c r="B856" s="21" t="s">
        <v>23</v>
      </c>
      <c r="C856" s="21" t="s">
        <v>1145</v>
      </c>
      <c r="D856" s="21" t="s">
        <v>35</v>
      </c>
      <c r="E856" s="17" t="s">
        <v>248</v>
      </c>
      <c r="F856" s="18" t="s">
        <v>105</v>
      </c>
      <c r="G856" s="18" t="s">
        <v>48</v>
      </c>
      <c r="H856" s="24">
        <v>88760</v>
      </c>
      <c r="I856" s="24">
        <f>T_reg.root.SK[[#This Row],[Volume, kg]]/1000</f>
        <v>88.76</v>
      </c>
      <c r="J856" s="25">
        <v>0.22309999999999999</v>
      </c>
      <c r="K856" s="25">
        <f t="shared" si="13"/>
        <v>19802.356</v>
      </c>
      <c r="L856" s="25">
        <v>3.2</v>
      </c>
      <c r="M856" s="24">
        <v>284326.5</v>
      </c>
      <c r="N856" s="25">
        <f>IFERROR(T_reg.root.SK[[#This Row],[Price]]/T_reg.root.SK[[#This Row],[Starch content]],"")</f>
        <v>14.343343792021516</v>
      </c>
    </row>
    <row r="857" spans="1:14">
      <c r="A857" s="21">
        <v>2023</v>
      </c>
      <c r="B857" s="21" t="s">
        <v>23</v>
      </c>
      <c r="C857" s="21" t="s">
        <v>1145</v>
      </c>
      <c r="D857" s="21" t="s">
        <v>35</v>
      </c>
      <c r="E857" s="17" t="s">
        <v>143</v>
      </c>
      <c r="F857" s="18" t="s">
        <v>105</v>
      </c>
      <c r="G857" s="18" t="s">
        <v>48</v>
      </c>
      <c r="H857" s="24">
        <v>47110</v>
      </c>
      <c r="I857" s="24">
        <f>T_reg.root.SK[[#This Row],[Volume, kg]]/1000</f>
        <v>47.11</v>
      </c>
      <c r="J857" s="25">
        <v>0.20190000000000002</v>
      </c>
      <c r="K857" s="25">
        <f t="shared" si="13"/>
        <v>9511.5090000000018</v>
      </c>
      <c r="L857" s="25">
        <v>3.09</v>
      </c>
      <c r="M857" s="24">
        <v>145537</v>
      </c>
      <c r="N857" s="25">
        <f>IFERROR(T_reg.root.SK[[#This Row],[Price]]/T_reg.root.SK[[#This Row],[Starch content]],"")</f>
        <v>15.304606240713222</v>
      </c>
    </row>
    <row r="858" spans="1:14">
      <c r="A858" s="21">
        <v>2023</v>
      </c>
      <c r="B858" s="21" t="s">
        <v>23</v>
      </c>
      <c r="C858" s="21" t="s">
        <v>1145</v>
      </c>
      <c r="D858" s="21" t="s">
        <v>35</v>
      </c>
      <c r="E858" s="17" t="s">
        <v>311</v>
      </c>
      <c r="F858" s="18" t="s">
        <v>105</v>
      </c>
      <c r="G858" s="18" t="s">
        <v>48</v>
      </c>
      <c r="H858" s="24">
        <v>16260</v>
      </c>
      <c r="I858" s="24">
        <f>T_reg.root.SK[[#This Row],[Volume, kg]]/1000</f>
        <v>16.260000000000002</v>
      </c>
      <c r="J858" s="25">
        <v>0.2152</v>
      </c>
      <c r="K858" s="25">
        <f t="shared" si="13"/>
        <v>3499.152</v>
      </c>
      <c r="L858" s="25">
        <v>3.25</v>
      </c>
      <c r="M858" s="24">
        <v>52845</v>
      </c>
      <c r="N858" s="25">
        <f>IFERROR(T_reg.root.SK[[#This Row],[Price]]/T_reg.root.SK[[#This Row],[Starch content]],"")</f>
        <v>15.102230483271375</v>
      </c>
    </row>
    <row r="859" spans="1:14">
      <c r="A859" s="21">
        <v>2023</v>
      </c>
      <c r="B859" s="21" t="s">
        <v>23</v>
      </c>
      <c r="C859" s="21" t="s">
        <v>1145</v>
      </c>
      <c r="D859" s="21" t="s">
        <v>35</v>
      </c>
      <c r="E859" s="17" t="s">
        <v>144</v>
      </c>
      <c r="F859" s="18" t="s">
        <v>105</v>
      </c>
      <c r="G859" s="18" t="s">
        <v>48</v>
      </c>
      <c r="H859" s="24">
        <v>19930</v>
      </c>
      <c r="I859" s="24">
        <f>T_reg.root.SK[[#This Row],[Volume, kg]]/1000</f>
        <v>19.93</v>
      </c>
      <c r="J859" s="25">
        <v>0.18420000000000003</v>
      </c>
      <c r="K859" s="25">
        <f t="shared" si="13"/>
        <v>3671.1060000000007</v>
      </c>
      <c r="L859" s="25">
        <v>2.92</v>
      </c>
      <c r="M859" s="24">
        <v>58265</v>
      </c>
      <c r="N859" s="25">
        <f>IFERROR(T_reg.root.SK[[#This Row],[Price]]/T_reg.root.SK[[#This Row],[Starch content]],"")</f>
        <v>15.85233441910966</v>
      </c>
    </row>
    <row r="860" spans="1:14">
      <c r="A860" s="21">
        <v>2023</v>
      </c>
      <c r="B860" s="21" t="s">
        <v>23</v>
      </c>
      <c r="C860" s="21" t="s">
        <v>1145</v>
      </c>
      <c r="D860" s="21" t="s">
        <v>35</v>
      </c>
      <c r="E860" s="17" t="s">
        <v>146</v>
      </c>
      <c r="F860" s="18" t="s">
        <v>105</v>
      </c>
      <c r="G860" s="18" t="s">
        <v>48</v>
      </c>
      <c r="H860" s="24">
        <v>384730</v>
      </c>
      <c r="I860" s="24">
        <f>T_reg.root.SK[[#This Row],[Volume, kg]]/1000</f>
        <v>384.73</v>
      </c>
      <c r="J860" s="25">
        <v>0.21289999999999998</v>
      </c>
      <c r="K860" s="25">
        <f t="shared" si="13"/>
        <v>81909.016999999993</v>
      </c>
      <c r="L860" s="25">
        <v>3.17</v>
      </c>
      <c r="M860" s="24">
        <v>1219352</v>
      </c>
      <c r="N860" s="25">
        <f>IFERROR(T_reg.root.SK[[#This Row],[Price]]/T_reg.root.SK[[#This Row],[Starch content]],"")</f>
        <v>14.889619539689997</v>
      </c>
    </row>
    <row r="861" spans="1:14">
      <c r="A861" s="21">
        <v>2023</v>
      </c>
      <c r="B861" s="21" t="s">
        <v>23</v>
      </c>
      <c r="C861" s="21" t="s">
        <v>1145</v>
      </c>
      <c r="D861" s="21" t="s">
        <v>35</v>
      </c>
      <c r="E861" s="17" t="s">
        <v>251</v>
      </c>
      <c r="F861" s="18" t="s">
        <v>105</v>
      </c>
      <c r="G861" s="18" t="s">
        <v>48</v>
      </c>
      <c r="H861" s="24">
        <v>74430</v>
      </c>
      <c r="I861" s="24">
        <f>T_reg.root.SK[[#This Row],[Volume, kg]]/1000</f>
        <v>74.430000000000007</v>
      </c>
      <c r="J861" s="25">
        <v>0.2051</v>
      </c>
      <c r="K861" s="25">
        <f t="shared" si="13"/>
        <v>15265.593000000001</v>
      </c>
      <c r="L861" s="25">
        <v>3.04</v>
      </c>
      <c r="M861" s="24">
        <v>226062</v>
      </c>
      <c r="N861" s="25">
        <f>IFERROR(T_reg.root.SK[[#This Row],[Price]]/T_reg.root.SK[[#This Row],[Starch content]],"")</f>
        <v>14.822038030229157</v>
      </c>
    </row>
    <row r="862" spans="1:14">
      <c r="A862" s="21">
        <v>2023</v>
      </c>
      <c r="B862" s="21" t="s">
        <v>23</v>
      </c>
      <c r="C862" s="21" t="s">
        <v>1145</v>
      </c>
      <c r="D862" s="21" t="s">
        <v>35</v>
      </c>
      <c r="E862" s="17" t="s">
        <v>148</v>
      </c>
      <c r="F862" s="18" t="s">
        <v>105</v>
      </c>
      <c r="G862" s="18" t="s">
        <v>48</v>
      </c>
      <c r="H862" s="24">
        <v>6310</v>
      </c>
      <c r="I862" s="24">
        <f>T_reg.root.SK[[#This Row],[Volume, kg]]/1000</f>
        <v>6.31</v>
      </c>
      <c r="J862" s="25">
        <v>0.2235</v>
      </c>
      <c r="K862" s="25">
        <f t="shared" si="13"/>
        <v>1410.2850000000001</v>
      </c>
      <c r="L862" s="25">
        <v>3.3</v>
      </c>
      <c r="M862" s="24">
        <v>20823</v>
      </c>
      <c r="N862" s="25">
        <f>IFERROR(T_reg.root.SK[[#This Row],[Price]]/T_reg.root.SK[[#This Row],[Starch content]],"")</f>
        <v>14.765100671140939</v>
      </c>
    </row>
    <row r="863" spans="1:14">
      <c r="A863" s="21">
        <v>2023</v>
      </c>
      <c r="B863" s="21" t="s">
        <v>23</v>
      </c>
      <c r="C863" s="21" t="s">
        <v>1145</v>
      </c>
      <c r="D863" s="21" t="s">
        <v>35</v>
      </c>
      <c r="E863" s="17" t="s">
        <v>149</v>
      </c>
      <c r="F863" s="18" t="s">
        <v>105</v>
      </c>
      <c r="G863" s="18" t="s">
        <v>48</v>
      </c>
      <c r="H863" s="24">
        <v>4050</v>
      </c>
      <c r="I863" s="24">
        <f>T_reg.root.SK[[#This Row],[Volume, kg]]/1000</f>
        <v>4.05</v>
      </c>
      <c r="J863" s="25">
        <v>0.19850000000000001</v>
      </c>
      <c r="K863" s="25">
        <f t="shared" si="13"/>
        <v>803.92500000000007</v>
      </c>
      <c r="L863" s="25">
        <v>3.15</v>
      </c>
      <c r="M863" s="24">
        <v>12757.5</v>
      </c>
      <c r="N863" s="25">
        <f>IFERROR(T_reg.root.SK[[#This Row],[Price]]/T_reg.root.SK[[#This Row],[Starch content]],"")</f>
        <v>15.869017632241812</v>
      </c>
    </row>
    <row r="864" spans="1:14">
      <c r="A864" s="21">
        <v>2023</v>
      </c>
      <c r="B864" s="21" t="s">
        <v>23</v>
      </c>
      <c r="C864" s="21" t="s">
        <v>1145</v>
      </c>
      <c r="D864" s="21" t="s">
        <v>35</v>
      </c>
      <c r="E864" s="17" t="s">
        <v>499</v>
      </c>
      <c r="F864" s="18" t="s">
        <v>105</v>
      </c>
      <c r="G864" s="18" t="s">
        <v>48</v>
      </c>
      <c r="H864" s="24">
        <v>10340</v>
      </c>
      <c r="I864" s="24">
        <f>T_reg.root.SK[[#This Row],[Volume, kg]]/1000</f>
        <v>10.34</v>
      </c>
      <c r="J864" s="25">
        <v>0.23949999999999999</v>
      </c>
      <c r="K864" s="25">
        <f t="shared" si="13"/>
        <v>2476.4299999999998</v>
      </c>
      <c r="L864" s="25">
        <v>3.2</v>
      </c>
      <c r="M864" s="24">
        <v>33088</v>
      </c>
      <c r="N864" s="25">
        <f>IFERROR(T_reg.root.SK[[#This Row],[Price]]/T_reg.root.SK[[#This Row],[Starch content]],"")</f>
        <v>13.361169102296452</v>
      </c>
    </row>
    <row r="865" spans="1:14">
      <c r="A865" s="21">
        <v>2023</v>
      </c>
      <c r="B865" s="21" t="s">
        <v>23</v>
      </c>
      <c r="C865" s="21" t="s">
        <v>1145</v>
      </c>
      <c r="D865" s="21" t="s">
        <v>35</v>
      </c>
      <c r="E865" s="17" t="s">
        <v>313</v>
      </c>
      <c r="F865" s="18" t="s">
        <v>105</v>
      </c>
      <c r="G865" s="18" t="s">
        <v>48</v>
      </c>
      <c r="H865" s="24">
        <v>5960</v>
      </c>
      <c r="I865" s="24">
        <f>T_reg.root.SK[[#This Row],[Volume, kg]]/1000</f>
        <v>5.96</v>
      </c>
      <c r="J865" s="25">
        <v>0.1875</v>
      </c>
      <c r="K865" s="25">
        <f t="shared" si="13"/>
        <v>1117.5</v>
      </c>
      <c r="L865" s="25">
        <v>2.95</v>
      </c>
      <c r="M865" s="24">
        <v>17582</v>
      </c>
      <c r="N865" s="25">
        <f>IFERROR(T_reg.root.SK[[#This Row],[Price]]/T_reg.root.SK[[#This Row],[Starch content]],"")</f>
        <v>15.733333333333334</v>
      </c>
    </row>
    <row r="866" spans="1:14">
      <c r="A866" s="21">
        <v>2023</v>
      </c>
      <c r="B866" s="21" t="s">
        <v>23</v>
      </c>
      <c r="C866" s="21" t="s">
        <v>1145</v>
      </c>
      <c r="D866" s="21" t="s">
        <v>35</v>
      </c>
      <c r="E866" s="17" t="s">
        <v>314</v>
      </c>
      <c r="F866" s="18" t="s">
        <v>105</v>
      </c>
      <c r="G866" s="18" t="s">
        <v>48</v>
      </c>
      <c r="H866" s="24">
        <v>6540</v>
      </c>
      <c r="I866" s="24">
        <f>T_reg.root.SK[[#This Row],[Volume, kg]]/1000</f>
        <v>6.54</v>
      </c>
      <c r="J866" s="25">
        <v>0.26100000000000001</v>
      </c>
      <c r="K866" s="25">
        <f t="shared" si="13"/>
        <v>1706.94</v>
      </c>
      <c r="L866" s="25">
        <v>3.3</v>
      </c>
      <c r="M866" s="24">
        <v>21582</v>
      </c>
      <c r="N866" s="25">
        <f>IFERROR(T_reg.root.SK[[#This Row],[Price]]/T_reg.root.SK[[#This Row],[Starch content]],"")</f>
        <v>12.643678160919539</v>
      </c>
    </row>
    <row r="867" spans="1:14">
      <c r="A867" s="21">
        <v>2023</v>
      </c>
      <c r="B867" s="21" t="s">
        <v>23</v>
      </c>
      <c r="C867" s="21" t="s">
        <v>1145</v>
      </c>
      <c r="D867" s="21" t="s">
        <v>35</v>
      </c>
      <c r="E867" s="17" t="s">
        <v>500</v>
      </c>
      <c r="F867" s="18" t="s">
        <v>105</v>
      </c>
      <c r="G867" s="18" t="s">
        <v>48</v>
      </c>
      <c r="H867" s="24">
        <v>13810</v>
      </c>
      <c r="I867" s="24">
        <f>T_reg.root.SK[[#This Row],[Volume, kg]]/1000</f>
        <v>13.81</v>
      </c>
      <c r="J867" s="25">
        <v>0.21760000000000002</v>
      </c>
      <c r="K867" s="25">
        <f t="shared" si="13"/>
        <v>3005.056</v>
      </c>
      <c r="L867" s="25">
        <v>3.1</v>
      </c>
      <c r="M867" s="24">
        <v>42775.5</v>
      </c>
      <c r="N867" s="25">
        <f>IFERROR(T_reg.root.SK[[#This Row],[Price]]/T_reg.root.SK[[#This Row],[Starch content]],"")</f>
        <v>14.246323529411764</v>
      </c>
    </row>
    <row r="868" spans="1:14">
      <c r="A868" s="21">
        <v>2023</v>
      </c>
      <c r="B868" s="21" t="s">
        <v>23</v>
      </c>
      <c r="C868" s="21" t="s">
        <v>1145</v>
      </c>
      <c r="D868" s="21" t="s">
        <v>35</v>
      </c>
      <c r="E868" s="17" t="s">
        <v>150</v>
      </c>
      <c r="F868" s="18" t="s">
        <v>105</v>
      </c>
      <c r="G868" s="18" t="s">
        <v>48</v>
      </c>
      <c r="H868" s="24">
        <v>254810</v>
      </c>
      <c r="I868" s="24">
        <f>T_reg.root.SK[[#This Row],[Volume, kg]]/1000</f>
        <v>254.81</v>
      </c>
      <c r="J868" s="25">
        <v>0.19920000000000002</v>
      </c>
      <c r="K868" s="25">
        <f t="shared" si="13"/>
        <v>50758.152000000002</v>
      </c>
      <c r="L868" s="25">
        <v>3.23</v>
      </c>
      <c r="M868" s="24">
        <v>824277</v>
      </c>
      <c r="N868" s="25">
        <f>IFERROR(T_reg.root.SK[[#This Row],[Price]]/T_reg.root.SK[[#This Row],[Starch content]],"")</f>
        <v>16.214859437751002</v>
      </c>
    </row>
    <row r="869" spans="1:14">
      <c r="A869" s="21">
        <v>2023</v>
      </c>
      <c r="B869" s="21" t="s">
        <v>23</v>
      </c>
      <c r="C869" s="21" t="s">
        <v>1145</v>
      </c>
      <c r="D869" s="21" t="s">
        <v>35</v>
      </c>
      <c r="E869" s="17" t="s">
        <v>151</v>
      </c>
      <c r="F869" s="18" t="s">
        <v>105</v>
      </c>
      <c r="G869" s="18" t="s">
        <v>48</v>
      </c>
      <c r="H869" s="24">
        <v>218700</v>
      </c>
      <c r="I869" s="24">
        <f>T_reg.root.SK[[#This Row],[Volume, kg]]/1000</f>
        <v>218.7</v>
      </c>
      <c r="J869" s="25">
        <v>0.2102</v>
      </c>
      <c r="K869" s="25">
        <f t="shared" si="13"/>
        <v>45970.74</v>
      </c>
      <c r="L869" s="25">
        <v>3.19</v>
      </c>
      <c r="M869" s="24">
        <v>697066.5</v>
      </c>
      <c r="N869" s="25">
        <f>IFERROR(T_reg.root.SK[[#This Row],[Price]]/T_reg.root.SK[[#This Row],[Starch content]],"")</f>
        <v>15.176022835394862</v>
      </c>
    </row>
    <row r="870" spans="1:14">
      <c r="A870" s="21">
        <v>2023</v>
      </c>
      <c r="B870" s="21" t="s">
        <v>23</v>
      </c>
      <c r="C870" s="21" t="s">
        <v>1145</v>
      </c>
      <c r="D870" s="21" t="s">
        <v>35</v>
      </c>
      <c r="E870" s="17" t="s">
        <v>316</v>
      </c>
      <c r="F870" s="18" t="s">
        <v>105</v>
      </c>
      <c r="G870" s="18" t="s">
        <v>48</v>
      </c>
      <c r="H870" s="24">
        <v>32260</v>
      </c>
      <c r="I870" s="24">
        <f>T_reg.root.SK[[#This Row],[Volume, kg]]/1000</f>
        <v>32.26</v>
      </c>
      <c r="J870" s="25">
        <v>0.1888</v>
      </c>
      <c r="K870" s="25">
        <f t="shared" si="13"/>
        <v>6090.6880000000001</v>
      </c>
      <c r="L870" s="25">
        <v>2.94</v>
      </c>
      <c r="M870" s="24">
        <v>94926</v>
      </c>
      <c r="N870" s="25">
        <f>IFERROR(T_reg.root.SK[[#This Row],[Price]]/T_reg.root.SK[[#This Row],[Starch content]],"")</f>
        <v>15.572033898305085</v>
      </c>
    </row>
    <row r="871" spans="1:14">
      <c r="A871" s="21">
        <v>2023</v>
      </c>
      <c r="B871" s="21" t="s">
        <v>23</v>
      </c>
      <c r="C871" s="21" t="s">
        <v>1145</v>
      </c>
      <c r="D871" s="21" t="s">
        <v>35</v>
      </c>
      <c r="E871" s="17" t="s">
        <v>152</v>
      </c>
      <c r="F871" s="18" t="s">
        <v>105</v>
      </c>
      <c r="G871" s="18" t="s">
        <v>48</v>
      </c>
      <c r="H871" s="24">
        <v>9150</v>
      </c>
      <c r="I871" s="24">
        <f>T_reg.root.SK[[#This Row],[Volume, kg]]/1000</f>
        <v>9.15</v>
      </c>
      <c r="J871" s="25">
        <v>0.20579999999999998</v>
      </c>
      <c r="K871" s="25">
        <f t="shared" si="13"/>
        <v>1883.07</v>
      </c>
      <c r="L871" s="25">
        <v>3.11</v>
      </c>
      <c r="M871" s="24">
        <v>28422.5</v>
      </c>
      <c r="N871" s="25">
        <f>IFERROR(T_reg.root.SK[[#This Row],[Price]]/T_reg.root.SK[[#This Row],[Starch content]],"")</f>
        <v>15.11175898931001</v>
      </c>
    </row>
    <row r="872" spans="1:14">
      <c r="A872" s="21">
        <v>2023</v>
      </c>
      <c r="B872" s="21" t="s">
        <v>23</v>
      </c>
      <c r="C872" s="21" t="s">
        <v>1145</v>
      </c>
      <c r="D872" s="21" t="s">
        <v>35</v>
      </c>
      <c r="E872" s="17" t="s">
        <v>254</v>
      </c>
      <c r="F872" s="18" t="s">
        <v>105</v>
      </c>
      <c r="G872" s="18" t="s">
        <v>48</v>
      </c>
      <c r="H872" s="24">
        <v>4960</v>
      </c>
      <c r="I872" s="24">
        <f>T_reg.root.SK[[#This Row],[Volume, kg]]/1000</f>
        <v>4.96</v>
      </c>
      <c r="J872" s="25">
        <v>0.16449999999999998</v>
      </c>
      <c r="K872" s="25">
        <f t="shared" si="13"/>
        <v>815.91999999999985</v>
      </c>
      <c r="L872" s="25">
        <v>2.95</v>
      </c>
      <c r="M872" s="24">
        <v>14632</v>
      </c>
      <c r="N872" s="25">
        <f>IFERROR(T_reg.root.SK[[#This Row],[Price]]/T_reg.root.SK[[#This Row],[Starch content]],"")</f>
        <v>17.933130699088149</v>
      </c>
    </row>
    <row r="873" spans="1:14">
      <c r="A873" s="21">
        <v>2023</v>
      </c>
      <c r="B873" s="21" t="s">
        <v>23</v>
      </c>
      <c r="C873" s="21" t="s">
        <v>1145</v>
      </c>
      <c r="D873" s="21" t="s">
        <v>35</v>
      </c>
      <c r="E873" s="17" t="s">
        <v>153</v>
      </c>
      <c r="F873" s="18" t="s">
        <v>105</v>
      </c>
      <c r="G873" s="18" t="s">
        <v>48</v>
      </c>
      <c r="H873" s="24">
        <v>2780</v>
      </c>
      <c r="I873" s="24">
        <f>T_reg.root.SK[[#This Row],[Volume, kg]]/1000</f>
        <v>2.78</v>
      </c>
      <c r="J873" s="25">
        <v>0.23</v>
      </c>
      <c r="K873" s="25">
        <f t="shared" si="13"/>
        <v>639.4</v>
      </c>
      <c r="L873" s="25">
        <v>3.35</v>
      </c>
      <c r="M873" s="24">
        <v>9313</v>
      </c>
      <c r="N873" s="25">
        <f>IFERROR(T_reg.root.SK[[#This Row],[Price]]/T_reg.root.SK[[#This Row],[Starch content]],"")</f>
        <v>14.565217391304348</v>
      </c>
    </row>
    <row r="874" spans="1:14">
      <c r="A874" s="21">
        <v>2023</v>
      </c>
      <c r="B874" s="21" t="s">
        <v>23</v>
      </c>
      <c r="C874" s="21" t="s">
        <v>1145</v>
      </c>
      <c r="D874" s="21" t="s">
        <v>35</v>
      </c>
      <c r="E874" s="17" t="s">
        <v>154</v>
      </c>
      <c r="F874" s="18" t="s">
        <v>105</v>
      </c>
      <c r="G874" s="18" t="s">
        <v>48</v>
      </c>
      <c r="H874" s="24">
        <v>4190</v>
      </c>
      <c r="I874" s="24">
        <f>T_reg.root.SK[[#This Row],[Volume, kg]]/1000</f>
        <v>4.1900000000000004</v>
      </c>
      <c r="J874" s="25">
        <v>0.21850000000000003</v>
      </c>
      <c r="K874" s="25">
        <f t="shared" si="13"/>
        <v>915.5150000000001</v>
      </c>
      <c r="L874" s="25">
        <v>3.1</v>
      </c>
      <c r="M874" s="24">
        <v>12989</v>
      </c>
      <c r="N874" s="25">
        <f>IFERROR(T_reg.root.SK[[#This Row],[Price]]/T_reg.root.SK[[#This Row],[Starch content]],"")</f>
        <v>14.187643020594964</v>
      </c>
    </row>
    <row r="875" spans="1:14">
      <c r="A875" s="21">
        <v>2023</v>
      </c>
      <c r="B875" s="21" t="s">
        <v>23</v>
      </c>
      <c r="C875" s="21" t="s">
        <v>1145</v>
      </c>
      <c r="D875" s="21" t="s">
        <v>35</v>
      </c>
      <c r="E875" s="17" t="s">
        <v>155</v>
      </c>
      <c r="F875" s="18" t="s">
        <v>105</v>
      </c>
      <c r="G875" s="18" t="s">
        <v>48</v>
      </c>
      <c r="H875" s="24">
        <v>12960</v>
      </c>
      <c r="I875" s="24">
        <f>T_reg.root.SK[[#This Row],[Volume, kg]]/1000</f>
        <v>12.96</v>
      </c>
      <c r="J875" s="25">
        <v>0.22750000000000001</v>
      </c>
      <c r="K875" s="25">
        <f t="shared" si="13"/>
        <v>2948.4</v>
      </c>
      <c r="L875" s="25">
        <v>3.21</v>
      </c>
      <c r="M875" s="24">
        <v>41656.5</v>
      </c>
      <c r="N875" s="25">
        <f>IFERROR(T_reg.root.SK[[#This Row],[Price]]/T_reg.root.SK[[#This Row],[Starch content]],"")</f>
        <v>14.109890109890109</v>
      </c>
    </row>
    <row r="876" spans="1:14">
      <c r="A876" s="21">
        <v>2023</v>
      </c>
      <c r="B876" s="21" t="s">
        <v>23</v>
      </c>
      <c r="C876" s="21" t="s">
        <v>1145</v>
      </c>
      <c r="D876" s="21" t="s">
        <v>35</v>
      </c>
      <c r="E876" s="17" t="s">
        <v>366</v>
      </c>
      <c r="F876" s="18" t="s">
        <v>105</v>
      </c>
      <c r="G876" s="18" t="s">
        <v>48</v>
      </c>
      <c r="H876" s="24">
        <v>8130</v>
      </c>
      <c r="I876" s="24">
        <f>T_reg.root.SK[[#This Row],[Volume, kg]]/1000</f>
        <v>8.1300000000000008</v>
      </c>
      <c r="J876" s="25">
        <v>0.185</v>
      </c>
      <c r="K876" s="25">
        <f t="shared" si="13"/>
        <v>1504.05</v>
      </c>
      <c r="L876" s="25">
        <v>3.1</v>
      </c>
      <c r="M876" s="24">
        <v>25203</v>
      </c>
      <c r="N876" s="25">
        <f>IFERROR(T_reg.root.SK[[#This Row],[Price]]/T_reg.root.SK[[#This Row],[Starch content]],"")</f>
        <v>16.756756756756758</v>
      </c>
    </row>
    <row r="877" spans="1:14">
      <c r="A877" s="21">
        <v>2023</v>
      </c>
      <c r="B877" s="21" t="s">
        <v>23</v>
      </c>
      <c r="C877" s="21" t="s">
        <v>1145</v>
      </c>
      <c r="D877" s="21" t="s">
        <v>35</v>
      </c>
      <c r="E877" s="17" t="s">
        <v>157</v>
      </c>
      <c r="F877" s="18" t="s">
        <v>105</v>
      </c>
      <c r="G877" s="18" t="s">
        <v>48</v>
      </c>
      <c r="H877" s="24">
        <v>6060</v>
      </c>
      <c r="I877" s="24">
        <f>T_reg.root.SK[[#This Row],[Volume, kg]]/1000</f>
        <v>6.06</v>
      </c>
      <c r="J877" s="25">
        <v>0.1807</v>
      </c>
      <c r="K877" s="25">
        <f t="shared" si="13"/>
        <v>1095.0419999999999</v>
      </c>
      <c r="L877" s="25">
        <v>2.9</v>
      </c>
      <c r="M877" s="24">
        <v>17574</v>
      </c>
      <c r="N877" s="25">
        <f>IFERROR(T_reg.root.SK[[#This Row],[Price]]/T_reg.root.SK[[#This Row],[Starch content]],"")</f>
        <v>16.048699501936913</v>
      </c>
    </row>
    <row r="878" spans="1:14">
      <c r="A878" s="21">
        <v>2023</v>
      </c>
      <c r="B878" s="21" t="s">
        <v>23</v>
      </c>
      <c r="C878" s="21" t="s">
        <v>1145</v>
      </c>
      <c r="D878" s="21" t="s">
        <v>35</v>
      </c>
      <c r="E878" s="17" t="s">
        <v>159</v>
      </c>
      <c r="F878" s="18" t="s">
        <v>105</v>
      </c>
      <c r="G878" s="18" t="s">
        <v>48</v>
      </c>
      <c r="H878" s="24">
        <v>618930</v>
      </c>
      <c r="I878" s="24">
        <f>T_reg.root.SK[[#This Row],[Volume, kg]]/1000</f>
        <v>618.92999999999995</v>
      </c>
      <c r="J878" s="25">
        <v>0.20420000000000002</v>
      </c>
      <c r="K878" s="25">
        <f t="shared" si="13"/>
        <v>126385.50600000001</v>
      </c>
      <c r="L878" s="25">
        <v>3.1</v>
      </c>
      <c r="M878" s="24">
        <v>1921510.5</v>
      </c>
      <c r="N878" s="25">
        <f>IFERROR(T_reg.root.SK[[#This Row],[Price]]/T_reg.root.SK[[#This Row],[Starch content]],"")</f>
        <v>15.181194906953966</v>
      </c>
    </row>
    <row r="879" spans="1:14">
      <c r="A879" s="21">
        <v>2023</v>
      </c>
      <c r="B879" s="21" t="s">
        <v>23</v>
      </c>
      <c r="C879" s="21" t="s">
        <v>1145</v>
      </c>
      <c r="D879" s="21" t="s">
        <v>35</v>
      </c>
      <c r="E879" s="17" t="s">
        <v>501</v>
      </c>
      <c r="F879" s="18" t="s">
        <v>105</v>
      </c>
      <c r="G879" s="18" t="s">
        <v>48</v>
      </c>
      <c r="H879" s="24">
        <v>2630</v>
      </c>
      <c r="I879" s="24">
        <f>T_reg.root.SK[[#This Row],[Volume, kg]]/1000</f>
        <v>2.63</v>
      </c>
      <c r="J879" s="25">
        <v>0.24299999999999999</v>
      </c>
      <c r="K879" s="25">
        <f t="shared" si="13"/>
        <v>639.09</v>
      </c>
      <c r="L879" s="25">
        <v>3.35</v>
      </c>
      <c r="M879" s="24">
        <v>8810.5</v>
      </c>
      <c r="N879" s="25">
        <f>IFERROR(T_reg.root.SK[[#This Row],[Price]]/T_reg.root.SK[[#This Row],[Starch content]],"")</f>
        <v>13.786008230452676</v>
      </c>
    </row>
    <row r="880" spans="1:14">
      <c r="A880" s="21">
        <v>2023</v>
      </c>
      <c r="B880" s="21" t="s">
        <v>23</v>
      </c>
      <c r="C880" s="21" t="s">
        <v>1145</v>
      </c>
      <c r="D880" s="21" t="s">
        <v>35</v>
      </c>
      <c r="E880" s="17" t="s">
        <v>255</v>
      </c>
      <c r="F880" s="18" t="s">
        <v>105</v>
      </c>
      <c r="G880" s="18" t="s">
        <v>48</v>
      </c>
      <c r="H880" s="24">
        <v>4190</v>
      </c>
      <c r="I880" s="24">
        <f>T_reg.root.SK[[#This Row],[Volume, kg]]/1000</f>
        <v>4.1900000000000004</v>
      </c>
      <c r="J880" s="25">
        <v>0.2175</v>
      </c>
      <c r="K880" s="25">
        <f t="shared" si="13"/>
        <v>911.32500000000005</v>
      </c>
      <c r="L880" s="25">
        <v>3.3</v>
      </c>
      <c r="M880" s="24">
        <v>13827</v>
      </c>
      <c r="N880" s="25">
        <f>IFERROR(T_reg.root.SK[[#This Row],[Price]]/T_reg.root.SK[[#This Row],[Starch content]],"")</f>
        <v>15.172413793103448</v>
      </c>
    </row>
    <row r="881" spans="1:14">
      <c r="A881" s="21">
        <v>2023</v>
      </c>
      <c r="B881" s="21" t="s">
        <v>23</v>
      </c>
      <c r="C881" s="21" t="s">
        <v>1145</v>
      </c>
      <c r="D881" s="21" t="s">
        <v>35</v>
      </c>
      <c r="E881" s="17" t="s">
        <v>160</v>
      </c>
      <c r="F881" s="18" t="s">
        <v>105</v>
      </c>
      <c r="G881" s="18" t="s">
        <v>48</v>
      </c>
      <c r="H881" s="24">
        <v>29570</v>
      </c>
      <c r="I881" s="24">
        <f>T_reg.root.SK[[#This Row],[Volume, kg]]/1000</f>
        <v>29.57</v>
      </c>
      <c r="J881" s="25">
        <v>0.1993</v>
      </c>
      <c r="K881" s="25">
        <f t="shared" si="13"/>
        <v>5893.3010000000004</v>
      </c>
      <c r="L881" s="25">
        <v>3.15</v>
      </c>
      <c r="M881" s="24">
        <v>93200.5</v>
      </c>
      <c r="N881" s="25">
        <f>IFERROR(T_reg.root.SK[[#This Row],[Price]]/T_reg.root.SK[[#This Row],[Starch content]],"")</f>
        <v>15.805318615153034</v>
      </c>
    </row>
    <row r="882" spans="1:14">
      <c r="A882" s="21">
        <v>2023</v>
      </c>
      <c r="B882" s="21" t="s">
        <v>23</v>
      </c>
      <c r="C882" s="21" t="s">
        <v>1145</v>
      </c>
      <c r="D882" s="21" t="s">
        <v>35</v>
      </c>
      <c r="E882" s="17" t="s">
        <v>367</v>
      </c>
      <c r="F882" s="18" t="s">
        <v>105</v>
      </c>
      <c r="G882" s="18" t="s">
        <v>48</v>
      </c>
      <c r="H882" s="24">
        <v>4650</v>
      </c>
      <c r="I882" s="24">
        <f>T_reg.root.SK[[#This Row],[Volume, kg]]/1000</f>
        <v>4.6500000000000004</v>
      </c>
      <c r="J882" s="25">
        <v>0.13730000000000001</v>
      </c>
      <c r="K882" s="25">
        <f t="shared" si="13"/>
        <v>638.44500000000005</v>
      </c>
      <c r="L882" s="25">
        <v>2.7</v>
      </c>
      <c r="M882" s="24">
        <v>12555</v>
      </c>
      <c r="N882" s="25">
        <f>IFERROR(T_reg.root.SK[[#This Row],[Price]]/T_reg.root.SK[[#This Row],[Starch content]],"")</f>
        <v>19.664967225054625</v>
      </c>
    </row>
    <row r="883" spans="1:14">
      <c r="A883" s="21">
        <v>2023</v>
      </c>
      <c r="B883" s="21" t="s">
        <v>23</v>
      </c>
      <c r="C883" s="21" t="s">
        <v>1145</v>
      </c>
      <c r="D883" s="21" t="s">
        <v>35</v>
      </c>
      <c r="E883" s="17" t="s">
        <v>161</v>
      </c>
      <c r="F883" s="18" t="s">
        <v>105</v>
      </c>
      <c r="G883" s="18" t="s">
        <v>48</v>
      </c>
      <c r="H883" s="24">
        <v>10910</v>
      </c>
      <c r="I883" s="24">
        <f>T_reg.root.SK[[#This Row],[Volume, kg]]/1000</f>
        <v>10.91</v>
      </c>
      <c r="J883" s="25">
        <v>0.18100000000000002</v>
      </c>
      <c r="K883" s="25">
        <f t="shared" si="13"/>
        <v>1974.7100000000003</v>
      </c>
      <c r="L883" s="25">
        <v>3.18</v>
      </c>
      <c r="M883" s="24">
        <v>34739</v>
      </c>
      <c r="N883" s="25">
        <f>IFERROR(T_reg.root.SK[[#This Row],[Price]]/T_reg.root.SK[[#This Row],[Starch content]],"")</f>
        <v>17.569060773480661</v>
      </c>
    </row>
    <row r="884" spans="1:14">
      <c r="A884" s="21">
        <v>2023</v>
      </c>
      <c r="B884" s="21" t="s">
        <v>23</v>
      </c>
      <c r="C884" s="21" t="s">
        <v>1145</v>
      </c>
      <c r="D884" s="21" t="s">
        <v>35</v>
      </c>
      <c r="E884" s="17" t="s">
        <v>162</v>
      </c>
      <c r="F884" s="18" t="s">
        <v>105</v>
      </c>
      <c r="G884" s="18" t="s">
        <v>48</v>
      </c>
      <c r="H884" s="24">
        <v>77080</v>
      </c>
      <c r="I884" s="24">
        <f>T_reg.root.SK[[#This Row],[Volume, kg]]/1000</f>
        <v>77.08</v>
      </c>
      <c r="J884" s="25">
        <v>0.18629999999999999</v>
      </c>
      <c r="K884" s="25">
        <f t="shared" si="13"/>
        <v>14360.003999999999</v>
      </c>
      <c r="L884" s="25">
        <v>2.94</v>
      </c>
      <c r="M884" s="24">
        <v>226451</v>
      </c>
      <c r="N884" s="25">
        <f>IFERROR(T_reg.root.SK[[#This Row],[Price]]/T_reg.root.SK[[#This Row],[Starch content]],"")</f>
        <v>15.780998389694043</v>
      </c>
    </row>
    <row r="885" spans="1:14">
      <c r="A885" s="21">
        <v>2023</v>
      </c>
      <c r="B885" s="21" t="s">
        <v>23</v>
      </c>
      <c r="C885" s="21" t="s">
        <v>1145</v>
      </c>
      <c r="D885" s="21" t="s">
        <v>35</v>
      </c>
      <c r="E885" s="17" t="s">
        <v>163</v>
      </c>
      <c r="F885" s="18" t="s">
        <v>105</v>
      </c>
      <c r="G885" s="18" t="s">
        <v>48</v>
      </c>
      <c r="H885" s="24">
        <v>28240</v>
      </c>
      <c r="I885" s="24">
        <f>T_reg.root.SK[[#This Row],[Volume, kg]]/1000</f>
        <v>28.24</v>
      </c>
      <c r="J885" s="25">
        <v>0.1943</v>
      </c>
      <c r="K885" s="25">
        <f t="shared" si="13"/>
        <v>5487.0320000000002</v>
      </c>
      <c r="L885" s="25">
        <v>3.13</v>
      </c>
      <c r="M885" s="24">
        <v>88480</v>
      </c>
      <c r="N885" s="25">
        <f>IFERROR(T_reg.root.SK[[#This Row],[Price]]/T_reg.root.SK[[#This Row],[Starch content]],"")</f>
        <v>16.10910962429233</v>
      </c>
    </row>
    <row r="886" spans="1:14">
      <c r="A886" s="21">
        <v>2023</v>
      </c>
      <c r="B886" s="21" t="s">
        <v>23</v>
      </c>
      <c r="C886" s="21" t="s">
        <v>1145</v>
      </c>
      <c r="D886" s="21" t="s">
        <v>35</v>
      </c>
      <c r="E886" s="17" t="s">
        <v>164</v>
      </c>
      <c r="F886" s="18" t="s">
        <v>105</v>
      </c>
      <c r="G886" s="18" t="s">
        <v>48</v>
      </c>
      <c r="H886" s="24">
        <v>195990</v>
      </c>
      <c r="I886" s="24">
        <f>T_reg.root.SK[[#This Row],[Volume, kg]]/1000</f>
        <v>195.99</v>
      </c>
      <c r="J886" s="25">
        <v>0.20269999999999999</v>
      </c>
      <c r="K886" s="25">
        <f t="shared" si="13"/>
        <v>39727.172999999995</v>
      </c>
      <c r="L886" s="25">
        <v>3.17</v>
      </c>
      <c r="M886" s="24">
        <v>621711.5</v>
      </c>
      <c r="N886" s="25">
        <f>IFERROR(T_reg.root.SK[[#This Row],[Price]]/T_reg.root.SK[[#This Row],[Starch content]],"")</f>
        <v>15.638875185002467</v>
      </c>
    </row>
    <row r="887" spans="1:14">
      <c r="A887" s="21">
        <v>2023</v>
      </c>
      <c r="B887" s="21" t="s">
        <v>23</v>
      </c>
      <c r="C887" s="21" t="s">
        <v>1145</v>
      </c>
      <c r="D887" s="21" t="s">
        <v>35</v>
      </c>
      <c r="E887" s="17" t="s">
        <v>167</v>
      </c>
      <c r="F887" s="18" t="s">
        <v>105</v>
      </c>
      <c r="G887" s="18" t="s">
        <v>48</v>
      </c>
      <c r="H887" s="24">
        <v>6960</v>
      </c>
      <c r="I887" s="24">
        <f>T_reg.root.SK[[#This Row],[Volume, kg]]/1000</f>
        <v>6.96</v>
      </c>
      <c r="J887" s="25">
        <v>0.17600000000000002</v>
      </c>
      <c r="K887" s="25">
        <f t="shared" si="13"/>
        <v>1224.96</v>
      </c>
      <c r="L887" s="25">
        <v>2.9</v>
      </c>
      <c r="M887" s="24">
        <v>20184</v>
      </c>
      <c r="N887" s="25">
        <f>IFERROR(T_reg.root.SK[[#This Row],[Price]]/T_reg.root.SK[[#This Row],[Starch content]],"")</f>
        <v>16.477272727272727</v>
      </c>
    </row>
    <row r="888" spans="1:14">
      <c r="A888" s="21">
        <v>2023</v>
      </c>
      <c r="B888" s="21" t="s">
        <v>23</v>
      </c>
      <c r="C888" s="21" t="s">
        <v>1145</v>
      </c>
      <c r="D888" s="21" t="s">
        <v>35</v>
      </c>
      <c r="E888" s="17" t="s">
        <v>257</v>
      </c>
      <c r="F888" s="18" t="s">
        <v>105</v>
      </c>
      <c r="G888" s="18" t="s">
        <v>48</v>
      </c>
      <c r="H888" s="24">
        <v>22270</v>
      </c>
      <c r="I888" s="24">
        <f>T_reg.root.SK[[#This Row],[Volume, kg]]/1000</f>
        <v>22.27</v>
      </c>
      <c r="J888" s="25">
        <v>0.15229999999999999</v>
      </c>
      <c r="K888" s="25">
        <f t="shared" si="13"/>
        <v>3391.721</v>
      </c>
      <c r="L888" s="25">
        <v>2.97</v>
      </c>
      <c r="M888" s="24">
        <v>66083</v>
      </c>
      <c r="N888" s="25">
        <f>IFERROR(T_reg.root.SK[[#This Row],[Price]]/T_reg.root.SK[[#This Row],[Starch content]],"")</f>
        <v>19.500984898227184</v>
      </c>
    </row>
    <row r="889" spans="1:14">
      <c r="A889" s="21">
        <v>2023</v>
      </c>
      <c r="B889" s="21" t="s">
        <v>23</v>
      </c>
      <c r="C889" s="21" t="s">
        <v>1145</v>
      </c>
      <c r="D889" s="21" t="s">
        <v>35</v>
      </c>
      <c r="E889" s="17" t="s">
        <v>169</v>
      </c>
      <c r="F889" s="18" t="s">
        <v>105</v>
      </c>
      <c r="G889" s="18" t="s">
        <v>48</v>
      </c>
      <c r="H889" s="24">
        <v>10990</v>
      </c>
      <c r="I889" s="24">
        <f>T_reg.root.SK[[#This Row],[Volume, kg]]/1000</f>
        <v>10.99</v>
      </c>
      <c r="J889" s="25">
        <v>0.14400000000000002</v>
      </c>
      <c r="K889" s="25">
        <f t="shared" si="13"/>
        <v>1582.5600000000002</v>
      </c>
      <c r="L889" s="25">
        <v>2.9</v>
      </c>
      <c r="M889" s="24">
        <v>31871</v>
      </c>
      <c r="N889" s="25">
        <f>IFERROR(T_reg.root.SK[[#This Row],[Price]]/T_reg.root.SK[[#This Row],[Starch content]],"")</f>
        <v>20.138888888888886</v>
      </c>
    </row>
    <row r="890" spans="1:14">
      <c r="A890" s="21">
        <v>2023</v>
      </c>
      <c r="B890" s="21" t="s">
        <v>23</v>
      </c>
      <c r="C890" s="21" t="s">
        <v>1145</v>
      </c>
      <c r="D890" s="21" t="s">
        <v>35</v>
      </c>
      <c r="E890" s="17" t="s">
        <v>502</v>
      </c>
      <c r="F890" s="18" t="s">
        <v>105</v>
      </c>
      <c r="G890" s="18" t="s">
        <v>48</v>
      </c>
      <c r="H890" s="24">
        <v>7780</v>
      </c>
      <c r="I890" s="24">
        <f>T_reg.root.SK[[#This Row],[Volume, kg]]/1000</f>
        <v>7.78</v>
      </c>
      <c r="J890" s="25">
        <v>0.21030000000000001</v>
      </c>
      <c r="K890" s="25">
        <f t="shared" si="13"/>
        <v>1636.134</v>
      </c>
      <c r="L890" s="25">
        <v>3.05</v>
      </c>
      <c r="M890" s="24">
        <v>23729</v>
      </c>
      <c r="N890" s="25">
        <f>IFERROR(T_reg.root.SK[[#This Row],[Price]]/T_reg.root.SK[[#This Row],[Starch content]],"")</f>
        <v>14.503090822634331</v>
      </c>
    </row>
    <row r="891" spans="1:14">
      <c r="A891" s="21">
        <v>2023</v>
      </c>
      <c r="B891" s="21" t="s">
        <v>23</v>
      </c>
      <c r="C891" s="21" t="s">
        <v>1145</v>
      </c>
      <c r="D891" s="21" t="s">
        <v>35</v>
      </c>
      <c r="E891" s="17" t="s">
        <v>503</v>
      </c>
      <c r="F891" s="18" t="s">
        <v>105</v>
      </c>
      <c r="G891" s="18" t="s">
        <v>48</v>
      </c>
      <c r="H891" s="24">
        <v>12400</v>
      </c>
      <c r="I891" s="24">
        <f>T_reg.root.SK[[#This Row],[Volume, kg]]/1000</f>
        <v>12.4</v>
      </c>
      <c r="J891" s="25">
        <v>0.1598</v>
      </c>
      <c r="K891" s="25">
        <f t="shared" si="13"/>
        <v>1981.52</v>
      </c>
      <c r="L891" s="25">
        <v>3</v>
      </c>
      <c r="M891" s="24">
        <v>37246</v>
      </c>
      <c r="N891" s="25">
        <f>IFERROR(T_reg.root.SK[[#This Row],[Price]]/T_reg.root.SK[[#This Row],[Starch content]],"")</f>
        <v>18.773466833541928</v>
      </c>
    </row>
    <row r="892" spans="1:14">
      <c r="A892" s="21">
        <v>2023</v>
      </c>
      <c r="B892" s="21" t="s">
        <v>23</v>
      </c>
      <c r="C892" s="21" t="s">
        <v>1145</v>
      </c>
      <c r="D892" s="21" t="s">
        <v>35</v>
      </c>
      <c r="E892" s="17" t="s">
        <v>171</v>
      </c>
      <c r="F892" s="18" t="s">
        <v>105</v>
      </c>
      <c r="G892" s="18" t="s">
        <v>48</v>
      </c>
      <c r="H892" s="24">
        <v>73000</v>
      </c>
      <c r="I892" s="24">
        <f>T_reg.root.SK[[#This Row],[Volume, kg]]/1000</f>
        <v>73</v>
      </c>
      <c r="J892" s="25">
        <v>0.20430000000000001</v>
      </c>
      <c r="K892" s="25">
        <f t="shared" si="13"/>
        <v>14913.900000000001</v>
      </c>
      <c r="L892" s="25">
        <v>3.08</v>
      </c>
      <c r="M892" s="24">
        <v>225066</v>
      </c>
      <c r="N892" s="25">
        <f>IFERROR(T_reg.root.SK[[#This Row],[Price]]/T_reg.root.SK[[#This Row],[Starch content]],"")</f>
        <v>15.075868820362212</v>
      </c>
    </row>
    <row r="893" spans="1:14">
      <c r="A893" s="21">
        <v>2023</v>
      </c>
      <c r="B893" s="21" t="s">
        <v>23</v>
      </c>
      <c r="C893" s="21" t="s">
        <v>1145</v>
      </c>
      <c r="D893" s="21" t="s">
        <v>35</v>
      </c>
      <c r="E893" s="17" t="s">
        <v>368</v>
      </c>
      <c r="F893" s="18" t="s">
        <v>105</v>
      </c>
      <c r="G893" s="18" t="s">
        <v>48</v>
      </c>
      <c r="H893" s="24">
        <v>1120</v>
      </c>
      <c r="I893" s="24">
        <f>T_reg.root.SK[[#This Row],[Volume, kg]]/1000</f>
        <v>1.1200000000000001</v>
      </c>
      <c r="J893" s="25">
        <v>0.19550000000000001</v>
      </c>
      <c r="K893" s="25">
        <f t="shared" si="13"/>
        <v>218.96</v>
      </c>
      <c r="L893" s="25">
        <v>3.2</v>
      </c>
      <c r="M893" s="24">
        <v>3584</v>
      </c>
      <c r="N893" s="25">
        <f>IFERROR(T_reg.root.SK[[#This Row],[Price]]/T_reg.root.SK[[#This Row],[Starch content]],"")</f>
        <v>16.368286445012789</v>
      </c>
    </row>
    <row r="894" spans="1:14">
      <c r="A894" s="21">
        <v>2023</v>
      </c>
      <c r="B894" s="21" t="s">
        <v>23</v>
      </c>
      <c r="C894" s="21" t="s">
        <v>1145</v>
      </c>
      <c r="D894" s="21" t="s">
        <v>35</v>
      </c>
      <c r="E894" s="17" t="s">
        <v>504</v>
      </c>
      <c r="F894" s="18" t="s">
        <v>105</v>
      </c>
      <c r="G894" s="18" t="s">
        <v>48</v>
      </c>
      <c r="H894" s="24">
        <v>6280</v>
      </c>
      <c r="I894" s="24">
        <f>T_reg.root.SK[[#This Row],[Volume, kg]]/1000</f>
        <v>6.28</v>
      </c>
      <c r="J894" s="25">
        <v>0.21</v>
      </c>
      <c r="K894" s="25">
        <f t="shared" si="13"/>
        <v>1318.8</v>
      </c>
      <c r="L894" s="25">
        <v>3.05</v>
      </c>
      <c r="M894" s="24">
        <v>19154</v>
      </c>
      <c r="N894" s="25">
        <f>IFERROR(T_reg.root.SK[[#This Row],[Price]]/T_reg.root.SK[[#This Row],[Starch content]],"")</f>
        <v>14.523809523809524</v>
      </c>
    </row>
    <row r="895" spans="1:14">
      <c r="A895" s="21">
        <v>2023</v>
      </c>
      <c r="B895" s="21" t="s">
        <v>23</v>
      </c>
      <c r="C895" s="21" t="s">
        <v>1145</v>
      </c>
      <c r="D895" s="21" t="s">
        <v>35</v>
      </c>
      <c r="E895" s="17" t="s">
        <v>321</v>
      </c>
      <c r="F895" s="18" t="s">
        <v>105</v>
      </c>
      <c r="G895" s="18" t="s">
        <v>48</v>
      </c>
      <c r="H895" s="24">
        <v>9790</v>
      </c>
      <c r="I895" s="24">
        <f>T_reg.root.SK[[#This Row],[Volume, kg]]/1000</f>
        <v>9.7899999999999991</v>
      </c>
      <c r="J895" s="25">
        <v>0.23050000000000001</v>
      </c>
      <c r="K895" s="25">
        <f t="shared" si="13"/>
        <v>2256.5950000000003</v>
      </c>
      <c r="L895" s="25">
        <v>3.15</v>
      </c>
      <c r="M895" s="24">
        <v>30838.5</v>
      </c>
      <c r="N895" s="25">
        <f>IFERROR(T_reg.root.SK[[#This Row],[Price]]/T_reg.root.SK[[#This Row],[Starch content]],"")</f>
        <v>13.665943600867678</v>
      </c>
    </row>
    <row r="896" spans="1:14">
      <c r="A896" s="21">
        <v>2023</v>
      </c>
      <c r="B896" s="21" t="s">
        <v>23</v>
      </c>
      <c r="C896" s="21" t="s">
        <v>1145</v>
      </c>
      <c r="D896" s="21" t="s">
        <v>35</v>
      </c>
      <c r="E896" s="17" t="s">
        <v>505</v>
      </c>
      <c r="F896" s="18" t="s">
        <v>105</v>
      </c>
      <c r="G896" s="18" t="s">
        <v>48</v>
      </c>
      <c r="H896" s="24">
        <v>8930</v>
      </c>
      <c r="I896" s="24">
        <f>T_reg.root.SK[[#This Row],[Volume, kg]]/1000</f>
        <v>8.93</v>
      </c>
      <c r="J896" s="25">
        <v>0.21</v>
      </c>
      <c r="K896" s="25">
        <f t="shared" si="13"/>
        <v>1875.3</v>
      </c>
      <c r="L896" s="25">
        <v>3.2</v>
      </c>
      <c r="M896" s="24">
        <v>28576</v>
      </c>
      <c r="N896" s="25">
        <f>IFERROR(T_reg.root.SK[[#This Row],[Price]]/T_reg.root.SK[[#This Row],[Starch content]],"")</f>
        <v>15.238095238095239</v>
      </c>
    </row>
    <row r="897" spans="1:14">
      <c r="A897" s="21">
        <v>2023</v>
      </c>
      <c r="B897" s="21" t="s">
        <v>23</v>
      </c>
      <c r="C897" s="21" t="s">
        <v>1145</v>
      </c>
      <c r="D897" s="21" t="s">
        <v>35</v>
      </c>
      <c r="E897" s="17" t="s">
        <v>506</v>
      </c>
      <c r="F897" s="18" t="s">
        <v>105</v>
      </c>
      <c r="G897" s="18" t="s">
        <v>48</v>
      </c>
      <c r="H897" s="24">
        <v>6150</v>
      </c>
      <c r="I897" s="24">
        <f>T_reg.root.SK[[#This Row],[Volume, kg]]/1000</f>
        <v>6.15</v>
      </c>
      <c r="J897" s="25">
        <v>0.19649999999999998</v>
      </c>
      <c r="K897" s="25">
        <f t="shared" si="13"/>
        <v>1208.4749999999999</v>
      </c>
      <c r="L897" s="25">
        <v>3.05</v>
      </c>
      <c r="M897" s="24">
        <v>18757.5</v>
      </c>
      <c r="N897" s="25">
        <f>IFERROR(T_reg.root.SK[[#This Row],[Price]]/T_reg.root.SK[[#This Row],[Starch content]],"")</f>
        <v>15.521628498727736</v>
      </c>
    </row>
    <row r="898" spans="1:14">
      <c r="A898" s="21">
        <v>2023</v>
      </c>
      <c r="B898" s="21" t="s">
        <v>23</v>
      </c>
      <c r="C898" s="21" t="s">
        <v>1145</v>
      </c>
      <c r="D898" s="21" t="s">
        <v>35</v>
      </c>
      <c r="E898" s="17" t="s">
        <v>507</v>
      </c>
      <c r="F898" s="18" t="s">
        <v>105</v>
      </c>
      <c r="G898" s="18" t="s">
        <v>48</v>
      </c>
      <c r="H898" s="24">
        <v>15220</v>
      </c>
      <c r="I898" s="24">
        <f>T_reg.root.SK[[#This Row],[Volume, kg]]/1000</f>
        <v>15.22</v>
      </c>
      <c r="J898" s="25">
        <v>0.22399999999999998</v>
      </c>
      <c r="K898" s="25">
        <f t="shared" si="13"/>
        <v>3409.2799999999997</v>
      </c>
      <c r="L898" s="25">
        <v>3.13</v>
      </c>
      <c r="M898" s="24">
        <v>47563</v>
      </c>
      <c r="N898" s="25">
        <f>IFERROR(T_reg.root.SK[[#This Row],[Price]]/T_reg.root.SK[[#This Row],[Starch content]],"")</f>
        <v>13.973214285714286</v>
      </c>
    </row>
    <row r="899" spans="1:14">
      <c r="A899" s="21">
        <v>2023</v>
      </c>
      <c r="B899" s="21" t="s">
        <v>23</v>
      </c>
      <c r="C899" s="21" t="s">
        <v>1145</v>
      </c>
      <c r="D899" s="21" t="s">
        <v>35</v>
      </c>
      <c r="E899" s="17" t="s">
        <v>174</v>
      </c>
      <c r="F899" s="18" t="s">
        <v>105</v>
      </c>
      <c r="G899" s="18" t="s">
        <v>48</v>
      </c>
      <c r="H899" s="24">
        <v>26160</v>
      </c>
      <c r="I899" s="24">
        <f>T_reg.root.SK[[#This Row],[Volume, kg]]/1000</f>
        <v>26.16</v>
      </c>
      <c r="J899" s="25">
        <v>0.15909999999999999</v>
      </c>
      <c r="K899" s="25">
        <f t="shared" ref="K899:K962" si="14">H899*J899</f>
        <v>4162.0559999999996</v>
      </c>
      <c r="L899" s="25">
        <v>2.92</v>
      </c>
      <c r="M899" s="24">
        <v>76315</v>
      </c>
      <c r="N899" s="25">
        <f>IFERROR(T_reg.root.SK[[#This Row],[Price]]/T_reg.root.SK[[#This Row],[Starch content]],"")</f>
        <v>18.353236957888122</v>
      </c>
    </row>
    <row r="900" spans="1:14">
      <c r="A900" s="21">
        <v>2023</v>
      </c>
      <c r="B900" s="21" t="s">
        <v>23</v>
      </c>
      <c r="C900" s="21" t="s">
        <v>1145</v>
      </c>
      <c r="D900" s="21" t="s">
        <v>35</v>
      </c>
      <c r="E900" s="17" t="s">
        <v>508</v>
      </c>
      <c r="F900" s="18" t="s">
        <v>105</v>
      </c>
      <c r="G900" s="18" t="s">
        <v>48</v>
      </c>
      <c r="H900" s="24">
        <v>9480</v>
      </c>
      <c r="I900" s="24">
        <f>T_reg.root.SK[[#This Row],[Volume, kg]]/1000</f>
        <v>9.48</v>
      </c>
      <c r="J900" s="25">
        <v>0.20649999999999999</v>
      </c>
      <c r="K900" s="25">
        <f t="shared" si="14"/>
        <v>1957.62</v>
      </c>
      <c r="L900" s="25">
        <v>3.1</v>
      </c>
      <c r="M900" s="24">
        <v>29388</v>
      </c>
      <c r="N900" s="25">
        <f>IFERROR(T_reg.root.SK[[#This Row],[Price]]/T_reg.root.SK[[#This Row],[Starch content]],"")</f>
        <v>15.012106537530267</v>
      </c>
    </row>
    <row r="901" spans="1:14">
      <c r="A901" s="21">
        <v>2023</v>
      </c>
      <c r="B901" s="21" t="s">
        <v>23</v>
      </c>
      <c r="C901" s="21" t="s">
        <v>1145</v>
      </c>
      <c r="D901" s="21" t="s">
        <v>35</v>
      </c>
      <c r="E901" s="17" t="s">
        <v>175</v>
      </c>
      <c r="F901" s="18" t="s">
        <v>105</v>
      </c>
      <c r="G901" s="18" t="s">
        <v>48</v>
      </c>
      <c r="H901" s="24">
        <v>11050</v>
      </c>
      <c r="I901" s="24">
        <f>T_reg.root.SK[[#This Row],[Volume, kg]]/1000</f>
        <v>11.05</v>
      </c>
      <c r="J901" s="25">
        <v>0.18140000000000001</v>
      </c>
      <c r="K901" s="25">
        <f t="shared" si="14"/>
        <v>2004.47</v>
      </c>
      <c r="L901" s="25">
        <v>2.91</v>
      </c>
      <c r="M901" s="24">
        <v>32159.5</v>
      </c>
      <c r="N901" s="25">
        <f>IFERROR(T_reg.root.SK[[#This Row],[Price]]/T_reg.root.SK[[#This Row],[Starch content]],"")</f>
        <v>16.041896361631753</v>
      </c>
    </row>
    <row r="902" spans="1:14">
      <c r="A902" s="21">
        <v>2023</v>
      </c>
      <c r="B902" s="21" t="s">
        <v>23</v>
      </c>
      <c r="C902" s="21" t="s">
        <v>1145</v>
      </c>
      <c r="D902" s="21" t="s">
        <v>35</v>
      </c>
      <c r="E902" s="17" t="s">
        <v>177</v>
      </c>
      <c r="F902" s="18" t="s">
        <v>105</v>
      </c>
      <c r="G902" s="18" t="s">
        <v>48</v>
      </c>
      <c r="H902" s="24">
        <v>28910</v>
      </c>
      <c r="I902" s="24">
        <f>T_reg.root.SK[[#This Row],[Volume, kg]]/1000</f>
        <v>28.91</v>
      </c>
      <c r="J902" s="25">
        <v>0.21660000000000001</v>
      </c>
      <c r="K902" s="25">
        <f t="shared" si="14"/>
        <v>6261.9060000000009</v>
      </c>
      <c r="L902" s="25">
        <v>3.2</v>
      </c>
      <c r="M902" s="24">
        <v>92491</v>
      </c>
      <c r="N902" s="25">
        <f>IFERROR(T_reg.root.SK[[#This Row],[Price]]/T_reg.root.SK[[#This Row],[Starch content]],"")</f>
        <v>14.773776546629731</v>
      </c>
    </row>
    <row r="903" spans="1:14">
      <c r="A903" s="21">
        <v>2023</v>
      </c>
      <c r="B903" s="21" t="s">
        <v>23</v>
      </c>
      <c r="C903" s="21" t="s">
        <v>1145</v>
      </c>
      <c r="D903" s="21" t="s">
        <v>35</v>
      </c>
      <c r="E903" s="17" t="s">
        <v>259</v>
      </c>
      <c r="F903" s="18" t="s">
        <v>105</v>
      </c>
      <c r="G903" s="18" t="s">
        <v>48</v>
      </c>
      <c r="H903" s="24">
        <v>7340</v>
      </c>
      <c r="I903" s="24">
        <f>T_reg.root.SK[[#This Row],[Volume, kg]]/1000</f>
        <v>7.34</v>
      </c>
      <c r="J903" s="25">
        <v>0.161</v>
      </c>
      <c r="K903" s="25">
        <f t="shared" si="14"/>
        <v>1181.74</v>
      </c>
      <c r="L903" s="25">
        <v>3</v>
      </c>
      <c r="M903" s="24">
        <v>22020</v>
      </c>
      <c r="N903" s="25">
        <f>IFERROR(T_reg.root.SK[[#This Row],[Price]]/T_reg.root.SK[[#This Row],[Starch content]],"")</f>
        <v>18.633540372670808</v>
      </c>
    </row>
    <row r="904" spans="1:14">
      <c r="A904" s="21">
        <v>2023</v>
      </c>
      <c r="B904" s="21" t="s">
        <v>23</v>
      </c>
      <c r="C904" s="21" t="s">
        <v>1145</v>
      </c>
      <c r="D904" s="21" t="s">
        <v>35</v>
      </c>
      <c r="E904" s="17" t="s">
        <v>329</v>
      </c>
      <c r="F904" s="18" t="s">
        <v>105</v>
      </c>
      <c r="G904" s="18" t="s">
        <v>48</v>
      </c>
      <c r="H904" s="24">
        <v>44660</v>
      </c>
      <c r="I904" s="24">
        <f>T_reg.root.SK[[#This Row],[Volume, kg]]/1000</f>
        <v>44.66</v>
      </c>
      <c r="J904" s="25">
        <v>0.18379999999999999</v>
      </c>
      <c r="K904" s="25">
        <f t="shared" si="14"/>
        <v>8208.5079999999998</v>
      </c>
      <c r="L904" s="25">
        <v>3.1</v>
      </c>
      <c r="M904" s="24">
        <v>138520</v>
      </c>
      <c r="N904" s="25">
        <f>IFERROR(T_reg.root.SK[[#This Row],[Price]]/T_reg.root.SK[[#This Row],[Starch content]],"")</f>
        <v>16.866158868335148</v>
      </c>
    </row>
    <row r="905" spans="1:14">
      <c r="A905" s="21">
        <v>2023</v>
      </c>
      <c r="B905" s="21" t="s">
        <v>23</v>
      </c>
      <c r="C905" s="21" t="s">
        <v>1145</v>
      </c>
      <c r="D905" s="21" t="s">
        <v>35</v>
      </c>
      <c r="E905" s="17" t="s">
        <v>179</v>
      </c>
      <c r="F905" s="18" t="s">
        <v>105</v>
      </c>
      <c r="G905" s="18" t="s">
        <v>48</v>
      </c>
      <c r="H905" s="24">
        <v>46060</v>
      </c>
      <c r="I905" s="24">
        <f>T_reg.root.SK[[#This Row],[Volume, kg]]/1000</f>
        <v>46.06</v>
      </c>
      <c r="J905" s="25">
        <v>0.1865</v>
      </c>
      <c r="K905" s="25">
        <f t="shared" si="14"/>
        <v>8590.19</v>
      </c>
      <c r="L905" s="25">
        <v>3.05</v>
      </c>
      <c r="M905" s="24">
        <v>140301.5</v>
      </c>
      <c r="N905" s="25">
        <f>IFERROR(T_reg.root.SK[[#This Row],[Price]]/T_reg.root.SK[[#This Row],[Starch content]],"")</f>
        <v>16.353887399463805</v>
      </c>
    </row>
    <row r="906" spans="1:14">
      <c r="A906" s="21">
        <v>2023</v>
      </c>
      <c r="B906" s="21" t="s">
        <v>23</v>
      </c>
      <c r="C906" s="21" t="s">
        <v>1145</v>
      </c>
      <c r="D906" s="21" t="s">
        <v>35</v>
      </c>
      <c r="E906" s="17" t="s">
        <v>181</v>
      </c>
      <c r="F906" s="18" t="s">
        <v>105</v>
      </c>
      <c r="G906" s="18" t="s">
        <v>48</v>
      </c>
      <c r="H906" s="24">
        <v>293710</v>
      </c>
      <c r="I906" s="24">
        <f>T_reg.root.SK[[#This Row],[Volume, kg]]/1000</f>
        <v>293.70999999999998</v>
      </c>
      <c r="J906" s="25">
        <v>0.19329999999999997</v>
      </c>
      <c r="K906" s="25">
        <f t="shared" si="14"/>
        <v>56774.142999999989</v>
      </c>
      <c r="L906" s="25">
        <v>3.12</v>
      </c>
      <c r="M906" s="24">
        <v>917124</v>
      </c>
      <c r="N906" s="25">
        <f>IFERROR(T_reg.root.SK[[#This Row],[Price]]/T_reg.root.SK[[#This Row],[Starch content]],"")</f>
        <v>16.14071391619245</v>
      </c>
    </row>
    <row r="907" spans="1:14">
      <c r="A907" s="21">
        <v>2023</v>
      </c>
      <c r="B907" s="21" t="s">
        <v>23</v>
      </c>
      <c r="C907" s="21" t="s">
        <v>1145</v>
      </c>
      <c r="D907" s="21" t="s">
        <v>35</v>
      </c>
      <c r="E907" s="17" t="s">
        <v>509</v>
      </c>
      <c r="F907" s="18" t="s">
        <v>105</v>
      </c>
      <c r="G907" s="18" t="s">
        <v>48</v>
      </c>
      <c r="H907" s="24">
        <v>26290</v>
      </c>
      <c r="I907" s="24">
        <f>T_reg.root.SK[[#This Row],[Volume, kg]]/1000</f>
        <v>26.29</v>
      </c>
      <c r="J907" s="25">
        <v>0.1938</v>
      </c>
      <c r="K907" s="25">
        <f t="shared" si="14"/>
        <v>5095.0020000000004</v>
      </c>
      <c r="L907" s="25">
        <v>2.97</v>
      </c>
      <c r="M907" s="24">
        <v>78040.5</v>
      </c>
      <c r="N907" s="25">
        <f>IFERROR(T_reg.root.SK[[#This Row],[Price]]/T_reg.root.SK[[#This Row],[Starch content]],"")</f>
        <v>15.325077399380806</v>
      </c>
    </row>
    <row r="908" spans="1:14">
      <c r="A908" s="21">
        <v>2023</v>
      </c>
      <c r="B908" s="21" t="s">
        <v>23</v>
      </c>
      <c r="C908" s="21" t="s">
        <v>1145</v>
      </c>
      <c r="D908" s="21" t="s">
        <v>35</v>
      </c>
      <c r="E908" s="17" t="s">
        <v>183</v>
      </c>
      <c r="F908" s="18" t="s">
        <v>105</v>
      </c>
      <c r="G908" s="18" t="s">
        <v>48</v>
      </c>
      <c r="H908" s="24">
        <v>60520</v>
      </c>
      <c r="I908" s="24">
        <f>T_reg.root.SK[[#This Row],[Volume, kg]]/1000</f>
        <v>60.52</v>
      </c>
      <c r="J908" s="25">
        <v>0.22149999999999997</v>
      </c>
      <c r="K908" s="25">
        <f t="shared" si="14"/>
        <v>13405.179999999998</v>
      </c>
      <c r="L908" s="25">
        <v>3.31</v>
      </c>
      <c r="M908" s="24">
        <v>200271</v>
      </c>
      <c r="N908" s="25">
        <f>IFERROR(T_reg.root.SK[[#This Row],[Price]]/T_reg.root.SK[[#This Row],[Starch content]],"")</f>
        <v>14.943566591422124</v>
      </c>
    </row>
    <row r="909" spans="1:14">
      <c r="A909" s="21">
        <v>2023</v>
      </c>
      <c r="B909" s="21" t="s">
        <v>23</v>
      </c>
      <c r="C909" s="21" t="s">
        <v>1145</v>
      </c>
      <c r="D909" s="21" t="s">
        <v>35</v>
      </c>
      <c r="E909" s="17" t="s">
        <v>186</v>
      </c>
      <c r="F909" s="18" t="s">
        <v>187</v>
      </c>
      <c r="G909" s="18" t="s">
        <v>48</v>
      </c>
      <c r="H909" s="24">
        <v>22600</v>
      </c>
      <c r="I909" s="24">
        <f>T_reg.root.SK[[#This Row],[Volume, kg]]/1000</f>
        <v>22.6</v>
      </c>
      <c r="J909" s="25">
        <v>0.22089999999999999</v>
      </c>
      <c r="K909" s="25">
        <f t="shared" si="14"/>
        <v>4992.3399999999992</v>
      </c>
      <c r="L909" s="25">
        <v>3.3</v>
      </c>
      <c r="M909" s="24">
        <v>74582</v>
      </c>
      <c r="N909" s="25">
        <f>IFERROR(T_reg.root.SK[[#This Row],[Price]]/T_reg.root.SK[[#This Row],[Starch content]],"")</f>
        <v>14.938886373924854</v>
      </c>
    </row>
    <row r="910" spans="1:14">
      <c r="A910" s="21">
        <v>2023</v>
      </c>
      <c r="B910" s="21" t="s">
        <v>23</v>
      </c>
      <c r="C910" s="21" t="s">
        <v>1145</v>
      </c>
      <c r="D910" s="21" t="s">
        <v>35</v>
      </c>
      <c r="E910" s="17" t="s">
        <v>510</v>
      </c>
      <c r="F910" s="18" t="s">
        <v>187</v>
      </c>
      <c r="G910" s="18" t="s">
        <v>48</v>
      </c>
      <c r="H910" s="24">
        <v>42610</v>
      </c>
      <c r="I910" s="24">
        <f>T_reg.root.SK[[#This Row],[Volume, kg]]/1000</f>
        <v>42.61</v>
      </c>
      <c r="J910" s="25">
        <v>0.19600000000000001</v>
      </c>
      <c r="K910" s="25">
        <f t="shared" si="14"/>
        <v>8351.56</v>
      </c>
      <c r="L910" s="25">
        <v>3.13</v>
      </c>
      <c r="M910" s="24">
        <v>133262</v>
      </c>
      <c r="N910" s="25">
        <f>IFERROR(T_reg.root.SK[[#This Row],[Price]]/T_reg.root.SK[[#This Row],[Starch content]],"")</f>
        <v>15.969387755102039</v>
      </c>
    </row>
    <row r="911" spans="1:14">
      <c r="A911" s="21">
        <v>2023</v>
      </c>
      <c r="B911" s="21" t="s">
        <v>23</v>
      </c>
      <c r="C911" s="21" t="s">
        <v>1145</v>
      </c>
      <c r="D911" s="21" t="s">
        <v>35</v>
      </c>
      <c r="E911" s="17" t="s">
        <v>406</v>
      </c>
      <c r="F911" s="18" t="s">
        <v>187</v>
      </c>
      <c r="G911" s="18" t="s">
        <v>48</v>
      </c>
      <c r="H911" s="24">
        <v>16210</v>
      </c>
      <c r="I911" s="24">
        <f>T_reg.root.SK[[#This Row],[Volume, kg]]/1000</f>
        <v>16.21</v>
      </c>
      <c r="J911" s="25">
        <v>0.249</v>
      </c>
      <c r="K911" s="25">
        <f t="shared" si="14"/>
        <v>4036.29</v>
      </c>
      <c r="L911" s="25">
        <v>3.4</v>
      </c>
      <c r="M911" s="24">
        <v>55167.5</v>
      </c>
      <c r="N911" s="25">
        <f>IFERROR(T_reg.root.SK[[#This Row],[Price]]/T_reg.root.SK[[#This Row],[Starch content]],"")</f>
        <v>13.654618473895582</v>
      </c>
    </row>
    <row r="912" spans="1:14">
      <c r="A912" s="21">
        <v>2023</v>
      </c>
      <c r="B912" s="21" t="s">
        <v>23</v>
      </c>
      <c r="C912" s="21" t="s">
        <v>1145</v>
      </c>
      <c r="D912" s="21" t="s">
        <v>35</v>
      </c>
      <c r="E912" s="17" t="s">
        <v>370</v>
      </c>
      <c r="F912" s="18" t="s">
        <v>187</v>
      </c>
      <c r="G912" s="18" t="s">
        <v>48</v>
      </c>
      <c r="H912" s="24">
        <v>15990</v>
      </c>
      <c r="I912" s="24">
        <f>T_reg.root.SK[[#This Row],[Volume, kg]]/1000</f>
        <v>15.99</v>
      </c>
      <c r="J912" s="25">
        <v>0.15909999999999999</v>
      </c>
      <c r="K912" s="25">
        <f t="shared" si="14"/>
        <v>2544.009</v>
      </c>
      <c r="L912" s="25">
        <v>2.95</v>
      </c>
      <c r="M912" s="24">
        <v>47121</v>
      </c>
      <c r="N912" s="25">
        <f>IFERROR(T_reg.root.SK[[#This Row],[Price]]/T_reg.root.SK[[#This Row],[Starch content]],"")</f>
        <v>18.541797611565055</v>
      </c>
    </row>
    <row r="913" spans="1:14">
      <c r="A913" s="21">
        <v>2023</v>
      </c>
      <c r="B913" s="21" t="s">
        <v>23</v>
      </c>
      <c r="C913" s="21" t="s">
        <v>1145</v>
      </c>
      <c r="D913" s="21" t="s">
        <v>35</v>
      </c>
      <c r="E913" s="17" t="s">
        <v>511</v>
      </c>
      <c r="F913" s="18" t="s">
        <v>187</v>
      </c>
      <c r="G913" s="18" t="s">
        <v>48</v>
      </c>
      <c r="H913" s="24">
        <v>19420</v>
      </c>
      <c r="I913" s="24">
        <f>T_reg.root.SK[[#This Row],[Volume, kg]]/1000</f>
        <v>19.420000000000002</v>
      </c>
      <c r="J913" s="25">
        <v>0.17910000000000001</v>
      </c>
      <c r="K913" s="25">
        <f t="shared" si="14"/>
        <v>3478.1220000000003</v>
      </c>
      <c r="L913" s="25">
        <v>3.05</v>
      </c>
      <c r="M913" s="24">
        <v>59148</v>
      </c>
      <c r="N913" s="25">
        <f>IFERROR(T_reg.root.SK[[#This Row],[Price]]/T_reg.root.SK[[#This Row],[Starch content]],"")</f>
        <v>17.029592406476826</v>
      </c>
    </row>
    <row r="914" spans="1:14">
      <c r="A914" s="21">
        <v>2023</v>
      </c>
      <c r="B914" s="21" t="s">
        <v>23</v>
      </c>
      <c r="C914" s="21" t="s">
        <v>1145</v>
      </c>
      <c r="D914" s="21" t="s">
        <v>35</v>
      </c>
      <c r="E914" s="17" t="s">
        <v>512</v>
      </c>
      <c r="F914" s="18" t="s">
        <v>187</v>
      </c>
      <c r="G914" s="18" t="s">
        <v>48</v>
      </c>
      <c r="H914" s="24">
        <v>45190</v>
      </c>
      <c r="I914" s="24">
        <f>T_reg.root.SK[[#This Row],[Volume, kg]]/1000</f>
        <v>45.19</v>
      </c>
      <c r="J914" s="25">
        <v>0.19420000000000001</v>
      </c>
      <c r="K914" s="25">
        <f t="shared" si="14"/>
        <v>8775.898000000001</v>
      </c>
      <c r="L914" s="25">
        <v>3.13</v>
      </c>
      <c r="M914" s="24">
        <v>141220</v>
      </c>
      <c r="N914" s="25">
        <f>IFERROR(T_reg.root.SK[[#This Row],[Price]]/T_reg.root.SK[[#This Row],[Starch content]],"")</f>
        <v>16.117404737384138</v>
      </c>
    </row>
    <row r="915" spans="1:14">
      <c r="A915" s="21">
        <v>2023</v>
      </c>
      <c r="B915" s="21" t="s">
        <v>23</v>
      </c>
      <c r="C915" s="21" t="s">
        <v>1145</v>
      </c>
      <c r="D915" s="21" t="s">
        <v>35</v>
      </c>
      <c r="E915" s="17" t="s">
        <v>261</v>
      </c>
      <c r="F915" s="18" t="s">
        <v>187</v>
      </c>
      <c r="G915" s="18" t="s">
        <v>48</v>
      </c>
      <c r="H915" s="24">
        <v>207430</v>
      </c>
      <c r="I915" s="24">
        <f>T_reg.root.SK[[#This Row],[Volume, kg]]/1000</f>
        <v>207.43</v>
      </c>
      <c r="J915" s="25">
        <v>0.20420000000000002</v>
      </c>
      <c r="K915" s="25">
        <f t="shared" si="14"/>
        <v>42357.206000000006</v>
      </c>
      <c r="L915" s="25">
        <v>3.19</v>
      </c>
      <c r="M915" s="24">
        <v>660866</v>
      </c>
      <c r="N915" s="25">
        <f>IFERROR(T_reg.root.SK[[#This Row],[Price]]/T_reg.root.SK[[#This Row],[Starch content]],"")</f>
        <v>15.62193927522037</v>
      </c>
    </row>
    <row r="916" spans="1:14">
      <c r="A916" s="21">
        <v>2023</v>
      </c>
      <c r="B916" s="21" t="s">
        <v>23</v>
      </c>
      <c r="C916" s="21" t="s">
        <v>1145</v>
      </c>
      <c r="D916" s="21" t="s">
        <v>35</v>
      </c>
      <c r="E916" s="17" t="s">
        <v>192</v>
      </c>
      <c r="F916" s="18" t="s">
        <v>187</v>
      </c>
      <c r="G916" s="18" t="s">
        <v>48</v>
      </c>
      <c r="H916" s="24">
        <v>0</v>
      </c>
      <c r="I916" s="24">
        <f>T_reg.root.SK[[#This Row],[Volume, kg]]/1000</f>
        <v>0</v>
      </c>
      <c r="J916" s="25">
        <v>0</v>
      </c>
      <c r="K916" s="25">
        <f t="shared" si="14"/>
        <v>0</v>
      </c>
      <c r="L916" s="25">
        <v>0</v>
      </c>
      <c r="M916" s="24">
        <v>0</v>
      </c>
      <c r="N916" s="25" t="str">
        <f>IFERROR(T_reg.root.SK[[#This Row],[Price]]/T_reg.root.SK[[#This Row],[Starch content]],"")</f>
        <v/>
      </c>
    </row>
    <row r="917" spans="1:14">
      <c r="A917" s="21">
        <v>2023</v>
      </c>
      <c r="B917" s="21" t="s">
        <v>23</v>
      </c>
      <c r="C917" s="21" t="s">
        <v>1145</v>
      </c>
      <c r="D917" s="21" t="s">
        <v>35</v>
      </c>
      <c r="E917" s="17" t="s">
        <v>513</v>
      </c>
      <c r="F917" s="18" t="s">
        <v>187</v>
      </c>
      <c r="G917" s="18" t="s">
        <v>48</v>
      </c>
      <c r="H917" s="24">
        <v>16720</v>
      </c>
      <c r="I917" s="24">
        <f>T_reg.root.SK[[#This Row],[Volume, kg]]/1000</f>
        <v>16.72</v>
      </c>
      <c r="J917" s="25">
        <v>0.1726</v>
      </c>
      <c r="K917" s="25">
        <f t="shared" si="14"/>
        <v>2885.8719999999998</v>
      </c>
      <c r="L917" s="25">
        <v>3</v>
      </c>
      <c r="M917" s="24">
        <v>50230</v>
      </c>
      <c r="N917" s="25">
        <f>IFERROR(T_reg.root.SK[[#This Row],[Price]]/T_reg.root.SK[[#This Row],[Starch content]],"")</f>
        <v>17.381228273464657</v>
      </c>
    </row>
    <row r="918" spans="1:14">
      <c r="A918" s="21">
        <v>2023</v>
      </c>
      <c r="B918" s="21" t="s">
        <v>23</v>
      </c>
      <c r="C918" s="21" t="s">
        <v>1145</v>
      </c>
      <c r="D918" s="21" t="s">
        <v>35</v>
      </c>
      <c r="E918" s="17" t="s">
        <v>514</v>
      </c>
      <c r="F918" s="18" t="s">
        <v>187</v>
      </c>
      <c r="G918" s="18" t="s">
        <v>48</v>
      </c>
      <c r="H918" s="24">
        <v>5870</v>
      </c>
      <c r="I918" s="24">
        <f>T_reg.root.SK[[#This Row],[Volume, kg]]/1000</f>
        <v>5.87</v>
      </c>
      <c r="J918" s="25">
        <v>0.21</v>
      </c>
      <c r="K918" s="25">
        <f t="shared" si="14"/>
        <v>1232.7</v>
      </c>
      <c r="L918" s="25">
        <v>3.3</v>
      </c>
      <c r="M918" s="24">
        <v>19371</v>
      </c>
      <c r="N918" s="25">
        <f>IFERROR(T_reg.root.SK[[#This Row],[Price]]/T_reg.root.SK[[#This Row],[Starch content]],"")</f>
        <v>15.714285714285714</v>
      </c>
    </row>
    <row r="919" spans="1:14">
      <c r="A919" s="21">
        <v>2023</v>
      </c>
      <c r="B919" s="21" t="s">
        <v>23</v>
      </c>
      <c r="C919" s="21" t="s">
        <v>1145</v>
      </c>
      <c r="D919" s="21" t="s">
        <v>35</v>
      </c>
      <c r="E919" s="17" t="s">
        <v>193</v>
      </c>
      <c r="F919" s="18" t="s">
        <v>187</v>
      </c>
      <c r="G919" s="18" t="s">
        <v>48</v>
      </c>
      <c r="H919" s="24">
        <v>9380</v>
      </c>
      <c r="I919" s="24">
        <f>T_reg.root.SK[[#This Row],[Volume, kg]]/1000</f>
        <v>9.3800000000000008</v>
      </c>
      <c r="J919" s="25">
        <v>0.17800000000000002</v>
      </c>
      <c r="K919" s="25">
        <f t="shared" si="14"/>
        <v>1669.64</v>
      </c>
      <c r="L919" s="25">
        <v>3.05</v>
      </c>
      <c r="M919" s="24">
        <v>28609</v>
      </c>
      <c r="N919" s="25">
        <f>IFERROR(T_reg.root.SK[[#This Row],[Price]]/T_reg.root.SK[[#This Row],[Starch content]],"")</f>
        <v>17.134831460674153</v>
      </c>
    </row>
    <row r="920" spans="1:14">
      <c r="A920" s="21">
        <v>2023</v>
      </c>
      <c r="B920" s="21" t="s">
        <v>23</v>
      </c>
      <c r="C920" s="21" t="s">
        <v>1145</v>
      </c>
      <c r="D920" s="21" t="s">
        <v>35</v>
      </c>
      <c r="E920" s="17" t="s">
        <v>262</v>
      </c>
      <c r="F920" s="18" t="s">
        <v>187</v>
      </c>
      <c r="G920" s="18" t="s">
        <v>48</v>
      </c>
      <c r="H920" s="24">
        <v>16960</v>
      </c>
      <c r="I920" s="24">
        <f>T_reg.root.SK[[#This Row],[Volume, kg]]/1000</f>
        <v>16.96</v>
      </c>
      <c r="J920" s="25">
        <v>0.21600000000000003</v>
      </c>
      <c r="K920" s="25">
        <f t="shared" si="14"/>
        <v>3663.3600000000006</v>
      </c>
      <c r="L920" s="25">
        <v>3.24</v>
      </c>
      <c r="M920" s="24">
        <v>55033.5</v>
      </c>
      <c r="N920" s="25">
        <f>IFERROR(T_reg.root.SK[[#This Row],[Price]]/T_reg.root.SK[[#This Row],[Starch content]],"")</f>
        <v>15</v>
      </c>
    </row>
    <row r="921" spans="1:14">
      <c r="A921" s="21">
        <v>2023</v>
      </c>
      <c r="B921" s="21" t="s">
        <v>23</v>
      </c>
      <c r="C921" s="21" t="s">
        <v>1145</v>
      </c>
      <c r="D921" s="21" t="s">
        <v>35</v>
      </c>
      <c r="E921" s="17" t="s">
        <v>515</v>
      </c>
      <c r="F921" s="18" t="s">
        <v>187</v>
      </c>
      <c r="G921" s="18" t="s">
        <v>48</v>
      </c>
      <c r="H921" s="24">
        <v>14480</v>
      </c>
      <c r="I921" s="24">
        <f>T_reg.root.SK[[#This Row],[Volume, kg]]/1000</f>
        <v>14.48</v>
      </c>
      <c r="J921" s="25">
        <v>0.18379999999999999</v>
      </c>
      <c r="K921" s="25">
        <f t="shared" si="14"/>
        <v>2661.424</v>
      </c>
      <c r="L921" s="25">
        <v>3.05</v>
      </c>
      <c r="M921" s="24">
        <v>44164</v>
      </c>
      <c r="N921" s="25">
        <f>IFERROR(T_reg.root.SK[[#This Row],[Price]]/T_reg.root.SK[[#This Row],[Starch content]],"")</f>
        <v>16.594124047878129</v>
      </c>
    </row>
    <row r="922" spans="1:14">
      <c r="A922" s="21">
        <v>2023</v>
      </c>
      <c r="B922" s="21" t="s">
        <v>23</v>
      </c>
      <c r="C922" s="21" t="s">
        <v>1145</v>
      </c>
      <c r="D922" s="21" t="s">
        <v>35</v>
      </c>
      <c r="E922" s="17" t="s">
        <v>194</v>
      </c>
      <c r="F922" s="18" t="s">
        <v>187</v>
      </c>
      <c r="G922" s="18" t="s">
        <v>48</v>
      </c>
      <c r="H922" s="24">
        <v>14340</v>
      </c>
      <c r="I922" s="24">
        <f>T_reg.root.SK[[#This Row],[Volume, kg]]/1000</f>
        <v>14.34</v>
      </c>
      <c r="J922" s="25">
        <v>0.2079</v>
      </c>
      <c r="K922" s="25">
        <f t="shared" si="14"/>
        <v>2981.2860000000001</v>
      </c>
      <c r="L922" s="25">
        <v>3.2</v>
      </c>
      <c r="M922" s="24">
        <v>45927</v>
      </c>
      <c r="N922" s="25">
        <f>IFERROR(T_reg.root.SK[[#This Row],[Price]]/T_reg.root.SK[[#This Row],[Starch content]],"")</f>
        <v>15.392015392015393</v>
      </c>
    </row>
    <row r="923" spans="1:14">
      <c r="A923" s="21">
        <v>2023</v>
      </c>
      <c r="B923" s="21" t="s">
        <v>23</v>
      </c>
      <c r="C923" s="21" t="s">
        <v>1145</v>
      </c>
      <c r="D923" s="21" t="s">
        <v>35</v>
      </c>
      <c r="E923" s="17" t="s">
        <v>263</v>
      </c>
      <c r="F923" s="18" t="s">
        <v>187</v>
      </c>
      <c r="G923" s="18" t="s">
        <v>48</v>
      </c>
      <c r="H923" s="24">
        <v>59520</v>
      </c>
      <c r="I923" s="24">
        <f>T_reg.root.SK[[#This Row],[Volume, kg]]/1000</f>
        <v>59.52</v>
      </c>
      <c r="J923" s="25">
        <v>0.2026</v>
      </c>
      <c r="K923" s="25">
        <f t="shared" si="14"/>
        <v>12058.752</v>
      </c>
      <c r="L923" s="25">
        <v>3.25</v>
      </c>
      <c r="M923" s="24">
        <v>193608</v>
      </c>
      <c r="N923" s="25">
        <f>IFERROR(T_reg.root.SK[[#This Row],[Price]]/T_reg.root.SK[[#This Row],[Starch content]],"")</f>
        <v>16.041461006910168</v>
      </c>
    </row>
    <row r="924" spans="1:14">
      <c r="A924" s="21">
        <v>2023</v>
      </c>
      <c r="B924" s="21" t="s">
        <v>23</v>
      </c>
      <c r="C924" s="21" t="s">
        <v>1145</v>
      </c>
      <c r="D924" s="21" t="s">
        <v>35</v>
      </c>
      <c r="E924" s="17" t="s">
        <v>195</v>
      </c>
      <c r="F924" s="18" t="s">
        <v>187</v>
      </c>
      <c r="G924" s="18" t="s">
        <v>48</v>
      </c>
      <c r="H924" s="24">
        <v>2660</v>
      </c>
      <c r="I924" s="24">
        <f>T_reg.root.SK[[#This Row],[Volume, kg]]/1000</f>
        <v>2.66</v>
      </c>
      <c r="J924" s="25">
        <v>0.18600000000000003</v>
      </c>
      <c r="K924" s="25">
        <f t="shared" si="14"/>
        <v>494.76000000000005</v>
      </c>
      <c r="L924" s="25">
        <v>3.1</v>
      </c>
      <c r="M924" s="24">
        <v>8246</v>
      </c>
      <c r="N924" s="25">
        <f>IFERROR(T_reg.root.SK[[#This Row],[Price]]/T_reg.root.SK[[#This Row],[Starch content]],"")</f>
        <v>16.666666666666664</v>
      </c>
    </row>
    <row r="925" spans="1:14">
      <c r="A925" s="21">
        <v>2023</v>
      </c>
      <c r="B925" s="21" t="s">
        <v>23</v>
      </c>
      <c r="C925" s="21" t="s">
        <v>1145</v>
      </c>
      <c r="D925" s="21" t="s">
        <v>35</v>
      </c>
      <c r="E925" s="17" t="s">
        <v>516</v>
      </c>
      <c r="F925" s="18" t="s">
        <v>187</v>
      </c>
      <c r="G925" s="18" t="s">
        <v>48</v>
      </c>
      <c r="H925" s="24">
        <v>93720</v>
      </c>
      <c r="I925" s="24">
        <f>T_reg.root.SK[[#This Row],[Volume, kg]]/1000</f>
        <v>93.72</v>
      </c>
      <c r="J925" s="25">
        <v>0.19170000000000001</v>
      </c>
      <c r="K925" s="25">
        <f t="shared" si="14"/>
        <v>17966.124</v>
      </c>
      <c r="L925" s="25">
        <v>3.11</v>
      </c>
      <c r="M925" s="24">
        <v>291717.5</v>
      </c>
      <c r="N925" s="25">
        <f>IFERROR(T_reg.root.SK[[#This Row],[Price]]/T_reg.root.SK[[#This Row],[Starch content]],"")</f>
        <v>16.223265519040165</v>
      </c>
    </row>
    <row r="926" spans="1:14">
      <c r="A926" s="21">
        <v>2023</v>
      </c>
      <c r="B926" s="21" t="s">
        <v>23</v>
      </c>
      <c r="C926" s="21" t="s">
        <v>1145</v>
      </c>
      <c r="D926" s="21" t="s">
        <v>35</v>
      </c>
      <c r="E926" s="17" t="s">
        <v>517</v>
      </c>
      <c r="F926" s="18" t="s">
        <v>187</v>
      </c>
      <c r="G926" s="18" t="s">
        <v>48</v>
      </c>
      <c r="H926" s="24">
        <v>4820</v>
      </c>
      <c r="I926" s="24">
        <f>T_reg.root.SK[[#This Row],[Volume, kg]]/1000</f>
        <v>4.82</v>
      </c>
      <c r="J926" s="25">
        <v>0.1855</v>
      </c>
      <c r="K926" s="25">
        <f t="shared" si="14"/>
        <v>894.11</v>
      </c>
      <c r="L926" s="25">
        <v>3.1</v>
      </c>
      <c r="M926" s="24">
        <v>14942</v>
      </c>
      <c r="N926" s="25">
        <f>IFERROR(T_reg.root.SK[[#This Row],[Price]]/T_reg.root.SK[[#This Row],[Starch content]],"")</f>
        <v>16.711590296495956</v>
      </c>
    </row>
    <row r="927" spans="1:14">
      <c r="A927" s="21">
        <v>2023</v>
      </c>
      <c r="B927" s="21" t="s">
        <v>23</v>
      </c>
      <c r="C927" s="21" t="s">
        <v>1145</v>
      </c>
      <c r="D927" s="21" t="s">
        <v>35</v>
      </c>
      <c r="E927" s="17" t="s">
        <v>518</v>
      </c>
      <c r="F927" s="18" t="s">
        <v>187</v>
      </c>
      <c r="G927" s="18" t="s">
        <v>48</v>
      </c>
      <c r="H927" s="24">
        <v>15830</v>
      </c>
      <c r="I927" s="24">
        <f>T_reg.root.SK[[#This Row],[Volume, kg]]/1000</f>
        <v>15.83</v>
      </c>
      <c r="J927" s="25">
        <v>0.21479999999999999</v>
      </c>
      <c r="K927" s="25">
        <f t="shared" si="14"/>
        <v>3400.2839999999997</v>
      </c>
      <c r="L927" s="25">
        <v>3.23</v>
      </c>
      <c r="M927" s="24">
        <v>51152.5</v>
      </c>
      <c r="N927" s="25">
        <f>IFERROR(T_reg.root.SK[[#This Row],[Price]]/T_reg.root.SK[[#This Row],[Starch content]],"")</f>
        <v>15.037243947858473</v>
      </c>
    </row>
    <row r="928" spans="1:14">
      <c r="A928" s="21">
        <v>2023</v>
      </c>
      <c r="B928" s="21" t="s">
        <v>23</v>
      </c>
      <c r="C928" s="21" t="s">
        <v>1145</v>
      </c>
      <c r="D928" s="21" t="s">
        <v>35</v>
      </c>
      <c r="E928" s="17" t="s">
        <v>519</v>
      </c>
      <c r="F928" s="18" t="s">
        <v>187</v>
      </c>
      <c r="G928" s="18" t="s">
        <v>48</v>
      </c>
      <c r="H928" s="24">
        <v>12480</v>
      </c>
      <c r="I928" s="24">
        <f>T_reg.root.SK[[#This Row],[Volume, kg]]/1000</f>
        <v>12.48</v>
      </c>
      <c r="J928" s="25">
        <v>0.19469999999999998</v>
      </c>
      <c r="K928" s="25">
        <f t="shared" si="14"/>
        <v>2429.8559999999998</v>
      </c>
      <c r="L928" s="25">
        <v>3.14</v>
      </c>
      <c r="M928" s="24">
        <v>39165</v>
      </c>
      <c r="N928" s="25">
        <f>IFERROR(T_reg.root.SK[[#This Row],[Price]]/T_reg.root.SK[[#This Row],[Starch content]],"")</f>
        <v>16.12737544940935</v>
      </c>
    </row>
    <row r="929" spans="1:14">
      <c r="A929" s="21">
        <v>2023</v>
      </c>
      <c r="B929" s="21" t="s">
        <v>23</v>
      </c>
      <c r="C929" s="21" t="s">
        <v>1145</v>
      </c>
      <c r="D929" s="21" t="s">
        <v>35</v>
      </c>
      <c r="E929" s="17" t="s">
        <v>520</v>
      </c>
      <c r="F929" s="18" t="s">
        <v>187</v>
      </c>
      <c r="G929" s="18" t="s">
        <v>48</v>
      </c>
      <c r="H929" s="24">
        <v>48580</v>
      </c>
      <c r="I929" s="24">
        <f>T_reg.root.SK[[#This Row],[Volume, kg]]/1000</f>
        <v>48.58</v>
      </c>
      <c r="J929" s="25">
        <v>0.19589999999999999</v>
      </c>
      <c r="K929" s="25">
        <f t="shared" si="14"/>
        <v>9516.8220000000001</v>
      </c>
      <c r="L929" s="25">
        <v>3.13</v>
      </c>
      <c r="M929" s="24">
        <v>152095</v>
      </c>
      <c r="N929" s="25">
        <f>IFERROR(T_reg.root.SK[[#This Row],[Price]]/T_reg.root.SK[[#This Row],[Starch content]],"")</f>
        <v>15.97753956100051</v>
      </c>
    </row>
    <row r="930" spans="1:14">
      <c r="A930" s="21">
        <v>2023</v>
      </c>
      <c r="B930" s="21" t="s">
        <v>23</v>
      </c>
      <c r="C930" s="21" t="s">
        <v>1145</v>
      </c>
      <c r="D930" s="21" t="s">
        <v>35</v>
      </c>
      <c r="E930" s="17" t="s">
        <v>521</v>
      </c>
      <c r="F930" s="18" t="s">
        <v>187</v>
      </c>
      <c r="G930" s="18" t="s">
        <v>48</v>
      </c>
      <c r="H930" s="24">
        <v>12820</v>
      </c>
      <c r="I930" s="24">
        <f>T_reg.root.SK[[#This Row],[Volume, kg]]/1000</f>
        <v>12.82</v>
      </c>
      <c r="J930" s="25">
        <v>0.185</v>
      </c>
      <c r="K930" s="25">
        <f t="shared" si="14"/>
        <v>2371.6999999999998</v>
      </c>
      <c r="L930" s="25">
        <v>3.25</v>
      </c>
      <c r="M930" s="24">
        <v>41665</v>
      </c>
      <c r="N930" s="25">
        <f>IFERROR(T_reg.root.SK[[#This Row],[Price]]/T_reg.root.SK[[#This Row],[Starch content]],"")</f>
        <v>17.567567567567568</v>
      </c>
    </row>
    <row r="931" spans="1:14">
      <c r="A931" s="21">
        <v>2023</v>
      </c>
      <c r="B931" s="21" t="s">
        <v>23</v>
      </c>
      <c r="C931" s="21" t="s">
        <v>1145</v>
      </c>
      <c r="D931" s="21" t="s">
        <v>35</v>
      </c>
      <c r="E931" s="17" t="s">
        <v>522</v>
      </c>
      <c r="F931" s="18" t="s">
        <v>187</v>
      </c>
      <c r="G931" s="18" t="s">
        <v>48</v>
      </c>
      <c r="H931" s="24">
        <v>7480</v>
      </c>
      <c r="I931" s="24">
        <f>T_reg.root.SK[[#This Row],[Volume, kg]]/1000</f>
        <v>7.48</v>
      </c>
      <c r="J931" s="25">
        <v>0.20399999999999999</v>
      </c>
      <c r="K931" s="25">
        <f t="shared" si="14"/>
        <v>1525.9199999999998</v>
      </c>
      <c r="L931" s="25">
        <v>3.15</v>
      </c>
      <c r="M931" s="24">
        <v>23562</v>
      </c>
      <c r="N931" s="25">
        <f>IFERROR(T_reg.root.SK[[#This Row],[Price]]/T_reg.root.SK[[#This Row],[Starch content]],"")</f>
        <v>15.441176470588236</v>
      </c>
    </row>
    <row r="932" spans="1:14">
      <c r="A932" s="21">
        <v>2023</v>
      </c>
      <c r="B932" s="21" t="s">
        <v>23</v>
      </c>
      <c r="C932" s="21" t="s">
        <v>1145</v>
      </c>
      <c r="D932" s="21" t="s">
        <v>35</v>
      </c>
      <c r="E932" s="17" t="s">
        <v>523</v>
      </c>
      <c r="F932" s="18" t="s">
        <v>187</v>
      </c>
      <c r="G932" s="18" t="s">
        <v>48</v>
      </c>
      <c r="H932" s="24">
        <v>9430</v>
      </c>
      <c r="I932" s="24">
        <f>T_reg.root.SK[[#This Row],[Volume, kg]]/1000</f>
        <v>9.43</v>
      </c>
      <c r="J932" s="25">
        <v>0.184</v>
      </c>
      <c r="K932" s="25">
        <f t="shared" si="14"/>
        <v>1735.12</v>
      </c>
      <c r="L932" s="25">
        <v>3.15</v>
      </c>
      <c r="M932" s="24">
        <v>29704.5</v>
      </c>
      <c r="N932" s="25">
        <f>IFERROR(T_reg.root.SK[[#This Row],[Price]]/T_reg.root.SK[[#This Row],[Starch content]],"")</f>
        <v>17.119565217391305</v>
      </c>
    </row>
    <row r="933" spans="1:14">
      <c r="A933" s="21">
        <v>2023</v>
      </c>
      <c r="B933" s="21" t="s">
        <v>23</v>
      </c>
      <c r="C933" s="21" t="s">
        <v>1145</v>
      </c>
      <c r="D933" s="21" t="s">
        <v>35</v>
      </c>
      <c r="E933" s="17" t="s">
        <v>197</v>
      </c>
      <c r="F933" s="18" t="s">
        <v>187</v>
      </c>
      <c r="G933" s="18" t="s">
        <v>48</v>
      </c>
      <c r="H933" s="24">
        <v>6410</v>
      </c>
      <c r="I933" s="24">
        <f>T_reg.root.SK[[#This Row],[Volume, kg]]/1000</f>
        <v>6.41</v>
      </c>
      <c r="J933" s="25">
        <v>0.2445</v>
      </c>
      <c r="K933" s="25">
        <f t="shared" si="14"/>
        <v>1567.2449999999999</v>
      </c>
      <c r="L933" s="25">
        <v>3.35</v>
      </c>
      <c r="M933" s="24">
        <v>21473.5</v>
      </c>
      <c r="N933" s="25">
        <f>IFERROR(T_reg.root.SK[[#This Row],[Price]]/T_reg.root.SK[[#This Row],[Starch content]],"")</f>
        <v>13.701431492842536</v>
      </c>
    </row>
    <row r="934" spans="1:14">
      <c r="A934" s="21">
        <v>2023</v>
      </c>
      <c r="B934" s="21" t="s">
        <v>23</v>
      </c>
      <c r="C934" s="21" t="s">
        <v>1145</v>
      </c>
      <c r="D934" s="21" t="s">
        <v>35</v>
      </c>
      <c r="E934" s="17" t="s">
        <v>524</v>
      </c>
      <c r="F934" s="18" t="s">
        <v>187</v>
      </c>
      <c r="G934" s="18" t="s">
        <v>48</v>
      </c>
      <c r="H934" s="24">
        <v>4110</v>
      </c>
      <c r="I934" s="24">
        <f>T_reg.root.SK[[#This Row],[Volume, kg]]/1000</f>
        <v>4.1100000000000003</v>
      </c>
      <c r="J934" s="25">
        <v>0.22</v>
      </c>
      <c r="K934" s="25">
        <f t="shared" si="14"/>
        <v>904.2</v>
      </c>
      <c r="L934" s="25">
        <v>3.25</v>
      </c>
      <c r="M934" s="24">
        <v>13357.5</v>
      </c>
      <c r="N934" s="25">
        <f>IFERROR(T_reg.root.SK[[#This Row],[Price]]/T_reg.root.SK[[#This Row],[Starch content]],"")</f>
        <v>14.772727272727273</v>
      </c>
    </row>
    <row r="935" spans="1:14">
      <c r="A935" s="21">
        <v>2023</v>
      </c>
      <c r="B935" s="21" t="s">
        <v>23</v>
      </c>
      <c r="C935" s="21" t="s">
        <v>1145</v>
      </c>
      <c r="D935" s="21" t="s">
        <v>35</v>
      </c>
      <c r="E935" s="17" t="s">
        <v>525</v>
      </c>
      <c r="F935" s="18" t="s">
        <v>187</v>
      </c>
      <c r="G935" s="18" t="s">
        <v>48</v>
      </c>
      <c r="H935" s="24">
        <v>98960</v>
      </c>
      <c r="I935" s="24">
        <f>T_reg.root.SK[[#This Row],[Volume, kg]]/1000</f>
        <v>98.96</v>
      </c>
      <c r="J935" s="25">
        <v>0.21559999999999999</v>
      </c>
      <c r="K935" s="25">
        <f t="shared" si="14"/>
        <v>21335.775999999998</v>
      </c>
      <c r="L935" s="25">
        <v>3.29</v>
      </c>
      <c r="M935" s="24">
        <v>325922</v>
      </c>
      <c r="N935" s="25">
        <f>IFERROR(T_reg.root.SK[[#This Row],[Price]]/T_reg.root.SK[[#This Row],[Starch content]],"")</f>
        <v>15.25974025974026</v>
      </c>
    </row>
    <row r="936" spans="1:14">
      <c r="A936" s="21">
        <v>2023</v>
      </c>
      <c r="B936" s="21" t="s">
        <v>23</v>
      </c>
      <c r="C936" s="21" t="s">
        <v>1145</v>
      </c>
      <c r="D936" s="21" t="s">
        <v>35</v>
      </c>
      <c r="E936" s="17" t="s">
        <v>372</v>
      </c>
      <c r="F936" s="18" t="s">
        <v>187</v>
      </c>
      <c r="G936" s="18" t="s">
        <v>48</v>
      </c>
      <c r="H936" s="24">
        <v>6420</v>
      </c>
      <c r="I936" s="24">
        <f>T_reg.root.SK[[#This Row],[Volume, kg]]/1000</f>
        <v>6.42</v>
      </c>
      <c r="J936" s="25">
        <v>0.19800000000000001</v>
      </c>
      <c r="K936" s="25">
        <f t="shared" si="14"/>
        <v>1271.1600000000001</v>
      </c>
      <c r="L936" s="25">
        <v>3.2</v>
      </c>
      <c r="M936" s="24">
        <v>20544</v>
      </c>
      <c r="N936" s="25">
        <f>IFERROR(T_reg.root.SK[[#This Row],[Price]]/T_reg.root.SK[[#This Row],[Starch content]],"")</f>
        <v>16.161616161616163</v>
      </c>
    </row>
    <row r="937" spans="1:14">
      <c r="A937" s="21">
        <v>2023</v>
      </c>
      <c r="B937" s="21" t="s">
        <v>23</v>
      </c>
      <c r="C937" s="21" t="s">
        <v>1145</v>
      </c>
      <c r="D937" s="21" t="s">
        <v>35</v>
      </c>
      <c r="E937" s="17" t="s">
        <v>199</v>
      </c>
      <c r="F937" s="18" t="s">
        <v>187</v>
      </c>
      <c r="G937" s="18" t="s">
        <v>48</v>
      </c>
      <c r="H937" s="24">
        <v>103750</v>
      </c>
      <c r="I937" s="24">
        <f>T_reg.root.SK[[#This Row],[Volume, kg]]/1000</f>
        <v>103.75</v>
      </c>
      <c r="J937" s="25">
        <v>0.20069999999999999</v>
      </c>
      <c r="K937" s="25">
        <f t="shared" si="14"/>
        <v>20822.625</v>
      </c>
      <c r="L937" s="25">
        <v>3.19</v>
      </c>
      <c r="M937" s="24">
        <v>331030.5</v>
      </c>
      <c r="N937" s="25">
        <f>IFERROR(T_reg.root.SK[[#This Row],[Price]]/T_reg.root.SK[[#This Row],[Starch content]],"")</f>
        <v>15.894369706028899</v>
      </c>
    </row>
    <row r="938" spans="1:14">
      <c r="A938" s="21">
        <v>2023</v>
      </c>
      <c r="B938" s="21" t="s">
        <v>23</v>
      </c>
      <c r="C938" s="21" t="s">
        <v>1145</v>
      </c>
      <c r="D938" s="21" t="s">
        <v>35</v>
      </c>
      <c r="E938" s="17" t="s">
        <v>526</v>
      </c>
      <c r="F938" s="18" t="s">
        <v>187</v>
      </c>
      <c r="G938" s="18" t="s">
        <v>48</v>
      </c>
      <c r="H938" s="24">
        <v>16170</v>
      </c>
      <c r="I938" s="24">
        <f>T_reg.root.SK[[#This Row],[Volume, kg]]/1000</f>
        <v>16.170000000000002</v>
      </c>
      <c r="J938" s="25">
        <v>0.19399999999999998</v>
      </c>
      <c r="K938" s="25">
        <f t="shared" si="14"/>
        <v>3136.9799999999996</v>
      </c>
      <c r="L938" s="25">
        <v>3.13</v>
      </c>
      <c r="M938" s="24">
        <v>50539.5</v>
      </c>
      <c r="N938" s="25">
        <f>IFERROR(T_reg.root.SK[[#This Row],[Price]]/T_reg.root.SK[[#This Row],[Starch content]],"")</f>
        <v>16.134020618556701</v>
      </c>
    </row>
    <row r="939" spans="1:14">
      <c r="A939" s="21">
        <v>2023</v>
      </c>
      <c r="B939" s="21" t="s">
        <v>23</v>
      </c>
      <c r="C939" s="21" t="s">
        <v>1145</v>
      </c>
      <c r="D939" s="21" t="s">
        <v>35</v>
      </c>
      <c r="E939" s="17" t="s">
        <v>201</v>
      </c>
      <c r="F939" s="18" t="s">
        <v>187</v>
      </c>
      <c r="G939" s="18" t="s">
        <v>48</v>
      </c>
      <c r="H939" s="24">
        <v>75020</v>
      </c>
      <c r="I939" s="24">
        <f>T_reg.root.SK[[#This Row],[Volume, kg]]/1000</f>
        <v>75.02</v>
      </c>
      <c r="J939" s="25">
        <v>0.1981</v>
      </c>
      <c r="K939" s="25">
        <f t="shared" si="14"/>
        <v>14861.462</v>
      </c>
      <c r="L939" s="25">
        <v>3.18</v>
      </c>
      <c r="M939" s="24">
        <v>238841.5</v>
      </c>
      <c r="N939" s="25">
        <f>IFERROR(T_reg.root.SK[[#This Row],[Price]]/T_reg.root.SK[[#This Row],[Starch content]],"")</f>
        <v>16.052498738011106</v>
      </c>
    </row>
    <row r="940" spans="1:14">
      <c r="A940" s="21">
        <v>2023</v>
      </c>
      <c r="B940" s="21" t="s">
        <v>23</v>
      </c>
      <c r="C940" s="21" t="s">
        <v>1145</v>
      </c>
      <c r="D940" s="21" t="s">
        <v>35</v>
      </c>
      <c r="E940" s="17" t="s">
        <v>527</v>
      </c>
      <c r="F940" s="18" t="s">
        <v>187</v>
      </c>
      <c r="G940" s="18" t="s">
        <v>48</v>
      </c>
      <c r="H940" s="24">
        <v>105280</v>
      </c>
      <c r="I940" s="24">
        <f>T_reg.root.SK[[#This Row],[Volume, kg]]/1000</f>
        <v>105.28</v>
      </c>
      <c r="J940" s="25">
        <v>0.1812</v>
      </c>
      <c r="K940" s="25">
        <f t="shared" si="14"/>
        <v>19076.736000000001</v>
      </c>
      <c r="L940" s="25">
        <v>3.07</v>
      </c>
      <c r="M940" s="24">
        <v>323632</v>
      </c>
      <c r="N940" s="25">
        <f>IFERROR(T_reg.root.SK[[#This Row],[Price]]/T_reg.root.SK[[#This Row],[Starch content]],"")</f>
        <v>16.942604856512141</v>
      </c>
    </row>
    <row r="941" spans="1:14">
      <c r="A941" s="21">
        <v>2023</v>
      </c>
      <c r="B941" s="21" t="s">
        <v>23</v>
      </c>
      <c r="C941" s="21" t="s">
        <v>1145</v>
      </c>
      <c r="D941" s="21" t="s">
        <v>35</v>
      </c>
      <c r="E941" s="17" t="s">
        <v>332</v>
      </c>
      <c r="F941" s="18" t="s">
        <v>187</v>
      </c>
      <c r="G941" s="18" t="s">
        <v>48</v>
      </c>
      <c r="H941" s="24">
        <v>155190</v>
      </c>
      <c r="I941" s="24">
        <f>T_reg.root.SK[[#This Row],[Volume, kg]]/1000</f>
        <v>155.19</v>
      </c>
      <c r="J941" s="25">
        <v>0.1736</v>
      </c>
      <c r="K941" s="25">
        <f t="shared" si="14"/>
        <v>26940.984</v>
      </c>
      <c r="L941" s="25">
        <v>3.04</v>
      </c>
      <c r="M941" s="24">
        <v>472048</v>
      </c>
      <c r="N941" s="25">
        <f>IFERROR(T_reg.root.SK[[#This Row],[Price]]/T_reg.root.SK[[#This Row],[Starch content]],"")</f>
        <v>17.511520737327189</v>
      </c>
    </row>
    <row r="942" spans="1:14">
      <c r="A942" s="21">
        <v>2023</v>
      </c>
      <c r="B942" s="21" t="s">
        <v>23</v>
      </c>
      <c r="C942" s="21" t="s">
        <v>1145</v>
      </c>
      <c r="D942" s="21" t="s">
        <v>35</v>
      </c>
      <c r="E942" s="17" t="s">
        <v>202</v>
      </c>
      <c r="F942" s="18" t="s">
        <v>187</v>
      </c>
      <c r="G942" s="18" t="s">
        <v>48</v>
      </c>
      <c r="H942" s="24">
        <v>11600</v>
      </c>
      <c r="I942" s="24">
        <f>T_reg.root.SK[[#This Row],[Volume, kg]]/1000</f>
        <v>11.6</v>
      </c>
      <c r="J942" s="25">
        <v>0.2167</v>
      </c>
      <c r="K942" s="25">
        <f t="shared" si="14"/>
        <v>2513.7200000000003</v>
      </c>
      <c r="L942" s="25">
        <v>3.22</v>
      </c>
      <c r="M942" s="24">
        <v>37366.5</v>
      </c>
      <c r="N942" s="25">
        <f>IFERROR(T_reg.root.SK[[#This Row],[Price]]/T_reg.root.SK[[#This Row],[Starch content]],"")</f>
        <v>14.8592524227042</v>
      </c>
    </row>
    <row r="943" spans="1:14">
      <c r="A943" s="21">
        <v>2023</v>
      </c>
      <c r="B943" s="21" t="s">
        <v>23</v>
      </c>
      <c r="C943" s="21" t="s">
        <v>1145</v>
      </c>
      <c r="D943" s="21" t="s">
        <v>35</v>
      </c>
      <c r="E943" s="17" t="s">
        <v>528</v>
      </c>
      <c r="F943" s="18" t="s">
        <v>187</v>
      </c>
      <c r="G943" s="18" t="s">
        <v>48</v>
      </c>
      <c r="H943" s="24">
        <v>85550</v>
      </c>
      <c r="I943" s="24">
        <f>T_reg.root.SK[[#This Row],[Volume, kg]]/1000</f>
        <v>85.55</v>
      </c>
      <c r="J943" s="25">
        <v>0.19750000000000001</v>
      </c>
      <c r="K943" s="25">
        <f t="shared" si="14"/>
        <v>16896.125</v>
      </c>
      <c r="L943" s="25">
        <v>3.2</v>
      </c>
      <c r="M943" s="24">
        <v>273479</v>
      </c>
      <c r="N943" s="25">
        <f>IFERROR(T_reg.root.SK[[#This Row],[Price]]/T_reg.root.SK[[#This Row],[Starch content]],"")</f>
        <v>16.202531645569621</v>
      </c>
    </row>
    <row r="944" spans="1:14">
      <c r="A944" s="21">
        <v>2023</v>
      </c>
      <c r="B944" s="21" t="s">
        <v>23</v>
      </c>
      <c r="C944" s="21" t="s">
        <v>1145</v>
      </c>
      <c r="D944" s="21" t="s">
        <v>35</v>
      </c>
      <c r="E944" s="17" t="s">
        <v>204</v>
      </c>
      <c r="F944" s="18" t="s">
        <v>187</v>
      </c>
      <c r="G944" s="18" t="s">
        <v>48</v>
      </c>
      <c r="H944" s="24">
        <v>11520</v>
      </c>
      <c r="I944" s="24">
        <f>T_reg.root.SK[[#This Row],[Volume, kg]]/1000</f>
        <v>11.52</v>
      </c>
      <c r="J944" s="25">
        <v>0.21739999999999998</v>
      </c>
      <c r="K944" s="25">
        <f t="shared" si="14"/>
        <v>2504.4479999999999</v>
      </c>
      <c r="L944" s="25">
        <v>3.26</v>
      </c>
      <c r="M944" s="24">
        <v>37498</v>
      </c>
      <c r="N944" s="25">
        <f>IFERROR(T_reg.root.SK[[#This Row],[Price]]/T_reg.root.SK[[#This Row],[Starch content]],"")</f>
        <v>14.99540018399264</v>
      </c>
    </row>
    <row r="945" spans="1:14">
      <c r="A945" s="21">
        <v>2023</v>
      </c>
      <c r="B945" s="21" t="s">
        <v>23</v>
      </c>
      <c r="C945" s="21" t="s">
        <v>1145</v>
      </c>
      <c r="D945" s="21" t="s">
        <v>35</v>
      </c>
      <c r="E945" s="17" t="s">
        <v>529</v>
      </c>
      <c r="F945" s="18" t="s">
        <v>187</v>
      </c>
      <c r="G945" s="18" t="s">
        <v>48</v>
      </c>
      <c r="H945" s="24">
        <v>4970</v>
      </c>
      <c r="I945" s="24">
        <f>T_reg.root.SK[[#This Row],[Volume, kg]]/1000</f>
        <v>4.97</v>
      </c>
      <c r="J945" s="25">
        <v>0.23199999999999998</v>
      </c>
      <c r="K945" s="25">
        <f t="shared" si="14"/>
        <v>1153.04</v>
      </c>
      <c r="L945" s="25">
        <v>3.3</v>
      </c>
      <c r="M945" s="24">
        <v>16401</v>
      </c>
      <c r="N945" s="25">
        <f>IFERROR(T_reg.root.SK[[#This Row],[Price]]/T_reg.root.SK[[#This Row],[Starch content]],"")</f>
        <v>14.224137931034482</v>
      </c>
    </row>
    <row r="946" spans="1:14">
      <c r="A946" s="21">
        <v>2023</v>
      </c>
      <c r="B946" s="21" t="s">
        <v>23</v>
      </c>
      <c r="C946" s="21" t="s">
        <v>1145</v>
      </c>
      <c r="D946" s="21" t="s">
        <v>35</v>
      </c>
      <c r="E946" s="17" t="s">
        <v>530</v>
      </c>
      <c r="F946" s="18" t="s">
        <v>187</v>
      </c>
      <c r="G946" s="18" t="s">
        <v>48</v>
      </c>
      <c r="H946" s="24">
        <v>31880</v>
      </c>
      <c r="I946" s="24">
        <f>T_reg.root.SK[[#This Row],[Volume, kg]]/1000</f>
        <v>31.88</v>
      </c>
      <c r="J946" s="25">
        <v>0.19339999999999999</v>
      </c>
      <c r="K946" s="25">
        <f t="shared" si="14"/>
        <v>6165.5919999999996</v>
      </c>
      <c r="L946" s="25">
        <v>3.11</v>
      </c>
      <c r="M946" s="24">
        <v>99082</v>
      </c>
      <c r="N946" s="25">
        <f>IFERROR(T_reg.root.SK[[#This Row],[Price]]/T_reg.root.SK[[#This Row],[Starch content]],"")</f>
        <v>16.080661840744572</v>
      </c>
    </row>
    <row r="947" spans="1:14">
      <c r="A947" s="21">
        <v>2023</v>
      </c>
      <c r="B947" s="21" t="s">
        <v>23</v>
      </c>
      <c r="C947" s="21" t="s">
        <v>1145</v>
      </c>
      <c r="D947" s="21" t="s">
        <v>35</v>
      </c>
      <c r="E947" s="17" t="s">
        <v>531</v>
      </c>
      <c r="F947" s="18" t="s">
        <v>187</v>
      </c>
      <c r="G947" s="18" t="s">
        <v>48</v>
      </c>
      <c r="H947" s="24">
        <v>4430</v>
      </c>
      <c r="I947" s="24">
        <f>T_reg.root.SK[[#This Row],[Volume, kg]]/1000</f>
        <v>4.43</v>
      </c>
      <c r="J947" s="25">
        <v>0.16899999999999998</v>
      </c>
      <c r="K947" s="25">
        <f t="shared" si="14"/>
        <v>748.67</v>
      </c>
      <c r="L947" s="25">
        <v>3.15</v>
      </c>
      <c r="M947" s="24">
        <v>13954.5</v>
      </c>
      <c r="N947" s="25">
        <f>IFERROR(T_reg.root.SK[[#This Row],[Price]]/T_reg.root.SK[[#This Row],[Starch content]],"")</f>
        <v>18.639053254437872</v>
      </c>
    </row>
    <row r="948" spans="1:14">
      <c r="A948" s="21">
        <v>2023</v>
      </c>
      <c r="B948" s="21" t="s">
        <v>23</v>
      </c>
      <c r="C948" s="21" t="s">
        <v>1145</v>
      </c>
      <c r="D948" s="21" t="s">
        <v>35</v>
      </c>
      <c r="E948" s="17" t="s">
        <v>266</v>
      </c>
      <c r="F948" s="18" t="s">
        <v>187</v>
      </c>
      <c r="G948" s="18" t="s">
        <v>48</v>
      </c>
      <c r="H948" s="24">
        <v>77350</v>
      </c>
      <c r="I948" s="24">
        <f>T_reg.root.SK[[#This Row],[Volume, kg]]/1000</f>
        <v>77.349999999999994</v>
      </c>
      <c r="J948" s="25">
        <v>0.17069999999999999</v>
      </c>
      <c r="K948" s="25">
        <f t="shared" si="14"/>
        <v>13203.644999999999</v>
      </c>
      <c r="L948" s="25">
        <v>3.01</v>
      </c>
      <c r="M948" s="24">
        <v>232784.5</v>
      </c>
      <c r="N948" s="25">
        <f>IFERROR(T_reg.root.SK[[#This Row],[Price]]/T_reg.root.SK[[#This Row],[Starch content]],"")</f>
        <v>17.633274751025191</v>
      </c>
    </row>
    <row r="949" spans="1:14">
      <c r="A949" s="21">
        <v>2023</v>
      </c>
      <c r="B949" s="21" t="s">
        <v>23</v>
      </c>
      <c r="C949" s="21" t="s">
        <v>1145</v>
      </c>
      <c r="D949" s="21" t="s">
        <v>35</v>
      </c>
      <c r="E949" s="17" t="s">
        <v>206</v>
      </c>
      <c r="F949" s="18" t="s">
        <v>187</v>
      </c>
      <c r="G949" s="18" t="s">
        <v>48</v>
      </c>
      <c r="H949" s="24">
        <v>95860</v>
      </c>
      <c r="I949" s="24">
        <f>T_reg.root.SK[[#This Row],[Volume, kg]]/1000</f>
        <v>95.86</v>
      </c>
      <c r="J949" s="25">
        <v>0.21329999999999999</v>
      </c>
      <c r="K949" s="25">
        <f t="shared" si="14"/>
        <v>20446.937999999998</v>
      </c>
      <c r="L949" s="25">
        <v>3.3</v>
      </c>
      <c r="M949" s="24">
        <v>316441.5</v>
      </c>
      <c r="N949" s="25">
        <f>IFERROR(T_reg.root.SK[[#This Row],[Price]]/T_reg.root.SK[[#This Row],[Starch content]],"")</f>
        <v>15.471167369901547</v>
      </c>
    </row>
    <row r="950" spans="1:14">
      <c r="A950" s="21">
        <v>2023</v>
      </c>
      <c r="B950" s="21" t="s">
        <v>23</v>
      </c>
      <c r="C950" s="21" t="s">
        <v>1145</v>
      </c>
      <c r="D950" s="21" t="s">
        <v>35</v>
      </c>
      <c r="E950" s="17" t="s">
        <v>267</v>
      </c>
      <c r="F950" s="18" t="s">
        <v>187</v>
      </c>
      <c r="G950" s="18" t="s">
        <v>48</v>
      </c>
      <c r="H950" s="24">
        <v>4780</v>
      </c>
      <c r="I950" s="24">
        <f>T_reg.root.SK[[#This Row],[Volume, kg]]/1000</f>
        <v>4.78</v>
      </c>
      <c r="J950" s="25">
        <v>0.16699999999999998</v>
      </c>
      <c r="K950" s="25">
        <f t="shared" si="14"/>
        <v>798.25999999999988</v>
      </c>
      <c r="L950" s="25">
        <v>3</v>
      </c>
      <c r="M950" s="24">
        <v>14340</v>
      </c>
      <c r="N950" s="25">
        <f>IFERROR(T_reg.root.SK[[#This Row],[Price]]/T_reg.root.SK[[#This Row],[Starch content]],"")</f>
        <v>17.964071856287426</v>
      </c>
    </row>
    <row r="951" spans="1:14">
      <c r="A951" s="21">
        <v>2023</v>
      </c>
      <c r="B951" s="21" t="s">
        <v>23</v>
      </c>
      <c r="C951" s="21" t="s">
        <v>1145</v>
      </c>
      <c r="D951" s="21" t="s">
        <v>35</v>
      </c>
      <c r="E951" s="17" t="s">
        <v>532</v>
      </c>
      <c r="F951" s="18" t="s">
        <v>187</v>
      </c>
      <c r="G951" s="18" t="s">
        <v>48</v>
      </c>
      <c r="H951" s="24">
        <v>21690</v>
      </c>
      <c r="I951" s="24">
        <f>T_reg.root.SK[[#This Row],[Volume, kg]]/1000</f>
        <v>21.69</v>
      </c>
      <c r="J951" s="25">
        <v>0.18890000000000001</v>
      </c>
      <c r="K951" s="25">
        <f t="shared" si="14"/>
        <v>4097.241</v>
      </c>
      <c r="L951" s="25">
        <v>3.15</v>
      </c>
      <c r="M951" s="24">
        <v>68374.5</v>
      </c>
      <c r="N951" s="25">
        <f>IFERROR(T_reg.root.SK[[#This Row],[Price]]/T_reg.root.SK[[#This Row],[Starch content]],"")</f>
        <v>16.675489677077817</v>
      </c>
    </row>
    <row r="952" spans="1:14">
      <c r="A952" s="21">
        <v>2023</v>
      </c>
      <c r="B952" s="21" t="s">
        <v>23</v>
      </c>
      <c r="C952" s="21" t="s">
        <v>1145</v>
      </c>
      <c r="D952" s="21" t="s">
        <v>35</v>
      </c>
      <c r="E952" s="17" t="s">
        <v>533</v>
      </c>
      <c r="F952" s="18" t="s">
        <v>187</v>
      </c>
      <c r="G952" s="18" t="s">
        <v>48</v>
      </c>
      <c r="H952" s="24">
        <v>5900</v>
      </c>
      <c r="I952" s="24">
        <f>T_reg.root.SK[[#This Row],[Volume, kg]]/1000</f>
        <v>5.9</v>
      </c>
      <c r="J952" s="25">
        <v>0.19550000000000001</v>
      </c>
      <c r="K952" s="25">
        <f t="shared" si="14"/>
        <v>1153.45</v>
      </c>
      <c r="L952" s="25">
        <v>3.15</v>
      </c>
      <c r="M952" s="24">
        <v>18585</v>
      </c>
      <c r="N952" s="25">
        <f>IFERROR(T_reg.root.SK[[#This Row],[Price]]/T_reg.root.SK[[#This Row],[Starch content]],"")</f>
        <v>16.112531969309462</v>
      </c>
    </row>
    <row r="953" spans="1:14">
      <c r="A953" s="21">
        <v>2023</v>
      </c>
      <c r="B953" s="21" t="s">
        <v>23</v>
      </c>
      <c r="C953" s="21" t="s">
        <v>1145</v>
      </c>
      <c r="D953" s="21" t="s">
        <v>35</v>
      </c>
      <c r="E953" s="17" t="s">
        <v>209</v>
      </c>
      <c r="F953" s="18" t="s">
        <v>187</v>
      </c>
      <c r="G953" s="18" t="s">
        <v>48</v>
      </c>
      <c r="H953" s="24">
        <v>112670</v>
      </c>
      <c r="I953" s="24">
        <f>T_reg.root.SK[[#This Row],[Volume, kg]]/1000</f>
        <v>112.67</v>
      </c>
      <c r="J953" s="25">
        <v>0.20100000000000001</v>
      </c>
      <c r="K953" s="25">
        <f t="shared" si="14"/>
        <v>22646.670000000002</v>
      </c>
      <c r="L953" s="25">
        <v>3.16</v>
      </c>
      <c r="M953" s="24">
        <v>356433.5</v>
      </c>
      <c r="N953" s="25">
        <f>IFERROR(T_reg.root.SK[[#This Row],[Price]]/T_reg.root.SK[[#This Row],[Starch content]],"")</f>
        <v>15.721393034825871</v>
      </c>
    </row>
    <row r="954" spans="1:14">
      <c r="A954" s="21">
        <v>2023</v>
      </c>
      <c r="B954" s="21" t="s">
        <v>23</v>
      </c>
      <c r="C954" s="21" t="s">
        <v>1145</v>
      </c>
      <c r="D954" s="21" t="s">
        <v>35</v>
      </c>
      <c r="E954" s="17" t="s">
        <v>534</v>
      </c>
      <c r="F954" s="18" t="s">
        <v>187</v>
      </c>
      <c r="G954" s="18" t="s">
        <v>48</v>
      </c>
      <c r="H954" s="24">
        <v>6510</v>
      </c>
      <c r="I954" s="24">
        <f>T_reg.root.SK[[#This Row],[Volume, kg]]/1000</f>
        <v>6.51</v>
      </c>
      <c r="J954" s="25">
        <v>0.18149999999999999</v>
      </c>
      <c r="K954" s="25">
        <f t="shared" si="14"/>
        <v>1181.5650000000001</v>
      </c>
      <c r="L954" s="25">
        <v>3.05</v>
      </c>
      <c r="M954" s="24">
        <v>19855.5</v>
      </c>
      <c r="N954" s="25">
        <f>IFERROR(T_reg.root.SK[[#This Row],[Price]]/T_reg.root.SK[[#This Row],[Starch content]],"")</f>
        <v>16.804407713498623</v>
      </c>
    </row>
    <row r="955" spans="1:14">
      <c r="A955" s="21">
        <v>2023</v>
      </c>
      <c r="B955" s="21" t="s">
        <v>23</v>
      </c>
      <c r="C955" s="21" t="s">
        <v>1145</v>
      </c>
      <c r="D955" s="21" t="s">
        <v>35</v>
      </c>
      <c r="E955" s="17" t="s">
        <v>210</v>
      </c>
      <c r="F955" s="18" t="s">
        <v>187</v>
      </c>
      <c r="G955" s="18" t="s">
        <v>48</v>
      </c>
      <c r="H955" s="24">
        <v>20110</v>
      </c>
      <c r="I955" s="24">
        <f>T_reg.root.SK[[#This Row],[Volume, kg]]/1000</f>
        <v>20.11</v>
      </c>
      <c r="J955" s="25">
        <v>0.20489999999999997</v>
      </c>
      <c r="K955" s="25">
        <f t="shared" si="14"/>
        <v>4120.5389999999998</v>
      </c>
      <c r="L955" s="25">
        <v>3.18</v>
      </c>
      <c r="M955" s="24">
        <v>63876</v>
      </c>
      <c r="N955" s="25">
        <f>IFERROR(T_reg.root.SK[[#This Row],[Price]]/T_reg.root.SK[[#This Row],[Starch content]],"")</f>
        <v>15.519765739385068</v>
      </c>
    </row>
    <row r="956" spans="1:14">
      <c r="A956" s="21">
        <v>2023</v>
      </c>
      <c r="B956" s="21" t="s">
        <v>23</v>
      </c>
      <c r="C956" s="21" t="s">
        <v>1145</v>
      </c>
      <c r="D956" s="21" t="s">
        <v>35</v>
      </c>
      <c r="E956" s="17" t="s">
        <v>211</v>
      </c>
      <c r="F956" s="18" t="s">
        <v>187</v>
      </c>
      <c r="G956" s="18" t="s">
        <v>48</v>
      </c>
      <c r="H956" s="24">
        <v>374080</v>
      </c>
      <c r="I956" s="24">
        <f>T_reg.root.SK[[#This Row],[Volume, kg]]/1000</f>
        <v>374.08</v>
      </c>
      <c r="J956" s="25">
        <v>0.18789999999999998</v>
      </c>
      <c r="K956" s="25">
        <f t="shared" si="14"/>
        <v>70289.631999999998</v>
      </c>
      <c r="L956" s="25">
        <v>3.17</v>
      </c>
      <c r="M956" s="24">
        <v>1185568</v>
      </c>
      <c r="N956" s="25">
        <f>IFERROR(T_reg.root.SK[[#This Row],[Price]]/T_reg.root.SK[[#This Row],[Starch content]],"")</f>
        <v>16.870675891431613</v>
      </c>
    </row>
    <row r="957" spans="1:14">
      <c r="A957" s="21">
        <v>2023</v>
      </c>
      <c r="B957" s="21" t="s">
        <v>23</v>
      </c>
      <c r="C957" s="21" t="s">
        <v>1145</v>
      </c>
      <c r="D957" s="21" t="s">
        <v>35</v>
      </c>
      <c r="E957" s="17" t="s">
        <v>212</v>
      </c>
      <c r="F957" s="18" t="s">
        <v>187</v>
      </c>
      <c r="G957" s="18" t="s">
        <v>48</v>
      </c>
      <c r="H957" s="24">
        <v>73030</v>
      </c>
      <c r="I957" s="24">
        <f>T_reg.root.SK[[#This Row],[Volume, kg]]/1000</f>
        <v>73.03</v>
      </c>
      <c r="J957" s="25">
        <v>0.19159999999999999</v>
      </c>
      <c r="K957" s="25">
        <f t="shared" si="14"/>
        <v>13992.547999999999</v>
      </c>
      <c r="L957" s="25">
        <v>3.11</v>
      </c>
      <c r="M957" s="24">
        <v>227403.5</v>
      </c>
      <c r="N957" s="25">
        <f>IFERROR(T_reg.root.SK[[#This Row],[Price]]/T_reg.root.SK[[#This Row],[Starch content]],"")</f>
        <v>16.231732776617953</v>
      </c>
    </row>
    <row r="958" spans="1:14">
      <c r="A958" s="21">
        <v>2023</v>
      </c>
      <c r="B958" s="21" t="s">
        <v>23</v>
      </c>
      <c r="C958" s="21" t="s">
        <v>1145</v>
      </c>
      <c r="D958" s="21" t="s">
        <v>35</v>
      </c>
      <c r="E958" s="17" t="s">
        <v>213</v>
      </c>
      <c r="F958" s="18" t="s">
        <v>187</v>
      </c>
      <c r="G958" s="18" t="s">
        <v>48</v>
      </c>
      <c r="H958" s="24">
        <v>145840</v>
      </c>
      <c r="I958" s="24">
        <f>T_reg.root.SK[[#This Row],[Volume, kg]]/1000</f>
        <v>145.84</v>
      </c>
      <c r="J958" s="25">
        <v>0.19269999999999998</v>
      </c>
      <c r="K958" s="25">
        <f t="shared" si="14"/>
        <v>28103.367999999999</v>
      </c>
      <c r="L958" s="25">
        <v>3.27</v>
      </c>
      <c r="M958" s="24">
        <v>476241.5</v>
      </c>
      <c r="N958" s="25">
        <f>IFERROR(T_reg.root.SK[[#This Row],[Price]]/T_reg.root.SK[[#This Row],[Starch content]],"")</f>
        <v>16.969382459782047</v>
      </c>
    </row>
    <row r="959" spans="1:14">
      <c r="A959" s="21">
        <v>2023</v>
      </c>
      <c r="B959" s="21" t="s">
        <v>23</v>
      </c>
      <c r="C959" s="21" t="s">
        <v>1145</v>
      </c>
      <c r="D959" s="21" t="s">
        <v>35</v>
      </c>
      <c r="E959" s="17" t="s">
        <v>535</v>
      </c>
      <c r="F959" s="18" t="s">
        <v>187</v>
      </c>
      <c r="G959" s="18" t="s">
        <v>48</v>
      </c>
      <c r="H959" s="24">
        <v>56960</v>
      </c>
      <c r="I959" s="24">
        <f>T_reg.root.SK[[#This Row],[Volume, kg]]/1000</f>
        <v>56.96</v>
      </c>
      <c r="J959" s="25">
        <v>0.21539999999999998</v>
      </c>
      <c r="K959" s="25">
        <f t="shared" si="14"/>
        <v>12269.183999999999</v>
      </c>
      <c r="L959" s="25">
        <v>3.22</v>
      </c>
      <c r="M959" s="24">
        <v>183576.5</v>
      </c>
      <c r="N959" s="25">
        <f>IFERROR(T_reg.root.SK[[#This Row],[Price]]/T_reg.root.SK[[#This Row],[Starch content]],"")</f>
        <v>14.948932219127208</v>
      </c>
    </row>
    <row r="960" spans="1:14">
      <c r="A960" s="21">
        <v>2023</v>
      </c>
      <c r="B960" s="21" t="s">
        <v>23</v>
      </c>
      <c r="C960" s="21" t="s">
        <v>1145</v>
      </c>
      <c r="D960" s="21" t="s">
        <v>35</v>
      </c>
      <c r="E960" s="17" t="s">
        <v>536</v>
      </c>
      <c r="F960" s="18" t="s">
        <v>187</v>
      </c>
      <c r="G960" s="18" t="s">
        <v>48</v>
      </c>
      <c r="H960" s="24">
        <v>55970</v>
      </c>
      <c r="I960" s="24">
        <f>T_reg.root.SK[[#This Row],[Volume, kg]]/1000</f>
        <v>55.97</v>
      </c>
      <c r="J960" s="25">
        <v>0.2077</v>
      </c>
      <c r="K960" s="25">
        <f t="shared" si="14"/>
        <v>11624.968999999999</v>
      </c>
      <c r="L960" s="25">
        <v>3.31</v>
      </c>
      <c r="M960" s="24">
        <v>185193</v>
      </c>
      <c r="N960" s="25">
        <f>IFERROR(T_reg.root.SK[[#This Row],[Price]]/T_reg.root.SK[[#This Row],[Starch content]],"")</f>
        <v>15.936446798266731</v>
      </c>
    </row>
    <row r="961" spans="1:14">
      <c r="A961" s="21">
        <v>2023</v>
      </c>
      <c r="B961" s="21" t="s">
        <v>23</v>
      </c>
      <c r="C961" s="21" t="s">
        <v>1145</v>
      </c>
      <c r="D961" s="21" t="s">
        <v>35</v>
      </c>
      <c r="E961" s="17" t="s">
        <v>537</v>
      </c>
      <c r="F961" s="18" t="s">
        <v>187</v>
      </c>
      <c r="G961" s="18" t="s">
        <v>48</v>
      </c>
      <c r="H961" s="24">
        <v>21680</v>
      </c>
      <c r="I961" s="24">
        <f>T_reg.root.SK[[#This Row],[Volume, kg]]/1000</f>
        <v>21.68</v>
      </c>
      <c r="J961" s="25">
        <v>0.22020000000000001</v>
      </c>
      <c r="K961" s="25">
        <f t="shared" si="14"/>
        <v>4773.9359999999997</v>
      </c>
      <c r="L961" s="25">
        <v>3.25</v>
      </c>
      <c r="M961" s="24">
        <v>70368</v>
      </c>
      <c r="N961" s="25">
        <f>IFERROR(T_reg.root.SK[[#This Row],[Price]]/T_reg.root.SK[[#This Row],[Starch content]],"")</f>
        <v>14.759309718437784</v>
      </c>
    </row>
    <row r="962" spans="1:14">
      <c r="A962" s="21">
        <v>2023</v>
      </c>
      <c r="B962" s="21" t="s">
        <v>23</v>
      </c>
      <c r="C962" s="21" t="s">
        <v>1145</v>
      </c>
      <c r="D962" s="21" t="s">
        <v>35</v>
      </c>
      <c r="E962" s="17" t="s">
        <v>538</v>
      </c>
      <c r="F962" s="18" t="s">
        <v>187</v>
      </c>
      <c r="G962" s="18" t="s">
        <v>48</v>
      </c>
      <c r="H962" s="24">
        <v>22460</v>
      </c>
      <c r="I962" s="24">
        <f>T_reg.root.SK[[#This Row],[Volume, kg]]/1000</f>
        <v>22.46</v>
      </c>
      <c r="J962" s="25">
        <v>0.20600000000000002</v>
      </c>
      <c r="K962" s="25">
        <f t="shared" si="14"/>
        <v>4626.76</v>
      </c>
      <c r="L962" s="25">
        <v>3.26</v>
      </c>
      <c r="M962" s="24">
        <v>73219.5</v>
      </c>
      <c r="N962" s="25">
        <f>IFERROR(T_reg.root.SK[[#This Row],[Price]]/T_reg.root.SK[[#This Row],[Starch content]],"")</f>
        <v>15.825242718446599</v>
      </c>
    </row>
    <row r="963" spans="1:14">
      <c r="A963" s="21">
        <v>2023</v>
      </c>
      <c r="B963" s="21" t="s">
        <v>23</v>
      </c>
      <c r="C963" s="21" t="s">
        <v>1145</v>
      </c>
      <c r="D963" s="21" t="s">
        <v>35</v>
      </c>
      <c r="E963" s="17" t="s">
        <v>539</v>
      </c>
      <c r="F963" s="18" t="s">
        <v>187</v>
      </c>
      <c r="G963" s="18" t="s">
        <v>48</v>
      </c>
      <c r="H963" s="24">
        <v>97080</v>
      </c>
      <c r="I963" s="24">
        <f>T_reg.root.SK[[#This Row],[Volume, kg]]/1000</f>
        <v>97.08</v>
      </c>
      <c r="J963" s="25">
        <v>0.18239999999999998</v>
      </c>
      <c r="K963" s="25">
        <f t="shared" ref="K963:K1026" si="15">H963*J963</f>
        <v>17707.391999999996</v>
      </c>
      <c r="L963" s="25">
        <v>3.13</v>
      </c>
      <c r="M963" s="24">
        <v>304074</v>
      </c>
      <c r="N963" s="25">
        <f>IFERROR(T_reg.root.SK[[#This Row],[Price]]/T_reg.root.SK[[#This Row],[Starch content]],"")</f>
        <v>17.160087719298247</v>
      </c>
    </row>
    <row r="964" spans="1:14">
      <c r="A964" s="21">
        <v>2023</v>
      </c>
      <c r="B964" s="21" t="s">
        <v>23</v>
      </c>
      <c r="C964" s="21" t="s">
        <v>1145</v>
      </c>
      <c r="D964" s="21" t="s">
        <v>35</v>
      </c>
      <c r="E964" s="17" t="s">
        <v>214</v>
      </c>
      <c r="F964" s="18" t="s">
        <v>187</v>
      </c>
      <c r="G964" s="18" t="s">
        <v>48</v>
      </c>
      <c r="H964" s="24">
        <v>4530</v>
      </c>
      <c r="I964" s="24">
        <f>T_reg.root.SK[[#This Row],[Volume, kg]]/1000</f>
        <v>4.53</v>
      </c>
      <c r="J964" s="25">
        <v>0.19149999999999998</v>
      </c>
      <c r="K964" s="25">
        <f t="shared" si="15"/>
        <v>867.49499999999989</v>
      </c>
      <c r="L964" s="25">
        <v>3.15</v>
      </c>
      <c r="M964" s="24">
        <v>14269.5</v>
      </c>
      <c r="N964" s="25">
        <f>IFERROR(T_reg.root.SK[[#This Row],[Price]]/T_reg.root.SK[[#This Row],[Starch content]],"")</f>
        <v>16.449086161879897</v>
      </c>
    </row>
    <row r="965" spans="1:14">
      <c r="A965" s="21">
        <v>2023</v>
      </c>
      <c r="B965" s="21" t="s">
        <v>23</v>
      </c>
      <c r="C965" s="21" t="s">
        <v>1145</v>
      </c>
      <c r="D965" s="21" t="s">
        <v>35</v>
      </c>
      <c r="E965" s="17" t="s">
        <v>540</v>
      </c>
      <c r="F965" s="18" t="s">
        <v>187</v>
      </c>
      <c r="G965" s="18" t="s">
        <v>48</v>
      </c>
      <c r="H965" s="24">
        <v>28580</v>
      </c>
      <c r="I965" s="24">
        <f>T_reg.root.SK[[#This Row],[Volume, kg]]/1000</f>
        <v>28.58</v>
      </c>
      <c r="J965" s="25">
        <v>0.21609999999999999</v>
      </c>
      <c r="K965" s="25">
        <f t="shared" si="15"/>
        <v>6176.1379999999999</v>
      </c>
      <c r="L965" s="25">
        <v>3.23</v>
      </c>
      <c r="M965" s="24">
        <v>92335</v>
      </c>
      <c r="N965" s="25">
        <f>IFERROR(T_reg.root.SK[[#This Row],[Price]]/T_reg.root.SK[[#This Row],[Starch content]],"")</f>
        <v>14.946783896344286</v>
      </c>
    </row>
    <row r="966" spans="1:14">
      <c r="A966" s="21">
        <v>2023</v>
      </c>
      <c r="B966" s="21" t="s">
        <v>23</v>
      </c>
      <c r="C966" s="21" t="s">
        <v>1145</v>
      </c>
      <c r="D966" s="21" t="s">
        <v>35</v>
      </c>
      <c r="E966" s="17" t="s">
        <v>541</v>
      </c>
      <c r="F966" s="18" t="s">
        <v>187</v>
      </c>
      <c r="G966" s="18" t="s">
        <v>48</v>
      </c>
      <c r="H966" s="24">
        <v>108220</v>
      </c>
      <c r="I966" s="24">
        <f>T_reg.root.SK[[#This Row],[Volume, kg]]/1000</f>
        <v>108.22</v>
      </c>
      <c r="J966" s="25">
        <v>0.17980000000000002</v>
      </c>
      <c r="K966" s="25">
        <f t="shared" si="15"/>
        <v>19457.956000000002</v>
      </c>
      <c r="L966" s="25">
        <v>3.06</v>
      </c>
      <c r="M966" s="24">
        <v>330713.5</v>
      </c>
      <c r="N966" s="25">
        <f>IFERROR(T_reg.root.SK[[#This Row],[Price]]/T_reg.root.SK[[#This Row],[Starch content]],"")</f>
        <v>17.018909899888765</v>
      </c>
    </row>
    <row r="967" spans="1:14">
      <c r="A967" s="21">
        <v>2023</v>
      </c>
      <c r="B967" s="21" t="s">
        <v>23</v>
      </c>
      <c r="C967" s="21" t="s">
        <v>1145</v>
      </c>
      <c r="D967" s="21" t="s">
        <v>35</v>
      </c>
      <c r="E967" s="17" t="s">
        <v>215</v>
      </c>
      <c r="F967" s="18" t="s">
        <v>187</v>
      </c>
      <c r="G967" s="18" t="s">
        <v>48</v>
      </c>
      <c r="H967" s="24">
        <v>30160</v>
      </c>
      <c r="I967" s="24">
        <f>T_reg.root.SK[[#This Row],[Volume, kg]]/1000</f>
        <v>30.16</v>
      </c>
      <c r="J967" s="25">
        <v>0.2208</v>
      </c>
      <c r="K967" s="25">
        <f t="shared" si="15"/>
        <v>6659.3279999999995</v>
      </c>
      <c r="L967" s="25">
        <v>3.29</v>
      </c>
      <c r="M967" s="24">
        <v>99168.5</v>
      </c>
      <c r="N967" s="25">
        <f>IFERROR(T_reg.root.SK[[#This Row],[Price]]/T_reg.root.SK[[#This Row],[Starch content]],"")</f>
        <v>14.90036231884058</v>
      </c>
    </row>
    <row r="968" spans="1:14">
      <c r="A968" s="21">
        <v>2023</v>
      </c>
      <c r="B968" s="21" t="s">
        <v>23</v>
      </c>
      <c r="C968" s="21" t="s">
        <v>1145</v>
      </c>
      <c r="D968" s="21" t="s">
        <v>35</v>
      </c>
      <c r="E968" s="17" t="s">
        <v>542</v>
      </c>
      <c r="F968" s="18" t="s">
        <v>187</v>
      </c>
      <c r="G968" s="18" t="s">
        <v>48</v>
      </c>
      <c r="H968" s="24">
        <v>11450</v>
      </c>
      <c r="I968" s="24">
        <f>T_reg.root.SK[[#This Row],[Volume, kg]]/1000</f>
        <v>11.45</v>
      </c>
      <c r="J968" s="25">
        <v>0.1938</v>
      </c>
      <c r="K968" s="25">
        <f t="shared" si="15"/>
        <v>2219.0100000000002</v>
      </c>
      <c r="L968" s="25">
        <v>3.12</v>
      </c>
      <c r="M968" s="24">
        <v>35751</v>
      </c>
      <c r="N968" s="25">
        <f>IFERROR(T_reg.root.SK[[#This Row],[Price]]/T_reg.root.SK[[#This Row],[Starch content]],"")</f>
        <v>16.099071207430342</v>
      </c>
    </row>
    <row r="969" spans="1:14">
      <c r="A969" s="21">
        <v>2023</v>
      </c>
      <c r="B969" s="21" t="s">
        <v>23</v>
      </c>
      <c r="C969" s="21" t="s">
        <v>1145</v>
      </c>
      <c r="D969" s="21" t="s">
        <v>35</v>
      </c>
      <c r="E969" s="17" t="s">
        <v>335</v>
      </c>
      <c r="F969" s="18" t="s">
        <v>187</v>
      </c>
      <c r="G969" s="18" t="s">
        <v>48</v>
      </c>
      <c r="H969" s="24">
        <v>84780</v>
      </c>
      <c r="I969" s="24">
        <f>T_reg.root.SK[[#This Row],[Volume, kg]]/1000</f>
        <v>84.78</v>
      </c>
      <c r="J969" s="25">
        <v>0.24199999999999999</v>
      </c>
      <c r="K969" s="25">
        <f t="shared" si="15"/>
        <v>20516.759999999998</v>
      </c>
      <c r="L969" s="25">
        <v>3.45</v>
      </c>
      <c r="M969" s="24">
        <v>292777.5</v>
      </c>
      <c r="N969" s="25">
        <f>IFERROR(T_reg.root.SK[[#This Row],[Price]]/T_reg.root.SK[[#This Row],[Starch content]],"")</f>
        <v>14.256198347107439</v>
      </c>
    </row>
    <row r="970" spans="1:14">
      <c r="A970" s="21">
        <v>2023</v>
      </c>
      <c r="B970" s="21" t="s">
        <v>23</v>
      </c>
      <c r="C970" s="21" t="s">
        <v>1145</v>
      </c>
      <c r="D970" s="21" t="s">
        <v>35</v>
      </c>
      <c r="E970" s="17" t="s">
        <v>216</v>
      </c>
      <c r="F970" s="18" t="s">
        <v>187</v>
      </c>
      <c r="G970" s="18" t="s">
        <v>48</v>
      </c>
      <c r="H970" s="24">
        <v>11630</v>
      </c>
      <c r="I970" s="24">
        <f>T_reg.root.SK[[#This Row],[Volume, kg]]/1000</f>
        <v>11.63</v>
      </c>
      <c r="J970" s="25">
        <v>0.1822</v>
      </c>
      <c r="K970" s="25">
        <f t="shared" si="15"/>
        <v>2118.9859999999999</v>
      </c>
      <c r="L970" s="25">
        <v>3.08</v>
      </c>
      <c r="M970" s="24">
        <v>35801</v>
      </c>
      <c r="N970" s="25">
        <f>IFERROR(T_reg.root.SK[[#This Row],[Price]]/T_reg.root.SK[[#This Row],[Starch content]],"")</f>
        <v>16.90450054884742</v>
      </c>
    </row>
    <row r="971" spans="1:14">
      <c r="A971" s="21">
        <v>2023</v>
      </c>
      <c r="B971" s="21" t="s">
        <v>23</v>
      </c>
      <c r="C971" s="21" t="s">
        <v>1145</v>
      </c>
      <c r="D971" s="21" t="s">
        <v>35</v>
      </c>
      <c r="E971" s="17" t="s">
        <v>409</v>
      </c>
      <c r="F971" s="18" t="s">
        <v>187</v>
      </c>
      <c r="G971" s="18" t="s">
        <v>48</v>
      </c>
      <c r="H971" s="24">
        <v>124990</v>
      </c>
      <c r="I971" s="24">
        <f>T_reg.root.SK[[#This Row],[Volume, kg]]/1000</f>
        <v>124.99</v>
      </c>
      <c r="J971" s="25">
        <v>0.1784</v>
      </c>
      <c r="K971" s="25">
        <f t="shared" si="15"/>
        <v>22298.216</v>
      </c>
      <c r="L971" s="25">
        <v>3.22</v>
      </c>
      <c r="M971" s="24">
        <v>402042</v>
      </c>
      <c r="N971" s="25">
        <f>IFERROR(T_reg.root.SK[[#This Row],[Price]]/T_reg.root.SK[[#This Row],[Starch content]],"")</f>
        <v>18.04932735426009</v>
      </c>
    </row>
    <row r="972" spans="1:14">
      <c r="A972" s="21">
        <v>2023</v>
      </c>
      <c r="B972" s="21" t="s">
        <v>23</v>
      </c>
      <c r="C972" s="21" t="s">
        <v>1145</v>
      </c>
      <c r="D972" s="21" t="s">
        <v>35</v>
      </c>
      <c r="E972" s="17" t="s">
        <v>543</v>
      </c>
      <c r="F972" s="18" t="s">
        <v>187</v>
      </c>
      <c r="G972" s="18" t="s">
        <v>48</v>
      </c>
      <c r="H972" s="24">
        <v>5640</v>
      </c>
      <c r="I972" s="24">
        <f>T_reg.root.SK[[#This Row],[Volume, kg]]/1000</f>
        <v>5.64</v>
      </c>
      <c r="J972" s="25">
        <v>0.21350000000000002</v>
      </c>
      <c r="K972" s="25">
        <f t="shared" si="15"/>
        <v>1204.1400000000001</v>
      </c>
      <c r="L972" s="25">
        <v>3.2</v>
      </c>
      <c r="M972" s="24">
        <v>18048</v>
      </c>
      <c r="N972" s="25">
        <f>IFERROR(T_reg.root.SK[[#This Row],[Price]]/T_reg.root.SK[[#This Row],[Starch content]],"")</f>
        <v>14.988290398126463</v>
      </c>
    </row>
    <row r="973" spans="1:14">
      <c r="A973" s="21">
        <v>2023</v>
      </c>
      <c r="B973" s="21" t="s">
        <v>23</v>
      </c>
      <c r="C973" s="21" t="s">
        <v>1145</v>
      </c>
      <c r="D973" s="21" t="s">
        <v>35</v>
      </c>
      <c r="E973" s="17" t="s">
        <v>271</v>
      </c>
      <c r="F973" s="18" t="s">
        <v>187</v>
      </c>
      <c r="G973" s="18" t="s">
        <v>48</v>
      </c>
      <c r="H973" s="24">
        <v>1980</v>
      </c>
      <c r="I973" s="24">
        <f>T_reg.root.SK[[#This Row],[Volume, kg]]/1000</f>
        <v>1.98</v>
      </c>
      <c r="J973" s="25">
        <v>0.14749999999999999</v>
      </c>
      <c r="K973" s="25">
        <f t="shared" si="15"/>
        <v>292.05</v>
      </c>
      <c r="L973" s="25">
        <v>3.05</v>
      </c>
      <c r="M973" s="24">
        <v>6039</v>
      </c>
      <c r="N973" s="25">
        <f>IFERROR(T_reg.root.SK[[#This Row],[Price]]/T_reg.root.SK[[#This Row],[Starch content]],"")</f>
        <v>20.677966101694913</v>
      </c>
    </row>
    <row r="974" spans="1:14">
      <c r="A974" s="21">
        <v>2023</v>
      </c>
      <c r="B974" s="21" t="s">
        <v>23</v>
      </c>
      <c r="C974" s="21" t="s">
        <v>1145</v>
      </c>
      <c r="D974" s="21" t="s">
        <v>35</v>
      </c>
      <c r="E974" s="17" t="s">
        <v>410</v>
      </c>
      <c r="F974" s="18" t="s">
        <v>187</v>
      </c>
      <c r="G974" s="18" t="s">
        <v>48</v>
      </c>
      <c r="H974" s="24">
        <v>44370</v>
      </c>
      <c r="I974" s="24">
        <f>T_reg.root.SK[[#This Row],[Volume, kg]]/1000</f>
        <v>44.37</v>
      </c>
      <c r="J974" s="25">
        <v>0.21489999999999998</v>
      </c>
      <c r="K974" s="25">
        <f t="shared" si="15"/>
        <v>9535.1129999999994</v>
      </c>
      <c r="L974" s="25">
        <v>3.26</v>
      </c>
      <c r="M974" s="24">
        <v>144659</v>
      </c>
      <c r="N974" s="25">
        <f>IFERROR(T_reg.root.SK[[#This Row],[Price]]/T_reg.root.SK[[#This Row],[Starch content]],"")</f>
        <v>15.169846440204747</v>
      </c>
    </row>
    <row r="975" spans="1:14">
      <c r="A975" s="21">
        <v>2023</v>
      </c>
      <c r="B975" s="21" t="s">
        <v>23</v>
      </c>
      <c r="C975" s="21" t="s">
        <v>1145</v>
      </c>
      <c r="D975" s="21" t="s">
        <v>35</v>
      </c>
      <c r="E975" s="17" t="s">
        <v>217</v>
      </c>
      <c r="F975" s="18" t="s">
        <v>187</v>
      </c>
      <c r="G975" s="18" t="s">
        <v>48</v>
      </c>
      <c r="H975" s="24">
        <v>0</v>
      </c>
      <c r="I975" s="24">
        <f>T_reg.root.SK[[#This Row],[Volume, kg]]/1000</f>
        <v>0</v>
      </c>
      <c r="J975" s="25">
        <v>0</v>
      </c>
      <c r="K975" s="25">
        <f t="shared" si="15"/>
        <v>0</v>
      </c>
      <c r="L975" s="25">
        <v>0</v>
      </c>
      <c r="M975" s="24">
        <v>0</v>
      </c>
      <c r="N975" s="25" t="str">
        <f>IFERROR(T_reg.root.SK[[#This Row],[Price]]/T_reg.root.SK[[#This Row],[Starch content]],"")</f>
        <v/>
      </c>
    </row>
    <row r="976" spans="1:14">
      <c r="A976" s="21">
        <v>2023</v>
      </c>
      <c r="B976" s="21" t="s">
        <v>24</v>
      </c>
      <c r="C976" s="21" t="s">
        <v>1145</v>
      </c>
      <c r="D976" s="21" t="s">
        <v>35</v>
      </c>
      <c r="E976" s="17" t="s">
        <v>455</v>
      </c>
      <c r="F976" s="18" t="s">
        <v>219</v>
      </c>
      <c r="G976" s="18" t="s">
        <v>220</v>
      </c>
      <c r="H976" s="24">
        <v>126280</v>
      </c>
      <c r="I976" s="24">
        <f>T_reg.root.SK[[#This Row],[Volume, kg]]/1000</f>
        <v>126.28</v>
      </c>
      <c r="J976" s="25">
        <v>0.1986</v>
      </c>
      <c r="K976" s="25">
        <f t="shared" si="15"/>
        <v>25079.207999999999</v>
      </c>
      <c r="L976" s="25">
        <v>3.2</v>
      </c>
      <c r="M976" s="24">
        <v>403757</v>
      </c>
      <c r="N976" s="25">
        <f>IFERROR(T_reg.root.SK[[#This Row],[Price]]/T_reg.root.SK[[#This Row],[Starch content]],"")</f>
        <v>16.112789526686807</v>
      </c>
    </row>
    <row r="977" spans="1:14">
      <c r="A977" s="21">
        <v>2023</v>
      </c>
      <c r="B977" s="21" t="s">
        <v>24</v>
      </c>
      <c r="C977" s="21" t="s">
        <v>1145</v>
      </c>
      <c r="D977" s="21" t="s">
        <v>35</v>
      </c>
      <c r="E977" s="17" t="s">
        <v>544</v>
      </c>
      <c r="F977" s="18" t="s">
        <v>219</v>
      </c>
      <c r="G977" s="18" t="s">
        <v>220</v>
      </c>
      <c r="H977" s="24">
        <v>12970</v>
      </c>
      <c r="I977" s="24">
        <f>T_reg.root.SK[[#This Row],[Volume, kg]]/1000</f>
        <v>12.97</v>
      </c>
      <c r="J977" s="25">
        <v>0.19149999999999998</v>
      </c>
      <c r="K977" s="25">
        <f t="shared" si="15"/>
        <v>2483.7549999999997</v>
      </c>
      <c r="L977" s="25">
        <v>3.15</v>
      </c>
      <c r="M977" s="24">
        <v>40855.5</v>
      </c>
      <c r="N977" s="25">
        <f>IFERROR(T_reg.root.SK[[#This Row],[Price]]/T_reg.root.SK[[#This Row],[Starch content]],"")</f>
        <v>16.449086161879897</v>
      </c>
    </row>
    <row r="978" spans="1:14">
      <c r="A978" s="21">
        <v>2023</v>
      </c>
      <c r="B978" s="21" t="s">
        <v>24</v>
      </c>
      <c r="C978" s="21" t="s">
        <v>1145</v>
      </c>
      <c r="D978" s="21" t="s">
        <v>35</v>
      </c>
      <c r="E978" s="17" t="s">
        <v>456</v>
      </c>
      <c r="F978" s="18" t="s">
        <v>219</v>
      </c>
      <c r="G978" s="18" t="s">
        <v>220</v>
      </c>
      <c r="H978" s="24">
        <v>16860</v>
      </c>
      <c r="I978" s="24">
        <f>T_reg.root.SK[[#This Row],[Volume, kg]]/1000</f>
        <v>16.86</v>
      </c>
      <c r="J978" s="25">
        <v>0.21</v>
      </c>
      <c r="K978" s="25">
        <f t="shared" si="15"/>
        <v>3540.6</v>
      </c>
      <c r="L978" s="25">
        <v>3.25</v>
      </c>
      <c r="M978" s="24">
        <v>54795</v>
      </c>
      <c r="N978" s="25">
        <f>IFERROR(T_reg.root.SK[[#This Row],[Price]]/T_reg.root.SK[[#This Row],[Starch content]],"")</f>
        <v>15.476190476190476</v>
      </c>
    </row>
    <row r="979" spans="1:14">
      <c r="A979" s="21">
        <v>2023</v>
      </c>
      <c r="B979" s="21" t="s">
        <v>24</v>
      </c>
      <c r="C979" s="21" t="s">
        <v>1145</v>
      </c>
      <c r="D979" s="21" t="s">
        <v>35</v>
      </c>
      <c r="E979" s="17" t="s">
        <v>545</v>
      </c>
      <c r="F979" s="18" t="s">
        <v>219</v>
      </c>
      <c r="G979" s="18" t="s">
        <v>220</v>
      </c>
      <c r="H979" s="24">
        <v>2840</v>
      </c>
      <c r="I979" s="24">
        <f>T_reg.root.SK[[#This Row],[Volume, kg]]/1000</f>
        <v>2.84</v>
      </c>
      <c r="J979" s="25">
        <v>0.20850000000000002</v>
      </c>
      <c r="K979" s="25">
        <f t="shared" si="15"/>
        <v>592.1400000000001</v>
      </c>
      <c r="L979" s="25">
        <v>3.25</v>
      </c>
      <c r="M979" s="24">
        <v>9230</v>
      </c>
      <c r="N979" s="25">
        <f>IFERROR(T_reg.root.SK[[#This Row],[Price]]/T_reg.root.SK[[#This Row],[Starch content]],"")</f>
        <v>15.587529976019184</v>
      </c>
    </row>
    <row r="980" spans="1:14">
      <c r="A980" s="21">
        <v>2023</v>
      </c>
      <c r="B980" s="21" t="s">
        <v>24</v>
      </c>
      <c r="C980" s="21" t="s">
        <v>1145</v>
      </c>
      <c r="D980" s="21" t="s">
        <v>35</v>
      </c>
      <c r="E980" s="17" t="s">
        <v>546</v>
      </c>
      <c r="F980" s="18" t="s">
        <v>47</v>
      </c>
      <c r="G980" s="18" t="s">
        <v>48</v>
      </c>
      <c r="H980" s="24">
        <v>11580</v>
      </c>
      <c r="I980" s="24">
        <f>T_reg.root.SK[[#This Row],[Volume, kg]]/1000</f>
        <v>11.58</v>
      </c>
      <c r="J980" s="25">
        <v>0.20660000000000001</v>
      </c>
      <c r="K980" s="25">
        <f t="shared" si="15"/>
        <v>2392.4279999999999</v>
      </c>
      <c r="L980" s="25">
        <v>3.23</v>
      </c>
      <c r="M980" s="24">
        <v>37380</v>
      </c>
      <c r="N980" s="25">
        <f>IFERROR(T_reg.root.SK[[#This Row],[Price]]/T_reg.root.SK[[#This Row],[Starch content]],"")</f>
        <v>15.634075508228459</v>
      </c>
    </row>
    <row r="981" spans="1:14">
      <c r="A981" s="21">
        <v>2023</v>
      </c>
      <c r="B981" s="21" t="s">
        <v>24</v>
      </c>
      <c r="C981" s="21" t="s">
        <v>1145</v>
      </c>
      <c r="D981" s="21" t="s">
        <v>35</v>
      </c>
      <c r="E981" s="17" t="s">
        <v>78</v>
      </c>
      <c r="F981" s="18" t="s">
        <v>47</v>
      </c>
      <c r="G981" s="18" t="s">
        <v>48</v>
      </c>
      <c r="H981" s="24">
        <v>16150</v>
      </c>
      <c r="I981" s="24">
        <f>T_reg.root.SK[[#This Row],[Volume, kg]]/1000</f>
        <v>16.149999999999999</v>
      </c>
      <c r="J981" s="25">
        <v>0.20989999999999998</v>
      </c>
      <c r="K981" s="25">
        <f t="shared" si="15"/>
        <v>3389.8849999999998</v>
      </c>
      <c r="L981" s="25">
        <v>3.25</v>
      </c>
      <c r="M981" s="24">
        <v>52487.5</v>
      </c>
      <c r="N981" s="25">
        <f>IFERROR(T_reg.root.SK[[#This Row],[Price]]/T_reg.root.SK[[#This Row],[Starch content]],"")</f>
        <v>15.483563601715105</v>
      </c>
    </row>
    <row r="982" spans="1:14">
      <c r="A982" s="21">
        <v>2023</v>
      </c>
      <c r="B982" s="21" t="s">
        <v>24</v>
      </c>
      <c r="C982" s="21" t="s">
        <v>1145</v>
      </c>
      <c r="D982" s="21" t="s">
        <v>35</v>
      </c>
      <c r="E982" s="17" t="s">
        <v>463</v>
      </c>
      <c r="F982" s="18" t="s">
        <v>47</v>
      </c>
      <c r="G982" s="18" t="s">
        <v>48</v>
      </c>
      <c r="H982" s="24">
        <v>52050</v>
      </c>
      <c r="I982" s="24">
        <f>T_reg.root.SK[[#This Row],[Volume, kg]]/1000</f>
        <v>52.05</v>
      </c>
      <c r="J982" s="25">
        <v>0.1948</v>
      </c>
      <c r="K982" s="25">
        <f t="shared" si="15"/>
        <v>10139.34</v>
      </c>
      <c r="L982" s="25">
        <v>3.18</v>
      </c>
      <c r="M982" s="24">
        <v>165307.5</v>
      </c>
      <c r="N982" s="25">
        <f>IFERROR(T_reg.root.SK[[#This Row],[Price]]/T_reg.root.SK[[#This Row],[Starch content]],"")</f>
        <v>16.324435318275153</v>
      </c>
    </row>
    <row r="983" spans="1:14">
      <c r="A983" s="21">
        <v>2023</v>
      </c>
      <c r="B983" s="21" t="s">
        <v>24</v>
      </c>
      <c r="C983" s="21" t="s">
        <v>1145</v>
      </c>
      <c r="D983" s="21" t="s">
        <v>35</v>
      </c>
      <c r="E983" s="17" t="s">
        <v>57</v>
      </c>
      <c r="F983" s="18" t="s">
        <v>47</v>
      </c>
      <c r="G983" s="18" t="s">
        <v>48</v>
      </c>
      <c r="H983" s="24">
        <v>29470</v>
      </c>
      <c r="I983" s="24">
        <f>T_reg.root.SK[[#This Row],[Volume, kg]]/1000</f>
        <v>29.47</v>
      </c>
      <c r="J983" s="25">
        <v>0.2341</v>
      </c>
      <c r="K983" s="25">
        <f t="shared" si="15"/>
        <v>6898.9269999999997</v>
      </c>
      <c r="L983" s="25">
        <v>3.37</v>
      </c>
      <c r="M983" s="24">
        <v>99330.5</v>
      </c>
      <c r="N983" s="25">
        <f>IFERROR(T_reg.root.SK[[#This Row],[Price]]/T_reg.root.SK[[#This Row],[Starch content]],"")</f>
        <v>14.395557454079453</v>
      </c>
    </row>
    <row r="984" spans="1:14">
      <c r="A984" s="21">
        <v>2023</v>
      </c>
      <c r="B984" s="21" t="s">
        <v>24</v>
      </c>
      <c r="C984" s="21" t="s">
        <v>1145</v>
      </c>
      <c r="D984" s="21" t="s">
        <v>35</v>
      </c>
      <c r="E984" s="17" t="s">
        <v>379</v>
      </c>
      <c r="F984" s="18" t="s">
        <v>47</v>
      </c>
      <c r="G984" s="18" t="s">
        <v>48</v>
      </c>
      <c r="H984" s="24">
        <v>18080</v>
      </c>
      <c r="I984" s="24">
        <f>T_reg.root.SK[[#This Row],[Volume, kg]]/1000</f>
        <v>18.079999999999998</v>
      </c>
      <c r="J984" s="25">
        <v>0.22149999999999997</v>
      </c>
      <c r="K984" s="25">
        <f t="shared" si="15"/>
        <v>4004.7199999999993</v>
      </c>
      <c r="L984" s="25">
        <v>3.31</v>
      </c>
      <c r="M984" s="24">
        <v>59793.5</v>
      </c>
      <c r="N984" s="25">
        <f>IFERROR(T_reg.root.SK[[#This Row],[Price]]/T_reg.root.SK[[#This Row],[Starch content]],"")</f>
        <v>14.943566591422124</v>
      </c>
    </row>
    <row r="985" spans="1:14">
      <c r="A985" s="21">
        <v>2023</v>
      </c>
      <c r="B985" s="21" t="s">
        <v>24</v>
      </c>
      <c r="C985" s="21" t="s">
        <v>1145</v>
      </c>
      <c r="D985" s="21" t="s">
        <v>35</v>
      </c>
      <c r="E985" s="17" t="s">
        <v>547</v>
      </c>
      <c r="F985" s="18" t="s">
        <v>47</v>
      </c>
      <c r="G985" s="18" t="s">
        <v>48</v>
      </c>
      <c r="H985" s="24">
        <v>2840</v>
      </c>
      <c r="I985" s="24">
        <f>T_reg.root.SK[[#This Row],[Volume, kg]]/1000</f>
        <v>2.84</v>
      </c>
      <c r="J985" s="25">
        <v>0.16500000000000001</v>
      </c>
      <c r="K985" s="25">
        <f t="shared" si="15"/>
        <v>468.6</v>
      </c>
      <c r="L985" s="25">
        <v>3.05</v>
      </c>
      <c r="M985" s="24">
        <v>8662</v>
      </c>
      <c r="N985" s="25">
        <f>IFERROR(T_reg.root.SK[[#This Row],[Price]]/T_reg.root.SK[[#This Row],[Starch content]],"")</f>
        <v>18.484848484848484</v>
      </c>
    </row>
    <row r="986" spans="1:14">
      <c r="A986" s="21">
        <v>2023</v>
      </c>
      <c r="B986" s="21" t="s">
        <v>24</v>
      </c>
      <c r="C986" s="21" t="s">
        <v>1145</v>
      </c>
      <c r="D986" s="21" t="s">
        <v>35</v>
      </c>
      <c r="E986" s="17" t="s">
        <v>548</v>
      </c>
      <c r="F986" s="18" t="s">
        <v>47</v>
      </c>
      <c r="G986" s="18" t="s">
        <v>48</v>
      </c>
      <c r="H986" s="24">
        <v>7640</v>
      </c>
      <c r="I986" s="24">
        <f>T_reg.root.SK[[#This Row],[Volume, kg]]/1000</f>
        <v>7.64</v>
      </c>
      <c r="J986" s="25">
        <v>0.18100000000000002</v>
      </c>
      <c r="K986" s="25">
        <f t="shared" si="15"/>
        <v>1382.8400000000001</v>
      </c>
      <c r="L986" s="25">
        <v>3.1</v>
      </c>
      <c r="M986" s="24">
        <v>23684</v>
      </c>
      <c r="N986" s="25">
        <f>IFERROR(T_reg.root.SK[[#This Row],[Price]]/T_reg.root.SK[[#This Row],[Starch content]],"")</f>
        <v>17.127071823204417</v>
      </c>
    </row>
    <row r="987" spans="1:14">
      <c r="A987" s="21">
        <v>2023</v>
      </c>
      <c r="B987" s="21" t="s">
        <v>24</v>
      </c>
      <c r="C987" s="21" t="s">
        <v>1145</v>
      </c>
      <c r="D987" s="21" t="s">
        <v>35</v>
      </c>
      <c r="E987" s="17" t="s">
        <v>467</v>
      </c>
      <c r="F987" s="18" t="s">
        <v>47</v>
      </c>
      <c r="G987" s="18" t="s">
        <v>48</v>
      </c>
      <c r="H987" s="24">
        <v>7350</v>
      </c>
      <c r="I987" s="24">
        <f>T_reg.root.SK[[#This Row],[Volume, kg]]/1000</f>
        <v>7.35</v>
      </c>
      <c r="J987" s="25">
        <v>0.217</v>
      </c>
      <c r="K987" s="25">
        <f t="shared" si="15"/>
        <v>1594.95</v>
      </c>
      <c r="L987" s="25">
        <v>3.3</v>
      </c>
      <c r="M987" s="24">
        <v>24255</v>
      </c>
      <c r="N987" s="25">
        <f>IFERROR(T_reg.root.SK[[#This Row],[Price]]/T_reg.root.SK[[#This Row],[Starch content]],"")</f>
        <v>15.2073732718894</v>
      </c>
    </row>
    <row r="988" spans="1:14">
      <c r="A988" s="21">
        <v>2023</v>
      </c>
      <c r="B988" s="21" t="s">
        <v>24</v>
      </c>
      <c r="C988" s="21" t="s">
        <v>1145</v>
      </c>
      <c r="D988" s="21" t="s">
        <v>35</v>
      </c>
      <c r="E988" s="17" t="s">
        <v>63</v>
      </c>
      <c r="F988" s="18" t="s">
        <v>47</v>
      </c>
      <c r="G988" s="18" t="s">
        <v>48</v>
      </c>
      <c r="H988" s="24">
        <v>43000</v>
      </c>
      <c r="I988" s="24">
        <f>T_reg.root.SK[[#This Row],[Volume, kg]]/1000</f>
        <v>43</v>
      </c>
      <c r="J988" s="25">
        <v>0.20800000000000002</v>
      </c>
      <c r="K988" s="25">
        <f t="shared" si="15"/>
        <v>8944</v>
      </c>
      <c r="L988" s="25">
        <v>3.23</v>
      </c>
      <c r="M988" s="24">
        <v>139046.5</v>
      </c>
      <c r="N988" s="25">
        <f>IFERROR(T_reg.root.SK[[#This Row],[Price]]/T_reg.root.SK[[#This Row],[Starch content]],"")</f>
        <v>15.528846153846152</v>
      </c>
    </row>
    <row r="989" spans="1:14">
      <c r="A989" s="21">
        <v>2023</v>
      </c>
      <c r="B989" s="21" t="s">
        <v>24</v>
      </c>
      <c r="C989" s="21" t="s">
        <v>1145</v>
      </c>
      <c r="D989" s="21" t="s">
        <v>35</v>
      </c>
      <c r="E989" s="17" t="s">
        <v>340</v>
      </c>
      <c r="F989" s="18" t="s">
        <v>47</v>
      </c>
      <c r="G989" s="18" t="s">
        <v>48</v>
      </c>
      <c r="H989" s="24">
        <v>63720</v>
      </c>
      <c r="I989" s="24">
        <f>T_reg.root.SK[[#This Row],[Volume, kg]]/1000</f>
        <v>63.72</v>
      </c>
      <c r="J989" s="25">
        <v>0.1623</v>
      </c>
      <c r="K989" s="25">
        <f t="shared" si="15"/>
        <v>10341.755999999999</v>
      </c>
      <c r="L989" s="25">
        <v>3.01</v>
      </c>
      <c r="M989" s="24">
        <v>191733</v>
      </c>
      <c r="N989" s="25">
        <f>IFERROR(T_reg.root.SK[[#This Row],[Price]]/T_reg.root.SK[[#This Row],[Starch content]],"")</f>
        <v>18.545902649414664</v>
      </c>
    </row>
    <row r="990" spans="1:14">
      <c r="A990" s="21">
        <v>2023</v>
      </c>
      <c r="B990" s="21" t="s">
        <v>24</v>
      </c>
      <c r="C990" s="21" t="s">
        <v>1145</v>
      </c>
      <c r="D990" s="21" t="s">
        <v>35</v>
      </c>
      <c r="E990" s="17" t="s">
        <v>380</v>
      </c>
      <c r="F990" s="18" t="s">
        <v>47</v>
      </c>
      <c r="G990" s="18" t="s">
        <v>48</v>
      </c>
      <c r="H990" s="24">
        <v>33590</v>
      </c>
      <c r="I990" s="24">
        <f>T_reg.root.SK[[#This Row],[Volume, kg]]/1000</f>
        <v>33.590000000000003</v>
      </c>
      <c r="J990" s="25">
        <v>0.1968</v>
      </c>
      <c r="K990" s="25">
        <f t="shared" si="15"/>
        <v>6610.5119999999997</v>
      </c>
      <c r="L990" s="25">
        <v>3.18</v>
      </c>
      <c r="M990" s="24">
        <v>106753</v>
      </c>
      <c r="N990" s="25">
        <f>IFERROR(T_reg.root.SK[[#This Row],[Price]]/T_reg.root.SK[[#This Row],[Starch content]],"")</f>
        <v>16.158536585365855</v>
      </c>
    </row>
    <row r="991" spans="1:14">
      <c r="A991" s="21">
        <v>2023</v>
      </c>
      <c r="B991" s="21" t="s">
        <v>24</v>
      </c>
      <c r="C991" s="21" t="s">
        <v>1145</v>
      </c>
      <c r="D991" s="21" t="s">
        <v>35</v>
      </c>
      <c r="E991" s="17" t="s">
        <v>341</v>
      </c>
      <c r="F991" s="18" t="s">
        <v>47</v>
      </c>
      <c r="G991" s="18" t="s">
        <v>48</v>
      </c>
      <c r="H991" s="24">
        <v>15190</v>
      </c>
      <c r="I991" s="24">
        <f>T_reg.root.SK[[#This Row],[Volume, kg]]/1000</f>
        <v>15.19</v>
      </c>
      <c r="J991" s="25">
        <v>0.20030000000000001</v>
      </c>
      <c r="K991" s="25">
        <f t="shared" si="15"/>
        <v>3042.5570000000002</v>
      </c>
      <c r="L991" s="25">
        <v>3.2</v>
      </c>
      <c r="M991" s="24">
        <v>48608</v>
      </c>
      <c r="N991" s="25">
        <f>IFERROR(T_reg.root.SK[[#This Row],[Price]]/T_reg.root.SK[[#This Row],[Starch content]],"")</f>
        <v>15.976035946080879</v>
      </c>
    </row>
    <row r="992" spans="1:14">
      <c r="A992" s="21">
        <v>2023</v>
      </c>
      <c r="B992" s="21" t="s">
        <v>24</v>
      </c>
      <c r="C992" s="21" t="s">
        <v>1145</v>
      </c>
      <c r="D992" s="21" t="s">
        <v>35</v>
      </c>
      <c r="E992" s="17" t="s">
        <v>69</v>
      </c>
      <c r="F992" s="18" t="s">
        <v>47</v>
      </c>
      <c r="G992" s="18" t="s">
        <v>48</v>
      </c>
      <c r="H992" s="24">
        <v>217830</v>
      </c>
      <c r="I992" s="24">
        <f>T_reg.root.SK[[#This Row],[Volume, kg]]/1000</f>
        <v>217.83</v>
      </c>
      <c r="J992" s="25">
        <v>0.18629999999999999</v>
      </c>
      <c r="K992" s="25">
        <f t="shared" si="15"/>
        <v>40581.728999999999</v>
      </c>
      <c r="L992" s="25">
        <v>3.13</v>
      </c>
      <c r="M992" s="24">
        <v>682757.5</v>
      </c>
      <c r="N992" s="25">
        <f>IFERROR(T_reg.root.SK[[#This Row],[Price]]/T_reg.root.SK[[#This Row],[Starch content]],"")</f>
        <v>16.800858829844337</v>
      </c>
    </row>
    <row r="993" spans="1:14">
      <c r="A993" s="21">
        <v>2023</v>
      </c>
      <c r="B993" s="21" t="s">
        <v>24</v>
      </c>
      <c r="C993" s="21" t="s">
        <v>1145</v>
      </c>
      <c r="D993" s="21" t="s">
        <v>35</v>
      </c>
      <c r="E993" s="17" t="s">
        <v>70</v>
      </c>
      <c r="F993" s="18" t="s">
        <v>47</v>
      </c>
      <c r="G993" s="18" t="s">
        <v>48</v>
      </c>
      <c r="H993" s="24">
        <v>8190</v>
      </c>
      <c r="I993" s="24">
        <f>T_reg.root.SK[[#This Row],[Volume, kg]]/1000</f>
        <v>8.19</v>
      </c>
      <c r="J993" s="25">
        <v>0.22500000000000001</v>
      </c>
      <c r="K993" s="25">
        <f t="shared" si="15"/>
        <v>1842.75</v>
      </c>
      <c r="L993" s="25">
        <v>3.35</v>
      </c>
      <c r="M993" s="24">
        <v>27436.5</v>
      </c>
      <c r="N993" s="25">
        <f>IFERROR(T_reg.root.SK[[#This Row],[Price]]/T_reg.root.SK[[#This Row],[Starch content]],"")</f>
        <v>14.888888888888889</v>
      </c>
    </row>
    <row r="994" spans="1:14">
      <c r="A994" s="21">
        <v>2023</v>
      </c>
      <c r="B994" s="21" t="s">
        <v>24</v>
      </c>
      <c r="C994" s="21" t="s">
        <v>1145</v>
      </c>
      <c r="D994" s="21" t="s">
        <v>35</v>
      </c>
      <c r="E994" s="17" t="s">
        <v>549</v>
      </c>
      <c r="F994" s="18" t="s">
        <v>47</v>
      </c>
      <c r="G994" s="18" t="s">
        <v>48</v>
      </c>
      <c r="H994" s="24">
        <v>19770</v>
      </c>
      <c r="I994" s="24">
        <f>T_reg.root.SK[[#This Row],[Volume, kg]]/1000</f>
        <v>19.77</v>
      </c>
      <c r="J994" s="25">
        <v>0.19320000000000001</v>
      </c>
      <c r="K994" s="25">
        <f t="shared" si="15"/>
        <v>3819.5640000000003</v>
      </c>
      <c r="L994" s="25">
        <v>3.17</v>
      </c>
      <c r="M994" s="24">
        <v>62620.5</v>
      </c>
      <c r="N994" s="25">
        <f>IFERROR(T_reg.root.SK[[#This Row],[Price]]/T_reg.root.SK[[#This Row],[Starch content]],"")</f>
        <v>16.407867494824014</v>
      </c>
    </row>
    <row r="995" spans="1:14">
      <c r="A995" s="21">
        <v>2023</v>
      </c>
      <c r="B995" s="21" t="s">
        <v>24</v>
      </c>
      <c r="C995" s="21" t="s">
        <v>1145</v>
      </c>
      <c r="D995" s="21" t="s">
        <v>35</v>
      </c>
      <c r="E995" s="17" t="s">
        <v>72</v>
      </c>
      <c r="F995" s="18" t="s">
        <v>47</v>
      </c>
      <c r="G995" s="18" t="s">
        <v>48</v>
      </c>
      <c r="H995" s="24">
        <v>21470</v>
      </c>
      <c r="I995" s="24">
        <f>T_reg.root.SK[[#This Row],[Volume, kg]]/1000</f>
        <v>21.47</v>
      </c>
      <c r="J995" s="25">
        <v>0.20449999999999999</v>
      </c>
      <c r="K995" s="25">
        <f t="shared" si="15"/>
        <v>4390.6149999999998</v>
      </c>
      <c r="L995" s="25">
        <v>3.22</v>
      </c>
      <c r="M995" s="24">
        <v>69096.5</v>
      </c>
      <c r="N995" s="25">
        <f>IFERROR(T_reg.root.SK[[#This Row],[Price]]/T_reg.root.SK[[#This Row],[Starch content]],"")</f>
        <v>15.745721271393645</v>
      </c>
    </row>
    <row r="996" spans="1:14">
      <c r="A996" s="21">
        <v>2023</v>
      </c>
      <c r="B996" s="21" t="s">
        <v>24</v>
      </c>
      <c r="C996" s="21" t="s">
        <v>1145</v>
      </c>
      <c r="D996" s="21" t="s">
        <v>35</v>
      </c>
      <c r="E996" s="17" t="s">
        <v>381</v>
      </c>
      <c r="F996" s="18" t="s">
        <v>47</v>
      </c>
      <c r="G996" s="18" t="s">
        <v>48</v>
      </c>
      <c r="H996" s="24">
        <v>4870</v>
      </c>
      <c r="I996" s="24">
        <f>T_reg.root.SK[[#This Row],[Volume, kg]]/1000</f>
        <v>4.87</v>
      </c>
      <c r="J996" s="25">
        <v>0.17550000000000002</v>
      </c>
      <c r="K996" s="25">
        <f t="shared" si="15"/>
        <v>854.68500000000006</v>
      </c>
      <c r="L996" s="25">
        <v>3.1</v>
      </c>
      <c r="M996" s="24">
        <v>15097</v>
      </c>
      <c r="N996" s="25">
        <f>IFERROR(T_reg.root.SK[[#This Row],[Price]]/T_reg.root.SK[[#This Row],[Starch content]],"")</f>
        <v>17.663817663817664</v>
      </c>
    </row>
    <row r="997" spans="1:14">
      <c r="A997" s="21">
        <v>2023</v>
      </c>
      <c r="B997" s="21" t="s">
        <v>24</v>
      </c>
      <c r="C997" s="21" t="s">
        <v>1145</v>
      </c>
      <c r="D997" s="21" t="s">
        <v>35</v>
      </c>
      <c r="E997" s="17" t="s">
        <v>475</v>
      </c>
      <c r="F997" s="18" t="s">
        <v>47</v>
      </c>
      <c r="G997" s="18" t="s">
        <v>48</v>
      </c>
      <c r="H997" s="24">
        <v>47420</v>
      </c>
      <c r="I997" s="24">
        <f>T_reg.root.SK[[#This Row],[Volume, kg]]/1000</f>
        <v>47.42</v>
      </c>
      <c r="J997" s="25">
        <v>0.20300000000000001</v>
      </c>
      <c r="K997" s="25">
        <f t="shared" si="15"/>
        <v>9626.26</v>
      </c>
      <c r="L997" s="25">
        <v>3.21</v>
      </c>
      <c r="M997" s="24">
        <v>152266</v>
      </c>
      <c r="N997" s="25">
        <f>IFERROR(T_reg.root.SK[[#This Row],[Price]]/T_reg.root.SK[[#This Row],[Starch content]],"")</f>
        <v>15.812807881773399</v>
      </c>
    </row>
    <row r="998" spans="1:14">
      <c r="A998" s="21">
        <v>2023</v>
      </c>
      <c r="B998" s="21" t="s">
        <v>24</v>
      </c>
      <c r="C998" s="21" t="s">
        <v>1145</v>
      </c>
      <c r="D998" s="21" t="s">
        <v>35</v>
      </c>
      <c r="E998" s="17" t="s">
        <v>77</v>
      </c>
      <c r="F998" s="18" t="s">
        <v>47</v>
      </c>
      <c r="G998" s="18" t="s">
        <v>48</v>
      </c>
      <c r="H998" s="24">
        <v>21050</v>
      </c>
      <c r="I998" s="24">
        <f>T_reg.root.SK[[#This Row],[Volume, kg]]/1000</f>
        <v>21.05</v>
      </c>
      <c r="J998" s="25">
        <v>0.19570000000000001</v>
      </c>
      <c r="K998" s="25">
        <f t="shared" si="15"/>
        <v>4119.4850000000006</v>
      </c>
      <c r="L998" s="25">
        <v>3.18</v>
      </c>
      <c r="M998" s="24">
        <v>66846</v>
      </c>
      <c r="N998" s="25">
        <f>IFERROR(T_reg.root.SK[[#This Row],[Price]]/T_reg.root.SK[[#This Row],[Starch content]],"")</f>
        <v>16.249361267245785</v>
      </c>
    </row>
    <row r="999" spans="1:14">
      <c r="A999" s="21">
        <v>2023</v>
      </c>
      <c r="B999" s="21" t="s">
        <v>24</v>
      </c>
      <c r="C999" s="21" t="s">
        <v>1145</v>
      </c>
      <c r="D999" s="21" t="s">
        <v>35</v>
      </c>
      <c r="E999" s="17" t="s">
        <v>476</v>
      </c>
      <c r="F999" s="18" t="s">
        <v>47</v>
      </c>
      <c r="G999" s="18" t="s">
        <v>48</v>
      </c>
      <c r="H999" s="24">
        <v>9260</v>
      </c>
      <c r="I999" s="24">
        <f>T_reg.root.SK[[#This Row],[Volume, kg]]/1000</f>
        <v>9.26</v>
      </c>
      <c r="J999" s="25">
        <v>0.1925</v>
      </c>
      <c r="K999" s="25">
        <f t="shared" si="15"/>
        <v>1782.55</v>
      </c>
      <c r="L999" s="25">
        <v>3.15</v>
      </c>
      <c r="M999" s="24">
        <v>29169</v>
      </c>
      <c r="N999" s="25">
        <f>IFERROR(T_reg.root.SK[[#This Row],[Price]]/T_reg.root.SK[[#This Row],[Starch content]],"")</f>
        <v>16.363636363636363</v>
      </c>
    </row>
    <row r="1000" spans="1:14">
      <c r="A1000" s="21">
        <v>2023</v>
      </c>
      <c r="B1000" s="21" t="s">
        <v>24</v>
      </c>
      <c r="C1000" s="21" t="s">
        <v>1145</v>
      </c>
      <c r="D1000" s="21" t="s">
        <v>35</v>
      </c>
      <c r="E1000" s="17" t="s">
        <v>383</v>
      </c>
      <c r="F1000" s="18" t="s">
        <v>47</v>
      </c>
      <c r="G1000" s="18" t="s">
        <v>48</v>
      </c>
      <c r="H1000" s="24">
        <v>42590</v>
      </c>
      <c r="I1000" s="24">
        <f>T_reg.root.SK[[#This Row],[Volume, kg]]/1000</f>
        <v>42.59</v>
      </c>
      <c r="J1000" s="25">
        <v>0.19879999999999998</v>
      </c>
      <c r="K1000" s="25">
        <f t="shared" si="15"/>
        <v>8466.8919999999998</v>
      </c>
      <c r="L1000" s="25">
        <v>3.19</v>
      </c>
      <c r="M1000" s="24">
        <v>135668.5</v>
      </c>
      <c r="N1000" s="25">
        <f>IFERROR(T_reg.root.SK[[#This Row],[Price]]/T_reg.root.SK[[#This Row],[Starch content]],"")</f>
        <v>16.046277665995976</v>
      </c>
    </row>
    <row r="1001" spans="1:14">
      <c r="A1001" s="21">
        <v>2023</v>
      </c>
      <c r="B1001" s="21" t="s">
        <v>24</v>
      </c>
      <c r="C1001" s="21" t="s">
        <v>1145</v>
      </c>
      <c r="D1001" s="21" t="s">
        <v>35</v>
      </c>
      <c r="E1001" s="17" t="s">
        <v>550</v>
      </c>
      <c r="F1001" s="18" t="s">
        <v>551</v>
      </c>
      <c r="G1001" s="18" t="s">
        <v>220</v>
      </c>
      <c r="H1001" s="24">
        <v>19990</v>
      </c>
      <c r="I1001" s="24">
        <f>T_reg.root.SK[[#This Row],[Volume, kg]]/1000</f>
        <v>19.989999999999998</v>
      </c>
      <c r="J1001" s="25">
        <v>0.2114</v>
      </c>
      <c r="K1001" s="25">
        <f t="shared" si="15"/>
        <v>4225.8860000000004</v>
      </c>
      <c r="L1001" s="25">
        <v>3.11</v>
      </c>
      <c r="M1001" s="24">
        <v>62196.5</v>
      </c>
      <c r="N1001" s="25">
        <f>IFERROR(T_reg.root.SK[[#This Row],[Price]]/T_reg.root.SK[[#This Row],[Starch content]],"")</f>
        <v>14.711447492904446</v>
      </c>
    </row>
    <row r="1002" spans="1:14">
      <c r="A1002" s="21">
        <v>2023</v>
      </c>
      <c r="B1002" s="21" t="s">
        <v>24</v>
      </c>
      <c r="C1002" s="21" t="s">
        <v>1145</v>
      </c>
      <c r="D1002" s="21" t="s">
        <v>35</v>
      </c>
      <c r="E1002" s="17" t="s">
        <v>477</v>
      </c>
      <c r="F1002" s="18" t="s">
        <v>83</v>
      </c>
      <c r="G1002" s="18" t="s">
        <v>48</v>
      </c>
      <c r="H1002" s="24">
        <v>28360</v>
      </c>
      <c r="I1002" s="24">
        <f>T_reg.root.SK[[#This Row],[Volume, kg]]/1000</f>
        <v>28.36</v>
      </c>
      <c r="J1002" s="25">
        <v>0.20860000000000001</v>
      </c>
      <c r="K1002" s="25">
        <f t="shared" si="15"/>
        <v>5915.8960000000006</v>
      </c>
      <c r="L1002" s="25">
        <v>3.24</v>
      </c>
      <c r="M1002" s="24">
        <v>91910</v>
      </c>
      <c r="N1002" s="25">
        <f>IFERROR(T_reg.root.SK[[#This Row],[Price]]/T_reg.root.SK[[#This Row],[Starch content]],"")</f>
        <v>15.532118887823586</v>
      </c>
    </row>
    <row r="1003" spans="1:14">
      <c r="A1003" s="21">
        <v>2023</v>
      </c>
      <c r="B1003" s="21" t="s">
        <v>24</v>
      </c>
      <c r="C1003" s="21" t="s">
        <v>1145</v>
      </c>
      <c r="D1003" s="21" t="s">
        <v>39</v>
      </c>
      <c r="E1003" s="17" t="s">
        <v>85</v>
      </c>
      <c r="F1003" s="18" t="s">
        <v>86</v>
      </c>
      <c r="G1003" s="18" t="s">
        <v>87</v>
      </c>
      <c r="H1003" s="24">
        <v>12330510</v>
      </c>
      <c r="I1003" s="24">
        <f>T_reg.root.SK[[#This Row],[Volume, kg]]/1000</f>
        <v>12330.51</v>
      </c>
      <c r="J1003" s="25">
        <v>0.24670000000000003</v>
      </c>
      <c r="K1003" s="25">
        <f t="shared" si="15"/>
        <v>3041936.8170000003</v>
      </c>
      <c r="L1003" s="25">
        <v>3.65</v>
      </c>
      <c r="M1003" s="24">
        <v>44956261</v>
      </c>
      <c r="N1003" s="25">
        <f>IFERROR(T_reg.root.SK[[#This Row],[Price]]/T_reg.root.SK[[#This Row],[Starch content]],"")</f>
        <v>14.795297932711794</v>
      </c>
    </row>
    <row r="1004" spans="1:14">
      <c r="A1004" s="21">
        <v>2023</v>
      </c>
      <c r="B1004" s="21" t="s">
        <v>24</v>
      </c>
      <c r="C1004" s="21" t="s">
        <v>1145</v>
      </c>
      <c r="D1004" s="21" t="s">
        <v>39</v>
      </c>
      <c r="E1004" s="17" t="s">
        <v>88</v>
      </c>
      <c r="F1004" s="18" t="s">
        <v>89</v>
      </c>
      <c r="G1004" s="18" t="s">
        <v>90</v>
      </c>
      <c r="H1004" s="24">
        <v>2070680</v>
      </c>
      <c r="I1004" s="24">
        <f>T_reg.root.SK[[#This Row],[Volume, kg]]/1000</f>
        <v>2070.6799999999998</v>
      </c>
      <c r="J1004" s="25">
        <v>0.23800000000000002</v>
      </c>
      <c r="K1004" s="25">
        <f t="shared" si="15"/>
        <v>492821.84</v>
      </c>
      <c r="L1004" s="25">
        <v>3.52</v>
      </c>
      <c r="M1004" s="24">
        <v>7294750.5</v>
      </c>
      <c r="N1004" s="25">
        <f>IFERROR(T_reg.root.SK[[#This Row],[Price]]/T_reg.root.SK[[#This Row],[Starch content]],"")</f>
        <v>14.789915966386554</v>
      </c>
    </row>
    <row r="1005" spans="1:14">
      <c r="A1005" s="21">
        <v>2023</v>
      </c>
      <c r="B1005" s="21" t="s">
        <v>24</v>
      </c>
      <c r="C1005" s="21" t="s">
        <v>1145</v>
      </c>
      <c r="D1005" s="21" t="s">
        <v>35</v>
      </c>
      <c r="E1005" s="17" t="s">
        <v>91</v>
      </c>
      <c r="F1005" s="18" t="s">
        <v>92</v>
      </c>
      <c r="G1005" s="18" t="s">
        <v>48</v>
      </c>
      <c r="H1005" s="24">
        <v>22780</v>
      </c>
      <c r="I1005" s="24">
        <f>T_reg.root.SK[[#This Row],[Volume, kg]]/1000</f>
        <v>22.78</v>
      </c>
      <c r="J1005" s="25">
        <v>0.18590000000000001</v>
      </c>
      <c r="K1005" s="25">
        <f t="shared" si="15"/>
        <v>4234.8020000000006</v>
      </c>
      <c r="L1005" s="25">
        <v>3.13</v>
      </c>
      <c r="M1005" s="24">
        <v>71275</v>
      </c>
      <c r="N1005" s="25">
        <f>IFERROR(T_reg.root.SK[[#This Row],[Price]]/T_reg.root.SK[[#This Row],[Starch content]],"")</f>
        <v>16.837009144701451</v>
      </c>
    </row>
    <row r="1006" spans="1:14">
      <c r="A1006" s="21">
        <v>2023</v>
      </c>
      <c r="B1006" s="21" t="s">
        <v>24</v>
      </c>
      <c r="C1006" s="21" t="s">
        <v>1145</v>
      </c>
      <c r="D1006" s="21" t="s">
        <v>35</v>
      </c>
      <c r="E1006" s="17" t="s">
        <v>93</v>
      </c>
      <c r="F1006" s="18" t="s">
        <v>92</v>
      </c>
      <c r="G1006" s="18" t="s">
        <v>48</v>
      </c>
      <c r="H1006" s="24">
        <v>18300</v>
      </c>
      <c r="I1006" s="24">
        <f>T_reg.root.SK[[#This Row],[Volume, kg]]/1000</f>
        <v>18.3</v>
      </c>
      <c r="J1006" s="25">
        <v>0.14599999999999999</v>
      </c>
      <c r="K1006" s="25">
        <f t="shared" si="15"/>
        <v>2671.7999999999997</v>
      </c>
      <c r="L1006" s="25">
        <v>2.93</v>
      </c>
      <c r="M1006" s="24">
        <v>53531.5</v>
      </c>
      <c r="N1006" s="25">
        <f>IFERROR(T_reg.root.SK[[#This Row],[Price]]/T_reg.root.SK[[#This Row],[Starch content]],"")</f>
        <v>20.068493150684933</v>
      </c>
    </row>
    <row r="1007" spans="1:14">
      <c r="A1007" s="21">
        <v>2023</v>
      </c>
      <c r="B1007" s="21" t="s">
        <v>24</v>
      </c>
      <c r="C1007" s="21" t="s">
        <v>1145</v>
      </c>
      <c r="D1007" s="21" t="s">
        <v>39</v>
      </c>
      <c r="E1007" s="17" t="s">
        <v>94</v>
      </c>
      <c r="F1007" s="18" t="s">
        <v>95</v>
      </c>
      <c r="G1007" s="18" t="s">
        <v>48</v>
      </c>
      <c r="H1007" s="24">
        <v>1275720</v>
      </c>
      <c r="I1007" s="24">
        <f>T_reg.root.SK[[#This Row],[Volume, kg]]/1000</f>
        <v>1275.72</v>
      </c>
      <c r="J1007" s="25">
        <v>0.20610000000000001</v>
      </c>
      <c r="K1007" s="25">
        <f t="shared" si="15"/>
        <v>262925.89199999999</v>
      </c>
      <c r="L1007" s="25">
        <v>3.28</v>
      </c>
      <c r="M1007" s="24">
        <v>4185261</v>
      </c>
      <c r="N1007" s="25">
        <f>IFERROR(T_reg.root.SK[[#This Row],[Price]]/T_reg.root.SK[[#This Row],[Starch content]],"")</f>
        <v>15.914604560892769</v>
      </c>
    </row>
    <row r="1008" spans="1:14">
      <c r="A1008" s="21">
        <v>2023</v>
      </c>
      <c r="B1008" s="21" t="s">
        <v>24</v>
      </c>
      <c r="C1008" s="21" t="s">
        <v>1145</v>
      </c>
      <c r="D1008" s="21" t="s">
        <v>39</v>
      </c>
      <c r="E1008" s="17" t="s">
        <v>552</v>
      </c>
      <c r="F1008" s="18" t="s">
        <v>95</v>
      </c>
      <c r="G1008" s="18" t="s">
        <v>48</v>
      </c>
      <c r="H1008" s="24">
        <v>2197740</v>
      </c>
      <c r="I1008" s="24">
        <f>T_reg.root.SK[[#This Row],[Volume, kg]]/1000</f>
        <v>2197.7399999999998</v>
      </c>
      <c r="J1008" s="25">
        <v>0.2243</v>
      </c>
      <c r="K1008" s="25">
        <f t="shared" si="15"/>
        <v>492953.08199999999</v>
      </c>
      <c r="L1008" s="25">
        <v>3.45</v>
      </c>
      <c r="M1008" s="24">
        <v>7585762.5</v>
      </c>
      <c r="N1008" s="25">
        <f>IFERROR(T_reg.root.SK[[#This Row],[Price]]/T_reg.root.SK[[#This Row],[Starch content]],"")</f>
        <v>15.381185911725369</v>
      </c>
    </row>
    <row r="1009" spans="1:14">
      <c r="A1009" s="21">
        <v>2023</v>
      </c>
      <c r="B1009" s="21" t="s">
        <v>24</v>
      </c>
      <c r="C1009" s="21" t="s">
        <v>1145</v>
      </c>
      <c r="D1009" s="21" t="s">
        <v>35</v>
      </c>
      <c r="E1009" s="17" t="s">
        <v>553</v>
      </c>
      <c r="F1009" s="18" t="s">
        <v>95</v>
      </c>
      <c r="G1009" s="18" t="s">
        <v>48</v>
      </c>
      <c r="H1009" s="24">
        <v>7930</v>
      </c>
      <c r="I1009" s="24">
        <f>T_reg.root.SK[[#This Row],[Volume, kg]]/1000</f>
        <v>7.93</v>
      </c>
      <c r="J1009" s="25">
        <v>0.22</v>
      </c>
      <c r="K1009" s="25">
        <f t="shared" si="15"/>
        <v>1744.6</v>
      </c>
      <c r="L1009" s="25">
        <v>3.3</v>
      </c>
      <c r="M1009" s="24">
        <v>26169</v>
      </c>
      <c r="N1009" s="25">
        <f>IFERROR(T_reg.root.SK[[#This Row],[Price]]/T_reg.root.SK[[#This Row],[Starch content]],"")</f>
        <v>15</v>
      </c>
    </row>
    <row r="1010" spans="1:14">
      <c r="A1010" s="21">
        <v>2023</v>
      </c>
      <c r="B1010" s="21" t="s">
        <v>24</v>
      </c>
      <c r="C1010" s="21" t="s">
        <v>1145</v>
      </c>
      <c r="D1010" s="21" t="s">
        <v>35</v>
      </c>
      <c r="E1010" s="17" t="s">
        <v>554</v>
      </c>
      <c r="F1010" s="18" t="s">
        <v>95</v>
      </c>
      <c r="G1010" s="18" t="s">
        <v>48</v>
      </c>
      <c r="H1010" s="24">
        <v>7720</v>
      </c>
      <c r="I1010" s="24">
        <f>T_reg.root.SK[[#This Row],[Volume, kg]]/1000</f>
        <v>7.72</v>
      </c>
      <c r="J1010" s="25">
        <v>0.24850000000000003</v>
      </c>
      <c r="K1010" s="25">
        <f t="shared" si="15"/>
        <v>1918.4200000000003</v>
      </c>
      <c r="L1010" s="25">
        <v>3.45</v>
      </c>
      <c r="M1010" s="24">
        <v>26634</v>
      </c>
      <c r="N1010" s="25">
        <f>IFERROR(T_reg.root.SK[[#This Row],[Price]]/T_reg.root.SK[[#This Row],[Starch content]],"")</f>
        <v>13.883299798792756</v>
      </c>
    </row>
    <row r="1011" spans="1:14">
      <c r="A1011" s="21">
        <v>2023</v>
      </c>
      <c r="B1011" s="21" t="s">
        <v>24</v>
      </c>
      <c r="C1011" s="21" t="s">
        <v>1145</v>
      </c>
      <c r="D1011" s="21" t="s">
        <v>39</v>
      </c>
      <c r="E1011" s="17" t="s">
        <v>98</v>
      </c>
      <c r="F1011" s="18" t="s">
        <v>99</v>
      </c>
      <c r="G1011" s="18" t="s">
        <v>42</v>
      </c>
      <c r="H1011" s="24">
        <v>202790</v>
      </c>
      <c r="I1011" s="24">
        <f>T_reg.root.SK[[#This Row],[Volume, kg]]/1000</f>
        <v>202.79</v>
      </c>
      <c r="J1011" s="25">
        <v>0.22409999999999999</v>
      </c>
      <c r="K1011" s="25">
        <f t="shared" si="15"/>
        <v>45445.239000000001</v>
      </c>
      <c r="L1011" s="25">
        <v>3.54</v>
      </c>
      <c r="M1011" s="24">
        <v>717061</v>
      </c>
      <c r="N1011" s="25">
        <f>IFERROR(T_reg.root.SK[[#This Row],[Price]]/T_reg.root.SK[[#This Row],[Starch content]],"")</f>
        <v>15.796519410977243</v>
      </c>
    </row>
    <row r="1012" spans="1:14">
      <c r="A1012" s="21">
        <v>2023</v>
      </c>
      <c r="B1012" s="21" t="s">
        <v>24</v>
      </c>
      <c r="C1012" s="21" t="s">
        <v>1145</v>
      </c>
      <c r="D1012" s="21" t="s">
        <v>39</v>
      </c>
      <c r="E1012" s="17" t="s">
        <v>346</v>
      </c>
      <c r="F1012" s="18" t="s">
        <v>99</v>
      </c>
      <c r="G1012" s="18" t="s">
        <v>42</v>
      </c>
      <c r="H1012" s="24">
        <v>2391060</v>
      </c>
      <c r="I1012" s="24">
        <f>T_reg.root.SK[[#This Row],[Volume, kg]]/1000</f>
        <v>2391.06</v>
      </c>
      <c r="J1012" s="25">
        <v>0.21129999999999999</v>
      </c>
      <c r="K1012" s="25">
        <f t="shared" si="15"/>
        <v>505230.97799999994</v>
      </c>
      <c r="L1012" s="25">
        <v>3.33</v>
      </c>
      <c r="M1012" s="24">
        <v>7959542.5</v>
      </c>
      <c r="N1012" s="25">
        <f>IFERROR(T_reg.root.SK[[#This Row],[Price]]/T_reg.root.SK[[#This Row],[Starch content]],"")</f>
        <v>15.759583530525321</v>
      </c>
    </row>
    <row r="1013" spans="1:14">
      <c r="A1013" s="21">
        <v>2023</v>
      </c>
      <c r="B1013" s="21" t="s">
        <v>24</v>
      </c>
      <c r="C1013" s="21" t="s">
        <v>1145</v>
      </c>
      <c r="D1013" s="21" t="s">
        <v>39</v>
      </c>
      <c r="E1013" s="17" t="s">
        <v>101</v>
      </c>
      <c r="F1013" s="18" t="s">
        <v>102</v>
      </c>
      <c r="G1013" s="18" t="s">
        <v>103</v>
      </c>
      <c r="H1013" s="24">
        <v>743360</v>
      </c>
      <c r="I1013" s="24">
        <f>T_reg.root.SK[[#This Row],[Volume, kg]]/1000</f>
        <v>743.36</v>
      </c>
      <c r="J1013" s="25">
        <v>0.23850000000000002</v>
      </c>
      <c r="K1013" s="25">
        <f t="shared" si="15"/>
        <v>177291.36000000002</v>
      </c>
      <c r="L1013" s="25">
        <v>3.5</v>
      </c>
      <c r="M1013" s="24">
        <v>2604545</v>
      </c>
      <c r="N1013" s="25">
        <f>IFERROR(T_reg.root.SK[[#This Row],[Price]]/T_reg.root.SK[[#This Row],[Starch content]],"")</f>
        <v>14.675052410901467</v>
      </c>
    </row>
    <row r="1014" spans="1:14">
      <c r="A1014" s="21">
        <v>2023</v>
      </c>
      <c r="B1014" s="21" t="s">
        <v>24</v>
      </c>
      <c r="C1014" s="21" t="s">
        <v>1145</v>
      </c>
      <c r="D1014" s="21" t="s">
        <v>35</v>
      </c>
      <c r="E1014" s="17" t="s">
        <v>555</v>
      </c>
      <c r="F1014" s="18" t="s">
        <v>283</v>
      </c>
      <c r="G1014" s="18" t="s">
        <v>48</v>
      </c>
      <c r="H1014" s="24">
        <v>54600</v>
      </c>
      <c r="I1014" s="24">
        <f>T_reg.root.SK[[#This Row],[Volume, kg]]/1000</f>
        <v>54.6</v>
      </c>
      <c r="J1014" s="25">
        <v>0.23480000000000001</v>
      </c>
      <c r="K1014" s="25">
        <f t="shared" si="15"/>
        <v>12820.08</v>
      </c>
      <c r="L1014" s="25">
        <v>3.22</v>
      </c>
      <c r="M1014" s="24">
        <v>175750.5</v>
      </c>
      <c r="N1014" s="25">
        <f>IFERROR(T_reg.root.SK[[#This Row],[Price]]/T_reg.root.SK[[#This Row],[Starch content]],"")</f>
        <v>13.713798977853493</v>
      </c>
    </row>
    <row r="1015" spans="1:14">
      <c r="A1015" s="21">
        <v>2023</v>
      </c>
      <c r="B1015" s="21" t="s">
        <v>24</v>
      </c>
      <c r="C1015" s="21" t="s">
        <v>1145</v>
      </c>
      <c r="D1015" s="21" t="s">
        <v>35</v>
      </c>
      <c r="E1015" s="17" t="s">
        <v>185</v>
      </c>
      <c r="F1015" s="18" t="s">
        <v>105</v>
      </c>
      <c r="G1015" s="18" t="s">
        <v>48</v>
      </c>
      <c r="H1015" s="24">
        <v>6910</v>
      </c>
      <c r="I1015" s="24">
        <f>T_reg.root.SK[[#This Row],[Volume, kg]]/1000</f>
        <v>6.91</v>
      </c>
      <c r="J1015" s="25">
        <v>0.14550000000000002</v>
      </c>
      <c r="K1015" s="25">
        <f t="shared" si="15"/>
        <v>1005.4050000000001</v>
      </c>
      <c r="L1015" s="25">
        <v>2.8</v>
      </c>
      <c r="M1015" s="24">
        <v>19348</v>
      </c>
      <c r="N1015" s="25">
        <f>IFERROR(T_reg.root.SK[[#This Row],[Price]]/T_reg.root.SK[[#This Row],[Starch content]],"")</f>
        <v>19.243986254295528</v>
      </c>
    </row>
    <row r="1016" spans="1:14">
      <c r="A1016" s="21">
        <v>2023</v>
      </c>
      <c r="B1016" s="21" t="s">
        <v>24</v>
      </c>
      <c r="C1016" s="21" t="s">
        <v>1145</v>
      </c>
      <c r="D1016" s="21" t="s">
        <v>35</v>
      </c>
      <c r="E1016" s="17" t="s">
        <v>104</v>
      </c>
      <c r="F1016" s="18" t="s">
        <v>105</v>
      </c>
      <c r="G1016" s="18" t="s">
        <v>48</v>
      </c>
      <c r="H1016" s="24">
        <v>37620</v>
      </c>
      <c r="I1016" s="24">
        <f>T_reg.root.SK[[#This Row],[Volume, kg]]/1000</f>
        <v>37.619999999999997</v>
      </c>
      <c r="J1016" s="25">
        <v>0.2349</v>
      </c>
      <c r="K1016" s="25">
        <f t="shared" si="15"/>
        <v>8836.9380000000001</v>
      </c>
      <c r="L1016" s="25">
        <v>3.23</v>
      </c>
      <c r="M1016" s="24">
        <v>121375</v>
      </c>
      <c r="N1016" s="25">
        <f>IFERROR(T_reg.root.SK[[#This Row],[Price]]/T_reg.root.SK[[#This Row],[Starch content]],"")</f>
        <v>13.750532141336739</v>
      </c>
    </row>
    <row r="1017" spans="1:14">
      <c r="A1017" s="21">
        <v>2023</v>
      </c>
      <c r="B1017" s="21" t="s">
        <v>24</v>
      </c>
      <c r="C1017" s="21" t="s">
        <v>1145</v>
      </c>
      <c r="D1017" s="21" t="s">
        <v>35</v>
      </c>
      <c r="E1017" s="17" t="s">
        <v>481</v>
      </c>
      <c r="F1017" s="18" t="s">
        <v>105</v>
      </c>
      <c r="G1017" s="18" t="s">
        <v>48</v>
      </c>
      <c r="H1017" s="24">
        <v>12460</v>
      </c>
      <c r="I1017" s="24">
        <f>T_reg.root.SK[[#This Row],[Volume, kg]]/1000</f>
        <v>12.46</v>
      </c>
      <c r="J1017" s="25">
        <v>0.20430000000000001</v>
      </c>
      <c r="K1017" s="25">
        <f t="shared" si="15"/>
        <v>2545.578</v>
      </c>
      <c r="L1017" s="25">
        <v>3.08</v>
      </c>
      <c r="M1017" s="24">
        <v>38414.5</v>
      </c>
      <c r="N1017" s="25">
        <f>IFERROR(T_reg.root.SK[[#This Row],[Price]]/T_reg.root.SK[[#This Row],[Starch content]],"")</f>
        <v>15.075868820362212</v>
      </c>
    </row>
    <row r="1018" spans="1:14">
      <c r="A1018" s="21">
        <v>2023</v>
      </c>
      <c r="B1018" s="21" t="s">
        <v>24</v>
      </c>
      <c r="C1018" s="21" t="s">
        <v>1145</v>
      </c>
      <c r="D1018" s="21" t="s">
        <v>35</v>
      </c>
      <c r="E1018" s="17" t="s">
        <v>289</v>
      </c>
      <c r="F1018" s="18" t="s">
        <v>105</v>
      </c>
      <c r="G1018" s="18" t="s">
        <v>48</v>
      </c>
      <c r="H1018" s="24">
        <v>10510</v>
      </c>
      <c r="I1018" s="24">
        <f>T_reg.root.SK[[#This Row],[Volume, kg]]/1000</f>
        <v>10.51</v>
      </c>
      <c r="J1018" s="25">
        <v>0.19800000000000001</v>
      </c>
      <c r="K1018" s="25">
        <f t="shared" si="15"/>
        <v>2080.98</v>
      </c>
      <c r="L1018" s="25">
        <v>3.05</v>
      </c>
      <c r="M1018" s="24">
        <v>32039</v>
      </c>
      <c r="N1018" s="25">
        <f>IFERROR(T_reg.root.SK[[#This Row],[Price]]/T_reg.root.SK[[#This Row],[Starch content]],"")</f>
        <v>15.404040404040403</v>
      </c>
    </row>
    <row r="1019" spans="1:14">
      <c r="A1019" s="21">
        <v>2023</v>
      </c>
      <c r="B1019" s="21" t="s">
        <v>24</v>
      </c>
      <c r="C1019" s="21" t="s">
        <v>1145</v>
      </c>
      <c r="D1019" s="21" t="s">
        <v>35</v>
      </c>
      <c r="E1019" s="17" t="s">
        <v>107</v>
      </c>
      <c r="F1019" s="18" t="s">
        <v>105</v>
      </c>
      <c r="G1019" s="18" t="s">
        <v>48</v>
      </c>
      <c r="H1019" s="24">
        <v>22670</v>
      </c>
      <c r="I1019" s="24">
        <f>T_reg.root.SK[[#This Row],[Volume, kg]]/1000</f>
        <v>22.67</v>
      </c>
      <c r="J1019" s="25">
        <v>0.20420000000000002</v>
      </c>
      <c r="K1019" s="25">
        <f t="shared" si="15"/>
        <v>4629.2140000000009</v>
      </c>
      <c r="L1019" s="25">
        <v>3.11</v>
      </c>
      <c r="M1019" s="24">
        <v>70530</v>
      </c>
      <c r="N1019" s="25">
        <f>IFERROR(T_reg.root.SK[[#This Row],[Price]]/T_reg.root.SK[[#This Row],[Starch content]],"")</f>
        <v>15.230166503428009</v>
      </c>
    </row>
    <row r="1020" spans="1:14">
      <c r="A1020" s="21">
        <v>2023</v>
      </c>
      <c r="B1020" s="21" t="s">
        <v>24</v>
      </c>
      <c r="C1020" s="21" t="s">
        <v>1145</v>
      </c>
      <c r="D1020" s="21" t="s">
        <v>35</v>
      </c>
      <c r="E1020" s="17" t="s">
        <v>108</v>
      </c>
      <c r="F1020" s="18" t="s">
        <v>105</v>
      </c>
      <c r="G1020" s="18" t="s">
        <v>48</v>
      </c>
      <c r="H1020" s="24">
        <v>11980</v>
      </c>
      <c r="I1020" s="24">
        <f>T_reg.root.SK[[#This Row],[Volume, kg]]/1000</f>
        <v>11.98</v>
      </c>
      <c r="J1020" s="25">
        <v>0.21230000000000002</v>
      </c>
      <c r="K1020" s="25">
        <f t="shared" si="15"/>
        <v>2543.3540000000003</v>
      </c>
      <c r="L1020" s="25">
        <v>3.17</v>
      </c>
      <c r="M1020" s="24">
        <v>38013</v>
      </c>
      <c r="N1020" s="25">
        <f>IFERROR(T_reg.root.SK[[#This Row],[Price]]/T_reg.root.SK[[#This Row],[Starch content]],"")</f>
        <v>14.931700423928401</v>
      </c>
    </row>
    <row r="1021" spans="1:14">
      <c r="A1021" s="21">
        <v>2023</v>
      </c>
      <c r="B1021" s="21" t="s">
        <v>24</v>
      </c>
      <c r="C1021" s="21" t="s">
        <v>1145</v>
      </c>
      <c r="D1021" s="21" t="s">
        <v>35</v>
      </c>
      <c r="E1021" s="17" t="s">
        <v>401</v>
      </c>
      <c r="F1021" s="18" t="s">
        <v>105</v>
      </c>
      <c r="G1021" s="18" t="s">
        <v>48</v>
      </c>
      <c r="H1021" s="24">
        <v>38950</v>
      </c>
      <c r="I1021" s="24">
        <f>T_reg.root.SK[[#This Row],[Volume, kg]]/1000</f>
        <v>38.950000000000003</v>
      </c>
      <c r="J1021" s="25">
        <v>0.1772</v>
      </c>
      <c r="K1021" s="25">
        <f t="shared" si="15"/>
        <v>6901.94</v>
      </c>
      <c r="L1021" s="25">
        <v>2.93</v>
      </c>
      <c r="M1021" s="24">
        <v>114231.5</v>
      </c>
      <c r="N1021" s="25">
        <f>IFERROR(T_reg.root.SK[[#This Row],[Price]]/T_reg.root.SK[[#This Row],[Starch content]],"")</f>
        <v>16.534988713318285</v>
      </c>
    </row>
    <row r="1022" spans="1:14">
      <c r="A1022" s="21">
        <v>2023</v>
      </c>
      <c r="B1022" s="21" t="s">
        <v>24</v>
      </c>
      <c r="C1022" s="21" t="s">
        <v>1145</v>
      </c>
      <c r="D1022" s="21" t="s">
        <v>35</v>
      </c>
      <c r="E1022" s="17" t="s">
        <v>292</v>
      </c>
      <c r="F1022" s="18" t="s">
        <v>105</v>
      </c>
      <c r="G1022" s="18" t="s">
        <v>48</v>
      </c>
      <c r="H1022" s="24">
        <v>19190</v>
      </c>
      <c r="I1022" s="24">
        <f>T_reg.root.SK[[#This Row],[Volume, kg]]/1000</f>
        <v>19.190000000000001</v>
      </c>
      <c r="J1022" s="25">
        <v>0.1898</v>
      </c>
      <c r="K1022" s="25">
        <f t="shared" si="15"/>
        <v>3642.2619999999997</v>
      </c>
      <c r="L1022" s="25">
        <v>3</v>
      </c>
      <c r="M1022" s="24">
        <v>57570</v>
      </c>
      <c r="N1022" s="25">
        <f>IFERROR(T_reg.root.SK[[#This Row],[Price]]/T_reg.root.SK[[#This Row],[Starch content]],"")</f>
        <v>15.806111696522656</v>
      </c>
    </row>
    <row r="1023" spans="1:14">
      <c r="A1023" s="21">
        <v>2023</v>
      </c>
      <c r="B1023" s="21" t="s">
        <v>24</v>
      </c>
      <c r="C1023" s="21" t="s">
        <v>1145</v>
      </c>
      <c r="D1023" s="21" t="s">
        <v>35</v>
      </c>
      <c r="E1023" s="17" t="s">
        <v>293</v>
      </c>
      <c r="F1023" s="18" t="s">
        <v>105</v>
      </c>
      <c r="G1023" s="18" t="s">
        <v>48</v>
      </c>
      <c r="H1023" s="24">
        <v>6770</v>
      </c>
      <c r="I1023" s="24">
        <f>T_reg.root.SK[[#This Row],[Volume, kg]]/1000</f>
        <v>6.77</v>
      </c>
      <c r="J1023" s="25">
        <v>0.20730000000000001</v>
      </c>
      <c r="K1023" s="25">
        <f t="shared" si="15"/>
        <v>1403.421</v>
      </c>
      <c r="L1023" s="25">
        <v>3.1</v>
      </c>
      <c r="M1023" s="24">
        <v>20987</v>
      </c>
      <c r="N1023" s="25">
        <f>IFERROR(T_reg.root.SK[[#This Row],[Price]]/T_reg.root.SK[[#This Row],[Starch content]],"")</f>
        <v>14.954172696575011</v>
      </c>
    </row>
    <row r="1024" spans="1:14">
      <c r="A1024" s="21">
        <v>2023</v>
      </c>
      <c r="B1024" s="21" t="s">
        <v>24</v>
      </c>
      <c r="C1024" s="21" t="s">
        <v>1145</v>
      </c>
      <c r="D1024" s="21" t="s">
        <v>35</v>
      </c>
      <c r="E1024" s="17" t="s">
        <v>294</v>
      </c>
      <c r="F1024" s="18" t="s">
        <v>105</v>
      </c>
      <c r="G1024" s="18" t="s">
        <v>48</v>
      </c>
      <c r="H1024" s="24">
        <v>9450</v>
      </c>
      <c r="I1024" s="24">
        <f>T_reg.root.SK[[#This Row],[Volume, kg]]/1000</f>
        <v>9.4499999999999993</v>
      </c>
      <c r="J1024" s="25">
        <v>0.22500000000000001</v>
      </c>
      <c r="K1024" s="25">
        <f t="shared" si="15"/>
        <v>2126.25</v>
      </c>
      <c r="L1024" s="25">
        <v>3.2</v>
      </c>
      <c r="M1024" s="24">
        <v>30240</v>
      </c>
      <c r="N1024" s="25">
        <f>IFERROR(T_reg.root.SK[[#This Row],[Price]]/T_reg.root.SK[[#This Row],[Starch content]],"")</f>
        <v>14.222222222222223</v>
      </c>
    </row>
    <row r="1025" spans="1:14">
      <c r="A1025" s="21">
        <v>2023</v>
      </c>
      <c r="B1025" s="21" t="s">
        <v>24</v>
      </c>
      <c r="C1025" s="21" t="s">
        <v>1145</v>
      </c>
      <c r="D1025" s="21" t="s">
        <v>35</v>
      </c>
      <c r="E1025" s="17" t="s">
        <v>110</v>
      </c>
      <c r="F1025" s="18" t="s">
        <v>105</v>
      </c>
      <c r="G1025" s="18" t="s">
        <v>48</v>
      </c>
      <c r="H1025" s="24">
        <v>20000</v>
      </c>
      <c r="I1025" s="24">
        <f>T_reg.root.SK[[#This Row],[Volume, kg]]/1000</f>
        <v>20</v>
      </c>
      <c r="J1025" s="25">
        <v>0.19440000000000002</v>
      </c>
      <c r="K1025" s="25">
        <f t="shared" si="15"/>
        <v>3888.0000000000005</v>
      </c>
      <c r="L1025" s="25">
        <v>3.03</v>
      </c>
      <c r="M1025" s="24">
        <v>60545</v>
      </c>
      <c r="N1025" s="25">
        <f>IFERROR(T_reg.root.SK[[#This Row],[Price]]/T_reg.root.SK[[#This Row],[Starch content]],"")</f>
        <v>15.586419753086417</v>
      </c>
    </row>
    <row r="1026" spans="1:14">
      <c r="A1026" s="21">
        <v>2023</v>
      </c>
      <c r="B1026" s="21" t="s">
        <v>24</v>
      </c>
      <c r="C1026" s="21" t="s">
        <v>1145</v>
      </c>
      <c r="D1026" s="21" t="s">
        <v>35</v>
      </c>
      <c r="E1026" s="17" t="s">
        <v>556</v>
      </c>
      <c r="F1026" s="18" t="s">
        <v>105</v>
      </c>
      <c r="G1026" s="18" t="s">
        <v>48</v>
      </c>
      <c r="H1026" s="24">
        <v>57030</v>
      </c>
      <c r="I1026" s="24">
        <f>T_reg.root.SK[[#This Row],[Volume, kg]]/1000</f>
        <v>57.03</v>
      </c>
      <c r="J1026" s="25">
        <v>0.16839999999999999</v>
      </c>
      <c r="K1026" s="25">
        <f t="shared" si="15"/>
        <v>9603.851999999999</v>
      </c>
      <c r="L1026" s="25">
        <v>2.9</v>
      </c>
      <c r="M1026" s="24">
        <v>165475</v>
      </c>
      <c r="N1026" s="25">
        <f>IFERROR(T_reg.root.SK[[#This Row],[Price]]/T_reg.root.SK[[#This Row],[Starch content]],"")</f>
        <v>17.220902612826603</v>
      </c>
    </row>
    <row r="1027" spans="1:14">
      <c r="A1027" s="21">
        <v>2023</v>
      </c>
      <c r="B1027" s="21" t="s">
        <v>24</v>
      </c>
      <c r="C1027" s="21" t="s">
        <v>1145</v>
      </c>
      <c r="D1027" s="21" t="s">
        <v>35</v>
      </c>
      <c r="E1027" s="17" t="s">
        <v>112</v>
      </c>
      <c r="F1027" s="18" t="s">
        <v>105</v>
      </c>
      <c r="G1027" s="18" t="s">
        <v>48</v>
      </c>
      <c r="H1027" s="24">
        <v>16150</v>
      </c>
      <c r="I1027" s="24">
        <f>T_reg.root.SK[[#This Row],[Volume, kg]]/1000</f>
        <v>16.149999999999999</v>
      </c>
      <c r="J1027" s="25">
        <v>0.1807</v>
      </c>
      <c r="K1027" s="25">
        <f t="shared" ref="K1027:K1090" si="16">H1027*J1027</f>
        <v>2918.3049999999998</v>
      </c>
      <c r="L1027" s="25">
        <v>2.95</v>
      </c>
      <c r="M1027" s="24">
        <v>47685</v>
      </c>
      <c r="N1027" s="25">
        <f>IFERROR(T_reg.root.SK[[#This Row],[Price]]/T_reg.root.SK[[#This Row],[Starch content]],"")</f>
        <v>16.325401217487549</v>
      </c>
    </row>
    <row r="1028" spans="1:14">
      <c r="A1028" s="21">
        <v>2023</v>
      </c>
      <c r="B1028" s="21" t="s">
        <v>24</v>
      </c>
      <c r="C1028" s="21" t="s">
        <v>1145</v>
      </c>
      <c r="D1028" s="21" t="s">
        <v>35</v>
      </c>
      <c r="E1028" s="17" t="s">
        <v>482</v>
      </c>
      <c r="F1028" s="18" t="s">
        <v>105</v>
      </c>
      <c r="G1028" s="18" t="s">
        <v>48</v>
      </c>
      <c r="H1028" s="24">
        <v>66030</v>
      </c>
      <c r="I1028" s="24">
        <f>T_reg.root.SK[[#This Row],[Volume, kg]]/1000</f>
        <v>66.03</v>
      </c>
      <c r="J1028" s="25">
        <v>0.20910000000000001</v>
      </c>
      <c r="K1028" s="25">
        <f t="shared" si="16"/>
        <v>13806.873000000001</v>
      </c>
      <c r="L1028" s="25">
        <v>3.09</v>
      </c>
      <c r="M1028" s="24">
        <v>204308.5</v>
      </c>
      <c r="N1028" s="25">
        <f>IFERROR(T_reg.root.SK[[#This Row],[Price]]/T_reg.root.SK[[#This Row],[Starch content]],"")</f>
        <v>14.777618364418936</v>
      </c>
    </row>
    <row r="1029" spans="1:14">
      <c r="A1029" s="21">
        <v>2023</v>
      </c>
      <c r="B1029" s="21" t="s">
        <v>24</v>
      </c>
      <c r="C1029" s="21" t="s">
        <v>1145</v>
      </c>
      <c r="D1029" s="21" t="s">
        <v>35</v>
      </c>
      <c r="E1029" s="17" t="s">
        <v>113</v>
      </c>
      <c r="F1029" s="18" t="s">
        <v>105</v>
      </c>
      <c r="G1029" s="18" t="s">
        <v>48</v>
      </c>
      <c r="H1029" s="24">
        <v>0</v>
      </c>
      <c r="I1029" s="24">
        <f>T_reg.root.SK[[#This Row],[Volume, kg]]/1000</f>
        <v>0</v>
      </c>
      <c r="J1029" s="25">
        <v>0</v>
      </c>
      <c r="K1029" s="25">
        <f t="shared" si="16"/>
        <v>0</v>
      </c>
      <c r="L1029" s="25">
        <v>0</v>
      </c>
      <c r="M1029" s="24">
        <v>0</v>
      </c>
      <c r="N1029" s="25" t="str">
        <f>IFERROR(T_reg.root.SK[[#This Row],[Price]]/T_reg.root.SK[[#This Row],[Starch content]],"")</f>
        <v/>
      </c>
    </row>
    <row r="1030" spans="1:14">
      <c r="A1030" s="21">
        <v>2023</v>
      </c>
      <c r="B1030" s="21" t="s">
        <v>24</v>
      </c>
      <c r="C1030" s="21" t="s">
        <v>1145</v>
      </c>
      <c r="D1030" s="21" t="s">
        <v>35</v>
      </c>
      <c r="E1030" s="17" t="s">
        <v>557</v>
      </c>
      <c r="F1030" s="18" t="s">
        <v>105</v>
      </c>
      <c r="G1030" s="18" t="s">
        <v>48</v>
      </c>
      <c r="H1030" s="24">
        <v>53630</v>
      </c>
      <c r="I1030" s="24">
        <f>T_reg.root.SK[[#This Row],[Volume, kg]]/1000</f>
        <v>53.63</v>
      </c>
      <c r="J1030" s="25">
        <v>0.20860000000000001</v>
      </c>
      <c r="K1030" s="25">
        <f t="shared" si="16"/>
        <v>11187.218000000001</v>
      </c>
      <c r="L1030" s="25">
        <v>3.09</v>
      </c>
      <c r="M1030" s="24">
        <v>165944</v>
      </c>
      <c r="N1030" s="25">
        <f>IFERROR(T_reg.root.SK[[#This Row],[Price]]/T_reg.root.SK[[#This Row],[Starch content]],"")</f>
        <v>14.813039309683603</v>
      </c>
    </row>
    <row r="1031" spans="1:14">
      <c r="A1031" s="21">
        <v>2023</v>
      </c>
      <c r="B1031" s="21" t="s">
        <v>24</v>
      </c>
      <c r="C1031" s="21" t="s">
        <v>1145</v>
      </c>
      <c r="D1031" s="21" t="s">
        <v>35</v>
      </c>
      <c r="E1031" s="17" t="s">
        <v>483</v>
      </c>
      <c r="F1031" s="18" t="s">
        <v>105</v>
      </c>
      <c r="G1031" s="18" t="s">
        <v>48</v>
      </c>
      <c r="H1031" s="24">
        <v>6190</v>
      </c>
      <c r="I1031" s="24">
        <f>T_reg.root.SK[[#This Row],[Volume, kg]]/1000</f>
        <v>6.19</v>
      </c>
      <c r="J1031" s="25">
        <v>0.21100000000000002</v>
      </c>
      <c r="K1031" s="25">
        <f t="shared" si="16"/>
        <v>1306.0900000000001</v>
      </c>
      <c r="L1031" s="25">
        <v>3.1</v>
      </c>
      <c r="M1031" s="24">
        <v>19189</v>
      </c>
      <c r="N1031" s="25">
        <f>IFERROR(T_reg.root.SK[[#This Row],[Price]]/T_reg.root.SK[[#This Row],[Starch content]],"")</f>
        <v>14.691943127962084</v>
      </c>
    </row>
    <row r="1032" spans="1:14">
      <c r="A1032" s="21">
        <v>2023</v>
      </c>
      <c r="B1032" s="21" t="s">
        <v>24</v>
      </c>
      <c r="C1032" s="21" t="s">
        <v>1145</v>
      </c>
      <c r="D1032" s="21" t="s">
        <v>35</v>
      </c>
      <c r="E1032" s="17" t="s">
        <v>558</v>
      </c>
      <c r="F1032" s="18" t="s">
        <v>105</v>
      </c>
      <c r="G1032" s="18" t="s">
        <v>48</v>
      </c>
      <c r="H1032" s="24">
        <v>12070</v>
      </c>
      <c r="I1032" s="24">
        <f>T_reg.root.SK[[#This Row],[Volume, kg]]/1000</f>
        <v>12.07</v>
      </c>
      <c r="J1032" s="25">
        <v>0.16239999999999999</v>
      </c>
      <c r="K1032" s="25">
        <f t="shared" si="16"/>
        <v>1960.1679999999999</v>
      </c>
      <c r="L1032" s="25">
        <v>2.86</v>
      </c>
      <c r="M1032" s="24">
        <v>34504</v>
      </c>
      <c r="N1032" s="25">
        <f>IFERROR(T_reg.root.SK[[#This Row],[Price]]/T_reg.root.SK[[#This Row],[Starch content]],"")</f>
        <v>17.610837438423644</v>
      </c>
    </row>
    <row r="1033" spans="1:14">
      <c r="A1033" s="21">
        <v>2023</v>
      </c>
      <c r="B1033" s="21" t="s">
        <v>24</v>
      </c>
      <c r="C1033" s="21" t="s">
        <v>1145</v>
      </c>
      <c r="D1033" s="21" t="s">
        <v>35</v>
      </c>
      <c r="E1033" s="17" t="s">
        <v>235</v>
      </c>
      <c r="F1033" s="18" t="s">
        <v>105</v>
      </c>
      <c r="G1033" s="18" t="s">
        <v>48</v>
      </c>
      <c r="H1033" s="24">
        <v>4720</v>
      </c>
      <c r="I1033" s="24">
        <f>T_reg.root.SK[[#This Row],[Volume, kg]]/1000</f>
        <v>4.72</v>
      </c>
      <c r="J1033" s="25">
        <v>0.184</v>
      </c>
      <c r="K1033" s="25">
        <f t="shared" si="16"/>
        <v>868.48</v>
      </c>
      <c r="L1033" s="25">
        <v>2.96</v>
      </c>
      <c r="M1033" s="24">
        <v>13982</v>
      </c>
      <c r="N1033" s="25">
        <f>IFERROR(T_reg.root.SK[[#This Row],[Price]]/T_reg.root.SK[[#This Row],[Starch content]],"")</f>
        <v>16.086956521739129</v>
      </c>
    </row>
    <row r="1034" spans="1:14">
      <c r="A1034" s="21">
        <v>2023</v>
      </c>
      <c r="B1034" s="21" t="s">
        <v>24</v>
      </c>
      <c r="C1034" s="21" t="s">
        <v>1145</v>
      </c>
      <c r="D1034" s="21" t="s">
        <v>35</v>
      </c>
      <c r="E1034" s="17" t="s">
        <v>559</v>
      </c>
      <c r="F1034" s="18" t="s">
        <v>105</v>
      </c>
      <c r="G1034" s="18" t="s">
        <v>48</v>
      </c>
      <c r="H1034" s="24">
        <v>110600</v>
      </c>
      <c r="I1034" s="24">
        <f>T_reg.root.SK[[#This Row],[Volume, kg]]/1000</f>
        <v>110.6</v>
      </c>
      <c r="J1034" s="25">
        <v>0.222</v>
      </c>
      <c r="K1034" s="25">
        <f t="shared" si="16"/>
        <v>24553.200000000001</v>
      </c>
      <c r="L1034" s="25">
        <v>3.16</v>
      </c>
      <c r="M1034" s="24">
        <v>349044.5</v>
      </c>
      <c r="N1034" s="25">
        <f>IFERROR(T_reg.root.SK[[#This Row],[Price]]/T_reg.root.SK[[#This Row],[Starch content]],"")</f>
        <v>14.234234234234235</v>
      </c>
    </row>
    <row r="1035" spans="1:14">
      <c r="A1035" s="21">
        <v>2023</v>
      </c>
      <c r="B1035" s="21" t="s">
        <v>24</v>
      </c>
      <c r="C1035" s="21" t="s">
        <v>1145</v>
      </c>
      <c r="D1035" s="21" t="s">
        <v>35</v>
      </c>
      <c r="E1035" s="17" t="s">
        <v>560</v>
      </c>
      <c r="F1035" s="18" t="s">
        <v>105</v>
      </c>
      <c r="G1035" s="18" t="s">
        <v>48</v>
      </c>
      <c r="H1035" s="24">
        <v>9940</v>
      </c>
      <c r="I1035" s="24">
        <f>T_reg.root.SK[[#This Row],[Volume, kg]]/1000</f>
        <v>9.94</v>
      </c>
      <c r="J1035" s="25">
        <v>0.19399999999999998</v>
      </c>
      <c r="K1035" s="25">
        <f t="shared" si="16"/>
        <v>1928.3599999999997</v>
      </c>
      <c r="L1035" s="25">
        <v>3</v>
      </c>
      <c r="M1035" s="24">
        <v>29820</v>
      </c>
      <c r="N1035" s="25">
        <f>IFERROR(T_reg.root.SK[[#This Row],[Price]]/T_reg.root.SK[[#This Row],[Starch content]],"")</f>
        <v>15.463917525773198</v>
      </c>
    </row>
    <row r="1036" spans="1:14">
      <c r="A1036" s="21">
        <v>2023</v>
      </c>
      <c r="B1036" s="21" t="s">
        <v>24</v>
      </c>
      <c r="C1036" s="21" t="s">
        <v>1145</v>
      </c>
      <c r="D1036" s="21" t="s">
        <v>35</v>
      </c>
      <c r="E1036" s="17" t="s">
        <v>115</v>
      </c>
      <c r="F1036" s="18" t="s">
        <v>105</v>
      </c>
      <c r="G1036" s="18" t="s">
        <v>48</v>
      </c>
      <c r="H1036" s="24">
        <v>13200</v>
      </c>
      <c r="I1036" s="24">
        <f>T_reg.root.SK[[#This Row],[Volume, kg]]/1000</f>
        <v>13.2</v>
      </c>
      <c r="J1036" s="25">
        <v>0.1825</v>
      </c>
      <c r="K1036" s="25">
        <f t="shared" si="16"/>
        <v>2409</v>
      </c>
      <c r="L1036" s="25">
        <v>2.95</v>
      </c>
      <c r="M1036" s="24">
        <v>38940</v>
      </c>
      <c r="N1036" s="25">
        <f>IFERROR(T_reg.root.SK[[#This Row],[Price]]/T_reg.root.SK[[#This Row],[Starch content]],"")</f>
        <v>16.164383561643838</v>
      </c>
    </row>
    <row r="1037" spans="1:14">
      <c r="A1037" s="21">
        <v>2023</v>
      </c>
      <c r="B1037" s="21" t="s">
        <v>24</v>
      </c>
      <c r="C1037" s="21" t="s">
        <v>1145</v>
      </c>
      <c r="D1037" s="21" t="s">
        <v>35</v>
      </c>
      <c r="E1037" s="17" t="s">
        <v>296</v>
      </c>
      <c r="F1037" s="18" t="s">
        <v>105</v>
      </c>
      <c r="G1037" s="18" t="s">
        <v>48</v>
      </c>
      <c r="H1037" s="24">
        <v>71710</v>
      </c>
      <c r="I1037" s="24">
        <f>T_reg.root.SK[[#This Row],[Volume, kg]]/1000</f>
        <v>71.709999999999994</v>
      </c>
      <c r="J1037" s="25">
        <v>0.20489999999999997</v>
      </c>
      <c r="K1037" s="25">
        <f t="shared" si="16"/>
        <v>14693.378999999997</v>
      </c>
      <c r="L1037" s="25">
        <v>3.07</v>
      </c>
      <c r="M1037" s="24">
        <v>220283.5</v>
      </c>
      <c r="N1037" s="25">
        <f>IFERROR(T_reg.root.SK[[#This Row],[Price]]/T_reg.root.SK[[#This Row],[Starch content]],"")</f>
        <v>14.982918496827722</v>
      </c>
    </row>
    <row r="1038" spans="1:14">
      <c r="A1038" s="21">
        <v>2023</v>
      </c>
      <c r="B1038" s="21" t="s">
        <v>24</v>
      </c>
      <c r="C1038" s="21" t="s">
        <v>1145</v>
      </c>
      <c r="D1038" s="21" t="s">
        <v>35</v>
      </c>
      <c r="E1038" s="17" t="s">
        <v>561</v>
      </c>
      <c r="F1038" s="18" t="s">
        <v>105</v>
      </c>
      <c r="G1038" s="18" t="s">
        <v>48</v>
      </c>
      <c r="H1038" s="24">
        <v>8330</v>
      </c>
      <c r="I1038" s="24">
        <f>T_reg.root.SK[[#This Row],[Volume, kg]]/1000</f>
        <v>8.33</v>
      </c>
      <c r="J1038" s="25">
        <v>0.20399999999999999</v>
      </c>
      <c r="K1038" s="25">
        <f t="shared" si="16"/>
        <v>1699.32</v>
      </c>
      <c r="L1038" s="25">
        <v>3.05</v>
      </c>
      <c r="M1038" s="24">
        <v>25406.5</v>
      </c>
      <c r="N1038" s="25">
        <f>IFERROR(T_reg.root.SK[[#This Row],[Price]]/T_reg.root.SK[[#This Row],[Starch content]],"")</f>
        <v>14.950980392156863</v>
      </c>
    </row>
    <row r="1039" spans="1:14">
      <c r="A1039" s="21">
        <v>2023</v>
      </c>
      <c r="B1039" s="21" t="s">
        <v>24</v>
      </c>
      <c r="C1039" s="21" t="s">
        <v>1145</v>
      </c>
      <c r="D1039" s="21" t="s">
        <v>35</v>
      </c>
      <c r="E1039" s="17" t="s">
        <v>484</v>
      </c>
      <c r="F1039" s="18" t="s">
        <v>105</v>
      </c>
      <c r="G1039" s="18" t="s">
        <v>48</v>
      </c>
      <c r="H1039" s="24">
        <v>110930</v>
      </c>
      <c r="I1039" s="24">
        <f>T_reg.root.SK[[#This Row],[Volume, kg]]/1000</f>
        <v>110.93</v>
      </c>
      <c r="J1039" s="25">
        <v>0.21820000000000001</v>
      </c>
      <c r="K1039" s="25">
        <f t="shared" si="16"/>
        <v>24204.925999999999</v>
      </c>
      <c r="L1039" s="25">
        <v>3.14</v>
      </c>
      <c r="M1039" s="24">
        <v>348518.5</v>
      </c>
      <c r="N1039" s="25">
        <f>IFERROR(T_reg.root.SK[[#This Row],[Price]]/T_reg.root.SK[[#This Row],[Starch content]],"")</f>
        <v>14.390467461044913</v>
      </c>
    </row>
    <row r="1040" spans="1:14">
      <c r="A1040" s="21">
        <v>2023</v>
      </c>
      <c r="B1040" s="21" t="s">
        <v>24</v>
      </c>
      <c r="C1040" s="21" t="s">
        <v>1145</v>
      </c>
      <c r="D1040" s="21" t="s">
        <v>35</v>
      </c>
      <c r="E1040" s="17" t="s">
        <v>117</v>
      </c>
      <c r="F1040" s="18" t="s">
        <v>105</v>
      </c>
      <c r="G1040" s="18" t="s">
        <v>48</v>
      </c>
      <c r="H1040" s="24">
        <v>6840</v>
      </c>
      <c r="I1040" s="24">
        <f>T_reg.root.SK[[#This Row],[Volume, kg]]/1000</f>
        <v>6.84</v>
      </c>
      <c r="J1040" s="25">
        <v>0.249</v>
      </c>
      <c r="K1040" s="25">
        <f t="shared" si="16"/>
        <v>1703.16</v>
      </c>
      <c r="L1040" s="25">
        <v>3.3</v>
      </c>
      <c r="M1040" s="24">
        <v>22572</v>
      </c>
      <c r="N1040" s="25">
        <f>IFERROR(T_reg.root.SK[[#This Row],[Price]]/T_reg.root.SK[[#This Row],[Starch content]],"")</f>
        <v>13.253012048192771</v>
      </c>
    </row>
    <row r="1041" spans="1:14">
      <c r="A1041" s="21">
        <v>2023</v>
      </c>
      <c r="B1041" s="21" t="s">
        <v>24</v>
      </c>
      <c r="C1041" s="21" t="s">
        <v>1145</v>
      </c>
      <c r="D1041" s="21" t="s">
        <v>35</v>
      </c>
      <c r="E1041" s="17" t="s">
        <v>297</v>
      </c>
      <c r="F1041" s="18" t="s">
        <v>105</v>
      </c>
      <c r="G1041" s="18" t="s">
        <v>48</v>
      </c>
      <c r="H1041" s="24">
        <v>40940</v>
      </c>
      <c r="I1041" s="24">
        <f>T_reg.root.SK[[#This Row],[Volume, kg]]/1000</f>
        <v>40.94</v>
      </c>
      <c r="J1041" s="25">
        <v>0.21530000000000002</v>
      </c>
      <c r="K1041" s="25">
        <f t="shared" si="16"/>
        <v>8814.3820000000014</v>
      </c>
      <c r="L1041" s="25">
        <v>3.13</v>
      </c>
      <c r="M1041" s="24">
        <v>128024</v>
      </c>
      <c r="N1041" s="25">
        <f>IFERROR(T_reg.root.SK[[#This Row],[Price]]/T_reg.root.SK[[#This Row],[Starch content]],"")</f>
        <v>14.537854156990244</v>
      </c>
    </row>
    <row r="1042" spans="1:14">
      <c r="A1042" s="21">
        <v>2023</v>
      </c>
      <c r="B1042" s="21" t="s">
        <v>24</v>
      </c>
      <c r="C1042" s="21" t="s">
        <v>1145</v>
      </c>
      <c r="D1042" s="21" t="s">
        <v>35</v>
      </c>
      <c r="E1042" s="17" t="s">
        <v>118</v>
      </c>
      <c r="F1042" s="18" t="s">
        <v>105</v>
      </c>
      <c r="G1042" s="18" t="s">
        <v>48</v>
      </c>
      <c r="H1042" s="24">
        <v>466860</v>
      </c>
      <c r="I1042" s="24">
        <f>T_reg.root.SK[[#This Row],[Volume, kg]]/1000</f>
        <v>466.86</v>
      </c>
      <c r="J1042" s="25">
        <v>0.18780000000000002</v>
      </c>
      <c r="K1042" s="25">
        <f t="shared" si="16"/>
        <v>87676.308000000005</v>
      </c>
      <c r="L1042" s="25">
        <v>3.04</v>
      </c>
      <c r="M1042" s="24">
        <v>1419778.5</v>
      </c>
      <c r="N1042" s="25">
        <f>IFERROR(T_reg.root.SK[[#This Row],[Price]]/T_reg.root.SK[[#This Row],[Starch content]],"")</f>
        <v>16.187433439829604</v>
      </c>
    </row>
    <row r="1043" spans="1:14">
      <c r="A1043" s="21">
        <v>2023</v>
      </c>
      <c r="B1043" s="21" t="s">
        <v>24</v>
      </c>
      <c r="C1043" s="21" t="s">
        <v>1145</v>
      </c>
      <c r="D1043" s="21" t="s">
        <v>35</v>
      </c>
      <c r="E1043" s="17" t="s">
        <v>119</v>
      </c>
      <c r="F1043" s="18" t="s">
        <v>105</v>
      </c>
      <c r="G1043" s="18" t="s">
        <v>48</v>
      </c>
      <c r="H1043" s="24">
        <v>31770</v>
      </c>
      <c r="I1043" s="24">
        <f>T_reg.root.SK[[#This Row],[Volume, kg]]/1000</f>
        <v>31.77</v>
      </c>
      <c r="J1043" s="25">
        <v>0.23749999999999999</v>
      </c>
      <c r="K1043" s="25">
        <f t="shared" si="16"/>
        <v>7545.375</v>
      </c>
      <c r="L1043" s="25">
        <v>3.24</v>
      </c>
      <c r="M1043" s="24">
        <v>102857</v>
      </c>
      <c r="N1043" s="25">
        <f>IFERROR(T_reg.root.SK[[#This Row],[Price]]/T_reg.root.SK[[#This Row],[Starch content]],"")</f>
        <v>13.642105263157896</v>
      </c>
    </row>
    <row r="1044" spans="1:14">
      <c r="A1044" s="21">
        <v>2023</v>
      </c>
      <c r="B1044" s="21" t="s">
        <v>24</v>
      </c>
      <c r="C1044" s="21" t="s">
        <v>1145</v>
      </c>
      <c r="D1044" s="21" t="s">
        <v>35</v>
      </c>
      <c r="E1044" s="17" t="s">
        <v>485</v>
      </c>
      <c r="F1044" s="18" t="s">
        <v>105</v>
      </c>
      <c r="G1044" s="18" t="s">
        <v>48</v>
      </c>
      <c r="H1044" s="24">
        <v>31030</v>
      </c>
      <c r="I1044" s="24">
        <f>T_reg.root.SK[[#This Row],[Volume, kg]]/1000</f>
        <v>31.03</v>
      </c>
      <c r="J1044" s="25">
        <v>0.22089999999999999</v>
      </c>
      <c r="K1044" s="25">
        <f t="shared" si="16"/>
        <v>6854.5269999999991</v>
      </c>
      <c r="L1044" s="25">
        <v>3.15</v>
      </c>
      <c r="M1044" s="24">
        <v>97812.5</v>
      </c>
      <c r="N1044" s="25">
        <f>IFERROR(T_reg.root.SK[[#This Row],[Price]]/T_reg.root.SK[[#This Row],[Starch content]],"")</f>
        <v>14.259846084200996</v>
      </c>
    </row>
    <row r="1045" spans="1:14">
      <c r="A1045" s="21">
        <v>2023</v>
      </c>
      <c r="B1045" s="21" t="s">
        <v>24</v>
      </c>
      <c r="C1045" s="21" t="s">
        <v>1145</v>
      </c>
      <c r="D1045" s="21" t="s">
        <v>35</v>
      </c>
      <c r="E1045" s="17" t="s">
        <v>121</v>
      </c>
      <c r="F1045" s="18" t="s">
        <v>105</v>
      </c>
      <c r="G1045" s="18" t="s">
        <v>48</v>
      </c>
      <c r="H1045" s="24">
        <v>32140</v>
      </c>
      <c r="I1045" s="24">
        <f>T_reg.root.SK[[#This Row],[Volume, kg]]/1000</f>
        <v>32.14</v>
      </c>
      <c r="J1045" s="25">
        <v>0.23329999999999998</v>
      </c>
      <c r="K1045" s="25">
        <f t="shared" si="16"/>
        <v>7498.2619999999997</v>
      </c>
      <c r="L1045" s="25">
        <v>3.22</v>
      </c>
      <c r="M1045" s="24">
        <v>103500</v>
      </c>
      <c r="N1045" s="25">
        <f>IFERROR(T_reg.root.SK[[#This Row],[Price]]/T_reg.root.SK[[#This Row],[Starch content]],"")</f>
        <v>13.801971710244322</v>
      </c>
    </row>
    <row r="1046" spans="1:14">
      <c r="A1046" s="21">
        <v>2023</v>
      </c>
      <c r="B1046" s="21" t="s">
        <v>24</v>
      </c>
      <c r="C1046" s="21" t="s">
        <v>1145</v>
      </c>
      <c r="D1046" s="21" t="s">
        <v>35</v>
      </c>
      <c r="E1046" s="17" t="s">
        <v>122</v>
      </c>
      <c r="F1046" s="18" t="s">
        <v>105</v>
      </c>
      <c r="G1046" s="18" t="s">
        <v>48</v>
      </c>
      <c r="H1046" s="24">
        <v>63100</v>
      </c>
      <c r="I1046" s="24">
        <f>T_reg.root.SK[[#This Row],[Volume, kg]]/1000</f>
        <v>63.1</v>
      </c>
      <c r="J1046" s="25">
        <v>0.18359999999999999</v>
      </c>
      <c r="K1046" s="25">
        <f t="shared" si="16"/>
        <v>11585.16</v>
      </c>
      <c r="L1046" s="25">
        <v>2.97</v>
      </c>
      <c r="M1046" s="24">
        <v>187173.5</v>
      </c>
      <c r="N1046" s="25">
        <f>IFERROR(T_reg.root.SK[[#This Row],[Price]]/T_reg.root.SK[[#This Row],[Starch content]],"")</f>
        <v>16.176470588235297</v>
      </c>
    </row>
    <row r="1047" spans="1:14">
      <c r="A1047" s="21">
        <v>2023</v>
      </c>
      <c r="B1047" s="21" t="s">
        <v>24</v>
      </c>
      <c r="C1047" s="21" t="s">
        <v>1145</v>
      </c>
      <c r="D1047" s="21" t="s">
        <v>35</v>
      </c>
      <c r="E1047" s="17" t="s">
        <v>562</v>
      </c>
      <c r="F1047" s="18" t="s">
        <v>105</v>
      </c>
      <c r="G1047" s="18" t="s">
        <v>48</v>
      </c>
      <c r="H1047" s="24">
        <v>34100</v>
      </c>
      <c r="I1047" s="24">
        <f>T_reg.root.SK[[#This Row],[Volume, kg]]/1000</f>
        <v>34.1</v>
      </c>
      <c r="J1047" s="25">
        <v>0.21210000000000001</v>
      </c>
      <c r="K1047" s="25">
        <f t="shared" si="16"/>
        <v>7232.6100000000006</v>
      </c>
      <c r="L1047" s="25">
        <v>3.11</v>
      </c>
      <c r="M1047" s="24">
        <v>106109</v>
      </c>
      <c r="N1047" s="25">
        <f>IFERROR(T_reg.root.SK[[#This Row],[Price]]/T_reg.root.SK[[#This Row],[Starch content]],"")</f>
        <v>14.662894860914662</v>
      </c>
    </row>
    <row r="1048" spans="1:14">
      <c r="A1048" s="21">
        <v>2023</v>
      </c>
      <c r="B1048" s="21" t="s">
        <v>24</v>
      </c>
      <c r="C1048" s="21" t="s">
        <v>1145</v>
      </c>
      <c r="D1048" s="21" t="s">
        <v>35</v>
      </c>
      <c r="E1048" s="17" t="s">
        <v>239</v>
      </c>
      <c r="F1048" s="18" t="s">
        <v>105</v>
      </c>
      <c r="G1048" s="18" t="s">
        <v>48</v>
      </c>
      <c r="H1048" s="24">
        <v>15920</v>
      </c>
      <c r="I1048" s="24">
        <f>T_reg.root.SK[[#This Row],[Volume, kg]]/1000</f>
        <v>15.92</v>
      </c>
      <c r="J1048" s="25">
        <v>0.21729999999999999</v>
      </c>
      <c r="K1048" s="25">
        <f t="shared" si="16"/>
        <v>3459.4159999999997</v>
      </c>
      <c r="L1048" s="25">
        <v>3.13</v>
      </c>
      <c r="M1048" s="24">
        <v>49843</v>
      </c>
      <c r="N1048" s="25">
        <f>IFERROR(T_reg.root.SK[[#This Row],[Price]]/T_reg.root.SK[[#This Row],[Starch content]],"")</f>
        <v>14.404049700874367</v>
      </c>
    </row>
    <row r="1049" spans="1:14">
      <c r="A1049" s="21">
        <v>2023</v>
      </c>
      <c r="B1049" s="21" t="s">
        <v>24</v>
      </c>
      <c r="C1049" s="21" t="s">
        <v>1145</v>
      </c>
      <c r="D1049" s="21" t="s">
        <v>35</v>
      </c>
      <c r="E1049" s="17" t="s">
        <v>124</v>
      </c>
      <c r="F1049" s="18" t="s">
        <v>105</v>
      </c>
      <c r="G1049" s="18" t="s">
        <v>48</v>
      </c>
      <c r="H1049" s="24">
        <v>58710</v>
      </c>
      <c r="I1049" s="24">
        <f>T_reg.root.SK[[#This Row],[Volume, kg]]/1000</f>
        <v>58.71</v>
      </c>
      <c r="J1049" s="25">
        <v>0.21289999999999998</v>
      </c>
      <c r="K1049" s="25">
        <f t="shared" si="16"/>
        <v>12499.358999999999</v>
      </c>
      <c r="L1049" s="25">
        <v>3.12</v>
      </c>
      <c r="M1049" s="24">
        <v>183434</v>
      </c>
      <c r="N1049" s="25">
        <f>IFERROR(T_reg.root.SK[[#This Row],[Price]]/T_reg.root.SK[[#This Row],[Starch content]],"")</f>
        <v>14.654767496477222</v>
      </c>
    </row>
    <row r="1050" spans="1:14">
      <c r="A1050" s="21">
        <v>2023</v>
      </c>
      <c r="B1050" s="21" t="s">
        <v>24</v>
      </c>
      <c r="C1050" s="21" t="s">
        <v>1145</v>
      </c>
      <c r="D1050" s="21" t="s">
        <v>35</v>
      </c>
      <c r="E1050" s="17" t="s">
        <v>404</v>
      </c>
      <c r="F1050" s="18" t="s">
        <v>105</v>
      </c>
      <c r="G1050" s="18" t="s">
        <v>48</v>
      </c>
      <c r="H1050" s="24">
        <v>4720</v>
      </c>
      <c r="I1050" s="24">
        <f>T_reg.root.SK[[#This Row],[Volume, kg]]/1000</f>
        <v>4.72</v>
      </c>
      <c r="J1050" s="25">
        <v>0.248</v>
      </c>
      <c r="K1050" s="25">
        <f t="shared" si="16"/>
        <v>1170.56</v>
      </c>
      <c r="L1050" s="25">
        <v>3.3</v>
      </c>
      <c r="M1050" s="24">
        <v>15576</v>
      </c>
      <c r="N1050" s="25">
        <f>IFERROR(T_reg.root.SK[[#This Row],[Price]]/T_reg.root.SK[[#This Row],[Starch content]],"")</f>
        <v>13.306451612903226</v>
      </c>
    </row>
    <row r="1051" spans="1:14">
      <c r="A1051" s="21">
        <v>2023</v>
      </c>
      <c r="B1051" s="21" t="s">
        <v>24</v>
      </c>
      <c r="C1051" s="21" t="s">
        <v>1145</v>
      </c>
      <c r="D1051" s="21" t="s">
        <v>35</v>
      </c>
      <c r="E1051" s="17" t="s">
        <v>563</v>
      </c>
      <c r="F1051" s="18" t="s">
        <v>105</v>
      </c>
      <c r="G1051" s="18" t="s">
        <v>48</v>
      </c>
      <c r="H1051" s="24">
        <v>26890</v>
      </c>
      <c r="I1051" s="24">
        <f>T_reg.root.SK[[#This Row],[Volume, kg]]/1000</f>
        <v>26.89</v>
      </c>
      <c r="J1051" s="25">
        <v>0.21739999999999998</v>
      </c>
      <c r="K1051" s="25">
        <f t="shared" si="16"/>
        <v>5845.8859999999995</v>
      </c>
      <c r="L1051" s="25">
        <v>3.15</v>
      </c>
      <c r="M1051" s="24">
        <v>84652.5</v>
      </c>
      <c r="N1051" s="25">
        <f>IFERROR(T_reg.root.SK[[#This Row],[Price]]/T_reg.root.SK[[#This Row],[Starch content]],"")</f>
        <v>14.489420423183073</v>
      </c>
    </row>
    <row r="1052" spans="1:14">
      <c r="A1052" s="21">
        <v>2023</v>
      </c>
      <c r="B1052" s="21" t="s">
        <v>24</v>
      </c>
      <c r="C1052" s="21" t="s">
        <v>1145</v>
      </c>
      <c r="D1052" s="21" t="s">
        <v>35</v>
      </c>
      <c r="E1052" s="17" t="s">
        <v>487</v>
      </c>
      <c r="F1052" s="18" t="s">
        <v>105</v>
      </c>
      <c r="G1052" s="18" t="s">
        <v>48</v>
      </c>
      <c r="H1052" s="24">
        <v>19720</v>
      </c>
      <c r="I1052" s="24">
        <f>T_reg.root.SK[[#This Row],[Volume, kg]]/1000</f>
        <v>19.72</v>
      </c>
      <c r="J1052" s="25">
        <v>0.21249999999999999</v>
      </c>
      <c r="K1052" s="25">
        <f t="shared" si="16"/>
        <v>4190.5</v>
      </c>
      <c r="L1052" s="25">
        <v>3.12</v>
      </c>
      <c r="M1052" s="24">
        <v>61443.5</v>
      </c>
      <c r="N1052" s="25">
        <f>IFERROR(T_reg.root.SK[[#This Row],[Price]]/T_reg.root.SK[[#This Row],[Starch content]],"")</f>
        <v>14.682352941176472</v>
      </c>
    </row>
    <row r="1053" spans="1:14">
      <c r="A1053" s="21">
        <v>2023</v>
      </c>
      <c r="B1053" s="21" t="s">
        <v>24</v>
      </c>
      <c r="C1053" s="21" t="s">
        <v>1145</v>
      </c>
      <c r="D1053" s="21" t="s">
        <v>35</v>
      </c>
      <c r="E1053" s="17" t="s">
        <v>127</v>
      </c>
      <c r="F1053" s="18" t="s">
        <v>105</v>
      </c>
      <c r="G1053" s="18" t="s">
        <v>48</v>
      </c>
      <c r="H1053" s="24">
        <v>8740</v>
      </c>
      <c r="I1053" s="24">
        <f>T_reg.root.SK[[#This Row],[Volume, kg]]/1000</f>
        <v>8.74</v>
      </c>
      <c r="J1053" s="25">
        <v>0.1867</v>
      </c>
      <c r="K1053" s="25">
        <f t="shared" si="16"/>
        <v>1631.758</v>
      </c>
      <c r="L1053" s="25">
        <v>2.99</v>
      </c>
      <c r="M1053" s="24">
        <v>26168</v>
      </c>
      <c r="N1053" s="25">
        <f>IFERROR(T_reg.root.SK[[#This Row],[Price]]/T_reg.root.SK[[#This Row],[Starch content]],"")</f>
        <v>16.014997321906804</v>
      </c>
    </row>
    <row r="1054" spans="1:14">
      <c r="A1054" s="21">
        <v>2023</v>
      </c>
      <c r="B1054" s="21" t="s">
        <v>24</v>
      </c>
      <c r="C1054" s="21" t="s">
        <v>1145</v>
      </c>
      <c r="D1054" s="21" t="s">
        <v>35</v>
      </c>
      <c r="E1054" s="17" t="s">
        <v>129</v>
      </c>
      <c r="F1054" s="18" t="s">
        <v>105</v>
      </c>
      <c r="G1054" s="18" t="s">
        <v>48</v>
      </c>
      <c r="H1054" s="24">
        <v>4410</v>
      </c>
      <c r="I1054" s="24">
        <f>T_reg.root.SK[[#This Row],[Volume, kg]]/1000</f>
        <v>4.41</v>
      </c>
      <c r="J1054" s="25">
        <v>0.17800000000000002</v>
      </c>
      <c r="K1054" s="25">
        <f t="shared" si="16"/>
        <v>784.98000000000013</v>
      </c>
      <c r="L1054" s="25">
        <v>2.95</v>
      </c>
      <c r="M1054" s="24">
        <v>13009.5</v>
      </c>
      <c r="N1054" s="25">
        <f>IFERROR(T_reg.root.SK[[#This Row],[Price]]/T_reg.root.SK[[#This Row],[Starch content]],"")</f>
        <v>16.573033707865168</v>
      </c>
    </row>
    <row r="1055" spans="1:14">
      <c r="A1055" s="21">
        <v>2023</v>
      </c>
      <c r="B1055" s="21" t="s">
        <v>24</v>
      </c>
      <c r="C1055" s="21" t="s">
        <v>1145</v>
      </c>
      <c r="D1055" s="21" t="s">
        <v>35</v>
      </c>
      <c r="E1055" s="17" t="s">
        <v>564</v>
      </c>
      <c r="F1055" s="18" t="s">
        <v>105</v>
      </c>
      <c r="G1055" s="18" t="s">
        <v>48</v>
      </c>
      <c r="H1055" s="24">
        <v>4470</v>
      </c>
      <c r="I1055" s="24">
        <f>T_reg.root.SK[[#This Row],[Volume, kg]]/1000</f>
        <v>4.47</v>
      </c>
      <c r="J1055" s="25">
        <v>0.16800000000000001</v>
      </c>
      <c r="K1055" s="25">
        <f t="shared" si="16"/>
        <v>750.96</v>
      </c>
      <c r="L1055" s="25">
        <v>2.9</v>
      </c>
      <c r="M1055" s="24">
        <v>12963</v>
      </c>
      <c r="N1055" s="25">
        <f>IFERROR(T_reg.root.SK[[#This Row],[Price]]/T_reg.root.SK[[#This Row],[Starch content]],"")</f>
        <v>17.261904761904759</v>
      </c>
    </row>
    <row r="1056" spans="1:14">
      <c r="A1056" s="21">
        <v>2023</v>
      </c>
      <c r="B1056" s="21" t="s">
        <v>24</v>
      </c>
      <c r="C1056" s="21" t="s">
        <v>1145</v>
      </c>
      <c r="D1056" s="21" t="s">
        <v>35</v>
      </c>
      <c r="E1056" s="17" t="s">
        <v>489</v>
      </c>
      <c r="F1056" s="18" t="s">
        <v>105</v>
      </c>
      <c r="G1056" s="18" t="s">
        <v>48</v>
      </c>
      <c r="H1056" s="24">
        <v>47200</v>
      </c>
      <c r="I1056" s="24">
        <f>T_reg.root.SK[[#This Row],[Volume, kg]]/1000</f>
        <v>47.2</v>
      </c>
      <c r="J1056" s="25">
        <v>0.24390000000000001</v>
      </c>
      <c r="K1056" s="25">
        <f t="shared" si="16"/>
        <v>11512.08</v>
      </c>
      <c r="L1056" s="25">
        <v>3.27</v>
      </c>
      <c r="M1056" s="24">
        <v>154200.5</v>
      </c>
      <c r="N1056" s="25">
        <f>IFERROR(T_reg.root.SK[[#This Row],[Price]]/T_reg.root.SK[[#This Row],[Starch content]],"")</f>
        <v>13.407134071340714</v>
      </c>
    </row>
    <row r="1057" spans="1:14">
      <c r="A1057" s="21">
        <v>2023</v>
      </c>
      <c r="B1057" s="21" t="s">
        <v>24</v>
      </c>
      <c r="C1057" s="21" t="s">
        <v>1145</v>
      </c>
      <c r="D1057" s="21" t="s">
        <v>35</v>
      </c>
      <c r="E1057" s="17" t="s">
        <v>565</v>
      </c>
      <c r="F1057" s="18" t="s">
        <v>105</v>
      </c>
      <c r="G1057" s="18" t="s">
        <v>48</v>
      </c>
      <c r="H1057" s="24">
        <v>14040</v>
      </c>
      <c r="I1057" s="24">
        <f>T_reg.root.SK[[#This Row],[Volume, kg]]/1000</f>
        <v>14.04</v>
      </c>
      <c r="J1057" s="25">
        <v>0.1837</v>
      </c>
      <c r="K1057" s="25">
        <f t="shared" si="16"/>
        <v>2579.1480000000001</v>
      </c>
      <c r="L1057" s="25">
        <v>2.98</v>
      </c>
      <c r="M1057" s="24">
        <v>41846.5</v>
      </c>
      <c r="N1057" s="25">
        <f>IFERROR(T_reg.root.SK[[#This Row],[Price]]/T_reg.root.SK[[#This Row],[Starch content]],"")</f>
        <v>16.222101252041373</v>
      </c>
    </row>
    <row r="1058" spans="1:14">
      <c r="A1058" s="21">
        <v>2023</v>
      </c>
      <c r="B1058" s="21" t="s">
        <v>24</v>
      </c>
      <c r="C1058" s="21" t="s">
        <v>1145</v>
      </c>
      <c r="D1058" s="21" t="s">
        <v>35</v>
      </c>
      <c r="E1058" s="17" t="s">
        <v>300</v>
      </c>
      <c r="F1058" s="18" t="s">
        <v>105</v>
      </c>
      <c r="G1058" s="18" t="s">
        <v>48</v>
      </c>
      <c r="H1058" s="24">
        <v>21100</v>
      </c>
      <c r="I1058" s="24">
        <f>T_reg.root.SK[[#This Row],[Volume, kg]]/1000</f>
        <v>21.1</v>
      </c>
      <c r="J1058" s="25">
        <v>0.22500000000000001</v>
      </c>
      <c r="K1058" s="25">
        <f t="shared" si="16"/>
        <v>4747.5</v>
      </c>
      <c r="L1058" s="25">
        <v>3.2</v>
      </c>
      <c r="M1058" s="24">
        <v>67421.5</v>
      </c>
      <c r="N1058" s="25">
        <f>IFERROR(T_reg.root.SK[[#This Row],[Price]]/T_reg.root.SK[[#This Row],[Starch content]],"")</f>
        <v>14.222222222222223</v>
      </c>
    </row>
    <row r="1059" spans="1:14">
      <c r="A1059" s="21">
        <v>2023</v>
      </c>
      <c r="B1059" s="21" t="s">
        <v>24</v>
      </c>
      <c r="C1059" s="21" t="s">
        <v>1145</v>
      </c>
      <c r="D1059" s="21" t="s">
        <v>35</v>
      </c>
      <c r="E1059" s="17" t="s">
        <v>133</v>
      </c>
      <c r="F1059" s="18" t="s">
        <v>105</v>
      </c>
      <c r="G1059" s="18" t="s">
        <v>48</v>
      </c>
      <c r="H1059" s="24">
        <v>11230</v>
      </c>
      <c r="I1059" s="24">
        <f>T_reg.root.SK[[#This Row],[Volume, kg]]/1000</f>
        <v>11.23</v>
      </c>
      <c r="J1059" s="25">
        <v>0.20610000000000001</v>
      </c>
      <c r="K1059" s="25">
        <f t="shared" si="16"/>
        <v>2314.5030000000002</v>
      </c>
      <c r="L1059" s="25">
        <v>3.08</v>
      </c>
      <c r="M1059" s="24">
        <v>34540.5</v>
      </c>
      <c r="N1059" s="25">
        <f>IFERROR(T_reg.root.SK[[#This Row],[Price]]/T_reg.root.SK[[#This Row],[Starch content]],"")</f>
        <v>14.944201843765162</v>
      </c>
    </row>
    <row r="1060" spans="1:14">
      <c r="A1060" s="21">
        <v>2023</v>
      </c>
      <c r="B1060" s="21" t="s">
        <v>24</v>
      </c>
      <c r="C1060" s="21" t="s">
        <v>1145</v>
      </c>
      <c r="D1060" s="21" t="s">
        <v>35</v>
      </c>
      <c r="E1060" s="17" t="s">
        <v>301</v>
      </c>
      <c r="F1060" s="18" t="s">
        <v>105</v>
      </c>
      <c r="G1060" s="18" t="s">
        <v>48</v>
      </c>
      <c r="H1060" s="24">
        <v>3380</v>
      </c>
      <c r="I1060" s="24">
        <f>T_reg.root.SK[[#This Row],[Volume, kg]]/1000</f>
        <v>3.38</v>
      </c>
      <c r="J1060" s="25">
        <v>0.14050000000000001</v>
      </c>
      <c r="K1060" s="25">
        <f t="shared" si="16"/>
        <v>474.89000000000004</v>
      </c>
      <c r="L1060" s="25">
        <v>2.75</v>
      </c>
      <c r="M1060" s="24">
        <v>9295</v>
      </c>
      <c r="N1060" s="25">
        <f>IFERROR(T_reg.root.SK[[#This Row],[Price]]/T_reg.root.SK[[#This Row],[Starch content]],"")</f>
        <v>19.572953736654803</v>
      </c>
    </row>
    <row r="1061" spans="1:14">
      <c r="A1061" s="21">
        <v>2023</v>
      </c>
      <c r="B1061" s="21" t="s">
        <v>24</v>
      </c>
      <c r="C1061" s="21" t="s">
        <v>1145</v>
      </c>
      <c r="D1061" s="21" t="s">
        <v>35</v>
      </c>
      <c r="E1061" s="17" t="s">
        <v>491</v>
      </c>
      <c r="F1061" s="18" t="s">
        <v>105</v>
      </c>
      <c r="G1061" s="18" t="s">
        <v>48</v>
      </c>
      <c r="H1061" s="24">
        <v>31400</v>
      </c>
      <c r="I1061" s="24">
        <f>T_reg.root.SK[[#This Row],[Volume, kg]]/1000</f>
        <v>31.4</v>
      </c>
      <c r="J1061" s="25">
        <v>0.2014</v>
      </c>
      <c r="K1061" s="25">
        <f t="shared" si="16"/>
        <v>6323.96</v>
      </c>
      <c r="L1061" s="25">
        <v>3.06</v>
      </c>
      <c r="M1061" s="24">
        <v>95980</v>
      </c>
      <c r="N1061" s="25">
        <f>IFERROR(T_reg.root.SK[[#This Row],[Price]]/T_reg.root.SK[[#This Row],[Starch content]],"")</f>
        <v>15.193644488579942</v>
      </c>
    </row>
    <row r="1062" spans="1:14">
      <c r="A1062" s="21">
        <v>2023</v>
      </c>
      <c r="B1062" s="21" t="s">
        <v>24</v>
      </c>
      <c r="C1062" s="21" t="s">
        <v>1145</v>
      </c>
      <c r="D1062" s="21" t="s">
        <v>35</v>
      </c>
      <c r="E1062" s="17" t="s">
        <v>492</v>
      </c>
      <c r="F1062" s="18" t="s">
        <v>105</v>
      </c>
      <c r="G1062" s="18" t="s">
        <v>48</v>
      </c>
      <c r="H1062" s="24">
        <v>9730</v>
      </c>
      <c r="I1062" s="24">
        <f>T_reg.root.SK[[#This Row],[Volume, kg]]/1000</f>
        <v>9.73</v>
      </c>
      <c r="J1062" s="25">
        <v>0.24100000000000002</v>
      </c>
      <c r="K1062" s="25">
        <f t="shared" si="16"/>
        <v>2344.9300000000003</v>
      </c>
      <c r="L1062" s="25">
        <v>3.25</v>
      </c>
      <c r="M1062" s="24">
        <v>31622.5</v>
      </c>
      <c r="N1062" s="25">
        <f>IFERROR(T_reg.root.SK[[#This Row],[Price]]/T_reg.root.SK[[#This Row],[Starch content]],"")</f>
        <v>13.485477178423235</v>
      </c>
    </row>
    <row r="1063" spans="1:14">
      <c r="A1063" s="21">
        <v>2023</v>
      </c>
      <c r="B1063" s="21" t="s">
        <v>24</v>
      </c>
      <c r="C1063" s="21" t="s">
        <v>1145</v>
      </c>
      <c r="D1063" s="21" t="s">
        <v>35</v>
      </c>
      <c r="E1063" s="17" t="s">
        <v>566</v>
      </c>
      <c r="F1063" s="18" t="s">
        <v>105</v>
      </c>
      <c r="G1063" s="18" t="s">
        <v>48</v>
      </c>
      <c r="H1063" s="24">
        <v>38260</v>
      </c>
      <c r="I1063" s="24">
        <f>T_reg.root.SK[[#This Row],[Volume, kg]]/1000</f>
        <v>38.26</v>
      </c>
      <c r="J1063" s="25">
        <v>0.19089999999999999</v>
      </c>
      <c r="K1063" s="25">
        <f t="shared" si="16"/>
        <v>7303.8339999999998</v>
      </c>
      <c r="L1063" s="25">
        <v>3</v>
      </c>
      <c r="M1063" s="24">
        <v>114726.5</v>
      </c>
      <c r="N1063" s="25">
        <f>IFERROR(T_reg.root.SK[[#This Row],[Price]]/T_reg.root.SK[[#This Row],[Starch content]],"")</f>
        <v>15.71503404924044</v>
      </c>
    </row>
    <row r="1064" spans="1:14">
      <c r="A1064" s="21">
        <v>2023</v>
      </c>
      <c r="B1064" s="21" t="s">
        <v>24</v>
      </c>
      <c r="C1064" s="21" t="s">
        <v>1145</v>
      </c>
      <c r="D1064" s="21" t="s">
        <v>35</v>
      </c>
      <c r="E1064" s="17" t="s">
        <v>493</v>
      </c>
      <c r="F1064" s="18" t="s">
        <v>105</v>
      </c>
      <c r="G1064" s="18" t="s">
        <v>48</v>
      </c>
      <c r="H1064" s="24">
        <v>10420</v>
      </c>
      <c r="I1064" s="24">
        <f>T_reg.root.SK[[#This Row],[Volume, kg]]/1000</f>
        <v>10.42</v>
      </c>
      <c r="J1064" s="25">
        <v>0.19030000000000002</v>
      </c>
      <c r="K1064" s="25">
        <f t="shared" si="16"/>
        <v>1982.9260000000002</v>
      </c>
      <c r="L1064" s="25">
        <v>2.99</v>
      </c>
      <c r="M1064" s="24">
        <v>31159.5</v>
      </c>
      <c r="N1064" s="25">
        <f>IFERROR(T_reg.root.SK[[#This Row],[Price]]/T_reg.root.SK[[#This Row],[Starch content]],"")</f>
        <v>15.712033631108774</v>
      </c>
    </row>
    <row r="1065" spans="1:14">
      <c r="A1065" s="21">
        <v>2023</v>
      </c>
      <c r="B1065" s="21" t="s">
        <v>24</v>
      </c>
      <c r="C1065" s="21" t="s">
        <v>1145</v>
      </c>
      <c r="D1065" s="21" t="s">
        <v>35</v>
      </c>
      <c r="E1065" s="17" t="s">
        <v>494</v>
      </c>
      <c r="F1065" s="18" t="s">
        <v>105</v>
      </c>
      <c r="G1065" s="18" t="s">
        <v>48</v>
      </c>
      <c r="H1065" s="24">
        <v>10550</v>
      </c>
      <c r="I1065" s="24">
        <f>T_reg.root.SK[[#This Row],[Volume, kg]]/1000</f>
        <v>10.55</v>
      </c>
      <c r="J1065" s="25">
        <v>0.23550000000000001</v>
      </c>
      <c r="K1065" s="25">
        <f t="shared" si="16"/>
        <v>2484.5250000000001</v>
      </c>
      <c r="L1065" s="25">
        <v>3.25</v>
      </c>
      <c r="M1065" s="24">
        <v>34287.5</v>
      </c>
      <c r="N1065" s="25">
        <f>IFERROR(T_reg.root.SK[[#This Row],[Price]]/T_reg.root.SK[[#This Row],[Starch content]],"")</f>
        <v>13.800424628450106</v>
      </c>
    </row>
    <row r="1066" spans="1:14">
      <c r="A1066" s="21">
        <v>2023</v>
      </c>
      <c r="B1066" s="21" t="s">
        <v>24</v>
      </c>
      <c r="C1066" s="21" t="s">
        <v>1145</v>
      </c>
      <c r="D1066" s="21" t="s">
        <v>35</v>
      </c>
      <c r="E1066" s="17" t="s">
        <v>242</v>
      </c>
      <c r="F1066" s="18" t="s">
        <v>105</v>
      </c>
      <c r="G1066" s="18" t="s">
        <v>48</v>
      </c>
      <c r="H1066" s="24">
        <v>11000</v>
      </c>
      <c r="I1066" s="24">
        <f>T_reg.root.SK[[#This Row],[Volume, kg]]/1000</f>
        <v>11</v>
      </c>
      <c r="J1066" s="25">
        <v>0.18890000000000001</v>
      </c>
      <c r="K1066" s="25">
        <f t="shared" si="16"/>
        <v>2077.9</v>
      </c>
      <c r="L1066" s="25">
        <v>2.99</v>
      </c>
      <c r="M1066" s="24">
        <v>32944.5</v>
      </c>
      <c r="N1066" s="25">
        <f>IFERROR(T_reg.root.SK[[#This Row],[Price]]/T_reg.root.SK[[#This Row],[Starch content]],"")</f>
        <v>15.8284806776072</v>
      </c>
    </row>
    <row r="1067" spans="1:14">
      <c r="A1067" s="21">
        <v>2023</v>
      </c>
      <c r="B1067" s="21" t="s">
        <v>24</v>
      </c>
      <c r="C1067" s="21" t="s">
        <v>1145</v>
      </c>
      <c r="D1067" s="21" t="s">
        <v>35</v>
      </c>
      <c r="E1067" s="17" t="s">
        <v>138</v>
      </c>
      <c r="F1067" s="18" t="s">
        <v>105</v>
      </c>
      <c r="G1067" s="18" t="s">
        <v>48</v>
      </c>
      <c r="H1067" s="24">
        <v>176410</v>
      </c>
      <c r="I1067" s="24">
        <f>T_reg.root.SK[[#This Row],[Volume, kg]]/1000</f>
        <v>176.41</v>
      </c>
      <c r="J1067" s="25">
        <v>0.2137</v>
      </c>
      <c r="K1067" s="25">
        <f t="shared" si="16"/>
        <v>37698.817000000003</v>
      </c>
      <c r="L1067" s="25">
        <v>3.17</v>
      </c>
      <c r="M1067" s="24">
        <v>559434.5</v>
      </c>
      <c r="N1067" s="25">
        <f>IFERROR(T_reg.root.SK[[#This Row],[Price]]/T_reg.root.SK[[#This Row],[Starch content]],"")</f>
        <v>14.83387927000468</v>
      </c>
    </row>
    <row r="1068" spans="1:14">
      <c r="A1068" s="21">
        <v>2023</v>
      </c>
      <c r="B1068" s="21" t="s">
        <v>24</v>
      </c>
      <c r="C1068" s="21" t="s">
        <v>1145</v>
      </c>
      <c r="D1068" s="21" t="s">
        <v>35</v>
      </c>
      <c r="E1068" s="17" t="s">
        <v>303</v>
      </c>
      <c r="F1068" s="18" t="s">
        <v>105</v>
      </c>
      <c r="G1068" s="18" t="s">
        <v>48</v>
      </c>
      <c r="H1068" s="24">
        <v>13780</v>
      </c>
      <c r="I1068" s="24">
        <f>T_reg.root.SK[[#This Row],[Volume, kg]]/1000</f>
        <v>13.78</v>
      </c>
      <c r="J1068" s="25">
        <v>0.21539999999999998</v>
      </c>
      <c r="K1068" s="25">
        <f t="shared" si="16"/>
        <v>2968.2119999999995</v>
      </c>
      <c r="L1068" s="25">
        <v>3.12</v>
      </c>
      <c r="M1068" s="24">
        <v>43034</v>
      </c>
      <c r="N1068" s="25">
        <f>IFERROR(T_reg.root.SK[[#This Row],[Price]]/T_reg.root.SK[[#This Row],[Starch content]],"")</f>
        <v>14.484679665738163</v>
      </c>
    </row>
    <row r="1069" spans="1:14">
      <c r="A1069" s="21">
        <v>2023</v>
      </c>
      <c r="B1069" s="21" t="s">
        <v>24</v>
      </c>
      <c r="C1069" s="21" t="s">
        <v>1145</v>
      </c>
      <c r="D1069" s="21" t="s">
        <v>35</v>
      </c>
      <c r="E1069" s="17" t="s">
        <v>304</v>
      </c>
      <c r="F1069" s="18" t="s">
        <v>105</v>
      </c>
      <c r="G1069" s="18" t="s">
        <v>48</v>
      </c>
      <c r="H1069" s="24">
        <v>16910</v>
      </c>
      <c r="I1069" s="24">
        <f>T_reg.root.SK[[#This Row],[Volume, kg]]/1000</f>
        <v>16.91</v>
      </c>
      <c r="J1069" s="25">
        <v>0.24719999999999998</v>
      </c>
      <c r="K1069" s="25">
        <f t="shared" si="16"/>
        <v>4180.1519999999991</v>
      </c>
      <c r="L1069" s="25">
        <v>3.28</v>
      </c>
      <c r="M1069" s="24">
        <v>55525</v>
      </c>
      <c r="N1069" s="25">
        <f>IFERROR(T_reg.root.SK[[#This Row],[Price]]/T_reg.root.SK[[#This Row],[Starch content]],"")</f>
        <v>13.268608414239482</v>
      </c>
    </row>
    <row r="1070" spans="1:14">
      <c r="A1070" s="21">
        <v>2023</v>
      </c>
      <c r="B1070" s="21" t="s">
        <v>24</v>
      </c>
      <c r="C1070" s="21" t="s">
        <v>1145</v>
      </c>
      <c r="D1070" s="21" t="s">
        <v>35</v>
      </c>
      <c r="E1070" s="17" t="s">
        <v>495</v>
      </c>
      <c r="F1070" s="18" t="s">
        <v>105</v>
      </c>
      <c r="G1070" s="18" t="s">
        <v>48</v>
      </c>
      <c r="H1070" s="24">
        <v>8350</v>
      </c>
      <c r="I1070" s="24">
        <f>T_reg.root.SK[[#This Row],[Volume, kg]]/1000</f>
        <v>8.35</v>
      </c>
      <c r="J1070" s="25">
        <v>0.22399999999999998</v>
      </c>
      <c r="K1070" s="25">
        <f t="shared" si="16"/>
        <v>1870.3999999999999</v>
      </c>
      <c r="L1070" s="25">
        <v>3.15</v>
      </c>
      <c r="M1070" s="24">
        <v>26302.5</v>
      </c>
      <c r="N1070" s="25">
        <f>IFERROR(T_reg.root.SK[[#This Row],[Price]]/T_reg.root.SK[[#This Row],[Starch content]],"")</f>
        <v>14.062500000000002</v>
      </c>
    </row>
    <row r="1071" spans="1:14">
      <c r="A1071" s="21">
        <v>2023</v>
      </c>
      <c r="B1071" s="21" t="s">
        <v>24</v>
      </c>
      <c r="C1071" s="21" t="s">
        <v>1145</v>
      </c>
      <c r="D1071" s="21" t="s">
        <v>35</v>
      </c>
      <c r="E1071" s="17" t="s">
        <v>140</v>
      </c>
      <c r="F1071" s="18" t="s">
        <v>105</v>
      </c>
      <c r="G1071" s="18" t="s">
        <v>48</v>
      </c>
      <c r="H1071" s="24">
        <v>3630</v>
      </c>
      <c r="I1071" s="24">
        <f>T_reg.root.SK[[#This Row],[Volume, kg]]/1000</f>
        <v>3.63</v>
      </c>
      <c r="J1071" s="25">
        <v>0.18350000000000002</v>
      </c>
      <c r="K1071" s="25">
        <f t="shared" si="16"/>
        <v>666.10500000000013</v>
      </c>
      <c r="L1071" s="25">
        <v>2.95</v>
      </c>
      <c r="M1071" s="24">
        <v>10708.5</v>
      </c>
      <c r="N1071" s="25">
        <f>IFERROR(T_reg.root.SK[[#This Row],[Price]]/T_reg.root.SK[[#This Row],[Starch content]],"")</f>
        <v>16.076294277929154</v>
      </c>
    </row>
    <row r="1072" spans="1:14">
      <c r="A1072" s="21">
        <v>2023</v>
      </c>
      <c r="B1072" s="21" t="s">
        <v>24</v>
      </c>
      <c r="C1072" s="21" t="s">
        <v>1145</v>
      </c>
      <c r="D1072" s="21" t="s">
        <v>35</v>
      </c>
      <c r="E1072" s="17" t="s">
        <v>567</v>
      </c>
      <c r="F1072" s="18" t="s">
        <v>105</v>
      </c>
      <c r="G1072" s="18" t="s">
        <v>48</v>
      </c>
      <c r="H1072" s="24">
        <v>16070</v>
      </c>
      <c r="I1072" s="24">
        <f>T_reg.root.SK[[#This Row],[Volume, kg]]/1000</f>
        <v>16.07</v>
      </c>
      <c r="J1072" s="25">
        <v>0.1804</v>
      </c>
      <c r="K1072" s="25">
        <f t="shared" si="16"/>
        <v>2899.0280000000002</v>
      </c>
      <c r="L1072" s="25">
        <v>2.96</v>
      </c>
      <c r="M1072" s="24">
        <v>47554</v>
      </c>
      <c r="N1072" s="25">
        <f>IFERROR(T_reg.root.SK[[#This Row],[Price]]/T_reg.root.SK[[#This Row],[Starch content]],"")</f>
        <v>16.407982261640797</v>
      </c>
    </row>
    <row r="1073" spans="1:14">
      <c r="A1073" s="21">
        <v>2023</v>
      </c>
      <c r="B1073" s="21" t="s">
        <v>24</v>
      </c>
      <c r="C1073" s="21" t="s">
        <v>1145</v>
      </c>
      <c r="D1073" s="21" t="s">
        <v>35</v>
      </c>
      <c r="E1073" s="17" t="s">
        <v>307</v>
      </c>
      <c r="F1073" s="18" t="s">
        <v>105</v>
      </c>
      <c r="G1073" s="18" t="s">
        <v>48</v>
      </c>
      <c r="H1073" s="24">
        <v>7180</v>
      </c>
      <c r="I1073" s="24">
        <f>T_reg.root.SK[[#This Row],[Volume, kg]]/1000</f>
        <v>7.18</v>
      </c>
      <c r="J1073" s="25">
        <v>0.21249999999999999</v>
      </c>
      <c r="K1073" s="25">
        <f t="shared" si="16"/>
        <v>1525.75</v>
      </c>
      <c r="L1073" s="25">
        <v>3.1</v>
      </c>
      <c r="M1073" s="24">
        <v>22258</v>
      </c>
      <c r="N1073" s="25">
        <f>IFERROR(T_reg.root.SK[[#This Row],[Price]]/T_reg.root.SK[[#This Row],[Starch content]],"")</f>
        <v>14.588235294117649</v>
      </c>
    </row>
    <row r="1074" spans="1:14">
      <c r="A1074" s="21">
        <v>2023</v>
      </c>
      <c r="B1074" s="21" t="s">
        <v>24</v>
      </c>
      <c r="C1074" s="21" t="s">
        <v>1145</v>
      </c>
      <c r="D1074" s="21" t="s">
        <v>35</v>
      </c>
      <c r="E1074" s="17" t="s">
        <v>308</v>
      </c>
      <c r="F1074" s="18" t="s">
        <v>105</v>
      </c>
      <c r="G1074" s="18" t="s">
        <v>48</v>
      </c>
      <c r="H1074" s="24">
        <v>12770</v>
      </c>
      <c r="I1074" s="24">
        <f>T_reg.root.SK[[#This Row],[Volume, kg]]/1000</f>
        <v>12.77</v>
      </c>
      <c r="J1074" s="25">
        <v>0.19420000000000001</v>
      </c>
      <c r="K1074" s="25">
        <f t="shared" si="16"/>
        <v>2479.9340000000002</v>
      </c>
      <c r="L1074" s="25">
        <v>3.02</v>
      </c>
      <c r="M1074" s="24">
        <v>38610</v>
      </c>
      <c r="N1074" s="25">
        <f>IFERROR(T_reg.root.SK[[#This Row],[Price]]/T_reg.root.SK[[#This Row],[Starch content]],"")</f>
        <v>15.550978372811533</v>
      </c>
    </row>
    <row r="1075" spans="1:14">
      <c r="A1075" s="21">
        <v>2023</v>
      </c>
      <c r="B1075" s="21" t="s">
        <v>24</v>
      </c>
      <c r="C1075" s="21" t="s">
        <v>1145</v>
      </c>
      <c r="D1075" s="21" t="s">
        <v>35</v>
      </c>
      <c r="E1075" s="17" t="s">
        <v>244</v>
      </c>
      <c r="F1075" s="18" t="s">
        <v>105</v>
      </c>
      <c r="G1075" s="18" t="s">
        <v>48</v>
      </c>
      <c r="H1075" s="24">
        <v>3540</v>
      </c>
      <c r="I1075" s="24">
        <f>T_reg.root.SK[[#This Row],[Volume, kg]]/1000</f>
        <v>3.54</v>
      </c>
      <c r="J1075" s="25">
        <v>0.1885</v>
      </c>
      <c r="K1075" s="25">
        <f t="shared" si="16"/>
        <v>667.29</v>
      </c>
      <c r="L1075" s="25">
        <v>3</v>
      </c>
      <c r="M1075" s="24">
        <v>10620</v>
      </c>
      <c r="N1075" s="25">
        <f>IFERROR(T_reg.root.SK[[#This Row],[Price]]/T_reg.root.SK[[#This Row],[Starch content]],"")</f>
        <v>15.915119363395226</v>
      </c>
    </row>
    <row r="1076" spans="1:14">
      <c r="A1076" s="21">
        <v>2023</v>
      </c>
      <c r="B1076" s="21" t="s">
        <v>24</v>
      </c>
      <c r="C1076" s="21" t="s">
        <v>1145</v>
      </c>
      <c r="D1076" s="21" t="s">
        <v>35</v>
      </c>
      <c r="E1076" s="17" t="s">
        <v>309</v>
      </c>
      <c r="F1076" s="18" t="s">
        <v>105</v>
      </c>
      <c r="G1076" s="18" t="s">
        <v>48</v>
      </c>
      <c r="H1076" s="24">
        <v>21470</v>
      </c>
      <c r="I1076" s="24">
        <f>T_reg.root.SK[[#This Row],[Volume, kg]]/1000</f>
        <v>21.47</v>
      </c>
      <c r="J1076" s="25">
        <v>0.18890000000000001</v>
      </c>
      <c r="K1076" s="25">
        <f t="shared" si="16"/>
        <v>4055.6830000000004</v>
      </c>
      <c r="L1076" s="25">
        <v>3.02</v>
      </c>
      <c r="M1076" s="24">
        <v>64749</v>
      </c>
      <c r="N1076" s="25">
        <f>IFERROR(T_reg.root.SK[[#This Row],[Price]]/T_reg.root.SK[[#This Row],[Starch content]],"")</f>
        <v>15.987294865007939</v>
      </c>
    </row>
    <row r="1077" spans="1:14">
      <c r="A1077" s="21">
        <v>2023</v>
      </c>
      <c r="B1077" s="21" t="s">
        <v>24</v>
      </c>
      <c r="C1077" s="21" t="s">
        <v>1145</v>
      </c>
      <c r="D1077" s="21" t="s">
        <v>35</v>
      </c>
      <c r="E1077" s="17" t="s">
        <v>568</v>
      </c>
      <c r="F1077" s="18" t="s">
        <v>105</v>
      </c>
      <c r="G1077" s="18" t="s">
        <v>48</v>
      </c>
      <c r="H1077" s="24">
        <v>10470</v>
      </c>
      <c r="I1077" s="24">
        <f>T_reg.root.SK[[#This Row],[Volume, kg]]/1000</f>
        <v>10.47</v>
      </c>
      <c r="J1077" s="25">
        <v>0.22699999999999998</v>
      </c>
      <c r="K1077" s="25">
        <f t="shared" si="16"/>
        <v>2376.6899999999996</v>
      </c>
      <c r="L1077" s="25">
        <v>3.2</v>
      </c>
      <c r="M1077" s="24">
        <v>33504</v>
      </c>
      <c r="N1077" s="25">
        <f>IFERROR(T_reg.root.SK[[#This Row],[Price]]/T_reg.root.SK[[#This Row],[Starch content]],"")</f>
        <v>14.096916299559473</v>
      </c>
    </row>
    <row r="1078" spans="1:14">
      <c r="A1078" s="21">
        <v>2023</v>
      </c>
      <c r="B1078" s="21" t="s">
        <v>24</v>
      </c>
      <c r="C1078" s="21" t="s">
        <v>1145</v>
      </c>
      <c r="D1078" s="21" t="s">
        <v>35</v>
      </c>
      <c r="E1078" s="17" t="s">
        <v>310</v>
      </c>
      <c r="F1078" s="18" t="s">
        <v>105</v>
      </c>
      <c r="G1078" s="18" t="s">
        <v>48</v>
      </c>
      <c r="H1078" s="24">
        <v>30250</v>
      </c>
      <c r="I1078" s="24">
        <f>T_reg.root.SK[[#This Row],[Volume, kg]]/1000</f>
        <v>30.25</v>
      </c>
      <c r="J1078" s="25">
        <v>0.22</v>
      </c>
      <c r="K1078" s="25">
        <f t="shared" si="16"/>
        <v>6655</v>
      </c>
      <c r="L1078" s="25">
        <v>3.14</v>
      </c>
      <c r="M1078" s="24">
        <v>94966.5</v>
      </c>
      <c r="N1078" s="25">
        <f>IFERROR(T_reg.root.SK[[#This Row],[Price]]/T_reg.root.SK[[#This Row],[Starch content]],"")</f>
        <v>14.272727272727273</v>
      </c>
    </row>
    <row r="1079" spans="1:14">
      <c r="A1079" s="21">
        <v>2023</v>
      </c>
      <c r="B1079" s="21" t="s">
        <v>24</v>
      </c>
      <c r="C1079" s="21" t="s">
        <v>1145</v>
      </c>
      <c r="D1079" s="21" t="s">
        <v>35</v>
      </c>
      <c r="E1079" s="17" t="s">
        <v>247</v>
      </c>
      <c r="F1079" s="18" t="s">
        <v>105</v>
      </c>
      <c r="G1079" s="18" t="s">
        <v>48</v>
      </c>
      <c r="H1079" s="24">
        <v>4720</v>
      </c>
      <c r="I1079" s="24">
        <f>T_reg.root.SK[[#This Row],[Volume, kg]]/1000</f>
        <v>4.72</v>
      </c>
      <c r="J1079" s="25">
        <v>0.23399999999999999</v>
      </c>
      <c r="K1079" s="25">
        <f t="shared" si="16"/>
        <v>1104.48</v>
      </c>
      <c r="L1079" s="25">
        <v>3.2</v>
      </c>
      <c r="M1079" s="24">
        <v>15104</v>
      </c>
      <c r="N1079" s="25">
        <f>IFERROR(T_reg.root.SK[[#This Row],[Price]]/T_reg.root.SK[[#This Row],[Starch content]],"")</f>
        <v>13.675213675213676</v>
      </c>
    </row>
    <row r="1080" spans="1:14">
      <c r="A1080" s="21">
        <v>2023</v>
      </c>
      <c r="B1080" s="21" t="s">
        <v>24</v>
      </c>
      <c r="C1080" s="21" t="s">
        <v>1145</v>
      </c>
      <c r="D1080" s="21" t="s">
        <v>35</v>
      </c>
      <c r="E1080" s="17" t="s">
        <v>498</v>
      </c>
      <c r="F1080" s="18" t="s">
        <v>105</v>
      </c>
      <c r="G1080" s="18" t="s">
        <v>48</v>
      </c>
      <c r="H1080" s="24">
        <v>10000</v>
      </c>
      <c r="I1080" s="24">
        <f>T_reg.root.SK[[#This Row],[Volume, kg]]/1000</f>
        <v>10</v>
      </c>
      <c r="J1080" s="25">
        <v>0.18350000000000002</v>
      </c>
      <c r="K1080" s="25">
        <f t="shared" si="16"/>
        <v>1835.0000000000002</v>
      </c>
      <c r="L1080" s="25">
        <v>2.95</v>
      </c>
      <c r="M1080" s="24">
        <v>29500</v>
      </c>
      <c r="N1080" s="25">
        <f>IFERROR(T_reg.root.SK[[#This Row],[Price]]/T_reg.root.SK[[#This Row],[Starch content]],"")</f>
        <v>16.076294277929154</v>
      </c>
    </row>
    <row r="1081" spans="1:14">
      <c r="A1081" s="21">
        <v>2023</v>
      </c>
      <c r="B1081" s="21" t="s">
        <v>24</v>
      </c>
      <c r="C1081" s="21" t="s">
        <v>1145</v>
      </c>
      <c r="D1081" s="21" t="s">
        <v>35</v>
      </c>
      <c r="E1081" s="17" t="s">
        <v>248</v>
      </c>
      <c r="F1081" s="18" t="s">
        <v>105</v>
      </c>
      <c r="G1081" s="18" t="s">
        <v>48</v>
      </c>
      <c r="H1081" s="24">
        <v>25030</v>
      </c>
      <c r="I1081" s="24">
        <f>T_reg.root.SK[[#This Row],[Volume, kg]]/1000</f>
        <v>25.03</v>
      </c>
      <c r="J1081" s="25">
        <v>0.2268</v>
      </c>
      <c r="K1081" s="25">
        <f t="shared" si="16"/>
        <v>5676.8040000000001</v>
      </c>
      <c r="L1081" s="25">
        <v>3.2</v>
      </c>
      <c r="M1081" s="24">
        <v>80049</v>
      </c>
      <c r="N1081" s="25">
        <f>IFERROR(T_reg.root.SK[[#This Row],[Price]]/T_reg.root.SK[[#This Row],[Starch content]],"")</f>
        <v>14.109347442680777</v>
      </c>
    </row>
    <row r="1082" spans="1:14">
      <c r="A1082" s="21">
        <v>2023</v>
      </c>
      <c r="B1082" s="21" t="s">
        <v>24</v>
      </c>
      <c r="C1082" s="21" t="s">
        <v>1145</v>
      </c>
      <c r="D1082" s="21" t="s">
        <v>35</v>
      </c>
      <c r="E1082" s="17" t="s">
        <v>143</v>
      </c>
      <c r="F1082" s="18" t="s">
        <v>105</v>
      </c>
      <c r="G1082" s="18" t="s">
        <v>48</v>
      </c>
      <c r="H1082" s="24">
        <v>52320</v>
      </c>
      <c r="I1082" s="24">
        <f>T_reg.root.SK[[#This Row],[Volume, kg]]/1000</f>
        <v>52.32</v>
      </c>
      <c r="J1082" s="25">
        <v>0.19879999999999998</v>
      </c>
      <c r="K1082" s="25">
        <f t="shared" si="16"/>
        <v>10401.215999999999</v>
      </c>
      <c r="L1082" s="25">
        <v>3.04</v>
      </c>
      <c r="M1082" s="24">
        <v>159244.5</v>
      </c>
      <c r="N1082" s="25">
        <f>IFERROR(T_reg.root.SK[[#This Row],[Price]]/T_reg.root.SK[[#This Row],[Starch content]],"")</f>
        <v>15.291750503018111</v>
      </c>
    </row>
    <row r="1083" spans="1:14">
      <c r="A1083" s="21">
        <v>2023</v>
      </c>
      <c r="B1083" s="21" t="s">
        <v>24</v>
      </c>
      <c r="C1083" s="21" t="s">
        <v>1145</v>
      </c>
      <c r="D1083" s="21" t="s">
        <v>35</v>
      </c>
      <c r="E1083" s="17" t="s">
        <v>311</v>
      </c>
      <c r="F1083" s="18" t="s">
        <v>105</v>
      </c>
      <c r="G1083" s="18" t="s">
        <v>48</v>
      </c>
      <c r="H1083" s="24">
        <v>11280</v>
      </c>
      <c r="I1083" s="24">
        <f>T_reg.root.SK[[#This Row],[Volume, kg]]/1000</f>
        <v>11.28</v>
      </c>
      <c r="J1083" s="25">
        <v>0.1777</v>
      </c>
      <c r="K1083" s="25">
        <f t="shared" si="16"/>
        <v>2004.4559999999999</v>
      </c>
      <c r="L1083" s="25">
        <v>2.95</v>
      </c>
      <c r="M1083" s="24">
        <v>33256</v>
      </c>
      <c r="N1083" s="25">
        <f>IFERROR(T_reg.root.SK[[#This Row],[Price]]/T_reg.root.SK[[#This Row],[Starch content]],"")</f>
        <v>16.601012943162633</v>
      </c>
    </row>
    <row r="1084" spans="1:14">
      <c r="A1084" s="21">
        <v>2023</v>
      </c>
      <c r="B1084" s="21" t="s">
        <v>24</v>
      </c>
      <c r="C1084" s="21" t="s">
        <v>1145</v>
      </c>
      <c r="D1084" s="21" t="s">
        <v>35</v>
      </c>
      <c r="E1084" s="17" t="s">
        <v>146</v>
      </c>
      <c r="F1084" s="18" t="s">
        <v>105</v>
      </c>
      <c r="G1084" s="18" t="s">
        <v>48</v>
      </c>
      <c r="H1084" s="24">
        <v>297980</v>
      </c>
      <c r="I1084" s="24">
        <f>T_reg.root.SK[[#This Row],[Volume, kg]]/1000</f>
        <v>297.98</v>
      </c>
      <c r="J1084" s="25">
        <v>0.215</v>
      </c>
      <c r="K1084" s="25">
        <f t="shared" si="16"/>
        <v>64065.7</v>
      </c>
      <c r="L1084" s="25">
        <v>3.17</v>
      </c>
      <c r="M1084" s="24">
        <v>945098</v>
      </c>
      <c r="N1084" s="25">
        <f>IFERROR(T_reg.root.SK[[#This Row],[Price]]/T_reg.root.SK[[#This Row],[Starch content]],"")</f>
        <v>14.744186046511627</v>
      </c>
    </row>
    <row r="1085" spans="1:14">
      <c r="A1085" s="21">
        <v>2023</v>
      </c>
      <c r="B1085" s="21" t="s">
        <v>24</v>
      </c>
      <c r="C1085" s="21" t="s">
        <v>1145</v>
      </c>
      <c r="D1085" s="21" t="s">
        <v>35</v>
      </c>
      <c r="E1085" s="17" t="s">
        <v>249</v>
      </c>
      <c r="F1085" s="18" t="s">
        <v>105</v>
      </c>
      <c r="G1085" s="18" t="s">
        <v>48</v>
      </c>
      <c r="H1085" s="24">
        <v>11040</v>
      </c>
      <c r="I1085" s="24">
        <f>T_reg.root.SK[[#This Row],[Volume, kg]]/1000</f>
        <v>11.04</v>
      </c>
      <c r="J1085" s="25">
        <v>0.15679999999999999</v>
      </c>
      <c r="K1085" s="25">
        <f t="shared" si="16"/>
        <v>1731.0719999999999</v>
      </c>
      <c r="L1085" s="25">
        <v>2.83</v>
      </c>
      <c r="M1085" s="24">
        <v>31206</v>
      </c>
      <c r="N1085" s="25">
        <f>IFERROR(T_reg.root.SK[[#This Row],[Price]]/T_reg.root.SK[[#This Row],[Starch content]],"")</f>
        <v>18.048469387755102</v>
      </c>
    </row>
    <row r="1086" spans="1:14">
      <c r="A1086" s="21">
        <v>2023</v>
      </c>
      <c r="B1086" s="21" t="s">
        <v>24</v>
      </c>
      <c r="C1086" s="21" t="s">
        <v>1145</v>
      </c>
      <c r="D1086" s="21" t="s">
        <v>35</v>
      </c>
      <c r="E1086" s="17" t="s">
        <v>569</v>
      </c>
      <c r="F1086" s="18" t="s">
        <v>105</v>
      </c>
      <c r="G1086" s="18" t="s">
        <v>48</v>
      </c>
      <c r="H1086" s="24">
        <v>42120</v>
      </c>
      <c r="I1086" s="24">
        <f>T_reg.root.SK[[#This Row],[Volume, kg]]/1000</f>
        <v>42.12</v>
      </c>
      <c r="J1086" s="25">
        <v>0.185</v>
      </c>
      <c r="K1086" s="25">
        <f t="shared" si="16"/>
        <v>7792.2</v>
      </c>
      <c r="L1086" s="25">
        <v>2.98</v>
      </c>
      <c r="M1086" s="24">
        <v>125409</v>
      </c>
      <c r="N1086" s="25">
        <f>IFERROR(T_reg.root.SK[[#This Row],[Price]]/T_reg.root.SK[[#This Row],[Starch content]],"")</f>
        <v>16.108108108108109</v>
      </c>
    </row>
    <row r="1087" spans="1:14">
      <c r="A1087" s="21">
        <v>2023</v>
      </c>
      <c r="B1087" s="21" t="s">
        <v>24</v>
      </c>
      <c r="C1087" s="21" t="s">
        <v>1145</v>
      </c>
      <c r="D1087" s="21" t="s">
        <v>35</v>
      </c>
      <c r="E1087" s="17" t="s">
        <v>250</v>
      </c>
      <c r="F1087" s="18" t="s">
        <v>105</v>
      </c>
      <c r="G1087" s="18" t="s">
        <v>48</v>
      </c>
      <c r="H1087" s="24">
        <v>25010</v>
      </c>
      <c r="I1087" s="24">
        <f>T_reg.root.SK[[#This Row],[Volume, kg]]/1000</f>
        <v>25.01</v>
      </c>
      <c r="J1087" s="25">
        <v>0.20739999999999997</v>
      </c>
      <c r="K1087" s="25">
        <f t="shared" si="16"/>
        <v>5187.0739999999996</v>
      </c>
      <c r="L1087" s="25">
        <v>3.09</v>
      </c>
      <c r="M1087" s="24">
        <v>77223</v>
      </c>
      <c r="N1087" s="25">
        <f>IFERROR(T_reg.root.SK[[#This Row],[Price]]/T_reg.root.SK[[#This Row],[Starch content]],"")</f>
        <v>14.898746383799423</v>
      </c>
    </row>
    <row r="1088" spans="1:14">
      <c r="A1088" s="21">
        <v>2023</v>
      </c>
      <c r="B1088" s="21" t="s">
        <v>24</v>
      </c>
      <c r="C1088" s="21" t="s">
        <v>1145</v>
      </c>
      <c r="D1088" s="21" t="s">
        <v>35</v>
      </c>
      <c r="E1088" s="17" t="s">
        <v>251</v>
      </c>
      <c r="F1088" s="18" t="s">
        <v>105</v>
      </c>
      <c r="G1088" s="18" t="s">
        <v>48</v>
      </c>
      <c r="H1088" s="24">
        <v>35310</v>
      </c>
      <c r="I1088" s="24">
        <f>T_reg.root.SK[[#This Row],[Volume, kg]]/1000</f>
        <v>35.31</v>
      </c>
      <c r="J1088" s="25">
        <v>0.19550000000000001</v>
      </c>
      <c r="K1088" s="25">
        <f t="shared" si="16"/>
        <v>6903.1050000000005</v>
      </c>
      <c r="L1088" s="25">
        <v>3.04</v>
      </c>
      <c r="M1088" s="24">
        <v>107261.5</v>
      </c>
      <c r="N1088" s="25">
        <f>IFERROR(T_reg.root.SK[[#This Row],[Price]]/T_reg.root.SK[[#This Row],[Starch content]],"")</f>
        <v>15.549872122762148</v>
      </c>
    </row>
    <row r="1089" spans="1:14">
      <c r="A1089" s="21">
        <v>2023</v>
      </c>
      <c r="B1089" s="21" t="s">
        <v>24</v>
      </c>
      <c r="C1089" s="21" t="s">
        <v>1145</v>
      </c>
      <c r="D1089" s="21" t="s">
        <v>35</v>
      </c>
      <c r="E1089" s="17" t="s">
        <v>148</v>
      </c>
      <c r="F1089" s="18" t="s">
        <v>105</v>
      </c>
      <c r="G1089" s="18" t="s">
        <v>48</v>
      </c>
      <c r="H1089" s="24">
        <v>32940</v>
      </c>
      <c r="I1089" s="24">
        <f>T_reg.root.SK[[#This Row],[Volume, kg]]/1000</f>
        <v>32.94</v>
      </c>
      <c r="J1089" s="25">
        <v>0.17739999999999997</v>
      </c>
      <c r="K1089" s="25">
        <f t="shared" si="16"/>
        <v>5843.5559999999996</v>
      </c>
      <c r="L1089" s="25">
        <v>2.93</v>
      </c>
      <c r="M1089" s="24">
        <v>96578.5</v>
      </c>
      <c r="N1089" s="25">
        <f>IFERROR(T_reg.root.SK[[#This Row],[Price]]/T_reg.root.SK[[#This Row],[Starch content]],"")</f>
        <v>16.516347237880499</v>
      </c>
    </row>
    <row r="1090" spans="1:14">
      <c r="A1090" s="21">
        <v>2023</v>
      </c>
      <c r="B1090" s="21" t="s">
        <v>24</v>
      </c>
      <c r="C1090" s="21" t="s">
        <v>1145</v>
      </c>
      <c r="D1090" s="21" t="s">
        <v>35</v>
      </c>
      <c r="E1090" s="17" t="s">
        <v>252</v>
      </c>
      <c r="F1090" s="18" t="s">
        <v>105</v>
      </c>
      <c r="G1090" s="18" t="s">
        <v>48</v>
      </c>
      <c r="H1090" s="24">
        <v>20730</v>
      </c>
      <c r="I1090" s="24">
        <f>T_reg.root.SK[[#This Row],[Volume, kg]]/1000</f>
        <v>20.73</v>
      </c>
      <c r="J1090" s="25">
        <v>0.2767</v>
      </c>
      <c r="K1090" s="25">
        <f t="shared" si="16"/>
        <v>5735.991</v>
      </c>
      <c r="L1090" s="25">
        <v>3.44</v>
      </c>
      <c r="M1090" s="24">
        <v>71376</v>
      </c>
      <c r="N1090" s="25">
        <f>IFERROR(T_reg.root.SK[[#This Row],[Price]]/T_reg.root.SK[[#This Row],[Starch content]],"")</f>
        <v>12.432237079869894</v>
      </c>
    </row>
    <row r="1091" spans="1:14">
      <c r="A1091" s="21">
        <v>2023</v>
      </c>
      <c r="B1091" s="21" t="s">
        <v>24</v>
      </c>
      <c r="C1091" s="21" t="s">
        <v>1145</v>
      </c>
      <c r="D1091" s="21" t="s">
        <v>35</v>
      </c>
      <c r="E1091" s="17" t="s">
        <v>253</v>
      </c>
      <c r="F1091" s="18" t="s">
        <v>105</v>
      </c>
      <c r="G1091" s="18" t="s">
        <v>48</v>
      </c>
      <c r="H1091" s="24">
        <v>81520</v>
      </c>
      <c r="I1091" s="24">
        <f>T_reg.root.SK[[#This Row],[Volume, kg]]/1000</f>
        <v>81.52</v>
      </c>
      <c r="J1091" s="25">
        <v>0.2039</v>
      </c>
      <c r="K1091" s="25">
        <f t="shared" ref="K1091:K1154" si="17">H1091*J1091</f>
        <v>16621.928</v>
      </c>
      <c r="L1091" s="25">
        <v>3.07</v>
      </c>
      <c r="M1091" s="24">
        <v>250500</v>
      </c>
      <c r="N1091" s="25">
        <f>IFERROR(T_reg.root.SK[[#This Row],[Price]]/T_reg.root.SK[[#This Row],[Starch content]],"")</f>
        <v>15.056400196174595</v>
      </c>
    </row>
    <row r="1092" spans="1:14">
      <c r="A1092" s="21">
        <v>2023</v>
      </c>
      <c r="B1092" s="21" t="s">
        <v>24</v>
      </c>
      <c r="C1092" s="21" t="s">
        <v>1145</v>
      </c>
      <c r="D1092" s="21" t="s">
        <v>35</v>
      </c>
      <c r="E1092" s="17" t="s">
        <v>314</v>
      </c>
      <c r="F1092" s="18" t="s">
        <v>105</v>
      </c>
      <c r="G1092" s="18" t="s">
        <v>48</v>
      </c>
      <c r="H1092" s="24">
        <v>49890</v>
      </c>
      <c r="I1092" s="24">
        <f>T_reg.root.SK[[#This Row],[Volume, kg]]/1000</f>
        <v>49.89</v>
      </c>
      <c r="J1092" s="25">
        <v>0.19570000000000001</v>
      </c>
      <c r="K1092" s="25">
        <f t="shared" si="17"/>
        <v>9763.473</v>
      </c>
      <c r="L1092" s="25">
        <v>3.02</v>
      </c>
      <c r="M1092" s="24">
        <v>150641.5</v>
      </c>
      <c r="N1092" s="25">
        <f>IFERROR(T_reg.root.SK[[#This Row],[Price]]/T_reg.root.SK[[#This Row],[Starch content]],"")</f>
        <v>15.431783341849769</v>
      </c>
    </row>
    <row r="1093" spans="1:14">
      <c r="A1093" s="21">
        <v>2023</v>
      </c>
      <c r="B1093" s="21" t="s">
        <v>24</v>
      </c>
      <c r="C1093" s="21" t="s">
        <v>1145</v>
      </c>
      <c r="D1093" s="21" t="s">
        <v>35</v>
      </c>
      <c r="E1093" s="17" t="s">
        <v>500</v>
      </c>
      <c r="F1093" s="18" t="s">
        <v>105</v>
      </c>
      <c r="G1093" s="18" t="s">
        <v>48</v>
      </c>
      <c r="H1093" s="24">
        <v>14740</v>
      </c>
      <c r="I1093" s="24">
        <f>T_reg.root.SK[[#This Row],[Volume, kg]]/1000</f>
        <v>14.74</v>
      </c>
      <c r="J1093" s="25">
        <v>0.25420000000000004</v>
      </c>
      <c r="K1093" s="25">
        <f t="shared" si="17"/>
        <v>3746.9080000000004</v>
      </c>
      <c r="L1093" s="25">
        <v>3.32</v>
      </c>
      <c r="M1093" s="24">
        <v>48864</v>
      </c>
      <c r="N1093" s="25">
        <f>IFERROR(T_reg.root.SK[[#This Row],[Price]]/T_reg.root.SK[[#This Row],[Starch content]],"")</f>
        <v>13.060582218725411</v>
      </c>
    </row>
    <row r="1094" spans="1:14">
      <c r="A1094" s="21">
        <v>2023</v>
      </c>
      <c r="B1094" s="21" t="s">
        <v>24</v>
      </c>
      <c r="C1094" s="21" t="s">
        <v>1145</v>
      </c>
      <c r="D1094" s="21" t="s">
        <v>35</v>
      </c>
      <c r="E1094" s="17" t="s">
        <v>150</v>
      </c>
      <c r="F1094" s="18" t="s">
        <v>105</v>
      </c>
      <c r="G1094" s="18" t="s">
        <v>48</v>
      </c>
      <c r="H1094" s="24">
        <v>53580</v>
      </c>
      <c r="I1094" s="24">
        <f>T_reg.root.SK[[#This Row],[Volume, kg]]/1000</f>
        <v>53.58</v>
      </c>
      <c r="J1094" s="25">
        <v>0.18859999999999999</v>
      </c>
      <c r="K1094" s="25">
        <f t="shared" si="17"/>
        <v>10105.188</v>
      </c>
      <c r="L1094" s="25">
        <v>3.04</v>
      </c>
      <c r="M1094" s="24">
        <v>162738</v>
      </c>
      <c r="N1094" s="25">
        <f>IFERROR(T_reg.root.SK[[#This Row],[Price]]/T_reg.root.SK[[#This Row],[Starch content]],"")</f>
        <v>16.118769883351007</v>
      </c>
    </row>
    <row r="1095" spans="1:14">
      <c r="A1095" s="21">
        <v>2023</v>
      </c>
      <c r="B1095" s="21" t="s">
        <v>24</v>
      </c>
      <c r="C1095" s="21" t="s">
        <v>1145</v>
      </c>
      <c r="D1095" s="21" t="s">
        <v>35</v>
      </c>
      <c r="E1095" s="17" t="s">
        <v>570</v>
      </c>
      <c r="F1095" s="18" t="s">
        <v>105</v>
      </c>
      <c r="G1095" s="18" t="s">
        <v>48</v>
      </c>
      <c r="H1095" s="24">
        <v>18880</v>
      </c>
      <c r="I1095" s="24">
        <f>T_reg.root.SK[[#This Row],[Volume, kg]]/1000</f>
        <v>18.88</v>
      </c>
      <c r="J1095" s="25">
        <v>0.18989999999999999</v>
      </c>
      <c r="K1095" s="25">
        <f t="shared" si="17"/>
        <v>3585.3119999999999</v>
      </c>
      <c r="L1095" s="25">
        <v>2.99</v>
      </c>
      <c r="M1095" s="24">
        <v>56509</v>
      </c>
      <c r="N1095" s="25">
        <f>IFERROR(T_reg.root.SK[[#This Row],[Price]]/T_reg.root.SK[[#This Row],[Starch content]],"")</f>
        <v>15.745129015271198</v>
      </c>
    </row>
    <row r="1096" spans="1:14">
      <c r="A1096" s="21">
        <v>2023</v>
      </c>
      <c r="B1096" s="21" t="s">
        <v>24</v>
      </c>
      <c r="C1096" s="21" t="s">
        <v>1145</v>
      </c>
      <c r="D1096" s="21" t="s">
        <v>35</v>
      </c>
      <c r="E1096" s="17" t="s">
        <v>151</v>
      </c>
      <c r="F1096" s="18" t="s">
        <v>105</v>
      </c>
      <c r="G1096" s="18" t="s">
        <v>48</v>
      </c>
      <c r="H1096" s="24">
        <v>414860</v>
      </c>
      <c r="I1096" s="24">
        <f>T_reg.root.SK[[#This Row],[Volume, kg]]/1000</f>
        <v>414.86</v>
      </c>
      <c r="J1096" s="25">
        <v>0.19769999999999999</v>
      </c>
      <c r="K1096" s="25">
        <f t="shared" si="17"/>
        <v>82017.822</v>
      </c>
      <c r="L1096" s="25">
        <v>3.09</v>
      </c>
      <c r="M1096" s="24">
        <v>1282018</v>
      </c>
      <c r="N1096" s="25">
        <f>IFERROR(T_reg.root.SK[[#This Row],[Price]]/T_reg.root.SK[[#This Row],[Starch content]],"")</f>
        <v>15.629742033383915</v>
      </c>
    </row>
    <row r="1097" spans="1:14">
      <c r="A1097" s="21">
        <v>2023</v>
      </c>
      <c r="B1097" s="21" t="s">
        <v>24</v>
      </c>
      <c r="C1097" s="21" t="s">
        <v>1145</v>
      </c>
      <c r="D1097" s="21" t="s">
        <v>35</v>
      </c>
      <c r="E1097" s="17" t="s">
        <v>316</v>
      </c>
      <c r="F1097" s="18" t="s">
        <v>105</v>
      </c>
      <c r="G1097" s="18" t="s">
        <v>48</v>
      </c>
      <c r="H1097" s="24">
        <v>22640</v>
      </c>
      <c r="I1097" s="24">
        <f>T_reg.root.SK[[#This Row],[Volume, kg]]/1000</f>
        <v>22.64</v>
      </c>
      <c r="J1097" s="25">
        <v>0.1961</v>
      </c>
      <c r="K1097" s="25">
        <f t="shared" si="17"/>
        <v>4439.7039999999997</v>
      </c>
      <c r="L1097" s="25">
        <v>3.03</v>
      </c>
      <c r="M1097" s="24">
        <v>68672</v>
      </c>
      <c r="N1097" s="25">
        <f>IFERROR(T_reg.root.SK[[#This Row],[Price]]/T_reg.root.SK[[#This Row],[Starch content]],"")</f>
        <v>15.451300356960733</v>
      </c>
    </row>
    <row r="1098" spans="1:14">
      <c r="A1098" s="21">
        <v>2023</v>
      </c>
      <c r="B1098" s="21" t="s">
        <v>24</v>
      </c>
      <c r="C1098" s="21" t="s">
        <v>1145</v>
      </c>
      <c r="D1098" s="21" t="s">
        <v>35</v>
      </c>
      <c r="E1098" s="17" t="s">
        <v>152</v>
      </c>
      <c r="F1098" s="18" t="s">
        <v>105</v>
      </c>
      <c r="G1098" s="18" t="s">
        <v>48</v>
      </c>
      <c r="H1098" s="24">
        <v>15490</v>
      </c>
      <c r="I1098" s="24">
        <f>T_reg.root.SK[[#This Row],[Volume, kg]]/1000</f>
        <v>15.49</v>
      </c>
      <c r="J1098" s="25">
        <v>0.19500000000000001</v>
      </c>
      <c r="K1098" s="25">
        <f t="shared" si="17"/>
        <v>3020.55</v>
      </c>
      <c r="L1098" s="25">
        <v>3.03</v>
      </c>
      <c r="M1098" s="24">
        <v>46890.5</v>
      </c>
      <c r="N1098" s="25">
        <f>IFERROR(T_reg.root.SK[[#This Row],[Price]]/T_reg.root.SK[[#This Row],[Starch content]],"")</f>
        <v>15.538461538461537</v>
      </c>
    </row>
    <row r="1099" spans="1:14">
      <c r="A1099" s="21">
        <v>2023</v>
      </c>
      <c r="B1099" s="21" t="s">
        <v>24</v>
      </c>
      <c r="C1099" s="21" t="s">
        <v>1145</v>
      </c>
      <c r="D1099" s="21" t="s">
        <v>35</v>
      </c>
      <c r="E1099" s="17" t="s">
        <v>571</v>
      </c>
      <c r="F1099" s="18" t="s">
        <v>105</v>
      </c>
      <c r="G1099" s="18" t="s">
        <v>48</v>
      </c>
      <c r="H1099" s="24">
        <v>4540</v>
      </c>
      <c r="I1099" s="24">
        <f>T_reg.root.SK[[#This Row],[Volume, kg]]/1000</f>
        <v>4.54</v>
      </c>
      <c r="J1099" s="25">
        <v>0.21050000000000002</v>
      </c>
      <c r="K1099" s="25">
        <f t="shared" si="17"/>
        <v>955.67000000000007</v>
      </c>
      <c r="L1099" s="25">
        <v>3.1</v>
      </c>
      <c r="M1099" s="24">
        <v>14074</v>
      </c>
      <c r="N1099" s="25">
        <f>IFERROR(T_reg.root.SK[[#This Row],[Price]]/T_reg.root.SK[[#This Row],[Starch content]],"")</f>
        <v>14.726840855106888</v>
      </c>
    </row>
    <row r="1100" spans="1:14">
      <c r="A1100" s="21">
        <v>2023</v>
      </c>
      <c r="B1100" s="21" t="s">
        <v>24</v>
      </c>
      <c r="C1100" s="21" t="s">
        <v>1145</v>
      </c>
      <c r="D1100" s="21" t="s">
        <v>35</v>
      </c>
      <c r="E1100" s="17" t="s">
        <v>154</v>
      </c>
      <c r="F1100" s="18" t="s">
        <v>105</v>
      </c>
      <c r="G1100" s="18" t="s">
        <v>48</v>
      </c>
      <c r="H1100" s="24">
        <v>11930</v>
      </c>
      <c r="I1100" s="24">
        <f>T_reg.root.SK[[#This Row],[Volume, kg]]/1000</f>
        <v>11.93</v>
      </c>
      <c r="J1100" s="25">
        <v>0.22020000000000001</v>
      </c>
      <c r="K1100" s="25">
        <f t="shared" si="17"/>
        <v>2626.9859999999999</v>
      </c>
      <c r="L1100" s="25">
        <v>3.14</v>
      </c>
      <c r="M1100" s="24">
        <v>37478.5</v>
      </c>
      <c r="N1100" s="25">
        <f>IFERROR(T_reg.root.SK[[#This Row],[Price]]/T_reg.root.SK[[#This Row],[Starch content]],"")</f>
        <v>14.259763851044506</v>
      </c>
    </row>
    <row r="1101" spans="1:14">
      <c r="A1101" s="21">
        <v>2023</v>
      </c>
      <c r="B1101" s="21" t="s">
        <v>24</v>
      </c>
      <c r="C1101" s="21" t="s">
        <v>1145</v>
      </c>
      <c r="D1101" s="21" t="s">
        <v>35</v>
      </c>
      <c r="E1101" s="17" t="s">
        <v>155</v>
      </c>
      <c r="F1101" s="18" t="s">
        <v>105</v>
      </c>
      <c r="G1101" s="18" t="s">
        <v>48</v>
      </c>
      <c r="H1101" s="24">
        <v>7830</v>
      </c>
      <c r="I1101" s="24">
        <f>T_reg.root.SK[[#This Row],[Volume, kg]]/1000</f>
        <v>7.83</v>
      </c>
      <c r="J1101" s="25">
        <v>0.18789999999999998</v>
      </c>
      <c r="K1101" s="25">
        <f t="shared" si="17"/>
        <v>1471.2569999999998</v>
      </c>
      <c r="L1101" s="25">
        <v>2.98</v>
      </c>
      <c r="M1101" s="24">
        <v>23352.5</v>
      </c>
      <c r="N1101" s="25">
        <f>IFERROR(T_reg.root.SK[[#This Row],[Price]]/T_reg.root.SK[[#This Row],[Starch content]],"")</f>
        <v>15.859499733901012</v>
      </c>
    </row>
    <row r="1102" spans="1:14">
      <c r="A1102" s="21">
        <v>2023</v>
      </c>
      <c r="B1102" s="21" t="s">
        <v>24</v>
      </c>
      <c r="C1102" s="21" t="s">
        <v>1145</v>
      </c>
      <c r="D1102" s="21" t="s">
        <v>35</v>
      </c>
      <c r="E1102" s="17" t="s">
        <v>366</v>
      </c>
      <c r="F1102" s="18" t="s">
        <v>105</v>
      </c>
      <c r="G1102" s="18" t="s">
        <v>48</v>
      </c>
      <c r="H1102" s="24">
        <v>13590</v>
      </c>
      <c r="I1102" s="24">
        <f>T_reg.root.SK[[#This Row],[Volume, kg]]/1000</f>
        <v>13.59</v>
      </c>
      <c r="J1102" s="25">
        <v>0.16420000000000001</v>
      </c>
      <c r="K1102" s="25">
        <f t="shared" si="17"/>
        <v>2231.4780000000001</v>
      </c>
      <c r="L1102" s="25">
        <v>2.87</v>
      </c>
      <c r="M1102" s="24">
        <v>39015</v>
      </c>
      <c r="N1102" s="25">
        <f>IFERROR(T_reg.root.SK[[#This Row],[Price]]/T_reg.root.SK[[#This Row],[Starch content]],"")</f>
        <v>17.478684531059681</v>
      </c>
    </row>
    <row r="1103" spans="1:14">
      <c r="A1103" s="21">
        <v>2023</v>
      </c>
      <c r="B1103" s="21" t="s">
        <v>24</v>
      </c>
      <c r="C1103" s="21" t="s">
        <v>1145</v>
      </c>
      <c r="D1103" s="21" t="s">
        <v>35</v>
      </c>
      <c r="E1103" s="17" t="s">
        <v>156</v>
      </c>
      <c r="F1103" s="18" t="s">
        <v>105</v>
      </c>
      <c r="G1103" s="18" t="s">
        <v>48</v>
      </c>
      <c r="H1103" s="24">
        <v>10390</v>
      </c>
      <c r="I1103" s="24">
        <f>T_reg.root.SK[[#This Row],[Volume, kg]]/1000</f>
        <v>10.39</v>
      </c>
      <c r="J1103" s="25">
        <v>0.15060000000000001</v>
      </c>
      <c r="K1103" s="25">
        <f t="shared" si="17"/>
        <v>1564.7340000000002</v>
      </c>
      <c r="L1103" s="25">
        <v>2.79</v>
      </c>
      <c r="M1103" s="24">
        <v>29028</v>
      </c>
      <c r="N1103" s="25">
        <f>IFERROR(T_reg.root.SK[[#This Row],[Price]]/T_reg.root.SK[[#This Row],[Starch content]],"")</f>
        <v>18.525896414342629</v>
      </c>
    </row>
    <row r="1104" spans="1:14">
      <c r="A1104" s="21">
        <v>2023</v>
      </c>
      <c r="B1104" s="21" t="s">
        <v>24</v>
      </c>
      <c r="C1104" s="21" t="s">
        <v>1145</v>
      </c>
      <c r="D1104" s="21" t="s">
        <v>35</v>
      </c>
      <c r="E1104" s="17" t="s">
        <v>572</v>
      </c>
      <c r="F1104" s="18" t="s">
        <v>105</v>
      </c>
      <c r="G1104" s="18" t="s">
        <v>48</v>
      </c>
      <c r="H1104" s="24">
        <v>4250</v>
      </c>
      <c r="I1104" s="24">
        <f>T_reg.root.SK[[#This Row],[Volume, kg]]/1000</f>
        <v>4.25</v>
      </c>
      <c r="J1104" s="25">
        <v>0.19399999999999998</v>
      </c>
      <c r="K1104" s="25">
        <f t="shared" si="17"/>
        <v>824.49999999999989</v>
      </c>
      <c r="L1104" s="25">
        <v>3</v>
      </c>
      <c r="M1104" s="24">
        <v>12750</v>
      </c>
      <c r="N1104" s="25">
        <f>IFERROR(T_reg.root.SK[[#This Row],[Price]]/T_reg.root.SK[[#This Row],[Starch content]],"")</f>
        <v>15.463917525773198</v>
      </c>
    </row>
    <row r="1105" spans="1:14">
      <c r="A1105" s="21">
        <v>2023</v>
      </c>
      <c r="B1105" s="21" t="s">
        <v>24</v>
      </c>
      <c r="C1105" s="21" t="s">
        <v>1145</v>
      </c>
      <c r="D1105" s="21" t="s">
        <v>35</v>
      </c>
      <c r="E1105" s="17" t="s">
        <v>159</v>
      </c>
      <c r="F1105" s="18" t="s">
        <v>105</v>
      </c>
      <c r="G1105" s="18" t="s">
        <v>48</v>
      </c>
      <c r="H1105" s="24">
        <v>836820</v>
      </c>
      <c r="I1105" s="24">
        <f>T_reg.root.SK[[#This Row],[Volume, kg]]/1000</f>
        <v>836.82</v>
      </c>
      <c r="J1105" s="25">
        <v>0.1963</v>
      </c>
      <c r="K1105" s="25">
        <f t="shared" si="17"/>
        <v>164267.766</v>
      </c>
      <c r="L1105" s="25">
        <v>3.08</v>
      </c>
      <c r="M1105" s="24">
        <v>2581447.5</v>
      </c>
      <c r="N1105" s="25">
        <f>IFERROR(T_reg.root.SK[[#This Row],[Price]]/T_reg.root.SK[[#This Row],[Starch content]],"")</f>
        <v>15.690269994905757</v>
      </c>
    </row>
    <row r="1106" spans="1:14">
      <c r="A1106" s="21">
        <v>2023</v>
      </c>
      <c r="B1106" s="21" t="s">
        <v>24</v>
      </c>
      <c r="C1106" s="21" t="s">
        <v>1145</v>
      </c>
      <c r="D1106" s="21" t="s">
        <v>35</v>
      </c>
      <c r="E1106" s="17" t="s">
        <v>255</v>
      </c>
      <c r="F1106" s="18" t="s">
        <v>105</v>
      </c>
      <c r="G1106" s="18" t="s">
        <v>48</v>
      </c>
      <c r="H1106" s="24">
        <v>17250</v>
      </c>
      <c r="I1106" s="24">
        <f>T_reg.root.SK[[#This Row],[Volume, kg]]/1000</f>
        <v>17.25</v>
      </c>
      <c r="J1106" s="25">
        <v>0.21129999999999999</v>
      </c>
      <c r="K1106" s="25">
        <f t="shared" si="17"/>
        <v>3644.9249999999997</v>
      </c>
      <c r="L1106" s="25">
        <v>3.13</v>
      </c>
      <c r="M1106" s="24">
        <v>53911.5</v>
      </c>
      <c r="N1106" s="25">
        <f>IFERROR(T_reg.root.SK[[#This Row],[Price]]/T_reg.root.SK[[#This Row],[Starch content]],"")</f>
        <v>14.813061997160435</v>
      </c>
    </row>
    <row r="1107" spans="1:14">
      <c r="A1107" s="21">
        <v>2023</v>
      </c>
      <c r="B1107" s="21" t="s">
        <v>24</v>
      </c>
      <c r="C1107" s="21" t="s">
        <v>1145</v>
      </c>
      <c r="D1107" s="21" t="s">
        <v>35</v>
      </c>
      <c r="E1107" s="17" t="s">
        <v>160</v>
      </c>
      <c r="F1107" s="18" t="s">
        <v>105</v>
      </c>
      <c r="G1107" s="18" t="s">
        <v>48</v>
      </c>
      <c r="H1107" s="24">
        <v>33400</v>
      </c>
      <c r="I1107" s="24">
        <f>T_reg.root.SK[[#This Row],[Volume, kg]]/1000</f>
        <v>33.4</v>
      </c>
      <c r="J1107" s="25">
        <v>0.22359999999999999</v>
      </c>
      <c r="K1107" s="25">
        <f t="shared" si="17"/>
        <v>7468.24</v>
      </c>
      <c r="L1107" s="25">
        <v>3.16</v>
      </c>
      <c r="M1107" s="24">
        <v>105710</v>
      </c>
      <c r="N1107" s="25">
        <f>IFERROR(T_reg.root.SK[[#This Row],[Price]]/T_reg.root.SK[[#This Row],[Starch content]],"")</f>
        <v>14.132379248658319</v>
      </c>
    </row>
    <row r="1108" spans="1:14">
      <c r="A1108" s="21">
        <v>2023</v>
      </c>
      <c r="B1108" s="21" t="s">
        <v>24</v>
      </c>
      <c r="C1108" s="21" t="s">
        <v>1145</v>
      </c>
      <c r="D1108" s="21" t="s">
        <v>35</v>
      </c>
      <c r="E1108" s="17" t="s">
        <v>161</v>
      </c>
      <c r="F1108" s="18" t="s">
        <v>105</v>
      </c>
      <c r="G1108" s="18" t="s">
        <v>48</v>
      </c>
      <c r="H1108" s="24">
        <v>7080</v>
      </c>
      <c r="I1108" s="24">
        <f>T_reg.root.SK[[#This Row],[Volume, kg]]/1000</f>
        <v>7.08</v>
      </c>
      <c r="J1108" s="25">
        <v>0.20899999999999999</v>
      </c>
      <c r="K1108" s="25">
        <f t="shared" si="17"/>
        <v>1479.72</v>
      </c>
      <c r="L1108" s="25">
        <v>3.15</v>
      </c>
      <c r="M1108" s="24">
        <v>22302</v>
      </c>
      <c r="N1108" s="25">
        <f>IFERROR(T_reg.root.SK[[#This Row],[Price]]/T_reg.root.SK[[#This Row],[Starch content]],"")</f>
        <v>15.07177033492823</v>
      </c>
    </row>
    <row r="1109" spans="1:14">
      <c r="A1109" s="21">
        <v>2023</v>
      </c>
      <c r="B1109" s="21" t="s">
        <v>24</v>
      </c>
      <c r="C1109" s="21" t="s">
        <v>1145</v>
      </c>
      <c r="D1109" s="21" t="s">
        <v>35</v>
      </c>
      <c r="E1109" s="17" t="s">
        <v>164</v>
      </c>
      <c r="F1109" s="18" t="s">
        <v>105</v>
      </c>
      <c r="G1109" s="18" t="s">
        <v>48</v>
      </c>
      <c r="H1109" s="24">
        <v>111570</v>
      </c>
      <c r="I1109" s="24">
        <f>T_reg.root.SK[[#This Row],[Volume, kg]]/1000</f>
        <v>111.57</v>
      </c>
      <c r="J1109" s="25">
        <v>0.2046</v>
      </c>
      <c r="K1109" s="25">
        <f t="shared" si="17"/>
        <v>22827.222000000002</v>
      </c>
      <c r="L1109" s="25">
        <v>3.13</v>
      </c>
      <c r="M1109" s="24">
        <v>348955.5</v>
      </c>
      <c r="N1109" s="25">
        <f>IFERROR(T_reg.root.SK[[#This Row],[Price]]/T_reg.root.SK[[#This Row],[Starch content]],"")</f>
        <v>15.298142717497555</v>
      </c>
    </row>
    <row r="1110" spans="1:14">
      <c r="A1110" s="21">
        <v>2023</v>
      </c>
      <c r="B1110" s="21" t="s">
        <v>24</v>
      </c>
      <c r="C1110" s="21" t="s">
        <v>1145</v>
      </c>
      <c r="D1110" s="21" t="s">
        <v>35</v>
      </c>
      <c r="E1110" s="17" t="s">
        <v>165</v>
      </c>
      <c r="F1110" s="18" t="s">
        <v>105</v>
      </c>
      <c r="G1110" s="18" t="s">
        <v>48</v>
      </c>
      <c r="H1110" s="24">
        <v>1800</v>
      </c>
      <c r="I1110" s="24">
        <f>T_reg.root.SK[[#This Row],[Volume, kg]]/1000</f>
        <v>1.8</v>
      </c>
      <c r="J1110" s="25">
        <v>0.14400000000000002</v>
      </c>
      <c r="K1110" s="25">
        <f t="shared" si="17"/>
        <v>259.20000000000005</v>
      </c>
      <c r="L1110" s="25">
        <v>2.75</v>
      </c>
      <c r="M1110" s="24">
        <v>4950</v>
      </c>
      <c r="N1110" s="25">
        <f>IFERROR(T_reg.root.SK[[#This Row],[Price]]/T_reg.root.SK[[#This Row],[Starch content]],"")</f>
        <v>19.097222222222221</v>
      </c>
    </row>
    <row r="1111" spans="1:14">
      <c r="A1111" s="21">
        <v>2023</v>
      </c>
      <c r="B1111" s="21" t="s">
        <v>24</v>
      </c>
      <c r="C1111" s="21" t="s">
        <v>1145</v>
      </c>
      <c r="D1111" s="21" t="s">
        <v>35</v>
      </c>
      <c r="E1111" s="17" t="s">
        <v>167</v>
      </c>
      <c r="F1111" s="18" t="s">
        <v>105</v>
      </c>
      <c r="G1111" s="18" t="s">
        <v>48</v>
      </c>
      <c r="H1111" s="24">
        <v>33980</v>
      </c>
      <c r="I1111" s="24">
        <f>T_reg.root.SK[[#This Row],[Volume, kg]]/1000</f>
        <v>33.979999999999997</v>
      </c>
      <c r="J1111" s="25">
        <v>0.17129999999999998</v>
      </c>
      <c r="K1111" s="25">
        <f t="shared" si="17"/>
        <v>5820.7739999999994</v>
      </c>
      <c r="L1111" s="25">
        <v>2.9</v>
      </c>
      <c r="M1111" s="24">
        <v>98557.5</v>
      </c>
      <c r="N1111" s="25">
        <f>IFERROR(T_reg.root.SK[[#This Row],[Price]]/T_reg.root.SK[[#This Row],[Starch content]],"")</f>
        <v>16.929363689433742</v>
      </c>
    </row>
    <row r="1112" spans="1:14">
      <c r="A1112" s="21">
        <v>2023</v>
      </c>
      <c r="B1112" s="21" t="s">
        <v>24</v>
      </c>
      <c r="C1112" s="21" t="s">
        <v>1145</v>
      </c>
      <c r="D1112" s="21" t="s">
        <v>35</v>
      </c>
      <c r="E1112" s="17" t="s">
        <v>573</v>
      </c>
      <c r="F1112" s="18" t="s">
        <v>105</v>
      </c>
      <c r="G1112" s="18" t="s">
        <v>48</v>
      </c>
      <c r="H1112" s="24">
        <v>41630</v>
      </c>
      <c r="I1112" s="24">
        <f>T_reg.root.SK[[#This Row],[Volume, kg]]/1000</f>
        <v>41.63</v>
      </c>
      <c r="J1112" s="25">
        <v>0.1845</v>
      </c>
      <c r="K1112" s="25">
        <f t="shared" si="17"/>
        <v>7680.7349999999997</v>
      </c>
      <c r="L1112" s="25">
        <v>2.98</v>
      </c>
      <c r="M1112" s="24">
        <v>124145.5</v>
      </c>
      <c r="N1112" s="25">
        <f>IFERROR(T_reg.root.SK[[#This Row],[Price]]/T_reg.root.SK[[#This Row],[Starch content]],"")</f>
        <v>16.151761517615178</v>
      </c>
    </row>
    <row r="1113" spans="1:14">
      <c r="A1113" s="21">
        <v>2023</v>
      </c>
      <c r="B1113" s="21" t="s">
        <v>24</v>
      </c>
      <c r="C1113" s="21" t="s">
        <v>1145</v>
      </c>
      <c r="D1113" s="21" t="s">
        <v>35</v>
      </c>
      <c r="E1113" s="17" t="s">
        <v>169</v>
      </c>
      <c r="F1113" s="18" t="s">
        <v>105</v>
      </c>
      <c r="G1113" s="18" t="s">
        <v>48</v>
      </c>
      <c r="H1113" s="24">
        <v>10270</v>
      </c>
      <c r="I1113" s="24">
        <f>T_reg.root.SK[[#This Row],[Volume, kg]]/1000</f>
        <v>10.27</v>
      </c>
      <c r="J1113" s="25">
        <v>0.1515</v>
      </c>
      <c r="K1113" s="25">
        <f t="shared" si="17"/>
        <v>1555.905</v>
      </c>
      <c r="L1113" s="25">
        <v>2.85</v>
      </c>
      <c r="M1113" s="24">
        <v>29269.5</v>
      </c>
      <c r="N1113" s="25">
        <f>IFERROR(T_reg.root.SK[[#This Row],[Price]]/T_reg.root.SK[[#This Row],[Starch content]],"")</f>
        <v>18.811881188118814</v>
      </c>
    </row>
    <row r="1114" spans="1:14">
      <c r="A1114" s="21">
        <v>2023</v>
      </c>
      <c r="B1114" s="21" t="s">
        <v>24</v>
      </c>
      <c r="C1114" s="21" t="s">
        <v>1145</v>
      </c>
      <c r="D1114" s="21" t="s">
        <v>35</v>
      </c>
      <c r="E1114" s="17" t="s">
        <v>502</v>
      </c>
      <c r="F1114" s="18" t="s">
        <v>105</v>
      </c>
      <c r="G1114" s="18" t="s">
        <v>48</v>
      </c>
      <c r="H1114" s="24">
        <v>25630</v>
      </c>
      <c r="I1114" s="24">
        <f>T_reg.root.SK[[#This Row],[Volume, kg]]/1000</f>
        <v>25.63</v>
      </c>
      <c r="J1114" s="25">
        <v>0.23710000000000001</v>
      </c>
      <c r="K1114" s="25">
        <f t="shared" si="17"/>
        <v>6076.8730000000005</v>
      </c>
      <c r="L1114" s="25">
        <v>3.24</v>
      </c>
      <c r="M1114" s="24">
        <v>83075</v>
      </c>
      <c r="N1114" s="25">
        <f>IFERROR(T_reg.root.SK[[#This Row],[Price]]/T_reg.root.SK[[#This Row],[Starch content]],"")</f>
        <v>13.665120202446225</v>
      </c>
    </row>
    <row r="1115" spans="1:14">
      <c r="A1115" s="21">
        <v>2023</v>
      </c>
      <c r="B1115" s="21" t="s">
        <v>24</v>
      </c>
      <c r="C1115" s="21" t="s">
        <v>1145</v>
      </c>
      <c r="D1115" s="21" t="s">
        <v>35</v>
      </c>
      <c r="E1115" s="17" t="s">
        <v>574</v>
      </c>
      <c r="F1115" s="18" t="s">
        <v>105</v>
      </c>
      <c r="G1115" s="18" t="s">
        <v>48</v>
      </c>
      <c r="H1115" s="24">
        <v>3440</v>
      </c>
      <c r="I1115" s="24">
        <f>T_reg.root.SK[[#This Row],[Volume, kg]]/1000</f>
        <v>3.44</v>
      </c>
      <c r="J1115" s="25">
        <v>0.20149999999999998</v>
      </c>
      <c r="K1115" s="25">
        <f t="shared" si="17"/>
        <v>693.16</v>
      </c>
      <c r="L1115" s="25">
        <v>3.05</v>
      </c>
      <c r="M1115" s="24">
        <v>10492</v>
      </c>
      <c r="N1115" s="25">
        <f>IFERROR(T_reg.root.SK[[#This Row],[Price]]/T_reg.root.SK[[#This Row],[Starch content]],"")</f>
        <v>15.136476426799007</v>
      </c>
    </row>
    <row r="1116" spans="1:14">
      <c r="A1116" s="21">
        <v>2023</v>
      </c>
      <c r="B1116" s="21" t="s">
        <v>24</v>
      </c>
      <c r="C1116" s="21" t="s">
        <v>1145</v>
      </c>
      <c r="D1116" s="21" t="s">
        <v>35</v>
      </c>
      <c r="E1116" s="17" t="s">
        <v>503</v>
      </c>
      <c r="F1116" s="18" t="s">
        <v>105</v>
      </c>
      <c r="G1116" s="18" t="s">
        <v>48</v>
      </c>
      <c r="H1116" s="24">
        <v>23260</v>
      </c>
      <c r="I1116" s="24">
        <f>T_reg.root.SK[[#This Row],[Volume, kg]]/1000</f>
        <v>23.26</v>
      </c>
      <c r="J1116" s="25">
        <v>0.20370000000000002</v>
      </c>
      <c r="K1116" s="25">
        <f t="shared" si="17"/>
        <v>4738.0620000000008</v>
      </c>
      <c r="L1116" s="25">
        <v>3.08</v>
      </c>
      <c r="M1116" s="24">
        <v>71727.5</v>
      </c>
      <c r="N1116" s="25">
        <f>IFERROR(T_reg.root.SK[[#This Row],[Price]]/T_reg.root.SK[[#This Row],[Starch content]],"")</f>
        <v>15.120274914089347</v>
      </c>
    </row>
    <row r="1117" spans="1:14">
      <c r="A1117" s="21">
        <v>2023</v>
      </c>
      <c r="B1117" s="21" t="s">
        <v>24</v>
      </c>
      <c r="C1117" s="21" t="s">
        <v>1145</v>
      </c>
      <c r="D1117" s="21" t="s">
        <v>35</v>
      </c>
      <c r="E1117" s="17" t="s">
        <v>171</v>
      </c>
      <c r="F1117" s="18" t="s">
        <v>105</v>
      </c>
      <c r="G1117" s="18" t="s">
        <v>48</v>
      </c>
      <c r="H1117" s="24">
        <v>20030</v>
      </c>
      <c r="I1117" s="24">
        <f>T_reg.root.SK[[#This Row],[Volume, kg]]/1000</f>
        <v>20.03</v>
      </c>
      <c r="J1117" s="25">
        <v>0.2225</v>
      </c>
      <c r="K1117" s="25">
        <f t="shared" si="17"/>
        <v>4456.6750000000002</v>
      </c>
      <c r="L1117" s="25">
        <v>3.16</v>
      </c>
      <c r="M1117" s="24">
        <v>63205.5</v>
      </c>
      <c r="N1117" s="25">
        <f>IFERROR(T_reg.root.SK[[#This Row],[Price]]/T_reg.root.SK[[#This Row],[Starch content]],"")</f>
        <v>14.202247191011237</v>
      </c>
    </row>
    <row r="1118" spans="1:14">
      <c r="A1118" s="21">
        <v>2023</v>
      </c>
      <c r="B1118" s="21" t="s">
        <v>24</v>
      </c>
      <c r="C1118" s="21" t="s">
        <v>1145</v>
      </c>
      <c r="D1118" s="21" t="s">
        <v>35</v>
      </c>
      <c r="E1118" s="17" t="s">
        <v>321</v>
      </c>
      <c r="F1118" s="18" t="s">
        <v>105</v>
      </c>
      <c r="G1118" s="18" t="s">
        <v>48</v>
      </c>
      <c r="H1118" s="24">
        <v>5450</v>
      </c>
      <c r="I1118" s="24">
        <f>T_reg.root.SK[[#This Row],[Volume, kg]]/1000</f>
        <v>5.45</v>
      </c>
      <c r="J1118" s="25">
        <v>0.23100000000000001</v>
      </c>
      <c r="K1118" s="25">
        <f t="shared" si="17"/>
        <v>1258.95</v>
      </c>
      <c r="L1118" s="25">
        <v>3.2</v>
      </c>
      <c r="M1118" s="24">
        <v>17440</v>
      </c>
      <c r="N1118" s="25">
        <f>IFERROR(T_reg.root.SK[[#This Row],[Price]]/T_reg.root.SK[[#This Row],[Starch content]],"")</f>
        <v>13.852813852813853</v>
      </c>
    </row>
    <row r="1119" spans="1:14">
      <c r="A1119" s="21">
        <v>2023</v>
      </c>
      <c r="B1119" s="21" t="s">
        <v>24</v>
      </c>
      <c r="C1119" s="21" t="s">
        <v>1145</v>
      </c>
      <c r="D1119" s="21" t="s">
        <v>35</v>
      </c>
      <c r="E1119" s="17" t="s">
        <v>322</v>
      </c>
      <c r="F1119" s="18" t="s">
        <v>105</v>
      </c>
      <c r="G1119" s="18" t="s">
        <v>48</v>
      </c>
      <c r="H1119" s="24">
        <v>45510</v>
      </c>
      <c r="I1119" s="24">
        <f>T_reg.root.SK[[#This Row],[Volume, kg]]/1000</f>
        <v>45.51</v>
      </c>
      <c r="J1119" s="25">
        <v>0.17129999999999998</v>
      </c>
      <c r="K1119" s="25">
        <f t="shared" si="17"/>
        <v>7795.8629999999994</v>
      </c>
      <c r="L1119" s="25">
        <v>2.91</v>
      </c>
      <c r="M1119" s="24">
        <v>132232.5</v>
      </c>
      <c r="N1119" s="25">
        <f>IFERROR(T_reg.root.SK[[#This Row],[Price]]/T_reg.root.SK[[#This Row],[Starch content]],"")</f>
        <v>16.987740805604204</v>
      </c>
    </row>
    <row r="1120" spans="1:14">
      <c r="A1120" s="21">
        <v>2023</v>
      </c>
      <c r="B1120" s="21" t="s">
        <v>24</v>
      </c>
      <c r="C1120" s="21" t="s">
        <v>1145</v>
      </c>
      <c r="D1120" s="21" t="s">
        <v>35</v>
      </c>
      <c r="E1120" s="17" t="s">
        <v>326</v>
      </c>
      <c r="F1120" s="18" t="s">
        <v>105</v>
      </c>
      <c r="G1120" s="18" t="s">
        <v>48</v>
      </c>
      <c r="H1120" s="24">
        <v>62690</v>
      </c>
      <c r="I1120" s="24">
        <f>T_reg.root.SK[[#This Row],[Volume, kg]]/1000</f>
        <v>62.69</v>
      </c>
      <c r="J1120" s="25">
        <v>0.1772</v>
      </c>
      <c r="K1120" s="25">
        <f t="shared" si="17"/>
        <v>11108.668</v>
      </c>
      <c r="L1120" s="25">
        <v>2.93</v>
      </c>
      <c r="M1120" s="24">
        <v>183852</v>
      </c>
      <c r="N1120" s="25">
        <f>IFERROR(T_reg.root.SK[[#This Row],[Price]]/T_reg.root.SK[[#This Row],[Starch content]],"")</f>
        <v>16.534988713318285</v>
      </c>
    </row>
    <row r="1121" spans="1:14">
      <c r="A1121" s="21">
        <v>2023</v>
      </c>
      <c r="B1121" s="21" t="s">
        <v>24</v>
      </c>
      <c r="C1121" s="21" t="s">
        <v>1145</v>
      </c>
      <c r="D1121" s="21" t="s">
        <v>35</v>
      </c>
      <c r="E1121" s="17" t="s">
        <v>575</v>
      </c>
      <c r="F1121" s="18" t="s">
        <v>105</v>
      </c>
      <c r="G1121" s="18" t="s">
        <v>48</v>
      </c>
      <c r="H1121" s="24">
        <v>9310</v>
      </c>
      <c r="I1121" s="24">
        <f>T_reg.root.SK[[#This Row],[Volume, kg]]/1000</f>
        <v>9.31</v>
      </c>
      <c r="J1121" s="25">
        <v>0.17980000000000002</v>
      </c>
      <c r="K1121" s="25">
        <f t="shared" si="17"/>
        <v>1673.9380000000001</v>
      </c>
      <c r="L1121" s="25">
        <v>2.96</v>
      </c>
      <c r="M1121" s="24">
        <v>27549.5</v>
      </c>
      <c r="N1121" s="25">
        <f>IFERROR(T_reg.root.SK[[#This Row],[Price]]/T_reg.root.SK[[#This Row],[Starch content]],"")</f>
        <v>16.462736373748609</v>
      </c>
    </row>
    <row r="1122" spans="1:14">
      <c r="A1122" s="21">
        <v>2023</v>
      </c>
      <c r="B1122" s="21" t="s">
        <v>24</v>
      </c>
      <c r="C1122" s="21" t="s">
        <v>1145</v>
      </c>
      <c r="D1122" s="21" t="s">
        <v>35</v>
      </c>
      <c r="E1122" s="17" t="s">
        <v>507</v>
      </c>
      <c r="F1122" s="18" t="s">
        <v>105</v>
      </c>
      <c r="G1122" s="18" t="s">
        <v>48</v>
      </c>
      <c r="H1122" s="24">
        <v>38090</v>
      </c>
      <c r="I1122" s="24">
        <f>T_reg.root.SK[[#This Row],[Volume, kg]]/1000</f>
        <v>38.090000000000003</v>
      </c>
      <c r="J1122" s="25">
        <v>0.21179999999999999</v>
      </c>
      <c r="K1122" s="25">
        <f t="shared" si="17"/>
        <v>8067.4619999999995</v>
      </c>
      <c r="L1122" s="25">
        <v>3.12</v>
      </c>
      <c r="M1122" s="24">
        <v>118803.5</v>
      </c>
      <c r="N1122" s="25">
        <f>IFERROR(T_reg.root.SK[[#This Row],[Price]]/T_reg.root.SK[[#This Row],[Starch content]],"")</f>
        <v>14.730878186968839</v>
      </c>
    </row>
    <row r="1123" spans="1:14">
      <c r="A1123" s="21">
        <v>2023</v>
      </c>
      <c r="B1123" s="21" t="s">
        <v>24</v>
      </c>
      <c r="C1123" s="21" t="s">
        <v>1145</v>
      </c>
      <c r="D1123" s="21" t="s">
        <v>35</v>
      </c>
      <c r="E1123" s="17" t="s">
        <v>174</v>
      </c>
      <c r="F1123" s="18" t="s">
        <v>105</v>
      </c>
      <c r="G1123" s="18" t="s">
        <v>48</v>
      </c>
      <c r="H1123" s="24">
        <v>40080</v>
      </c>
      <c r="I1123" s="24">
        <f>T_reg.root.SK[[#This Row],[Volume, kg]]/1000</f>
        <v>40.08</v>
      </c>
      <c r="J1123" s="25">
        <v>0.17050000000000001</v>
      </c>
      <c r="K1123" s="25">
        <f t="shared" si="17"/>
        <v>6833.64</v>
      </c>
      <c r="L1123" s="25">
        <v>2.91</v>
      </c>
      <c r="M1123" s="24">
        <v>116739.5</v>
      </c>
      <c r="N1123" s="25">
        <f>IFERROR(T_reg.root.SK[[#This Row],[Price]]/T_reg.root.SK[[#This Row],[Starch content]],"")</f>
        <v>17.067448680351905</v>
      </c>
    </row>
    <row r="1124" spans="1:14">
      <c r="A1124" s="21">
        <v>2023</v>
      </c>
      <c r="B1124" s="21" t="s">
        <v>24</v>
      </c>
      <c r="C1124" s="21" t="s">
        <v>1145</v>
      </c>
      <c r="D1124" s="21" t="s">
        <v>35</v>
      </c>
      <c r="E1124" s="17" t="s">
        <v>576</v>
      </c>
      <c r="F1124" s="18" t="s">
        <v>105</v>
      </c>
      <c r="G1124" s="18" t="s">
        <v>48</v>
      </c>
      <c r="H1124" s="24">
        <v>4760</v>
      </c>
      <c r="I1124" s="24">
        <f>T_reg.root.SK[[#This Row],[Volume, kg]]/1000</f>
        <v>4.76</v>
      </c>
      <c r="J1124" s="25">
        <v>0.20800000000000002</v>
      </c>
      <c r="K1124" s="25">
        <f t="shared" si="17"/>
        <v>990.08</v>
      </c>
      <c r="L1124" s="25">
        <v>3.1</v>
      </c>
      <c r="M1124" s="24">
        <v>14756</v>
      </c>
      <c r="N1124" s="25">
        <f>IFERROR(T_reg.root.SK[[#This Row],[Price]]/T_reg.root.SK[[#This Row],[Starch content]],"")</f>
        <v>14.903846153846153</v>
      </c>
    </row>
    <row r="1125" spans="1:14">
      <c r="A1125" s="21">
        <v>2023</v>
      </c>
      <c r="B1125" s="21" t="s">
        <v>24</v>
      </c>
      <c r="C1125" s="21" t="s">
        <v>1145</v>
      </c>
      <c r="D1125" s="21" t="s">
        <v>35</v>
      </c>
      <c r="E1125" s="17" t="s">
        <v>577</v>
      </c>
      <c r="F1125" s="18" t="s">
        <v>105</v>
      </c>
      <c r="G1125" s="18" t="s">
        <v>48</v>
      </c>
      <c r="H1125" s="24">
        <v>3430</v>
      </c>
      <c r="I1125" s="24">
        <f>T_reg.root.SK[[#This Row],[Volume, kg]]/1000</f>
        <v>3.43</v>
      </c>
      <c r="J1125" s="25">
        <v>0.1845</v>
      </c>
      <c r="K1125" s="25">
        <f t="shared" si="17"/>
        <v>632.83500000000004</v>
      </c>
      <c r="L1125" s="25">
        <v>2.95</v>
      </c>
      <c r="M1125" s="24">
        <v>10118.5</v>
      </c>
      <c r="N1125" s="25">
        <f>IFERROR(T_reg.root.SK[[#This Row],[Price]]/T_reg.root.SK[[#This Row],[Starch content]],"")</f>
        <v>15.989159891598916</v>
      </c>
    </row>
    <row r="1126" spans="1:14">
      <c r="A1126" s="21">
        <v>2023</v>
      </c>
      <c r="B1126" s="21" t="s">
        <v>24</v>
      </c>
      <c r="C1126" s="21" t="s">
        <v>1145</v>
      </c>
      <c r="D1126" s="21" t="s">
        <v>35</v>
      </c>
      <c r="E1126" s="17" t="s">
        <v>176</v>
      </c>
      <c r="F1126" s="18" t="s">
        <v>105</v>
      </c>
      <c r="G1126" s="18" t="s">
        <v>48</v>
      </c>
      <c r="H1126" s="24">
        <v>5850</v>
      </c>
      <c r="I1126" s="24">
        <f>T_reg.root.SK[[#This Row],[Volume, kg]]/1000</f>
        <v>5.85</v>
      </c>
      <c r="J1126" s="25">
        <v>0.2205</v>
      </c>
      <c r="K1126" s="25">
        <f t="shared" si="17"/>
        <v>1289.925</v>
      </c>
      <c r="L1126" s="25">
        <v>3.15</v>
      </c>
      <c r="M1126" s="24">
        <v>18427.5</v>
      </c>
      <c r="N1126" s="25">
        <f>IFERROR(T_reg.root.SK[[#This Row],[Price]]/T_reg.root.SK[[#This Row],[Starch content]],"")</f>
        <v>14.285714285714285</v>
      </c>
    </row>
    <row r="1127" spans="1:14">
      <c r="A1127" s="21">
        <v>2023</v>
      </c>
      <c r="B1127" s="21" t="s">
        <v>24</v>
      </c>
      <c r="C1127" s="21" t="s">
        <v>1145</v>
      </c>
      <c r="D1127" s="21" t="s">
        <v>35</v>
      </c>
      <c r="E1127" s="17" t="s">
        <v>177</v>
      </c>
      <c r="F1127" s="18" t="s">
        <v>105</v>
      </c>
      <c r="G1127" s="18" t="s">
        <v>48</v>
      </c>
      <c r="H1127" s="24">
        <v>7200</v>
      </c>
      <c r="I1127" s="24">
        <f>T_reg.root.SK[[#This Row],[Volume, kg]]/1000</f>
        <v>7.2</v>
      </c>
      <c r="J1127" s="25">
        <v>0.24100000000000002</v>
      </c>
      <c r="K1127" s="25">
        <f t="shared" si="17"/>
        <v>1735.2</v>
      </c>
      <c r="L1127" s="25">
        <v>3.25</v>
      </c>
      <c r="M1127" s="24">
        <v>23400</v>
      </c>
      <c r="N1127" s="25">
        <f>IFERROR(T_reg.root.SK[[#This Row],[Price]]/T_reg.root.SK[[#This Row],[Starch content]],"")</f>
        <v>13.485477178423235</v>
      </c>
    </row>
    <row r="1128" spans="1:14">
      <c r="A1128" s="21">
        <v>2023</v>
      </c>
      <c r="B1128" s="21" t="s">
        <v>24</v>
      </c>
      <c r="C1128" s="21" t="s">
        <v>1145</v>
      </c>
      <c r="D1128" s="21" t="s">
        <v>35</v>
      </c>
      <c r="E1128" s="17" t="s">
        <v>328</v>
      </c>
      <c r="F1128" s="18" t="s">
        <v>105</v>
      </c>
      <c r="G1128" s="18" t="s">
        <v>48</v>
      </c>
      <c r="H1128" s="24">
        <v>12560</v>
      </c>
      <c r="I1128" s="24">
        <f>T_reg.root.SK[[#This Row],[Volume, kg]]/1000</f>
        <v>12.56</v>
      </c>
      <c r="J1128" s="25">
        <v>0.17170000000000002</v>
      </c>
      <c r="K1128" s="25">
        <f t="shared" si="17"/>
        <v>2156.5520000000001</v>
      </c>
      <c r="L1128" s="25">
        <v>2.89</v>
      </c>
      <c r="M1128" s="24">
        <v>36296</v>
      </c>
      <c r="N1128" s="25">
        <f>IFERROR(T_reg.root.SK[[#This Row],[Price]]/T_reg.root.SK[[#This Row],[Starch content]],"")</f>
        <v>16.831683168316829</v>
      </c>
    </row>
    <row r="1129" spans="1:14">
      <c r="A1129" s="21">
        <v>2023</v>
      </c>
      <c r="B1129" s="21" t="s">
        <v>24</v>
      </c>
      <c r="C1129" s="21" t="s">
        <v>1145</v>
      </c>
      <c r="D1129" s="21" t="s">
        <v>35</v>
      </c>
      <c r="E1129" s="17" t="s">
        <v>259</v>
      </c>
      <c r="F1129" s="18" t="s">
        <v>105</v>
      </c>
      <c r="G1129" s="18" t="s">
        <v>48</v>
      </c>
      <c r="H1129" s="24">
        <v>4380</v>
      </c>
      <c r="I1129" s="24">
        <f>T_reg.root.SK[[#This Row],[Volume, kg]]/1000</f>
        <v>4.38</v>
      </c>
      <c r="J1129" s="25">
        <v>0.248</v>
      </c>
      <c r="K1129" s="25">
        <f t="shared" si="17"/>
        <v>1086.24</v>
      </c>
      <c r="L1129" s="25">
        <v>3.3</v>
      </c>
      <c r="M1129" s="24">
        <v>14454</v>
      </c>
      <c r="N1129" s="25">
        <f>IFERROR(T_reg.root.SK[[#This Row],[Price]]/T_reg.root.SK[[#This Row],[Starch content]],"")</f>
        <v>13.306451612903226</v>
      </c>
    </row>
    <row r="1130" spans="1:14">
      <c r="A1130" s="21">
        <v>2023</v>
      </c>
      <c r="B1130" s="21" t="s">
        <v>24</v>
      </c>
      <c r="C1130" s="21" t="s">
        <v>1145</v>
      </c>
      <c r="D1130" s="21" t="s">
        <v>35</v>
      </c>
      <c r="E1130" s="17" t="s">
        <v>329</v>
      </c>
      <c r="F1130" s="18" t="s">
        <v>105</v>
      </c>
      <c r="G1130" s="18" t="s">
        <v>48</v>
      </c>
      <c r="H1130" s="24">
        <v>31280</v>
      </c>
      <c r="I1130" s="24">
        <f>T_reg.root.SK[[#This Row],[Volume, kg]]/1000</f>
        <v>31.28</v>
      </c>
      <c r="J1130" s="25">
        <v>0.18489999999999998</v>
      </c>
      <c r="K1130" s="25">
        <f t="shared" si="17"/>
        <v>5783.6719999999996</v>
      </c>
      <c r="L1130" s="25">
        <v>2.98</v>
      </c>
      <c r="M1130" s="24">
        <v>93314</v>
      </c>
      <c r="N1130" s="25">
        <f>IFERROR(T_reg.root.SK[[#This Row],[Price]]/T_reg.root.SK[[#This Row],[Starch content]],"")</f>
        <v>16.116819902650082</v>
      </c>
    </row>
    <row r="1131" spans="1:14">
      <c r="A1131" s="21">
        <v>2023</v>
      </c>
      <c r="B1131" s="21" t="s">
        <v>24</v>
      </c>
      <c r="C1131" s="21" t="s">
        <v>1145</v>
      </c>
      <c r="D1131" s="21" t="s">
        <v>35</v>
      </c>
      <c r="E1131" s="17" t="s">
        <v>179</v>
      </c>
      <c r="F1131" s="18" t="s">
        <v>105</v>
      </c>
      <c r="G1131" s="18" t="s">
        <v>48</v>
      </c>
      <c r="H1131" s="24">
        <v>70210</v>
      </c>
      <c r="I1131" s="24">
        <f>T_reg.root.SK[[#This Row],[Volume, kg]]/1000</f>
        <v>70.209999999999994</v>
      </c>
      <c r="J1131" s="25">
        <v>0.20610000000000001</v>
      </c>
      <c r="K1131" s="25">
        <f t="shared" si="17"/>
        <v>14470.281000000001</v>
      </c>
      <c r="L1131" s="25">
        <v>3.14</v>
      </c>
      <c r="M1131" s="24">
        <v>220198.5</v>
      </c>
      <c r="N1131" s="25">
        <f>IFERROR(T_reg.root.SK[[#This Row],[Price]]/T_reg.root.SK[[#This Row],[Starch content]],"")</f>
        <v>15.235322658903446</v>
      </c>
    </row>
    <row r="1132" spans="1:14">
      <c r="A1132" s="21">
        <v>2023</v>
      </c>
      <c r="B1132" s="21" t="s">
        <v>24</v>
      </c>
      <c r="C1132" s="21" t="s">
        <v>1145</v>
      </c>
      <c r="D1132" s="21" t="s">
        <v>35</v>
      </c>
      <c r="E1132" s="17" t="s">
        <v>181</v>
      </c>
      <c r="F1132" s="18" t="s">
        <v>105</v>
      </c>
      <c r="G1132" s="18" t="s">
        <v>48</v>
      </c>
      <c r="H1132" s="24">
        <v>90380</v>
      </c>
      <c r="I1132" s="24">
        <f>T_reg.root.SK[[#This Row],[Volume, kg]]/1000</f>
        <v>90.38</v>
      </c>
      <c r="J1132" s="25">
        <v>0.1981</v>
      </c>
      <c r="K1132" s="25">
        <f t="shared" si="17"/>
        <v>17904.277999999998</v>
      </c>
      <c r="L1132" s="25">
        <v>3.1</v>
      </c>
      <c r="M1132" s="24">
        <v>279961</v>
      </c>
      <c r="N1132" s="25">
        <f>IFERROR(T_reg.root.SK[[#This Row],[Price]]/T_reg.root.SK[[#This Row],[Starch content]],"")</f>
        <v>15.648662291771833</v>
      </c>
    </row>
    <row r="1133" spans="1:14">
      <c r="A1133" s="21">
        <v>2023</v>
      </c>
      <c r="B1133" s="21" t="s">
        <v>24</v>
      </c>
      <c r="C1133" s="21" t="s">
        <v>1145</v>
      </c>
      <c r="D1133" s="21" t="s">
        <v>35</v>
      </c>
      <c r="E1133" s="17" t="s">
        <v>182</v>
      </c>
      <c r="F1133" s="18" t="s">
        <v>105</v>
      </c>
      <c r="G1133" s="18" t="s">
        <v>48</v>
      </c>
      <c r="H1133" s="24">
        <v>5680</v>
      </c>
      <c r="I1133" s="24">
        <f>T_reg.root.SK[[#This Row],[Volume, kg]]/1000</f>
        <v>5.68</v>
      </c>
      <c r="J1133" s="25">
        <v>0.13600000000000001</v>
      </c>
      <c r="K1133" s="25">
        <f t="shared" si="17"/>
        <v>772.48</v>
      </c>
      <c r="L1133" s="25">
        <v>2.75</v>
      </c>
      <c r="M1133" s="24">
        <v>15620</v>
      </c>
      <c r="N1133" s="25">
        <f>IFERROR(T_reg.root.SK[[#This Row],[Price]]/T_reg.root.SK[[#This Row],[Starch content]],"")</f>
        <v>20.220588235294116</v>
      </c>
    </row>
    <row r="1134" spans="1:14">
      <c r="A1134" s="21">
        <v>2023</v>
      </c>
      <c r="B1134" s="21" t="s">
        <v>24</v>
      </c>
      <c r="C1134" s="21" t="s">
        <v>1145</v>
      </c>
      <c r="D1134" s="21" t="s">
        <v>35</v>
      </c>
      <c r="E1134" s="17" t="s">
        <v>578</v>
      </c>
      <c r="F1134" s="18" t="s">
        <v>105</v>
      </c>
      <c r="G1134" s="18" t="s">
        <v>48</v>
      </c>
      <c r="H1134" s="24">
        <v>27650</v>
      </c>
      <c r="I1134" s="24">
        <f>T_reg.root.SK[[#This Row],[Volume, kg]]/1000</f>
        <v>27.65</v>
      </c>
      <c r="J1134" s="25">
        <v>0.21969999999999998</v>
      </c>
      <c r="K1134" s="25">
        <f t="shared" si="17"/>
        <v>6074.704999999999</v>
      </c>
      <c r="L1134" s="25">
        <v>3.14</v>
      </c>
      <c r="M1134" s="24">
        <v>86924</v>
      </c>
      <c r="N1134" s="25">
        <f>IFERROR(T_reg.root.SK[[#This Row],[Price]]/T_reg.root.SK[[#This Row],[Starch content]],"")</f>
        <v>14.292216659080566</v>
      </c>
    </row>
    <row r="1135" spans="1:14">
      <c r="A1135" s="21">
        <v>2023</v>
      </c>
      <c r="B1135" s="21" t="s">
        <v>24</v>
      </c>
      <c r="C1135" s="21" t="s">
        <v>1145</v>
      </c>
      <c r="D1135" s="21" t="s">
        <v>35</v>
      </c>
      <c r="E1135" s="17" t="s">
        <v>183</v>
      </c>
      <c r="F1135" s="18" t="s">
        <v>105</v>
      </c>
      <c r="G1135" s="18" t="s">
        <v>48</v>
      </c>
      <c r="H1135" s="24">
        <v>87050</v>
      </c>
      <c r="I1135" s="24">
        <f>T_reg.root.SK[[#This Row],[Volume, kg]]/1000</f>
        <v>87.05</v>
      </c>
      <c r="J1135" s="25">
        <v>0.23170000000000002</v>
      </c>
      <c r="K1135" s="25">
        <f t="shared" si="17"/>
        <v>20169.485000000001</v>
      </c>
      <c r="L1135" s="25">
        <v>3.26</v>
      </c>
      <c r="M1135" s="24">
        <v>283644.5</v>
      </c>
      <c r="N1135" s="25">
        <f>IFERROR(T_reg.root.SK[[#This Row],[Price]]/T_reg.root.SK[[#This Row],[Starch content]],"")</f>
        <v>14.069917997410442</v>
      </c>
    </row>
    <row r="1136" spans="1:14">
      <c r="A1136" s="21">
        <v>2023</v>
      </c>
      <c r="B1136" s="21" t="s">
        <v>24</v>
      </c>
      <c r="C1136" s="21" t="s">
        <v>1145</v>
      </c>
      <c r="D1136" s="21" t="s">
        <v>35</v>
      </c>
      <c r="E1136" s="17" t="s">
        <v>330</v>
      </c>
      <c r="F1136" s="18" t="s">
        <v>187</v>
      </c>
      <c r="G1136" s="18" t="s">
        <v>48</v>
      </c>
      <c r="H1136" s="24">
        <v>8990</v>
      </c>
      <c r="I1136" s="24">
        <f>T_reg.root.SK[[#This Row],[Volume, kg]]/1000</f>
        <v>8.99</v>
      </c>
      <c r="J1136" s="25">
        <v>0.19550000000000001</v>
      </c>
      <c r="K1136" s="25">
        <f t="shared" si="17"/>
        <v>1757.5450000000001</v>
      </c>
      <c r="L1136" s="25">
        <v>3.2</v>
      </c>
      <c r="M1136" s="24">
        <v>28768</v>
      </c>
      <c r="N1136" s="25">
        <f>IFERROR(T_reg.root.SK[[#This Row],[Price]]/T_reg.root.SK[[#This Row],[Starch content]],"")</f>
        <v>16.368286445012789</v>
      </c>
    </row>
    <row r="1137" spans="1:14">
      <c r="A1137" s="21">
        <v>2023</v>
      </c>
      <c r="B1137" s="21" t="s">
        <v>24</v>
      </c>
      <c r="C1137" s="21" t="s">
        <v>1145</v>
      </c>
      <c r="D1137" s="21" t="s">
        <v>35</v>
      </c>
      <c r="E1137" s="17" t="s">
        <v>579</v>
      </c>
      <c r="F1137" s="18" t="s">
        <v>187</v>
      </c>
      <c r="G1137" s="18" t="s">
        <v>48</v>
      </c>
      <c r="H1137" s="24">
        <v>42650</v>
      </c>
      <c r="I1137" s="24">
        <f>T_reg.root.SK[[#This Row],[Volume, kg]]/1000</f>
        <v>42.65</v>
      </c>
      <c r="J1137" s="25">
        <v>0.2024</v>
      </c>
      <c r="K1137" s="25">
        <f t="shared" si="17"/>
        <v>8632.36</v>
      </c>
      <c r="L1137" s="25">
        <v>3.21</v>
      </c>
      <c r="M1137" s="24">
        <v>136983</v>
      </c>
      <c r="N1137" s="25">
        <f>IFERROR(T_reg.root.SK[[#This Row],[Price]]/T_reg.root.SK[[#This Row],[Starch content]],"")</f>
        <v>15.859683794466402</v>
      </c>
    </row>
    <row r="1138" spans="1:14">
      <c r="A1138" s="21">
        <v>2023</v>
      </c>
      <c r="B1138" s="21" t="s">
        <v>24</v>
      </c>
      <c r="C1138" s="21" t="s">
        <v>1145</v>
      </c>
      <c r="D1138" s="21" t="s">
        <v>35</v>
      </c>
      <c r="E1138" s="17" t="s">
        <v>186</v>
      </c>
      <c r="F1138" s="18" t="s">
        <v>187</v>
      </c>
      <c r="G1138" s="18" t="s">
        <v>48</v>
      </c>
      <c r="H1138" s="24">
        <v>63030</v>
      </c>
      <c r="I1138" s="24">
        <f>T_reg.root.SK[[#This Row],[Volume, kg]]/1000</f>
        <v>63.03</v>
      </c>
      <c r="J1138" s="25">
        <v>0.20370000000000002</v>
      </c>
      <c r="K1138" s="25">
        <f t="shared" si="17"/>
        <v>12839.211000000001</v>
      </c>
      <c r="L1138" s="25">
        <v>3.22</v>
      </c>
      <c r="M1138" s="24">
        <v>202927</v>
      </c>
      <c r="N1138" s="25">
        <f>IFERROR(T_reg.root.SK[[#This Row],[Price]]/T_reg.root.SK[[#This Row],[Starch content]],"")</f>
        <v>15.807560137457044</v>
      </c>
    </row>
    <row r="1139" spans="1:14">
      <c r="A1139" s="21">
        <v>2023</v>
      </c>
      <c r="B1139" s="21" t="s">
        <v>24</v>
      </c>
      <c r="C1139" s="21" t="s">
        <v>1145</v>
      </c>
      <c r="D1139" s="21" t="s">
        <v>35</v>
      </c>
      <c r="E1139" s="17" t="s">
        <v>190</v>
      </c>
      <c r="F1139" s="18" t="s">
        <v>187</v>
      </c>
      <c r="G1139" s="18" t="s">
        <v>48</v>
      </c>
      <c r="H1139" s="24">
        <v>31180</v>
      </c>
      <c r="I1139" s="24">
        <f>T_reg.root.SK[[#This Row],[Volume, kg]]/1000</f>
        <v>31.18</v>
      </c>
      <c r="J1139" s="25">
        <v>0.1963</v>
      </c>
      <c r="K1139" s="25">
        <f t="shared" si="17"/>
        <v>6120.634</v>
      </c>
      <c r="L1139" s="25">
        <v>3.18</v>
      </c>
      <c r="M1139" s="24">
        <v>99106.5</v>
      </c>
      <c r="N1139" s="25">
        <f>IFERROR(T_reg.root.SK[[#This Row],[Price]]/T_reg.root.SK[[#This Row],[Starch content]],"")</f>
        <v>16.199694345389709</v>
      </c>
    </row>
    <row r="1140" spans="1:14">
      <c r="A1140" s="21">
        <v>2023</v>
      </c>
      <c r="B1140" s="21" t="s">
        <v>24</v>
      </c>
      <c r="C1140" s="21" t="s">
        <v>1145</v>
      </c>
      <c r="D1140" s="21" t="s">
        <v>35</v>
      </c>
      <c r="E1140" s="17" t="s">
        <v>191</v>
      </c>
      <c r="F1140" s="18" t="s">
        <v>187</v>
      </c>
      <c r="G1140" s="18" t="s">
        <v>48</v>
      </c>
      <c r="H1140" s="24">
        <v>8720</v>
      </c>
      <c r="I1140" s="24">
        <f>T_reg.root.SK[[#This Row],[Volume, kg]]/1000</f>
        <v>8.7200000000000006</v>
      </c>
      <c r="J1140" s="25">
        <v>0.1905</v>
      </c>
      <c r="K1140" s="25">
        <f t="shared" si="17"/>
        <v>1661.16</v>
      </c>
      <c r="L1140" s="25">
        <v>3.15</v>
      </c>
      <c r="M1140" s="24">
        <v>27468</v>
      </c>
      <c r="N1140" s="25">
        <f>IFERROR(T_reg.root.SK[[#This Row],[Price]]/T_reg.root.SK[[#This Row],[Starch content]],"")</f>
        <v>16.535433070866141</v>
      </c>
    </row>
    <row r="1141" spans="1:14">
      <c r="A1141" s="21">
        <v>2023</v>
      </c>
      <c r="B1141" s="21" t="s">
        <v>24</v>
      </c>
      <c r="C1141" s="21" t="s">
        <v>1145</v>
      </c>
      <c r="D1141" s="21" t="s">
        <v>35</v>
      </c>
      <c r="E1141" s="17" t="s">
        <v>510</v>
      </c>
      <c r="F1141" s="18" t="s">
        <v>187</v>
      </c>
      <c r="G1141" s="18" t="s">
        <v>48</v>
      </c>
      <c r="H1141" s="24">
        <v>34650</v>
      </c>
      <c r="I1141" s="24">
        <f>T_reg.root.SK[[#This Row],[Volume, kg]]/1000</f>
        <v>34.65</v>
      </c>
      <c r="J1141" s="25">
        <v>0.2011</v>
      </c>
      <c r="K1141" s="25">
        <f t="shared" si="17"/>
        <v>6968.1149999999998</v>
      </c>
      <c r="L1141" s="25">
        <v>3.21</v>
      </c>
      <c r="M1141" s="24">
        <v>111200.5</v>
      </c>
      <c r="N1141" s="25">
        <f>IFERROR(T_reg.root.SK[[#This Row],[Price]]/T_reg.root.SK[[#This Row],[Starch content]],"")</f>
        <v>15.962207856787668</v>
      </c>
    </row>
    <row r="1142" spans="1:14">
      <c r="A1142" s="21">
        <v>2023</v>
      </c>
      <c r="B1142" s="21" t="s">
        <v>24</v>
      </c>
      <c r="C1142" s="21" t="s">
        <v>1145</v>
      </c>
      <c r="D1142" s="21" t="s">
        <v>35</v>
      </c>
      <c r="E1142" s="17" t="s">
        <v>580</v>
      </c>
      <c r="F1142" s="18" t="s">
        <v>187</v>
      </c>
      <c r="G1142" s="18" t="s">
        <v>48</v>
      </c>
      <c r="H1142" s="24">
        <v>33010</v>
      </c>
      <c r="I1142" s="24">
        <f>T_reg.root.SK[[#This Row],[Volume, kg]]/1000</f>
        <v>33.01</v>
      </c>
      <c r="J1142" s="25">
        <v>0.1837</v>
      </c>
      <c r="K1142" s="25">
        <f t="shared" si="17"/>
        <v>6063.9369999999999</v>
      </c>
      <c r="L1142" s="25">
        <v>3.11</v>
      </c>
      <c r="M1142" s="24">
        <v>102568</v>
      </c>
      <c r="N1142" s="25">
        <f>IFERROR(T_reg.root.SK[[#This Row],[Price]]/T_reg.root.SK[[#This Row],[Starch content]],"")</f>
        <v>16.929776810016332</v>
      </c>
    </row>
    <row r="1143" spans="1:14">
      <c r="A1143" s="21">
        <v>2023</v>
      </c>
      <c r="B1143" s="21" t="s">
        <v>24</v>
      </c>
      <c r="C1143" s="21" t="s">
        <v>1145</v>
      </c>
      <c r="D1143" s="21" t="s">
        <v>35</v>
      </c>
      <c r="E1143" s="17" t="s">
        <v>370</v>
      </c>
      <c r="F1143" s="18" t="s">
        <v>187</v>
      </c>
      <c r="G1143" s="18" t="s">
        <v>48</v>
      </c>
      <c r="H1143" s="24">
        <v>52160</v>
      </c>
      <c r="I1143" s="24">
        <f>T_reg.root.SK[[#This Row],[Volume, kg]]/1000</f>
        <v>52.16</v>
      </c>
      <c r="J1143" s="25">
        <v>0.16769999999999999</v>
      </c>
      <c r="K1143" s="25">
        <f t="shared" si="17"/>
        <v>8747.232</v>
      </c>
      <c r="L1143" s="25">
        <v>3.05</v>
      </c>
      <c r="M1143" s="24">
        <v>158908</v>
      </c>
      <c r="N1143" s="25">
        <f>IFERROR(T_reg.root.SK[[#This Row],[Price]]/T_reg.root.SK[[#This Row],[Starch content]],"")</f>
        <v>18.187239117471677</v>
      </c>
    </row>
    <row r="1144" spans="1:14">
      <c r="A1144" s="21">
        <v>2023</v>
      </c>
      <c r="B1144" s="21" t="s">
        <v>24</v>
      </c>
      <c r="C1144" s="21" t="s">
        <v>1145</v>
      </c>
      <c r="D1144" s="21" t="s">
        <v>35</v>
      </c>
      <c r="E1144" s="17" t="s">
        <v>581</v>
      </c>
      <c r="F1144" s="18" t="s">
        <v>187</v>
      </c>
      <c r="G1144" s="18" t="s">
        <v>48</v>
      </c>
      <c r="H1144" s="24">
        <v>10000</v>
      </c>
      <c r="I1144" s="24">
        <f>T_reg.root.SK[[#This Row],[Volume, kg]]/1000</f>
        <v>10</v>
      </c>
      <c r="J1144" s="25">
        <v>0.1399</v>
      </c>
      <c r="K1144" s="25">
        <f t="shared" si="17"/>
        <v>1399</v>
      </c>
      <c r="L1144" s="25">
        <v>2.9</v>
      </c>
      <c r="M1144" s="24">
        <v>28975</v>
      </c>
      <c r="N1144" s="25">
        <f>IFERROR(T_reg.root.SK[[#This Row],[Price]]/T_reg.root.SK[[#This Row],[Starch content]],"")</f>
        <v>20.729092208720516</v>
      </c>
    </row>
    <row r="1145" spans="1:14">
      <c r="A1145" s="21">
        <v>2023</v>
      </c>
      <c r="B1145" s="21" t="s">
        <v>24</v>
      </c>
      <c r="C1145" s="21" t="s">
        <v>1145</v>
      </c>
      <c r="D1145" s="21" t="s">
        <v>35</v>
      </c>
      <c r="E1145" s="17" t="s">
        <v>511</v>
      </c>
      <c r="F1145" s="18" t="s">
        <v>187</v>
      </c>
      <c r="G1145" s="18" t="s">
        <v>48</v>
      </c>
      <c r="H1145" s="24">
        <v>17570</v>
      </c>
      <c r="I1145" s="24">
        <f>T_reg.root.SK[[#This Row],[Volume, kg]]/1000</f>
        <v>17.57</v>
      </c>
      <c r="J1145" s="25">
        <v>0.16719999999999999</v>
      </c>
      <c r="K1145" s="25">
        <f t="shared" si="17"/>
        <v>2937.7039999999997</v>
      </c>
      <c r="L1145" s="25">
        <v>3.03</v>
      </c>
      <c r="M1145" s="24">
        <v>53322</v>
      </c>
      <c r="N1145" s="25">
        <f>IFERROR(T_reg.root.SK[[#This Row],[Price]]/T_reg.root.SK[[#This Row],[Starch content]],"")</f>
        <v>18.12200956937799</v>
      </c>
    </row>
    <row r="1146" spans="1:14">
      <c r="A1146" s="21">
        <v>2023</v>
      </c>
      <c r="B1146" s="21" t="s">
        <v>24</v>
      </c>
      <c r="C1146" s="21" t="s">
        <v>1145</v>
      </c>
      <c r="D1146" s="21" t="s">
        <v>35</v>
      </c>
      <c r="E1146" s="17" t="s">
        <v>582</v>
      </c>
      <c r="F1146" s="18" t="s">
        <v>187</v>
      </c>
      <c r="G1146" s="18" t="s">
        <v>48</v>
      </c>
      <c r="H1146" s="24">
        <v>44840</v>
      </c>
      <c r="I1146" s="24">
        <f>T_reg.root.SK[[#This Row],[Volume, kg]]/1000</f>
        <v>44.84</v>
      </c>
      <c r="J1146" s="25">
        <v>0.17710000000000001</v>
      </c>
      <c r="K1146" s="25">
        <f t="shared" si="17"/>
        <v>7941.1640000000007</v>
      </c>
      <c r="L1146" s="25">
        <v>3.09</v>
      </c>
      <c r="M1146" s="24">
        <v>138413</v>
      </c>
      <c r="N1146" s="25">
        <f>IFERROR(T_reg.root.SK[[#This Row],[Price]]/T_reg.root.SK[[#This Row],[Starch content]],"")</f>
        <v>17.447769621682664</v>
      </c>
    </row>
    <row r="1147" spans="1:14">
      <c r="A1147" s="21">
        <v>2023</v>
      </c>
      <c r="B1147" s="21" t="s">
        <v>24</v>
      </c>
      <c r="C1147" s="21" t="s">
        <v>1145</v>
      </c>
      <c r="D1147" s="21" t="s">
        <v>35</v>
      </c>
      <c r="E1147" s="17" t="s">
        <v>512</v>
      </c>
      <c r="F1147" s="18" t="s">
        <v>187</v>
      </c>
      <c r="G1147" s="18" t="s">
        <v>48</v>
      </c>
      <c r="H1147" s="24">
        <v>65190</v>
      </c>
      <c r="I1147" s="24">
        <f>T_reg.root.SK[[#This Row],[Volume, kg]]/1000</f>
        <v>65.19</v>
      </c>
      <c r="J1147" s="25">
        <v>0.15010000000000001</v>
      </c>
      <c r="K1147" s="25">
        <f t="shared" si="17"/>
        <v>9785.0190000000002</v>
      </c>
      <c r="L1147" s="25">
        <v>2.95</v>
      </c>
      <c r="M1147" s="24">
        <v>192457.5</v>
      </c>
      <c r="N1147" s="25">
        <f>IFERROR(T_reg.root.SK[[#This Row],[Price]]/T_reg.root.SK[[#This Row],[Starch content]],"")</f>
        <v>19.653564290473017</v>
      </c>
    </row>
    <row r="1148" spans="1:14">
      <c r="A1148" s="21">
        <v>2023</v>
      </c>
      <c r="B1148" s="21" t="s">
        <v>24</v>
      </c>
      <c r="C1148" s="21" t="s">
        <v>1145</v>
      </c>
      <c r="D1148" s="21" t="s">
        <v>35</v>
      </c>
      <c r="E1148" s="17" t="s">
        <v>583</v>
      </c>
      <c r="F1148" s="18" t="s">
        <v>187</v>
      </c>
      <c r="G1148" s="18" t="s">
        <v>48</v>
      </c>
      <c r="H1148" s="24">
        <v>25550</v>
      </c>
      <c r="I1148" s="24">
        <f>T_reg.root.SK[[#This Row],[Volume, kg]]/1000</f>
        <v>25.55</v>
      </c>
      <c r="J1148" s="25">
        <v>0.14429999999999998</v>
      </c>
      <c r="K1148" s="25">
        <f t="shared" si="17"/>
        <v>3686.8649999999998</v>
      </c>
      <c r="L1148" s="25">
        <v>2.91</v>
      </c>
      <c r="M1148" s="24">
        <v>74379</v>
      </c>
      <c r="N1148" s="25">
        <f>IFERROR(T_reg.root.SK[[#This Row],[Price]]/T_reg.root.SK[[#This Row],[Starch content]],"")</f>
        <v>20.166320166320169</v>
      </c>
    </row>
    <row r="1149" spans="1:14">
      <c r="A1149" s="21">
        <v>2023</v>
      </c>
      <c r="B1149" s="21" t="s">
        <v>24</v>
      </c>
      <c r="C1149" s="21" t="s">
        <v>1145</v>
      </c>
      <c r="D1149" s="21" t="s">
        <v>35</v>
      </c>
      <c r="E1149" s="17" t="s">
        <v>261</v>
      </c>
      <c r="F1149" s="18" t="s">
        <v>187</v>
      </c>
      <c r="G1149" s="18" t="s">
        <v>48</v>
      </c>
      <c r="H1149" s="24">
        <v>102510</v>
      </c>
      <c r="I1149" s="24">
        <f>T_reg.root.SK[[#This Row],[Volume, kg]]/1000</f>
        <v>102.51</v>
      </c>
      <c r="J1149" s="25">
        <v>0.22149999999999997</v>
      </c>
      <c r="K1149" s="25">
        <f t="shared" si="17"/>
        <v>22705.964999999997</v>
      </c>
      <c r="L1149" s="25">
        <v>3.31</v>
      </c>
      <c r="M1149" s="24">
        <v>338974.5</v>
      </c>
      <c r="N1149" s="25">
        <f>IFERROR(T_reg.root.SK[[#This Row],[Price]]/T_reg.root.SK[[#This Row],[Starch content]],"")</f>
        <v>14.943566591422124</v>
      </c>
    </row>
    <row r="1150" spans="1:14">
      <c r="A1150" s="21">
        <v>2023</v>
      </c>
      <c r="B1150" s="21" t="s">
        <v>24</v>
      </c>
      <c r="C1150" s="21" t="s">
        <v>1145</v>
      </c>
      <c r="D1150" s="21" t="s">
        <v>35</v>
      </c>
      <c r="E1150" s="17" t="s">
        <v>584</v>
      </c>
      <c r="F1150" s="18" t="s">
        <v>187</v>
      </c>
      <c r="G1150" s="18" t="s">
        <v>48</v>
      </c>
      <c r="H1150" s="24">
        <v>11090</v>
      </c>
      <c r="I1150" s="24">
        <f>T_reg.root.SK[[#This Row],[Volume, kg]]/1000</f>
        <v>11.09</v>
      </c>
      <c r="J1150" s="25">
        <v>0.20600000000000002</v>
      </c>
      <c r="K1150" s="25">
        <f t="shared" si="17"/>
        <v>2284.54</v>
      </c>
      <c r="L1150" s="25">
        <v>3.25</v>
      </c>
      <c r="M1150" s="24">
        <v>36042.5</v>
      </c>
      <c r="N1150" s="25">
        <f>IFERROR(T_reg.root.SK[[#This Row],[Price]]/T_reg.root.SK[[#This Row],[Starch content]],"")</f>
        <v>15.776699029126211</v>
      </c>
    </row>
    <row r="1151" spans="1:14">
      <c r="A1151" s="21">
        <v>2023</v>
      </c>
      <c r="B1151" s="21" t="s">
        <v>24</v>
      </c>
      <c r="C1151" s="21" t="s">
        <v>1145</v>
      </c>
      <c r="D1151" s="21" t="s">
        <v>35</v>
      </c>
      <c r="E1151" s="17" t="s">
        <v>192</v>
      </c>
      <c r="F1151" s="18" t="s">
        <v>187</v>
      </c>
      <c r="G1151" s="18" t="s">
        <v>48</v>
      </c>
      <c r="H1151" s="24">
        <v>27460</v>
      </c>
      <c r="I1151" s="24">
        <f>T_reg.root.SK[[#This Row],[Volume, kg]]/1000</f>
        <v>27.46</v>
      </c>
      <c r="J1151" s="25">
        <v>0.21410000000000001</v>
      </c>
      <c r="K1151" s="25">
        <f t="shared" si="17"/>
        <v>5879.1860000000006</v>
      </c>
      <c r="L1151" s="25">
        <v>3.27</v>
      </c>
      <c r="M1151" s="24">
        <v>89837.5</v>
      </c>
      <c r="N1151" s="25">
        <f>IFERROR(T_reg.root.SK[[#This Row],[Price]]/T_reg.root.SK[[#This Row],[Starch content]],"")</f>
        <v>15.2732368052312</v>
      </c>
    </row>
    <row r="1152" spans="1:14">
      <c r="A1152" s="21">
        <v>2023</v>
      </c>
      <c r="B1152" s="21" t="s">
        <v>24</v>
      </c>
      <c r="C1152" s="21" t="s">
        <v>1145</v>
      </c>
      <c r="D1152" s="21" t="s">
        <v>35</v>
      </c>
      <c r="E1152" s="17" t="s">
        <v>585</v>
      </c>
      <c r="F1152" s="18" t="s">
        <v>187</v>
      </c>
      <c r="G1152" s="18" t="s">
        <v>48</v>
      </c>
      <c r="H1152" s="24">
        <v>16180</v>
      </c>
      <c r="I1152" s="24">
        <f>T_reg.root.SK[[#This Row],[Volume, kg]]/1000</f>
        <v>16.18</v>
      </c>
      <c r="J1152" s="25">
        <v>0.21989999999999998</v>
      </c>
      <c r="K1152" s="25">
        <f t="shared" si="17"/>
        <v>3557.982</v>
      </c>
      <c r="L1152" s="25">
        <v>3.3</v>
      </c>
      <c r="M1152" s="24">
        <v>53394</v>
      </c>
      <c r="N1152" s="25">
        <f>IFERROR(T_reg.root.SK[[#This Row],[Price]]/T_reg.root.SK[[#This Row],[Starch content]],"")</f>
        <v>15.006821282401091</v>
      </c>
    </row>
    <row r="1153" spans="1:14">
      <c r="A1153" s="21">
        <v>2023</v>
      </c>
      <c r="B1153" s="21" t="s">
        <v>24</v>
      </c>
      <c r="C1153" s="21" t="s">
        <v>1145</v>
      </c>
      <c r="D1153" s="21" t="s">
        <v>35</v>
      </c>
      <c r="E1153" s="17" t="s">
        <v>193</v>
      </c>
      <c r="F1153" s="18" t="s">
        <v>187</v>
      </c>
      <c r="G1153" s="18" t="s">
        <v>48</v>
      </c>
      <c r="H1153" s="24">
        <v>21340</v>
      </c>
      <c r="I1153" s="24">
        <f>T_reg.root.SK[[#This Row],[Volume, kg]]/1000</f>
        <v>21.34</v>
      </c>
      <c r="J1153" s="25">
        <v>0.2281</v>
      </c>
      <c r="K1153" s="25">
        <f t="shared" si="17"/>
        <v>4867.6539999999995</v>
      </c>
      <c r="L1153" s="25">
        <v>3.33</v>
      </c>
      <c r="M1153" s="24">
        <v>70967.5</v>
      </c>
      <c r="N1153" s="25">
        <f>IFERROR(T_reg.root.SK[[#This Row],[Price]]/T_reg.root.SK[[#This Row],[Starch content]],"")</f>
        <v>14.598860149057431</v>
      </c>
    </row>
    <row r="1154" spans="1:14">
      <c r="A1154" s="21">
        <v>2023</v>
      </c>
      <c r="B1154" s="21" t="s">
        <v>24</v>
      </c>
      <c r="C1154" s="21" t="s">
        <v>1145</v>
      </c>
      <c r="D1154" s="21" t="s">
        <v>35</v>
      </c>
      <c r="E1154" s="17" t="s">
        <v>586</v>
      </c>
      <c r="F1154" s="18" t="s">
        <v>187</v>
      </c>
      <c r="G1154" s="18" t="s">
        <v>48</v>
      </c>
      <c r="H1154" s="24">
        <v>26780</v>
      </c>
      <c r="I1154" s="24">
        <f>T_reg.root.SK[[#This Row],[Volume, kg]]/1000</f>
        <v>26.78</v>
      </c>
      <c r="J1154" s="25">
        <v>0.1736</v>
      </c>
      <c r="K1154" s="25">
        <f t="shared" si="17"/>
        <v>4649.0079999999998</v>
      </c>
      <c r="L1154" s="25">
        <v>3.07</v>
      </c>
      <c r="M1154" s="24">
        <v>82232</v>
      </c>
      <c r="N1154" s="25">
        <f>IFERROR(T_reg.root.SK[[#This Row],[Price]]/T_reg.root.SK[[#This Row],[Starch content]],"")</f>
        <v>17.684331797235021</v>
      </c>
    </row>
    <row r="1155" spans="1:14">
      <c r="A1155" s="21">
        <v>2023</v>
      </c>
      <c r="B1155" s="21" t="s">
        <v>24</v>
      </c>
      <c r="C1155" s="21" t="s">
        <v>1145</v>
      </c>
      <c r="D1155" s="21" t="s">
        <v>35</v>
      </c>
      <c r="E1155" s="17" t="s">
        <v>262</v>
      </c>
      <c r="F1155" s="18" t="s">
        <v>187</v>
      </c>
      <c r="G1155" s="18" t="s">
        <v>48</v>
      </c>
      <c r="H1155" s="24">
        <v>39640</v>
      </c>
      <c r="I1155" s="24">
        <f>T_reg.root.SK[[#This Row],[Volume, kg]]/1000</f>
        <v>39.64</v>
      </c>
      <c r="J1155" s="25">
        <v>0.21249999999999999</v>
      </c>
      <c r="K1155" s="25">
        <f t="shared" ref="K1155:K1218" si="18">H1155*J1155</f>
        <v>8423.5</v>
      </c>
      <c r="L1155" s="25">
        <v>3.26</v>
      </c>
      <c r="M1155" s="24">
        <v>129029</v>
      </c>
      <c r="N1155" s="25">
        <f>IFERROR(T_reg.root.SK[[#This Row],[Price]]/T_reg.root.SK[[#This Row],[Starch content]],"")</f>
        <v>15.341176470588234</v>
      </c>
    </row>
    <row r="1156" spans="1:14">
      <c r="A1156" s="21">
        <v>2023</v>
      </c>
      <c r="B1156" s="21" t="s">
        <v>24</v>
      </c>
      <c r="C1156" s="21" t="s">
        <v>1145</v>
      </c>
      <c r="D1156" s="21" t="s">
        <v>35</v>
      </c>
      <c r="E1156" s="17" t="s">
        <v>515</v>
      </c>
      <c r="F1156" s="18" t="s">
        <v>187</v>
      </c>
      <c r="G1156" s="18" t="s">
        <v>48</v>
      </c>
      <c r="H1156" s="24">
        <v>33980</v>
      </c>
      <c r="I1156" s="24">
        <f>T_reg.root.SK[[#This Row],[Volume, kg]]/1000</f>
        <v>33.979999999999997</v>
      </c>
      <c r="J1156" s="25">
        <v>0.2029</v>
      </c>
      <c r="K1156" s="25">
        <f t="shared" si="18"/>
        <v>6894.5419999999995</v>
      </c>
      <c r="L1156" s="25">
        <v>3.23</v>
      </c>
      <c r="M1156" s="24">
        <v>109743</v>
      </c>
      <c r="N1156" s="25">
        <f>IFERROR(T_reg.root.SK[[#This Row],[Price]]/T_reg.root.SK[[#This Row],[Starch content]],"")</f>
        <v>15.919172005914243</v>
      </c>
    </row>
    <row r="1157" spans="1:14">
      <c r="A1157" s="21">
        <v>2023</v>
      </c>
      <c r="B1157" s="21" t="s">
        <v>24</v>
      </c>
      <c r="C1157" s="21" t="s">
        <v>1145</v>
      </c>
      <c r="D1157" s="21" t="s">
        <v>35</v>
      </c>
      <c r="E1157" s="17" t="s">
        <v>194</v>
      </c>
      <c r="F1157" s="18" t="s">
        <v>187</v>
      </c>
      <c r="G1157" s="18" t="s">
        <v>48</v>
      </c>
      <c r="H1157" s="24">
        <v>10590</v>
      </c>
      <c r="I1157" s="24">
        <f>T_reg.root.SK[[#This Row],[Volume, kg]]/1000</f>
        <v>10.59</v>
      </c>
      <c r="J1157" s="25">
        <v>0.193</v>
      </c>
      <c r="K1157" s="25">
        <f t="shared" si="18"/>
        <v>2043.8700000000001</v>
      </c>
      <c r="L1157" s="25">
        <v>3.15</v>
      </c>
      <c r="M1157" s="24">
        <v>33358.5</v>
      </c>
      <c r="N1157" s="25">
        <f>IFERROR(T_reg.root.SK[[#This Row],[Price]]/T_reg.root.SK[[#This Row],[Starch content]],"")</f>
        <v>16.32124352331606</v>
      </c>
    </row>
    <row r="1158" spans="1:14">
      <c r="A1158" s="21">
        <v>2023</v>
      </c>
      <c r="B1158" s="21" t="s">
        <v>24</v>
      </c>
      <c r="C1158" s="21" t="s">
        <v>1145</v>
      </c>
      <c r="D1158" s="21" t="s">
        <v>35</v>
      </c>
      <c r="E1158" s="17" t="s">
        <v>263</v>
      </c>
      <c r="F1158" s="18" t="s">
        <v>187</v>
      </c>
      <c r="G1158" s="18" t="s">
        <v>48</v>
      </c>
      <c r="H1158" s="24">
        <v>33720</v>
      </c>
      <c r="I1158" s="24">
        <f>T_reg.root.SK[[#This Row],[Volume, kg]]/1000</f>
        <v>33.72</v>
      </c>
      <c r="J1158" s="25">
        <v>0.21160000000000001</v>
      </c>
      <c r="K1158" s="25">
        <f t="shared" si="18"/>
        <v>7135.152</v>
      </c>
      <c r="L1158" s="25">
        <v>3.26</v>
      </c>
      <c r="M1158" s="24">
        <v>109767</v>
      </c>
      <c r="N1158" s="25">
        <f>IFERROR(T_reg.root.SK[[#This Row],[Price]]/T_reg.root.SK[[#This Row],[Starch content]],"")</f>
        <v>15.40642722117202</v>
      </c>
    </row>
    <row r="1159" spans="1:14">
      <c r="A1159" s="21">
        <v>2023</v>
      </c>
      <c r="B1159" s="21" t="s">
        <v>24</v>
      </c>
      <c r="C1159" s="21" t="s">
        <v>1145</v>
      </c>
      <c r="D1159" s="21" t="s">
        <v>35</v>
      </c>
      <c r="E1159" s="17" t="s">
        <v>587</v>
      </c>
      <c r="F1159" s="18" t="s">
        <v>187</v>
      </c>
      <c r="G1159" s="18" t="s">
        <v>48</v>
      </c>
      <c r="H1159" s="24">
        <v>22420</v>
      </c>
      <c r="I1159" s="24">
        <f>T_reg.root.SK[[#This Row],[Volume, kg]]/1000</f>
        <v>22.42</v>
      </c>
      <c r="J1159" s="25">
        <v>0.20929999999999999</v>
      </c>
      <c r="K1159" s="25">
        <f t="shared" si="18"/>
        <v>4692.5059999999994</v>
      </c>
      <c r="L1159" s="25">
        <v>3.25</v>
      </c>
      <c r="M1159" s="24">
        <v>72911.5</v>
      </c>
      <c r="N1159" s="25">
        <f>IFERROR(T_reg.root.SK[[#This Row],[Price]]/T_reg.root.SK[[#This Row],[Starch content]],"")</f>
        <v>15.527950310559007</v>
      </c>
    </row>
    <row r="1160" spans="1:14">
      <c r="A1160" s="21">
        <v>2023</v>
      </c>
      <c r="B1160" s="21" t="s">
        <v>24</v>
      </c>
      <c r="C1160" s="21" t="s">
        <v>1145</v>
      </c>
      <c r="D1160" s="21" t="s">
        <v>35</v>
      </c>
      <c r="E1160" s="17" t="s">
        <v>516</v>
      </c>
      <c r="F1160" s="18" t="s">
        <v>187</v>
      </c>
      <c r="G1160" s="18" t="s">
        <v>48</v>
      </c>
      <c r="H1160" s="24">
        <v>51050</v>
      </c>
      <c r="I1160" s="24">
        <f>T_reg.root.SK[[#This Row],[Volume, kg]]/1000</f>
        <v>51.05</v>
      </c>
      <c r="J1160" s="25">
        <v>0.159</v>
      </c>
      <c r="K1160" s="25">
        <f t="shared" si="18"/>
        <v>8116.95</v>
      </c>
      <c r="L1160" s="25">
        <v>2.99</v>
      </c>
      <c r="M1160" s="24">
        <v>152685.5</v>
      </c>
      <c r="N1160" s="25">
        <f>IFERROR(T_reg.root.SK[[#This Row],[Price]]/T_reg.root.SK[[#This Row],[Starch content]],"")</f>
        <v>18.80503144654088</v>
      </c>
    </row>
    <row r="1161" spans="1:14">
      <c r="A1161" s="21">
        <v>2023</v>
      </c>
      <c r="B1161" s="21" t="s">
        <v>24</v>
      </c>
      <c r="C1161" s="21" t="s">
        <v>1145</v>
      </c>
      <c r="D1161" s="21" t="s">
        <v>35</v>
      </c>
      <c r="E1161" s="17" t="s">
        <v>588</v>
      </c>
      <c r="F1161" s="18" t="s">
        <v>187</v>
      </c>
      <c r="G1161" s="18" t="s">
        <v>48</v>
      </c>
      <c r="H1161" s="24">
        <v>2730</v>
      </c>
      <c r="I1161" s="24">
        <f>T_reg.root.SK[[#This Row],[Volume, kg]]/1000</f>
        <v>2.73</v>
      </c>
      <c r="J1161" s="25">
        <v>0.17649999999999999</v>
      </c>
      <c r="K1161" s="25">
        <f t="shared" si="18"/>
        <v>481.84499999999997</v>
      </c>
      <c r="L1161" s="25">
        <v>3.1</v>
      </c>
      <c r="M1161" s="24">
        <v>8463</v>
      </c>
      <c r="N1161" s="25">
        <f>IFERROR(T_reg.root.SK[[#This Row],[Price]]/T_reg.root.SK[[#This Row],[Starch content]],"")</f>
        <v>17.563739376770538</v>
      </c>
    </row>
    <row r="1162" spans="1:14">
      <c r="A1162" s="21">
        <v>2023</v>
      </c>
      <c r="B1162" s="21" t="s">
        <v>24</v>
      </c>
      <c r="C1162" s="21" t="s">
        <v>1145</v>
      </c>
      <c r="D1162" s="21" t="s">
        <v>35</v>
      </c>
      <c r="E1162" s="17" t="s">
        <v>517</v>
      </c>
      <c r="F1162" s="18" t="s">
        <v>187</v>
      </c>
      <c r="G1162" s="18" t="s">
        <v>48</v>
      </c>
      <c r="H1162" s="24">
        <v>7360</v>
      </c>
      <c r="I1162" s="24">
        <f>T_reg.root.SK[[#This Row],[Volume, kg]]/1000</f>
        <v>7.36</v>
      </c>
      <c r="J1162" s="25">
        <v>0.154</v>
      </c>
      <c r="K1162" s="25">
        <f t="shared" si="18"/>
        <v>1133.44</v>
      </c>
      <c r="L1162" s="25">
        <v>2.95</v>
      </c>
      <c r="M1162" s="24">
        <v>21712</v>
      </c>
      <c r="N1162" s="25">
        <f>IFERROR(T_reg.root.SK[[#This Row],[Price]]/T_reg.root.SK[[#This Row],[Starch content]],"")</f>
        <v>19.155844155844157</v>
      </c>
    </row>
    <row r="1163" spans="1:14">
      <c r="A1163" s="21">
        <v>2023</v>
      </c>
      <c r="B1163" s="21" t="s">
        <v>24</v>
      </c>
      <c r="C1163" s="21" t="s">
        <v>1145</v>
      </c>
      <c r="D1163" s="21" t="s">
        <v>35</v>
      </c>
      <c r="E1163" s="17" t="s">
        <v>331</v>
      </c>
      <c r="F1163" s="18" t="s">
        <v>187</v>
      </c>
      <c r="G1163" s="18" t="s">
        <v>48</v>
      </c>
      <c r="H1163" s="24">
        <v>9520</v>
      </c>
      <c r="I1163" s="24">
        <f>T_reg.root.SK[[#This Row],[Volume, kg]]/1000</f>
        <v>9.52</v>
      </c>
      <c r="J1163" s="25">
        <v>0.184</v>
      </c>
      <c r="K1163" s="25">
        <f t="shared" si="18"/>
        <v>1751.68</v>
      </c>
      <c r="L1163" s="25">
        <v>3.1</v>
      </c>
      <c r="M1163" s="24">
        <v>29512</v>
      </c>
      <c r="N1163" s="25">
        <f>IFERROR(T_reg.root.SK[[#This Row],[Price]]/T_reg.root.SK[[#This Row],[Starch content]],"")</f>
        <v>16.847826086956523</v>
      </c>
    </row>
    <row r="1164" spans="1:14">
      <c r="A1164" s="21">
        <v>2023</v>
      </c>
      <c r="B1164" s="21" t="s">
        <v>24</v>
      </c>
      <c r="C1164" s="21" t="s">
        <v>1145</v>
      </c>
      <c r="D1164" s="21" t="s">
        <v>35</v>
      </c>
      <c r="E1164" s="17" t="s">
        <v>589</v>
      </c>
      <c r="F1164" s="18" t="s">
        <v>187</v>
      </c>
      <c r="G1164" s="18" t="s">
        <v>48</v>
      </c>
      <c r="H1164" s="24">
        <v>22970</v>
      </c>
      <c r="I1164" s="24">
        <f>T_reg.root.SK[[#This Row],[Volume, kg]]/1000</f>
        <v>22.97</v>
      </c>
      <c r="J1164" s="25">
        <v>0.23399999999999999</v>
      </c>
      <c r="K1164" s="25">
        <f t="shared" si="18"/>
        <v>5374.98</v>
      </c>
      <c r="L1164" s="25">
        <v>3.36</v>
      </c>
      <c r="M1164" s="24">
        <v>77285.5</v>
      </c>
      <c r="N1164" s="25">
        <f>IFERROR(T_reg.root.SK[[#This Row],[Price]]/T_reg.root.SK[[#This Row],[Starch content]],"")</f>
        <v>14.358974358974359</v>
      </c>
    </row>
    <row r="1165" spans="1:14">
      <c r="A1165" s="21">
        <v>2023</v>
      </c>
      <c r="B1165" s="21" t="s">
        <v>24</v>
      </c>
      <c r="C1165" s="21" t="s">
        <v>1145</v>
      </c>
      <c r="D1165" s="21" t="s">
        <v>35</v>
      </c>
      <c r="E1165" s="17" t="s">
        <v>519</v>
      </c>
      <c r="F1165" s="18" t="s">
        <v>187</v>
      </c>
      <c r="G1165" s="18" t="s">
        <v>48</v>
      </c>
      <c r="H1165" s="24">
        <v>4190</v>
      </c>
      <c r="I1165" s="24">
        <f>T_reg.root.SK[[#This Row],[Volume, kg]]/1000</f>
        <v>4.1900000000000004</v>
      </c>
      <c r="J1165" s="25">
        <v>0.20250000000000001</v>
      </c>
      <c r="K1165" s="25">
        <f t="shared" si="18"/>
        <v>848.47500000000002</v>
      </c>
      <c r="L1165" s="25">
        <v>3.2</v>
      </c>
      <c r="M1165" s="24">
        <v>13408</v>
      </c>
      <c r="N1165" s="25">
        <f>IFERROR(T_reg.root.SK[[#This Row],[Price]]/T_reg.root.SK[[#This Row],[Starch content]],"")</f>
        <v>15.802469135802468</v>
      </c>
    </row>
    <row r="1166" spans="1:14">
      <c r="A1166" s="21">
        <v>2023</v>
      </c>
      <c r="B1166" s="21" t="s">
        <v>24</v>
      </c>
      <c r="C1166" s="21" t="s">
        <v>1145</v>
      </c>
      <c r="D1166" s="21" t="s">
        <v>35</v>
      </c>
      <c r="E1166" s="17" t="s">
        <v>520</v>
      </c>
      <c r="F1166" s="18" t="s">
        <v>187</v>
      </c>
      <c r="G1166" s="18" t="s">
        <v>48</v>
      </c>
      <c r="H1166" s="24">
        <v>15050</v>
      </c>
      <c r="I1166" s="24">
        <f>T_reg.root.SK[[#This Row],[Volume, kg]]/1000</f>
        <v>15.05</v>
      </c>
      <c r="J1166" s="25">
        <v>0.17350000000000002</v>
      </c>
      <c r="K1166" s="25">
        <f t="shared" si="18"/>
        <v>2611.1750000000002</v>
      </c>
      <c r="L1166" s="25">
        <v>3.07</v>
      </c>
      <c r="M1166" s="24">
        <v>46258.5</v>
      </c>
      <c r="N1166" s="25">
        <f>IFERROR(T_reg.root.SK[[#This Row],[Price]]/T_reg.root.SK[[#This Row],[Starch content]],"")</f>
        <v>17.694524495677232</v>
      </c>
    </row>
    <row r="1167" spans="1:14">
      <c r="A1167" s="21">
        <v>2023</v>
      </c>
      <c r="B1167" s="21" t="s">
        <v>24</v>
      </c>
      <c r="C1167" s="21" t="s">
        <v>1145</v>
      </c>
      <c r="D1167" s="21" t="s">
        <v>35</v>
      </c>
      <c r="E1167" s="17" t="s">
        <v>590</v>
      </c>
      <c r="F1167" s="18" t="s">
        <v>187</v>
      </c>
      <c r="G1167" s="18" t="s">
        <v>48</v>
      </c>
      <c r="H1167" s="24">
        <v>16280</v>
      </c>
      <c r="I1167" s="24">
        <f>T_reg.root.SK[[#This Row],[Volume, kg]]/1000</f>
        <v>16.28</v>
      </c>
      <c r="J1167" s="25">
        <v>0.18590000000000001</v>
      </c>
      <c r="K1167" s="25">
        <f t="shared" si="18"/>
        <v>3026.4520000000002</v>
      </c>
      <c r="L1167" s="25">
        <v>3.13</v>
      </c>
      <c r="M1167" s="24">
        <v>50933</v>
      </c>
      <c r="N1167" s="25">
        <f>IFERROR(T_reg.root.SK[[#This Row],[Price]]/T_reg.root.SK[[#This Row],[Starch content]],"")</f>
        <v>16.837009144701451</v>
      </c>
    </row>
    <row r="1168" spans="1:14">
      <c r="A1168" s="21">
        <v>2023</v>
      </c>
      <c r="B1168" s="21" t="s">
        <v>24</v>
      </c>
      <c r="C1168" s="21" t="s">
        <v>1145</v>
      </c>
      <c r="D1168" s="21" t="s">
        <v>35</v>
      </c>
      <c r="E1168" s="17" t="s">
        <v>264</v>
      </c>
      <c r="F1168" s="18" t="s">
        <v>187</v>
      </c>
      <c r="G1168" s="18" t="s">
        <v>48</v>
      </c>
      <c r="H1168" s="24">
        <v>20450</v>
      </c>
      <c r="I1168" s="24">
        <f>T_reg.root.SK[[#This Row],[Volume, kg]]/1000</f>
        <v>20.45</v>
      </c>
      <c r="J1168" s="25">
        <v>0.17030000000000001</v>
      </c>
      <c r="K1168" s="25">
        <f t="shared" si="18"/>
        <v>3482.6350000000002</v>
      </c>
      <c r="L1168" s="25">
        <v>3.04</v>
      </c>
      <c r="M1168" s="24">
        <v>62138.5</v>
      </c>
      <c r="N1168" s="25">
        <f>IFERROR(T_reg.root.SK[[#This Row],[Price]]/T_reg.root.SK[[#This Row],[Starch content]],"")</f>
        <v>17.850851438637697</v>
      </c>
    </row>
    <row r="1169" spans="1:14">
      <c r="A1169" s="21">
        <v>2023</v>
      </c>
      <c r="B1169" s="21" t="s">
        <v>24</v>
      </c>
      <c r="C1169" s="21" t="s">
        <v>1145</v>
      </c>
      <c r="D1169" s="21" t="s">
        <v>35</v>
      </c>
      <c r="E1169" s="17" t="s">
        <v>522</v>
      </c>
      <c r="F1169" s="18" t="s">
        <v>187</v>
      </c>
      <c r="G1169" s="18" t="s">
        <v>48</v>
      </c>
      <c r="H1169" s="24">
        <v>80000</v>
      </c>
      <c r="I1169" s="24">
        <f>T_reg.root.SK[[#This Row],[Volume, kg]]/1000</f>
        <v>80</v>
      </c>
      <c r="J1169" s="25">
        <v>0.2084</v>
      </c>
      <c r="K1169" s="25">
        <f t="shared" si="18"/>
        <v>16672</v>
      </c>
      <c r="L1169" s="25">
        <v>3.25</v>
      </c>
      <c r="M1169" s="24">
        <v>259794</v>
      </c>
      <c r="N1169" s="25">
        <f>IFERROR(T_reg.root.SK[[#This Row],[Price]]/T_reg.root.SK[[#This Row],[Starch content]],"")</f>
        <v>15.595009596928982</v>
      </c>
    </row>
    <row r="1170" spans="1:14">
      <c r="A1170" s="21">
        <v>2023</v>
      </c>
      <c r="B1170" s="21" t="s">
        <v>24</v>
      </c>
      <c r="C1170" s="21" t="s">
        <v>1145</v>
      </c>
      <c r="D1170" s="21" t="s">
        <v>35</v>
      </c>
      <c r="E1170" s="17" t="s">
        <v>523</v>
      </c>
      <c r="F1170" s="18" t="s">
        <v>187</v>
      </c>
      <c r="G1170" s="18" t="s">
        <v>48</v>
      </c>
      <c r="H1170" s="24">
        <v>61110</v>
      </c>
      <c r="I1170" s="24">
        <f>T_reg.root.SK[[#This Row],[Volume, kg]]/1000</f>
        <v>61.11</v>
      </c>
      <c r="J1170" s="25">
        <v>0.19949999999999998</v>
      </c>
      <c r="K1170" s="25">
        <f t="shared" si="18"/>
        <v>12191.445</v>
      </c>
      <c r="L1170" s="25">
        <v>3.19</v>
      </c>
      <c r="M1170" s="24">
        <v>194742</v>
      </c>
      <c r="N1170" s="25">
        <f>IFERROR(T_reg.root.SK[[#This Row],[Price]]/T_reg.root.SK[[#This Row],[Starch content]],"")</f>
        <v>15.989974937343359</v>
      </c>
    </row>
    <row r="1171" spans="1:14">
      <c r="A1171" s="21">
        <v>2023</v>
      </c>
      <c r="B1171" s="21" t="s">
        <v>24</v>
      </c>
      <c r="C1171" s="21" t="s">
        <v>1145</v>
      </c>
      <c r="D1171" s="21" t="s">
        <v>35</v>
      </c>
      <c r="E1171" s="17" t="s">
        <v>196</v>
      </c>
      <c r="F1171" s="18" t="s">
        <v>187</v>
      </c>
      <c r="G1171" s="18" t="s">
        <v>48</v>
      </c>
      <c r="H1171" s="24">
        <v>9400</v>
      </c>
      <c r="I1171" s="24">
        <f>T_reg.root.SK[[#This Row],[Volume, kg]]/1000</f>
        <v>9.4</v>
      </c>
      <c r="J1171" s="25">
        <v>0.1938</v>
      </c>
      <c r="K1171" s="25">
        <f t="shared" si="18"/>
        <v>1821.72</v>
      </c>
      <c r="L1171" s="25">
        <v>3.17</v>
      </c>
      <c r="M1171" s="24">
        <v>29763</v>
      </c>
      <c r="N1171" s="25">
        <f>IFERROR(T_reg.root.SK[[#This Row],[Price]]/T_reg.root.SK[[#This Row],[Starch content]],"")</f>
        <v>16.357069143446854</v>
      </c>
    </row>
    <row r="1172" spans="1:14">
      <c r="A1172" s="21">
        <v>2023</v>
      </c>
      <c r="B1172" s="21" t="s">
        <v>24</v>
      </c>
      <c r="C1172" s="21" t="s">
        <v>1145</v>
      </c>
      <c r="D1172" s="21" t="s">
        <v>35</v>
      </c>
      <c r="E1172" s="17" t="s">
        <v>524</v>
      </c>
      <c r="F1172" s="18" t="s">
        <v>187</v>
      </c>
      <c r="G1172" s="18" t="s">
        <v>48</v>
      </c>
      <c r="H1172" s="24">
        <v>24570</v>
      </c>
      <c r="I1172" s="24">
        <f>T_reg.root.SK[[#This Row],[Volume, kg]]/1000</f>
        <v>24.57</v>
      </c>
      <c r="J1172" s="25">
        <v>0.2155</v>
      </c>
      <c r="K1172" s="25">
        <f t="shared" si="18"/>
        <v>5294.835</v>
      </c>
      <c r="L1172" s="25">
        <v>3.29</v>
      </c>
      <c r="M1172" s="24">
        <v>80822.5</v>
      </c>
      <c r="N1172" s="25">
        <f>IFERROR(T_reg.root.SK[[#This Row],[Price]]/T_reg.root.SK[[#This Row],[Starch content]],"")</f>
        <v>15.266821345707656</v>
      </c>
    </row>
    <row r="1173" spans="1:14">
      <c r="A1173" s="21">
        <v>2023</v>
      </c>
      <c r="B1173" s="21" t="s">
        <v>24</v>
      </c>
      <c r="C1173" s="21" t="s">
        <v>1145</v>
      </c>
      <c r="D1173" s="21" t="s">
        <v>35</v>
      </c>
      <c r="E1173" s="17" t="s">
        <v>525</v>
      </c>
      <c r="F1173" s="18" t="s">
        <v>187</v>
      </c>
      <c r="G1173" s="18" t="s">
        <v>48</v>
      </c>
      <c r="H1173" s="24">
        <v>35610</v>
      </c>
      <c r="I1173" s="24">
        <f>T_reg.root.SK[[#This Row],[Volume, kg]]/1000</f>
        <v>35.61</v>
      </c>
      <c r="J1173" s="25">
        <v>0.22140000000000001</v>
      </c>
      <c r="K1173" s="25">
        <f t="shared" si="18"/>
        <v>7884.0540000000001</v>
      </c>
      <c r="L1173" s="25">
        <v>3.31</v>
      </c>
      <c r="M1173" s="24">
        <v>117943.5</v>
      </c>
      <c r="N1173" s="25">
        <f>IFERROR(T_reg.root.SK[[#This Row],[Price]]/T_reg.root.SK[[#This Row],[Starch content]],"")</f>
        <v>14.950316169828364</v>
      </c>
    </row>
    <row r="1174" spans="1:14">
      <c r="A1174" s="21">
        <v>2023</v>
      </c>
      <c r="B1174" s="21" t="s">
        <v>24</v>
      </c>
      <c r="C1174" s="21" t="s">
        <v>1145</v>
      </c>
      <c r="D1174" s="21" t="s">
        <v>35</v>
      </c>
      <c r="E1174" s="17" t="s">
        <v>591</v>
      </c>
      <c r="F1174" s="18" t="s">
        <v>187</v>
      </c>
      <c r="G1174" s="18" t="s">
        <v>48</v>
      </c>
      <c r="H1174" s="24">
        <v>5760</v>
      </c>
      <c r="I1174" s="24">
        <f>T_reg.root.SK[[#This Row],[Volume, kg]]/1000</f>
        <v>5.76</v>
      </c>
      <c r="J1174" s="25">
        <v>0.23749999999999999</v>
      </c>
      <c r="K1174" s="25">
        <f t="shared" si="18"/>
        <v>1368</v>
      </c>
      <c r="L1174" s="25">
        <v>3.4</v>
      </c>
      <c r="M1174" s="24">
        <v>19584</v>
      </c>
      <c r="N1174" s="25">
        <f>IFERROR(T_reg.root.SK[[#This Row],[Price]]/T_reg.root.SK[[#This Row],[Starch content]],"")</f>
        <v>14.315789473684211</v>
      </c>
    </row>
    <row r="1175" spans="1:14">
      <c r="A1175" s="21">
        <v>2023</v>
      </c>
      <c r="B1175" s="21" t="s">
        <v>24</v>
      </c>
      <c r="C1175" s="21" t="s">
        <v>1145</v>
      </c>
      <c r="D1175" s="21" t="s">
        <v>35</v>
      </c>
      <c r="E1175" s="17" t="s">
        <v>199</v>
      </c>
      <c r="F1175" s="18" t="s">
        <v>187</v>
      </c>
      <c r="G1175" s="18" t="s">
        <v>48</v>
      </c>
      <c r="H1175" s="24">
        <v>62440</v>
      </c>
      <c r="I1175" s="24">
        <f>T_reg.root.SK[[#This Row],[Volume, kg]]/1000</f>
        <v>62.44</v>
      </c>
      <c r="J1175" s="25">
        <v>0.1759</v>
      </c>
      <c r="K1175" s="25">
        <f t="shared" si="18"/>
        <v>10983.196</v>
      </c>
      <c r="L1175" s="25">
        <v>3.09</v>
      </c>
      <c r="M1175" s="24">
        <v>192768.5</v>
      </c>
      <c r="N1175" s="25">
        <f>IFERROR(T_reg.root.SK[[#This Row],[Price]]/T_reg.root.SK[[#This Row],[Starch content]],"")</f>
        <v>17.566799317794199</v>
      </c>
    </row>
    <row r="1176" spans="1:14">
      <c r="A1176" s="21">
        <v>2023</v>
      </c>
      <c r="B1176" s="21" t="s">
        <v>24</v>
      </c>
      <c r="C1176" s="21" t="s">
        <v>1145</v>
      </c>
      <c r="D1176" s="21" t="s">
        <v>35</v>
      </c>
      <c r="E1176" s="17" t="s">
        <v>526</v>
      </c>
      <c r="F1176" s="18" t="s">
        <v>187</v>
      </c>
      <c r="G1176" s="18" t="s">
        <v>48</v>
      </c>
      <c r="H1176" s="24">
        <v>27200</v>
      </c>
      <c r="I1176" s="24">
        <f>T_reg.root.SK[[#This Row],[Volume, kg]]/1000</f>
        <v>27.2</v>
      </c>
      <c r="J1176" s="25">
        <v>0.19589999999999999</v>
      </c>
      <c r="K1176" s="25">
        <f t="shared" si="18"/>
        <v>5328.48</v>
      </c>
      <c r="L1176" s="25">
        <v>3.18</v>
      </c>
      <c r="M1176" s="24">
        <v>86587.5</v>
      </c>
      <c r="N1176" s="25">
        <f>IFERROR(T_reg.root.SK[[#This Row],[Price]]/T_reg.root.SK[[#This Row],[Starch content]],"")</f>
        <v>16.232771822358348</v>
      </c>
    </row>
    <row r="1177" spans="1:14">
      <c r="A1177" s="21">
        <v>2023</v>
      </c>
      <c r="B1177" s="21" t="s">
        <v>24</v>
      </c>
      <c r="C1177" s="21" t="s">
        <v>1145</v>
      </c>
      <c r="D1177" s="21" t="s">
        <v>35</v>
      </c>
      <c r="E1177" s="17" t="s">
        <v>201</v>
      </c>
      <c r="F1177" s="18" t="s">
        <v>187</v>
      </c>
      <c r="G1177" s="18" t="s">
        <v>48</v>
      </c>
      <c r="H1177" s="24">
        <v>6090</v>
      </c>
      <c r="I1177" s="24">
        <f>T_reg.root.SK[[#This Row],[Volume, kg]]/1000</f>
        <v>6.09</v>
      </c>
      <c r="J1177" s="25">
        <v>0.21920000000000001</v>
      </c>
      <c r="K1177" s="25">
        <f t="shared" si="18"/>
        <v>1334.9280000000001</v>
      </c>
      <c r="L1177" s="25">
        <v>3.32</v>
      </c>
      <c r="M1177" s="24">
        <v>20189.5</v>
      </c>
      <c r="N1177" s="25">
        <f>IFERROR(T_reg.root.SK[[#This Row],[Price]]/T_reg.root.SK[[#This Row],[Starch content]],"")</f>
        <v>15.145985401459853</v>
      </c>
    </row>
    <row r="1178" spans="1:14">
      <c r="A1178" s="21">
        <v>2023</v>
      </c>
      <c r="B1178" s="21" t="s">
        <v>24</v>
      </c>
      <c r="C1178" s="21" t="s">
        <v>1145</v>
      </c>
      <c r="D1178" s="21" t="s">
        <v>35</v>
      </c>
      <c r="E1178" s="17" t="s">
        <v>527</v>
      </c>
      <c r="F1178" s="18" t="s">
        <v>187</v>
      </c>
      <c r="G1178" s="18" t="s">
        <v>48</v>
      </c>
      <c r="H1178" s="24">
        <v>37890</v>
      </c>
      <c r="I1178" s="24">
        <f>T_reg.root.SK[[#This Row],[Volume, kg]]/1000</f>
        <v>37.89</v>
      </c>
      <c r="J1178" s="25">
        <v>0.19210000000000002</v>
      </c>
      <c r="K1178" s="25">
        <f t="shared" si="18"/>
        <v>7278.6690000000008</v>
      </c>
      <c r="L1178" s="25">
        <v>3.16</v>
      </c>
      <c r="M1178" s="24">
        <v>119646</v>
      </c>
      <c r="N1178" s="25">
        <f>IFERROR(T_reg.root.SK[[#This Row],[Price]]/T_reg.root.SK[[#This Row],[Starch content]],"")</f>
        <v>16.449765747006765</v>
      </c>
    </row>
    <row r="1179" spans="1:14">
      <c r="A1179" s="21">
        <v>2023</v>
      </c>
      <c r="B1179" s="21" t="s">
        <v>24</v>
      </c>
      <c r="C1179" s="21" t="s">
        <v>1145</v>
      </c>
      <c r="D1179" s="21" t="s">
        <v>35</v>
      </c>
      <c r="E1179" s="17" t="s">
        <v>332</v>
      </c>
      <c r="F1179" s="18" t="s">
        <v>187</v>
      </c>
      <c r="G1179" s="18" t="s">
        <v>48</v>
      </c>
      <c r="H1179" s="24">
        <v>107330</v>
      </c>
      <c r="I1179" s="24">
        <f>T_reg.root.SK[[#This Row],[Volume, kg]]/1000</f>
        <v>107.33</v>
      </c>
      <c r="J1179" s="25">
        <v>0.19109999999999999</v>
      </c>
      <c r="K1179" s="25">
        <f t="shared" si="18"/>
        <v>20510.762999999999</v>
      </c>
      <c r="L1179" s="25">
        <v>3.15</v>
      </c>
      <c r="M1179" s="24">
        <v>338489.5</v>
      </c>
      <c r="N1179" s="25">
        <f>IFERROR(T_reg.root.SK[[#This Row],[Price]]/T_reg.root.SK[[#This Row],[Starch content]],"")</f>
        <v>16.483516483516485</v>
      </c>
    </row>
    <row r="1180" spans="1:14">
      <c r="A1180" s="21">
        <v>2023</v>
      </c>
      <c r="B1180" s="21" t="s">
        <v>24</v>
      </c>
      <c r="C1180" s="21" t="s">
        <v>1145</v>
      </c>
      <c r="D1180" s="21" t="s">
        <v>35</v>
      </c>
      <c r="E1180" s="17" t="s">
        <v>202</v>
      </c>
      <c r="F1180" s="18" t="s">
        <v>187</v>
      </c>
      <c r="G1180" s="18" t="s">
        <v>48</v>
      </c>
      <c r="H1180" s="24">
        <v>22170</v>
      </c>
      <c r="I1180" s="24">
        <f>T_reg.root.SK[[#This Row],[Volume, kg]]/1000</f>
        <v>22.17</v>
      </c>
      <c r="J1180" s="25">
        <v>0.21170000000000003</v>
      </c>
      <c r="K1180" s="25">
        <f t="shared" si="18"/>
        <v>4693.389000000001</v>
      </c>
      <c r="L1180" s="25">
        <v>3.26</v>
      </c>
      <c r="M1180" s="24">
        <v>72280</v>
      </c>
      <c r="N1180" s="25">
        <f>IFERROR(T_reg.root.SK[[#This Row],[Price]]/T_reg.root.SK[[#This Row],[Starch content]],"")</f>
        <v>15.399149740198391</v>
      </c>
    </row>
    <row r="1181" spans="1:14">
      <c r="A1181" s="21">
        <v>2023</v>
      </c>
      <c r="B1181" s="21" t="s">
        <v>24</v>
      </c>
      <c r="C1181" s="21" t="s">
        <v>1145</v>
      </c>
      <c r="D1181" s="21" t="s">
        <v>35</v>
      </c>
      <c r="E1181" s="17" t="s">
        <v>528</v>
      </c>
      <c r="F1181" s="18" t="s">
        <v>187</v>
      </c>
      <c r="G1181" s="18" t="s">
        <v>48</v>
      </c>
      <c r="H1181" s="24">
        <v>24830</v>
      </c>
      <c r="I1181" s="24">
        <f>T_reg.root.SK[[#This Row],[Volume, kg]]/1000</f>
        <v>24.83</v>
      </c>
      <c r="J1181" s="25">
        <v>0.21780000000000002</v>
      </c>
      <c r="K1181" s="25">
        <f t="shared" si="18"/>
        <v>5407.9740000000002</v>
      </c>
      <c r="L1181" s="25">
        <v>3.29</v>
      </c>
      <c r="M1181" s="24">
        <v>81681.5</v>
      </c>
      <c r="N1181" s="25">
        <f>IFERROR(T_reg.root.SK[[#This Row],[Price]]/T_reg.root.SK[[#This Row],[Starch content]],"")</f>
        <v>15.105601469237831</v>
      </c>
    </row>
    <row r="1182" spans="1:14">
      <c r="A1182" s="21">
        <v>2023</v>
      </c>
      <c r="B1182" s="21" t="s">
        <v>24</v>
      </c>
      <c r="C1182" s="21" t="s">
        <v>1145</v>
      </c>
      <c r="D1182" s="21" t="s">
        <v>35</v>
      </c>
      <c r="E1182" s="17" t="s">
        <v>203</v>
      </c>
      <c r="F1182" s="18" t="s">
        <v>187</v>
      </c>
      <c r="G1182" s="18" t="s">
        <v>48</v>
      </c>
      <c r="H1182" s="24">
        <v>7330</v>
      </c>
      <c r="I1182" s="24">
        <f>T_reg.root.SK[[#This Row],[Volume, kg]]/1000</f>
        <v>7.33</v>
      </c>
      <c r="J1182" s="25">
        <v>0.21350000000000002</v>
      </c>
      <c r="K1182" s="25">
        <f t="shared" si="18"/>
        <v>1564.9550000000002</v>
      </c>
      <c r="L1182" s="25">
        <v>3.25</v>
      </c>
      <c r="M1182" s="24">
        <v>23822.5</v>
      </c>
      <c r="N1182" s="25">
        <f>IFERROR(T_reg.root.SK[[#This Row],[Price]]/T_reg.root.SK[[#This Row],[Starch content]],"")</f>
        <v>15.222482435597188</v>
      </c>
    </row>
    <row r="1183" spans="1:14">
      <c r="A1183" s="21">
        <v>2023</v>
      </c>
      <c r="B1183" s="21" t="s">
        <v>24</v>
      </c>
      <c r="C1183" s="21" t="s">
        <v>1145</v>
      </c>
      <c r="D1183" s="21" t="s">
        <v>35</v>
      </c>
      <c r="E1183" s="17" t="s">
        <v>592</v>
      </c>
      <c r="F1183" s="18" t="s">
        <v>187</v>
      </c>
      <c r="G1183" s="18" t="s">
        <v>48</v>
      </c>
      <c r="H1183" s="24">
        <v>27750</v>
      </c>
      <c r="I1183" s="24">
        <f>T_reg.root.SK[[#This Row],[Volume, kg]]/1000</f>
        <v>27.75</v>
      </c>
      <c r="J1183" s="25">
        <v>0.20329999999999998</v>
      </c>
      <c r="K1183" s="25">
        <f t="shared" si="18"/>
        <v>5641.5749999999998</v>
      </c>
      <c r="L1183" s="25">
        <v>3.21</v>
      </c>
      <c r="M1183" s="24">
        <v>89181.5</v>
      </c>
      <c r="N1183" s="25">
        <f>IFERROR(T_reg.root.SK[[#This Row],[Price]]/T_reg.root.SK[[#This Row],[Starch content]],"")</f>
        <v>15.789473684210527</v>
      </c>
    </row>
    <row r="1184" spans="1:14">
      <c r="A1184" s="21">
        <v>2023</v>
      </c>
      <c r="B1184" s="21" t="s">
        <v>24</v>
      </c>
      <c r="C1184" s="21" t="s">
        <v>1145</v>
      </c>
      <c r="D1184" s="21" t="s">
        <v>35</v>
      </c>
      <c r="E1184" s="17" t="s">
        <v>593</v>
      </c>
      <c r="F1184" s="18" t="s">
        <v>187</v>
      </c>
      <c r="G1184" s="18" t="s">
        <v>48</v>
      </c>
      <c r="H1184" s="24">
        <v>25360</v>
      </c>
      <c r="I1184" s="24">
        <f>T_reg.root.SK[[#This Row],[Volume, kg]]/1000</f>
        <v>25.36</v>
      </c>
      <c r="J1184" s="25">
        <v>0.13689999999999999</v>
      </c>
      <c r="K1184" s="25">
        <f t="shared" si="18"/>
        <v>3471.7839999999997</v>
      </c>
      <c r="L1184" s="25">
        <v>2.89</v>
      </c>
      <c r="M1184" s="24">
        <v>73314</v>
      </c>
      <c r="N1184" s="25">
        <f>IFERROR(T_reg.root.SK[[#This Row],[Price]]/T_reg.root.SK[[#This Row],[Starch content]],"")</f>
        <v>21.110299488677867</v>
      </c>
    </row>
    <row r="1185" spans="1:14">
      <c r="A1185" s="21">
        <v>2023</v>
      </c>
      <c r="B1185" s="21" t="s">
        <v>24</v>
      </c>
      <c r="C1185" s="21" t="s">
        <v>1145</v>
      </c>
      <c r="D1185" s="21" t="s">
        <v>35</v>
      </c>
      <c r="E1185" s="17" t="s">
        <v>204</v>
      </c>
      <c r="F1185" s="18" t="s">
        <v>187</v>
      </c>
      <c r="G1185" s="18" t="s">
        <v>48</v>
      </c>
      <c r="H1185" s="24">
        <v>3200</v>
      </c>
      <c r="I1185" s="24">
        <f>T_reg.root.SK[[#This Row],[Volume, kg]]/1000</f>
        <v>3.2</v>
      </c>
      <c r="J1185" s="25">
        <v>0.20499999999999999</v>
      </c>
      <c r="K1185" s="25">
        <f t="shared" si="18"/>
        <v>656</v>
      </c>
      <c r="L1185" s="25">
        <v>3.25</v>
      </c>
      <c r="M1185" s="24">
        <v>10400</v>
      </c>
      <c r="N1185" s="25">
        <f>IFERROR(T_reg.root.SK[[#This Row],[Price]]/T_reg.root.SK[[#This Row],[Starch content]],"")</f>
        <v>15.853658536585368</v>
      </c>
    </row>
    <row r="1186" spans="1:14">
      <c r="A1186" s="21">
        <v>2023</v>
      </c>
      <c r="B1186" s="21" t="s">
        <v>24</v>
      </c>
      <c r="C1186" s="21" t="s">
        <v>1145</v>
      </c>
      <c r="D1186" s="21" t="s">
        <v>35</v>
      </c>
      <c r="E1186" s="17" t="s">
        <v>205</v>
      </c>
      <c r="F1186" s="18" t="s">
        <v>187</v>
      </c>
      <c r="G1186" s="18" t="s">
        <v>48</v>
      </c>
      <c r="H1186" s="24">
        <v>28330</v>
      </c>
      <c r="I1186" s="24">
        <f>T_reg.root.SK[[#This Row],[Volume, kg]]/1000</f>
        <v>28.33</v>
      </c>
      <c r="J1186" s="25">
        <v>0.20199999999999999</v>
      </c>
      <c r="K1186" s="25">
        <f t="shared" si="18"/>
        <v>5722.66</v>
      </c>
      <c r="L1186" s="25">
        <v>3.21</v>
      </c>
      <c r="M1186" s="24">
        <v>90880</v>
      </c>
      <c r="N1186" s="25">
        <f>IFERROR(T_reg.root.SK[[#This Row],[Price]]/T_reg.root.SK[[#This Row],[Starch content]],"")</f>
        <v>15.891089108910892</v>
      </c>
    </row>
    <row r="1187" spans="1:14">
      <c r="A1187" s="21">
        <v>2023</v>
      </c>
      <c r="B1187" s="21" t="s">
        <v>24</v>
      </c>
      <c r="C1187" s="21" t="s">
        <v>1145</v>
      </c>
      <c r="D1187" s="21" t="s">
        <v>35</v>
      </c>
      <c r="E1187" s="17" t="s">
        <v>594</v>
      </c>
      <c r="F1187" s="18" t="s">
        <v>187</v>
      </c>
      <c r="G1187" s="18" t="s">
        <v>48</v>
      </c>
      <c r="H1187" s="24">
        <v>40270</v>
      </c>
      <c r="I1187" s="24">
        <f>T_reg.root.SK[[#This Row],[Volume, kg]]/1000</f>
        <v>40.270000000000003</v>
      </c>
      <c r="J1187" s="25">
        <v>0.21299999999999999</v>
      </c>
      <c r="K1187" s="25">
        <f t="shared" si="18"/>
        <v>8577.51</v>
      </c>
      <c r="L1187" s="25">
        <v>3.26</v>
      </c>
      <c r="M1187" s="24">
        <v>131418.5</v>
      </c>
      <c r="N1187" s="25">
        <f>IFERROR(T_reg.root.SK[[#This Row],[Price]]/T_reg.root.SK[[#This Row],[Starch content]],"")</f>
        <v>15.305164319248826</v>
      </c>
    </row>
    <row r="1188" spans="1:14">
      <c r="A1188" s="21">
        <v>2023</v>
      </c>
      <c r="B1188" s="21" t="s">
        <v>24</v>
      </c>
      <c r="C1188" s="21" t="s">
        <v>1145</v>
      </c>
      <c r="D1188" s="21" t="s">
        <v>35</v>
      </c>
      <c r="E1188" s="17" t="s">
        <v>531</v>
      </c>
      <c r="F1188" s="18" t="s">
        <v>187</v>
      </c>
      <c r="G1188" s="18" t="s">
        <v>48</v>
      </c>
      <c r="H1188" s="24">
        <v>7340</v>
      </c>
      <c r="I1188" s="24">
        <f>T_reg.root.SK[[#This Row],[Volume, kg]]/1000</f>
        <v>7.34</v>
      </c>
      <c r="J1188" s="25">
        <v>0.20800000000000002</v>
      </c>
      <c r="K1188" s="25">
        <f t="shared" si="18"/>
        <v>1526.72</v>
      </c>
      <c r="L1188" s="25">
        <v>3.25</v>
      </c>
      <c r="M1188" s="24">
        <v>23855</v>
      </c>
      <c r="N1188" s="25">
        <f>IFERROR(T_reg.root.SK[[#This Row],[Price]]/T_reg.root.SK[[#This Row],[Starch content]],"")</f>
        <v>15.624999999999998</v>
      </c>
    </row>
    <row r="1189" spans="1:14">
      <c r="A1189" s="21">
        <v>2023</v>
      </c>
      <c r="B1189" s="21" t="s">
        <v>24</v>
      </c>
      <c r="C1189" s="21" t="s">
        <v>1145</v>
      </c>
      <c r="D1189" s="21" t="s">
        <v>35</v>
      </c>
      <c r="E1189" s="17" t="s">
        <v>266</v>
      </c>
      <c r="F1189" s="18" t="s">
        <v>187</v>
      </c>
      <c r="G1189" s="18" t="s">
        <v>48</v>
      </c>
      <c r="H1189" s="24">
        <v>127800</v>
      </c>
      <c r="I1189" s="24">
        <f>T_reg.root.SK[[#This Row],[Volume, kg]]/1000</f>
        <v>127.8</v>
      </c>
      <c r="J1189" s="25">
        <v>0.21329999999999999</v>
      </c>
      <c r="K1189" s="25">
        <f t="shared" si="18"/>
        <v>27259.739999999998</v>
      </c>
      <c r="L1189" s="25">
        <v>3.27</v>
      </c>
      <c r="M1189" s="24">
        <v>417851.5</v>
      </c>
      <c r="N1189" s="25">
        <f>IFERROR(T_reg.root.SK[[#This Row],[Price]]/T_reg.root.SK[[#This Row],[Starch content]],"")</f>
        <v>15.330520393811534</v>
      </c>
    </row>
    <row r="1190" spans="1:14">
      <c r="A1190" s="21">
        <v>2023</v>
      </c>
      <c r="B1190" s="21" t="s">
        <v>24</v>
      </c>
      <c r="C1190" s="21" t="s">
        <v>1145</v>
      </c>
      <c r="D1190" s="21" t="s">
        <v>35</v>
      </c>
      <c r="E1190" s="17" t="s">
        <v>206</v>
      </c>
      <c r="F1190" s="18" t="s">
        <v>187</v>
      </c>
      <c r="G1190" s="18" t="s">
        <v>48</v>
      </c>
      <c r="H1190" s="24">
        <v>26610</v>
      </c>
      <c r="I1190" s="24">
        <f>T_reg.root.SK[[#This Row],[Volume, kg]]/1000</f>
        <v>26.61</v>
      </c>
      <c r="J1190" s="25">
        <v>0.1643</v>
      </c>
      <c r="K1190" s="25">
        <f t="shared" si="18"/>
        <v>4372.0230000000001</v>
      </c>
      <c r="L1190" s="25">
        <v>3.02</v>
      </c>
      <c r="M1190" s="24">
        <v>80381</v>
      </c>
      <c r="N1190" s="25">
        <f>IFERROR(T_reg.root.SK[[#This Row],[Price]]/T_reg.root.SK[[#This Row],[Starch content]],"")</f>
        <v>18.381010346926352</v>
      </c>
    </row>
    <row r="1191" spans="1:14">
      <c r="A1191" s="21">
        <v>2023</v>
      </c>
      <c r="B1191" s="21" t="s">
        <v>24</v>
      </c>
      <c r="C1191" s="21" t="s">
        <v>1145</v>
      </c>
      <c r="D1191" s="21" t="s">
        <v>35</v>
      </c>
      <c r="E1191" s="17" t="s">
        <v>267</v>
      </c>
      <c r="F1191" s="18" t="s">
        <v>187</v>
      </c>
      <c r="G1191" s="18" t="s">
        <v>48</v>
      </c>
      <c r="H1191" s="24">
        <v>28880</v>
      </c>
      <c r="I1191" s="24">
        <f>T_reg.root.SK[[#This Row],[Volume, kg]]/1000</f>
        <v>28.88</v>
      </c>
      <c r="J1191" s="25">
        <v>0.17879999999999999</v>
      </c>
      <c r="K1191" s="25">
        <f t="shared" si="18"/>
        <v>5163.7439999999997</v>
      </c>
      <c r="L1191" s="25">
        <v>3.09</v>
      </c>
      <c r="M1191" s="24">
        <v>89135.5</v>
      </c>
      <c r="N1191" s="25">
        <f>IFERROR(T_reg.root.SK[[#This Row],[Price]]/T_reg.root.SK[[#This Row],[Starch content]],"")</f>
        <v>17.281879194630871</v>
      </c>
    </row>
    <row r="1192" spans="1:14">
      <c r="A1192" s="21">
        <v>2023</v>
      </c>
      <c r="B1192" s="21" t="s">
        <v>24</v>
      </c>
      <c r="C1192" s="21" t="s">
        <v>1145</v>
      </c>
      <c r="D1192" s="21" t="s">
        <v>35</v>
      </c>
      <c r="E1192" s="17" t="s">
        <v>595</v>
      </c>
      <c r="F1192" s="18" t="s">
        <v>187</v>
      </c>
      <c r="G1192" s="18" t="s">
        <v>48</v>
      </c>
      <c r="H1192" s="24">
        <v>110740</v>
      </c>
      <c r="I1192" s="24">
        <f>T_reg.root.SK[[#This Row],[Volume, kg]]/1000</f>
        <v>110.74</v>
      </c>
      <c r="J1192" s="25">
        <v>0.248</v>
      </c>
      <c r="K1192" s="25">
        <f t="shared" si="18"/>
        <v>27463.52</v>
      </c>
      <c r="L1192" s="25">
        <v>3.44</v>
      </c>
      <c r="M1192" s="24">
        <v>381313.5</v>
      </c>
      <c r="N1192" s="25">
        <f>IFERROR(T_reg.root.SK[[#This Row],[Price]]/T_reg.root.SK[[#This Row],[Starch content]],"")</f>
        <v>13.870967741935484</v>
      </c>
    </row>
    <row r="1193" spans="1:14">
      <c r="A1193" s="21">
        <v>2023</v>
      </c>
      <c r="B1193" s="21" t="s">
        <v>24</v>
      </c>
      <c r="C1193" s="21" t="s">
        <v>1145</v>
      </c>
      <c r="D1193" s="21" t="s">
        <v>35</v>
      </c>
      <c r="E1193" s="17" t="s">
        <v>532</v>
      </c>
      <c r="F1193" s="18" t="s">
        <v>187</v>
      </c>
      <c r="G1193" s="18" t="s">
        <v>48</v>
      </c>
      <c r="H1193" s="24">
        <v>20870</v>
      </c>
      <c r="I1193" s="24">
        <f>T_reg.root.SK[[#This Row],[Volume, kg]]/1000</f>
        <v>20.87</v>
      </c>
      <c r="J1193" s="25">
        <v>0.21479999999999999</v>
      </c>
      <c r="K1193" s="25">
        <f t="shared" si="18"/>
        <v>4482.8760000000002</v>
      </c>
      <c r="L1193" s="25">
        <v>3.28</v>
      </c>
      <c r="M1193" s="24">
        <v>68494.5</v>
      </c>
      <c r="N1193" s="25">
        <f>IFERROR(T_reg.root.SK[[#This Row],[Price]]/T_reg.root.SK[[#This Row],[Starch content]],"")</f>
        <v>15.270018621973929</v>
      </c>
    </row>
    <row r="1194" spans="1:14">
      <c r="A1194" s="21">
        <v>2023</v>
      </c>
      <c r="B1194" s="21" t="s">
        <v>24</v>
      </c>
      <c r="C1194" s="21" t="s">
        <v>1145</v>
      </c>
      <c r="D1194" s="21" t="s">
        <v>35</v>
      </c>
      <c r="E1194" s="17" t="s">
        <v>208</v>
      </c>
      <c r="F1194" s="18" t="s">
        <v>187</v>
      </c>
      <c r="G1194" s="18" t="s">
        <v>48</v>
      </c>
      <c r="H1194" s="24">
        <v>13310</v>
      </c>
      <c r="I1194" s="24">
        <f>T_reg.root.SK[[#This Row],[Volume, kg]]/1000</f>
        <v>13.31</v>
      </c>
      <c r="J1194" s="25">
        <v>0.19969999999999999</v>
      </c>
      <c r="K1194" s="25">
        <f t="shared" si="18"/>
        <v>2658.0070000000001</v>
      </c>
      <c r="L1194" s="25">
        <v>3.05</v>
      </c>
      <c r="M1194" s="24">
        <v>40595.5</v>
      </c>
      <c r="N1194" s="25">
        <f>IFERROR(T_reg.root.SK[[#This Row],[Price]]/T_reg.root.SK[[#This Row],[Starch content]],"")</f>
        <v>15.272909364046068</v>
      </c>
    </row>
    <row r="1195" spans="1:14">
      <c r="A1195" s="21">
        <v>2023</v>
      </c>
      <c r="B1195" s="21" t="s">
        <v>24</v>
      </c>
      <c r="C1195" s="21" t="s">
        <v>1145</v>
      </c>
      <c r="D1195" s="21" t="s">
        <v>35</v>
      </c>
      <c r="E1195" s="17" t="s">
        <v>596</v>
      </c>
      <c r="F1195" s="18" t="s">
        <v>187</v>
      </c>
      <c r="G1195" s="18" t="s">
        <v>48</v>
      </c>
      <c r="H1195" s="24">
        <v>9890</v>
      </c>
      <c r="I1195" s="24">
        <f>T_reg.root.SK[[#This Row],[Volume, kg]]/1000</f>
        <v>9.89</v>
      </c>
      <c r="J1195" s="25">
        <v>0.20949999999999999</v>
      </c>
      <c r="K1195" s="25">
        <f t="shared" si="18"/>
        <v>2071.9549999999999</v>
      </c>
      <c r="L1195" s="25">
        <v>3.26</v>
      </c>
      <c r="M1195" s="24">
        <v>32235.5</v>
      </c>
      <c r="N1195" s="25">
        <f>IFERROR(T_reg.root.SK[[#This Row],[Price]]/T_reg.root.SK[[#This Row],[Starch content]],"")</f>
        <v>15.560859188544152</v>
      </c>
    </row>
    <row r="1196" spans="1:14">
      <c r="A1196" s="21">
        <v>2023</v>
      </c>
      <c r="B1196" s="21" t="s">
        <v>24</v>
      </c>
      <c r="C1196" s="21" t="s">
        <v>1145</v>
      </c>
      <c r="D1196" s="21" t="s">
        <v>35</v>
      </c>
      <c r="E1196" s="17" t="s">
        <v>209</v>
      </c>
      <c r="F1196" s="18" t="s">
        <v>187</v>
      </c>
      <c r="G1196" s="18" t="s">
        <v>48</v>
      </c>
      <c r="H1196" s="24">
        <v>10530</v>
      </c>
      <c r="I1196" s="24">
        <f>T_reg.root.SK[[#This Row],[Volume, kg]]/1000</f>
        <v>10.53</v>
      </c>
      <c r="J1196" s="25">
        <v>0.21530000000000002</v>
      </c>
      <c r="K1196" s="25">
        <f t="shared" si="18"/>
        <v>2267.1090000000004</v>
      </c>
      <c r="L1196" s="25">
        <v>3.27</v>
      </c>
      <c r="M1196" s="24">
        <v>34389.5</v>
      </c>
      <c r="N1196" s="25">
        <f>IFERROR(T_reg.root.SK[[#This Row],[Price]]/T_reg.root.SK[[#This Row],[Starch content]],"")</f>
        <v>15.188109614491406</v>
      </c>
    </row>
    <row r="1197" spans="1:14">
      <c r="A1197" s="21">
        <v>2023</v>
      </c>
      <c r="B1197" s="21" t="s">
        <v>24</v>
      </c>
      <c r="C1197" s="21" t="s">
        <v>1145</v>
      </c>
      <c r="D1197" s="21" t="s">
        <v>35</v>
      </c>
      <c r="E1197" s="17" t="s">
        <v>534</v>
      </c>
      <c r="F1197" s="18" t="s">
        <v>187</v>
      </c>
      <c r="G1197" s="18" t="s">
        <v>48</v>
      </c>
      <c r="H1197" s="24">
        <v>14300</v>
      </c>
      <c r="I1197" s="24">
        <f>T_reg.root.SK[[#This Row],[Volume, kg]]/1000</f>
        <v>14.3</v>
      </c>
      <c r="J1197" s="25">
        <v>0.1875</v>
      </c>
      <c r="K1197" s="25">
        <f t="shared" si="18"/>
        <v>2681.25</v>
      </c>
      <c r="L1197" s="25">
        <v>3.12</v>
      </c>
      <c r="M1197" s="24">
        <v>44638.5</v>
      </c>
      <c r="N1197" s="25">
        <f>IFERROR(T_reg.root.SK[[#This Row],[Price]]/T_reg.root.SK[[#This Row],[Starch content]],"")</f>
        <v>16.64</v>
      </c>
    </row>
    <row r="1198" spans="1:14">
      <c r="A1198" s="21">
        <v>2023</v>
      </c>
      <c r="B1198" s="21" t="s">
        <v>24</v>
      </c>
      <c r="C1198" s="21" t="s">
        <v>1145</v>
      </c>
      <c r="D1198" s="21" t="s">
        <v>35</v>
      </c>
      <c r="E1198" s="17" t="s">
        <v>597</v>
      </c>
      <c r="F1198" s="18" t="s">
        <v>187</v>
      </c>
      <c r="G1198" s="18" t="s">
        <v>48</v>
      </c>
      <c r="H1198" s="24">
        <v>6430</v>
      </c>
      <c r="I1198" s="24">
        <f>T_reg.root.SK[[#This Row],[Volume, kg]]/1000</f>
        <v>6.43</v>
      </c>
      <c r="J1198" s="25">
        <v>0.16300000000000001</v>
      </c>
      <c r="K1198" s="25">
        <f t="shared" si="18"/>
        <v>1048.0900000000001</v>
      </c>
      <c r="L1198" s="25">
        <v>3</v>
      </c>
      <c r="M1198" s="24">
        <v>19290</v>
      </c>
      <c r="N1198" s="25">
        <f>IFERROR(T_reg.root.SK[[#This Row],[Price]]/T_reg.root.SK[[#This Row],[Starch content]],"")</f>
        <v>18.404907975460123</v>
      </c>
    </row>
    <row r="1199" spans="1:14">
      <c r="A1199" s="21">
        <v>2023</v>
      </c>
      <c r="B1199" s="21" t="s">
        <v>24</v>
      </c>
      <c r="C1199" s="21" t="s">
        <v>1145</v>
      </c>
      <c r="D1199" s="21" t="s">
        <v>35</v>
      </c>
      <c r="E1199" s="17" t="s">
        <v>333</v>
      </c>
      <c r="F1199" s="18" t="s">
        <v>187</v>
      </c>
      <c r="G1199" s="18" t="s">
        <v>48</v>
      </c>
      <c r="H1199" s="24">
        <v>18310</v>
      </c>
      <c r="I1199" s="24">
        <f>T_reg.root.SK[[#This Row],[Volume, kg]]/1000</f>
        <v>18.309999999999999</v>
      </c>
      <c r="J1199" s="25">
        <v>0.20499999999999999</v>
      </c>
      <c r="K1199" s="25">
        <f t="shared" si="18"/>
        <v>3753.5499999999997</v>
      </c>
      <c r="L1199" s="25">
        <v>3.22</v>
      </c>
      <c r="M1199" s="24">
        <v>59049.5</v>
      </c>
      <c r="N1199" s="25">
        <f>IFERROR(T_reg.root.SK[[#This Row],[Price]]/T_reg.root.SK[[#This Row],[Starch content]],"")</f>
        <v>15.707317073170733</v>
      </c>
    </row>
    <row r="1200" spans="1:14">
      <c r="A1200" s="21">
        <v>2023</v>
      </c>
      <c r="B1200" s="21" t="s">
        <v>24</v>
      </c>
      <c r="C1200" s="21" t="s">
        <v>1145</v>
      </c>
      <c r="D1200" s="21" t="s">
        <v>35</v>
      </c>
      <c r="E1200" s="17" t="s">
        <v>211</v>
      </c>
      <c r="F1200" s="18" t="s">
        <v>187</v>
      </c>
      <c r="G1200" s="18" t="s">
        <v>48</v>
      </c>
      <c r="H1200" s="24">
        <v>282640</v>
      </c>
      <c r="I1200" s="24">
        <f>T_reg.root.SK[[#This Row],[Volume, kg]]/1000</f>
        <v>282.64</v>
      </c>
      <c r="J1200" s="25">
        <v>0.18640000000000001</v>
      </c>
      <c r="K1200" s="25">
        <f t="shared" si="18"/>
        <v>52684.096000000005</v>
      </c>
      <c r="L1200" s="25">
        <v>3.13</v>
      </c>
      <c r="M1200" s="24">
        <v>884421</v>
      </c>
      <c r="N1200" s="25">
        <f>IFERROR(T_reg.root.SK[[#This Row],[Price]]/T_reg.root.SK[[#This Row],[Starch content]],"")</f>
        <v>16.791845493562231</v>
      </c>
    </row>
    <row r="1201" spans="1:14">
      <c r="A1201" s="21">
        <v>2023</v>
      </c>
      <c r="B1201" s="21" t="s">
        <v>24</v>
      </c>
      <c r="C1201" s="21" t="s">
        <v>1145</v>
      </c>
      <c r="D1201" s="21" t="s">
        <v>35</v>
      </c>
      <c r="E1201" s="17" t="s">
        <v>213</v>
      </c>
      <c r="F1201" s="18" t="s">
        <v>187</v>
      </c>
      <c r="G1201" s="18" t="s">
        <v>48</v>
      </c>
      <c r="H1201" s="24">
        <v>34730</v>
      </c>
      <c r="I1201" s="24">
        <f>T_reg.root.SK[[#This Row],[Volume, kg]]/1000</f>
        <v>34.729999999999997</v>
      </c>
      <c r="J1201" s="25">
        <v>0.1961</v>
      </c>
      <c r="K1201" s="25">
        <f t="shared" si="18"/>
        <v>6810.5529999999999</v>
      </c>
      <c r="L1201" s="25">
        <v>3.19</v>
      </c>
      <c r="M1201" s="24">
        <v>110855.5</v>
      </c>
      <c r="N1201" s="25">
        <f>IFERROR(T_reg.root.SK[[#This Row],[Price]]/T_reg.root.SK[[#This Row],[Starch content]],"")</f>
        <v>16.267210606833249</v>
      </c>
    </row>
    <row r="1202" spans="1:14">
      <c r="A1202" s="21">
        <v>2023</v>
      </c>
      <c r="B1202" s="21" t="s">
        <v>24</v>
      </c>
      <c r="C1202" s="21" t="s">
        <v>1145</v>
      </c>
      <c r="D1202" s="21" t="s">
        <v>35</v>
      </c>
      <c r="E1202" s="17" t="s">
        <v>535</v>
      </c>
      <c r="F1202" s="18" t="s">
        <v>187</v>
      </c>
      <c r="G1202" s="18" t="s">
        <v>48</v>
      </c>
      <c r="H1202" s="24">
        <v>32050</v>
      </c>
      <c r="I1202" s="24">
        <f>T_reg.root.SK[[#This Row],[Volume, kg]]/1000</f>
        <v>32.049999999999997</v>
      </c>
      <c r="J1202" s="25">
        <v>0.19219999999999998</v>
      </c>
      <c r="K1202" s="25">
        <f t="shared" si="18"/>
        <v>6160.0099999999993</v>
      </c>
      <c r="L1202" s="25">
        <v>3.17</v>
      </c>
      <c r="M1202" s="24">
        <v>101720</v>
      </c>
      <c r="N1202" s="25">
        <f>IFERROR(T_reg.root.SK[[#This Row],[Price]]/T_reg.root.SK[[#This Row],[Starch content]],"")</f>
        <v>16.493236212278877</v>
      </c>
    </row>
    <row r="1203" spans="1:14">
      <c r="A1203" s="21">
        <v>2023</v>
      </c>
      <c r="B1203" s="21" t="s">
        <v>24</v>
      </c>
      <c r="C1203" s="21" t="s">
        <v>1145</v>
      </c>
      <c r="D1203" s="21" t="s">
        <v>35</v>
      </c>
      <c r="E1203" s="17" t="s">
        <v>408</v>
      </c>
      <c r="F1203" s="18" t="s">
        <v>187</v>
      </c>
      <c r="G1203" s="18" t="s">
        <v>48</v>
      </c>
      <c r="H1203" s="24">
        <v>28690</v>
      </c>
      <c r="I1203" s="24">
        <f>T_reg.root.SK[[#This Row],[Volume, kg]]/1000</f>
        <v>28.69</v>
      </c>
      <c r="J1203" s="25">
        <v>0.18030000000000002</v>
      </c>
      <c r="K1203" s="25">
        <f t="shared" si="18"/>
        <v>5172.8070000000007</v>
      </c>
      <c r="L1203" s="25">
        <v>3.1</v>
      </c>
      <c r="M1203" s="24">
        <v>88998</v>
      </c>
      <c r="N1203" s="25">
        <f>IFERROR(T_reg.root.SK[[#This Row],[Price]]/T_reg.root.SK[[#This Row],[Starch content]],"")</f>
        <v>17.193566278424846</v>
      </c>
    </row>
    <row r="1204" spans="1:14">
      <c r="A1204" s="21">
        <v>2023</v>
      </c>
      <c r="B1204" s="21" t="s">
        <v>24</v>
      </c>
      <c r="C1204" s="21" t="s">
        <v>1145</v>
      </c>
      <c r="D1204" s="21" t="s">
        <v>35</v>
      </c>
      <c r="E1204" s="17" t="s">
        <v>334</v>
      </c>
      <c r="F1204" s="18" t="s">
        <v>187</v>
      </c>
      <c r="G1204" s="18" t="s">
        <v>48</v>
      </c>
      <c r="H1204" s="24">
        <v>7220</v>
      </c>
      <c r="I1204" s="24">
        <f>T_reg.root.SK[[#This Row],[Volume, kg]]/1000</f>
        <v>7.22</v>
      </c>
      <c r="J1204" s="25">
        <v>0.18100000000000002</v>
      </c>
      <c r="K1204" s="25">
        <f t="shared" si="18"/>
        <v>1306.8200000000002</v>
      </c>
      <c r="L1204" s="25">
        <v>3.1</v>
      </c>
      <c r="M1204" s="24">
        <v>22382</v>
      </c>
      <c r="N1204" s="25">
        <f>IFERROR(T_reg.root.SK[[#This Row],[Price]]/T_reg.root.SK[[#This Row],[Starch content]],"")</f>
        <v>17.127071823204417</v>
      </c>
    </row>
    <row r="1205" spans="1:14">
      <c r="A1205" s="21">
        <v>2023</v>
      </c>
      <c r="B1205" s="21" t="s">
        <v>24</v>
      </c>
      <c r="C1205" s="21" t="s">
        <v>1145</v>
      </c>
      <c r="D1205" s="21" t="s">
        <v>35</v>
      </c>
      <c r="E1205" s="17" t="s">
        <v>536</v>
      </c>
      <c r="F1205" s="18" t="s">
        <v>187</v>
      </c>
      <c r="G1205" s="18" t="s">
        <v>48</v>
      </c>
      <c r="H1205" s="24">
        <v>30840</v>
      </c>
      <c r="I1205" s="24">
        <f>T_reg.root.SK[[#This Row],[Volume, kg]]/1000</f>
        <v>30.84</v>
      </c>
      <c r="J1205" s="25">
        <v>0.20449999999999999</v>
      </c>
      <c r="K1205" s="25">
        <f t="shared" si="18"/>
        <v>6306.78</v>
      </c>
      <c r="L1205" s="25">
        <v>3.22</v>
      </c>
      <c r="M1205" s="24">
        <v>99304.5</v>
      </c>
      <c r="N1205" s="25">
        <f>IFERROR(T_reg.root.SK[[#This Row],[Price]]/T_reg.root.SK[[#This Row],[Starch content]],"")</f>
        <v>15.745721271393645</v>
      </c>
    </row>
    <row r="1206" spans="1:14">
      <c r="A1206" s="21">
        <v>2023</v>
      </c>
      <c r="B1206" s="21" t="s">
        <v>24</v>
      </c>
      <c r="C1206" s="21" t="s">
        <v>1145</v>
      </c>
      <c r="D1206" s="21" t="s">
        <v>35</v>
      </c>
      <c r="E1206" s="17" t="s">
        <v>537</v>
      </c>
      <c r="F1206" s="18" t="s">
        <v>187</v>
      </c>
      <c r="G1206" s="18" t="s">
        <v>48</v>
      </c>
      <c r="H1206" s="24">
        <v>32510</v>
      </c>
      <c r="I1206" s="24">
        <f>T_reg.root.SK[[#This Row],[Volume, kg]]/1000</f>
        <v>32.51</v>
      </c>
      <c r="J1206" s="25">
        <v>0.24969999999999998</v>
      </c>
      <c r="K1206" s="25">
        <f t="shared" si="18"/>
        <v>8117.7469999999994</v>
      </c>
      <c r="L1206" s="25">
        <v>3.45</v>
      </c>
      <c r="M1206" s="24">
        <v>112072.5</v>
      </c>
      <c r="N1206" s="25">
        <f>IFERROR(T_reg.root.SK[[#This Row],[Price]]/T_reg.root.SK[[#This Row],[Starch content]],"")</f>
        <v>13.816579895875051</v>
      </c>
    </row>
    <row r="1207" spans="1:14">
      <c r="A1207" s="21">
        <v>2023</v>
      </c>
      <c r="B1207" s="21" t="s">
        <v>24</v>
      </c>
      <c r="C1207" s="21" t="s">
        <v>1145</v>
      </c>
      <c r="D1207" s="21" t="s">
        <v>35</v>
      </c>
      <c r="E1207" s="17" t="s">
        <v>538</v>
      </c>
      <c r="F1207" s="18" t="s">
        <v>187</v>
      </c>
      <c r="G1207" s="18" t="s">
        <v>48</v>
      </c>
      <c r="H1207" s="24">
        <v>37390</v>
      </c>
      <c r="I1207" s="24">
        <f>T_reg.root.SK[[#This Row],[Volume, kg]]/1000</f>
        <v>37.39</v>
      </c>
      <c r="J1207" s="25">
        <v>0.21640000000000001</v>
      </c>
      <c r="K1207" s="25">
        <f t="shared" si="18"/>
        <v>8091.1959999999999</v>
      </c>
      <c r="L1207" s="25">
        <v>3.29</v>
      </c>
      <c r="M1207" s="24">
        <v>122910.5</v>
      </c>
      <c r="N1207" s="25">
        <f>IFERROR(T_reg.root.SK[[#This Row],[Price]]/T_reg.root.SK[[#This Row],[Starch content]],"")</f>
        <v>15.203327171903881</v>
      </c>
    </row>
    <row r="1208" spans="1:14">
      <c r="A1208" s="21">
        <v>2023</v>
      </c>
      <c r="B1208" s="21" t="s">
        <v>24</v>
      </c>
      <c r="C1208" s="21" t="s">
        <v>1145</v>
      </c>
      <c r="D1208" s="21" t="s">
        <v>35</v>
      </c>
      <c r="E1208" s="17" t="s">
        <v>539</v>
      </c>
      <c r="F1208" s="18" t="s">
        <v>187</v>
      </c>
      <c r="G1208" s="18" t="s">
        <v>48</v>
      </c>
      <c r="H1208" s="24">
        <v>98080</v>
      </c>
      <c r="I1208" s="24">
        <f>T_reg.root.SK[[#This Row],[Volume, kg]]/1000</f>
        <v>98.08</v>
      </c>
      <c r="J1208" s="25">
        <v>0.19370000000000001</v>
      </c>
      <c r="K1208" s="25">
        <f t="shared" si="18"/>
        <v>18998.096000000001</v>
      </c>
      <c r="L1208" s="25">
        <v>3.17</v>
      </c>
      <c r="M1208" s="24">
        <v>311398</v>
      </c>
      <c r="N1208" s="25">
        <f>IFERROR(T_reg.root.SK[[#This Row],[Price]]/T_reg.root.SK[[#This Row],[Starch content]],"")</f>
        <v>16.36551368094992</v>
      </c>
    </row>
    <row r="1209" spans="1:14">
      <c r="A1209" s="21">
        <v>2023</v>
      </c>
      <c r="B1209" s="21" t="s">
        <v>24</v>
      </c>
      <c r="C1209" s="21" t="s">
        <v>1145</v>
      </c>
      <c r="D1209" s="21" t="s">
        <v>35</v>
      </c>
      <c r="E1209" s="17" t="s">
        <v>214</v>
      </c>
      <c r="F1209" s="18" t="s">
        <v>187</v>
      </c>
      <c r="G1209" s="18" t="s">
        <v>48</v>
      </c>
      <c r="H1209" s="24">
        <v>25420</v>
      </c>
      <c r="I1209" s="24">
        <f>T_reg.root.SK[[#This Row],[Volume, kg]]/1000</f>
        <v>25.42</v>
      </c>
      <c r="J1209" s="25">
        <v>0.2205</v>
      </c>
      <c r="K1209" s="25">
        <f t="shared" si="18"/>
        <v>5605.11</v>
      </c>
      <c r="L1209" s="25">
        <v>3.3</v>
      </c>
      <c r="M1209" s="24">
        <v>83846</v>
      </c>
      <c r="N1209" s="25">
        <f>IFERROR(T_reg.root.SK[[#This Row],[Price]]/T_reg.root.SK[[#This Row],[Starch content]],"")</f>
        <v>14.965986394557822</v>
      </c>
    </row>
    <row r="1210" spans="1:14">
      <c r="A1210" s="21">
        <v>2023</v>
      </c>
      <c r="B1210" s="21" t="s">
        <v>24</v>
      </c>
      <c r="C1210" s="21" t="s">
        <v>1145</v>
      </c>
      <c r="D1210" s="21" t="s">
        <v>35</v>
      </c>
      <c r="E1210" s="17" t="s">
        <v>540</v>
      </c>
      <c r="F1210" s="18" t="s">
        <v>187</v>
      </c>
      <c r="G1210" s="18" t="s">
        <v>48</v>
      </c>
      <c r="H1210" s="24">
        <v>74130</v>
      </c>
      <c r="I1210" s="24">
        <f>T_reg.root.SK[[#This Row],[Volume, kg]]/1000</f>
        <v>74.13</v>
      </c>
      <c r="J1210" s="25">
        <v>0.19690000000000002</v>
      </c>
      <c r="K1210" s="25">
        <f t="shared" si="18"/>
        <v>14596.197000000002</v>
      </c>
      <c r="L1210" s="25">
        <v>3.18</v>
      </c>
      <c r="M1210" s="24">
        <v>236087.5</v>
      </c>
      <c r="N1210" s="25">
        <f>IFERROR(T_reg.root.SK[[#This Row],[Price]]/T_reg.root.SK[[#This Row],[Starch content]],"")</f>
        <v>16.150330116810562</v>
      </c>
    </row>
    <row r="1211" spans="1:14">
      <c r="A1211" s="21">
        <v>2023</v>
      </c>
      <c r="B1211" s="21" t="s">
        <v>24</v>
      </c>
      <c r="C1211" s="21" t="s">
        <v>1145</v>
      </c>
      <c r="D1211" s="21" t="s">
        <v>35</v>
      </c>
      <c r="E1211" s="17" t="s">
        <v>215</v>
      </c>
      <c r="F1211" s="18" t="s">
        <v>187</v>
      </c>
      <c r="G1211" s="18" t="s">
        <v>48</v>
      </c>
      <c r="H1211" s="24">
        <v>11170</v>
      </c>
      <c r="I1211" s="24">
        <f>T_reg.root.SK[[#This Row],[Volume, kg]]/1000</f>
        <v>11.17</v>
      </c>
      <c r="J1211" s="25">
        <v>0.19870000000000002</v>
      </c>
      <c r="K1211" s="25">
        <f t="shared" si="18"/>
        <v>2219.4790000000003</v>
      </c>
      <c r="L1211" s="25">
        <v>3.21</v>
      </c>
      <c r="M1211" s="24">
        <v>35862.5</v>
      </c>
      <c r="N1211" s="25">
        <f>IFERROR(T_reg.root.SK[[#This Row],[Price]]/T_reg.root.SK[[#This Row],[Starch content]],"")</f>
        <v>16.155007549068948</v>
      </c>
    </row>
    <row r="1212" spans="1:14">
      <c r="A1212" s="21">
        <v>2023</v>
      </c>
      <c r="B1212" s="21" t="s">
        <v>24</v>
      </c>
      <c r="C1212" s="21" t="s">
        <v>1145</v>
      </c>
      <c r="D1212" s="21" t="s">
        <v>35</v>
      </c>
      <c r="E1212" s="17" t="s">
        <v>542</v>
      </c>
      <c r="F1212" s="18" t="s">
        <v>187</v>
      </c>
      <c r="G1212" s="18" t="s">
        <v>48</v>
      </c>
      <c r="H1212" s="24">
        <v>17750</v>
      </c>
      <c r="I1212" s="24">
        <f>T_reg.root.SK[[#This Row],[Volume, kg]]/1000</f>
        <v>17.75</v>
      </c>
      <c r="J1212" s="25">
        <v>0.17199999999999999</v>
      </c>
      <c r="K1212" s="25">
        <f t="shared" si="18"/>
        <v>3052.9999999999995</v>
      </c>
      <c r="L1212" s="25">
        <v>3.06</v>
      </c>
      <c r="M1212" s="24">
        <v>54335.5</v>
      </c>
      <c r="N1212" s="25">
        <f>IFERROR(T_reg.root.SK[[#This Row],[Price]]/T_reg.root.SK[[#This Row],[Starch content]],"")</f>
        <v>17.790697674418606</v>
      </c>
    </row>
    <row r="1213" spans="1:14">
      <c r="A1213" s="21">
        <v>2023</v>
      </c>
      <c r="B1213" s="21" t="s">
        <v>24</v>
      </c>
      <c r="C1213" s="21" t="s">
        <v>1145</v>
      </c>
      <c r="D1213" s="21" t="s">
        <v>35</v>
      </c>
      <c r="E1213" s="17" t="s">
        <v>216</v>
      </c>
      <c r="F1213" s="18" t="s">
        <v>187</v>
      </c>
      <c r="G1213" s="18" t="s">
        <v>48</v>
      </c>
      <c r="H1213" s="24">
        <v>51460</v>
      </c>
      <c r="I1213" s="24">
        <f>T_reg.root.SK[[#This Row],[Volume, kg]]/1000</f>
        <v>51.46</v>
      </c>
      <c r="J1213" s="25">
        <v>0.18969999999999998</v>
      </c>
      <c r="K1213" s="25">
        <f t="shared" si="18"/>
        <v>9761.9619999999995</v>
      </c>
      <c r="L1213" s="25">
        <v>3.16</v>
      </c>
      <c r="M1213" s="24">
        <v>162552.5</v>
      </c>
      <c r="N1213" s="25">
        <f>IFERROR(T_reg.root.SK[[#This Row],[Price]]/T_reg.root.SK[[#This Row],[Starch content]],"")</f>
        <v>16.657880864522934</v>
      </c>
    </row>
    <row r="1214" spans="1:14">
      <c r="A1214" s="21">
        <v>2023</v>
      </c>
      <c r="B1214" s="21" t="s">
        <v>24</v>
      </c>
      <c r="C1214" s="21" t="s">
        <v>1145</v>
      </c>
      <c r="D1214" s="21" t="s">
        <v>35</v>
      </c>
      <c r="E1214" s="17" t="s">
        <v>409</v>
      </c>
      <c r="F1214" s="18" t="s">
        <v>187</v>
      </c>
      <c r="G1214" s="18" t="s">
        <v>48</v>
      </c>
      <c r="H1214" s="24">
        <v>26440</v>
      </c>
      <c r="I1214" s="24">
        <f>T_reg.root.SK[[#This Row],[Volume, kg]]/1000</f>
        <v>26.44</v>
      </c>
      <c r="J1214" s="25">
        <v>0.1714</v>
      </c>
      <c r="K1214" s="25">
        <f t="shared" si="18"/>
        <v>4531.8159999999998</v>
      </c>
      <c r="L1214" s="25">
        <v>3.05</v>
      </c>
      <c r="M1214" s="24">
        <v>80706</v>
      </c>
      <c r="N1214" s="25">
        <f>IFERROR(T_reg.root.SK[[#This Row],[Price]]/T_reg.root.SK[[#This Row],[Starch content]],"")</f>
        <v>17.794632438739789</v>
      </c>
    </row>
    <row r="1215" spans="1:14">
      <c r="A1215" s="21">
        <v>2023</v>
      </c>
      <c r="B1215" s="21" t="s">
        <v>24</v>
      </c>
      <c r="C1215" s="21" t="s">
        <v>1145</v>
      </c>
      <c r="D1215" s="21" t="s">
        <v>35</v>
      </c>
      <c r="E1215" s="17" t="s">
        <v>270</v>
      </c>
      <c r="F1215" s="18" t="s">
        <v>187</v>
      </c>
      <c r="G1215" s="18" t="s">
        <v>48</v>
      </c>
      <c r="H1215" s="24">
        <v>8440</v>
      </c>
      <c r="I1215" s="24">
        <f>T_reg.root.SK[[#This Row],[Volume, kg]]/1000</f>
        <v>8.44</v>
      </c>
      <c r="J1215" s="25">
        <v>0.19879999999999998</v>
      </c>
      <c r="K1215" s="25">
        <f t="shared" si="18"/>
        <v>1677.8719999999998</v>
      </c>
      <c r="L1215" s="25">
        <v>3.2</v>
      </c>
      <c r="M1215" s="24">
        <v>27008</v>
      </c>
      <c r="N1215" s="25">
        <f>IFERROR(T_reg.root.SK[[#This Row],[Price]]/T_reg.root.SK[[#This Row],[Starch content]],"")</f>
        <v>16.096579476861169</v>
      </c>
    </row>
    <row r="1216" spans="1:14">
      <c r="A1216" s="21">
        <v>2023</v>
      </c>
      <c r="B1216" s="21" t="s">
        <v>24</v>
      </c>
      <c r="C1216" s="21" t="s">
        <v>1145</v>
      </c>
      <c r="D1216" s="21" t="s">
        <v>35</v>
      </c>
      <c r="E1216" s="17" t="s">
        <v>543</v>
      </c>
      <c r="F1216" s="18" t="s">
        <v>187</v>
      </c>
      <c r="G1216" s="18" t="s">
        <v>48</v>
      </c>
      <c r="H1216" s="24">
        <v>17120</v>
      </c>
      <c r="I1216" s="24">
        <f>T_reg.root.SK[[#This Row],[Volume, kg]]/1000</f>
        <v>17.12</v>
      </c>
      <c r="J1216" s="25">
        <v>0.20660000000000001</v>
      </c>
      <c r="K1216" s="25">
        <f t="shared" si="18"/>
        <v>3536.9920000000002</v>
      </c>
      <c r="L1216" s="25">
        <v>3.23</v>
      </c>
      <c r="M1216" s="24">
        <v>55273</v>
      </c>
      <c r="N1216" s="25">
        <f>IFERROR(T_reg.root.SK[[#This Row],[Price]]/T_reg.root.SK[[#This Row],[Starch content]],"")</f>
        <v>15.634075508228459</v>
      </c>
    </row>
    <row r="1217" spans="1:14">
      <c r="A1217" s="21">
        <v>2023</v>
      </c>
      <c r="B1217" s="21" t="s">
        <v>24</v>
      </c>
      <c r="C1217" s="21" t="s">
        <v>1145</v>
      </c>
      <c r="D1217" s="21" t="s">
        <v>35</v>
      </c>
      <c r="E1217" s="17" t="s">
        <v>271</v>
      </c>
      <c r="F1217" s="18" t="s">
        <v>187</v>
      </c>
      <c r="G1217" s="18" t="s">
        <v>48</v>
      </c>
      <c r="H1217" s="24">
        <v>10440</v>
      </c>
      <c r="I1217" s="24">
        <f>T_reg.root.SK[[#This Row],[Volume, kg]]/1000</f>
        <v>10.44</v>
      </c>
      <c r="J1217" s="25">
        <v>0.23149999999999998</v>
      </c>
      <c r="K1217" s="25">
        <f t="shared" si="18"/>
        <v>2416.8599999999997</v>
      </c>
      <c r="L1217" s="25">
        <v>3.35</v>
      </c>
      <c r="M1217" s="24">
        <v>34974</v>
      </c>
      <c r="N1217" s="25">
        <f>IFERROR(T_reg.root.SK[[#This Row],[Price]]/T_reg.root.SK[[#This Row],[Starch content]],"")</f>
        <v>14.470842332613392</v>
      </c>
    </row>
    <row r="1218" spans="1:14">
      <c r="A1218" s="21">
        <v>2023</v>
      </c>
      <c r="B1218" s="21" t="s">
        <v>24</v>
      </c>
      <c r="C1218" s="21" t="s">
        <v>1145</v>
      </c>
      <c r="D1218" s="21" t="s">
        <v>35</v>
      </c>
      <c r="E1218" s="17" t="s">
        <v>410</v>
      </c>
      <c r="F1218" s="18" t="s">
        <v>187</v>
      </c>
      <c r="G1218" s="18" t="s">
        <v>48</v>
      </c>
      <c r="H1218" s="24">
        <v>69970</v>
      </c>
      <c r="I1218" s="24">
        <f>T_reg.root.SK[[#This Row],[Volume, kg]]/1000</f>
        <v>69.97</v>
      </c>
      <c r="J1218" s="25">
        <v>0.22039999999999998</v>
      </c>
      <c r="K1218" s="25">
        <f t="shared" si="18"/>
        <v>15421.387999999999</v>
      </c>
      <c r="L1218" s="25">
        <v>3.31</v>
      </c>
      <c r="M1218" s="24">
        <v>231286.5</v>
      </c>
      <c r="N1218" s="25">
        <f>IFERROR(T_reg.root.SK[[#This Row],[Price]]/T_reg.root.SK[[#This Row],[Starch content]],"")</f>
        <v>15.01814882032668</v>
      </c>
    </row>
    <row r="1219" spans="1:14">
      <c r="A1219" s="21">
        <v>2023</v>
      </c>
      <c r="B1219" s="21" t="s">
        <v>24</v>
      </c>
      <c r="C1219" s="21" t="s">
        <v>1145</v>
      </c>
      <c r="D1219" s="21" t="s">
        <v>35</v>
      </c>
      <c r="E1219" s="17" t="s">
        <v>217</v>
      </c>
      <c r="F1219" s="18" t="s">
        <v>187</v>
      </c>
      <c r="G1219" s="18" t="s">
        <v>48</v>
      </c>
      <c r="H1219" s="24">
        <v>26840</v>
      </c>
      <c r="I1219" s="24">
        <f>T_reg.root.SK[[#This Row],[Volume, kg]]/1000</f>
        <v>26.84</v>
      </c>
      <c r="J1219" s="25">
        <v>0.17019999999999999</v>
      </c>
      <c r="K1219" s="25">
        <f t="shared" ref="K1219:K1282" si="19">H1219*J1219</f>
        <v>4568.1679999999997</v>
      </c>
      <c r="L1219" s="25">
        <v>3.05</v>
      </c>
      <c r="M1219" s="24">
        <v>81751</v>
      </c>
      <c r="N1219" s="25">
        <f>IFERROR(T_reg.root.SK[[#This Row],[Price]]/T_reg.root.SK[[#This Row],[Starch content]],"")</f>
        <v>17.92009400705053</v>
      </c>
    </row>
    <row r="1220" spans="1:14">
      <c r="A1220" s="21">
        <v>2023</v>
      </c>
      <c r="B1220" s="21" t="s">
        <v>25</v>
      </c>
      <c r="C1220" s="21" t="s">
        <v>1145</v>
      </c>
      <c r="D1220" s="21" t="s">
        <v>35</v>
      </c>
      <c r="E1220" s="17" t="s">
        <v>544</v>
      </c>
      <c r="F1220" s="18" t="s">
        <v>219</v>
      </c>
      <c r="G1220" s="18" t="s">
        <v>220</v>
      </c>
      <c r="H1220" s="24">
        <v>8300</v>
      </c>
      <c r="I1220" s="24">
        <f>T_reg.root.SK[[#This Row],[Volume, kg]]/1000</f>
        <v>8.3000000000000007</v>
      </c>
      <c r="J1220" s="25">
        <v>0.188</v>
      </c>
      <c r="K1220" s="25">
        <f t="shared" si="19"/>
        <v>1560.4</v>
      </c>
      <c r="L1220" s="25">
        <v>3.15</v>
      </c>
      <c r="M1220" s="24">
        <v>26145</v>
      </c>
      <c r="N1220" s="25">
        <f>IFERROR(T_reg.root.SK[[#This Row],[Price]]/T_reg.root.SK[[#This Row],[Starch content]],"")</f>
        <v>16.75531914893617</v>
      </c>
    </row>
    <row r="1221" spans="1:14">
      <c r="A1221" s="21">
        <v>2023</v>
      </c>
      <c r="B1221" s="21" t="s">
        <v>25</v>
      </c>
      <c r="C1221" s="21" t="s">
        <v>1145</v>
      </c>
      <c r="D1221" s="21" t="s">
        <v>35</v>
      </c>
      <c r="E1221" s="17" t="s">
        <v>598</v>
      </c>
      <c r="F1221" s="18" t="s">
        <v>219</v>
      </c>
      <c r="G1221" s="18" t="s">
        <v>220</v>
      </c>
      <c r="H1221" s="24">
        <v>57800</v>
      </c>
      <c r="I1221" s="24">
        <f>T_reg.root.SK[[#This Row],[Volume, kg]]/1000</f>
        <v>57.8</v>
      </c>
      <c r="J1221" s="25">
        <v>0.23550000000000001</v>
      </c>
      <c r="K1221" s="25">
        <f t="shared" si="19"/>
        <v>13611.900000000001</v>
      </c>
      <c r="L1221" s="25">
        <v>3.39</v>
      </c>
      <c r="M1221" s="24">
        <v>195920.5</v>
      </c>
      <c r="N1221" s="25">
        <f>IFERROR(T_reg.root.SK[[#This Row],[Price]]/T_reg.root.SK[[#This Row],[Starch content]],"")</f>
        <v>14.394904458598726</v>
      </c>
    </row>
    <row r="1222" spans="1:14">
      <c r="A1222" s="21">
        <v>2023</v>
      </c>
      <c r="B1222" s="21" t="s">
        <v>25</v>
      </c>
      <c r="C1222" s="21" t="s">
        <v>1145</v>
      </c>
      <c r="D1222" s="21" t="s">
        <v>35</v>
      </c>
      <c r="E1222" s="17" t="s">
        <v>456</v>
      </c>
      <c r="F1222" s="18" t="s">
        <v>219</v>
      </c>
      <c r="G1222" s="18" t="s">
        <v>220</v>
      </c>
      <c r="H1222" s="24">
        <v>44410</v>
      </c>
      <c r="I1222" s="24">
        <f>T_reg.root.SK[[#This Row],[Volume, kg]]/1000</f>
        <v>44.41</v>
      </c>
      <c r="J1222" s="25">
        <v>0.2253</v>
      </c>
      <c r="K1222" s="25">
        <f t="shared" si="19"/>
        <v>10005.573</v>
      </c>
      <c r="L1222" s="25">
        <v>3.34</v>
      </c>
      <c r="M1222" s="24">
        <v>148151</v>
      </c>
      <c r="N1222" s="25">
        <f>IFERROR(T_reg.root.SK[[#This Row],[Price]]/T_reg.root.SK[[#This Row],[Starch content]],"")</f>
        <v>14.82467820683533</v>
      </c>
    </row>
    <row r="1223" spans="1:14">
      <c r="A1223" s="21">
        <v>2023</v>
      </c>
      <c r="B1223" s="21" t="s">
        <v>25</v>
      </c>
      <c r="C1223" s="21" t="s">
        <v>1145</v>
      </c>
      <c r="D1223" s="21" t="s">
        <v>35</v>
      </c>
      <c r="E1223" s="17" t="s">
        <v>545</v>
      </c>
      <c r="F1223" s="18" t="s">
        <v>219</v>
      </c>
      <c r="G1223" s="18" t="s">
        <v>220</v>
      </c>
      <c r="H1223" s="24">
        <v>4420</v>
      </c>
      <c r="I1223" s="24">
        <f>T_reg.root.SK[[#This Row],[Volume, kg]]/1000</f>
        <v>4.42</v>
      </c>
      <c r="J1223" s="25">
        <v>0.2535</v>
      </c>
      <c r="K1223" s="25">
        <f t="shared" si="19"/>
        <v>1120.47</v>
      </c>
      <c r="L1223" s="25">
        <v>3.45</v>
      </c>
      <c r="M1223" s="24">
        <v>15249</v>
      </c>
      <c r="N1223" s="25">
        <f>IFERROR(T_reg.root.SK[[#This Row],[Price]]/T_reg.root.SK[[#This Row],[Starch content]],"")</f>
        <v>13.609467455621303</v>
      </c>
    </row>
    <row r="1224" spans="1:14">
      <c r="A1224" s="21">
        <v>2023</v>
      </c>
      <c r="B1224" s="21" t="s">
        <v>25</v>
      </c>
      <c r="C1224" s="21" t="s">
        <v>1145</v>
      </c>
      <c r="D1224" s="21" t="s">
        <v>35</v>
      </c>
      <c r="E1224" s="17" t="s">
        <v>50</v>
      </c>
      <c r="F1224" s="18" t="s">
        <v>47</v>
      </c>
      <c r="G1224" s="18" t="s">
        <v>48</v>
      </c>
      <c r="H1224" s="24">
        <v>4450</v>
      </c>
      <c r="I1224" s="24">
        <f>T_reg.root.SK[[#This Row],[Volume, kg]]/1000</f>
        <v>4.45</v>
      </c>
      <c r="J1224" s="25">
        <v>0.23</v>
      </c>
      <c r="K1224" s="25">
        <f t="shared" si="19"/>
        <v>1023.5</v>
      </c>
      <c r="L1224" s="25">
        <v>3.35</v>
      </c>
      <c r="M1224" s="24">
        <v>14907.5</v>
      </c>
      <c r="N1224" s="25">
        <f>IFERROR(T_reg.root.SK[[#This Row],[Price]]/T_reg.root.SK[[#This Row],[Starch content]],"")</f>
        <v>14.565217391304348</v>
      </c>
    </row>
    <row r="1225" spans="1:14">
      <c r="A1225" s="21">
        <v>2023</v>
      </c>
      <c r="B1225" s="21" t="s">
        <v>25</v>
      </c>
      <c r="C1225" s="21" t="s">
        <v>1145</v>
      </c>
      <c r="D1225" s="21" t="s">
        <v>35</v>
      </c>
      <c r="E1225" s="17" t="s">
        <v>461</v>
      </c>
      <c r="F1225" s="18" t="s">
        <v>47</v>
      </c>
      <c r="G1225" s="18" t="s">
        <v>48</v>
      </c>
      <c r="H1225" s="24">
        <v>18520</v>
      </c>
      <c r="I1225" s="24">
        <f>T_reg.root.SK[[#This Row],[Volume, kg]]/1000</f>
        <v>18.52</v>
      </c>
      <c r="J1225" s="25">
        <v>0.2273</v>
      </c>
      <c r="K1225" s="25">
        <f t="shared" si="19"/>
        <v>4209.5960000000005</v>
      </c>
      <c r="L1225" s="25">
        <v>3.35</v>
      </c>
      <c r="M1225" s="24">
        <v>62042</v>
      </c>
      <c r="N1225" s="25">
        <f>IFERROR(T_reg.root.SK[[#This Row],[Price]]/T_reg.root.SK[[#This Row],[Starch content]],"")</f>
        <v>14.738231412230533</v>
      </c>
    </row>
    <row r="1226" spans="1:14">
      <c r="A1226" s="21">
        <v>2023</v>
      </c>
      <c r="B1226" s="21" t="s">
        <v>25</v>
      </c>
      <c r="C1226" s="21" t="s">
        <v>1145</v>
      </c>
      <c r="D1226" s="21" t="s">
        <v>35</v>
      </c>
      <c r="E1226" s="17" t="s">
        <v>57</v>
      </c>
      <c r="F1226" s="18" t="s">
        <v>47</v>
      </c>
      <c r="G1226" s="18" t="s">
        <v>48</v>
      </c>
      <c r="H1226" s="24">
        <v>46100</v>
      </c>
      <c r="I1226" s="24">
        <f>T_reg.root.SK[[#This Row],[Volume, kg]]/1000</f>
        <v>46.1</v>
      </c>
      <c r="J1226" s="25">
        <v>0.217</v>
      </c>
      <c r="K1226" s="25">
        <f t="shared" si="19"/>
        <v>10003.700000000001</v>
      </c>
      <c r="L1226" s="25">
        <v>3.28</v>
      </c>
      <c r="M1226" s="24">
        <v>151281.5</v>
      </c>
      <c r="N1226" s="25">
        <f>IFERROR(T_reg.root.SK[[#This Row],[Price]]/T_reg.root.SK[[#This Row],[Starch content]],"")</f>
        <v>15.115207373271888</v>
      </c>
    </row>
    <row r="1227" spans="1:14">
      <c r="A1227" s="21">
        <v>2023</v>
      </c>
      <c r="B1227" s="21" t="s">
        <v>25</v>
      </c>
      <c r="C1227" s="21" t="s">
        <v>1145</v>
      </c>
      <c r="D1227" s="21" t="s">
        <v>35</v>
      </c>
      <c r="E1227" s="17" t="s">
        <v>379</v>
      </c>
      <c r="F1227" s="18" t="s">
        <v>47</v>
      </c>
      <c r="G1227" s="18" t="s">
        <v>48</v>
      </c>
      <c r="H1227" s="24">
        <v>24460</v>
      </c>
      <c r="I1227" s="24">
        <f>T_reg.root.SK[[#This Row],[Volume, kg]]/1000</f>
        <v>24.46</v>
      </c>
      <c r="J1227" s="25">
        <v>0.18170000000000003</v>
      </c>
      <c r="K1227" s="25">
        <f t="shared" si="19"/>
        <v>4444.3820000000005</v>
      </c>
      <c r="L1227" s="25">
        <v>3.12</v>
      </c>
      <c r="M1227" s="24">
        <v>76304</v>
      </c>
      <c r="N1227" s="25">
        <f>IFERROR(T_reg.root.SK[[#This Row],[Price]]/T_reg.root.SK[[#This Row],[Starch content]],"")</f>
        <v>17.17116125481563</v>
      </c>
    </row>
    <row r="1228" spans="1:14">
      <c r="A1228" s="21">
        <v>2023</v>
      </c>
      <c r="B1228" s="21" t="s">
        <v>25</v>
      </c>
      <c r="C1228" s="21" t="s">
        <v>1145</v>
      </c>
      <c r="D1228" s="21" t="s">
        <v>35</v>
      </c>
      <c r="E1228" s="17" t="s">
        <v>60</v>
      </c>
      <c r="F1228" s="18" t="s">
        <v>47</v>
      </c>
      <c r="G1228" s="18" t="s">
        <v>48</v>
      </c>
      <c r="H1228" s="24">
        <v>8310</v>
      </c>
      <c r="I1228" s="24">
        <f>T_reg.root.SK[[#This Row],[Volume, kg]]/1000</f>
        <v>8.31</v>
      </c>
      <c r="J1228" s="25">
        <v>0.2165</v>
      </c>
      <c r="K1228" s="25">
        <f t="shared" si="19"/>
        <v>1799.115</v>
      </c>
      <c r="L1228" s="25">
        <v>3.3</v>
      </c>
      <c r="M1228" s="24">
        <v>27423</v>
      </c>
      <c r="N1228" s="25">
        <f>IFERROR(T_reg.root.SK[[#This Row],[Price]]/T_reg.root.SK[[#This Row],[Starch content]],"")</f>
        <v>15.242494226327944</v>
      </c>
    </row>
    <row r="1229" spans="1:14">
      <c r="A1229" s="21">
        <v>2023</v>
      </c>
      <c r="B1229" s="21" t="s">
        <v>25</v>
      </c>
      <c r="C1229" s="21" t="s">
        <v>1145</v>
      </c>
      <c r="D1229" s="21" t="s">
        <v>35</v>
      </c>
      <c r="E1229" s="17" t="s">
        <v>467</v>
      </c>
      <c r="F1229" s="18" t="s">
        <v>47</v>
      </c>
      <c r="G1229" s="18" t="s">
        <v>48</v>
      </c>
      <c r="H1229" s="24">
        <v>6750</v>
      </c>
      <c r="I1229" s="24">
        <f>T_reg.root.SK[[#This Row],[Volume, kg]]/1000</f>
        <v>6.75</v>
      </c>
      <c r="J1229" s="25">
        <v>0.24100000000000002</v>
      </c>
      <c r="K1229" s="25">
        <f t="shared" si="19"/>
        <v>1626.7500000000002</v>
      </c>
      <c r="L1229" s="25">
        <v>3.4</v>
      </c>
      <c r="M1229" s="24">
        <v>22950</v>
      </c>
      <c r="N1229" s="25">
        <f>IFERROR(T_reg.root.SK[[#This Row],[Price]]/T_reg.root.SK[[#This Row],[Starch content]],"")</f>
        <v>14.107883817427384</v>
      </c>
    </row>
    <row r="1230" spans="1:14">
      <c r="A1230" s="21">
        <v>2023</v>
      </c>
      <c r="B1230" s="21" t="s">
        <v>25</v>
      </c>
      <c r="C1230" s="21" t="s">
        <v>1145</v>
      </c>
      <c r="D1230" s="21" t="s">
        <v>35</v>
      </c>
      <c r="E1230" s="17" t="s">
        <v>62</v>
      </c>
      <c r="F1230" s="18" t="s">
        <v>47</v>
      </c>
      <c r="G1230" s="18" t="s">
        <v>48</v>
      </c>
      <c r="H1230" s="24">
        <v>15900</v>
      </c>
      <c r="I1230" s="24">
        <f>T_reg.root.SK[[#This Row],[Volume, kg]]/1000</f>
        <v>15.9</v>
      </c>
      <c r="J1230" s="25">
        <v>0.16570000000000001</v>
      </c>
      <c r="K1230" s="25">
        <f t="shared" si="19"/>
        <v>2634.63</v>
      </c>
      <c r="L1230" s="25">
        <v>3.02</v>
      </c>
      <c r="M1230" s="24">
        <v>48073.5</v>
      </c>
      <c r="N1230" s="25">
        <f>IFERROR(T_reg.root.SK[[#This Row],[Price]]/T_reg.root.SK[[#This Row],[Starch content]],"")</f>
        <v>18.225709112854556</v>
      </c>
    </row>
    <row r="1231" spans="1:14">
      <c r="A1231" s="21">
        <v>2023</v>
      </c>
      <c r="B1231" s="21" t="s">
        <v>25</v>
      </c>
      <c r="C1231" s="21" t="s">
        <v>1145</v>
      </c>
      <c r="D1231" s="21" t="s">
        <v>35</v>
      </c>
      <c r="E1231" s="17" t="s">
        <v>380</v>
      </c>
      <c r="F1231" s="18" t="s">
        <v>47</v>
      </c>
      <c r="G1231" s="18" t="s">
        <v>48</v>
      </c>
      <c r="H1231" s="24">
        <v>29600</v>
      </c>
      <c r="I1231" s="24">
        <f>T_reg.root.SK[[#This Row],[Volume, kg]]/1000</f>
        <v>29.6</v>
      </c>
      <c r="J1231" s="25">
        <v>0.23019999999999999</v>
      </c>
      <c r="K1231" s="25">
        <f t="shared" si="19"/>
        <v>6813.92</v>
      </c>
      <c r="L1231" s="25">
        <v>3.36</v>
      </c>
      <c r="M1231" s="24">
        <v>99319</v>
      </c>
      <c r="N1231" s="25">
        <f>IFERROR(T_reg.root.SK[[#This Row],[Price]]/T_reg.root.SK[[#This Row],[Starch content]],"")</f>
        <v>14.596003475238923</v>
      </c>
    </row>
    <row r="1232" spans="1:14">
      <c r="A1232" s="21">
        <v>2023</v>
      </c>
      <c r="B1232" s="21" t="s">
        <v>25</v>
      </c>
      <c r="C1232" s="21" t="s">
        <v>1145</v>
      </c>
      <c r="D1232" s="21" t="s">
        <v>35</v>
      </c>
      <c r="E1232" s="17" t="s">
        <v>341</v>
      </c>
      <c r="F1232" s="18" t="s">
        <v>47</v>
      </c>
      <c r="G1232" s="18" t="s">
        <v>48</v>
      </c>
      <c r="H1232" s="24">
        <v>3210</v>
      </c>
      <c r="I1232" s="24">
        <f>T_reg.root.SK[[#This Row],[Volume, kg]]/1000</f>
        <v>3.21</v>
      </c>
      <c r="J1232" s="25">
        <v>0.2165</v>
      </c>
      <c r="K1232" s="25">
        <f t="shared" si="19"/>
        <v>694.96500000000003</v>
      </c>
      <c r="L1232" s="25">
        <v>3.3</v>
      </c>
      <c r="M1232" s="24">
        <v>10593</v>
      </c>
      <c r="N1232" s="25">
        <f>IFERROR(T_reg.root.SK[[#This Row],[Price]]/T_reg.root.SK[[#This Row],[Starch content]],"")</f>
        <v>15.242494226327944</v>
      </c>
    </row>
    <row r="1233" spans="1:14">
      <c r="A1233" s="21">
        <v>2023</v>
      </c>
      <c r="B1233" s="21" t="s">
        <v>25</v>
      </c>
      <c r="C1233" s="21" t="s">
        <v>1145</v>
      </c>
      <c r="D1233" s="21" t="s">
        <v>35</v>
      </c>
      <c r="E1233" s="17" t="s">
        <v>470</v>
      </c>
      <c r="F1233" s="18" t="s">
        <v>47</v>
      </c>
      <c r="G1233" s="18" t="s">
        <v>48</v>
      </c>
      <c r="H1233" s="24">
        <v>0</v>
      </c>
      <c r="I1233" s="24">
        <f>T_reg.root.SK[[#This Row],[Volume, kg]]/1000</f>
        <v>0</v>
      </c>
      <c r="J1233" s="25">
        <v>0</v>
      </c>
      <c r="K1233" s="25">
        <f t="shared" si="19"/>
        <v>0</v>
      </c>
      <c r="L1233" s="25">
        <v>0</v>
      </c>
      <c r="M1233" s="24">
        <v>0</v>
      </c>
      <c r="N1233" s="25" t="str">
        <f>IFERROR(T_reg.root.SK[[#This Row],[Price]]/T_reg.root.SK[[#This Row],[Starch content]],"")</f>
        <v/>
      </c>
    </row>
    <row r="1234" spans="1:14">
      <c r="A1234" s="21">
        <v>2023</v>
      </c>
      <c r="B1234" s="21" t="s">
        <v>25</v>
      </c>
      <c r="C1234" s="21" t="s">
        <v>1145</v>
      </c>
      <c r="D1234" s="21" t="s">
        <v>35</v>
      </c>
      <c r="E1234" s="17" t="s">
        <v>69</v>
      </c>
      <c r="F1234" s="18" t="s">
        <v>47</v>
      </c>
      <c r="G1234" s="18" t="s">
        <v>48</v>
      </c>
      <c r="H1234" s="24">
        <v>15150</v>
      </c>
      <c r="I1234" s="24">
        <f>T_reg.root.SK[[#This Row],[Volume, kg]]/1000</f>
        <v>15.15</v>
      </c>
      <c r="J1234" s="25">
        <v>0.24230000000000002</v>
      </c>
      <c r="K1234" s="25">
        <f t="shared" si="19"/>
        <v>3670.8450000000003</v>
      </c>
      <c r="L1234" s="25">
        <v>3.41</v>
      </c>
      <c r="M1234" s="24">
        <v>51589.5</v>
      </c>
      <c r="N1234" s="25">
        <f>IFERROR(T_reg.root.SK[[#This Row],[Price]]/T_reg.root.SK[[#This Row],[Starch content]],"")</f>
        <v>14.073462649607924</v>
      </c>
    </row>
    <row r="1235" spans="1:14">
      <c r="A1235" s="21">
        <v>2023</v>
      </c>
      <c r="B1235" s="21" t="s">
        <v>25</v>
      </c>
      <c r="C1235" s="21" t="s">
        <v>1145</v>
      </c>
      <c r="D1235" s="21" t="s">
        <v>35</v>
      </c>
      <c r="E1235" s="17" t="s">
        <v>70</v>
      </c>
      <c r="F1235" s="18" t="s">
        <v>47</v>
      </c>
      <c r="G1235" s="18" t="s">
        <v>48</v>
      </c>
      <c r="H1235" s="24">
        <v>27740</v>
      </c>
      <c r="I1235" s="24">
        <f>T_reg.root.SK[[#This Row],[Volume, kg]]/1000</f>
        <v>27.74</v>
      </c>
      <c r="J1235" s="25">
        <v>0.2225</v>
      </c>
      <c r="K1235" s="25">
        <f t="shared" si="19"/>
        <v>6172.1500000000005</v>
      </c>
      <c r="L1235" s="25">
        <v>3.31</v>
      </c>
      <c r="M1235" s="24">
        <v>91883</v>
      </c>
      <c r="N1235" s="25">
        <f>IFERROR(T_reg.root.SK[[#This Row],[Price]]/T_reg.root.SK[[#This Row],[Starch content]],"")</f>
        <v>14.876404494382022</v>
      </c>
    </row>
    <row r="1236" spans="1:14">
      <c r="A1236" s="21">
        <v>2023</v>
      </c>
      <c r="B1236" s="21" t="s">
        <v>25</v>
      </c>
      <c r="C1236" s="21" t="s">
        <v>1145</v>
      </c>
      <c r="D1236" s="21" t="s">
        <v>35</v>
      </c>
      <c r="E1236" s="17" t="s">
        <v>72</v>
      </c>
      <c r="F1236" s="18" t="s">
        <v>47</v>
      </c>
      <c r="G1236" s="18" t="s">
        <v>48</v>
      </c>
      <c r="H1236" s="24">
        <v>13630</v>
      </c>
      <c r="I1236" s="24">
        <f>T_reg.root.SK[[#This Row],[Volume, kg]]/1000</f>
        <v>13.63</v>
      </c>
      <c r="J1236" s="25">
        <v>0.2382</v>
      </c>
      <c r="K1236" s="25">
        <f t="shared" si="19"/>
        <v>3246.6659999999997</v>
      </c>
      <c r="L1236" s="25">
        <v>3.4</v>
      </c>
      <c r="M1236" s="24">
        <v>46342</v>
      </c>
      <c r="N1236" s="25">
        <f>IFERROR(T_reg.root.SK[[#This Row],[Price]]/T_reg.root.SK[[#This Row],[Starch content]],"")</f>
        <v>14.273719563392108</v>
      </c>
    </row>
    <row r="1237" spans="1:14">
      <c r="A1237" s="21">
        <v>2023</v>
      </c>
      <c r="B1237" s="21" t="s">
        <v>25</v>
      </c>
      <c r="C1237" s="21" t="s">
        <v>1145</v>
      </c>
      <c r="D1237" s="21" t="s">
        <v>35</v>
      </c>
      <c r="E1237" s="17" t="s">
        <v>73</v>
      </c>
      <c r="F1237" s="18" t="s">
        <v>47</v>
      </c>
      <c r="G1237" s="18" t="s">
        <v>48</v>
      </c>
      <c r="H1237" s="24">
        <v>10770</v>
      </c>
      <c r="I1237" s="24">
        <f>T_reg.root.SK[[#This Row],[Volume, kg]]/1000</f>
        <v>10.77</v>
      </c>
      <c r="J1237" s="25">
        <v>0.23600000000000002</v>
      </c>
      <c r="K1237" s="25">
        <f t="shared" si="19"/>
        <v>2541.7200000000003</v>
      </c>
      <c r="L1237" s="25">
        <v>3.4</v>
      </c>
      <c r="M1237" s="24">
        <v>36618</v>
      </c>
      <c r="N1237" s="25">
        <f>IFERROR(T_reg.root.SK[[#This Row],[Price]]/T_reg.root.SK[[#This Row],[Starch content]],"")</f>
        <v>14.406779661016948</v>
      </c>
    </row>
    <row r="1238" spans="1:14">
      <c r="A1238" s="21">
        <v>2023</v>
      </c>
      <c r="B1238" s="21" t="s">
        <v>25</v>
      </c>
      <c r="C1238" s="21" t="s">
        <v>1145</v>
      </c>
      <c r="D1238" s="21" t="s">
        <v>35</v>
      </c>
      <c r="E1238" s="17" t="s">
        <v>382</v>
      </c>
      <c r="F1238" s="18" t="s">
        <v>47</v>
      </c>
      <c r="G1238" s="18" t="s">
        <v>48</v>
      </c>
      <c r="H1238" s="24">
        <v>5350</v>
      </c>
      <c r="I1238" s="24">
        <f>T_reg.root.SK[[#This Row],[Volume, kg]]/1000</f>
        <v>5.35</v>
      </c>
      <c r="J1238" s="25">
        <v>0.24390000000000001</v>
      </c>
      <c r="K1238" s="25">
        <f t="shared" si="19"/>
        <v>1304.865</v>
      </c>
      <c r="L1238" s="25">
        <v>3.43</v>
      </c>
      <c r="M1238" s="24">
        <v>18371</v>
      </c>
      <c r="N1238" s="25">
        <f>IFERROR(T_reg.root.SK[[#This Row],[Price]]/T_reg.root.SK[[#This Row],[Starch content]],"")</f>
        <v>14.063140631406315</v>
      </c>
    </row>
    <row r="1239" spans="1:14">
      <c r="A1239" s="21">
        <v>2023</v>
      </c>
      <c r="B1239" s="21" t="s">
        <v>25</v>
      </c>
      <c r="C1239" s="21" t="s">
        <v>1145</v>
      </c>
      <c r="D1239" s="21" t="s">
        <v>35</v>
      </c>
      <c r="E1239" s="17" t="s">
        <v>473</v>
      </c>
      <c r="F1239" s="18" t="s">
        <v>47</v>
      </c>
      <c r="G1239" s="18" t="s">
        <v>48</v>
      </c>
      <c r="H1239" s="24">
        <v>5100</v>
      </c>
      <c r="I1239" s="24">
        <f>T_reg.root.SK[[#This Row],[Volume, kg]]/1000</f>
        <v>5.0999999999999996</v>
      </c>
      <c r="J1239" s="25">
        <v>0.20800000000000002</v>
      </c>
      <c r="K1239" s="25">
        <f t="shared" si="19"/>
        <v>1060.8000000000002</v>
      </c>
      <c r="L1239" s="25">
        <v>3.25</v>
      </c>
      <c r="M1239" s="24">
        <v>16575</v>
      </c>
      <c r="N1239" s="25">
        <f>IFERROR(T_reg.root.SK[[#This Row],[Price]]/T_reg.root.SK[[#This Row],[Starch content]],"")</f>
        <v>15.624999999999998</v>
      </c>
    </row>
    <row r="1240" spans="1:14">
      <c r="A1240" s="21">
        <v>2023</v>
      </c>
      <c r="B1240" s="21" t="s">
        <v>25</v>
      </c>
      <c r="C1240" s="21" t="s">
        <v>1145</v>
      </c>
      <c r="D1240" s="21" t="s">
        <v>35</v>
      </c>
      <c r="E1240" s="17" t="s">
        <v>383</v>
      </c>
      <c r="F1240" s="18" t="s">
        <v>47</v>
      </c>
      <c r="G1240" s="18" t="s">
        <v>48</v>
      </c>
      <c r="H1240" s="24">
        <v>18570</v>
      </c>
      <c r="I1240" s="24">
        <f>T_reg.root.SK[[#This Row],[Volume, kg]]/1000</f>
        <v>18.57</v>
      </c>
      <c r="J1240" s="25">
        <v>0.22550000000000001</v>
      </c>
      <c r="K1240" s="25">
        <f t="shared" si="19"/>
        <v>4187.5349999999999</v>
      </c>
      <c r="L1240" s="25">
        <v>3.33</v>
      </c>
      <c r="M1240" s="24">
        <v>61921.5</v>
      </c>
      <c r="N1240" s="25">
        <f>IFERROR(T_reg.root.SK[[#This Row],[Price]]/T_reg.root.SK[[#This Row],[Starch content]],"")</f>
        <v>14.767184035476719</v>
      </c>
    </row>
    <row r="1241" spans="1:14">
      <c r="A1241" s="21">
        <v>2023</v>
      </c>
      <c r="B1241" s="21" t="s">
        <v>25</v>
      </c>
      <c r="C1241" s="21" t="s">
        <v>1145</v>
      </c>
      <c r="D1241" s="21" t="s">
        <v>39</v>
      </c>
      <c r="E1241" s="17" t="s">
        <v>85</v>
      </c>
      <c r="F1241" s="18" t="s">
        <v>86</v>
      </c>
      <c r="G1241" s="18" t="s">
        <v>87</v>
      </c>
      <c r="H1241" s="24">
        <v>11634410</v>
      </c>
      <c r="I1241" s="24">
        <f>T_reg.root.SK[[#This Row],[Volume, kg]]/1000</f>
        <v>11634.41</v>
      </c>
      <c r="J1241" s="25">
        <v>0.2576</v>
      </c>
      <c r="K1241" s="25">
        <f t="shared" si="19"/>
        <v>2997024.0159999998</v>
      </c>
      <c r="L1241" s="25">
        <v>3.79</v>
      </c>
      <c r="M1241" s="24">
        <v>44048408</v>
      </c>
      <c r="N1241" s="25">
        <f>IFERROR(T_reg.root.SK[[#This Row],[Price]]/T_reg.root.SK[[#This Row],[Starch content]],"")</f>
        <v>14.712732919254659</v>
      </c>
    </row>
    <row r="1242" spans="1:14">
      <c r="A1242" s="21">
        <v>2023</v>
      </c>
      <c r="B1242" s="21" t="s">
        <v>25</v>
      </c>
      <c r="C1242" s="21" t="s">
        <v>1145</v>
      </c>
      <c r="D1242" s="21" t="s">
        <v>39</v>
      </c>
      <c r="E1242" s="17" t="s">
        <v>88</v>
      </c>
      <c r="F1242" s="18" t="s">
        <v>89</v>
      </c>
      <c r="G1242" s="18" t="s">
        <v>90</v>
      </c>
      <c r="H1242" s="24">
        <v>2059280</v>
      </c>
      <c r="I1242" s="24">
        <f>T_reg.root.SK[[#This Row],[Volume, kg]]/1000</f>
        <v>2059.2800000000002</v>
      </c>
      <c r="J1242" s="25">
        <v>0.24510000000000001</v>
      </c>
      <c r="K1242" s="25">
        <f t="shared" si="19"/>
        <v>504729.52800000005</v>
      </c>
      <c r="L1242" s="25">
        <v>3.63</v>
      </c>
      <c r="M1242" s="24">
        <v>7466020</v>
      </c>
      <c r="N1242" s="25">
        <f>IFERROR(T_reg.root.SK[[#This Row],[Price]]/T_reg.root.SK[[#This Row],[Starch content]],"")</f>
        <v>14.810281517747857</v>
      </c>
    </row>
    <row r="1243" spans="1:14">
      <c r="A1243" s="21">
        <v>2023</v>
      </c>
      <c r="B1243" s="21" t="s">
        <v>25</v>
      </c>
      <c r="C1243" s="21" t="s">
        <v>1145</v>
      </c>
      <c r="D1243" s="21" t="s">
        <v>35</v>
      </c>
      <c r="E1243" s="17" t="s">
        <v>229</v>
      </c>
      <c r="F1243" s="18" t="s">
        <v>92</v>
      </c>
      <c r="G1243" s="18" t="s">
        <v>48</v>
      </c>
      <c r="H1243" s="24">
        <v>38110</v>
      </c>
      <c r="I1243" s="24">
        <f>T_reg.root.SK[[#This Row],[Volume, kg]]/1000</f>
        <v>38.11</v>
      </c>
      <c r="J1243" s="25">
        <v>0.2266</v>
      </c>
      <c r="K1243" s="25">
        <f t="shared" si="19"/>
        <v>8635.7260000000006</v>
      </c>
      <c r="L1243" s="25">
        <v>3.33</v>
      </c>
      <c r="M1243" s="24">
        <v>126720.5</v>
      </c>
      <c r="N1243" s="25">
        <f>IFERROR(T_reg.root.SK[[#This Row],[Price]]/T_reg.root.SK[[#This Row],[Starch content]],"")</f>
        <v>14.695498676081201</v>
      </c>
    </row>
    <row r="1244" spans="1:14">
      <c r="A1244" s="21">
        <v>2023</v>
      </c>
      <c r="B1244" s="21" t="s">
        <v>25</v>
      </c>
      <c r="C1244" s="21" t="s">
        <v>1145</v>
      </c>
      <c r="D1244" s="21" t="s">
        <v>39</v>
      </c>
      <c r="E1244" s="17" t="s">
        <v>552</v>
      </c>
      <c r="F1244" s="18" t="s">
        <v>95</v>
      </c>
      <c r="G1244" s="18" t="s">
        <v>48</v>
      </c>
      <c r="H1244" s="24">
        <v>3542670</v>
      </c>
      <c r="I1244" s="24">
        <f>T_reg.root.SK[[#This Row],[Volume, kg]]/1000</f>
        <v>3542.67</v>
      </c>
      <c r="J1244" s="25">
        <v>0.23670000000000002</v>
      </c>
      <c r="K1244" s="25">
        <f t="shared" si="19"/>
        <v>838549.98900000006</v>
      </c>
      <c r="L1244" s="25">
        <v>3.58</v>
      </c>
      <c r="M1244" s="24">
        <v>12696553</v>
      </c>
      <c r="N1244" s="25">
        <f>IFERROR(T_reg.root.SK[[#This Row],[Price]]/T_reg.root.SK[[#This Row],[Starch content]],"")</f>
        <v>15.124630333755809</v>
      </c>
    </row>
    <row r="1245" spans="1:14">
      <c r="A1245" s="21">
        <v>2023</v>
      </c>
      <c r="B1245" s="21" t="s">
        <v>25</v>
      </c>
      <c r="C1245" s="21" t="s">
        <v>1145</v>
      </c>
      <c r="D1245" s="21" t="s">
        <v>39</v>
      </c>
      <c r="E1245" s="17" t="s">
        <v>98</v>
      </c>
      <c r="F1245" s="18" t="s">
        <v>99</v>
      </c>
      <c r="G1245" s="18" t="s">
        <v>42</v>
      </c>
      <c r="H1245" s="24">
        <v>467020</v>
      </c>
      <c r="I1245" s="24">
        <f>T_reg.root.SK[[#This Row],[Volume, kg]]/1000</f>
        <v>467.02</v>
      </c>
      <c r="J1245" s="25">
        <v>0.23039999999999999</v>
      </c>
      <c r="K1245" s="25">
        <f t="shared" si="19"/>
        <v>107601.408</v>
      </c>
      <c r="L1245" s="25">
        <v>3.54</v>
      </c>
      <c r="M1245" s="24">
        <v>1652275.5</v>
      </c>
      <c r="N1245" s="25">
        <f>IFERROR(T_reg.root.SK[[#This Row],[Price]]/T_reg.root.SK[[#This Row],[Starch content]],"")</f>
        <v>15.364583333333334</v>
      </c>
    </row>
    <row r="1246" spans="1:14">
      <c r="A1246" s="21">
        <v>2023</v>
      </c>
      <c r="B1246" s="21" t="s">
        <v>25</v>
      </c>
      <c r="C1246" s="21" t="s">
        <v>1145</v>
      </c>
      <c r="D1246" s="21" t="s">
        <v>39</v>
      </c>
      <c r="E1246" s="17" t="s">
        <v>346</v>
      </c>
      <c r="F1246" s="18" t="s">
        <v>99</v>
      </c>
      <c r="G1246" s="18" t="s">
        <v>42</v>
      </c>
      <c r="H1246" s="24">
        <v>1005980</v>
      </c>
      <c r="I1246" s="24">
        <f>T_reg.root.SK[[#This Row],[Volume, kg]]/1000</f>
        <v>1005.98</v>
      </c>
      <c r="J1246" s="25">
        <v>0.22329999999999997</v>
      </c>
      <c r="K1246" s="25">
        <f t="shared" si="19"/>
        <v>224635.33399999997</v>
      </c>
      <c r="L1246" s="25">
        <v>3.49</v>
      </c>
      <c r="M1246" s="24">
        <v>3515879</v>
      </c>
      <c r="N1246" s="25">
        <f>IFERROR(T_reg.root.SK[[#This Row],[Price]]/T_reg.root.SK[[#This Row],[Starch content]],"")</f>
        <v>15.629198387819081</v>
      </c>
    </row>
    <row r="1247" spans="1:14">
      <c r="A1247" s="21">
        <v>2023</v>
      </c>
      <c r="B1247" s="21" t="s">
        <v>25</v>
      </c>
      <c r="C1247" s="21" t="s">
        <v>1145</v>
      </c>
      <c r="D1247" s="21" t="s">
        <v>35</v>
      </c>
      <c r="E1247" s="17" t="s">
        <v>599</v>
      </c>
      <c r="F1247" s="18" t="s">
        <v>281</v>
      </c>
      <c r="G1247" s="18" t="s">
        <v>38</v>
      </c>
      <c r="H1247" s="24">
        <v>7980</v>
      </c>
      <c r="I1247" s="24">
        <f>T_reg.root.SK[[#This Row],[Volume, kg]]/1000</f>
        <v>7.98</v>
      </c>
      <c r="J1247" s="25">
        <v>0.152</v>
      </c>
      <c r="K1247" s="25">
        <f t="shared" si="19"/>
        <v>1212.96</v>
      </c>
      <c r="L1247" s="25">
        <v>2.95</v>
      </c>
      <c r="M1247" s="24">
        <v>23541</v>
      </c>
      <c r="N1247" s="25">
        <f>IFERROR(T_reg.root.SK[[#This Row],[Price]]/T_reg.root.SK[[#This Row],[Starch content]],"")</f>
        <v>19.407894736842106</v>
      </c>
    </row>
    <row r="1248" spans="1:14">
      <c r="A1248" s="21">
        <v>2023</v>
      </c>
      <c r="B1248" s="21" t="s">
        <v>25</v>
      </c>
      <c r="C1248" s="21" t="s">
        <v>1145</v>
      </c>
      <c r="D1248" s="21" t="s">
        <v>39</v>
      </c>
      <c r="E1248" s="17" t="s">
        <v>101</v>
      </c>
      <c r="F1248" s="18" t="s">
        <v>102</v>
      </c>
      <c r="G1248" s="18" t="s">
        <v>103</v>
      </c>
      <c r="H1248" s="24">
        <v>4108680</v>
      </c>
      <c r="I1248" s="24">
        <f>T_reg.root.SK[[#This Row],[Volume, kg]]/1000</f>
        <v>4108.68</v>
      </c>
      <c r="J1248" s="25">
        <v>0.24010000000000001</v>
      </c>
      <c r="K1248" s="25">
        <f t="shared" si="19"/>
        <v>986494.06800000009</v>
      </c>
      <c r="L1248" s="25">
        <v>3.59</v>
      </c>
      <c r="M1248" s="24">
        <v>14736336.5</v>
      </c>
      <c r="N1248" s="25">
        <f>IFERROR(T_reg.root.SK[[#This Row],[Price]]/T_reg.root.SK[[#This Row],[Starch content]],"")</f>
        <v>14.952103290295709</v>
      </c>
    </row>
    <row r="1249" spans="1:14">
      <c r="A1249" s="21">
        <v>2023</v>
      </c>
      <c r="B1249" s="21" t="s">
        <v>25</v>
      </c>
      <c r="C1249" s="21" t="s">
        <v>1145</v>
      </c>
      <c r="D1249" s="21" t="s">
        <v>35</v>
      </c>
      <c r="E1249" s="17" t="s">
        <v>185</v>
      </c>
      <c r="F1249" s="18" t="s">
        <v>105</v>
      </c>
      <c r="G1249" s="18" t="s">
        <v>48</v>
      </c>
      <c r="H1249" s="24">
        <v>6080</v>
      </c>
      <c r="I1249" s="24">
        <f>T_reg.root.SK[[#This Row],[Volume, kg]]/1000</f>
        <v>6.08</v>
      </c>
      <c r="J1249" s="25">
        <v>0.20850000000000002</v>
      </c>
      <c r="K1249" s="25">
        <f t="shared" si="19"/>
        <v>1267.68</v>
      </c>
      <c r="L1249" s="25">
        <v>3.1</v>
      </c>
      <c r="M1249" s="24">
        <v>18848</v>
      </c>
      <c r="N1249" s="25">
        <f>IFERROR(T_reg.root.SK[[#This Row],[Price]]/T_reg.root.SK[[#This Row],[Starch content]],"")</f>
        <v>14.86810551558753</v>
      </c>
    </row>
    <row r="1250" spans="1:14">
      <c r="A1250" s="21">
        <v>2023</v>
      </c>
      <c r="B1250" s="21" t="s">
        <v>25</v>
      </c>
      <c r="C1250" s="21" t="s">
        <v>1145</v>
      </c>
      <c r="D1250" s="21" t="s">
        <v>35</v>
      </c>
      <c r="E1250" s="17" t="s">
        <v>289</v>
      </c>
      <c r="F1250" s="18" t="s">
        <v>105</v>
      </c>
      <c r="G1250" s="18" t="s">
        <v>48</v>
      </c>
      <c r="H1250" s="24">
        <v>55880</v>
      </c>
      <c r="I1250" s="24">
        <f>T_reg.root.SK[[#This Row],[Volume, kg]]/1000</f>
        <v>55.88</v>
      </c>
      <c r="J1250" s="25">
        <v>0.26</v>
      </c>
      <c r="K1250" s="25">
        <f t="shared" si="19"/>
        <v>14528.800000000001</v>
      </c>
      <c r="L1250" s="25">
        <v>3.35</v>
      </c>
      <c r="M1250" s="24">
        <v>187011</v>
      </c>
      <c r="N1250" s="25">
        <f>IFERROR(T_reg.root.SK[[#This Row],[Price]]/T_reg.root.SK[[#This Row],[Starch content]],"")</f>
        <v>12.884615384615385</v>
      </c>
    </row>
    <row r="1251" spans="1:14">
      <c r="A1251" s="21">
        <v>2023</v>
      </c>
      <c r="B1251" s="21" t="s">
        <v>25</v>
      </c>
      <c r="C1251" s="21" t="s">
        <v>1145</v>
      </c>
      <c r="D1251" s="21" t="s">
        <v>35</v>
      </c>
      <c r="E1251" s="17" t="s">
        <v>107</v>
      </c>
      <c r="F1251" s="18" t="s">
        <v>105</v>
      </c>
      <c r="G1251" s="18" t="s">
        <v>48</v>
      </c>
      <c r="H1251" s="24">
        <v>17700</v>
      </c>
      <c r="I1251" s="24">
        <f>T_reg.root.SK[[#This Row],[Volume, kg]]/1000</f>
        <v>17.7</v>
      </c>
      <c r="J1251" s="25">
        <v>0.223</v>
      </c>
      <c r="K1251" s="25">
        <f t="shared" si="19"/>
        <v>3947.1</v>
      </c>
      <c r="L1251" s="25">
        <v>3.2</v>
      </c>
      <c r="M1251" s="24">
        <v>56670</v>
      </c>
      <c r="N1251" s="25">
        <f>IFERROR(T_reg.root.SK[[#This Row],[Price]]/T_reg.root.SK[[#This Row],[Starch content]],"")</f>
        <v>14.349775784753364</v>
      </c>
    </row>
    <row r="1252" spans="1:14">
      <c r="A1252" s="21">
        <v>2023</v>
      </c>
      <c r="B1252" s="21" t="s">
        <v>25</v>
      </c>
      <c r="C1252" s="21" t="s">
        <v>1145</v>
      </c>
      <c r="D1252" s="21" t="s">
        <v>35</v>
      </c>
      <c r="E1252" s="17" t="s">
        <v>108</v>
      </c>
      <c r="F1252" s="18" t="s">
        <v>105</v>
      </c>
      <c r="G1252" s="18" t="s">
        <v>48</v>
      </c>
      <c r="H1252" s="24">
        <v>18900</v>
      </c>
      <c r="I1252" s="24">
        <f>T_reg.root.SK[[#This Row],[Volume, kg]]/1000</f>
        <v>18.899999999999999</v>
      </c>
      <c r="J1252" s="25">
        <v>0.2369</v>
      </c>
      <c r="K1252" s="25">
        <f t="shared" si="19"/>
        <v>4477.41</v>
      </c>
      <c r="L1252" s="25">
        <v>3.3</v>
      </c>
      <c r="M1252" s="24">
        <v>62296</v>
      </c>
      <c r="N1252" s="25">
        <f>IFERROR(T_reg.root.SK[[#This Row],[Price]]/T_reg.root.SK[[#This Row],[Starch content]],"")</f>
        <v>13.929928239763612</v>
      </c>
    </row>
    <row r="1253" spans="1:14">
      <c r="A1253" s="21">
        <v>2023</v>
      </c>
      <c r="B1253" s="21" t="s">
        <v>25</v>
      </c>
      <c r="C1253" s="21" t="s">
        <v>1145</v>
      </c>
      <c r="D1253" s="21" t="s">
        <v>35</v>
      </c>
      <c r="E1253" s="17" t="s">
        <v>401</v>
      </c>
      <c r="F1253" s="18" t="s">
        <v>105</v>
      </c>
      <c r="G1253" s="18" t="s">
        <v>48</v>
      </c>
      <c r="H1253" s="24">
        <v>18180</v>
      </c>
      <c r="I1253" s="24">
        <f>T_reg.root.SK[[#This Row],[Volume, kg]]/1000</f>
        <v>18.18</v>
      </c>
      <c r="J1253" s="25">
        <v>0.25009999999999999</v>
      </c>
      <c r="K1253" s="25">
        <f t="shared" si="19"/>
        <v>4546.8180000000002</v>
      </c>
      <c r="L1253" s="25">
        <v>3.28</v>
      </c>
      <c r="M1253" s="24">
        <v>59647</v>
      </c>
      <c r="N1253" s="25">
        <f>IFERROR(T_reg.root.SK[[#This Row],[Price]]/T_reg.root.SK[[#This Row],[Starch content]],"")</f>
        <v>13.114754098360656</v>
      </c>
    </row>
    <row r="1254" spans="1:14">
      <c r="A1254" s="21">
        <v>2023</v>
      </c>
      <c r="B1254" s="21" t="s">
        <v>25</v>
      </c>
      <c r="C1254" s="21" t="s">
        <v>1145</v>
      </c>
      <c r="D1254" s="21" t="s">
        <v>35</v>
      </c>
      <c r="E1254" s="17" t="s">
        <v>292</v>
      </c>
      <c r="F1254" s="18" t="s">
        <v>105</v>
      </c>
      <c r="G1254" s="18" t="s">
        <v>48</v>
      </c>
      <c r="H1254" s="24">
        <v>12750</v>
      </c>
      <c r="I1254" s="24">
        <f>T_reg.root.SK[[#This Row],[Volume, kg]]/1000</f>
        <v>12.75</v>
      </c>
      <c r="J1254" s="25">
        <v>0.22559999999999999</v>
      </c>
      <c r="K1254" s="25">
        <f t="shared" si="19"/>
        <v>2876.4</v>
      </c>
      <c r="L1254" s="25">
        <v>3.17</v>
      </c>
      <c r="M1254" s="24">
        <v>40474.5</v>
      </c>
      <c r="N1254" s="25">
        <f>IFERROR(T_reg.root.SK[[#This Row],[Price]]/T_reg.root.SK[[#This Row],[Starch content]],"")</f>
        <v>14.051418439716311</v>
      </c>
    </row>
    <row r="1255" spans="1:14">
      <c r="A1255" s="21">
        <v>2023</v>
      </c>
      <c r="B1255" s="21" t="s">
        <v>25</v>
      </c>
      <c r="C1255" s="21" t="s">
        <v>1145</v>
      </c>
      <c r="D1255" s="21" t="s">
        <v>35</v>
      </c>
      <c r="E1255" s="17" t="s">
        <v>232</v>
      </c>
      <c r="F1255" s="18" t="s">
        <v>105</v>
      </c>
      <c r="G1255" s="18" t="s">
        <v>48</v>
      </c>
      <c r="H1255" s="24">
        <v>13330</v>
      </c>
      <c r="I1255" s="24">
        <f>T_reg.root.SK[[#This Row],[Volume, kg]]/1000</f>
        <v>13.33</v>
      </c>
      <c r="J1255" s="25">
        <v>0.254</v>
      </c>
      <c r="K1255" s="25">
        <f t="shared" si="19"/>
        <v>3385.82</v>
      </c>
      <c r="L1255" s="25">
        <v>3.31</v>
      </c>
      <c r="M1255" s="24">
        <v>44184.5</v>
      </c>
      <c r="N1255" s="25">
        <f>IFERROR(T_reg.root.SK[[#This Row],[Price]]/T_reg.root.SK[[#This Row],[Starch content]],"")</f>
        <v>13.031496062992126</v>
      </c>
    </row>
    <row r="1256" spans="1:14">
      <c r="A1256" s="21">
        <v>2023</v>
      </c>
      <c r="B1256" s="21" t="s">
        <v>25</v>
      </c>
      <c r="C1256" s="21" t="s">
        <v>1145</v>
      </c>
      <c r="D1256" s="21" t="s">
        <v>35</v>
      </c>
      <c r="E1256" s="17" t="s">
        <v>293</v>
      </c>
      <c r="F1256" s="18" t="s">
        <v>105</v>
      </c>
      <c r="G1256" s="18" t="s">
        <v>48</v>
      </c>
      <c r="H1256" s="24">
        <v>16120</v>
      </c>
      <c r="I1256" s="24">
        <f>T_reg.root.SK[[#This Row],[Volume, kg]]/1000</f>
        <v>16.12</v>
      </c>
      <c r="J1256" s="25">
        <v>0.24309999999999998</v>
      </c>
      <c r="K1256" s="25">
        <f t="shared" si="19"/>
        <v>3918.7719999999999</v>
      </c>
      <c r="L1256" s="25">
        <v>3.26</v>
      </c>
      <c r="M1256" s="24">
        <v>52619</v>
      </c>
      <c r="N1256" s="25">
        <f>IFERROR(T_reg.root.SK[[#This Row],[Price]]/T_reg.root.SK[[#This Row],[Starch content]],"")</f>
        <v>13.410119292472233</v>
      </c>
    </row>
    <row r="1257" spans="1:14">
      <c r="A1257" s="21">
        <v>2023</v>
      </c>
      <c r="B1257" s="21" t="s">
        <v>25</v>
      </c>
      <c r="C1257" s="21" t="s">
        <v>1145</v>
      </c>
      <c r="D1257" s="21" t="s">
        <v>35</v>
      </c>
      <c r="E1257" s="17" t="s">
        <v>351</v>
      </c>
      <c r="F1257" s="18" t="s">
        <v>105</v>
      </c>
      <c r="G1257" s="18" t="s">
        <v>48</v>
      </c>
      <c r="H1257" s="24">
        <v>19990</v>
      </c>
      <c r="I1257" s="24">
        <f>T_reg.root.SK[[#This Row],[Volume, kg]]/1000</f>
        <v>19.989999999999998</v>
      </c>
      <c r="J1257" s="25">
        <v>0.21010000000000001</v>
      </c>
      <c r="K1257" s="25">
        <f t="shared" si="19"/>
        <v>4199.8990000000003</v>
      </c>
      <c r="L1257" s="25">
        <v>3.11</v>
      </c>
      <c r="M1257" s="24">
        <v>62164</v>
      </c>
      <c r="N1257" s="25">
        <f>IFERROR(T_reg.root.SK[[#This Row],[Price]]/T_reg.root.SK[[#This Row],[Starch content]],"")</f>
        <v>14.802475011899094</v>
      </c>
    </row>
    <row r="1258" spans="1:14">
      <c r="A1258" s="21">
        <v>2023</v>
      </c>
      <c r="B1258" s="21" t="s">
        <v>25</v>
      </c>
      <c r="C1258" s="21" t="s">
        <v>1145</v>
      </c>
      <c r="D1258" s="21" t="s">
        <v>35</v>
      </c>
      <c r="E1258" s="17" t="s">
        <v>295</v>
      </c>
      <c r="F1258" s="18" t="s">
        <v>105</v>
      </c>
      <c r="G1258" s="18" t="s">
        <v>48</v>
      </c>
      <c r="H1258" s="24">
        <v>15820</v>
      </c>
      <c r="I1258" s="24">
        <f>T_reg.root.SK[[#This Row],[Volume, kg]]/1000</f>
        <v>15.82</v>
      </c>
      <c r="J1258" s="25">
        <v>0.24559999999999998</v>
      </c>
      <c r="K1258" s="25">
        <f t="shared" si="19"/>
        <v>3885.3919999999998</v>
      </c>
      <c r="L1258" s="25">
        <v>3.28</v>
      </c>
      <c r="M1258" s="24">
        <v>51887.5</v>
      </c>
      <c r="N1258" s="25">
        <f>IFERROR(T_reg.root.SK[[#This Row],[Price]]/T_reg.root.SK[[#This Row],[Starch content]],"")</f>
        <v>13.355048859934854</v>
      </c>
    </row>
    <row r="1259" spans="1:14">
      <c r="A1259" s="21">
        <v>2023</v>
      </c>
      <c r="B1259" s="21" t="s">
        <v>25</v>
      </c>
      <c r="C1259" s="21" t="s">
        <v>1145</v>
      </c>
      <c r="D1259" s="21" t="s">
        <v>35</v>
      </c>
      <c r="E1259" s="17" t="s">
        <v>482</v>
      </c>
      <c r="F1259" s="18" t="s">
        <v>105</v>
      </c>
      <c r="G1259" s="18" t="s">
        <v>48</v>
      </c>
      <c r="H1259" s="24">
        <v>13490</v>
      </c>
      <c r="I1259" s="24">
        <f>T_reg.root.SK[[#This Row],[Volume, kg]]/1000</f>
        <v>13.49</v>
      </c>
      <c r="J1259" s="25">
        <v>0.2671</v>
      </c>
      <c r="K1259" s="25">
        <f t="shared" si="19"/>
        <v>3603.1790000000001</v>
      </c>
      <c r="L1259" s="25">
        <v>3.4</v>
      </c>
      <c r="M1259" s="24">
        <v>45866</v>
      </c>
      <c r="N1259" s="25">
        <f>IFERROR(T_reg.root.SK[[#This Row],[Price]]/T_reg.root.SK[[#This Row],[Starch content]],"")</f>
        <v>12.72931486334706</v>
      </c>
    </row>
    <row r="1260" spans="1:14">
      <c r="A1260" s="21">
        <v>2023</v>
      </c>
      <c r="B1260" s="21" t="s">
        <v>25</v>
      </c>
      <c r="C1260" s="21" t="s">
        <v>1145</v>
      </c>
      <c r="D1260" s="21" t="s">
        <v>35</v>
      </c>
      <c r="E1260" s="17" t="s">
        <v>600</v>
      </c>
      <c r="F1260" s="18" t="s">
        <v>105</v>
      </c>
      <c r="G1260" s="18" t="s">
        <v>48</v>
      </c>
      <c r="H1260" s="24">
        <v>4330</v>
      </c>
      <c r="I1260" s="24">
        <f>T_reg.root.SK[[#This Row],[Volume, kg]]/1000</f>
        <v>4.33</v>
      </c>
      <c r="J1260" s="25">
        <v>0.254</v>
      </c>
      <c r="K1260" s="25">
        <f t="shared" si="19"/>
        <v>1099.82</v>
      </c>
      <c r="L1260" s="25">
        <v>3.3</v>
      </c>
      <c r="M1260" s="24">
        <v>14289</v>
      </c>
      <c r="N1260" s="25">
        <f>IFERROR(T_reg.root.SK[[#This Row],[Price]]/T_reg.root.SK[[#This Row],[Starch content]],"")</f>
        <v>12.992125984251967</v>
      </c>
    </row>
    <row r="1261" spans="1:14">
      <c r="A1261" s="21">
        <v>2023</v>
      </c>
      <c r="B1261" s="21" t="s">
        <v>25</v>
      </c>
      <c r="C1261" s="21" t="s">
        <v>1145</v>
      </c>
      <c r="D1261" s="21" t="s">
        <v>35</v>
      </c>
      <c r="E1261" s="17" t="s">
        <v>559</v>
      </c>
      <c r="F1261" s="18" t="s">
        <v>105</v>
      </c>
      <c r="G1261" s="18" t="s">
        <v>48</v>
      </c>
      <c r="H1261" s="24">
        <v>24200</v>
      </c>
      <c r="I1261" s="24">
        <f>T_reg.root.SK[[#This Row],[Volume, kg]]/1000</f>
        <v>24.2</v>
      </c>
      <c r="J1261" s="25">
        <v>0.23710000000000001</v>
      </c>
      <c r="K1261" s="25">
        <f t="shared" si="19"/>
        <v>5737.82</v>
      </c>
      <c r="L1261" s="25">
        <v>3.23</v>
      </c>
      <c r="M1261" s="24">
        <v>78140</v>
      </c>
      <c r="N1261" s="25">
        <f>IFERROR(T_reg.root.SK[[#This Row],[Price]]/T_reg.root.SK[[#This Row],[Starch content]],"")</f>
        <v>13.622943905525094</v>
      </c>
    </row>
    <row r="1262" spans="1:14">
      <c r="A1262" s="21">
        <v>2023</v>
      </c>
      <c r="B1262" s="21" t="s">
        <v>25</v>
      </c>
      <c r="C1262" s="21" t="s">
        <v>1145</v>
      </c>
      <c r="D1262" s="21" t="s">
        <v>35</v>
      </c>
      <c r="E1262" s="17" t="s">
        <v>560</v>
      </c>
      <c r="F1262" s="18" t="s">
        <v>105</v>
      </c>
      <c r="G1262" s="18" t="s">
        <v>48</v>
      </c>
      <c r="H1262" s="24">
        <v>26380</v>
      </c>
      <c r="I1262" s="24">
        <f>T_reg.root.SK[[#This Row],[Volume, kg]]/1000</f>
        <v>26.38</v>
      </c>
      <c r="J1262" s="25">
        <v>0.1993</v>
      </c>
      <c r="K1262" s="25">
        <f t="shared" si="19"/>
        <v>5257.5340000000006</v>
      </c>
      <c r="L1262" s="25">
        <v>3.06</v>
      </c>
      <c r="M1262" s="24">
        <v>80607.5</v>
      </c>
      <c r="N1262" s="25">
        <f>IFERROR(T_reg.root.SK[[#This Row],[Price]]/T_reg.root.SK[[#This Row],[Starch content]],"")</f>
        <v>15.353738083291519</v>
      </c>
    </row>
    <row r="1263" spans="1:14">
      <c r="A1263" s="21">
        <v>2023</v>
      </c>
      <c r="B1263" s="21" t="s">
        <v>25</v>
      </c>
      <c r="C1263" s="21" t="s">
        <v>1145</v>
      </c>
      <c r="D1263" s="21" t="s">
        <v>35</v>
      </c>
      <c r="E1263" s="17" t="s">
        <v>115</v>
      </c>
      <c r="F1263" s="18" t="s">
        <v>105</v>
      </c>
      <c r="G1263" s="18" t="s">
        <v>48</v>
      </c>
      <c r="H1263" s="24">
        <v>19250</v>
      </c>
      <c r="I1263" s="24">
        <f>T_reg.root.SK[[#This Row],[Volume, kg]]/1000</f>
        <v>19.25</v>
      </c>
      <c r="J1263" s="25">
        <v>0.23629999999999998</v>
      </c>
      <c r="K1263" s="25">
        <f t="shared" si="19"/>
        <v>4548.7749999999996</v>
      </c>
      <c r="L1263" s="25">
        <v>3.22</v>
      </c>
      <c r="M1263" s="24">
        <v>61990</v>
      </c>
      <c r="N1263" s="25">
        <f>IFERROR(T_reg.root.SK[[#This Row],[Price]]/T_reg.root.SK[[#This Row],[Starch content]],"")</f>
        <v>13.626745662293697</v>
      </c>
    </row>
    <row r="1264" spans="1:14">
      <c r="A1264" s="21">
        <v>2023</v>
      </c>
      <c r="B1264" s="21" t="s">
        <v>25</v>
      </c>
      <c r="C1264" s="21" t="s">
        <v>1145</v>
      </c>
      <c r="D1264" s="21" t="s">
        <v>35</v>
      </c>
      <c r="E1264" s="17" t="s">
        <v>116</v>
      </c>
      <c r="F1264" s="18" t="s">
        <v>105</v>
      </c>
      <c r="G1264" s="18" t="s">
        <v>48</v>
      </c>
      <c r="H1264" s="24">
        <v>7260</v>
      </c>
      <c r="I1264" s="24">
        <f>T_reg.root.SK[[#This Row],[Volume, kg]]/1000</f>
        <v>7.26</v>
      </c>
      <c r="J1264" s="25">
        <v>0.20600000000000002</v>
      </c>
      <c r="K1264" s="25">
        <f t="shared" si="19"/>
        <v>1495.5600000000002</v>
      </c>
      <c r="L1264" s="25">
        <v>3.1</v>
      </c>
      <c r="M1264" s="24">
        <v>22506</v>
      </c>
      <c r="N1264" s="25">
        <f>IFERROR(T_reg.root.SK[[#This Row],[Price]]/T_reg.root.SK[[#This Row],[Starch content]],"")</f>
        <v>15.048543689320388</v>
      </c>
    </row>
    <row r="1265" spans="1:14">
      <c r="A1265" s="21">
        <v>2023</v>
      </c>
      <c r="B1265" s="21" t="s">
        <v>25</v>
      </c>
      <c r="C1265" s="21" t="s">
        <v>1145</v>
      </c>
      <c r="D1265" s="21" t="s">
        <v>35</v>
      </c>
      <c r="E1265" s="17" t="s">
        <v>296</v>
      </c>
      <c r="F1265" s="18" t="s">
        <v>105</v>
      </c>
      <c r="G1265" s="18" t="s">
        <v>48</v>
      </c>
      <c r="H1265" s="24">
        <v>10520</v>
      </c>
      <c r="I1265" s="24">
        <f>T_reg.root.SK[[#This Row],[Volume, kg]]/1000</f>
        <v>10.52</v>
      </c>
      <c r="J1265" s="25">
        <v>0.25</v>
      </c>
      <c r="K1265" s="25">
        <f t="shared" si="19"/>
        <v>2630</v>
      </c>
      <c r="L1265" s="25">
        <v>3.29</v>
      </c>
      <c r="M1265" s="24">
        <v>34658.5</v>
      </c>
      <c r="N1265" s="25">
        <f>IFERROR(T_reg.root.SK[[#This Row],[Price]]/T_reg.root.SK[[#This Row],[Starch content]],"")</f>
        <v>13.16</v>
      </c>
    </row>
    <row r="1266" spans="1:14">
      <c r="A1266" s="21">
        <v>2023</v>
      </c>
      <c r="B1266" s="21" t="s">
        <v>25</v>
      </c>
      <c r="C1266" s="21" t="s">
        <v>1145</v>
      </c>
      <c r="D1266" s="21" t="s">
        <v>35</v>
      </c>
      <c r="E1266" s="17" t="s">
        <v>484</v>
      </c>
      <c r="F1266" s="18" t="s">
        <v>105</v>
      </c>
      <c r="G1266" s="18" t="s">
        <v>48</v>
      </c>
      <c r="H1266" s="24">
        <v>18700</v>
      </c>
      <c r="I1266" s="24">
        <f>T_reg.root.SK[[#This Row],[Volume, kg]]/1000</f>
        <v>18.7</v>
      </c>
      <c r="J1266" s="25">
        <v>0.25290000000000001</v>
      </c>
      <c r="K1266" s="25">
        <f t="shared" si="19"/>
        <v>4729.2300000000005</v>
      </c>
      <c r="L1266" s="25">
        <v>3.33</v>
      </c>
      <c r="M1266" s="24">
        <v>62260</v>
      </c>
      <c r="N1266" s="25">
        <f>IFERROR(T_reg.root.SK[[#This Row],[Price]]/T_reg.root.SK[[#This Row],[Starch content]],"")</f>
        <v>13.167259786476867</v>
      </c>
    </row>
    <row r="1267" spans="1:14">
      <c r="A1267" s="21">
        <v>2023</v>
      </c>
      <c r="B1267" s="21" t="s">
        <v>25</v>
      </c>
      <c r="C1267" s="21" t="s">
        <v>1145</v>
      </c>
      <c r="D1267" s="21" t="s">
        <v>35</v>
      </c>
      <c r="E1267" s="17" t="s">
        <v>118</v>
      </c>
      <c r="F1267" s="18" t="s">
        <v>105</v>
      </c>
      <c r="G1267" s="18" t="s">
        <v>48</v>
      </c>
      <c r="H1267" s="24">
        <v>191470</v>
      </c>
      <c r="I1267" s="24">
        <f>T_reg.root.SK[[#This Row],[Volume, kg]]/1000</f>
        <v>191.47</v>
      </c>
      <c r="J1267" s="25">
        <v>0.2208</v>
      </c>
      <c r="K1267" s="25">
        <f t="shared" si="19"/>
        <v>42276.576000000001</v>
      </c>
      <c r="L1267" s="25">
        <v>3.21</v>
      </c>
      <c r="M1267" s="24">
        <v>614182.5</v>
      </c>
      <c r="N1267" s="25">
        <f>IFERROR(T_reg.root.SK[[#This Row],[Price]]/T_reg.root.SK[[#This Row],[Starch content]],"")</f>
        <v>14.538043478260869</v>
      </c>
    </row>
    <row r="1268" spans="1:14">
      <c r="A1268" s="21">
        <v>2023</v>
      </c>
      <c r="B1268" s="21" t="s">
        <v>25</v>
      </c>
      <c r="C1268" s="21" t="s">
        <v>1145</v>
      </c>
      <c r="D1268" s="21" t="s">
        <v>35</v>
      </c>
      <c r="E1268" s="17" t="s">
        <v>119</v>
      </c>
      <c r="F1268" s="18" t="s">
        <v>105</v>
      </c>
      <c r="G1268" s="18" t="s">
        <v>48</v>
      </c>
      <c r="H1268" s="24">
        <v>12190</v>
      </c>
      <c r="I1268" s="24">
        <f>T_reg.root.SK[[#This Row],[Volume, kg]]/1000</f>
        <v>12.19</v>
      </c>
      <c r="J1268" s="25">
        <v>0.2324</v>
      </c>
      <c r="K1268" s="25">
        <f t="shared" si="19"/>
        <v>2832.9560000000001</v>
      </c>
      <c r="L1268" s="25">
        <v>3.23</v>
      </c>
      <c r="M1268" s="24">
        <v>39348</v>
      </c>
      <c r="N1268" s="25">
        <f>IFERROR(T_reg.root.SK[[#This Row],[Price]]/T_reg.root.SK[[#This Row],[Starch content]],"")</f>
        <v>13.898450946643718</v>
      </c>
    </row>
    <row r="1269" spans="1:14">
      <c r="A1269" s="21">
        <v>2023</v>
      </c>
      <c r="B1269" s="21" t="s">
        <v>25</v>
      </c>
      <c r="C1269" s="21" t="s">
        <v>1145</v>
      </c>
      <c r="D1269" s="21" t="s">
        <v>35</v>
      </c>
      <c r="E1269" s="17" t="s">
        <v>122</v>
      </c>
      <c r="F1269" s="18" t="s">
        <v>105</v>
      </c>
      <c r="G1269" s="18" t="s">
        <v>48</v>
      </c>
      <c r="H1269" s="24">
        <v>2410</v>
      </c>
      <c r="I1269" s="24">
        <f>T_reg.root.SK[[#This Row],[Volume, kg]]/1000</f>
        <v>2.41</v>
      </c>
      <c r="J1269" s="25">
        <v>0.17199999999999999</v>
      </c>
      <c r="K1269" s="25">
        <f t="shared" si="19"/>
        <v>414.52</v>
      </c>
      <c r="L1269" s="25">
        <v>2.9</v>
      </c>
      <c r="M1269" s="24">
        <v>6989</v>
      </c>
      <c r="N1269" s="25">
        <f>IFERROR(T_reg.root.SK[[#This Row],[Price]]/T_reg.root.SK[[#This Row],[Starch content]],"")</f>
        <v>16.86046511627907</v>
      </c>
    </row>
    <row r="1270" spans="1:14">
      <c r="A1270" s="21">
        <v>2023</v>
      </c>
      <c r="B1270" s="21" t="s">
        <v>25</v>
      </c>
      <c r="C1270" s="21" t="s">
        <v>1145</v>
      </c>
      <c r="D1270" s="21" t="s">
        <v>35</v>
      </c>
      <c r="E1270" s="17" t="s">
        <v>123</v>
      </c>
      <c r="F1270" s="18" t="s">
        <v>105</v>
      </c>
      <c r="G1270" s="18" t="s">
        <v>48</v>
      </c>
      <c r="H1270" s="24">
        <v>8540</v>
      </c>
      <c r="I1270" s="24">
        <f>T_reg.root.SK[[#This Row],[Volume, kg]]/1000</f>
        <v>8.5399999999999991</v>
      </c>
      <c r="J1270" s="25">
        <v>0.23850000000000002</v>
      </c>
      <c r="K1270" s="25">
        <f t="shared" si="19"/>
        <v>2036.7900000000002</v>
      </c>
      <c r="L1270" s="25">
        <v>3.25</v>
      </c>
      <c r="M1270" s="24">
        <v>27755</v>
      </c>
      <c r="N1270" s="25">
        <f>IFERROR(T_reg.root.SK[[#This Row],[Price]]/T_reg.root.SK[[#This Row],[Starch content]],"")</f>
        <v>13.626834381551362</v>
      </c>
    </row>
    <row r="1271" spans="1:14">
      <c r="A1271" s="21">
        <v>2023</v>
      </c>
      <c r="B1271" s="21" t="s">
        <v>25</v>
      </c>
      <c r="C1271" s="21" t="s">
        <v>1145</v>
      </c>
      <c r="D1271" s="21" t="s">
        <v>35</v>
      </c>
      <c r="E1271" s="17" t="s">
        <v>124</v>
      </c>
      <c r="F1271" s="18" t="s">
        <v>105</v>
      </c>
      <c r="G1271" s="18" t="s">
        <v>48</v>
      </c>
      <c r="H1271" s="24">
        <v>78510</v>
      </c>
      <c r="I1271" s="24">
        <f>T_reg.root.SK[[#This Row],[Volume, kg]]/1000</f>
        <v>78.510000000000005</v>
      </c>
      <c r="J1271" s="25">
        <v>0.22159999999999999</v>
      </c>
      <c r="K1271" s="25">
        <f t="shared" si="19"/>
        <v>17397.815999999999</v>
      </c>
      <c r="L1271" s="25">
        <v>3.16</v>
      </c>
      <c r="M1271" s="24">
        <v>247895</v>
      </c>
      <c r="N1271" s="25">
        <f>IFERROR(T_reg.root.SK[[#This Row],[Price]]/T_reg.root.SK[[#This Row],[Starch content]],"")</f>
        <v>14.259927797833937</v>
      </c>
    </row>
    <row r="1272" spans="1:14">
      <c r="A1272" s="21">
        <v>2023</v>
      </c>
      <c r="B1272" s="21" t="s">
        <v>25</v>
      </c>
      <c r="C1272" s="21" t="s">
        <v>1145</v>
      </c>
      <c r="D1272" s="21" t="s">
        <v>35</v>
      </c>
      <c r="E1272" s="17" t="s">
        <v>601</v>
      </c>
      <c r="F1272" s="18" t="s">
        <v>105</v>
      </c>
      <c r="G1272" s="18" t="s">
        <v>48</v>
      </c>
      <c r="H1272" s="24">
        <v>18410</v>
      </c>
      <c r="I1272" s="24">
        <f>T_reg.root.SK[[#This Row],[Volume, kg]]/1000</f>
        <v>18.41</v>
      </c>
      <c r="J1272" s="25">
        <v>0.23120000000000002</v>
      </c>
      <c r="K1272" s="25">
        <f t="shared" si="19"/>
        <v>4256.3920000000007</v>
      </c>
      <c r="L1272" s="25">
        <v>3.2</v>
      </c>
      <c r="M1272" s="24">
        <v>58955.5</v>
      </c>
      <c r="N1272" s="25">
        <f>IFERROR(T_reg.root.SK[[#This Row],[Price]]/T_reg.root.SK[[#This Row],[Starch content]],"")</f>
        <v>13.840830449826989</v>
      </c>
    </row>
    <row r="1273" spans="1:14">
      <c r="A1273" s="21">
        <v>2023</v>
      </c>
      <c r="B1273" s="21" t="s">
        <v>25</v>
      </c>
      <c r="C1273" s="21" t="s">
        <v>1145</v>
      </c>
      <c r="D1273" s="21" t="s">
        <v>35</v>
      </c>
      <c r="E1273" s="17" t="s">
        <v>127</v>
      </c>
      <c r="F1273" s="18" t="s">
        <v>105</v>
      </c>
      <c r="G1273" s="18" t="s">
        <v>48</v>
      </c>
      <c r="H1273" s="24">
        <v>14470</v>
      </c>
      <c r="I1273" s="24">
        <f>T_reg.root.SK[[#This Row],[Volume, kg]]/1000</f>
        <v>14.47</v>
      </c>
      <c r="J1273" s="25">
        <v>0.20600000000000002</v>
      </c>
      <c r="K1273" s="25">
        <f t="shared" si="19"/>
        <v>2980.82</v>
      </c>
      <c r="L1273" s="25">
        <v>3.08</v>
      </c>
      <c r="M1273" s="24">
        <v>44543.5</v>
      </c>
      <c r="N1273" s="25">
        <f>IFERROR(T_reg.root.SK[[#This Row],[Price]]/T_reg.root.SK[[#This Row],[Starch content]],"")</f>
        <v>14.95145631067961</v>
      </c>
    </row>
    <row r="1274" spans="1:14">
      <c r="A1274" s="21">
        <v>2023</v>
      </c>
      <c r="B1274" s="21" t="s">
        <v>25</v>
      </c>
      <c r="C1274" s="21" t="s">
        <v>1145</v>
      </c>
      <c r="D1274" s="21" t="s">
        <v>35</v>
      </c>
      <c r="E1274" s="17" t="s">
        <v>602</v>
      </c>
      <c r="F1274" s="18" t="s">
        <v>105</v>
      </c>
      <c r="G1274" s="18" t="s">
        <v>48</v>
      </c>
      <c r="H1274" s="24">
        <v>12600</v>
      </c>
      <c r="I1274" s="24">
        <f>T_reg.root.SK[[#This Row],[Volume, kg]]/1000</f>
        <v>12.6</v>
      </c>
      <c r="J1274" s="25">
        <v>0.2011</v>
      </c>
      <c r="K1274" s="25">
        <f t="shared" si="19"/>
        <v>2533.86</v>
      </c>
      <c r="L1274" s="25">
        <v>3.06</v>
      </c>
      <c r="M1274" s="24">
        <v>38559.5</v>
      </c>
      <c r="N1274" s="25">
        <f>IFERROR(T_reg.root.SK[[#This Row],[Price]]/T_reg.root.SK[[#This Row],[Starch content]],"")</f>
        <v>15.216310293386375</v>
      </c>
    </row>
    <row r="1275" spans="1:14">
      <c r="A1275" s="21">
        <v>2023</v>
      </c>
      <c r="B1275" s="21" t="s">
        <v>25</v>
      </c>
      <c r="C1275" s="21" t="s">
        <v>1145</v>
      </c>
      <c r="D1275" s="21" t="s">
        <v>35</v>
      </c>
      <c r="E1275" s="17" t="s">
        <v>129</v>
      </c>
      <c r="F1275" s="18" t="s">
        <v>105</v>
      </c>
      <c r="G1275" s="18" t="s">
        <v>48</v>
      </c>
      <c r="H1275" s="24">
        <v>17340</v>
      </c>
      <c r="I1275" s="24">
        <f>T_reg.root.SK[[#This Row],[Volume, kg]]/1000</f>
        <v>17.34</v>
      </c>
      <c r="J1275" s="25">
        <v>0.183</v>
      </c>
      <c r="K1275" s="25">
        <f t="shared" si="19"/>
        <v>3173.22</v>
      </c>
      <c r="L1275" s="25">
        <v>2.95</v>
      </c>
      <c r="M1275" s="24">
        <v>51185.5</v>
      </c>
      <c r="N1275" s="25">
        <f>IFERROR(T_reg.root.SK[[#This Row],[Price]]/T_reg.root.SK[[#This Row],[Starch content]],"")</f>
        <v>16.120218579234972</v>
      </c>
    </row>
    <row r="1276" spans="1:14">
      <c r="A1276" s="21">
        <v>2023</v>
      </c>
      <c r="B1276" s="21" t="s">
        <v>25</v>
      </c>
      <c r="C1276" s="21" t="s">
        <v>1145</v>
      </c>
      <c r="D1276" s="21" t="s">
        <v>35</v>
      </c>
      <c r="E1276" s="17" t="s">
        <v>489</v>
      </c>
      <c r="F1276" s="18" t="s">
        <v>105</v>
      </c>
      <c r="G1276" s="18" t="s">
        <v>48</v>
      </c>
      <c r="H1276" s="24">
        <v>5720</v>
      </c>
      <c r="I1276" s="24">
        <f>T_reg.root.SK[[#This Row],[Volume, kg]]/1000</f>
        <v>5.72</v>
      </c>
      <c r="J1276" s="25">
        <v>0.22800000000000001</v>
      </c>
      <c r="K1276" s="25">
        <f t="shared" si="19"/>
        <v>1304.1600000000001</v>
      </c>
      <c r="L1276" s="25">
        <v>3.2</v>
      </c>
      <c r="M1276" s="24">
        <v>18304</v>
      </c>
      <c r="N1276" s="25">
        <f>IFERROR(T_reg.root.SK[[#This Row],[Price]]/T_reg.root.SK[[#This Row],[Starch content]],"")</f>
        <v>14.035087719298247</v>
      </c>
    </row>
    <row r="1277" spans="1:14">
      <c r="A1277" s="21">
        <v>2023</v>
      </c>
      <c r="B1277" s="21" t="s">
        <v>25</v>
      </c>
      <c r="C1277" s="21" t="s">
        <v>1145</v>
      </c>
      <c r="D1277" s="21" t="s">
        <v>35</v>
      </c>
      <c r="E1277" s="17" t="s">
        <v>565</v>
      </c>
      <c r="F1277" s="18" t="s">
        <v>105</v>
      </c>
      <c r="G1277" s="18" t="s">
        <v>48</v>
      </c>
      <c r="H1277" s="24">
        <v>7450</v>
      </c>
      <c r="I1277" s="24">
        <f>T_reg.root.SK[[#This Row],[Volume, kg]]/1000</f>
        <v>7.45</v>
      </c>
      <c r="J1277" s="25">
        <v>0.18179999999999999</v>
      </c>
      <c r="K1277" s="25">
        <f t="shared" si="19"/>
        <v>1354.4099999999999</v>
      </c>
      <c r="L1277" s="25">
        <v>2.97</v>
      </c>
      <c r="M1277" s="24">
        <v>22134.5</v>
      </c>
      <c r="N1277" s="25">
        <f>IFERROR(T_reg.root.SK[[#This Row],[Price]]/T_reg.root.SK[[#This Row],[Starch content]],"")</f>
        <v>16.336633663366339</v>
      </c>
    </row>
    <row r="1278" spans="1:14">
      <c r="A1278" s="21">
        <v>2023</v>
      </c>
      <c r="B1278" s="21" t="s">
        <v>25</v>
      </c>
      <c r="C1278" s="21" t="s">
        <v>1145</v>
      </c>
      <c r="D1278" s="21" t="s">
        <v>35</v>
      </c>
      <c r="E1278" s="17" t="s">
        <v>603</v>
      </c>
      <c r="F1278" s="18" t="s">
        <v>105</v>
      </c>
      <c r="G1278" s="18" t="s">
        <v>48</v>
      </c>
      <c r="H1278" s="24">
        <v>4120</v>
      </c>
      <c r="I1278" s="24">
        <f>T_reg.root.SK[[#This Row],[Volume, kg]]/1000</f>
        <v>4.12</v>
      </c>
      <c r="J1278" s="25">
        <v>0.27149999999999996</v>
      </c>
      <c r="K1278" s="25">
        <f t="shared" si="19"/>
        <v>1118.58</v>
      </c>
      <c r="L1278" s="25">
        <v>3.4</v>
      </c>
      <c r="M1278" s="24">
        <v>14008</v>
      </c>
      <c r="N1278" s="25">
        <f>IFERROR(T_reg.root.SK[[#This Row],[Price]]/T_reg.root.SK[[#This Row],[Starch content]],"")</f>
        <v>12.523020257826889</v>
      </c>
    </row>
    <row r="1279" spans="1:14">
      <c r="A1279" s="21">
        <v>2023</v>
      </c>
      <c r="B1279" s="21" t="s">
        <v>25</v>
      </c>
      <c r="C1279" s="21" t="s">
        <v>1145</v>
      </c>
      <c r="D1279" s="21" t="s">
        <v>35</v>
      </c>
      <c r="E1279" s="17" t="s">
        <v>492</v>
      </c>
      <c r="F1279" s="18" t="s">
        <v>105</v>
      </c>
      <c r="G1279" s="18" t="s">
        <v>48</v>
      </c>
      <c r="H1279" s="24">
        <v>5950</v>
      </c>
      <c r="I1279" s="24">
        <f>T_reg.root.SK[[#This Row],[Volume, kg]]/1000</f>
        <v>5.95</v>
      </c>
      <c r="J1279" s="25">
        <v>0.26450000000000001</v>
      </c>
      <c r="K1279" s="25">
        <f t="shared" si="19"/>
        <v>1573.7750000000001</v>
      </c>
      <c r="L1279" s="25">
        <v>3.37</v>
      </c>
      <c r="M1279" s="24">
        <v>20060</v>
      </c>
      <c r="N1279" s="25">
        <f>IFERROR(T_reg.root.SK[[#This Row],[Price]]/T_reg.root.SK[[#This Row],[Starch content]],"")</f>
        <v>12.741020793950851</v>
      </c>
    </row>
    <row r="1280" spans="1:14">
      <c r="A1280" s="21">
        <v>2023</v>
      </c>
      <c r="B1280" s="21" t="s">
        <v>25</v>
      </c>
      <c r="C1280" s="21" t="s">
        <v>1145</v>
      </c>
      <c r="D1280" s="21" t="s">
        <v>35</v>
      </c>
      <c r="E1280" s="17" t="s">
        <v>566</v>
      </c>
      <c r="F1280" s="18" t="s">
        <v>105</v>
      </c>
      <c r="G1280" s="18" t="s">
        <v>48</v>
      </c>
      <c r="H1280" s="24">
        <v>3500</v>
      </c>
      <c r="I1280" s="24">
        <f>T_reg.root.SK[[#This Row],[Volume, kg]]/1000</f>
        <v>3.5</v>
      </c>
      <c r="J1280" s="25">
        <v>0.17050000000000001</v>
      </c>
      <c r="K1280" s="25">
        <f t="shared" si="19"/>
        <v>596.75</v>
      </c>
      <c r="L1280" s="25">
        <v>2.9</v>
      </c>
      <c r="M1280" s="24">
        <v>10150</v>
      </c>
      <c r="N1280" s="25">
        <f>IFERROR(T_reg.root.SK[[#This Row],[Price]]/T_reg.root.SK[[#This Row],[Starch content]],"")</f>
        <v>17.008797653958943</v>
      </c>
    </row>
    <row r="1281" spans="1:14">
      <c r="A1281" s="21">
        <v>2023</v>
      </c>
      <c r="B1281" s="21" t="s">
        <v>25</v>
      </c>
      <c r="C1281" s="21" t="s">
        <v>1145</v>
      </c>
      <c r="D1281" s="21" t="s">
        <v>35</v>
      </c>
      <c r="E1281" s="17" t="s">
        <v>136</v>
      </c>
      <c r="F1281" s="18" t="s">
        <v>105</v>
      </c>
      <c r="G1281" s="18" t="s">
        <v>48</v>
      </c>
      <c r="H1281" s="24">
        <v>27870</v>
      </c>
      <c r="I1281" s="24">
        <f>T_reg.root.SK[[#This Row],[Volume, kg]]/1000</f>
        <v>27.87</v>
      </c>
      <c r="J1281" s="25">
        <v>0.23149999999999998</v>
      </c>
      <c r="K1281" s="25">
        <f t="shared" si="19"/>
        <v>6451.9049999999997</v>
      </c>
      <c r="L1281" s="25">
        <v>3.27</v>
      </c>
      <c r="M1281" s="24">
        <v>91044.5</v>
      </c>
      <c r="N1281" s="25">
        <f>IFERROR(T_reg.root.SK[[#This Row],[Price]]/T_reg.root.SK[[#This Row],[Starch content]],"")</f>
        <v>14.125269978401729</v>
      </c>
    </row>
    <row r="1282" spans="1:14">
      <c r="A1282" s="21">
        <v>2023</v>
      </c>
      <c r="B1282" s="21" t="s">
        <v>25</v>
      </c>
      <c r="C1282" s="21" t="s">
        <v>1145</v>
      </c>
      <c r="D1282" s="21" t="s">
        <v>35</v>
      </c>
      <c r="E1282" s="17" t="s">
        <v>494</v>
      </c>
      <c r="F1282" s="18" t="s">
        <v>105</v>
      </c>
      <c r="G1282" s="18" t="s">
        <v>48</v>
      </c>
      <c r="H1282" s="24">
        <v>9900</v>
      </c>
      <c r="I1282" s="24">
        <f>T_reg.root.SK[[#This Row],[Volume, kg]]/1000</f>
        <v>9.9</v>
      </c>
      <c r="J1282" s="25">
        <v>0.23850000000000002</v>
      </c>
      <c r="K1282" s="25">
        <f t="shared" si="19"/>
        <v>2361.15</v>
      </c>
      <c r="L1282" s="25">
        <v>3.25</v>
      </c>
      <c r="M1282" s="24">
        <v>32175</v>
      </c>
      <c r="N1282" s="25">
        <f>IFERROR(T_reg.root.SK[[#This Row],[Price]]/T_reg.root.SK[[#This Row],[Starch content]],"")</f>
        <v>13.626834381551362</v>
      </c>
    </row>
    <row r="1283" spans="1:14">
      <c r="A1283" s="21">
        <v>2023</v>
      </c>
      <c r="B1283" s="21" t="s">
        <v>25</v>
      </c>
      <c r="C1283" s="21" t="s">
        <v>1145</v>
      </c>
      <c r="D1283" s="21" t="s">
        <v>35</v>
      </c>
      <c r="E1283" s="17" t="s">
        <v>242</v>
      </c>
      <c r="F1283" s="18" t="s">
        <v>105</v>
      </c>
      <c r="G1283" s="18" t="s">
        <v>48</v>
      </c>
      <c r="H1283" s="24">
        <v>15660</v>
      </c>
      <c r="I1283" s="24">
        <f>T_reg.root.SK[[#This Row],[Volume, kg]]/1000</f>
        <v>15.66</v>
      </c>
      <c r="J1283" s="25">
        <v>0.192</v>
      </c>
      <c r="K1283" s="25">
        <f t="shared" ref="K1283:K1346" si="20">H1283*J1283</f>
        <v>3006.7200000000003</v>
      </c>
      <c r="L1283" s="25">
        <v>3</v>
      </c>
      <c r="M1283" s="24">
        <v>46980</v>
      </c>
      <c r="N1283" s="25">
        <f>IFERROR(T_reg.root.SK[[#This Row],[Price]]/T_reg.root.SK[[#This Row],[Starch content]],"")</f>
        <v>15.625</v>
      </c>
    </row>
    <row r="1284" spans="1:14">
      <c r="A1284" s="21">
        <v>2023</v>
      </c>
      <c r="B1284" s="21" t="s">
        <v>25</v>
      </c>
      <c r="C1284" s="21" t="s">
        <v>1145</v>
      </c>
      <c r="D1284" s="21" t="s">
        <v>35</v>
      </c>
      <c r="E1284" s="17" t="s">
        <v>138</v>
      </c>
      <c r="F1284" s="18" t="s">
        <v>105</v>
      </c>
      <c r="G1284" s="18" t="s">
        <v>48</v>
      </c>
      <c r="H1284" s="24">
        <v>91350</v>
      </c>
      <c r="I1284" s="24">
        <f>T_reg.root.SK[[#This Row],[Volume, kg]]/1000</f>
        <v>91.35</v>
      </c>
      <c r="J1284" s="25">
        <v>0.2177</v>
      </c>
      <c r="K1284" s="25">
        <f t="shared" si="20"/>
        <v>19886.895</v>
      </c>
      <c r="L1284" s="25">
        <v>3.19</v>
      </c>
      <c r="M1284" s="24">
        <v>291194.5</v>
      </c>
      <c r="N1284" s="25">
        <f>IFERROR(T_reg.root.SK[[#This Row],[Price]]/T_reg.root.SK[[#This Row],[Starch content]],"")</f>
        <v>14.653192466697289</v>
      </c>
    </row>
    <row r="1285" spans="1:14">
      <c r="A1285" s="21">
        <v>2023</v>
      </c>
      <c r="B1285" s="21" t="s">
        <v>25</v>
      </c>
      <c r="C1285" s="21" t="s">
        <v>1145</v>
      </c>
      <c r="D1285" s="21" t="s">
        <v>35</v>
      </c>
      <c r="E1285" s="17" t="s">
        <v>303</v>
      </c>
      <c r="F1285" s="18" t="s">
        <v>105</v>
      </c>
      <c r="G1285" s="18" t="s">
        <v>48</v>
      </c>
      <c r="H1285" s="24">
        <v>3350</v>
      </c>
      <c r="I1285" s="24">
        <f>T_reg.root.SK[[#This Row],[Volume, kg]]/1000</f>
        <v>3.35</v>
      </c>
      <c r="J1285" s="25">
        <v>0.17850000000000002</v>
      </c>
      <c r="K1285" s="25">
        <f t="shared" si="20"/>
        <v>597.97500000000002</v>
      </c>
      <c r="L1285" s="25">
        <v>2.95</v>
      </c>
      <c r="M1285" s="24">
        <v>9882.5</v>
      </c>
      <c r="N1285" s="25">
        <f>IFERROR(T_reg.root.SK[[#This Row],[Price]]/T_reg.root.SK[[#This Row],[Starch content]],"")</f>
        <v>16.526610644257701</v>
      </c>
    </row>
    <row r="1286" spans="1:14">
      <c r="A1286" s="21">
        <v>2023</v>
      </c>
      <c r="B1286" s="21" t="s">
        <v>25</v>
      </c>
      <c r="C1286" s="21" t="s">
        <v>1145</v>
      </c>
      <c r="D1286" s="21" t="s">
        <v>35</v>
      </c>
      <c r="E1286" s="17" t="s">
        <v>304</v>
      </c>
      <c r="F1286" s="18" t="s">
        <v>105</v>
      </c>
      <c r="G1286" s="18" t="s">
        <v>48</v>
      </c>
      <c r="H1286" s="24">
        <v>16500</v>
      </c>
      <c r="I1286" s="24">
        <f>T_reg.root.SK[[#This Row],[Volume, kg]]/1000</f>
        <v>16.5</v>
      </c>
      <c r="J1286" s="25">
        <v>0.1502</v>
      </c>
      <c r="K1286" s="25">
        <f t="shared" si="20"/>
        <v>2478.3000000000002</v>
      </c>
      <c r="L1286" s="25">
        <v>2.8</v>
      </c>
      <c r="M1286" s="24">
        <v>46182</v>
      </c>
      <c r="N1286" s="25">
        <f>IFERROR(T_reg.root.SK[[#This Row],[Price]]/T_reg.root.SK[[#This Row],[Starch content]],"")</f>
        <v>18.641810918774965</v>
      </c>
    </row>
    <row r="1287" spans="1:14">
      <c r="A1287" s="21">
        <v>2023</v>
      </c>
      <c r="B1287" s="21" t="s">
        <v>25</v>
      </c>
      <c r="C1287" s="21" t="s">
        <v>1145</v>
      </c>
      <c r="D1287" s="21" t="s">
        <v>35</v>
      </c>
      <c r="E1287" s="17" t="s">
        <v>140</v>
      </c>
      <c r="F1287" s="18" t="s">
        <v>105</v>
      </c>
      <c r="G1287" s="18" t="s">
        <v>48</v>
      </c>
      <c r="H1287" s="24">
        <v>19990</v>
      </c>
      <c r="I1287" s="24">
        <f>T_reg.root.SK[[#This Row],[Volume, kg]]/1000</f>
        <v>19.989999999999998</v>
      </c>
      <c r="J1287" s="25">
        <v>0.2412</v>
      </c>
      <c r="K1287" s="25">
        <f t="shared" si="20"/>
        <v>4821.5879999999997</v>
      </c>
      <c r="L1287" s="25">
        <v>3.27</v>
      </c>
      <c r="M1287" s="24">
        <v>65397</v>
      </c>
      <c r="N1287" s="25">
        <f>IFERROR(T_reg.root.SK[[#This Row],[Price]]/T_reg.root.SK[[#This Row],[Starch content]],"")</f>
        <v>13.55721393034826</v>
      </c>
    </row>
    <row r="1288" spans="1:14">
      <c r="A1288" s="21">
        <v>2023</v>
      </c>
      <c r="B1288" s="21" t="s">
        <v>25</v>
      </c>
      <c r="C1288" s="21" t="s">
        <v>1145</v>
      </c>
      <c r="D1288" s="21" t="s">
        <v>35</v>
      </c>
      <c r="E1288" s="17" t="s">
        <v>308</v>
      </c>
      <c r="F1288" s="18" t="s">
        <v>105</v>
      </c>
      <c r="G1288" s="18" t="s">
        <v>48</v>
      </c>
      <c r="H1288" s="24">
        <v>3770</v>
      </c>
      <c r="I1288" s="24">
        <f>T_reg.root.SK[[#This Row],[Volume, kg]]/1000</f>
        <v>3.77</v>
      </c>
      <c r="J1288" s="25">
        <v>0.2525</v>
      </c>
      <c r="K1288" s="25">
        <f t="shared" si="20"/>
        <v>951.92499999999995</v>
      </c>
      <c r="L1288" s="25">
        <v>3.3</v>
      </c>
      <c r="M1288" s="24">
        <v>12441</v>
      </c>
      <c r="N1288" s="25">
        <f>IFERROR(T_reg.root.SK[[#This Row],[Price]]/T_reg.root.SK[[#This Row],[Starch content]],"")</f>
        <v>13.069306930693068</v>
      </c>
    </row>
    <row r="1289" spans="1:14">
      <c r="A1289" s="21">
        <v>2023</v>
      </c>
      <c r="B1289" s="21" t="s">
        <v>25</v>
      </c>
      <c r="C1289" s="21" t="s">
        <v>1145</v>
      </c>
      <c r="D1289" s="21" t="s">
        <v>35</v>
      </c>
      <c r="E1289" s="17" t="s">
        <v>309</v>
      </c>
      <c r="F1289" s="18" t="s">
        <v>105</v>
      </c>
      <c r="G1289" s="18" t="s">
        <v>48</v>
      </c>
      <c r="H1289" s="24">
        <v>44430</v>
      </c>
      <c r="I1289" s="24">
        <f>T_reg.root.SK[[#This Row],[Volume, kg]]/1000</f>
        <v>44.43</v>
      </c>
      <c r="J1289" s="25">
        <v>0.2137</v>
      </c>
      <c r="K1289" s="25">
        <f t="shared" si="20"/>
        <v>9494.6910000000007</v>
      </c>
      <c r="L1289" s="25">
        <v>3.12</v>
      </c>
      <c r="M1289" s="24">
        <v>138462</v>
      </c>
      <c r="N1289" s="25">
        <f>IFERROR(T_reg.root.SK[[#This Row],[Price]]/T_reg.root.SK[[#This Row],[Starch content]],"")</f>
        <v>14.599906410856342</v>
      </c>
    </row>
    <row r="1290" spans="1:14">
      <c r="A1290" s="21">
        <v>2023</v>
      </c>
      <c r="B1290" s="21" t="s">
        <v>25</v>
      </c>
      <c r="C1290" s="21" t="s">
        <v>1145</v>
      </c>
      <c r="D1290" s="21" t="s">
        <v>35</v>
      </c>
      <c r="E1290" s="17" t="s">
        <v>568</v>
      </c>
      <c r="F1290" s="18" t="s">
        <v>105</v>
      </c>
      <c r="G1290" s="18" t="s">
        <v>48</v>
      </c>
      <c r="H1290" s="24">
        <v>6600</v>
      </c>
      <c r="I1290" s="24">
        <f>T_reg.root.SK[[#This Row],[Volume, kg]]/1000</f>
        <v>6.6</v>
      </c>
      <c r="J1290" s="25">
        <v>0.20300000000000001</v>
      </c>
      <c r="K1290" s="25">
        <f t="shared" si="20"/>
        <v>1339.8000000000002</v>
      </c>
      <c r="L1290" s="25">
        <v>3.05</v>
      </c>
      <c r="M1290" s="24">
        <v>20130</v>
      </c>
      <c r="N1290" s="25">
        <f>IFERROR(T_reg.root.SK[[#This Row],[Price]]/T_reg.root.SK[[#This Row],[Starch content]],"")</f>
        <v>15.02463054187192</v>
      </c>
    </row>
    <row r="1291" spans="1:14">
      <c r="A1291" s="21">
        <v>2023</v>
      </c>
      <c r="B1291" s="21" t="s">
        <v>25</v>
      </c>
      <c r="C1291" s="21" t="s">
        <v>1145</v>
      </c>
      <c r="D1291" s="21" t="s">
        <v>35</v>
      </c>
      <c r="E1291" s="17" t="s">
        <v>310</v>
      </c>
      <c r="F1291" s="18" t="s">
        <v>105</v>
      </c>
      <c r="G1291" s="18" t="s">
        <v>48</v>
      </c>
      <c r="H1291" s="24">
        <v>86690</v>
      </c>
      <c r="I1291" s="24">
        <f>T_reg.root.SK[[#This Row],[Volume, kg]]/1000</f>
        <v>86.69</v>
      </c>
      <c r="J1291" s="25">
        <v>0.25619999999999998</v>
      </c>
      <c r="K1291" s="25">
        <f t="shared" si="20"/>
        <v>22209.977999999999</v>
      </c>
      <c r="L1291" s="25">
        <v>3.33</v>
      </c>
      <c r="M1291" s="24">
        <v>289071</v>
      </c>
      <c r="N1291" s="25">
        <f>IFERROR(T_reg.root.SK[[#This Row],[Price]]/T_reg.root.SK[[#This Row],[Starch content]],"")</f>
        <v>12.997658079625294</v>
      </c>
    </row>
    <row r="1292" spans="1:14">
      <c r="A1292" s="21">
        <v>2023</v>
      </c>
      <c r="B1292" s="21" t="s">
        <v>25</v>
      </c>
      <c r="C1292" s="21" t="s">
        <v>1145</v>
      </c>
      <c r="D1292" s="21" t="s">
        <v>35</v>
      </c>
      <c r="E1292" s="17" t="s">
        <v>248</v>
      </c>
      <c r="F1292" s="18" t="s">
        <v>105</v>
      </c>
      <c r="G1292" s="18" t="s">
        <v>48</v>
      </c>
      <c r="H1292" s="24">
        <v>13900</v>
      </c>
      <c r="I1292" s="24">
        <f>T_reg.root.SK[[#This Row],[Volume, kg]]/1000</f>
        <v>13.9</v>
      </c>
      <c r="J1292" s="25">
        <v>0.20199999999999999</v>
      </c>
      <c r="K1292" s="25">
        <f t="shared" si="20"/>
        <v>2807.7999999999997</v>
      </c>
      <c r="L1292" s="25">
        <v>3.06</v>
      </c>
      <c r="M1292" s="24">
        <v>42470</v>
      </c>
      <c r="N1292" s="25">
        <f>IFERROR(T_reg.root.SK[[#This Row],[Price]]/T_reg.root.SK[[#This Row],[Starch content]],"")</f>
        <v>15.14851485148515</v>
      </c>
    </row>
    <row r="1293" spans="1:14">
      <c r="A1293" s="21">
        <v>2023</v>
      </c>
      <c r="B1293" s="21" t="s">
        <v>25</v>
      </c>
      <c r="C1293" s="21" t="s">
        <v>1145</v>
      </c>
      <c r="D1293" s="21" t="s">
        <v>35</v>
      </c>
      <c r="E1293" s="17" t="s">
        <v>143</v>
      </c>
      <c r="F1293" s="18" t="s">
        <v>105</v>
      </c>
      <c r="G1293" s="18" t="s">
        <v>48</v>
      </c>
      <c r="H1293" s="24">
        <v>33030</v>
      </c>
      <c r="I1293" s="24">
        <f>T_reg.root.SK[[#This Row],[Volume, kg]]/1000</f>
        <v>33.03</v>
      </c>
      <c r="J1293" s="25">
        <v>0.2079</v>
      </c>
      <c r="K1293" s="25">
        <f t="shared" si="20"/>
        <v>6866.9369999999999</v>
      </c>
      <c r="L1293" s="25">
        <v>3.08</v>
      </c>
      <c r="M1293" s="24">
        <v>101743.5</v>
      </c>
      <c r="N1293" s="25">
        <f>IFERROR(T_reg.root.SK[[#This Row],[Price]]/T_reg.root.SK[[#This Row],[Starch content]],"")</f>
        <v>14.814814814814815</v>
      </c>
    </row>
    <row r="1294" spans="1:14">
      <c r="A1294" s="21">
        <v>2023</v>
      </c>
      <c r="B1294" s="21" t="s">
        <v>25</v>
      </c>
      <c r="C1294" s="21" t="s">
        <v>1145</v>
      </c>
      <c r="D1294" s="21" t="s">
        <v>35</v>
      </c>
      <c r="E1294" s="17" t="s">
        <v>146</v>
      </c>
      <c r="F1294" s="18" t="s">
        <v>105</v>
      </c>
      <c r="G1294" s="18" t="s">
        <v>48</v>
      </c>
      <c r="H1294" s="24">
        <v>103860</v>
      </c>
      <c r="I1294" s="24">
        <f>T_reg.root.SK[[#This Row],[Volume, kg]]/1000</f>
        <v>103.86</v>
      </c>
      <c r="J1294" s="25">
        <v>0.23749999999999999</v>
      </c>
      <c r="K1294" s="25">
        <f t="shared" si="20"/>
        <v>24666.75</v>
      </c>
      <c r="L1294" s="25">
        <v>3.29</v>
      </c>
      <c r="M1294" s="24">
        <v>342215</v>
      </c>
      <c r="N1294" s="25">
        <f>IFERROR(T_reg.root.SK[[#This Row],[Price]]/T_reg.root.SK[[#This Row],[Starch content]],"")</f>
        <v>13.852631578947369</v>
      </c>
    </row>
    <row r="1295" spans="1:14">
      <c r="A1295" s="21">
        <v>2023</v>
      </c>
      <c r="B1295" s="21" t="s">
        <v>25</v>
      </c>
      <c r="C1295" s="21" t="s">
        <v>1145</v>
      </c>
      <c r="D1295" s="21" t="s">
        <v>35</v>
      </c>
      <c r="E1295" s="17" t="s">
        <v>569</v>
      </c>
      <c r="F1295" s="18" t="s">
        <v>105</v>
      </c>
      <c r="G1295" s="18" t="s">
        <v>48</v>
      </c>
      <c r="H1295" s="24">
        <v>7640</v>
      </c>
      <c r="I1295" s="24">
        <f>T_reg.root.SK[[#This Row],[Volume, kg]]/1000</f>
        <v>7.64</v>
      </c>
      <c r="J1295" s="25">
        <v>0.20399999999999999</v>
      </c>
      <c r="K1295" s="25">
        <f t="shared" si="20"/>
        <v>1558.56</v>
      </c>
      <c r="L1295" s="25">
        <v>3.05</v>
      </c>
      <c r="M1295" s="24">
        <v>23302</v>
      </c>
      <c r="N1295" s="25">
        <f>IFERROR(T_reg.root.SK[[#This Row],[Price]]/T_reg.root.SK[[#This Row],[Starch content]],"")</f>
        <v>14.950980392156863</v>
      </c>
    </row>
    <row r="1296" spans="1:14">
      <c r="A1296" s="21">
        <v>2023</v>
      </c>
      <c r="B1296" s="21" t="s">
        <v>25</v>
      </c>
      <c r="C1296" s="21" t="s">
        <v>1145</v>
      </c>
      <c r="D1296" s="21" t="s">
        <v>35</v>
      </c>
      <c r="E1296" s="17" t="s">
        <v>250</v>
      </c>
      <c r="F1296" s="18" t="s">
        <v>105</v>
      </c>
      <c r="G1296" s="18" t="s">
        <v>48</v>
      </c>
      <c r="H1296" s="24">
        <v>21270</v>
      </c>
      <c r="I1296" s="24">
        <f>T_reg.root.SK[[#This Row],[Volume, kg]]/1000</f>
        <v>21.27</v>
      </c>
      <c r="J1296" s="25">
        <v>0.21489999999999998</v>
      </c>
      <c r="K1296" s="25">
        <f t="shared" si="20"/>
        <v>4570.9229999999998</v>
      </c>
      <c r="L1296" s="25">
        <v>3.12</v>
      </c>
      <c r="M1296" s="24">
        <v>66364</v>
      </c>
      <c r="N1296" s="25">
        <f>IFERROR(T_reg.root.SK[[#This Row],[Price]]/T_reg.root.SK[[#This Row],[Starch content]],"")</f>
        <v>14.518380642159146</v>
      </c>
    </row>
    <row r="1297" spans="1:14">
      <c r="A1297" s="21">
        <v>2023</v>
      </c>
      <c r="B1297" s="21" t="s">
        <v>25</v>
      </c>
      <c r="C1297" s="21" t="s">
        <v>1145</v>
      </c>
      <c r="D1297" s="21" t="s">
        <v>35</v>
      </c>
      <c r="E1297" s="17" t="s">
        <v>148</v>
      </c>
      <c r="F1297" s="18" t="s">
        <v>105</v>
      </c>
      <c r="G1297" s="18" t="s">
        <v>48</v>
      </c>
      <c r="H1297" s="24">
        <v>26780</v>
      </c>
      <c r="I1297" s="24">
        <f>T_reg.root.SK[[#This Row],[Volume, kg]]/1000</f>
        <v>26.78</v>
      </c>
      <c r="J1297" s="25">
        <v>0.19789999999999999</v>
      </c>
      <c r="K1297" s="25">
        <f t="shared" si="20"/>
        <v>5299.7619999999997</v>
      </c>
      <c r="L1297" s="25">
        <v>3.05</v>
      </c>
      <c r="M1297" s="24">
        <v>81704.5</v>
      </c>
      <c r="N1297" s="25">
        <f>IFERROR(T_reg.root.SK[[#This Row],[Price]]/T_reg.root.SK[[#This Row],[Starch content]],"")</f>
        <v>15.411824153612935</v>
      </c>
    </row>
    <row r="1298" spans="1:14">
      <c r="A1298" s="21">
        <v>2023</v>
      </c>
      <c r="B1298" s="21" t="s">
        <v>25</v>
      </c>
      <c r="C1298" s="21" t="s">
        <v>1145</v>
      </c>
      <c r="D1298" s="21" t="s">
        <v>35</v>
      </c>
      <c r="E1298" s="17" t="s">
        <v>604</v>
      </c>
      <c r="F1298" s="18" t="s">
        <v>105</v>
      </c>
      <c r="G1298" s="18" t="s">
        <v>48</v>
      </c>
      <c r="H1298" s="24">
        <v>2830</v>
      </c>
      <c r="I1298" s="24">
        <f>T_reg.root.SK[[#This Row],[Volume, kg]]/1000</f>
        <v>2.83</v>
      </c>
      <c r="J1298" s="25">
        <v>0.23800000000000002</v>
      </c>
      <c r="K1298" s="25">
        <f t="shared" si="20"/>
        <v>673.54000000000008</v>
      </c>
      <c r="L1298" s="25">
        <v>3.25</v>
      </c>
      <c r="M1298" s="24">
        <v>9197.5</v>
      </c>
      <c r="N1298" s="25">
        <f>IFERROR(T_reg.root.SK[[#This Row],[Price]]/T_reg.root.SK[[#This Row],[Starch content]],"")</f>
        <v>13.655462184873949</v>
      </c>
    </row>
    <row r="1299" spans="1:14">
      <c r="A1299" s="21">
        <v>2023</v>
      </c>
      <c r="B1299" s="21" t="s">
        <v>25</v>
      </c>
      <c r="C1299" s="21" t="s">
        <v>1145</v>
      </c>
      <c r="D1299" s="21" t="s">
        <v>35</v>
      </c>
      <c r="E1299" s="17" t="s">
        <v>253</v>
      </c>
      <c r="F1299" s="18" t="s">
        <v>105</v>
      </c>
      <c r="G1299" s="18" t="s">
        <v>48</v>
      </c>
      <c r="H1299" s="24">
        <v>7770</v>
      </c>
      <c r="I1299" s="24">
        <f>T_reg.root.SK[[#This Row],[Volume, kg]]/1000</f>
        <v>7.77</v>
      </c>
      <c r="J1299" s="25">
        <v>0.192</v>
      </c>
      <c r="K1299" s="25">
        <f t="shared" si="20"/>
        <v>1491.84</v>
      </c>
      <c r="L1299" s="25">
        <v>3</v>
      </c>
      <c r="M1299" s="24">
        <v>23310</v>
      </c>
      <c r="N1299" s="25">
        <f>IFERROR(T_reg.root.SK[[#This Row],[Price]]/T_reg.root.SK[[#This Row],[Starch content]],"")</f>
        <v>15.625</v>
      </c>
    </row>
    <row r="1300" spans="1:14">
      <c r="A1300" s="21">
        <v>2023</v>
      </c>
      <c r="B1300" s="21" t="s">
        <v>25</v>
      </c>
      <c r="C1300" s="21" t="s">
        <v>1145</v>
      </c>
      <c r="D1300" s="21" t="s">
        <v>35</v>
      </c>
      <c r="E1300" s="17" t="s">
        <v>314</v>
      </c>
      <c r="F1300" s="18" t="s">
        <v>105</v>
      </c>
      <c r="G1300" s="18" t="s">
        <v>48</v>
      </c>
      <c r="H1300" s="24">
        <v>22020</v>
      </c>
      <c r="I1300" s="24">
        <f>T_reg.root.SK[[#This Row],[Volume, kg]]/1000</f>
        <v>22.02</v>
      </c>
      <c r="J1300" s="25">
        <v>0.23769999999999999</v>
      </c>
      <c r="K1300" s="25">
        <f t="shared" si="20"/>
        <v>5234.1539999999995</v>
      </c>
      <c r="L1300" s="25">
        <v>3.23</v>
      </c>
      <c r="M1300" s="24">
        <v>71103</v>
      </c>
      <c r="N1300" s="25">
        <f>IFERROR(T_reg.root.SK[[#This Row],[Price]]/T_reg.root.SK[[#This Row],[Starch content]],"")</f>
        <v>13.588557004627683</v>
      </c>
    </row>
    <row r="1301" spans="1:14">
      <c r="A1301" s="21">
        <v>2023</v>
      </c>
      <c r="B1301" s="21" t="s">
        <v>25</v>
      </c>
      <c r="C1301" s="21" t="s">
        <v>1145</v>
      </c>
      <c r="D1301" s="21" t="s">
        <v>35</v>
      </c>
      <c r="E1301" s="17" t="s">
        <v>500</v>
      </c>
      <c r="F1301" s="18" t="s">
        <v>105</v>
      </c>
      <c r="G1301" s="18" t="s">
        <v>48</v>
      </c>
      <c r="H1301" s="24">
        <v>15270</v>
      </c>
      <c r="I1301" s="24">
        <f>T_reg.root.SK[[#This Row],[Volume, kg]]/1000</f>
        <v>15.27</v>
      </c>
      <c r="J1301" s="25">
        <v>0.26140000000000002</v>
      </c>
      <c r="K1301" s="25">
        <f t="shared" si="20"/>
        <v>3991.5780000000004</v>
      </c>
      <c r="L1301" s="25">
        <v>3.37</v>
      </c>
      <c r="M1301" s="24">
        <v>51400</v>
      </c>
      <c r="N1301" s="25">
        <f>IFERROR(T_reg.root.SK[[#This Row],[Price]]/T_reg.root.SK[[#This Row],[Starch content]],"")</f>
        <v>12.892119357306809</v>
      </c>
    </row>
    <row r="1302" spans="1:14">
      <c r="A1302" s="21">
        <v>2023</v>
      </c>
      <c r="B1302" s="21" t="s">
        <v>25</v>
      </c>
      <c r="C1302" s="21" t="s">
        <v>1145</v>
      </c>
      <c r="D1302" s="21" t="s">
        <v>35</v>
      </c>
      <c r="E1302" s="17" t="s">
        <v>150</v>
      </c>
      <c r="F1302" s="18" t="s">
        <v>105</v>
      </c>
      <c r="G1302" s="18" t="s">
        <v>48</v>
      </c>
      <c r="H1302" s="24">
        <v>7940</v>
      </c>
      <c r="I1302" s="24">
        <f>T_reg.root.SK[[#This Row],[Volume, kg]]/1000</f>
        <v>7.94</v>
      </c>
      <c r="J1302" s="25">
        <v>0.21059999999999998</v>
      </c>
      <c r="K1302" s="25">
        <f t="shared" si="20"/>
        <v>1672.1639999999998</v>
      </c>
      <c r="L1302" s="25">
        <v>3.15</v>
      </c>
      <c r="M1302" s="24">
        <v>25020</v>
      </c>
      <c r="N1302" s="25">
        <f>IFERROR(T_reg.root.SK[[#This Row],[Price]]/T_reg.root.SK[[#This Row],[Starch content]],"")</f>
        <v>14.957264957264957</v>
      </c>
    </row>
    <row r="1303" spans="1:14">
      <c r="A1303" s="21">
        <v>2023</v>
      </c>
      <c r="B1303" s="21" t="s">
        <v>25</v>
      </c>
      <c r="C1303" s="21" t="s">
        <v>1145</v>
      </c>
      <c r="D1303" s="21" t="s">
        <v>35</v>
      </c>
      <c r="E1303" s="17" t="s">
        <v>570</v>
      </c>
      <c r="F1303" s="18" t="s">
        <v>105</v>
      </c>
      <c r="G1303" s="18" t="s">
        <v>48</v>
      </c>
      <c r="H1303" s="24">
        <v>18680</v>
      </c>
      <c r="I1303" s="24">
        <f>T_reg.root.SK[[#This Row],[Volume, kg]]/1000</f>
        <v>18.68</v>
      </c>
      <c r="J1303" s="25">
        <v>0.1885</v>
      </c>
      <c r="K1303" s="25">
        <f t="shared" si="20"/>
        <v>3521.18</v>
      </c>
      <c r="L1303" s="25">
        <v>3.01</v>
      </c>
      <c r="M1303" s="24">
        <v>56165</v>
      </c>
      <c r="N1303" s="25">
        <f>IFERROR(T_reg.root.SK[[#This Row],[Price]]/T_reg.root.SK[[#This Row],[Starch content]],"")</f>
        <v>15.968169761273208</v>
      </c>
    </row>
    <row r="1304" spans="1:14">
      <c r="A1304" s="21">
        <v>2023</v>
      </c>
      <c r="B1304" s="21" t="s">
        <v>25</v>
      </c>
      <c r="C1304" s="21" t="s">
        <v>1145</v>
      </c>
      <c r="D1304" s="21" t="s">
        <v>35</v>
      </c>
      <c r="E1304" s="17" t="s">
        <v>151</v>
      </c>
      <c r="F1304" s="18" t="s">
        <v>105</v>
      </c>
      <c r="G1304" s="18" t="s">
        <v>48</v>
      </c>
      <c r="H1304" s="24">
        <v>311920</v>
      </c>
      <c r="I1304" s="24">
        <f>T_reg.root.SK[[#This Row],[Volume, kg]]/1000</f>
        <v>311.92</v>
      </c>
      <c r="J1304" s="25">
        <v>0.2266</v>
      </c>
      <c r="K1304" s="25">
        <f t="shared" si="20"/>
        <v>70681.072</v>
      </c>
      <c r="L1304" s="25">
        <v>3.23</v>
      </c>
      <c r="M1304" s="24">
        <v>1008113.5</v>
      </c>
      <c r="N1304" s="25">
        <f>IFERROR(T_reg.root.SK[[#This Row],[Price]]/T_reg.root.SK[[#This Row],[Starch content]],"")</f>
        <v>14.254192409532216</v>
      </c>
    </row>
    <row r="1305" spans="1:14">
      <c r="A1305" s="21">
        <v>2023</v>
      </c>
      <c r="B1305" s="21" t="s">
        <v>25</v>
      </c>
      <c r="C1305" s="21" t="s">
        <v>1145</v>
      </c>
      <c r="D1305" s="21" t="s">
        <v>35</v>
      </c>
      <c r="E1305" s="17" t="s">
        <v>316</v>
      </c>
      <c r="F1305" s="18" t="s">
        <v>105</v>
      </c>
      <c r="G1305" s="18" t="s">
        <v>48</v>
      </c>
      <c r="H1305" s="24">
        <v>38980</v>
      </c>
      <c r="I1305" s="24">
        <f>T_reg.root.SK[[#This Row],[Volume, kg]]/1000</f>
        <v>38.979999999999997</v>
      </c>
      <c r="J1305" s="25">
        <v>0.20980000000000001</v>
      </c>
      <c r="K1305" s="25">
        <f t="shared" si="20"/>
        <v>8178.0040000000008</v>
      </c>
      <c r="L1305" s="25">
        <v>3.1</v>
      </c>
      <c r="M1305" s="24">
        <v>120986</v>
      </c>
      <c r="N1305" s="25">
        <f>IFERROR(T_reg.root.SK[[#This Row],[Price]]/T_reg.root.SK[[#This Row],[Starch content]],"")</f>
        <v>14.775977121067683</v>
      </c>
    </row>
    <row r="1306" spans="1:14">
      <c r="A1306" s="21">
        <v>2023</v>
      </c>
      <c r="B1306" s="21" t="s">
        <v>25</v>
      </c>
      <c r="C1306" s="21" t="s">
        <v>1145</v>
      </c>
      <c r="D1306" s="21" t="s">
        <v>35</v>
      </c>
      <c r="E1306" s="17" t="s">
        <v>152</v>
      </c>
      <c r="F1306" s="18" t="s">
        <v>105</v>
      </c>
      <c r="G1306" s="18" t="s">
        <v>48</v>
      </c>
      <c r="H1306" s="24">
        <v>7110</v>
      </c>
      <c r="I1306" s="24">
        <f>T_reg.root.SK[[#This Row],[Volume, kg]]/1000</f>
        <v>7.11</v>
      </c>
      <c r="J1306" s="25">
        <v>0.21350000000000002</v>
      </c>
      <c r="K1306" s="25">
        <f t="shared" si="20"/>
        <v>1517.9850000000001</v>
      </c>
      <c r="L1306" s="25">
        <v>3.1</v>
      </c>
      <c r="M1306" s="24">
        <v>22041</v>
      </c>
      <c r="N1306" s="25">
        <f>IFERROR(T_reg.root.SK[[#This Row],[Price]]/T_reg.root.SK[[#This Row],[Starch content]],"")</f>
        <v>14.51990632318501</v>
      </c>
    </row>
    <row r="1307" spans="1:14">
      <c r="A1307" s="21">
        <v>2023</v>
      </c>
      <c r="B1307" s="21" t="s">
        <v>25</v>
      </c>
      <c r="C1307" s="21" t="s">
        <v>1145</v>
      </c>
      <c r="D1307" s="21" t="s">
        <v>35</v>
      </c>
      <c r="E1307" s="17" t="s">
        <v>155</v>
      </c>
      <c r="F1307" s="18" t="s">
        <v>105</v>
      </c>
      <c r="G1307" s="18" t="s">
        <v>48</v>
      </c>
      <c r="H1307" s="24">
        <v>16360</v>
      </c>
      <c r="I1307" s="24">
        <f>T_reg.root.SK[[#This Row],[Volume, kg]]/1000</f>
        <v>16.36</v>
      </c>
      <c r="J1307" s="25">
        <v>0.2208</v>
      </c>
      <c r="K1307" s="25">
        <f t="shared" si="20"/>
        <v>3612.288</v>
      </c>
      <c r="L1307" s="25">
        <v>3.16</v>
      </c>
      <c r="M1307" s="24">
        <v>51629</v>
      </c>
      <c r="N1307" s="25">
        <f>IFERROR(T_reg.root.SK[[#This Row],[Price]]/T_reg.root.SK[[#This Row],[Starch content]],"")</f>
        <v>14.311594202898551</v>
      </c>
    </row>
    <row r="1308" spans="1:14">
      <c r="A1308" s="21">
        <v>2023</v>
      </c>
      <c r="B1308" s="21" t="s">
        <v>25</v>
      </c>
      <c r="C1308" s="21" t="s">
        <v>1145</v>
      </c>
      <c r="D1308" s="21" t="s">
        <v>35</v>
      </c>
      <c r="E1308" s="17" t="s">
        <v>366</v>
      </c>
      <c r="F1308" s="18" t="s">
        <v>105</v>
      </c>
      <c r="G1308" s="18" t="s">
        <v>48</v>
      </c>
      <c r="H1308" s="24">
        <v>9410</v>
      </c>
      <c r="I1308" s="24">
        <f>T_reg.root.SK[[#This Row],[Volume, kg]]/1000</f>
        <v>9.41</v>
      </c>
      <c r="J1308" s="25">
        <v>0.24850000000000003</v>
      </c>
      <c r="K1308" s="25">
        <f t="shared" si="20"/>
        <v>2338.3850000000002</v>
      </c>
      <c r="L1308" s="25">
        <v>3.3</v>
      </c>
      <c r="M1308" s="24">
        <v>31053</v>
      </c>
      <c r="N1308" s="25">
        <f>IFERROR(T_reg.root.SK[[#This Row],[Price]]/T_reg.root.SK[[#This Row],[Starch content]],"")</f>
        <v>13.27967806841046</v>
      </c>
    </row>
    <row r="1309" spans="1:14">
      <c r="A1309" s="21">
        <v>2023</v>
      </c>
      <c r="B1309" s="21" t="s">
        <v>25</v>
      </c>
      <c r="C1309" s="21" t="s">
        <v>1145</v>
      </c>
      <c r="D1309" s="21" t="s">
        <v>35</v>
      </c>
      <c r="E1309" s="17" t="s">
        <v>156</v>
      </c>
      <c r="F1309" s="18" t="s">
        <v>105</v>
      </c>
      <c r="G1309" s="18" t="s">
        <v>48</v>
      </c>
      <c r="H1309" s="24">
        <v>4420</v>
      </c>
      <c r="I1309" s="24">
        <f>T_reg.root.SK[[#This Row],[Volume, kg]]/1000</f>
        <v>4.42</v>
      </c>
      <c r="J1309" s="25">
        <v>0.20600000000000002</v>
      </c>
      <c r="K1309" s="25">
        <f t="shared" si="20"/>
        <v>910.5200000000001</v>
      </c>
      <c r="L1309" s="25">
        <v>3.1</v>
      </c>
      <c r="M1309" s="24">
        <v>13702</v>
      </c>
      <c r="N1309" s="25">
        <f>IFERROR(T_reg.root.SK[[#This Row],[Price]]/T_reg.root.SK[[#This Row],[Starch content]],"")</f>
        <v>15.048543689320388</v>
      </c>
    </row>
    <row r="1310" spans="1:14">
      <c r="A1310" s="21">
        <v>2023</v>
      </c>
      <c r="B1310" s="21" t="s">
        <v>25</v>
      </c>
      <c r="C1310" s="21" t="s">
        <v>1145</v>
      </c>
      <c r="D1310" s="21" t="s">
        <v>35</v>
      </c>
      <c r="E1310" s="17" t="s">
        <v>159</v>
      </c>
      <c r="F1310" s="18" t="s">
        <v>105</v>
      </c>
      <c r="G1310" s="18" t="s">
        <v>48</v>
      </c>
      <c r="H1310" s="24">
        <v>463440</v>
      </c>
      <c r="I1310" s="24">
        <f>T_reg.root.SK[[#This Row],[Volume, kg]]/1000</f>
        <v>463.44</v>
      </c>
      <c r="J1310" s="25">
        <v>0.23070000000000002</v>
      </c>
      <c r="K1310" s="25">
        <f t="shared" si="20"/>
        <v>106915.60800000001</v>
      </c>
      <c r="L1310" s="25">
        <v>3.25</v>
      </c>
      <c r="M1310" s="24">
        <v>1506540</v>
      </c>
      <c r="N1310" s="25">
        <f>IFERROR(T_reg.root.SK[[#This Row],[Price]]/T_reg.root.SK[[#This Row],[Starch content]],"")</f>
        <v>14.087559601213696</v>
      </c>
    </row>
    <row r="1311" spans="1:14">
      <c r="A1311" s="21">
        <v>2023</v>
      </c>
      <c r="B1311" s="21" t="s">
        <v>25</v>
      </c>
      <c r="C1311" s="21" t="s">
        <v>1145</v>
      </c>
      <c r="D1311" s="21" t="s">
        <v>35</v>
      </c>
      <c r="E1311" s="17" t="s">
        <v>255</v>
      </c>
      <c r="F1311" s="18" t="s">
        <v>105</v>
      </c>
      <c r="G1311" s="18" t="s">
        <v>48</v>
      </c>
      <c r="H1311" s="24">
        <v>40110</v>
      </c>
      <c r="I1311" s="24">
        <f>T_reg.root.SK[[#This Row],[Volume, kg]]/1000</f>
        <v>40.11</v>
      </c>
      <c r="J1311" s="25">
        <v>0.24160000000000001</v>
      </c>
      <c r="K1311" s="25">
        <f t="shared" si="20"/>
        <v>9690.5760000000009</v>
      </c>
      <c r="L1311" s="25">
        <v>3.26</v>
      </c>
      <c r="M1311" s="24">
        <v>130824</v>
      </c>
      <c r="N1311" s="25">
        <f>IFERROR(T_reg.root.SK[[#This Row],[Price]]/T_reg.root.SK[[#This Row],[Starch content]],"")</f>
        <v>13.493377483443707</v>
      </c>
    </row>
    <row r="1312" spans="1:14">
      <c r="A1312" s="21">
        <v>2023</v>
      </c>
      <c r="B1312" s="21" t="s">
        <v>25</v>
      </c>
      <c r="C1312" s="21" t="s">
        <v>1145</v>
      </c>
      <c r="D1312" s="21" t="s">
        <v>35</v>
      </c>
      <c r="E1312" s="17" t="s">
        <v>161</v>
      </c>
      <c r="F1312" s="18" t="s">
        <v>105</v>
      </c>
      <c r="G1312" s="18" t="s">
        <v>48</v>
      </c>
      <c r="H1312" s="24">
        <v>10080</v>
      </c>
      <c r="I1312" s="24">
        <f>T_reg.root.SK[[#This Row],[Volume, kg]]/1000</f>
        <v>10.08</v>
      </c>
      <c r="J1312" s="25">
        <v>0.21299999999999999</v>
      </c>
      <c r="K1312" s="25">
        <f t="shared" si="20"/>
        <v>2147.04</v>
      </c>
      <c r="L1312" s="25">
        <v>3.15</v>
      </c>
      <c r="M1312" s="24">
        <v>31752</v>
      </c>
      <c r="N1312" s="25">
        <f>IFERROR(T_reg.root.SK[[#This Row],[Price]]/T_reg.root.SK[[#This Row],[Starch content]],"")</f>
        <v>14.788732394366198</v>
      </c>
    </row>
    <row r="1313" spans="1:14">
      <c r="A1313" s="21">
        <v>2023</v>
      </c>
      <c r="B1313" s="21" t="s">
        <v>25</v>
      </c>
      <c r="C1313" s="21" t="s">
        <v>1145</v>
      </c>
      <c r="D1313" s="21" t="s">
        <v>35</v>
      </c>
      <c r="E1313" s="17" t="s">
        <v>164</v>
      </c>
      <c r="F1313" s="18" t="s">
        <v>105</v>
      </c>
      <c r="G1313" s="18" t="s">
        <v>48</v>
      </c>
      <c r="H1313" s="24">
        <v>16920</v>
      </c>
      <c r="I1313" s="24">
        <f>T_reg.root.SK[[#This Row],[Volume, kg]]/1000</f>
        <v>16.920000000000002</v>
      </c>
      <c r="J1313" s="25">
        <v>0.2492</v>
      </c>
      <c r="K1313" s="25">
        <f t="shared" si="20"/>
        <v>4216.4639999999999</v>
      </c>
      <c r="L1313" s="25">
        <v>3.34</v>
      </c>
      <c r="M1313" s="24">
        <v>56460</v>
      </c>
      <c r="N1313" s="25">
        <f>IFERROR(T_reg.root.SK[[#This Row],[Price]]/T_reg.root.SK[[#This Row],[Starch content]],"")</f>
        <v>13.402889245585873</v>
      </c>
    </row>
    <row r="1314" spans="1:14">
      <c r="A1314" s="21">
        <v>2023</v>
      </c>
      <c r="B1314" s="21" t="s">
        <v>25</v>
      </c>
      <c r="C1314" s="21" t="s">
        <v>1145</v>
      </c>
      <c r="D1314" s="21" t="s">
        <v>35</v>
      </c>
      <c r="E1314" s="17" t="s">
        <v>167</v>
      </c>
      <c r="F1314" s="18" t="s">
        <v>105</v>
      </c>
      <c r="G1314" s="18" t="s">
        <v>48</v>
      </c>
      <c r="H1314" s="24">
        <v>11700</v>
      </c>
      <c r="I1314" s="24">
        <f>T_reg.root.SK[[#This Row],[Volume, kg]]/1000</f>
        <v>11.7</v>
      </c>
      <c r="J1314" s="25">
        <v>0.1794</v>
      </c>
      <c r="K1314" s="25">
        <f t="shared" si="20"/>
        <v>2098.98</v>
      </c>
      <c r="L1314" s="25">
        <v>2.96</v>
      </c>
      <c r="M1314" s="24">
        <v>34630.5</v>
      </c>
      <c r="N1314" s="25">
        <f>IFERROR(T_reg.root.SK[[#This Row],[Price]]/T_reg.root.SK[[#This Row],[Starch content]],"")</f>
        <v>16.499442586399109</v>
      </c>
    </row>
    <row r="1315" spans="1:14">
      <c r="A1315" s="21">
        <v>2023</v>
      </c>
      <c r="B1315" s="21" t="s">
        <v>25</v>
      </c>
      <c r="C1315" s="21" t="s">
        <v>1145</v>
      </c>
      <c r="D1315" s="21" t="s">
        <v>35</v>
      </c>
      <c r="E1315" s="17" t="s">
        <v>170</v>
      </c>
      <c r="F1315" s="18" t="s">
        <v>105</v>
      </c>
      <c r="G1315" s="18" t="s">
        <v>48</v>
      </c>
      <c r="H1315" s="24">
        <v>12830</v>
      </c>
      <c r="I1315" s="24">
        <f>T_reg.root.SK[[#This Row],[Volume, kg]]/1000</f>
        <v>12.83</v>
      </c>
      <c r="J1315" s="25">
        <v>0.25290000000000001</v>
      </c>
      <c r="K1315" s="25">
        <f t="shared" si="20"/>
        <v>3244.7070000000003</v>
      </c>
      <c r="L1315" s="25">
        <v>3.3</v>
      </c>
      <c r="M1315" s="24">
        <v>42339</v>
      </c>
      <c r="N1315" s="25">
        <f>IFERROR(T_reg.root.SK[[#This Row],[Price]]/T_reg.root.SK[[#This Row],[Starch content]],"")</f>
        <v>13.048635824436534</v>
      </c>
    </row>
    <row r="1316" spans="1:14">
      <c r="A1316" s="21">
        <v>2023</v>
      </c>
      <c r="B1316" s="21" t="s">
        <v>25</v>
      </c>
      <c r="C1316" s="21" t="s">
        <v>1145</v>
      </c>
      <c r="D1316" s="21" t="s">
        <v>35</v>
      </c>
      <c r="E1316" s="17" t="s">
        <v>506</v>
      </c>
      <c r="F1316" s="18" t="s">
        <v>105</v>
      </c>
      <c r="G1316" s="18" t="s">
        <v>48</v>
      </c>
      <c r="H1316" s="24">
        <v>42660</v>
      </c>
      <c r="I1316" s="24">
        <f>T_reg.root.SK[[#This Row],[Volume, kg]]/1000</f>
        <v>42.66</v>
      </c>
      <c r="J1316" s="25">
        <v>0.23149999999999998</v>
      </c>
      <c r="K1316" s="25">
        <f t="shared" si="20"/>
        <v>9875.7899999999991</v>
      </c>
      <c r="L1316" s="25">
        <v>3.2</v>
      </c>
      <c r="M1316" s="24">
        <v>136717.5</v>
      </c>
      <c r="N1316" s="25">
        <f>IFERROR(T_reg.root.SK[[#This Row],[Price]]/T_reg.root.SK[[#This Row],[Starch content]],"")</f>
        <v>13.822894168466524</v>
      </c>
    </row>
    <row r="1317" spans="1:14">
      <c r="A1317" s="21">
        <v>2023</v>
      </c>
      <c r="B1317" s="21" t="s">
        <v>25</v>
      </c>
      <c r="C1317" s="21" t="s">
        <v>1145</v>
      </c>
      <c r="D1317" s="21" t="s">
        <v>35</v>
      </c>
      <c r="E1317" s="17" t="s">
        <v>174</v>
      </c>
      <c r="F1317" s="18" t="s">
        <v>105</v>
      </c>
      <c r="G1317" s="18" t="s">
        <v>48</v>
      </c>
      <c r="H1317" s="24">
        <v>125740</v>
      </c>
      <c r="I1317" s="24">
        <f>T_reg.root.SK[[#This Row],[Volume, kg]]/1000</f>
        <v>125.74</v>
      </c>
      <c r="J1317" s="25">
        <v>0.23719999999999999</v>
      </c>
      <c r="K1317" s="25">
        <f t="shared" si="20"/>
        <v>29825.527999999998</v>
      </c>
      <c r="L1317" s="25">
        <v>3.26</v>
      </c>
      <c r="M1317" s="24">
        <v>409936</v>
      </c>
      <c r="N1317" s="25">
        <f>IFERROR(T_reg.root.SK[[#This Row],[Price]]/T_reg.root.SK[[#This Row],[Starch content]],"")</f>
        <v>13.743676222596964</v>
      </c>
    </row>
    <row r="1318" spans="1:14">
      <c r="A1318" s="21">
        <v>2023</v>
      </c>
      <c r="B1318" s="21" t="s">
        <v>25</v>
      </c>
      <c r="C1318" s="21" t="s">
        <v>1145</v>
      </c>
      <c r="D1318" s="21" t="s">
        <v>35</v>
      </c>
      <c r="E1318" s="17" t="s">
        <v>176</v>
      </c>
      <c r="F1318" s="18" t="s">
        <v>105</v>
      </c>
      <c r="G1318" s="18" t="s">
        <v>48</v>
      </c>
      <c r="H1318" s="24">
        <v>8840</v>
      </c>
      <c r="I1318" s="24">
        <f>T_reg.root.SK[[#This Row],[Volume, kg]]/1000</f>
        <v>8.84</v>
      </c>
      <c r="J1318" s="25">
        <v>0.20600000000000002</v>
      </c>
      <c r="K1318" s="25">
        <f t="shared" si="20"/>
        <v>1821.0400000000002</v>
      </c>
      <c r="L1318" s="25">
        <v>3.07</v>
      </c>
      <c r="M1318" s="24">
        <v>27159</v>
      </c>
      <c r="N1318" s="25">
        <f>IFERROR(T_reg.root.SK[[#This Row],[Price]]/T_reg.root.SK[[#This Row],[Starch content]],"")</f>
        <v>14.902912621359221</v>
      </c>
    </row>
    <row r="1319" spans="1:14">
      <c r="A1319" s="21">
        <v>2023</v>
      </c>
      <c r="B1319" s="21" t="s">
        <v>25</v>
      </c>
      <c r="C1319" s="21" t="s">
        <v>1145</v>
      </c>
      <c r="D1319" s="21" t="s">
        <v>35</v>
      </c>
      <c r="E1319" s="17" t="s">
        <v>605</v>
      </c>
      <c r="F1319" s="18" t="s">
        <v>105</v>
      </c>
      <c r="G1319" s="18" t="s">
        <v>48</v>
      </c>
      <c r="H1319" s="24">
        <v>46560</v>
      </c>
      <c r="I1319" s="24">
        <f>T_reg.root.SK[[#This Row],[Volume, kg]]/1000</f>
        <v>46.56</v>
      </c>
      <c r="J1319" s="25">
        <v>0.25009999999999999</v>
      </c>
      <c r="K1319" s="25">
        <f t="shared" si="20"/>
        <v>11644.655999999999</v>
      </c>
      <c r="L1319" s="25">
        <v>3.31</v>
      </c>
      <c r="M1319" s="24">
        <v>154239</v>
      </c>
      <c r="N1319" s="25">
        <f>IFERROR(T_reg.root.SK[[#This Row],[Price]]/T_reg.root.SK[[#This Row],[Starch content]],"")</f>
        <v>13.23470611755298</v>
      </c>
    </row>
    <row r="1320" spans="1:14">
      <c r="A1320" s="21">
        <v>2023</v>
      </c>
      <c r="B1320" s="21" t="s">
        <v>25</v>
      </c>
      <c r="C1320" s="21" t="s">
        <v>1145</v>
      </c>
      <c r="D1320" s="21" t="s">
        <v>35</v>
      </c>
      <c r="E1320" s="17" t="s">
        <v>329</v>
      </c>
      <c r="F1320" s="18" t="s">
        <v>105</v>
      </c>
      <c r="G1320" s="18" t="s">
        <v>48</v>
      </c>
      <c r="H1320" s="24">
        <v>4460</v>
      </c>
      <c r="I1320" s="24">
        <f>T_reg.root.SK[[#This Row],[Volume, kg]]/1000</f>
        <v>4.46</v>
      </c>
      <c r="J1320" s="25">
        <v>0.26950000000000002</v>
      </c>
      <c r="K1320" s="25">
        <f t="shared" si="20"/>
        <v>1201.97</v>
      </c>
      <c r="L1320" s="25">
        <v>3.4</v>
      </c>
      <c r="M1320" s="24">
        <v>15164</v>
      </c>
      <c r="N1320" s="25">
        <f>IFERROR(T_reg.root.SK[[#This Row],[Price]]/T_reg.root.SK[[#This Row],[Starch content]],"")</f>
        <v>12.61595547309833</v>
      </c>
    </row>
    <row r="1321" spans="1:14">
      <c r="A1321" s="21">
        <v>2023</v>
      </c>
      <c r="B1321" s="21" t="s">
        <v>25</v>
      </c>
      <c r="C1321" s="21" t="s">
        <v>1145</v>
      </c>
      <c r="D1321" s="21" t="s">
        <v>35</v>
      </c>
      <c r="E1321" s="17" t="s">
        <v>179</v>
      </c>
      <c r="F1321" s="18" t="s">
        <v>105</v>
      </c>
      <c r="G1321" s="18" t="s">
        <v>48</v>
      </c>
      <c r="H1321" s="24">
        <v>57790</v>
      </c>
      <c r="I1321" s="24">
        <f>T_reg.root.SK[[#This Row],[Volume, kg]]/1000</f>
        <v>57.79</v>
      </c>
      <c r="J1321" s="25">
        <v>0.24879999999999999</v>
      </c>
      <c r="K1321" s="25">
        <f t="shared" si="20"/>
        <v>14378.152</v>
      </c>
      <c r="L1321" s="25">
        <v>3.34</v>
      </c>
      <c r="M1321" s="24">
        <v>193283</v>
      </c>
      <c r="N1321" s="25">
        <f>IFERROR(T_reg.root.SK[[#This Row],[Price]]/T_reg.root.SK[[#This Row],[Starch content]],"")</f>
        <v>13.42443729903537</v>
      </c>
    </row>
    <row r="1322" spans="1:14">
      <c r="A1322" s="21">
        <v>2023</v>
      </c>
      <c r="B1322" s="21" t="s">
        <v>25</v>
      </c>
      <c r="C1322" s="21" t="s">
        <v>1145</v>
      </c>
      <c r="D1322" s="21" t="s">
        <v>35</v>
      </c>
      <c r="E1322" s="17" t="s">
        <v>181</v>
      </c>
      <c r="F1322" s="18" t="s">
        <v>105</v>
      </c>
      <c r="G1322" s="18" t="s">
        <v>48</v>
      </c>
      <c r="H1322" s="24">
        <v>61180</v>
      </c>
      <c r="I1322" s="24">
        <f>T_reg.root.SK[[#This Row],[Volume, kg]]/1000</f>
        <v>61.18</v>
      </c>
      <c r="J1322" s="25">
        <v>0.24</v>
      </c>
      <c r="K1322" s="25">
        <f t="shared" si="20"/>
        <v>14683.199999999999</v>
      </c>
      <c r="L1322" s="25">
        <v>3.3</v>
      </c>
      <c r="M1322" s="24">
        <v>201759.5</v>
      </c>
      <c r="N1322" s="25">
        <f>IFERROR(T_reg.root.SK[[#This Row],[Price]]/T_reg.root.SK[[#This Row],[Starch content]],"")</f>
        <v>13.75</v>
      </c>
    </row>
    <row r="1323" spans="1:14">
      <c r="A1323" s="21">
        <v>2023</v>
      </c>
      <c r="B1323" s="21" t="s">
        <v>25</v>
      </c>
      <c r="C1323" s="21" t="s">
        <v>1145</v>
      </c>
      <c r="D1323" s="21" t="s">
        <v>35</v>
      </c>
      <c r="E1323" s="17" t="s">
        <v>578</v>
      </c>
      <c r="F1323" s="18" t="s">
        <v>105</v>
      </c>
      <c r="G1323" s="18" t="s">
        <v>48</v>
      </c>
      <c r="H1323" s="24">
        <v>2170</v>
      </c>
      <c r="I1323" s="24">
        <f>T_reg.root.SK[[#This Row],[Volume, kg]]/1000</f>
        <v>2.17</v>
      </c>
      <c r="J1323" s="25">
        <v>0.25800000000000001</v>
      </c>
      <c r="K1323" s="25">
        <f t="shared" si="20"/>
        <v>559.86</v>
      </c>
      <c r="L1323" s="25">
        <v>3.35</v>
      </c>
      <c r="M1323" s="24">
        <v>7269.5</v>
      </c>
      <c r="N1323" s="25">
        <f>IFERROR(T_reg.root.SK[[#This Row],[Price]]/T_reg.root.SK[[#This Row],[Starch content]],"")</f>
        <v>12.984496124031008</v>
      </c>
    </row>
    <row r="1324" spans="1:14">
      <c r="A1324" s="21">
        <v>2023</v>
      </c>
      <c r="B1324" s="21" t="s">
        <v>25</v>
      </c>
      <c r="C1324" s="21" t="s">
        <v>1145</v>
      </c>
      <c r="D1324" s="21" t="s">
        <v>35</v>
      </c>
      <c r="E1324" s="17" t="s">
        <v>183</v>
      </c>
      <c r="F1324" s="18" t="s">
        <v>105</v>
      </c>
      <c r="G1324" s="18" t="s">
        <v>48</v>
      </c>
      <c r="H1324" s="24">
        <v>33790</v>
      </c>
      <c r="I1324" s="24">
        <f>T_reg.root.SK[[#This Row],[Volume, kg]]/1000</f>
        <v>33.79</v>
      </c>
      <c r="J1324" s="25">
        <v>0.2195</v>
      </c>
      <c r="K1324" s="25">
        <f t="shared" si="20"/>
        <v>7416.9049999999997</v>
      </c>
      <c r="L1324" s="25">
        <v>3.21</v>
      </c>
      <c r="M1324" s="24">
        <v>108350.5</v>
      </c>
      <c r="N1324" s="25">
        <f>IFERROR(T_reg.root.SK[[#This Row],[Price]]/T_reg.root.SK[[#This Row],[Starch content]],"")</f>
        <v>14.624145785876992</v>
      </c>
    </row>
    <row r="1325" spans="1:14">
      <c r="A1325" s="21">
        <v>2023</v>
      </c>
      <c r="B1325" s="21" t="s">
        <v>25</v>
      </c>
      <c r="C1325" s="21" t="s">
        <v>1145</v>
      </c>
      <c r="D1325" s="21" t="s">
        <v>35</v>
      </c>
      <c r="E1325" s="17" t="s">
        <v>330</v>
      </c>
      <c r="F1325" s="18" t="s">
        <v>187</v>
      </c>
      <c r="G1325" s="18" t="s">
        <v>48</v>
      </c>
      <c r="H1325" s="24">
        <v>5690</v>
      </c>
      <c r="I1325" s="24">
        <f>T_reg.root.SK[[#This Row],[Volume, kg]]/1000</f>
        <v>5.69</v>
      </c>
      <c r="J1325" s="25">
        <v>0.193</v>
      </c>
      <c r="K1325" s="25">
        <f t="shared" si="20"/>
        <v>1098.17</v>
      </c>
      <c r="L1325" s="25">
        <v>3.15</v>
      </c>
      <c r="M1325" s="24">
        <v>17923.5</v>
      </c>
      <c r="N1325" s="25">
        <f>IFERROR(T_reg.root.SK[[#This Row],[Price]]/T_reg.root.SK[[#This Row],[Starch content]],"")</f>
        <v>16.32124352331606</v>
      </c>
    </row>
    <row r="1326" spans="1:14">
      <c r="A1326" s="21">
        <v>2023</v>
      </c>
      <c r="B1326" s="21" t="s">
        <v>25</v>
      </c>
      <c r="C1326" s="21" t="s">
        <v>1145</v>
      </c>
      <c r="D1326" s="21" t="s">
        <v>35</v>
      </c>
      <c r="E1326" s="17" t="s">
        <v>579</v>
      </c>
      <c r="F1326" s="18" t="s">
        <v>187</v>
      </c>
      <c r="G1326" s="18" t="s">
        <v>48</v>
      </c>
      <c r="H1326" s="24">
        <v>10240</v>
      </c>
      <c r="I1326" s="24">
        <f>T_reg.root.SK[[#This Row],[Volume, kg]]/1000</f>
        <v>10.24</v>
      </c>
      <c r="J1326" s="25">
        <v>0.23399999999999999</v>
      </c>
      <c r="K1326" s="25">
        <f t="shared" si="20"/>
        <v>2396.16</v>
      </c>
      <c r="L1326" s="25">
        <v>3.35</v>
      </c>
      <c r="M1326" s="24">
        <v>34304</v>
      </c>
      <c r="N1326" s="25">
        <f>IFERROR(T_reg.root.SK[[#This Row],[Price]]/T_reg.root.SK[[#This Row],[Starch content]],"")</f>
        <v>14.316239316239317</v>
      </c>
    </row>
    <row r="1327" spans="1:14">
      <c r="A1327" s="21">
        <v>2023</v>
      </c>
      <c r="B1327" s="21" t="s">
        <v>25</v>
      </c>
      <c r="C1327" s="21" t="s">
        <v>1145</v>
      </c>
      <c r="D1327" s="21" t="s">
        <v>35</v>
      </c>
      <c r="E1327" s="17" t="s">
        <v>186</v>
      </c>
      <c r="F1327" s="18" t="s">
        <v>187</v>
      </c>
      <c r="G1327" s="18" t="s">
        <v>48</v>
      </c>
      <c r="H1327" s="24">
        <v>24250</v>
      </c>
      <c r="I1327" s="24">
        <f>T_reg.root.SK[[#This Row],[Volume, kg]]/1000</f>
        <v>24.25</v>
      </c>
      <c r="J1327" s="25">
        <v>0.24</v>
      </c>
      <c r="K1327" s="25">
        <f t="shared" si="20"/>
        <v>5820</v>
      </c>
      <c r="L1327" s="25">
        <v>3.4</v>
      </c>
      <c r="M1327" s="24">
        <v>82514</v>
      </c>
      <c r="N1327" s="25">
        <f>IFERROR(T_reg.root.SK[[#This Row],[Price]]/T_reg.root.SK[[#This Row],[Starch content]],"")</f>
        <v>14.166666666666666</v>
      </c>
    </row>
    <row r="1328" spans="1:14">
      <c r="A1328" s="21">
        <v>2023</v>
      </c>
      <c r="B1328" s="21" t="s">
        <v>25</v>
      </c>
      <c r="C1328" s="21" t="s">
        <v>1145</v>
      </c>
      <c r="D1328" s="21" t="s">
        <v>35</v>
      </c>
      <c r="E1328" s="17" t="s">
        <v>189</v>
      </c>
      <c r="F1328" s="18" t="s">
        <v>187</v>
      </c>
      <c r="G1328" s="18" t="s">
        <v>48</v>
      </c>
      <c r="H1328" s="24">
        <v>5690</v>
      </c>
      <c r="I1328" s="24">
        <f>T_reg.root.SK[[#This Row],[Volume, kg]]/1000</f>
        <v>5.69</v>
      </c>
      <c r="J1328" s="25">
        <v>0.22</v>
      </c>
      <c r="K1328" s="25">
        <f t="shared" si="20"/>
        <v>1251.8</v>
      </c>
      <c r="L1328" s="25">
        <v>3.3</v>
      </c>
      <c r="M1328" s="24">
        <v>18777</v>
      </c>
      <c r="N1328" s="25">
        <f>IFERROR(T_reg.root.SK[[#This Row],[Price]]/T_reg.root.SK[[#This Row],[Starch content]],"")</f>
        <v>15</v>
      </c>
    </row>
    <row r="1329" spans="1:14">
      <c r="A1329" s="21">
        <v>2023</v>
      </c>
      <c r="B1329" s="21" t="s">
        <v>25</v>
      </c>
      <c r="C1329" s="21" t="s">
        <v>1145</v>
      </c>
      <c r="D1329" s="21" t="s">
        <v>35</v>
      </c>
      <c r="E1329" s="17" t="s">
        <v>606</v>
      </c>
      <c r="F1329" s="18" t="s">
        <v>187</v>
      </c>
      <c r="G1329" s="18" t="s">
        <v>48</v>
      </c>
      <c r="H1329" s="24">
        <v>21570</v>
      </c>
      <c r="I1329" s="24">
        <f>T_reg.root.SK[[#This Row],[Volume, kg]]/1000</f>
        <v>21.57</v>
      </c>
      <c r="J1329" s="25">
        <v>0.27839999999999998</v>
      </c>
      <c r="K1329" s="25">
        <f t="shared" si="20"/>
        <v>6005.0879999999997</v>
      </c>
      <c r="L1329" s="25">
        <v>3.59</v>
      </c>
      <c r="M1329" s="24">
        <v>77515.5</v>
      </c>
      <c r="N1329" s="25">
        <f>IFERROR(T_reg.root.SK[[#This Row],[Price]]/T_reg.root.SK[[#This Row],[Starch content]],"")</f>
        <v>12.895114942528735</v>
      </c>
    </row>
    <row r="1330" spans="1:14">
      <c r="A1330" s="21">
        <v>2023</v>
      </c>
      <c r="B1330" s="21" t="s">
        <v>25</v>
      </c>
      <c r="C1330" s="21" t="s">
        <v>1145</v>
      </c>
      <c r="D1330" s="21" t="s">
        <v>35</v>
      </c>
      <c r="E1330" s="17" t="s">
        <v>190</v>
      </c>
      <c r="F1330" s="18" t="s">
        <v>187</v>
      </c>
      <c r="G1330" s="18" t="s">
        <v>48</v>
      </c>
      <c r="H1330" s="24">
        <v>24190</v>
      </c>
      <c r="I1330" s="24">
        <f>T_reg.root.SK[[#This Row],[Volume, kg]]/1000</f>
        <v>24.19</v>
      </c>
      <c r="J1330" s="25">
        <v>0.2364</v>
      </c>
      <c r="K1330" s="25">
        <f t="shared" si="20"/>
        <v>5718.5159999999996</v>
      </c>
      <c r="L1330" s="25">
        <v>3.37</v>
      </c>
      <c r="M1330" s="24">
        <v>81573.5</v>
      </c>
      <c r="N1330" s="25">
        <f>IFERROR(T_reg.root.SK[[#This Row],[Price]]/T_reg.root.SK[[#This Row],[Starch content]],"")</f>
        <v>14.255499153976311</v>
      </c>
    </row>
    <row r="1331" spans="1:14">
      <c r="A1331" s="21">
        <v>2023</v>
      </c>
      <c r="B1331" s="21" t="s">
        <v>25</v>
      </c>
      <c r="C1331" s="21" t="s">
        <v>1145</v>
      </c>
      <c r="D1331" s="21" t="s">
        <v>35</v>
      </c>
      <c r="E1331" s="17" t="s">
        <v>191</v>
      </c>
      <c r="F1331" s="18" t="s">
        <v>187</v>
      </c>
      <c r="G1331" s="18" t="s">
        <v>48</v>
      </c>
      <c r="H1331" s="24">
        <v>19490</v>
      </c>
      <c r="I1331" s="24">
        <f>T_reg.root.SK[[#This Row],[Volume, kg]]/1000</f>
        <v>19.489999999999998</v>
      </c>
      <c r="J1331" s="25">
        <v>0.25769999999999998</v>
      </c>
      <c r="K1331" s="25">
        <f t="shared" si="20"/>
        <v>5022.5729999999994</v>
      </c>
      <c r="L1331" s="25">
        <v>3.5</v>
      </c>
      <c r="M1331" s="24">
        <v>68239.5</v>
      </c>
      <c r="N1331" s="25">
        <f>IFERROR(T_reg.root.SK[[#This Row],[Price]]/T_reg.root.SK[[#This Row],[Starch content]],"")</f>
        <v>13.581684128831975</v>
      </c>
    </row>
    <row r="1332" spans="1:14">
      <c r="A1332" s="21">
        <v>2023</v>
      </c>
      <c r="B1332" s="21" t="s">
        <v>25</v>
      </c>
      <c r="C1332" s="21" t="s">
        <v>1145</v>
      </c>
      <c r="D1332" s="21" t="s">
        <v>35</v>
      </c>
      <c r="E1332" s="17" t="s">
        <v>510</v>
      </c>
      <c r="F1332" s="18" t="s">
        <v>187</v>
      </c>
      <c r="G1332" s="18" t="s">
        <v>48</v>
      </c>
      <c r="H1332" s="24">
        <v>47040</v>
      </c>
      <c r="I1332" s="24">
        <f>T_reg.root.SK[[#This Row],[Volume, kg]]/1000</f>
        <v>47.04</v>
      </c>
      <c r="J1332" s="25">
        <v>0.22750000000000001</v>
      </c>
      <c r="K1332" s="25">
        <f t="shared" si="20"/>
        <v>10701.6</v>
      </c>
      <c r="L1332" s="25">
        <v>3.33</v>
      </c>
      <c r="M1332" s="24">
        <v>156845.5</v>
      </c>
      <c r="N1332" s="25">
        <f>IFERROR(T_reg.root.SK[[#This Row],[Price]]/T_reg.root.SK[[#This Row],[Starch content]],"")</f>
        <v>14.637362637362637</v>
      </c>
    </row>
    <row r="1333" spans="1:14">
      <c r="A1333" s="21">
        <v>2023</v>
      </c>
      <c r="B1333" s="21" t="s">
        <v>25</v>
      </c>
      <c r="C1333" s="21" t="s">
        <v>1145</v>
      </c>
      <c r="D1333" s="21" t="s">
        <v>35</v>
      </c>
      <c r="E1333" s="17" t="s">
        <v>607</v>
      </c>
      <c r="F1333" s="18" t="s">
        <v>187</v>
      </c>
      <c r="G1333" s="18" t="s">
        <v>48</v>
      </c>
      <c r="H1333" s="24">
        <v>9970</v>
      </c>
      <c r="I1333" s="24">
        <f>T_reg.root.SK[[#This Row],[Volume, kg]]/1000</f>
        <v>9.9700000000000006</v>
      </c>
      <c r="J1333" s="25">
        <v>0.24399999999999999</v>
      </c>
      <c r="K1333" s="25">
        <f t="shared" si="20"/>
        <v>2432.6799999999998</v>
      </c>
      <c r="L1333" s="25">
        <v>3.4</v>
      </c>
      <c r="M1333" s="24">
        <v>33898</v>
      </c>
      <c r="N1333" s="25">
        <f>IFERROR(T_reg.root.SK[[#This Row],[Price]]/T_reg.root.SK[[#This Row],[Starch content]],"")</f>
        <v>13.934426229508198</v>
      </c>
    </row>
    <row r="1334" spans="1:14">
      <c r="A1334" s="21">
        <v>2023</v>
      </c>
      <c r="B1334" s="21" t="s">
        <v>25</v>
      </c>
      <c r="C1334" s="21" t="s">
        <v>1145</v>
      </c>
      <c r="D1334" s="21" t="s">
        <v>35</v>
      </c>
      <c r="E1334" s="17" t="s">
        <v>370</v>
      </c>
      <c r="F1334" s="18" t="s">
        <v>187</v>
      </c>
      <c r="G1334" s="18" t="s">
        <v>48</v>
      </c>
      <c r="H1334" s="24">
        <v>75580</v>
      </c>
      <c r="I1334" s="24">
        <f>T_reg.root.SK[[#This Row],[Volume, kg]]/1000</f>
        <v>75.58</v>
      </c>
      <c r="J1334" s="25">
        <v>0.20499999999999999</v>
      </c>
      <c r="K1334" s="25">
        <f t="shared" si="20"/>
        <v>15493.9</v>
      </c>
      <c r="L1334" s="25">
        <v>3.22</v>
      </c>
      <c r="M1334" s="24">
        <v>243453</v>
      </c>
      <c r="N1334" s="25">
        <f>IFERROR(T_reg.root.SK[[#This Row],[Price]]/T_reg.root.SK[[#This Row],[Starch content]],"")</f>
        <v>15.707317073170733</v>
      </c>
    </row>
    <row r="1335" spans="1:14">
      <c r="A1335" s="21">
        <v>2023</v>
      </c>
      <c r="B1335" s="21" t="s">
        <v>25</v>
      </c>
      <c r="C1335" s="21" t="s">
        <v>1145</v>
      </c>
      <c r="D1335" s="21" t="s">
        <v>35</v>
      </c>
      <c r="E1335" s="17" t="s">
        <v>581</v>
      </c>
      <c r="F1335" s="18" t="s">
        <v>187</v>
      </c>
      <c r="G1335" s="18" t="s">
        <v>48</v>
      </c>
      <c r="H1335" s="24">
        <v>59600</v>
      </c>
      <c r="I1335" s="24">
        <f>T_reg.root.SK[[#This Row],[Volume, kg]]/1000</f>
        <v>59.6</v>
      </c>
      <c r="J1335" s="25">
        <v>0.21379999999999999</v>
      </c>
      <c r="K1335" s="25">
        <f t="shared" si="20"/>
        <v>12742.48</v>
      </c>
      <c r="L1335" s="25">
        <v>3.27</v>
      </c>
      <c r="M1335" s="24">
        <v>195044.5</v>
      </c>
      <c r="N1335" s="25">
        <f>IFERROR(T_reg.root.SK[[#This Row],[Price]]/T_reg.root.SK[[#This Row],[Starch content]],"")</f>
        <v>15.294667913938261</v>
      </c>
    </row>
    <row r="1336" spans="1:14">
      <c r="A1336" s="21">
        <v>2023</v>
      </c>
      <c r="B1336" s="21" t="s">
        <v>25</v>
      </c>
      <c r="C1336" s="21" t="s">
        <v>1145</v>
      </c>
      <c r="D1336" s="21" t="s">
        <v>35</v>
      </c>
      <c r="E1336" s="17" t="s">
        <v>608</v>
      </c>
      <c r="F1336" s="18" t="s">
        <v>187</v>
      </c>
      <c r="G1336" s="18" t="s">
        <v>48</v>
      </c>
      <c r="H1336" s="24">
        <v>38100</v>
      </c>
      <c r="I1336" s="24">
        <f>T_reg.root.SK[[#This Row],[Volume, kg]]/1000</f>
        <v>38.1</v>
      </c>
      <c r="J1336" s="25">
        <v>0.25530000000000003</v>
      </c>
      <c r="K1336" s="25">
        <f t="shared" si="20"/>
        <v>9726.93</v>
      </c>
      <c r="L1336" s="25">
        <v>3.48</v>
      </c>
      <c r="M1336" s="24">
        <v>132513</v>
      </c>
      <c r="N1336" s="25">
        <f>IFERROR(T_reg.root.SK[[#This Row],[Price]]/T_reg.root.SK[[#This Row],[Starch content]],"")</f>
        <v>13.631022326674499</v>
      </c>
    </row>
    <row r="1337" spans="1:14">
      <c r="A1337" s="21">
        <v>2023</v>
      </c>
      <c r="B1337" s="21" t="s">
        <v>25</v>
      </c>
      <c r="C1337" s="21" t="s">
        <v>1145</v>
      </c>
      <c r="D1337" s="21" t="s">
        <v>35</v>
      </c>
      <c r="E1337" s="17" t="s">
        <v>609</v>
      </c>
      <c r="F1337" s="18" t="s">
        <v>187</v>
      </c>
      <c r="G1337" s="18" t="s">
        <v>48</v>
      </c>
      <c r="H1337" s="24">
        <v>16410</v>
      </c>
      <c r="I1337" s="24">
        <f>T_reg.root.SK[[#This Row],[Volume, kg]]/1000</f>
        <v>16.41</v>
      </c>
      <c r="J1337" s="25">
        <v>0.215</v>
      </c>
      <c r="K1337" s="25">
        <f t="shared" si="20"/>
        <v>3528.15</v>
      </c>
      <c r="L1337" s="25">
        <v>3.27</v>
      </c>
      <c r="M1337" s="24">
        <v>53734.5</v>
      </c>
      <c r="N1337" s="25">
        <f>IFERROR(T_reg.root.SK[[#This Row],[Price]]/T_reg.root.SK[[#This Row],[Starch content]],"")</f>
        <v>15.209302325581396</v>
      </c>
    </row>
    <row r="1338" spans="1:14">
      <c r="A1338" s="21">
        <v>2023</v>
      </c>
      <c r="B1338" s="21" t="s">
        <v>25</v>
      </c>
      <c r="C1338" s="21" t="s">
        <v>1145</v>
      </c>
      <c r="D1338" s="21" t="s">
        <v>35</v>
      </c>
      <c r="E1338" s="17" t="s">
        <v>261</v>
      </c>
      <c r="F1338" s="18" t="s">
        <v>187</v>
      </c>
      <c r="G1338" s="18" t="s">
        <v>48</v>
      </c>
      <c r="H1338" s="24">
        <v>15990</v>
      </c>
      <c r="I1338" s="24">
        <f>T_reg.root.SK[[#This Row],[Volume, kg]]/1000</f>
        <v>15.99</v>
      </c>
      <c r="J1338" s="25">
        <v>0.2278</v>
      </c>
      <c r="K1338" s="25">
        <f t="shared" si="20"/>
        <v>3642.5219999999999</v>
      </c>
      <c r="L1338" s="25">
        <v>3.32</v>
      </c>
      <c r="M1338" s="24">
        <v>53153</v>
      </c>
      <c r="N1338" s="25">
        <f>IFERROR(T_reg.root.SK[[#This Row],[Price]]/T_reg.root.SK[[#This Row],[Starch content]],"")</f>
        <v>14.574187884108866</v>
      </c>
    </row>
    <row r="1339" spans="1:14">
      <c r="A1339" s="21">
        <v>2023</v>
      </c>
      <c r="B1339" s="21" t="s">
        <v>25</v>
      </c>
      <c r="C1339" s="21" t="s">
        <v>1145</v>
      </c>
      <c r="D1339" s="21" t="s">
        <v>35</v>
      </c>
      <c r="E1339" s="17" t="s">
        <v>192</v>
      </c>
      <c r="F1339" s="18" t="s">
        <v>187</v>
      </c>
      <c r="G1339" s="18" t="s">
        <v>48</v>
      </c>
      <c r="H1339" s="24">
        <v>12680</v>
      </c>
      <c r="I1339" s="24">
        <f>T_reg.root.SK[[#This Row],[Volume, kg]]/1000</f>
        <v>12.68</v>
      </c>
      <c r="J1339" s="25">
        <v>0.21679999999999999</v>
      </c>
      <c r="K1339" s="25">
        <f t="shared" si="20"/>
        <v>2749.0239999999999</v>
      </c>
      <c r="L1339" s="25">
        <v>3.28</v>
      </c>
      <c r="M1339" s="24">
        <v>41639.5</v>
      </c>
      <c r="N1339" s="25">
        <f>IFERROR(T_reg.root.SK[[#This Row],[Price]]/T_reg.root.SK[[#This Row],[Starch content]],"")</f>
        <v>15.129151291512915</v>
      </c>
    </row>
    <row r="1340" spans="1:14">
      <c r="A1340" s="21">
        <v>2023</v>
      </c>
      <c r="B1340" s="21" t="s">
        <v>25</v>
      </c>
      <c r="C1340" s="21" t="s">
        <v>1145</v>
      </c>
      <c r="D1340" s="21" t="s">
        <v>35</v>
      </c>
      <c r="E1340" s="17" t="s">
        <v>262</v>
      </c>
      <c r="F1340" s="18" t="s">
        <v>187</v>
      </c>
      <c r="G1340" s="18" t="s">
        <v>48</v>
      </c>
      <c r="H1340" s="24">
        <v>16560</v>
      </c>
      <c r="I1340" s="24">
        <f>T_reg.root.SK[[#This Row],[Volume, kg]]/1000</f>
        <v>16.559999999999999</v>
      </c>
      <c r="J1340" s="25">
        <v>0.21100000000000002</v>
      </c>
      <c r="K1340" s="25">
        <f t="shared" si="20"/>
        <v>3494.1600000000003</v>
      </c>
      <c r="L1340" s="25">
        <v>3.23</v>
      </c>
      <c r="M1340" s="24">
        <v>53546</v>
      </c>
      <c r="N1340" s="25">
        <f>IFERROR(T_reg.root.SK[[#This Row],[Price]]/T_reg.root.SK[[#This Row],[Starch content]],"")</f>
        <v>15.308056872037913</v>
      </c>
    </row>
    <row r="1341" spans="1:14">
      <c r="A1341" s="21">
        <v>2023</v>
      </c>
      <c r="B1341" s="21" t="s">
        <v>25</v>
      </c>
      <c r="C1341" s="21" t="s">
        <v>1145</v>
      </c>
      <c r="D1341" s="21" t="s">
        <v>35</v>
      </c>
      <c r="E1341" s="17" t="s">
        <v>515</v>
      </c>
      <c r="F1341" s="18" t="s">
        <v>187</v>
      </c>
      <c r="G1341" s="18" t="s">
        <v>48</v>
      </c>
      <c r="H1341" s="24">
        <v>27320</v>
      </c>
      <c r="I1341" s="24">
        <f>T_reg.root.SK[[#This Row],[Volume, kg]]/1000</f>
        <v>27.32</v>
      </c>
      <c r="J1341" s="25">
        <v>0.25890000000000002</v>
      </c>
      <c r="K1341" s="25">
        <f t="shared" si="20"/>
        <v>7073.1480000000001</v>
      </c>
      <c r="L1341" s="25">
        <v>3.49</v>
      </c>
      <c r="M1341" s="24">
        <v>95380</v>
      </c>
      <c r="N1341" s="25">
        <f>IFERROR(T_reg.root.SK[[#This Row],[Price]]/T_reg.root.SK[[#This Row],[Starch content]],"")</f>
        <v>13.480108149864812</v>
      </c>
    </row>
    <row r="1342" spans="1:14">
      <c r="A1342" s="21">
        <v>2023</v>
      </c>
      <c r="B1342" s="21" t="s">
        <v>25</v>
      </c>
      <c r="C1342" s="21" t="s">
        <v>1145</v>
      </c>
      <c r="D1342" s="21" t="s">
        <v>35</v>
      </c>
      <c r="E1342" s="17" t="s">
        <v>587</v>
      </c>
      <c r="F1342" s="18" t="s">
        <v>187</v>
      </c>
      <c r="G1342" s="18" t="s">
        <v>48</v>
      </c>
      <c r="H1342" s="24">
        <v>17870</v>
      </c>
      <c r="I1342" s="24">
        <f>T_reg.root.SK[[#This Row],[Volume, kg]]/1000</f>
        <v>17.87</v>
      </c>
      <c r="J1342" s="25">
        <v>0.18469999999999998</v>
      </c>
      <c r="K1342" s="25">
        <f t="shared" si="20"/>
        <v>3300.5889999999995</v>
      </c>
      <c r="L1342" s="25">
        <v>3.12</v>
      </c>
      <c r="M1342" s="24">
        <v>55809</v>
      </c>
      <c r="N1342" s="25">
        <f>IFERROR(T_reg.root.SK[[#This Row],[Price]]/T_reg.root.SK[[#This Row],[Starch content]],"")</f>
        <v>16.892257715213862</v>
      </c>
    </row>
    <row r="1343" spans="1:14">
      <c r="A1343" s="21">
        <v>2023</v>
      </c>
      <c r="B1343" s="21" t="s">
        <v>25</v>
      </c>
      <c r="C1343" s="21" t="s">
        <v>1145</v>
      </c>
      <c r="D1343" s="21" t="s">
        <v>35</v>
      </c>
      <c r="E1343" s="17" t="s">
        <v>519</v>
      </c>
      <c r="F1343" s="18" t="s">
        <v>187</v>
      </c>
      <c r="G1343" s="18" t="s">
        <v>48</v>
      </c>
      <c r="H1343" s="24">
        <v>17470</v>
      </c>
      <c r="I1343" s="24">
        <f>T_reg.root.SK[[#This Row],[Volume, kg]]/1000</f>
        <v>17.47</v>
      </c>
      <c r="J1343" s="25">
        <v>0.26250000000000001</v>
      </c>
      <c r="K1343" s="25">
        <f t="shared" si="20"/>
        <v>4585.875</v>
      </c>
      <c r="L1343" s="25">
        <v>3.53</v>
      </c>
      <c r="M1343" s="24">
        <v>61613.5</v>
      </c>
      <c r="N1343" s="25">
        <f>IFERROR(T_reg.root.SK[[#This Row],[Price]]/T_reg.root.SK[[#This Row],[Starch content]],"")</f>
        <v>13.447619047619046</v>
      </c>
    </row>
    <row r="1344" spans="1:14">
      <c r="A1344" s="21">
        <v>2023</v>
      </c>
      <c r="B1344" s="21" t="s">
        <v>25</v>
      </c>
      <c r="C1344" s="21" t="s">
        <v>1145</v>
      </c>
      <c r="D1344" s="21" t="s">
        <v>35</v>
      </c>
      <c r="E1344" s="17" t="s">
        <v>590</v>
      </c>
      <c r="F1344" s="18" t="s">
        <v>187</v>
      </c>
      <c r="G1344" s="18" t="s">
        <v>48</v>
      </c>
      <c r="H1344" s="24">
        <v>10780</v>
      </c>
      <c r="I1344" s="24">
        <f>T_reg.root.SK[[#This Row],[Volume, kg]]/1000</f>
        <v>10.78</v>
      </c>
      <c r="J1344" s="25">
        <v>0.25679999999999997</v>
      </c>
      <c r="K1344" s="25">
        <f t="shared" si="20"/>
        <v>2768.3039999999996</v>
      </c>
      <c r="L1344" s="25">
        <v>3.5</v>
      </c>
      <c r="M1344" s="24">
        <v>37730</v>
      </c>
      <c r="N1344" s="25">
        <f>IFERROR(T_reg.root.SK[[#This Row],[Price]]/T_reg.root.SK[[#This Row],[Starch content]],"")</f>
        <v>13.629283489096574</v>
      </c>
    </row>
    <row r="1345" spans="1:14">
      <c r="A1345" s="21">
        <v>2023</v>
      </c>
      <c r="B1345" s="21" t="s">
        <v>25</v>
      </c>
      <c r="C1345" s="21" t="s">
        <v>1145</v>
      </c>
      <c r="D1345" s="21" t="s">
        <v>35</v>
      </c>
      <c r="E1345" s="17" t="s">
        <v>264</v>
      </c>
      <c r="F1345" s="18" t="s">
        <v>187</v>
      </c>
      <c r="G1345" s="18" t="s">
        <v>48</v>
      </c>
      <c r="H1345" s="24">
        <v>14370</v>
      </c>
      <c r="I1345" s="24">
        <f>T_reg.root.SK[[#This Row],[Volume, kg]]/1000</f>
        <v>14.37</v>
      </c>
      <c r="J1345" s="25">
        <v>0.19289999999999999</v>
      </c>
      <c r="K1345" s="25">
        <f t="shared" si="20"/>
        <v>2771.973</v>
      </c>
      <c r="L1345" s="25">
        <v>3.15</v>
      </c>
      <c r="M1345" s="24">
        <v>45265.5</v>
      </c>
      <c r="N1345" s="25">
        <f>IFERROR(T_reg.root.SK[[#This Row],[Price]]/T_reg.root.SK[[#This Row],[Starch content]],"")</f>
        <v>16.329704510108865</v>
      </c>
    </row>
    <row r="1346" spans="1:14">
      <c r="A1346" s="21">
        <v>2023</v>
      </c>
      <c r="B1346" s="21" t="s">
        <v>25</v>
      </c>
      <c r="C1346" s="21" t="s">
        <v>1145</v>
      </c>
      <c r="D1346" s="21" t="s">
        <v>35</v>
      </c>
      <c r="E1346" s="17" t="s">
        <v>522</v>
      </c>
      <c r="F1346" s="18" t="s">
        <v>187</v>
      </c>
      <c r="G1346" s="18" t="s">
        <v>48</v>
      </c>
      <c r="H1346" s="24">
        <v>31590</v>
      </c>
      <c r="I1346" s="24">
        <f>T_reg.root.SK[[#This Row],[Volume, kg]]/1000</f>
        <v>31.59</v>
      </c>
      <c r="J1346" s="25">
        <v>0.18590000000000001</v>
      </c>
      <c r="K1346" s="25">
        <f t="shared" si="20"/>
        <v>5872.5810000000001</v>
      </c>
      <c r="L1346" s="25">
        <v>3.12</v>
      </c>
      <c r="M1346" s="24">
        <v>98542.5</v>
      </c>
      <c r="N1346" s="25">
        <f>IFERROR(T_reg.root.SK[[#This Row],[Price]]/T_reg.root.SK[[#This Row],[Starch content]],"")</f>
        <v>16.783216783216783</v>
      </c>
    </row>
    <row r="1347" spans="1:14">
      <c r="A1347" s="21">
        <v>2023</v>
      </c>
      <c r="B1347" s="21" t="s">
        <v>25</v>
      </c>
      <c r="C1347" s="21" t="s">
        <v>1145</v>
      </c>
      <c r="D1347" s="21" t="s">
        <v>35</v>
      </c>
      <c r="E1347" s="17" t="s">
        <v>196</v>
      </c>
      <c r="F1347" s="18" t="s">
        <v>187</v>
      </c>
      <c r="G1347" s="18" t="s">
        <v>48</v>
      </c>
      <c r="H1347" s="24">
        <v>3610</v>
      </c>
      <c r="I1347" s="24">
        <f>T_reg.root.SK[[#This Row],[Volume, kg]]/1000</f>
        <v>3.61</v>
      </c>
      <c r="J1347" s="25">
        <v>0.2225</v>
      </c>
      <c r="K1347" s="25">
        <f t="shared" ref="K1347:K1410" si="21">H1347*J1347</f>
        <v>803.22500000000002</v>
      </c>
      <c r="L1347" s="25">
        <v>3.3</v>
      </c>
      <c r="M1347" s="24">
        <v>11913</v>
      </c>
      <c r="N1347" s="25">
        <f>IFERROR(T_reg.root.SK[[#This Row],[Price]]/T_reg.root.SK[[#This Row],[Starch content]],"")</f>
        <v>14.831460674157302</v>
      </c>
    </row>
    <row r="1348" spans="1:14">
      <c r="A1348" s="21">
        <v>2023</v>
      </c>
      <c r="B1348" s="21" t="s">
        <v>25</v>
      </c>
      <c r="C1348" s="21" t="s">
        <v>1145</v>
      </c>
      <c r="D1348" s="21" t="s">
        <v>35</v>
      </c>
      <c r="E1348" s="17" t="s">
        <v>610</v>
      </c>
      <c r="F1348" s="18" t="s">
        <v>187</v>
      </c>
      <c r="G1348" s="18" t="s">
        <v>48</v>
      </c>
      <c r="H1348" s="24">
        <v>17200</v>
      </c>
      <c r="I1348" s="24">
        <f>T_reg.root.SK[[#This Row],[Volume, kg]]/1000</f>
        <v>17.2</v>
      </c>
      <c r="J1348" s="25">
        <v>0.18280000000000002</v>
      </c>
      <c r="K1348" s="25">
        <f t="shared" si="21"/>
        <v>3144.1600000000003</v>
      </c>
      <c r="L1348" s="25">
        <v>3.11</v>
      </c>
      <c r="M1348" s="24">
        <v>53560.5</v>
      </c>
      <c r="N1348" s="25">
        <f>IFERROR(T_reg.root.SK[[#This Row],[Price]]/T_reg.root.SK[[#This Row],[Starch content]],"")</f>
        <v>17.013129102844637</v>
      </c>
    </row>
    <row r="1349" spans="1:14">
      <c r="A1349" s="21">
        <v>2023</v>
      </c>
      <c r="B1349" s="21" t="s">
        <v>25</v>
      </c>
      <c r="C1349" s="21" t="s">
        <v>1145</v>
      </c>
      <c r="D1349" s="21" t="s">
        <v>35</v>
      </c>
      <c r="E1349" s="17" t="s">
        <v>591</v>
      </c>
      <c r="F1349" s="18" t="s">
        <v>187</v>
      </c>
      <c r="G1349" s="18" t="s">
        <v>48</v>
      </c>
      <c r="H1349" s="24">
        <v>3370</v>
      </c>
      <c r="I1349" s="24">
        <f>T_reg.root.SK[[#This Row],[Volume, kg]]/1000</f>
        <v>3.37</v>
      </c>
      <c r="J1349" s="25">
        <v>0.2465</v>
      </c>
      <c r="K1349" s="25">
        <f t="shared" si="21"/>
        <v>830.70500000000004</v>
      </c>
      <c r="L1349" s="25">
        <v>3.45</v>
      </c>
      <c r="M1349" s="24">
        <v>11626.5</v>
      </c>
      <c r="N1349" s="25">
        <f>IFERROR(T_reg.root.SK[[#This Row],[Price]]/T_reg.root.SK[[#This Row],[Starch content]],"")</f>
        <v>13.995943204868155</v>
      </c>
    </row>
    <row r="1350" spans="1:14">
      <c r="A1350" s="21">
        <v>2023</v>
      </c>
      <c r="B1350" s="21" t="s">
        <v>25</v>
      </c>
      <c r="C1350" s="21" t="s">
        <v>1145</v>
      </c>
      <c r="D1350" s="21" t="s">
        <v>35</v>
      </c>
      <c r="E1350" s="17" t="s">
        <v>611</v>
      </c>
      <c r="F1350" s="18" t="s">
        <v>187</v>
      </c>
      <c r="G1350" s="18" t="s">
        <v>48</v>
      </c>
      <c r="H1350" s="24">
        <v>62900</v>
      </c>
      <c r="I1350" s="24">
        <f>T_reg.root.SK[[#This Row],[Volume, kg]]/1000</f>
        <v>62.9</v>
      </c>
      <c r="J1350" s="25">
        <v>0.2366</v>
      </c>
      <c r="K1350" s="25">
        <f t="shared" si="21"/>
        <v>14882.14</v>
      </c>
      <c r="L1350" s="25">
        <v>3.38</v>
      </c>
      <c r="M1350" s="24">
        <v>212737</v>
      </c>
      <c r="N1350" s="25">
        <f>IFERROR(T_reg.root.SK[[#This Row],[Price]]/T_reg.root.SK[[#This Row],[Starch content]],"")</f>
        <v>14.285714285714285</v>
      </c>
    </row>
    <row r="1351" spans="1:14">
      <c r="A1351" s="21">
        <v>2023</v>
      </c>
      <c r="B1351" s="21" t="s">
        <v>25</v>
      </c>
      <c r="C1351" s="21" t="s">
        <v>1145</v>
      </c>
      <c r="D1351" s="21" t="s">
        <v>35</v>
      </c>
      <c r="E1351" s="17" t="s">
        <v>612</v>
      </c>
      <c r="F1351" s="18" t="s">
        <v>187</v>
      </c>
      <c r="G1351" s="18" t="s">
        <v>48</v>
      </c>
      <c r="H1351" s="24">
        <v>33380</v>
      </c>
      <c r="I1351" s="24">
        <f>T_reg.root.SK[[#This Row],[Volume, kg]]/1000</f>
        <v>33.380000000000003</v>
      </c>
      <c r="J1351" s="25">
        <v>0.26429999999999998</v>
      </c>
      <c r="K1351" s="25">
        <f t="shared" si="21"/>
        <v>8822.3339999999989</v>
      </c>
      <c r="L1351" s="25">
        <v>3.52</v>
      </c>
      <c r="M1351" s="24">
        <v>117615</v>
      </c>
      <c r="N1351" s="25">
        <f>IFERROR(T_reg.root.SK[[#This Row],[Price]]/T_reg.root.SK[[#This Row],[Starch content]],"")</f>
        <v>13.318199016269391</v>
      </c>
    </row>
    <row r="1352" spans="1:14">
      <c r="A1352" s="21">
        <v>2023</v>
      </c>
      <c r="B1352" s="21" t="s">
        <v>25</v>
      </c>
      <c r="C1352" s="21" t="s">
        <v>1145</v>
      </c>
      <c r="D1352" s="21" t="s">
        <v>35</v>
      </c>
      <c r="E1352" s="17" t="s">
        <v>199</v>
      </c>
      <c r="F1352" s="18" t="s">
        <v>187</v>
      </c>
      <c r="G1352" s="18" t="s">
        <v>48</v>
      </c>
      <c r="H1352" s="24">
        <v>63310</v>
      </c>
      <c r="I1352" s="24">
        <f>T_reg.root.SK[[#This Row],[Volume, kg]]/1000</f>
        <v>63.31</v>
      </c>
      <c r="J1352" s="25">
        <v>0.22420000000000001</v>
      </c>
      <c r="K1352" s="25">
        <f t="shared" si="21"/>
        <v>14194.102000000001</v>
      </c>
      <c r="L1352" s="25">
        <v>3.32</v>
      </c>
      <c r="M1352" s="24">
        <v>210363.5</v>
      </c>
      <c r="N1352" s="25">
        <f>IFERROR(T_reg.root.SK[[#This Row],[Price]]/T_reg.root.SK[[#This Row],[Starch content]],"")</f>
        <v>14.808206958073148</v>
      </c>
    </row>
    <row r="1353" spans="1:14">
      <c r="A1353" s="21">
        <v>2023</v>
      </c>
      <c r="B1353" s="21" t="s">
        <v>25</v>
      </c>
      <c r="C1353" s="21" t="s">
        <v>1145</v>
      </c>
      <c r="D1353" s="21" t="s">
        <v>35</v>
      </c>
      <c r="E1353" s="17" t="s">
        <v>201</v>
      </c>
      <c r="F1353" s="18" t="s">
        <v>187</v>
      </c>
      <c r="G1353" s="18" t="s">
        <v>48</v>
      </c>
      <c r="H1353" s="24">
        <v>2430</v>
      </c>
      <c r="I1353" s="24">
        <f>T_reg.root.SK[[#This Row],[Volume, kg]]/1000</f>
        <v>2.4300000000000002</v>
      </c>
      <c r="J1353" s="25">
        <v>0.21199999999999999</v>
      </c>
      <c r="K1353" s="25">
        <f t="shared" si="21"/>
        <v>515.16</v>
      </c>
      <c r="L1353" s="25">
        <v>3.25</v>
      </c>
      <c r="M1353" s="24">
        <v>7897.5</v>
      </c>
      <c r="N1353" s="25">
        <f>IFERROR(T_reg.root.SK[[#This Row],[Price]]/T_reg.root.SK[[#This Row],[Starch content]],"")</f>
        <v>15.330188679245284</v>
      </c>
    </row>
    <row r="1354" spans="1:14">
      <c r="A1354" s="21">
        <v>2023</v>
      </c>
      <c r="B1354" s="21" t="s">
        <v>25</v>
      </c>
      <c r="C1354" s="21" t="s">
        <v>1145</v>
      </c>
      <c r="D1354" s="21" t="s">
        <v>35</v>
      </c>
      <c r="E1354" s="17" t="s">
        <v>527</v>
      </c>
      <c r="F1354" s="18" t="s">
        <v>187</v>
      </c>
      <c r="G1354" s="18" t="s">
        <v>48</v>
      </c>
      <c r="H1354" s="24">
        <v>28550</v>
      </c>
      <c r="I1354" s="24">
        <f>T_reg.root.SK[[#This Row],[Volume, kg]]/1000</f>
        <v>28.55</v>
      </c>
      <c r="J1354" s="25">
        <v>0.19159999999999999</v>
      </c>
      <c r="K1354" s="25">
        <f t="shared" si="21"/>
        <v>5470.1799999999994</v>
      </c>
      <c r="L1354" s="25">
        <v>3.16</v>
      </c>
      <c r="M1354" s="24">
        <v>90128</v>
      </c>
      <c r="N1354" s="25">
        <f>IFERROR(T_reg.root.SK[[#This Row],[Price]]/T_reg.root.SK[[#This Row],[Starch content]],"")</f>
        <v>16.492693110647181</v>
      </c>
    </row>
    <row r="1355" spans="1:14">
      <c r="A1355" s="21">
        <v>2023</v>
      </c>
      <c r="B1355" s="21" t="s">
        <v>25</v>
      </c>
      <c r="C1355" s="21" t="s">
        <v>1145</v>
      </c>
      <c r="D1355" s="21" t="s">
        <v>35</v>
      </c>
      <c r="E1355" s="17" t="s">
        <v>204</v>
      </c>
      <c r="F1355" s="18" t="s">
        <v>187</v>
      </c>
      <c r="G1355" s="18" t="s">
        <v>48</v>
      </c>
      <c r="H1355" s="24">
        <v>4590</v>
      </c>
      <c r="I1355" s="24">
        <f>T_reg.root.SK[[#This Row],[Volume, kg]]/1000</f>
        <v>4.59</v>
      </c>
      <c r="J1355" s="25">
        <v>0.2195</v>
      </c>
      <c r="K1355" s="25">
        <f t="shared" si="21"/>
        <v>1007.505</v>
      </c>
      <c r="L1355" s="25">
        <v>3.3</v>
      </c>
      <c r="M1355" s="24">
        <v>15147</v>
      </c>
      <c r="N1355" s="25">
        <f>IFERROR(T_reg.root.SK[[#This Row],[Price]]/T_reg.root.SK[[#This Row],[Starch content]],"")</f>
        <v>15.034168564920272</v>
      </c>
    </row>
    <row r="1356" spans="1:14">
      <c r="A1356" s="21">
        <v>2023</v>
      </c>
      <c r="B1356" s="21" t="s">
        <v>25</v>
      </c>
      <c r="C1356" s="21" t="s">
        <v>1145</v>
      </c>
      <c r="D1356" s="21" t="s">
        <v>35</v>
      </c>
      <c r="E1356" s="17" t="s">
        <v>206</v>
      </c>
      <c r="F1356" s="18" t="s">
        <v>187</v>
      </c>
      <c r="G1356" s="18" t="s">
        <v>48</v>
      </c>
      <c r="H1356" s="24">
        <v>24710</v>
      </c>
      <c r="I1356" s="24">
        <f>T_reg.root.SK[[#This Row],[Volume, kg]]/1000</f>
        <v>24.71</v>
      </c>
      <c r="J1356" s="25">
        <v>0.19719999999999999</v>
      </c>
      <c r="K1356" s="25">
        <f t="shared" si="21"/>
        <v>4872.8119999999999</v>
      </c>
      <c r="L1356" s="25">
        <v>3.2</v>
      </c>
      <c r="M1356" s="24">
        <v>78974</v>
      </c>
      <c r="N1356" s="25">
        <f>IFERROR(T_reg.root.SK[[#This Row],[Price]]/T_reg.root.SK[[#This Row],[Starch content]],"")</f>
        <v>16.227180527383368</v>
      </c>
    </row>
    <row r="1357" spans="1:14">
      <c r="A1357" s="21">
        <v>2023</v>
      </c>
      <c r="B1357" s="21" t="s">
        <v>25</v>
      </c>
      <c r="C1357" s="21" t="s">
        <v>1145</v>
      </c>
      <c r="D1357" s="21" t="s">
        <v>35</v>
      </c>
      <c r="E1357" s="17" t="s">
        <v>267</v>
      </c>
      <c r="F1357" s="18" t="s">
        <v>187</v>
      </c>
      <c r="G1357" s="18" t="s">
        <v>48</v>
      </c>
      <c r="H1357" s="24">
        <v>4600</v>
      </c>
      <c r="I1357" s="24">
        <f>T_reg.root.SK[[#This Row],[Volume, kg]]/1000</f>
        <v>4.5999999999999996</v>
      </c>
      <c r="J1357" s="25">
        <v>0.26400000000000001</v>
      </c>
      <c r="K1357" s="25">
        <f t="shared" si="21"/>
        <v>1214.4000000000001</v>
      </c>
      <c r="L1357" s="25">
        <v>3.5</v>
      </c>
      <c r="M1357" s="24">
        <v>16100</v>
      </c>
      <c r="N1357" s="25">
        <f>IFERROR(T_reg.root.SK[[#This Row],[Price]]/T_reg.root.SK[[#This Row],[Starch content]],"")</f>
        <v>13.257575757575758</v>
      </c>
    </row>
    <row r="1358" spans="1:14">
      <c r="A1358" s="21">
        <v>2023</v>
      </c>
      <c r="B1358" s="21" t="s">
        <v>25</v>
      </c>
      <c r="C1358" s="21" t="s">
        <v>1145</v>
      </c>
      <c r="D1358" s="21" t="s">
        <v>35</v>
      </c>
      <c r="E1358" s="17" t="s">
        <v>268</v>
      </c>
      <c r="F1358" s="18" t="s">
        <v>187</v>
      </c>
      <c r="G1358" s="18" t="s">
        <v>48</v>
      </c>
      <c r="H1358" s="24">
        <v>24560</v>
      </c>
      <c r="I1358" s="24">
        <f>T_reg.root.SK[[#This Row],[Volume, kg]]/1000</f>
        <v>24.56</v>
      </c>
      <c r="J1358" s="25">
        <v>0.24359999999999998</v>
      </c>
      <c r="K1358" s="25">
        <f t="shared" si="21"/>
        <v>5982.8159999999998</v>
      </c>
      <c r="L1358" s="25">
        <v>3.41</v>
      </c>
      <c r="M1358" s="24">
        <v>83628</v>
      </c>
      <c r="N1358" s="25">
        <f>IFERROR(T_reg.root.SK[[#This Row],[Price]]/T_reg.root.SK[[#This Row],[Starch content]],"")</f>
        <v>13.998357963875208</v>
      </c>
    </row>
    <row r="1359" spans="1:14">
      <c r="A1359" s="21">
        <v>2023</v>
      </c>
      <c r="B1359" s="21" t="s">
        <v>25</v>
      </c>
      <c r="C1359" s="21" t="s">
        <v>1145</v>
      </c>
      <c r="D1359" s="21" t="s">
        <v>35</v>
      </c>
      <c r="E1359" s="17" t="s">
        <v>595</v>
      </c>
      <c r="F1359" s="18" t="s">
        <v>187</v>
      </c>
      <c r="G1359" s="18" t="s">
        <v>48</v>
      </c>
      <c r="H1359" s="24">
        <v>89590</v>
      </c>
      <c r="I1359" s="24">
        <f>T_reg.root.SK[[#This Row],[Volume, kg]]/1000</f>
        <v>89.59</v>
      </c>
      <c r="J1359" s="25">
        <v>0.25900000000000001</v>
      </c>
      <c r="K1359" s="25">
        <f t="shared" si="21"/>
        <v>23203.81</v>
      </c>
      <c r="L1359" s="25">
        <v>3.51</v>
      </c>
      <c r="M1359" s="24">
        <v>314125</v>
      </c>
      <c r="N1359" s="25">
        <f>IFERROR(T_reg.root.SK[[#This Row],[Price]]/T_reg.root.SK[[#This Row],[Starch content]],"")</f>
        <v>13.55212355212355</v>
      </c>
    </row>
    <row r="1360" spans="1:14">
      <c r="A1360" s="21">
        <v>2023</v>
      </c>
      <c r="B1360" s="21" t="s">
        <v>25</v>
      </c>
      <c r="C1360" s="21" t="s">
        <v>1145</v>
      </c>
      <c r="D1360" s="21" t="s">
        <v>35</v>
      </c>
      <c r="E1360" s="17" t="s">
        <v>333</v>
      </c>
      <c r="F1360" s="18" t="s">
        <v>187</v>
      </c>
      <c r="G1360" s="18" t="s">
        <v>48</v>
      </c>
      <c r="H1360" s="24">
        <v>23720</v>
      </c>
      <c r="I1360" s="24">
        <f>T_reg.root.SK[[#This Row],[Volume, kg]]/1000</f>
        <v>23.72</v>
      </c>
      <c r="J1360" s="25">
        <v>0.22769999999999999</v>
      </c>
      <c r="K1360" s="25">
        <f t="shared" si="21"/>
        <v>5401.0439999999999</v>
      </c>
      <c r="L1360" s="25">
        <v>3.32</v>
      </c>
      <c r="M1360" s="24">
        <v>78841</v>
      </c>
      <c r="N1360" s="25">
        <f>IFERROR(T_reg.root.SK[[#This Row],[Price]]/T_reg.root.SK[[#This Row],[Starch content]],"")</f>
        <v>14.580588493631971</v>
      </c>
    </row>
    <row r="1361" spans="1:14">
      <c r="A1361" s="21">
        <v>2023</v>
      </c>
      <c r="B1361" s="21" t="s">
        <v>25</v>
      </c>
      <c r="C1361" s="21" t="s">
        <v>1145</v>
      </c>
      <c r="D1361" s="21" t="s">
        <v>35</v>
      </c>
      <c r="E1361" s="17" t="s">
        <v>613</v>
      </c>
      <c r="F1361" s="18" t="s">
        <v>187</v>
      </c>
      <c r="G1361" s="18" t="s">
        <v>48</v>
      </c>
      <c r="H1361" s="24">
        <v>16840</v>
      </c>
      <c r="I1361" s="24">
        <f>T_reg.root.SK[[#This Row],[Volume, kg]]/1000</f>
        <v>16.84</v>
      </c>
      <c r="J1361" s="25">
        <v>0.21640000000000001</v>
      </c>
      <c r="K1361" s="25">
        <f t="shared" si="21"/>
        <v>3644.1759999999999</v>
      </c>
      <c r="L1361" s="25">
        <v>3.28</v>
      </c>
      <c r="M1361" s="24">
        <v>55304</v>
      </c>
      <c r="N1361" s="25">
        <f>IFERROR(T_reg.root.SK[[#This Row],[Price]]/T_reg.root.SK[[#This Row],[Starch content]],"")</f>
        <v>15.157116451016634</v>
      </c>
    </row>
    <row r="1362" spans="1:14">
      <c r="A1362" s="21">
        <v>2023</v>
      </c>
      <c r="B1362" s="21" t="s">
        <v>25</v>
      </c>
      <c r="C1362" s="21" t="s">
        <v>1145</v>
      </c>
      <c r="D1362" s="21" t="s">
        <v>35</v>
      </c>
      <c r="E1362" s="17" t="s">
        <v>213</v>
      </c>
      <c r="F1362" s="18" t="s">
        <v>187</v>
      </c>
      <c r="G1362" s="18" t="s">
        <v>48</v>
      </c>
      <c r="H1362" s="24">
        <v>92810</v>
      </c>
      <c r="I1362" s="24">
        <f>T_reg.root.SK[[#This Row],[Volume, kg]]/1000</f>
        <v>92.81</v>
      </c>
      <c r="J1362" s="25">
        <v>0.2346</v>
      </c>
      <c r="K1362" s="25">
        <f t="shared" si="21"/>
        <v>21773.225999999999</v>
      </c>
      <c r="L1362" s="25">
        <v>3.37</v>
      </c>
      <c r="M1362" s="24">
        <v>313094.5</v>
      </c>
      <c r="N1362" s="25">
        <f>IFERROR(T_reg.root.SK[[#This Row],[Price]]/T_reg.root.SK[[#This Row],[Starch content]],"")</f>
        <v>14.364876385336744</v>
      </c>
    </row>
    <row r="1363" spans="1:14">
      <c r="A1363" s="21">
        <v>2023</v>
      </c>
      <c r="B1363" s="21" t="s">
        <v>25</v>
      </c>
      <c r="C1363" s="21" t="s">
        <v>1145</v>
      </c>
      <c r="D1363" s="21" t="s">
        <v>35</v>
      </c>
      <c r="E1363" s="17" t="s">
        <v>536</v>
      </c>
      <c r="F1363" s="18" t="s">
        <v>187</v>
      </c>
      <c r="G1363" s="18" t="s">
        <v>48</v>
      </c>
      <c r="H1363" s="24">
        <v>19910</v>
      </c>
      <c r="I1363" s="24">
        <f>T_reg.root.SK[[#This Row],[Volume, kg]]/1000</f>
        <v>19.91</v>
      </c>
      <c r="J1363" s="25">
        <v>0.24960000000000002</v>
      </c>
      <c r="K1363" s="25">
        <f t="shared" si="21"/>
        <v>4969.5360000000001</v>
      </c>
      <c r="L1363" s="25">
        <v>3.45</v>
      </c>
      <c r="M1363" s="24">
        <v>68658</v>
      </c>
      <c r="N1363" s="25">
        <f>IFERROR(T_reg.root.SK[[#This Row],[Price]]/T_reg.root.SK[[#This Row],[Starch content]],"")</f>
        <v>13.822115384615385</v>
      </c>
    </row>
    <row r="1364" spans="1:14">
      <c r="A1364" s="21">
        <v>2023</v>
      </c>
      <c r="B1364" s="21" t="s">
        <v>25</v>
      </c>
      <c r="C1364" s="21" t="s">
        <v>1145</v>
      </c>
      <c r="D1364" s="21" t="s">
        <v>35</v>
      </c>
      <c r="E1364" s="17" t="s">
        <v>537</v>
      </c>
      <c r="F1364" s="18" t="s">
        <v>187</v>
      </c>
      <c r="G1364" s="18" t="s">
        <v>48</v>
      </c>
      <c r="H1364" s="24">
        <v>31910</v>
      </c>
      <c r="I1364" s="24">
        <f>T_reg.root.SK[[#This Row],[Volume, kg]]/1000</f>
        <v>31.91</v>
      </c>
      <c r="J1364" s="25">
        <v>0.25009999999999999</v>
      </c>
      <c r="K1364" s="25">
        <f t="shared" si="21"/>
        <v>7980.6909999999998</v>
      </c>
      <c r="L1364" s="25">
        <v>3.45</v>
      </c>
      <c r="M1364" s="24">
        <v>110043</v>
      </c>
      <c r="N1364" s="25">
        <f>IFERROR(T_reg.root.SK[[#This Row],[Price]]/T_reg.root.SK[[#This Row],[Starch content]],"")</f>
        <v>13.794482207117154</v>
      </c>
    </row>
    <row r="1365" spans="1:14">
      <c r="A1365" s="21">
        <v>2023</v>
      </c>
      <c r="B1365" s="21" t="s">
        <v>25</v>
      </c>
      <c r="C1365" s="21" t="s">
        <v>1145</v>
      </c>
      <c r="D1365" s="21" t="s">
        <v>35</v>
      </c>
      <c r="E1365" s="17" t="s">
        <v>538</v>
      </c>
      <c r="F1365" s="18" t="s">
        <v>187</v>
      </c>
      <c r="G1365" s="18" t="s">
        <v>48</v>
      </c>
      <c r="H1365" s="24">
        <v>17880</v>
      </c>
      <c r="I1365" s="24">
        <f>T_reg.root.SK[[#This Row],[Volume, kg]]/1000</f>
        <v>17.88</v>
      </c>
      <c r="J1365" s="25">
        <v>0.26250000000000001</v>
      </c>
      <c r="K1365" s="25">
        <f t="shared" si="21"/>
        <v>4693.5</v>
      </c>
      <c r="L1365" s="25">
        <v>3.52</v>
      </c>
      <c r="M1365" s="24">
        <v>62978</v>
      </c>
      <c r="N1365" s="25">
        <f>IFERROR(T_reg.root.SK[[#This Row],[Price]]/T_reg.root.SK[[#This Row],[Starch content]],"")</f>
        <v>13.40952380952381</v>
      </c>
    </row>
    <row r="1366" spans="1:14">
      <c r="A1366" s="21">
        <v>2023</v>
      </c>
      <c r="B1366" s="21" t="s">
        <v>25</v>
      </c>
      <c r="C1366" s="21" t="s">
        <v>1145</v>
      </c>
      <c r="D1366" s="21" t="s">
        <v>35</v>
      </c>
      <c r="E1366" s="17" t="s">
        <v>539</v>
      </c>
      <c r="F1366" s="18" t="s">
        <v>187</v>
      </c>
      <c r="G1366" s="18" t="s">
        <v>48</v>
      </c>
      <c r="H1366" s="24">
        <v>9740</v>
      </c>
      <c r="I1366" s="24">
        <f>T_reg.root.SK[[#This Row],[Volume, kg]]/1000</f>
        <v>9.74</v>
      </c>
      <c r="J1366" s="25">
        <v>0.20600000000000002</v>
      </c>
      <c r="K1366" s="25">
        <f t="shared" si="21"/>
        <v>2006.44</v>
      </c>
      <c r="L1366" s="25">
        <v>3.25</v>
      </c>
      <c r="M1366" s="24">
        <v>31655</v>
      </c>
      <c r="N1366" s="25">
        <f>IFERROR(T_reg.root.SK[[#This Row],[Price]]/T_reg.root.SK[[#This Row],[Starch content]],"")</f>
        <v>15.776699029126211</v>
      </c>
    </row>
    <row r="1367" spans="1:14">
      <c r="A1367" s="21">
        <v>2023</v>
      </c>
      <c r="B1367" s="21" t="s">
        <v>25</v>
      </c>
      <c r="C1367" s="21" t="s">
        <v>1145</v>
      </c>
      <c r="D1367" s="21" t="s">
        <v>35</v>
      </c>
      <c r="E1367" s="17" t="s">
        <v>214</v>
      </c>
      <c r="F1367" s="18" t="s">
        <v>187</v>
      </c>
      <c r="G1367" s="18" t="s">
        <v>48</v>
      </c>
      <c r="H1367" s="24">
        <v>4130</v>
      </c>
      <c r="I1367" s="24">
        <f>T_reg.root.SK[[#This Row],[Volume, kg]]/1000</f>
        <v>4.13</v>
      </c>
      <c r="J1367" s="25">
        <v>0.22550000000000001</v>
      </c>
      <c r="K1367" s="25">
        <f t="shared" si="21"/>
        <v>931.31500000000005</v>
      </c>
      <c r="L1367" s="25">
        <v>3.35</v>
      </c>
      <c r="M1367" s="24">
        <v>13835.5</v>
      </c>
      <c r="N1367" s="25">
        <f>IFERROR(T_reg.root.SK[[#This Row],[Price]]/T_reg.root.SK[[#This Row],[Starch content]],"")</f>
        <v>14.855875831485587</v>
      </c>
    </row>
    <row r="1368" spans="1:14">
      <c r="A1368" s="21">
        <v>2023</v>
      </c>
      <c r="B1368" s="21" t="s">
        <v>25</v>
      </c>
      <c r="C1368" s="21" t="s">
        <v>1145</v>
      </c>
      <c r="D1368" s="21" t="s">
        <v>35</v>
      </c>
      <c r="E1368" s="17" t="s">
        <v>542</v>
      </c>
      <c r="F1368" s="18" t="s">
        <v>187</v>
      </c>
      <c r="G1368" s="18" t="s">
        <v>48</v>
      </c>
      <c r="H1368" s="24">
        <v>17700</v>
      </c>
      <c r="I1368" s="24">
        <f>T_reg.root.SK[[#This Row],[Volume, kg]]/1000</f>
        <v>17.7</v>
      </c>
      <c r="J1368" s="25">
        <v>0.2165</v>
      </c>
      <c r="K1368" s="25">
        <f t="shared" si="21"/>
        <v>3832.05</v>
      </c>
      <c r="L1368" s="25">
        <v>3.29</v>
      </c>
      <c r="M1368" s="24">
        <v>58207</v>
      </c>
      <c r="N1368" s="25">
        <f>IFERROR(T_reg.root.SK[[#This Row],[Price]]/T_reg.root.SK[[#This Row],[Starch content]],"")</f>
        <v>15.196304849884527</v>
      </c>
    </row>
    <row r="1369" spans="1:14">
      <c r="A1369" s="21">
        <v>2023</v>
      </c>
      <c r="B1369" s="21" t="s">
        <v>25</v>
      </c>
      <c r="C1369" s="21" t="s">
        <v>1145</v>
      </c>
      <c r="D1369" s="21" t="s">
        <v>35</v>
      </c>
      <c r="E1369" s="17" t="s">
        <v>270</v>
      </c>
      <c r="F1369" s="18" t="s">
        <v>187</v>
      </c>
      <c r="G1369" s="18" t="s">
        <v>48</v>
      </c>
      <c r="H1369" s="24">
        <v>9610</v>
      </c>
      <c r="I1369" s="24">
        <f>T_reg.root.SK[[#This Row],[Volume, kg]]/1000</f>
        <v>9.61</v>
      </c>
      <c r="J1369" s="25">
        <v>0.20550000000000002</v>
      </c>
      <c r="K1369" s="25">
        <f t="shared" si="21"/>
        <v>1974.8550000000002</v>
      </c>
      <c r="L1369" s="25">
        <v>3.25</v>
      </c>
      <c r="M1369" s="24">
        <v>31232.5</v>
      </c>
      <c r="N1369" s="25">
        <f>IFERROR(T_reg.root.SK[[#This Row],[Price]]/T_reg.root.SK[[#This Row],[Starch content]],"")</f>
        <v>15.81508515815085</v>
      </c>
    </row>
    <row r="1370" spans="1:14">
      <c r="A1370" s="21">
        <v>2023</v>
      </c>
      <c r="B1370" s="21" t="s">
        <v>25</v>
      </c>
      <c r="C1370" s="21" t="s">
        <v>1145</v>
      </c>
      <c r="D1370" s="21" t="s">
        <v>35</v>
      </c>
      <c r="E1370" s="17" t="s">
        <v>543</v>
      </c>
      <c r="F1370" s="18" t="s">
        <v>187</v>
      </c>
      <c r="G1370" s="18" t="s">
        <v>48</v>
      </c>
      <c r="H1370" s="24">
        <v>7570</v>
      </c>
      <c r="I1370" s="24">
        <f>T_reg.root.SK[[#This Row],[Volume, kg]]/1000</f>
        <v>7.57</v>
      </c>
      <c r="J1370" s="25">
        <v>0.2155</v>
      </c>
      <c r="K1370" s="25">
        <f t="shared" si="21"/>
        <v>1631.335</v>
      </c>
      <c r="L1370" s="25">
        <v>3.3</v>
      </c>
      <c r="M1370" s="24">
        <v>24981</v>
      </c>
      <c r="N1370" s="25">
        <f>IFERROR(T_reg.root.SK[[#This Row],[Price]]/T_reg.root.SK[[#This Row],[Starch content]],"")</f>
        <v>15.31322505800464</v>
      </c>
    </row>
    <row r="1371" spans="1:14">
      <c r="A1371" s="21">
        <v>2023</v>
      </c>
      <c r="B1371" s="21" t="s">
        <v>26</v>
      </c>
      <c r="C1371" s="21" t="s">
        <v>1145</v>
      </c>
      <c r="D1371" s="21" t="s">
        <v>39</v>
      </c>
      <c r="E1371" s="17" t="s">
        <v>218</v>
      </c>
      <c r="F1371" s="18" t="s">
        <v>219</v>
      </c>
      <c r="G1371" s="18" t="s">
        <v>220</v>
      </c>
      <c r="H1371" s="24">
        <v>305770</v>
      </c>
      <c r="I1371" s="24">
        <f>T_reg.root.SK[[#This Row],[Volume, kg]]/1000</f>
        <v>305.77</v>
      </c>
      <c r="J1371" s="25">
        <v>0.25180000000000002</v>
      </c>
      <c r="K1371" s="25">
        <f t="shared" si="21"/>
        <v>76992.886000000013</v>
      </c>
      <c r="L1371" s="25">
        <v>3.75</v>
      </c>
      <c r="M1371" s="24">
        <v>1147107</v>
      </c>
      <c r="N1371" s="25">
        <f>IFERROR(T_reg.root.SK[[#This Row],[Price]]/T_reg.root.SK[[#This Row],[Starch content]],"")</f>
        <v>14.892772041302619</v>
      </c>
    </row>
    <row r="1372" spans="1:14">
      <c r="A1372" s="21">
        <v>2023</v>
      </c>
      <c r="B1372" s="21" t="s">
        <v>26</v>
      </c>
      <c r="C1372" s="21" t="s">
        <v>1145</v>
      </c>
      <c r="D1372" s="21" t="s">
        <v>35</v>
      </c>
      <c r="E1372" s="17" t="s">
        <v>614</v>
      </c>
      <c r="F1372" s="18" t="s">
        <v>219</v>
      </c>
      <c r="G1372" s="18" t="s">
        <v>220</v>
      </c>
      <c r="H1372" s="24">
        <v>10640</v>
      </c>
      <c r="I1372" s="24">
        <f>T_reg.root.SK[[#This Row],[Volume, kg]]/1000</f>
        <v>10.64</v>
      </c>
      <c r="J1372" s="25">
        <v>0.23499999999999999</v>
      </c>
      <c r="K1372" s="25">
        <f t="shared" si="21"/>
        <v>2500.3999999999996</v>
      </c>
      <c r="L1372" s="25">
        <v>3.5</v>
      </c>
      <c r="M1372" s="24">
        <v>37240</v>
      </c>
      <c r="N1372" s="25">
        <f>IFERROR(T_reg.root.SK[[#This Row],[Price]]/T_reg.root.SK[[#This Row],[Starch content]],"")</f>
        <v>14.893617021276597</v>
      </c>
    </row>
    <row r="1373" spans="1:14">
      <c r="A1373" s="21">
        <v>2023</v>
      </c>
      <c r="B1373" s="21" t="s">
        <v>26</v>
      </c>
      <c r="C1373" s="21" t="s">
        <v>1145</v>
      </c>
      <c r="D1373" s="21" t="s">
        <v>35</v>
      </c>
      <c r="E1373" s="17" t="s">
        <v>455</v>
      </c>
      <c r="F1373" s="18" t="s">
        <v>219</v>
      </c>
      <c r="G1373" s="18" t="s">
        <v>220</v>
      </c>
      <c r="H1373" s="24">
        <v>82950</v>
      </c>
      <c r="I1373" s="24">
        <f>T_reg.root.SK[[#This Row],[Volume, kg]]/1000</f>
        <v>82.95</v>
      </c>
      <c r="J1373" s="25">
        <v>0.25409999999999999</v>
      </c>
      <c r="K1373" s="25">
        <f t="shared" si="21"/>
        <v>21077.595000000001</v>
      </c>
      <c r="L1373" s="25">
        <v>3.57</v>
      </c>
      <c r="M1373" s="24">
        <v>296059</v>
      </c>
      <c r="N1373" s="25">
        <f>IFERROR(T_reg.root.SK[[#This Row],[Price]]/T_reg.root.SK[[#This Row],[Starch content]],"")</f>
        <v>14.049586776859504</v>
      </c>
    </row>
    <row r="1374" spans="1:14">
      <c r="A1374" s="21">
        <v>2023</v>
      </c>
      <c r="B1374" s="21" t="s">
        <v>26</v>
      </c>
      <c r="C1374" s="21" t="s">
        <v>1145</v>
      </c>
      <c r="D1374" s="21" t="s">
        <v>35</v>
      </c>
      <c r="E1374" s="17" t="s">
        <v>544</v>
      </c>
      <c r="F1374" s="18" t="s">
        <v>219</v>
      </c>
      <c r="G1374" s="18" t="s">
        <v>220</v>
      </c>
      <c r="H1374" s="24">
        <v>75880</v>
      </c>
      <c r="I1374" s="24">
        <f>T_reg.root.SK[[#This Row],[Volume, kg]]/1000</f>
        <v>75.88</v>
      </c>
      <c r="J1374" s="25">
        <v>0.2379</v>
      </c>
      <c r="K1374" s="25">
        <f t="shared" si="21"/>
        <v>18051.851999999999</v>
      </c>
      <c r="L1374" s="25">
        <v>3.45</v>
      </c>
      <c r="M1374" s="24">
        <v>261407.5</v>
      </c>
      <c r="N1374" s="25">
        <f>IFERROR(T_reg.root.SK[[#This Row],[Price]]/T_reg.root.SK[[#This Row],[Starch content]],"")</f>
        <v>14.50189155107188</v>
      </c>
    </row>
    <row r="1375" spans="1:14">
      <c r="A1375" s="21">
        <v>2023</v>
      </c>
      <c r="B1375" s="21" t="s">
        <v>26</v>
      </c>
      <c r="C1375" s="21" t="s">
        <v>1145</v>
      </c>
      <c r="D1375" s="21" t="s">
        <v>35</v>
      </c>
      <c r="E1375" s="17" t="s">
        <v>598</v>
      </c>
      <c r="F1375" s="18" t="s">
        <v>219</v>
      </c>
      <c r="G1375" s="18" t="s">
        <v>220</v>
      </c>
      <c r="H1375" s="24">
        <v>23080</v>
      </c>
      <c r="I1375" s="24">
        <f>T_reg.root.SK[[#This Row],[Volume, kg]]/1000</f>
        <v>23.08</v>
      </c>
      <c r="J1375" s="25">
        <v>0.2306</v>
      </c>
      <c r="K1375" s="25">
        <f t="shared" si="21"/>
        <v>5322.2479999999996</v>
      </c>
      <c r="L1375" s="25">
        <v>3.45</v>
      </c>
      <c r="M1375" s="24">
        <v>79597</v>
      </c>
      <c r="N1375" s="25">
        <f>IFERROR(T_reg.root.SK[[#This Row],[Price]]/T_reg.root.SK[[#This Row],[Starch content]],"")</f>
        <v>14.960971379011276</v>
      </c>
    </row>
    <row r="1376" spans="1:14">
      <c r="A1376" s="21">
        <v>2023</v>
      </c>
      <c r="B1376" s="21" t="s">
        <v>26</v>
      </c>
      <c r="C1376" s="21" t="s">
        <v>1145</v>
      </c>
      <c r="D1376" s="21" t="s">
        <v>35</v>
      </c>
      <c r="E1376" s="17" t="s">
        <v>456</v>
      </c>
      <c r="F1376" s="18" t="s">
        <v>219</v>
      </c>
      <c r="G1376" s="18" t="s">
        <v>220</v>
      </c>
      <c r="H1376" s="24">
        <v>207650</v>
      </c>
      <c r="I1376" s="24">
        <f>T_reg.root.SK[[#This Row],[Volume, kg]]/1000</f>
        <v>207.65</v>
      </c>
      <c r="J1376" s="25">
        <v>0.2359</v>
      </c>
      <c r="K1376" s="25">
        <f t="shared" si="21"/>
        <v>48984.635000000002</v>
      </c>
      <c r="L1376" s="25">
        <v>3.44</v>
      </c>
      <c r="M1376" s="24">
        <v>714976</v>
      </c>
      <c r="N1376" s="25">
        <f>IFERROR(T_reg.root.SK[[#This Row],[Price]]/T_reg.root.SK[[#This Row],[Starch content]],"")</f>
        <v>14.582450190758795</v>
      </c>
    </row>
    <row r="1377" spans="1:14">
      <c r="A1377" s="21">
        <v>2023</v>
      </c>
      <c r="B1377" s="21" t="s">
        <v>26</v>
      </c>
      <c r="C1377" s="21" t="s">
        <v>1145</v>
      </c>
      <c r="D1377" s="21" t="s">
        <v>35</v>
      </c>
      <c r="E1377" s="17" t="s">
        <v>457</v>
      </c>
      <c r="F1377" s="18" t="s">
        <v>47</v>
      </c>
      <c r="G1377" s="18" t="s">
        <v>48</v>
      </c>
      <c r="H1377" s="24">
        <v>6040</v>
      </c>
      <c r="I1377" s="24">
        <f>T_reg.root.SK[[#This Row],[Volume, kg]]/1000</f>
        <v>6.04</v>
      </c>
      <c r="J1377" s="25">
        <v>0.2225</v>
      </c>
      <c r="K1377" s="25">
        <f t="shared" si="21"/>
        <v>1343.9</v>
      </c>
      <c r="L1377" s="25">
        <v>3.4</v>
      </c>
      <c r="M1377" s="24">
        <v>20536</v>
      </c>
      <c r="N1377" s="25">
        <f>IFERROR(T_reg.root.SK[[#This Row],[Price]]/T_reg.root.SK[[#This Row],[Starch content]],"")</f>
        <v>15.280898876404494</v>
      </c>
    </row>
    <row r="1378" spans="1:14">
      <c r="A1378" s="21">
        <v>2023</v>
      </c>
      <c r="B1378" s="21" t="s">
        <v>26</v>
      </c>
      <c r="C1378" s="21" t="s">
        <v>1145</v>
      </c>
      <c r="D1378" s="21" t="s">
        <v>35</v>
      </c>
      <c r="E1378" s="17" t="s">
        <v>46</v>
      </c>
      <c r="F1378" s="18" t="s">
        <v>47</v>
      </c>
      <c r="G1378" s="18" t="s">
        <v>48</v>
      </c>
      <c r="H1378" s="24">
        <v>9980</v>
      </c>
      <c r="I1378" s="24">
        <f>T_reg.root.SK[[#This Row],[Volume, kg]]/1000</f>
        <v>9.98</v>
      </c>
      <c r="J1378" s="25">
        <v>0.18350000000000002</v>
      </c>
      <c r="K1378" s="25">
        <f t="shared" si="21"/>
        <v>1831.3300000000002</v>
      </c>
      <c r="L1378" s="25">
        <v>3.19</v>
      </c>
      <c r="M1378" s="24">
        <v>31825</v>
      </c>
      <c r="N1378" s="25">
        <f>IFERROR(T_reg.root.SK[[#This Row],[Price]]/T_reg.root.SK[[#This Row],[Starch content]],"")</f>
        <v>17.3841961852861</v>
      </c>
    </row>
    <row r="1379" spans="1:14">
      <c r="A1379" s="21">
        <v>2023</v>
      </c>
      <c r="B1379" s="21" t="s">
        <v>26</v>
      </c>
      <c r="C1379" s="21" t="s">
        <v>1145</v>
      </c>
      <c r="D1379" s="21" t="s">
        <v>35</v>
      </c>
      <c r="E1379" s="17" t="s">
        <v>50</v>
      </c>
      <c r="F1379" s="18" t="s">
        <v>47</v>
      </c>
      <c r="G1379" s="18" t="s">
        <v>48</v>
      </c>
      <c r="H1379" s="24">
        <v>12320</v>
      </c>
      <c r="I1379" s="24">
        <f>T_reg.root.SK[[#This Row],[Volume, kg]]/1000</f>
        <v>12.32</v>
      </c>
      <c r="J1379" s="25">
        <v>0.19800000000000001</v>
      </c>
      <c r="K1379" s="25">
        <f t="shared" si="21"/>
        <v>2439.36</v>
      </c>
      <c r="L1379" s="25">
        <v>3.24</v>
      </c>
      <c r="M1379" s="24">
        <v>39947.5</v>
      </c>
      <c r="N1379" s="25">
        <f>IFERROR(T_reg.root.SK[[#This Row],[Price]]/T_reg.root.SK[[#This Row],[Starch content]],"")</f>
        <v>16.363636363636363</v>
      </c>
    </row>
    <row r="1380" spans="1:14">
      <c r="A1380" s="21">
        <v>2023</v>
      </c>
      <c r="B1380" s="21" t="s">
        <v>26</v>
      </c>
      <c r="C1380" s="21" t="s">
        <v>1145</v>
      </c>
      <c r="D1380" s="21" t="s">
        <v>35</v>
      </c>
      <c r="E1380" s="17" t="s">
        <v>52</v>
      </c>
      <c r="F1380" s="18" t="s">
        <v>47</v>
      </c>
      <c r="G1380" s="18" t="s">
        <v>48</v>
      </c>
      <c r="H1380" s="24">
        <v>35390</v>
      </c>
      <c r="I1380" s="24">
        <f>T_reg.root.SK[[#This Row],[Volume, kg]]/1000</f>
        <v>35.39</v>
      </c>
      <c r="J1380" s="25">
        <v>0.21479999999999999</v>
      </c>
      <c r="K1380" s="25">
        <f t="shared" si="21"/>
        <v>7601.7719999999999</v>
      </c>
      <c r="L1380" s="25">
        <v>3.32</v>
      </c>
      <c r="M1380" s="24">
        <v>117547.5</v>
      </c>
      <c r="N1380" s="25">
        <f>IFERROR(T_reg.root.SK[[#This Row],[Price]]/T_reg.root.SK[[#This Row],[Starch content]],"")</f>
        <v>15.456238361266294</v>
      </c>
    </row>
    <row r="1381" spans="1:14">
      <c r="A1381" s="21">
        <v>2023</v>
      </c>
      <c r="B1381" s="21" t="s">
        <v>26</v>
      </c>
      <c r="C1381" s="21" t="s">
        <v>1145</v>
      </c>
      <c r="D1381" s="21" t="s">
        <v>35</v>
      </c>
      <c r="E1381" s="17" t="s">
        <v>78</v>
      </c>
      <c r="F1381" s="18" t="s">
        <v>47</v>
      </c>
      <c r="G1381" s="18" t="s">
        <v>48</v>
      </c>
      <c r="H1381" s="24">
        <v>54870</v>
      </c>
      <c r="I1381" s="24">
        <f>T_reg.root.SK[[#This Row],[Volume, kg]]/1000</f>
        <v>54.87</v>
      </c>
      <c r="J1381" s="25">
        <v>0.23370000000000002</v>
      </c>
      <c r="K1381" s="25">
        <f t="shared" si="21"/>
        <v>12823.119000000001</v>
      </c>
      <c r="L1381" s="25">
        <v>3.41</v>
      </c>
      <c r="M1381" s="24">
        <v>187289.5</v>
      </c>
      <c r="N1381" s="25">
        <f>IFERROR(T_reg.root.SK[[#This Row],[Price]]/T_reg.root.SK[[#This Row],[Starch content]],"")</f>
        <v>14.591356439880188</v>
      </c>
    </row>
    <row r="1382" spans="1:14">
      <c r="A1382" s="21">
        <v>2023</v>
      </c>
      <c r="B1382" s="21" t="s">
        <v>26</v>
      </c>
      <c r="C1382" s="21" t="s">
        <v>1145</v>
      </c>
      <c r="D1382" s="21" t="s">
        <v>35</v>
      </c>
      <c r="E1382" s="17" t="s">
        <v>462</v>
      </c>
      <c r="F1382" s="18" t="s">
        <v>47</v>
      </c>
      <c r="G1382" s="18" t="s">
        <v>48</v>
      </c>
      <c r="H1382" s="24">
        <v>16910</v>
      </c>
      <c r="I1382" s="24">
        <f>T_reg.root.SK[[#This Row],[Volume, kg]]/1000</f>
        <v>16.91</v>
      </c>
      <c r="J1382" s="25">
        <v>0.23199999999999998</v>
      </c>
      <c r="K1382" s="25">
        <f t="shared" si="21"/>
        <v>3923.12</v>
      </c>
      <c r="L1382" s="25">
        <v>3.37</v>
      </c>
      <c r="M1382" s="24">
        <v>57017</v>
      </c>
      <c r="N1382" s="25">
        <f>IFERROR(T_reg.root.SK[[#This Row],[Price]]/T_reg.root.SK[[#This Row],[Starch content]],"")</f>
        <v>14.52586206896552</v>
      </c>
    </row>
    <row r="1383" spans="1:14">
      <c r="A1383" s="21">
        <v>2023</v>
      </c>
      <c r="B1383" s="21" t="s">
        <v>26</v>
      </c>
      <c r="C1383" s="21" t="s">
        <v>1145</v>
      </c>
      <c r="D1383" s="21" t="s">
        <v>35</v>
      </c>
      <c r="E1383" s="17" t="s">
        <v>57</v>
      </c>
      <c r="F1383" s="18" t="s">
        <v>47</v>
      </c>
      <c r="G1383" s="18" t="s">
        <v>48</v>
      </c>
      <c r="H1383" s="24">
        <v>52760</v>
      </c>
      <c r="I1383" s="24">
        <f>T_reg.root.SK[[#This Row],[Volume, kg]]/1000</f>
        <v>52.76</v>
      </c>
      <c r="J1383" s="25">
        <v>0.1883</v>
      </c>
      <c r="K1383" s="25">
        <f t="shared" si="21"/>
        <v>9934.7080000000005</v>
      </c>
      <c r="L1383" s="25">
        <v>3.19</v>
      </c>
      <c r="M1383" s="24">
        <v>168252.5</v>
      </c>
      <c r="N1383" s="25">
        <f>IFERROR(T_reg.root.SK[[#This Row],[Price]]/T_reg.root.SK[[#This Row],[Starch content]],"")</f>
        <v>16.94105151354222</v>
      </c>
    </row>
    <row r="1384" spans="1:14">
      <c r="A1384" s="21">
        <v>2023</v>
      </c>
      <c r="B1384" s="21" t="s">
        <v>26</v>
      </c>
      <c r="C1384" s="21" t="s">
        <v>1145</v>
      </c>
      <c r="D1384" s="21" t="s">
        <v>35</v>
      </c>
      <c r="E1384" s="17" t="s">
        <v>468</v>
      </c>
      <c r="F1384" s="18" t="s">
        <v>47</v>
      </c>
      <c r="G1384" s="18" t="s">
        <v>48</v>
      </c>
      <c r="H1384" s="24">
        <v>33150</v>
      </c>
      <c r="I1384" s="24">
        <f>T_reg.root.SK[[#This Row],[Volume, kg]]/1000</f>
        <v>33.15</v>
      </c>
      <c r="J1384" s="25">
        <v>0.18429999999999999</v>
      </c>
      <c r="K1384" s="25">
        <f t="shared" si="21"/>
        <v>6109.5450000000001</v>
      </c>
      <c r="L1384" s="25">
        <v>3.18</v>
      </c>
      <c r="M1384" s="24">
        <v>105425.5</v>
      </c>
      <c r="N1384" s="25">
        <f>IFERROR(T_reg.root.SK[[#This Row],[Price]]/T_reg.root.SK[[#This Row],[Starch content]],"")</f>
        <v>17.254476397178514</v>
      </c>
    </row>
    <row r="1385" spans="1:14">
      <c r="A1385" s="21">
        <v>2023</v>
      </c>
      <c r="B1385" s="21" t="s">
        <v>26</v>
      </c>
      <c r="C1385" s="21" t="s">
        <v>1145</v>
      </c>
      <c r="D1385" s="21" t="s">
        <v>35</v>
      </c>
      <c r="E1385" s="17" t="s">
        <v>62</v>
      </c>
      <c r="F1385" s="18" t="s">
        <v>47</v>
      </c>
      <c r="G1385" s="18" t="s">
        <v>48</v>
      </c>
      <c r="H1385" s="24">
        <v>26460</v>
      </c>
      <c r="I1385" s="24">
        <f>T_reg.root.SK[[#This Row],[Volume, kg]]/1000</f>
        <v>26.46</v>
      </c>
      <c r="J1385" s="25">
        <v>0.17399999999999999</v>
      </c>
      <c r="K1385" s="25">
        <f t="shared" si="21"/>
        <v>4604.04</v>
      </c>
      <c r="L1385" s="25">
        <v>3.12</v>
      </c>
      <c r="M1385" s="24">
        <v>82460.5</v>
      </c>
      <c r="N1385" s="25">
        <f>IFERROR(T_reg.root.SK[[#This Row],[Price]]/T_reg.root.SK[[#This Row],[Starch content]],"")</f>
        <v>17.931034482758623</v>
      </c>
    </row>
    <row r="1386" spans="1:14">
      <c r="A1386" s="21">
        <v>2023</v>
      </c>
      <c r="B1386" s="21" t="s">
        <v>26</v>
      </c>
      <c r="C1386" s="21" t="s">
        <v>1145</v>
      </c>
      <c r="D1386" s="21" t="s">
        <v>35</v>
      </c>
      <c r="E1386" s="17" t="s">
        <v>63</v>
      </c>
      <c r="F1386" s="18" t="s">
        <v>47</v>
      </c>
      <c r="G1386" s="18" t="s">
        <v>48</v>
      </c>
      <c r="H1386" s="24">
        <v>8110</v>
      </c>
      <c r="I1386" s="24">
        <f>T_reg.root.SK[[#This Row],[Volume, kg]]/1000</f>
        <v>8.11</v>
      </c>
      <c r="J1386" s="25">
        <v>0.23649999999999999</v>
      </c>
      <c r="K1386" s="25">
        <f t="shared" si="21"/>
        <v>1918.0149999999999</v>
      </c>
      <c r="L1386" s="25">
        <v>3.4</v>
      </c>
      <c r="M1386" s="24">
        <v>27574</v>
      </c>
      <c r="N1386" s="25">
        <f>IFERROR(T_reg.root.SK[[#This Row],[Price]]/T_reg.root.SK[[#This Row],[Starch content]],"")</f>
        <v>14.37632135306554</v>
      </c>
    </row>
    <row r="1387" spans="1:14">
      <c r="A1387" s="21">
        <v>2023</v>
      </c>
      <c r="B1387" s="21" t="s">
        <v>26</v>
      </c>
      <c r="C1387" s="21" t="s">
        <v>1145</v>
      </c>
      <c r="D1387" s="21" t="s">
        <v>35</v>
      </c>
      <c r="E1387" s="17" t="s">
        <v>340</v>
      </c>
      <c r="F1387" s="18" t="s">
        <v>47</v>
      </c>
      <c r="G1387" s="18" t="s">
        <v>48</v>
      </c>
      <c r="H1387" s="24">
        <v>4960</v>
      </c>
      <c r="I1387" s="24">
        <f>T_reg.root.SK[[#This Row],[Volume, kg]]/1000</f>
        <v>4.96</v>
      </c>
      <c r="J1387" s="25">
        <v>0.22750000000000001</v>
      </c>
      <c r="K1387" s="25">
        <f t="shared" si="21"/>
        <v>1128.4000000000001</v>
      </c>
      <c r="L1387" s="25">
        <v>3.35</v>
      </c>
      <c r="M1387" s="24">
        <v>16616</v>
      </c>
      <c r="N1387" s="25">
        <f>IFERROR(T_reg.root.SK[[#This Row],[Price]]/T_reg.root.SK[[#This Row],[Starch content]],"")</f>
        <v>14.725274725274724</v>
      </c>
    </row>
    <row r="1388" spans="1:14">
      <c r="A1388" s="21">
        <v>2023</v>
      </c>
      <c r="B1388" s="21" t="s">
        <v>26</v>
      </c>
      <c r="C1388" s="21" t="s">
        <v>1145</v>
      </c>
      <c r="D1388" s="21" t="s">
        <v>35</v>
      </c>
      <c r="E1388" s="17" t="s">
        <v>70</v>
      </c>
      <c r="F1388" s="18" t="s">
        <v>47</v>
      </c>
      <c r="G1388" s="18" t="s">
        <v>48</v>
      </c>
      <c r="H1388" s="24">
        <v>9250</v>
      </c>
      <c r="I1388" s="24">
        <f>T_reg.root.SK[[#This Row],[Volume, kg]]/1000</f>
        <v>9.25</v>
      </c>
      <c r="J1388" s="25">
        <v>0.22500000000000001</v>
      </c>
      <c r="K1388" s="25">
        <f t="shared" si="21"/>
        <v>2081.25</v>
      </c>
      <c r="L1388" s="25">
        <v>3.4</v>
      </c>
      <c r="M1388" s="24">
        <v>31450</v>
      </c>
      <c r="N1388" s="25">
        <f>IFERROR(T_reg.root.SK[[#This Row],[Price]]/T_reg.root.SK[[#This Row],[Starch content]],"")</f>
        <v>15.111111111111111</v>
      </c>
    </row>
    <row r="1389" spans="1:14">
      <c r="A1389" s="21">
        <v>2023</v>
      </c>
      <c r="B1389" s="21" t="s">
        <v>26</v>
      </c>
      <c r="C1389" s="21" t="s">
        <v>1145</v>
      </c>
      <c r="D1389" s="21" t="s">
        <v>35</v>
      </c>
      <c r="E1389" s="17" t="s">
        <v>72</v>
      </c>
      <c r="F1389" s="18" t="s">
        <v>47</v>
      </c>
      <c r="G1389" s="18" t="s">
        <v>48</v>
      </c>
      <c r="H1389" s="24">
        <v>39490</v>
      </c>
      <c r="I1389" s="24">
        <f>T_reg.root.SK[[#This Row],[Volume, kg]]/1000</f>
        <v>39.49</v>
      </c>
      <c r="J1389" s="25">
        <v>0.21329999999999999</v>
      </c>
      <c r="K1389" s="25">
        <f t="shared" si="21"/>
        <v>8423.2169999999987</v>
      </c>
      <c r="L1389" s="25">
        <v>3.32</v>
      </c>
      <c r="M1389" s="24">
        <v>130942.5</v>
      </c>
      <c r="N1389" s="25">
        <f>IFERROR(T_reg.root.SK[[#This Row],[Price]]/T_reg.root.SK[[#This Row],[Starch content]],"")</f>
        <v>15.564932020628223</v>
      </c>
    </row>
    <row r="1390" spans="1:14">
      <c r="A1390" s="21">
        <v>2023</v>
      </c>
      <c r="B1390" s="21" t="s">
        <v>26</v>
      </c>
      <c r="C1390" s="21" t="s">
        <v>1145</v>
      </c>
      <c r="D1390" s="21" t="s">
        <v>35</v>
      </c>
      <c r="E1390" s="17" t="s">
        <v>73</v>
      </c>
      <c r="F1390" s="18" t="s">
        <v>47</v>
      </c>
      <c r="G1390" s="18" t="s">
        <v>48</v>
      </c>
      <c r="H1390" s="24">
        <v>4690</v>
      </c>
      <c r="I1390" s="24">
        <f>T_reg.root.SK[[#This Row],[Volume, kg]]/1000</f>
        <v>4.6900000000000004</v>
      </c>
      <c r="J1390" s="25">
        <v>0.16500000000000001</v>
      </c>
      <c r="K1390" s="25">
        <f t="shared" si="21"/>
        <v>773.85</v>
      </c>
      <c r="L1390" s="25">
        <v>3.1</v>
      </c>
      <c r="M1390" s="24">
        <v>14539</v>
      </c>
      <c r="N1390" s="25">
        <f>IFERROR(T_reg.root.SK[[#This Row],[Price]]/T_reg.root.SK[[#This Row],[Starch content]],"")</f>
        <v>18.787878787878789</v>
      </c>
    </row>
    <row r="1391" spans="1:14">
      <c r="A1391" s="21">
        <v>2023</v>
      </c>
      <c r="B1391" s="21" t="s">
        <v>26</v>
      </c>
      <c r="C1391" s="21" t="s">
        <v>1145</v>
      </c>
      <c r="D1391" s="21" t="s">
        <v>35</v>
      </c>
      <c r="E1391" s="17" t="s">
        <v>382</v>
      </c>
      <c r="F1391" s="18" t="s">
        <v>47</v>
      </c>
      <c r="G1391" s="18" t="s">
        <v>48</v>
      </c>
      <c r="H1391" s="24">
        <v>16990</v>
      </c>
      <c r="I1391" s="24">
        <f>T_reg.root.SK[[#This Row],[Volume, kg]]/1000</f>
        <v>16.989999999999998</v>
      </c>
      <c r="J1391" s="25">
        <v>0.23870000000000002</v>
      </c>
      <c r="K1391" s="25">
        <f t="shared" si="21"/>
        <v>4055.5130000000004</v>
      </c>
      <c r="L1391" s="25">
        <v>3.43</v>
      </c>
      <c r="M1391" s="24">
        <v>58203</v>
      </c>
      <c r="N1391" s="25">
        <f>IFERROR(T_reg.root.SK[[#This Row],[Price]]/T_reg.root.SK[[#This Row],[Starch content]],"")</f>
        <v>14.369501466275659</v>
      </c>
    </row>
    <row r="1392" spans="1:14">
      <c r="A1392" s="21">
        <v>2023</v>
      </c>
      <c r="B1392" s="21" t="s">
        <v>26</v>
      </c>
      <c r="C1392" s="21" t="s">
        <v>1145</v>
      </c>
      <c r="D1392" s="21" t="s">
        <v>35</v>
      </c>
      <c r="E1392" s="17" t="s">
        <v>473</v>
      </c>
      <c r="F1392" s="18" t="s">
        <v>47</v>
      </c>
      <c r="G1392" s="18" t="s">
        <v>48</v>
      </c>
      <c r="H1392" s="24">
        <v>7220</v>
      </c>
      <c r="I1392" s="24">
        <f>T_reg.root.SK[[#This Row],[Volume, kg]]/1000</f>
        <v>7.22</v>
      </c>
      <c r="J1392" s="25">
        <v>0.23499999999999999</v>
      </c>
      <c r="K1392" s="25">
        <f t="shared" si="21"/>
        <v>1696.6999999999998</v>
      </c>
      <c r="L1392" s="25">
        <v>3.4</v>
      </c>
      <c r="M1392" s="24">
        <v>24548</v>
      </c>
      <c r="N1392" s="25">
        <f>IFERROR(T_reg.root.SK[[#This Row],[Price]]/T_reg.root.SK[[#This Row],[Starch content]],"")</f>
        <v>14.468085106382979</v>
      </c>
    </row>
    <row r="1393" spans="1:14">
      <c r="A1393" s="21">
        <v>2023</v>
      </c>
      <c r="B1393" s="21" t="s">
        <v>26</v>
      </c>
      <c r="C1393" s="21" t="s">
        <v>1145</v>
      </c>
      <c r="D1393" s="21" t="s">
        <v>35</v>
      </c>
      <c r="E1393" s="17" t="s">
        <v>474</v>
      </c>
      <c r="F1393" s="18" t="s">
        <v>47</v>
      </c>
      <c r="G1393" s="18" t="s">
        <v>48</v>
      </c>
      <c r="H1393" s="24">
        <v>9030</v>
      </c>
      <c r="I1393" s="24">
        <f>T_reg.root.SK[[#This Row],[Volume, kg]]/1000</f>
        <v>9.0299999999999994</v>
      </c>
      <c r="J1393" s="25">
        <v>0.19500000000000001</v>
      </c>
      <c r="K1393" s="25">
        <f t="shared" si="21"/>
        <v>1760.8500000000001</v>
      </c>
      <c r="L1393" s="25">
        <v>3.25</v>
      </c>
      <c r="M1393" s="24">
        <v>29347.5</v>
      </c>
      <c r="N1393" s="25">
        <f>IFERROR(T_reg.root.SK[[#This Row],[Price]]/T_reg.root.SK[[#This Row],[Starch content]],"")</f>
        <v>16.666666666666668</v>
      </c>
    </row>
    <row r="1394" spans="1:14">
      <c r="A1394" s="21">
        <v>2023</v>
      </c>
      <c r="B1394" s="21" t="s">
        <v>26</v>
      </c>
      <c r="C1394" s="21" t="s">
        <v>1145</v>
      </c>
      <c r="D1394" s="21" t="s">
        <v>35</v>
      </c>
      <c r="E1394" s="17" t="s">
        <v>77</v>
      </c>
      <c r="F1394" s="18" t="s">
        <v>47</v>
      </c>
      <c r="G1394" s="18" t="s">
        <v>48</v>
      </c>
      <c r="H1394" s="24">
        <v>24860</v>
      </c>
      <c r="I1394" s="24">
        <f>T_reg.root.SK[[#This Row],[Volume, kg]]/1000</f>
        <v>24.86</v>
      </c>
      <c r="J1394" s="25">
        <v>0.2586</v>
      </c>
      <c r="K1394" s="25">
        <f t="shared" si="21"/>
        <v>6428.7960000000003</v>
      </c>
      <c r="L1394" s="25">
        <v>3.55</v>
      </c>
      <c r="M1394" s="24">
        <v>88253</v>
      </c>
      <c r="N1394" s="25">
        <f>IFERROR(T_reg.root.SK[[#This Row],[Price]]/T_reg.root.SK[[#This Row],[Starch content]],"")</f>
        <v>13.727764887857695</v>
      </c>
    </row>
    <row r="1395" spans="1:14">
      <c r="A1395" s="21">
        <v>2023</v>
      </c>
      <c r="B1395" s="21" t="s">
        <v>26</v>
      </c>
      <c r="C1395" s="21" t="s">
        <v>1145</v>
      </c>
      <c r="D1395" s="21" t="s">
        <v>35</v>
      </c>
      <c r="E1395" s="17" t="s">
        <v>476</v>
      </c>
      <c r="F1395" s="18" t="s">
        <v>47</v>
      </c>
      <c r="G1395" s="18" t="s">
        <v>48</v>
      </c>
      <c r="H1395" s="24">
        <v>11480</v>
      </c>
      <c r="I1395" s="24">
        <f>T_reg.root.SK[[#This Row],[Volume, kg]]/1000</f>
        <v>11.48</v>
      </c>
      <c r="J1395" s="25">
        <v>0.19589999999999999</v>
      </c>
      <c r="K1395" s="25">
        <f t="shared" si="21"/>
        <v>2248.9319999999998</v>
      </c>
      <c r="L1395" s="25">
        <v>3.23</v>
      </c>
      <c r="M1395" s="24">
        <v>37135.5</v>
      </c>
      <c r="N1395" s="25">
        <f>IFERROR(T_reg.root.SK[[#This Row],[Price]]/T_reg.root.SK[[#This Row],[Starch content]],"")</f>
        <v>16.488004083716181</v>
      </c>
    </row>
    <row r="1396" spans="1:14">
      <c r="A1396" s="21">
        <v>2023</v>
      </c>
      <c r="B1396" s="21" t="s">
        <v>26</v>
      </c>
      <c r="C1396" s="21" t="s">
        <v>1145</v>
      </c>
      <c r="D1396" s="21" t="s">
        <v>35</v>
      </c>
      <c r="E1396" s="17" t="s">
        <v>383</v>
      </c>
      <c r="F1396" s="18" t="s">
        <v>47</v>
      </c>
      <c r="G1396" s="18" t="s">
        <v>48</v>
      </c>
      <c r="H1396" s="24">
        <v>49310</v>
      </c>
      <c r="I1396" s="24">
        <f>T_reg.root.SK[[#This Row],[Volume, kg]]/1000</f>
        <v>49.31</v>
      </c>
      <c r="J1396" s="25">
        <v>0.2288</v>
      </c>
      <c r="K1396" s="25">
        <f t="shared" si="21"/>
        <v>11282.128000000001</v>
      </c>
      <c r="L1396" s="25">
        <v>3.4</v>
      </c>
      <c r="M1396" s="24">
        <v>167497.5</v>
      </c>
      <c r="N1396" s="25">
        <f>IFERROR(T_reg.root.SK[[#This Row],[Price]]/T_reg.root.SK[[#This Row],[Starch content]],"")</f>
        <v>14.86013986013986</v>
      </c>
    </row>
    <row r="1397" spans="1:14">
      <c r="A1397" s="21">
        <v>2023</v>
      </c>
      <c r="B1397" s="21" t="s">
        <v>26</v>
      </c>
      <c r="C1397" s="21" t="s">
        <v>1145</v>
      </c>
      <c r="D1397" s="21" t="s">
        <v>39</v>
      </c>
      <c r="E1397" s="17" t="s">
        <v>85</v>
      </c>
      <c r="F1397" s="18" t="s">
        <v>86</v>
      </c>
      <c r="G1397" s="18" t="s">
        <v>87</v>
      </c>
      <c r="H1397" s="24">
        <v>5385510</v>
      </c>
      <c r="I1397" s="24">
        <f>T_reg.root.SK[[#This Row],[Volume, kg]]/1000</f>
        <v>5385.51</v>
      </c>
      <c r="J1397" s="25">
        <v>0.26340000000000002</v>
      </c>
      <c r="K1397" s="25">
        <f t="shared" si="21"/>
        <v>1418543.334</v>
      </c>
      <c r="L1397" s="25">
        <v>3.86</v>
      </c>
      <c r="M1397" s="24">
        <v>20811751</v>
      </c>
      <c r="N1397" s="25">
        <f>IFERROR(T_reg.root.SK[[#This Row],[Price]]/T_reg.root.SK[[#This Row],[Starch content]],"")</f>
        <v>14.654517843583902</v>
      </c>
    </row>
    <row r="1398" spans="1:14">
      <c r="A1398" s="21">
        <v>2023</v>
      </c>
      <c r="B1398" s="21" t="s">
        <v>26</v>
      </c>
      <c r="C1398" s="21" t="s">
        <v>1145</v>
      </c>
      <c r="D1398" s="21" t="s">
        <v>39</v>
      </c>
      <c r="E1398" s="17" t="s">
        <v>88</v>
      </c>
      <c r="F1398" s="18" t="s">
        <v>89</v>
      </c>
      <c r="G1398" s="18" t="s">
        <v>90</v>
      </c>
      <c r="H1398" s="24">
        <v>2814150</v>
      </c>
      <c r="I1398" s="24">
        <f>T_reg.root.SK[[#This Row],[Volume, kg]]/1000</f>
        <v>2814.15</v>
      </c>
      <c r="J1398" s="25">
        <v>0.24909999999999999</v>
      </c>
      <c r="K1398" s="25">
        <f t="shared" si="21"/>
        <v>701004.76500000001</v>
      </c>
      <c r="L1398" s="25">
        <v>3.73</v>
      </c>
      <c r="M1398" s="24">
        <v>10490094.5</v>
      </c>
      <c r="N1398" s="25">
        <f>IFERROR(T_reg.root.SK[[#This Row],[Price]]/T_reg.root.SK[[#This Row],[Starch content]],"")</f>
        <v>14.973906061822563</v>
      </c>
    </row>
    <row r="1399" spans="1:14">
      <c r="A1399" s="21">
        <v>2023</v>
      </c>
      <c r="B1399" s="21" t="s">
        <v>26</v>
      </c>
      <c r="C1399" s="21" t="s">
        <v>1145</v>
      </c>
      <c r="D1399" s="21" t="s">
        <v>35</v>
      </c>
      <c r="E1399" s="17" t="s">
        <v>478</v>
      </c>
      <c r="F1399" s="18" t="s">
        <v>92</v>
      </c>
      <c r="G1399" s="18" t="s">
        <v>48</v>
      </c>
      <c r="H1399" s="24">
        <v>17350</v>
      </c>
      <c r="I1399" s="24">
        <f>T_reg.root.SK[[#This Row],[Volume, kg]]/1000</f>
        <v>17.350000000000001</v>
      </c>
      <c r="J1399" s="25">
        <v>0.2046</v>
      </c>
      <c r="K1399" s="25">
        <f t="shared" si="21"/>
        <v>3549.81</v>
      </c>
      <c r="L1399" s="25">
        <v>3.32</v>
      </c>
      <c r="M1399" s="24">
        <v>57682.5</v>
      </c>
      <c r="N1399" s="25">
        <f>IFERROR(T_reg.root.SK[[#This Row],[Price]]/T_reg.root.SK[[#This Row],[Starch content]],"")</f>
        <v>16.226783968719452</v>
      </c>
    </row>
    <row r="1400" spans="1:14">
      <c r="A1400" s="21">
        <v>2023</v>
      </c>
      <c r="B1400" s="21" t="s">
        <v>26</v>
      </c>
      <c r="C1400" s="21" t="s">
        <v>1145</v>
      </c>
      <c r="D1400" s="21" t="s">
        <v>35</v>
      </c>
      <c r="E1400" s="17" t="s">
        <v>229</v>
      </c>
      <c r="F1400" s="18" t="s">
        <v>92</v>
      </c>
      <c r="G1400" s="18" t="s">
        <v>48</v>
      </c>
      <c r="H1400" s="24">
        <v>31250</v>
      </c>
      <c r="I1400" s="24">
        <f>T_reg.root.SK[[#This Row],[Volume, kg]]/1000</f>
        <v>31.25</v>
      </c>
      <c r="J1400" s="25">
        <v>0.21510000000000001</v>
      </c>
      <c r="K1400" s="25">
        <f t="shared" si="21"/>
        <v>6721.875</v>
      </c>
      <c r="L1400" s="25">
        <v>3.32</v>
      </c>
      <c r="M1400" s="24">
        <v>103714.5</v>
      </c>
      <c r="N1400" s="25">
        <f>IFERROR(T_reg.root.SK[[#This Row],[Price]]/T_reg.root.SK[[#This Row],[Starch content]],"")</f>
        <v>15.434681543468153</v>
      </c>
    </row>
    <row r="1401" spans="1:14">
      <c r="A1401" s="21">
        <v>2023</v>
      </c>
      <c r="B1401" s="21" t="s">
        <v>26</v>
      </c>
      <c r="C1401" s="21" t="s">
        <v>1145</v>
      </c>
      <c r="D1401" s="21" t="s">
        <v>35</v>
      </c>
      <c r="E1401" s="17" t="s">
        <v>93</v>
      </c>
      <c r="F1401" s="18" t="s">
        <v>92</v>
      </c>
      <c r="G1401" s="18" t="s">
        <v>48</v>
      </c>
      <c r="H1401" s="24">
        <v>98800</v>
      </c>
      <c r="I1401" s="24">
        <f>T_reg.root.SK[[#This Row],[Volume, kg]]/1000</f>
        <v>98.8</v>
      </c>
      <c r="J1401" s="25">
        <v>0.1782</v>
      </c>
      <c r="K1401" s="25">
        <f t="shared" si="21"/>
        <v>17606.16</v>
      </c>
      <c r="L1401" s="25">
        <v>3.16</v>
      </c>
      <c r="M1401" s="24">
        <v>312066</v>
      </c>
      <c r="N1401" s="25">
        <f>IFERROR(T_reg.root.SK[[#This Row],[Price]]/T_reg.root.SK[[#This Row],[Starch content]],"")</f>
        <v>17.732884399551068</v>
      </c>
    </row>
    <row r="1402" spans="1:14">
      <c r="A1402" s="21">
        <v>2023</v>
      </c>
      <c r="B1402" s="21" t="s">
        <v>26</v>
      </c>
      <c r="C1402" s="21" t="s">
        <v>1145</v>
      </c>
      <c r="D1402" s="21" t="s">
        <v>39</v>
      </c>
      <c r="E1402" s="17" t="s">
        <v>552</v>
      </c>
      <c r="F1402" s="18" t="s">
        <v>95</v>
      </c>
      <c r="G1402" s="18" t="s">
        <v>48</v>
      </c>
      <c r="H1402" s="24">
        <v>3469920</v>
      </c>
      <c r="I1402" s="24">
        <f>T_reg.root.SK[[#This Row],[Volume, kg]]/1000</f>
        <v>3469.92</v>
      </c>
      <c r="J1402" s="25">
        <v>0.23829999999999998</v>
      </c>
      <c r="K1402" s="25">
        <f t="shared" si="21"/>
        <v>826881.93599999999</v>
      </c>
      <c r="L1402" s="25">
        <v>3.69</v>
      </c>
      <c r="M1402" s="24">
        <v>12803093.5</v>
      </c>
      <c r="N1402" s="25">
        <f>IFERROR(T_reg.root.SK[[#This Row],[Price]]/T_reg.root.SK[[#This Row],[Starch content]],"")</f>
        <v>15.484683172471675</v>
      </c>
    </row>
    <row r="1403" spans="1:14">
      <c r="A1403" s="21">
        <v>2023</v>
      </c>
      <c r="B1403" s="21" t="s">
        <v>26</v>
      </c>
      <c r="C1403" s="21" t="s">
        <v>1145</v>
      </c>
      <c r="D1403" s="21" t="s">
        <v>39</v>
      </c>
      <c r="E1403" s="17" t="s">
        <v>98</v>
      </c>
      <c r="F1403" s="18" t="s">
        <v>99</v>
      </c>
      <c r="G1403" s="18" t="s">
        <v>42</v>
      </c>
      <c r="H1403" s="24">
        <v>693540</v>
      </c>
      <c r="I1403" s="24">
        <f>T_reg.root.SK[[#This Row],[Volume, kg]]/1000</f>
        <v>693.54</v>
      </c>
      <c r="J1403" s="25">
        <v>0.23680000000000001</v>
      </c>
      <c r="K1403" s="25">
        <f t="shared" si="21"/>
        <v>164230.272</v>
      </c>
      <c r="L1403" s="25">
        <v>3.66</v>
      </c>
      <c r="M1403" s="24">
        <v>2536514</v>
      </c>
      <c r="N1403" s="25">
        <f>IFERROR(T_reg.root.SK[[#This Row],[Price]]/T_reg.root.SK[[#This Row],[Starch content]],"")</f>
        <v>15.456081081081081</v>
      </c>
    </row>
    <row r="1404" spans="1:14">
      <c r="A1404" s="21">
        <v>2023</v>
      </c>
      <c r="B1404" s="21" t="s">
        <v>26</v>
      </c>
      <c r="C1404" s="21" t="s">
        <v>1145</v>
      </c>
      <c r="D1404" s="21" t="s">
        <v>39</v>
      </c>
      <c r="E1404" s="17" t="s">
        <v>346</v>
      </c>
      <c r="F1404" s="18" t="s">
        <v>99</v>
      </c>
      <c r="G1404" s="18" t="s">
        <v>42</v>
      </c>
      <c r="H1404" s="24">
        <v>533520</v>
      </c>
      <c r="I1404" s="24">
        <f>T_reg.root.SK[[#This Row],[Volume, kg]]/1000</f>
        <v>533.52</v>
      </c>
      <c r="J1404" s="25">
        <v>0.2235</v>
      </c>
      <c r="K1404" s="25">
        <f t="shared" si="21"/>
        <v>119241.72</v>
      </c>
      <c r="L1404" s="25">
        <v>3.6</v>
      </c>
      <c r="M1404" s="24">
        <v>1920467.5</v>
      </c>
      <c r="N1404" s="25">
        <f>IFERROR(T_reg.root.SK[[#This Row],[Price]]/T_reg.root.SK[[#This Row],[Starch content]],"")</f>
        <v>16.107382550335572</v>
      </c>
    </row>
    <row r="1405" spans="1:14">
      <c r="A1405" s="21">
        <v>2023</v>
      </c>
      <c r="B1405" s="21" t="s">
        <v>26</v>
      </c>
      <c r="C1405" s="21" t="s">
        <v>1145</v>
      </c>
      <c r="D1405" s="21" t="s">
        <v>39</v>
      </c>
      <c r="E1405" s="17" t="s">
        <v>101</v>
      </c>
      <c r="F1405" s="18" t="s">
        <v>102</v>
      </c>
      <c r="G1405" s="18" t="s">
        <v>103</v>
      </c>
      <c r="H1405" s="24">
        <v>2944660</v>
      </c>
      <c r="I1405" s="24">
        <f>T_reg.root.SK[[#This Row],[Volume, kg]]/1000</f>
        <v>2944.66</v>
      </c>
      <c r="J1405" s="25">
        <v>0.24329999999999999</v>
      </c>
      <c r="K1405" s="25">
        <f t="shared" si="21"/>
        <v>716435.77799999993</v>
      </c>
      <c r="L1405" s="25">
        <v>3.75</v>
      </c>
      <c r="M1405" s="24">
        <v>11040322</v>
      </c>
      <c r="N1405" s="25">
        <f>IFERROR(T_reg.root.SK[[#This Row],[Price]]/T_reg.root.SK[[#This Row],[Starch content]],"")</f>
        <v>15.413070283600494</v>
      </c>
    </row>
    <row r="1406" spans="1:14">
      <c r="A1406" s="21">
        <v>2023</v>
      </c>
      <c r="B1406" s="21" t="s">
        <v>26</v>
      </c>
      <c r="C1406" s="21" t="s">
        <v>1145</v>
      </c>
      <c r="D1406" s="21" t="s">
        <v>35</v>
      </c>
      <c r="E1406" s="17" t="s">
        <v>615</v>
      </c>
      <c r="F1406" s="18" t="s">
        <v>283</v>
      </c>
      <c r="G1406" s="18" t="s">
        <v>48</v>
      </c>
      <c r="H1406" s="24">
        <v>78910</v>
      </c>
      <c r="I1406" s="24">
        <f>T_reg.root.SK[[#This Row],[Volume, kg]]/1000</f>
        <v>78.91</v>
      </c>
      <c r="J1406" s="25">
        <v>0.23910000000000001</v>
      </c>
      <c r="K1406" s="25">
        <f t="shared" si="21"/>
        <v>18867.381000000001</v>
      </c>
      <c r="L1406" s="25">
        <v>3.3</v>
      </c>
      <c r="M1406" s="24">
        <v>260495.5</v>
      </c>
      <c r="N1406" s="25">
        <f>IFERROR(T_reg.root.SK[[#This Row],[Price]]/T_reg.root.SK[[#This Row],[Starch content]],"")</f>
        <v>13.801756587202007</v>
      </c>
    </row>
    <row r="1407" spans="1:14">
      <c r="A1407" s="21">
        <v>2023</v>
      </c>
      <c r="B1407" s="21" t="s">
        <v>26</v>
      </c>
      <c r="C1407" s="21" t="s">
        <v>1145</v>
      </c>
      <c r="D1407" s="21" t="s">
        <v>35</v>
      </c>
      <c r="E1407" s="17" t="s">
        <v>555</v>
      </c>
      <c r="F1407" s="18" t="s">
        <v>283</v>
      </c>
      <c r="G1407" s="18" t="s">
        <v>48</v>
      </c>
      <c r="H1407" s="24">
        <v>14300</v>
      </c>
      <c r="I1407" s="24">
        <f>T_reg.root.SK[[#This Row],[Volume, kg]]/1000</f>
        <v>14.3</v>
      </c>
      <c r="J1407" s="25">
        <v>0.22510000000000002</v>
      </c>
      <c r="K1407" s="25">
        <f t="shared" si="21"/>
        <v>3218.9300000000003</v>
      </c>
      <c r="L1407" s="25">
        <v>3.17</v>
      </c>
      <c r="M1407" s="24">
        <v>45307</v>
      </c>
      <c r="N1407" s="25">
        <f>IFERROR(T_reg.root.SK[[#This Row],[Price]]/T_reg.root.SK[[#This Row],[Starch content]],"")</f>
        <v>14.082629942247888</v>
      </c>
    </row>
    <row r="1408" spans="1:14">
      <c r="A1408" s="21">
        <v>2023</v>
      </c>
      <c r="B1408" s="21" t="s">
        <v>26</v>
      </c>
      <c r="C1408" s="21" t="s">
        <v>1145</v>
      </c>
      <c r="D1408" s="21" t="s">
        <v>35</v>
      </c>
      <c r="E1408" s="17" t="s">
        <v>289</v>
      </c>
      <c r="F1408" s="18" t="s">
        <v>105</v>
      </c>
      <c r="G1408" s="18" t="s">
        <v>48</v>
      </c>
      <c r="H1408" s="24">
        <v>88470</v>
      </c>
      <c r="I1408" s="24">
        <f>T_reg.root.SK[[#This Row],[Volume, kg]]/1000</f>
        <v>88.47</v>
      </c>
      <c r="J1408" s="25">
        <v>0.21739999999999998</v>
      </c>
      <c r="K1408" s="25">
        <f t="shared" si="21"/>
        <v>19233.377999999997</v>
      </c>
      <c r="L1408" s="25">
        <v>3.2</v>
      </c>
      <c r="M1408" s="24">
        <v>282851</v>
      </c>
      <c r="N1408" s="25">
        <f>IFERROR(T_reg.root.SK[[#This Row],[Price]]/T_reg.root.SK[[#This Row],[Starch content]],"")</f>
        <v>14.719411223551059</v>
      </c>
    </row>
    <row r="1409" spans="1:14">
      <c r="A1409" s="21">
        <v>2023</v>
      </c>
      <c r="B1409" s="21" t="s">
        <v>26</v>
      </c>
      <c r="C1409" s="21" t="s">
        <v>1145</v>
      </c>
      <c r="D1409" s="21" t="s">
        <v>35</v>
      </c>
      <c r="E1409" s="17" t="s">
        <v>107</v>
      </c>
      <c r="F1409" s="18" t="s">
        <v>105</v>
      </c>
      <c r="G1409" s="18" t="s">
        <v>48</v>
      </c>
      <c r="H1409" s="24">
        <v>10760</v>
      </c>
      <c r="I1409" s="24">
        <f>T_reg.root.SK[[#This Row],[Volume, kg]]/1000</f>
        <v>10.76</v>
      </c>
      <c r="J1409" s="25">
        <v>0.21030000000000001</v>
      </c>
      <c r="K1409" s="25">
        <f t="shared" si="21"/>
        <v>2262.828</v>
      </c>
      <c r="L1409" s="25">
        <v>3.2</v>
      </c>
      <c r="M1409" s="24">
        <v>34432</v>
      </c>
      <c r="N1409" s="25">
        <f>IFERROR(T_reg.root.SK[[#This Row],[Price]]/T_reg.root.SK[[#This Row],[Starch content]],"")</f>
        <v>15.216357584403234</v>
      </c>
    </row>
    <row r="1410" spans="1:14">
      <c r="A1410" s="21">
        <v>2023</v>
      </c>
      <c r="B1410" s="21" t="s">
        <v>26</v>
      </c>
      <c r="C1410" s="21" t="s">
        <v>1145</v>
      </c>
      <c r="D1410" s="21" t="s">
        <v>35</v>
      </c>
      <c r="E1410" s="17" t="s">
        <v>401</v>
      </c>
      <c r="F1410" s="18" t="s">
        <v>105</v>
      </c>
      <c r="G1410" s="18" t="s">
        <v>48</v>
      </c>
      <c r="H1410" s="24">
        <v>19110</v>
      </c>
      <c r="I1410" s="24">
        <f>T_reg.root.SK[[#This Row],[Volume, kg]]/1000</f>
        <v>19.11</v>
      </c>
      <c r="J1410" s="25">
        <v>0.23300000000000001</v>
      </c>
      <c r="K1410" s="25">
        <f t="shared" si="21"/>
        <v>4452.63</v>
      </c>
      <c r="L1410" s="25">
        <v>3.21</v>
      </c>
      <c r="M1410" s="24">
        <v>61320.5</v>
      </c>
      <c r="N1410" s="25">
        <f>IFERROR(T_reg.root.SK[[#This Row],[Price]]/T_reg.root.SK[[#This Row],[Starch content]],"")</f>
        <v>13.776824034334764</v>
      </c>
    </row>
    <row r="1411" spans="1:14">
      <c r="A1411" s="21">
        <v>2023</v>
      </c>
      <c r="B1411" s="21" t="s">
        <v>26</v>
      </c>
      <c r="C1411" s="21" t="s">
        <v>1145</v>
      </c>
      <c r="D1411" s="21" t="s">
        <v>35</v>
      </c>
      <c r="E1411" s="17" t="s">
        <v>292</v>
      </c>
      <c r="F1411" s="18" t="s">
        <v>105</v>
      </c>
      <c r="G1411" s="18" t="s">
        <v>48</v>
      </c>
      <c r="H1411" s="24">
        <v>36680</v>
      </c>
      <c r="I1411" s="24">
        <f>T_reg.root.SK[[#This Row],[Volume, kg]]/1000</f>
        <v>36.68</v>
      </c>
      <c r="J1411" s="25">
        <v>0.19149999999999998</v>
      </c>
      <c r="K1411" s="25">
        <f t="shared" ref="K1411:K1474" si="22">H1411*J1411</f>
        <v>7024.2199999999993</v>
      </c>
      <c r="L1411" s="25">
        <v>3.06</v>
      </c>
      <c r="M1411" s="24">
        <v>112330</v>
      </c>
      <c r="N1411" s="25">
        <f>IFERROR(T_reg.root.SK[[#This Row],[Price]]/T_reg.root.SK[[#This Row],[Starch content]],"")</f>
        <v>15.979112271540473</v>
      </c>
    </row>
    <row r="1412" spans="1:14">
      <c r="A1412" s="21">
        <v>2023</v>
      </c>
      <c r="B1412" s="21" t="s">
        <v>26</v>
      </c>
      <c r="C1412" s="21" t="s">
        <v>1145</v>
      </c>
      <c r="D1412" s="21" t="s">
        <v>35</v>
      </c>
      <c r="E1412" s="17" t="s">
        <v>293</v>
      </c>
      <c r="F1412" s="18" t="s">
        <v>105</v>
      </c>
      <c r="G1412" s="18" t="s">
        <v>48</v>
      </c>
      <c r="H1412" s="24">
        <v>31770</v>
      </c>
      <c r="I1412" s="24">
        <f>T_reg.root.SK[[#This Row],[Volume, kg]]/1000</f>
        <v>31.77</v>
      </c>
      <c r="J1412" s="25">
        <v>0.20699999999999999</v>
      </c>
      <c r="K1412" s="25">
        <f t="shared" si="22"/>
        <v>6576.3899999999994</v>
      </c>
      <c r="L1412" s="25">
        <v>3.15</v>
      </c>
      <c r="M1412" s="24">
        <v>99993.5</v>
      </c>
      <c r="N1412" s="25">
        <f>IFERROR(T_reg.root.SK[[#This Row],[Price]]/T_reg.root.SK[[#This Row],[Starch content]],"")</f>
        <v>15.217391304347826</v>
      </c>
    </row>
    <row r="1413" spans="1:14">
      <c r="A1413" s="21">
        <v>2023</v>
      </c>
      <c r="B1413" s="21" t="s">
        <v>26</v>
      </c>
      <c r="C1413" s="21" t="s">
        <v>1145</v>
      </c>
      <c r="D1413" s="21" t="s">
        <v>35</v>
      </c>
      <c r="E1413" s="17" t="s">
        <v>556</v>
      </c>
      <c r="F1413" s="18" t="s">
        <v>105</v>
      </c>
      <c r="G1413" s="18" t="s">
        <v>48</v>
      </c>
      <c r="H1413" s="24">
        <v>5740</v>
      </c>
      <c r="I1413" s="24">
        <f>T_reg.root.SK[[#This Row],[Volume, kg]]/1000</f>
        <v>5.74</v>
      </c>
      <c r="J1413" s="25">
        <v>0.20800000000000002</v>
      </c>
      <c r="K1413" s="25">
        <f t="shared" si="22"/>
        <v>1193.92</v>
      </c>
      <c r="L1413" s="25">
        <v>3.15</v>
      </c>
      <c r="M1413" s="24">
        <v>18081</v>
      </c>
      <c r="N1413" s="25">
        <f>IFERROR(T_reg.root.SK[[#This Row],[Price]]/T_reg.root.SK[[#This Row],[Starch content]],"")</f>
        <v>15.144230769230768</v>
      </c>
    </row>
    <row r="1414" spans="1:14">
      <c r="A1414" s="21">
        <v>2023</v>
      </c>
      <c r="B1414" s="21" t="s">
        <v>26</v>
      </c>
      <c r="C1414" s="21" t="s">
        <v>1145</v>
      </c>
      <c r="D1414" s="21" t="s">
        <v>35</v>
      </c>
      <c r="E1414" s="17" t="s">
        <v>482</v>
      </c>
      <c r="F1414" s="18" t="s">
        <v>105</v>
      </c>
      <c r="G1414" s="18" t="s">
        <v>48</v>
      </c>
      <c r="H1414" s="24">
        <v>3650</v>
      </c>
      <c r="I1414" s="24">
        <f>T_reg.root.SK[[#This Row],[Volume, kg]]/1000</f>
        <v>3.65</v>
      </c>
      <c r="J1414" s="25">
        <v>0.2225</v>
      </c>
      <c r="K1414" s="25">
        <f t="shared" si="22"/>
        <v>812.125</v>
      </c>
      <c r="L1414" s="25">
        <v>3.2</v>
      </c>
      <c r="M1414" s="24">
        <v>11680</v>
      </c>
      <c r="N1414" s="25">
        <f>IFERROR(T_reg.root.SK[[#This Row],[Price]]/T_reg.root.SK[[#This Row],[Starch content]],"")</f>
        <v>14.382022471910114</v>
      </c>
    </row>
    <row r="1415" spans="1:14">
      <c r="A1415" s="21">
        <v>2023</v>
      </c>
      <c r="B1415" s="21" t="s">
        <v>26</v>
      </c>
      <c r="C1415" s="21" t="s">
        <v>1145</v>
      </c>
      <c r="D1415" s="21" t="s">
        <v>35</v>
      </c>
      <c r="E1415" s="17" t="s">
        <v>235</v>
      </c>
      <c r="F1415" s="18" t="s">
        <v>105</v>
      </c>
      <c r="G1415" s="18" t="s">
        <v>48</v>
      </c>
      <c r="H1415" s="24">
        <v>117100</v>
      </c>
      <c r="I1415" s="24">
        <f>T_reg.root.SK[[#This Row],[Volume, kg]]/1000</f>
        <v>117.1</v>
      </c>
      <c r="J1415" s="25">
        <v>0.22450000000000001</v>
      </c>
      <c r="K1415" s="25">
        <f t="shared" si="22"/>
        <v>26288.95</v>
      </c>
      <c r="L1415" s="25">
        <v>3.22</v>
      </c>
      <c r="M1415" s="24">
        <v>376885</v>
      </c>
      <c r="N1415" s="25">
        <f>IFERROR(T_reg.root.SK[[#This Row],[Price]]/T_reg.root.SK[[#This Row],[Starch content]],"")</f>
        <v>14.342984409799556</v>
      </c>
    </row>
    <row r="1416" spans="1:14">
      <c r="A1416" s="21">
        <v>2023</v>
      </c>
      <c r="B1416" s="21" t="s">
        <v>26</v>
      </c>
      <c r="C1416" s="21" t="s">
        <v>1145</v>
      </c>
      <c r="D1416" s="21" t="s">
        <v>35</v>
      </c>
      <c r="E1416" s="17" t="s">
        <v>115</v>
      </c>
      <c r="F1416" s="18" t="s">
        <v>105</v>
      </c>
      <c r="G1416" s="18" t="s">
        <v>48</v>
      </c>
      <c r="H1416" s="24">
        <v>34270</v>
      </c>
      <c r="I1416" s="24">
        <f>T_reg.root.SK[[#This Row],[Volume, kg]]/1000</f>
        <v>34.270000000000003</v>
      </c>
      <c r="J1416" s="25">
        <v>0.27250000000000002</v>
      </c>
      <c r="K1416" s="25">
        <f t="shared" si="22"/>
        <v>9338.5750000000007</v>
      </c>
      <c r="L1416" s="25">
        <v>3.47</v>
      </c>
      <c r="M1416" s="24">
        <v>119081.5</v>
      </c>
      <c r="N1416" s="25">
        <f>IFERROR(T_reg.root.SK[[#This Row],[Price]]/T_reg.root.SK[[#This Row],[Starch content]],"")</f>
        <v>12.73394495412844</v>
      </c>
    </row>
    <row r="1417" spans="1:14">
      <c r="A1417" s="21">
        <v>2023</v>
      </c>
      <c r="B1417" s="21" t="s">
        <v>26</v>
      </c>
      <c r="C1417" s="21" t="s">
        <v>1145</v>
      </c>
      <c r="D1417" s="21" t="s">
        <v>35</v>
      </c>
      <c r="E1417" s="17" t="s">
        <v>116</v>
      </c>
      <c r="F1417" s="18" t="s">
        <v>105</v>
      </c>
      <c r="G1417" s="18" t="s">
        <v>48</v>
      </c>
      <c r="H1417" s="24">
        <v>22230</v>
      </c>
      <c r="I1417" s="24">
        <f>T_reg.root.SK[[#This Row],[Volume, kg]]/1000</f>
        <v>22.23</v>
      </c>
      <c r="J1417" s="25">
        <v>0.2</v>
      </c>
      <c r="K1417" s="25">
        <f t="shared" si="22"/>
        <v>4446</v>
      </c>
      <c r="L1417" s="25">
        <v>3.1</v>
      </c>
      <c r="M1417" s="24">
        <v>68950.5</v>
      </c>
      <c r="N1417" s="25">
        <f>IFERROR(T_reg.root.SK[[#This Row],[Price]]/T_reg.root.SK[[#This Row],[Starch content]],"")</f>
        <v>15.5</v>
      </c>
    </row>
    <row r="1418" spans="1:14">
      <c r="A1418" s="21">
        <v>2023</v>
      </c>
      <c r="B1418" s="21" t="s">
        <v>26</v>
      </c>
      <c r="C1418" s="21" t="s">
        <v>1145</v>
      </c>
      <c r="D1418" s="21" t="s">
        <v>35</v>
      </c>
      <c r="E1418" s="17" t="s">
        <v>296</v>
      </c>
      <c r="F1418" s="18" t="s">
        <v>105</v>
      </c>
      <c r="G1418" s="18" t="s">
        <v>48</v>
      </c>
      <c r="H1418" s="24">
        <v>93110</v>
      </c>
      <c r="I1418" s="24">
        <f>T_reg.root.SK[[#This Row],[Volume, kg]]/1000</f>
        <v>93.11</v>
      </c>
      <c r="J1418" s="25">
        <v>0.23100000000000001</v>
      </c>
      <c r="K1418" s="25">
        <f t="shared" si="22"/>
        <v>21508.41</v>
      </c>
      <c r="L1418" s="25">
        <v>3.3</v>
      </c>
      <c r="M1418" s="24">
        <v>307531</v>
      </c>
      <c r="N1418" s="25">
        <f>IFERROR(T_reg.root.SK[[#This Row],[Price]]/T_reg.root.SK[[#This Row],[Starch content]],"")</f>
        <v>14.285714285714285</v>
      </c>
    </row>
    <row r="1419" spans="1:14">
      <c r="A1419" s="21">
        <v>2023</v>
      </c>
      <c r="B1419" s="21" t="s">
        <v>26</v>
      </c>
      <c r="C1419" s="21" t="s">
        <v>1145</v>
      </c>
      <c r="D1419" s="21" t="s">
        <v>35</v>
      </c>
      <c r="E1419" s="17" t="s">
        <v>118</v>
      </c>
      <c r="F1419" s="18" t="s">
        <v>105</v>
      </c>
      <c r="G1419" s="18" t="s">
        <v>48</v>
      </c>
      <c r="H1419" s="24">
        <v>484040</v>
      </c>
      <c r="I1419" s="24">
        <f>T_reg.root.SK[[#This Row],[Volume, kg]]/1000</f>
        <v>484.04</v>
      </c>
      <c r="J1419" s="25">
        <v>0.2213</v>
      </c>
      <c r="K1419" s="25">
        <f t="shared" si="22"/>
        <v>107118.052</v>
      </c>
      <c r="L1419" s="25">
        <v>3.27</v>
      </c>
      <c r="M1419" s="24">
        <v>1583364</v>
      </c>
      <c r="N1419" s="25">
        <f>IFERROR(T_reg.root.SK[[#This Row],[Price]]/T_reg.root.SK[[#This Row],[Starch content]],"")</f>
        <v>14.776321735201085</v>
      </c>
    </row>
    <row r="1420" spans="1:14">
      <c r="A1420" s="21">
        <v>2023</v>
      </c>
      <c r="B1420" s="21" t="s">
        <v>26</v>
      </c>
      <c r="C1420" s="21" t="s">
        <v>1145</v>
      </c>
      <c r="D1420" s="21" t="s">
        <v>35</v>
      </c>
      <c r="E1420" s="17" t="s">
        <v>119</v>
      </c>
      <c r="F1420" s="18" t="s">
        <v>105</v>
      </c>
      <c r="G1420" s="18" t="s">
        <v>48</v>
      </c>
      <c r="H1420" s="24">
        <v>35580</v>
      </c>
      <c r="I1420" s="24">
        <f>T_reg.root.SK[[#This Row],[Volume, kg]]/1000</f>
        <v>35.58</v>
      </c>
      <c r="J1420" s="25">
        <v>0.25790000000000002</v>
      </c>
      <c r="K1420" s="25">
        <f t="shared" si="22"/>
        <v>9176.0820000000003</v>
      </c>
      <c r="L1420" s="25">
        <v>3.4</v>
      </c>
      <c r="M1420" s="24">
        <v>121044</v>
      </c>
      <c r="N1420" s="25">
        <f>IFERROR(T_reg.root.SK[[#This Row],[Price]]/T_reg.root.SK[[#This Row],[Starch content]],"")</f>
        <v>13.183404420317951</v>
      </c>
    </row>
    <row r="1421" spans="1:14">
      <c r="A1421" s="21">
        <v>2023</v>
      </c>
      <c r="B1421" s="21" t="s">
        <v>26</v>
      </c>
      <c r="C1421" s="21" t="s">
        <v>1145</v>
      </c>
      <c r="D1421" s="21" t="s">
        <v>35</v>
      </c>
      <c r="E1421" s="17" t="s">
        <v>485</v>
      </c>
      <c r="F1421" s="18" t="s">
        <v>105</v>
      </c>
      <c r="G1421" s="18" t="s">
        <v>48</v>
      </c>
      <c r="H1421" s="24">
        <v>21270</v>
      </c>
      <c r="I1421" s="24">
        <f>T_reg.root.SK[[#This Row],[Volume, kg]]/1000</f>
        <v>21.27</v>
      </c>
      <c r="J1421" s="25">
        <v>0.25040000000000001</v>
      </c>
      <c r="K1421" s="25">
        <f t="shared" si="22"/>
        <v>5326.0079999999998</v>
      </c>
      <c r="L1421" s="25">
        <v>3.35</v>
      </c>
      <c r="M1421" s="24">
        <v>71295</v>
      </c>
      <c r="N1421" s="25">
        <f>IFERROR(T_reg.root.SK[[#This Row],[Price]]/T_reg.root.SK[[#This Row],[Starch content]],"")</f>
        <v>13.378594249201278</v>
      </c>
    </row>
    <row r="1422" spans="1:14">
      <c r="A1422" s="21">
        <v>2023</v>
      </c>
      <c r="B1422" s="21" t="s">
        <v>26</v>
      </c>
      <c r="C1422" s="21" t="s">
        <v>1145</v>
      </c>
      <c r="D1422" s="21" t="s">
        <v>35</v>
      </c>
      <c r="E1422" s="17" t="s">
        <v>120</v>
      </c>
      <c r="F1422" s="18" t="s">
        <v>105</v>
      </c>
      <c r="G1422" s="18" t="s">
        <v>48</v>
      </c>
      <c r="H1422" s="24">
        <v>4390</v>
      </c>
      <c r="I1422" s="24">
        <f>T_reg.root.SK[[#This Row],[Volume, kg]]/1000</f>
        <v>4.3899999999999997</v>
      </c>
      <c r="J1422" s="25">
        <v>0.23850000000000002</v>
      </c>
      <c r="K1422" s="25">
        <f t="shared" si="22"/>
        <v>1047.0150000000001</v>
      </c>
      <c r="L1422" s="25">
        <v>3.3</v>
      </c>
      <c r="M1422" s="24">
        <v>14487</v>
      </c>
      <c r="N1422" s="25">
        <f>IFERROR(T_reg.root.SK[[#This Row],[Price]]/T_reg.root.SK[[#This Row],[Starch content]],"")</f>
        <v>13.836477987421382</v>
      </c>
    </row>
    <row r="1423" spans="1:14">
      <c r="A1423" s="21">
        <v>2023</v>
      </c>
      <c r="B1423" s="21" t="s">
        <v>26</v>
      </c>
      <c r="C1423" s="21" t="s">
        <v>1145</v>
      </c>
      <c r="D1423" s="21" t="s">
        <v>35</v>
      </c>
      <c r="E1423" s="17" t="s">
        <v>121</v>
      </c>
      <c r="F1423" s="18" t="s">
        <v>105</v>
      </c>
      <c r="G1423" s="18" t="s">
        <v>48</v>
      </c>
      <c r="H1423" s="24">
        <v>14970</v>
      </c>
      <c r="I1423" s="24">
        <f>T_reg.root.SK[[#This Row],[Volume, kg]]/1000</f>
        <v>14.97</v>
      </c>
      <c r="J1423" s="25">
        <v>0.23269999999999999</v>
      </c>
      <c r="K1423" s="25">
        <f t="shared" si="22"/>
        <v>3483.5189999999998</v>
      </c>
      <c r="L1423" s="25">
        <v>3.25</v>
      </c>
      <c r="M1423" s="24">
        <v>48595</v>
      </c>
      <c r="N1423" s="25">
        <f>IFERROR(T_reg.root.SK[[#This Row],[Price]]/T_reg.root.SK[[#This Row],[Starch content]],"")</f>
        <v>13.966480446927374</v>
      </c>
    </row>
    <row r="1424" spans="1:14">
      <c r="A1424" s="21">
        <v>2023</v>
      </c>
      <c r="B1424" s="21" t="s">
        <v>26</v>
      </c>
      <c r="C1424" s="21" t="s">
        <v>1145</v>
      </c>
      <c r="D1424" s="21" t="s">
        <v>35</v>
      </c>
      <c r="E1424" s="17" t="s">
        <v>122</v>
      </c>
      <c r="F1424" s="18" t="s">
        <v>105</v>
      </c>
      <c r="G1424" s="18" t="s">
        <v>48</v>
      </c>
      <c r="H1424" s="24">
        <v>4230</v>
      </c>
      <c r="I1424" s="24">
        <f>T_reg.root.SK[[#This Row],[Volume, kg]]/1000</f>
        <v>4.2300000000000004</v>
      </c>
      <c r="J1424" s="25">
        <v>0.161</v>
      </c>
      <c r="K1424" s="25">
        <f t="shared" si="22"/>
        <v>681.03</v>
      </c>
      <c r="L1424" s="25">
        <v>2.9</v>
      </c>
      <c r="M1424" s="24">
        <v>12267</v>
      </c>
      <c r="N1424" s="25">
        <f>IFERROR(T_reg.root.SK[[#This Row],[Price]]/T_reg.root.SK[[#This Row],[Starch content]],"")</f>
        <v>18.012422360248447</v>
      </c>
    </row>
    <row r="1425" spans="1:14">
      <c r="A1425" s="21">
        <v>2023</v>
      </c>
      <c r="B1425" s="21" t="s">
        <v>26</v>
      </c>
      <c r="C1425" s="21" t="s">
        <v>1145</v>
      </c>
      <c r="D1425" s="21" t="s">
        <v>35</v>
      </c>
      <c r="E1425" s="17" t="s">
        <v>355</v>
      </c>
      <c r="F1425" s="18" t="s">
        <v>105</v>
      </c>
      <c r="G1425" s="18" t="s">
        <v>48</v>
      </c>
      <c r="H1425" s="24">
        <v>10750</v>
      </c>
      <c r="I1425" s="24">
        <f>T_reg.root.SK[[#This Row],[Volume, kg]]/1000</f>
        <v>10.75</v>
      </c>
      <c r="J1425" s="25">
        <v>0.27500000000000002</v>
      </c>
      <c r="K1425" s="25">
        <f t="shared" si="22"/>
        <v>2956.2500000000005</v>
      </c>
      <c r="L1425" s="25">
        <v>3.5</v>
      </c>
      <c r="M1425" s="24">
        <v>37625</v>
      </c>
      <c r="N1425" s="25">
        <f>IFERROR(T_reg.root.SK[[#This Row],[Price]]/T_reg.root.SK[[#This Row],[Starch content]],"")</f>
        <v>12.727272727272727</v>
      </c>
    </row>
    <row r="1426" spans="1:14">
      <c r="A1426" s="21">
        <v>2023</v>
      </c>
      <c r="B1426" s="21" t="s">
        <v>26</v>
      </c>
      <c r="C1426" s="21" t="s">
        <v>1145</v>
      </c>
      <c r="D1426" s="21" t="s">
        <v>35</v>
      </c>
      <c r="E1426" s="17" t="s">
        <v>124</v>
      </c>
      <c r="F1426" s="18" t="s">
        <v>105</v>
      </c>
      <c r="G1426" s="18" t="s">
        <v>48</v>
      </c>
      <c r="H1426" s="24">
        <v>278460</v>
      </c>
      <c r="I1426" s="24">
        <f>T_reg.root.SK[[#This Row],[Volume, kg]]/1000</f>
        <v>278.45999999999998</v>
      </c>
      <c r="J1426" s="25">
        <v>0.22899999999999998</v>
      </c>
      <c r="K1426" s="25">
        <f t="shared" si="22"/>
        <v>63767.34</v>
      </c>
      <c r="L1426" s="25">
        <v>3.25</v>
      </c>
      <c r="M1426" s="24">
        <v>904221</v>
      </c>
      <c r="N1426" s="25">
        <f>IFERROR(T_reg.root.SK[[#This Row],[Price]]/T_reg.root.SK[[#This Row],[Starch content]],"")</f>
        <v>14.192139737991267</v>
      </c>
    </row>
    <row r="1427" spans="1:14">
      <c r="A1427" s="21">
        <v>2023</v>
      </c>
      <c r="B1427" s="21" t="s">
        <v>26</v>
      </c>
      <c r="C1427" s="21" t="s">
        <v>1145</v>
      </c>
      <c r="D1427" s="21" t="s">
        <v>35</v>
      </c>
      <c r="E1427" s="17" t="s">
        <v>616</v>
      </c>
      <c r="F1427" s="18" t="s">
        <v>105</v>
      </c>
      <c r="G1427" s="18" t="s">
        <v>48</v>
      </c>
      <c r="H1427" s="24">
        <v>26280</v>
      </c>
      <c r="I1427" s="24">
        <f>T_reg.root.SK[[#This Row],[Volume, kg]]/1000</f>
        <v>26.28</v>
      </c>
      <c r="J1427" s="25">
        <v>0.25129999999999997</v>
      </c>
      <c r="K1427" s="25">
        <f t="shared" si="22"/>
        <v>6604.1639999999989</v>
      </c>
      <c r="L1427" s="25">
        <v>3.35</v>
      </c>
      <c r="M1427" s="24">
        <v>88080</v>
      </c>
      <c r="N1427" s="25">
        <f>IFERROR(T_reg.root.SK[[#This Row],[Price]]/T_reg.root.SK[[#This Row],[Starch content]],"")</f>
        <v>13.330680461599684</v>
      </c>
    </row>
    <row r="1428" spans="1:14">
      <c r="A1428" s="21">
        <v>2023</v>
      </c>
      <c r="B1428" s="21" t="s">
        <v>26</v>
      </c>
      <c r="C1428" s="21" t="s">
        <v>1145</v>
      </c>
      <c r="D1428" s="21" t="s">
        <v>35</v>
      </c>
      <c r="E1428" s="17" t="s">
        <v>129</v>
      </c>
      <c r="F1428" s="18" t="s">
        <v>105</v>
      </c>
      <c r="G1428" s="18" t="s">
        <v>48</v>
      </c>
      <c r="H1428" s="24">
        <v>50880</v>
      </c>
      <c r="I1428" s="24">
        <f>T_reg.root.SK[[#This Row],[Volume, kg]]/1000</f>
        <v>50.88</v>
      </c>
      <c r="J1428" s="25">
        <v>0.22030000000000002</v>
      </c>
      <c r="K1428" s="25">
        <f t="shared" si="22"/>
        <v>11208.864000000001</v>
      </c>
      <c r="L1428" s="25">
        <v>3.2</v>
      </c>
      <c r="M1428" s="24">
        <v>162607</v>
      </c>
      <c r="N1428" s="25">
        <f>IFERROR(T_reg.root.SK[[#This Row],[Price]]/T_reg.root.SK[[#This Row],[Starch content]],"")</f>
        <v>14.525646845211075</v>
      </c>
    </row>
    <row r="1429" spans="1:14">
      <c r="A1429" s="21">
        <v>2023</v>
      </c>
      <c r="B1429" s="21" t="s">
        <v>26</v>
      </c>
      <c r="C1429" s="21" t="s">
        <v>1145</v>
      </c>
      <c r="D1429" s="21" t="s">
        <v>35</v>
      </c>
      <c r="E1429" s="17" t="s">
        <v>617</v>
      </c>
      <c r="F1429" s="18" t="s">
        <v>105</v>
      </c>
      <c r="G1429" s="18" t="s">
        <v>48</v>
      </c>
      <c r="H1429" s="24">
        <v>40770</v>
      </c>
      <c r="I1429" s="24">
        <f>T_reg.root.SK[[#This Row],[Volume, kg]]/1000</f>
        <v>40.770000000000003</v>
      </c>
      <c r="J1429" s="25">
        <v>0.2271</v>
      </c>
      <c r="K1429" s="25">
        <f t="shared" si="22"/>
        <v>9258.8670000000002</v>
      </c>
      <c r="L1429" s="25">
        <v>3.25</v>
      </c>
      <c r="M1429" s="24">
        <v>132435.5</v>
      </c>
      <c r="N1429" s="25">
        <f>IFERROR(T_reg.root.SK[[#This Row],[Price]]/T_reg.root.SK[[#This Row],[Starch content]],"")</f>
        <v>14.310876265962131</v>
      </c>
    </row>
    <row r="1430" spans="1:14">
      <c r="A1430" s="21">
        <v>2023</v>
      </c>
      <c r="B1430" s="21" t="s">
        <v>26</v>
      </c>
      <c r="C1430" s="21" t="s">
        <v>1145</v>
      </c>
      <c r="D1430" s="21" t="s">
        <v>35</v>
      </c>
      <c r="E1430" s="17" t="s">
        <v>300</v>
      </c>
      <c r="F1430" s="18" t="s">
        <v>105</v>
      </c>
      <c r="G1430" s="18" t="s">
        <v>48</v>
      </c>
      <c r="H1430" s="24">
        <v>10560</v>
      </c>
      <c r="I1430" s="24">
        <f>T_reg.root.SK[[#This Row],[Volume, kg]]/1000</f>
        <v>10.56</v>
      </c>
      <c r="J1430" s="25">
        <v>0.19600000000000001</v>
      </c>
      <c r="K1430" s="25">
        <f t="shared" si="22"/>
        <v>2069.7600000000002</v>
      </c>
      <c r="L1430" s="25">
        <v>3.1</v>
      </c>
      <c r="M1430" s="24">
        <v>32736</v>
      </c>
      <c r="N1430" s="25">
        <f>IFERROR(T_reg.root.SK[[#This Row],[Price]]/T_reg.root.SK[[#This Row],[Starch content]],"")</f>
        <v>15.816326530612244</v>
      </c>
    </row>
    <row r="1431" spans="1:14">
      <c r="A1431" s="21">
        <v>2023</v>
      </c>
      <c r="B1431" s="21" t="s">
        <v>26</v>
      </c>
      <c r="C1431" s="21" t="s">
        <v>1145</v>
      </c>
      <c r="D1431" s="21" t="s">
        <v>35</v>
      </c>
      <c r="E1431" s="17" t="s">
        <v>492</v>
      </c>
      <c r="F1431" s="18" t="s">
        <v>105</v>
      </c>
      <c r="G1431" s="18" t="s">
        <v>48</v>
      </c>
      <c r="H1431" s="24">
        <v>7400</v>
      </c>
      <c r="I1431" s="24">
        <f>T_reg.root.SK[[#This Row],[Volume, kg]]/1000</f>
        <v>7.4</v>
      </c>
      <c r="J1431" s="25">
        <v>0.2218</v>
      </c>
      <c r="K1431" s="25">
        <f t="shared" si="22"/>
        <v>1641.32</v>
      </c>
      <c r="L1431" s="25">
        <v>3.21</v>
      </c>
      <c r="M1431" s="24">
        <v>23786</v>
      </c>
      <c r="N1431" s="25">
        <f>IFERROR(T_reg.root.SK[[#This Row],[Price]]/T_reg.root.SK[[#This Row],[Starch content]],"")</f>
        <v>14.472497745716861</v>
      </c>
    </row>
    <row r="1432" spans="1:14">
      <c r="A1432" s="21">
        <v>2023</v>
      </c>
      <c r="B1432" s="21" t="s">
        <v>26</v>
      </c>
      <c r="C1432" s="21" t="s">
        <v>1145</v>
      </c>
      <c r="D1432" s="21" t="s">
        <v>35</v>
      </c>
      <c r="E1432" s="17" t="s">
        <v>136</v>
      </c>
      <c r="F1432" s="18" t="s">
        <v>105</v>
      </c>
      <c r="G1432" s="18" t="s">
        <v>48</v>
      </c>
      <c r="H1432" s="24">
        <v>146950</v>
      </c>
      <c r="I1432" s="24">
        <f>T_reg.root.SK[[#This Row],[Volume, kg]]/1000</f>
        <v>146.94999999999999</v>
      </c>
      <c r="J1432" s="25">
        <v>0.22469999999999998</v>
      </c>
      <c r="K1432" s="25">
        <f t="shared" si="22"/>
        <v>33019.665000000001</v>
      </c>
      <c r="L1432" s="25">
        <v>3.28</v>
      </c>
      <c r="M1432" s="24">
        <v>482342</v>
      </c>
      <c r="N1432" s="25">
        <f>IFERROR(T_reg.root.SK[[#This Row],[Price]]/T_reg.root.SK[[#This Row],[Starch content]],"")</f>
        <v>14.597240765465065</v>
      </c>
    </row>
    <row r="1433" spans="1:14">
      <c r="A1433" s="21">
        <v>2023</v>
      </c>
      <c r="B1433" s="21" t="s">
        <v>26</v>
      </c>
      <c r="C1433" s="21" t="s">
        <v>1145</v>
      </c>
      <c r="D1433" s="21" t="s">
        <v>35</v>
      </c>
      <c r="E1433" s="17" t="s">
        <v>493</v>
      </c>
      <c r="F1433" s="18" t="s">
        <v>105</v>
      </c>
      <c r="G1433" s="18" t="s">
        <v>48</v>
      </c>
      <c r="H1433" s="24">
        <v>32460</v>
      </c>
      <c r="I1433" s="24">
        <f>T_reg.root.SK[[#This Row],[Volume, kg]]/1000</f>
        <v>32.46</v>
      </c>
      <c r="J1433" s="25">
        <v>0.22</v>
      </c>
      <c r="K1433" s="25">
        <f t="shared" si="22"/>
        <v>7141.2</v>
      </c>
      <c r="L1433" s="25">
        <v>3.2</v>
      </c>
      <c r="M1433" s="24">
        <v>103907.5</v>
      </c>
      <c r="N1433" s="25">
        <f>IFERROR(T_reg.root.SK[[#This Row],[Price]]/T_reg.root.SK[[#This Row],[Starch content]],"")</f>
        <v>14.545454545454547</v>
      </c>
    </row>
    <row r="1434" spans="1:14">
      <c r="A1434" s="21">
        <v>2023</v>
      </c>
      <c r="B1434" s="21" t="s">
        <v>26</v>
      </c>
      <c r="C1434" s="21" t="s">
        <v>1145</v>
      </c>
      <c r="D1434" s="21" t="s">
        <v>35</v>
      </c>
      <c r="E1434" s="17" t="s">
        <v>138</v>
      </c>
      <c r="F1434" s="18" t="s">
        <v>105</v>
      </c>
      <c r="G1434" s="18" t="s">
        <v>48</v>
      </c>
      <c r="H1434" s="24">
        <v>173220</v>
      </c>
      <c r="I1434" s="24">
        <f>T_reg.root.SK[[#This Row],[Volume, kg]]/1000</f>
        <v>173.22</v>
      </c>
      <c r="J1434" s="25">
        <v>0.249</v>
      </c>
      <c r="K1434" s="25">
        <f t="shared" si="22"/>
        <v>43131.78</v>
      </c>
      <c r="L1434" s="25">
        <v>3.41</v>
      </c>
      <c r="M1434" s="24">
        <v>591460</v>
      </c>
      <c r="N1434" s="25">
        <f>IFERROR(T_reg.root.SK[[#This Row],[Price]]/T_reg.root.SK[[#This Row],[Starch content]],"")</f>
        <v>13.694779116465863</v>
      </c>
    </row>
    <row r="1435" spans="1:14">
      <c r="A1435" s="21">
        <v>2023</v>
      </c>
      <c r="B1435" s="21" t="s">
        <v>26</v>
      </c>
      <c r="C1435" s="21" t="s">
        <v>1145</v>
      </c>
      <c r="D1435" s="21" t="s">
        <v>35</v>
      </c>
      <c r="E1435" s="17" t="s">
        <v>140</v>
      </c>
      <c r="F1435" s="18" t="s">
        <v>105</v>
      </c>
      <c r="G1435" s="18" t="s">
        <v>48</v>
      </c>
      <c r="H1435" s="24">
        <v>52410</v>
      </c>
      <c r="I1435" s="24">
        <f>T_reg.root.SK[[#This Row],[Volume, kg]]/1000</f>
        <v>52.41</v>
      </c>
      <c r="J1435" s="25">
        <v>0.20399999999999999</v>
      </c>
      <c r="K1435" s="25">
        <f t="shared" si="22"/>
        <v>10691.64</v>
      </c>
      <c r="L1435" s="25">
        <v>3.1</v>
      </c>
      <c r="M1435" s="24">
        <v>162708</v>
      </c>
      <c r="N1435" s="25">
        <f>IFERROR(T_reg.root.SK[[#This Row],[Price]]/T_reg.root.SK[[#This Row],[Starch content]],"")</f>
        <v>15.19607843137255</v>
      </c>
    </row>
    <row r="1436" spans="1:14">
      <c r="A1436" s="21">
        <v>2023</v>
      </c>
      <c r="B1436" s="21" t="s">
        <v>26</v>
      </c>
      <c r="C1436" s="21" t="s">
        <v>1145</v>
      </c>
      <c r="D1436" s="21" t="s">
        <v>35</v>
      </c>
      <c r="E1436" s="17" t="s">
        <v>243</v>
      </c>
      <c r="F1436" s="18" t="s">
        <v>105</v>
      </c>
      <c r="G1436" s="18" t="s">
        <v>48</v>
      </c>
      <c r="H1436" s="24">
        <v>2730</v>
      </c>
      <c r="I1436" s="24">
        <f>T_reg.root.SK[[#This Row],[Volume, kg]]/1000</f>
        <v>2.73</v>
      </c>
      <c r="J1436" s="25">
        <v>0.23250000000000001</v>
      </c>
      <c r="K1436" s="25">
        <f t="shared" si="22"/>
        <v>634.72500000000002</v>
      </c>
      <c r="L1436" s="25">
        <v>3.3</v>
      </c>
      <c r="M1436" s="24">
        <v>9009</v>
      </c>
      <c r="N1436" s="25">
        <f>IFERROR(T_reg.root.SK[[#This Row],[Price]]/T_reg.root.SK[[#This Row],[Starch content]],"")</f>
        <v>14.193548387096772</v>
      </c>
    </row>
    <row r="1437" spans="1:14">
      <c r="A1437" s="21">
        <v>2023</v>
      </c>
      <c r="B1437" s="21" t="s">
        <v>26</v>
      </c>
      <c r="C1437" s="21" t="s">
        <v>1145</v>
      </c>
      <c r="D1437" s="21" t="s">
        <v>35</v>
      </c>
      <c r="E1437" s="17" t="s">
        <v>567</v>
      </c>
      <c r="F1437" s="18" t="s">
        <v>105</v>
      </c>
      <c r="G1437" s="18" t="s">
        <v>48</v>
      </c>
      <c r="H1437" s="24">
        <v>47620</v>
      </c>
      <c r="I1437" s="24">
        <f>T_reg.root.SK[[#This Row],[Volume, kg]]/1000</f>
        <v>47.62</v>
      </c>
      <c r="J1437" s="25">
        <v>0.22969999999999999</v>
      </c>
      <c r="K1437" s="25">
        <f t="shared" si="22"/>
        <v>10938.314</v>
      </c>
      <c r="L1437" s="25">
        <v>3.29</v>
      </c>
      <c r="M1437" s="24">
        <v>156663</v>
      </c>
      <c r="N1437" s="25">
        <f>IFERROR(T_reg.root.SK[[#This Row],[Price]]/T_reg.root.SK[[#This Row],[Starch content]],"")</f>
        <v>14.323030039181543</v>
      </c>
    </row>
    <row r="1438" spans="1:14">
      <c r="A1438" s="21">
        <v>2023</v>
      </c>
      <c r="B1438" s="21" t="s">
        <v>26</v>
      </c>
      <c r="C1438" s="21" t="s">
        <v>1145</v>
      </c>
      <c r="D1438" s="21" t="s">
        <v>35</v>
      </c>
      <c r="E1438" s="17" t="s">
        <v>307</v>
      </c>
      <c r="F1438" s="18" t="s">
        <v>105</v>
      </c>
      <c r="G1438" s="18" t="s">
        <v>48</v>
      </c>
      <c r="H1438" s="24">
        <v>50370</v>
      </c>
      <c r="I1438" s="24">
        <f>T_reg.root.SK[[#This Row],[Volume, kg]]/1000</f>
        <v>50.37</v>
      </c>
      <c r="J1438" s="25">
        <v>0.2591</v>
      </c>
      <c r="K1438" s="25">
        <f t="shared" si="22"/>
        <v>13050.867</v>
      </c>
      <c r="L1438" s="25">
        <v>3.4</v>
      </c>
      <c r="M1438" s="24">
        <v>171047</v>
      </c>
      <c r="N1438" s="25">
        <f>IFERROR(T_reg.root.SK[[#This Row],[Price]]/T_reg.root.SK[[#This Row],[Starch content]],"")</f>
        <v>13.122346584330375</v>
      </c>
    </row>
    <row r="1439" spans="1:14">
      <c r="A1439" s="21">
        <v>2023</v>
      </c>
      <c r="B1439" s="21" t="s">
        <v>26</v>
      </c>
      <c r="C1439" s="21" t="s">
        <v>1145</v>
      </c>
      <c r="D1439" s="21" t="s">
        <v>35</v>
      </c>
      <c r="E1439" s="17" t="s">
        <v>308</v>
      </c>
      <c r="F1439" s="18" t="s">
        <v>105</v>
      </c>
      <c r="G1439" s="18" t="s">
        <v>48</v>
      </c>
      <c r="H1439" s="24">
        <v>32110</v>
      </c>
      <c r="I1439" s="24">
        <f>T_reg.root.SK[[#This Row],[Volume, kg]]/1000</f>
        <v>32.11</v>
      </c>
      <c r="J1439" s="25">
        <v>0.23170000000000002</v>
      </c>
      <c r="K1439" s="25">
        <f t="shared" si="22"/>
        <v>7439.8870000000006</v>
      </c>
      <c r="L1439" s="25">
        <v>3.25</v>
      </c>
      <c r="M1439" s="24">
        <v>104351</v>
      </c>
      <c r="N1439" s="25">
        <f>IFERROR(T_reg.root.SK[[#This Row],[Price]]/T_reg.root.SK[[#This Row],[Starch content]],"")</f>
        <v>14.026758739749676</v>
      </c>
    </row>
    <row r="1440" spans="1:14">
      <c r="A1440" s="21">
        <v>2023</v>
      </c>
      <c r="B1440" s="21" t="s">
        <v>26</v>
      </c>
      <c r="C1440" s="21" t="s">
        <v>1145</v>
      </c>
      <c r="D1440" s="21" t="s">
        <v>35</v>
      </c>
      <c r="E1440" s="17" t="s">
        <v>247</v>
      </c>
      <c r="F1440" s="18" t="s">
        <v>105</v>
      </c>
      <c r="G1440" s="18" t="s">
        <v>48</v>
      </c>
      <c r="H1440" s="24">
        <v>4810</v>
      </c>
      <c r="I1440" s="24">
        <f>T_reg.root.SK[[#This Row],[Volume, kg]]/1000</f>
        <v>4.8099999999999996</v>
      </c>
      <c r="J1440" s="25">
        <v>0.23550000000000001</v>
      </c>
      <c r="K1440" s="25">
        <f t="shared" si="22"/>
        <v>1132.7550000000001</v>
      </c>
      <c r="L1440" s="25">
        <v>3.3</v>
      </c>
      <c r="M1440" s="24">
        <v>15873</v>
      </c>
      <c r="N1440" s="25">
        <f>IFERROR(T_reg.root.SK[[#This Row],[Price]]/T_reg.root.SK[[#This Row],[Starch content]],"")</f>
        <v>14.012738853503183</v>
      </c>
    </row>
    <row r="1441" spans="1:14">
      <c r="A1441" s="21">
        <v>2023</v>
      </c>
      <c r="B1441" s="21" t="s">
        <v>26</v>
      </c>
      <c r="C1441" s="21" t="s">
        <v>1145</v>
      </c>
      <c r="D1441" s="21" t="s">
        <v>35</v>
      </c>
      <c r="E1441" s="17" t="s">
        <v>143</v>
      </c>
      <c r="F1441" s="18" t="s">
        <v>105</v>
      </c>
      <c r="G1441" s="18" t="s">
        <v>48</v>
      </c>
      <c r="H1441" s="24">
        <v>88190</v>
      </c>
      <c r="I1441" s="24">
        <f>T_reg.root.SK[[#This Row],[Volume, kg]]/1000</f>
        <v>88.19</v>
      </c>
      <c r="J1441" s="25">
        <v>0.23569999999999999</v>
      </c>
      <c r="K1441" s="25">
        <f t="shared" si="22"/>
        <v>20786.382999999998</v>
      </c>
      <c r="L1441" s="25">
        <v>3.26</v>
      </c>
      <c r="M1441" s="24">
        <v>287763</v>
      </c>
      <c r="N1441" s="25">
        <f>IFERROR(T_reg.root.SK[[#This Row],[Price]]/T_reg.root.SK[[#This Row],[Starch content]],"")</f>
        <v>13.831141281289774</v>
      </c>
    </row>
    <row r="1442" spans="1:14">
      <c r="A1442" s="21">
        <v>2023</v>
      </c>
      <c r="B1442" s="21" t="s">
        <v>26</v>
      </c>
      <c r="C1442" s="21" t="s">
        <v>1145</v>
      </c>
      <c r="D1442" s="21" t="s">
        <v>35</v>
      </c>
      <c r="E1442" s="17" t="s">
        <v>312</v>
      </c>
      <c r="F1442" s="18" t="s">
        <v>105</v>
      </c>
      <c r="G1442" s="18" t="s">
        <v>48</v>
      </c>
      <c r="H1442" s="24">
        <v>5400</v>
      </c>
      <c r="I1442" s="24">
        <f>T_reg.root.SK[[#This Row],[Volume, kg]]/1000</f>
        <v>5.4</v>
      </c>
      <c r="J1442" s="25">
        <v>0.2515</v>
      </c>
      <c r="K1442" s="25">
        <f t="shared" si="22"/>
        <v>1358.1</v>
      </c>
      <c r="L1442" s="25">
        <v>3.35</v>
      </c>
      <c r="M1442" s="24">
        <v>18090</v>
      </c>
      <c r="N1442" s="25">
        <f>IFERROR(T_reg.root.SK[[#This Row],[Price]]/T_reg.root.SK[[#This Row],[Starch content]],"")</f>
        <v>13.320079522862823</v>
      </c>
    </row>
    <row r="1443" spans="1:14">
      <c r="A1443" s="21">
        <v>2023</v>
      </c>
      <c r="B1443" s="21" t="s">
        <v>26</v>
      </c>
      <c r="C1443" s="21" t="s">
        <v>1145</v>
      </c>
      <c r="D1443" s="21" t="s">
        <v>35</v>
      </c>
      <c r="E1443" s="17" t="s">
        <v>146</v>
      </c>
      <c r="F1443" s="18" t="s">
        <v>105</v>
      </c>
      <c r="G1443" s="18" t="s">
        <v>48</v>
      </c>
      <c r="H1443" s="24">
        <v>154180</v>
      </c>
      <c r="I1443" s="24">
        <f>T_reg.root.SK[[#This Row],[Volume, kg]]/1000</f>
        <v>154.18</v>
      </c>
      <c r="J1443" s="25">
        <v>0.22559999999999999</v>
      </c>
      <c r="K1443" s="25">
        <f t="shared" si="22"/>
        <v>34783.008000000002</v>
      </c>
      <c r="L1443" s="25">
        <v>3.29</v>
      </c>
      <c r="M1443" s="24">
        <v>506583</v>
      </c>
      <c r="N1443" s="25">
        <f>IFERROR(T_reg.root.SK[[#This Row],[Price]]/T_reg.root.SK[[#This Row],[Starch content]],"")</f>
        <v>14.583333333333334</v>
      </c>
    </row>
    <row r="1444" spans="1:14">
      <c r="A1444" s="21">
        <v>2023</v>
      </c>
      <c r="B1444" s="21" t="s">
        <v>26</v>
      </c>
      <c r="C1444" s="21" t="s">
        <v>1145</v>
      </c>
      <c r="D1444" s="21" t="s">
        <v>35</v>
      </c>
      <c r="E1444" s="17" t="s">
        <v>250</v>
      </c>
      <c r="F1444" s="18" t="s">
        <v>105</v>
      </c>
      <c r="G1444" s="18" t="s">
        <v>48</v>
      </c>
      <c r="H1444" s="24">
        <v>33460</v>
      </c>
      <c r="I1444" s="24">
        <f>T_reg.root.SK[[#This Row],[Volume, kg]]/1000</f>
        <v>33.46</v>
      </c>
      <c r="J1444" s="25">
        <v>0.25170000000000003</v>
      </c>
      <c r="K1444" s="25">
        <f t="shared" si="22"/>
        <v>8421.8820000000014</v>
      </c>
      <c r="L1444" s="25">
        <v>3.35</v>
      </c>
      <c r="M1444" s="24">
        <v>112196</v>
      </c>
      <c r="N1444" s="25">
        <f>IFERROR(T_reg.root.SK[[#This Row],[Price]]/T_reg.root.SK[[#This Row],[Starch content]],"")</f>
        <v>13.309495431068731</v>
      </c>
    </row>
    <row r="1445" spans="1:14">
      <c r="A1445" s="21">
        <v>2023</v>
      </c>
      <c r="B1445" s="21" t="s">
        <v>26</v>
      </c>
      <c r="C1445" s="21" t="s">
        <v>1145</v>
      </c>
      <c r="D1445" s="21" t="s">
        <v>35</v>
      </c>
      <c r="E1445" s="17" t="s">
        <v>147</v>
      </c>
      <c r="F1445" s="18" t="s">
        <v>105</v>
      </c>
      <c r="G1445" s="18" t="s">
        <v>48</v>
      </c>
      <c r="H1445" s="24">
        <v>266360</v>
      </c>
      <c r="I1445" s="24">
        <f>T_reg.root.SK[[#This Row],[Volume, kg]]/1000</f>
        <v>266.36</v>
      </c>
      <c r="J1445" s="25">
        <v>0.2336</v>
      </c>
      <c r="K1445" s="25">
        <f t="shared" si="22"/>
        <v>62221.696000000004</v>
      </c>
      <c r="L1445" s="25">
        <v>3.29</v>
      </c>
      <c r="M1445" s="24">
        <v>875868.5</v>
      </c>
      <c r="N1445" s="25">
        <f>IFERROR(T_reg.root.SK[[#This Row],[Price]]/T_reg.root.SK[[#This Row],[Starch content]],"")</f>
        <v>14.08390410958904</v>
      </c>
    </row>
    <row r="1446" spans="1:14">
      <c r="A1446" s="21">
        <v>2023</v>
      </c>
      <c r="B1446" s="21" t="s">
        <v>26</v>
      </c>
      <c r="C1446" s="21" t="s">
        <v>1145</v>
      </c>
      <c r="D1446" s="21" t="s">
        <v>35</v>
      </c>
      <c r="E1446" s="17" t="s">
        <v>251</v>
      </c>
      <c r="F1446" s="18" t="s">
        <v>105</v>
      </c>
      <c r="G1446" s="18" t="s">
        <v>48</v>
      </c>
      <c r="H1446" s="24">
        <v>28410</v>
      </c>
      <c r="I1446" s="24">
        <f>T_reg.root.SK[[#This Row],[Volume, kg]]/1000</f>
        <v>28.41</v>
      </c>
      <c r="J1446" s="25">
        <v>0.24429999999999999</v>
      </c>
      <c r="K1446" s="25">
        <f t="shared" si="22"/>
        <v>6940.5630000000001</v>
      </c>
      <c r="L1446" s="25">
        <v>3.35</v>
      </c>
      <c r="M1446" s="24">
        <v>95176.5</v>
      </c>
      <c r="N1446" s="25">
        <f>IFERROR(T_reg.root.SK[[#This Row],[Price]]/T_reg.root.SK[[#This Row],[Starch content]],"")</f>
        <v>13.712648383135489</v>
      </c>
    </row>
    <row r="1447" spans="1:14">
      <c r="A1447" s="21">
        <v>2023</v>
      </c>
      <c r="B1447" s="21" t="s">
        <v>26</v>
      </c>
      <c r="C1447" s="21" t="s">
        <v>1145</v>
      </c>
      <c r="D1447" s="21" t="s">
        <v>35</v>
      </c>
      <c r="E1447" s="17" t="s">
        <v>618</v>
      </c>
      <c r="F1447" s="18" t="s">
        <v>105</v>
      </c>
      <c r="G1447" s="18" t="s">
        <v>48</v>
      </c>
      <c r="H1447" s="24">
        <v>58280</v>
      </c>
      <c r="I1447" s="24">
        <f>T_reg.root.SK[[#This Row],[Volume, kg]]/1000</f>
        <v>58.28</v>
      </c>
      <c r="J1447" s="25">
        <v>0.2576</v>
      </c>
      <c r="K1447" s="25">
        <f t="shared" si="22"/>
        <v>15012.928</v>
      </c>
      <c r="L1447" s="25">
        <v>3.41</v>
      </c>
      <c r="M1447" s="24">
        <v>198570.5</v>
      </c>
      <c r="N1447" s="25">
        <f>IFERROR(T_reg.root.SK[[#This Row],[Price]]/T_reg.root.SK[[#This Row],[Starch content]],"")</f>
        <v>13.237577639751553</v>
      </c>
    </row>
    <row r="1448" spans="1:14">
      <c r="A1448" s="21">
        <v>2023</v>
      </c>
      <c r="B1448" s="21" t="s">
        <v>26</v>
      </c>
      <c r="C1448" s="21" t="s">
        <v>1145</v>
      </c>
      <c r="D1448" s="21" t="s">
        <v>35</v>
      </c>
      <c r="E1448" s="17" t="s">
        <v>148</v>
      </c>
      <c r="F1448" s="18" t="s">
        <v>105</v>
      </c>
      <c r="G1448" s="18" t="s">
        <v>48</v>
      </c>
      <c r="H1448" s="24">
        <v>40680</v>
      </c>
      <c r="I1448" s="24">
        <f>T_reg.root.SK[[#This Row],[Volume, kg]]/1000</f>
        <v>40.68</v>
      </c>
      <c r="J1448" s="25">
        <v>0.21289999999999998</v>
      </c>
      <c r="K1448" s="25">
        <f t="shared" si="22"/>
        <v>8660.771999999999</v>
      </c>
      <c r="L1448" s="25">
        <v>3.16</v>
      </c>
      <c r="M1448" s="24">
        <v>128548</v>
      </c>
      <c r="N1448" s="25">
        <f>IFERROR(T_reg.root.SK[[#This Row],[Price]]/T_reg.root.SK[[#This Row],[Starch content]],"")</f>
        <v>14.842649131047443</v>
      </c>
    </row>
    <row r="1449" spans="1:14">
      <c r="A1449" s="21">
        <v>2023</v>
      </c>
      <c r="B1449" s="21" t="s">
        <v>26</v>
      </c>
      <c r="C1449" s="21" t="s">
        <v>1145</v>
      </c>
      <c r="D1449" s="21" t="s">
        <v>35</v>
      </c>
      <c r="E1449" s="17" t="s">
        <v>252</v>
      </c>
      <c r="F1449" s="18" t="s">
        <v>105</v>
      </c>
      <c r="G1449" s="18" t="s">
        <v>48</v>
      </c>
      <c r="H1449" s="24">
        <v>37040</v>
      </c>
      <c r="I1449" s="24">
        <f>T_reg.root.SK[[#This Row],[Volume, kg]]/1000</f>
        <v>37.04</v>
      </c>
      <c r="J1449" s="25">
        <v>0.26960000000000001</v>
      </c>
      <c r="K1449" s="25">
        <f t="shared" si="22"/>
        <v>9985.9840000000004</v>
      </c>
      <c r="L1449" s="25">
        <v>3.45</v>
      </c>
      <c r="M1449" s="24">
        <v>127922</v>
      </c>
      <c r="N1449" s="25">
        <f>IFERROR(T_reg.root.SK[[#This Row],[Price]]/T_reg.root.SK[[#This Row],[Starch content]],"")</f>
        <v>12.79673590504451</v>
      </c>
    </row>
    <row r="1450" spans="1:14">
      <c r="A1450" s="21">
        <v>2023</v>
      </c>
      <c r="B1450" s="21" t="s">
        <v>26</v>
      </c>
      <c r="C1450" s="21" t="s">
        <v>1145</v>
      </c>
      <c r="D1450" s="21" t="s">
        <v>35</v>
      </c>
      <c r="E1450" s="17" t="s">
        <v>604</v>
      </c>
      <c r="F1450" s="18" t="s">
        <v>105</v>
      </c>
      <c r="G1450" s="18" t="s">
        <v>48</v>
      </c>
      <c r="H1450" s="24">
        <v>5220</v>
      </c>
      <c r="I1450" s="24">
        <f>T_reg.root.SK[[#This Row],[Volume, kg]]/1000</f>
        <v>5.22</v>
      </c>
      <c r="J1450" s="25">
        <v>0.24100000000000002</v>
      </c>
      <c r="K1450" s="25">
        <f t="shared" si="22"/>
        <v>1258.0200000000002</v>
      </c>
      <c r="L1450" s="25">
        <v>3.3</v>
      </c>
      <c r="M1450" s="24">
        <v>17226</v>
      </c>
      <c r="N1450" s="25">
        <f>IFERROR(T_reg.root.SK[[#This Row],[Price]]/T_reg.root.SK[[#This Row],[Starch content]],"")</f>
        <v>13.692946058091284</v>
      </c>
    </row>
    <row r="1451" spans="1:14">
      <c r="A1451" s="21">
        <v>2023</v>
      </c>
      <c r="B1451" s="21" t="s">
        <v>26</v>
      </c>
      <c r="C1451" s="21" t="s">
        <v>1145</v>
      </c>
      <c r="D1451" s="21" t="s">
        <v>35</v>
      </c>
      <c r="E1451" s="17" t="s">
        <v>314</v>
      </c>
      <c r="F1451" s="18" t="s">
        <v>105</v>
      </c>
      <c r="G1451" s="18" t="s">
        <v>48</v>
      </c>
      <c r="H1451" s="24">
        <v>19010</v>
      </c>
      <c r="I1451" s="24">
        <f>T_reg.root.SK[[#This Row],[Volume, kg]]/1000</f>
        <v>19.010000000000002</v>
      </c>
      <c r="J1451" s="25">
        <v>0.222</v>
      </c>
      <c r="K1451" s="25">
        <f t="shared" si="22"/>
        <v>4220.22</v>
      </c>
      <c r="L1451" s="25">
        <v>3.2</v>
      </c>
      <c r="M1451" s="24">
        <v>60799.5</v>
      </c>
      <c r="N1451" s="25">
        <f>IFERROR(T_reg.root.SK[[#This Row],[Price]]/T_reg.root.SK[[#This Row],[Starch content]],"")</f>
        <v>14.414414414414415</v>
      </c>
    </row>
    <row r="1452" spans="1:14">
      <c r="A1452" s="21">
        <v>2023</v>
      </c>
      <c r="B1452" s="21" t="s">
        <v>26</v>
      </c>
      <c r="C1452" s="21" t="s">
        <v>1145</v>
      </c>
      <c r="D1452" s="21" t="s">
        <v>35</v>
      </c>
      <c r="E1452" s="17" t="s">
        <v>315</v>
      </c>
      <c r="F1452" s="18" t="s">
        <v>105</v>
      </c>
      <c r="G1452" s="18" t="s">
        <v>48</v>
      </c>
      <c r="H1452" s="24">
        <v>0</v>
      </c>
      <c r="I1452" s="24">
        <f>T_reg.root.SK[[#This Row],[Volume, kg]]/1000</f>
        <v>0</v>
      </c>
      <c r="J1452" s="25">
        <v>0</v>
      </c>
      <c r="K1452" s="25">
        <f t="shared" si="22"/>
        <v>0</v>
      </c>
      <c r="L1452" s="25">
        <v>0</v>
      </c>
      <c r="M1452" s="24">
        <v>0</v>
      </c>
      <c r="N1452" s="25" t="str">
        <f>IFERROR(T_reg.root.SK[[#This Row],[Price]]/T_reg.root.SK[[#This Row],[Starch content]],"")</f>
        <v/>
      </c>
    </row>
    <row r="1453" spans="1:14">
      <c r="A1453" s="21">
        <v>2023</v>
      </c>
      <c r="B1453" s="21" t="s">
        <v>26</v>
      </c>
      <c r="C1453" s="21" t="s">
        <v>1145</v>
      </c>
      <c r="D1453" s="21" t="s">
        <v>35</v>
      </c>
      <c r="E1453" s="17" t="s">
        <v>500</v>
      </c>
      <c r="F1453" s="18" t="s">
        <v>105</v>
      </c>
      <c r="G1453" s="18" t="s">
        <v>48</v>
      </c>
      <c r="H1453" s="24">
        <v>9800</v>
      </c>
      <c r="I1453" s="24">
        <f>T_reg.root.SK[[#This Row],[Volume, kg]]/1000</f>
        <v>9.8000000000000007</v>
      </c>
      <c r="J1453" s="25">
        <v>0.16519999999999999</v>
      </c>
      <c r="K1453" s="25">
        <f t="shared" si="22"/>
        <v>1618.9599999999998</v>
      </c>
      <c r="L1453" s="25">
        <v>2.93</v>
      </c>
      <c r="M1453" s="24">
        <v>28699.5</v>
      </c>
      <c r="N1453" s="25">
        <f>IFERROR(T_reg.root.SK[[#This Row],[Price]]/T_reg.root.SK[[#This Row],[Starch content]],"")</f>
        <v>17.736077481840198</v>
      </c>
    </row>
    <row r="1454" spans="1:14">
      <c r="A1454" s="21">
        <v>2023</v>
      </c>
      <c r="B1454" s="21" t="s">
        <v>26</v>
      </c>
      <c r="C1454" s="21" t="s">
        <v>1145</v>
      </c>
      <c r="D1454" s="21" t="s">
        <v>35</v>
      </c>
      <c r="E1454" s="17" t="s">
        <v>150</v>
      </c>
      <c r="F1454" s="18" t="s">
        <v>105</v>
      </c>
      <c r="G1454" s="18" t="s">
        <v>48</v>
      </c>
      <c r="H1454" s="24">
        <v>30050</v>
      </c>
      <c r="I1454" s="24">
        <f>T_reg.root.SK[[#This Row],[Volume, kg]]/1000</f>
        <v>30.05</v>
      </c>
      <c r="J1454" s="25">
        <v>0.1721</v>
      </c>
      <c r="K1454" s="25">
        <f t="shared" si="22"/>
        <v>5171.6050000000005</v>
      </c>
      <c r="L1454" s="25">
        <v>3.01</v>
      </c>
      <c r="M1454" s="24">
        <v>90369.5</v>
      </c>
      <c r="N1454" s="25">
        <f>IFERROR(T_reg.root.SK[[#This Row],[Price]]/T_reg.root.SK[[#This Row],[Starch content]],"")</f>
        <v>17.489831493317837</v>
      </c>
    </row>
    <row r="1455" spans="1:14">
      <c r="A1455" s="21">
        <v>2023</v>
      </c>
      <c r="B1455" s="21" t="s">
        <v>26</v>
      </c>
      <c r="C1455" s="21" t="s">
        <v>1145</v>
      </c>
      <c r="D1455" s="21" t="s">
        <v>35</v>
      </c>
      <c r="E1455" s="17" t="s">
        <v>570</v>
      </c>
      <c r="F1455" s="18" t="s">
        <v>105</v>
      </c>
      <c r="G1455" s="18" t="s">
        <v>48</v>
      </c>
      <c r="H1455" s="24">
        <v>46250</v>
      </c>
      <c r="I1455" s="24">
        <f>T_reg.root.SK[[#This Row],[Volume, kg]]/1000</f>
        <v>46.25</v>
      </c>
      <c r="J1455" s="25">
        <v>0.20469999999999999</v>
      </c>
      <c r="K1455" s="25">
        <f t="shared" si="22"/>
        <v>9467.375</v>
      </c>
      <c r="L1455" s="25">
        <v>3.13</v>
      </c>
      <c r="M1455" s="24">
        <v>144883.5</v>
      </c>
      <c r="N1455" s="25">
        <f>IFERROR(T_reg.root.SK[[#This Row],[Price]]/T_reg.root.SK[[#This Row],[Starch content]],"")</f>
        <v>15.29066927210552</v>
      </c>
    </row>
    <row r="1456" spans="1:14">
      <c r="A1456" s="21">
        <v>2023</v>
      </c>
      <c r="B1456" s="21" t="s">
        <v>26</v>
      </c>
      <c r="C1456" s="21" t="s">
        <v>1145</v>
      </c>
      <c r="D1456" s="21" t="s">
        <v>35</v>
      </c>
      <c r="E1456" s="17" t="s">
        <v>151</v>
      </c>
      <c r="F1456" s="18" t="s">
        <v>105</v>
      </c>
      <c r="G1456" s="18" t="s">
        <v>48</v>
      </c>
      <c r="H1456" s="24">
        <v>526820</v>
      </c>
      <c r="I1456" s="24">
        <f>T_reg.root.SK[[#This Row],[Volume, kg]]/1000</f>
        <v>526.82000000000005</v>
      </c>
      <c r="J1456" s="25">
        <v>0.23180000000000001</v>
      </c>
      <c r="K1456" s="25">
        <f t="shared" si="22"/>
        <v>122116.876</v>
      </c>
      <c r="L1456" s="25">
        <v>3.3</v>
      </c>
      <c r="M1456" s="24">
        <v>1737915.5</v>
      </c>
      <c r="N1456" s="25">
        <f>IFERROR(T_reg.root.SK[[#This Row],[Price]]/T_reg.root.SK[[#This Row],[Starch content]],"")</f>
        <v>14.236410698878343</v>
      </c>
    </row>
    <row r="1457" spans="1:14">
      <c r="A1457" s="21">
        <v>2023</v>
      </c>
      <c r="B1457" s="21" t="s">
        <v>26</v>
      </c>
      <c r="C1457" s="21" t="s">
        <v>1145</v>
      </c>
      <c r="D1457" s="21" t="s">
        <v>35</v>
      </c>
      <c r="E1457" s="17" t="s">
        <v>316</v>
      </c>
      <c r="F1457" s="18" t="s">
        <v>105</v>
      </c>
      <c r="G1457" s="18" t="s">
        <v>48</v>
      </c>
      <c r="H1457" s="24">
        <v>62710</v>
      </c>
      <c r="I1457" s="24">
        <f>T_reg.root.SK[[#This Row],[Volume, kg]]/1000</f>
        <v>62.71</v>
      </c>
      <c r="J1457" s="25">
        <v>0.2394</v>
      </c>
      <c r="K1457" s="25">
        <f t="shared" si="22"/>
        <v>15012.773999999999</v>
      </c>
      <c r="L1457" s="25">
        <v>3.3</v>
      </c>
      <c r="M1457" s="24">
        <v>206689</v>
      </c>
      <c r="N1457" s="25">
        <f>IFERROR(T_reg.root.SK[[#This Row],[Price]]/T_reg.root.SK[[#This Row],[Starch content]],"")</f>
        <v>13.784461152882205</v>
      </c>
    </row>
    <row r="1458" spans="1:14">
      <c r="A1458" s="21">
        <v>2023</v>
      </c>
      <c r="B1458" s="21" t="s">
        <v>26</v>
      </c>
      <c r="C1458" s="21" t="s">
        <v>1145</v>
      </c>
      <c r="D1458" s="21" t="s">
        <v>35</v>
      </c>
      <c r="E1458" s="17" t="s">
        <v>152</v>
      </c>
      <c r="F1458" s="18" t="s">
        <v>105</v>
      </c>
      <c r="G1458" s="18" t="s">
        <v>48</v>
      </c>
      <c r="H1458" s="24">
        <v>59160</v>
      </c>
      <c r="I1458" s="24">
        <f>T_reg.root.SK[[#This Row],[Volume, kg]]/1000</f>
        <v>59.16</v>
      </c>
      <c r="J1458" s="25">
        <v>0.21190000000000001</v>
      </c>
      <c r="K1458" s="25">
        <f t="shared" si="22"/>
        <v>12536.004000000001</v>
      </c>
      <c r="L1458" s="25">
        <v>3.17</v>
      </c>
      <c r="M1458" s="24">
        <v>187276.5</v>
      </c>
      <c r="N1458" s="25">
        <f>IFERROR(T_reg.root.SK[[#This Row],[Price]]/T_reg.root.SK[[#This Row],[Starch content]],"")</f>
        <v>14.959886739027842</v>
      </c>
    </row>
    <row r="1459" spans="1:14">
      <c r="A1459" s="21">
        <v>2023</v>
      </c>
      <c r="B1459" s="21" t="s">
        <v>26</v>
      </c>
      <c r="C1459" s="21" t="s">
        <v>1145</v>
      </c>
      <c r="D1459" s="21" t="s">
        <v>35</v>
      </c>
      <c r="E1459" s="17" t="s">
        <v>154</v>
      </c>
      <c r="F1459" s="18" t="s">
        <v>105</v>
      </c>
      <c r="G1459" s="18" t="s">
        <v>48</v>
      </c>
      <c r="H1459" s="24">
        <v>12150</v>
      </c>
      <c r="I1459" s="24">
        <f>T_reg.root.SK[[#This Row],[Volume, kg]]/1000</f>
        <v>12.15</v>
      </c>
      <c r="J1459" s="25">
        <v>0.24309999999999998</v>
      </c>
      <c r="K1459" s="25">
        <f t="shared" si="22"/>
        <v>2953.665</v>
      </c>
      <c r="L1459" s="25">
        <v>3.34</v>
      </c>
      <c r="M1459" s="24">
        <v>40625</v>
      </c>
      <c r="N1459" s="25">
        <f>IFERROR(T_reg.root.SK[[#This Row],[Price]]/T_reg.root.SK[[#This Row],[Starch content]],"")</f>
        <v>13.739201974496092</v>
      </c>
    </row>
    <row r="1460" spans="1:14">
      <c r="A1460" s="21">
        <v>2023</v>
      </c>
      <c r="B1460" s="21" t="s">
        <v>26</v>
      </c>
      <c r="C1460" s="21" t="s">
        <v>1145</v>
      </c>
      <c r="D1460" s="21" t="s">
        <v>35</v>
      </c>
      <c r="E1460" s="17" t="s">
        <v>155</v>
      </c>
      <c r="F1460" s="18" t="s">
        <v>105</v>
      </c>
      <c r="G1460" s="18" t="s">
        <v>48</v>
      </c>
      <c r="H1460" s="24">
        <v>14810</v>
      </c>
      <c r="I1460" s="24">
        <f>T_reg.root.SK[[#This Row],[Volume, kg]]/1000</f>
        <v>14.81</v>
      </c>
      <c r="J1460" s="25">
        <v>0.21739999999999998</v>
      </c>
      <c r="K1460" s="25">
        <f t="shared" si="22"/>
        <v>3219.694</v>
      </c>
      <c r="L1460" s="25">
        <v>3.19</v>
      </c>
      <c r="M1460" s="24">
        <v>47210</v>
      </c>
      <c r="N1460" s="25">
        <f>IFERROR(T_reg.root.SK[[#This Row],[Price]]/T_reg.root.SK[[#This Row],[Starch content]],"")</f>
        <v>14.673413063477462</v>
      </c>
    </row>
    <row r="1461" spans="1:14">
      <c r="A1461" s="21">
        <v>2023</v>
      </c>
      <c r="B1461" s="21" t="s">
        <v>26</v>
      </c>
      <c r="C1461" s="21" t="s">
        <v>1145</v>
      </c>
      <c r="D1461" s="21" t="s">
        <v>35</v>
      </c>
      <c r="E1461" s="17" t="s">
        <v>366</v>
      </c>
      <c r="F1461" s="18" t="s">
        <v>105</v>
      </c>
      <c r="G1461" s="18" t="s">
        <v>48</v>
      </c>
      <c r="H1461" s="24">
        <v>56180</v>
      </c>
      <c r="I1461" s="24">
        <f>T_reg.root.SK[[#This Row],[Volume, kg]]/1000</f>
        <v>56.18</v>
      </c>
      <c r="J1461" s="25">
        <v>0.21960000000000002</v>
      </c>
      <c r="K1461" s="25">
        <f t="shared" si="22"/>
        <v>12337.128000000001</v>
      </c>
      <c r="L1461" s="25">
        <v>3.19</v>
      </c>
      <c r="M1461" s="24">
        <v>179093.5</v>
      </c>
      <c r="N1461" s="25">
        <f>IFERROR(T_reg.root.SK[[#This Row],[Price]]/T_reg.root.SK[[#This Row],[Starch content]],"")</f>
        <v>14.526411657559198</v>
      </c>
    </row>
    <row r="1462" spans="1:14">
      <c r="A1462" s="21">
        <v>2023</v>
      </c>
      <c r="B1462" s="21" t="s">
        <v>26</v>
      </c>
      <c r="C1462" s="21" t="s">
        <v>1145</v>
      </c>
      <c r="D1462" s="21" t="s">
        <v>35</v>
      </c>
      <c r="E1462" s="17" t="s">
        <v>159</v>
      </c>
      <c r="F1462" s="18" t="s">
        <v>105</v>
      </c>
      <c r="G1462" s="18" t="s">
        <v>48</v>
      </c>
      <c r="H1462" s="24">
        <v>731210</v>
      </c>
      <c r="I1462" s="24">
        <f>T_reg.root.SK[[#This Row],[Volume, kg]]/1000</f>
        <v>731.21</v>
      </c>
      <c r="J1462" s="25">
        <v>0.22899999999999998</v>
      </c>
      <c r="K1462" s="25">
        <f t="shared" si="22"/>
        <v>167447.09</v>
      </c>
      <c r="L1462" s="25">
        <v>3.29</v>
      </c>
      <c r="M1462" s="24">
        <v>2408342</v>
      </c>
      <c r="N1462" s="25">
        <f>IFERROR(T_reg.root.SK[[#This Row],[Price]]/T_reg.root.SK[[#This Row],[Starch content]],"")</f>
        <v>14.366812227074238</v>
      </c>
    </row>
    <row r="1463" spans="1:14">
      <c r="A1463" s="21">
        <v>2023</v>
      </c>
      <c r="B1463" s="21" t="s">
        <v>26</v>
      </c>
      <c r="C1463" s="21" t="s">
        <v>1145</v>
      </c>
      <c r="D1463" s="21" t="s">
        <v>35</v>
      </c>
      <c r="E1463" s="17" t="s">
        <v>619</v>
      </c>
      <c r="F1463" s="18" t="s">
        <v>105</v>
      </c>
      <c r="G1463" s="18" t="s">
        <v>48</v>
      </c>
      <c r="H1463" s="24">
        <v>8030</v>
      </c>
      <c r="I1463" s="24">
        <f>T_reg.root.SK[[#This Row],[Volume, kg]]/1000</f>
        <v>8.0299999999999994</v>
      </c>
      <c r="J1463" s="25">
        <v>0.255</v>
      </c>
      <c r="K1463" s="25">
        <f t="shared" si="22"/>
        <v>2047.65</v>
      </c>
      <c r="L1463" s="25">
        <v>3.4</v>
      </c>
      <c r="M1463" s="24">
        <v>27302</v>
      </c>
      <c r="N1463" s="25">
        <f>IFERROR(T_reg.root.SK[[#This Row],[Price]]/T_reg.root.SK[[#This Row],[Starch content]],"")</f>
        <v>13.333333333333332</v>
      </c>
    </row>
    <row r="1464" spans="1:14">
      <c r="A1464" s="21">
        <v>2023</v>
      </c>
      <c r="B1464" s="21" t="s">
        <v>26</v>
      </c>
      <c r="C1464" s="21" t="s">
        <v>1145</v>
      </c>
      <c r="D1464" s="21" t="s">
        <v>35</v>
      </c>
      <c r="E1464" s="17" t="s">
        <v>255</v>
      </c>
      <c r="F1464" s="18" t="s">
        <v>105</v>
      </c>
      <c r="G1464" s="18" t="s">
        <v>48</v>
      </c>
      <c r="H1464" s="24">
        <v>38210</v>
      </c>
      <c r="I1464" s="24">
        <f>T_reg.root.SK[[#This Row],[Volume, kg]]/1000</f>
        <v>38.21</v>
      </c>
      <c r="J1464" s="25">
        <v>0.23870000000000002</v>
      </c>
      <c r="K1464" s="25">
        <f t="shared" si="22"/>
        <v>9120.7270000000008</v>
      </c>
      <c r="L1464" s="25">
        <v>3.27</v>
      </c>
      <c r="M1464" s="24">
        <v>124998</v>
      </c>
      <c r="N1464" s="25">
        <f>IFERROR(T_reg.root.SK[[#This Row],[Price]]/T_reg.root.SK[[#This Row],[Starch content]],"")</f>
        <v>13.699204021784666</v>
      </c>
    </row>
    <row r="1465" spans="1:14">
      <c r="A1465" s="21">
        <v>2023</v>
      </c>
      <c r="B1465" s="21" t="s">
        <v>26</v>
      </c>
      <c r="C1465" s="21" t="s">
        <v>1145</v>
      </c>
      <c r="D1465" s="21" t="s">
        <v>35</v>
      </c>
      <c r="E1465" s="17" t="s">
        <v>161</v>
      </c>
      <c r="F1465" s="18" t="s">
        <v>105</v>
      </c>
      <c r="G1465" s="18" t="s">
        <v>48</v>
      </c>
      <c r="H1465" s="24">
        <v>10250</v>
      </c>
      <c r="I1465" s="24">
        <f>T_reg.root.SK[[#This Row],[Volume, kg]]/1000</f>
        <v>10.25</v>
      </c>
      <c r="J1465" s="25">
        <v>0.20600000000000002</v>
      </c>
      <c r="K1465" s="25">
        <f t="shared" si="22"/>
        <v>2111.5</v>
      </c>
      <c r="L1465" s="25">
        <v>3.2</v>
      </c>
      <c r="M1465" s="24">
        <v>32800</v>
      </c>
      <c r="N1465" s="25">
        <f>IFERROR(T_reg.root.SK[[#This Row],[Price]]/T_reg.root.SK[[#This Row],[Starch content]],"")</f>
        <v>15.533980582524272</v>
      </c>
    </row>
    <row r="1466" spans="1:14">
      <c r="A1466" s="21">
        <v>2023</v>
      </c>
      <c r="B1466" s="21" t="s">
        <v>26</v>
      </c>
      <c r="C1466" s="21" t="s">
        <v>1145</v>
      </c>
      <c r="D1466" s="21" t="s">
        <v>35</v>
      </c>
      <c r="E1466" s="17" t="s">
        <v>162</v>
      </c>
      <c r="F1466" s="18" t="s">
        <v>105</v>
      </c>
      <c r="G1466" s="18" t="s">
        <v>48</v>
      </c>
      <c r="H1466" s="24">
        <v>9350</v>
      </c>
      <c r="I1466" s="24">
        <f>T_reg.root.SK[[#This Row],[Volume, kg]]/1000</f>
        <v>9.35</v>
      </c>
      <c r="J1466" s="25">
        <v>0.19649999999999998</v>
      </c>
      <c r="K1466" s="25">
        <f t="shared" si="22"/>
        <v>1837.2749999999999</v>
      </c>
      <c r="L1466" s="25">
        <v>3.1</v>
      </c>
      <c r="M1466" s="24">
        <v>28985</v>
      </c>
      <c r="N1466" s="25">
        <f>IFERROR(T_reg.root.SK[[#This Row],[Price]]/T_reg.root.SK[[#This Row],[Starch content]],"")</f>
        <v>15.77608142493639</v>
      </c>
    </row>
    <row r="1467" spans="1:14">
      <c r="A1467" s="21">
        <v>2023</v>
      </c>
      <c r="B1467" s="21" t="s">
        <v>26</v>
      </c>
      <c r="C1467" s="21" t="s">
        <v>1145</v>
      </c>
      <c r="D1467" s="21" t="s">
        <v>35</v>
      </c>
      <c r="E1467" s="17" t="s">
        <v>163</v>
      </c>
      <c r="F1467" s="18" t="s">
        <v>105</v>
      </c>
      <c r="G1467" s="18" t="s">
        <v>48</v>
      </c>
      <c r="H1467" s="24">
        <v>38240</v>
      </c>
      <c r="I1467" s="24">
        <f>T_reg.root.SK[[#This Row],[Volume, kg]]/1000</f>
        <v>38.24</v>
      </c>
      <c r="J1467" s="25">
        <v>0.21640000000000001</v>
      </c>
      <c r="K1467" s="25">
        <f t="shared" si="22"/>
        <v>8275.1360000000004</v>
      </c>
      <c r="L1467" s="25">
        <v>3.18</v>
      </c>
      <c r="M1467" s="24">
        <v>121454</v>
      </c>
      <c r="N1467" s="25">
        <f>IFERROR(T_reg.root.SK[[#This Row],[Price]]/T_reg.root.SK[[#This Row],[Starch content]],"")</f>
        <v>14.695009242144177</v>
      </c>
    </row>
    <row r="1468" spans="1:14">
      <c r="A1468" s="21">
        <v>2023</v>
      </c>
      <c r="B1468" s="21" t="s">
        <v>26</v>
      </c>
      <c r="C1468" s="21" t="s">
        <v>1145</v>
      </c>
      <c r="D1468" s="21" t="s">
        <v>35</v>
      </c>
      <c r="E1468" s="17" t="s">
        <v>164</v>
      </c>
      <c r="F1468" s="18" t="s">
        <v>105</v>
      </c>
      <c r="G1468" s="18" t="s">
        <v>48</v>
      </c>
      <c r="H1468" s="24">
        <v>14210</v>
      </c>
      <c r="I1468" s="24">
        <f>T_reg.root.SK[[#This Row],[Volume, kg]]/1000</f>
        <v>14.21</v>
      </c>
      <c r="J1468" s="25">
        <v>0.25690000000000002</v>
      </c>
      <c r="K1468" s="25">
        <f t="shared" si="22"/>
        <v>3650.5490000000004</v>
      </c>
      <c r="L1468" s="25">
        <v>3.42</v>
      </c>
      <c r="M1468" s="24">
        <v>48604.5</v>
      </c>
      <c r="N1468" s="25">
        <f>IFERROR(T_reg.root.SK[[#This Row],[Price]]/T_reg.root.SK[[#This Row],[Starch content]],"")</f>
        <v>13.312572985597507</v>
      </c>
    </row>
    <row r="1469" spans="1:14">
      <c r="A1469" s="21">
        <v>2023</v>
      </c>
      <c r="B1469" s="21" t="s">
        <v>26</v>
      </c>
      <c r="C1469" s="21" t="s">
        <v>1145</v>
      </c>
      <c r="D1469" s="21" t="s">
        <v>35</v>
      </c>
      <c r="E1469" s="17" t="s">
        <v>165</v>
      </c>
      <c r="F1469" s="18" t="s">
        <v>105</v>
      </c>
      <c r="G1469" s="18" t="s">
        <v>48</v>
      </c>
      <c r="H1469" s="24">
        <v>2630</v>
      </c>
      <c r="I1469" s="24">
        <f>T_reg.root.SK[[#This Row],[Volume, kg]]/1000</f>
        <v>2.63</v>
      </c>
      <c r="J1469" s="25">
        <v>0.20250000000000001</v>
      </c>
      <c r="K1469" s="25">
        <f t="shared" si="22"/>
        <v>532.57500000000005</v>
      </c>
      <c r="L1469" s="25">
        <v>3.1</v>
      </c>
      <c r="M1469" s="24">
        <v>8153</v>
      </c>
      <c r="N1469" s="25">
        <f>IFERROR(T_reg.root.SK[[#This Row],[Price]]/T_reg.root.SK[[#This Row],[Starch content]],"")</f>
        <v>15.308641975308641</v>
      </c>
    </row>
    <row r="1470" spans="1:14">
      <c r="A1470" s="21">
        <v>2023</v>
      </c>
      <c r="B1470" s="21" t="s">
        <v>26</v>
      </c>
      <c r="C1470" s="21" t="s">
        <v>1145</v>
      </c>
      <c r="D1470" s="21" t="s">
        <v>35</v>
      </c>
      <c r="E1470" s="17" t="s">
        <v>620</v>
      </c>
      <c r="F1470" s="18" t="s">
        <v>105</v>
      </c>
      <c r="G1470" s="18" t="s">
        <v>48</v>
      </c>
      <c r="H1470" s="24">
        <v>32210</v>
      </c>
      <c r="I1470" s="24">
        <f>T_reg.root.SK[[#This Row],[Volume, kg]]/1000</f>
        <v>32.21</v>
      </c>
      <c r="J1470" s="25">
        <v>0.24929999999999999</v>
      </c>
      <c r="K1470" s="25">
        <f t="shared" si="22"/>
        <v>8029.9529999999995</v>
      </c>
      <c r="L1470" s="25">
        <v>3.35</v>
      </c>
      <c r="M1470" s="24">
        <v>107743.5</v>
      </c>
      <c r="N1470" s="25">
        <f>IFERROR(T_reg.root.SK[[#This Row],[Price]]/T_reg.root.SK[[#This Row],[Starch content]],"")</f>
        <v>13.437625350982753</v>
      </c>
    </row>
    <row r="1471" spans="1:14">
      <c r="A1471" s="21">
        <v>2023</v>
      </c>
      <c r="B1471" s="21" t="s">
        <v>26</v>
      </c>
      <c r="C1471" s="21" t="s">
        <v>1145</v>
      </c>
      <c r="D1471" s="21" t="s">
        <v>35</v>
      </c>
      <c r="E1471" s="17" t="s">
        <v>167</v>
      </c>
      <c r="F1471" s="18" t="s">
        <v>105</v>
      </c>
      <c r="G1471" s="18" t="s">
        <v>48</v>
      </c>
      <c r="H1471" s="24">
        <v>8940</v>
      </c>
      <c r="I1471" s="24">
        <f>T_reg.root.SK[[#This Row],[Volume, kg]]/1000</f>
        <v>8.94</v>
      </c>
      <c r="J1471" s="25">
        <v>0.20300000000000001</v>
      </c>
      <c r="K1471" s="25">
        <f t="shared" si="22"/>
        <v>1814.8200000000002</v>
      </c>
      <c r="L1471" s="25">
        <v>3.1</v>
      </c>
      <c r="M1471" s="24">
        <v>27714</v>
      </c>
      <c r="N1471" s="25">
        <f>IFERROR(T_reg.root.SK[[#This Row],[Price]]/T_reg.root.SK[[#This Row],[Starch content]],"")</f>
        <v>15.270935960591132</v>
      </c>
    </row>
    <row r="1472" spans="1:14">
      <c r="A1472" s="21">
        <v>2023</v>
      </c>
      <c r="B1472" s="21" t="s">
        <v>26</v>
      </c>
      <c r="C1472" s="21" t="s">
        <v>1145</v>
      </c>
      <c r="D1472" s="21" t="s">
        <v>35</v>
      </c>
      <c r="E1472" s="17" t="s">
        <v>322</v>
      </c>
      <c r="F1472" s="18" t="s">
        <v>105</v>
      </c>
      <c r="G1472" s="18" t="s">
        <v>48</v>
      </c>
      <c r="H1472" s="24">
        <v>5330</v>
      </c>
      <c r="I1472" s="24">
        <f>T_reg.root.SK[[#This Row],[Volume, kg]]/1000</f>
        <v>5.33</v>
      </c>
      <c r="J1472" s="25">
        <v>0.25650000000000001</v>
      </c>
      <c r="K1472" s="25">
        <f t="shared" si="22"/>
        <v>1367.145</v>
      </c>
      <c r="L1472" s="25">
        <v>3.45</v>
      </c>
      <c r="M1472" s="24">
        <v>18388.5</v>
      </c>
      <c r="N1472" s="25">
        <f>IFERROR(T_reg.root.SK[[#This Row],[Price]]/T_reg.root.SK[[#This Row],[Starch content]],"")</f>
        <v>13.450292397660819</v>
      </c>
    </row>
    <row r="1473" spans="1:14">
      <c r="A1473" s="21">
        <v>2023</v>
      </c>
      <c r="B1473" s="21" t="s">
        <v>26</v>
      </c>
      <c r="C1473" s="21" t="s">
        <v>1145</v>
      </c>
      <c r="D1473" s="21" t="s">
        <v>35</v>
      </c>
      <c r="E1473" s="17" t="s">
        <v>506</v>
      </c>
      <c r="F1473" s="18" t="s">
        <v>105</v>
      </c>
      <c r="G1473" s="18" t="s">
        <v>48</v>
      </c>
      <c r="H1473" s="24">
        <v>44140</v>
      </c>
      <c r="I1473" s="24">
        <f>T_reg.root.SK[[#This Row],[Volume, kg]]/1000</f>
        <v>44.14</v>
      </c>
      <c r="J1473" s="25">
        <v>0.25530000000000003</v>
      </c>
      <c r="K1473" s="25">
        <f t="shared" si="22"/>
        <v>11268.942000000001</v>
      </c>
      <c r="L1473" s="25">
        <v>3.38</v>
      </c>
      <c r="M1473" s="24">
        <v>149256.5</v>
      </c>
      <c r="N1473" s="25">
        <f>IFERROR(T_reg.root.SK[[#This Row],[Price]]/T_reg.root.SK[[#This Row],[Starch content]],"")</f>
        <v>13.239326282804543</v>
      </c>
    </row>
    <row r="1474" spans="1:14">
      <c r="A1474" s="21">
        <v>2023</v>
      </c>
      <c r="B1474" s="21" t="s">
        <v>26</v>
      </c>
      <c r="C1474" s="21" t="s">
        <v>1145</v>
      </c>
      <c r="D1474" s="21" t="s">
        <v>35</v>
      </c>
      <c r="E1474" s="17" t="s">
        <v>174</v>
      </c>
      <c r="F1474" s="18" t="s">
        <v>105</v>
      </c>
      <c r="G1474" s="18" t="s">
        <v>48</v>
      </c>
      <c r="H1474" s="24">
        <v>73160</v>
      </c>
      <c r="I1474" s="24">
        <f>T_reg.root.SK[[#This Row],[Volume, kg]]/1000</f>
        <v>73.16</v>
      </c>
      <c r="J1474" s="25">
        <v>0.26690000000000003</v>
      </c>
      <c r="K1474" s="25">
        <f t="shared" si="22"/>
        <v>19526.404000000002</v>
      </c>
      <c r="L1474" s="25">
        <v>3.47</v>
      </c>
      <c r="M1474" s="24">
        <v>253571.5</v>
      </c>
      <c r="N1474" s="25">
        <f>IFERROR(T_reg.root.SK[[#This Row],[Price]]/T_reg.root.SK[[#This Row],[Starch content]],"")</f>
        <v>13.001124016485575</v>
      </c>
    </row>
    <row r="1475" spans="1:14">
      <c r="A1475" s="21">
        <v>2023</v>
      </c>
      <c r="B1475" s="21" t="s">
        <v>26</v>
      </c>
      <c r="C1475" s="21" t="s">
        <v>1145</v>
      </c>
      <c r="D1475" s="21" t="s">
        <v>35</v>
      </c>
      <c r="E1475" s="17" t="s">
        <v>577</v>
      </c>
      <c r="F1475" s="18" t="s">
        <v>105</v>
      </c>
      <c r="G1475" s="18" t="s">
        <v>48</v>
      </c>
      <c r="H1475" s="24">
        <v>17080</v>
      </c>
      <c r="I1475" s="24">
        <f>T_reg.root.SK[[#This Row],[Volume, kg]]/1000</f>
        <v>17.079999999999998</v>
      </c>
      <c r="J1475" s="25">
        <v>0.2369</v>
      </c>
      <c r="K1475" s="25">
        <f t="shared" ref="K1475:K1538" si="23">H1475*J1475</f>
        <v>4046.252</v>
      </c>
      <c r="L1475" s="25">
        <v>3.28</v>
      </c>
      <c r="M1475" s="24">
        <v>55960</v>
      </c>
      <c r="N1475" s="25">
        <f>IFERROR(T_reg.root.SK[[#This Row],[Price]]/T_reg.root.SK[[#This Row],[Starch content]],"")</f>
        <v>13.845504432249893</v>
      </c>
    </row>
    <row r="1476" spans="1:14">
      <c r="A1476" s="21">
        <v>2023</v>
      </c>
      <c r="B1476" s="21" t="s">
        <v>26</v>
      </c>
      <c r="C1476" s="21" t="s">
        <v>1145</v>
      </c>
      <c r="D1476" s="21" t="s">
        <v>35</v>
      </c>
      <c r="E1476" s="17" t="s">
        <v>175</v>
      </c>
      <c r="F1476" s="18" t="s">
        <v>105</v>
      </c>
      <c r="G1476" s="18" t="s">
        <v>48</v>
      </c>
      <c r="H1476" s="24">
        <v>22870</v>
      </c>
      <c r="I1476" s="24">
        <f>T_reg.root.SK[[#This Row],[Volume, kg]]/1000</f>
        <v>22.87</v>
      </c>
      <c r="J1476" s="25">
        <v>0.2107</v>
      </c>
      <c r="K1476" s="25">
        <f t="shared" si="23"/>
        <v>4818.7089999999998</v>
      </c>
      <c r="L1476" s="25">
        <v>3.16</v>
      </c>
      <c r="M1476" s="24">
        <v>72345</v>
      </c>
      <c r="N1476" s="25">
        <f>IFERROR(T_reg.root.SK[[#This Row],[Price]]/T_reg.root.SK[[#This Row],[Starch content]],"")</f>
        <v>14.997626957759849</v>
      </c>
    </row>
    <row r="1477" spans="1:14">
      <c r="A1477" s="21">
        <v>2023</v>
      </c>
      <c r="B1477" s="21" t="s">
        <v>26</v>
      </c>
      <c r="C1477" s="21" t="s">
        <v>1145</v>
      </c>
      <c r="D1477" s="21" t="s">
        <v>35</v>
      </c>
      <c r="E1477" s="17" t="s">
        <v>176</v>
      </c>
      <c r="F1477" s="18" t="s">
        <v>105</v>
      </c>
      <c r="G1477" s="18" t="s">
        <v>48</v>
      </c>
      <c r="H1477" s="24">
        <v>3480</v>
      </c>
      <c r="I1477" s="24">
        <f>T_reg.root.SK[[#This Row],[Volume, kg]]/1000</f>
        <v>3.48</v>
      </c>
      <c r="J1477" s="25">
        <v>0.26600000000000001</v>
      </c>
      <c r="K1477" s="25">
        <f t="shared" si="23"/>
        <v>925.68000000000006</v>
      </c>
      <c r="L1477" s="25">
        <v>3.5</v>
      </c>
      <c r="M1477" s="24">
        <v>12180</v>
      </c>
      <c r="N1477" s="25">
        <f>IFERROR(T_reg.root.SK[[#This Row],[Price]]/T_reg.root.SK[[#This Row],[Starch content]],"")</f>
        <v>13.157894736842104</v>
      </c>
    </row>
    <row r="1478" spans="1:14">
      <c r="A1478" s="21">
        <v>2023</v>
      </c>
      <c r="B1478" s="21" t="s">
        <v>26</v>
      </c>
      <c r="C1478" s="21" t="s">
        <v>1145</v>
      </c>
      <c r="D1478" s="21" t="s">
        <v>35</v>
      </c>
      <c r="E1478" s="17" t="s">
        <v>605</v>
      </c>
      <c r="F1478" s="18" t="s">
        <v>105</v>
      </c>
      <c r="G1478" s="18" t="s">
        <v>48</v>
      </c>
      <c r="H1478" s="24">
        <v>743930</v>
      </c>
      <c r="I1478" s="24">
        <f>T_reg.root.SK[[#This Row],[Volume, kg]]/1000</f>
        <v>743.93</v>
      </c>
      <c r="J1478" s="25">
        <v>0.23430000000000001</v>
      </c>
      <c r="K1478" s="25">
        <f t="shared" si="23"/>
        <v>174302.799</v>
      </c>
      <c r="L1478" s="25">
        <v>3.33</v>
      </c>
      <c r="M1478" s="24">
        <v>2476690</v>
      </c>
      <c r="N1478" s="25">
        <f>IFERROR(T_reg.root.SK[[#This Row],[Price]]/T_reg.root.SK[[#This Row],[Starch content]],"")</f>
        <v>14.212548015364916</v>
      </c>
    </row>
    <row r="1479" spans="1:14">
      <c r="A1479" s="21">
        <v>2023</v>
      </c>
      <c r="B1479" s="21" t="s">
        <v>26</v>
      </c>
      <c r="C1479" s="21" t="s">
        <v>1145</v>
      </c>
      <c r="D1479" s="21" t="s">
        <v>35</v>
      </c>
      <c r="E1479" s="17" t="s">
        <v>259</v>
      </c>
      <c r="F1479" s="18" t="s">
        <v>105</v>
      </c>
      <c r="G1479" s="18" t="s">
        <v>48</v>
      </c>
      <c r="H1479" s="24">
        <v>12780</v>
      </c>
      <c r="I1479" s="24">
        <f>T_reg.root.SK[[#This Row],[Volume, kg]]/1000</f>
        <v>12.78</v>
      </c>
      <c r="J1479" s="25">
        <v>0.25329999999999997</v>
      </c>
      <c r="K1479" s="25">
        <f t="shared" si="23"/>
        <v>3237.1739999999995</v>
      </c>
      <c r="L1479" s="25">
        <v>3.36</v>
      </c>
      <c r="M1479" s="24">
        <v>42942</v>
      </c>
      <c r="N1479" s="25">
        <f>IFERROR(T_reg.root.SK[[#This Row],[Price]]/T_reg.root.SK[[#This Row],[Starch content]],"")</f>
        <v>13.264903276746942</v>
      </c>
    </row>
    <row r="1480" spans="1:14">
      <c r="A1480" s="21">
        <v>2023</v>
      </c>
      <c r="B1480" s="21" t="s">
        <v>26</v>
      </c>
      <c r="C1480" s="21" t="s">
        <v>1145</v>
      </c>
      <c r="D1480" s="21" t="s">
        <v>35</v>
      </c>
      <c r="E1480" s="17" t="s">
        <v>329</v>
      </c>
      <c r="F1480" s="18" t="s">
        <v>105</v>
      </c>
      <c r="G1480" s="18" t="s">
        <v>48</v>
      </c>
      <c r="H1480" s="24">
        <v>8350</v>
      </c>
      <c r="I1480" s="24">
        <f>T_reg.root.SK[[#This Row],[Volume, kg]]/1000</f>
        <v>8.35</v>
      </c>
      <c r="J1480" s="25">
        <v>0.2157</v>
      </c>
      <c r="K1480" s="25">
        <f t="shared" si="23"/>
        <v>1801.095</v>
      </c>
      <c r="L1480" s="25">
        <v>3.22</v>
      </c>
      <c r="M1480" s="24">
        <v>26871</v>
      </c>
      <c r="N1480" s="25">
        <f>IFERROR(T_reg.root.SK[[#This Row],[Price]]/T_reg.root.SK[[#This Row],[Starch content]],"")</f>
        <v>14.92814093648586</v>
      </c>
    </row>
    <row r="1481" spans="1:14">
      <c r="A1481" s="21">
        <v>2023</v>
      </c>
      <c r="B1481" s="21" t="s">
        <v>26</v>
      </c>
      <c r="C1481" s="21" t="s">
        <v>1145</v>
      </c>
      <c r="D1481" s="21" t="s">
        <v>35</v>
      </c>
      <c r="E1481" s="17" t="s">
        <v>179</v>
      </c>
      <c r="F1481" s="18" t="s">
        <v>105</v>
      </c>
      <c r="G1481" s="18" t="s">
        <v>48</v>
      </c>
      <c r="H1481" s="24">
        <v>64840</v>
      </c>
      <c r="I1481" s="24">
        <f>T_reg.root.SK[[#This Row],[Volume, kg]]/1000</f>
        <v>64.84</v>
      </c>
      <c r="J1481" s="25">
        <v>0.20379999999999998</v>
      </c>
      <c r="K1481" s="25">
        <f t="shared" si="23"/>
        <v>13214.391999999998</v>
      </c>
      <c r="L1481" s="25">
        <v>3.17</v>
      </c>
      <c r="M1481" s="24">
        <v>205774</v>
      </c>
      <c r="N1481" s="25">
        <f>IFERROR(T_reg.root.SK[[#This Row],[Price]]/T_reg.root.SK[[#This Row],[Starch content]],"")</f>
        <v>15.554465161923455</v>
      </c>
    </row>
    <row r="1482" spans="1:14">
      <c r="A1482" s="21">
        <v>2023</v>
      </c>
      <c r="B1482" s="21" t="s">
        <v>26</v>
      </c>
      <c r="C1482" s="21" t="s">
        <v>1145</v>
      </c>
      <c r="D1482" s="21" t="s">
        <v>35</v>
      </c>
      <c r="E1482" s="17" t="s">
        <v>181</v>
      </c>
      <c r="F1482" s="18" t="s">
        <v>105</v>
      </c>
      <c r="G1482" s="18" t="s">
        <v>48</v>
      </c>
      <c r="H1482" s="24">
        <v>205290</v>
      </c>
      <c r="I1482" s="24">
        <f>T_reg.root.SK[[#This Row],[Volume, kg]]/1000</f>
        <v>205.29</v>
      </c>
      <c r="J1482" s="25">
        <v>0.21920000000000001</v>
      </c>
      <c r="K1482" s="25">
        <f t="shared" si="23"/>
        <v>44999.567999999999</v>
      </c>
      <c r="L1482" s="25">
        <v>3.24</v>
      </c>
      <c r="M1482" s="24">
        <v>666128</v>
      </c>
      <c r="N1482" s="25">
        <f>IFERROR(T_reg.root.SK[[#This Row],[Price]]/T_reg.root.SK[[#This Row],[Starch content]],"")</f>
        <v>14.78102189781022</v>
      </c>
    </row>
    <row r="1483" spans="1:14">
      <c r="A1483" s="21">
        <v>2023</v>
      </c>
      <c r="B1483" s="21" t="s">
        <v>26</v>
      </c>
      <c r="C1483" s="21" t="s">
        <v>1145</v>
      </c>
      <c r="D1483" s="21" t="s">
        <v>35</v>
      </c>
      <c r="E1483" s="17" t="s">
        <v>578</v>
      </c>
      <c r="F1483" s="18" t="s">
        <v>105</v>
      </c>
      <c r="G1483" s="18" t="s">
        <v>48</v>
      </c>
      <c r="H1483" s="24">
        <v>8070</v>
      </c>
      <c r="I1483" s="24">
        <f>T_reg.root.SK[[#This Row],[Volume, kg]]/1000</f>
        <v>8.07</v>
      </c>
      <c r="J1483" s="25">
        <v>0.17899999999999999</v>
      </c>
      <c r="K1483" s="25">
        <f t="shared" si="23"/>
        <v>1444.53</v>
      </c>
      <c r="L1483" s="25">
        <v>3</v>
      </c>
      <c r="M1483" s="24">
        <v>24210</v>
      </c>
      <c r="N1483" s="25">
        <f>IFERROR(T_reg.root.SK[[#This Row],[Price]]/T_reg.root.SK[[#This Row],[Starch content]],"")</f>
        <v>16.759776536312849</v>
      </c>
    </row>
    <row r="1484" spans="1:14">
      <c r="A1484" s="21">
        <v>2023</v>
      </c>
      <c r="B1484" s="21" t="s">
        <v>26</v>
      </c>
      <c r="C1484" s="21" t="s">
        <v>1145</v>
      </c>
      <c r="D1484" s="21" t="s">
        <v>35</v>
      </c>
      <c r="E1484" s="17" t="s">
        <v>183</v>
      </c>
      <c r="F1484" s="18" t="s">
        <v>105</v>
      </c>
      <c r="G1484" s="18" t="s">
        <v>48</v>
      </c>
      <c r="H1484" s="24">
        <v>324530</v>
      </c>
      <c r="I1484" s="24">
        <f>T_reg.root.SK[[#This Row],[Volume, kg]]/1000</f>
        <v>324.52999999999997</v>
      </c>
      <c r="J1484" s="25">
        <v>0.23039999999999999</v>
      </c>
      <c r="K1484" s="25">
        <f t="shared" si="23"/>
        <v>74771.712</v>
      </c>
      <c r="L1484" s="25">
        <v>3.31</v>
      </c>
      <c r="M1484" s="24">
        <v>1074467</v>
      </c>
      <c r="N1484" s="25">
        <f>IFERROR(T_reg.root.SK[[#This Row],[Price]]/T_reg.root.SK[[#This Row],[Starch content]],"")</f>
        <v>14.366319444444445</v>
      </c>
    </row>
    <row r="1485" spans="1:14">
      <c r="A1485" s="21">
        <v>2023</v>
      </c>
      <c r="B1485" s="21" t="s">
        <v>26</v>
      </c>
      <c r="C1485" s="21" t="s">
        <v>1145</v>
      </c>
      <c r="D1485" s="21" t="s">
        <v>35</v>
      </c>
      <c r="E1485" s="17" t="s">
        <v>579</v>
      </c>
      <c r="F1485" s="18" t="s">
        <v>187</v>
      </c>
      <c r="G1485" s="18" t="s">
        <v>48</v>
      </c>
      <c r="H1485" s="24">
        <v>61300</v>
      </c>
      <c r="I1485" s="24">
        <f>T_reg.root.SK[[#This Row],[Volume, kg]]/1000</f>
        <v>61.3</v>
      </c>
      <c r="J1485" s="25">
        <v>0.23269999999999999</v>
      </c>
      <c r="K1485" s="25">
        <f t="shared" si="23"/>
        <v>14264.51</v>
      </c>
      <c r="L1485" s="25">
        <v>3.41</v>
      </c>
      <c r="M1485" s="24">
        <v>208985</v>
      </c>
      <c r="N1485" s="25">
        <f>IFERROR(T_reg.root.SK[[#This Row],[Price]]/T_reg.root.SK[[#This Row],[Starch content]],"")</f>
        <v>14.654061022776109</v>
      </c>
    </row>
    <row r="1486" spans="1:14">
      <c r="A1486" s="21">
        <v>2023</v>
      </c>
      <c r="B1486" s="21" t="s">
        <v>26</v>
      </c>
      <c r="C1486" s="21" t="s">
        <v>1145</v>
      </c>
      <c r="D1486" s="21" t="s">
        <v>35</v>
      </c>
      <c r="E1486" s="17" t="s">
        <v>186</v>
      </c>
      <c r="F1486" s="18" t="s">
        <v>187</v>
      </c>
      <c r="G1486" s="18" t="s">
        <v>48</v>
      </c>
      <c r="H1486" s="24">
        <v>37930</v>
      </c>
      <c r="I1486" s="24">
        <f>T_reg.root.SK[[#This Row],[Volume, kg]]/1000</f>
        <v>37.93</v>
      </c>
      <c r="J1486" s="25">
        <v>0.20600000000000002</v>
      </c>
      <c r="K1486" s="25">
        <f t="shared" si="23"/>
        <v>7813.5800000000008</v>
      </c>
      <c r="L1486" s="25">
        <v>3.28</v>
      </c>
      <c r="M1486" s="24">
        <v>124509</v>
      </c>
      <c r="N1486" s="25">
        <f>IFERROR(T_reg.root.SK[[#This Row],[Price]]/T_reg.root.SK[[#This Row],[Starch content]],"")</f>
        <v>15.922330097087377</v>
      </c>
    </row>
    <row r="1487" spans="1:14">
      <c r="A1487" s="21">
        <v>2023</v>
      </c>
      <c r="B1487" s="21" t="s">
        <v>26</v>
      </c>
      <c r="C1487" s="21" t="s">
        <v>1145</v>
      </c>
      <c r="D1487" s="21" t="s">
        <v>35</v>
      </c>
      <c r="E1487" s="17" t="s">
        <v>606</v>
      </c>
      <c r="F1487" s="18" t="s">
        <v>187</v>
      </c>
      <c r="G1487" s="18" t="s">
        <v>48</v>
      </c>
      <c r="H1487" s="24">
        <v>11370</v>
      </c>
      <c r="I1487" s="24">
        <f>T_reg.root.SK[[#This Row],[Volume, kg]]/1000</f>
        <v>11.37</v>
      </c>
      <c r="J1487" s="25">
        <v>0.24379999999999999</v>
      </c>
      <c r="K1487" s="25">
        <f t="shared" si="23"/>
        <v>2772.0059999999999</v>
      </c>
      <c r="L1487" s="25">
        <v>3.48</v>
      </c>
      <c r="M1487" s="24">
        <v>39515.5</v>
      </c>
      <c r="N1487" s="25">
        <f>IFERROR(T_reg.root.SK[[#This Row],[Price]]/T_reg.root.SK[[#This Row],[Starch content]],"")</f>
        <v>14.273995077932732</v>
      </c>
    </row>
    <row r="1488" spans="1:14">
      <c r="A1488" s="21">
        <v>2023</v>
      </c>
      <c r="B1488" s="21" t="s">
        <v>26</v>
      </c>
      <c r="C1488" s="21" t="s">
        <v>1145</v>
      </c>
      <c r="D1488" s="21" t="s">
        <v>35</v>
      </c>
      <c r="E1488" s="17" t="s">
        <v>190</v>
      </c>
      <c r="F1488" s="18" t="s">
        <v>187</v>
      </c>
      <c r="G1488" s="18" t="s">
        <v>48</v>
      </c>
      <c r="H1488" s="24">
        <v>18290</v>
      </c>
      <c r="I1488" s="24">
        <f>T_reg.root.SK[[#This Row],[Volume, kg]]/1000</f>
        <v>18.29</v>
      </c>
      <c r="J1488" s="25">
        <v>0.2266</v>
      </c>
      <c r="K1488" s="25">
        <f t="shared" si="23"/>
        <v>4144.5140000000001</v>
      </c>
      <c r="L1488" s="25">
        <v>3.42</v>
      </c>
      <c r="M1488" s="24">
        <v>62634.5</v>
      </c>
      <c r="N1488" s="25">
        <f>IFERROR(T_reg.root.SK[[#This Row],[Price]]/T_reg.root.SK[[#This Row],[Starch content]],"")</f>
        <v>15.092674315975287</v>
      </c>
    </row>
    <row r="1489" spans="1:14">
      <c r="A1489" s="21">
        <v>2023</v>
      </c>
      <c r="B1489" s="21" t="s">
        <v>26</v>
      </c>
      <c r="C1489" s="21" t="s">
        <v>1145</v>
      </c>
      <c r="D1489" s="21" t="s">
        <v>35</v>
      </c>
      <c r="E1489" s="17" t="s">
        <v>191</v>
      </c>
      <c r="F1489" s="18" t="s">
        <v>187</v>
      </c>
      <c r="G1489" s="18" t="s">
        <v>48</v>
      </c>
      <c r="H1489" s="24">
        <v>6200</v>
      </c>
      <c r="I1489" s="24">
        <f>T_reg.root.SK[[#This Row],[Volume, kg]]/1000</f>
        <v>6.2</v>
      </c>
      <c r="J1489" s="25">
        <v>0.23100000000000001</v>
      </c>
      <c r="K1489" s="25">
        <f t="shared" si="23"/>
        <v>1432.2</v>
      </c>
      <c r="L1489" s="25">
        <v>3.4</v>
      </c>
      <c r="M1489" s="24">
        <v>21080</v>
      </c>
      <c r="N1489" s="25">
        <f>IFERROR(T_reg.root.SK[[#This Row],[Price]]/T_reg.root.SK[[#This Row],[Starch content]],"")</f>
        <v>14.718614718614717</v>
      </c>
    </row>
    <row r="1490" spans="1:14">
      <c r="A1490" s="21">
        <v>2023</v>
      </c>
      <c r="B1490" s="21" t="s">
        <v>26</v>
      </c>
      <c r="C1490" s="21" t="s">
        <v>1145</v>
      </c>
      <c r="D1490" s="21" t="s">
        <v>35</v>
      </c>
      <c r="E1490" s="17" t="s">
        <v>580</v>
      </c>
      <c r="F1490" s="18" t="s">
        <v>187</v>
      </c>
      <c r="G1490" s="18" t="s">
        <v>48</v>
      </c>
      <c r="H1490" s="24">
        <v>7570</v>
      </c>
      <c r="I1490" s="24">
        <f>T_reg.root.SK[[#This Row],[Volume, kg]]/1000</f>
        <v>7.57</v>
      </c>
      <c r="J1490" s="25">
        <v>0.21899999999999997</v>
      </c>
      <c r="K1490" s="25">
        <f t="shared" si="23"/>
        <v>1657.8299999999997</v>
      </c>
      <c r="L1490" s="25">
        <v>3.35</v>
      </c>
      <c r="M1490" s="24">
        <v>25359.5</v>
      </c>
      <c r="N1490" s="25">
        <f>IFERROR(T_reg.root.SK[[#This Row],[Price]]/T_reg.root.SK[[#This Row],[Starch content]],"")</f>
        <v>15.296803652968039</v>
      </c>
    </row>
    <row r="1491" spans="1:14">
      <c r="A1491" s="21">
        <v>2023</v>
      </c>
      <c r="B1491" s="21" t="s">
        <v>26</v>
      </c>
      <c r="C1491" s="21" t="s">
        <v>1145</v>
      </c>
      <c r="D1491" s="21" t="s">
        <v>35</v>
      </c>
      <c r="E1491" s="17" t="s">
        <v>406</v>
      </c>
      <c r="F1491" s="18" t="s">
        <v>187</v>
      </c>
      <c r="G1491" s="18" t="s">
        <v>48</v>
      </c>
      <c r="H1491" s="24">
        <v>9140</v>
      </c>
      <c r="I1491" s="24">
        <f>T_reg.root.SK[[#This Row],[Volume, kg]]/1000</f>
        <v>9.14</v>
      </c>
      <c r="J1491" s="25">
        <v>0.17050000000000001</v>
      </c>
      <c r="K1491" s="25">
        <f t="shared" si="23"/>
        <v>1558.3700000000001</v>
      </c>
      <c r="L1491" s="25">
        <v>3.1</v>
      </c>
      <c r="M1491" s="24">
        <v>28334</v>
      </c>
      <c r="N1491" s="25">
        <f>IFERROR(T_reg.root.SK[[#This Row],[Price]]/T_reg.root.SK[[#This Row],[Starch content]],"")</f>
        <v>18.18181818181818</v>
      </c>
    </row>
    <row r="1492" spans="1:14">
      <c r="A1492" s="21">
        <v>2023</v>
      </c>
      <c r="B1492" s="21" t="s">
        <v>26</v>
      </c>
      <c r="C1492" s="21" t="s">
        <v>1145</v>
      </c>
      <c r="D1492" s="21" t="s">
        <v>35</v>
      </c>
      <c r="E1492" s="17" t="s">
        <v>370</v>
      </c>
      <c r="F1492" s="18" t="s">
        <v>187</v>
      </c>
      <c r="G1492" s="18" t="s">
        <v>48</v>
      </c>
      <c r="H1492" s="24">
        <v>66360</v>
      </c>
      <c r="I1492" s="24">
        <f>T_reg.root.SK[[#This Row],[Volume, kg]]/1000</f>
        <v>66.36</v>
      </c>
      <c r="J1492" s="25">
        <v>0.18420000000000003</v>
      </c>
      <c r="K1492" s="25">
        <f t="shared" si="23"/>
        <v>12223.512000000002</v>
      </c>
      <c r="L1492" s="25">
        <v>3.17</v>
      </c>
      <c r="M1492" s="24">
        <v>210145</v>
      </c>
      <c r="N1492" s="25">
        <f>IFERROR(T_reg.root.SK[[#This Row],[Price]]/T_reg.root.SK[[#This Row],[Starch content]],"")</f>
        <v>17.209554831704665</v>
      </c>
    </row>
    <row r="1493" spans="1:14">
      <c r="A1493" s="21">
        <v>2023</v>
      </c>
      <c r="B1493" s="21" t="s">
        <v>26</v>
      </c>
      <c r="C1493" s="21" t="s">
        <v>1145</v>
      </c>
      <c r="D1493" s="21" t="s">
        <v>35</v>
      </c>
      <c r="E1493" s="17" t="s">
        <v>581</v>
      </c>
      <c r="F1493" s="18" t="s">
        <v>187</v>
      </c>
      <c r="G1493" s="18" t="s">
        <v>48</v>
      </c>
      <c r="H1493" s="24">
        <v>115950</v>
      </c>
      <c r="I1493" s="24">
        <f>T_reg.root.SK[[#This Row],[Volume, kg]]/1000</f>
        <v>115.95</v>
      </c>
      <c r="J1493" s="25">
        <v>0.18590000000000001</v>
      </c>
      <c r="K1493" s="25">
        <f t="shared" si="23"/>
        <v>21555.105</v>
      </c>
      <c r="L1493" s="25">
        <v>3.21</v>
      </c>
      <c r="M1493" s="24">
        <v>372655.5</v>
      </c>
      <c r="N1493" s="25">
        <f>IFERROR(T_reg.root.SK[[#This Row],[Price]]/T_reg.root.SK[[#This Row],[Starch content]],"")</f>
        <v>17.267348036578806</v>
      </c>
    </row>
    <row r="1494" spans="1:14">
      <c r="A1494" s="21">
        <v>2023</v>
      </c>
      <c r="B1494" s="21" t="s">
        <v>26</v>
      </c>
      <c r="C1494" s="21" t="s">
        <v>1145</v>
      </c>
      <c r="D1494" s="21" t="s">
        <v>35</v>
      </c>
      <c r="E1494" s="17" t="s">
        <v>511</v>
      </c>
      <c r="F1494" s="18" t="s">
        <v>187</v>
      </c>
      <c r="G1494" s="18" t="s">
        <v>48</v>
      </c>
      <c r="H1494" s="24">
        <v>26180</v>
      </c>
      <c r="I1494" s="24">
        <f>T_reg.root.SK[[#This Row],[Volume, kg]]/1000</f>
        <v>26.18</v>
      </c>
      <c r="J1494" s="25">
        <v>0.2223</v>
      </c>
      <c r="K1494" s="25">
        <f t="shared" si="23"/>
        <v>5819.8140000000003</v>
      </c>
      <c r="L1494" s="25">
        <v>3.37</v>
      </c>
      <c r="M1494" s="24">
        <v>88339.5</v>
      </c>
      <c r="N1494" s="25">
        <f>IFERROR(T_reg.root.SK[[#This Row],[Price]]/T_reg.root.SK[[#This Row],[Starch content]],"")</f>
        <v>15.15969410706253</v>
      </c>
    </row>
    <row r="1495" spans="1:14">
      <c r="A1495" s="21">
        <v>2023</v>
      </c>
      <c r="B1495" s="21" t="s">
        <v>26</v>
      </c>
      <c r="C1495" s="21" t="s">
        <v>1145</v>
      </c>
      <c r="D1495" s="21" t="s">
        <v>35</v>
      </c>
      <c r="E1495" s="17" t="s">
        <v>512</v>
      </c>
      <c r="F1495" s="18" t="s">
        <v>187</v>
      </c>
      <c r="G1495" s="18" t="s">
        <v>48</v>
      </c>
      <c r="H1495" s="24">
        <v>119400</v>
      </c>
      <c r="I1495" s="24">
        <f>T_reg.root.SK[[#This Row],[Volume, kg]]/1000</f>
        <v>119.4</v>
      </c>
      <c r="J1495" s="25">
        <v>0.18179999999999999</v>
      </c>
      <c r="K1495" s="25">
        <f t="shared" si="23"/>
        <v>21706.92</v>
      </c>
      <c r="L1495" s="25">
        <v>3.16</v>
      </c>
      <c r="M1495" s="24">
        <v>376774.5</v>
      </c>
      <c r="N1495" s="25">
        <f>IFERROR(T_reg.root.SK[[#This Row],[Price]]/T_reg.root.SK[[#This Row],[Starch content]],"")</f>
        <v>17.381738173817382</v>
      </c>
    </row>
    <row r="1496" spans="1:14">
      <c r="A1496" s="21">
        <v>2023</v>
      </c>
      <c r="B1496" s="21" t="s">
        <v>26</v>
      </c>
      <c r="C1496" s="21" t="s">
        <v>1145</v>
      </c>
      <c r="D1496" s="21" t="s">
        <v>35</v>
      </c>
      <c r="E1496" s="17" t="s">
        <v>583</v>
      </c>
      <c r="F1496" s="18" t="s">
        <v>187</v>
      </c>
      <c r="G1496" s="18" t="s">
        <v>48</v>
      </c>
      <c r="H1496" s="24">
        <v>10480</v>
      </c>
      <c r="I1496" s="24">
        <f>T_reg.root.SK[[#This Row],[Volume, kg]]/1000</f>
        <v>10.48</v>
      </c>
      <c r="J1496" s="25">
        <v>0.24199999999999999</v>
      </c>
      <c r="K1496" s="25">
        <f t="shared" si="23"/>
        <v>2536.16</v>
      </c>
      <c r="L1496" s="25">
        <v>3.5</v>
      </c>
      <c r="M1496" s="24">
        <v>36680</v>
      </c>
      <c r="N1496" s="25">
        <f>IFERROR(T_reg.root.SK[[#This Row],[Price]]/T_reg.root.SK[[#This Row],[Starch content]],"")</f>
        <v>14.462809917355372</v>
      </c>
    </row>
    <row r="1497" spans="1:14">
      <c r="A1497" s="21">
        <v>2023</v>
      </c>
      <c r="B1497" s="21" t="s">
        <v>26</v>
      </c>
      <c r="C1497" s="21" t="s">
        <v>1145</v>
      </c>
      <c r="D1497" s="21" t="s">
        <v>35</v>
      </c>
      <c r="E1497" s="17" t="s">
        <v>609</v>
      </c>
      <c r="F1497" s="18" t="s">
        <v>187</v>
      </c>
      <c r="G1497" s="18" t="s">
        <v>48</v>
      </c>
      <c r="H1497" s="24">
        <v>13270</v>
      </c>
      <c r="I1497" s="24">
        <f>T_reg.root.SK[[#This Row],[Volume, kg]]/1000</f>
        <v>13.27</v>
      </c>
      <c r="J1497" s="25">
        <v>0.1739</v>
      </c>
      <c r="K1497" s="25">
        <f t="shared" si="23"/>
        <v>2307.6529999999998</v>
      </c>
      <c r="L1497" s="25">
        <v>3.12</v>
      </c>
      <c r="M1497" s="24">
        <v>41426.5</v>
      </c>
      <c r="N1497" s="25">
        <f>IFERROR(T_reg.root.SK[[#This Row],[Price]]/T_reg.root.SK[[#This Row],[Starch content]],"")</f>
        <v>17.941345600920069</v>
      </c>
    </row>
    <row r="1498" spans="1:14">
      <c r="A1498" s="21">
        <v>2023</v>
      </c>
      <c r="B1498" s="21" t="s">
        <v>26</v>
      </c>
      <c r="C1498" s="21" t="s">
        <v>1145</v>
      </c>
      <c r="D1498" s="21" t="s">
        <v>35</v>
      </c>
      <c r="E1498" s="17" t="s">
        <v>261</v>
      </c>
      <c r="F1498" s="18" t="s">
        <v>187</v>
      </c>
      <c r="G1498" s="18" t="s">
        <v>48</v>
      </c>
      <c r="H1498" s="24">
        <v>60980</v>
      </c>
      <c r="I1498" s="24">
        <f>T_reg.root.SK[[#This Row],[Volume, kg]]/1000</f>
        <v>60.98</v>
      </c>
      <c r="J1498" s="25">
        <v>0.21309999999999998</v>
      </c>
      <c r="K1498" s="25">
        <f t="shared" si="23"/>
        <v>12994.838</v>
      </c>
      <c r="L1498" s="25">
        <v>3.32</v>
      </c>
      <c r="M1498" s="24">
        <v>202734.5</v>
      </c>
      <c r="N1498" s="25">
        <f>IFERROR(T_reg.root.SK[[#This Row],[Price]]/T_reg.root.SK[[#This Row],[Starch content]],"")</f>
        <v>15.579540122008448</v>
      </c>
    </row>
    <row r="1499" spans="1:14">
      <c r="A1499" s="21">
        <v>2023</v>
      </c>
      <c r="B1499" s="21" t="s">
        <v>26</v>
      </c>
      <c r="C1499" s="21" t="s">
        <v>1145</v>
      </c>
      <c r="D1499" s="21" t="s">
        <v>35</v>
      </c>
      <c r="E1499" s="17" t="s">
        <v>262</v>
      </c>
      <c r="F1499" s="18" t="s">
        <v>187</v>
      </c>
      <c r="G1499" s="18" t="s">
        <v>48</v>
      </c>
      <c r="H1499" s="24">
        <v>9440</v>
      </c>
      <c r="I1499" s="24">
        <f>T_reg.root.SK[[#This Row],[Volume, kg]]/1000</f>
        <v>9.44</v>
      </c>
      <c r="J1499" s="25">
        <v>0.23250000000000001</v>
      </c>
      <c r="K1499" s="25">
        <f t="shared" si="23"/>
        <v>2194.8000000000002</v>
      </c>
      <c r="L1499" s="25">
        <v>3.4</v>
      </c>
      <c r="M1499" s="24">
        <v>32096</v>
      </c>
      <c r="N1499" s="25">
        <f>IFERROR(T_reg.root.SK[[#This Row],[Price]]/T_reg.root.SK[[#This Row],[Starch content]],"")</f>
        <v>14.623655913978494</v>
      </c>
    </row>
    <row r="1500" spans="1:14">
      <c r="A1500" s="21">
        <v>2023</v>
      </c>
      <c r="B1500" s="21" t="s">
        <v>26</v>
      </c>
      <c r="C1500" s="21" t="s">
        <v>1145</v>
      </c>
      <c r="D1500" s="21" t="s">
        <v>35</v>
      </c>
      <c r="E1500" s="17" t="s">
        <v>621</v>
      </c>
      <c r="F1500" s="18" t="s">
        <v>187</v>
      </c>
      <c r="G1500" s="18" t="s">
        <v>48</v>
      </c>
      <c r="H1500" s="24">
        <v>36250</v>
      </c>
      <c r="I1500" s="24">
        <f>T_reg.root.SK[[#This Row],[Volume, kg]]/1000</f>
        <v>36.25</v>
      </c>
      <c r="J1500" s="25">
        <v>0.21879999999999999</v>
      </c>
      <c r="K1500" s="25">
        <f t="shared" si="23"/>
        <v>7931.5</v>
      </c>
      <c r="L1500" s="25">
        <v>3.35</v>
      </c>
      <c r="M1500" s="24">
        <v>121589</v>
      </c>
      <c r="N1500" s="25">
        <f>IFERROR(T_reg.root.SK[[#This Row],[Price]]/T_reg.root.SK[[#This Row],[Starch content]],"")</f>
        <v>15.310786106032907</v>
      </c>
    </row>
    <row r="1501" spans="1:14">
      <c r="A1501" s="21">
        <v>2023</v>
      </c>
      <c r="B1501" s="21" t="s">
        <v>26</v>
      </c>
      <c r="C1501" s="21" t="s">
        <v>1145</v>
      </c>
      <c r="D1501" s="21" t="s">
        <v>35</v>
      </c>
      <c r="E1501" s="17" t="s">
        <v>515</v>
      </c>
      <c r="F1501" s="18" t="s">
        <v>187</v>
      </c>
      <c r="G1501" s="18" t="s">
        <v>48</v>
      </c>
      <c r="H1501" s="24">
        <v>6500</v>
      </c>
      <c r="I1501" s="24">
        <f>T_reg.root.SK[[#This Row],[Volume, kg]]/1000</f>
        <v>6.5</v>
      </c>
      <c r="J1501" s="25">
        <v>0.2465</v>
      </c>
      <c r="K1501" s="25">
        <f t="shared" si="23"/>
        <v>1602.25</v>
      </c>
      <c r="L1501" s="25">
        <v>3.5</v>
      </c>
      <c r="M1501" s="24">
        <v>22750</v>
      </c>
      <c r="N1501" s="25">
        <f>IFERROR(T_reg.root.SK[[#This Row],[Price]]/T_reg.root.SK[[#This Row],[Starch content]],"")</f>
        <v>14.198782961460447</v>
      </c>
    </row>
    <row r="1502" spans="1:14">
      <c r="A1502" s="21">
        <v>2023</v>
      </c>
      <c r="B1502" s="21" t="s">
        <v>26</v>
      </c>
      <c r="C1502" s="21" t="s">
        <v>1145</v>
      </c>
      <c r="D1502" s="21" t="s">
        <v>35</v>
      </c>
      <c r="E1502" s="17" t="s">
        <v>194</v>
      </c>
      <c r="F1502" s="18" t="s">
        <v>187</v>
      </c>
      <c r="G1502" s="18" t="s">
        <v>48</v>
      </c>
      <c r="H1502" s="24">
        <v>20570</v>
      </c>
      <c r="I1502" s="24">
        <f>T_reg.root.SK[[#This Row],[Volume, kg]]/1000</f>
        <v>20.57</v>
      </c>
      <c r="J1502" s="25">
        <v>0.2515</v>
      </c>
      <c r="K1502" s="25">
        <f t="shared" si="23"/>
        <v>5173.3550000000005</v>
      </c>
      <c r="L1502" s="25">
        <v>3.5</v>
      </c>
      <c r="M1502" s="24">
        <v>72047.5</v>
      </c>
      <c r="N1502" s="25">
        <f>IFERROR(T_reg.root.SK[[#This Row],[Price]]/T_reg.root.SK[[#This Row],[Starch content]],"")</f>
        <v>13.916500994035784</v>
      </c>
    </row>
    <row r="1503" spans="1:14">
      <c r="A1503" s="21">
        <v>2023</v>
      </c>
      <c r="B1503" s="21" t="s">
        <v>26</v>
      </c>
      <c r="C1503" s="21" t="s">
        <v>1145</v>
      </c>
      <c r="D1503" s="21" t="s">
        <v>35</v>
      </c>
      <c r="E1503" s="17" t="s">
        <v>516</v>
      </c>
      <c r="F1503" s="18" t="s">
        <v>187</v>
      </c>
      <c r="G1503" s="18" t="s">
        <v>48</v>
      </c>
      <c r="H1503" s="24">
        <v>23290</v>
      </c>
      <c r="I1503" s="24">
        <f>T_reg.root.SK[[#This Row],[Volume, kg]]/1000</f>
        <v>23.29</v>
      </c>
      <c r="J1503" s="25">
        <v>0.17629999999999998</v>
      </c>
      <c r="K1503" s="25">
        <f t="shared" si="23"/>
        <v>4106.027</v>
      </c>
      <c r="L1503" s="25">
        <v>3.14</v>
      </c>
      <c r="M1503" s="24">
        <v>73035.5</v>
      </c>
      <c r="N1503" s="25">
        <f>IFERROR(T_reg.root.SK[[#This Row],[Price]]/T_reg.root.SK[[#This Row],[Starch content]],"")</f>
        <v>17.810550198525242</v>
      </c>
    </row>
    <row r="1504" spans="1:14">
      <c r="A1504" s="21">
        <v>2023</v>
      </c>
      <c r="B1504" s="21" t="s">
        <v>26</v>
      </c>
      <c r="C1504" s="21" t="s">
        <v>1145</v>
      </c>
      <c r="D1504" s="21" t="s">
        <v>35</v>
      </c>
      <c r="E1504" s="17" t="s">
        <v>518</v>
      </c>
      <c r="F1504" s="18" t="s">
        <v>187</v>
      </c>
      <c r="G1504" s="18" t="s">
        <v>48</v>
      </c>
      <c r="H1504" s="24">
        <v>12620</v>
      </c>
      <c r="I1504" s="24">
        <f>T_reg.root.SK[[#This Row],[Volume, kg]]/1000</f>
        <v>12.62</v>
      </c>
      <c r="J1504" s="25">
        <v>0.21600000000000003</v>
      </c>
      <c r="K1504" s="25">
        <f t="shared" si="23"/>
        <v>2725.9200000000005</v>
      </c>
      <c r="L1504" s="25">
        <v>3.35</v>
      </c>
      <c r="M1504" s="24">
        <v>42277</v>
      </c>
      <c r="N1504" s="25">
        <f>IFERROR(T_reg.root.SK[[#This Row],[Price]]/T_reg.root.SK[[#This Row],[Starch content]],"")</f>
        <v>15.509259259259258</v>
      </c>
    </row>
    <row r="1505" spans="1:14">
      <c r="A1505" s="21">
        <v>2023</v>
      </c>
      <c r="B1505" s="21" t="s">
        <v>26</v>
      </c>
      <c r="C1505" s="21" t="s">
        <v>1145</v>
      </c>
      <c r="D1505" s="21" t="s">
        <v>35</v>
      </c>
      <c r="E1505" s="17" t="s">
        <v>519</v>
      </c>
      <c r="F1505" s="18" t="s">
        <v>187</v>
      </c>
      <c r="G1505" s="18" t="s">
        <v>48</v>
      </c>
      <c r="H1505" s="24">
        <v>17590</v>
      </c>
      <c r="I1505" s="24">
        <f>T_reg.root.SK[[#This Row],[Volume, kg]]/1000</f>
        <v>17.59</v>
      </c>
      <c r="J1505" s="25">
        <v>0.22839999999999999</v>
      </c>
      <c r="K1505" s="25">
        <f t="shared" si="23"/>
        <v>4017.556</v>
      </c>
      <c r="L1505" s="25">
        <v>3.4</v>
      </c>
      <c r="M1505" s="24">
        <v>59761.5</v>
      </c>
      <c r="N1505" s="25">
        <f>IFERROR(T_reg.root.SK[[#This Row],[Price]]/T_reg.root.SK[[#This Row],[Starch content]],"")</f>
        <v>14.8861646234676</v>
      </c>
    </row>
    <row r="1506" spans="1:14">
      <c r="A1506" s="21">
        <v>2023</v>
      </c>
      <c r="B1506" s="21" t="s">
        <v>26</v>
      </c>
      <c r="C1506" s="21" t="s">
        <v>1145</v>
      </c>
      <c r="D1506" s="21" t="s">
        <v>35</v>
      </c>
      <c r="E1506" s="17" t="s">
        <v>590</v>
      </c>
      <c r="F1506" s="18" t="s">
        <v>187</v>
      </c>
      <c r="G1506" s="18" t="s">
        <v>48</v>
      </c>
      <c r="H1506" s="24">
        <v>7100</v>
      </c>
      <c r="I1506" s="24">
        <f>T_reg.root.SK[[#This Row],[Volume, kg]]/1000</f>
        <v>7.1</v>
      </c>
      <c r="J1506" s="25">
        <v>0.2535</v>
      </c>
      <c r="K1506" s="25">
        <f t="shared" si="23"/>
        <v>1799.85</v>
      </c>
      <c r="L1506" s="25">
        <v>3.5</v>
      </c>
      <c r="M1506" s="24">
        <v>24850</v>
      </c>
      <c r="N1506" s="25">
        <f>IFERROR(T_reg.root.SK[[#This Row],[Price]]/T_reg.root.SK[[#This Row],[Starch content]],"")</f>
        <v>13.806706114398422</v>
      </c>
    </row>
    <row r="1507" spans="1:14">
      <c r="A1507" s="21">
        <v>2023</v>
      </c>
      <c r="B1507" s="21" t="s">
        <v>26</v>
      </c>
      <c r="C1507" s="21" t="s">
        <v>1145</v>
      </c>
      <c r="D1507" s="21" t="s">
        <v>35</v>
      </c>
      <c r="E1507" s="17" t="s">
        <v>264</v>
      </c>
      <c r="F1507" s="18" t="s">
        <v>187</v>
      </c>
      <c r="G1507" s="18" t="s">
        <v>48</v>
      </c>
      <c r="H1507" s="24">
        <v>84100</v>
      </c>
      <c r="I1507" s="24">
        <f>T_reg.root.SK[[#This Row],[Volume, kg]]/1000</f>
        <v>84.1</v>
      </c>
      <c r="J1507" s="25">
        <v>0.1948</v>
      </c>
      <c r="K1507" s="25">
        <f t="shared" si="23"/>
        <v>16382.68</v>
      </c>
      <c r="L1507" s="25">
        <v>3.25</v>
      </c>
      <c r="M1507" s="24">
        <v>272940</v>
      </c>
      <c r="N1507" s="25">
        <f>IFERROR(T_reg.root.SK[[#This Row],[Price]]/T_reg.root.SK[[#This Row],[Starch content]],"")</f>
        <v>16.683778234086244</v>
      </c>
    </row>
    <row r="1508" spans="1:14">
      <c r="A1508" s="21">
        <v>2023</v>
      </c>
      <c r="B1508" s="21" t="s">
        <v>26</v>
      </c>
      <c r="C1508" s="21" t="s">
        <v>1145</v>
      </c>
      <c r="D1508" s="21" t="s">
        <v>35</v>
      </c>
      <c r="E1508" s="17" t="s">
        <v>522</v>
      </c>
      <c r="F1508" s="18" t="s">
        <v>187</v>
      </c>
      <c r="G1508" s="18" t="s">
        <v>48</v>
      </c>
      <c r="H1508" s="24">
        <v>18880</v>
      </c>
      <c r="I1508" s="24">
        <f>T_reg.root.SK[[#This Row],[Volume, kg]]/1000</f>
        <v>18.88</v>
      </c>
      <c r="J1508" s="25">
        <v>0.24559999999999998</v>
      </c>
      <c r="K1508" s="25">
        <f t="shared" si="23"/>
        <v>4636.9279999999999</v>
      </c>
      <c r="L1508" s="25">
        <v>3.49</v>
      </c>
      <c r="M1508" s="24">
        <v>65933</v>
      </c>
      <c r="N1508" s="25">
        <f>IFERROR(T_reg.root.SK[[#This Row],[Price]]/T_reg.root.SK[[#This Row],[Starch content]],"")</f>
        <v>14.210097719869708</v>
      </c>
    </row>
    <row r="1509" spans="1:14">
      <c r="A1509" s="21">
        <v>2023</v>
      </c>
      <c r="B1509" s="21" t="s">
        <v>26</v>
      </c>
      <c r="C1509" s="21" t="s">
        <v>1145</v>
      </c>
      <c r="D1509" s="21" t="s">
        <v>35</v>
      </c>
      <c r="E1509" s="17" t="s">
        <v>523</v>
      </c>
      <c r="F1509" s="18" t="s">
        <v>187</v>
      </c>
      <c r="G1509" s="18" t="s">
        <v>48</v>
      </c>
      <c r="H1509" s="24">
        <v>139280</v>
      </c>
      <c r="I1509" s="24">
        <f>T_reg.root.SK[[#This Row],[Volume, kg]]/1000</f>
        <v>139.28</v>
      </c>
      <c r="J1509" s="25">
        <v>0.23530000000000001</v>
      </c>
      <c r="K1509" s="25">
        <f t="shared" si="23"/>
        <v>32772.584000000003</v>
      </c>
      <c r="L1509" s="25">
        <v>3.43</v>
      </c>
      <c r="M1509" s="24">
        <v>478237</v>
      </c>
      <c r="N1509" s="25">
        <f>IFERROR(T_reg.root.SK[[#This Row],[Price]]/T_reg.root.SK[[#This Row],[Starch content]],"")</f>
        <v>14.577135571610709</v>
      </c>
    </row>
    <row r="1510" spans="1:14">
      <c r="A1510" s="21">
        <v>2023</v>
      </c>
      <c r="B1510" s="21" t="s">
        <v>26</v>
      </c>
      <c r="C1510" s="21" t="s">
        <v>1145</v>
      </c>
      <c r="D1510" s="21" t="s">
        <v>35</v>
      </c>
      <c r="E1510" s="17" t="s">
        <v>610</v>
      </c>
      <c r="F1510" s="18" t="s">
        <v>187</v>
      </c>
      <c r="G1510" s="18" t="s">
        <v>48</v>
      </c>
      <c r="H1510" s="24">
        <v>18300</v>
      </c>
      <c r="I1510" s="24">
        <f>T_reg.root.SK[[#This Row],[Volume, kg]]/1000</f>
        <v>18.3</v>
      </c>
      <c r="J1510" s="25">
        <v>0.214</v>
      </c>
      <c r="K1510" s="25">
        <f t="shared" si="23"/>
        <v>3916.2</v>
      </c>
      <c r="L1510" s="25">
        <v>3.32</v>
      </c>
      <c r="M1510" s="24">
        <v>60733.5</v>
      </c>
      <c r="N1510" s="25">
        <f>IFERROR(T_reg.root.SK[[#This Row],[Price]]/T_reg.root.SK[[#This Row],[Starch content]],"")</f>
        <v>15.514018691588785</v>
      </c>
    </row>
    <row r="1511" spans="1:14">
      <c r="A1511" s="21">
        <v>2023</v>
      </c>
      <c r="B1511" s="21" t="s">
        <v>26</v>
      </c>
      <c r="C1511" s="21" t="s">
        <v>1145</v>
      </c>
      <c r="D1511" s="21" t="s">
        <v>35</v>
      </c>
      <c r="E1511" s="17" t="s">
        <v>198</v>
      </c>
      <c r="F1511" s="18" t="s">
        <v>187</v>
      </c>
      <c r="G1511" s="18" t="s">
        <v>48</v>
      </c>
      <c r="H1511" s="24">
        <v>8070</v>
      </c>
      <c r="I1511" s="24">
        <f>T_reg.root.SK[[#This Row],[Volume, kg]]/1000</f>
        <v>8.07</v>
      </c>
      <c r="J1511" s="25">
        <v>0.17199999999999999</v>
      </c>
      <c r="K1511" s="25">
        <f t="shared" si="23"/>
        <v>1388.04</v>
      </c>
      <c r="L1511" s="25">
        <v>3.15</v>
      </c>
      <c r="M1511" s="24">
        <v>25420.5</v>
      </c>
      <c r="N1511" s="25">
        <f>IFERROR(T_reg.root.SK[[#This Row],[Price]]/T_reg.root.SK[[#This Row],[Starch content]],"")</f>
        <v>18.313953488372093</v>
      </c>
    </row>
    <row r="1512" spans="1:14">
      <c r="A1512" s="21">
        <v>2023</v>
      </c>
      <c r="B1512" s="21" t="s">
        <v>26</v>
      </c>
      <c r="C1512" s="21" t="s">
        <v>1145</v>
      </c>
      <c r="D1512" s="21" t="s">
        <v>35</v>
      </c>
      <c r="E1512" s="17" t="s">
        <v>611</v>
      </c>
      <c r="F1512" s="18" t="s">
        <v>187</v>
      </c>
      <c r="G1512" s="18" t="s">
        <v>48</v>
      </c>
      <c r="H1512" s="24">
        <v>60430</v>
      </c>
      <c r="I1512" s="24">
        <f>T_reg.root.SK[[#This Row],[Volume, kg]]/1000</f>
        <v>60.43</v>
      </c>
      <c r="J1512" s="25">
        <v>0.2069</v>
      </c>
      <c r="K1512" s="25">
        <f t="shared" si="23"/>
        <v>12502.967000000001</v>
      </c>
      <c r="L1512" s="25">
        <v>3.31</v>
      </c>
      <c r="M1512" s="24">
        <v>200069.5</v>
      </c>
      <c r="N1512" s="25">
        <f>IFERROR(T_reg.root.SK[[#This Row],[Price]]/T_reg.root.SK[[#This Row],[Starch content]],"")</f>
        <v>15.998066698888351</v>
      </c>
    </row>
    <row r="1513" spans="1:14">
      <c r="A1513" s="21">
        <v>2023</v>
      </c>
      <c r="B1513" s="21" t="s">
        <v>26</v>
      </c>
      <c r="C1513" s="21" t="s">
        <v>1145</v>
      </c>
      <c r="D1513" s="21" t="s">
        <v>35</v>
      </c>
      <c r="E1513" s="17" t="s">
        <v>612</v>
      </c>
      <c r="F1513" s="18" t="s">
        <v>187</v>
      </c>
      <c r="G1513" s="18" t="s">
        <v>48</v>
      </c>
      <c r="H1513" s="24">
        <v>30740</v>
      </c>
      <c r="I1513" s="24">
        <f>T_reg.root.SK[[#This Row],[Volume, kg]]/1000</f>
        <v>30.74</v>
      </c>
      <c r="J1513" s="25">
        <v>0.24429999999999999</v>
      </c>
      <c r="K1513" s="25">
        <f t="shared" si="23"/>
        <v>7509.7819999999992</v>
      </c>
      <c r="L1513" s="25">
        <v>3.47</v>
      </c>
      <c r="M1513" s="24">
        <v>106590</v>
      </c>
      <c r="N1513" s="25">
        <f>IFERROR(T_reg.root.SK[[#This Row],[Price]]/T_reg.root.SK[[#This Row],[Starch content]],"")</f>
        <v>14.20384772820303</v>
      </c>
    </row>
    <row r="1514" spans="1:14">
      <c r="A1514" s="21">
        <v>2023</v>
      </c>
      <c r="B1514" s="21" t="s">
        <v>26</v>
      </c>
      <c r="C1514" s="21" t="s">
        <v>1145</v>
      </c>
      <c r="D1514" s="21" t="s">
        <v>35</v>
      </c>
      <c r="E1514" s="17" t="s">
        <v>199</v>
      </c>
      <c r="F1514" s="18" t="s">
        <v>187</v>
      </c>
      <c r="G1514" s="18" t="s">
        <v>48</v>
      </c>
      <c r="H1514" s="24">
        <v>56480</v>
      </c>
      <c r="I1514" s="24">
        <f>T_reg.root.SK[[#This Row],[Volume, kg]]/1000</f>
        <v>56.48</v>
      </c>
      <c r="J1514" s="25">
        <v>0.22320000000000001</v>
      </c>
      <c r="K1514" s="25">
        <f t="shared" si="23"/>
        <v>12606.336000000001</v>
      </c>
      <c r="L1514" s="25">
        <v>3.36</v>
      </c>
      <c r="M1514" s="24">
        <v>189653.5</v>
      </c>
      <c r="N1514" s="25">
        <f>IFERROR(T_reg.root.SK[[#This Row],[Price]]/T_reg.root.SK[[#This Row],[Starch content]],"")</f>
        <v>15.053763440860214</v>
      </c>
    </row>
    <row r="1515" spans="1:14">
      <c r="A1515" s="21">
        <v>2023</v>
      </c>
      <c r="B1515" s="21" t="s">
        <v>26</v>
      </c>
      <c r="C1515" s="21" t="s">
        <v>1145</v>
      </c>
      <c r="D1515" s="21" t="s">
        <v>35</v>
      </c>
      <c r="E1515" s="17" t="s">
        <v>200</v>
      </c>
      <c r="F1515" s="18" t="s">
        <v>187</v>
      </c>
      <c r="G1515" s="18" t="s">
        <v>48</v>
      </c>
      <c r="H1515" s="24">
        <v>21830</v>
      </c>
      <c r="I1515" s="24">
        <f>T_reg.root.SK[[#This Row],[Volume, kg]]/1000</f>
        <v>21.83</v>
      </c>
      <c r="J1515" s="25">
        <v>0.23649999999999999</v>
      </c>
      <c r="K1515" s="25">
        <f t="shared" si="23"/>
        <v>5162.7950000000001</v>
      </c>
      <c r="L1515" s="25">
        <v>3.48</v>
      </c>
      <c r="M1515" s="24">
        <v>75921.5</v>
      </c>
      <c r="N1515" s="25">
        <f>IFERROR(T_reg.root.SK[[#This Row],[Price]]/T_reg.root.SK[[#This Row],[Starch content]],"")</f>
        <v>14.714587737843553</v>
      </c>
    </row>
    <row r="1516" spans="1:14">
      <c r="A1516" s="21">
        <v>2023</v>
      </c>
      <c r="B1516" s="21" t="s">
        <v>26</v>
      </c>
      <c r="C1516" s="21" t="s">
        <v>1145</v>
      </c>
      <c r="D1516" s="21" t="s">
        <v>35</v>
      </c>
      <c r="E1516" s="17" t="s">
        <v>201</v>
      </c>
      <c r="F1516" s="18" t="s">
        <v>187</v>
      </c>
      <c r="G1516" s="18" t="s">
        <v>48</v>
      </c>
      <c r="H1516" s="24">
        <v>90800</v>
      </c>
      <c r="I1516" s="24">
        <f>T_reg.root.SK[[#This Row],[Volume, kg]]/1000</f>
        <v>90.8</v>
      </c>
      <c r="J1516" s="25">
        <v>0.25379999999999997</v>
      </c>
      <c r="K1516" s="25">
        <f t="shared" si="23"/>
        <v>23045.039999999997</v>
      </c>
      <c r="L1516" s="25">
        <v>3.52</v>
      </c>
      <c r="M1516" s="24">
        <v>319237.5</v>
      </c>
      <c r="N1516" s="25">
        <f>IFERROR(T_reg.root.SK[[#This Row],[Price]]/T_reg.root.SK[[#This Row],[Starch content]],"")</f>
        <v>13.869188337273446</v>
      </c>
    </row>
    <row r="1517" spans="1:14">
      <c r="A1517" s="21">
        <v>2023</v>
      </c>
      <c r="B1517" s="21" t="s">
        <v>26</v>
      </c>
      <c r="C1517" s="21" t="s">
        <v>1145</v>
      </c>
      <c r="D1517" s="21" t="s">
        <v>35</v>
      </c>
      <c r="E1517" s="17" t="s">
        <v>527</v>
      </c>
      <c r="F1517" s="18" t="s">
        <v>187</v>
      </c>
      <c r="G1517" s="18" t="s">
        <v>48</v>
      </c>
      <c r="H1517" s="24">
        <v>22820</v>
      </c>
      <c r="I1517" s="24">
        <f>T_reg.root.SK[[#This Row],[Volume, kg]]/1000</f>
        <v>22.82</v>
      </c>
      <c r="J1517" s="25">
        <v>0.16200000000000001</v>
      </c>
      <c r="K1517" s="25">
        <f t="shared" si="23"/>
        <v>3696.84</v>
      </c>
      <c r="L1517" s="25">
        <v>3.08</v>
      </c>
      <c r="M1517" s="24">
        <v>70359</v>
      </c>
      <c r="N1517" s="25">
        <f>IFERROR(T_reg.root.SK[[#This Row],[Price]]/T_reg.root.SK[[#This Row],[Starch content]],"")</f>
        <v>19.012345679012345</v>
      </c>
    </row>
    <row r="1518" spans="1:14">
      <c r="A1518" s="21">
        <v>2023</v>
      </c>
      <c r="B1518" s="21" t="s">
        <v>26</v>
      </c>
      <c r="C1518" s="21" t="s">
        <v>1145</v>
      </c>
      <c r="D1518" s="21" t="s">
        <v>35</v>
      </c>
      <c r="E1518" s="17" t="s">
        <v>332</v>
      </c>
      <c r="F1518" s="18" t="s">
        <v>187</v>
      </c>
      <c r="G1518" s="18" t="s">
        <v>48</v>
      </c>
      <c r="H1518" s="24">
        <v>62570</v>
      </c>
      <c r="I1518" s="24">
        <f>T_reg.root.SK[[#This Row],[Volume, kg]]/1000</f>
        <v>62.57</v>
      </c>
      <c r="J1518" s="25">
        <v>0.1757</v>
      </c>
      <c r="K1518" s="25">
        <f t="shared" si="23"/>
        <v>10993.548999999999</v>
      </c>
      <c r="L1518" s="25">
        <v>3.14</v>
      </c>
      <c r="M1518" s="24">
        <v>196249.5</v>
      </c>
      <c r="N1518" s="25">
        <f>IFERROR(T_reg.root.SK[[#This Row],[Price]]/T_reg.root.SK[[#This Row],[Starch content]],"")</f>
        <v>17.871371656232217</v>
      </c>
    </row>
    <row r="1519" spans="1:14">
      <c r="A1519" s="21">
        <v>2023</v>
      </c>
      <c r="B1519" s="21" t="s">
        <v>26</v>
      </c>
      <c r="C1519" s="21" t="s">
        <v>1145</v>
      </c>
      <c r="D1519" s="21" t="s">
        <v>35</v>
      </c>
      <c r="E1519" s="17" t="s">
        <v>593</v>
      </c>
      <c r="F1519" s="18" t="s">
        <v>187</v>
      </c>
      <c r="G1519" s="18" t="s">
        <v>48</v>
      </c>
      <c r="H1519" s="24">
        <v>65690</v>
      </c>
      <c r="I1519" s="24">
        <f>T_reg.root.SK[[#This Row],[Volume, kg]]/1000</f>
        <v>65.69</v>
      </c>
      <c r="J1519" s="25">
        <v>0.23800000000000002</v>
      </c>
      <c r="K1519" s="25">
        <f t="shared" si="23"/>
        <v>15634.220000000001</v>
      </c>
      <c r="L1519" s="25">
        <v>3.46</v>
      </c>
      <c r="M1519" s="24">
        <v>227018</v>
      </c>
      <c r="N1519" s="25">
        <f>IFERROR(T_reg.root.SK[[#This Row],[Price]]/T_reg.root.SK[[#This Row],[Starch content]],"")</f>
        <v>14.537815126050418</v>
      </c>
    </row>
    <row r="1520" spans="1:14">
      <c r="A1520" s="21">
        <v>2023</v>
      </c>
      <c r="B1520" s="21" t="s">
        <v>26</v>
      </c>
      <c r="C1520" s="21" t="s">
        <v>1145</v>
      </c>
      <c r="D1520" s="21" t="s">
        <v>35</v>
      </c>
      <c r="E1520" s="17" t="s">
        <v>204</v>
      </c>
      <c r="F1520" s="18" t="s">
        <v>187</v>
      </c>
      <c r="G1520" s="18" t="s">
        <v>48</v>
      </c>
      <c r="H1520" s="24">
        <v>13580</v>
      </c>
      <c r="I1520" s="24">
        <f>T_reg.root.SK[[#This Row],[Volume, kg]]/1000</f>
        <v>13.58</v>
      </c>
      <c r="J1520" s="25">
        <v>0.19839999999999999</v>
      </c>
      <c r="K1520" s="25">
        <f t="shared" si="23"/>
        <v>2694.2719999999999</v>
      </c>
      <c r="L1520" s="25">
        <v>3.25</v>
      </c>
      <c r="M1520" s="24">
        <v>44132.5</v>
      </c>
      <c r="N1520" s="25">
        <f>IFERROR(T_reg.root.SK[[#This Row],[Price]]/T_reg.root.SK[[#This Row],[Starch content]],"")</f>
        <v>16.381048387096776</v>
      </c>
    </row>
    <row r="1521" spans="1:14">
      <c r="A1521" s="21">
        <v>2023</v>
      </c>
      <c r="B1521" s="21" t="s">
        <v>26</v>
      </c>
      <c r="C1521" s="21" t="s">
        <v>1145</v>
      </c>
      <c r="D1521" s="21" t="s">
        <v>35</v>
      </c>
      <c r="E1521" s="17" t="s">
        <v>266</v>
      </c>
      <c r="F1521" s="18" t="s">
        <v>187</v>
      </c>
      <c r="G1521" s="18" t="s">
        <v>48</v>
      </c>
      <c r="H1521" s="24">
        <v>33900</v>
      </c>
      <c r="I1521" s="24">
        <f>T_reg.root.SK[[#This Row],[Volume, kg]]/1000</f>
        <v>33.9</v>
      </c>
      <c r="J1521" s="25">
        <v>0.193</v>
      </c>
      <c r="K1521" s="25">
        <f t="shared" si="23"/>
        <v>6542.7</v>
      </c>
      <c r="L1521" s="25">
        <v>3.25</v>
      </c>
      <c r="M1521" s="24">
        <v>110274.5</v>
      </c>
      <c r="N1521" s="25">
        <f>IFERROR(T_reg.root.SK[[#This Row],[Price]]/T_reg.root.SK[[#This Row],[Starch content]],"")</f>
        <v>16.839378238341968</v>
      </c>
    </row>
    <row r="1522" spans="1:14">
      <c r="A1522" s="21">
        <v>2023</v>
      </c>
      <c r="B1522" s="21" t="s">
        <v>26</v>
      </c>
      <c r="C1522" s="21" t="s">
        <v>1145</v>
      </c>
      <c r="D1522" s="21" t="s">
        <v>35</v>
      </c>
      <c r="E1522" s="17" t="s">
        <v>622</v>
      </c>
      <c r="F1522" s="18" t="s">
        <v>187</v>
      </c>
      <c r="G1522" s="18" t="s">
        <v>48</v>
      </c>
      <c r="H1522" s="24">
        <v>6240</v>
      </c>
      <c r="I1522" s="24">
        <f>T_reg.root.SK[[#This Row],[Volume, kg]]/1000</f>
        <v>6.24</v>
      </c>
      <c r="J1522" s="25">
        <v>0.18149999999999999</v>
      </c>
      <c r="K1522" s="25">
        <f t="shared" si="23"/>
        <v>1132.56</v>
      </c>
      <c r="L1522" s="25">
        <v>3.1</v>
      </c>
      <c r="M1522" s="24">
        <v>19344</v>
      </c>
      <c r="N1522" s="25">
        <f>IFERROR(T_reg.root.SK[[#This Row],[Price]]/T_reg.root.SK[[#This Row],[Starch content]],"")</f>
        <v>17.079889807162534</v>
      </c>
    </row>
    <row r="1523" spans="1:14">
      <c r="A1523" s="21">
        <v>2023</v>
      </c>
      <c r="B1523" s="21" t="s">
        <v>26</v>
      </c>
      <c r="C1523" s="21" t="s">
        <v>1145</v>
      </c>
      <c r="D1523" s="21" t="s">
        <v>35</v>
      </c>
      <c r="E1523" s="17" t="s">
        <v>206</v>
      </c>
      <c r="F1523" s="18" t="s">
        <v>187</v>
      </c>
      <c r="G1523" s="18" t="s">
        <v>48</v>
      </c>
      <c r="H1523" s="24">
        <v>180320</v>
      </c>
      <c r="I1523" s="24">
        <f>T_reg.root.SK[[#This Row],[Volume, kg]]/1000</f>
        <v>180.32</v>
      </c>
      <c r="J1523" s="25">
        <v>0.1943</v>
      </c>
      <c r="K1523" s="25">
        <f t="shared" si="23"/>
        <v>35036.175999999999</v>
      </c>
      <c r="L1523" s="25">
        <v>3.23</v>
      </c>
      <c r="M1523" s="24">
        <v>581758</v>
      </c>
      <c r="N1523" s="25">
        <f>IFERROR(T_reg.root.SK[[#This Row],[Price]]/T_reg.root.SK[[#This Row],[Starch content]],"")</f>
        <v>16.623777663407104</v>
      </c>
    </row>
    <row r="1524" spans="1:14">
      <c r="A1524" s="21">
        <v>2023</v>
      </c>
      <c r="B1524" s="21" t="s">
        <v>26</v>
      </c>
      <c r="C1524" s="21" t="s">
        <v>1145</v>
      </c>
      <c r="D1524" s="21" t="s">
        <v>35</v>
      </c>
      <c r="E1524" s="17" t="s">
        <v>267</v>
      </c>
      <c r="F1524" s="18" t="s">
        <v>187</v>
      </c>
      <c r="G1524" s="18" t="s">
        <v>48</v>
      </c>
      <c r="H1524" s="24">
        <v>23210</v>
      </c>
      <c r="I1524" s="24">
        <f>T_reg.root.SK[[#This Row],[Volume, kg]]/1000</f>
        <v>23.21</v>
      </c>
      <c r="J1524" s="25">
        <v>0.19420000000000001</v>
      </c>
      <c r="K1524" s="25">
        <f t="shared" si="23"/>
        <v>4507.3820000000005</v>
      </c>
      <c r="L1524" s="25">
        <v>3.23</v>
      </c>
      <c r="M1524" s="24">
        <v>75032.5</v>
      </c>
      <c r="N1524" s="25">
        <f>IFERROR(T_reg.root.SK[[#This Row],[Price]]/T_reg.root.SK[[#This Row],[Starch content]],"")</f>
        <v>16.632337796086507</v>
      </c>
    </row>
    <row r="1525" spans="1:14">
      <c r="A1525" s="21">
        <v>2023</v>
      </c>
      <c r="B1525" s="21" t="s">
        <v>26</v>
      </c>
      <c r="C1525" s="21" t="s">
        <v>1145</v>
      </c>
      <c r="D1525" s="21" t="s">
        <v>35</v>
      </c>
      <c r="E1525" s="17" t="s">
        <v>268</v>
      </c>
      <c r="F1525" s="18" t="s">
        <v>187</v>
      </c>
      <c r="G1525" s="18" t="s">
        <v>48</v>
      </c>
      <c r="H1525" s="24">
        <v>15570</v>
      </c>
      <c r="I1525" s="24">
        <f>T_reg.root.SK[[#This Row],[Volume, kg]]/1000</f>
        <v>15.57</v>
      </c>
      <c r="J1525" s="25">
        <v>0.18530000000000002</v>
      </c>
      <c r="K1525" s="25">
        <f t="shared" si="23"/>
        <v>2885.1210000000001</v>
      </c>
      <c r="L1525" s="25">
        <v>3.21</v>
      </c>
      <c r="M1525" s="24">
        <v>49926</v>
      </c>
      <c r="N1525" s="25">
        <f>IFERROR(T_reg.root.SK[[#This Row],[Price]]/T_reg.root.SK[[#This Row],[Starch content]],"")</f>
        <v>17.323259579060981</v>
      </c>
    </row>
    <row r="1526" spans="1:14">
      <c r="A1526" s="21">
        <v>2023</v>
      </c>
      <c r="B1526" s="21" t="s">
        <v>26</v>
      </c>
      <c r="C1526" s="21" t="s">
        <v>1145</v>
      </c>
      <c r="D1526" s="21" t="s">
        <v>35</v>
      </c>
      <c r="E1526" s="17" t="s">
        <v>534</v>
      </c>
      <c r="F1526" s="18" t="s">
        <v>187</v>
      </c>
      <c r="G1526" s="18" t="s">
        <v>48</v>
      </c>
      <c r="H1526" s="24">
        <v>10720</v>
      </c>
      <c r="I1526" s="24">
        <f>T_reg.root.SK[[#This Row],[Volume, kg]]/1000</f>
        <v>10.72</v>
      </c>
      <c r="J1526" s="25">
        <v>0.22699999999999998</v>
      </c>
      <c r="K1526" s="25">
        <f t="shared" si="23"/>
        <v>2433.4399999999996</v>
      </c>
      <c r="L1526" s="25">
        <v>3.4</v>
      </c>
      <c r="M1526" s="24">
        <v>36448</v>
      </c>
      <c r="N1526" s="25">
        <f>IFERROR(T_reg.root.SK[[#This Row],[Price]]/T_reg.root.SK[[#This Row],[Starch content]],"")</f>
        <v>14.977973568281939</v>
      </c>
    </row>
    <row r="1527" spans="1:14">
      <c r="A1527" s="21">
        <v>2023</v>
      </c>
      <c r="B1527" s="21" t="s">
        <v>26</v>
      </c>
      <c r="C1527" s="21" t="s">
        <v>1145</v>
      </c>
      <c r="D1527" s="21" t="s">
        <v>35</v>
      </c>
      <c r="E1527" s="17" t="s">
        <v>211</v>
      </c>
      <c r="F1527" s="18" t="s">
        <v>187</v>
      </c>
      <c r="G1527" s="18" t="s">
        <v>48</v>
      </c>
      <c r="H1527" s="24">
        <v>282620</v>
      </c>
      <c r="I1527" s="24">
        <f>T_reg.root.SK[[#This Row],[Volume, kg]]/1000</f>
        <v>282.62</v>
      </c>
      <c r="J1527" s="25">
        <v>0.22839999999999999</v>
      </c>
      <c r="K1527" s="25">
        <f t="shared" si="23"/>
        <v>64550.407999999996</v>
      </c>
      <c r="L1527" s="25">
        <v>3.41</v>
      </c>
      <c r="M1527" s="24">
        <v>964641</v>
      </c>
      <c r="N1527" s="25">
        <f>IFERROR(T_reg.root.SK[[#This Row],[Price]]/T_reg.root.SK[[#This Row],[Starch content]],"")</f>
        <v>14.929947460595448</v>
      </c>
    </row>
    <row r="1528" spans="1:14">
      <c r="A1528" s="21">
        <v>2023</v>
      </c>
      <c r="B1528" s="21" t="s">
        <v>26</v>
      </c>
      <c r="C1528" s="21" t="s">
        <v>1145</v>
      </c>
      <c r="D1528" s="21" t="s">
        <v>35</v>
      </c>
      <c r="E1528" s="17" t="s">
        <v>213</v>
      </c>
      <c r="F1528" s="18" t="s">
        <v>187</v>
      </c>
      <c r="G1528" s="18" t="s">
        <v>48</v>
      </c>
      <c r="H1528" s="24">
        <v>33820</v>
      </c>
      <c r="I1528" s="24">
        <f>T_reg.root.SK[[#This Row],[Volume, kg]]/1000</f>
        <v>33.82</v>
      </c>
      <c r="J1528" s="25">
        <v>0.24989999999999998</v>
      </c>
      <c r="K1528" s="25">
        <f t="shared" si="23"/>
        <v>8451.6179999999986</v>
      </c>
      <c r="L1528" s="25">
        <v>3.51</v>
      </c>
      <c r="M1528" s="24">
        <v>118848</v>
      </c>
      <c r="N1528" s="25">
        <f>IFERROR(T_reg.root.SK[[#This Row],[Price]]/T_reg.root.SK[[#This Row],[Starch content]],"")</f>
        <v>14.04561824729892</v>
      </c>
    </row>
    <row r="1529" spans="1:14">
      <c r="A1529" s="21">
        <v>2023</v>
      </c>
      <c r="B1529" s="21" t="s">
        <v>26</v>
      </c>
      <c r="C1529" s="21" t="s">
        <v>1145</v>
      </c>
      <c r="D1529" s="21" t="s">
        <v>35</v>
      </c>
      <c r="E1529" s="17" t="s">
        <v>408</v>
      </c>
      <c r="F1529" s="18" t="s">
        <v>187</v>
      </c>
      <c r="G1529" s="18" t="s">
        <v>48</v>
      </c>
      <c r="H1529" s="24">
        <v>66580</v>
      </c>
      <c r="I1529" s="24">
        <f>T_reg.root.SK[[#This Row],[Volume, kg]]/1000</f>
        <v>66.58</v>
      </c>
      <c r="J1529" s="25">
        <v>0.21129999999999999</v>
      </c>
      <c r="K1529" s="25">
        <f t="shared" si="23"/>
        <v>14068.353999999999</v>
      </c>
      <c r="L1529" s="25">
        <v>3.33</v>
      </c>
      <c r="M1529" s="24">
        <v>221914</v>
      </c>
      <c r="N1529" s="25">
        <f>IFERROR(T_reg.root.SK[[#This Row],[Price]]/T_reg.root.SK[[#This Row],[Starch content]],"")</f>
        <v>15.759583530525321</v>
      </c>
    </row>
    <row r="1530" spans="1:14">
      <c r="A1530" s="21">
        <v>2023</v>
      </c>
      <c r="B1530" s="21" t="s">
        <v>26</v>
      </c>
      <c r="C1530" s="21" t="s">
        <v>1145</v>
      </c>
      <c r="D1530" s="21" t="s">
        <v>35</v>
      </c>
      <c r="E1530" s="17" t="s">
        <v>536</v>
      </c>
      <c r="F1530" s="18" t="s">
        <v>187</v>
      </c>
      <c r="G1530" s="18" t="s">
        <v>48</v>
      </c>
      <c r="H1530" s="24">
        <v>4690</v>
      </c>
      <c r="I1530" s="24">
        <f>T_reg.root.SK[[#This Row],[Volume, kg]]/1000</f>
        <v>4.6900000000000004</v>
      </c>
      <c r="J1530" s="25">
        <v>0.17800000000000002</v>
      </c>
      <c r="K1530" s="25">
        <f t="shared" si="23"/>
        <v>834.82</v>
      </c>
      <c r="L1530" s="25">
        <v>3.15</v>
      </c>
      <c r="M1530" s="24">
        <v>14773.5</v>
      </c>
      <c r="N1530" s="25">
        <f>IFERROR(T_reg.root.SK[[#This Row],[Price]]/T_reg.root.SK[[#This Row],[Starch content]],"")</f>
        <v>17.696629213483142</v>
      </c>
    </row>
    <row r="1531" spans="1:14">
      <c r="A1531" s="21">
        <v>2023</v>
      </c>
      <c r="B1531" s="21" t="s">
        <v>26</v>
      </c>
      <c r="C1531" s="21" t="s">
        <v>1145</v>
      </c>
      <c r="D1531" s="21" t="s">
        <v>35</v>
      </c>
      <c r="E1531" s="17" t="s">
        <v>537</v>
      </c>
      <c r="F1531" s="18" t="s">
        <v>187</v>
      </c>
      <c r="G1531" s="18" t="s">
        <v>48</v>
      </c>
      <c r="H1531" s="24">
        <v>52750</v>
      </c>
      <c r="I1531" s="24">
        <f>T_reg.root.SK[[#This Row],[Volume, kg]]/1000</f>
        <v>52.75</v>
      </c>
      <c r="J1531" s="25">
        <v>0.22190000000000001</v>
      </c>
      <c r="K1531" s="25">
        <f t="shared" si="23"/>
        <v>11705.225</v>
      </c>
      <c r="L1531" s="25">
        <v>3.35</v>
      </c>
      <c r="M1531" s="24">
        <v>176908.5</v>
      </c>
      <c r="N1531" s="25">
        <f>IFERROR(T_reg.root.SK[[#This Row],[Price]]/T_reg.root.SK[[#This Row],[Starch content]],"")</f>
        <v>15.096890491212257</v>
      </c>
    </row>
    <row r="1532" spans="1:14">
      <c r="A1532" s="21">
        <v>2023</v>
      </c>
      <c r="B1532" s="21" t="s">
        <v>26</v>
      </c>
      <c r="C1532" s="21" t="s">
        <v>1145</v>
      </c>
      <c r="D1532" s="21" t="s">
        <v>35</v>
      </c>
      <c r="E1532" s="17" t="s">
        <v>538</v>
      </c>
      <c r="F1532" s="18" t="s">
        <v>187</v>
      </c>
      <c r="G1532" s="18" t="s">
        <v>48</v>
      </c>
      <c r="H1532" s="24">
        <v>14980</v>
      </c>
      <c r="I1532" s="24">
        <f>T_reg.root.SK[[#This Row],[Volume, kg]]/1000</f>
        <v>14.98</v>
      </c>
      <c r="J1532" s="25">
        <v>0.26340000000000002</v>
      </c>
      <c r="K1532" s="25">
        <f t="shared" si="23"/>
        <v>3945.7320000000004</v>
      </c>
      <c r="L1532" s="25">
        <v>3.58</v>
      </c>
      <c r="M1532" s="24">
        <v>53647.5</v>
      </c>
      <c r="N1532" s="25">
        <f>IFERROR(T_reg.root.SK[[#This Row],[Price]]/T_reg.root.SK[[#This Row],[Starch content]],"")</f>
        <v>13.591495823842065</v>
      </c>
    </row>
    <row r="1533" spans="1:14">
      <c r="A1533" s="21">
        <v>2023</v>
      </c>
      <c r="B1533" s="21" t="s">
        <v>26</v>
      </c>
      <c r="C1533" s="21" t="s">
        <v>1145</v>
      </c>
      <c r="D1533" s="21" t="s">
        <v>35</v>
      </c>
      <c r="E1533" s="17" t="s">
        <v>539</v>
      </c>
      <c r="F1533" s="18" t="s">
        <v>187</v>
      </c>
      <c r="G1533" s="18" t="s">
        <v>48</v>
      </c>
      <c r="H1533" s="24">
        <v>36760</v>
      </c>
      <c r="I1533" s="24">
        <f>T_reg.root.SK[[#This Row],[Volume, kg]]/1000</f>
        <v>36.76</v>
      </c>
      <c r="J1533" s="25">
        <v>0.1726</v>
      </c>
      <c r="K1533" s="25">
        <f t="shared" si="23"/>
        <v>6344.7759999999998</v>
      </c>
      <c r="L1533" s="25">
        <v>3.12</v>
      </c>
      <c r="M1533" s="24">
        <v>114521.5</v>
      </c>
      <c r="N1533" s="25">
        <f>IFERROR(T_reg.root.SK[[#This Row],[Price]]/T_reg.root.SK[[#This Row],[Starch content]],"")</f>
        <v>18.076477404403246</v>
      </c>
    </row>
    <row r="1534" spans="1:14">
      <c r="A1534" s="21">
        <v>2023</v>
      </c>
      <c r="B1534" s="21" t="s">
        <v>26</v>
      </c>
      <c r="C1534" s="21" t="s">
        <v>1145</v>
      </c>
      <c r="D1534" s="21" t="s">
        <v>35</v>
      </c>
      <c r="E1534" s="17" t="s">
        <v>214</v>
      </c>
      <c r="F1534" s="18" t="s">
        <v>187</v>
      </c>
      <c r="G1534" s="18" t="s">
        <v>48</v>
      </c>
      <c r="H1534" s="24">
        <v>20120</v>
      </c>
      <c r="I1534" s="24">
        <f>T_reg.root.SK[[#This Row],[Volume, kg]]/1000</f>
        <v>20.12</v>
      </c>
      <c r="J1534" s="25">
        <v>0.22399999999999998</v>
      </c>
      <c r="K1534" s="25">
        <f t="shared" si="23"/>
        <v>4506.8799999999992</v>
      </c>
      <c r="L1534" s="25">
        <v>3.39</v>
      </c>
      <c r="M1534" s="24">
        <v>68107.5</v>
      </c>
      <c r="N1534" s="25">
        <f>IFERROR(T_reg.root.SK[[#This Row],[Price]]/T_reg.root.SK[[#This Row],[Starch content]],"")</f>
        <v>15.133928571428573</v>
      </c>
    </row>
    <row r="1535" spans="1:14">
      <c r="A1535" s="21">
        <v>2023</v>
      </c>
      <c r="B1535" s="21" t="s">
        <v>26</v>
      </c>
      <c r="C1535" s="21" t="s">
        <v>1145</v>
      </c>
      <c r="D1535" s="21" t="s">
        <v>35</v>
      </c>
      <c r="E1535" s="17" t="s">
        <v>540</v>
      </c>
      <c r="F1535" s="18" t="s">
        <v>187</v>
      </c>
      <c r="G1535" s="18" t="s">
        <v>48</v>
      </c>
      <c r="H1535" s="24">
        <v>28930</v>
      </c>
      <c r="I1535" s="24">
        <f>T_reg.root.SK[[#This Row],[Volume, kg]]/1000</f>
        <v>28.93</v>
      </c>
      <c r="J1535" s="25">
        <v>0.2298</v>
      </c>
      <c r="K1535" s="25">
        <f t="shared" si="23"/>
        <v>6648.1140000000005</v>
      </c>
      <c r="L1535" s="25">
        <v>3.4</v>
      </c>
      <c r="M1535" s="24">
        <v>98347</v>
      </c>
      <c r="N1535" s="25">
        <f>IFERROR(T_reg.root.SK[[#This Row],[Price]]/T_reg.root.SK[[#This Row],[Starch content]],"")</f>
        <v>14.795474325500434</v>
      </c>
    </row>
    <row r="1536" spans="1:14">
      <c r="A1536" s="21">
        <v>2023</v>
      </c>
      <c r="B1536" s="21" t="s">
        <v>26</v>
      </c>
      <c r="C1536" s="21" t="s">
        <v>1145</v>
      </c>
      <c r="D1536" s="21" t="s">
        <v>35</v>
      </c>
      <c r="E1536" s="17" t="s">
        <v>623</v>
      </c>
      <c r="F1536" s="18" t="s">
        <v>187</v>
      </c>
      <c r="G1536" s="18" t="s">
        <v>48</v>
      </c>
      <c r="H1536" s="24">
        <v>20890</v>
      </c>
      <c r="I1536" s="24">
        <f>T_reg.root.SK[[#This Row],[Volume, kg]]/1000</f>
        <v>20.89</v>
      </c>
      <c r="J1536" s="25">
        <v>0.22190000000000001</v>
      </c>
      <c r="K1536" s="25">
        <f t="shared" si="23"/>
        <v>4635.491</v>
      </c>
      <c r="L1536" s="25">
        <v>3.35</v>
      </c>
      <c r="M1536" s="24">
        <v>70000</v>
      </c>
      <c r="N1536" s="25">
        <f>IFERROR(T_reg.root.SK[[#This Row],[Price]]/T_reg.root.SK[[#This Row],[Starch content]],"")</f>
        <v>15.096890491212257</v>
      </c>
    </row>
    <row r="1537" spans="1:14">
      <c r="A1537" s="21">
        <v>2023</v>
      </c>
      <c r="B1537" s="21" t="s">
        <v>26</v>
      </c>
      <c r="C1537" s="21" t="s">
        <v>1145</v>
      </c>
      <c r="D1537" s="21" t="s">
        <v>35</v>
      </c>
      <c r="E1537" s="17" t="s">
        <v>215</v>
      </c>
      <c r="F1537" s="18" t="s">
        <v>187</v>
      </c>
      <c r="G1537" s="18" t="s">
        <v>48</v>
      </c>
      <c r="H1537" s="24">
        <v>42960</v>
      </c>
      <c r="I1537" s="24">
        <f>T_reg.root.SK[[#This Row],[Volume, kg]]/1000</f>
        <v>42.96</v>
      </c>
      <c r="J1537" s="25">
        <v>0.27940000000000004</v>
      </c>
      <c r="K1537" s="25">
        <f t="shared" si="23"/>
        <v>12003.024000000001</v>
      </c>
      <c r="L1537" s="25">
        <v>3.69</v>
      </c>
      <c r="M1537" s="24">
        <v>158347</v>
      </c>
      <c r="N1537" s="25">
        <f>IFERROR(T_reg.root.SK[[#This Row],[Price]]/T_reg.root.SK[[#This Row],[Starch content]],"")</f>
        <v>13.206871868289189</v>
      </c>
    </row>
    <row r="1538" spans="1:14">
      <c r="A1538" s="21">
        <v>2023</v>
      </c>
      <c r="B1538" s="21" t="s">
        <v>26</v>
      </c>
      <c r="C1538" s="21" t="s">
        <v>1145</v>
      </c>
      <c r="D1538" s="21" t="s">
        <v>35</v>
      </c>
      <c r="E1538" s="17" t="s">
        <v>543</v>
      </c>
      <c r="F1538" s="18" t="s">
        <v>187</v>
      </c>
      <c r="G1538" s="18" t="s">
        <v>48</v>
      </c>
      <c r="H1538" s="24">
        <v>22800</v>
      </c>
      <c r="I1538" s="24">
        <f>T_reg.root.SK[[#This Row],[Volume, kg]]/1000</f>
        <v>22.8</v>
      </c>
      <c r="J1538" s="25">
        <v>0.23129999999999998</v>
      </c>
      <c r="K1538" s="25">
        <f t="shared" si="23"/>
        <v>5273.6399999999994</v>
      </c>
      <c r="L1538" s="25">
        <v>3.41</v>
      </c>
      <c r="M1538" s="24">
        <v>77713</v>
      </c>
      <c r="N1538" s="25">
        <f>IFERROR(T_reg.root.SK[[#This Row],[Price]]/T_reg.root.SK[[#This Row],[Starch content]],"")</f>
        <v>14.742758322524862</v>
      </c>
    </row>
    <row r="1539" spans="1:14">
      <c r="A1539" s="21">
        <v>2023</v>
      </c>
      <c r="B1539" s="21" t="s">
        <v>26</v>
      </c>
      <c r="C1539" s="21" t="s">
        <v>1145</v>
      </c>
      <c r="D1539" s="21" t="s">
        <v>35</v>
      </c>
      <c r="E1539" s="17" t="s">
        <v>271</v>
      </c>
      <c r="F1539" s="18" t="s">
        <v>187</v>
      </c>
      <c r="G1539" s="18" t="s">
        <v>48</v>
      </c>
      <c r="H1539" s="24">
        <v>17900</v>
      </c>
      <c r="I1539" s="24">
        <f>T_reg.root.SK[[#This Row],[Volume, kg]]/1000</f>
        <v>17.899999999999999</v>
      </c>
      <c r="J1539" s="25">
        <v>0.2354</v>
      </c>
      <c r="K1539" s="25">
        <f t="shared" ref="K1539:K1602" si="24">H1539*J1539</f>
        <v>4213.66</v>
      </c>
      <c r="L1539" s="25">
        <v>3.43</v>
      </c>
      <c r="M1539" s="24">
        <v>61469</v>
      </c>
      <c r="N1539" s="25">
        <f>IFERROR(T_reg.root.SK[[#This Row],[Price]]/T_reg.root.SK[[#This Row],[Starch content]],"")</f>
        <v>14.570943075615974</v>
      </c>
    </row>
    <row r="1540" spans="1:14">
      <c r="A1540" s="21">
        <v>2023</v>
      </c>
      <c r="B1540" s="21" t="s">
        <v>27</v>
      </c>
      <c r="C1540" s="21" t="s">
        <v>1145</v>
      </c>
      <c r="D1540" s="21" t="s">
        <v>39</v>
      </c>
      <c r="E1540" s="17" t="s">
        <v>272</v>
      </c>
      <c r="F1540" s="18" t="s">
        <v>273</v>
      </c>
      <c r="G1540" s="18" t="s">
        <v>220</v>
      </c>
      <c r="H1540" s="24">
        <v>237530</v>
      </c>
      <c r="I1540" s="24">
        <f>T_reg.root.SK[[#This Row],[Volume, kg]]/1000</f>
        <v>237.53</v>
      </c>
      <c r="J1540" s="25">
        <v>0.24539999999999998</v>
      </c>
      <c r="K1540" s="25">
        <f t="shared" si="24"/>
        <v>58289.861999999994</v>
      </c>
      <c r="L1540" s="25">
        <v>3.74</v>
      </c>
      <c r="M1540" s="24">
        <v>889509</v>
      </c>
      <c r="N1540" s="25">
        <f>IFERROR(T_reg.root.SK[[#This Row],[Price]]/T_reg.root.SK[[#This Row],[Starch content]],"")</f>
        <v>15.240423797881013</v>
      </c>
    </row>
    <row r="1541" spans="1:14">
      <c r="A1541" s="21">
        <v>2023</v>
      </c>
      <c r="B1541" s="21" t="s">
        <v>27</v>
      </c>
      <c r="C1541" s="21" t="s">
        <v>1145</v>
      </c>
      <c r="D1541" s="21" t="s">
        <v>35</v>
      </c>
      <c r="E1541" s="17" t="s">
        <v>218</v>
      </c>
      <c r="F1541" s="18" t="s">
        <v>219</v>
      </c>
      <c r="G1541" s="18" t="s">
        <v>220</v>
      </c>
      <c r="H1541" s="24">
        <v>3705000</v>
      </c>
      <c r="I1541" s="24">
        <f>T_reg.root.SK[[#This Row],[Volume, kg]]/1000</f>
        <v>3705</v>
      </c>
      <c r="J1541" s="25">
        <v>0.25509999999999999</v>
      </c>
      <c r="K1541" s="25">
        <f t="shared" si="24"/>
        <v>945145.5</v>
      </c>
      <c r="L1541" s="25">
        <v>3.73</v>
      </c>
      <c r="M1541" s="24">
        <v>13828332</v>
      </c>
      <c r="N1541" s="25">
        <f>IFERROR(T_reg.root.SK[[#This Row],[Price]]/T_reg.root.SK[[#This Row],[Starch content]],"")</f>
        <v>14.62171697373579</v>
      </c>
    </row>
    <row r="1542" spans="1:14">
      <c r="A1542" s="21">
        <v>2023</v>
      </c>
      <c r="B1542" s="21" t="s">
        <v>27</v>
      </c>
      <c r="C1542" s="21" t="s">
        <v>1145</v>
      </c>
      <c r="D1542" s="21" t="s">
        <v>35</v>
      </c>
      <c r="E1542" s="17" t="s">
        <v>456</v>
      </c>
      <c r="F1542" s="18" t="s">
        <v>219</v>
      </c>
      <c r="G1542" s="18" t="s">
        <v>220</v>
      </c>
      <c r="H1542" s="24">
        <v>78390</v>
      </c>
      <c r="I1542" s="24">
        <f>T_reg.root.SK[[#This Row],[Volume, kg]]/1000</f>
        <v>78.39</v>
      </c>
      <c r="J1542" s="25">
        <v>0.25420000000000004</v>
      </c>
      <c r="K1542" s="25">
        <f t="shared" si="24"/>
        <v>19926.738000000001</v>
      </c>
      <c r="L1542" s="25">
        <v>3.58</v>
      </c>
      <c r="M1542" s="24">
        <v>280603.5</v>
      </c>
      <c r="N1542" s="25">
        <f>IFERROR(T_reg.root.SK[[#This Row],[Price]]/T_reg.root.SK[[#This Row],[Starch content]],"")</f>
        <v>14.083398898505113</v>
      </c>
    </row>
    <row r="1543" spans="1:14">
      <c r="A1543" s="21">
        <v>2023</v>
      </c>
      <c r="B1543" s="21" t="s">
        <v>27</v>
      </c>
      <c r="C1543" s="21" t="s">
        <v>1145</v>
      </c>
      <c r="D1543" s="21" t="s">
        <v>35</v>
      </c>
      <c r="E1543" s="17" t="s">
        <v>457</v>
      </c>
      <c r="F1543" s="18" t="s">
        <v>47</v>
      </c>
      <c r="G1543" s="18" t="s">
        <v>48</v>
      </c>
      <c r="H1543" s="24">
        <v>29530</v>
      </c>
      <c r="I1543" s="24">
        <f>T_reg.root.SK[[#This Row],[Volume, kg]]/1000</f>
        <v>29.53</v>
      </c>
      <c r="J1543" s="25">
        <v>0.21600000000000003</v>
      </c>
      <c r="K1543" s="25">
        <f t="shared" si="24"/>
        <v>6378.4800000000005</v>
      </c>
      <c r="L1543" s="25">
        <v>3.38</v>
      </c>
      <c r="M1543" s="24">
        <v>99754.5</v>
      </c>
      <c r="N1543" s="25">
        <f>IFERROR(T_reg.root.SK[[#This Row],[Price]]/T_reg.root.SK[[#This Row],[Starch content]],"")</f>
        <v>15.648148148148145</v>
      </c>
    </row>
    <row r="1544" spans="1:14">
      <c r="A1544" s="21">
        <v>2023</v>
      </c>
      <c r="B1544" s="21" t="s">
        <v>27</v>
      </c>
      <c r="C1544" s="21" t="s">
        <v>1145</v>
      </c>
      <c r="D1544" s="21" t="s">
        <v>35</v>
      </c>
      <c r="E1544" s="17" t="s">
        <v>46</v>
      </c>
      <c r="F1544" s="18" t="s">
        <v>47</v>
      </c>
      <c r="G1544" s="18" t="s">
        <v>48</v>
      </c>
      <c r="H1544" s="24">
        <v>8180</v>
      </c>
      <c r="I1544" s="24">
        <f>T_reg.root.SK[[#This Row],[Volume, kg]]/1000</f>
        <v>8.18</v>
      </c>
      <c r="J1544" s="25">
        <v>0.23</v>
      </c>
      <c r="K1544" s="25">
        <f t="shared" si="24"/>
        <v>1881.4</v>
      </c>
      <c r="L1544" s="25">
        <v>3.4</v>
      </c>
      <c r="M1544" s="24">
        <v>27812</v>
      </c>
      <c r="N1544" s="25">
        <f>IFERROR(T_reg.root.SK[[#This Row],[Price]]/T_reg.root.SK[[#This Row],[Starch content]],"")</f>
        <v>14.782608695652172</v>
      </c>
    </row>
    <row r="1545" spans="1:14">
      <c r="A1545" s="21">
        <v>2023</v>
      </c>
      <c r="B1545" s="21" t="s">
        <v>27</v>
      </c>
      <c r="C1545" s="21" t="s">
        <v>1145</v>
      </c>
      <c r="D1545" s="21" t="s">
        <v>35</v>
      </c>
      <c r="E1545" s="17" t="s">
        <v>52</v>
      </c>
      <c r="F1545" s="18" t="s">
        <v>47</v>
      </c>
      <c r="G1545" s="18" t="s">
        <v>48</v>
      </c>
      <c r="H1545" s="24">
        <v>5400</v>
      </c>
      <c r="I1545" s="24">
        <f>T_reg.root.SK[[#This Row],[Volume, kg]]/1000</f>
        <v>5.4</v>
      </c>
      <c r="J1545" s="25">
        <v>0.21149999999999999</v>
      </c>
      <c r="K1545" s="25">
        <f t="shared" si="24"/>
        <v>1142.0999999999999</v>
      </c>
      <c r="L1545" s="25">
        <v>3.35</v>
      </c>
      <c r="M1545" s="24">
        <v>18090</v>
      </c>
      <c r="N1545" s="25">
        <f>IFERROR(T_reg.root.SK[[#This Row],[Price]]/T_reg.root.SK[[#This Row],[Starch content]],"")</f>
        <v>15.839243498817968</v>
      </c>
    </row>
    <row r="1546" spans="1:14">
      <c r="A1546" s="21">
        <v>2023</v>
      </c>
      <c r="B1546" s="21" t="s">
        <v>27</v>
      </c>
      <c r="C1546" s="21" t="s">
        <v>1145</v>
      </c>
      <c r="D1546" s="21" t="s">
        <v>35</v>
      </c>
      <c r="E1546" s="17" t="s">
        <v>78</v>
      </c>
      <c r="F1546" s="18" t="s">
        <v>47</v>
      </c>
      <c r="G1546" s="18" t="s">
        <v>48</v>
      </c>
      <c r="H1546" s="24">
        <v>11500</v>
      </c>
      <c r="I1546" s="24">
        <f>T_reg.root.SK[[#This Row],[Volume, kg]]/1000</f>
        <v>11.5</v>
      </c>
      <c r="J1546" s="25">
        <v>0.20749999999999999</v>
      </c>
      <c r="K1546" s="25">
        <f t="shared" si="24"/>
        <v>2386.25</v>
      </c>
      <c r="L1546" s="25">
        <v>3.3</v>
      </c>
      <c r="M1546" s="24">
        <v>37950</v>
      </c>
      <c r="N1546" s="25">
        <f>IFERROR(T_reg.root.SK[[#This Row],[Price]]/T_reg.root.SK[[#This Row],[Starch content]],"")</f>
        <v>15.903614457831326</v>
      </c>
    </row>
    <row r="1547" spans="1:14">
      <c r="A1547" s="21">
        <v>2023</v>
      </c>
      <c r="B1547" s="21" t="s">
        <v>27</v>
      </c>
      <c r="C1547" s="21" t="s">
        <v>1145</v>
      </c>
      <c r="D1547" s="21" t="s">
        <v>35</v>
      </c>
      <c r="E1547" s="17" t="s">
        <v>624</v>
      </c>
      <c r="F1547" s="18" t="s">
        <v>47</v>
      </c>
      <c r="G1547" s="18" t="s">
        <v>48</v>
      </c>
      <c r="H1547" s="24">
        <v>41510</v>
      </c>
      <c r="I1547" s="24">
        <f>T_reg.root.SK[[#This Row],[Volume, kg]]/1000</f>
        <v>41.51</v>
      </c>
      <c r="J1547" s="25">
        <v>0.2303</v>
      </c>
      <c r="K1547" s="25">
        <f t="shared" si="24"/>
        <v>9559.7530000000006</v>
      </c>
      <c r="L1547" s="25">
        <v>3.41</v>
      </c>
      <c r="M1547" s="24">
        <v>141633.5</v>
      </c>
      <c r="N1547" s="25">
        <f>IFERROR(T_reg.root.SK[[#This Row],[Price]]/T_reg.root.SK[[#This Row],[Starch content]],"")</f>
        <v>14.806773773339124</v>
      </c>
    </row>
    <row r="1548" spans="1:14">
      <c r="A1548" s="21">
        <v>2023</v>
      </c>
      <c r="B1548" s="21" t="s">
        <v>27</v>
      </c>
      <c r="C1548" s="21" t="s">
        <v>1145</v>
      </c>
      <c r="D1548" s="21" t="s">
        <v>35</v>
      </c>
      <c r="E1548" s="17" t="s">
        <v>460</v>
      </c>
      <c r="F1548" s="18" t="s">
        <v>47</v>
      </c>
      <c r="G1548" s="18" t="s">
        <v>48</v>
      </c>
      <c r="H1548" s="24">
        <v>6690</v>
      </c>
      <c r="I1548" s="24">
        <f>T_reg.root.SK[[#This Row],[Volume, kg]]/1000</f>
        <v>6.69</v>
      </c>
      <c r="J1548" s="25">
        <v>0.2555</v>
      </c>
      <c r="K1548" s="25">
        <f t="shared" si="24"/>
        <v>1709.2950000000001</v>
      </c>
      <c r="L1548" s="25">
        <v>3.55</v>
      </c>
      <c r="M1548" s="24">
        <v>23749.5</v>
      </c>
      <c r="N1548" s="25">
        <f>IFERROR(T_reg.root.SK[[#This Row],[Price]]/T_reg.root.SK[[#This Row],[Starch content]],"")</f>
        <v>13.894324853228962</v>
      </c>
    </row>
    <row r="1549" spans="1:14">
      <c r="A1549" s="21">
        <v>2023</v>
      </c>
      <c r="B1549" s="21" t="s">
        <v>27</v>
      </c>
      <c r="C1549" s="21" t="s">
        <v>1145</v>
      </c>
      <c r="D1549" s="21" t="s">
        <v>35</v>
      </c>
      <c r="E1549" s="17" t="s">
        <v>461</v>
      </c>
      <c r="F1549" s="18" t="s">
        <v>47</v>
      </c>
      <c r="G1549" s="18" t="s">
        <v>48</v>
      </c>
      <c r="H1549" s="24">
        <v>45590</v>
      </c>
      <c r="I1549" s="24">
        <f>T_reg.root.SK[[#This Row],[Volume, kg]]/1000</f>
        <v>45.59</v>
      </c>
      <c r="J1549" s="25">
        <v>0.23309999999999997</v>
      </c>
      <c r="K1549" s="25">
        <f t="shared" si="24"/>
        <v>10627.028999999999</v>
      </c>
      <c r="L1549" s="25">
        <v>3.41</v>
      </c>
      <c r="M1549" s="24">
        <v>155512.5</v>
      </c>
      <c r="N1549" s="25">
        <f>IFERROR(T_reg.root.SK[[#This Row],[Price]]/T_reg.root.SK[[#This Row],[Starch content]],"")</f>
        <v>14.628914628914631</v>
      </c>
    </row>
    <row r="1550" spans="1:14">
      <c r="A1550" s="21">
        <v>2023</v>
      </c>
      <c r="B1550" s="21" t="s">
        <v>27</v>
      </c>
      <c r="C1550" s="21" t="s">
        <v>1145</v>
      </c>
      <c r="D1550" s="21" t="s">
        <v>35</v>
      </c>
      <c r="E1550" s="17" t="s">
        <v>54</v>
      </c>
      <c r="F1550" s="18" t="s">
        <v>47</v>
      </c>
      <c r="G1550" s="18" t="s">
        <v>48</v>
      </c>
      <c r="H1550" s="24">
        <v>35640</v>
      </c>
      <c r="I1550" s="24">
        <f>T_reg.root.SK[[#This Row],[Volume, kg]]/1000</f>
        <v>35.64</v>
      </c>
      <c r="J1550" s="25">
        <v>0.23920000000000002</v>
      </c>
      <c r="K1550" s="25">
        <f t="shared" si="24"/>
        <v>8525.0880000000016</v>
      </c>
      <c r="L1550" s="25">
        <v>3.54</v>
      </c>
      <c r="M1550" s="24">
        <v>126251</v>
      </c>
      <c r="N1550" s="25">
        <f>IFERROR(T_reg.root.SK[[#This Row],[Price]]/T_reg.root.SK[[#This Row],[Starch content]],"")</f>
        <v>14.799331103678929</v>
      </c>
    </row>
    <row r="1551" spans="1:14">
      <c r="A1551" s="21">
        <v>2023</v>
      </c>
      <c r="B1551" s="21" t="s">
        <v>27</v>
      </c>
      <c r="C1551" s="21" t="s">
        <v>1145</v>
      </c>
      <c r="D1551" s="21" t="s">
        <v>35</v>
      </c>
      <c r="E1551" s="17" t="s">
        <v>462</v>
      </c>
      <c r="F1551" s="18" t="s">
        <v>47</v>
      </c>
      <c r="G1551" s="18" t="s">
        <v>48</v>
      </c>
      <c r="H1551" s="24">
        <v>36880</v>
      </c>
      <c r="I1551" s="24">
        <f>T_reg.root.SK[[#This Row],[Volume, kg]]/1000</f>
        <v>36.880000000000003</v>
      </c>
      <c r="J1551" s="25">
        <v>0.24359999999999998</v>
      </c>
      <c r="K1551" s="25">
        <f t="shared" si="24"/>
        <v>8983.9679999999989</v>
      </c>
      <c r="L1551" s="25">
        <v>3.51</v>
      </c>
      <c r="M1551" s="24">
        <v>129525.5</v>
      </c>
      <c r="N1551" s="25">
        <f>IFERROR(T_reg.root.SK[[#This Row],[Price]]/T_reg.root.SK[[#This Row],[Starch content]],"")</f>
        <v>14.408866995073891</v>
      </c>
    </row>
    <row r="1552" spans="1:14">
      <c r="A1552" s="21">
        <v>2023</v>
      </c>
      <c r="B1552" s="21" t="s">
        <v>27</v>
      </c>
      <c r="C1552" s="21" t="s">
        <v>1145</v>
      </c>
      <c r="D1552" s="21" t="s">
        <v>35</v>
      </c>
      <c r="E1552" s="17" t="s">
        <v>625</v>
      </c>
      <c r="F1552" s="18" t="s">
        <v>47</v>
      </c>
      <c r="G1552" s="18" t="s">
        <v>48</v>
      </c>
      <c r="H1552" s="24">
        <v>17190</v>
      </c>
      <c r="I1552" s="24">
        <f>T_reg.root.SK[[#This Row],[Volume, kg]]/1000</f>
        <v>17.190000000000001</v>
      </c>
      <c r="J1552" s="25">
        <v>0.24399999999999999</v>
      </c>
      <c r="K1552" s="25">
        <f t="shared" si="24"/>
        <v>4194.3599999999997</v>
      </c>
      <c r="L1552" s="25">
        <v>3.49</v>
      </c>
      <c r="M1552" s="24">
        <v>60005.5</v>
      </c>
      <c r="N1552" s="25">
        <f>IFERROR(T_reg.root.SK[[#This Row],[Price]]/T_reg.root.SK[[#This Row],[Starch content]],"")</f>
        <v>14.303278688524591</v>
      </c>
    </row>
    <row r="1553" spans="1:14">
      <c r="A1553" s="21">
        <v>2023</v>
      </c>
      <c r="B1553" s="21" t="s">
        <v>27</v>
      </c>
      <c r="C1553" s="21" t="s">
        <v>1145</v>
      </c>
      <c r="D1553" s="21" t="s">
        <v>35</v>
      </c>
      <c r="E1553" s="17" t="s">
        <v>57</v>
      </c>
      <c r="F1553" s="18" t="s">
        <v>47</v>
      </c>
      <c r="G1553" s="18" t="s">
        <v>48</v>
      </c>
      <c r="H1553" s="24">
        <v>67020</v>
      </c>
      <c r="I1553" s="24">
        <f>T_reg.root.SK[[#This Row],[Volume, kg]]/1000</f>
        <v>67.02</v>
      </c>
      <c r="J1553" s="25">
        <v>0.22510000000000002</v>
      </c>
      <c r="K1553" s="25">
        <f t="shared" si="24"/>
        <v>15086.202000000001</v>
      </c>
      <c r="L1553" s="25">
        <v>3.38</v>
      </c>
      <c r="M1553" s="24">
        <v>226668</v>
      </c>
      <c r="N1553" s="25">
        <f>IFERROR(T_reg.root.SK[[#This Row],[Price]]/T_reg.root.SK[[#This Row],[Starch content]],"")</f>
        <v>15.015548645046644</v>
      </c>
    </row>
    <row r="1554" spans="1:14">
      <c r="A1554" s="21">
        <v>2023</v>
      </c>
      <c r="B1554" s="21" t="s">
        <v>27</v>
      </c>
      <c r="C1554" s="21" t="s">
        <v>1145</v>
      </c>
      <c r="D1554" s="21" t="s">
        <v>35</v>
      </c>
      <c r="E1554" s="17" t="s">
        <v>547</v>
      </c>
      <c r="F1554" s="18" t="s">
        <v>47</v>
      </c>
      <c r="G1554" s="18" t="s">
        <v>48</v>
      </c>
      <c r="H1554" s="24">
        <v>26530</v>
      </c>
      <c r="I1554" s="24">
        <f>T_reg.root.SK[[#This Row],[Volume, kg]]/1000</f>
        <v>26.53</v>
      </c>
      <c r="J1554" s="25">
        <v>0.24329999999999999</v>
      </c>
      <c r="K1554" s="25">
        <f t="shared" si="24"/>
        <v>6454.7489999999998</v>
      </c>
      <c r="L1554" s="25">
        <v>3.46</v>
      </c>
      <c r="M1554" s="24">
        <v>91891.5</v>
      </c>
      <c r="N1554" s="25">
        <f>IFERROR(T_reg.root.SK[[#This Row],[Price]]/T_reg.root.SK[[#This Row],[Starch content]],"")</f>
        <v>14.221126181668723</v>
      </c>
    </row>
    <row r="1555" spans="1:14">
      <c r="A1555" s="21">
        <v>2023</v>
      </c>
      <c r="B1555" s="21" t="s">
        <v>27</v>
      </c>
      <c r="C1555" s="21" t="s">
        <v>1145</v>
      </c>
      <c r="D1555" s="21" t="s">
        <v>35</v>
      </c>
      <c r="E1555" s="17" t="s">
        <v>466</v>
      </c>
      <c r="F1555" s="18" t="s">
        <v>47</v>
      </c>
      <c r="G1555" s="18" t="s">
        <v>48</v>
      </c>
      <c r="H1555" s="24">
        <v>6930</v>
      </c>
      <c r="I1555" s="24">
        <f>T_reg.root.SK[[#This Row],[Volume, kg]]/1000</f>
        <v>6.93</v>
      </c>
      <c r="J1555" s="25">
        <v>0.23</v>
      </c>
      <c r="K1555" s="25">
        <f t="shared" si="24"/>
        <v>1593.9</v>
      </c>
      <c r="L1555" s="25">
        <v>3.4</v>
      </c>
      <c r="M1555" s="24">
        <v>23562</v>
      </c>
      <c r="N1555" s="25">
        <f>IFERROR(T_reg.root.SK[[#This Row],[Price]]/T_reg.root.SK[[#This Row],[Starch content]],"")</f>
        <v>14.782608695652172</v>
      </c>
    </row>
    <row r="1556" spans="1:14">
      <c r="A1556" s="21">
        <v>2023</v>
      </c>
      <c r="B1556" s="21" t="s">
        <v>27</v>
      </c>
      <c r="C1556" s="21" t="s">
        <v>1145</v>
      </c>
      <c r="D1556" s="21" t="s">
        <v>35</v>
      </c>
      <c r="E1556" s="17" t="s">
        <v>59</v>
      </c>
      <c r="F1556" s="18" t="s">
        <v>47</v>
      </c>
      <c r="G1556" s="18" t="s">
        <v>48</v>
      </c>
      <c r="H1556" s="24">
        <v>13840</v>
      </c>
      <c r="I1556" s="24">
        <f>T_reg.root.SK[[#This Row],[Volume, kg]]/1000</f>
        <v>13.84</v>
      </c>
      <c r="J1556" s="25">
        <v>0.2419</v>
      </c>
      <c r="K1556" s="25">
        <f t="shared" si="24"/>
        <v>3347.8960000000002</v>
      </c>
      <c r="L1556" s="25">
        <v>3.47</v>
      </c>
      <c r="M1556" s="24">
        <v>48086</v>
      </c>
      <c r="N1556" s="25">
        <f>IFERROR(T_reg.root.SK[[#This Row],[Price]]/T_reg.root.SK[[#This Row],[Starch content]],"")</f>
        <v>14.344770566349732</v>
      </c>
    </row>
    <row r="1557" spans="1:14">
      <c r="A1557" s="21">
        <v>2023</v>
      </c>
      <c r="B1557" s="21" t="s">
        <v>27</v>
      </c>
      <c r="C1557" s="21" t="s">
        <v>1145</v>
      </c>
      <c r="D1557" s="21" t="s">
        <v>35</v>
      </c>
      <c r="E1557" s="17" t="s">
        <v>467</v>
      </c>
      <c r="F1557" s="18" t="s">
        <v>47</v>
      </c>
      <c r="G1557" s="18" t="s">
        <v>48</v>
      </c>
      <c r="H1557" s="24">
        <v>6060</v>
      </c>
      <c r="I1557" s="24">
        <f>T_reg.root.SK[[#This Row],[Volume, kg]]/1000</f>
        <v>6.06</v>
      </c>
      <c r="J1557" s="25">
        <v>0.23100000000000001</v>
      </c>
      <c r="K1557" s="25">
        <f t="shared" si="24"/>
        <v>1399.8600000000001</v>
      </c>
      <c r="L1557" s="25">
        <v>3.4</v>
      </c>
      <c r="M1557" s="24">
        <v>20604</v>
      </c>
      <c r="N1557" s="25">
        <f>IFERROR(T_reg.root.SK[[#This Row],[Price]]/T_reg.root.SK[[#This Row],[Starch content]],"")</f>
        <v>14.718614718614717</v>
      </c>
    </row>
    <row r="1558" spans="1:14">
      <c r="A1558" s="21">
        <v>2023</v>
      </c>
      <c r="B1558" s="21" t="s">
        <v>27</v>
      </c>
      <c r="C1558" s="21" t="s">
        <v>1145</v>
      </c>
      <c r="D1558" s="21" t="s">
        <v>35</v>
      </c>
      <c r="E1558" s="17" t="s">
        <v>468</v>
      </c>
      <c r="F1558" s="18" t="s">
        <v>47</v>
      </c>
      <c r="G1558" s="18" t="s">
        <v>48</v>
      </c>
      <c r="H1558" s="24">
        <v>44990</v>
      </c>
      <c r="I1558" s="24">
        <f>T_reg.root.SK[[#This Row],[Volume, kg]]/1000</f>
        <v>44.99</v>
      </c>
      <c r="J1558" s="25">
        <v>0.19140000000000001</v>
      </c>
      <c r="K1558" s="25">
        <f t="shared" si="24"/>
        <v>8611.0860000000011</v>
      </c>
      <c r="L1558" s="25">
        <v>3.29</v>
      </c>
      <c r="M1558" s="24">
        <v>148055</v>
      </c>
      <c r="N1558" s="25">
        <f>IFERROR(T_reg.root.SK[[#This Row],[Price]]/T_reg.root.SK[[#This Row],[Starch content]],"")</f>
        <v>17.189132706374085</v>
      </c>
    </row>
    <row r="1559" spans="1:14">
      <c r="A1559" s="21">
        <v>2023</v>
      </c>
      <c r="B1559" s="21" t="s">
        <v>27</v>
      </c>
      <c r="C1559" s="21" t="s">
        <v>1145</v>
      </c>
      <c r="D1559" s="21" t="s">
        <v>35</v>
      </c>
      <c r="E1559" s="17" t="s">
        <v>62</v>
      </c>
      <c r="F1559" s="18" t="s">
        <v>47</v>
      </c>
      <c r="G1559" s="18" t="s">
        <v>48</v>
      </c>
      <c r="H1559" s="24">
        <v>324530</v>
      </c>
      <c r="I1559" s="24">
        <f>T_reg.root.SK[[#This Row],[Volume, kg]]/1000</f>
        <v>324.52999999999997</v>
      </c>
      <c r="J1559" s="25">
        <v>0.23100000000000001</v>
      </c>
      <c r="K1559" s="25">
        <f t="shared" si="24"/>
        <v>74966.430000000008</v>
      </c>
      <c r="L1559" s="25">
        <v>3.46</v>
      </c>
      <c r="M1559" s="24">
        <v>1123080.5</v>
      </c>
      <c r="N1559" s="25">
        <f>IFERROR(T_reg.root.SK[[#This Row],[Price]]/T_reg.root.SK[[#This Row],[Starch content]],"")</f>
        <v>14.978354978354977</v>
      </c>
    </row>
    <row r="1560" spans="1:14">
      <c r="A1560" s="21">
        <v>2023</v>
      </c>
      <c r="B1560" s="21" t="s">
        <v>27</v>
      </c>
      <c r="C1560" s="21" t="s">
        <v>1145</v>
      </c>
      <c r="D1560" s="21" t="s">
        <v>35</v>
      </c>
      <c r="E1560" s="17" t="s">
        <v>66</v>
      </c>
      <c r="F1560" s="18" t="s">
        <v>47</v>
      </c>
      <c r="G1560" s="18" t="s">
        <v>48</v>
      </c>
      <c r="H1560" s="24">
        <v>34530</v>
      </c>
      <c r="I1560" s="24">
        <f>T_reg.root.SK[[#This Row],[Volume, kg]]/1000</f>
        <v>34.53</v>
      </c>
      <c r="J1560" s="25">
        <v>0.27350000000000002</v>
      </c>
      <c r="K1560" s="25">
        <f t="shared" si="24"/>
        <v>9443.9549999999999</v>
      </c>
      <c r="L1560" s="25">
        <v>3.68</v>
      </c>
      <c r="M1560" s="24">
        <v>126998</v>
      </c>
      <c r="N1560" s="25">
        <f>IFERROR(T_reg.root.SK[[#This Row],[Price]]/T_reg.root.SK[[#This Row],[Starch content]],"")</f>
        <v>13.455210237659964</v>
      </c>
    </row>
    <row r="1561" spans="1:14">
      <c r="A1561" s="21">
        <v>2023</v>
      </c>
      <c r="B1561" s="21" t="s">
        <v>27</v>
      </c>
      <c r="C1561" s="21" t="s">
        <v>1145</v>
      </c>
      <c r="D1561" s="21" t="s">
        <v>35</v>
      </c>
      <c r="E1561" s="17" t="s">
        <v>380</v>
      </c>
      <c r="F1561" s="18" t="s">
        <v>47</v>
      </c>
      <c r="G1561" s="18" t="s">
        <v>48</v>
      </c>
      <c r="H1561" s="24">
        <v>8320</v>
      </c>
      <c r="I1561" s="24">
        <f>T_reg.root.SK[[#This Row],[Volume, kg]]/1000</f>
        <v>8.32</v>
      </c>
      <c r="J1561" s="25">
        <v>0.21149999999999999</v>
      </c>
      <c r="K1561" s="25">
        <f t="shared" si="24"/>
        <v>1759.6799999999998</v>
      </c>
      <c r="L1561" s="25">
        <v>3.3</v>
      </c>
      <c r="M1561" s="24">
        <v>27456</v>
      </c>
      <c r="N1561" s="25">
        <f>IFERROR(T_reg.root.SK[[#This Row],[Price]]/T_reg.root.SK[[#This Row],[Starch content]],"")</f>
        <v>15.602836879432624</v>
      </c>
    </row>
    <row r="1562" spans="1:14">
      <c r="A1562" s="21">
        <v>2023</v>
      </c>
      <c r="B1562" s="21" t="s">
        <v>27</v>
      </c>
      <c r="C1562" s="21" t="s">
        <v>1145</v>
      </c>
      <c r="D1562" s="21" t="s">
        <v>35</v>
      </c>
      <c r="E1562" s="17" t="s">
        <v>68</v>
      </c>
      <c r="F1562" s="18" t="s">
        <v>47</v>
      </c>
      <c r="G1562" s="18" t="s">
        <v>48</v>
      </c>
      <c r="H1562" s="24">
        <v>26990</v>
      </c>
      <c r="I1562" s="24">
        <f>T_reg.root.SK[[#This Row],[Volume, kg]]/1000</f>
        <v>26.99</v>
      </c>
      <c r="J1562" s="25">
        <v>0.26030000000000003</v>
      </c>
      <c r="K1562" s="25">
        <f t="shared" si="24"/>
        <v>7025.4970000000012</v>
      </c>
      <c r="L1562" s="25">
        <v>3.56</v>
      </c>
      <c r="M1562" s="24">
        <v>96174</v>
      </c>
      <c r="N1562" s="25">
        <f>IFERROR(T_reg.root.SK[[#This Row],[Price]]/T_reg.root.SK[[#This Row],[Starch content]],"")</f>
        <v>13.67652708413369</v>
      </c>
    </row>
    <row r="1563" spans="1:14">
      <c r="A1563" s="21">
        <v>2023</v>
      </c>
      <c r="B1563" s="21" t="s">
        <v>27</v>
      </c>
      <c r="C1563" s="21" t="s">
        <v>1145</v>
      </c>
      <c r="D1563" s="21" t="s">
        <v>35</v>
      </c>
      <c r="E1563" s="17" t="s">
        <v>69</v>
      </c>
      <c r="F1563" s="18" t="s">
        <v>47</v>
      </c>
      <c r="G1563" s="18" t="s">
        <v>48</v>
      </c>
      <c r="H1563" s="24">
        <v>0</v>
      </c>
      <c r="I1563" s="24">
        <f>T_reg.root.SK[[#This Row],[Volume, kg]]/1000</f>
        <v>0</v>
      </c>
      <c r="J1563" s="25">
        <v>0</v>
      </c>
      <c r="K1563" s="25">
        <f t="shared" si="24"/>
        <v>0</v>
      </c>
      <c r="L1563" s="25">
        <v>0</v>
      </c>
      <c r="M1563" s="24">
        <v>0</v>
      </c>
      <c r="N1563" s="25" t="str">
        <f>IFERROR(T_reg.root.SK[[#This Row],[Price]]/T_reg.root.SK[[#This Row],[Starch content]],"")</f>
        <v/>
      </c>
    </row>
    <row r="1564" spans="1:14">
      <c r="A1564" s="21">
        <v>2023</v>
      </c>
      <c r="B1564" s="21" t="s">
        <v>27</v>
      </c>
      <c r="C1564" s="21" t="s">
        <v>1145</v>
      </c>
      <c r="D1564" s="21" t="s">
        <v>35</v>
      </c>
      <c r="E1564" s="17" t="s">
        <v>70</v>
      </c>
      <c r="F1564" s="18" t="s">
        <v>47</v>
      </c>
      <c r="G1564" s="18" t="s">
        <v>48</v>
      </c>
      <c r="H1564" s="24">
        <v>43380</v>
      </c>
      <c r="I1564" s="24">
        <f>T_reg.root.SK[[#This Row],[Volume, kg]]/1000</f>
        <v>43.38</v>
      </c>
      <c r="J1564" s="25">
        <v>0.24420000000000003</v>
      </c>
      <c r="K1564" s="25">
        <f t="shared" si="24"/>
        <v>10593.396000000001</v>
      </c>
      <c r="L1564" s="25">
        <v>3.48</v>
      </c>
      <c r="M1564" s="24">
        <v>150809</v>
      </c>
      <c r="N1564" s="25">
        <f>IFERROR(T_reg.root.SK[[#This Row],[Price]]/T_reg.root.SK[[#This Row],[Starch content]],"")</f>
        <v>14.250614250614248</v>
      </c>
    </row>
    <row r="1565" spans="1:14">
      <c r="A1565" s="21">
        <v>2023</v>
      </c>
      <c r="B1565" s="21" t="s">
        <v>27</v>
      </c>
      <c r="C1565" s="21" t="s">
        <v>1145</v>
      </c>
      <c r="D1565" s="21" t="s">
        <v>35</v>
      </c>
      <c r="E1565" s="17" t="s">
        <v>473</v>
      </c>
      <c r="F1565" s="18" t="s">
        <v>47</v>
      </c>
      <c r="G1565" s="18" t="s">
        <v>48</v>
      </c>
      <c r="H1565" s="24">
        <v>38450</v>
      </c>
      <c r="I1565" s="24">
        <f>T_reg.root.SK[[#This Row],[Volume, kg]]/1000</f>
        <v>38.450000000000003</v>
      </c>
      <c r="J1565" s="25">
        <v>0.22539999999999999</v>
      </c>
      <c r="K1565" s="25">
        <f t="shared" si="24"/>
        <v>8666.6299999999992</v>
      </c>
      <c r="L1565" s="25">
        <v>3.38</v>
      </c>
      <c r="M1565" s="24">
        <v>129811.5</v>
      </c>
      <c r="N1565" s="25">
        <f>IFERROR(T_reg.root.SK[[#This Row],[Price]]/T_reg.root.SK[[#This Row],[Starch content]],"")</f>
        <v>14.995563442768413</v>
      </c>
    </row>
    <row r="1566" spans="1:14">
      <c r="A1566" s="21">
        <v>2023</v>
      </c>
      <c r="B1566" s="21" t="s">
        <v>27</v>
      </c>
      <c r="C1566" s="21" t="s">
        <v>1145</v>
      </c>
      <c r="D1566" s="21" t="s">
        <v>35</v>
      </c>
      <c r="E1566" s="17" t="s">
        <v>76</v>
      </c>
      <c r="F1566" s="18" t="s">
        <v>47</v>
      </c>
      <c r="G1566" s="18" t="s">
        <v>48</v>
      </c>
      <c r="H1566" s="24">
        <v>25880</v>
      </c>
      <c r="I1566" s="24">
        <f>T_reg.root.SK[[#This Row],[Volume, kg]]/1000</f>
        <v>25.88</v>
      </c>
      <c r="J1566" s="25">
        <v>0.21170000000000003</v>
      </c>
      <c r="K1566" s="25">
        <f t="shared" si="24"/>
        <v>5478.7960000000003</v>
      </c>
      <c r="L1566" s="25">
        <v>3.36</v>
      </c>
      <c r="M1566" s="24">
        <v>87073</v>
      </c>
      <c r="N1566" s="25">
        <f>IFERROR(T_reg.root.SK[[#This Row],[Price]]/T_reg.root.SK[[#This Row],[Starch content]],"")</f>
        <v>15.871516296646195</v>
      </c>
    </row>
    <row r="1567" spans="1:14">
      <c r="A1567" s="21">
        <v>2023</v>
      </c>
      <c r="B1567" s="21" t="s">
        <v>27</v>
      </c>
      <c r="C1567" s="21" t="s">
        <v>1145</v>
      </c>
      <c r="D1567" s="21" t="s">
        <v>35</v>
      </c>
      <c r="E1567" s="17" t="s">
        <v>626</v>
      </c>
      <c r="F1567" s="18" t="s">
        <v>47</v>
      </c>
      <c r="G1567" s="18" t="s">
        <v>48</v>
      </c>
      <c r="H1567" s="24">
        <v>15280</v>
      </c>
      <c r="I1567" s="24">
        <f>T_reg.root.SK[[#This Row],[Volume, kg]]/1000</f>
        <v>15.28</v>
      </c>
      <c r="J1567" s="25">
        <v>0.23480000000000001</v>
      </c>
      <c r="K1567" s="25">
        <f t="shared" si="24"/>
        <v>3587.7440000000001</v>
      </c>
      <c r="L1567" s="25">
        <v>3.42</v>
      </c>
      <c r="M1567" s="24">
        <v>52313</v>
      </c>
      <c r="N1567" s="25">
        <f>IFERROR(T_reg.root.SK[[#This Row],[Price]]/T_reg.root.SK[[#This Row],[Starch content]],"")</f>
        <v>14.565587734241907</v>
      </c>
    </row>
    <row r="1568" spans="1:14">
      <c r="A1568" s="21">
        <v>2023</v>
      </c>
      <c r="B1568" s="21" t="s">
        <v>27</v>
      </c>
      <c r="C1568" s="21" t="s">
        <v>1145</v>
      </c>
      <c r="D1568" s="21" t="s">
        <v>35</v>
      </c>
      <c r="E1568" s="17" t="s">
        <v>475</v>
      </c>
      <c r="F1568" s="18" t="s">
        <v>47</v>
      </c>
      <c r="G1568" s="18" t="s">
        <v>48</v>
      </c>
      <c r="H1568" s="24">
        <v>69460</v>
      </c>
      <c r="I1568" s="24">
        <f>T_reg.root.SK[[#This Row],[Volume, kg]]/1000</f>
        <v>69.459999999999994</v>
      </c>
      <c r="J1568" s="25">
        <v>0.2404</v>
      </c>
      <c r="K1568" s="25">
        <f t="shared" si="24"/>
        <v>16698.184000000001</v>
      </c>
      <c r="L1568" s="25">
        <v>3.47</v>
      </c>
      <c r="M1568" s="24">
        <v>241080.5</v>
      </c>
      <c r="N1568" s="25">
        <f>IFERROR(T_reg.root.SK[[#This Row],[Price]]/T_reg.root.SK[[#This Row],[Starch content]],"")</f>
        <v>14.434276206322796</v>
      </c>
    </row>
    <row r="1569" spans="1:14">
      <c r="A1569" s="21">
        <v>2023</v>
      </c>
      <c r="B1569" s="21" t="s">
        <v>27</v>
      </c>
      <c r="C1569" s="21" t="s">
        <v>1145</v>
      </c>
      <c r="D1569" s="21" t="s">
        <v>35</v>
      </c>
      <c r="E1569" s="17" t="s">
        <v>77</v>
      </c>
      <c r="F1569" s="18" t="s">
        <v>47</v>
      </c>
      <c r="G1569" s="18" t="s">
        <v>48</v>
      </c>
      <c r="H1569" s="24">
        <v>0</v>
      </c>
      <c r="I1569" s="24">
        <f>T_reg.root.SK[[#This Row],[Volume, kg]]/1000</f>
        <v>0</v>
      </c>
      <c r="J1569" s="25">
        <v>0</v>
      </c>
      <c r="K1569" s="25">
        <f t="shared" si="24"/>
        <v>0</v>
      </c>
      <c r="L1569" s="25">
        <v>0</v>
      </c>
      <c r="M1569" s="24">
        <v>0</v>
      </c>
      <c r="N1569" s="25" t="str">
        <f>IFERROR(T_reg.root.SK[[#This Row],[Price]]/T_reg.root.SK[[#This Row],[Starch content]],"")</f>
        <v/>
      </c>
    </row>
    <row r="1570" spans="1:14">
      <c r="A1570" s="21">
        <v>2023</v>
      </c>
      <c r="B1570" s="21" t="s">
        <v>27</v>
      </c>
      <c r="C1570" s="21" t="s">
        <v>1145</v>
      </c>
      <c r="D1570" s="21" t="s">
        <v>35</v>
      </c>
      <c r="E1570" s="17" t="s">
        <v>383</v>
      </c>
      <c r="F1570" s="18" t="s">
        <v>47</v>
      </c>
      <c r="G1570" s="18" t="s">
        <v>48</v>
      </c>
      <c r="H1570" s="24">
        <v>8300</v>
      </c>
      <c r="I1570" s="24">
        <f>T_reg.root.SK[[#This Row],[Volume, kg]]/1000</f>
        <v>8.3000000000000007</v>
      </c>
      <c r="J1570" s="25">
        <v>0.20749999999999999</v>
      </c>
      <c r="K1570" s="25">
        <f t="shared" si="24"/>
        <v>1722.25</v>
      </c>
      <c r="L1570" s="25">
        <v>3.3</v>
      </c>
      <c r="M1570" s="24">
        <v>27390</v>
      </c>
      <c r="N1570" s="25">
        <f>IFERROR(T_reg.root.SK[[#This Row],[Price]]/T_reg.root.SK[[#This Row],[Starch content]],"")</f>
        <v>15.903614457831326</v>
      </c>
    </row>
    <row r="1571" spans="1:14">
      <c r="A1571" s="21">
        <v>2023</v>
      </c>
      <c r="B1571" s="21" t="s">
        <v>27</v>
      </c>
      <c r="C1571" s="21" t="s">
        <v>1145</v>
      </c>
      <c r="D1571" s="21" t="s">
        <v>35</v>
      </c>
      <c r="E1571" s="17" t="s">
        <v>477</v>
      </c>
      <c r="F1571" s="18" t="s">
        <v>83</v>
      </c>
      <c r="G1571" s="18" t="s">
        <v>48</v>
      </c>
      <c r="H1571" s="24">
        <v>10270</v>
      </c>
      <c r="I1571" s="24">
        <f>T_reg.root.SK[[#This Row],[Volume, kg]]/1000</f>
        <v>10.27</v>
      </c>
      <c r="J1571" s="25">
        <v>0.1845</v>
      </c>
      <c r="K1571" s="25">
        <f t="shared" si="24"/>
        <v>1894.8150000000001</v>
      </c>
      <c r="L1571" s="25">
        <v>3.15</v>
      </c>
      <c r="M1571" s="24">
        <v>32350.5</v>
      </c>
      <c r="N1571" s="25">
        <f>IFERROR(T_reg.root.SK[[#This Row],[Price]]/T_reg.root.SK[[#This Row],[Starch content]],"")</f>
        <v>17.073170731707318</v>
      </c>
    </row>
    <row r="1572" spans="1:14">
      <c r="A1572" s="21">
        <v>2023</v>
      </c>
      <c r="B1572" s="21" t="s">
        <v>27</v>
      </c>
      <c r="C1572" s="21" t="s">
        <v>1145</v>
      </c>
      <c r="D1572" s="21" t="s">
        <v>39</v>
      </c>
      <c r="E1572" s="17" t="s">
        <v>85</v>
      </c>
      <c r="F1572" s="18" t="s">
        <v>86</v>
      </c>
      <c r="G1572" s="18" t="s">
        <v>87</v>
      </c>
      <c r="H1572" s="24">
        <v>2164550</v>
      </c>
      <c r="I1572" s="24">
        <f>T_reg.root.SK[[#This Row],[Volume, kg]]/1000</f>
        <v>2164.5500000000002</v>
      </c>
      <c r="J1572" s="25">
        <v>0.25069999999999998</v>
      </c>
      <c r="K1572" s="25">
        <f t="shared" si="24"/>
        <v>542652.68499999994</v>
      </c>
      <c r="L1572" s="25">
        <v>3.71</v>
      </c>
      <c r="M1572" s="24">
        <v>8022971</v>
      </c>
      <c r="N1572" s="25">
        <f>IFERROR(T_reg.root.SK[[#This Row],[Price]]/T_reg.root.SK[[#This Row],[Starch content]],"")</f>
        <v>14.798564020741924</v>
      </c>
    </row>
    <row r="1573" spans="1:14">
      <c r="A1573" s="21">
        <v>2023</v>
      </c>
      <c r="B1573" s="21" t="s">
        <v>27</v>
      </c>
      <c r="C1573" s="21" t="s">
        <v>1145</v>
      </c>
      <c r="D1573" s="21" t="s">
        <v>39</v>
      </c>
      <c r="E1573" s="17" t="s">
        <v>88</v>
      </c>
      <c r="F1573" s="18" t="s">
        <v>89</v>
      </c>
      <c r="G1573" s="18" t="s">
        <v>90</v>
      </c>
      <c r="H1573" s="24">
        <v>3809720</v>
      </c>
      <c r="I1573" s="24">
        <f>T_reg.root.SK[[#This Row],[Volume, kg]]/1000</f>
        <v>3809.72</v>
      </c>
      <c r="J1573" s="25">
        <v>0.2477</v>
      </c>
      <c r="K1573" s="25">
        <f t="shared" si="24"/>
        <v>943667.64399999997</v>
      </c>
      <c r="L1573" s="25">
        <v>3.66</v>
      </c>
      <c r="M1573" s="24">
        <v>13932326.5</v>
      </c>
      <c r="N1573" s="25">
        <f>IFERROR(T_reg.root.SK[[#This Row],[Price]]/T_reg.root.SK[[#This Row],[Starch content]],"")</f>
        <v>14.775938635446105</v>
      </c>
    </row>
    <row r="1574" spans="1:14">
      <c r="A1574" s="21">
        <v>2023</v>
      </c>
      <c r="B1574" s="21" t="s">
        <v>27</v>
      </c>
      <c r="C1574" s="21" t="s">
        <v>1145</v>
      </c>
      <c r="D1574" s="21" t="s">
        <v>35</v>
      </c>
      <c r="E1574" s="17" t="s">
        <v>478</v>
      </c>
      <c r="F1574" s="18" t="s">
        <v>92</v>
      </c>
      <c r="G1574" s="18" t="s">
        <v>48</v>
      </c>
      <c r="H1574" s="24">
        <v>25650</v>
      </c>
      <c r="I1574" s="24">
        <f>T_reg.root.SK[[#This Row],[Volume, kg]]/1000</f>
        <v>25.65</v>
      </c>
      <c r="J1574" s="25">
        <v>0.21629999999999999</v>
      </c>
      <c r="K1574" s="25">
        <f t="shared" si="24"/>
        <v>5548.0950000000003</v>
      </c>
      <c r="L1574" s="25">
        <v>3.44</v>
      </c>
      <c r="M1574" s="24">
        <v>88223</v>
      </c>
      <c r="N1574" s="25">
        <f>IFERROR(T_reg.root.SK[[#This Row],[Price]]/T_reg.root.SK[[#This Row],[Starch content]],"")</f>
        <v>15.903837263060565</v>
      </c>
    </row>
    <row r="1575" spans="1:14">
      <c r="A1575" s="21">
        <v>2023</v>
      </c>
      <c r="B1575" s="21" t="s">
        <v>27</v>
      </c>
      <c r="C1575" s="21" t="s">
        <v>1145</v>
      </c>
      <c r="D1575" s="21" t="s">
        <v>35</v>
      </c>
      <c r="E1575" s="17" t="s">
        <v>229</v>
      </c>
      <c r="F1575" s="18" t="s">
        <v>92</v>
      </c>
      <c r="G1575" s="18" t="s">
        <v>48</v>
      </c>
      <c r="H1575" s="24">
        <v>24240</v>
      </c>
      <c r="I1575" s="24">
        <f>T_reg.root.SK[[#This Row],[Volume, kg]]/1000</f>
        <v>24.24</v>
      </c>
      <c r="J1575" s="25">
        <v>0.1875</v>
      </c>
      <c r="K1575" s="25">
        <f t="shared" si="24"/>
        <v>4545</v>
      </c>
      <c r="L1575" s="25">
        <v>3.2</v>
      </c>
      <c r="M1575" s="24">
        <v>77568</v>
      </c>
      <c r="N1575" s="25">
        <f>IFERROR(T_reg.root.SK[[#This Row],[Price]]/T_reg.root.SK[[#This Row],[Starch content]],"")</f>
        <v>17.066666666666666</v>
      </c>
    </row>
    <row r="1576" spans="1:14">
      <c r="A1576" s="21">
        <v>2023</v>
      </c>
      <c r="B1576" s="21" t="s">
        <v>27</v>
      </c>
      <c r="C1576" s="21" t="s">
        <v>1145</v>
      </c>
      <c r="D1576" s="21" t="s">
        <v>35</v>
      </c>
      <c r="E1576" s="17" t="s">
        <v>93</v>
      </c>
      <c r="F1576" s="18" t="s">
        <v>92</v>
      </c>
      <c r="G1576" s="18" t="s">
        <v>48</v>
      </c>
      <c r="H1576" s="24">
        <v>88590</v>
      </c>
      <c r="I1576" s="24">
        <f>T_reg.root.SK[[#This Row],[Volume, kg]]/1000</f>
        <v>88.59</v>
      </c>
      <c r="J1576" s="25">
        <v>0.2089</v>
      </c>
      <c r="K1576" s="25">
        <f t="shared" si="24"/>
        <v>18506.451000000001</v>
      </c>
      <c r="L1576" s="25">
        <v>3.32</v>
      </c>
      <c r="M1576" s="24">
        <v>294316</v>
      </c>
      <c r="N1576" s="25">
        <f>IFERROR(T_reg.root.SK[[#This Row],[Price]]/T_reg.root.SK[[#This Row],[Starch content]],"")</f>
        <v>15.892771661081856</v>
      </c>
    </row>
    <row r="1577" spans="1:14">
      <c r="A1577" s="21">
        <v>2023</v>
      </c>
      <c r="B1577" s="21" t="s">
        <v>27</v>
      </c>
      <c r="C1577" s="21" t="s">
        <v>1145</v>
      </c>
      <c r="D1577" s="21" t="s">
        <v>39</v>
      </c>
      <c r="E1577" s="17" t="s">
        <v>552</v>
      </c>
      <c r="F1577" s="18" t="s">
        <v>95</v>
      </c>
      <c r="G1577" s="18" t="s">
        <v>48</v>
      </c>
      <c r="H1577" s="24">
        <v>4008320</v>
      </c>
      <c r="I1577" s="24">
        <f>T_reg.root.SK[[#This Row],[Volume, kg]]/1000</f>
        <v>4008.32</v>
      </c>
      <c r="J1577" s="25">
        <v>0.22570000000000001</v>
      </c>
      <c r="K1577" s="25">
        <f t="shared" si="24"/>
        <v>904677.82400000002</v>
      </c>
      <c r="L1577" s="25">
        <v>3.56</v>
      </c>
      <c r="M1577" s="24">
        <v>14261508</v>
      </c>
      <c r="N1577" s="25">
        <f>IFERROR(T_reg.root.SK[[#This Row],[Price]]/T_reg.root.SK[[#This Row],[Starch content]],"")</f>
        <v>15.773150199379707</v>
      </c>
    </row>
    <row r="1578" spans="1:14">
      <c r="A1578" s="21">
        <v>2023</v>
      </c>
      <c r="B1578" s="21" t="s">
        <v>27</v>
      </c>
      <c r="C1578" s="21" t="s">
        <v>1145</v>
      </c>
      <c r="D1578" s="21" t="s">
        <v>35</v>
      </c>
      <c r="E1578" s="17" t="s">
        <v>96</v>
      </c>
      <c r="F1578" s="18" t="s">
        <v>95</v>
      </c>
      <c r="G1578" s="18" t="s">
        <v>48</v>
      </c>
      <c r="H1578" s="24">
        <v>6120</v>
      </c>
      <c r="I1578" s="24">
        <f>T_reg.root.SK[[#This Row],[Volume, kg]]/1000</f>
        <v>6.12</v>
      </c>
      <c r="J1578" s="25">
        <v>0.2445</v>
      </c>
      <c r="K1578" s="25">
        <f t="shared" si="24"/>
        <v>1496.34</v>
      </c>
      <c r="L1578" s="25">
        <v>3.45</v>
      </c>
      <c r="M1578" s="24">
        <v>21114</v>
      </c>
      <c r="N1578" s="25">
        <f>IFERROR(T_reg.root.SK[[#This Row],[Price]]/T_reg.root.SK[[#This Row],[Starch content]],"")</f>
        <v>14.110429447852761</v>
      </c>
    </row>
    <row r="1579" spans="1:14">
      <c r="A1579" s="21">
        <v>2023</v>
      </c>
      <c r="B1579" s="21" t="s">
        <v>27</v>
      </c>
      <c r="C1579" s="21" t="s">
        <v>1145</v>
      </c>
      <c r="D1579" s="21" t="s">
        <v>35</v>
      </c>
      <c r="E1579" s="17" t="s">
        <v>627</v>
      </c>
      <c r="F1579" s="18" t="s">
        <v>628</v>
      </c>
      <c r="G1579" s="18" t="s">
        <v>48</v>
      </c>
      <c r="H1579" s="24">
        <v>8010</v>
      </c>
      <c r="I1579" s="24">
        <f>T_reg.root.SK[[#This Row],[Volume, kg]]/1000</f>
        <v>8.01</v>
      </c>
      <c r="J1579" s="25">
        <v>0.248</v>
      </c>
      <c r="K1579" s="25">
        <f t="shared" si="24"/>
        <v>1986.48</v>
      </c>
      <c r="L1579" s="25">
        <v>3.4</v>
      </c>
      <c r="M1579" s="24">
        <v>27234</v>
      </c>
      <c r="N1579" s="25">
        <f>IFERROR(T_reg.root.SK[[#This Row],[Price]]/T_reg.root.SK[[#This Row],[Starch content]],"")</f>
        <v>13.709677419354838</v>
      </c>
    </row>
    <row r="1580" spans="1:14">
      <c r="A1580" s="21">
        <v>2023</v>
      </c>
      <c r="B1580" s="21" t="s">
        <v>27</v>
      </c>
      <c r="C1580" s="21" t="s">
        <v>1145</v>
      </c>
      <c r="D1580" s="21" t="s">
        <v>39</v>
      </c>
      <c r="E1580" s="17" t="s">
        <v>98</v>
      </c>
      <c r="F1580" s="18" t="s">
        <v>99</v>
      </c>
      <c r="G1580" s="18" t="s">
        <v>42</v>
      </c>
      <c r="H1580" s="24">
        <v>1676560</v>
      </c>
      <c r="I1580" s="24">
        <f>T_reg.root.SK[[#This Row],[Volume, kg]]/1000</f>
        <v>1676.56</v>
      </c>
      <c r="J1580" s="25">
        <v>0.23350000000000001</v>
      </c>
      <c r="K1580" s="25">
        <f t="shared" si="24"/>
        <v>391476.76</v>
      </c>
      <c r="L1580" s="25">
        <v>3.59</v>
      </c>
      <c r="M1580" s="24">
        <v>6020017.5</v>
      </c>
      <c r="N1580" s="25">
        <f>IFERROR(T_reg.root.SK[[#This Row],[Price]]/T_reg.root.SK[[#This Row],[Starch content]],"")</f>
        <v>15.374732334047108</v>
      </c>
    </row>
    <row r="1581" spans="1:14">
      <c r="A1581" s="21">
        <v>2023</v>
      </c>
      <c r="B1581" s="21" t="s">
        <v>27</v>
      </c>
      <c r="C1581" s="21" t="s">
        <v>1145</v>
      </c>
      <c r="D1581" s="21" t="s">
        <v>39</v>
      </c>
      <c r="E1581" s="17" t="s">
        <v>346</v>
      </c>
      <c r="F1581" s="18" t="s">
        <v>99</v>
      </c>
      <c r="G1581" s="18" t="s">
        <v>42</v>
      </c>
      <c r="H1581" s="24">
        <v>3001000</v>
      </c>
      <c r="I1581" s="24">
        <f>T_reg.root.SK[[#This Row],[Volume, kg]]/1000</f>
        <v>3001</v>
      </c>
      <c r="J1581" s="25">
        <v>0.22690000000000002</v>
      </c>
      <c r="K1581" s="25">
        <f t="shared" si="24"/>
        <v>680926.9</v>
      </c>
      <c r="L1581" s="25">
        <v>3.59</v>
      </c>
      <c r="M1581" s="24">
        <v>10765183.5</v>
      </c>
      <c r="N1581" s="25">
        <f>IFERROR(T_reg.root.SK[[#This Row],[Price]]/T_reg.root.SK[[#This Row],[Starch content]],"")</f>
        <v>15.821947994711325</v>
      </c>
    </row>
    <row r="1582" spans="1:14">
      <c r="A1582" s="21">
        <v>2023</v>
      </c>
      <c r="B1582" s="21" t="s">
        <v>27</v>
      </c>
      <c r="C1582" s="21" t="s">
        <v>1145</v>
      </c>
      <c r="D1582" s="21" t="s">
        <v>39</v>
      </c>
      <c r="E1582" s="17" t="s">
        <v>101</v>
      </c>
      <c r="F1582" s="18" t="s">
        <v>102</v>
      </c>
      <c r="G1582" s="18" t="s">
        <v>103</v>
      </c>
      <c r="H1582" s="24">
        <v>130000</v>
      </c>
      <c r="I1582" s="24">
        <f>T_reg.root.SK[[#This Row],[Volume, kg]]/1000</f>
        <v>130</v>
      </c>
      <c r="J1582" s="25">
        <v>0.22190000000000001</v>
      </c>
      <c r="K1582" s="25">
        <f t="shared" si="24"/>
        <v>28847</v>
      </c>
      <c r="L1582" s="25">
        <v>3.6</v>
      </c>
      <c r="M1582" s="24">
        <v>467759.5</v>
      </c>
      <c r="N1582" s="25">
        <f>IFERROR(T_reg.root.SK[[#This Row],[Price]]/T_reg.root.SK[[#This Row],[Starch content]],"")</f>
        <v>16.223524109959442</v>
      </c>
    </row>
    <row r="1583" spans="1:14">
      <c r="A1583" s="21">
        <v>2023</v>
      </c>
      <c r="B1583" s="21" t="s">
        <v>27</v>
      </c>
      <c r="C1583" s="21" t="s">
        <v>1145</v>
      </c>
      <c r="D1583" s="21" t="s">
        <v>35</v>
      </c>
      <c r="E1583" s="17" t="s">
        <v>629</v>
      </c>
      <c r="F1583" s="18" t="s">
        <v>283</v>
      </c>
      <c r="G1583" s="18" t="s">
        <v>48</v>
      </c>
      <c r="H1583" s="24">
        <v>20310</v>
      </c>
      <c r="I1583" s="24">
        <f>T_reg.root.SK[[#This Row],[Volume, kg]]/1000</f>
        <v>20.309999999999999</v>
      </c>
      <c r="J1583" s="25">
        <v>0.19739999999999999</v>
      </c>
      <c r="K1583" s="25">
        <f t="shared" si="24"/>
        <v>4009.194</v>
      </c>
      <c r="L1583" s="25">
        <v>3.3</v>
      </c>
      <c r="M1583" s="24">
        <v>67023</v>
      </c>
      <c r="N1583" s="25">
        <f>IFERROR(T_reg.root.SK[[#This Row],[Price]]/T_reg.root.SK[[#This Row],[Starch content]],"")</f>
        <v>16.717325227963524</v>
      </c>
    </row>
    <row r="1584" spans="1:14">
      <c r="A1584" s="21">
        <v>2023</v>
      </c>
      <c r="B1584" s="21" t="s">
        <v>27</v>
      </c>
      <c r="C1584" s="21" t="s">
        <v>1145</v>
      </c>
      <c r="D1584" s="21" t="s">
        <v>39</v>
      </c>
      <c r="E1584" s="17" t="s">
        <v>284</v>
      </c>
      <c r="F1584" s="18" t="s">
        <v>285</v>
      </c>
      <c r="G1584" s="18" t="s">
        <v>286</v>
      </c>
      <c r="H1584" s="24">
        <v>300440</v>
      </c>
      <c r="I1584" s="24">
        <f>T_reg.root.SK[[#This Row],[Volume, kg]]/1000</f>
        <v>300.44</v>
      </c>
      <c r="J1584" s="25">
        <v>0.23739999999999997</v>
      </c>
      <c r="K1584" s="25">
        <f t="shared" si="24"/>
        <v>71324.455999999991</v>
      </c>
      <c r="L1584" s="25">
        <v>3.76</v>
      </c>
      <c r="M1584" s="24">
        <v>1130636.5</v>
      </c>
      <c r="N1584" s="25">
        <f>IFERROR(T_reg.root.SK[[#This Row],[Price]]/T_reg.root.SK[[#This Row],[Starch content]],"")</f>
        <v>15.838247683235048</v>
      </c>
    </row>
    <row r="1585" spans="1:14">
      <c r="A1585" s="21">
        <v>2023</v>
      </c>
      <c r="B1585" s="21" t="s">
        <v>27</v>
      </c>
      <c r="C1585" s="21" t="s">
        <v>1145</v>
      </c>
      <c r="D1585" s="21" t="s">
        <v>35</v>
      </c>
      <c r="E1585" s="17" t="s">
        <v>480</v>
      </c>
      <c r="F1585" s="18" t="s">
        <v>105</v>
      </c>
      <c r="G1585" s="18" t="s">
        <v>48</v>
      </c>
      <c r="H1585" s="24">
        <v>39690</v>
      </c>
      <c r="I1585" s="24">
        <f>T_reg.root.SK[[#This Row],[Volume, kg]]/1000</f>
        <v>39.69</v>
      </c>
      <c r="J1585" s="25">
        <v>0.28249999999999997</v>
      </c>
      <c r="K1585" s="25">
        <f t="shared" si="24"/>
        <v>11212.424999999999</v>
      </c>
      <c r="L1585" s="25">
        <v>3.56</v>
      </c>
      <c r="M1585" s="24">
        <v>141233</v>
      </c>
      <c r="N1585" s="25">
        <f>IFERROR(T_reg.root.SK[[#This Row],[Price]]/T_reg.root.SK[[#This Row],[Starch content]],"")</f>
        <v>12.601769911504427</v>
      </c>
    </row>
    <row r="1586" spans="1:14">
      <c r="A1586" s="21">
        <v>2023</v>
      </c>
      <c r="B1586" s="21" t="s">
        <v>27</v>
      </c>
      <c r="C1586" s="21" t="s">
        <v>1145</v>
      </c>
      <c r="D1586" s="21" t="s">
        <v>35</v>
      </c>
      <c r="E1586" s="17" t="s">
        <v>288</v>
      </c>
      <c r="F1586" s="18" t="s">
        <v>105</v>
      </c>
      <c r="G1586" s="18" t="s">
        <v>48</v>
      </c>
      <c r="H1586" s="24">
        <v>9230</v>
      </c>
      <c r="I1586" s="24">
        <f>T_reg.root.SK[[#This Row],[Volume, kg]]/1000</f>
        <v>9.23</v>
      </c>
      <c r="J1586" s="25">
        <v>0.253</v>
      </c>
      <c r="K1586" s="25">
        <f t="shared" si="24"/>
        <v>2335.19</v>
      </c>
      <c r="L1586" s="25">
        <v>3.55</v>
      </c>
      <c r="M1586" s="24">
        <v>32766.5</v>
      </c>
      <c r="N1586" s="25">
        <f>IFERROR(T_reg.root.SK[[#This Row],[Price]]/T_reg.root.SK[[#This Row],[Starch content]],"")</f>
        <v>14.031620553359684</v>
      </c>
    </row>
    <row r="1587" spans="1:14">
      <c r="A1587" s="21">
        <v>2023</v>
      </c>
      <c r="B1587" s="21" t="s">
        <v>27</v>
      </c>
      <c r="C1587" s="21" t="s">
        <v>1145</v>
      </c>
      <c r="D1587" s="21" t="s">
        <v>35</v>
      </c>
      <c r="E1587" s="17" t="s">
        <v>106</v>
      </c>
      <c r="F1587" s="18" t="s">
        <v>105</v>
      </c>
      <c r="G1587" s="18" t="s">
        <v>48</v>
      </c>
      <c r="H1587" s="24">
        <v>7140</v>
      </c>
      <c r="I1587" s="24">
        <f>T_reg.root.SK[[#This Row],[Volume, kg]]/1000</f>
        <v>7.14</v>
      </c>
      <c r="J1587" s="25">
        <v>0.251</v>
      </c>
      <c r="K1587" s="25">
        <f t="shared" si="24"/>
        <v>1792.14</v>
      </c>
      <c r="L1587" s="25">
        <v>3.42</v>
      </c>
      <c r="M1587" s="24">
        <v>24437</v>
      </c>
      <c r="N1587" s="25">
        <f>IFERROR(T_reg.root.SK[[#This Row],[Price]]/T_reg.root.SK[[#This Row],[Starch content]],"")</f>
        <v>13.625498007968128</v>
      </c>
    </row>
    <row r="1588" spans="1:14">
      <c r="A1588" s="21">
        <v>2023</v>
      </c>
      <c r="B1588" s="21" t="s">
        <v>27</v>
      </c>
      <c r="C1588" s="21" t="s">
        <v>1145</v>
      </c>
      <c r="D1588" s="21" t="s">
        <v>35</v>
      </c>
      <c r="E1588" s="17" t="s">
        <v>289</v>
      </c>
      <c r="F1588" s="18" t="s">
        <v>105</v>
      </c>
      <c r="G1588" s="18" t="s">
        <v>48</v>
      </c>
      <c r="H1588" s="24">
        <v>15570</v>
      </c>
      <c r="I1588" s="24">
        <f>T_reg.root.SK[[#This Row],[Volume, kg]]/1000</f>
        <v>15.57</v>
      </c>
      <c r="J1588" s="25">
        <v>0.19760000000000003</v>
      </c>
      <c r="K1588" s="25">
        <f t="shared" si="24"/>
        <v>3076.6320000000005</v>
      </c>
      <c r="L1588" s="25">
        <v>3.16</v>
      </c>
      <c r="M1588" s="24">
        <v>49185</v>
      </c>
      <c r="N1588" s="25">
        <f>IFERROR(T_reg.root.SK[[#This Row],[Price]]/T_reg.root.SK[[#This Row],[Starch content]],"")</f>
        <v>15.991902834008096</v>
      </c>
    </row>
    <row r="1589" spans="1:14">
      <c r="A1589" s="21">
        <v>2023</v>
      </c>
      <c r="B1589" s="21" t="s">
        <v>27</v>
      </c>
      <c r="C1589" s="21" t="s">
        <v>1145</v>
      </c>
      <c r="D1589" s="21" t="s">
        <v>35</v>
      </c>
      <c r="E1589" s="17" t="s">
        <v>108</v>
      </c>
      <c r="F1589" s="18" t="s">
        <v>105</v>
      </c>
      <c r="G1589" s="18" t="s">
        <v>48</v>
      </c>
      <c r="H1589" s="24">
        <v>69990</v>
      </c>
      <c r="I1589" s="24">
        <f>T_reg.root.SK[[#This Row],[Volume, kg]]/1000</f>
        <v>69.989999999999995</v>
      </c>
      <c r="J1589" s="25">
        <v>0.21940000000000001</v>
      </c>
      <c r="K1589" s="25">
        <f t="shared" si="24"/>
        <v>15355.806</v>
      </c>
      <c r="L1589" s="25">
        <v>3.3</v>
      </c>
      <c r="M1589" s="24">
        <v>230902</v>
      </c>
      <c r="N1589" s="25">
        <f>IFERROR(T_reg.root.SK[[#This Row],[Price]]/T_reg.root.SK[[#This Row],[Starch content]],"")</f>
        <v>15.041020966271649</v>
      </c>
    </row>
    <row r="1590" spans="1:14">
      <c r="A1590" s="21">
        <v>2023</v>
      </c>
      <c r="B1590" s="21" t="s">
        <v>27</v>
      </c>
      <c r="C1590" s="21" t="s">
        <v>1145</v>
      </c>
      <c r="D1590" s="21" t="s">
        <v>35</v>
      </c>
      <c r="E1590" s="17" t="s">
        <v>401</v>
      </c>
      <c r="F1590" s="18" t="s">
        <v>105</v>
      </c>
      <c r="G1590" s="18" t="s">
        <v>48</v>
      </c>
      <c r="H1590" s="24">
        <v>121710</v>
      </c>
      <c r="I1590" s="24">
        <f>T_reg.root.SK[[#This Row],[Volume, kg]]/1000</f>
        <v>121.71</v>
      </c>
      <c r="J1590" s="25">
        <v>0.21780000000000002</v>
      </c>
      <c r="K1590" s="25">
        <f t="shared" si="24"/>
        <v>26508.438000000002</v>
      </c>
      <c r="L1590" s="25">
        <v>3.28</v>
      </c>
      <c r="M1590" s="24">
        <v>399048</v>
      </c>
      <c r="N1590" s="25">
        <f>IFERROR(T_reg.root.SK[[#This Row],[Price]]/T_reg.root.SK[[#This Row],[Starch content]],"")</f>
        <v>15.059687786960511</v>
      </c>
    </row>
    <row r="1591" spans="1:14">
      <c r="A1591" s="21">
        <v>2023</v>
      </c>
      <c r="B1591" s="21" t="s">
        <v>27</v>
      </c>
      <c r="C1591" s="21" t="s">
        <v>1145</v>
      </c>
      <c r="D1591" s="21" t="s">
        <v>35</v>
      </c>
      <c r="E1591" s="17" t="s">
        <v>630</v>
      </c>
      <c r="F1591" s="18" t="s">
        <v>105</v>
      </c>
      <c r="G1591" s="18" t="s">
        <v>48</v>
      </c>
      <c r="H1591" s="24">
        <v>54680</v>
      </c>
      <c r="I1591" s="24">
        <f>T_reg.root.SK[[#This Row],[Volume, kg]]/1000</f>
        <v>54.68</v>
      </c>
      <c r="J1591" s="25">
        <v>0.25420000000000004</v>
      </c>
      <c r="K1591" s="25">
        <f t="shared" si="24"/>
        <v>13899.656000000003</v>
      </c>
      <c r="L1591" s="25">
        <v>3.44</v>
      </c>
      <c r="M1591" s="24">
        <v>188229</v>
      </c>
      <c r="N1591" s="25">
        <f>IFERROR(T_reg.root.SK[[#This Row],[Price]]/T_reg.root.SK[[#This Row],[Starch content]],"")</f>
        <v>13.53265145554681</v>
      </c>
    </row>
    <row r="1592" spans="1:14">
      <c r="A1592" s="21">
        <v>2023</v>
      </c>
      <c r="B1592" s="21" t="s">
        <v>27</v>
      </c>
      <c r="C1592" s="21" t="s">
        <v>1145</v>
      </c>
      <c r="D1592" s="21" t="s">
        <v>35</v>
      </c>
      <c r="E1592" s="17" t="s">
        <v>631</v>
      </c>
      <c r="F1592" s="18" t="s">
        <v>105</v>
      </c>
      <c r="G1592" s="18" t="s">
        <v>48</v>
      </c>
      <c r="H1592" s="24">
        <v>22270</v>
      </c>
      <c r="I1592" s="24">
        <f>T_reg.root.SK[[#This Row],[Volume, kg]]/1000</f>
        <v>22.27</v>
      </c>
      <c r="J1592" s="25">
        <v>0.23449999999999999</v>
      </c>
      <c r="K1592" s="25">
        <f t="shared" si="24"/>
        <v>5222.3149999999996</v>
      </c>
      <c r="L1592" s="25">
        <v>3.49</v>
      </c>
      <c r="M1592" s="24">
        <v>77622.5</v>
      </c>
      <c r="N1592" s="25">
        <f>IFERROR(T_reg.root.SK[[#This Row],[Price]]/T_reg.root.SK[[#This Row],[Starch content]],"")</f>
        <v>14.882729211087423</v>
      </c>
    </row>
    <row r="1593" spans="1:14">
      <c r="A1593" s="21">
        <v>2023</v>
      </c>
      <c r="B1593" s="21" t="s">
        <v>27</v>
      </c>
      <c r="C1593" s="21" t="s">
        <v>1145</v>
      </c>
      <c r="D1593" s="21" t="s">
        <v>35</v>
      </c>
      <c r="E1593" s="17" t="s">
        <v>109</v>
      </c>
      <c r="F1593" s="18" t="s">
        <v>105</v>
      </c>
      <c r="G1593" s="18" t="s">
        <v>48</v>
      </c>
      <c r="H1593" s="24">
        <v>93150</v>
      </c>
      <c r="I1593" s="24">
        <f>T_reg.root.SK[[#This Row],[Volume, kg]]/1000</f>
        <v>93.15</v>
      </c>
      <c r="J1593" s="25">
        <v>0.22920000000000001</v>
      </c>
      <c r="K1593" s="25">
        <f t="shared" si="24"/>
        <v>21349.980000000003</v>
      </c>
      <c r="L1593" s="25">
        <v>3.32</v>
      </c>
      <c r="M1593" s="24">
        <v>308798</v>
      </c>
      <c r="N1593" s="25">
        <f>IFERROR(T_reg.root.SK[[#This Row],[Price]]/T_reg.root.SK[[#This Row],[Starch content]],"")</f>
        <v>14.485165794066315</v>
      </c>
    </row>
    <row r="1594" spans="1:14">
      <c r="A1594" s="21">
        <v>2023</v>
      </c>
      <c r="B1594" s="21" t="s">
        <v>27</v>
      </c>
      <c r="C1594" s="21" t="s">
        <v>1145</v>
      </c>
      <c r="D1594" s="21" t="s">
        <v>35</v>
      </c>
      <c r="E1594" s="17" t="s">
        <v>292</v>
      </c>
      <c r="F1594" s="18" t="s">
        <v>105</v>
      </c>
      <c r="G1594" s="18" t="s">
        <v>48</v>
      </c>
      <c r="H1594" s="24">
        <v>10140</v>
      </c>
      <c r="I1594" s="24">
        <f>T_reg.root.SK[[#This Row],[Volume, kg]]/1000</f>
        <v>10.14</v>
      </c>
      <c r="J1594" s="25">
        <v>0.2165</v>
      </c>
      <c r="K1594" s="25">
        <f t="shared" si="24"/>
        <v>2195.31</v>
      </c>
      <c r="L1594" s="25">
        <v>3.25</v>
      </c>
      <c r="M1594" s="24">
        <v>32955</v>
      </c>
      <c r="N1594" s="25">
        <f>IFERROR(T_reg.root.SK[[#This Row],[Price]]/T_reg.root.SK[[#This Row],[Starch content]],"")</f>
        <v>15.011547344110854</v>
      </c>
    </row>
    <row r="1595" spans="1:14">
      <c r="A1595" s="21">
        <v>2023</v>
      </c>
      <c r="B1595" s="21" t="s">
        <v>27</v>
      </c>
      <c r="C1595" s="21" t="s">
        <v>1145</v>
      </c>
      <c r="D1595" s="21" t="s">
        <v>35</v>
      </c>
      <c r="E1595" s="17" t="s">
        <v>632</v>
      </c>
      <c r="F1595" s="18" t="s">
        <v>105</v>
      </c>
      <c r="G1595" s="18" t="s">
        <v>48</v>
      </c>
      <c r="H1595" s="24">
        <v>64950</v>
      </c>
      <c r="I1595" s="24">
        <f>T_reg.root.SK[[#This Row],[Volume, kg]]/1000</f>
        <v>64.95</v>
      </c>
      <c r="J1595" s="25">
        <v>0.22170000000000001</v>
      </c>
      <c r="K1595" s="25">
        <f t="shared" si="24"/>
        <v>14399.415000000001</v>
      </c>
      <c r="L1595" s="25">
        <v>3.27</v>
      </c>
      <c r="M1595" s="24">
        <v>212165.5</v>
      </c>
      <c r="N1595" s="25">
        <f>IFERROR(T_reg.root.SK[[#This Row],[Price]]/T_reg.root.SK[[#This Row],[Starch content]],"")</f>
        <v>14.749661705006766</v>
      </c>
    </row>
    <row r="1596" spans="1:14">
      <c r="A1596" s="21">
        <v>2023</v>
      </c>
      <c r="B1596" s="21" t="s">
        <v>27</v>
      </c>
      <c r="C1596" s="21" t="s">
        <v>1145</v>
      </c>
      <c r="D1596" s="21" t="s">
        <v>35</v>
      </c>
      <c r="E1596" s="17" t="s">
        <v>293</v>
      </c>
      <c r="F1596" s="18" t="s">
        <v>105</v>
      </c>
      <c r="G1596" s="18" t="s">
        <v>48</v>
      </c>
      <c r="H1596" s="24">
        <v>21900</v>
      </c>
      <c r="I1596" s="24">
        <f>T_reg.root.SK[[#This Row],[Volume, kg]]/1000</f>
        <v>21.9</v>
      </c>
      <c r="J1596" s="25">
        <v>0.23449999999999999</v>
      </c>
      <c r="K1596" s="25">
        <f t="shared" si="24"/>
        <v>5135.5499999999993</v>
      </c>
      <c r="L1596" s="25">
        <v>3.33</v>
      </c>
      <c r="M1596" s="24">
        <v>72848.5</v>
      </c>
      <c r="N1596" s="25">
        <f>IFERROR(T_reg.root.SK[[#This Row],[Price]]/T_reg.root.SK[[#This Row],[Starch content]],"")</f>
        <v>14.200426439232411</v>
      </c>
    </row>
    <row r="1597" spans="1:14">
      <c r="A1597" s="21">
        <v>2023</v>
      </c>
      <c r="B1597" s="21" t="s">
        <v>27</v>
      </c>
      <c r="C1597" s="21" t="s">
        <v>1145</v>
      </c>
      <c r="D1597" s="21" t="s">
        <v>35</v>
      </c>
      <c r="E1597" s="17" t="s">
        <v>110</v>
      </c>
      <c r="F1597" s="18" t="s">
        <v>105</v>
      </c>
      <c r="G1597" s="18" t="s">
        <v>48</v>
      </c>
      <c r="H1597" s="24">
        <v>6850</v>
      </c>
      <c r="I1597" s="24">
        <f>T_reg.root.SK[[#This Row],[Volume, kg]]/1000</f>
        <v>6.85</v>
      </c>
      <c r="J1597" s="25">
        <v>0.22949999999999998</v>
      </c>
      <c r="K1597" s="25">
        <f t="shared" si="24"/>
        <v>1572.0749999999998</v>
      </c>
      <c r="L1597" s="25">
        <v>3.3</v>
      </c>
      <c r="M1597" s="24">
        <v>22605</v>
      </c>
      <c r="N1597" s="25">
        <f>IFERROR(T_reg.root.SK[[#This Row],[Price]]/T_reg.root.SK[[#This Row],[Starch content]],"")</f>
        <v>14.379084967320262</v>
      </c>
    </row>
    <row r="1598" spans="1:14">
      <c r="A1598" s="21">
        <v>2023</v>
      </c>
      <c r="B1598" s="21" t="s">
        <v>27</v>
      </c>
      <c r="C1598" s="21" t="s">
        <v>1145</v>
      </c>
      <c r="D1598" s="21" t="s">
        <v>35</v>
      </c>
      <c r="E1598" s="17" t="s">
        <v>556</v>
      </c>
      <c r="F1598" s="18" t="s">
        <v>105</v>
      </c>
      <c r="G1598" s="18" t="s">
        <v>48</v>
      </c>
      <c r="H1598" s="24">
        <v>29780</v>
      </c>
      <c r="I1598" s="24">
        <f>T_reg.root.SK[[#This Row],[Volume, kg]]/1000</f>
        <v>29.78</v>
      </c>
      <c r="J1598" s="25">
        <v>0.20610000000000001</v>
      </c>
      <c r="K1598" s="25">
        <f t="shared" si="24"/>
        <v>6137.6580000000004</v>
      </c>
      <c r="L1598" s="25">
        <v>3.28</v>
      </c>
      <c r="M1598" s="24">
        <v>97768</v>
      </c>
      <c r="N1598" s="25">
        <f>IFERROR(T_reg.root.SK[[#This Row],[Price]]/T_reg.root.SK[[#This Row],[Starch content]],"")</f>
        <v>15.914604560892769</v>
      </c>
    </row>
    <row r="1599" spans="1:14">
      <c r="A1599" s="21">
        <v>2023</v>
      </c>
      <c r="B1599" s="21" t="s">
        <v>27</v>
      </c>
      <c r="C1599" s="21" t="s">
        <v>1145</v>
      </c>
      <c r="D1599" s="21" t="s">
        <v>35</v>
      </c>
      <c r="E1599" s="17" t="s">
        <v>113</v>
      </c>
      <c r="F1599" s="18" t="s">
        <v>105</v>
      </c>
      <c r="G1599" s="18" t="s">
        <v>48</v>
      </c>
      <c r="H1599" s="24">
        <v>0</v>
      </c>
      <c r="I1599" s="24">
        <f>T_reg.root.SK[[#This Row],[Volume, kg]]/1000</f>
        <v>0</v>
      </c>
      <c r="J1599" s="25">
        <v>0</v>
      </c>
      <c r="K1599" s="25">
        <f t="shared" si="24"/>
        <v>0</v>
      </c>
      <c r="L1599" s="25">
        <v>0</v>
      </c>
      <c r="M1599" s="24">
        <v>0</v>
      </c>
      <c r="N1599" s="25" t="str">
        <f>IFERROR(T_reg.root.SK[[#This Row],[Price]]/T_reg.root.SK[[#This Row],[Starch content]],"")</f>
        <v/>
      </c>
    </row>
    <row r="1600" spans="1:14">
      <c r="A1600" s="21">
        <v>2023</v>
      </c>
      <c r="B1600" s="21" t="s">
        <v>27</v>
      </c>
      <c r="C1600" s="21" t="s">
        <v>1145</v>
      </c>
      <c r="D1600" s="21" t="s">
        <v>35</v>
      </c>
      <c r="E1600" s="17" t="s">
        <v>403</v>
      </c>
      <c r="F1600" s="18" t="s">
        <v>105</v>
      </c>
      <c r="G1600" s="18" t="s">
        <v>48</v>
      </c>
      <c r="H1600" s="24">
        <v>8920</v>
      </c>
      <c r="I1600" s="24">
        <f>T_reg.root.SK[[#This Row],[Volume, kg]]/1000</f>
        <v>8.92</v>
      </c>
      <c r="J1600" s="25">
        <v>0.21850000000000003</v>
      </c>
      <c r="K1600" s="25">
        <f t="shared" si="24"/>
        <v>1949.0200000000002</v>
      </c>
      <c r="L1600" s="25">
        <v>3.25</v>
      </c>
      <c r="M1600" s="24">
        <v>28990</v>
      </c>
      <c r="N1600" s="25">
        <f>IFERROR(T_reg.root.SK[[#This Row],[Price]]/T_reg.root.SK[[#This Row],[Starch content]],"")</f>
        <v>14.874141876430205</v>
      </c>
    </row>
    <row r="1601" spans="1:14">
      <c r="A1601" s="21">
        <v>2023</v>
      </c>
      <c r="B1601" s="21" t="s">
        <v>27</v>
      </c>
      <c r="C1601" s="21" t="s">
        <v>1145</v>
      </c>
      <c r="D1601" s="21" t="s">
        <v>35</v>
      </c>
      <c r="E1601" s="17" t="s">
        <v>633</v>
      </c>
      <c r="F1601" s="18" t="s">
        <v>105</v>
      </c>
      <c r="G1601" s="18" t="s">
        <v>48</v>
      </c>
      <c r="H1601" s="24">
        <v>7760</v>
      </c>
      <c r="I1601" s="24">
        <f>T_reg.root.SK[[#This Row],[Volume, kg]]/1000</f>
        <v>7.76</v>
      </c>
      <c r="J1601" s="25">
        <v>0.22500000000000001</v>
      </c>
      <c r="K1601" s="25">
        <f t="shared" si="24"/>
        <v>1746</v>
      </c>
      <c r="L1601" s="25">
        <v>3.45</v>
      </c>
      <c r="M1601" s="24">
        <v>26772</v>
      </c>
      <c r="N1601" s="25">
        <f>IFERROR(T_reg.root.SK[[#This Row],[Price]]/T_reg.root.SK[[#This Row],[Starch content]],"")</f>
        <v>15.333333333333334</v>
      </c>
    </row>
    <row r="1602" spans="1:14">
      <c r="A1602" s="21">
        <v>2023</v>
      </c>
      <c r="B1602" s="21" t="s">
        <v>27</v>
      </c>
      <c r="C1602" s="21" t="s">
        <v>1145</v>
      </c>
      <c r="D1602" s="21" t="s">
        <v>35</v>
      </c>
      <c r="E1602" s="17" t="s">
        <v>560</v>
      </c>
      <c r="F1602" s="18" t="s">
        <v>105</v>
      </c>
      <c r="G1602" s="18" t="s">
        <v>48</v>
      </c>
      <c r="H1602" s="24">
        <v>9540</v>
      </c>
      <c r="I1602" s="24">
        <f>T_reg.root.SK[[#This Row],[Volume, kg]]/1000</f>
        <v>9.5399999999999991</v>
      </c>
      <c r="J1602" s="25">
        <v>0.21729999999999999</v>
      </c>
      <c r="K1602" s="25">
        <f t="shared" si="24"/>
        <v>2073.0419999999999</v>
      </c>
      <c r="L1602" s="25">
        <v>3.24</v>
      </c>
      <c r="M1602" s="24">
        <v>30896</v>
      </c>
      <c r="N1602" s="25">
        <f>IFERROR(T_reg.root.SK[[#This Row],[Price]]/T_reg.root.SK[[#This Row],[Starch content]],"")</f>
        <v>14.910262310170273</v>
      </c>
    </row>
    <row r="1603" spans="1:14">
      <c r="A1603" s="21">
        <v>2023</v>
      </c>
      <c r="B1603" s="21" t="s">
        <v>27</v>
      </c>
      <c r="C1603" s="21" t="s">
        <v>1145</v>
      </c>
      <c r="D1603" s="21" t="s">
        <v>35</v>
      </c>
      <c r="E1603" s="17" t="s">
        <v>115</v>
      </c>
      <c r="F1603" s="18" t="s">
        <v>105</v>
      </c>
      <c r="G1603" s="18" t="s">
        <v>48</v>
      </c>
      <c r="H1603" s="24">
        <v>32470</v>
      </c>
      <c r="I1603" s="24">
        <f>T_reg.root.SK[[#This Row],[Volume, kg]]/1000</f>
        <v>32.47</v>
      </c>
      <c r="J1603" s="25">
        <v>0.22649999999999998</v>
      </c>
      <c r="K1603" s="25">
        <f t="shared" ref="K1603:K1666" si="25">H1603*J1603</f>
        <v>7354.454999999999</v>
      </c>
      <c r="L1603" s="25">
        <v>3.29</v>
      </c>
      <c r="M1603" s="24">
        <v>106933</v>
      </c>
      <c r="N1603" s="25">
        <f>IFERROR(T_reg.root.SK[[#This Row],[Price]]/T_reg.root.SK[[#This Row],[Starch content]],"")</f>
        <v>14.525386313465786</v>
      </c>
    </row>
    <row r="1604" spans="1:14">
      <c r="A1604" s="21">
        <v>2023</v>
      </c>
      <c r="B1604" s="21" t="s">
        <v>27</v>
      </c>
      <c r="C1604" s="21" t="s">
        <v>1145</v>
      </c>
      <c r="D1604" s="21" t="s">
        <v>35</v>
      </c>
      <c r="E1604" s="17" t="s">
        <v>296</v>
      </c>
      <c r="F1604" s="18" t="s">
        <v>105</v>
      </c>
      <c r="G1604" s="18" t="s">
        <v>48</v>
      </c>
      <c r="H1604" s="24">
        <v>160020</v>
      </c>
      <c r="I1604" s="24">
        <f>T_reg.root.SK[[#This Row],[Volume, kg]]/1000</f>
        <v>160.02000000000001</v>
      </c>
      <c r="J1604" s="25">
        <v>0.2477</v>
      </c>
      <c r="K1604" s="25">
        <f t="shared" si="25"/>
        <v>39636.953999999998</v>
      </c>
      <c r="L1604" s="25">
        <v>3.43</v>
      </c>
      <c r="M1604" s="24">
        <v>549650</v>
      </c>
      <c r="N1604" s="25">
        <f>IFERROR(T_reg.root.SK[[#This Row],[Price]]/T_reg.root.SK[[#This Row],[Starch content]],"")</f>
        <v>13.847396043601131</v>
      </c>
    </row>
    <row r="1605" spans="1:14">
      <c r="A1605" s="21">
        <v>2023</v>
      </c>
      <c r="B1605" s="21" t="s">
        <v>27</v>
      </c>
      <c r="C1605" s="21" t="s">
        <v>1145</v>
      </c>
      <c r="D1605" s="21" t="s">
        <v>35</v>
      </c>
      <c r="E1605" s="17" t="s">
        <v>118</v>
      </c>
      <c r="F1605" s="18" t="s">
        <v>105</v>
      </c>
      <c r="G1605" s="18" t="s">
        <v>48</v>
      </c>
      <c r="H1605" s="24">
        <v>773560</v>
      </c>
      <c r="I1605" s="24">
        <f>T_reg.root.SK[[#This Row],[Volume, kg]]/1000</f>
        <v>773.56</v>
      </c>
      <c r="J1605" s="25">
        <v>0.23739999999999997</v>
      </c>
      <c r="K1605" s="25">
        <f t="shared" si="25"/>
        <v>183643.14399999997</v>
      </c>
      <c r="L1605" s="25">
        <v>3.41</v>
      </c>
      <c r="M1605" s="24">
        <v>2640759.5</v>
      </c>
      <c r="N1605" s="25">
        <f>IFERROR(T_reg.root.SK[[#This Row],[Price]]/T_reg.root.SK[[#This Row],[Starch content]],"")</f>
        <v>14.363942712721148</v>
      </c>
    </row>
    <row r="1606" spans="1:14">
      <c r="A1606" s="21">
        <v>2023</v>
      </c>
      <c r="B1606" s="21" t="s">
        <v>27</v>
      </c>
      <c r="C1606" s="21" t="s">
        <v>1145</v>
      </c>
      <c r="D1606" s="21" t="s">
        <v>35</v>
      </c>
      <c r="E1606" s="17" t="s">
        <v>119</v>
      </c>
      <c r="F1606" s="18" t="s">
        <v>105</v>
      </c>
      <c r="G1606" s="18" t="s">
        <v>48</v>
      </c>
      <c r="H1606" s="24">
        <v>13390</v>
      </c>
      <c r="I1606" s="24">
        <f>T_reg.root.SK[[#This Row],[Volume, kg]]/1000</f>
        <v>13.39</v>
      </c>
      <c r="J1606" s="25">
        <v>0.23010000000000003</v>
      </c>
      <c r="K1606" s="25">
        <f t="shared" si="25"/>
        <v>3081.0390000000002</v>
      </c>
      <c r="L1606" s="25">
        <v>3.3</v>
      </c>
      <c r="M1606" s="24">
        <v>44187</v>
      </c>
      <c r="N1606" s="25">
        <f>IFERROR(T_reg.root.SK[[#This Row],[Price]]/T_reg.root.SK[[#This Row],[Starch content]],"")</f>
        <v>14.34159061277705</v>
      </c>
    </row>
    <row r="1607" spans="1:14">
      <c r="A1607" s="21">
        <v>2023</v>
      </c>
      <c r="B1607" s="21" t="s">
        <v>27</v>
      </c>
      <c r="C1607" s="21" t="s">
        <v>1145</v>
      </c>
      <c r="D1607" s="21" t="s">
        <v>35</v>
      </c>
      <c r="E1607" s="17" t="s">
        <v>122</v>
      </c>
      <c r="F1607" s="18" t="s">
        <v>105</v>
      </c>
      <c r="G1607" s="18" t="s">
        <v>48</v>
      </c>
      <c r="H1607" s="24">
        <v>228890</v>
      </c>
      <c r="I1607" s="24">
        <f>T_reg.root.SK[[#This Row],[Volume, kg]]/1000</f>
        <v>228.89</v>
      </c>
      <c r="J1607" s="25">
        <v>0.23269999999999999</v>
      </c>
      <c r="K1607" s="25">
        <f t="shared" si="25"/>
        <v>53262.703000000001</v>
      </c>
      <c r="L1607" s="25">
        <v>3.31</v>
      </c>
      <c r="M1607" s="24">
        <v>758135.5</v>
      </c>
      <c r="N1607" s="25">
        <f>IFERROR(T_reg.root.SK[[#This Row],[Price]]/T_reg.root.SK[[#This Row],[Starch content]],"")</f>
        <v>14.22432316287065</v>
      </c>
    </row>
    <row r="1608" spans="1:14">
      <c r="A1608" s="21">
        <v>2023</v>
      </c>
      <c r="B1608" s="21" t="s">
        <v>27</v>
      </c>
      <c r="C1608" s="21" t="s">
        <v>1145</v>
      </c>
      <c r="D1608" s="21" t="s">
        <v>35</v>
      </c>
      <c r="E1608" s="17" t="s">
        <v>355</v>
      </c>
      <c r="F1608" s="18" t="s">
        <v>105</v>
      </c>
      <c r="G1608" s="18" t="s">
        <v>48</v>
      </c>
      <c r="H1608" s="24">
        <v>19920</v>
      </c>
      <c r="I1608" s="24">
        <f>T_reg.root.SK[[#This Row],[Volume, kg]]/1000</f>
        <v>19.920000000000002</v>
      </c>
      <c r="J1608" s="25">
        <v>0.2641</v>
      </c>
      <c r="K1608" s="25">
        <f t="shared" si="25"/>
        <v>5260.8720000000003</v>
      </c>
      <c r="L1608" s="25">
        <v>3.48</v>
      </c>
      <c r="M1608" s="24">
        <v>69298.5</v>
      </c>
      <c r="N1608" s="25">
        <f>IFERROR(T_reg.root.SK[[#This Row],[Price]]/T_reg.root.SK[[#This Row],[Starch content]],"")</f>
        <v>13.176826959485043</v>
      </c>
    </row>
    <row r="1609" spans="1:14">
      <c r="A1609" s="21">
        <v>2023</v>
      </c>
      <c r="B1609" s="21" t="s">
        <v>27</v>
      </c>
      <c r="C1609" s="21" t="s">
        <v>1145</v>
      </c>
      <c r="D1609" s="21" t="s">
        <v>35</v>
      </c>
      <c r="E1609" s="17" t="s">
        <v>239</v>
      </c>
      <c r="F1609" s="18" t="s">
        <v>105</v>
      </c>
      <c r="G1609" s="18" t="s">
        <v>48</v>
      </c>
      <c r="H1609" s="24">
        <v>11080</v>
      </c>
      <c r="I1609" s="24">
        <f>T_reg.root.SK[[#This Row],[Volume, kg]]/1000</f>
        <v>11.08</v>
      </c>
      <c r="J1609" s="25">
        <v>0.2505</v>
      </c>
      <c r="K1609" s="25">
        <f t="shared" si="25"/>
        <v>2775.54</v>
      </c>
      <c r="L1609" s="25">
        <v>3.4</v>
      </c>
      <c r="M1609" s="24">
        <v>37672</v>
      </c>
      <c r="N1609" s="25">
        <f>IFERROR(T_reg.root.SK[[#This Row],[Price]]/T_reg.root.SK[[#This Row],[Starch content]],"")</f>
        <v>13.572854291417165</v>
      </c>
    </row>
    <row r="1610" spans="1:14">
      <c r="A1610" s="21">
        <v>2023</v>
      </c>
      <c r="B1610" s="21" t="s">
        <v>27</v>
      </c>
      <c r="C1610" s="21" t="s">
        <v>1145</v>
      </c>
      <c r="D1610" s="21" t="s">
        <v>35</v>
      </c>
      <c r="E1610" s="17" t="s">
        <v>124</v>
      </c>
      <c r="F1610" s="18" t="s">
        <v>105</v>
      </c>
      <c r="G1610" s="18" t="s">
        <v>48</v>
      </c>
      <c r="H1610" s="24">
        <v>45330</v>
      </c>
      <c r="I1610" s="24">
        <f>T_reg.root.SK[[#This Row],[Volume, kg]]/1000</f>
        <v>45.33</v>
      </c>
      <c r="J1610" s="25">
        <v>0.2208</v>
      </c>
      <c r="K1610" s="25">
        <f t="shared" si="25"/>
        <v>10008.864</v>
      </c>
      <c r="L1610" s="25">
        <v>3.25</v>
      </c>
      <c r="M1610" s="24">
        <v>147449</v>
      </c>
      <c r="N1610" s="25">
        <f>IFERROR(T_reg.root.SK[[#This Row],[Price]]/T_reg.root.SK[[#This Row],[Starch content]],"")</f>
        <v>14.719202898550725</v>
      </c>
    </row>
    <row r="1611" spans="1:14">
      <c r="A1611" s="21">
        <v>2023</v>
      </c>
      <c r="B1611" s="21" t="s">
        <v>27</v>
      </c>
      <c r="C1611" s="21" t="s">
        <v>1145</v>
      </c>
      <c r="D1611" s="21" t="s">
        <v>35</v>
      </c>
      <c r="E1611" s="17" t="s">
        <v>634</v>
      </c>
      <c r="F1611" s="18" t="s">
        <v>105</v>
      </c>
      <c r="G1611" s="18" t="s">
        <v>48</v>
      </c>
      <c r="H1611" s="24">
        <v>10050</v>
      </c>
      <c r="I1611" s="24">
        <f>T_reg.root.SK[[#This Row],[Volume, kg]]/1000</f>
        <v>10.050000000000001</v>
      </c>
      <c r="J1611" s="25">
        <v>0.26989999999999997</v>
      </c>
      <c r="K1611" s="25">
        <f t="shared" si="25"/>
        <v>2712.4949999999999</v>
      </c>
      <c r="L1611" s="25">
        <v>3.5</v>
      </c>
      <c r="M1611" s="24">
        <v>35175</v>
      </c>
      <c r="N1611" s="25">
        <f>IFERROR(T_reg.root.SK[[#This Row],[Price]]/T_reg.root.SK[[#This Row],[Starch content]],"")</f>
        <v>12.967765839199705</v>
      </c>
    </row>
    <row r="1612" spans="1:14">
      <c r="A1612" s="21">
        <v>2023</v>
      </c>
      <c r="B1612" s="21" t="s">
        <v>27</v>
      </c>
      <c r="C1612" s="21" t="s">
        <v>1145</v>
      </c>
      <c r="D1612" s="21" t="s">
        <v>35</v>
      </c>
      <c r="E1612" s="17" t="s">
        <v>616</v>
      </c>
      <c r="F1612" s="18" t="s">
        <v>105</v>
      </c>
      <c r="G1612" s="18" t="s">
        <v>48</v>
      </c>
      <c r="H1612" s="24">
        <v>82370</v>
      </c>
      <c r="I1612" s="24">
        <f>T_reg.root.SK[[#This Row],[Volume, kg]]/1000</f>
        <v>82.37</v>
      </c>
      <c r="J1612" s="25">
        <v>0.25280000000000002</v>
      </c>
      <c r="K1612" s="25">
        <f t="shared" si="25"/>
        <v>20823.136000000002</v>
      </c>
      <c r="L1612" s="25">
        <v>3.42</v>
      </c>
      <c r="M1612" s="24">
        <v>281821</v>
      </c>
      <c r="N1612" s="25">
        <f>IFERROR(T_reg.root.SK[[#This Row],[Price]]/T_reg.root.SK[[#This Row],[Starch content]],"")</f>
        <v>13.528481012658226</v>
      </c>
    </row>
    <row r="1613" spans="1:14">
      <c r="A1613" s="21">
        <v>2023</v>
      </c>
      <c r="B1613" s="21" t="s">
        <v>27</v>
      </c>
      <c r="C1613" s="21" t="s">
        <v>1145</v>
      </c>
      <c r="D1613" s="21" t="s">
        <v>35</v>
      </c>
      <c r="E1613" s="17" t="s">
        <v>486</v>
      </c>
      <c r="F1613" s="18" t="s">
        <v>105</v>
      </c>
      <c r="G1613" s="18" t="s">
        <v>48</v>
      </c>
      <c r="H1613" s="24">
        <v>35650</v>
      </c>
      <c r="I1613" s="24">
        <f>T_reg.root.SK[[#This Row],[Volume, kg]]/1000</f>
        <v>35.65</v>
      </c>
      <c r="J1613" s="25">
        <v>0.2477</v>
      </c>
      <c r="K1613" s="25">
        <f t="shared" si="25"/>
        <v>8830.505000000001</v>
      </c>
      <c r="L1613" s="25">
        <v>3.43</v>
      </c>
      <c r="M1613" s="24">
        <v>122145</v>
      </c>
      <c r="N1613" s="25">
        <f>IFERROR(T_reg.root.SK[[#This Row],[Price]]/T_reg.root.SK[[#This Row],[Starch content]],"")</f>
        <v>13.847396043601131</v>
      </c>
    </row>
    <row r="1614" spans="1:14">
      <c r="A1614" s="21">
        <v>2023</v>
      </c>
      <c r="B1614" s="21" t="s">
        <v>27</v>
      </c>
      <c r="C1614" s="21" t="s">
        <v>1145</v>
      </c>
      <c r="D1614" s="21" t="s">
        <v>35</v>
      </c>
      <c r="E1614" s="17" t="s">
        <v>563</v>
      </c>
      <c r="F1614" s="18" t="s">
        <v>105</v>
      </c>
      <c r="G1614" s="18" t="s">
        <v>48</v>
      </c>
      <c r="H1614" s="24">
        <v>26760</v>
      </c>
      <c r="I1614" s="24">
        <f>T_reg.root.SK[[#This Row],[Volume, kg]]/1000</f>
        <v>26.76</v>
      </c>
      <c r="J1614" s="25">
        <v>0.2495</v>
      </c>
      <c r="K1614" s="25">
        <f t="shared" si="25"/>
        <v>6676.62</v>
      </c>
      <c r="L1614" s="25">
        <v>3.39</v>
      </c>
      <c r="M1614" s="24">
        <v>90617</v>
      </c>
      <c r="N1614" s="25">
        <f>IFERROR(T_reg.root.SK[[#This Row],[Price]]/T_reg.root.SK[[#This Row],[Starch content]],"")</f>
        <v>13.587174348697395</v>
      </c>
    </row>
    <row r="1615" spans="1:14">
      <c r="A1615" s="21">
        <v>2023</v>
      </c>
      <c r="B1615" s="21" t="s">
        <v>27</v>
      </c>
      <c r="C1615" s="21" t="s">
        <v>1145</v>
      </c>
      <c r="D1615" s="21" t="s">
        <v>35</v>
      </c>
      <c r="E1615" s="17" t="s">
        <v>125</v>
      </c>
      <c r="F1615" s="18" t="s">
        <v>105</v>
      </c>
      <c r="G1615" s="18" t="s">
        <v>48</v>
      </c>
      <c r="H1615" s="24">
        <v>28590</v>
      </c>
      <c r="I1615" s="24">
        <f>T_reg.root.SK[[#This Row],[Volume, kg]]/1000</f>
        <v>28.59</v>
      </c>
      <c r="J1615" s="25">
        <v>0.1986</v>
      </c>
      <c r="K1615" s="25">
        <f t="shared" si="25"/>
        <v>5677.9740000000002</v>
      </c>
      <c r="L1615" s="25">
        <v>3.15</v>
      </c>
      <c r="M1615" s="24">
        <v>89983.5</v>
      </c>
      <c r="N1615" s="25">
        <f>IFERROR(T_reg.root.SK[[#This Row],[Price]]/T_reg.root.SK[[#This Row],[Starch content]],"")</f>
        <v>15.861027190332326</v>
      </c>
    </row>
    <row r="1616" spans="1:14">
      <c r="A1616" s="21">
        <v>2023</v>
      </c>
      <c r="B1616" s="21" t="s">
        <v>27</v>
      </c>
      <c r="C1616" s="21" t="s">
        <v>1145</v>
      </c>
      <c r="D1616" s="21" t="s">
        <v>35</v>
      </c>
      <c r="E1616" s="17" t="s">
        <v>601</v>
      </c>
      <c r="F1616" s="18" t="s">
        <v>105</v>
      </c>
      <c r="G1616" s="18" t="s">
        <v>48</v>
      </c>
      <c r="H1616" s="24">
        <v>20220</v>
      </c>
      <c r="I1616" s="24">
        <f>T_reg.root.SK[[#This Row],[Volume, kg]]/1000</f>
        <v>20.22</v>
      </c>
      <c r="J1616" s="25">
        <v>0.22949999999999998</v>
      </c>
      <c r="K1616" s="25">
        <f t="shared" si="25"/>
        <v>4640.49</v>
      </c>
      <c r="L1616" s="25">
        <v>3.3</v>
      </c>
      <c r="M1616" s="24">
        <v>66749</v>
      </c>
      <c r="N1616" s="25">
        <f>IFERROR(T_reg.root.SK[[#This Row],[Price]]/T_reg.root.SK[[#This Row],[Starch content]],"")</f>
        <v>14.379084967320262</v>
      </c>
    </row>
    <row r="1617" spans="1:14">
      <c r="A1617" s="21">
        <v>2023</v>
      </c>
      <c r="B1617" s="21" t="s">
        <v>27</v>
      </c>
      <c r="C1617" s="21" t="s">
        <v>1145</v>
      </c>
      <c r="D1617" s="21" t="s">
        <v>35</v>
      </c>
      <c r="E1617" s="17" t="s">
        <v>127</v>
      </c>
      <c r="F1617" s="18" t="s">
        <v>105</v>
      </c>
      <c r="G1617" s="18" t="s">
        <v>48</v>
      </c>
      <c r="H1617" s="24">
        <v>28530</v>
      </c>
      <c r="I1617" s="24">
        <f>T_reg.root.SK[[#This Row],[Volume, kg]]/1000</f>
        <v>28.53</v>
      </c>
      <c r="J1617" s="25">
        <v>0.27</v>
      </c>
      <c r="K1617" s="25">
        <f t="shared" si="25"/>
        <v>7703.1</v>
      </c>
      <c r="L1617" s="25">
        <v>3.5</v>
      </c>
      <c r="M1617" s="24">
        <v>99765.5</v>
      </c>
      <c r="N1617" s="25">
        <f>IFERROR(T_reg.root.SK[[#This Row],[Price]]/T_reg.root.SK[[#This Row],[Starch content]],"")</f>
        <v>12.962962962962962</v>
      </c>
    </row>
    <row r="1618" spans="1:14">
      <c r="A1618" s="21">
        <v>2023</v>
      </c>
      <c r="B1618" s="21" t="s">
        <v>27</v>
      </c>
      <c r="C1618" s="21" t="s">
        <v>1145</v>
      </c>
      <c r="D1618" s="21" t="s">
        <v>35</v>
      </c>
      <c r="E1618" s="17" t="s">
        <v>635</v>
      </c>
      <c r="F1618" s="18" t="s">
        <v>105</v>
      </c>
      <c r="G1618" s="18" t="s">
        <v>48</v>
      </c>
      <c r="H1618" s="24">
        <v>19980</v>
      </c>
      <c r="I1618" s="24">
        <f>T_reg.root.SK[[#This Row],[Volume, kg]]/1000</f>
        <v>19.98</v>
      </c>
      <c r="J1618" s="25">
        <v>0.24609999999999999</v>
      </c>
      <c r="K1618" s="25">
        <f t="shared" si="25"/>
        <v>4917.0779999999995</v>
      </c>
      <c r="L1618" s="25">
        <v>3.37</v>
      </c>
      <c r="M1618" s="24">
        <v>67396.5</v>
      </c>
      <c r="N1618" s="25">
        <f>IFERROR(T_reg.root.SK[[#This Row],[Price]]/T_reg.root.SK[[#This Row],[Starch content]],"")</f>
        <v>13.693620479479888</v>
      </c>
    </row>
    <row r="1619" spans="1:14">
      <c r="A1619" s="21">
        <v>2023</v>
      </c>
      <c r="B1619" s="21" t="s">
        <v>27</v>
      </c>
      <c r="C1619" s="21" t="s">
        <v>1145</v>
      </c>
      <c r="D1619" s="21" t="s">
        <v>35</v>
      </c>
      <c r="E1619" s="17" t="s">
        <v>356</v>
      </c>
      <c r="F1619" s="18" t="s">
        <v>105</v>
      </c>
      <c r="G1619" s="18" t="s">
        <v>48</v>
      </c>
      <c r="H1619" s="24">
        <v>0</v>
      </c>
      <c r="I1619" s="24">
        <f>T_reg.root.SK[[#This Row],[Volume, kg]]/1000</f>
        <v>0</v>
      </c>
      <c r="J1619" s="25">
        <v>0</v>
      </c>
      <c r="K1619" s="25">
        <f t="shared" si="25"/>
        <v>0</v>
      </c>
      <c r="L1619" s="25">
        <v>0</v>
      </c>
      <c r="M1619" s="24">
        <v>0</v>
      </c>
      <c r="N1619" s="25" t="str">
        <f>IFERROR(T_reg.root.SK[[#This Row],[Price]]/T_reg.root.SK[[#This Row],[Starch content]],"")</f>
        <v/>
      </c>
    </row>
    <row r="1620" spans="1:14">
      <c r="A1620" s="21">
        <v>2023</v>
      </c>
      <c r="B1620" s="21" t="s">
        <v>27</v>
      </c>
      <c r="C1620" s="21" t="s">
        <v>1145</v>
      </c>
      <c r="D1620" s="21" t="s">
        <v>35</v>
      </c>
      <c r="E1620" s="17" t="s">
        <v>488</v>
      </c>
      <c r="F1620" s="18" t="s">
        <v>105</v>
      </c>
      <c r="G1620" s="18" t="s">
        <v>48</v>
      </c>
      <c r="H1620" s="24">
        <v>19570</v>
      </c>
      <c r="I1620" s="24">
        <f>T_reg.root.SK[[#This Row],[Volume, kg]]/1000</f>
        <v>19.57</v>
      </c>
      <c r="J1620" s="25">
        <v>0.22820000000000001</v>
      </c>
      <c r="K1620" s="25">
        <f t="shared" si="25"/>
        <v>4465.8740000000007</v>
      </c>
      <c r="L1620" s="25">
        <v>3.35</v>
      </c>
      <c r="M1620" s="24">
        <v>65559.5</v>
      </c>
      <c r="N1620" s="25">
        <f>IFERROR(T_reg.root.SK[[#This Row],[Price]]/T_reg.root.SK[[#This Row],[Starch content]],"")</f>
        <v>14.680105170902717</v>
      </c>
    </row>
    <row r="1621" spans="1:14">
      <c r="A1621" s="21">
        <v>2023</v>
      </c>
      <c r="B1621" s="21" t="s">
        <v>27</v>
      </c>
      <c r="C1621" s="21" t="s">
        <v>1145</v>
      </c>
      <c r="D1621" s="21" t="s">
        <v>35</v>
      </c>
      <c r="E1621" s="17" t="s">
        <v>129</v>
      </c>
      <c r="F1621" s="18" t="s">
        <v>105</v>
      </c>
      <c r="G1621" s="18" t="s">
        <v>48</v>
      </c>
      <c r="H1621" s="24">
        <v>64210</v>
      </c>
      <c r="I1621" s="24">
        <f>T_reg.root.SK[[#This Row],[Volume, kg]]/1000</f>
        <v>64.209999999999994</v>
      </c>
      <c r="J1621" s="25">
        <v>0.20649999999999999</v>
      </c>
      <c r="K1621" s="25">
        <f t="shared" si="25"/>
        <v>13259.365</v>
      </c>
      <c r="L1621" s="25">
        <v>3.18</v>
      </c>
      <c r="M1621" s="24">
        <v>204061</v>
      </c>
      <c r="N1621" s="25">
        <f>IFERROR(T_reg.root.SK[[#This Row],[Price]]/T_reg.root.SK[[#This Row],[Starch content]],"")</f>
        <v>15.39951573849879</v>
      </c>
    </row>
    <row r="1622" spans="1:14">
      <c r="A1622" s="21">
        <v>2023</v>
      </c>
      <c r="B1622" s="21" t="s">
        <v>27</v>
      </c>
      <c r="C1622" s="21" t="s">
        <v>1145</v>
      </c>
      <c r="D1622" s="21" t="s">
        <v>35</v>
      </c>
      <c r="E1622" s="17" t="s">
        <v>490</v>
      </c>
      <c r="F1622" s="18" t="s">
        <v>105</v>
      </c>
      <c r="G1622" s="18" t="s">
        <v>48</v>
      </c>
      <c r="H1622" s="24">
        <v>16970</v>
      </c>
      <c r="I1622" s="24">
        <f>T_reg.root.SK[[#This Row],[Volume, kg]]/1000</f>
        <v>16.97</v>
      </c>
      <c r="J1622" s="25">
        <v>0.26400000000000001</v>
      </c>
      <c r="K1622" s="25">
        <f t="shared" si="25"/>
        <v>4480.08</v>
      </c>
      <c r="L1622" s="25">
        <v>3.55</v>
      </c>
      <c r="M1622" s="24">
        <v>60243.5</v>
      </c>
      <c r="N1622" s="25">
        <f>IFERROR(T_reg.root.SK[[#This Row],[Price]]/T_reg.root.SK[[#This Row],[Starch content]],"")</f>
        <v>13.446969696969695</v>
      </c>
    </row>
    <row r="1623" spans="1:14">
      <c r="A1623" s="21">
        <v>2023</v>
      </c>
      <c r="B1623" s="21" t="s">
        <v>27</v>
      </c>
      <c r="C1623" s="21" t="s">
        <v>1145</v>
      </c>
      <c r="D1623" s="21" t="s">
        <v>35</v>
      </c>
      <c r="E1623" s="17" t="s">
        <v>617</v>
      </c>
      <c r="F1623" s="18" t="s">
        <v>105</v>
      </c>
      <c r="G1623" s="18" t="s">
        <v>48</v>
      </c>
      <c r="H1623" s="24">
        <v>12520</v>
      </c>
      <c r="I1623" s="24">
        <f>T_reg.root.SK[[#This Row],[Volume, kg]]/1000</f>
        <v>12.52</v>
      </c>
      <c r="J1623" s="25">
        <v>0.20629999999999998</v>
      </c>
      <c r="K1623" s="25">
        <f t="shared" si="25"/>
        <v>2582.8759999999997</v>
      </c>
      <c r="L1623" s="25">
        <v>3.2</v>
      </c>
      <c r="M1623" s="24">
        <v>40037</v>
      </c>
      <c r="N1623" s="25">
        <f>IFERROR(T_reg.root.SK[[#This Row],[Price]]/T_reg.root.SK[[#This Row],[Starch content]],"")</f>
        <v>15.51139117789627</v>
      </c>
    </row>
    <row r="1624" spans="1:14">
      <c r="A1624" s="21">
        <v>2023</v>
      </c>
      <c r="B1624" s="21" t="s">
        <v>27</v>
      </c>
      <c r="C1624" s="21" t="s">
        <v>1145</v>
      </c>
      <c r="D1624" s="21" t="s">
        <v>35</v>
      </c>
      <c r="E1624" s="17" t="s">
        <v>133</v>
      </c>
      <c r="F1624" s="18" t="s">
        <v>105</v>
      </c>
      <c r="G1624" s="18" t="s">
        <v>48</v>
      </c>
      <c r="H1624" s="24">
        <v>86320</v>
      </c>
      <c r="I1624" s="24">
        <f>T_reg.root.SK[[#This Row],[Volume, kg]]/1000</f>
        <v>86.32</v>
      </c>
      <c r="J1624" s="25">
        <v>0.2291</v>
      </c>
      <c r="K1624" s="25">
        <f t="shared" si="25"/>
        <v>19775.912</v>
      </c>
      <c r="L1624" s="25">
        <v>3.36</v>
      </c>
      <c r="M1624" s="24">
        <v>289927</v>
      </c>
      <c r="N1624" s="25">
        <f>IFERROR(T_reg.root.SK[[#This Row],[Price]]/T_reg.root.SK[[#This Row],[Starch content]],"")</f>
        <v>14.666084679179397</v>
      </c>
    </row>
    <row r="1625" spans="1:14">
      <c r="A1625" s="21">
        <v>2023</v>
      </c>
      <c r="B1625" s="21" t="s">
        <v>27</v>
      </c>
      <c r="C1625" s="21" t="s">
        <v>1145</v>
      </c>
      <c r="D1625" s="21" t="s">
        <v>35</v>
      </c>
      <c r="E1625" s="17" t="s">
        <v>134</v>
      </c>
      <c r="F1625" s="18" t="s">
        <v>105</v>
      </c>
      <c r="G1625" s="18" t="s">
        <v>48</v>
      </c>
      <c r="H1625" s="24">
        <v>11480</v>
      </c>
      <c r="I1625" s="24">
        <f>T_reg.root.SK[[#This Row],[Volume, kg]]/1000</f>
        <v>11.48</v>
      </c>
      <c r="J1625" s="25">
        <v>0.1953</v>
      </c>
      <c r="K1625" s="25">
        <f t="shared" si="25"/>
        <v>2242.0439999999999</v>
      </c>
      <c r="L1625" s="25">
        <v>3.15</v>
      </c>
      <c r="M1625" s="24">
        <v>36162</v>
      </c>
      <c r="N1625" s="25">
        <f>IFERROR(T_reg.root.SK[[#This Row],[Price]]/T_reg.root.SK[[#This Row],[Starch content]],"")</f>
        <v>16.129032258064516</v>
      </c>
    </row>
    <row r="1626" spans="1:14">
      <c r="A1626" s="21">
        <v>2023</v>
      </c>
      <c r="B1626" s="21" t="s">
        <v>27</v>
      </c>
      <c r="C1626" s="21" t="s">
        <v>1145</v>
      </c>
      <c r="D1626" s="21" t="s">
        <v>35</v>
      </c>
      <c r="E1626" s="17" t="s">
        <v>636</v>
      </c>
      <c r="F1626" s="18" t="s">
        <v>105</v>
      </c>
      <c r="G1626" s="18" t="s">
        <v>48</v>
      </c>
      <c r="H1626" s="24">
        <v>64470</v>
      </c>
      <c r="I1626" s="24">
        <f>T_reg.root.SK[[#This Row],[Volume, kg]]/1000</f>
        <v>64.47</v>
      </c>
      <c r="J1626" s="25">
        <v>0.23879999999999998</v>
      </c>
      <c r="K1626" s="25">
        <f t="shared" si="25"/>
        <v>15395.436</v>
      </c>
      <c r="L1626" s="25">
        <v>3.34</v>
      </c>
      <c r="M1626" s="24">
        <v>215416.5</v>
      </c>
      <c r="N1626" s="25">
        <f>IFERROR(T_reg.root.SK[[#This Row],[Price]]/T_reg.root.SK[[#This Row],[Starch content]],"")</f>
        <v>13.986599664991624</v>
      </c>
    </row>
    <row r="1627" spans="1:14">
      <c r="A1627" s="21">
        <v>2023</v>
      </c>
      <c r="B1627" s="21" t="s">
        <v>27</v>
      </c>
      <c r="C1627" s="21" t="s">
        <v>1145</v>
      </c>
      <c r="D1627" s="21" t="s">
        <v>35</v>
      </c>
      <c r="E1627" s="17" t="s">
        <v>136</v>
      </c>
      <c r="F1627" s="18" t="s">
        <v>105</v>
      </c>
      <c r="G1627" s="18" t="s">
        <v>48</v>
      </c>
      <c r="H1627" s="24">
        <v>262850</v>
      </c>
      <c r="I1627" s="24">
        <f>T_reg.root.SK[[#This Row],[Volume, kg]]/1000</f>
        <v>262.85000000000002</v>
      </c>
      <c r="J1627" s="25">
        <v>0.25459999999999999</v>
      </c>
      <c r="K1627" s="25">
        <f t="shared" si="25"/>
        <v>66921.61</v>
      </c>
      <c r="L1627" s="25">
        <v>3.5</v>
      </c>
      <c r="M1627" s="24">
        <v>920201</v>
      </c>
      <c r="N1627" s="25">
        <f>IFERROR(T_reg.root.SK[[#This Row],[Price]]/T_reg.root.SK[[#This Row],[Starch content]],"")</f>
        <v>13.747054202670856</v>
      </c>
    </row>
    <row r="1628" spans="1:14">
      <c r="A1628" s="21">
        <v>2023</v>
      </c>
      <c r="B1628" s="21" t="s">
        <v>27</v>
      </c>
      <c r="C1628" s="21" t="s">
        <v>1145</v>
      </c>
      <c r="D1628" s="21" t="s">
        <v>35</v>
      </c>
      <c r="E1628" s="17" t="s">
        <v>493</v>
      </c>
      <c r="F1628" s="18" t="s">
        <v>105</v>
      </c>
      <c r="G1628" s="18" t="s">
        <v>48</v>
      </c>
      <c r="H1628" s="24">
        <v>24680</v>
      </c>
      <c r="I1628" s="24">
        <f>T_reg.root.SK[[#This Row],[Volume, kg]]/1000</f>
        <v>24.68</v>
      </c>
      <c r="J1628" s="25">
        <v>0.23949999999999999</v>
      </c>
      <c r="K1628" s="25">
        <f t="shared" si="25"/>
        <v>5910.86</v>
      </c>
      <c r="L1628" s="25">
        <v>3.33</v>
      </c>
      <c r="M1628" s="24">
        <v>82243</v>
      </c>
      <c r="N1628" s="25">
        <f>IFERROR(T_reg.root.SK[[#This Row],[Price]]/T_reg.root.SK[[#This Row],[Starch content]],"")</f>
        <v>13.903966597077245</v>
      </c>
    </row>
    <row r="1629" spans="1:14">
      <c r="A1629" s="21">
        <v>2023</v>
      </c>
      <c r="B1629" s="21" t="s">
        <v>27</v>
      </c>
      <c r="C1629" s="21" t="s">
        <v>1145</v>
      </c>
      <c r="D1629" s="21" t="s">
        <v>35</v>
      </c>
      <c r="E1629" s="17" t="s">
        <v>138</v>
      </c>
      <c r="F1629" s="18" t="s">
        <v>105</v>
      </c>
      <c r="G1629" s="18" t="s">
        <v>48</v>
      </c>
      <c r="H1629" s="24">
        <v>447170</v>
      </c>
      <c r="I1629" s="24">
        <f>T_reg.root.SK[[#This Row],[Volume, kg]]/1000</f>
        <v>447.17</v>
      </c>
      <c r="J1629" s="25">
        <v>0.24</v>
      </c>
      <c r="K1629" s="25">
        <f t="shared" si="25"/>
        <v>107320.8</v>
      </c>
      <c r="L1629" s="25">
        <v>3.44</v>
      </c>
      <c r="M1629" s="24">
        <v>1537129.5</v>
      </c>
      <c r="N1629" s="25">
        <f>IFERROR(T_reg.root.SK[[#This Row],[Price]]/T_reg.root.SK[[#This Row],[Starch content]],"")</f>
        <v>14.333333333333334</v>
      </c>
    </row>
    <row r="1630" spans="1:14">
      <c r="A1630" s="21">
        <v>2023</v>
      </c>
      <c r="B1630" s="21" t="s">
        <v>27</v>
      </c>
      <c r="C1630" s="21" t="s">
        <v>1145</v>
      </c>
      <c r="D1630" s="21" t="s">
        <v>35</v>
      </c>
      <c r="E1630" s="17" t="s">
        <v>303</v>
      </c>
      <c r="F1630" s="18" t="s">
        <v>105</v>
      </c>
      <c r="G1630" s="18" t="s">
        <v>48</v>
      </c>
      <c r="H1630" s="24">
        <v>60260</v>
      </c>
      <c r="I1630" s="24">
        <f>T_reg.root.SK[[#This Row],[Volume, kg]]/1000</f>
        <v>60.26</v>
      </c>
      <c r="J1630" s="25">
        <v>0.21149999999999999</v>
      </c>
      <c r="K1630" s="25">
        <f t="shared" si="25"/>
        <v>12744.99</v>
      </c>
      <c r="L1630" s="25">
        <v>3.29</v>
      </c>
      <c r="M1630" s="24">
        <v>198170</v>
      </c>
      <c r="N1630" s="25">
        <f>IFERROR(T_reg.root.SK[[#This Row],[Price]]/T_reg.root.SK[[#This Row],[Starch content]],"")</f>
        <v>15.555555555555555</v>
      </c>
    </row>
    <row r="1631" spans="1:14">
      <c r="A1631" s="21">
        <v>2023</v>
      </c>
      <c r="B1631" s="21" t="s">
        <v>27</v>
      </c>
      <c r="C1631" s="21" t="s">
        <v>1145</v>
      </c>
      <c r="D1631" s="21" t="s">
        <v>35</v>
      </c>
      <c r="E1631" s="17" t="s">
        <v>140</v>
      </c>
      <c r="F1631" s="18" t="s">
        <v>105</v>
      </c>
      <c r="G1631" s="18" t="s">
        <v>48</v>
      </c>
      <c r="H1631" s="24">
        <v>45300</v>
      </c>
      <c r="I1631" s="24">
        <f>T_reg.root.SK[[#This Row],[Volume, kg]]/1000</f>
        <v>45.3</v>
      </c>
      <c r="J1631" s="25">
        <v>0.22789999999999999</v>
      </c>
      <c r="K1631" s="25">
        <f t="shared" si="25"/>
        <v>10323.869999999999</v>
      </c>
      <c r="L1631" s="25">
        <v>3.31</v>
      </c>
      <c r="M1631" s="24">
        <v>150128</v>
      </c>
      <c r="N1631" s="25">
        <f>IFERROR(T_reg.root.SK[[#This Row],[Price]]/T_reg.root.SK[[#This Row],[Starch content]],"")</f>
        <v>14.523913997367266</v>
      </c>
    </row>
    <row r="1632" spans="1:14">
      <c r="A1632" s="21">
        <v>2023</v>
      </c>
      <c r="B1632" s="21" t="s">
        <v>27</v>
      </c>
      <c r="C1632" s="21" t="s">
        <v>1145</v>
      </c>
      <c r="D1632" s="21" t="s">
        <v>35</v>
      </c>
      <c r="E1632" s="17" t="s">
        <v>243</v>
      </c>
      <c r="F1632" s="18" t="s">
        <v>105</v>
      </c>
      <c r="G1632" s="18" t="s">
        <v>48</v>
      </c>
      <c r="H1632" s="24">
        <v>7080</v>
      </c>
      <c r="I1632" s="24">
        <f>T_reg.root.SK[[#This Row],[Volume, kg]]/1000</f>
        <v>7.08</v>
      </c>
      <c r="J1632" s="25">
        <v>0.20100000000000001</v>
      </c>
      <c r="K1632" s="25">
        <f t="shared" si="25"/>
        <v>1423.0800000000002</v>
      </c>
      <c r="L1632" s="25">
        <v>3.2</v>
      </c>
      <c r="M1632" s="24">
        <v>22656</v>
      </c>
      <c r="N1632" s="25">
        <f>IFERROR(T_reg.root.SK[[#This Row],[Price]]/T_reg.root.SK[[#This Row],[Starch content]],"")</f>
        <v>15.920398009950249</v>
      </c>
    </row>
    <row r="1633" spans="1:14">
      <c r="A1633" s="21">
        <v>2023</v>
      </c>
      <c r="B1633" s="21" t="s">
        <v>27</v>
      </c>
      <c r="C1633" s="21" t="s">
        <v>1145</v>
      </c>
      <c r="D1633" s="21" t="s">
        <v>35</v>
      </c>
      <c r="E1633" s="17" t="s">
        <v>307</v>
      </c>
      <c r="F1633" s="18" t="s">
        <v>105</v>
      </c>
      <c r="G1633" s="18" t="s">
        <v>48</v>
      </c>
      <c r="H1633" s="24">
        <v>93760</v>
      </c>
      <c r="I1633" s="24">
        <f>T_reg.root.SK[[#This Row],[Volume, kg]]/1000</f>
        <v>93.76</v>
      </c>
      <c r="J1633" s="25">
        <v>0.25609999999999999</v>
      </c>
      <c r="K1633" s="25">
        <f t="shared" si="25"/>
        <v>24011.935999999998</v>
      </c>
      <c r="L1633" s="25">
        <v>3.5</v>
      </c>
      <c r="M1633" s="24">
        <v>328322.5</v>
      </c>
      <c r="N1633" s="25">
        <f>IFERROR(T_reg.root.SK[[#This Row],[Price]]/T_reg.root.SK[[#This Row],[Starch content]],"")</f>
        <v>13.666536509176103</v>
      </c>
    </row>
    <row r="1634" spans="1:14">
      <c r="A1634" s="21">
        <v>2023</v>
      </c>
      <c r="B1634" s="21" t="s">
        <v>27</v>
      </c>
      <c r="C1634" s="21" t="s">
        <v>1145</v>
      </c>
      <c r="D1634" s="21" t="s">
        <v>35</v>
      </c>
      <c r="E1634" s="17" t="s">
        <v>637</v>
      </c>
      <c r="F1634" s="18" t="s">
        <v>105</v>
      </c>
      <c r="G1634" s="18" t="s">
        <v>48</v>
      </c>
      <c r="H1634" s="24">
        <v>108980</v>
      </c>
      <c r="I1634" s="24">
        <f>T_reg.root.SK[[#This Row],[Volume, kg]]/1000</f>
        <v>108.98</v>
      </c>
      <c r="J1634" s="25">
        <v>0.26179999999999998</v>
      </c>
      <c r="K1634" s="25">
        <f t="shared" si="25"/>
        <v>28530.963999999996</v>
      </c>
      <c r="L1634" s="25">
        <v>3.54</v>
      </c>
      <c r="M1634" s="24">
        <v>386216</v>
      </c>
      <c r="N1634" s="25">
        <f>IFERROR(T_reg.root.SK[[#This Row],[Price]]/T_reg.root.SK[[#This Row],[Starch content]],"")</f>
        <v>13.521772345301759</v>
      </c>
    </row>
    <row r="1635" spans="1:14">
      <c r="A1635" s="21">
        <v>2023</v>
      </c>
      <c r="B1635" s="21" t="s">
        <v>27</v>
      </c>
      <c r="C1635" s="21" t="s">
        <v>1145</v>
      </c>
      <c r="D1635" s="21" t="s">
        <v>35</v>
      </c>
      <c r="E1635" s="17" t="s">
        <v>309</v>
      </c>
      <c r="F1635" s="18" t="s">
        <v>105</v>
      </c>
      <c r="G1635" s="18" t="s">
        <v>48</v>
      </c>
      <c r="H1635" s="24">
        <v>9560</v>
      </c>
      <c r="I1635" s="24">
        <f>T_reg.root.SK[[#This Row],[Volume, kg]]/1000</f>
        <v>9.56</v>
      </c>
      <c r="J1635" s="25">
        <v>0.26450000000000001</v>
      </c>
      <c r="K1635" s="25">
        <f t="shared" si="25"/>
        <v>2528.6200000000003</v>
      </c>
      <c r="L1635" s="25">
        <v>3.45</v>
      </c>
      <c r="M1635" s="24">
        <v>32982</v>
      </c>
      <c r="N1635" s="25">
        <f>IFERROR(T_reg.root.SK[[#This Row],[Price]]/T_reg.root.SK[[#This Row],[Starch content]],"")</f>
        <v>13.043478260869565</v>
      </c>
    </row>
    <row r="1636" spans="1:14">
      <c r="A1636" s="21">
        <v>2023</v>
      </c>
      <c r="B1636" s="21" t="s">
        <v>27</v>
      </c>
      <c r="C1636" s="21" t="s">
        <v>1145</v>
      </c>
      <c r="D1636" s="21" t="s">
        <v>35</v>
      </c>
      <c r="E1636" s="17" t="s">
        <v>246</v>
      </c>
      <c r="F1636" s="18" t="s">
        <v>105</v>
      </c>
      <c r="G1636" s="18" t="s">
        <v>48</v>
      </c>
      <c r="H1636" s="24">
        <v>21520</v>
      </c>
      <c r="I1636" s="24">
        <f>T_reg.root.SK[[#This Row],[Volume, kg]]/1000</f>
        <v>21.52</v>
      </c>
      <c r="J1636" s="25">
        <v>0.23</v>
      </c>
      <c r="K1636" s="25">
        <f t="shared" si="25"/>
        <v>4949.6000000000004</v>
      </c>
      <c r="L1636" s="25">
        <v>3.43</v>
      </c>
      <c r="M1636" s="24">
        <v>73713</v>
      </c>
      <c r="N1636" s="25">
        <f>IFERROR(T_reg.root.SK[[#This Row],[Price]]/T_reg.root.SK[[#This Row],[Starch content]],"")</f>
        <v>14.913043478260869</v>
      </c>
    </row>
    <row r="1637" spans="1:14">
      <c r="A1637" s="21">
        <v>2023</v>
      </c>
      <c r="B1637" s="21" t="s">
        <v>27</v>
      </c>
      <c r="C1637" s="21" t="s">
        <v>1145</v>
      </c>
      <c r="D1637" s="21" t="s">
        <v>35</v>
      </c>
      <c r="E1637" s="17" t="s">
        <v>247</v>
      </c>
      <c r="F1637" s="18" t="s">
        <v>105</v>
      </c>
      <c r="G1637" s="18" t="s">
        <v>48</v>
      </c>
      <c r="H1637" s="24">
        <v>58780</v>
      </c>
      <c r="I1637" s="24">
        <f>T_reg.root.SK[[#This Row],[Volume, kg]]/1000</f>
        <v>58.78</v>
      </c>
      <c r="J1637" s="25">
        <v>0.2286</v>
      </c>
      <c r="K1637" s="25">
        <f t="shared" si="25"/>
        <v>13437.108</v>
      </c>
      <c r="L1637" s="25">
        <v>3.3</v>
      </c>
      <c r="M1637" s="24">
        <v>194023.5</v>
      </c>
      <c r="N1637" s="25">
        <f>IFERROR(T_reg.root.SK[[#This Row],[Price]]/T_reg.root.SK[[#This Row],[Starch content]],"")</f>
        <v>14.435695538057741</v>
      </c>
    </row>
    <row r="1638" spans="1:14">
      <c r="A1638" s="21">
        <v>2023</v>
      </c>
      <c r="B1638" s="21" t="s">
        <v>27</v>
      </c>
      <c r="C1638" s="21" t="s">
        <v>1145</v>
      </c>
      <c r="D1638" s="21" t="s">
        <v>35</v>
      </c>
      <c r="E1638" s="17" t="s">
        <v>498</v>
      </c>
      <c r="F1638" s="18" t="s">
        <v>105</v>
      </c>
      <c r="G1638" s="18" t="s">
        <v>48</v>
      </c>
      <c r="H1638" s="24">
        <v>0</v>
      </c>
      <c r="I1638" s="24">
        <f>T_reg.root.SK[[#This Row],[Volume, kg]]/1000</f>
        <v>0</v>
      </c>
      <c r="J1638" s="25">
        <v>0</v>
      </c>
      <c r="K1638" s="25">
        <f t="shared" si="25"/>
        <v>0</v>
      </c>
      <c r="L1638" s="25">
        <v>0</v>
      </c>
      <c r="M1638" s="24">
        <v>0</v>
      </c>
      <c r="N1638" s="25" t="str">
        <f>IFERROR(T_reg.root.SK[[#This Row],[Price]]/T_reg.root.SK[[#This Row],[Starch content]],"")</f>
        <v/>
      </c>
    </row>
    <row r="1639" spans="1:14">
      <c r="A1639" s="21">
        <v>2023</v>
      </c>
      <c r="B1639" s="21" t="s">
        <v>27</v>
      </c>
      <c r="C1639" s="21" t="s">
        <v>1145</v>
      </c>
      <c r="D1639" s="21" t="s">
        <v>35</v>
      </c>
      <c r="E1639" s="17" t="s">
        <v>638</v>
      </c>
      <c r="F1639" s="18" t="s">
        <v>105</v>
      </c>
      <c r="G1639" s="18" t="s">
        <v>48</v>
      </c>
      <c r="H1639" s="24">
        <v>15660</v>
      </c>
      <c r="I1639" s="24">
        <f>T_reg.root.SK[[#This Row],[Volume, kg]]/1000</f>
        <v>15.66</v>
      </c>
      <c r="J1639" s="25">
        <v>0.26050000000000001</v>
      </c>
      <c r="K1639" s="25">
        <f t="shared" si="25"/>
        <v>4079.4300000000003</v>
      </c>
      <c r="L1639" s="25">
        <v>3.45</v>
      </c>
      <c r="M1639" s="24">
        <v>54027</v>
      </c>
      <c r="N1639" s="25">
        <f>IFERROR(T_reg.root.SK[[#This Row],[Price]]/T_reg.root.SK[[#This Row],[Starch content]],"")</f>
        <v>13.243761996161229</v>
      </c>
    </row>
    <row r="1640" spans="1:14">
      <c r="A1640" s="21">
        <v>2023</v>
      </c>
      <c r="B1640" s="21" t="s">
        <v>27</v>
      </c>
      <c r="C1640" s="21" t="s">
        <v>1145</v>
      </c>
      <c r="D1640" s="21" t="s">
        <v>35</v>
      </c>
      <c r="E1640" s="17" t="s">
        <v>144</v>
      </c>
      <c r="F1640" s="18" t="s">
        <v>105</v>
      </c>
      <c r="G1640" s="18" t="s">
        <v>48</v>
      </c>
      <c r="H1640" s="24">
        <v>53550</v>
      </c>
      <c r="I1640" s="24">
        <f>T_reg.root.SK[[#This Row],[Volume, kg]]/1000</f>
        <v>53.55</v>
      </c>
      <c r="J1640" s="25">
        <v>0.24260000000000001</v>
      </c>
      <c r="K1640" s="25">
        <f t="shared" si="25"/>
        <v>12991.230000000001</v>
      </c>
      <c r="L1640" s="25">
        <v>3.42</v>
      </c>
      <c r="M1640" s="24">
        <v>183198.5</v>
      </c>
      <c r="N1640" s="25">
        <f>IFERROR(T_reg.root.SK[[#This Row],[Price]]/T_reg.root.SK[[#This Row],[Starch content]],"")</f>
        <v>14.097279472382521</v>
      </c>
    </row>
    <row r="1641" spans="1:14">
      <c r="A1641" s="21">
        <v>2023</v>
      </c>
      <c r="B1641" s="21" t="s">
        <v>27</v>
      </c>
      <c r="C1641" s="21" t="s">
        <v>1145</v>
      </c>
      <c r="D1641" s="21" t="s">
        <v>35</v>
      </c>
      <c r="E1641" s="17" t="s">
        <v>361</v>
      </c>
      <c r="F1641" s="18" t="s">
        <v>105</v>
      </c>
      <c r="G1641" s="18" t="s">
        <v>48</v>
      </c>
      <c r="H1641" s="24">
        <v>38770</v>
      </c>
      <c r="I1641" s="24">
        <f>T_reg.root.SK[[#This Row],[Volume, kg]]/1000</f>
        <v>38.770000000000003</v>
      </c>
      <c r="J1641" s="25">
        <v>0.24</v>
      </c>
      <c r="K1641" s="25">
        <f t="shared" si="25"/>
        <v>9304.7999999999993</v>
      </c>
      <c r="L1641" s="25">
        <v>3.49</v>
      </c>
      <c r="M1641" s="24">
        <v>135493.5</v>
      </c>
      <c r="N1641" s="25">
        <f>IFERROR(T_reg.root.SK[[#This Row],[Price]]/T_reg.root.SK[[#This Row],[Starch content]],"")</f>
        <v>14.541666666666668</v>
      </c>
    </row>
    <row r="1642" spans="1:14">
      <c r="A1642" s="21">
        <v>2023</v>
      </c>
      <c r="B1642" s="21" t="s">
        <v>27</v>
      </c>
      <c r="C1642" s="21" t="s">
        <v>1145</v>
      </c>
      <c r="D1642" s="21" t="s">
        <v>35</v>
      </c>
      <c r="E1642" s="17" t="s">
        <v>145</v>
      </c>
      <c r="F1642" s="18" t="s">
        <v>105</v>
      </c>
      <c r="G1642" s="18" t="s">
        <v>48</v>
      </c>
      <c r="H1642" s="24">
        <v>48890</v>
      </c>
      <c r="I1642" s="24">
        <f>T_reg.root.SK[[#This Row],[Volume, kg]]/1000</f>
        <v>48.89</v>
      </c>
      <c r="J1642" s="25">
        <v>0.25719999999999998</v>
      </c>
      <c r="K1642" s="25">
        <f t="shared" si="25"/>
        <v>12574.508</v>
      </c>
      <c r="L1642" s="25">
        <v>3.48</v>
      </c>
      <c r="M1642" s="24">
        <v>170121</v>
      </c>
      <c r="N1642" s="25">
        <f>IFERROR(T_reg.root.SK[[#This Row],[Price]]/T_reg.root.SK[[#This Row],[Starch content]],"")</f>
        <v>13.530326594090203</v>
      </c>
    </row>
    <row r="1643" spans="1:14">
      <c r="A1643" s="21">
        <v>2023</v>
      </c>
      <c r="B1643" s="21" t="s">
        <v>27</v>
      </c>
      <c r="C1643" s="21" t="s">
        <v>1145</v>
      </c>
      <c r="D1643" s="21" t="s">
        <v>35</v>
      </c>
      <c r="E1643" s="17" t="s">
        <v>146</v>
      </c>
      <c r="F1643" s="18" t="s">
        <v>105</v>
      </c>
      <c r="G1643" s="18" t="s">
        <v>48</v>
      </c>
      <c r="H1643" s="24">
        <v>527340</v>
      </c>
      <c r="I1643" s="24">
        <f>T_reg.root.SK[[#This Row],[Volume, kg]]/1000</f>
        <v>527.34</v>
      </c>
      <c r="J1643" s="25">
        <v>0.23469999999999999</v>
      </c>
      <c r="K1643" s="25">
        <f t="shared" si="25"/>
        <v>123766.69799999999</v>
      </c>
      <c r="L1643" s="25">
        <v>3.41</v>
      </c>
      <c r="M1643" s="24">
        <v>1799839.5</v>
      </c>
      <c r="N1643" s="25">
        <f>IFERROR(T_reg.root.SK[[#This Row],[Price]]/T_reg.root.SK[[#This Row],[Starch content]],"")</f>
        <v>14.529186195142737</v>
      </c>
    </row>
    <row r="1644" spans="1:14">
      <c r="A1644" s="21">
        <v>2023</v>
      </c>
      <c r="B1644" s="21" t="s">
        <v>27</v>
      </c>
      <c r="C1644" s="21" t="s">
        <v>1145</v>
      </c>
      <c r="D1644" s="21" t="s">
        <v>35</v>
      </c>
      <c r="E1644" s="17" t="s">
        <v>147</v>
      </c>
      <c r="F1644" s="18" t="s">
        <v>105</v>
      </c>
      <c r="G1644" s="18" t="s">
        <v>48</v>
      </c>
      <c r="H1644" s="24">
        <v>350410</v>
      </c>
      <c r="I1644" s="24">
        <f>T_reg.root.SK[[#This Row],[Volume, kg]]/1000</f>
        <v>350.41</v>
      </c>
      <c r="J1644" s="25">
        <v>0.23260000000000003</v>
      </c>
      <c r="K1644" s="25">
        <f t="shared" si="25"/>
        <v>81505.366000000009</v>
      </c>
      <c r="L1644" s="25">
        <v>3.32</v>
      </c>
      <c r="M1644" s="24">
        <v>1162425</v>
      </c>
      <c r="N1644" s="25">
        <f>IFERROR(T_reg.root.SK[[#This Row],[Price]]/T_reg.root.SK[[#This Row],[Starch content]],"")</f>
        <v>14.273430782459155</v>
      </c>
    </row>
    <row r="1645" spans="1:14">
      <c r="A1645" s="21">
        <v>2023</v>
      </c>
      <c r="B1645" s="21" t="s">
        <v>27</v>
      </c>
      <c r="C1645" s="21" t="s">
        <v>1145</v>
      </c>
      <c r="D1645" s="21" t="s">
        <v>35</v>
      </c>
      <c r="E1645" s="17" t="s">
        <v>363</v>
      </c>
      <c r="F1645" s="18" t="s">
        <v>105</v>
      </c>
      <c r="G1645" s="18" t="s">
        <v>48</v>
      </c>
      <c r="H1645" s="24">
        <v>19350</v>
      </c>
      <c r="I1645" s="24">
        <f>T_reg.root.SK[[#This Row],[Volume, kg]]/1000</f>
        <v>19.350000000000001</v>
      </c>
      <c r="J1645" s="25">
        <v>0.2457</v>
      </c>
      <c r="K1645" s="25">
        <f t="shared" si="25"/>
        <v>4754.2950000000001</v>
      </c>
      <c r="L1645" s="25">
        <v>3.39</v>
      </c>
      <c r="M1645" s="24">
        <v>65545.5</v>
      </c>
      <c r="N1645" s="25">
        <f>IFERROR(T_reg.root.SK[[#This Row],[Price]]/T_reg.root.SK[[#This Row],[Starch content]],"")</f>
        <v>13.797313797313798</v>
      </c>
    </row>
    <row r="1646" spans="1:14">
      <c r="A1646" s="21">
        <v>2023</v>
      </c>
      <c r="B1646" s="21" t="s">
        <v>27</v>
      </c>
      <c r="C1646" s="21" t="s">
        <v>1145</v>
      </c>
      <c r="D1646" s="21" t="s">
        <v>35</v>
      </c>
      <c r="E1646" s="17" t="s">
        <v>251</v>
      </c>
      <c r="F1646" s="18" t="s">
        <v>105</v>
      </c>
      <c r="G1646" s="18" t="s">
        <v>48</v>
      </c>
      <c r="H1646" s="24">
        <v>166140</v>
      </c>
      <c r="I1646" s="24">
        <f>T_reg.root.SK[[#This Row],[Volume, kg]]/1000</f>
        <v>166.14</v>
      </c>
      <c r="J1646" s="25">
        <v>0.25059999999999999</v>
      </c>
      <c r="K1646" s="25">
        <f t="shared" si="25"/>
        <v>41634.684000000001</v>
      </c>
      <c r="L1646" s="25">
        <v>3.45</v>
      </c>
      <c r="M1646" s="24">
        <v>573091</v>
      </c>
      <c r="N1646" s="25">
        <f>IFERROR(T_reg.root.SK[[#This Row],[Price]]/T_reg.root.SK[[#This Row],[Starch content]],"")</f>
        <v>13.766959297685556</v>
      </c>
    </row>
    <row r="1647" spans="1:14">
      <c r="A1647" s="21">
        <v>2023</v>
      </c>
      <c r="B1647" s="21" t="s">
        <v>27</v>
      </c>
      <c r="C1647" s="21" t="s">
        <v>1145</v>
      </c>
      <c r="D1647" s="21" t="s">
        <v>35</v>
      </c>
      <c r="E1647" s="17" t="s">
        <v>148</v>
      </c>
      <c r="F1647" s="18" t="s">
        <v>105</v>
      </c>
      <c r="G1647" s="18" t="s">
        <v>48</v>
      </c>
      <c r="H1647" s="24">
        <v>49410</v>
      </c>
      <c r="I1647" s="24">
        <f>T_reg.root.SK[[#This Row],[Volume, kg]]/1000</f>
        <v>49.41</v>
      </c>
      <c r="J1647" s="25">
        <v>0.23319999999999999</v>
      </c>
      <c r="K1647" s="25">
        <f t="shared" si="25"/>
        <v>11522.412</v>
      </c>
      <c r="L1647" s="25">
        <v>3.33</v>
      </c>
      <c r="M1647" s="24">
        <v>164594.5</v>
      </c>
      <c r="N1647" s="25">
        <f>IFERROR(T_reg.root.SK[[#This Row],[Price]]/T_reg.root.SK[[#This Row],[Starch content]],"")</f>
        <v>14.279588336192111</v>
      </c>
    </row>
    <row r="1648" spans="1:14">
      <c r="A1648" s="21">
        <v>2023</v>
      </c>
      <c r="B1648" s="21" t="s">
        <v>27</v>
      </c>
      <c r="C1648" s="21" t="s">
        <v>1145</v>
      </c>
      <c r="D1648" s="21" t="s">
        <v>35</v>
      </c>
      <c r="E1648" s="17" t="s">
        <v>604</v>
      </c>
      <c r="F1648" s="18" t="s">
        <v>105</v>
      </c>
      <c r="G1648" s="18" t="s">
        <v>48</v>
      </c>
      <c r="H1648" s="24">
        <v>6350</v>
      </c>
      <c r="I1648" s="24">
        <f>T_reg.root.SK[[#This Row],[Volume, kg]]/1000</f>
        <v>6.35</v>
      </c>
      <c r="J1648" s="25">
        <v>0.23050000000000001</v>
      </c>
      <c r="K1648" s="25">
        <f t="shared" si="25"/>
        <v>1463.675</v>
      </c>
      <c r="L1648" s="25">
        <v>3.3</v>
      </c>
      <c r="M1648" s="24">
        <v>20955</v>
      </c>
      <c r="N1648" s="25">
        <f>IFERROR(T_reg.root.SK[[#This Row],[Price]]/T_reg.root.SK[[#This Row],[Starch content]],"")</f>
        <v>14.316702819956614</v>
      </c>
    </row>
    <row r="1649" spans="1:14">
      <c r="A1649" s="21">
        <v>2023</v>
      </c>
      <c r="B1649" s="21" t="s">
        <v>27</v>
      </c>
      <c r="C1649" s="21" t="s">
        <v>1145</v>
      </c>
      <c r="D1649" s="21" t="s">
        <v>35</v>
      </c>
      <c r="E1649" s="17" t="s">
        <v>149</v>
      </c>
      <c r="F1649" s="18" t="s">
        <v>105</v>
      </c>
      <c r="G1649" s="18" t="s">
        <v>48</v>
      </c>
      <c r="H1649" s="24">
        <v>29650</v>
      </c>
      <c r="I1649" s="24">
        <f>T_reg.root.SK[[#This Row],[Volume, kg]]/1000</f>
        <v>29.65</v>
      </c>
      <c r="J1649" s="25">
        <v>0.25750000000000001</v>
      </c>
      <c r="K1649" s="25">
        <f t="shared" si="25"/>
        <v>7634.875</v>
      </c>
      <c r="L1649" s="25">
        <v>3.44</v>
      </c>
      <c r="M1649" s="24">
        <v>101947.5</v>
      </c>
      <c r="N1649" s="25">
        <f>IFERROR(T_reg.root.SK[[#This Row],[Price]]/T_reg.root.SK[[#This Row],[Starch content]],"")</f>
        <v>13.359223300970873</v>
      </c>
    </row>
    <row r="1650" spans="1:14">
      <c r="A1650" s="21">
        <v>2023</v>
      </c>
      <c r="B1650" s="21" t="s">
        <v>27</v>
      </c>
      <c r="C1650" s="21" t="s">
        <v>1145</v>
      </c>
      <c r="D1650" s="21" t="s">
        <v>35</v>
      </c>
      <c r="E1650" s="17" t="s">
        <v>314</v>
      </c>
      <c r="F1650" s="18" t="s">
        <v>105</v>
      </c>
      <c r="G1650" s="18" t="s">
        <v>48</v>
      </c>
      <c r="H1650" s="24">
        <v>4980</v>
      </c>
      <c r="I1650" s="24">
        <f>T_reg.root.SK[[#This Row],[Volume, kg]]/1000</f>
        <v>4.9800000000000004</v>
      </c>
      <c r="J1650" s="25">
        <v>0.28399999999999997</v>
      </c>
      <c r="K1650" s="25">
        <f t="shared" si="25"/>
        <v>1414.32</v>
      </c>
      <c r="L1650" s="25">
        <v>3.55</v>
      </c>
      <c r="M1650" s="24">
        <v>17679</v>
      </c>
      <c r="N1650" s="25">
        <f>IFERROR(T_reg.root.SK[[#This Row],[Price]]/T_reg.root.SK[[#This Row],[Starch content]],"")</f>
        <v>12.5</v>
      </c>
    </row>
    <row r="1651" spans="1:14">
      <c r="A1651" s="21">
        <v>2023</v>
      </c>
      <c r="B1651" s="21" t="s">
        <v>27</v>
      </c>
      <c r="C1651" s="21" t="s">
        <v>1145</v>
      </c>
      <c r="D1651" s="21" t="s">
        <v>35</v>
      </c>
      <c r="E1651" s="17" t="s">
        <v>150</v>
      </c>
      <c r="F1651" s="18" t="s">
        <v>105</v>
      </c>
      <c r="G1651" s="18" t="s">
        <v>48</v>
      </c>
      <c r="H1651" s="24">
        <v>70620</v>
      </c>
      <c r="I1651" s="24">
        <f>T_reg.root.SK[[#This Row],[Volume, kg]]/1000</f>
        <v>70.62</v>
      </c>
      <c r="J1651" s="25">
        <v>0.21379999999999999</v>
      </c>
      <c r="K1651" s="25">
        <f t="shared" si="25"/>
        <v>15098.555999999999</v>
      </c>
      <c r="L1651" s="25">
        <v>3.31</v>
      </c>
      <c r="M1651" s="24">
        <v>233984.5</v>
      </c>
      <c r="N1651" s="25">
        <f>IFERROR(T_reg.root.SK[[#This Row],[Price]]/T_reg.root.SK[[#This Row],[Starch content]],"")</f>
        <v>15.481758652946681</v>
      </c>
    </row>
    <row r="1652" spans="1:14">
      <c r="A1652" s="21">
        <v>2023</v>
      </c>
      <c r="B1652" s="21" t="s">
        <v>27</v>
      </c>
      <c r="C1652" s="21" t="s">
        <v>1145</v>
      </c>
      <c r="D1652" s="21" t="s">
        <v>35</v>
      </c>
      <c r="E1652" s="17" t="s">
        <v>151</v>
      </c>
      <c r="F1652" s="18" t="s">
        <v>105</v>
      </c>
      <c r="G1652" s="18" t="s">
        <v>48</v>
      </c>
      <c r="H1652" s="24">
        <v>838930</v>
      </c>
      <c r="I1652" s="24">
        <f>T_reg.root.SK[[#This Row],[Volume, kg]]/1000</f>
        <v>838.93</v>
      </c>
      <c r="J1652" s="25">
        <v>0.2404</v>
      </c>
      <c r="K1652" s="25">
        <f t="shared" si="25"/>
        <v>201678.772</v>
      </c>
      <c r="L1652" s="25">
        <v>3.42</v>
      </c>
      <c r="M1652" s="24">
        <v>2869376.5</v>
      </c>
      <c r="N1652" s="25">
        <f>IFERROR(T_reg.root.SK[[#This Row],[Price]]/T_reg.root.SK[[#This Row],[Starch content]],"")</f>
        <v>14.226289517470882</v>
      </c>
    </row>
    <row r="1653" spans="1:14">
      <c r="A1653" s="21">
        <v>2023</v>
      </c>
      <c r="B1653" s="21" t="s">
        <v>27</v>
      </c>
      <c r="C1653" s="21" t="s">
        <v>1145</v>
      </c>
      <c r="D1653" s="21" t="s">
        <v>35</v>
      </c>
      <c r="E1653" s="17" t="s">
        <v>316</v>
      </c>
      <c r="F1653" s="18" t="s">
        <v>105</v>
      </c>
      <c r="G1653" s="18" t="s">
        <v>48</v>
      </c>
      <c r="H1653" s="24">
        <v>9390</v>
      </c>
      <c r="I1653" s="24">
        <f>T_reg.root.SK[[#This Row],[Volume, kg]]/1000</f>
        <v>9.39</v>
      </c>
      <c r="J1653" s="25">
        <v>0.2505</v>
      </c>
      <c r="K1653" s="25">
        <f t="shared" si="25"/>
        <v>2352.1950000000002</v>
      </c>
      <c r="L1653" s="25">
        <v>3.4</v>
      </c>
      <c r="M1653" s="24">
        <v>31926</v>
      </c>
      <c r="N1653" s="25">
        <f>IFERROR(T_reg.root.SK[[#This Row],[Price]]/T_reg.root.SK[[#This Row],[Starch content]],"")</f>
        <v>13.572854291417165</v>
      </c>
    </row>
    <row r="1654" spans="1:14">
      <c r="A1654" s="21">
        <v>2023</v>
      </c>
      <c r="B1654" s="21" t="s">
        <v>27</v>
      </c>
      <c r="C1654" s="21" t="s">
        <v>1145</v>
      </c>
      <c r="D1654" s="21" t="s">
        <v>35</v>
      </c>
      <c r="E1654" s="17" t="s">
        <v>152</v>
      </c>
      <c r="F1654" s="18" t="s">
        <v>105</v>
      </c>
      <c r="G1654" s="18" t="s">
        <v>48</v>
      </c>
      <c r="H1654" s="24">
        <v>71970</v>
      </c>
      <c r="I1654" s="24">
        <f>T_reg.root.SK[[#This Row],[Volume, kg]]/1000</f>
        <v>71.97</v>
      </c>
      <c r="J1654" s="25">
        <v>0.22020000000000001</v>
      </c>
      <c r="K1654" s="25">
        <f t="shared" si="25"/>
        <v>15847.794</v>
      </c>
      <c r="L1654" s="25">
        <v>3.3</v>
      </c>
      <c r="M1654" s="24">
        <v>237364</v>
      </c>
      <c r="N1654" s="25">
        <f>IFERROR(T_reg.root.SK[[#This Row],[Price]]/T_reg.root.SK[[#This Row],[Starch content]],"")</f>
        <v>14.986376021798364</v>
      </c>
    </row>
    <row r="1655" spans="1:14">
      <c r="A1655" s="21">
        <v>2023</v>
      </c>
      <c r="B1655" s="21" t="s">
        <v>27</v>
      </c>
      <c r="C1655" s="21" t="s">
        <v>1145</v>
      </c>
      <c r="D1655" s="21" t="s">
        <v>35</v>
      </c>
      <c r="E1655" s="17" t="s">
        <v>154</v>
      </c>
      <c r="F1655" s="18" t="s">
        <v>105</v>
      </c>
      <c r="G1655" s="18" t="s">
        <v>48</v>
      </c>
      <c r="H1655" s="24">
        <v>7250</v>
      </c>
      <c r="I1655" s="24">
        <f>T_reg.root.SK[[#This Row],[Volume, kg]]/1000</f>
        <v>7.25</v>
      </c>
      <c r="J1655" s="25">
        <v>0.26150000000000001</v>
      </c>
      <c r="K1655" s="25">
        <f t="shared" si="25"/>
        <v>1895.875</v>
      </c>
      <c r="L1655" s="25">
        <v>3.45</v>
      </c>
      <c r="M1655" s="24">
        <v>25012.5</v>
      </c>
      <c r="N1655" s="25">
        <f>IFERROR(T_reg.root.SK[[#This Row],[Price]]/T_reg.root.SK[[#This Row],[Starch content]],"")</f>
        <v>13.193116634799235</v>
      </c>
    </row>
    <row r="1656" spans="1:14">
      <c r="A1656" s="21">
        <v>2023</v>
      </c>
      <c r="B1656" s="21" t="s">
        <v>27</v>
      </c>
      <c r="C1656" s="21" t="s">
        <v>1145</v>
      </c>
      <c r="D1656" s="21" t="s">
        <v>35</v>
      </c>
      <c r="E1656" s="17" t="s">
        <v>155</v>
      </c>
      <c r="F1656" s="18" t="s">
        <v>105</v>
      </c>
      <c r="G1656" s="18" t="s">
        <v>48</v>
      </c>
      <c r="H1656" s="24">
        <v>21170</v>
      </c>
      <c r="I1656" s="24">
        <f>T_reg.root.SK[[#This Row],[Volume, kg]]/1000</f>
        <v>21.17</v>
      </c>
      <c r="J1656" s="25">
        <v>0.21609999999999999</v>
      </c>
      <c r="K1656" s="25">
        <f t="shared" si="25"/>
        <v>4574.8369999999995</v>
      </c>
      <c r="L1656" s="25">
        <v>3.23</v>
      </c>
      <c r="M1656" s="24">
        <v>68417.5</v>
      </c>
      <c r="N1656" s="25">
        <f>IFERROR(T_reg.root.SK[[#This Row],[Price]]/T_reg.root.SK[[#This Row],[Starch content]],"")</f>
        <v>14.946783896344286</v>
      </c>
    </row>
    <row r="1657" spans="1:14">
      <c r="A1657" s="21">
        <v>2023</v>
      </c>
      <c r="B1657" s="21" t="s">
        <v>27</v>
      </c>
      <c r="C1657" s="21" t="s">
        <v>1145</v>
      </c>
      <c r="D1657" s="21" t="s">
        <v>35</v>
      </c>
      <c r="E1657" s="17" t="s">
        <v>572</v>
      </c>
      <c r="F1657" s="18" t="s">
        <v>105</v>
      </c>
      <c r="G1657" s="18" t="s">
        <v>48</v>
      </c>
      <c r="H1657" s="24">
        <v>19260</v>
      </c>
      <c r="I1657" s="24">
        <f>T_reg.root.SK[[#This Row],[Volume, kg]]/1000</f>
        <v>19.260000000000002</v>
      </c>
      <c r="J1657" s="25">
        <v>0.22010000000000002</v>
      </c>
      <c r="K1657" s="25">
        <f t="shared" si="25"/>
        <v>4239.1260000000002</v>
      </c>
      <c r="L1657" s="25">
        <v>3.29</v>
      </c>
      <c r="M1657" s="24">
        <v>63322</v>
      </c>
      <c r="N1657" s="25">
        <f>IFERROR(T_reg.root.SK[[#This Row],[Price]]/T_reg.root.SK[[#This Row],[Starch content]],"")</f>
        <v>14.947751022262606</v>
      </c>
    </row>
    <row r="1658" spans="1:14">
      <c r="A1658" s="21">
        <v>2023</v>
      </c>
      <c r="B1658" s="21" t="s">
        <v>27</v>
      </c>
      <c r="C1658" s="21" t="s">
        <v>1145</v>
      </c>
      <c r="D1658" s="21" t="s">
        <v>35</v>
      </c>
      <c r="E1658" s="17" t="s">
        <v>159</v>
      </c>
      <c r="F1658" s="18" t="s">
        <v>105</v>
      </c>
      <c r="G1658" s="18" t="s">
        <v>48</v>
      </c>
      <c r="H1658" s="24">
        <v>1438070</v>
      </c>
      <c r="I1658" s="24">
        <f>T_reg.root.SK[[#This Row],[Volume, kg]]/1000</f>
        <v>1438.07</v>
      </c>
      <c r="J1658" s="25">
        <v>0.2359</v>
      </c>
      <c r="K1658" s="25">
        <f t="shared" si="25"/>
        <v>339240.71299999999</v>
      </c>
      <c r="L1658" s="25">
        <v>3.39</v>
      </c>
      <c r="M1658" s="24">
        <v>4878468.5</v>
      </c>
      <c r="N1658" s="25">
        <f>IFERROR(T_reg.root.SK[[#This Row],[Price]]/T_reg.root.SK[[#This Row],[Starch content]],"")</f>
        <v>14.370495972869861</v>
      </c>
    </row>
    <row r="1659" spans="1:14">
      <c r="A1659" s="21">
        <v>2023</v>
      </c>
      <c r="B1659" s="21" t="s">
        <v>27</v>
      </c>
      <c r="C1659" s="21" t="s">
        <v>1145</v>
      </c>
      <c r="D1659" s="21" t="s">
        <v>35</v>
      </c>
      <c r="E1659" s="17" t="s">
        <v>255</v>
      </c>
      <c r="F1659" s="18" t="s">
        <v>105</v>
      </c>
      <c r="G1659" s="18" t="s">
        <v>48</v>
      </c>
      <c r="H1659" s="24">
        <v>190710</v>
      </c>
      <c r="I1659" s="24">
        <f>T_reg.root.SK[[#This Row],[Volume, kg]]/1000</f>
        <v>190.71</v>
      </c>
      <c r="J1659" s="25">
        <v>0.26300000000000001</v>
      </c>
      <c r="K1659" s="25">
        <f t="shared" si="25"/>
        <v>50156.73</v>
      </c>
      <c r="L1659" s="25">
        <v>3.48</v>
      </c>
      <c r="M1659" s="24">
        <v>663347</v>
      </c>
      <c r="N1659" s="25">
        <f>IFERROR(T_reg.root.SK[[#This Row],[Price]]/T_reg.root.SK[[#This Row],[Starch content]],"")</f>
        <v>13.231939163498097</v>
      </c>
    </row>
    <row r="1660" spans="1:14">
      <c r="A1660" s="21">
        <v>2023</v>
      </c>
      <c r="B1660" s="21" t="s">
        <v>27</v>
      </c>
      <c r="C1660" s="21" t="s">
        <v>1145</v>
      </c>
      <c r="D1660" s="21" t="s">
        <v>35</v>
      </c>
      <c r="E1660" s="17" t="s">
        <v>161</v>
      </c>
      <c r="F1660" s="18" t="s">
        <v>105</v>
      </c>
      <c r="G1660" s="18" t="s">
        <v>48</v>
      </c>
      <c r="H1660" s="24">
        <v>316150</v>
      </c>
      <c r="I1660" s="24">
        <f>T_reg.root.SK[[#This Row],[Volume, kg]]/1000</f>
        <v>316.14999999999998</v>
      </c>
      <c r="J1660" s="25">
        <v>0.23879999999999998</v>
      </c>
      <c r="K1660" s="25">
        <f t="shared" si="25"/>
        <v>75496.62</v>
      </c>
      <c r="L1660" s="25">
        <v>3.42</v>
      </c>
      <c r="M1660" s="24">
        <v>1081171</v>
      </c>
      <c r="N1660" s="25">
        <f>IFERROR(T_reg.root.SK[[#This Row],[Price]]/T_reg.root.SK[[#This Row],[Starch content]],"")</f>
        <v>14.321608040201006</v>
      </c>
    </row>
    <row r="1661" spans="1:14">
      <c r="A1661" s="21">
        <v>2023</v>
      </c>
      <c r="B1661" s="21" t="s">
        <v>27</v>
      </c>
      <c r="C1661" s="21" t="s">
        <v>1145</v>
      </c>
      <c r="D1661" s="21" t="s">
        <v>35</v>
      </c>
      <c r="E1661" s="17" t="s">
        <v>164</v>
      </c>
      <c r="F1661" s="18" t="s">
        <v>105</v>
      </c>
      <c r="G1661" s="18" t="s">
        <v>48</v>
      </c>
      <c r="H1661" s="24">
        <v>132120</v>
      </c>
      <c r="I1661" s="24">
        <f>T_reg.root.SK[[#This Row],[Volume, kg]]/1000</f>
        <v>132.12</v>
      </c>
      <c r="J1661" s="25">
        <v>0.22409999999999999</v>
      </c>
      <c r="K1661" s="25">
        <f t="shared" si="25"/>
        <v>29608.092000000001</v>
      </c>
      <c r="L1661" s="25">
        <v>3.33</v>
      </c>
      <c r="M1661" s="24">
        <v>440268.5</v>
      </c>
      <c r="N1661" s="25">
        <f>IFERROR(T_reg.root.SK[[#This Row],[Price]]/T_reg.root.SK[[#This Row],[Starch content]],"")</f>
        <v>14.859437751004016</v>
      </c>
    </row>
    <row r="1662" spans="1:14">
      <c r="A1662" s="21">
        <v>2023</v>
      </c>
      <c r="B1662" s="21" t="s">
        <v>27</v>
      </c>
      <c r="C1662" s="21" t="s">
        <v>1145</v>
      </c>
      <c r="D1662" s="21" t="s">
        <v>35</v>
      </c>
      <c r="E1662" s="17" t="s">
        <v>165</v>
      </c>
      <c r="F1662" s="18" t="s">
        <v>105</v>
      </c>
      <c r="G1662" s="18" t="s">
        <v>48</v>
      </c>
      <c r="H1662" s="24">
        <v>51850</v>
      </c>
      <c r="I1662" s="24">
        <f>T_reg.root.SK[[#This Row],[Volume, kg]]/1000</f>
        <v>51.85</v>
      </c>
      <c r="J1662" s="25">
        <v>0.2253</v>
      </c>
      <c r="K1662" s="25">
        <f t="shared" si="25"/>
        <v>11681.805</v>
      </c>
      <c r="L1662" s="25">
        <v>3.28</v>
      </c>
      <c r="M1662" s="24">
        <v>169917.5</v>
      </c>
      <c r="N1662" s="25">
        <f>IFERROR(T_reg.root.SK[[#This Row],[Price]]/T_reg.root.SK[[#This Row],[Starch content]],"")</f>
        <v>14.558366622281401</v>
      </c>
    </row>
    <row r="1663" spans="1:14">
      <c r="A1663" s="21">
        <v>2023</v>
      </c>
      <c r="B1663" s="21" t="s">
        <v>27</v>
      </c>
      <c r="C1663" s="21" t="s">
        <v>1145</v>
      </c>
      <c r="D1663" s="21" t="s">
        <v>35</v>
      </c>
      <c r="E1663" s="17" t="s">
        <v>639</v>
      </c>
      <c r="F1663" s="18" t="s">
        <v>105</v>
      </c>
      <c r="G1663" s="18" t="s">
        <v>48</v>
      </c>
      <c r="H1663" s="24">
        <v>15410</v>
      </c>
      <c r="I1663" s="24">
        <f>T_reg.root.SK[[#This Row],[Volume, kg]]/1000</f>
        <v>15.41</v>
      </c>
      <c r="J1663" s="25">
        <v>0.26050000000000001</v>
      </c>
      <c r="K1663" s="25">
        <f t="shared" si="25"/>
        <v>4014.3050000000003</v>
      </c>
      <c r="L1663" s="25">
        <v>3.55</v>
      </c>
      <c r="M1663" s="24">
        <v>54705.5</v>
      </c>
      <c r="N1663" s="25">
        <f>IFERROR(T_reg.root.SK[[#This Row],[Price]]/T_reg.root.SK[[#This Row],[Starch content]],"")</f>
        <v>13.627639155470249</v>
      </c>
    </row>
    <row r="1664" spans="1:14">
      <c r="A1664" s="21">
        <v>2023</v>
      </c>
      <c r="B1664" s="21" t="s">
        <v>27</v>
      </c>
      <c r="C1664" s="21" t="s">
        <v>1145</v>
      </c>
      <c r="D1664" s="21" t="s">
        <v>35</v>
      </c>
      <c r="E1664" s="17" t="s">
        <v>170</v>
      </c>
      <c r="F1664" s="18" t="s">
        <v>105</v>
      </c>
      <c r="G1664" s="18" t="s">
        <v>48</v>
      </c>
      <c r="H1664" s="24">
        <v>20130</v>
      </c>
      <c r="I1664" s="24">
        <f>T_reg.root.SK[[#This Row],[Volume, kg]]/1000</f>
        <v>20.13</v>
      </c>
      <c r="J1664" s="25">
        <v>0.2382</v>
      </c>
      <c r="K1664" s="25">
        <f t="shared" si="25"/>
        <v>4794.9660000000003</v>
      </c>
      <c r="L1664" s="25">
        <v>3.35</v>
      </c>
      <c r="M1664" s="24">
        <v>67435.5</v>
      </c>
      <c r="N1664" s="25">
        <f>IFERROR(T_reg.root.SK[[#This Row],[Price]]/T_reg.root.SK[[#This Row],[Starch content]],"")</f>
        <v>14.063811922753988</v>
      </c>
    </row>
    <row r="1665" spans="1:14">
      <c r="A1665" s="21">
        <v>2023</v>
      </c>
      <c r="B1665" s="21" t="s">
        <v>27</v>
      </c>
      <c r="C1665" s="21" t="s">
        <v>1145</v>
      </c>
      <c r="D1665" s="21" t="s">
        <v>35</v>
      </c>
      <c r="E1665" s="17" t="s">
        <v>171</v>
      </c>
      <c r="F1665" s="18" t="s">
        <v>105</v>
      </c>
      <c r="G1665" s="18" t="s">
        <v>48</v>
      </c>
      <c r="H1665" s="24">
        <v>8060</v>
      </c>
      <c r="I1665" s="24">
        <f>T_reg.root.SK[[#This Row],[Volume, kg]]/1000</f>
        <v>8.06</v>
      </c>
      <c r="J1665" s="25">
        <v>0.23749999999999999</v>
      </c>
      <c r="K1665" s="25">
        <f t="shared" si="25"/>
        <v>1914.25</v>
      </c>
      <c r="L1665" s="25">
        <v>3.4</v>
      </c>
      <c r="M1665" s="24">
        <v>27404</v>
      </c>
      <c r="N1665" s="25">
        <f>IFERROR(T_reg.root.SK[[#This Row],[Price]]/T_reg.root.SK[[#This Row],[Starch content]],"")</f>
        <v>14.315789473684211</v>
      </c>
    </row>
    <row r="1666" spans="1:14">
      <c r="A1666" s="21">
        <v>2023</v>
      </c>
      <c r="B1666" s="21" t="s">
        <v>27</v>
      </c>
      <c r="C1666" s="21" t="s">
        <v>1145</v>
      </c>
      <c r="D1666" s="21" t="s">
        <v>35</v>
      </c>
      <c r="E1666" s="17" t="s">
        <v>172</v>
      </c>
      <c r="F1666" s="18" t="s">
        <v>105</v>
      </c>
      <c r="G1666" s="18" t="s">
        <v>48</v>
      </c>
      <c r="H1666" s="24">
        <v>45500</v>
      </c>
      <c r="I1666" s="24">
        <f>T_reg.root.SK[[#This Row],[Volume, kg]]/1000</f>
        <v>45.5</v>
      </c>
      <c r="J1666" s="25">
        <v>0.2445</v>
      </c>
      <c r="K1666" s="25">
        <f t="shared" si="25"/>
        <v>11124.75</v>
      </c>
      <c r="L1666" s="25">
        <v>3.38</v>
      </c>
      <c r="M1666" s="24">
        <v>153736.5</v>
      </c>
      <c r="N1666" s="25">
        <f>IFERROR(T_reg.root.SK[[#This Row],[Price]]/T_reg.root.SK[[#This Row],[Starch content]],"")</f>
        <v>13.824130879345603</v>
      </c>
    </row>
    <row r="1667" spans="1:14">
      <c r="A1667" s="21">
        <v>2023</v>
      </c>
      <c r="B1667" s="21" t="s">
        <v>27</v>
      </c>
      <c r="C1667" s="21" t="s">
        <v>1145</v>
      </c>
      <c r="D1667" s="21" t="s">
        <v>35</v>
      </c>
      <c r="E1667" s="17" t="s">
        <v>504</v>
      </c>
      <c r="F1667" s="18" t="s">
        <v>105</v>
      </c>
      <c r="G1667" s="18" t="s">
        <v>48</v>
      </c>
      <c r="H1667" s="24">
        <v>5070</v>
      </c>
      <c r="I1667" s="24">
        <f>T_reg.root.SK[[#This Row],[Volume, kg]]/1000</f>
        <v>5.07</v>
      </c>
      <c r="J1667" s="25">
        <v>0.23949999999999999</v>
      </c>
      <c r="K1667" s="25">
        <f t="shared" ref="K1667:K1730" si="26">H1667*J1667</f>
        <v>1214.2649999999999</v>
      </c>
      <c r="L1667" s="25">
        <v>3.35</v>
      </c>
      <c r="M1667" s="24">
        <v>16984.5</v>
      </c>
      <c r="N1667" s="25">
        <f>IFERROR(T_reg.root.SK[[#This Row],[Price]]/T_reg.root.SK[[#This Row],[Starch content]],"")</f>
        <v>13.987473903966597</v>
      </c>
    </row>
    <row r="1668" spans="1:14">
      <c r="A1668" s="21">
        <v>2023</v>
      </c>
      <c r="B1668" s="21" t="s">
        <v>27</v>
      </c>
      <c r="C1668" s="21" t="s">
        <v>1145</v>
      </c>
      <c r="D1668" s="21" t="s">
        <v>35</v>
      </c>
      <c r="E1668" s="17" t="s">
        <v>321</v>
      </c>
      <c r="F1668" s="18" t="s">
        <v>105</v>
      </c>
      <c r="G1668" s="18" t="s">
        <v>48</v>
      </c>
      <c r="H1668" s="24">
        <v>5140</v>
      </c>
      <c r="I1668" s="24">
        <f>T_reg.root.SK[[#This Row],[Volume, kg]]/1000</f>
        <v>5.14</v>
      </c>
      <c r="J1668" s="25">
        <v>0.2155</v>
      </c>
      <c r="K1668" s="25">
        <f t="shared" si="26"/>
        <v>1107.67</v>
      </c>
      <c r="L1668" s="25">
        <v>3.35</v>
      </c>
      <c r="M1668" s="24">
        <v>17219</v>
      </c>
      <c r="N1668" s="25">
        <f>IFERROR(T_reg.root.SK[[#This Row],[Price]]/T_reg.root.SK[[#This Row],[Starch content]],"")</f>
        <v>15.545243619489559</v>
      </c>
    </row>
    <row r="1669" spans="1:14">
      <c r="A1669" s="21">
        <v>2023</v>
      </c>
      <c r="B1669" s="21" t="s">
        <v>27</v>
      </c>
      <c r="C1669" s="21" t="s">
        <v>1145</v>
      </c>
      <c r="D1669" s="21" t="s">
        <v>35</v>
      </c>
      <c r="E1669" s="17" t="s">
        <v>173</v>
      </c>
      <c r="F1669" s="18" t="s">
        <v>105</v>
      </c>
      <c r="G1669" s="18" t="s">
        <v>48</v>
      </c>
      <c r="H1669" s="24">
        <v>153640</v>
      </c>
      <c r="I1669" s="24">
        <f>T_reg.root.SK[[#This Row],[Volume, kg]]/1000</f>
        <v>153.63999999999999</v>
      </c>
      <c r="J1669" s="25">
        <v>0.23780000000000001</v>
      </c>
      <c r="K1669" s="25">
        <f t="shared" si="26"/>
        <v>36535.592000000004</v>
      </c>
      <c r="L1669" s="25">
        <v>3.35</v>
      </c>
      <c r="M1669" s="24">
        <v>514536.5</v>
      </c>
      <c r="N1669" s="25">
        <f>IFERROR(T_reg.root.SK[[#This Row],[Price]]/T_reg.root.SK[[#This Row],[Starch content]],"")</f>
        <v>14.087468460891506</v>
      </c>
    </row>
    <row r="1670" spans="1:14">
      <c r="A1670" s="21">
        <v>2023</v>
      </c>
      <c r="B1670" s="21" t="s">
        <v>27</v>
      </c>
      <c r="C1670" s="21" t="s">
        <v>1145</v>
      </c>
      <c r="D1670" s="21" t="s">
        <v>35</v>
      </c>
      <c r="E1670" s="17" t="s">
        <v>506</v>
      </c>
      <c r="F1670" s="18" t="s">
        <v>105</v>
      </c>
      <c r="G1670" s="18" t="s">
        <v>48</v>
      </c>
      <c r="H1670" s="24">
        <v>33940</v>
      </c>
      <c r="I1670" s="24">
        <f>T_reg.root.SK[[#This Row],[Volume, kg]]/1000</f>
        <v>33.94</v>
      </c>
      <c r="J1670" s="25">
        <v>0.25059999999999999</v>
      </c>
      <c r="K1670" s="25">
        <f t="shared" si="26"/>
        <v>8505.3639999999996</v>
      </c>
      <c r="L1670" s="25">
        <v>3.4</v>
      </c>
      <c r="M1670" s="24">
        <v>115535</v>
      </c>
      <c r="N1670" s="25">
        <f>IFERROR(T_reg.root.SK[[#This Row],[Price]]/T_reg.root.SK[[#This Row],[Starch content]],"")</f>
        <v>13.567438148443735</v>
      </c>
    </row>
    <row r="1671" spans="1:14">
      <c r="A1671" s="21">
        <v>2023</v>
      </c>
      <c r="B1671" s="21" t="s">
        <v>27</v>
      </c>
      <c r="C1671" s="21" t="s">
        <v>1145</v>
      </c>
      <c r="D1671" s="21" t="s">
        <v>35</v>
      </c>
      <c r="E1671" s="17" t="s">
        <v>325</v>
      </c>
      <c r="F1671" s="18" t="s">
        <v>105</v>
      </c>
      <c r="G1671" s="18" t="s">
        <v>48</v>
      </c>
      <c r="H1671" s="24">
        <v>37880</v>
      </c>
      <c r="I1671" s="24">
        <f>T_reg.root.SK[[#This Row],[Volume, kg]]/1000</f>
        <v>37.880000000000003</v>
      </c>
      <c r="J1671" s="25">
        <v>0.2462</v>
      </c>
      <c r="K1671" s="25">
        <f t="shared" si="26"/>
        <v>9326.0560000000005</v>
      </c>
      <c r="L1671" s="25">
        <v>3.39</v>
      </c>
      <c r="M1671" s="24">
        <v>128444</v>
      </c>
      <c r="N1671" s="25">
        <f>IFERROR(T_reg.root.SK[[#This Row],[Price]]/T_reg.root.SK[[#This Row],[Starch content]],"")</f>
        <v>13.769293257514217</v>
      </c>
    </row>
    <row r="1672" spans="1:14">
      <c r="A1672" s="21">
        <v>2023</v>
      </c>
      <c r="B1672" s="21" t="s">
        <v>27</v>
      </c>
      <c r="C1672" s="21" t="s">
        <v>1145</v>
      </c>
      <c r="D1672" s="21" t="s">
        <v>35</v>
      </c>
      <c r="E1672" s="17" t="s">
        <v>507</v>
      </c>
      <c r="F1672" s="18" t="s">
        <v>105</v>
      </c>
      <c r="G1672" s="18" t="s">
        <v>48</v>
      </c>
      <c r="H1672" s="24">
        <v>177400</v>
      </c>
      <c r="I1672" s="24">
        <f>T_reg.root.SK[[#This Row],[Volume, kg]]/1000</f>
        <v>177.4</v>
      </c>
      <c r="J1672" s="25">
        <v>0.25650000000000001</v>
      </c>
      <c r="K1672" s="25">
        <f t="shared" si="26"/>
        <v>45503.1</v>
      </c>
      <c r="L1672" s="25">
        <v>3.49</v>
      </c>
      <c r="M1672" s="24">
        <v>618362.5</v>
      </c>
      <c r="N1672" s="25">
        <f>IFERROR(T_reg.root.SK[[#This Row],[Price]]/T_reg.root.SK[[#This Row],[Starch content]],"")</f>
        <v>13.606237816764134</v>
      </c>
    </row>
    <row r="1673" spans="1:14">
      <c r="A1673" s="21">
        <v>2023</v>
      </c>
      <c r="B1673" s="21" t="s">
        <v>27</v>
      </c>
      <c r="C1673" s="21" t="s">
        <v>1145</v>
      </c>
      <c r="D1673" s="21" t="s">
        <v>35</v>
      </c>
      <c r="E1673" s="17" t="s">
        <v>174</v>
      </c>
      <c r="F1673" s="18" t="s">
        <v>105</v>
      </c>
      <c r="G1673" s="18" t="s">
        <v>48</v>
      </c>
      <c r="H1673" s="24">
        <v>87130</v>
      </c>
      <c r="I1673" s="24">
        <f>T_reg.root.SK[[#This Row],[Volume, kg]]/1000</f>
        <v>87.13</v>
      </c>
      <c r="J1673" s="25">
        <v>0.2462</v>
      </c>
      <c r="K1673" s="25">
        <f t="shared" si="26"/>
        <v>21451.405999999999</v>
      </c>
      <c r="L1673" s="25">
        <v>3.42</v>
      </c>
      <c r="M1673" s="24">
        <v>297605.5</v>
      </c>
      <c r="N1673" s="25">
        <f>IFERROR(T_reg.root.SK[[#This Row],[Price]]/T_reg.root.SK[[#This Row],[Starch content]],"")</f>
        <v>13.89114541023558</v>
      </c>
    </row>
    <row r="1674" spans="1:14">
      <c r="A1674" s="21">
        <v>2023</v>
      </c>
      <c r="B1674" s="21" t="s">
        <v>27</v>
      </c>
      <c r="C1674" s="21" t="s">
        <v>1145</v>
      </c>
      <c r="D1674" s="21" t="s">
        <v>35</v>
      </c>
      <c r="E1674" s="17" t="s">
        <v>577</v>
      </c>
      <c r="F1674" s="18" t="s">
        <v>105</v>
      </c>
      <c r="G1674" s="18" t="s">
        <v>48</v>
      </c>
      <c r="H1674" s="24">
        <v>77960</v>
      </c>
      <c r="I1674" s="24">
        <f>T_reg.root.SK[[#This Row],[Volume, kg]]/1000</f>
        <v>77.959999999999994</v>
      </c>
      <c r="J1674" s="25">
        <v>0.2606</v>
      </c>
      <c r="K1674" s="25">
        <f t="shared" si="26"/>
        <v>20316.376</v>
      </c>
      <c r="L1674" s="25">
        <v>3.45</v>
      </c>
      <c r="M1674" s="24">
        <v>268960</v>
      </c>
      <c r="N1674" s="25">
        <f>IFERROR(T_reg.root.SK[[#This Row],[Price]]/T_reg.root.SK[[#This Row],[Starch content]],"")</f>
        <v>13.238679969301613</v>
      </c>
    </row>
    <row r="1675" spans="1:14">
      <c r="A1675" s="21">
        <v>2023</v>
      </c>
      <c r="B1675" s="21" t="s">
        <v>27</v>
      </c>
      <c r="C1675" s="21" t="s">
        <v>1145</v>
      </c>
      <c r="D1675" s="21" t="s">
        <v>35</v>
      </c>
      <c r="E1675" s="17" t="s">
        <v>175</v>
      </c>
      <c r="F1675" s="18" t="s">
        <v>105</v>
      </c>
      <c r="G1675" s="18" t="s">
        <v>48</v>
      </c>
      <c r="H1675" s="24">
        <v>8350</v>
      </c>
      <c r="I1675" s="24">
        <f>T_reg.root.SK[[#This Row],[Volume, kg]]/1000</f>
        <v>8.35</v>
      </c>
      <c r="J1675" s="25">
        <v>0.19649999999999998</v>
      </c>
      <c r="K1675" s="25">
        <f t="shared" si="26"/>
        <v>1640.7749999999999</v>
      </c>
      <c r="L1675" s="25">
        <v>3.15</v>
      </c>
      <c r="M1675" s="24">
        <v>26302.5</v>
      </c>
      <c r="N1675" s="25">
        <f>IFERROR(T_reg.root.SK[[#This Row],[Price]]/T_reg.root.SK[[#This Row],[Starch content]],"")</f>
        <v>16.03053435114504</v>
      </c>
    </row>
    <row r="1676" spans="1:14">
      <c r="A1676" s="21">
        <v>2023</v>
      </c>
      <c r="B1676" s="21" t="s">
        <v>27</v>
      </c>
      <c r="C1676" s="21" t="s">
        <v>1145</v>
      </c>
      <c r="D1676" s="21" t="s">
        <v>35</v>
      </c>
      <c r="E1676" s="17" t="s">
        <v>605</v>
      </c>
      <c r="F1676" s="18" t="s">
        <v>105</v>
      </c>
      <c r="G1676" s="18" t="s">
        <v>48</v>
      </c>
      <c r="H1676" s="24">
        <v>680570</v>
      </c>
      <c r="I1676" s="24">
        <f>T_reg.root.SK[[#This Row],[Volume, kg]]/1000</f>
        <v>680.57</v>
      </c>
      <c r="J1676" s="25">
        <v>0.2354</v>
      </c>
      <c r="K1676" s="25">
        <f t="shared" si="26"/>
        <v>160206.17799999999</v>
      </c>
      <c r="L1676" s="25">
        <v>3.34</v>
      </c>
      <c r="M1676" s="24">
        <v>2273033.5</v>
      </c>
      <c r="N1676" s="25">
        <f>IFERROR(T_reg.root.SK[[#This Row],[Price]]/T_reg.root.SK[[#This Row],[Starch content]],"")</f>
        <v>14.188615123194563</v>
      </c>
    </row>
    <row r="1677" spans="1:14">
      <c r="A1677" s="21">
        <v>2023</v>
      </c>
      <c r="B1677" s="21" t="s">
        <v>27</v>
      </c>
      <c r="C1677" s="21" t="s">
        <v>1145</v>
      </c>
      <c r="D1677" s="21" t="s">
        <v>35</v>
      </c>
      <c r="E1677" s="17" t="s">
        <v>259</v>
      </c>
      <c r="F1677" s="18" t="s">
        <v>105</v>
      </c>
      <c r="G1677" s="18" t="s">
        <v>48</v>
      </c>
      <c r="H1677" s="24">
        <v>23170</v>
      </c>
      <c r="I1677" s="24">
        <f>T_reg.root.SK[[#This Row],[Volume, kg]]/1000</f>
        <v>23.17</v>
      </c>
      <c r="J1677" s="25">
        <v>0.29730000000000001</v>
      </c>
      <c r="K1677" s="25">
        <f t="shared" si="26"/>
        <v>6888.4409999999998</v>
      </c>
      <c r="L1677" s="25">
        <v>3.64</v>
      </c>
      <c r="M1677" s="24">
        <v>84416</v>
      </c>
      <c r="N1677" s="25">
        <f>IFERROR(T_reg.root.SK[[#This Row],[Price]]/T_reg.root.SK[[#This Row],[Starch content]],"")</f>
        <v>12.243525058863101</v>
      </c>
    </row>
    <row r="1678" spans="1:14">
      <c r="A1678" s="21">
        <v>2023</v>
      </c>
      <c r="B1678" s="21" t="s">
        <v>27</v>
      </c>
      <c r="C1678" s="21" t="s">
        <v>1145</v>
      </c>
      <c r="D1678" s="21" t="s">
        <v>35</v>
      </c>
      <c r="E1678" s="17" t="s">
        <v>329</v>
      </c>
      <c r="F1678" s="18" t="s">
        <v>105</v>
      </c>
      <c r="G1678" s="18" t="s">
        <v>48</v>
      </c>
      <c r="H1678" s="24">
        <v>46380</v>
      </c>
      <c r="I1678" s="24">
        <f>T_reg.root.SK[[#This Row],[Volume, kg]]/1000</f>
        <v>46.38</v>
      </c>
      <c r="J1678" s="25">
        <v>0.2321</v>
      </c>
      <c r="K1678" s="25">
        <f t="shared" si="26"/>
        <v>10764.798000000001</v>
      </c>
      <c r="L1678" s="25">
        <v>3.31</v>
      </c>
      <c r="M1678" s="24">
        <v>153597.5</v>
      </c>
      <c r="N1678" s="25">
        <f>IFERROR(T_reg.root.SK[[#This Row],[Price]]/T_reg.root.SK[[#This Row],[Starch content]],"")</f>
        <v>14.261094355881086</v>
      </c>
    </row>
    <row r="1679" spans="1:14">
      <c r="A1679" s="21">
        <v>2023</v>
      </c>
      <c r="B1679" s="21" t="s">
        <v>27</v>
      </c>
      <c r="C1679" s="21" t="s">
        <v>1145</v>
      </c>
      <c r="D1679" s="21" t="s">
        <v>35</v>
      </c>
      <c r="E1679" s="17" t="s">
        <v>179</v>
      </c>
      <c r="F1679" s="18" t="s">
        <v>105</v>
      </c>
      <c r="G1679" s="18" t="s">
        <v>48</v>
      </c>
      <c r="H1679" s="24">
        <v>35780</v>
      </c>
      <c r="I1679" s="24">
        <f>T_reg.root.SK[[#This Row],[Volume, kg]]/1000</f>
        <v>35.78</v>
      </c>
      <c r="J1679" s="25">
        <v>0.2147</v>
      </c>
      <c r="K1679" s="25">
        <f t="shared" si="26"/>
        <v>7681.9660000000003</v>
      </c>
      <c r="L1679" s="25">
        <v>3.27</v>
      </c>
      <c r="M1679" s="24">
        <v>117020</v>
      </c>
      <c r="N1679" s="25">
        <f>IFERROR(T_reg.root.SK[[#This Row],[Price]]/T_reg.root.SK[[#This Row],[Starch content]],"")</f>
        <v>15.230554261760597</v>
      </c>
    </row>
    <row r="1680" spans="1:14">
      <c r="A1680" s="21">
        <v>2023</v>
      </c>
      <c r="B1680" s="21" t="s">
        <v>27</v>
      </c>
      <c r="C1680" s="21" t="s">
        <v>1145</v>
      </c>
      <c r="D1680" s="21" t="s">
        <v>35</v>
      </c>
      <c r="E1680" s="17" t="s">
        <v>181</v>
      </c>
      <c r="F1680" s="18" t="s">
        <v>105</v>
      </c>
      <c r="G1680" s="18" t="s">
        <v>48</v>
      </c>
      <c r="H1680" s="24">
        <v>97290</v>
      </c>
      <c r="I1680" s="24">
        <f>T_reg.root.SK[[#This Row],[Volume, kg]]/1000</f>
        <v>97.29</v>
      </c>
      <c r="J1680" s="25">
        <v>0.23949999999999999</v>
      </c>
      <c r="K1680" s="25">
        <f t="shared" si="26"/>
        <v>23300.954999999998</v>
      </c>
      <c r="L1680" s="25">
        <v>3.44</v>
      </c>
      <c r="M1680" s="24">
        <v>334361</v>
      </c>
      <c r="N1680" s="25">
        <f>IFERROR(T_reg.root.SK[[#This Row],[Price]]/T_reg.root.SK[[#This Row],[Starch content]],"")</f>
        <v>14.363256784968685</v>
      </c>
    </row>
    <row r="1681" spans="1:14">
      <c r="A1681" s="21">
        <v>2023</v>
      </c>
      <c r="B1681" s="21" t="s">
        <v>27</v>
      </c>
      <c r="C1681" s="21" t="s">
        <v>1145</v>
      </c>
      <c r="D1681" s="21" t="s">
        <v>35</v>
      </c>
      <c r="E1681" s="17" t="s">
        <v>640</v>
      </c>
      <c r="F1681" s="18" t="s">
        <v>105</v>
      </c>
      <c r="G1681" s="18" t="s">
        <v>48</v>
      </c>
      <c r="H1681" s="24">
        <v>162500</v>
      </c>
      <c r="I1681" s="24">
        <f>T_reg.root.SK[[#This Row],[Volume, kg]]/1000</f>
        <v>162.5</v>
      </c>
      <c r="J1681" s="25">
        <v>0.20199999999999999</v>
      </c>
      <c r="K1681" s="25">
        <f t="shared" si="26"/>
        <v>32825</v>
      </c>
      <c r="L1681" s="25">
        <v>3.21</v>
      </c>
      <c r="M1681" s="24">
        <v>521895.5</v>
      </c>
      <c r="N1681" s="25">
        <f>IFERROR(T_reg.root.SK[[#This Row],[Price]]/T_reg.root.SK[[#This Row],[Starch content]],"")</f>
        <v>15.891089108910892</v>
      </c>
    </row>
    <row r="1682" spans="1:14">
      <c r="A1682" s="21">
        <v>2023</v>
      </c>
      <c r="B1682" s="21" t="s">
        <v>27</v>
      </c>
      <c r="C1682" s="21" t="s">
        <v>1145</v>
      </c>
      <c r="D1682" s="21" t="s">
        <v>35</v>
      </c>
      <c r="E1682" s="17" t="s">
        <v>641</v>
      </c>
      <c r="F1682" s="18" t="s">
        <v>105</v>
      </c>
      <c r="G1682" s="18" t="s">
        <v>48</v>
      </c>
      <c r="H1682" s="24">
        <v>17630</v>
      </c>
      <c r="I1682" s="24">
        <f>T_reg.root.SK[[#This Row],[Volume, kg]]/1000</f>
        <v>17.63</v>
      </c>
      <c r="J1682" s="25">
        <v>0.19969999999999999</v>
      </c>
      <c r="K1682" s="25">
        <f t="shared" si="26"/>
        <v>3520.7109999999998</v>
      </c>
      <c r="L1682" s="25">
        <v>3.15</v>
      </c>
      <c r="M1682" s="24">
        <v>55474</v>
      </c>
      <c r="N1682" s="25">
        <f>IFERROR(T_reg.root.SK[[#This Row],[Price]]/T_reg.root.SK[[#This Row],[Starch content]],"")</f>
        <v>15.773660490736104</v>
      </c>
    </row>
    <row r="1683" spans="1:14">
      <c r="A1683" s="21">
        <v>2023</v>
      </c>
      <c r="B1683" s="21" t="s">
        <v>27</v>
      </c>
      <c r="C1683" s="21" t="s">
        <v>1145</v>
      </c>
      <c r="D1683" s="21" t="s">
        <v>35</v>
      </c>
      <c r="E1683" s="17" t="s">
        <v>183</v>
      </c>
      <c r="F1683" s="18" t="s">
        <v>105</v>
      </c>
      <c r="G1683" s="18" t="s">
        <v>48</v>
      </c>
      <c r="H1683" s="24">
        <v>43490</v>
      </c>
      <c r="I1683" s="24">
        <f>T_reg.root.SK[[#This Row],[Volume, kg]]/1000</f>
        <v>43.49</v>
      </c>
      <c r="J1683" s="25">
        <v>0.22469999999999998</v>
      </c>
      <c r="K1683" s="25">
        <f t="shared" si="26"/>
        <v>9772.2029999999995</v>
      </c>
      <c r="L1683" s="25">
        <v>3.33</v>
      </c>
      <c r="M1683" s="24">
        <v>144703.5</v>
      </c>
      <c r="N1683" s="25">
        <f>IFERROR(T_reg.root.SK[[#This Row],[Price]]/T_reg.root.SK[[#This Row],[Starch content]],"")</f>
        <v>14.819759679572766</v>
      </c>
    </row>
    <row r="1684" spans="1:14">
      <c r="A1684" s="21">
        <v>2023</v>
      </c>
      <c r="B1684" s="21" t="s">
        <v>27</v>
      </c>
      <c r="C1684" s="21" t="s">
        <v>1145</v>
      </c>
      <c r="D1684" s="21" t="s">
        <v>35</v>
      </c>
      <c r="E1684" s="17" t="s">
        <v>330</v>
      </c>
      <c r="F1684" s="18" t="s">
        <v>187</v>
      </c>
      <c r="G1684" s="18" t="s">
        <v>48</v>
      </c>
      <c r="H1684" s="24">
        <v>111590</v>
      </c>
      <c r="I1684" s="24">
        <f>T_reg.root.SK[[#This Row],[Volume, kg]]/1000</f>
        <v>111.59</v>
      </c>
      <c r="J1684" s="25">
        <v>0.22170000000000001</v>
      </c>
      <c r="K1684" s="25">
        <f t="shared" si="26"/>
        <v>24739.503000000001</v>
      </c>
      <c r="L1684" s="25">
        <v>3.36</v>
      </c>
      <c r="M1684" s="24">
        <v>375445.5</v>
      </c>
      <c r="N1684" s="25">
        <f>IFERROR(T_reg.root.SK[[#This Row],[Price]]/T_reg.root.SK[[#This Row],[Starch content]],"")</f>
        <v>15.155615696887685</v>
      </c>
    </row>
    <row r="1685" spans="1:14">
      <c r="A1685" s="21">
        <v>2023</v>
      </c>
      <c r="B1685" s="21" t="s">
        <v>27</v>
      </c>
      <c r="C1685" s="21" t="s">
        <v>1145</v>
      </c>
      <c r="D1685" s="21" t="s">
        <v>35</v>
      </c>
      <c r="E1685" s="17" t="s">
        <v>579</v>
      </c>
      <c r="F1685" s="18" t="s">
        <v>187</v>
      </c>
      <c r="G1685" s="18" t="s">
        <v>48</v>
      </c>
      <c r="H1685" s="24">
        <v>219190</v>
      </c>
      <c r="I1685" s="24">
        <f>T_reg.root.SK[[#This Row],[Volume, kg]]/1000</f>
        <v>219.19</v>
      </c>
      <c r="J1685" s="25">
        <v>0.23530000000000001</v>
      </c>
      <c r="K1685" s="25">
        <f t="shared" si="26"/>
        <v>51575.406999999999</v>
      </c>
      <c r="L1685" s="25">
        <v>3.45</v>
      </c>
      <c r="M1685" s="24">
        <v>757275</v>
      </c>
      <c r="N1685" s="25">
        <f>IFERROR(T_reg.root.SK[[#This Row],[Price]]/T_reg.root.SK[[#This Row],[Starch content]],"")</f>
        <v>14.662133446663834</v>
      </c>
    </row>
    <row r="1686" spans="1:14">
      <c r="A1686" s="21">
        <v>2023</v>
      </c>
      <c r="B1686" s="21" t="s">
        <v>27</v>
      </c>
      <c r="C1686" s="21" t="s">
        <v>1145</v>
      </c>
      <c r="D1686" s="21" t="s">
        <v>35</v>
      </c>
      <c r="E1686" s="17" t="s">
        <v>186</v>
      </c>
      <c r="F1686" s="18" t="s">
        <v>187</v>
      </c>
      <c r="G1686" s="18" t="s">
        <v>48</v>
      </c>
      <c r="H1686" s="24">
        <v>56720</v>
      </c>
      <c r="I1686" s="24">
        <f>T_reg.root.SK[[#This Row],[Volume, kg]]/1000</f>
        <v>56.72</v>
      </c>
      <c r="J1686" s="25">
        <v>0.23420000000000002</v>
      </c>
      <c r="K1686" s="25">
        <f t="shared" si="26"/>
        <v>13283.824000000001</v>
      </c>
      <c r="L1686" s="25">
        <v>3.46</v>
      </c>
      <c r="M1686" s="24">
        <v>196495</v>
      </c>
      <c r="N1686" s="25">
        <f>IFERROR(T_reg.root.SK[[#This Row],[Price]]/T_reg.root.SK[[#This Row],[Starch content]],"")</f>
        <v>14.773697694278393</v>
      </c>
    </row>
    <row r="1687" spans="1:14">
      <c r="A1687" s="21">
        <v>2023</v>
      </c>
      <c r="B1687" s="21" t="s">
        <v>27</v>
      </c>
      <c r="C1687" s="21" t="s">
        <v>1145</v>
      </c>
      <c r="D1687" s="21" t="s">
        <v>35</v>
      </c>
      <c r="E1687" s="17" t="s">
        <v>188</v>
      </c>
      <c r="F1687" s="18" t="s">
        <v>187</v>
      </c>
      <c r="G1687" s="18" t="s">
        <v>48</v>
      </c>
      <c r="H1687" s="24">
        <v>34910</v>
      </c>
      <c r="I1687" s="24">
        <f>T_reg.root.SK[[#This Row],[Volume, kg]]/1000</f>
        <v>34.909999999999997</v>
      </c>
      <c r="J1687" s="25">
        <v>0.2571</v>
      </c>
      <c r="K1687" s="25">
        <f t="shared" si="26"/>
        <v>8975.360999999999</v>
      </c>
      <c r="L1687" s="25">
        <v>3.66</v>
      </c>
      <c r="M1687" s="24">
        <v>127935</v>
      </c>
      <c r="N1687" s="25">
        <f>IFERROR(T_reg.root.SK[[#This Row],[Price]]/T_reg.root.SK[[#This Row],[Starch content]],"")</f>
        <v>14.235705950991832</v>
      </c>
    </row>
    <row r="1688" spans="1:14">
      <c r="A1688" s="21">
        <v>2023</v>
      </c>
      <c r="B1688" s="21" t="s">
        <v>27</v>
      </c>
      <c r="C1688" s="21" t="s">
        <v>1145</v>
      </c>
      <c r="D1688" s="21" t="s">
        <v>35</v>
      </c>
      <c r="E1688" s="17" t="s">
        <v>190</v>
      </c>
      <c r="F1688" s="18" t="s">
        <v>187</v>
      </c>
      <c r="G1688" s="18" t="s">
        <v>48</v>
      </c>
      <c r="H1688" s="24">
        <v>38040</v>
      </c>
      <c r="I1688" s="24">
        <f>T_reg.root.SK[[#This Row],[Volume, kg]]/1000</f>
        <v>38.04</v>
      </c>
      <c r="J1688" s="25">
        <v>0.23749999999999999</v>
      </c>
      <c r="K1688" s="25">
        <f t="shared" si="26"/>
        <v>9034.5</v>
      </c>
      <c r="L1688" s="25">
        <v>3.46</v>
      </c>
      <c r="M1688" s="24">
        <v>131706</v>
      </c>
      <c r="N1688" s="25">
        <f>IFERROR(T_reg.root.SK[[#This Row],[Price]]/T_reg.root.SK[[#This Row],[Starch content]],"")</f>
        <v>14.56842105263158</v>
      </c>
    </row>
    <row r="1689" spans="1:14">
      <c r="A1689" s="21">
        <v>2023</v>
      </c>
      <c r="B1689" s="21" t="s">
        <v>27</v>
      </c>
      <c r="C1689" s="21" t="s">
        <v>1145</v>
      </c>
      <c r="D1689" s="21" t="s">
        <v>35</v>
      </c>
      <c r="E1689" s="17" t="s">
        <v>608</v>
      </c>
      <c r="F1689" s="18" t="s">
        <v>187</v>
      </c>
      <c r="G1689" s="18" t="s">
        <v>48</v>
      </c>
      <c r="H1689" s="24">
        <v>14130</v>
      </c>
      <c r="I1689" s="24">
        <f>T_reg.root.SK[[#This Row],[Volume, kg]]/1000</f>
        <v>14.13</v>
      </c>
      <c r="J1689" s="25">
        <v>0.19589999999999999</v>
      </c>
      <c r="K1689" s="25">
        <f t="shared" si="26"/>
        <v>2768.067</v>
      </c>
      <c r="L1689" s="25">
        <v>3.27</v>
      </c>
      <c r="M1689" s="24">
        <v>46249</v>
      </c>
      <c r="N1689" s="25">
        <f>IFERROR(T_reg.root.SK[[#This Row],[Price]]/T_reg.root.SK[[#This Row],[Starch content]],"")</f>
        <v>16.69218989280245</v>
      </c>
    </row>
    <row r="1690" spans="1:14">
      <c r="A1690" s="21">
        <v>2023</v>
      </c>
      <c r="B1690" s="21" t="s">
        <v>27</v>
      </c>
      <c r="C1690" s="21" t="s">
        <v>1145</v>
      </c>
      <c r="D1690" s="21" t="s">
        <v>35</v>
      </c>
      <c r="E1690" s="17" t="s">
        <v>583</v>
      </c>
      <c r="F1690" s="18" t="s">
        <v>187</v>
      </c>
      <c r="G1690" s="18" t="s">
        <v>48</v>
      </c>
      <c r="H1690" s="24">
        <v>179830</v>
      </c>
      <c r="I1690" s="24">
        <f>T_reg.root.SK[[#This Row],[Volume, kg]]/1000</f>
        <v>179.83</v>
      </c>
      <c r="J1690" s="25">
        <v>0.23980000000000001</v>
      </c>
      <c r="K1690" s="25">
        <f t="shared" si="26"/>
        <v>43123.234000000004</v>
      </c>
      <c r="L1690" s="25">
        <v>3.45</v>
      </c>
      <c r="M1690" s="24">
        <v>621297.5</v>
      </c>
      <c r="N1690" s="25">
        <f>IFERROR(T_reg.root.SK[[#This Row],[Price]]/T_reg.root.SK[[#This Row],[Starch content]],"")</f>
        <v>14.38698915763136</v>
      </c>
    </row>
    <row r="1691" spans="1:14">
      <c r="A1691" s="21">
        <v>2023</v>
      </c>
      <c r="B1691" s="21" t="s">
        <v>27</v>
      </c>
      <c r="C1691" s="21" t="s">
        <v>1145</v>
      </c>
      <c r="D1691" s="21" t="s">
        <v>35</v>
      </c>
      <c r="E1691" s="17" t="s">
        <v>192</v>
      </c>
      <c r="F1691" s="18" t="s">
        <v>187</v>
      </c>
      <c r="G1691" s="18" t="s">
        <v>48</v>
      </c>
      <c r="H1691" s="24">
        <v>9460</v>
      </c>
      <c r="I1691" s="24">
        <f>T_reg.root.SK[[#This Row],[Volume, kg]]/1000</f>
        <v>9.4600000000000009</v>
      </c>
      <c r="J1691" s="25">
        <v>0.22</v>
      </c>
      <c r="K1691" s="25">
        <f t="shared" si="26"/>
        <v>2081.1999999999998</v>
      </c>
      <c r="L1691" s="25">
        <v>3.35</v>
      </c>
      <c r="M1691" s="24">
        <v>31691</v>
      </c>
      <c r="N1691" s="25">
        <f>IFERROR(T_reg.root.SK[[#This Row],[Price]]/T_reg.root.SK[[#This Row],[Starch content]],"")</f>
        <v>15.227272727272728</v>
      </c>
    </row>
    <row r="1692" spans="1:14">
      <c r="A1692" s="21">
        <v>2023</v>
      </c>
      <c r="B1692" s="21" t="s">
        <v>27</v>
      </c>
      <c r="C1692" s="21" t="s">
        <v>1145</v>
      </c>
      <c r="D1692" s="21" t="s">
        <v>35</v>
      </c>
      <c r="E1692" s="17" t="s">
        <v>621</v>
      </c>
      <c r="F1692" s="18" t="s">
        <v>187</v>
      </c>
      <c r="G1692" s="18" t="s">
        <v>48</v>
      </c>
      <c r="H1692" s="24">
        <v>37000</v>
      </c>
      <c r="I1692" s="24">
        <f>T_reg.root.SK[[#This Row],[Volume, kg]]/1000</f>
        <v>37</v>
      </c>
      <c r="J1692" s="25">
        <v>0.21239999999999998</v>
      </c>
      <c r="K1692" s="25">
        <f t="shared" si="26"/>
        <v>7858.7999999999993</v>
      </c>
      <c r="L1692" s="25">
        <v>3.35</v>
      </c>
      <c r="M1692" s="24">
        <v>123877</v>
      </c>
      <c r="N1692" s="25">
        <f>IFERROR(T_reg.root.SK[[#This Row],[Price]]/T_reg.root.SK[[#This Row],[Starch content]],"")</f>
        <v>15.772128060263656</v>
      </c>
    </row>
    <row r="1693" spans="1:14">
      <c r="A1693" s="21">
        <v>2023</v>
      </c>
      <c r="B1693" s="21" t="s">
        <v>27</v>
      </c>
      <c r="C1693" s="21" t="s">
        <v>1145</v>
      </c>
      <c r="D1693" s="21" t="s">
        <v>35</v>
      </c>
      <c r="E1693" s="17" t="s">
        <v>194</v>
      </c>
      <c r="F1693" s="18" t="s">
        <v>187</v>
      </c>
      <c r="G1693" s="18" t="s">
        <v>48</v>
      </c>
      <c r="H1693" s="24">
        <v>60840</v>
      </c>
      <c r="I1693" s="24">
        <f>T_reg.root.SK[[#This Row],[Volume, kg]]/1000</f>
        <v>60.84</v>
      </c>
      <c r="J1693" s="25">
        <v>0.22450000000000001</v>
      </c>
      <c r="K1693" s="25">
        <f t="shared" si="26"/>
        <v>13658.58</v>
      </c>
      <c r="L1693" s="25">
        <v>3.4</v>
      </c>
      <c r="M1693" s="24">
        <v>206633</v>
      </c>
      <c r="N1693" s="25">
        <f>IFERROR(T_reg.root.SK[[#This Row],[Price]]/T_reg.root.SK[[#This Row],[Starch content]],"")</f>
        <v>15.144766146993318</v>
      </c>
    </row>
    <row r="1694" spans="1:14">
      <c r="A1694" s="21">
        <v>2023</v>
      </c>
      <c r="B1694" s="21" t="s">
        <v>27</v>
      </c>
      <c r="C1694" s="21" t="s">
        <v>1145</v>
      </c>
      <c r="D1694" s="21" t="s">
        <v>35</v>
      </c>
      <c r="E1694" s="17" t="s">
        <v>195</v>
      </c>
      <c r="F1694" s="18" t="s">
        <v>187</v>
      </c>
      <c r="G1694" s="18" t="s">
        <v>48</v>
      </c>
      <c r="H1694" s="24">
        <v>10130</v>
      </c>
      <c r="I1694" s="24">
        <f>T_reg.root.SK[[#This Row],[Volume, kg]]/1000</f>
        <v>10.130000000000001</v>
      </c>
      <c r="J1694" s="25">
        <v>0.18100000000000002</v>
      </c>
      <c r="K1694" s="25">
        <f t="shared" si="26"/>
        <v>1833.5300000000002</v>
      </c>
      <c r="L1694" s="25">
        <v>3.15</v>
      </c>
      <c r="M1694" s="24">
        <v>31909.5</v>
      </c>
      <c r="N1694" s="25">
        <f>IFERROR(T_reg.root.SK[[#This Row],[Price]]/T_reg.root.SK[[#This Row],[Starch content]],"")</f>
        <v>17.403314917127069</v>
      </c>
    </row>
    <row r="1695" spans="1:14">
      <c r="A1695" s="21">
        <v>2023</v>
      </c>
      <c r="B1695" s="21" t="s">
        <v>27</v>
      </c>
      <c r="C1695" s="21" t="s">
        <v>1145</v>
      </c>
      <c r="D1695" s="21" t="s">
        <v>35</v>
      </c>
      <c r="E1695" s="17" t="s">
        <v>517</v>
      </c>
      <c r="F1695" s="18" t="s">
        <v>187</v>
      </c>
      <c r="G1695" s="18" t="s">
        <v>48</v>
      </c>
      <c r="H1695" s="24">
        <v>51760</v>
      </c>
      <c r="I1695" s="24">
        <f>T_reg.root.SK[[#This Row],[Volume, kg]]/1000</f>
        <v>51.76</v>
      </c>
      <c r="J1695" s="25">
        <v>0.26239999999999997</v>
      </c>
      <c r="K1695" s="25">
        <f t="shared" si="26"/>
        <v>13581.823999999999</v>
      </c>
      <c r="L1695" s="25">
        <v>3.56</v>
      </c>
      <c r="M1695" s="24">
        <v>184476</v>
      </c>
      <c r="N1695" s="25">
        <f>IFERROR(T_reg.root.SK[[#This Row],[Price]]/T_reg.root.SK[[#This Row],[Starch content]],"")</f>
        <v>13.567073170731708</v>
      </c>
    </row>
    <row r="1696" spans="1:14">
      <c r="A1696" s="21">
        <v>2023</v>
      </c>
      <c r="B1696" s="21" t="s">
        <v>27</v>
      </c>
      <c r="C1696" s="21" t="s">
        <v>1145</v>
      </c>
      <c r="D1696" s="21" t="s">
        <v>35</v>
      </c>
      <c r="E1696" s="17" t="s">
        <v>519</v>
      </c>
      <c r="F1696" s="18" t="s">
        <v>187</v>
      </c>
      <c r="G1696" s="18" t="s">
        <v>48</v>
      </c>
      <c r="H1696" s="24">
        <v>21160</v>
      </c>
      <c r="I1696" s="24">
        <f>T_reg.root.SK[[#This Row],[Volume, kg]]/1000</f>
        <v>21.16</v>
      </c>
      <c r="J1696" s="25">
        <v>0.25600000000000001</v>
      </c>
      <c r="K1696" s="25">
        <f t="shared" si="26"/>
        <v>5416.96</v>
      </c>
      <c r="L1696" s="25">
        <v>3.66</v>
      </c>
      <c r="M1696" s="24">
        <v>77480.5</v>
      </c>
      <c r="N1696" s="25">
        <f>IFERROR(T_reg.root.SK[[#This Row],[Price]]/T_reg.root.SK[[#This Row],[Starch content]],"")</f>
        <v>14.296875</v>
      </c>
    </row>
    <row r="1697" spans="1:14">
      <c r="A1697" s="21">
        <v>2023</v>
      </c>
      <c r="B1697" s="21" t="s">
        <v>27</v>
      </c>
      <c r="C1697" s="21" t="s">
        <v>1145</v>
      </c>
      <c r="D1697" s="21" t="s">
        <v>35</v>
      </c>
      <c r="E1697" s="17" t="s">
        <v>264</v>
      </c>
      <c r="F1697" s="18" t="s">
        <v>187</v>
      </c>
      <c r="G1697" s="18" t="s">
        <v>48</v>
      </c>
      <c r="H1697" s="24">
        <v>9100</v>
      </c>
      <c r="I1697" s="24">
        <f>T_reg.root.SK[[#This Row],[Volume, kg]]/1000</f>
        <v>9.1</v>
      </c>
      <c r="J1697" s="25">
        <v>0.20300000000000001</v>
      </c>
      <c r="K1697" s="25">
        <f t="shared" si="26"/>
        <v>1847.3000000000002</v>
      </c>
      <c r="L1697" s="25">
        <v>3.3</v>
      </c>
      <c r="M1697" s="24">
        <v>30030</v>
      </c>
      <c r="N1697" s="25">
        <f>IFERROR(T_reg.root.SK[[#This Row],[Price]]/T_reg.root.SK[[#This Row],[Starch content]],"")</f>
        <v>16.256157635467979</v>
      </c>
    </row>
    <row r="1698" spans="1:14">
      <c r="A1698" s="21">
        <v>2023</v>
      </c>
      <c r="B1698" s="21" t="s">
        <v>27</v>
      </c>
      <c r="C1698" s="21" t="s">
        <v>1145</v>
      </c>
      <c r="D1698" s="21" t="s">
        <v>35</v>
      </c>
      <c r="E1698" s="17" t="s">
        <v>523</v>
      </c>
      <c r="F1698" s="18" t="s">
        <v>187</v>
      </c>
      <c r="G1698" s="18" t="s">
        <v>48</v>
      </c>
      <c r="H1698" s="24">
        <v>279630</v>
      </c>
      <c r="I1698" s="24">
        <f>T_reg.root.SK[[#This Row],[Volume, kg]]/1000</f>
        <v>279.63</v>
      </c>
      <c r="J1698" s="25">
        <v>0.22600000000000001</v>
      </c>
      <c r="K1698" s="25">
        <f t="shared" si="26"/>
        <v>63196.380000000005</v>
      </c>
      <c r="L1698" s="25">
        <v>3.41</v>
      </c>
      <c r="M1698" s="24">
        <v>953639</v>
      </c>
      <c r="N1698" s="25">
        <f>IFERROR(T_reg.root.SK[[#This Row],[Price]]/T_reg.root.SK[[#This Row],[Starch content]],"")</f>
        <v>15.08849557522124</v>
      </c>
    </row>
    <row r="1699" spans="1:14">
      <c r="A1699" s="21">
        <v>2023</v>
      </c>
      <c r="B1699" s="21" t="s">
        <v>27</v>
      </c>
      <c r="C1699" s="21" t="s">
        <v>1145</v>
      </c>
      <c r="D1699" s="21" t="s">
        <v>35</v>
      </c>
      <c r="E1699" s="17" t="s">
        <v>198</v>
      </c>
      <c r="F1699" s="18" t="s">
        <v>187</v>
      </c>
      <c r="G1699" s="18" t="s">
        <v>48</v>
      </c>
      <c r="H1699" s="24">
        <v>0</v>
      </c>
      <c r="I1699" s="24">
        <f>T_reg.root.SK[[#This Row],[Volume, kg]]/1000</f>
        <v>0</v>
      </c>
      <c r="J1699" s="25">
        <v>0</v>
      </c>
      <c r="K1699" s="25">
        <f t="shared" si="26"/>
        <v>0</v>
      </c>
      <c r="L1699" s="25">
        <v>0</v>
      </c>
      <c r="M1699" s="24">
        <v>0</v>
      </c>
      <c r="N1699" s="25" t="str">
        <f>IFERROR(T_reg.root.SK[[#This Row],[Price]]/T_reg.root.SK[[#This Row],[Starch content]],"")</f>
        <v/>
      </c>
    </row>
    <row r="1700" spans="1:14">
      <c r="A1700" s="21">
        <v>2023</v>
      </c>
      <c r="B1700" s="21" t="s">
        <v>27</v>
      </c>
      <c r="C1700" s="21" t="s">
        <v>1145</v>
      </c>
      <c r="D1700" s="21" t="s">
        <v>35</v>
      </c>
      <c r="E1700" s="17" t="s">
        <v>611</v>
      </c>
      <c r="F1700" s="18" t="s">
        <v>187</v>
      </c>
      <c r="G1700" s="18" t="s">
        <v>48</v>
      </c>
      <c r="H1700" s="24">
        <v>50980</v>
      </c>
      <c r="I1700" s="24">
        <f>T_reg.root.SK[[#This Row],[Volume, kg]]/1000</f>
        <v>50.98</v>
      </c>
      <c r="J1700" s="25">
        <v>0.2601</v>
      </c>
      <c r="K1700" s="25">
        <f t="shared" si="26"/>
        <v>13259.897999999999</v>
      </c>
      <c r="L1700" s="25">
        <v>3.71</v>
      </c>
      <c r="M1700" s="24">
        <v>188908.5</v>
      </c>
      <c r="N1700" s="25">
        <f>IFERROR(T_reg.root.SK[[#This Row],[Price]]/T_reg.root.SK[[#This Row],[Starch content]],"")</f>
        <v>14.263744713571704</v>
      </c>
    </row>
    <row r="1701" spans="1:14">
      <c r="A1701" s="21">
        <v>2023</v>
      </c>
      <c r="B1701" s="21" t="s">
        <v>27</v>
      </c>
      <c r="C1701" s="21" t="s">
        <v>1145</v>
      </c>
      <c r="D1701" s="21" t="s">
        <v>35</v>
      </c>
      <c r="E1701" s="17" t="s">
        <v>199</v>
      </c>
      <c r="F1701" s="18" t="s">
        <v>187</v>
      </c>
      <c r="G1701" s="18" t="s">
        <v>48</v>
      </c>
      <c r="H1701" s="24">
        <v>9370</v>
      </c>
      <c r="I1701" s="24">
        <f>T_reg.root.SK[[#This Row],[Volume, kg]]/1000</f>
        <v>9.3699999999999992</v>
      </c>
      <c r="J1701" s="25">
        <v>0.25800000000000001</v>
      </c>
      <c r="K1701" s="25">
        <f t="shared" si="26"/>
        <v>2417.46</v>
      </c>
      <c r="L1701" s="25">
        <v>3.6</v>
      </c>
      <c r="M1701" s="24">
        <v>33732</v>
      </c>
      <c r="N1701" s="25">
        <f>IFERROR(T_reg.root.SK[[#This Row],[Price]]/T_reg.root.SK[[#This Row],[Starch content]],"")</f>
        <v>13.953488372093023</v>
      </c>
    </row>
    <row r="1702" spans="1:14">
      <c r="A1702" s="21">
        <v>2023</v>
      </c>
      <c r="B1702" s="21" t="s">
        <v>27</v>
      </c>
      <c r="C1702" s="21" t="s">
        <v>1145</v>
      </c>
      <c r="D1702" s="21" t="s">
        <v>35</v>
      </c>
      <c r="E1702" s="17" t="s">
        <v>200</v>
      </c>
      <c r="F1702" s="18" t="s">
        <v>187</v>
      </c>
      <c r="G1702" s="18" t="s">
        <v>48</v>
      </c>
      <c r="H1702" s="24">
        <v>83370</v>
      </c>
      <c r="I1702" s="24">
        <f>T_reg.root.SK[[#This Row],[Volume, kg]]/1000</f>
        <v>83.37</v>
      </c>
      <c r="J1702" s="25">
        <v>0.2412</v>
      </c>
      <c r="K1702" s="25">
        <f t="shared" si="26"/>
        <v>20108.844000000001</v>
      </c>
      <c r="L1702" s="25">
        <v>3.49</v>
      </c>
      <c r="M1702" s="24">
        <v>290586</v>
      </c>
      <c r="N1702" s="25">
        <f>IFERROR(T_reg.root.SK[[#This Row],[Price]]/T_reg.root.SK[[#This Row],[Starch content]],"")</f>
        <v>14.469320066334992</v>
      </c>
    </row>
    <row r="1703" spans="1:14">
      <c r="A1703" s="21">
        <v>2023</v>
      </c>
      <c r="B1703" s="21" t="s">
        <v>27</v>
      </c>
      <c r="C1703" s="21" t="s">
        <v>1145</v>
      </c>
      <c r="D1703" s="21" t="s">
        <v>35</v>
      </c>
      <c r="E1703" s="17" t="s">
        <v>201</v>
      </c>
      <c r="F1703" s="18" t="s">
        <v>187</v>
      </c>
      <c r="G1703" s="18" t="s">
        <v>48</v>
      </c>
      <c r="H1703" s="24">
        <v>47620</v>
      </c>
      <c r="I1703" s="24">
        <f>T_reg.root.SK[[#This Row],[Volume, kg]]/1000</f>
        <v>47.62</v>
      </c>
      <c r="J1703" s="25">
        <v>0.22500000000000001</v>
      </c>
      <c r="K1703" s="25">
        <f t="shared" si="26"/>
        <v>10714.5</v>
      </c>
      <c r="L1703" s="25">
        <v>3.41</v>
      </c>
      <c r="M1703" s="24">
        <v>162203</v>
      </c>
      <c r="N1703" s="25">
        <f>IFERROR(T_reg.root.SK[[#This Row],[Price]]/T_reg.root.SK[[#This Row],[Starch content]],"")</f>
        <v>15.155555555555555</v>
      </c>
    </row>
    <row r="1704" spans="1:14">
      <c r="A1704" s="21">
        <v>2023</v>
      </c>
      <c r="B1704" s="21" t="s">
        <v>27</v>
      </c>
      <c r="C1704" s="21" t="s">
        <v>1145</v>
      </c>
      <c r="D1704" s="21" t="s">
        <v>35</v>
      </c>
      <c r="E1704" s="17" t="s">
        <v>373</v>
      </c>
      <c r="F1704" s="18" t="s">
        <v>187</v>
      </c>
      <c r="G1704" s="18" t="s">
        <v>48</v>
      </c>
      <c r="H1704" s="24">
        <v>8410</v>
      </c>
      <c r="I1704" s="24">
        <f>T_reg.root.SK[[#This Row],[Volume, kg]]/1000</f>
        <v>8.41</v>
      </c>
      <c r="J1704" s="25">
        <v>0.217</v>
      </c>
      <c r="K1704" s="25">
        <f t="shared" si="26"/>
        <v>1824.97</v>
      </c>
      <c r="L1704" s="25">
        <v>3.35</v>
      </c>
      <c r="M1704" s="24">
        <v>28173.5</v>
      </c>
      <c r="N1704" s="25">
        <f>IFERROR(T_reg.root.SK[[#This Row],[Price]]/T_reg.root.SK[[#This Row],[Starch content]],"")</f>
        <v>15.43778801843318</v>
      </c>
    </row>
    <row r="1705" spans="1:14">
      <c r="A1705" s="21">
        <v>2023</v>
      </c>
      <c r="B1705" s="21" t="s">
        <v>27</v>
      </c>
      <c r="C1705" s="21" t="s">
        <v>1145</v>
      </c>
      <c r="D1705" s="21" t="s">
        <v>35</v>
      </c>
      <c r="E1705" s="17" t="s">
        <v>332</v>
      </c>
      <c r="F1705" s="18" t="s">
        <v>187</v>
      </c>
      <c r="G1705" s="18" t="s">
        <v>48</v>
      </c>
      <c r="H1705" s="24">
        <v>44500</v>
      </c>
      <c r="I1705" s="24">
        <f>T_reg.root.SK[[#This Row],[Volume, kg]]/1000</f>
        <v>44.5</v>
      </c>
      <c r="J1705" s="25">
        <v>0.2109</v>
      </c>
      <c r="K1705" s="25">
        <f t="shared" si="26"/>
        <v>9385.0500000000011</v>
      </c>
      <c r="L1705" s="25">
        <v>3.3</v>
      </c>
      <c r="M1705" s="24">
        <v>146808.5</v>
      </c>
      <c r="N1705" s="25">
        <f>IFERROR(T_reg.root.SK[[#This Row],[Price]]/T_reg.root.SK[[#This Row],[Starch content]],"")</f>
        <v>15.647226173541961</v>
      </c>
    </row>
    <row r="1706" spans="1:14">
      <c r="A1706" s="21">
        <v>2023</v>
      </c>
      <c r="B1706" s="21" t="s">
        <v>27</v>
      </c>
      <c r="C1706" s="21" t="s">
        <v>1145</v>
      </c>
      <c r="D1706" s="21" t="s">
        <v>35</v>
      </c>
      <c r="E1706" s="17" t="s">
        <v>266</v>
      </c>
      <c r="F1706" s="18" t="s">
        <v>187</v>
      </c>
      <c r="G1706" s="18" t="s">
        <v>48</v>
      </c>
      <c r="H1706" s="24">
        <v>37110</v>
      </c>
      <c r="I1706" s="24">
        <f>T_reg.root.SK[[#This Row],[Volume, kg]]/1000</f>
        <v>37.11</v>
      </c>
      <c r="J1706" s="25">
        <v>0.21260000000000001</v>
      </c>
      <c r="K1706" s="25">
        <f t="shared" si="26"/>
        <v>7889.5860000000002</v>
      </c>
      <c r="L1706" s="25">
        <v>3.31</v>
      </c>
      <c r="M1706" s="24">
        <v>122918.5</v>
      </c>
      <c r="N1706" s="25">
        <f>IFERROR(T_reg.root.SK[[#This Row],[Price]]/T_reg.root.SK[[#This Row],[Starch content]],"")</f>
        <v>15.569143932267167</v>
      </c>
    </row>
    <row r="1707" spans="1:14">
      <c r="A1707" s="21">
        <v>2023</v>
      </c>
      <c r="B1707" s="21" t="s">
        <v>27</v>
      </c>
      <c r="C1707" s="21" t="s">
        <v>1145</v>
      </c>
      <c r="D1707" s="21" t="s">
        <v>35</v>
      </c>
      <c r="E1707" s="17" t="s">
        <v>622</v>
      </c>
      <c r="F1707" s="18" t="s">
        <v>187</v>
      </c>
      <c r="G1707" s="18" t="s">
        <v>48</v>
      </c>
      <c r="H1707" s="24">
        <v>29100</v>
      </c>
      <c r="I1707" s="24">
        <f>T_reg.root.SK[[#This Row],[Volume, kg]]/1000</f>
        <v>29.1</v>
      </c>
      <c r="J1707" s="25">
        <v>0.2177</v>
      </c>
      <c r="K1707" s="25">
        <f t="shared" si="26"/>
        <v>6335.07</v>
      </c>
      <c r="L1707" s="25">
        <v>3.4</v>
      </c>
      <c r="M1707" s="24">
        <v>98959</v>
      </c>
      <c r="N1707" s="25">
        <f>IFERROR(T_reg.root.SK[[#This Row],[Price]]/T_reg.root.SK[[#This Row],[Starch content]],"")</f>
        <v>15.617822691777675</v>
      </c>
    </row>
    <row r="1708" spans="1:14">
      <c r="A1708" s="21">
        <v>2023</v>
      </c>
      <c r="B1708" s="21" t="s">
        <v>27</v>
      </c>
      <c r="C1708" s="21" t="s">
        <v>1145</v>
      </c>
      <c r="D1708" s="21" t="s">
        <v>35</v>
      </c>
      <c r="E1708" s="17" t="s">
        <v>206</v>
      </c>
      <c r="F1708" s="18" t="s">
        <v>187</v>
      </c>
      <c r="G1708" s="18" t="s">
        <v>48</v>
      </c>
      <c r="H1708" s="24">
        <v>17160</v>
      </c>
      <c r="I1708" s="24">
        <f>T_reg.root.SK[[#This Row],[Volume, kg]]/1000</f>
        <v>17.16</v>
      </c>
      <c r="J1708" s="25">
        <v>0.18899999999999997</v>
      </c>
      <c r="K1708" s="25">
        <f t="shared" si="26"/>
        <v>3243.2399999999993</v>
      </c>
      <c r="L1708" s="25">
        <v>3.35</v>
      </c>
      <c r="M1708" s="24">
        <v>57490</v>
      </c>
      <c r="N1708" s="25">
        <f>IFERROR(T_reg.root.SK[[#This Row],[Price]]/T_reg.root.SK[[#This Row],[Starch content]],"")</f>
        <v>17.724867724867728</v>
      </c>
    </row>
    <row r="1709" spans="1:14">
      <c r="A1709" s="21">
        <v>2023</v>
      </c>
      <c r="B1709" s="21" t="s">
        <v>27</v>
      </c>
      <c r="C1709" s="21" t="s">
        <v>1145</v>
      </c>
      <c r="D1709" s="21" t="s">
        <v>35</v>
      </c>
      <c r="E1709" s="17" t="s">
        <v>267</v>
      </c>
      <c r="F1709" s="18" t="s">
        <v>187</v>
      </c>
      <c r="G1709" s="18" t="s">
        <v>48</v>
      </c>
      <c r="H1709" s="24">
        <v>0</v>
      </c>
      <c r="I1709" s="24">
        <f>T_reg.root.SK[[#This Row],[Volume, kg]]/1000</f>
        <v>0</v>
      </c>
      <c r="J1709" s="25">
        <v>0</v>
      </c>
      <c r="K1709" s="25">
        <f t="shared" si="26"/>
        <v>0</v>
      </c>
      <c r="L1709" s="25">
        <v>0</v>
      </c>
      <c r="M1709" s="24">
        <v>0</v>
      </c>
      <c r="N1709" s="25" t="str">
        <f>IFERROR(T_reg.root.SK[[#This Row],[Price]]/T_reg.root.SK[[#This Row],[Starch content]],"")</f>
        <v/>
      </c>
    </row>
    <row r="1710" spans="1:14">
      <c r="A1710" s="21">
        <v>2023</v>
      </c>
      <c r="B1710" s="21" t="s">
        <v>27</v>
      </c>
      <c r="C1710" s="21" t="s">
        <v>1145</v>
      </c>
      <c r="D1710" s="21" t="s">
        <v>35</v>
      </c>
      <c r="E1710" s="17" t="s">
        <v>268</v>
      </c>
      <c r="F1710" s="18" t="s">
        <v>187</v>
      </c>
      <c r="G1710" s="18" t="s">
        <v>48</v>
      </c>
      <c r="H1710" s="24">
        <v>30400</v>
      </c>
      <c r="I1710" s="24">
        <f>T_reg.root.SK[[#This Row],[Volume, kg]]/1000</f>
        <v>30.4</v>
      </c>
      <c r="J1710" s="25">
        <v>0.24170000000000003</v>
      </c>
      <c r="K1710" s="25">
        <f t="shared" si="26"/>
        <v>7347.6800000000012</v>
      </c>
      <c r="L1710" s="25">
        <v>3.46</v>
      </c>
      <c r="M1710" s="24">
        <v>105048</v>
      </c>
      <c r="N1710" s="25">
        <f>IFERROR(T_reg.root.SK[[#This Row],[Price]]/T_reg.root.SK[[#This Row],[Starch content]],"")</f>
        <v>14.315266859743481</v>
      </c>
    </row>
    <row r="1711" spans="1:14">
      <c r="A1711" s="21">
        <v>2023</v>
      </c>
      <c r="B1711" s="21" t="s">
        <v>27</v>
      </c>
      <c r="C1711" s="21" t="s">
        <v>1145</v>
      </c>
      <c r="D1711" s="21" t="s">
        <v>35</v>
      </c>
      <c r="E1711" s="17" t="s">
        <v>208</v>
      </c>
      <c r="F1711" s="18" t="s">
        <v>187</v>
      </c>
      <c r="G1711" s="18" t="s">
        <v>48</v>
      </c>
      <c r="H1711" s="24">
        <v>16360</v>
      </c>
      <c r="I1711" s="24">
        <f>T_reg.root.SK[[#This Row],[Volume, kg]]/1000</f>
        <v>16.36</v>
      </c>
      <c r="J1711" s="25">
        <v>0.19769999999999999</v>
      </c>
      <c r="K1711" s="25">
        <f t="shared" si="26"/>
        <v>3234.3719999999998</v>
      </c>
      <c r="L1711" s="25">
        <v>3.3</v>
      </c>
      <c r="M1711" s="24">
        <v>54005</v>
      </c>
      <c r="N1711" s="25">
        <f>IFERROR(T_reg.root.SK[[#This Row],[Price]]/T_reg.root.SK[[#This Row],[Starch content]],"")</f>
        <v>16.691957511380881</v>
      </c>
    </row>
    <row r="1712" spans="1:14">
      <c r="A1712" s="21">
        <v>2023</v>
      </c>
      <c r="B1712" s="21" t="s">
        <v>27</v>
      </c>
      <c r="C1712" s="21" t="s">
        <v>1145</v>
      </c>
      <c r="D1712" s="21" t="s">
        <v>35</v>
      </c>
      <c r="E1712" s="17" t="s">
        <v>209</v>
      </c>
      <c r="F1712" s="18" t="s">
        <v>187</v>
      </c>
      <c r="G1712" s="18" t="s">
        <v>48</v>
      </c>
      <c r="H1712" s="24">
        <v>31550</v>
      </c>
      <c r="I1712" s="24">
        <f>T_reg.root.SK[[#This Row],[Volume, kg]]/1000</f>
        <v>31.55</v>
      </c>
      <c r="J1712" s="25">
        <v>0.21379999999999999</v>
      </c>
      <c r="K1712" s="25">
        <f t="shared" si="26"/>
        <v>6745.3899999999994</v>
      </c>
      <c r="L1712" s="25">
        <v>3.46</v>
      </c>
      <c r="M1712" s="24">
        <v>109159</v>
      </c>
      <c r="N1712" s="25">
        <f>IFERROR(T_reg.root.SK[[#This Row],[Price]]/T_reg.root.SK[[#This Row],[Starch content]],"")</f>
        <v>16.183348924228252</v>
      </c>
    </row>
    <row r="1713" spans="1:14">
      <c r="A1713" s="21">
        <v>2023</v>
      </c>
      <c r="B1713" s="21" t="s">
        <v>27</v>
      </c>
      <c r="C1713" s="21" t="s">
        <v>1145</v>
      </c>
      <c r="D1713" s="21" t="s">
        <v>35</v>
      </c>
      <c r="E1713" s="17" t="s">
        <v>333</v>
      </c>
      <c r="F1713" s="18" t="s">
        <v>187</v>
      </c>
      <c r="G1713" s="18" t="s">
        <v>48</v>
      </c>
      <c r="H1713" s="24">
        <v>23300</v>
      </c>
      <c r="I1713" s="24">
        <f>T_reg.root.SK[[#This Row],[Volume, kg]]/1000</f>
        <v>23.3</v>
      </c>
      <c r="J1713" s="25">
        <v>0.21340000000000001</v>
      </c>
      <c r="K1713" s="25">
        <f t="shared" si="26"/>
        <v>4972.22</v>
      </c>
      <c r="L1713" s="25">
        <v>3.32</v>
      </c>
      <c r="M1713" s="24">
        <v>77270.5</v>
      </c>
      <c r="N1713" s="25">
        <f>IFERROR(T_reg.root.SK[[#This Row],[Price]]/T_reg.root.SK[[#This Row],[Starch content]],"")</f>
        <v>15.557638238050608</v>
      </c>
    </row>
    <row r="1714" spans="1:14">
      <c r="A1714" s="21">
        <v>2023</v>
      </c>
      <c r="B1714" s="21" t="s">
        <v>27</v>
      </c>
      <c r="C1714" s="21" t="s">
        <v>1145</v>
      </c>
      <c r="D1714" s="21" t="s">
        <v>35</v>
      </c>
      <c r="E1714" s="17" t="s">
        <v>211</v>
      </c>
      <c r="F1714" s="18" t="s">
        <v>187</v>
      </c>
      <c r="G1714" s="18" t="s">
        <v>48</v>
      </c>
      <c r="H1714" s="24">
        <v>396280</v>
      </c>
      <c r="I1714" s="24">
        <f>T_reg.root.SK[[#This Row],[Volume, kg]]/1000</f>
        <v>396.28</v>
      </c>
      <c r="J1714" s="25">
        <v>0.24629999999999999</v>
      </c>
      <c r="K1714" s="25">
        <f t="shared" si="26"/>
        <v>97603.763999999996</v>
      </c>
      <c r="L1714" s="25">
        <v>3.52</v>
      </c>
      <c r="M1714" s="24">
        <v>1395153</v>
      </c>
      <c r="N1714" s="25">
        <f>IFERROR(T_reg.root.SK[[#This Row],[Price]]/T_reg.root.SK[[#This Row],[Starch content]],"")</f>
        <v>14.291514413317094</v>
      </c>
    </row>
    <row r="1715" spans="1:14">
      <c r="A1715" s="21">
        <v>2023</v>
      </c>
      <c r="B1715" s="21" t="s">
        <v>27</v>
      </c>
      <c r="C1715" s="21" t="s">
        <v>1145</v>
      </c>
      <c r="D1715" s="21" t="s">
        <v>35</v>
      </c>
      <c r="E1715" s="17" t="s">
        <v>212</v>
      </c>
      <c r="F1715" s="18" t="s">
        <v>187</v>
      </c>
      <c r="G1715" s="18" t="s">
        <v>48</v>
      </c>
      <c r="H1715" s="24">
        <v>20090</v>
      </c>
      <c r="I1715" s="24">
        <f>T_reg.root.SK[[#This Row],[Volume, kg]]/1000</f>
        <v>20.09</v>
      </c>
      <c r="J1715" s="25">
        <v>0.2175</v>
      </c>
      <c r="K1715" s="25">
        <f t="shared" si="26"/>
        <v>4369.5749999999998</v>
      </c>
      <c r="L1715" s="25">
        <v>3.37</v>
      </c>
      <c r="M1715" s="24">
        <v>67759.5</v>
      </c>
      <c r="N1715" s="25">
        <f>IFERROR(T_reg.root.SK[[#This Row],[Price]]/T_reg.root.SK[[#This Row],[Starch content]],"")</f>
        <v>15.494252873563219</v>
      </c>
    </row>
    <row r="1716" spans="1:14">
      <c r="A1716" s="21">
        <v>2023</v>
      </c>
      <c r="B1716" s="21" t="s">
        <v>27</v>
      </c>
      <c r="C1716" s="21" t="s">
        <v>1145</v>
      </c>
      <c r="D1716" s="21" t="s">
        <v>35</v>
      </c>
      <c r="E1716" s="17" t="s">
        <v>213</v>
      </c>
      <c r="F1716" s="18" t="s">
        <v>187</v>
      </c>
      <c r="G1716" s="18" t="s">
        <v>48</v>
      </c>
      <c r="H1716" s="24">
        <v>137930</v>
      </c>
      <c r="I1716" s="24">
        <f>T_reg.root.SK[[#This Row],[Volume, kg]]/1000</f>
        <v>137.93</v>
      </c>
      <c r="J1716" s="25">
        <v>0.22640000000000002</v>
      </c>
      <c r="K1716" s="25">
        <f t="shared" si="26"/>
        <v>31227.352000000003</v>
      </c>
      <c r="L1716" s="25">
        <v>3.43</v>
      </c>
      <c r="M1716" s="24">
        <v>473118.5</v>
      </c>
      <c r="N1716" s="25">
        <f>IFERROR(T_reg.root.SK[[#This Row],[Price]]/T_reg.root.SK[[#This Row],[Starch content]],"")</f>
        <v>15.150176678445229</v>
      </c>
    </row>
    <row r="1717" spans="1:14">
      <c r="A1717" s="21">
        <v>2023</v>
      </c>
      <c r="B1717" s="21" t="s">
        <v>27</v>
      </c>
      <c r="C1717" s="21" t="s">
        <v>1145</v>
      </c>
      <c r="D1717" s="21" t="s">
        <v>35</v>
      </c>
      <c r="E1717" s="17" t="s">
        <v>408</v>
      </c>
      <c r="F1717" s="18" t="s">
        <v>187</v>
      </c>
      <c r="G1717" s="18" t="s">
        <v>48</v>
      </c>
      <c r="H1717" s="24">
        <v>20070</v>
      </c>
      <c r="I1717" s="24">
        <f>T_reg.root.SK[[#This Row],[Volume, kg]]/1000</f>
        <v>20.07</v>
      </c>
      <c r="J1717" s="25">
        <v>0.23370000000000002</v>
      </c>
      <c r="K1717" s="25">
        <f t="shared" si="26"/>
        <v>4690.3590000000004</v>
      </c>
      <c r="L1717" s="25">
        <v>3.42</v>
      </c>
      <c r="M1717" s="24">
        <v>68659.5</v>
      </c>
      <c r="N1717" s="25">
        <f>IFERROR(T_reg.root.SK[[#This Row],[Price]]/T_reg.root.SK[[#This Row],[Starch content]],"")</f>
        <v>14.634146341463413</v>
      </c>
    </row>
    <row r="1718" spans="1:14">
      <c r="A1718" s="21">
        <v>2023</v>
      </c>
      <c r="B1718" s="21" t="s">
        <v>27</v>
      </c>
      <c r="C1718" s="21" t="s">
        <v>1145</v>
      </c>
      <c r="D1718" s="21" t="s">
        <v>35</v>
      </c>
      <c r="E1718" s="17" t="s">
        <v>536</v>
      </c>
      <c r="F1718" s="18" t="s">
        <v>187</v>
      </c>
      <c r="G1718" s="18" t="s">
        <v>48</v>
      </c>
      <c r="H1718" s="24">
        <v>20140</v>
      </c>
      <c r="I1718" s="24">
        <f>T_reg.root.SK[[#This Row],[Volume, kg]]/1000</f>
        <v>20.14</v>
      </c>
      <c r="J1718" s="25">
        <v>0.25569999999999998</v>
      </c>
      <c r="K1718" s="25">
        <f t="shared" si="26"/>
        <v>5149.7979999999998</v>
      </c>
      <c r="L1718" s="25">
        <v>3.53</v>
      </c>
      <c r="M1718" s="24">
        <v>71017.5</v>
      </c>
      <c r="N1718" s="25">
        <f>IFERROR(T_reg.root.SK[[#This Row],[Price]]/T_reg.root.SK[[#This Row],[Starch content]],"")</f>
        <v>13.805240516229958</v>
      </c>
    </row>
    <row r="1719" spans="1:14">
      <c r="A1719" s="21">
        <v>2023</v>
      </c>
      <c r="B1719" s="21" t="s">
        <v>27</v>
      </c>
      <c r="C1719" s="21" t="s">
        <v>1145</v>
      </c>
      <c r="D1719" s="21" t="s">
        <v>35</v>
      </c>
      <c r="E1719" s="17" t="s">
        <v>537</v>
      </c>
      <c r="F1719" s="18" t="s">
        <v>187</v>
      </c>
      <c r="G1719" s="18" t="s">
        <v>48</v>
      </c>
      <c r="H1719" s="24">
        <v>56340</v>
      </c>
      <c r="I1719" s="24">
        <f>T_reg.root.SK[[#This Row],[Volume, kg]]/1000</f>
        <v>56.34</v>
      </c>
      <c r="J1719" s="25">
        <v>0.21829999999999999</v>
      </c>
      <c r="K1719" s="25">
        <f t="shared" si="26"/>
        <v>12299.021999999999</v>
      </c>
      <c r="L1719" s="25">
        <v>3.38</v>
      </c>
      <c r="M1719" s="24">
        <v>190448</v>
      </c>
      <c r="N1719" s="25">
        <f>IFERROR(T_reg.root.SK[[#This Row],[Price]]/T_reg.root.SK[[#This Row],[Starch content]],"")</f>
        <v>15.483279890059551</v>
      </c>
    </row>
    <row r="1720" spans="1:14">
      <c r="A1720" s="21">
        <v>2023</v>
      </c>
      <c r="B1720" s="21" t="s">
        <v>27</v>
      </c>
      <c r="C1720" s="21" t="s">
        <v>1145</v>
      </c>
      <c r="D1720" s="21" t="s">
        <v>35</v>
      </c>
      <c r="E1720" s="17" t="s">
        <v>269</v>
      </c>
      <c r="F1720" s="18" t="s">
        <v>187</v>
      </c>
      <c r="G1720" s="18" t="s">
        <v>48</v>
      </c>
      <c r="H1720" s="24">
        <v>50210</v>
      </c>
      <c r="I1720" s="24">
        <f>T_reg.root.SK[[#This Row],[Volume, kg]]/1000</f>
        <v>50.21</v>
      </c>
      <c r="J1720" s="25">
        <v>0.22839999999999999</v>
      </c>
      <c r="K1720" s="25">
        <f t="shared" si="26"/>
        <v>11467.964</v>
      </c>
      <c r="L1720" s="25">
        <v>3.48</v>
      </c>
      <c r="M1720" s="24">
        <v>174961</v>
      </c>
      <c r="N1720" s="25">
        <f>IFERROR(T_reg.root.SK[[#This Row],[Price]]/T_reg.root.SK[[#This Row],[Starch content]],"")</f>
        <v>15.236427320490368</v>
      </c>
    </row>
    <row r="1721" spans="1:14">
      <c r="A1721" s="21">
        <v>2023</v>
      </c>
      <c r="B1721" s="21" t="s">
        <v>27</v>
      </c>
      <c r="C1721" s="21" t="s">
        <v>1145</v>
      </c>
      <c r="D1721" s="21" t="s">
        <v>35</v>
      </c>
      <c r="E1721" s="17" t="s">
        <v>623</v>
      </c>
      <c r="F1721" s="18" t="s">
        <v>187</v>
      </c>
      <c r="G1721" s="18" t="s">
        <v>48</v>
      </c>
      <c r="H1721" s="24">
        <v>105430</v>
      </c>
      <c r="I1721" s="24">
        <f>T_reg.root.SK[[#This Row],[Volume, kg]]/1000</f>
        <v>105.43</v>
      </c>
      <c r="J1721" s="25">
        <v>0.24719999999999998</v>
      </c>
      <c r="K1721" s="25">
        <f t="shared" si="26"/>
        <v>26062.295999999998</v>
      </c>
      <c r="L1721" s="25">
        <v>3.5</v>
      </c>
      <c r="M1721" s="24">
        <v>369269</v>
      </c>
      <c r="N1721" s="25">
        <f>IFERROR(T_reg.root.SK[[#This Row],[Price]]/T_reg.root.SK[[#This Row],[Starch content]],"")</f>
        <v>14.158576051779937</v>
      </c>
    </row>
    <row r="1722" spans="1:14">
      <c r="A1722" s="21">
        <v>2023</v>
      </c>
      <c r="B1722" s="21" t="s">
        <v>27</v>
      </c>
      <c r="C1722" s="21" t="s">
        <v>1145</v>
      </c>
      <c r="D1722" s="21" t="s">
        <v>35</v>
      </c>
      <c r="E1722" s="17" t="s">
        <v>215</v>
      </c>
      <c r="F1722" s="18" t="s">
        <v>187</v>
      </c>
      <c r="G1722" s="18" t="s">
        <v>48</v>
      </c>
      <c r="H1722" s="24">
        <v>55750</v>
      </c>
      <c r="I1722" s="24">
        <f>T_reg.root.SK[[#This Row],[Volume, kg]]/1000</f>
        <v>55.75</v>
      </c>
      <c r="J1722" s="25">
        <v>0.28000000000000003</v>
      </c>
      <c r="K1722" s="25">
        <f t="shared" si="26"/>
        <v>15610.000000000002</v>
      </c>
      <c r="L1722" s="25">
        <v>3.67</v>
      </c>
      <c r="M1722" s="24">
        <v>204526</v>
      </c>
      <c r="N1722" s="25">
        <f>IFERROR(T_reg.root.SK[[#This Row],[Price]]/T_reg.root.SK[[#This Row],[Starch content]],"")</f>
        <v>13.107142857142856</v>
      </c>
    </row>
    <row r="1723" spans="1:14">
      <c r="A1723" s="21">
        <v>2023</v>
      </c>
      <c r="B1723" s="21" t="s">
        <v>27</v>
      </c>
      <c r="C1723" s="21" t="s">
        <v>1145</v>
      </c>
      <c r="D1723" s="21" t="s">
        <v>35</v>
      </c>
      <c r="E1723" s="17" t="s">
        <v>335</v>
      </c>
      <c r="F1723" s="18" t="s">
        <v>187</v>
      </c>
      <c r="G1723" s="18" t="s">
        <v>48</v>
      </c>
      <c r="H1723" s="24">
        <v>19290</v>
      </c>
      <c r="I1723" s="24">
        <f>T_reg.root.SK[[#This Row],[Volume, kg]]/1000</f>
        <v>19.29</v>
      </c>
      <c r="J1723" s="25">
        <v>0.24390000000000001</v>
      </c>
      <c r="K1723" s="25">
        <f t="shared" si="26"/>
        <v>4704.8310000000001</v>
      </c>
      <c r="L1723" s="25">
        <v>3.55</v>
      </c>
      <c r="M1723" s="24">
        <v>68479.5</v>
      </c>
      <c r="N1723" s="25">
        <f>IFERROR(T_reg.root.SK[[#This Row],[Price]]/T_reg.root.SK[[#This Row],[Starch content]],"")</f>
        <v>14.555145551455514</v>
      </c>
    </row>
    <row r="1724" spans="1:14">
      <c r="A1724" s="21">
        <v>2023</v>
      </c>
      <c r="B1724" s="21" t="s">
        <v>27</v>
      </c>
      <c r="C1724" s="21" t="s">
        <v>1145</v>
      </c>
      <c r="D1724" s="21" t="s">
        <v>35</v>
      </c>
      <c r="E1724" s="17" t="s">
        <v>216</v>
      </c>
      <c r="F1724" s="18" t="s">
        <v>187</v>
      </c>
      <c r="G1724" s="18" t="s">
        <v>48</v>
      </c>
      <c r="H1724" s="24">
        <v>164390</v>
      </c>
      <c r="I1724" s="24">
        <f>T_reg.root.SK[[#This Row],[Volume, kg]]/1000</f>
        <v>164.39</v>
      </c>
      <c r="J1724" s="25">
        <v>0.23620000000000002</v>
      </c>
      <c r="K1724" s="25">
        <f t="shared" si="26"/>
        <v>38828.918000000005</v>
      </c>
      <c r="L1724" s="25">
        <v>3.45</v>
      </c>
      <c r="M1724" s="24">
        <v>567960.5</v>
      </c>
      <c r="N1724" s="25">
        <f>IFERROR(T_reg.root.SK[[#This Row],[Price]]/T_reg.root.SK[[#This Row],[Starch content]],"")</f>
        <v>14.606265876375952</v>
      </c>
    </row>
    <row r="1725" spans="1:14">
      <c r="A1725" s="21">
        <v>2023</v>
      </c>
      <c r="B1725" s="21" t="s">
        <v>27</v>
      </c>
      <c r="C1725" s="21" t="s">
        <v>1145</v>
      </c>
      <c r="D1725" s="21" t="s">
        <v>35</v>
      </c>
      <c r="E1725" s="17" t="s">
        <v>409</v>
      </c>
      <c r="F1725" s="18" t="s">
        <v>187</v>
      </c>
      <c r="G1725" s="18" t="s">
        <v>48</v>
      </c>
      <c r="H1725" s="24">
        <v>33660</v>
      </c>
      <c r="I1725" s="24">
        <f>T_reg.root.SK[[#This Row],[Volume, kg]]/1000</f>
        <v>33.659999999999997</v>
      </c>
      <c r="J1725" s="25">
        <v>0.21879999999999999</v>
      </c>
      <c r="K1725" s="25">
        <f t="shared" si="26"/>
        <v>7364.808</v>
      </c>
      <c r="L1725" s="25">
        <v>3.35</v>
      </c>
      <c r="M1725" s="24">
        <v>112746.5</v>
      </c>
      <c r="N1725" s="25">
        <f>IFERROR(T_reg.root.SK[[#This Row],[Price]]/T_reg.root.SK[[#This Row],[Starch content]],"")</f>
        <v>15.310786106032907</v>
      </c>
    </row>
    <row r="1726" spans="1:14">
      <c r="A1726" s="21">
        <v>2023</v>
      </c>
      <c r="B1726" s="21" t="s">
        <v>27</v>
      </c>
      <c r="C1726" s="21" t="s">
        <v>1145</v>
      </c>
      <c r="D1726" s="21" t="s">
        <v>35</v>
      </c>
      <c r="E1726" s="17" t="s">
        <v>217</v>
      </c>
      <c r="F1726" s="18" t="s">
        <v>187</v>
      </c>
      <c r="G1726" s="18" t="s">
        <v>48</v>
      </c>
      <c r="H1726" s="24">
        <v>0</v>
      </c>
      <c r="I1726" s="24">
        <f>T_reg.root.SK[[#This Row],[Volume, kg]]/1000</f>
        <v>0</v>
      </c>
      <c r="J1726" s="25">
        <v>0</v>
      </c>
      <c r="K1726" s="25">
        <f t="shared" si="26"/>
        <v>0</v>
      </c>
      <c r="L1726" s="25">
        <v>0</v>
      </c>
      <c r="M1726" s="24">
        <v>0</v>
      </c>
      <c r="N1726" s="25" t="str">
        <f>IFERROR(T_reg.root.SK[[#This Row],[Price]]/T_reg.root.SK[[#This Row],[Starch content]],"")</f>
        <v/>
      </c>
    </row>
    <row r="1727" spans="1:14">
      <c r="A1727" s="21">
        <v>2023</v>
      </c>
      <c r="B1727" s="21" t="s">
        <v>28</v>
      </c>
      <c r="C1727" s="21" t="s">
        <v>1145</v>
      </c>
      <c r="D1727" s="21" t="s">
        <v>39</v>
      </c>
      <c r="E1727" s="17" t="s">
        <v>272</v>
      </c>
      <c r="F1727" s="18" t="s">
        <v>273</v>
      </c>
      <c r="G1727" s="18" t="s">
        <v>220</v>
      </c>
      <c r="H1727" s="26">
        <v>199320</v>
      </c>
      <c r="I1727" s="24">
        <f>T_reg.root.SK[[#This Row],[Volume, kg]]/1000</f>
        <v>199.32</v>
      </c>
      <c r="J1727" s="27">
        <v>0.25629999999999997</v>
      </c>
      <c r="K1727" s="25">
        <f t="shared" si="26"/>
        <v>51085.715999999993</v>
      </c>
      <c r="L1727" s="27">
        <v>3.95</v>
      </c>
      <c r="M1727" s="26">
        <v>787911</v>
      </c>
      <c r="N1727" s="25">
        <f>IFERROR(T_reg.root.SK[[#This Row],[Price]]/T_reg.root.SK[[#This Row],[Starch content]],"")</f>
        <v>15.411626999609835</v>
      </c>
    </row>
    <row r="1728" spans="1:14">
      <c r="A1728" s="21">
        <v>2023</v>
      </c>
      <c r="B1728" s="21" t="s">
        <v>28</v>
      </c>
      <c r="C1728" s="21" t="s">
        <v>1145</v>
      </c>
      <c r="D1728" s="21" t="s">
        <v>39</v>
      </c>
      <c r="E1728" s="17" t="s">
        <v>218</v>
      </c>
      <c r="F1728" s="18" t="s">
        <v>219</v>
      </c>
      <c r="G1728" s="18" t="s">
        <v>220</v>
      </c>
      <c r="H1728" s="26">
        <v>1162520</v>
      </c>
      <c r="I1728" s="24">
        <f>T_reg.root.SK[[#This Row],[Volume, kg]]/1000</f>
        <v>1162.52</v>
      </c>
      <c r="J1728" s="27">
        <v>0.24206260107352986</v>
      </c>
      <c r="K1728" s="25">
        <f t="shared" si="26"/>
        <v>281402.61499999993</v>
      </c>
      <c r="L1728" s="27">
        <v>3.8958718989780823</v>
      </c>
      <c r="M1728" s="26">
        <v>4529029</v>
      </c>
      <c r="N1728" s="25">
        <f>IFERROR(T_reg.root.SK[[#This Row],[Price]]/T_reg.root.SK[[#This Row],[Starch content]],"")</f>
        <v>16.094480856192476</v>
      </c>
    </row>
    <row r="1729" spans="1:14">
      <c r="A1729" s="21">
        <v>2023</v>
      </c>
      <c r="B1729" s="21" t="s">
        <v>28</v>
      </c>
      <c r="C1729" s="21" t="s">
        <v>1145</v>
      </c>
      <c r="D1729" s="21" t="s">
        <v>35</v>
      </c>
      <c r="E1729" s="17" t="s">
        <v>546</v>
      </c>
      <c r="F1729" s="18" t="s">
        <v>47</v>
      </c>
      <c r="G1729" s="18" t="s">
        <v>48</v>
      </c>
      <c r="H1729" s="26">
        <v>6750</v>
      </c>
      <c r="I1729" s="24">
        <f>T_reg.root.SK[[#This Row],[Volume, kg]]/1000</f>
        <v>6.75</v>
      </c>
      <c r="J1729" s="27">
        <v>0.28850000000000003</v>
      </c>
      <c r="K1729" s="25">
        <f t="shared" si="26"/>
        <v>1947.3750000000002</v>
      </c>
      <c r="L1729" s="27">
        <v>3.85</v>
      </c>
      <c r="M1729" s="26">
        <v>25987.5</v>
      </c>
      <c r="N1729" s="25">
        <f>IFERROR(T_reg.root.SK[[#This Row],[Price]]/T_reg.root.SK[[#This Row],[Starch content]],"")</f>
        <v>13.344887348353552</v>
      </c>
    </row>
    <row r="1730" spans="1:14">
      <c r="A1730" s="21">
        <v>2023</v>
      </c>
      <c r="B1730" s="21" t="s">
        <v>28</v>
      </c>
      <c r="C1730" s="21" t="s">
        <v>1145</v>
      </c>
      <c r="D1730" s="21" t="s">
        <v>35</v>
      </c>
      <c r="E1730" s="17" t="s">
        <v>46</v>
      </c>
      <c r="F1730" s="18" t="s">
        <v>47</v>
      </c>
      <c r="G1730" s="18" t="s">
        <v>48</v>
      </c>
      <c r="H1730" s="26">
        <v>271840</v>
      </c>
      <c r="I1730" s="24">
        <f>T_reg.root.SK[[#This Row],[Volume, kg]]/1000</f>
        <v>271.83999999999997</v>
      </c>
      <c r="J1730" s="27">
        <v>0.23129999999999998</v>
      </c>
      <c r="K1730" s="25">
        <f t="shared" si="26"/>
        <v>62876.591999999997</v>
      </c>
      <c r="L1730" s="27">
        <v>3.79</v>
      </c>
      <c r="M1730" s="26">
        <v>1029996</v>
      </c>
      <c r="N1730" s="25">
        <f>IFERROR(T_reg.root.SK[[#This Row],[Price]]/T_reg.root.SK[[#This Row],[Starch content]],"")</f>
        <v>16.385646346735843</v>
      </c>
    </row>
    <row r="1731" spans="1:14">
      <c r="A1731" s="21">
        <v>2023</v>
      </c>
      <c r="B1731" s="21" t="s">
        <v>28</v>
      </c>
      <c r="C1731" s="21" t="s">
        <v>1145</v>
      </c>
      <c r="D1731" s="21" t="s">
        <v>35</v>
      </c>
      <c r="E1731" s="17" t="s">
        <v>50</v>
      </c>
      <c r="F1731" s="18" t="s">
        <v>47</v>
      </c>
      <c r="G1731" s="18" t="s">
        <v>48</v>
      </c>
      <c r="H1731" s="26">
        <v>22080</v>
      </c>
      <c r="I1731" s="24">
        <f>T_reg.root.SK[[#This Row],[Volume, kg]]/1000</f>
        <v>22.08</v>
      </c>
      <c r="J1731" s="27">
        <v>0.26329999999999998</v>
      </c>
      <c r="K1731" s="25">
        <f t="shared" ref="K1731:K1794" si="27">H1731*J1731</f>
        <v>5813.6639999999998</v>
      </c>
      <c r="L1731" s="27">
        <v>3.98</v>
      </c>
      <c r="M1731" s="26">
        <v>87786.5</v>
      </c>
      <c r="N1731" s="25">
        <f>IFERROR(T_reg.root.SK[[#This Row],[Price]]/T_reg.root.SK[[#This Row],[Starch content]],"")</f>
        <v>15.115837447778201</v>
      </c>
    </row>
    <row r="1732" spans="1:14">
      <c r="A1732" s="21">
        <v>2023</v>
      </c>
      <c r="B1732" s="21" t="s">
        <v>28</v>
      </c>
      <c r="C1732" s="21" t="s">
        <v>1145</v>
      </c>
      <c r="D1732" s="21" t="s">
        <v>35</v>
      </c>
      <c r="E1732" s="17" t="s">
        <v>642</v>
      </c>
      <c r="F1732" s="18" t="s">
        <v>47</v>
      </c>
      <c r="G1732" s="18" t="s">
        <v>48</v>
      </c>
      <c r="H1732" s="26">
        <v>8130</v>
      </c>
      <c r="I1732" s="24">
        <f>T_reg.root.SK[[#This Row],[Volume, kg]]/1000</f>
        <v>8.1300000000000008</v>
      </c>
      <c r="J1732" s="27">
        <v>0.26350000000000001</v>
      </c>
      <c r="K1732" s="25">
        <f t="shared" si="27"/>
        <v>2142.2550000000001</v>
      </c>
      <c r="L1732" s="27">
        <v>3.75</v>
      </c>
      <c r="M1732" s="26">
        <v>30487.5</v>
      </c>
      <c r="N1732" s="25">
        <f>IFERROR(T_reg.root.SK[[#This Row],[Price]]/T_reg.root.SK[[#This Row],[Starch content]],"")</f>
        <v>14.231499051233396</v>
      </c>
    </row>
    <row r="1733" spans="1:14">
      <c r="A1733" s="21">
        <v>2023</v>
      </c>
      <c r="B1733" s="21" t="s">
        <v>28</v>
      </c>
      <c r="C1733" s="21" t="s">
        <v>1145</v>
      </c>
      <c r="D1733" s="21" t="s">
        <v>35</v>
      </c>
      <c r="E1733" s="17" t="s">
        <v>78</v>
      </c>
      <c r="F1733" s="18" t="s">
        <v>47</v>
      </c>
      <c r="G1733" s="18" t="s">
        <v>48</v>
      </c>
      <c r="H1733" s="26">
        <v>63300</v>
      </c>
      <c r="I1733" s="24">
        <f>T_reg.root.SK[[#This Row],[Volume, kg]]/1000</f>
        <v>63.3</v>
      </c>
      <c r="J1733" s="27">
        <v>0.21920000000000001</v>
      </c>
      <c r="K1733" s="25">
        <f t="shared" si="27"/>
        <v>13875.36</v>
      </c>
      <c r="L1733" s="27">
        <v>3.75</v>
      </c>
      <c r="M1733" s="26">
        <v>237455</v>
      </c>
      <c r="N1733" s="25">
        <f>IFERROR(T_reg.root.SK[[#This Row],[Price]]/T_reg.root.SK[[#This Row],[Starch content]],"")</f>
        <v>17.107664233576642</v>
      </c>
    </row>
    <row r="1734" spans="1:14">
      <c r="A1734" s="21">
        <v>2023</v>
      </c>
      <c r="B1734" s="21" t="s">
        <v>28</v>
      </c>
      <c r="C1734" s="21" t="s">
        <v>1145</v>
      </c>
      <c r="D1734" s="21" t="s">
        <v>35</v>
      </c>
      <c r="E1734" s="17" t="s">
        <v>53</v>
      </c>
      <c r="F1734" s="18" t="s">
        <v>47</v>
      </c>
      <c r="G1734" s="18" t="s">
        <v>48</v>
      </c>
      <c r="H1734" s="26">
        <v>6030</v>
      </c>
      <c r="I1734" s="24">
        <f>T_reg.root.SK[[#This Row],[Volume, kg]]/1000</f>
        <v>6.03</v>
      </c>
      <c r="J1734" s="27">
        <v>0.23749999999999999</v>
      </c>
      <c r="K1734" s="25">
        <f t="shared" si="27"/>
        <v>1432.125</v>
      </c>
      <c r="L1734" s="27">
        <v>3.85</v>
      </c>
      <c r="M1734" s="26">
        <v>23215.5</v>
      </c>
      <c r="N1734" s="25">
        <f>IFERROR(T_reg.root.SK[[#This Row],[Price]]/T_reg.root.SK[[#This Row],[Starch content]],"")</f>
        <v>16.210526315789476</v>
      </c>
    </row>
    <row r="1735" spans="1:14">
      <c r="A1735" s="21">
        <v>2023</v>
      </c>
      <c r="B1735" s="21" t="s">
        <v>28</v>
      </c>
      <c r="C1735" s="21" t="s">
        <v>1145</v>
      </c>
      <c r="D1735" s="21" t="s">
        <v>35</v>
      </c>
      <c r="E1735" s="17" t="s">
        <v>460</v>
      </c>
      <c r="F1735" s="18" t="s">
        <v>47</v>
      </c>
      <c r="G1735" s="18" t="s">
        <v>48</v>
      </c>
      <c r="H1735" s="26">
        <v>60070</v>
      </c>
      <c r="I1735" s="24">
        <f>T_reg.root.SK[[#This Row],[Volume, kg]]/1000</f>
        <v>60.07</v>
      </c>
      <c r="J1735" s="27">
        <v>0.22579999999999997</v>
      </c>
      <c r="K1735" s="25">
        <f t="shared" si="27"/>
        <v>13563.805999999999</v>
      </c>
      <c r="L1735" s="27">
        <v>3.78</v>
      </c>
      <c r="M1735" s="26">
        <v>226814</v>
      </c>
      <c r="N1735" s="25">
        <f>IFERROR(T_reg.root.SK[[#This Row],[Price]]/T_reg.root.SK[[#This Row],[Starch content]],"")</f>
        <v>16.740478299379983</v>
      </c>
    </row>
    <row r="1736" spans="1:14">
      <c r="A1736" s="21">
        <v>2023</v>
      </c>
      <c r="B1736" s="21" t="s">
        <v>28</v>
      </c>
      <c r="C1736" s="21" t="s">
        <v>1145</v>
      </c>
      <c r="D1736" s="21" t="s">
        <v>35</v>
      </c>
      <c r="E1736" s="17" t="s">
        <v>461</v>
      </c>
      <c r="F1736" s="18" t="s">
        <v>47</v>
      </c>
      <c r="G1736" s="18" t="s">
        <v>48</v>
      </c>
      <c r="H1736" s="26">
        <v>20660</v>
      </c>
      <c r="I1736" s="24">
        <f>T_reg.root.SK[[#This Row],[Volume, kg]]/1000</f>
        <v>20.66</v>
      </c>
      <c r="J1736" s="27">
        <v>0.23960000000000001</v>
      </c>
      <c r="K1736" s="25">
        <f t="shared" si="27"/>
        <v>4950.1360000000004</v>
      </c>
      <c r="L1736" s="27">
        <v>3.85</v>
      </c>
      <c r="M1736" s="26">
        <v>79541</v>
      </c>
      <c r="N1736" s="25">
        <f>IFERROR(T_reg.root.SK[[#This Row],[Price]]/T_reg.root.SK[[#This Row],[Starch content]],"")</f>
        <v>16.068447412353922</v>
      </c>
    </row>
    <row r="1737" spans="1:14">
      <c r="A1737" s="21">
        <v>2023</v>
      </c>
      <c r="B1737" s="21" t="s">
        <v>28</v>
      </c>
      <c r="C1737" s="21" t="s">
        <v>1145</v>
      </c>
      <c r="D1737" s="21" t="s">
        <v>35</v>
      </c>
      <c r="E1737" s="17" t="s">
        <v>54</v>
      </c>
      <c r="F1737" s="18" t="s">
        <v>47</v>
      </c>
      <c r="G1737" s="18" t="s">
        <v>48</v>
      </c>
      <c r="H1737" s="26">
        <v>48470</v>
      </c>
      <c r="I1737" s="24">
        <f>T_reg.root.SK[[#This Row],[Volume, kg]]/1000</f>
        <v>48.47</v>
      </c>
      <c r="J1737" s="27">
        <v>0.24309999999999998</v>
      </c>
      <c r="K1737" s="25">
        <f t="shared" si="27"/>
        <v>11783.056999999999</v>
      </c>
      <c r="L1737" s="27">
        <v>3.86</v>
      </c>
      <c r="M1737" s="26">
        <v>187013</v>
      </c>
      <c r="N1737" s="25">
        <f>IFERROR(T_reg.root.SK[[#This Row],[Price]]/T_reg.root.SK[[#This Row],[Starch content]],"")</f>
        <v>15.878239407651172</v>
      </c>
    </row>
    <row r="1738" spans="1:14">
      <c r="A1738" s="21">
        <v>2023</v>
      </c>
      <c r="B1738" s="21" t="s">
        <v>28</v>
      </c>
      <c r="C1738" s="21" t="s">
        <v>1145</v>
      </c>
      <c r="D1738" s="21" t="s">
        <v>35</v>
      </c>
      <c r="E1738" s="17" t="s">
        <v>462</v>
      </c>
      <c r="F1738" s="18" t="s">
        <v>47</v>
      </c>
      <c r="G1738" s="18" t="s">
        <v>48</v>
      </c>
      <c r="H1738" s="26">
        <v>58660</v>
      </c>
      <c r="I1738" s="24">
        <f>T_reg.root.SK[[#This Row],[Volume, kg]]/1000</f>
        <v>58.66</v>
      </c>
      <c r="J1738" s="27">
        <v>0.2369</v>
      </c>
      <c r="K1738" s="25">
        <f t="shared" si="27"/>
        <v>13896.554</v>
      </c>
      <c r="L1738" s="27">
        <v>3.62</v>
      </c>
      <c r="M1738" s="26">
        <v>212502.5</v>
      </c>
      <c r="N1738" s="25">
        <f>IFERROR(T_reg.root.SK[[#This Row],[Price]]/T_reg.root.SK[[#This Row],[Starch content]],"")</f>
        <v>15.280709159983116</v>
      </c>
    </row>
    <row r="1739" spans="1:14">
      <c r="A1739" s="21">
        <v>2023</v>
      </c>
      <c r="B1739" s="21" t="s">
        <v>28</v>
      </c>
      <c r="C1739" s="21" t="s">
        <v>1145</v>
      </c>
      <c r="D1739" s="21" t="s">
        <v>35</v>
      </c>
      <c r="E1739" s="17" t="s">
        <v>625</v>
      </c>
      <c r="F1739" s="18" t="s">
        <v>47</v>
      </c>
      <c r="G1739" s="18" t="s">
        <v>48</v>
      </c>
      <c r="H1739" s="26">
        <v>10430</v>
      </c>
      <c r="I1739" s="24">
        <f>T_reg.root.SK[[#This Row],[Volume, kg]]/1000</f>
        <v>10.43</v>
      </c>
      <c r="J1739" s="27">
        <v>0.21410000000000001</v>
      </c>
      <c r="K1739" s="25">
        <f t="shared" si="27"/>
        <v>2233.0630000000001</v>
      </c>
      <c r="L1739" s="27">
        <v>3.5</v>
      </c>
      <c r="M1739" s="26">
        <v>36505</v>
      </c>
      <c r="N1739" s="25">
        <f>IFERROR(T_reg.root.SK[[#This Row],[Price]]/T_reg.root.SK[[#This Row],[Starch content]],"")</f>
        <v>16.347501167678654</v>
      </c>
    </row>
    <row r="1740" spans="1:14">
      <c r="A1740" s="21">
        <v>2023</v>
      </c>
      <c r="B1740" s="21" t="s">
        <v>28</v>
      </c>
      <c r="C1740" s="21" t="s">
        <v>1145</v>
      </c>
      <c r="D1740" s="21" t="s">
        <v>35</v>
      </c>
      <c r="E1740" s="17" t="s">
        <v>57</v>
      </c>
      <c r="F1740" s="18" t="s">
        <v>47</v>
      </c>
      <c r="G1740" s="18" t="s">
        <v>48</v>
      </c>
      <c r="H1740" s="26">
        <v>71790</v>
      </c>
      <c r="I1740" s="24">
        <f>T_reg.root.SK[[#This Row],[Volume, kg]]/1000</f>
        <v>71.790000000000006</v>
      </c>
      <c r="J1740" s="27">
        <v>0.2235</v>
      </c>
      <c r="K1740" s="25">
        <f t="shared" si="27"/>
        <v>16045.065000000001</v>
      </c>
      <c r="L1740" s="27">
        <v>3.77</v>
      </c>
      <c r="M1740" s="26">
        <v>270667.5</v>
      </c>
      <c r="N1740" s="25">
        <f>IFERROR(T_reg.root.SK[[#This Row],[Price]]/T_reg.root.SK[[#This Row],[Starch content]],"")</f>
        <v>16.86800894854586</v>
      </c>
    </row>
    <row r="1741" spans="1:14">
      <c r="A1741" s="21">
        <v>2023</v>
      </c>
      <c r="B1741" s="21" t="s">
        <v>28</v>
      </c>
      <c r="C1741" s="21" t="s">
        <v>1145</v>
      </c>
      <c r="D1741" s="21" t="s">
        <v>35</v>
      </c>
      <c r="E1741" s="17" t="s">
        <v>465</v>
      </c>
      <c r="F1741" s="18" t="s">
        <v>47</v>
      </c>
      <c r="G1741" s="18" t="s">
        <v>48</v>
      </c>
      <c r="H1741" s="26">
        <v>10150</v>
      </c>
      <c r="I1741" s="24">
        <f>T_reg.root.SK[[#This Row],[Volume, kg]]/1000</f>
        <v>10.15</v>
      </c>
      <c r="J1741" s="27">
        <v>0.20550000000000002</v>
      </c>
      <c r="K1741" s="25">
        <f t="shared" si="27"/>
        <v>2085.8250000000003</v>
      </c>
      <c r="L1741" s="27">
        <v>3.5</v>
      </c>
      <c r="M1741" s="26">
        <v>35525</v>
      </c>
      <c r="N1741" s="25">
        <f>IFERROR(T_reg.root.SK[[#This Row],[Price]]/T_reg.root.SK[[#This Row],[Starch content]],"")</f>
        <v>17.031630170316301</v>
      </c>
    </row>
    <row r="1742" spans="1:14">
      <c r="A1742" s="21">
        <v>2023</v>
      </c>
      <c r="B1742" s="21" t="s">
        <v>28</v>
      </c>
      <c r="C1742" s="21" t="s">
        <v>1145</v>
      </c>
      <c r="D1742" s="21" t="s">
        <v>35</v>
      </c>
      <c r="E1742" s="17" t="s">
        <v>58</v>
      </c>
      <c r="F1742" s="18" t="s">
        <v>47</v>
      </c>
      <c r="G1742" s="18" t="s">
        <v>48</v>
      </c>
      <c r="H1742" s="26">
        <v>16690</v>
      </c>
      <c r="I1742" s="24">
        <f>T_reg.root.SK[[#This Row],[Volume, kg]]/1000</f>
        <v>16.690000000000001</v>
      </c>
      <c r="J1742" s="27">
        <v>0.19399999999999998</v>
      </c>
      <c r="K1742" s="25">
        <f t="shared" si="27"/>
        <v>3237.8599999999997</v>
      </c>
      <c r="L1742" s="27">
        <v>3.62</v>
      </c>
      <c r="M1742" s="26">
        <v>60499</v>
      </c>
      <c r="N1742" s="25">
        <f>IFERROR(T_reg.root.SK[[#This Row],[Price]]/T_reg.root.SK[[#This Row],[Starch content]],"")</f>
        <v>18.659793814432991</v>
      </c>
    </row>
    <row r="1743" spans="1:14">
      <c r="A1743" s="21">
        <v>2023</v>
      </c>
      <c r="B1743" s="21" t="s">
        <v>28</v>
      </c>
      <c r="C1743" s="21" t="s">
        <v>1145</v>
      </c>
      <c r="D1743" s="21" t="s">
        <v>35</v>
      </c>
      <c r="E1743" s="17" t="s">
        <v>59</v>
      </c>
      <c r="F1743" s="18" t="s">
        <v>47</v>
      </c>
      <c r="G1743" s="18" t="s">
        <v>48</v>
      </c>
      <c r="H1743" s="26">
        <v>54550</v>
      </c>
      <c r="I1743" s="24">
        <f>T_reg.root.SK[[#This Row],[Volume, kg]]/1000</f>
        <v>54.55</v>
      </c>
      <c r="J1743" s="27">
        <v>0.22870000000000001</v>
      </c>
      <c r="K1743" s="25">
        <f t="shared" si="27"/>
        <v>12475.585000000001</v>
      </c>
      <c r="L1743" s="27">
        <v>3.73</v>
      </c>
      <c r="M1743" s="26">
        <v>203237</v>
      </c>
      <c r="N1743" s="25">
        <f>IFERROR(T_reg.root.SK[[#This Row],[Price]]/T_reg.root.SK[[#This Row],[Starch content]],"")</f>
        <v>16.309575863576736</v>
      </c>
    </row>
    <row r="1744" spans="1:14">
      <c r="A1744" s="21">
        <v>2023</v>
      </c>
      <c r="B1744" s="21" t="s">
        <v>28</v>
      </c>
      <c r="C1744" s="21" t="s">
        <v>1145</v>
      </c>
      <c r="D1744" s="21" t="s">
        <v>35</v>
      </c>
      <c r="E1744" s="17" t="s">
        <v>60</v>
      </c>
      <c r="F1744" s="18" t="s">
        <v>47</v>
      </c>
      <c r="G1744" s="18" t="s">
        <v>48</v>
      </c>
      <c r="H1744" s="26">
        <v>19250</v>
      </c>
      <c r="I1744" s="24">
        <f>T_reg.root.SK[[#This Row],[Volume, kg]]/1000</f>
        <v>19.25</v>
      </c>
      <c r="J1744" s="27">
        <v>0.21059999999999998</v>
      </c>
      <c r="K1744" s="25">
        <f t="shared" si="27"/>
        <v>4054.0499999999997</v>
      </c>
      <c r="L1744" s="27">
        <v>3.59</v>
      </c>
      <c r="M1744" s="26">
        <v>69199.5</v>
      </c>
      <c r="N1744" s="25">
        <f>IFERROR(T_reg.root.SK[[#This Row],[Price]]/T_reg.root.SK[[#This Row],[Starch content]],"")</f>
        <v>17.046533713200379</v>
      </c>
    </row>
    <row r="1745" spans="1:14">
      <c r="A1745" s="21">
        <v>2023</v>
      </c>
      <c r="B1745" s="21" t="s">
        <v>28</v>
      </c>
      <c r="C1745" s="21" t="s">
        <v>1145</v>
      </c>
      <c r="D1745" s="21" t="s">
        <v>35</v>
      </c>
      <c r="E1745" s="17" t="s">
        <v>643</v>
      </c>
      <c r="F1745" s="18" t="s">
        <v>47</v>
      </c>
      <c r="G1745" s="18" t="s">
        <v>48</v>
      </c>
      <c r="H1745" s="26">
        <v>48390</v>
      </c>
      <c r="I1745" s="24">
        <f>T_reg.root.SK[[#This Row],[Volume, kg]]/1000</f>
        <v>48.39</v>
      </c>
      <c r="J1745" s="27">
        <v>0.23280000000000001</v>
      </c>
      <c r="K1745" s="25">
        <f t="shared" si="27"/>
        <v>11265.192000000001</v>
      </c>
      <c r="L1745" s="27">
        <v>3.81</v>
      </c>
      <c r="M1745" s="26">
        <v>184272.5</v>
      </c>
      <c r="N1745" s="25">
        <f>IFERROR(T_reg.root.SK[[#This Row],[Price]]/T_reg.root.SK[[#This Row],[Starch content]],"")</f>
        <v>16.365979381443299</v>
      </c>
    </row>
    <row r="1746" spans="1:14">
      <c r="A1746" s="21">
        <v>2023</v>
      </c>
      <c r="B1746" s="21" t="s">
        <v>28</v>
      </c>
      <c r="C1746" s="21" t="s">
        <v>1145</v>
      </c>
      <c r="D1746" s="21" t="s">
        <v>35</v>
      </c>
      <c r="E1746" s="17" t="s">
        <v>467</v>
      </c>
      <c r="F1746" s="18" t="s">
        <v>47</v>
      </c>
      <c r="G1746" s="18" t="s">
        <v>48</v>
      </c>
      <c r="H1746" s="26">
        <v>5890</v>
      </c>
      <c r="I1746" s="24">
        <f>T_reg.root.SK[[#This Row],[Volume, kg]]/1000</f>
        <v>5.89</v>
      </c>
      <c r="J1746" s="27">
        <v>0.26700000000000002</v>
      </c>
      <c r="K1746" s="25">
        <f t="shared" si="27"/>
        <v>1572.63</v>
      </c>
      <c r="L1746" s="27">
        <v>4</v>
      </c>
      <c r="M1746" s="26">
        <v>23560</v>
      </c>
      <c r="N1746" s="25">
        <f>IFERROR(T_reg.root.SK[[#This Row],[Price]]/T_reg.root.SK[[#This Row],[Starch content]],"")</f>
        <v>14.9812734082397</v>
      </c>
    </row>
    <row r="1747" spans="1:14">
      <c r="A1747" s="21">
        <v>2023</v>
      </c>
      <c r="B1747" s="21" t="s">
        <v>28</v>
      </c>
      <c r="C1747" s="21" t="s">
        <v>1145</v>
      </c>
      <c r="D1747" s="21" t="s">
        <v>35</v>
      </c>
      <c r="E1747" s="17" t="s">
        <v>61</v>
      </c>
      <c r="F1747" s="18" t="s">
        <v>47</v>
      </c>
      <c r="G1747" s="18" t="s">
        <v>48</v>
      </c>
      <c r="H1747" s="26">
        <v>56890</v>
      </c>
      <c r="I1747" s="24">
        <f>T_reg.root.SK[[#This Row],[Volume, kg]]/1000</f>
        <v>56.89</v>
      </c>
      <c r="J1747" s="27">
        <v>0.2288</v>
      </c>
      <c r="K1747" s="25">
        <f t="shared" si="27"/>
        <v>13016.432000000001</v>
      </c>
      <c r="L1747" s="27">
        <v>3.8</v>
      </c>
      <c r="M1747" s="26">
        <v>216036</v>
      </c>
      <c r="N1747" s="25">
        <f>IFERROR(T_reg.root.SK[[#This Row],[Price]]/T_reg.root.SK[[#This Row],[Starch content]],"")</f>
        <v>16.608391608391607</v>
      </c>
    </row>
    <row r="1748" spans="1:14">
      <c r="A1748" s="21">
        <v>2023</v>
      </c>
      <c r="B1748" s="21" t="s">
        <v>28</v>
      </c>
      <c r="C1748" s="21" t="s">
        <v>1145</v>
      </c>
      <c r="D1748" s="21" t="s">
        <v>35</v>
      </c>
      <c r="E1748" s="17" t="s">
        <v>468</v>
      </c>
      <c r="F1748" s="18" t="s">
        <v>47</v>
      </c>
      <c r="G1748" s="18" t="s">
        <v>48</v>
      </c>
      <c r="H1748" s="26">
        <v>8910</v>
      </c>
      <c r="I1748" s="24">
        <f>T_reg.root.SK[[#This Row],[Volume, kg]]/1000</f>
        <v>8.91</v>
      </c>
      <c r="J1748" s="27">
        <v>0.20199999999999999</v>
      </c>
      <c r="K1748" s="25">
        <f t="shared" si="27"/>
        <v>1799.82</v>
      </c>
      <c r="L1748" s="27">
        <v>3.4</v>
      </c>
      <c r="M1748" s="26">
        <v>30294</v>
      </c>
      <c r="N1748" s="25">
        <f>IFERROR(T_reg.root.SK[[#This Row],[Price]]/T_reg.root.SK[[#This Row],[Starch content]],"")</f>
        <v>16.831683168316832</v>
      </c>
    </row>
    <row r="1749" spans="1:14">
      <c r="A1749" s="21">
        <v>2023</v>
      </c>
      <c r="B1749" s="21" t="s">
        <v>28</v>
      </c>
      <c r="C1749" s="21" t="s">
        <v>1145</v>
      </c>
      <c r="D1749" s="21" t="s">
        <v>35</v>
      </c>
      <c r="E1749" s="17" t="s">
        <v>62</v>
      </c>
      <c r="F1749" s="18" t="s">
        <v>47</v>
      </c>
      <c r="G1749" s="18" t="s">
        <v>48</v>
      </c>
      <c r="H1749" s="26">
        <v>432840</v>
      </c>
      <c r="I1749" s="24">
        <f>T_reg.root.SK[[#This Row],[Volume, kg]]/1000</f>
        <v>432.84</v>
      </c>
      <c r="J1749" s="27">
        <v>0.2341</v>
      </c>
      <c r="K1749" s="25">
        <f t="shared" si="27"/>
        <v>101327.844</v>
      </c>
      <c r="L1749" s="27">
        <v>3.74</v>
      </c>
      <c r="M1749" s="26">
        <v>1619409</v>
      </c>
      <c r="N1749" s="25">
        <f>IFERROR(T_reg.root.SK[[#This Row],[Price]]/T_reg.root.SK[[#This Row],[Starch content]],"")</f>
        <v>15.976078598889364</v>
      </c>
    </row>
    <row r="1750" spans="1:14">
      <c r="A1750" s="21">
        <v>2023</v>
      </c>
      <c r="B1750" s="21" t="s">
        <v>28</v>
      </c>
      <c r="C1750" s="21" t="s">
        <v>1145</v>
      </c>
      <c r="D1750" s="21" t="s">
        <v>35</v>
      </c>
      <c r="E1750" s="17" t="s">
        <v>63</v>
      </c>
      <c r="F1750" s="18" t="s">
        <v>47</v>
      </c>
      <c r="G1750" s="18" t="s">
        <v>48</v>
      </c>
      <c r="H1750" s="26">
        <v>7810</v>
      </c>
      <c r="I1750" s="24">
        <f>T_reg.root.SK[[#This Row],[Volume, kg]]/1000</f>
        <v>7.81</v>
      </c>
      <c r="J1750" s="27">
        <v>0.27200000000000002</v>
      </c>
      <c r="K1750" s="25">
        <f t="shared" si="27"/>
        <v>2124.3200000000002</v>
      </c>
      <c r="L1750" s="27">
        <v>4</v>
      </c>
      <c r="M1750" s="26">
        <v>31240</v>
      </c>
      <c r="N1750" s="25">
        <f>IFERROR(T_reg.root.SK[[#This Row],[Price]]/T_reg.root.SK[[#This Row],[Starch content]],"")</f>
        <v>14.705882352941176</v>
      </c>
    </row>
    <row r="1751" spans="1:14">
      <c r="A1751" s="21">
        <v>2023</v>
      </c>
      <c r="B1751" s="21" t="s">
        <v>28</v>
      </c>
      <c r="C1751" s="21" t="s">
        <v>1145</v>
      </c>
      <c r="D1751" s="21" t="s">
        <v>35</v>
      </c>
      <c r="E1751" s="17" t="s">
        <v>340</v>
      </c>
      <c r="F1751" s="18" t="s">
        <v>47</v>
      </c>
      <c r="G1751" s="18" t="s">
        <v>48</v>
      </c>
      <c r="H1751" s="26">
        <v>66010</v>
      </c>
      <c r="I1751" s="24">
        <f>T_reg.root.SK[[#This Row],[Volume, kg]]/1000</f>
        <v>66.010000000000005</v>
      </c>
      <c r="J1751" s="27">
        <v>0.22320000000000001</v>
      </c>
      <c r="K1751" s="25">
        <f t="shared" si="27"/>
        <v>14733.432000000001</v>
      </c>
      <c r="L1751" s="27">
        <v>3.72</v>
      </c>
      <c r="M1751" s="26">
        <v>245359.5</v>
      </c>
      <c r="N1751" s="25">
        <f>IFERROR(T_reg.root.SK[[#This Row],[Price]]/T_reg.root.SK[[#This Row],[Starch content]],"")</f>
        <v>16.666666666666668</v>
      </c>
    </row>
    <row r="1752" spans="1:14">
      <c r="A1752" s="21">
        <v>2023</v>
      </c>
      <c r="B1752" s="21" t="s">
        <v>28</v>
      </c>
      <c r="C1752" s="21" t="s">
        <v>1145</v>
      </c>
      <c r="D1752" s="21" t="s">
        <v>35</v>
      </c>
      <c r="E1752" s="17" t="s">
        <v>64</v>
      </c>
      <c r="F1752" s="18" t="s">
        <v>47</v>
      </c>
      <c r="G1752" s="18" t="s">
        <v>48</v>
      </c>
      <c r="H1752" s="26">
        <v>27920</v>
      </c>
      <c r="I1752" s="24">
        <f>T_reg.root.SK[[#This Row],[Volume, kg]]/1000</f>
        <v>27.92</v>
      </c>
      <c r="J1752" s="27">
        <v>0.24410000000000001</v>
      </c>
      <c r="K1752" s="25">
        <f t="shared" si="27"/>
        <v>6815.2719999999999</v>
      </c>
      <c r="L1752" s="27">
        <v>3.88</v>
      </c>
      <c r="M1752" s="26">
        <v>108417</v>
      </c>
      <c r="N1752" s="25">
        <f>IFERROR(T_reg.root.SK[[#This Row],[Price]]/T_reg.root.SK[[#This Row],[Starch content]],"")</f>
        <v>15.895124948791478</v>
      </c>
    </row>
    <row r="1753" spans="1:14">
      <c r="A1753" s="21">
        <v>2023</v>
      </c>
      <c r="B1753" s="21" t="s">
        <v>28</v>
      </c>
      <c r="C1753" s="21" t="s">
        <v>1145</v>
      </c>
      <c r="D1753" s="21" t="s">
        <v>35</v>
      </c>
      <c r="E1753" s="17" t="s">
        <v>66</v>
      </c>
      <c r="F1753" s="18" t="s">
        <v>47</v>
      </c>
      <c r="G1753" s="18" t="s">
        <v>48</v>
      </c>
      <c r="H1753" s="26">
        <v>107780</v>
      </c>
      <c r="I1753" s="24">
        <f>T_reg.root.SK[[#This Row],[Volume, kg]]/1000</f>
        <v>107.78</v>
      </c>
      <c r="J1753" s="27">
        <v>0.28190000000000004</v>
      </c>
      <c r="K1753" s="25">
        <f t="shared" si="27"/>
        <v>30383.182000000004</v>
      </c>
      <c r="L1753" s="27">
        <v>4.05</v>
      </c>
      <c r="M1753" s="26">
        <v>436739</v>
      </c>
      <c r="N1753" s="25">
        <f>IFERROR(T_reg.root.SK[[#This Row],[Price]]/T_reg.root.SK[[#This Row],[Starch content]],"")</f>
        <v>14.366796736431356</v>
      </c>
    </row>
    <row r="1754" spans="1:14">
      <c r="A1754" s="21">
        <v>2023</v>
      </c>
      <c r="B1754" s="21" t="s">
        <v>28</v>
      </c>
      <c r="C1754" s="21" t="s">
        <v>1145</v>
      </c>
      <c r="D1754" s="21" t="s">
        <v>35</v>
      </c>
      <c r="E1754" s="17" t="s">
        <v>341</v>
      </c>
      <c r="F1754" s="18" t="s">
        <v>47</v>
      </c>
      <c r="G1754" s="18" t="s">
        <v>48</v>
      </c>
      <c r="H1754" s="26">
        <v>45500</v>
      </c>
      <c r="I1754" s="24">
        <f>T_reg.root.SK[[#This Row],[Volume, kg]]/1000</f>
        <v>45.5</v>
      </c>
      <c r="J1754" s="27">
        <v>0.24890000000000001</v>
      </c>
      <c r="K1754" s="25">
        <f t="shared" si="27"/>
        <v>11324.95</v>
      </c>
      <c r="L1754" s="27">
        <v>3.9</v>
      </c>
      <c r="M1754" s="26">
        <v>177535.5</v>
      </c>
      <c r="N1754" s="25">
        <f>IFERROR(T_reg.root.SK[[#This Row],[Price]]/T_reg.root.SK[[#This Row],[Starch content]],"")</f>
        <v>15.66894335074327</v>
      </c>
    </row>
    <row r="1755" spans="1:14">
      <c r="A1755" s="21">
        <v>2023</v>
      </c>
      <c r="B1755" s="21" t="s">
        <v>28</v>
      </c>
      <c r="C1755" s="21" t="s">
        <v>1145</v>
      </c>
      <c r="D1755" s="21" t="s">
        <v>35</v>
      </c>
      <c r="E1755" s="17" t="s">
        <v>70</v>
      </c>
      <c r="F1755" s="18" t="s">
        <v>47</v>
      </c>
      <c r="G1755" s="18" t="s">
        <v>48</v>
      </c>
      <c r="H1755" s="26">
        <v>40910</v>
      </c>
      <c r="I1755" s="24">
        <f>T_reg.root.SK[[#This Row],[Volume, kg]]/1000</f>
        <v>40.909999999999997</v>
      </c>
      <c r="J1755" s="27">
        <v>0.24149999999999999</v>
      </c>
      <c r="K1755" s="25">
        <f t="shared" si="27"/>
        <v>9879.7649999999994</v>
      </c>
      <c r="L1755" s="27">
        <v>3.66</v>
      </c>
      <c r="M1755" s="26">
        <v>149732</v>
      </c>
      <c r="N1755" s="25">
        <f>IFERROR(T_reg.root.SK[[#This Row],[Price]]/T_reg.root.SK[[#This Row],[Starch content]],"")</f>
        <v>15.155279503105591</v>
      </c>
    </row>
    <row r="1756" spans="1:14">
      <c r="A1756" s="21">
        <v>2023</v>
      </c>
      <c r="B1756" s="21" t="s">
        <v>28</v>
      </c>
      <c r="C1756" s="21" t="s">
        <v>1145</v>
      </c>
      <c r="D1756" s="21" t="s">
        <v>35</v>
      </c>
      <c r="E1756" s="17" t="s">
        <v>72</v>
      </c>
      <c r="F1756" s="18" t="s">
        <v>47</v>
      </c>
      <c r="G1756" s="18" t="s">
        <v>48</v>
      </c>
      <c r="H1756" s="26">
        <v>48910</v>
      </c>
      <c r="I1756" s="24">
        <f>T_reg.root.SK[[#This Row],[Volume, kg]]/1000</f>
        <v>48.91</v>
      </c>
      <c r="J1756" s="27">
        <v>0.24710000000000001</v>
      </c>
      <c r="K1756" s="25">
        <f t="shared" si="27"/>
        <v>12085.661</v>
      </c>
      <c r="L1756" s="27">
        <v>3.88</v>
      </c>
      <c r="M1756" s="26">
        <v>189823.5</v>
      </c>
      <c r="N1756" s="25">
        <f>IFERROR(T_reg.root.SK[[#This Row],[Price]]/T_reg.root.SK[[#This Row],[Starch content]],"")</f>
        <v>15.702144880615133</v>
      </c>
    </row>
    <row r="1757" spans="1:14">
      <c r="A1757" s="21">
        <v>2023</v>
      </c>
      <c r="B1757" s="21" t="s">
        <v>28</v>
      </c>
      <c r="C1757" s="21" t="s">
        <v>1145</v>
      </c>
      <c r="D1757" s="21" t="s">
        <v>35</v>
      </c>
      <c r="E1757" s="17" t="s">
        <v>73</v>
      </c>
      <c r="F1757" s="18" t="s">
        <v>47</v>
      </c>
      <c r="G1757" s="18" t="s">
        <v>48</v>
      </c>
      <c r="H1757" s="26">
        <v>22640</v>
      </c>
      <c r="I1757" s="24">
        <f>T_reg.root.SK[[#This Row],[Volume, kg]]/1000</f>
        <v>22.64</v>
      </c>
      <c r="J1757" s="27">
        <v>0.24579999999999999</v>
      </c>
      <c r="K1757" s="25">
        <f t="shared" si="27"/>
        <v>5564.9119999999994</v>
      </c>
      <c r="L1757" s="27">
        <v>3.87</v>
      </c>
      <c r="M1757" s="26">
        <v>87542</v>
      </c>
      <c r="N1757" s="25">
        <f>IFERROR(T_reg.root.SK[[#This Row],[Price]]/T_reg.root.SK[[#This Row],[Starch content]],"")</f>
        <v>15.744507729861677</v>
      </c>
    </row>
    <row r="1758" spans="1:14">
      <c r="A1758" s="21">
        <v>2023</v>
      </c>
      <c r="B1758" s="21" t="s">
        <v>28</v>
      </c>
      <c r="C1758" s="21" t="s">
        <v>1145</v>
      </c>
      <c r="D1758" s="21" t="s">
        <v>35</v>
      </c>
      <c r="E1758" s="17" t="s">
        <v>74</v>
      </c>
      <c r="F1758" s="18" t="s">
        <v>47</v>
      </c>
      <c r="G1758" s="18" t="s">
        <v>48</v>
      </c>
      <c r="H1758" s="26">
        <v>67340</v>
      </c>
      <c r="I1758" s="24">
        <f>T_reg.root.SK[[#This Row],[Volume, kg]]/1000</f>
        <v>67.34</v>
      </c>
      <c r="J1758" s="27">
        <v>0.23399999999999999</v>
      </c>
      <c r="K1758" s="25">
        <f t="shared" si="27"/>
        <v>15757.56</v>
      </c>
      <c r="L1758" s="27">
        <v>3.83</v>
      </c>
      <c r="M1758" s="26">
        <v>257810</v>
      </c>
      <c r="N1758" s="25">
        <f>IFERROR(T_reg.root.SK[[#This Row],[Price]]/T_reg.root.SK[[#This Row],[Starch content]],"")</f>
        <v>16.36752136752137</v>
      </c>
    </row>
    <row r="1759" spans="1:14">
      <c r="A1759" s="21">
        <v>2023</v>
      </c>
      <c r="B1759" s="21" t="s">
        <v>28</v>
      </c>
      <c r="C1759" s="21" t="s">
        <v>1145</v>
      </c>
      <c r="D1759" s="21" t="s">
        <v>35</v>
      </c>
      <c r="E1759" s="17" t="s">
        <v>75</v>
      </c>
      <c r="F1759" s="18" t="s">
        <v>47</v>
      </c>
      <c r="G1759" s="18" t="s">
        <v>48</v>
      </c>
      <c r="H1759" s="26">
        <v>16420</v>
      </c>
      <c r="I1759" s="24">
        <f>T_reg.root.SK[[#This Row],[Volume, kg]]/1000</f>
        <v>16.420000000000002</v>
      </c>
      <c r="J1759" s="27">
        <v>0.2266</v>
      </c>
      <c r="K1759" s="25">
        <f t="shared" si="27"/>
        <v>3720.7719999999999</v>
      </c>
      <c r="L1759" s="27">
        <v>3.78</v>
      </c>
      <c r="M1759" s="26">
        <v>62051.5</v>
      </c>
      <c r="N1759" s="25">
        <f>IFERROR(T_reg.root.SK[[#This Row],[Price]]/T_reg.root.SK[[#This Row],[Starch content]],"")</f>
        <v>16.681376875551631</v>
      </c>
    </row>
    <row r="1760" spans="1:14">
      <c r="A1760" s="21">
        <v>2023</v>
      </c>
      <c r="B1760" s="21" t="s">
        <v>28</v>
      </c>
      <c r="C1760" s="21" t="s">
        <v>1145</v>
      </c>
      <c r="D1760" s="21" t="s">
        <v>35</v>
      </c>
      <c r="E1760" s="17" t="s">
        <v>77</v>
      </c>
      <c r="F1760" s="18" t="s">
        <v>47</v>
      </c>
      <c r="G1760" s="18" t="s">
        <v>48</v>
      </c>
      <c r="H1760" s="26">
        <v>47520</v>
      </c>
      <c r="I1760" s="24">
        <f>T_reg.root.SK[[#This Row],[Volume, kg]]/1000</f>
        <v>47.52</v>
      </c>
      <c r="J1760" s="27">
        <v>0.22949999999999998</v>
      </c>
      <c r="K1760" s="25">
        <f t="shared" si="27"/>
        <v>10905.839999999998</v>
      </c>
      <c r="L1760" s="27">
        <v>3.8</v>
      </c>
      <c r="M1760" s="26">
        <v>180412.5</v>
      </c>
      <c r="N1760" s="25">
        <f>IFERROR(T_reg.root.SK[[#This Row],[Price]]/T_reg.root.SK[[#This Row],[Starch content]],"")</f>
        <v>16.557734204793029</v>
      </c>
    </row>
    <row r="1761" spans="1:14">
      <c r="A1761" s="21">
        <v>2023</v>
      </c>
      <c r="B1761" s="21" t="s">
        <v>28</v>
      </c>
      <c r="C1761" s="21" t="s">
        <v>1145</v>
      </c>
      <c r="D1761" s="21" t="s">
        <v>35</v>
      </c>
      <c r="E1761" s="17" t="s">
        <v>79</v>
      </c>
      <c r="F1761" s="18" t="s">
        <v>80</v>
      </c>
      <c r="G1761" s="18" t="s">
        <v>81</v>
      </c>
      <c r="H1761" s="26">
        <v>11790</v>
      </c>
      <c r="I1761" s="24">
        <f>T_reg.root.SK[[#This Row],[Volume, kg]]/1000</f>
        <v>11.79</v>
      </c>
      <c r="J1761" s="27">
        <v>0.22570000000000001</v>
      </c>
      <c r="K1761" s="25">
        <f t="shared" si="27"/>
        <v>2661.0030000000002</v>
      </c>
      <c r="L1761" s="27">
        <v>3.8</v>
      </c>
      <c r="M1761" s="26">
        <v>44802</v>
      </c>
      <c r="N1761" s="25">
        <f>IFERROR(T_reg.root.SK[[#This Row],[Price]]/T_reg.root.SK[[#This Row],[Starch content]],"")</f>
        <v>16.836508639787326</v>
      </c>
    </row>
    <row r="1762" spans="1:14">
      <c r="A1762" s="21">
        <v>2023</v>
      </c>
      <c r="B1762" s="21" t="s">
        <v>28</v>
      </c>
      <c r="C1762" s="21" t="s">
        <v>1145</v>
      </c>
      <c r="D1762" s="21" t="s">
        <v>39</v>
      </c>
      <c r="E1762" s="17" t="s">
        <v>85</v>
      </c>
      <c r="F1762" s="18" t="s">
        <v>86</v>
      </c>
      <c r="G1762" s="18" t="s">
        <v>87</v>
      </c>
      <c r="H1762" s="26">
        <v>4643170</v>
      </c>
      <c r="I1762" s="24">
        <f>T_reg.root.SK[[#This Row],[Volume, kg]]/1000</f>
        <v>4643.17</v>
      </c>
      <c r="J1762" s="27">
        <v>0.24365978889422521</v>
      </c>
      <c r="K1762" s="25">
        <f t="shared" si="27"/>
        <v>1131353.8219999997</v>
      </c>
      <c r="L1762" s="27">
        <v>3.9269332158848371</v>
      </c>
      <c r="M1762" s="26">
        <v>18233418.5</v>
      </c>
      <c r="N1762" s="25">
        <f>IFERROR(T_reg.root.SK[[#This Row],[Price]]/T_reg.root.SK[[#This Row],[Starch content]],"")</f>
        <v>16.116459895602848</v>
      </c>
    </row>
    <row r="1763" spans="1:14">
      <c r="A1763" s="21">
        <v>2023</v>
      </c>
      <c r="B1763" s="21" t="s">
        <v>28</v>
      </c>
      <c r="C1763" s="21" t="s">
        <v>1145</v>
      </c>
      <c r="D1763" s="21" t="s">
        <v>39</v>
      </c>
      <c r="E1763" s="17" t="s">
        <v>88</v>
      </c>
      <c r="F1763" s="18" t="s">
        <v>89</v>
      </c>
      <c r="G1763" s="18" t="s">
        <v>90</v>
      </c>
      <c r="H1763" s="26">
        <v>3584870</v>
      </c>
      <c r="I1763" s="24">
        <f>T_reg.root.SK[[#This Row],[Volume, kg]]/1000</f>
        <v>3584.87</v>
      </c>
      <c r="J1763" s="27">
        <v>0.25920000000000004</v>
      </c>
      <c r="K1763" s="25">
        <f t="shared" si="27"/>
        <v>929198.30400000012</v>
      </c>
      <c r="L1763" s="27">
        <v>3.99</v>
      </c>
      <c r="M1763" s="26">
        <v>14293417.5</v>
      </c>
      <c r="N1763" s="25">
        <f>IFERROR(T_reg.root.SK[[#This Row],[Price]]/T_reg.root.SK[[#This Row],[Starch content]],"")</f>
        <v>15.393518518518517</v>
      </c>
    </row>
    <row r="1764" spans="1:14">
      <c r="A1764" s="21">
        <v>2023</v>
      </c>
      <c r="B1764" s="21" t="s">
        <v>28</v>
      </c>
      <c r="C1764" s="21" t="s">
        <v>1145</v>
      </c>
      <c r="D1764" s="21" t="s">
        <v>35</v>
      </c>
      <c r="E1764" s="17" t="s">
        <v>478</v>
      </c>
      <c r="F1764" s="18" t="s">
        <v>92</v>
      </c>
      <c r="G1764" s="18" t="s">
        <v>48</v>
      </c>
      <c r="H1764" s="26">
        <v>118380</v>
      </c>
      <c r="I1764" s="24">
        <f>T_reg.root.SK[[#This Row],[Volume, kg]]/1000</f>
        <v>118.38</v>
      </c>
      <c r="J1764" s="27">
        <v>0.23260000000000003</v>
      </c>
      <c r="K1764" s="25">
        <f t="shared" si="27"/>
        <v>27535.188000000002</v>
      </c>
      <c r="L1764" s="27">
        <v>3.76</v>
      </c>
      <c r="M1764" s="26">
        <v>445098.5</v>
      </c>
      <c r="N1764" s="25">
        <f>IFERROR(T_reg.root.SK[[#This Row],[Price]]/T_reg.root.SK[[#This Row],[Starch content]],"")</f>
        <v>16.165090283748921</v>
      </c>
    </row>
    <row r="1765" spans="1:14">
      <c r="A1765" s="21">
        <v>2023</v>
      </c>
      <c r="B1765" s="21" t="s">
        <v>28</v>
      </c>
      <c r="C1765" s="21" t="s">
        <v>1145</v>
      </c>
      <c r="D1765" s="21" t="s">
        <v>35</v>
      </c>
      <c r="E1765" s="17" t="s">
        <v>275</v>
      </c>
      <c r="F1765" s="18" t="s">
        <v>92</v>
      </c>
      <c r="G1765" s="18" t="s">
        <v>48</v>
      </c>
      <c r="H1765" s="26">
        <v>27050</v>
      </c>
      <c r="I1765" s="24">
        <f>T_reg.root.SK[[#This Row],[Volume, kg]]/1000</f>
        <v>27.05</v>
      </c>
      <c r="J1765" s="27">
        <v>0.24710000000000001</v>
      </c>
      <c r="K1765" s="25">
        <f t="shared" si="27"/>
        <v>6684.0550000000003</v>
      </c>
      <c r="L1765" s="27">
        <v>3.88</v>
      </c>
      <c r="M1765" s="26">
        <v>104947.5</v>
      </c>
      <c r="N1765" s="25">
        <f>IFERROR(T_reg.root.SK[[#This Row],[Price]]/T_reg.root.SK[[#This Row],[Starch content]],"")</f>
        <v>15.702144880615133</v>
      </c>
    </row>
    <row r="1766" spans="1:14">
      <c r="A1766" s="21">
        <v>2023</v>
      </c>
      <c r="B1766" s="21" t="s">
        <v>28</v>
      </c>
      <c r="C1766" s="21" t="s">
        <v>1145</v>
      </c>
      <c r="D1766" s="21" t="s">
        <v>35</v>
      </c>
      <c r="E1766" s="17" t="s">
        <v>91</v>
      </c>
      <c r="F1766" s="18" t="s">
        <v>92</v>
      </c>
      <c r="G1766" s="18" t="s">
        <v>48</v>
      </c>
      <c r="H1766" s="26">
        <v>16670</v>
      </c>
      <c r="I1766" s="24">
        <f>T_reg.root.SK[[#This Row],[Volume, kg]]/1000</f>
        <v>16.670000000000002</v>
      </c>
      <c r="J1766" s="27">
        <v>0.20370000000000002</v>
      </c>
      <c r="K1766" s="25">
        <f t="shared" si="27"/>
        <v>3395.6790000000005</v>
      </c>
      <c r="L1766" s="27">
        <v>3.69</v>
      </c>
      <c r="M1766" s="26">
        <v>61456.5</v>
      </c>
      <c r="N1766" s="25">
        <f>IFERROR(T_reg.root.SK[[#This Row],[Price]]/T_reg.root.SK[[#This Row],[Starch content]],"")</f>
        <v>18.114874815905743</v>
      </c>
    </row>
    <row r="1767" spans="1:14">
      <c r="A1767" s="21">
        <v>2023</v>
      </c>
      <c r="B1767" s="21" t="s">
        <v>28</v>
      </c>
      <c r="C1767" s="21" t="s">
        <v>1145</v>
      </c>
      <c r="D1767" s="21" t="s">
        <v>39</v>
      </c>
      <c r="E1767" s="17" t="s">
        <v>552</v>
      </c>
      <c r="F1767" s="18" t="s">
        <v>95</v>
      </c>
      <c r="G1767" s="18" t="s">
        <v>48</v>
      </c>
      <c r="H1767" s="26">
        <v>2637120</v>
      </c>
      <c r="I1767" s="24">
        <f>T_reg.root.SK[[#This Row],[Volume, kg]]/1000</f>
        <v>2637.12</v>
      </c>
      <c r="J1767" s="27">
        <v>0.23355546505278482</v>
      </c>
      <c r="K1767" s="25">
        <f t="shared" si="27"/>
        <v>615913.78799999994</v>
      </c>
      <c r="L1767" s="27">
        <v>3.7853784359164036</v>
      </c>
      <c r="M1767" s="26">
        <v>9982497.1809238661</v>
      </c>
      <c r="N1767" s="25">
        <f>IFERROR(T_reg.root.SK[[#This Row],[Price]]/T_reg.root.SK[[#This Row],[Starch content]],"")</f>
        <v>16.20762089665034</v>
      </c>
    </row>
    <row r="1768" spans="1:14">
      <c r="A1768" s="21">
        <v>2023</v>
      </c>
      <c r="B1768" s="21" t="s">
        <v>28</v>
      </c>
      <c r="C1768" s="21" t="s">
        <v>1145</v>
      </c>
      <c r="D1768" s="21" t="s">
        <v>35</v>
      </c>
      <c r="E1768" s="17" t="s">
        <v>276</v>
      </c>
      <c r="F1768" s="18" t="s">
        <v>95</v>
      </c>
      <c r="G1768" s="18" t="s">
        <v>48</v>
      </c>
      <c r="H1768" s="26">
        <v>108490</v>
      </c>
      <c r="I1768" s="24">
        <f>T_reg.root.SK[[#This Row],[Volume, kg]]/1000</f>
        <v>108.49</v>
      </c>
      <c r="J1768" s="27">
        <v>0.2303</v>
      </c>
      <c r="K1768" s="25">
        <f t="shared" si="27"/>
        <v>24985.246999999999</v>
      </c>
      <c r="L1768" s="27">
        <v>3.8</v>
      </c>
      <c r="M1768" s="26">
        <v>412141</v>
      </c>
      <c r="N1768" s="25">
        <f>IFERROR(T_reg.root.SK[[#This Row],[Price]]/T_reg.root.SK[[#This Row],[Starch content]],"")</f>
        <v>16.500217108119841</v>
      </c>
    </row>
    <row r="1769" spans="1:14">
      <c r="A1769" s="21">
        <v>2023</v>
      </c>
      <c r="B1769" s="21" t="s">
        <v>28</v>
      </c>
      <c r="C1769" s="21" t="s">
        <v>1145</v>
      </c>
      <c r="D1769" s="21" t="s">
        <v>39</v>
      </c>
      <c r="E1769" s="17" t="s">
        <v>98</v>
      </c>
      <c r="F1769" s="18" t="s">
        <v>99</v>
      </c>
      <c r="G1769" s="18" t="s">
        <v>42</v>
      </c>
      <c r="H1769" s="26">
        <v>3247570</v>
      </c>
      <c r="I1769" s="24">
        <f>T_reg.root.SK[[#This Row],[Volume, kg]]/1000</f>
        <v>3247.57</v>
      </c>
      <c r="J1769" s="27">
        <v>0.24020235499157838</v>
      </c>
      <c r="K1769" s="25">
        <f t="shared" si="27"/>
        <v>780073.96200000017</v>
      </c>
      <c r="L1769" s="27">
        <v>3.8985222797353098</v>
      </c>
      <c r="M1769" s="26">
        <v>12660724</v>
      </c>
      <c r="N1769" s="25">
        <f>IFERROR(T_reg.root.SK[[#This Row],[Price]]/T_reg.root.SK[[#This Row],[Starch content]],"")</f>
        <v>16.230158442334982</v>
      </c>
    </row>
    <row r="1770" spans="1:14">
      <c r="A1770" s="21">
        <v>2023</v>
      </c>
      <c r="B1770" s="21" t="s">
        <v>28</v>
      </c>
      <c r="C1770" s="21" t="s">
        <v>1145</v>
      </c>
      <c r="D1770" s="21" t="s">
        <v>39</v>
      </c>
      <c r="E1770" s="17" t="s">
        <v>346</v>
      </c>
      <c r="F1770" s="18" t="s">
        <v>99</v>
      </c>
      <c r="G1770" s="18" t="s">
        <v>42</v>
      </c>
      <c r="H1770" s="26">
        <v>3397370</v>
      </c>
      <c r="I1770" s="24">
        <f>T_reg.root.SK[[#This Row],[Volume, kg]]/1000</f>
        <v>3397.37</v>
      </c>
      <c r="J1770" s="27">
        <v>0.23996780068111531</v>
      </c>
      <c r="K1770" s="25">
        <f t="shared" si="27"/>
        <v>815259.40700000071</v>
      </c>
      <c r="L1770" s="27">
        <v>3.8946705834218824</v>
      </c>
      <c r="M1770" s="26">
        <v>13231637</v>
      </c>
      <c r="N1770" s="25">
        <f>IFERROR(T_reg.root.SK[[#This Row],[Price]]/T_reg.root.SK[[#This Row],[Starch content]],"")</f>
        <v>16.229971572716842</v>
      </c>
    </row>
    <row r="1771" spans="1:14">
      <c r="A1771" s="21">
        <v>2023</v>
      </c>
      <c r="B1771" s="21" t="s">
        <v>28</v>
      </c>
      <c r="C1771" s="21" t="s">
        <v>1145</v>
      </c>
      <c r="D1771" s="21" t="s">
        <v>35</v>
      </c>
      <c r="E1771" s="17" t="s">
        <v>644</v>
      </c>
      <c r="F1771" s="18" t="s">
        <v>645</v>
      </c>
      <c r="G1771" s="18" t="s">
        <v>48</v>
      </c>
      <c r="H1771" s="26">
        <v>18940</v>
      </c>
      <c r="I1771" s="24">
        <f>T_reg.root.SK[[#This Row],[Volume, kg]]/1000</f>
        <v>18.940000000000001</v>
      </c>
      <c r="J1771" s="27">
        <v>0.25989999999999996</v>
      </c>
      <c r="K1771" s="25">
        <f t="shared" si="27"/>
        <v>4922.5059999999994</v>
      </c>
      <c r="L1771" s="27">
        <v>3.73</v>
      </c>
      <c r="M1771" s="26">
        <v>70661.5</v>
      </c>
      <c r="N1771" s="25">
        <f>IFERROR(T_reg.root.SK[[#This Row],[Price]]/T_reg.root.SK[[#This Row],[Starch content]],"")</f>
        <v>14.351673720661795</v>
      </c>
    </row>
    <row r="1772" spans="1:14">
      <c r="A1772" s="21">
        <v>2023</v>
      </c>
      <c r="B1772" s="21" t="s">
        <v>28</v>
      </c>
      <c r="C1772" s="21" t="s">
        <v>1145</v>
      </c>
      <c r="D1772" s="21" t="s">
        <v>39</v>
      </c>
      <c r="E1772" s="17" t="s">
        <v>101</v>
      </c>
      <c r="F1772" s="18" t="s">
        <v>102</v>
      </c>
      <c r="G1772" s="18" t="s">
        <v>103</v>
      </c>
      <c r="H1772" s="26">
        <v>28550</v>
      </c>
      <c r="I1772" s="24">
        <f>T_reg.root.SK[[#This Row],[Volume, kg]]/1000</f>
        <v>28.55</v>
      </c>
      <c r="J1772" s="27">
        <v>0.21850000000000003</v>
      </c>
      <c r="K1772" s="25">
        <f t="shared" si="27"/>
        <v>6238.1750000000011</v>
      </c>
      <c r="L1772" s="27">
        <v>3.8</v>
      </c>
      <c r="M1772" s="26">
        <v>108490</v>
      </c>
      <c r="N1772" s="25">
        <f>IFERROR(T_reg.root.SK[[#This Row],[Price]]/T_reg.root.SK[[#This Row],[Starch content]],"")</f>
        <v>17.391304347826082</v>
      </c>
    </row>
    <row r="1773" spans="1:14">
      <c r="A1773" s="21">
        <v>2023</v>
      </c>
      <c r="B1773" s="21" t="s">
        <v>28</v>
      </c>
      <c r="C1773" s="21" t="s">
        <v>1145</v>
      </c>
      <c r="D1773" s="21" t="s">
        <v>39</v>
      </c>
      <c r="E1773" s="17" t="s">
        <v>284</v>
      </c>
      <c r="F1773" s="18" t="s">
        <v>285</v>
      </c>
      <c r="G1773" s="18" t="s">
        <v>286</v>
      </c>
      <c r="H1773" s="26">
        <v>786100</v>
      </c>
      <c r="I1773" s="24">
        <f>T_reg.root.SK[[#This Row],[Volume, kg]]/1000</f>
        <v>786.1</v>
      </c>
      <c r="J1773" s="27">
        <v>0.25239999999999996</v>
      </c>
      <c r="K1773" s="25">
        <f t="shared" si="27"/>
        <v>198411.63999999996</v>
      </c>
      <c r="L1773" s="27">
        <v>3.97</v>
      </c>
      <c r="M1773" s="26">
        <v>3122118</v>
      </c>
      <c r="N1773" s="25">
        <f>IFERROR(T_reg.root.SK[[#This Row],[Price]]/T_reg.root.SK[[#This Row],[Starch content]],"")</f>
        <v>15.729001584786058</v>
      </c>
    </row>
    <row r="1774" spans="1:14">
      <c r="A1774" s="21">
        <v>2023</v>
      </c>
      <c r="B1774" s="21" t="s">
        <v>28</v>
      </c>
      <c r="C1774" s="21" t="s">
        <v>1145</v>
      </c>
      <c r="D1774" s="21" t="s">
        <v>35</v>
      </c>
      <c r="E1774" s="17" t="s">
        <v>480</v>
      </c>
      <c r="F1774" s="18" t="s">
        <v>105</v>
      </c>
      <c r="G1774" s="18" t="s">
        <v>48</v>
      </c>
      <c r="H1774" s="26">
        <v>18160</v>
      </c>
      <c r="I1774" s="24">
        <f>T_reg.root.SK[[#This Row],[Volume, kg]]/1000</f>
        <v>18.16</v>
      </c>
      <c r="J1774" s="27">
        <v>0.21809999999999999</v>
      </c>
      <c r="K1774" s="25">
        <f t="shared" si="27"/>
        <v>3960.6959999999999</v>
      </c>
      <c r="L1774" s="27">
        <v>3.63</v>
      </c>
      <c r="M1774" s="26">
        <v>65903.5</v>
      </c>
      <c r="N1774" s="25">
        <f>IFERROR(T_reg.root.SK[[#This Row],[Price]]/T_reg.root.SK[[#This Row],[Starch content]],"")</f>
        <v>16.643741403026134</v>
      </c>
    </row>
    <row r="1775" spans="1:14">
      <c r="A1775" s="21">
        <v>2023</v>
      </c>
      <c r="B1775" s="21" t="s">
        <v>28</v>
      </c>
      <c r="C1775" s="21" t="s">
        <v>1145</v>
      </c>
      <c r="D1775" s="21" t="s">
        <v>35</v>
      </c>
      <c r="E1775" s="17" t="s">
        <v>289</v>
      </c>
      <c r="F1775" s="18" t="s">
        <v>105</v>
      </c>
      <c r="G1775" s="18" t="s">
        <v>48</v>
      </c>
      <c r="H1775" s="26">
        <v>64430</v>
      </c>
      <c r="I1775" s="24">
        <f>T_reg.root.SK[[#This Row],[Volume, kg]]/1000</f>
        <v>64.430000000000007</v>
      </c>
      <c r="J1775" s="27">
        <v>0.24280000000000002</v>
      </c>
      <c r="K1775" s="25">
        <f t="shared" si="27"/>
        <v>15643.604000000001</v>
      </c>
      <c r="L1775" s="27">
        <v>3.71</v>
      </c>
      <c r="M1775" s="26">
        <v>239344</v>
      </c>
      <c r="N1775" s="25">
        <f>IFERROR(T_reg.root.SK[[#This Row],[Price]]/T_reg.root.SK[[#This Row],[Starch content]],"")</f>
        <v>15.280065897858318</v>
      </c>
    </row>
    <row r="1776" spans="1:14">
      <c r="A1776" s="21">
        <v>2023</v>
      </c>
      <c r="B1776" s="21" t="s">
        <v>28</v>
      </c>
      <c r="C1776" s="21" t="s">
        <v>1145</v>
      </c>
      <c r="D1776" s="21" t="s">
        <v>35</v>
      </c>
      <c r="E1776" s="17" t="s">
        <v>108</v>
      </c>
      <c r="F1776" s="18" t="s">
        <v>105</v>
      </c>
      <c r="G1776" s="18" t="s">
        <v>48</v>
      </c>
      <c r="H1776" s="26">
        <v>16470</v>
      </c>
      <c r="I1776" s="24">
        <f>T_reg.root.SK[[#This Row],[Volume, kg]]/1000</f>
        <v>16.47</v>
      </c>
      <c r="J1776" s="27">
        <v>0.23929999999999998</v>
      </c>
      <c r="K1776" s="25">
        <f t="shared" si="27"/>
        <v>3941.2709999999997</v>
      </c>
      <c r="L1776" s="27">
        <v>3.8</v>
      </c>
      <c r="M1776" s="26">
        <v>62586</v>
      </c>
      <c r="N1776" s="25">
        <f>IFERROR(T_reg.root.SK[[#This Row],[Price]]/T_reg.root.SK[[#This Row],[Starch content]],"")</f>
        <v>15.879648976180526</v>
      </c>
    </row>
    <row r="1777" spans="1:14">
      <c r="A1777" s="21">
        <v>2023</v>
      </c>
      <c r="B1777" s="21" t="s">
        <v>28</v>
      </c>
      <c r="C1777" s="21" t="s">
        <v>1145</v>
      </c>
      <c r="D1777" s="21" t="s">
        <v>35</v>
      </c>
      <c r="E1777" s="17" t="s">
        <v>401</v>
      </c>
      <c r="F1777" s="18" t="s">
        <v>105</v>
      </c>
      <c r="G1777" s="18" t="s">
        <v>48</v>
      </c>
      <c r="H1777" s="26">
        <v>31250</v>
      </c>
      <c r="I1777" s="24">
        <f>T_reg.root.SK[[#This Row],[Volume, kg]]/1000</f>
        <v>31.25</v>
      </c>
      <c r="J1777" s="27">
        <v>0.218</v>
      </c>
      <c r="K1777" s="25">
        <f t="shared" si="27"/>
        <v>6812.5</v>
      </c>
      <c r="L1777" s="27">
        <v>3.47</v>
      </c>
      <c r="M1777" s="26">
        <v>108371.5</v>
      </c>
      <c r="N1777" s="25">
        <f>IFERROR(T_reg.root.SK[[#This Row],[Price]]/T_reg.root.SK[[#This Row],[Starch content]],"")</f>
        <v>15.917431192660551</v>
      </c>
    </row>
    <row r="1778" spans="1:14">
      <c r="A1778" s="21">
        <v>2023</v>
      </c>
      <c r="B1778" s="21" t="s">
        <v>28</v>
      </c>
      <c r="C1778" s="21" t="s">
        <v>1145</v>
      </c>
      <c r="D1778" s="21" t="s">
        <v>35</v>
      </c>
      <c r="E1778" s="17" t="s">
        <v>109</v>
      </c>
      <c r="F1778" s="18" t="s">
        <v>105</v>
      </c>
      <c r="G1778" s="18" t="s">
        <v>48</v>
      </c>
      <c r="H1778" s="26">
        <v>170560</v>
      </c>
      <c r="I1778" s="24">
        <f>T_reg.root.SK[[#This Row],[Volume, kg]]/1000</f>
        <v>170.56</v>
      </c>
      <c r="J1778" s="27">
        <v>0.25730000000000003</v>
      </c>
      <c r="K1778" s="25">
        <f t="shared" si="27"/>
        <v>43885.088000000003</v>
      </c>
      <c r="L1778" s="27">
        <v>3.74</v>
      </c>
      <c r="M1778" s="26">
        <v>637817.5</v>
      </c>
      <c r="N1778" s="25">
        <f>IFERROR(T_reg.root.SK[[#This Row],[Price]]/T_reg.root.SK[[#This Row],[Starch content]],"")</f>
        <v>14.535561601243684</v>
      </c>
    </row>
    <row r="1779" spans="1:14">
      <c r="A1779" s="21">
        <v>2023</v>
      </c>
      <c r="B1779" s="21" t="s">
        <v>28</v>
      </c>
      <c r="C1779" s="21" t="s">
        <v>1145</v>
      </c>
      <c r="D1779" s="21" t="s">
        <v>35</v>
      </c>
      <c r="E1779" s="17" t="s">
        <v>292</v>
      </c>
      <c r="F1779" s="18" t="s">
        <v>105</v>
      </c>
      <c r="G1779" s="18" t="s">
        <v>48</v>
      </c>
      <c r="H1779" s="26">
        <v>3400</v>
      </c>
      <c r="I1779" s="24">
        <f>T_reg.root.SK[[#This Row],[Volume, kg]]/1000</f>
        <v>3.4</v>
      </c>
      <c r="J1779" s="27">
        <v>0.2</v>
      </c>
      <c r="K1779" s="25">
        <f t="shared" si="27"/>
        <v>680</v>
      </c>
      <c r="L1779" s="27">
        <v>3.35</v>
      </c>
      <c r="M1779" s="26">
        <v>11390</v>
      </c>
      <c r="N1779" s="25">
        <f>IFERROR(T_reg.root.SK[[#This Row],[Price]]/T_reg.root.SK[[#This Row],[Starch content]],"")</f>
        <v>16.75</v>
      </c>
    </row>
    <row r="1780" spans="1:14">
      <c r="A1780" s="21">
        <v>2023</v>
      </c>
      <c r="B1780" s="21" t="s">
        <v>28</v>
      </c>
      <c r="C1780" s="21" t="s">
        <v>1145</v>
      </c>
      <c r="D1780" s="21" t="s">
        <v>35</v>
      </c>
      <c r="E1780" s="17" t="s">
        <v>232</v>
      </c>
      <c r="F1780" s="18" t="s">
        <v>105</v>
      </c>
      <c r="G1780" s="18" t="s">
        <v>48</v>
      </c>
      <c r="H1780" s="26">
        <v>28780</v>
      </c>
      <c r="I1780" s="24">
        <f>T_reg.root.SK[[#This Row],[Volume, kg]]/1000</f>
        <v>28.78</v>
      </c>
      <c r="J1780" s="27">
        <v>0.24079999999999999</v>
      </c>
      <c r="K1780" s="25">
        <f t="shared" si="27"/>
        <v>6930.2239999999993</v>
      </c>
      <c r="L1780" s="27">
        <v>3.56</v>
      </c>
      <c r="M1780" s="26">
        <v>102554.5</v>
      </c>
      <c r="N1780" s="25">
        <f>IFERROR(T_reg.root.SK[[#This Row],[Price]]/T_reg.root.SK[[#This Row],[Starch content]],"")</f>
        <v>14.784053156146181</v>
      </c>
    </row>
    <row r="1781" spans="1:14">
      <c r="A1781" s="21">
        <v>2023</v>
      </c>
      <c r="B1781" s="21" t="s">
        <v>28</v>
      </c>
      <c r="C1781" s="21" t="s">
        <v>1145</v>
      </c>
      <c r="D1781" s="21" t="s">
        <v>35</v>
      </c>
      <c r="E1781" s="17" t="s">
        <v>556</v>
      </c>
      <c r="F1781" s="18" t="s">
        <v>105</v>
      </c>
      <c r="G1781" s="18" t="s">
        <v>48</v>
      </c>
      <c r="H1781" s="26">
        <v>83400</v>
      </c>
      <c r="I1781" s="24">
        <f>T_reg.root.SK[[#This Row],[Volume, kg]]/1000</f>
        <v>83.4</v>
      </c>
      <c r="J1781" s="27">
        <v>0.2177</v>
      </c>
      <c r="K1781" s="25">
        <f t="shared" si="27"/>
        <v>18156.18</v>
      </c>
      <c r="L1781" s="27">
        <v>3.54</v>
      </c>
      <c r="M1781" s="26">
        <v>295336.5</v>
      </c>
      <c r="N1781" s="25">
        <f>IFERROR(T_reg.root.SK[[#This Row],[Price]]/T_reg.root.SK[[#This Row],[Starch content]],"")</f>
        <v>16.260909508497932</v>
      </c>
    </row>
    <row r="1782" spans="1:14">
      <c r="A1782" s="21">
        <v>2023</v>
      </c>
      <c r="B1782" s="21" t="s">
        <v>28</v>
      </c>
      <c r="C1782" s="21" t="s">
        <v>1145</v>
      </c>
      <c r="D1782" s="21" t="s">
        <v>35</v>
      </c>
      <c r="E1782" s="17" t="s">
        <v>112</v>
      </c>
      <c r="F1782" s="18" t="s">
        <v>105</v>
      </c>
      <c r="G1782" s="18" t="s">
        <v>48</v>
      </c>
      <c r="H1782" s="26">
        <v>33250</v>
      </c>
      <c r="I1782" s="24">
        <f>T_reg.root.SK[[#This Row],[Volume, kg]]/1000</f>
        <v>33.25</v>
      </c>
      <c r="J1782" s="27">
        <v>0.25650000000000001</v>
      </c>
      <c r="K1782" s="25">
        <f t="shared" si="27"/>
        <v>8528.625</v>
      </c>
      <c r="L1782" s="27">
        <v>3.64</v>
      </c>
      <c r="M1782" s="26">
        <v>120893</v>
      </c>
      <c r="N1782" s="25">
        <f>IFERROR(T_reg.root.SK[[#This Row],[Price]]/T_reg.root.SK[[#This Row],[Starch content]],"")</f>
        <v>14.19103313840156</v>
      </c>
    </row>
    <row r="1783" spans="1:14">
      <c r="A1783" s="21">
        <v>2023</v>
      </c>
      <c r="B1783" s="21" t="s">
        <v>28</v>
      </c>
      <c r="C1783" s="21" t="s">
        <v>1145</v>
      </c>
      <c r="D1783" s="21" t="s">
        <v>35</v>
      </c>
      <c r="E1783" s="17" t="s">
        <v>113</v>
      </c>
      <c r="F1783" s="18" t="s">
        <v>105</v>
      </c>
      <c r="G1783" s="18" t="s">
        <v>48</v>
      </c>
      <c r="H1783" s="26">
        <v>7370</v>
      </c>
      <c r="I1783" s="24">
        <f>T_reg.root.SK[[#This Row],[Volume, kg]]/1000</f>
        <v>7.37</v>
      </c>
      <c r="J1783" s="27">
        <v>0.27149999999999996</v>
      </c>
      <c r="K1783" s="25">
        <f t="shared" si="27"/>
        <v>2000.9549999999997</v>
      </c>
      <c r="L1783" s="27">
        <v>3.9</v>
      </c>
      <c r="M1783" s="26">
        <v>28743</v>
      </c>
      <c r="N1783" s="25">
        <f>IFERROR(T_reg.root.SK[[#This Row],[Price]]/T_reg.root.SK[[#This Row],[Starch content]],"")</f>
        <v>14.364640883977902</v>
      </c>
    </row>
    <row r="1784" spans="1:14">
      <c r="A1784" s="21">
        <v>2023</v>
      </c>
      <c r="B1784" s="21" t="s">
        <v>28</v>
      </c>
      <c r="C1784" s="21" t="s">
        <v>1145</v>
      </c>
      <c r="D1784" s="21" t="s">
        <v>35</v>
      </c>
      <c r="E1784" s="17" t="s">
        <v>115</v>
      </c>
      <c r="F1784" s="18" t="s">
        <v>105</v>
      </c>
      <c r="G1784" s="18" t="s">
        <v>48</v>
      </c>
      <c r="H1784" s="26">
        <v>21380</v>
      </c>
      <c r="I1784" s="24">
        <f>T_reg.root.SK[[#This Row],[Volume, kg]]/1000</f>
        <v>21.38</v>
      </c>
      <c r="J1784" s="27">
        <v>0.2029</v>
      </c>
      <c r="K1784" s="25">
        <f t="shared" si="27"/>
        <v>4338.0019999999995</v>
      </c>
      <c r="L1784" s="27">
        <v>3.58</v>
      </c>
      <c r="M1784" s="26">
        <v>76454</v>
      </c>
      <c r="N1784" s="25">
        <f>IFERROR(T_reg.root.SK[[#This Row],[Price]]/T_reg.root.SK[[#This Row],[Starch content]],"")</f>
        <v>17.644159684573683</v>
      </c>
    </row>
    <row r="1785" spans="1:14">
      <c r="A1785" s="21">
        <v>2023</v>
      </c>
      <c r="B1785" s="21" t="s">
        <v>28</v>
      </c>
      <c r="C1785" s="21" t="s">
        <v>1145</v>
      </c>
      <c r="D1785" s="21" t="s">
        <v>35</v>
      </c>
      <c r="E1785" s="17" t="s">
        <v>116</v>
      </c>
      <c r="F1785" s="18" t="s">
        <v>105</v>
      </c>
      <c r="G1785" s="18" t="s">
        <v>48</v>
      </c>
      <c r="H1785" s="26">
        <v>7950</v>
      </c>
      <c r="I1785" s="24">
        <f>T_reg.root.SK[[#This Row],[Volume, kg]]/1000</f>
        <v>7.95</v>
      </c>
      <c r="J1785" s="27">
        <v>0.2145</v>
      </c>
      <c r="K1785" s="25">
        <f t="shared" si="27"/>
        <v>1705.2749999999999</v>
      </c>
      <c r="L1785" s="27">
        <v>3.63</v>
      </c>
      <c r="M1785" s="26">
        <v>28862.5</v>
      </c>
      <c r="N1785" s="25">
        <f>IFERROR(T_reg.root.SK[[#This Row],[Price]]/T_reg.root.SK[[#This Row],[Starch content]],"")</f>
        <v>16.923076923076923</v>
      </c>
    </row>
    <row r="1786" spans="1:14">
      <c r="A1786" s="21">
        <v>2023</v>
      </c>
      <c r="B1786" s="21" t="s">
        <v>28</v>
      </c>
      <c r="C1786" s="21" t="s">
        <v>1145</v>
      </c>
      <c r="D1786" s="21" t="s">
        <v>35</v>
      </c>
      <c r="E1786" s="17" t="s">
        <v>296</v>
      </c>
      <c r="F1786" s="18" t="s">
        <v>105</v>
      </c>
      <c r="G1786" s="18" t="s">
        <v>48</v>
      </c>
      <c r="H1786" s="26">
        <v>55380</v>
      </c>
      <c r="I1786" s="24">
        <f>T_reg.root.SK[[#This Row],[Volume, kg]]/1000</f>
        <v>55.38</v>
      </c>
      <c r="J1786" s="27">
        <v>0.23039999999999999</v>
      </c>
      <c r="K1786" s="25">
        <f t="shared" si="27"/>
        <v>12759.552</v>
      </c>
      <c r="L1786" s="27">
        <v>3.55</v>
      </c>
      <c r="M1786" s="26">
        <v>196578</v>
      </c>
      <c r="N1786" s="25">
        <f>IFERROR(T_reg.root.SK[[#This Row],[Price]]/T_reg.root.SK[[#This Row],[Starch content]],"")</f>
        <v>15.407986111111111</v>
      </c>
    </row>
    <row r="1787" spans="1:14">
      <c r="A1787" s="21">
        <v>2023</v>
      </c>
      <c r="B1787" s="21" t="s">
        <v>28</v>
      </c>
      <c r="C1787" s="21" t="s">
        <v>1145</v>
      </c>
      <c r="D1787" s="21" t="s">
        <v>35</v>
      </c>
      <c r="E1787" s="17" t="s">
        <v>118</v>
      </c>
      <c r="F1787" s="18" t="s">
        <v>105</v>
      </c>
      <c r="G1787" s="18" t="s">
        <v>48</v>
      </c>
      <c r="H1787" s="26">
        <v>811830</v>
      </c>
      <c r="I1787" s="24">
        <f>T_reg.root.SK[[#This Row],[Volume, kg]]/1000</f>
        <v>811.83</v>
      </c>
      <c r="J1787" s="27">
        <v>0.24410000000000001</v>
      </c>
      <c r="K1787" s="25">
        <f t="shared" si="27"/>
        <v>198167.70300000001</v>
      </c>
      <c r="L1787" s="27">
        <v>3.76</v>
      </c>
      <c r="M1787" s="26">
        <v>3055252.5</v>
      </c>
      <c r="N1787" s="25">
        <f>IFERROR(T_reg.root.SK[[#This Row],[Price]]/T_reg.root.SK[[#This Row],[Starch content]],"")</f>
        <v>15.403523146251535</v>
      </c>
    </row>
    <row r="1788" spans="1:14">
      <c r="A1788" s="21">
        <v>2023</v>
      </c>
      <c r="B1788" s="21" t="s">
        <v>28</v>
      </c>
      <c r="C1788" s="21" t="s">
        <v>1145</v>
      </c>
      <c r="D1788" s="21" t="s">
        <v>35</v>
      </c>
      <c r="E1788" s="17" t="s">
        <v>119</v>
      </c>
      <c r="F1788" s="18" t="s">
        <v>105</v>
      </c>
      <c r="G1788" s="18" t="s">
        <v>48</v>
      </c>
      <c r="H1788" s="26">
        <v>62630</v>
      </c>
      <c r="I1788" s="24">
        <f>T_reg.root.SK[[#This Row],[Volume, kg]]/1000</f>
        <v>62.63</v>
      </c>
      <c r="J1788" s="27">
        <v>0.28800000000000003</v>
      </c>
      <c r="K1788" s="25">
        <f t="shared" si="27"/>
        <v>18037.440000000002</v>
      </c>
      <c r="L1788" s="27">
        <v>3.89</v>
      </c>
      <c r="M1788" s="26">
        <v>243440</v>
      </c>
      <c r="N1788" s="25">
        <f>IFERROR(T_reg.root.SK[[#This Row],[Price]]/T_reg.root.SK[[#This Row],[Starch content]],"")</f>
        <v>13.506944444444443</v>
      </c>
    </row>
    <row r="1789" spans="1:14">
      <c r="A1789" s="21">
        <v>2023</v>
      </c>
      <c r="B1789" s="21" t="s">
        <v>28</v>
      </c>
      <c r="C1789" s="21" t="s">
        <v>1145</v>
      </c>
      <c r="D1789" s="21" t="s">
        <v>35</v>
      </c>
      <c r="E1789" s="17" t="s">
        <v>122</v>
      </c>
      <c r="F1789" s="18" t="s">
        <v>105</v>
      </c>
      <c r="G1789" s="18" t="s">
        <v>48</v>
      </c>
      <c r="H1789" s="26">
        <v>300210</v>
      </c>
      <c r="I1789" s="24">
        <f>T_reg.root.SK[[#This Row],[Volume, kg]]/1000</f>
        <v>300.20999999999998</v>
      </c>
      <c r="J1789" s="27">
        <v>0.23329999999999998</v>
      </c>
      <c r="K1789" s="25">
        <f t="shared" si="27"/>
        <v>70038.992999999988</v>
      </c>
      <c r="L1789" s="27">
        <v>3.6</v>
      </c>
      <c r="M1789" s="26">
        <v>1081028.5</v>
      </c>
      <c r="N1789" s="25">
        <f>IFERROR(T_reg.root.SK[[#This Row],[Price]]/T_reg.root.SK[[#This Row],[Starch content]],"")</f>
        <v>15.430775825117875</v>
      </c>
    </row>
    <row r="1790" spans="1:14">
      <c r="A1790" s="21">
        <v>2023</v>
      </c>
      <c r="B1790" s="21" t="s">
        <v>28</v>
      </c>
      <c r="C1790" s="21" t="s">
        <v>1145</v>
      </c>
      <c r="D1790" s="21" t="s">
        <v>35</v>
      </c>
      <c r="E1790" s="17" t="s">
        <v>124</v>
      </c>
      <c r="F1790" s="18" t="s">
        <v>105</v>
      </c>
      <c r="G1790" s="18" t="s">
        <v>48</v>
      </c>
      <c r="H1790" s="26">
        <v>75570</v>
      </c>
      <c r="I1790" s="24">
        <f>T_reg.root.SK[[#This Row],[Volume, kg]]/1000</f>
        <v>75.569999999999993</v>
      </c>
      <c r="J1790" s="27">
        <v>0.2351</v>
      </c>
      <c r="K1790" s="25">
        <f t="shared" si="27"/>
        <v>17766.507000000001</v>
      </c>
      <c r="L1790" s="27">
        <v>3.64</v>
      </c>
      <c r="M1790" s="26">
        <v>274947.5</v>
      </c>
      <c r="N1790" s="25">
        <f>IFERROR(T_reg.root.SK[[#This Row],[Price]]/T_reg.root.SK[[#This Row],[Starch content]],"")</f>
        <v>15.482773287962569</v>
      </c>
    </row>
    <row r="1791" spans="1:14">
      <c r="A1791" s="21">
        <v>2023</v>
      </c>
      <c r="B1791" s="21" t="s">
        <v>28</v>
      </c>
      <c r="C1791" s="21" t="s">
        <v>1145</v>
      </c>
      <c r="D1791" s="21" t="s">
        <v>35</v>
      </c>
      <c r="E1791" s="17" t="s">
        <v>404</v>
      </c>
      <c r="F1791" s="18" t="s">
        <v>105</v>
      </c>
      <c r="G1791" s="18" t="s">
        <v>48</v>
      </c>
      <c r="H1791" s="26">
        <v>24690</v>
      </c>
      <c r="I1791" s="24">
        <f>T_reg.root.SK[[#This Row],[Volume, kg]]/1000</f>
        <v>24.69</v>
      </c>
      <c r="J1791" s="27">
        <v>0.27279999999999999</v>
      </c>
      <c r="K1791" s="25">
        <f t="shared" si="27"/>
        <v>6735.4319999999998</v>
      </c>
      <c r="L1791" s="27">
        <v>3.91</v>
      </c>
      <c r="M1791" s="26">
        <v>96542</v>
      </c>
      <c r="N1791" s="25">
        <f>IFERROR(T_reg.root.SK[[#This Row],[Price]]/T_reg.root.SK[[#This Row],[Starch content]],"")</f>
        <v>14.33284457478006</v>
      </c>
    </row>
    <row r="1792" spans="1:14">
      <c r="A1792" s="21">
        <v>2023</v>
      </c>
      <c r="B1792" s="21" t="s">
        <v>28</v>
      </c>
      <c r="C1792" s="21" t="s">
        <v>1145</v>
      </c>
      <c r="D1792" s="21" t="s">
        <v>35</v>
      </c>
      <c r="E1792" s="17" t="s">
        <v>634</v>
      </c>
      <c r="F1792" s="18" t="s">
        <v>105</v>
      </c>
      <c r="G1792" s="18" t="s">
        <v>48</v>
      </c>
      <c r="H1792" s="26">
        <v>45330</v>
      </c>
      <c r="I1792" s="24">
        <f>T_reg.root.SK[[#This Row],[Volume, kg]]/1000</f>
        <v>45.33</v>
      </c>
      <c r="J1792" s="27">
        <v>0.2661</v>
      </c>
      <c r="K1792" s="25">
        <f t="shared" si="27"/>
        <v>12062.313</v>
      </c>
      <c r="L1792" s="27">
        <v>3.76</v>
      </c>
      <c r="M1792" s="26">
        <v>170417.5</v>
      </c>
      <c r="N1792" s="25">
        <f>IFERROR(T_reg.root.SK[[#This Row],[Price]]/T_reg.root.SK[[#This Row],[Starch content]],"")</f>
        <v>14.130026305900037</v>
      </c>
    </row>
    <row r="1793" spans="1:14">
      <c r="A1793" s="21">
        <v>2023</v>
      </c>
      <c r="B1793" s="21" t="s">
        <v>28</v>
      </c>
      <c r="C1793" s="21" t="s">
        <v>1145</v>
      </c>
      <c r="D1793" s="21" t="s">
        <v>35</v>
      </c>
      <c r="E1793" s="17" t="s">
        <v>486</v>
      </c>
      <c r="F1793" s="18" t="s">
        <v>105</v>
      </c>
      <c r="G1793" s="18" t="s">
        <v>48</v>
      </c>
      <c r="H1793" s="26">
        <v>51550</v>
      </c>
      <c r="I1793" s="24">
        <f>T_reg.root.SK[[#This Row],[Volume, kg]]/1000</f>
        <v>51.55</v>
      </c>
      <c r="J1793" s="27">
        <v>0.2697</v>
      </c>
      <c r="K1793" s="25">
        <f t="shared" si="27"/>
        <v>13903.035</v>
      </c>
      <c r="L1793" s="27">
        <v>3.89</v>
      </c>
      <c r="M1793" s="26">
        <v>200769.5</v>
      </c>
      <c r="N1793" s="25">
        <f>IFERROR(T_reg.root.SK[[#This Row],[Price]]/T_reg.root.SK[[#This Row],[Starch content]],"")</f>
        <v>14.423433444568039</v>
      </c>
    </row>
    <row r="1794" spans="1:14">
      <c r="A1794" s="21">
        <v>2023</v>
      </c>
      <c r="B1794" s="21" t="s">
        <v>28</v>
      </c>
      <c r="C1794" s="21" t="s">
        <v>1145</v>
      </c>
      <c r="D1794" s="21" t="s">
        <v>35</v>
      </c>
      <c r="E1794" s="17" t="s">
        <v>127</v>
      </c>
      <c r="F1794" s="18" t="s">
        <v>105</v>
      </c>
      <c r="G1794" s="18" t="s">
        <v>48</v>
      </c>
      <c r="H1794" s="26">
        <v>36490</v>
      </c>
      <c r="I1794" s="24">
        <f>T_reg.root.SK[[#This Row],[Volume, kg]]/1000</f>
        <v>36.49</v>
      </c>
      <c r="J1794" s="27">
        <v>0.25840000000000002</v>
      </c>
      <c r="K1794" s="25">
        <f t="shared" si="27"/>
        <v>9429.0160000000014</v>
      </c>
      <c r="L1794" s="27">
        <v>3.85</v>
      </c>
      <c r="M1794" s="26">
        <v>140462</v>
      </c>
      <c r="N1794" s="25">
        <f>IFERROR(T_reg.root.SK[[#This Row],[Price]]/T_reg.root.SK[[#This Row],[Starch content]],"")</f>
        <v>14.899380804953559</v>
      </c>
    </row>
    <row r="1795" spans="1:14">
      <c r="A1795" s="21">
        <v>2023</v>
      </c>
      <c r="B1795" s="21" t="s">
        <v>28</v>
      </c>
      <c r="C1795" s="21" t="s">
        <v>1145</v>
      </c>
      <c r="D1795" s="21" t="s">
        <v>35</v>
      </c>
      <c r="E1795" s="17" t="s">
        <v>129</v>
      </c>
      <c r="F1795" s="18" t="s">
        <v>105</v>
      </c>
      <c r="G1795" s="18" t="s">
        <v>48</v>
      </c>
      <c r="H1795" s="26">
        <v>9160</v>
      </c>
      <c r="I1795" s="24">
        <f>T_reg.root.SK[[#This Row],[Volume, kg]]/1000</f>
        <v>9.16</v>
      </c>
      <c r="J1795" s="27">
        <v>0.2555</v>
      </c>
      <c r="K1795" s="25">
        <f t="shared" ref="K1795:K1858" si="28">H1795*J1795</f>
        <v>2340.38</v>
      </c>
      <c r="L1795" s="27">
        <v>3.83</v>
      </c>
      <c r="M1795" s="26">
        <v>35105</v>
      </c>
      <c r="N1795" s="25">
        <f>IFERROR(T_reg.root.SK[[#This Row],[Price]]/T_reg.root.SK[[#This Row],[Starch content]],"")</f>
        <v>14.990215264187867</v>
      </c>
    </row>
    <row r="1796" spans="1:14">
      <c r="A1796" s="21">
        <v>2023</v>
      </c>
      <c r="B1796" s="21" t="s">
        <v>28</v>
      </c>
      <c r="C1796" s="21" t="s">
        <v>1145</v>
      </c>
      <c r="D1796" s="21" t="s">
        <v>35</v>
      </c>
      <c r="E1796" s="17" t="s">
        <v>490</v>
      </c>
      <c r="F1796" s="18" t="s">
        <v>105</v>
      </c>
      <c r="G1796" s="18" t="s">
        <v>48</v>
      </c>
      <c r="H1796" s="26">
        <v>39500</v>
      </c>
      <c r="I1796" s="24">
        <f>T_reg.root.SK[[#This Row],[Volume, kg]]/1000</f>
        <v>39.5</v>
      </c>
      <c r="J1796" s="27">
        <v>0.2341</v>
      </c>
      <c r="K1796" s="25">
        <f t="shared" si="28"/>
        <v>9246.9500000000007</v>
      </c>
      <c r="L1796" s="27">
        <v>3.52</v>
      </c>
      <c r="M1796" s="26">
        <v>139182</v>
      </c>
      <c r="N1796" s="25">
        <f>IFERROR(T_reg.root.SK[[#This Row],[Price]]/T_reg.root.SK[[#This Row],[Starch content]],"")</f>
        <v>15.036309269542929</v>
      </c>
    </row>
    <row r="1797" spans="1:14">
      <c r="A1797" s="21">
        <v>2023</v>
      </c>
      <c r="B1797" s="21" t="s">
        <v>28</v>
      </c>
      <c r="C1797" s="21" t="s">
        <v>1145</v>
      </c>
      <c r="D1797" s="21" t="s">
        <v>35</v>
      </c>
      <c r="E1797" s="17" t="s">
        <v>617</v>
      </c>
      <c r="F1797" s="18" t="s">
        <v>105</v>
      </c>
      <c r="G1797" s="18" t="s">
        <v>48</v>
      </c>
      <c r="H1797" s="26">
        <v>54370</v>
      </c>
      <c r="I1797" s="24">
        <f>T_reg.root.SK[[#This Row],[Volume, kg]]/1000</f>
        <v>54.37</v>
      </c>
      <c r="J1797" s="27">
        <v>0.22510000000000002</v>
      </c>
      <c r="K1797" s="25">
        <f t="shared" si="28"/>
        <v>12238.687000000002</v>
      </c>
      <c r="L1797" s="27">
        <v>3.47</v>
      </c>
      <c r="M1797" s="26">
        <v>188496.5</v>
      </c>
      <c r="N1797" s="25">
        <f>IFERROR(T_reg.root.SK[[#This Row],[Price]]/T_reg.root.SK[[#This Row],[Starch content]],"")</f>
        <v>15.415370946246112</v>
      </c>
    </row>
    <row r="1798" spans="1:14">
      <c r="A1798" s="21">
        <v>2023</v>
      </c>
      <c r="B1798" s="21" t="s">
        <v>28</v>
      </c>
      <c r="C1798" s="21" t="s">
        <v>1145</v>
      </c>
      <c r="D1798" s="21" t="s">
        <v>35</v>
      </c>
      <c r="E1798" s="17" t="s">
        <v>133</v>
      </c>
      <c r="F1798" s="18" t="s">
        <v>105</v>
      </c>
      <c r="G1798" s="18" t="s">
        <v>48</v>
      </c>
      <c r="H1798" s="26">
        <v>97080</v>
      </c>
      <c r="I1798" s="24">
        <f>T_reg.root.SK[[#This Row],[Volume, kg]]/1000</f>
        <v>97.08</v>
      </c>
      <c r="J1798" s="27">
        <v>0.2208</v>
      </c>
      <c r="K1798" s="25">
        <f t="shared" si="28"/>
        <v>21435.263999999999</v>
      </c>
      <c r="L1798" s="27">
        <v>3.54</v>
      </c>
      <c r="M1798" s="26">
        <v>343973.5</v>
      </c>
      <c r="N1798" s="25">
        <f>IFERROR(T_reg.root.SK[[#This Row],[Price]]/T_reg.root.SK[[#This Row],[Starch content]],"")</f>
        <v>16.032608695652176</v>
      </c>
    </row>
    <row r="1799" spans="1:14">
      <c r="A1799" s="21">
        <v>2023</v>
      </c>
      <c r="B1799" s="21" t="s">
        <v>28</v>
      </c>
      <c r="C1799" s="21" t="s">
        <v>1145</v>
      </c>
      <c r="D1799" s="21" t="s">
        <v>35</v>
      </c>
      <c r="E1799" s="17" t="s">
        <v>134</v>
      </c>
      <c r="F1799" s="18" t="s">
        <v>105</v>
      </c>
      <c r="G1799" s="18" t="s">
        <v>48</v>
      </c>
      <c r="H1799" s="26">
        <v>41520</v>
      </c>
      <c r="I1799" s="24">
        <f>T_reg.root.SK[[#This Row],[Volume, kg]]/1000</f>
        <v>41.52</v>
      </c>
      <c r="J1799" s="27">
        <v>0.2341</v>
      </c>
      <c r="K1799" s="25">
        <f t="shared" si="28"/>
        <v>9719.8320000000003</v>
      </c>
      <c r="L1799" s="27">
        <v>3.72</v>
      </c>
      <c r="M1799" s="26">
        <v>154413.5</v>
      </c>
      <c r="N1799" s="25">
        <f>IFERROR(T_reg.root.SK[[#This Row],[Price]]/T_reg.root.SK[[#This Row],[Starch content]],"")</f>
        <v>15.890645023494233</v>
      </c>
    </row>
    <row r="1800" spans="1:14">
      <c r="A1800" s="21">
        <v>2023</v>
      </c>
      <c r="B1800" s="21" t="s">
        <v>28</v>
      </c>
      <c r="C1800" s="21" t="s">
        <v>1145</v>
      </c>
      <c r="D1800" s="21" t="s">
        <v>35</v>
      </c>
      <c r="E1800" s="17" t="s">
        <v>636</v>
      </c>
      <c r="F1800" s="18" t="s">
        <v>105</v>
      </c>
      <c r="G1800" s="18" t="s">
        <v>48</v>
      </c>
      <c r="H1800" s="26">
        <v>33710</v>
      </c>
      <c r="I1800" s="24">
        <f>T_reg.root.SK[[#This Row],[Volume, kg]]/1000</f>
        <v>33.71</v>
      </c>
      <c r="J1800" s="27">
        <v>0.26530000000000004</v>
      </c>
      <c r="K1800" s="25">
        <f t="shared" si="28"/>
        <v>8943.2630000000008</v>
      </c>
      <c r="L1800" s="27">
        <v>3.66</v>
      </c>
      <c r="M1800" s="26">
        <v>123537</v>
      </c>
      <c r="N1800" s="25">
        <f>IFERROR(T_reg.root.SK[[#This Row],[Price]]/T_reg.root.SK[[#This Row],[Starch content]],"")</f>
        <v>13.795702977761024</v>
      </c>
    </row>
    <row r="1801" spans="1:14">
      <c r="A1801" s="21">
        <v>2023</v>
      </c>
      <c r="B1801" s="21" t="s">
        <v>28</v>
      </c>
      <c r="C1801" s="21" t="s">
        <v>1145</v>
      </c>
      <c r="D1801" s="21" t="s">
        <v>35</v>
      </c>
      <c r="E1801" s="17" t="s">
        <v>136</v>
      </c>
      <c r="F1801" s="18" t="s">
        <v>105</v>
      </c>
      <c r="G1801" s="18" t="s">
        <v>48</v>
      </c>
      <c r="H1801" s="26">
        <v>236990</v>
      </c>
      <c r="I1801" s="24">
        <f>T_reg.root.SK[[#This Row],[Volume, kg]]/1000</f>
        <v>236.99</v>
      </c>
      <c r="J1801" s="27">
        <v>0.26329999999999998</v>
      </c>
      <c r="K1801" s="25">
        <f t="shared" si="28"/>
        <v>62399.466999999997</v>
      </c>
      <c r="L1801" s="27">
        <v>3.86</v>
      </c>
      <c r="M1801" s="26">
        <v>915666.5</v>
      </c>
      <c r="N1801" s="25">
        <f>IFERROR(T_reg.root.SK[[#This Row],[Price]]/T_reg.root.SK[[#This Row],[Starch content]],"")</f>
        <v>14.660083554880366</v>
      </c>
    </row>
    <row r="1802" spans="1:14">
      <c r="A1802" s="21">
        <v>2023</v>
      </c>
      <c r="B1802" s="21" t="s">
        <v>28</v>
      </c>
      <c r="C1802" s="21" t="s">
        <v>1145</v>
      </c>
      <c r="D1802" s="21" t="s">
        <v>35</v>
      </c>
      <c r="E1802" s="17" t="s">
        <v>138</v>
      </c>
      <c r="F1802" s="18" t="s">
        <v>105</v>
      </c>
      <c r="G1802" s="18" t="s">
        <v>48</v>
      </c>
      <c r="H1802" s="26">
        <v>740720</v>
      </c>
      <c r="I1802" s="24">
        <f>T_reg.root.SK[[#This Row],[Volume, kg]]/1000</f>
        <v>740.72</v>
      </c>
      <c r="J1802" s="27">
        <v>0.2482</v>
      </c>
      <c r="K1802" s="25">
        <f t="shared" si="28"/>
        <v>183846.704</v>
      </c>
      <c r="L1802" s="27">
        <v>3.77</v>
      </c>
      <c r="M1802" s="26">
        <v>2793838</v>
      </c>
      <c r="N1802" s="25">
        <f>IFERROR(T_reg.root.SK[[#This Row],[Price]]/T_reg.root.SK[[#This Row],[Starch content]],"")</f>
        <v>15.189363416599516</v>
      </c>
    </row>
    <row r="1803" spans="1:14">
      <c r="A1803" s="21">
        <v>2023</v>
      </c>
      <c r="B1803" s="21" t="s">
        <v>28</v>
      </c>
      <c r="C1803" s="21" t="s">
        <v>1145</v>
      </c>
      <c r="D1803" s="21" t="s">
        <v>35</v>
      </c>
      <c r="E1803" s="17" t="s">
        <v>303</v>
      </c>
      <c r="F1803" s="18" t="s">
        <v>105</v>
      </c>
      <c r="G1803" s="18" t="s">
        <v>48</v>
      </c>
      <c r="H1803" s="26">
        <v>18330</v>
      </c>
      <c r="I1803" s="24">
        <f>T_reg.root.SK[[#This Row],[Volume, kg]]/1000</f>
        <v>18.329999999999998</v>
      </c>
      <c r="J1803" s="27">
        <v>0.21590000000000001</v>
      </c>
      <c r="K1803" s="25">
        <f t="shared" si="28"/>
        <v>3957.4470000000001</v>
      </c>
      <c r="L1803" s="27">
        <v>3.63</v>
      </c>
      <c r="M1803" s="26">
        <v>66461</v>
      </c>
      <c r="N1803" s="25">
        <f>IFERROR(T_reg.root.SK[[#This Row],[Price]]/T_reg.root.SK[[#This Row],[Starch content]],"")</f>
        <v>16.813339509031959</v>
      </c>
    </row>
    <row r="1804" spans="1:14">
      <c r="A1804" s="21">
        <v>2023</v>
      </c>
      <c r="B1804" s="21" t="s">
        <v>28</v>
      </c>
      <c r="C1804" s="21" t="s">
        <v>1145</v>
      </c>
      <c r="D1804" s="21" t="s">
        <v>35</v>
      </c>
      <c r="E1804" s="17" t="s">
        <v>304</v>
      </c>
      <c r="F1804" s="18" t="s">
        <v>105</v>
      </c>
      <c r="G1804" s="18" t="s">
        <v>48</v>
      </c>
      <c r="H1804" s="26">
        <v>6850</v>
      </c>
      <c r="I1804" s="24">
        <f>T_reg.root.SK[[#This Row],[Volume, kg]]/1000</f>
        <v>6.85</v>
      </c>
      <c r="J1804" s="27">
        <v>0.215</v>
      </c>
      <c r="K1804" s="25">
        <f t="shared" si="28"/>
        <v>1472.75</v>
      </c>
      <c r="L1804" s="27">
        <v>3.65</v>
      </c>
      <c r="M1804" s="26">
        <v>25002.5</v>
      </c>
      <c r="N1804" s="25">
        <f>IFERROR(T_reg.root.SK[[#This Row],[Price]]/T_reg.root.SK[[#This Row],[Starch content]],"")</f>
        <v>16.97674418604651</v>
      </c>
    </row>
    <row r="1805" spans="1:14">
      <c r="A1805" s="21">
        <v>2023</v>
      </c>
      <c r="B1805" s="21" t="s">
        <v>28</v>
      </c>
      <c r="C1805" s="21" t="s">
        <v>1145</v>
      </c>
      <c r="D1805" s="21" t="s">
        <v>35</v>
      </c>
      <c r="E1805" s="17" t="s">
        <v>140</v>
      </c>
      <c r="F1805" s="18" t="s">
        <v>105</v>
      </c>
      <c r="G1805" s="18" t="s">
        <v>48</v>
      </c>
      <c r="H1805" s="26">
        <v>8690</v>
      </c>
      <c r="I1805" s="24">
        <f>T_reg.root.SK[[#This Row],[Volume, kg]]/1000</f>
        <v>8.69</v>
      </c>
      <c r="J1805" s="27">
        <v>0.193</v>
      </c>
      <c r="K1805" s="25">
        <f t="shared" si="28"/>
        <v>1677.17</v>
      </c>
      <c r="L1805" s="27">
        <v>3.25</v>
      </c>
      <c r="M1805" s="26">
        <v>28242.5</v>
      </c>
      <c r="N1805" s="25">
        <f>IFERROR(T_reg.root.SK[[#This Row],[Price]]/T_reg.root.SK[[#This Row],[Starch content]],"")</f>
        <v>16.839378238341968</v>
      </c>
    </row>
    <row r="1806" spans="1:14">
      <c r="A1806" s="21">
        <v>2023</v>
      </c>
      <c r="B1806" s="21" t="s">
        <v>28</v>
      </c>
      <c r="C1806" s="21" t="s">
        <v>1145</v>
      </c>
      <c r="D1806" s="21" t="s">
        <v>35</v>
      </c>
      <c r="E1806" s="17" t="s">
        <v>243</v>
      </c>
      <c r="F1806" s="18" t="s">
        <v>105</v>
      </c>
      <c r="G1806" s="18" t="s">
        <v>48</v>
      </c>
      <c r="H1806" s="26">
        <v>40940</v>
      </c>
      <c r="I1806" s="24">
        <f>T_reg.root.SK[[#This Row],[Volume, kg]]/1000</f>
        <v>40.94</v>
      </c>
      <c r="J1806" s="27">
        <v>0.25230000000000002</v>
      </c>
      <c r="K1806" s="25">
        <f t="shared" si="28"/>
        <v>10329.162</v>
      </c>
      <c r="L1806" s="27">
        <v>3.8</v>
      </c>
      <c r="M1806" s="26">
        <v>155631.5</v>
      </c>
      <c r="N1806" s="25">
        <f>IFERROR(T_reg.root.SK[[#This Row],[Price]]/T_reg.root.SK[[#This Row],[Starch content]],"")</f>
        <v>15.061434799841457</v>
      </c>
    </row>
    <row r="1807" spans="1:14">
      <c r="A1807" s="21">
        <v>2023</v>
      </c>
      <c r="B1807" s="21" t="s">
        <v>28</v>
      </c>
      <c r="C1807" s="21" t="s">
        <v>1145</v>
      </c>
      <c r="D1807" s="21" t="s">
        <v>35</v>
      </c>
      <c r="E1807" s="17" t="s">
        <v>306</v>
      </c>
      <c r="F1807" s="18" t="s">
        <v>105</v>
      </c>
      <c r="G1807" s="18" t="s">
        <v>48</v>
      </c>
      <c r="H1807" s="26">
        <v>93320</v>
      </c>
      <c r="I1807" s="24">
        <f>T_reg.root.SK[[#This Row],[Volume, kg]]/1000</f>
        <v>93.32</v>
      </c>
      <c r="J1807" s="27">
        <v>0.27589999999999998</v>
      </c>
      <c r="K1807" s="25">
        <f t="shared" si="28"/>
        <v>25746.987999999998</v>
      </c>
      <c r="L1807" s="27">
        <v>3.9</v>
      </c>
      <c r="M1807" s="26">
        <v>363777</v>
      </c>
      <c r="N1807" s="25">
        <f>IFERROR(T_reg.root.SK[[#This Row],[Price]]/T_reg.root.SK[[#This Row],[Starch content]],"")</f>
        <v>14.135556361000363</v>
      </c>
    </row>
    <row r="1808" spans="1:14">
      <c r="A1808" s="21">
        <v>2023</v>
      </c>
      <c r="B1808" s="21" t="s">
        <v>28</v>
      </c>
      <c r="C1808" s="21" t="s">
        <v>1145</v>
      </c>
      <c r="D1808" s="21" t="s">
        <v>35</v>
      </c>
      <c r="E1808" s="17" t="s">
        <v>307</v>
      </c>
      <c r="F1808" s="18" t="s">
        <v>105</v>
      </c>
      <c r="G1808" s="18" t="s">
        <v>48</v>
      </c>
      <c r="H1808" s="26">
        <v>46230</v>
      </c>
      <c r="I1808" s="24">
        <f>T_reg.root.SK[[#This Row],[Volume, kg]]/1000</f>
        <v>46.23</v>
      </c>
      <c r="J1808" s="27">
        <v>0.24829999999999999</v>
      </c>
      <c r="K1808" s="25">
        <f t="shared" si="28"/>
        <v>11478.909</v>
      </c>
      <c r="L1808" s="27">
        <v>3.79</v>
      </c>
      <c r="M1808" s="26">
        <v>175081.5</v>
      </c>
      <c r="N1808" s="25">
        <f>IFERROR(T_reg.root.SK[[#This Row],[Price]]/T_reg.root.SK[[#This Row],[Starch content]],"")</f>
        <v>15.263793797825212</v>
      </c>
    </row>
    <row r="1809" spans="1:14">
      <c r="A1809" s="21">
        <v>2023</v>
      </c>
      <c r="B1809" s="21" t="s">
        <v>28</v>
      </c>
      <c r="C1809" s="21" t="s">
        <v>1145</v>
      </c>
      <c r="D1809" s="21" t="s">
        <v>35</v>
      </c>
      <c r="E1809" s="17" t="s">
        <v>308</v>
      </c>
      <c r="F1809" s="18" t="s">
        <v>105</v>
      </c>
      <c r="G1809" s="18" t="s">
        <v>48</v>
      </c>
      <c r="H1809" s="26">
        <v>23230</v>
      </c>
      <c r="I1809" s="24">
        <f>T_reg.root.SK[[#This Row],[Volume, kg]]/1000</f>
        <v>23.23</v>
      </c>
      <c r="J1809" s="27">
        <v>0.27729999999999999</v>
      </c>
      <c r="K1809" s="25">
        <f t="shared" si="28"/>
        <v>6441.6790000000001</v>
      </c>
      <c r="L1809" s="27">
        <v>3.94</v>
      </c>
      <c r="M1809" s="26">
        <v>91554</v>
      </c>
      <c r="N1809" s="25">
        <f>IFERROR(T_reg.root.SK[[#This Row],[Price]]/T_reg.root.SK[[#This Row],[Starch content]],"")</f>
        <v>14.2084385142445</v>
      </c>
    </row>
    <row r="1810" spans="1:14">
      <c r="A1810" s="21">
        <v>2023</v>
      </c>
      <c r="B1810" s="21" t="s">
        <v>28</v>
      </c>
      <c r="C1810" s="21" t="s">
        <v>1145</v>
      </c>
      <c r="D1810" s="21" t="s">
        <v>35</v>
      </c>
      <c r="E1810" s="17" t="s">
        <v>637</v>
      </c>
      <c r="F1810" s="18" t="s">
        <v>105</v>
      </c>
      <c r="G1810" s="18" t="s">
        <v>48</v>
      </c>
      <c r="H1810" s="26">
        <v>105670</v>
      </c>
      <c r="I1810" s="24">
        <f>T_reg.root.SK[[#This Row],[Volume, kg]]/1000</f>
        <v>105.67</v>
      </c>
      <c r="J1810" s="27">
        <v>0.24929999999999999</v>
      </c>
      <c r="K1810" s="25">
        <f t="shared" si="28"/>
        <v>26343.530999999999</v>
      </c>
      <c r="L1810" s="27">
        <v>3.57</v>
      </c>
      <c r="M1810" s="26">
        <v>377679</v>
      </c>
      <c r="N1810" s="25">
        <f>IFERROR(T_reg.root.SK[[#This Row],[Price]]/T_reg.root.SK[[#This Row],[Starch content]],"")</f>
        <v>14.320096269554753</v>
      </c>
    </row>
    <row r="1811" spans="1:14">
      <c r="A1811" s="21">
        <v>2023</v>
      </c>
      <c r="B1811" s="21" t="s">
        <v>28</v>
      </c>
      <c r="C1811" s="21" t="s">
        <v>1145</v>
      </c>
      <c r="D1811" s="21" t="s">
        <v>35</v>
      </c>
      <c r="E1811" s="17" t="s">
        <v>245</v>
      </c>
      <c r="F1811" s="18" t="s">
        <v>105</v>
      </c>
      <c r="G1811" s="18" t="s">
        <v>48</v>
      </c>
      <c r="H1811" s="26">
        <v>10110</v>
      </c>
      <c r="I1811" s="24">
        <f>T_reg.root.SK[[#This Row],[Volume, kg]]/1000</f>
        <v>10.11</v>
      </c>
      <c r="J1811" s="27">
        <v>0.23899999999999999</v>
      </c>
      <c r="K1811" s="25">
        <f t="shared" si="28"/>
        <v>2416.29</v>
      </c>
      <c r="L1811" s="27">
        <v>3.75</v>
      </c>
      <c r="M1811" s="26">
        <v>37912.5</v>
      </c>
      <c r="N1811" s="25">
        <f>IFERROR(T_reg.root.SK[[#This Row],[Price]]/T_reg.root.SK[[#This Row],[Starch content]],"")</f>
        <v>15.690376569037658</v>
      </c>
    </row>
    <row r="1812" spans="1:14">
      <c r="A1812" s="21">
        <v>2023</v>
      </c>
      <c r="B1812" s="21" t="s">
        <v>28</v>
      </c>
      <c r="C1812" s="21" t="s">
        <v>1145</v>
      </c>
      <c r="D1812" s="21" t="s">
        <v>35</v>
      </c>
      <c r="E1812" s="17" t="s">
        <v>497</v>
      </c>
      <c r="F1812" s="18" t="s">
        <v>105</v>
      </c>
      <c r="G1812" s="18" t="s">
        <v>48</v>
      </c>
      <c r="H1812" s="26">
        <v>23750</v>
      </c>
      <c r="I1812" s="24">
        <f>T_reg.root.SK[[#This Row],[Volume, kg]]/1000</f>
        <v>23.75</v>
      </c>
      <c r="J1812" s="27">
        <v>0.21609999999999999</v>
      </c>
      <c r="K1812" s="25">
        <f t="shared" si="28"/>
        <v>5132.375</v>
      </c>
      <c r="L1812" s="27">
        <v>3.63</v>
      </c>
      <c r="M1812" s="26">
        <v>86207.5</v>
      </c>
      <c r="N1812" s="25">
        <f>IFERROR(T_reg.root.SK[[#This Row],[Price]]/T_reg.root.SK[[#This Row],[Starch content]],"")</f>
        <v>16.797778806108283</v>
      </c>
    </row>
    <row r="1813" spans="1:14">
      <c r="A1813" s="21">
        <v>2023</v>
      </c>
      <c r="B1813" s="21" t="s">
        <v>28</v>
      </c>
      <c r="C1813" s="21" t="s">
        <v>1145</v>
      </c>
      <c r="D1813" s="21" t="s">
        <v>35</v>
      </c>
      <c r="E1813" s="17" t="s">
        <v>568</v>
      </c>
      <c r="F1813" s="18" t="s">
        <v>105</v>
      </c>
      <c r="G1813" s="18" t="s">
        <v>48</v>
      </c>
      <c r="H1813" s="26">
        <v>49800</v>
      </c>
      <c r="I1813" s="24">
        <f>T_reg.root.SK[[#This Row],[Volume, kg]]/1000</f>
        <v>49.8</v>
      </c>
      <c r="J1813" s="27">
        <v>0.25790000000000002</v>
      </c>
      <c r="K1813" s="25">
        <f t="shared" si="28"/>
        <v>12843.42</v>
      </c>
      <c r="L1813" s="27">
        <v>3.84</v>
      </c>
      <c r="M1813" s="26">
        <v>191387.5</v>
      </c>
      <c r="N1813" s="25">
        <f>IFERROR(T_reg.root.SK[[#This Row],[Price]]/T_reg.root.SK[[#This Row],[Starch content]],"")</f>
        <v>14.889492051182627</v>
      </c>
    </row>
    <row r="1814" spans="1:14">
      <c r="A1814" s="21">
        <v>2023</v>
      </c>
      <c r="B1814" s="21" t="s">
        <v>28</v>
      </c>
      <c r="C1814" s="21" t="s">
        <v>1145</v>
      </c>
      <c r="D1814" s="21" t="s">
        <v>35</v>
      </c>
      <c r="E1814" s="17" t="s">
        <v>247</v>
      </c>
      <c r="F1814" s="18" t="s">
        <v>105</v>
      </c>
      <c r="G1814" s="18" t="s">
        <v>48</v>
      </c>
      <c r="H1814" s="26">
        <v>132100</v>
      </c>
      <c r="I1814" s="24">
        <f>T_reg.root.SK[[#This Row],[Volume, kg]]/1000</f>
        <v>132.1</v>
      </c>
      <c r="J1814" s="27">
        <v>0.25679999999999997</v>
      </c>
      <c r="K1814" s="25">
        <f t="shared" si="28"/>
        <v>33923.279999999999</v>
      </c>
      <c r="L1814" s="27">
        <v>3.76</v>
      </c>
      <c r="M1814" s="26">
        <v>497125.5</v>
      </c>
      <c r="N1814" s="25">
        <f>IFERROR(T_reg.root.SK[[#This Row],[Price]]/T_reg.root.SK[[#This Row],[Starch content]],"")</f>
        <v>14.641744548286605</v>
      </c>
    </row>
    <row r="1815" spans="1:14">
      <c r="A1815" s="21">
        <v>2023</v>
      </c>
      <c r="B1815" s="21" t="s">
        <v>28</v>
      </c>
      <c r="C1815" s="21" t="s">
        <v>1145</v>
      </c>
      <c r="D1815" s="21" t="s">
        <v>35</v>
      </c>
      <c r="E1815" s="17" t="s">
        <v>248</v>
      </c>
      <c r="F1815" s="18" t="s">
        <v>105</v>
      </c>
      <c r="G1815" s="18" t="s">
        <v>48</v>
      </c>
      <c r="H1815" s="26">
        <v>13870</v>
      </c>
      <c r="I1815" s="24">
        <f>T_reg.root.SK[[#This Row],[Volume, kg]]/1000</f>
        <v>13.87</v>
      </c>
      <c r="J1815" s="27">
        <v>0.24149999999999999</v>
      </c>
      <c r="K1815" s="25">
        <f t="shared" si="28"/>
        <v>3349.605</v>
      </c>
      <c r="L1815" s="27">
        <v>3.75</v>
      </c>
      <c r="M1815" s="26">
        <v>52012.5</v>
      </c>
      <c r="N1815" s="25">
        <f>IFERROR(T_reg.root.SK[[#This Row],[Price]]/T_reg.root.SK[[#This Row],[Starch content]],"")</f>
        <v>15.527950310559007</v>
      </c>
    </row>
    <row r="1816" spans="1:14">
      <c r="A1816" s="21">
        <v>2023</v>
      </c>
      <c r="B1816" s="21" t="s">
        <v>28</v>
      </c>
      <c r="C1816" s="21" t="s">
        <v>1145</v>
      </c>
      <c r="D1816" s="21" t="s">
        <v>35</v>
      </c>
      <c r="E1816" s="17" t="s">
        <v>143</v>
      </c>
      <c r="F1816" s="18" t="s">
        <v>105</v>
      </c>
      <c r="G1816" s="18" t="s">
        <v>48</v>
      </c>
      <c r="H1816" s="26">
        <v>26010</v>
      </c>
      <c r="I1816" s="24">
        <f>T_reg.root.SK[[#This Row],[Volume, kg]]/1000</f>
        <v>26.01</v>
      </c>
      <c r="J1816" s="27">
        <v>0.23309999999999997</v>
      </c>
      <c r="K1816" s="25">
        <f t="shared" si="28"/>
        <v>6062.9309999999996</v>
      </c>
      <c r="L1816" s="27">
        <v>3.73</v>
      </c>
      <c r="M1816" s="26">
        <v>96968.5</v>
      </c>
      <c r="N1816" s="25">
        <f>IFERROR(T_reg.root.SK[[#This Row],[Price]]/T_reg.root.SK[[#This Row],[Starch content]],"")</f>
        <v>16.001716001716005</v>
      </c>
    </row>
    <row r="1817" spans="1:14">
      <c r="A1817" s="21">
        <v>2023</v>
      </c>
      <c r="B1817" s="21" t="s">
        <v>28</v>
      </c>
      <c r="C1817" s="21" t="s">
        <v>1145</v>
      </c>
      <c r="D1817" s="21" t="s">
        <v>35</v>
      </c>
      <c r="E1817" s="17" t="s">
        <v>646</v>
      </c>
      <c r="F1817" s="18" t="s">
        <v>105</v>
      </c>
      <c r="G1817" s="18" t="s">
        <v>48</v>
      </c>
      <c r="H1817" s="26">
        <v>25930</v>
      </c>
      <c r="I1817" s="24">
        <f>T_reg.root.SK[[#This Row],[Volume, kg]]/1000</f>
        <v>25.93</v>
      </c>
      <c r="J1817" s="27">
        <v>0.24579999999999999</v>
      </c>
      <c r="K1817" s="25">
        <f t="shared" si="28"/>
        <v>6373.5940000000001</v>
      </c>
      <c r="L1817" s="27">
        <v>3.78</v>
      </c>
      <c r="M1817" s="26">
        <v>97976.5</v>
      </c>
      <c r="N1817" s="25">
        <f>IFERROR(T_reg.root.SK[[#This Row],[Price]]/T_reg.root.SK[[#This Row],[Starch content]],"")</f>
        <v>15.378356387306754</v>
      </c>
    </row>
    <row r="1818" spans="1:14">
      <c r="A1818" s="21">
        <v>2023</v>
      </c>
      <c r="B1818" s="21" t="s">
        <v>28</v>
      </c>
      <c r="C1818" s="21" t="s">
        <v>1145</v>
      </c>
      <c r="D1818" s="21" t="s">
        <v>35</v>
      </c>
      <c r="E1818" s="17" t="s">
        <v>144</v>
      </c>
      <c r="F1818" s="18" t="s">
        <v>105</v>
      </c>
      <c r="G1818" s="18" t="s">
        <v>48</v>
      </c>
      <c r="H1818" s="26">
        <v>24740</v>
      </c>
      <c r="I1818" s="24">
        <f>T_reg.root.SK[[#This Row],[Volume, kg]]/1000</f>
        <v>24.74</v>
      </c>
      <c r="J1818" s="27">
        <v>0.223</v>
      </c>
      <c r="K1818" s="25">
        <f t="shared" si="28"/>
        <v>5517.02</v>
      </c>
      <c r="L1818" s="27">
        <v>3.5</v>
      </c>
      <c r="M1818" s="26">
        <v>86537</v>
      </c>
      <c r="N1818" s="25">
        <f>IFERROR(T_reg.root.SK[[#This Row],[Price]]/T_reg.root.SK[[#This Row],[Starch content]],"")</f>
        <v>15.695067264573991</v>
      </c>
    </row>
    <row r="1819" spans="1:14">
      <c r="A1819" s="21">
        <v>2023</v>
      </c>
      <c r="B1819" s="21" t="s">
        <v>28</v>
      </c>
      <c r="C1819" s="21" t="s">
        <v>1145</v>
      </c>
      <c r="D1819" s="21" t="s">
        <v>35</v>
      </c>
      <c r="E1819" s="17" t="s">
        <v>361</v>
      </c>
      <c r="F1819" s="18" t="s">
        <v>105</v>
      </c>
      <c r="G1819" s="18" t="s">
        <v>48</v>
      </c>
      <c r="H1819" s="26">
        <v>169500</v>
      </c>
      <c r="I1819" s="24">
        <f>T_reg.root.SK[[#This Row],[Volume, kg]]/1000</f>
        <v>169.5</v>
      </c>
      <c r="J1819" s="27">
        <v>0.25679999999999997</v>
      </c>
      <c r="K1819" s="25">
        <f t="shared" si="28"/>
        <v>43527.6</v>
      </c>
      <c r="L1819" s="27">
        <v>3.84</v>
      </c>
      <c r="M1819" s="26">
        <v>651454.5</v>
      </c>
      <c r="N1819" s="25">
        <f>IFERROR(T_reg.root.SK[[#This Row],[Price]]/T_reg.root.SK[[#This Row],[Starch content]],"")</f>
        <v>14.953271028037385</v>
      </c>
    </row>
    <row r="1820" spans="1:14">
      <c r="A1820" s="21">
        <v>2023</v>
      </c>
      <c r="B1820" s="21" t="s">
        <v>28</v>
      </c>
      <c r="C1820" s="21" t="s">
        <v>1145</v>
      </c>
      <c r="D1820" s="21" t="s">
        <v>35</v>
      </c>
      <c r="E1820" s="17" t="s">
        <v>145</v>
      </c>
      <c r="F1820" s="18" t="s">
        <v>105</v>
      </c>
      <c r="G1820" s="18" t="s">
        <v>48</v>
      </c>
      <c r="H1820" s="26">
        <v>24980</v>
      </c>
      <c r="I1820" s="24">
        <f>T_reg.root.SK[[#This Row],[Volume, kg]]/1000</f>
        <v>24.98</v>
      </c>
      <c r="J1820" s="27">
        <v>0.2535</v>
      </c>
      <c r="K1820" s="25">
        <f t="shared" si="28"/>
        <v>6332.43</v>
      </c>
      <c r="L1820" s="27">
        <v>3.82</v>
      </c>
      <c r="M1820" s="26">
        <v>95346</v>
      </c>
      <c r="N1820" s="25">
        <f>IFERROR(T_reg.root.SK[[#This Row],[Price]]/T_reg.root.SK[[#This Row],[Starch content]],"")</f>
        <v>15.069033530571991</v>
      </c>
    </row>
    <row r="1821" spans="1:14">
      <c r="A1821" s="21">
        <v>2023</v>
      </c>
      <c r="B1821" s="21" t="s">
        <v>28</v>
      </c>
      <c r="C1821" s="21" t="s">
        <v>1145</v>
      </c>
      <c r="D1821" s="21" t="s">
        <v>35</v>
      </c>
      <c r="E1821" s="17" t="s">
        <v>146</v>
      </c>
      <c r="F1821" s="18" t="s">
        <v>105</v>
      </c>
      <c r="G1821" s="18" t="s">
        <v>48</v>
      </c>
      <c r="H1821" s="26">
        <v>451310</v>
      </c>
      <c r="I1821" s="24">
        <f>T_reg.root.SK[[#This Row],[Volume, kg]]/1000</f>
        <v>451.31</v>
      </c>
      <c r="J1821" s="27">
        <v>0.24170000000000003</v>
      </c>
      <c r="K1821" s="25">
        <f t="shared" si="28"/>
        <v>109081.62700000001</v>
      </c>
      <c r="L1821" s="27">
        <v>3.75</v>
      </c>
      <c r="M1821" s="26">
        <v>1693937</v>
      </c>
      <c r="N1821" s="25">
        <f>IFERROR(T_reg.root.SK[[#This Row],[Price]]/T_reg.root.SK[[#This Row],[Starch content]],"")</f>
        <v>15.515101365328919</v>
      </c>
    </row>
    <row r="1822" spans="1:14">
      <c r="A1822" s="21">
        <v>2023</v>
      </c>
      <c r="B1822" s="21" t="s">
        <v>28</v>
      </c>
      <c r="C1822" s="21" t="s">
        <v>1145</v>
      </c>
      <c r="D1822" s="21" t="s">
        <v>35</v>
      </c>
      <c r="E1822" s="17" t="s">
        <v>147</v>
      </c>
      <c r="F1822" s="18" t="s">
        <v>105</v>
      </c>
      <c r="G1822" s="18" t="s">
        <v>48</v>
      </c>
      <c r="H1822" s="26">
        <v>58780</v>
      </c>
      <c r="I1822" s="24">
        <f>T_reg.root.SK[[#This Row],[Volume, kg]]/1000</f>
        <v>58.78</v>
      </c>
      <c r="J1822" s="27">
        <v>0.2036</v>
      </c>
      <c r="K1822" s="25">
        <f t="shared" si="28"/>
        <v>11967.608</v>
      </c>
      <c r="L1822" s="27">
        <v>3.46</v>
      </c>
      <c r="M1822" s="26">
        <v>203435</v>
      </c>
      <c r="N1822" s="25">
        <f>IFERROR(T_reg.root.SK[[#This Row],[Price]]/T_reg.root.SK[[#This Row],[Starch content]],"")</f>
        <v>16.994106090373279</v>
      </c>
    </row>
    <row r="1823" spans="1:14">
      <c r="A1823" s="21">
        <v>2023</v>
      </c>
      <c r="B1823" s="21" t="s">
        <v>28</v>
      </c>
      <c r="C1823" s="21" t="s">
        <v>1145</v>
      </c>
      <c r="D1823" s="21" t="s">
        <v>35</v>
      </c>
      <c r="E1823" s="17" t="s">
        <v>363</v>
      </c>
      <c r="F1823" s="18" t="s">
        <v>105</v>
      </c>
      <c r="G1823" s="18" t="s">
        <v>48</v>
      </c>
      <c r="H1823" s="26">
        <v>83880</v>
      </c>
      <c r="I1823" s="24">
        <f>T_reg.root.SK[[#This Row],[Volume, kg]]/1000</f>
        <v>83.88</v>
      </c>
      <c r="J1823" s="27">
        <v>0.2397</v>
      </c>
      <c r="K1823" s="25">
        <f t="shared" si="28"/>
        <v>20106.036</v>
      </c>
      <c r="L1823" s="27">
        <v>3.55</v>
      </c>
      <c r="M1823" s="26">
        <v>297688</v>
      </c>
      <c r="N1823" s="25">
        <f>IFERROR(T_reg.root.SK[[#This Row],[Price]]/T_reg.root.SK[[#This Row],[Starch content]],"")</f>
        <v>14.810179390905297</v>
      </c>
    </row>
    <row r="1824" spans="1:14">
      <c r="A1824" s="21">
        <v>2023</v>
      </c>
      <c r="B1824" s="21" t="s">
        <v>28</v>
      </c>
      <c r="C1824" s="21" t="s">
        <v>1145</v>
      </c>
      <c r="D1824" s="21" t="s">
        <v>35</v>
      </c>
      <c r="E1824" s="17" t="s">
        <v>251</v>
      </c>
      <c r="F1824" s="18" t="s">
        <v>105</v>
      </c>
      <c r="G1824" s="18" t="s">
        <v>48</v>
      </c>
      <c r="H1824" s="26">
        <v>10700</v>
      </c>
      <c r="I1824" s="24">
        <f>T_reg.root.SK[[#This Row],[Volume, kg]]/1000</f>
        <v>10.7</v>
      </c>
      <c r="J1824" s="27">
        <v>0.28199999999999997</v>
      </c>
      <c r="K1824" s="25">
        <f t="shared" si="28"/>
        <v>3017.3999999999996</v>
      </c>
      <c r="L1824" s="27">
        <v>3.95</v>
      </c>
      <c r="M1824" s="26">
        <v>42265</v>
      </c>
      <c r="N1824" s="25">
        <f>IFERROR(T_reg.root.SK[[#This Row],[Price]]/T_reg.root.SK[[#This Row],[Starch content]],"")</f>
        <v>14.007092198581562</v>
      </c>
    </row>
    <row r="1825" spans="1:14">
      <c r="A1825" s="21">
        <v>2023</v>
      </c>
      <c r="B1825" s="21" t="s">
        <v>28</v>
      </c>
      <c r="C1825" s="21" t="s">
        <v>1145</v>
      </c>
      <c r="D1825" s="21" t="s">
        <v>35</v>
      </c>
      <c r="E1825" s="17" t="s">
        <v>618</v>
      </c>
      <c r="F1825" s="18" t="s">
        <v>105</v>
      </c>
      <c r="G1825" s="18" t="s">
        <v>48</v>
      </c>
      <c r="H1825" s="26">
        <v>10220</v>
      </c>
      <c r="I1825" s="24">
        <f>T_reg.root.SK[[#This Row],[Volume, kg]]/1000</f>
        <v>10.220000000000001</v>
      </c>
      <c r="J1825" s="27">
        <v>0.20749999999999999</v>
      </c>
      <c r="K1825" s="25">
        <f t="shared" si="28"/>
        <v>2120.65</v>
      </c>
      <c r="L1825" s="27">
        <v>3.6</v>
      </c>
      <c r="M1825" s="26">
        <v>36792</v>
      </c>
      <c r="N1825" s="25">
        <f>IFERROR(T_reg.root.SK[[#This Row],[Price]]/T_reg.root.SK[[#This Row],[Starch content]],"")</f>
        <v>17.349397590361448</v>
      </c>
    </row>
    <row r="1826" spans="1:14">
      <c r="A1826" s="21">
        <v>2023</v>
      </c>
      <c r="B1826" s="21" t="s">
        <v>28</v>
      </c>
      <c r="C1826" s="21" t="s">
        <v>1145</v>
      </c>
      <c r="D1826" s="21" t="s">
        <v>35</v>
      </c>
      <c r="E1826" s="17" t="s">
        <v>148</v>
      </c>
      <c r="F1826" s="18" t="s">
        <v>105</v>
      </c>
      <c r="G1826" s="18" t="s">
        <v>48</v>
      </c>
      <c r="H1826" s="26">
        <v>114140</v>
      </c>
      <c r="I1826" s="24">
        <f>T_reg.root.SK[[#This Row],[Volume, kg]]/1000</f>
        <v>114.14</v>
      </c>
      <c r="J1826" s="27">
        <v>0.23579999999999998</v>
      </c>
      <c r="K1826" s="25">
        <f t="shared" si="28"/>
        <v>26914.212</v>
      </c>
      <c r="L1826" s="27">
        <v>3.65</v>
      </c>
      <c r="M1826" s="26">
        <v>416653</v>
      </c>
      <c r="N1826" s="25">
        <f>IFERROR(T_reg.root.SK[[#This Row],[Price]]/T_reg.root.SK[[#This Row],[Starch content]],"")</f>
        <v>15.479219677692962</v>
      </c>
    </row>
    <row r="1827" spans="1:14">
      <c r="A1827" s="21">
        <v>2023</v>
      </c>
      <c r="B1827" s="21" t="s">
        <v>28</v>
      </c>
      <c r="C1827" s="21" t="s">
        <v>1145</v>
      </c>
      <c r="D1827" s="21" t="s">
        <v>35</v>
      </c>
      <c r="E1827" s="17" t="s">
        <v>252</v>
      </c>
      <c r="F1827" s="18" t="s">
        <v>105</v>
      </c>
      <c r="G1827" s="18" t="s">
        <v>48</v>
      </c>
      <c r="H1827" s="26">
        <v>20830</v>
      </c>
      <c r="I1827" s="24">
        <f>T_reg.root.SK[[#This Row],[Volume, kg]]/1000</f>
        <v>20.83</v>
      </c>
      <c r="J1827" s="27">
        <v>0.2462</v>
      </c>
      <c r="K1827" s="25">
        <f t="shared" si="28"/>
        <v>5128.3460000000005</v>
      </c>
      <c r="L1827" s="27">
        <v>3.55</v>
      </c>
      <c r="M1827" s="26">
        <v>73946.5</v>
      </c>
      <c r="N1827" s="25">
        <f>IFERROR(T_reg.root.SK[[#This Row],[Price]]/T_reg.root.SK[[#This Row],[Starch content]],"")</f>
        <v>14.419171405361494</v>
      </c>
    </row>
    <row r="1828" spans="1:14">
      <c r="A1828" s="21">
        <v>2023</v>
      </c>
      <c r="B1828" s="21" t="s">
        <v>28</v>
      </c>
      <c r="C1828" s="21" t="s">
        <v>1145</v>
      </c>
      <c r="D1828" s="21" t="s">
        <v>35</v>
      </c>
      <c r="E1828" s="17" t="s">
        <v>604</v>
      </c>
      <c r="F1828" s="18" t="s">
        <v>105</v>
      </c>
      <c r="G1828" s="18" t="s">
        <v>48</v>
      </c>
      <c r="H1828" s="26">
        <v>48900</v>
      </c>
      <c r="I1828" s="24">
        <f>T_reg.root.SK[[#This Row],[Volume, kg]]/1000</f>
        <v>48.9</v>
      </c>
      <c r="J1828" s="27">
        <v>0.24679999999999999</v>
      </c>
      <c r="K1828" s="25">
        <f t="shared" si="28"/>
        <v>12068.52</v>
      </c>
      <c r="L1828" s="27">
        <v>3.79</v>
      </c>
      <c r="M1828" s="26">
        <v>185338</v>
      </c>
      <c r="N1828" s="25">
        <f>IFERROR(T_reg.root.SK[[#This Row],[Price]]/T_reg.root.SK[[#This Row],[Starch content]],"")</f>
        <v>15.356564019448948</v>
      </c>
    </row>
    <row r="1829" spans="1:14">
      <c r="A1829" s="21">
        <v>2023</v>
      </c>
      <c r="B1829" s="21" t="s">
        <v>28</v>
      </c>
      <c r="C1829" s="21" t="s">
        <v>1145</v>
      </c>
      <c r="D1829" s="21" t="s">
        <v>35</v>
      </c>
      <c r="E1829" s="17" t="s">
        <v>315</v>
      </c>
      <c r="F1829" s="18" t="s">
        <v>105</v>
      </c>
      <c r="G1829" s="18" t="s">
        <v>48</v>
      </c>
      <c r="H1829" s="26">
        <v>108580</v>
      </c>
      <c r="I1829" s="24">
        <f>T_reg.root.SK[[#This Row],[Volume, kg]]/1000</f>
        <v>108.58</v>
      </c>
      <c r="J1829" s="27">
        <v>0.26489999999999997</v>
      </c>
      <c r="K1829" s="25">
        <f t="shared" si="28"/>
        <v>28762.841999999997</v>
      </c>
      <c r="L1829" s="27">
        <v>3.88</v>
      </c>
      <c r="M1829" s="26">
        <v>421030</v>
      </c>
      <c r="N1829" s="25">
        <f>IFERROR(T_reg.root.SK[[#This Row],[Price]]/T_reg.root.SK[[#This Row],[Starch content]],"")</f>
        <v>14.647036617591546</v>
      </c>
    </row>
    <row r="1830" spans="1:14">
      <c r="A1830" s="21">
        <v>2023</v>
      </c>
      <c r="B1830" s="21" t="s">
        <v>28</v>
      </c>
      <c r="C1830" s="21" t="s">
        <v>1145</v>
      </c>
      <c r="D1830" s="21" t="s">
        <v>35</v>
      </c>
      <c r="E1830" s="17" t="s">
        <v>500</v>
      </c>
      <c r="F1830" s="18" t="s">
        <v>105</v>
      </c>
      <c r="G1830" s="18" t="s">
        <v>48</v>
      </c>
      <c r="H1830" s="26">
        <v>13350</v>
      </c>
      <c r="I1830" s="24">
        <f>T_reg.root.SK[[#This Row],[Volume, kg]]/1000</f>
        <v>13.35</v>
      </c>
      <c r="J1830" s="27">
        <v>0.26579999999999998</v>
      </c>
      <c r="K1830" s="25">
        <f t="shared" si="28"/>
        <v>3548.43</v>
      </c>
      <c r="L1830" s="27">
        <v>3.88</v>
      </c>
      <c r="M1830" s="26">
        <v>51750.5</v>
      </c>
      <c r="N1830" s="25">
        <f>IFERROR(T_reg.root.SK[[#This Row],[Price]]/T_reg.root.SK[[#This Row],[Starch content]],"")</f>
        <v>14.597441685477804</v>
      </c>
    </row>
    <row r="1831" spans="1:14">
      <c r="A1831" s="21">
        <v>2023</v>
      </c>
      <c r="B1831" s="21" t="s">
        <v>28</v>
      </c>
      <c r="C1831" s="21" t="s">
        <v>1145</v>
      </c>
      <c r="D1831" s="21" t="s">
        <v>35</v>
      </c>
      <c r="E1831" s="17" t="s">
        <v>150</v>
      </c>
      <c r="F1831" s="18" t="s">
        <v>105</v>
      </c>
      <c r="G1831" s="18" t="s">
        <v>48</v>
      </c>
      <c r="H1831" s="26">
        <v>92650</v>
      </c>
      <c r="I1831" s="24">
        <f>T_reg.root.SK[[#This Row],[Volume, kg]]/1000</f>
        <v>92.65</v>
      </c>
      <c r="J1831" s="27">
        <v>0.2316</v>
      </c>
      <c r="K1831" s="25">
        <f t="shared" si="28"/>
        <v>21457.74</v>
      </c>
      <c r="L1831" s="27">
        <v>3.67</v>
      </c>
      <c r="M1831" s="26">
        <v>340408.5</v>
      </c>
      <c r="N1831" s="25">
        <f>IFERROR(T_reg.root.SK[[#This Row],[Price]]/T_reg.root.SK[[#This Row],[Starch content]],"")</f>
        <v>15.84628670120898</v>
      </c>
    </row>
    <row r="1832" spans="1:14">
      <c r="A1832" s="21">
        <v>2023</v>
      </c>
      <c r="B1832" s="21" t="s">
        <v>28</v>
      </c>
      <c r="C1832" s="21" t="s">
        <v>1145</v>
      </c>
      <c r="D1832" s="21" t="s">
        <v>35</v>
      </c>
      <c r="E1832" s="17" t="s">
        <v>151</v>
      </c>
      <c r="F1832" s="18" t="s">
        <v>105</v>
      </c>
      <c r="G1832" s="18" t="s">
        <v>48</v>
      </c>
      <c r="H1832" s="26">
        <v>932900</v>
      </c>
      <c r="I1832" s="24">
        <f>T_reg.root.SK[[#This Row],[Volume, kg]]/1000</f>
        <v>932.9</v>
      </c>
      <c r="J1832" s="27">
        <v>0.25359999999999999</v>
      </c>
      <c r="K1832" s="25">
        <f t="shared" si="28"/>
        <v>236583.44</v>
      </c>
      <c r="L1832" s="27">
        <v>3.77</v>
      </c>
      <c r="M1832" s="26">
        <v>3518790</v>
      </c>
      <c r="N1832" s="25">
        <f>IFERROR(T_reg.root.SK[[#This Row],[Price]]/T_reg.root.SK[[#This Row],[Starch content]],"")</f>
        <v>14.865930599369086</v>
      </c>
    </row>
    <row r="1833" spans="1:14">
      <c r="A1833" s="21">
        <v>2023</v>
      </c>
      <c r="B1833" s="21" t="s">
        <v>28</v>
      </c>
      <c r="C1833" s="21" t="s">
        <v>1145</v>
      </c>
      <c r="D1833" s="21" t="s">
        <v>35</v>
      </c>
      <c r="E1833" s="17" t="s">
        <v>152</v>
      </c>
      <c r="F1833" s="18" t="s">
        <v>105</v>
      </c>
      <c r="G1833" s="18" t="s">
        <v>48</v>
      </c>
      <c r="H1833" s="26">
        <v>9290</v>
      </c>
      <c r="I1833" s="24">
        <f>T_reg.root.SK[[#This Row],[Volume, kg]]/1000</f>
        <v>9.2899999999999991</v>
      </c>
      <c r="J1833" s="27">
        <v>0.184</v>
      </c>
      <c r="K1833" s="25">
        <f t="shared" si="28"/>
        <v>1709.36</v>
      </c>
      <c r="L1833" s="27">
        <v>3.45</v>
      </c>
      <c r="M1833" s="26">
        <v>32050.5</v>
      </c>
      <c r="N1833" s="25">
        <f>IFERROR(T_reg.root.SK[[#This Row],[Price]]/T_reg.root.SK[[#This Row],[Starch content]],"")</f>
        <v>18.75</v>
      </c>
    </row>
    <row r="1834" spans="1:14">
      <c r="A1834" s="21">
        <v>2023</v>
      </c>
      <c r="B1834" s="21" t="s">
        <v>28</v>
      </c>
      <c r="C1834" s="21" t="s">
        <v>1145</v>
      </c>
      <c r="D1834" s="21" t="s">
        <v>35</v>
      </c>
      <c r="E1834" s="17" t="s">
        <v>153</v>
      </c>
      <c r="F1834" s="18" t="s">
        <v>105</v>
      </c>
      <c r="G1834" s="18" t="s">
        <v>48</v>
      </c>
      <c r="H1834" s="26">
        <v>3170</v>
      </c>
      <c r="I1834" s="24">
        <f>T_reg.root.SK[[#This Row],[Volume, kg]]/1000</f>
        <v>3.17</v>
      </c>
      <c r="J1834" s="27">
        <v>0.26250000000000001</v>
      </c>
      <c r="K1834" s="25">
        <f t="shared" si="28"/>
        <v>832.125</v>
      </c>
      <c r="L1834" s="27">
        <v>3.6</v>
      </c>
      <c r="M1834" s="26">
        <v>11412</v>
      </c>
      <c r="N1834" s="25">
        <f>IFERROR(T_reg.root.SK[[#This Row],[Price]]/T_reg.root.SK[[#This Row],[Starch content]],"")</f>
        <v>13.714285714285714</v>
      </c>
    </row>
    <row r="1835" spans="1:14">
      <c r="A1835" s="21">
        <v>2023</v>
      </c>
      <c r="B1835" s="21" t="s">
        <v>28</v>
      </c>
      <c r="C1835" s="21" t="s">
        <v>1145</v>
      </c>
      <c r="D1835" s="21" t="s">
        <v>35</v>
      </c>
      <c r="E1835" s="17" t="s">
        <v>158</v>
      </c>
      <c r="F1835" s="18" t="s">
        <v>105</v>
      </c>
      <c r="G1835" s="18" t="s">
        <v>48</v>
      </c>
      <c r="H1835" s="26">
        <v>15020</v>
      </c>
      <c r="I1835" s="24">
        <f>T_reg.root.SK[[#This Row],[Volume, kg]]/1000</f>
        <v>15.02</v>
      </c>
      <c r="J1835" s="27">
        <v>0.2165</v>
      </c>
      <c r="K1835" s="25">
        <f t="shared" si="28"/>
        <v>3251.83</v>
      </c>
      <c r="L1835" s="27">
        <v>3.62</v>
      </c>
      <c r="M1835" s="26">
        <v>54395.5</v>
      </c>
      <c r="N1835" s="25">
        <f>IFERROR(T_reg.root.SK[[#This Row],[Price]]/T_reg.root.SK[[#This Row],[Starch content]],"")</f>
        <v>16.720554272517322</v>
      </c>
    </row>
    <row r="1836" spans="1:14">
      <c r="A1836" s="21">
        <v>2023</v>
      </c>
      <c r="B1836" s="21" t="s">
        <v>28</v>
      </c>
      <c r="C1836" s="21" t="s">
        <v>1145</v>
      </c>
      <c r="D1836" s="21" t="s">
        <v>35</v>
      </c>
      <c r="E1836" s="17" t="s">
        <v>159</v>
      </c>
      <c r="F1836" s="18" t="s">
        <v>105</v>
      </c>
      <c r="G1836" s="18" t="s">
        <v>48</v>
      </c>
      <c r="H1836" s="26">
        <v>1158480</v>
      </c>
      <c r="I1836" s="24">
        <f>T_reg.root.SK[[#This Row],[Volume, kg]]/1000</f>
        <v>1158.48</v>
      </c>
      <c r="J1836" s="27">
        <v>0.23440000000000003</v>
      </c>
      <c r="K1836" s="25">
        <f t="shared" si="28"/>
        <v>271547.71200000006</v>
      </c>
      <c r="L1836" s="27">
        <v>3.7</v>
      </c>
      <c r="M1836" s="26">
        <v>4283376</v>
      </c>
      <c r="N1836" s="25">
        <f>IFERROR(T_reg.root.SK[[#This Row],[Price]]/T_reg.root.SK[[#This Row],[Starch content]],"")</f>
        <v>15.784982935153582</v>
      </c>
    </row>
    <row r="1837" spans="1:14">
      <c r="A1837" s="21">
        <v>2023</v>
      </c>
      <c r="B1837" s="21" t="s">
        <v>28</v>
      </c>
      <c r="C1837" s="21" t="s">
        <v>1145</v>
      </c>
      <c r="D1837" s="21" t="s">
        <v>35</v>
      </c>
      <c r="E1837" s="17" t="s">
        <v>255</v>
      </c>
      <c r="F1837" s="18" t="s">
        <v>105</v>
      </c>
      <c r="G1837" s="18" t="s">
        <v>48</v>
      </c>
      <c r="H1837" s="26">
        <v>65480</v>
      </c>
      <c r="I1837" s="24">
        <f>T_reg.root.SK[[#This Row],[Volume, kg]]/1000</f>
        <v>65.48</v>
      </c>
      <c r="J1837" s="27">
        <v>0.25800000000000001</v>
      </c>
      <c r="K1837" s="25">
        <f t="shared" si="28"/>
        <v>16893.84</v>
      </c>
      <c r="L1837" s="27">
        <v>3.67</v>
      </c>
      <c r="M1837" s="26">
        <v>240060.5</v>
      </c>
      <c r="N1837" s="25">
        <f>IFERROR(T_reg.root.SK[[#This Row],[Price]]/T_reg.root.SK[[#This Row],[Starch content]],"")</f>
        <v>14.224806201550386</v>
      </c>
    </row>
    <row r="1838" spans="1:14">
      <c r="A1838" s="21">
        <v>2023</v>
      </c>
      <c r="B1838" s="21" t="s">
        <v>28</v>
      </c>
      <c r="C1838" s="21" t="s">
        <v>1145</v>
      </c>
      <c r="D1838" s="21" t="s">
        <v>35</v>
      </c>
      <c r="E1838" s="17" t="s">
        <v>160</v>
      </c>
      <c r="F1838" s="18" t="s">
        <v>105</v>
      </c>
      <c r="G1838" s="18" t="s">
        <v>48</v>
      </c>
      <c r="H1838" s="26">
        <v>8570</v>
      </c>
      <c r="I1838" s="24">
        <f>T_reg.root.SK[[#This Row],[Volume, kg]]/1000</f>
        <v>8.57</v>
      </c>
      <c r="J1838" s="27">
        <v>0.23449999999999999</v>
      </c>
      <c r="K1838" s="25">
        <f t="shared" si="28"/>
        <v>2009.665</v>
      </c>
      <c r="L1838" s="27">
        <v>3.7</v>
      </c>
      <c r="M1838" s="26">
        <v>31709</v>
      </c>
      <c r="N1838" s="25">
        <f>IFERROR(T_reg.root.SK[[#This Row],[Price]]/T_reg.root.SK[[#This Row],[Starch content]],"")</f>
        <v>15.778251599147124</v>
      </c>
    </row>
    <row r="1839" spans="1:14">
      <c r="A1839" s="21">
        <v>2023</v>
      </c>
      <c r="B1839" s="21" t="s">
        <v>28</v>
      </c>
      <c r="C1839" s="21" t="s">
        <v>1145</v>
      </c>
      <c r="D1839" s="21" t="s">
        <v>35</v>
      </c>
      <c r="E1839" s="17" t="s">
        <v>161</v>
      </c>
      <c r="F1839" s="18" t="s">
        <v>105</v>
      </c>
      <c r="G1839" s="18" t="s">
        <v>48</v>
      </c>
      <c r="H1839" s="26">
        <v>61370</v>
      </c>
      <c r="I1839" s="24">
        <f>T_reg.root.SK[[#This Row],[Volume, kg]]/1000</f>
        <v>61.37</v>
      </c>
      <c r="J1839" s="27">
        <v>0.2422</v>
      </c>
      <c r="K1839" s="25">
        <f t="shared" si="28"/>
        <v>14863.814</v>
      </c>
      <c r="L1839" s="27">
        <v>3.69</v>
      </c>
      <c r="M1839" s="26">
        <v>226707</v>
      </c>
      <c r="N1839" s="25">
        <f>IFERROR(T_reg.root.SK[[#This Row],[Price]]/T_reg.root.SK[[#This Row],[Starch content]],"")</f>
        <v>15.235342691990091</v>
      </c>
    </row>
    <row r="1840" spans="1:14">
      <c r="A1840" s="21">
        <v>2023</v>
      </c>
      <c r="B1840" s="21" t="s">
        <v>28</v>
      </c>
      <c r="C1840" s="21" t="s">
        <v>1145</v>
      </c>
      <c r="D1840" s="21" t="s">
        <v>35</v>
      </c>
      <c r="E1840" s="17" t="s">
        <v>164</v>
      </c>
      <c r="F1840" s="18" t="s">
        <v>105</v>
      </c>
      <c r="G1840" s="18" t="s">
        <v>48</v>
      </c>
      <c r="H1840" s="26">
        <v>152070</v>
      </c>
      <c r="I1840" s="24">
        <f>T_reg.root.SK[[#This Row],[Volume, kg]]/1000</f>
        <v>152.07</v>
      </c>
      <c r="J1840" s="27">
        <v>0.22989999999999999</v>
      </c>
      <c r="K1840" s="25">
        <f t="shared" si="28"/>
        <v>34960.892999999996</v>
      </c>
      <c r="L1840" s="27">
        <v>3.7</v>
      </c>
      <c r="M1840" s="26">
        <v>562810.5</v>
      </c>
      <c r="N1840" s="25">
        <f>IFERROR(T_reg.root.SK[[#This Row],[Price]]/T_reg.root.SK[[#This Row],[Starch content]],"")</f>
        <v>16.093953892996957</v>
      </c>
    </row>
    <row r="1841" spans="1:14">
      <c r="A1841" s="21">
        <v>2023</v>
      </c>
      <c r="B1841" s="21" t="s">
        <v>28</v>
      </c>
      <c r="C1841" s="21" t="s">
        <v>1145</v>
      </c>
      <c r="D1841" s="21" t="s">
        <v>35</v>
      </c>
      <c r="E1841" s="17" t="s">
        <v>165</v>
      </c>
      <c r="F1841" s="18" t="s">
        <v>105</v>
      </c>
      <c r="G1841" s="18" t="s">
        <v>48</v>
      </c>
      <c r="H1841" s="26">
        <v>89880</v>
      </c>
      <c r="I1841" s="24">
        <f>T_reg.root.SK[[#This Row],[Volume, kg]]/1000</f>
        <v>89.88</v>
      </c>
      <c r="J1841" s="27">
        <v>0.26960000000000001</v>
      </c>
      <c r="K1841" s="25">
        <f t="shared" si="28"/>
        <v>24231.648000000001</v>
      </c>
      <c r="L1841" s="27">
        <v>3.9</v>
      </c>
      <c r="M1841" s="26">
        <v>350749</v>
      </c>
      <c r="N1841" s="25">
        <f>IFERROR(T_reg.root.SK[[#This Row],[Price]]/T_reg.root.SK[[#This Row],[Starch content]],"")</f>
        <v>14.46587537091988</v>
      </c>
    </row>
    <row r="1842" spans="1:14">
      <c r="A1842" s="21">
        <v>2023</v>
      </c>
      <c r="B1842" s="21" t="s">
        <v>28</v>
      </c>
      <c r="C1842" s="21" t="s">
        <v>1145</v>
      </c>
      <c r="D1842" s="21" t="s">
        <v>35</v>
      </c>
      <c r="E1842" s="17" t="s">
        <v>639</v>
      </c>
      <c r="F1842" s="18" t="s">
        <v>105</v>
      </c>
      <c r="G1842" s="18" t="s">
        <v>48</v>
      </c>
      <c r="H1842" s="26">
        <v>6470</v>
      </c>
      <c r="I1842" s="24">
        <f>T_reg.root.SK[[#This Row],[Volume, kg]]/1000</f>
        <v>6.47</v>
      </c>
      <c r="J1842" s="27">
        <v>0.251</v>
      </c>
      <c r="K1842" s="25">
        <f t="shared" si="28"/>
        <v>1623.97</v>
      </c>
      <c r="L1842" s="27">
        <v>3.6</v>
      </c>
      <c r="M1842" s="26">
        <v>23292</v>
      </c>
      <c r="N1842" s="25">
        <f>IFERROR(T_reg.root.SK[[#This Row],[Price]]/T_reg.root.SK[[#This Row],[Starch content]],"")</f>
        <v>14.342629482071713</v>
      </c>
    </row>
    <row r="1843" spans="1:14">
      <c r="A1843" s="21">
        <v>2023</v>
      </c>
      <c r="B1843" s="21" t="s">
        <v>28</v>
      </c>
      <c r="C1843" s="21" t="s">
        <v>1145</v>
      </c>
      <c r="D1843" s="21" t="s">
        <v>35</v>
      </c>
      <c r="E1843" s="17" t="s">
        <v>167</v>
      </c>
      <c r="F1843" s="18" t="s">
        <v>105</v>
      </c>
      <c r="G1843" s="18" t="s">
        <v>48</v>
      </c>
      <c r="H1843" s="26">
        <v>78160</v>
      </c>
      <c r="I1843" s="24">
        <f>T_reg.root.SK[[#This Row],[Volume, kg]]/1000</f>
        <v>78.16</v>
      </c>
      <c r="J1843" s="27">
        <v>0.22420000000000001</v>
      </c>
      <c r="K1843" s="25">
        <f t="shared" si="28"/>
        <v>17523.472000000002</v>
      </c>
      <c r="L1843" s="27">
        <v>3.67</v>
      </c>
      <c r="M1843" s="26">
        <v>286866</v>
      </c>
      <c r="N1843" s="25">
        <f>IFERROR(T_reg.root.SK[[#This Row],[Price]]/T_reg.root.SK[[#This Row],[Starch content]],"")</f>
        <v>16.369313113291703</v>
      </c>
    </row>
    <row r="1844" spans="1:14">
      <c r="A1844" s="21">
        <v>2023</v>
      </c>
      <c r="B1844" s="21" t="s">
        <v>28</v>
      </c>
      <c r="C1844" s="21" t="s">
        <v>1145</v>
      </c>
      <c r="D1844" s="21" t="s">
        <v>35</v>
      </c>
      <c r="E1844" s="17" t="s">
        <v>170</v>
      </c>
      <c r="F1844" s="18" t="s">
        <v>105</v>
      </c>
      <c r="G1844" s="18" t="s">
        <v>48</v>
      </c>
      <c r="H1844" s="26">
        <v>41120</v>
      </c>
      <c r="I1844" s="24">
        <f>T_reg.root.SK[[#This Row],[Volume, kg]]/1000</f>
        <v>41.12</v>
      </c>
      <c r="J1844" s="27">
        <v>0.24399999999999999</v>
      </c>
      <c r="K1844" s="25">
        <f t="shared" si="28"/>
        <v>10033.280000000001</v>
      </c>
      <c r="L1844" s="27">
        <v>3.57</v>
      </c>
      <c r="M1844" s="26">
        <v>146747.5</v>
      </c>
      <c r="N1844" s="25">
        <f>IFERROR(T_reg.root.SK[[#This Row],[Price]]/T_reg.root.SK[[#This Row],[Starch content]],"")</f>
        <v>14.631147540983607</v>
      </c>
    </row>
    <row r="1845" spans="1:14">
      <c r="A1845" s="21">
        <v>2023</v>
      </c>
      <c r="B1845" s="21" t="s">
        <v>28</v>
      </c>
      <c r="C1845" s="21" t="s">
        <v>1145</v>
      </c>
      <c r="D1845" s="21" t="s">
        <v>35</v>
      </c>
      <c r="E1845" s="17" t="s">
        <v>171</v>
      </c>
      <c r="F1845" s="18" t="s">
        <v>105</v>
      </c>
      <c r="G1845" s="18" t="s">
        <v>48</v>
      </c>
      <c r="H1845" s="26">
        <v>31570</v>
      </c>
      <c r="I1845" s="24">
        <f>T_reg.root.SK[[#This Row],[Volume, kg]]/1000</f>
        <v>31.57</v>
      </c>
      <c r="J1845" s="27">
        <v>0.24059999999999998</v>
      </c>
      <c r="K1845" s="25">
        <f t="shared" si="28"/>
        <v>7595.7419999999993</v>
      </c>
      <c r="L1845" s="27">
        <v>3.75</v>
      </c>
      <c r="M1845" s="26">
        <v>118231.5</v>
      </c>
      <c r="N1845" s="25">
        <f>IFERROR(T_reg.root.SK[[#This Row],[Price]]/T_reg.root.SK[[#This Row],[Starch content]],"")</f>
        <v>15.586034912718207</v>
      </c>
    </row>
    <row r="1846" spans="1:14">
      <c r="A1846" s="21">
        <v>2023</v>
      </c>
      <c r="B1846" s="21" t="s">
        <v>28</v>
      </c>
      <c r="C1846" s="21" t="s">
        <v>1145</v>
      </c>
      <c r="D1846" s="21" t="s">
        <v>35</v>
      </c>
      <c r="E1846" s="17" t="s">
        <v>647</v>
      </c>
      <c r="F1846" s="18" t="s">
        <v>105</v>
      </c>
      <c r="G1846" s="18" t="s">
        <v>48</v>
      </c>
      <c r="H1846" s="26">
        <v>7860</v>
      </c>
      <c r="I1846" s="24">
        <f>T_reg.root.SK[[#This Row],[Volume, kg]]/1000</f>
        <v>7.86</v>
      </c>
      <c r="J1846" s="27">
        <v>0.26800000000000002</v>
      </c>
      <c r="K1846" s="25">
        <f t="shared" si="28"/>
        <v>2106.48</v>
      </c>
      <c r="L1846" s="27">
        <v>3.7</v>
      </c>
      <c r="M1846" s="26">
        <v>29082</v>
      </c>
      <c r="N1846" s="25">
        <f>IFERROR(T_reg.root.SK[[#This Row],[Price]]/T_reg.root.SK[[#This Row],[Starch content]],"")</f>
        <v>13.805970149253731</v>
      </c>
    </row>
    <row r="1847" spans="1:14">
      <c r="A1847" s="21">
        <v>2023</v>
      </c>
      <c r="B1847" s="21" t="s">
        <v>28</v>
      </c>
      <c r="C1847" s="21" t="s">
        <v>1145</v>
      </c>
      <c r="D1847" s="21" t="s">
        <v>35</v>
      </c>
      <c r="E1847" s="17" t="s">
        <v>504</v>
      </c>
      <c r="F1847" s="18" t="s">
        <v>105</v>
      </c>
      <c r="G1847" s="18" t="s">
        <v>48</v>
      </c>
      <c r="H1847" s="26">
        <v>17280</v>
      </c>
      <c r="I1847" s="24">
        <f>T_reg.root.SK[[#This Row],[Volume, kg]]/1000</f>
        <v>17.28</v>
      </c>
      <c r="J1847" s="27">
        <v>0.26030000000000003</v>
      </c>
      <c r="K1847" s="25">
        <f t="shared" si="28"/>
        <v>4497.9840000000004</v>
      </c>
      <c r="L1847" s="27">
        <v>3.83</v>
      </c>
      <c r="M1847" s="26">
        <v>66214.5</v>
      </c>
      <c r="N1847" s="25">
        <f>IFERROR(T_reg.root.SK[[#This Row],[Price]]/T_reg.root.SK[[#This Row],[Starch content]],"")</f>
        <v>14.713791778716864</v>
      </c>
    </row>
    <row r="1848" spans="1:14">
      <c r="A1848" s="21">
        <v>2023</v>
      </c>
      <c r="B1848" s="21" t="s">
        <v>28</v>
      </c>
      <c r="C1848" s="21" t="s">
        <v>1145</v>
      </c>
      <c r="D1848" s="21" t="s">
        <v>35</v>
      </c>
      <c r="E1848" s="17" t="s">
        <v>321</v>
      </c>
      <c r="F1848" s="18" t="s">
        <v>105</v>
      </c>
      <c r="G1848" s="18" t="s">
        <v>48</v>
      </c>
      <c r="H1848" s="26">
        <v>26920</v>
      </c>
      <c r="I1848" s="24">
        <f>T_reg.root.SK[[#This Row],[Volume, kg]]/1000</f>
        <v>26.92</v>
      </c>
      <c r="J1848" s="27">
        <v>0.26170000000000004</v>
      </c>
      <c r="K1848" s="25">
        <f t="shared" si="28"/>
        <v>7044.9640000000009</v>
      </c>
      <c r="L1848" s="27">
        <v>3.69</v>
      </c>
      <c r="M1848" s="26">
        <v>99354</v>
      </c>
      <c r="N1848" s="25">
        <f>IFERROR(T_reg.root.SK[[#This Row],[Price]]/T_reg.root.SK[[#This Row],[Starch content]],"")</f>
        <v>14.100114635078331</v>
      </c>
    </row>
    <row r="1849" spans="1:14">
      <c r="A1849" s="21">
        <v>2023</v>
      </c>
      <c r="B1849" s="21" t="s">
        <v>28</v>
      </c>
      <c r="C1849" s="21" t="s">
        <v>1145</v>
      </c>
      <c r="D1849" s="21" t="s">
        <v>35</v>
      </c>
      <c r="E1849" s="17" t="s">
        <v>173</v>
      </c>
      <c r="F1849" s="18" t="s">
        <v>105</v>
      </c>
      <c r="G1849" s="18" t="s">
        <v>48</v>
      </c>
      <c r="H1849" s="26">
        <v>18880</v>
      </c>
      <c r="I1849" s="24">
        <f>T_reg.root.SK[[#This Row],[Volume, kg]]/1000</f>
        <v>18.88</v>
      </c>
      <c r="J1849" s="27">
        <v>0.22059999999999999</v>
      </c>
      <c r="K1849" s="25">
        <f t="shared" si="28"/>
        <v>4164.9279999999999</v>
      </c>
      <c r="L1849" s="27">
        <v>3.4</v>
      </c>
      <c r="M1849" s="26">
        <v>64243</v>
      </c>
      <c r="N1849" s="25">
        <f>IFERROR(T_reg.root.SK[[#This Row],[Price]]/T_reg.root.SK[[#This Row],[Starch content]],"")</f>
        <v>15.412511332728922</v>
      </c>
    </row>
    <row r="1850" spans="1:14">
      <c r="A1850" s="21">
        <v>2023</v>
      </c>
      <c r="B1850" s="21" t="s">
        <v>28</v>
      </c>
      <c r="C1850" s="21" t="s">
        <v>1145</v>
      </c>
      <c r="D1850" s="21" t="s">
        <v>35</v>
      </c>
      <c r="E1850" s="17" t="s">
        <v>325</v>
      </c>
      <c r="F1850" s="18" t="s">
        <v>105</v>
      </c>
      <c r="G1850" s="18" t="s">
        <v>48</v>
      </c>
      <c r="H1850" s="26">
        <v>60120</v>
      </c>
      <c r="I1850" s="24">
        <f>T_reg.root.SK[[#This Row],[Volume, kg]]/1000</f>
        <v>60.12</v>
      </c>
      <c r="J1850" s="27">
        <v>0.24299999999999999</v>
      </c>
      <c r="K1850" s="25">
        <f t="shared" si="28"/>
        <v>14609.16</v>
      </c>
      <c r="L1850" s="27">
        <v>3.64</v>
      </c>
      <c r="M1850" s="26">
        <v>219002</v>
      </c>
      <c r="N1850" s="25">
        <f>IFERROR(T_reg.root.SK[[#This Row],[Price]]/T_reg.root.SK[[#This Row],[Starch content]],"")</f>
        <v>14.979423868312757</v>
      </c>
    </row>
    <row r="1851" spans="1:14">
      <c r="A1851" s="21">
        <v>2023</v>
      </c>
      <c r="B1851" s="21" t="s">
        <v>28</v>
      </c>
      <c r="C1851" s="21" t="s">
        <v>1145</v>
      </c>
      <c r="D1851" s="21" t="s">
        <v>35</v>
      </c>
      <c r="E1851" s="17" t="s">
        <v>507</v>
      </c>
      <c r="F1851" s="18" t="s">
        <v>105</v>
      </c>
      <c r="G1851" s="18" t="s">
        <v>48</v>
      </c>
      <c r="H1851" s="26">
        <v>12320</v>
      </c>
      <c r="I1851" s="24">
        <f>T_reg.root.SK[[#This Row],[Volume, kg]]/1000</f>
        <v>12.32</v>
      </c>
      <c r="J1851" s="27">
        <v>0.25790000000000002</v>
      </c>
      <c r="K1851" s="25">
        <f t="shared" si="28"/>
        <v>3177.3280000000004</v>
      </c>
      <c r="L1851" s="27">
        <v>3.63</v>
      </c>
      <c r="M1851" s="26">
        <v>44731</v>
      </c>
      <c r="N1851" s="25">
        <f>IFERROR(T_reg.root.SK[[#This Row],[Price]]/T_reg.root.SK[[#This Row],[Starch content]],"")</f>
        <v>14.075222954633578</v>
      </c>
    </row>
    <row r="1852" spans="1:14">
      <c r="A1852" s="21">
        <v>2023</v>
      </c>
      <c r="B1852" s="21" t="s">
        <v>28</v>
      </c>
      <c r="C1852" s="21" t="s">
        <v>1145</v>
      </c>
      <c r="D1852" s="21" t="s">
        <v>35</v>
      </c>
      <c r="E1852" s="17" t="s">
        <v>174</v>
      </c>
      <c r="F1852" s="18" t="s">
        <v>105</v>
      </c>
      <c r="G1852" s="18" t="s">
        <v>48</v>
      </c>
      <c r="H1852" s="26">
        <v>82560</v>
      </c>
      <c r="I1852" s="24">
        <f>T_reg.root.SK[[#This Row],[Volume, kg]]/1000</f>
        <v>82.56</v>
      </c>
      <c r="J1852" s="27">
        <v>0.25650000000000001</v>
      </c>
      <c r="K1852" s="25">
        <f t="shared" si="28"/>
        <v>21176.639999999999</v>
      </c>
      <c r="L1852" s="27">
        <v>3.68</v>
      </c>
      <c r="M1852" s="26">
        <v>303877.5</v>
      </c>
      <c r="N1852" s="25">
        <f>IFERROR(T_reg.root.SK[[#This Row],[Price]]/T_reg.root.SK[[#This Row],[Starch content]],"")</f>
        <v>14.346978557504874</v>
      </c>
    </row>
    <row r="1853" spans="1:14">
      <c r="A1853" s="21">
        <v>2023</v>
      </c>
      <c r="B1853" s="21" t="s">
        <v>28</v>
      </c>
      <c r="C1853" s="21" t="s">
        <v>1145</v>
      </c>
      <c r="D1853" s="21" t="s">
        <v>35</v>
      </c>
      <c r="E1853" s="17" t="s">
        <v>327</v>
      </c>
      <c r="F1853" s="18" t="s">
        <v>105</v>
      </c>
      <c r="G1853" s="18" t="s">
        <v>48</v>
      </c>
      <c r="H1853" s="26">
        <v>20630</v>
      </c>
      <c r="I1853" s="24">
        <f>T_reg.root.SK[[#This Row],[Volume, kg]]/1000</f>
        <v>20.63</v>
      </c>
      <c r="J1853" s="27">
        <v>0.2437</v>
      </c>
      <c r="K1853" s="25">
        <f t="shared" si="28"/>
        <v>5027.5309999999999</v>
      </c>
      <c r="L1853" s="27">
        <v>3.76</v>
      </c>
      <c r="M1853" s="26">
        <v>77633.5</v>
      </c>
      <c r="N1853" s="25">
        <f>IFERROR(T_reg.root.SK[[#This Row],[Price]]/T_reg.root.SK[[#This Row],[Starch content]],"")</f>
        <v>15.428805908904391</v>
      </c>
    </row>
    <row r="1854" spans="1:14">
      <c r="A1854" s="21">
        <v>2023</v>
      </c>
      <c r="B1854" s="21" t="s">
        <v>28</v>
      </c>
      <c r="C1854" s="21" t="s">
        <v>1145</v>
      </c>
      <c r="D1854" s="21" t="s">
        <v>35</v>
      </c>
      <c r="E1854" s="17" t="s">
        <v>175</v>
      </c>
      <c r="F1854" s="18" t="s">
        <v>105</v>
      </c>
      <c r="G1854" s="18" t="s">
        <v>48</v>
      </c>
      <c r="H1854" s="26">
        <v>6150</v>
      </c>
      <c r="I1854" s="24">
        <f>T_reg.root.SK[[#This Row],[Volume, kg]]/1000</f>
        <v>6.15</v>
      </c>
      <c r="J1854" s="27">
        <v>0.23199999999999998</v>
      </c>
      <c r="K1854" s="25">
        <f t="shared" si="28"/>
        <v>1426.8</v>
      </c>
      <c r="L1854" s="27">
        <v>3.7</v>
      </c>
      <c r="M1854" s="26">
        <v>22755</v>
      </c>
      <c r="N1854" s="25">
        <f>IFERROR(T_reg.root.SK[[#This Row],[Price]]/T_reg.root.SK[[#This Row],[Starch content]],"")</f>
        <v>15.948275862068968</v>
      </c>
    </row>
    <row r="1855" spans="1:14">
      <c r="A1855" s="21">
        <v>2023</v>
      </c>
      <c r="B1855" s="21" t="s">
        <v>28</v>
      </c>
      <c r="C1855" s="21" t="s">
        <v>1145</v>
      </c>
      <c r="D1855" s="21" t="s">
        <v>35</v>
      </c>
      <c r="E1855" s="17" t="s">
        <v>178</v>
      </c>
      <c r="F1855" s="18" t="s">
        <v>105</v>
      </c>
      <c r="G1855" s="18" t="s">
        <v>48</v>
      </c>
      <c r="H1855" s="26">
        <v>20290</v>
      </c>
      <c r="I1855" s="24">
        <f>T_reg.root.SK[[#This Row],[Volume, kg]]/1000</f>
        <v>20.29</v>
      </c>
      <c r="J1855" s="27">
        <v>0.21190000000000001</v>
      </c>
      <c r="K1855" s="25">
        <f t="shared" si="28"/>
        <v>4299.451</v>
      </c>
      <c r="L1855" s="27">
        <v>3.61</v>
      </c>
      <c r="M1855" s="26">
        <v>73216</v>
      </c>
      <c r="N1855" s="25">
        <f>IFERROR(T_reg.root.SK[[#This Row],[Price]]/T_reg.root.SK[[#This Row],[Starch content]],"")</f>
        <v>17.036337895233601</v>
      </c>
    </row>
    <row r="1856" spans="1:14">
      <c r="A1856" s="21">
        <v>2023</v>
      </c>
      <c r="B1856" s="21" t="s">
        <v>28</v>
      </c>
      <c r="C1856" s="21" t="s">
        <v>1145</v>
      </c>
      <c r="D1856" s="21" t="s">
        <v>35</v>
      </c>
      <c r="E1856" s="17" t="s">
        <v>605</v>
      </c>
      <c r="F1856" s="18" t="s">
        <v>105</v>
      </c>
      <c r="G1856" s="18" t="s">
        <v>48</v>
      </c>
      <c r="H1856" s="26">
        <v>622110</v>
      </c>
      <c r="I1856" s="24">
        <f>T_reg.root.SK[[#This Row],[Volume, kg]]/1000</f>
        <v>622.11</v>
      </c>
      <c r="J1856" s="27">
        <v>0.25180000000000002</v>
      </c>
      <c r="K1856" s="25">
        <f t="shared" si="28"/>
        <v>156647.29800000001</v>
      </c>
      <c r="L1856" s="27">
        <v>3.74</v>
      </c>
      <c r="M1856" s="26">
        <v>2326128</v>
      </c>
      <c r="N1856" s="25">
        <f>IFERROR(T_reg.root.SK[[#This Row],[Price]]/T_reg.root.SK[[#This Row],[Starch content]],"")</f>
        <v>14.853057982525813</v>
      </c>
    </row>
    <row r="1857" spans="1:14">
      <c r="A1857" s="21">
        <v>2023</v>
      </c>
      <c r="B1857" s="21" t="s">
        <v>28</v>
      </c>
      <c r="C1857" s="21" t="s">
        <v>1145</v>
      </c>
      <c r="D1857" s="21" t="s">
        <v>35</v>
      </c>
      <c r="E1857" s="17" t="s">
        <v>258</v>
      </c>
      <c r="F1857" s="18" t="s">
        <v>105</v>
      </c>
      <c r="G1857" s="18" t="s">
        <v>48</v>
      </c>
      <c r="H1857" s="26">
        <v>17770</v>
      </c>
      <c r="I1857" s="24">
        <f>T_reg.root.SK[[#This Row],[Volume, kg]]/1000</f>
        <v>17.77</v>
      </c>
      <c r="J1857" s="27">
        <v>0.24710000000000001</v>
      </c>
      <c r="K1857" s="25">
        <f t="shared" si="28"/>
        <v>4390.9670000000006</v>
      </c>
      <c r="L1857" s="27">
        <v>3.78</v>
      </c>
      <c r="M1857" s="26">
        <v>67208.5</v>
      </c>
      <c r="N1857" s="25">
        <f>IFERROR(T_reg.root.SK[[#This Row],[Price]]/T_reg.root.SK[[#This Row],[Starch content]],"")</f>
        <v>15.297450424929178</v>
      </c>
    </row>
    <row r="1858" spans="1:14">
      <c r="A1858" s="21">
        <v>2023</v>
      </c>
      <c r="B1858" s="21" t="s">
        <v>28</v>
      </c>
      <c r="C1858" s="21" t="s">
        <v>1145</v>
      </c>
      <c r="D1858" s="21" t="s">
        <v>35</v>
      </c>
      <c r="E1858" s="17" t="s">
        <v>259</v>
      </c>
      <c r="F1858" s="18" t="s">
        <v>105</v>
      </c>
      <c r="G1858" s="18" t="s">
        <v>48</v>
      </c>
      <c r="H1858" s="26">
        <v>4250</v>
      </c>
      <c r="I1858" s="24">
        <f>T_reg.root.SK[[#This Row],[Volume, kg]]/1000</f>
        <v>4.25</v>
      </c>
      <c r="J1858" s="27">
        <v>0.22649999999999998</v>
      </c>
      <c r="K1858" s="25">
        <f t="shared" si="28"/>
        <v>962.62499999999989</v>
      </c>
      <c r="L1858" s="27">
        <v>3.7</v>
      </c>
      <c r="M1858" s="26">
        <v>15725</v>
      </c>
      <c r="N1858" s="25">
        <f>IFERROR(T_reg.root.SK[[#This Row],[Price]]/T_reg.root.SK[[#This Row],[Starch content]],"")</f>
        <v>16.335540838852101</v>
      </c>
    </row>
    <row r="1859" spans="1:14">
      <c r="A1859" s="21">
        <v>2023</v>
      </c>
      <c r="B1859" s="21" t="s">
        <v>28</v>
      </c>
      <c r="C1859" s="21" t="s">
        <v>1145</v>
      </c>
      <c r="D1859" s="21" t="s">
        <v>35</v>
      </c>
      <c r="E1859" s="17" t="s">
        <v>329</v>
      </c>
      <c r="F1859" s="18" t="s">
        <v>105</v>
      </c>
      <c r="G1859" s="18" t="s">
        <v>48</v>
      </c>
      <c r="H1859" s="26">
        <v>14970</v>
      </c>
      <c r="I1859" s="24">
        <f>T_reg.root.SK[[#This Row],[Volume, kg]]/1000</f>
        <v>14.97</v>
      </c>
      <c r="J1859" s="27">
        <v>0.24059999999999998</v>
      </c>
      <c r="K1859" s="25">
        <f t="shared" ref="K1859:K1922" si="29">H1859*J1859</f>
        <v>3601.7819999999997</v>
      </c>
      <c r="L1859" s="27">
        <v>3.55</v>
      </c>
      <c r="M1859" s="26">
        <v>53096</v>
      </c>
      <c r="N1859" s="25">
        <f>IFERROR(T_reg.root.SK[[#This Row],[Price]]/T_reg.root.SK[[#This Row],[Starch content]],"")</f>
        <v>14.754779717373234</v>
      </c>
    </row>
    <row r="1860" spans="1:14">
      <c r="A1860" s="21">
        <v>2023</v>
      </c>
      <c r="B1860" s="21" t="s">
        <v>28</v>
      </c>
      <c r="C1860" s="21" t="s">
        <v>1145</v>
      </c>
      <c r="D1860" s="21" t="s">
        <v>35</v>
      </c>
      <c r="E1860" s="17" t="s">
        <v>179</v>
      </c>
      <c r="F1860" s="18" t="s">
        <v>105</v>
      </c>
      <c r="G1860" s="18" t="s">
        <v>48</v>
      </c>
      <c r="H1860" s="26">
        <v>34510</v>
      </c>
      <c r="I1860" s="24">
        <f>T_reg.root.SK[[#This Row],[Volume, kg]]/1000</f>
        <v>34.51</v>
      </c>
      <c r="J1860" s="27">
        <v>0.23559999999999998</v>
      </c>
      <c r="K1860" s="25">
        <f t="shared" si="29"/>
        <v>8130.5559999999996</v>
      </c>
      <c r="L1860" s="27">
        <v>3.62</v>
      </c>
      <c r="M1860" s="26">
        <v>125076.5</v>
      </c>
      <c r="N1860" s="25">
        <f>IFERROR(T_reg.root.SK[[#This Row],[Price]]/T_reg.root.SK[[#This Row],[Starch content]],"")</f>
        <v>15.365025466893041</v>
      </c>
    </row>
    <row r="1861" spans="1:14">
      <c r="A1861" s="21">
        <v>2023</v>
      </c>
      <c r="B1861" s="21" t="s">
        <v>28</v>
      </c>
      <c r="C1861" s="21" t="s">
        <v>1145</v>
      </c>
      <c r="D1861" s="21" t="s">
        <v>35</v>
      </c>
      <c r="E1861" s="17" t="s">
        <v>181</v>
      </c>
      <c r="F1861" s="18" t="s">
        <v>105</v>
      </c>
      <c r="G1861" s="18" t="s">
        <v>48</v>
      </c>
      <c r="H1861" s="26">
        <v>151120</v>
      </c>
      <c r="I1861" s="24">
        <f>T_reg.root.SK[[#This Row],[Volume, kg]]/1000</f>
        <v>151.12</v>
      </c>
      <c r="J1861" s="27">
        <v>0.23430000000000001</v>
      </c>
      <c r="K1861" s="25">
        <f t="shared" si="29"/>
        <v>35407.416000000005</v>
      </c>
      <c r="L1861" s="27">
        <v>3.74</v>
      </c>
      <c r="M1861" s="26">
        <v>565456</v>
      </c>
      <c r="N1861" s="25">
        <f>IFERROR(T_reg.root.SK[[#This Row],[Price]]/T_reg.root.SK[[#This Row],[Starch content]],"")</f>
        <v>15.962441314553992</v>
      </c>
    </row>
    <row r="1862" spans="1:14">
      <c r="A1862" s="21">
        <v>2023</v>
      </c>
      <c r="B1862" s="21" t="s">
        <v>28</v>
      </c>
      <c r="C1862" s="21" t="s">
        <v>1145</v>
      </c>
      <c r="D1862" s="21" t="s">
        <v>35</v>
      </c>
      <c r="E1862" s="17" t="s">
        <v>640</v>
      </c>
      <c r="F1862" s="18" t="s">
        <v>105</v>
      </c>
      <c r="G1862" s="18" t="s">
        <v>48</v>
      </c>
      <c r="H1862" s="26">
        <v>26690</v>
      </c>
      <c r="I1862" s="24">
        <f>T_reg.root.SK[[#This Row],[Volume, kg]]/1000</f>
        <v>26.69</v>
      </c>
      <c r="J1862" s="27">
        <v>0.2157</v>
      </c>
      <c r="K1862" s="25">
        <f t="shared" si="29"/>
        <v>5757.0330000000004</v>
      </c>
      <c r="L1862" s="27">
        <v>3.63</v>
      </c>
      <c r="M1862" s="26">
        <v>96879.5</v>
      </c>
      <c r="N1862" s="25">
        <f>IFERROR(T_reg.root.SK[[#This Row],[Price]]/T_reg.root.SK[[#This Row],[Starch content]],"")</f>
        <v>16.82892906815021</v>
      </c>
    </row>
    <row r="1863" spans="1:14">
      <c r="A1863" s="21">
        <v>2023</v>
      </c>
      <c r="B1863" s="21" t="s">
        <v>28</v>
      </c>
      <c r="C1863" s="21" t="s">
        <v>1145</v>
      </c>
      <c r="D1863" s="21" t="s">
        <v>35</v>
      </c>
      <c r="E1863" s="17" t="s">
        <v>648</v>
      </c>
      <c r="F1863" s="18" t="s">
        <v>105</v>
      </c>
      <c r="G1863" s="18" t="s">
        <v>48</v>
      </c>
      <c r="H1863" s="26">
        <v>53750</v>
      </c>
      <c r="I1863" s="24">
        <f>T_reg.root.SK[[#This Row],[Volume, kg]]/1000</f>
        <v>53.75</v>
      </c>
      <c r="J1863" s="27">
        <v>0.21899999999999997</v>
      </c>
      <c r="K1863" s="25">
        <f t="shared" si="29"/>
        <v>11771.249999999998</v>
      </c>
      <c r="L1863" s="27">
        <v>3.64</v>
      </c>
      <c r="M1863" s="26">
        <v>195715</v>
      </c>
      <c r="N1863" s="25">
        <f>IFERROR(T_reg.root.SK[[#This Row],[Price]]/T_reg.root.SK[[#This Row],[Starch content]],"")</f>
        <v>16.621004566210047</v>
      </c>
    </row>
    <row r="1864" spans="1:14">
      <c r="A1864" s="21">
        <v>2023</v>
      </c>
      <c r="B1864" s="21" t="s">
        <v>28</v>
      </c>
      <c r="C1864" s="21" t="s">
        <v>1145</v>
      </c>
      <c r="D1864" s="21" t="s">
        <v>35</v>
      </c>
      <c r="E1864" s="17" t="s">
        <v>578</v>
      </c>
      <c r="F1864" s="18" t="s">
        <v>105</v>
      </c>
      <c r="G1864" s="18" t="s">
        <v>48</v>
      </c>
      <c r="H1864" s="26">
        <v>18420</v>
      </c>
      <c r="I1864" s="24">
        <f>T_reg.root.SK[[#This Row],[Volume, kg]]/1000</f>
        <v>18.420000000000002</v>
      </c>
      <c r="J1864" s="27">
        <v>0.20670000000000002</v>
      </c>
      <c r="K1864" s="25">
        <f t="shared" si="29"/>
        <v>3807.4140000000002</v>
      </c>
      <c r="L1864" s="27">
        <v>3.6</v>
      </c>
      <c r="M1864" s="26">
        <v>66312</v>
      </c>
      <c r="N1864" s="25">
        <f>IFERROR(T_reg.root.SK[[#This Row],[Price]]/T_reg.root.SK[[#This Row],[Starch content]],"")</f>
        <v>17.416545718432509</v>
      </c>
    </row>
    <row r="1865" spans="1:14">
      <c r="A1865" s="21">
        <v>2023</v>
      </c>
      <c r="B1865" s="21" t="s">
        <v>28</v>
      </c>
      <c r="C1865" s="21" t="s">
        <v>1145</v>
      </c>
      <c r="D1865" s="21" t="s">
        <v>35</v>
      </c>
      <c r="E1865" s="17" t="s">
        <v>183</v>
      </c>
      <c r="F1865" s="18" t="s">
        <v>105</v>
      </c>
      <c r="G1865" s="18" t="s">
        <v>48</v>
      </c>
      <c r="H1865" s="26">
        <v>217870</v>
      </c>
      <c r="I1865" s="24">
        <f>T_reg.root.SK[[#This Row],[Volume, kg]]/1000</f>
        <v>217.87</v>
      </c>
      <c r="J1865" s="27">
        <v>0.24739999999999998</v>
      </c>
      <c r="K1865" s="25">
        <f t="shared" si="29"/>
        <v>53901.037999999993</v>
      </c>
      <c r="L1865" s="27">
        <v>3.82</v>
      </c>
      <c r="M1865" s="26">
        <v>832671</v>
      </c>
      <c r="N1865" s="25">
        <f>IFERROR(T_reg.root.SK[[#This Row],[Price]]/T_reg.root.SK[[#This Row],[Starch content]],"")</f>
        <v>15.440582053354891</v>
      </c>
    </row>
    <row r="1866" spans="1:14">
      <c r="A1866" s="21">
        <v>2023</v>
      </c>
      <c r="B1866" s="21" t="s">
        <v>28</v>
      </c>
      <c r="C1866" s="21" t="s">
        <v>1145</v>
      </c>
      <c r="D1866" s="21" t="s">
        <v>35</v>
      </c>
      <c r="E1866" s="17" t="s">
        <v>579</v>
      </c>
      <c r="F1866" s="18" t="s">
        <v>187</v>
      </c>
      <c r="G1866" s="18" t="s">
        <v>48</v>
      </c>
      <c r="H1866" s="26">
        <v>63280</v>
      </c>
      <c r="I1866" s="24">
        <f>T_reg.root.SK[[#This Row],[Volume, kg]]/1000</f>
        <v>63.28</v>
      </c>
      <c r="J1866" s="27">
        <v>0.24719999999999998</v>
      </c>
      <c r="K1866" s="25">
        <f t="shared" si="29"/>
        <v>15642.815999999999</v>
      </c>
      <c r="L1866" s="27">
        <v>3.88</v>
      </c>
      <c r="M1866" s="26">
        <v>245730</v>
      </c>
      <c r="N1866" s="25">
        <f>IFERROR(T_reg.root.SK[[#This Row],[Price]]/T_reg.root.SK[[#This Row],[Starch content]],"")</f>
        <v>15.695792880258901</v>
      </c>
    </row>
    <row r="1867" spans="1:14">
      <c r="A1867" s="21">
        <v>2023</v>
      </c>
      <c r="B1867" s="21" t="s">
        <v>28</v>
      </c>
      <c r="C1867" s="21" t="s">
        <v>1145</v>
      </c>
      <c r="D1867" s="21" t="s">
        <v>35</v>
      </c>
      <c r="E1867" s="17" t="s">
        <v>186</v>
      </c>
      <c r="F1867" s="18" t="s">
        <v>187</v>
      </c>
      <c r="G1867" s="18" t="s">
        <v>48</v>
      </c>
      <c r="H1867" s="26">
        <v>8330</v>
      </c>
      <c r="I1867" s="24">
        <f>T_reg.root.SK[[#This Row],[Volume, kg]]/1000</f>
        <v>8.33</v>
      </c>
      <c r="J1867" s="27">
        <v>0.218</v>
      </c>
      <c r="K1867" s="25">
        <f t="shared" si="29"/>
        <v>1815.94</v>
      </c>
      <c r="L1867" s="27">
        <v>3.5</v>
      </c>
      <c r="M1867" s="26">
        <v>29155</v>
      </c>
      <c r="N1867" s="25">
        <f>IFERROR(T_reg.root.SK[[#This Row],[Price]]/T_reg.root.SK[[#This Row],[Starch content]],"")</f>
        <v>16.055045871559631</v>
      </c>
    </row>
    <row r="1868" spans="1:14">
      <c r="A1868" s="21">
        <v>2023</v>
      </c>
      <c r="B1868" s="21" t="s">
        <v>28</v>
      </c>
      <c r="C1868" s="21" t="s">
        <v>1145</v>
      </c>
      <c r="D1868" s="21" t="s">
        <v>35</v>
      </c>
      <c r="E1868" s="17" t="s">
        <v>188</v>
      </c>
      <c r="F1868" s="18" t="s">
        <v>187</v>
      </c>
      <c r="G1868" s="18" t="s">
        <v>48</v>
      </c>
      <c r="H1868" s="26">
        <v>22840</v>
      </c>
      <c r="I1868" s="24">
        <f>T_reg.root.SK[[#This Row],[Volume, kg]]/1000</f>
        <v>22.84</v>
      </c>
      <c r="J1868" s="27">
        <v>0.23730000000000001</v>
      </c>
      <c r="K1868" s="25">
        <f t="shared" si="29"/>
        <v>5419.9320000000007</v>
      </c>
      <c r="L1868" s="27">
        <v>3.65</v>
      </c>
      <c r="M1868" s="26">
        <v>83354.5</v>
      </c>
      <c r="N1868" s="25">
        <f>IFERROR(T_reg.root.SK[[#This Row],[Price]]/T_reg.root.SK[[#This Row],[Starch content]],"")</f>
        <v>15.381373788453434</v>
      </c>
    </row>
    <row r="1869" spans="1:14">
      <c r="A1869" s="21">
        <v>2023</v>
      </c>
      <c r="B1869" s="21" t="s">
        <v>28</v>
      </c>
      <c r="C1869" s="21" t="s">
        <v>1145</v>
      </c>
      <c r="D1869" s="21" t="s">
        <v>35</v>
      </c>
      <c r="E1869" s="17" t="s">
        <v>190</v>
      </c>
      <c r="F1869" s="18" t="s">
        <v>187</v>
      </c>
      <c r="G1869" s="18" t="s">
        <v>48</v>
      </c>
      <c r="H1869" s="26">
        <v>8460</v>
      </c>
      <c r="I1869" s="24">
        <f>T_reg.root.SK[[#This Row],[Volume, kg]]/1000</f>
        <v>8.4600000000000009</v>
      </c>
      <c r="J1869" s="27">
        <v>0.27550000000000002</v>
      </c>
      <c r="K1869" s="25">
        <f t="shared" si="29"/>
        <v>2330.73</v>
      </c>
      <c r="L1869" s="27">
        <v>4.05</v>
      </c>
      <c r="M1869" s="26">
        <v>34263</v>
      </c>
      <c r="N1869" s="25">
        <f>IFERROR(T_reg.root.SK[[#This Row],[Price]]/T_reg.root.SK[[#This Row],[Starch content]],"")</f>
        <v>14.700544464609798</v>
      </c>
    </row>
    <row r="1870" spans="1:14">
      <c r="A1870" s="21">
        <v>2023</v>
      </c>
      <c r="B1870" s="21" t="s">
        <v>28</v>
      </c>
      <c r="C1870" s="21" t="s">
        <v>1145</v>
      </c>
      <c r="D1870" s="21" t="s">
        <v>35</v>
      </c>
      <c r="E1870" s="17" t="s">
        <v>649</v>
      </c>
      <c r="F1870" s="18" t="s">
        <v>187</v>
      </c>
      <c r="G1870" s="18" t="s">
        <v>48</v>
      </c>
      <c r="H1870" s="26">
        <v>29810</v>
      </c>
      <c r="I1870" s="24">
        <f>T_reg.root.SK[[#This Row],[Volume, kg]]/1000</f>
        <v>29.81</v>
      </c>
      <c r="J1870" s="27">
        <v>0.26200000000000001</v>
      </c>
      <c r="K1870" s="25">
        <f t="shared" si="29"/>
        <v>7810.22</v>
      </c>
      <c r="L1870" s="27">
        <v>3.72</v>
      </c>
      <c r="M1870" s="26">
        <v>110906.5</v>
      </c>
      <c r="N1870" s="25">
        <f>IFERROR(T_reg.root.SK[[#This Row],[Price]]/T_reg.root.SK[[#This Row],[Starch content]],"")</f>
        <v>14.198473282442748</v>
      </c>
    </row>
    <row r="1871" spans="1:14">
      <c r="A1871" s="21">
        <v>2023</v>
      </c>
      <c r="B1871" s="21" t="s">
        <v>28</v>
      </c>
      <c r="C1871" s="21" t="s">
        <v>1145</v>
      </c>
      <c r="D1871" s="21" t="s">
        <v>35</v>
      </c>
      <c r="E1871" s="17" t="s">
        <v>370</v>
      </c>
      <c r="F1871" s="18" t="s">
        <v>187</v>
      </c>
      <c r="G1871" s="18" t="s">
        <v>48</v>
      </c>
      <c r="H1871" s="26">
        <v>74410</v>
      </c>
      <c r="I1871" s="24">
        <f>T_reg.root.SK[[#This Row],[Volume, kg]]/1000</f>
        <v>74.41</v>
      </c>
      <c r="J1871" s="27">
        <v>0.2462</v>
      </c>
      <c r="K1871" s="25">
        <f t="shared" si="29"/>
        <v>18319.741999999998</v>
      </c>
      <c r="L1871" s="27">
        <v>3.88</v>
      </c>
      <c r="M1871" s="26">
        <v>288646</v>
      </c>
      <c r="N1871" s="25">
        <f>IFERROR(T_reg.root.SK[[#This Row],[Price]]/T_reg.root.SK[[#This Row],[Starch content]],"")</f>
        <v>15.759545085296507</v>
      </c>
    </row>
    <row r="1872" spans="1:14">
      <c r="A1872" s="21">
        <v>2023</v>
      </c>
      <c r="B1872" s="21" t="s">
        <v>28</v>
      </c>
      <c r="C1872" s="21" t="s">
        <v>1145</v>
      </c>
      <c r="D1872" s="21" t="s">
        <v>35</v>
      </c>
      <c r="E1872" s="17" t="s">
        <v>581</v>
      </c>
      <c r="F1872" s="18" t="s">
        <v>187</v>
      </c>
      <c r="G1872" s="18" t="s">
        <v>48</v>
      </c>
      <c r="H1872" s="26">
        <v>0</v>
      </c>
      <c r="I1872" s="24">
        <f>T_reg.root.SK[[#This Row],[Volume, kg]]/1000</f>
        <v>0</v>
      </c>
      <c r="J1872" s="27">
        <v>0</v>
      </c>
      <c r="K1872" s="25">
        <f t="shared" si="29"/>
        <v>0</v>
      </c>
      <c r="L1872" s="27">
        <v>0</v>
      </c>
      <c r="M1872" s="26">
        <v>0</v>
      </c>
      <c r="N1872" s="25" t="str">
        <f>IFERROR(T_reg.root.SK[[#This Row],[Price]]/T_reg.root.SK[[#This Row],[Starch content]],"")</f>
        <v/>
      </c>
    </row>
    <row r="1873" spans="1:14">
      <c r="A1873" s="21">
        <v>2023</v>
      </c>
      <c r="B1873" s="21" t="s">
        <v>28</v>
      </c>
      <c r="C1873" s="21" t="s">
        <v>1145</v>
      </c>
      <c r="D1873" s="21" t="s">
        <v>35</v>
      </c>
      <c r="E1873" s="17" t="s">
        <v>512</v>
      </c>
      <c r="F1873" s="18" t="s">
        <v>187</v>
      </c>
      <c r="G1873" s="18" t="s">
        <v>48</v>
      </c>
      <c r="H1873" s="26">
        <v>30680</v>
      </c>
      <c r="I1873" s="24">
        <f>T_reg.root.SK[[#This Row],[Volume, kg]]/1000</f>
        <v>30.68</v>
      </c>
      <c r="J1873" s="27">
        <v>0.19699999999999998</v>
      </c>
      <c r="K1873" s="25">
        <f t="shared" si="29"/>
        <v>6043.9599999999991</v>
      </c>
      <c r="L1873" s="27">
        <v>3.65</v>
      </c>
      <c r="M1873" s="26">
        <v>111989.5</v>
      </c>
      <c r="N1873" s="25">
        <f>IFERROR(T_reg.root.SK[[#This Row],[Price]]/T_reg.root.SK[[#This Row],[Starch content]],"")</f>
        <v>18.527918781725891</v>
      </c>
    </row>
    <row r="1874" spans="1:14">
      <c r="A1874" s="21">
        <v>2023</v>
      </c>
      <c r="B1874" s="21" t="s">
        <v>28</v>
      </c>
      <c r="C1874" s="21" t="s">
        <v>1145</v>
      </c>
      <c r="D1874" s="21" t="s">
        <v>35</v>
      </c>
      <c r="E1874" s="17" t="s">
        <v>261</v>
      </c>
      <c r="F1874" s="18" t="s">
        <v>187</v>
      </c>
      <c r="G1874" s="18" t="s">
        <v>48</v>
      </c>
      <c r="H1874" s="26">
        <v>68940</v>
      </c>
      <c r="I1874" s="24">
        <f>T_reg.root.SK[[#This Row],[Volume, kg]]/1000</f>
        <v>68.94</v>
      </c>
      <c r="J1874" s="27">
        <v>0.2447</v>
      </c>
      <c r="K1874" s="25">
        <f t="shared" si="29"/>
        <v>16869.617999999999</v>
      </c>
      <c r="L1874" s="27">
        <v>3.65</v>
      </c>
      <c r="M1874" s="26">
        <v>251927</v>
      </c>
      <c r="N1874" s="25">
        <f>IFERROR(T_reg.root.SK[[#This Row],[Price]]/T_reg.root.SK[[#This Row],[Starch content]],"")</f>
        <v>14.91622394769105</v>
      </c>
    </row>
    <row r="1875" spans="1:14">
      <c r="A1875" s="21">
        <v>2023</v>
      </c>
      <c r="B1875" s="21" t="s">
        <v>28</v>
      </c>
      <c r="C1875" s="21" t="s">
        <v>1145</v>
      </c>
      <c r="D1875" s="21" t="s">
        <v>35</v>
      </c>
      <c r="E1875" s="17" t="s">
        <v>192</v>
      </c>
      <c r="F1875" s="18" t="s">
        <v>187</v>
      </c>
      <c r="G1875" s="18" t="s">
        <v>48</v>
      </c>
      <c r="H1875" s="26">
        <v>53110</v>
      </c>
      <c r="I1875" s="24">
        <f>T_reg.root.SK[[#This Row],[Volume, kg]]/1000</f>
        <v>53.11</v>
      </c>
      <c r="J1875" s="27">
        <v>0.24530000000000002</v>
      </c>
      <c r="K1875" s="25">
        <f t="shared" si="29"/>
        <v>13027.883000000002</v>
      </c>
      <c r="L1875" s="27">
        <v>3.87</v>
      </c>
      <c r="M1875" s="26">
        <v>205393.5</v>
      </c>
      <c r="N1875" s="25">
        <f>IFERROR(T_reg.root.SK[[#This Row],[Price]]/T_reg.root.SK[[#This Row],[Starch content]],"")</f>
        <v>15.776600081532816</v>
      </c>
    </row>
    <row r="1876" spans="1:14">
      <c r="A1876" s="21">
        <v>2023</v>
      </c>
      <c r="B1876" s="21" t="s">
        <v>28</v>
      </c>
      <c r="C1876" s="21" t="s">
        <v>1145</v>
      </c>
      <c r="D1876" s="21" t="s">
        <v>35</v>
      </c>
      <c r="E1876" s="17" t="s">
        <v>585</v>
      </c>
      <c r="F1876" s="18" t="s">
        <v>187</v>
      </c>
      <c r="G1876" s="18" t="s">
        <v>48</v>
      </c>
      <c r="H1876" s="26">
        <v>46700</v>
      </c>
      <c r="I1876" s="24">
        <f>T_reg.root.SK[[#This Row],[Volume, kg]]/1000</f>
        <v>46.7</v>
      </c>
      <c r="J1876" s="27">
        <v>0.22539999999999999</v>
      </c>
      <c r="K1876" s="25">
        <f t="shared" si="29"/>
        <v>10526.18</v>
      </c>
      <c r="L1876" s="27">
        <v>3.78</v>
      </c>
      <c r="M1876" s="26">
        <v>176375</v>
      </c>
      <c r="N1876" s="25">
        <f>IFERROR(T_reg.root.SK[[#This Row],[Price]]/T_reg.root.SK[[#This Row],[Starch content]],"")</f>
        <v>16.770186335403725</v>
      </c>
    </row>
    <row r="1877" spans="1:14">
      <c r="A1877" s="21">
        <v>2023</v>
      </c>
      <c r="B1877" s="21" t="s">
        <v>28</v>
      </c>
      <c r="C1877" s="21" t="s">
        <v>1145</v>
      </c>
      <c r="D1877" s="21" t="s">
        <v>35</v>
      </c>
      <c r="E1877" s="17" t="s">
        <v>262</v>
      </c>
      <c r="F1877" s="18" t="s">
        <v>187</v>
      </c>
      <c r="G1877" s="18" t="s">
        <v>48</v>
      </c>
      <c r="H1877" s="26">
        <v>28830</v>
      </c>
      <c r="I1877" s="24">
        <f>T_reg.root.SK[[#This Row],[Volume, kg]]/1000</f>
        <v>28.83</v>
      </c>
      <c r="J1877" s="27">
        <v>0.20190000000000002</v>
      </c>
      <c r="K1877" s="25">
        <f t="shared" si="29"/>
        <v>5820.777000000001</v>
      </c>
      <c r="L1877" s="27">
        <v>3.67</v>
      </c>
      <c r="M1877" s="26">
        <v>105743.5</v>
      </c>
      <c r="N1877" s="25">
        <f>IFERROR(T_reg.root.SK[[#This Row],[Price]]/T_reg.root.SK[[#This Row],[Starch content]],"")</f>
        <v>18.177315502724117</v>
      </c>
    </row>
    <row r="1878" spans="1:14">
      <c r="A1878" s="21">
        <v>2023</v>
      </c>
      <c r="B1878" s="21" t="s">
        <v>28</v>
      </c>
      <c r="C1878" s="21" t="s">
        <v>1145</v>
      </c>
      <c r="D1878" s="21" t="s">
        <v>35</v>
      </c>
      <c r="E1878" s="17" t="s">
        <v>621</v>
      </c>
      <c r="F1878" s="18" t="s">
        <v>187</v>
      </c>
      <c r="G1878" s="18" t="s">
        <v>48</v>
      </c>
      <c r="H1878" s="26">
        <v>28170</v>
      </c>
      <c r="I1878" s="24">
        <f>T_reg.root.SK[[#This Row],[Volume, kg]]/1000</f>
        <v>28.17</v>
      </c>
      <c r="J1878" s="27">
        <v>0.22820000000000001</v>
      </c>
      <c r="K1878" s="25">
        <f t="shared" si="29"/>
        <v>6428.3940000000002</v>
      </c>
      <c r="L1878" s="27">
        <v>3.57</v>
      </c>
      <c r="M1878" s="26">
        <v>100537.5</v>
      </c>
      <c r="N1878" s="25">
        <f>IFERROR(T_reg.root.SK[[#This Row],[Price]]/T_reg.root.SK[[#This Row],[Starch content]],"")</f>
        <v>15.644171779141102</v>
      </c>
    </row>
    <row r="1879" spans="1:14">
      <c r="A1879" s="21">
        <v>2023</v>
      </c>
      <c r="B1879" s="21" t="s">
        <v>28</v>
      </c>
      <c r="C1879" s="21" t="s">
        <v>1145</v>
      </c>
      <c r="D1879" s="21" t="s">
        <v>35</v>
      </c>
      <c r="E1879" s="17" t="s">
        <v>194</v>
      </c>
      <c r="F1879" s="18" t="s">
        <v>187</v>
      </c>
      <c r="G1879" s="18" t="s">
        <v>48</v>
      </c>
      <c r="H1879" s="26">
        <v>16000</v>
      </c>
      <c r="I1879" s="24">
        <f>T_reg.root.SK[[#This Row],[Volume, kg]]/1000</f>
        <v>16</v>
      </c>
      <c r="J1879" s="27">
        <v>0.28859999999999997</v>
      </c>
      <c r="K1879" s="25">
        <f t="shared" si="29"/>
        <v>4617.5999999999995</v>
      </c>
      <c r="L1879" s="27">
        <v>3.9</v>
      </c>
      <c r="M1879" s="26">
        <v>62400</v>
      </c>
      <c r="N1879" s="25">
        <f>IFERROR(T_reg.root.SK[[#This Row],[Price]]/T_reg.root.SK[[#This Row],[Starch content]],"")</f>
        <v>13.513513513513514</v>
      </c>
    </row>
    <row r="1880" spans="1:14">
      <c r="A1880" s="21">
        <v>2023</v>
      </c>
      <c r="B1880" s="21" t="s">
        <v>28</v>
      </c>
      <c r="C1880" s="21" t="s">
        <v>1145</v>
      </c>
      <c r="D1880" s="21" t="s">
        <v>35</v>
      </c>
      <c r="E1880" s="17" t="s">
        <v>517</v>
      </c>
      <c r="F1880" s="18" t="s">
        <v>187</v>
      </c>
      <c r="G1880" s="18" t="s">
        <v>48</v>
      </c>
      <c r="H1880" s="26">
        <v>47990</v>
      </c>
      <c r="I1880" s="24">
        <f>T_reg.root.SK[[#This Row],[Volume, kg]]/1000</f>
        <v>47.99</v>
      </c>
      <c r="J1880" s="27">
        <v>0.26719999999999999</v>
      </c>
      <c r="K1880" s="25">
        <f t="shared" si="29"/>
        <v>12822.928</v>
      </c>
      <c r="L1880" s="27">
        <v>4</v>
      </c>
      <c r="M1880" s="26">
        <v>191957</v>
      </c>
      <c r="N1880" s="25">
        <f>IFERROR(T_reg.root.SK[[#This Row],[Price]]/T_reg.root.SK[[#This Row],[Starch content]],"")</f>
        <v>14.970059880239521</v>
      </c>
    </row>
    <row r="1881" spans="1:14">
      <c r="A1881" s="21">
        <v>2023</v>
      </c>
      <c r="B1881" s="21" t="s">
        <v>28</v>
      </c>
      <c r="C1881" s="21" t="s">
        <v>1145</v>
      </c>
      <c r="D1881" s="21" t="s">
        <v>35</v>
      </c>
      <c r="E1881" s="17" t="s">
        <v>331</v>
      </c>
      <c r="F1881" s="18" t="s">
        <v>187</v>
      </c>
      <c r="G1881" s="18" t="s">
        <v>48</v>
      </c>
      <c r="H1881" s="26">
        <v>19780</v>
      </c>
      <c r="I1881" s="24">
        <f>T_reg.root.SK[[#This Row],[Volume, kg]]/1000</f>
        <v>19.78</v>
      </c>
      <c r="J1881" s="27">
        <v>0.23600000000000002</v>
      </c>
      <c r="K1881" s="25">
        <f t="shared" si="29"/>
        <v>4668.08</v>
      </c>
      <c r="L1881" s="27">
        <v>3.82</v>
      </c>
      <c r="M1881" s="26">
        <v>75644.5</v>
      </c>
      <c r="N1881" s="25">
        <f>IFERROR(T_reg.root.SK[[#This Row],[Price]]/T_reg.root.SK[[#This Row],[Starch content]],"")</f>
        <v>16.1864406779661</v>
      </c>
    </row>
    <row r="1882" spans="1:14">
      <c r="A1882" s="21">
        <v>2023</v>
      </c>
      <c r="B1882" s="21" t="s">
        <v>28</v>
      </c>
      <c r="C1882" s="21" t="s">
        <v>1145</v>
      </c>
      <c r="D1882" s="21" t="s">
        <v>35</v>
      </c>
      <c r="E1882" s="17" t="s">
        <v>519</v>
      </c>
      <c r="F1882" s="18" t="s">
        <v>187</v>
      </c>
      <c r="G1882" s="18" t="s">
        <v>48</v>
      </c>
      <c r="H1882" s="26">
        <v>18340</v>
      </c>
      <c r="I1882" s="24">
        <f>T_reg.root.SK[[#This Row],[Volume, kg]]/1000</f>
        <v>18.34</v>
      </c>
      <c r="J1882" s="27">
        <v>0.26419999999999999</v>
      </c>
      <c r="K1882" s="25">
        <f t="shared" si="29"/>
        <v>4845.4279999999999</v>
      </c>
      <c r="L1882" s="27">
        <v>3.98</v>
      </c>
      <c r="M1882" s="26">
        <v>73004</v>
      </c>
      <c r="N1882" s="25">
        <f>IFERROR(T_reg.root.SK[[#This Row],[Price]]/T_reg.root.SK[[#This Row],[Starch content]],"")</f>
        <v>15.06434519303558</v>
      </c>
    </row>
    <row r="1883" spans="1:14">
      <c r="A1883" s="21">
        <v>2023</v>
      </c>
      <c r="B1883" s="21" t="s">
        <v>28</v>
      </c>
      <c r="C1883" s="21" t="s">
        <v>1145</v>
      </c>
      <c r="D1883" s="21" t="s">
        <v>35</v>
      </c>
      <c r="E1883" s="17" t="s">
        <v>264</v>
      </c>
      <c r="F1883" s="18" t="s">
        <v>187</v>
      </c>
      <c r="G1883" s="18" t="s">
        <v>48</v>
      </c>
      <c r="H1883" s="26">
        <v>82170</v>
      </c>
      <c r="I1883" s="24">
        <f>T_reg.root.SK[[#This Row],[Volume, kg]]/1000</f>
        <v>82.17</v>
      </c>
      <c r="J1883" s="27">
        <v>0.20829999999999999</v>
      </c>
      <c r="K1883" s="25">
        <f t="shared" si="29"/>
        <v>17116.010999999999</v>
      </c>
      <c r="L1883" s="27">
        <v>3.48</v>
      </c>
      <c r="M1883" s="26">
        <v>286025.5</v>
      </c>
      <c r="N1883" s="25">
        <f>IFERROR(T_reg.root.SK[[#This Row],[Price]]/T_reg.root.SK[[#This Row],[Starch content]],"")</f>
        <v>16.706673067690833</v>
      </c>
    </row>
    <row r="1884" spans="1:14">
      <c r="A1884" s="21">
        <v>2023</v>
      </c>
      <c r="B1884" s="21" t="s">
        <v>28</v>
      </c>
      <c r="C1884" s="21" t="s">
        <v>1145</v>
      </c>
      <c r="D1884" s="21" t="s">
        <v>35</v>
      </c>
      <c r="E1884" s="17" t="s">
        <v>610</v>
      </c>
      <c r="F1884" s="18" t="s">
        <v>187</v>
      </c>
      <c r="G1884" s="18" t="s">
        <v>48</v>
      </c>
      <c r="H1884" s="26">
        <v>10780</v>
      </c>
      <c r="I1884" s="24">
        <f>T_reg.root.SK[[#This Row],[Volume, kg]]/1000</f>
        <v>10.78</v>
      </c>
      <c r="J1884" s="27">
        <v>0.2515</v>
      </c>
      <c r="K1884" s="25">
        <f t="shared" si="29"/>
        <v>2711.17</v>
      </c>
      <c r="L1884" s="27">
        <v>3.92</v>
      </c>
      <c r="M1884" s="26">
        <v>42233</v>
      </c>
      <c r="N1884" s="25">
        <f>IFERROR(T_reg.root.SK[[#This Row],[Price]]/T_reg.root.SK[[#This Row],[Starch content]],"")</f>
        <v>15.58648111332008</v>
      </c>
    </row>
    <row r="1885" spans="1:14">
      <c r="A1885" s="21">
        <v>2023</v>
      </c>
      <c r="B1885" s="21" t="s">
        <v>28</v>
      </c>
      <c r="C1885" s="21" t="s">
        <v>1145</v>
      </c>
      <c r="D1885" s="21" t="s">
        <v>35</v>
      </c>
      <c r="E1885" s="17" t="s">
        <v>650</v>
      </c>
      <c r="F1885" s="18" t="s">
        <v>187</v>
      </c>
      <c r="G1885" s="18" t="s">
        <v>48</v>
      </c>
      <c r="H1885" s="26">
        <v>10410</v>
      </c>
      <c r="I1885" s="24">
        <f>T_reg.root.SK[[#This Row],[Volume, kg]]/1000</f>
        <v>10.41</v>
      </c>
      <c r="J1885" s="27">
        <v>0.22399999999999998</v>
      </c>
      <c r="K1885" s="25">
        <f t="shared" si="29"/>
        <v>2331.8399999999997</v>
      </c>
      <c r="L1885" s="27">
        <v>3.75</v>
      </c>
      <c r="M1885" s="26">
        <v>39037.5</v>
      </c>
      <c r="N1885" s="25">
        <f>IFERROR(T_reg.root.SK[[#This Row],[Price]]/T_reg.root.SK[[#This Row],[Starch content]],"")</f>
        <v>16.741071428571431</v>
      </c>
    </row>
    <row r="1886" spans="1:14">
      <c r="A1886" s="21">
        <v>2023</v>
      </c>
      <c r="B1886" s="21" t="s">
        <v>28</v>
      </c>
      <c r="C1886" s="21" t="s">
        <v>1145</v>
      </c>
      <c r="D1886" s="21" t="s">
        <v>35</v>
      </c>
      <c r="E1886" s="17" t="s">
        <v>407</v>
      </c>
      <c r="F1886" s="18" t="s">
        <v>187</v>
      </c>
      <c r="G1886" s="18" t="s">
        <v>48</v>
      </c>
      <c r="H1886" s="26">
        <v>51030</v>
      </c>
      <c r="I1886" s="24">
        <f>T_reg.root.SK[[#This Row],[Volume, kg]]/1000</f>
        <v>51.03</v>
      </c>
      <c r="J1886" s="27">
        <v>0.25819999999999999</v>
      </c>
      <c r="K1886" s="25">
        <f t="shared" si="29"/>
        <v>13175.946</v>
      </c>
      <c r="L1886" s="27">
        <v>3.94</v>
      </c>
      <c r="M1886" s="26">
        <v>201071</v>
      </c>
      <c r="N1886" s="25">
        <f>IFERROR(T_reg.root.SK[[#This Row],[Price]]/T_reg.root.SK[[#This Row],[Starch content]],"")</f>
        <v>15.259488768396592</v>
      </c>
    </row>
    <row r="1887" spans="1:14">
      <c r="A1887" s="21">
        <v>2023</v>
      </c>
      <c r="B1887" s="21" t="s">
        <v>28</v>
      </c>
      <c r="C1887" s="21" t="s">
        <v>1145</v>
      </c>
      <c r="D1887" s="21" t="s">
        <v>35</v>
      </c>
      <c r="E1887" s="17" t="s">
        <v>611</v>
      </c>
      <c r="F1887" s="18" t="s">
        <v>187</v>
      </c>
      <c r="G1887" s="18" t="s">
        <v>48</v>
      </c>
      <c r="H1887" s="26">
        <v>47010</v>
      </c>
      <c r="I1887" s="24">
        <f>T_reg.root.SK[[#This Row],[Volume, kg]]/1000</f>
        <v>47.01</v>
      </c>
      <c r="J1887" s="27">
        <v>0.23350000000000001</v>
      </c>
      <c r="K1887" s="25">
        <f t="shared" si="29"/>
        <v>10976.835000000001</v>
      </c>
      <c r="L1887" s="27">
        <v>3.82</v>
      </c>
      <c r="M1887" s="26">
        <v>179570.5</v>
      </c>
      <c r="N1887" s="25">
        <f>IFERROR(T_reg.root.SK[[#This Row],[Price]]/T_reg.root.SK[[#This Row],[Starch content]],"")</f>
        <v>16.359743040685224</v>
      </c>
    </row>
    <row r="1888" spans="1:14">
      <c r="A1888" s="21">
        <v>2023</v>
      </c>
      <c r="B1888" s="21" t="s">
        <v>28</v>
      </c>
      <c r="C1888" s="21" t="s">
        <v>1145</v>
      </c>
      <c r="D1888" s="21" t="s">
        <v>35</v>
      </c>
      <c r="E1888" s="17" t="s">
        <v>199</v>
      </c>
      <c r="F1888" s="18" t="s">
        <v>187</v>
      </c>
      <c r="G1888" s="18" t="s">
        <v>48</v>
      </c>
      <c r="H1888" s="26">
        <v>17350</v>
      </c>
      <c r="I1888" s="24">
        <f>T_reg.root.SK[[#This Row],[Volume, kg]]/1000</f>
        <v>17.350000000000001</v>
      </c>
      <c r="J1888" s="27">
        <v>0.255</v>
      </c>
      <c r="K1888" s="25">
        <f t="shared" si="29"/>
        <v>4424.25</v>
      </c>
      <c r="L1888" s="27">
        <v>3.95</v>
      </c>
      <c r="M1888" s="26">
        <v>68532.5</v>
      </c>
      <c r="N1888" s="25">
        <f>IFERROR(T_reg.root.SK[[#This Row],[Price]]/T_reg.root.SK[[#This Row],[Starch content]],"")</f>
        <v>15.490196078431373</v>
      </c>
    </row>
    <row r="1889" spans="1:14">
      <c r="A1889" s="21">
        <v>2023</v>
      </c>
      <c r="B1889" s="21" t="s">
        <v>28</v>
      </c>
      <c r="C1889" s="21" t="s">
        <v>1145</v>
      </c>
      <c r="D1889" s="21" t="s">
        <v>35</v>
      </c>
      <c r="E1889" s="17" t="s">
        <v>526</v>
      </c>
      <c r="F1889" s="18" t="s">
        <v>187</v>
      </c>
      <c r="G1889" s="18" t="s">
        <v>48</v>
      </c>
      <c r="H1889" s="26">
        <v>18150</v>
      </c>
      <c r="I1889" s="24">
        <f>T_reg.root.SK[[#This Row],[Volume, kg]]/1000</f>
        <v>18.149999999999999</v>
      </c>
      <c r="J1889" s="27">
        <v>0.2107</v>
      </c>
      <c r="K1889" s="25">
        <f t="shared" si="29"/>
        <v>3824.2049999999999</v>
      </c>
      <c r="L1889" s="27">
        <v>3.7</v>
      </c>
      <c r="M1889" s="26">
        <v>67174.5</v>
      </c>
      <c r="N1889" s="25">
        <f>IFERROR(T_reg.root.SK[[#This Row],[Price]]/T_reg.root.SK[[#This Row],[Starch content]],"")</f>
        <v>17.560512577123873</v>
      </c>
    </row>
    <row r="1890" spans="1:14">
      <c r="A1890" s="21">
        <v>2023</v>
      </c>
      <c r="B1890" s="21" t="s">
        <v>28</v>
      </c>
      <c r="C1890" s="21" t="s">
        <v>1145</v>
      </c>
      <c r="D1890" s="21" t="s">
        <v>35</v>
      </c>
      <c r="E1890" s="17" t="s">
        <v>200</v>
      </c>
      <c r="F1890" s="18" t="s">
        <v>187</v>
      </c>
      <c r="G1890" s="18" t="s">
        <v>48</v>
      </c>
      <c r="H1890" s="26">
        <v>13920</v>
      </c>
      <c r="I1890" s="24">
        <f>T_reg.root.SK[[#This Row],[Volume, kg]]/1000</f>
        <v>13.92</v>
      </c>
      <c r="J1890" s="27">
        <v>0.23440000000000003</v>
      </c>
      <c r="K1890" s="25">
        <f t="shared" si="29"/>
        <v>3262.8480000000004</v>
      </c>
      <c r="L1890" s="27">
        <v>3.83</v>
      </c>
      <c r="M1890" s="26">
        <v>53323.5</v>
      </c>
      <c r="N1890" s="25">
        <f>IFERROR(T_reg.root.SK[[#This Row],[Price]]/T_reg.root.SK[[#This Row],[Starch content]],"")</f>
        <v>16.339590443686006</v>
      </c>
    </row>
    <row r="1891" spans="1:14">
      <c r="A1891" s="21">
        <v>2023</v>
      </c>
      <c r="B1891" s="21" t="s">
        <v>28</v>
      </c>
      <c r="C1891" s="21" t="s">
        <v>1145</v>
      </c>
      <c r="D1891" s="21" t="s">
        <v>35</v>
      </c>
      <c r="E1891" s="17" t="s">
        <v>201</v>
      </c>
      <c r="F1891" s="18" t="s">
        <v>187</v>
      </c>
      <c r="G1891" s="18" t="s">
        <v>48</v>
      </c>
      <c r="H1891" s="26">
        <v>30150</v>
      </c>
      <c r="I1891" s="24">
        <f>T_reg.root.SK[[#This Row],[Volume, kg]]/1000</f>
        <v>30.15</v>
      </c>
      <c r="J1891" s="27">
        <v>0.24890000000000001</v>
      </c>
      <c r="K1891" s="25">
        <f t="shared" si="29"/>
        <v>7504.335</v>
      </c>
      <c r="L1891" s="27">
        <v>3.72</v>
      </c>
      <c r="M1891" s="26">
        <v>112299</v>
      </c>
      <c r="N1891" s="25">
        <f>IFERROR(T_reg.root.SK[[#This Row],[Price]]/T_reg.root.SK[[#This Row],[Starch content]],"")</f>
        <v>14.945761349939735</v>
      </c>
    </row>
    <row r="1892" spans="1:14">
      <c r="A1892" s="21">
        <v>2023</v>
      </c>
      <c r="B1892" s="21" t="s">
        <v>28</v>
      </c>
      <c r="C1892" s="21" t="s">
        <v>1145</v>
      </c>
      <c r="D1892" s="21" t="s">
        <v>35</v>
      </c>
      <c r="E1892" s="17" t="s">
        <v>203</v>
      </c>
      <c r="F1892" s="18" t="s">
        <v>187</v>
      </c>
      <c r="G1892" s="18" t="s">
        <v>48</v>
      </c>
      <c r="H1892" s="26">
        <v>19700</v>
      </c>
      <c r="I1892" s="24">
        <f>T_reg.root.SK[[#This Row],[Volume, kg]]/1000</f>
        <v>19.7</v>
      </c>
      <c r="J1892" s="27">
        <v>0.23379999999999998</v>
      </c>
      <c r="K1892" s="25">
        <f t="shared" si="29"/>
        <v>4605.8599999999997</v>
      </c>
      <c r="L1892" s="27">
        <v>3.83</v>
      </c>
      <c r="M1892" s="26">
        <v>75358</v>
      </c>
      <c r="N1892" s="25">
        <f>IFERROR(T_reg.root.SK[[#This Row],[Price]]/T_reg.root.SK[[#This Row],[Starch content]],"")</f>
        <v>16.38152266894782</v>
      </c>
    </row>
    <row r="1893" spans="1:14">
      <c r="A1893" s="21">
        <v>2023</v>
      </c>
      <c r="B1893" s="21" t="s">
        <v>28</v>
      </c>
      <c r="C1893" s="21" t="s">
        <v>1145</v>
      </c>
      <c r="D1893" s="21" t="s">
        <v>35</v>
      </c>
      <c r="E1893" s="17" t="s">
        <v>204</v>
      </c>
      <c r="F1893" s="18" t="s">
        <v>187</v>
      </c>
      <c r="G1893" s="18" t="s">
        <v>48</v>
      </c>
      <c r="H1893" s="26">
        <v>12940</v>
      </c>
      <c r="I1893" s="24">
        <f>T_reg.root.SK[[#This Row],[Volume, kg]]/1000</f>
        <v>12.94</v>
      </c>
      <c r="J1893" s="27">
        <v>0.23739999999999997</v>
      </c>
      <c r="K1893" s="25">
        <f t="shared" si="29"/>
        <v>3071.9559999999997</v>
      </c>
      <c r="L1893" s="27">
        <v>3.77</v>
      </c>
      <c r="M1893" s="26">
        <v>48793</v>
      </c>
      <c r="N1893" s="25">
        <f>IFERROR(T_reg.root.SK[[#This Row],[Price]]/T_reg.root.SK[[#This Row],[Starch content]],"")</f>
        <v>15.880370682392588</v>
      </c>
    </row>
    <row r="1894" spans="1:14">
      <c r="A1894" s="21">
        <v>2023</v>
      </c>
      <c r="B1894" s="21" t="s">
        <v>28</v>
      </c>
      <c r="C1894" s="21" t="s">
        <v>1145</v>
      </c>
      <c r="D1894" s="21" t="s">
        <v>35</v>
      </c>
      <c r="E1894" s="17" t="s">
        <v>530</v>
      </c>
      <c r="F1894" s="18" t="s">
        <v>187</v>
      </c>
      <c r="G1894" s="18" t="s">
        <v>48</v>
      </c>
      <c r="H1894" s="26">
        <v>21340</v>
      </c>
      <c r="I1894" s="24">
        <f>T_reg.root.SK[[#This Row],[Volume, kg]]/1000</f>
        <v>21.34</v>
      </c>
      <c r="J1894" s="27">
        <v>0.24</v>
      </c>
      <c r="K1894" s="25">
        <f t="shared" si="29"/>
        <v>5121.5999999999995</v>
      </c>
      <c r="L1894" s="27">
        <v>3.85</v>
      </c>
      <c r="M1894" s="26">
        <v>82127</v>
      </c>
      <c r="N1894" s="25">
        <f>IFERROR(T_reg.root.SK[[#This Row],[Price]]/T_reg.root.SK[[#This Row],[Starch content]],"")</f>
        <v>16.041666666666668</v>
      </c>
    </row>
    <row r="1895" spans="1:14">
      <c r="A1895" s="21">
        <v>2023</v>
      </c>
      <c r="B1895" s="21" t="s">
        <v>28</v>
      </c>
      <c r="C1895" s="21" t="s">
        <v>1145</v>
      </c>
      <c r="D1895" s="21" t="s">
        <v>35</v>
      </c>
      <c r="E1895" s="17" t="s">
        <v>594</v>
      </c>
      <c r="F1895" s="18" t="s">
        <v>187</v>
      </c>
      <c r="G1895" s="18" t="s">
        <v>48</v>
      </c>
      <c r="H1895" s="26">
        <v>35110</v>
      </c>
      <c r="I1895" s="24">
        <f>T_reg.root.SK[[#This Row],[Volume, kg]]/1000</f>
        <v>35.11</v>
      </c>
      <c r="J1895" s="27">
        <v>0.25230000000000002</v>
      </c>
      <c r="K1895" s="25">
        <f t="shared" si="29"/>
        <v>8858.2530000000006</v>
      </c>
      <c r="L1895" s="27">
        <v>3.91</v>
      </c>
      <c r="M1895" s="26">
        <v>137443</v>
      </c>
      <c r="N1895" s="25">
        <f>IFERROR(T_reg.root.SK[[#This Row],[Price]]/T_reg.root.SK[[#This Row],[Starch content]],"")</f>
        <v>15.497423701942131</v>
      </c>
    </row>
    <row r="1896" spans="1:14">
      <c r="A1896" s="21">
        <v>2023</v>
      </c>
      <c r="B1896" s="21" t="s">
        <v>28</v>
      </c>
      <c r="C1896" s="21" t="s">
        <v>1145</v>
      </c>
      <c r="D1896" s="21" t="s">
        <v>35</v>
      </c>
      <c r="E1896" s="17" t="s">
        <v>206</v>
      </c>
      <c r="F1896" s="18" t="s">
        <v>187</v>
      </c>
      <c r="G1896" s="18" t="s">
        <v>48</v>
      </c>
      <c r="H1896" s="26">
        <v>29490</v>
      </c>
      <c r="I1896" s="24">
        <f>T_reg.root.SK[[#This Row],[Volume, kg]]/1000</f>
        <v>29.49</v>
      </c>
      <c r="J1896" s="27">
        <v>0.18920000000000001</v>
      </c>
      <c r="K1896" s="25">
        <f t="shared" si="29"/>
        <v>5579.5079999999998</v>
      </c>
      <c r="L1896" s="27">
        <v>3.35</v>
      </c>
      <c r="M1896" s="26">
        <v>98790.5</v>
      </c>
      <c r="N1896" s="25">
        <f>IFERROR(T_reg.root.SK[[#This Row],[Price]]/T_reg.root.SK[[#This Row],[Starch content]],"")</f>
        <v>17.7061310782241</v>
      </c>
    </row>
    <row r="1897" spans="1:14">
      <c r="A1897" s="21">
        <v>2023</v>
      </c>
      <c r="B1897" s="21" t="s">
        <v>28</v>
      </c>
      <c r="C1897" s="21" t="s">
        <v>1145</v>
      </c>
      <c r="D1897" s="21" t="s">
        <v>35</v>
      </c>
      <c r="E1897" s="17" t="s">
        <v>595</v>
      </c>
      <c r="F1897" s="18" t="s">
        <v>187</v>
      </c>
      <c r="G1897" s="18" t="s">
        <v>48</v>
      </c>
      <c r="H1897" s="26">
        <v>5340</v>
      </c>
      <c r="I1897" s="24">
        <f>T_reg.root.SK[[#This Row],[Volume, kg]]/1000</f>
        <v>5.34</v>
      </c>
      <c r="J1897" s="27">
        <v>0.218</v>
      </c>
      <c r="K1897" s="25">
        <f t="shared" si="29"/>
        <v>1164.1199999999999</v>
      </c>
      <c r="L1897" s="27">
        <v>3.75</v>
      </c>
      <c r="M1897" s="26">
        <v>20025</v>
      </c>
      <c r="N1897" s="25">
        <f>IFERROR(T_reg.root.SK[[#This Row],[Price]]/T_reg.root.SK[[#This Row],[Starch content]],"")</f>
        <v>17.201834862385322</v>
      </c>
    </row>
    <row r="1898" spans="1:14">
      <c r="A1898" s="21">
        <v>2023</v>
      </c>
      <c r="B1898" s="21" t="s">
        <v>28</v>
      </c>
      <c r="C1898" s="21" t="s">
        <v>1145</v>
      </c>
      <c r="D1898" s="21" t="s">
        <v>35</v>
      </c>
      <c r="E1898" s="17" t="s">
        <v>208</v>
      </c>
      <c r="F1898" s="18" t="s">
        <v>187</v>
      </c>
      <c r="G1898" s="18" t="s">
        <v>48</v>
      </c>
      <c r="H1898" s="26">
        <v>61060</v>
      </c>
      <c r="I1898" s="24">
        <f>T_reg.root.SK[[#This Row],[Volume, kg]]/1000</f>
        <v>61.06</v>
      </c>
      <c r="J1898" s="27">
        <v>0.21660000000000001</v>
      </c>
      <c r="K1898" s="25">
        <f t="shared" si="29"/>
        <v>13225.596000000001</v>
      </c>
      <c r="L1898" s="27">
        <v>3.51</v>
      </c>
      <c r="M1898" s="26">
        <v>214292</v>
      </c>
      <c r="N1898" s="25">
        <f>IFERROR(T_reg.root.SK[[#This Row],[Price]]/T_reg.root.SK[[#This Row],[Starch content]],"")</f>
        <v>16.204986149584485</v>
      </c>
    </row>
    <row r="1899" spans="1:14">
      <c r="A1899" s="21">
        <v>2023</v>
      </c>
      <c r="B1899" s="21" t="s">
        <v>28</v>
      </c>
      <c r="C1899" s="21" t="s">
        <v>1145</v>
      </c>
      <c r="D1899" s="21" t="s">
        <v>35</v>
      </c>
      <c r="E1899" s="17" t="s">
        <v>209</v>
      </c>
      <c r="F1899" s="18" t="s">
        <v>187</v>
      </c>
      <c r="G1899" s="18" t="s">
        <v>48</v>
      </c>
      <c r="H1899" s="26">
        <v>55650</v>
      </c>
      <c r="I1899" s="24">
        <f>T_reg.root.SK[[#This Row],[Volume, kg]]/1000</f>
        <v>55.65</v>
      </c>
      <c r="J1899" s="27">
        <v>0.22539999999999999</v>
      </c>
      <c r="K1899" s="25">
        <f t="shared" si="29"/>
        <v>12543.51</v>
      </c>
      <c r="L1899" s="27">
        <v>3.68</v>
      </c>
      <c r="M1899" s="26">
        <v>204793.5</v>
      </c>
      <c r="N1899" s="25">
        <f>IFERROR(T_reg.root.SK[[#This Row],[Price]]/T_reg.root.SK[[#This Row],[Starch content]],"")</f>
        <v>16.326530612244898</v>
      </c>
    </row>
    <row r="1900" spans="1:14">
      <c r="A1900" s="21">
        <v>2023</v>
      </c>
      <c r="B1900" s="21" t="s">
        <v>28</v>
      </c>
      <c r="C1900" s="21" t="s">
        <v>1145</v>
      </c>
      <c r="D1900" s="21" t="s">
        <v>35</v>
      </c>
      <c r="E1900" s="17" t="s">
        <v>534</v>
      </c>
      <c r="F1900" s="18" t="s">
        <v>187</v>
      </c>
      <c r="G1900" s="18" t="s">
        <v>48</v>
      </c>
      <c r="H1900" s="26">
        <v>21580</v>
      </c>
      <c r="I1900" s="24">
        <f>T_reg.root.SK[[#This Row],[Volume, kg]]/1000</f>
        <v>21.58</v>
      </c>
      <c r="J1900" s="27">
        <v>0.25900000000000001</v>
      </c>
      <c r="K1900" s="25">
        <f t="shared" si="29"/>
        <v>5589.22</v>
      </c>
      <c r="L1900" s="27">
        <v>3.95</v>
      </c>
      <c r="M1900" s="26">
        <v>85241</v>
      </c>
      <c r="N1900" s="25">
        <f>IFERROR(T_reg.root.SK[[#This Row],[Price]]/T_reg.root.SK[[#This Row],[Starch content]],"")</f>
        <v>15.250965250965251</v>
      </c>
    </row>
    <row r="1901" spans="1:14">
      <c r="A1901" s="21">
        <v>2023</v>
      </c>
      <c r="B1901" s="21" t="s">
        <v>28</v>
      </c>
      <c r="C1901" s="21" t="s">
        <v>1145</v>
      </c>
      <c r="D1901" s="21" t="s">
        <v>35</v>
      </c>
      <c r="E1901" s="17" t="s">
        <v>333</v>
      </c>
      <c r="F1901" s="18" t="s">
        <v>187</v>
      </c>
      <c r="G1901" s="18" t="s">
        <v>48</v>
      </c>
      <c r="H1901" s="26">
        <v>49380</v>
      </c>
      <c r="I1901" s="24">
        <f>T_reg.root.SK[[#This Row],[Volume, kg]]/1000</f>
        <v>49.38</v>
      </c>
      <c r="J1901" s="27">
        <v>0.2366</v>
      </c>
      <c r="K1901" s="25">
        <f t="shared" si="29"/>
        <v>11683.308000000001</v>
      </c>
      <c r="L1901" s="27">
        <v>3.62</v>
      </c>
      <c r="M1901" s="26">
        <v>178934</v>
      </c>
      <c r="N1901" s="25">
        <f>IFERROR(T_reg.root.SK[[#This Row],[Price]]/T_reg.root.SK[[#This Row],[Starch content]],"")</f>
        <v>15.300084530853761</v>
      </c>
    </row>
    <row r="1902" spans="1:14">
      <c r="A1902" s="21">
        <v>2023</v>
      </c>
      <c r="B1902" s="21" t="s">
        <v>28</v>
      </c>
      <c r="C1902" s="21" t="s">
        <v>1145</v>
      </c>
      <c r="D1902" s="21" t="s">
        <v>35</v>
      </c>
      <c r="E1902" s="17" t="s">
        <v>211</v>
      </c>
      <c r="F1902" s="18" t="s">
        <v>187</v>
      </c>
      <c r="G1902" s="18" t="s">
        <v>48</v>
      </c>
      <c r="H1902" s="26">
        <v>281550</v>
      </c>
      <c r="I1902" s="24">
        <f>T_reg.root.SK[[#This Row],[Volume, kg]]/1000</f>
        <v>281.55</v>
      </c>
      <c r="J1902" s="27">
        <v>0.25670000000000004</v>
      </c>
      <c r="K1902" s="25">
        <f t="shared" si="29"/>
        <v>72273.885000000009</v>
      </c>
      <c r="L1902" s="27">
        <v>3.84</v>
      </c>
      <c r="M1902" s="26">
        <v>1080500</v>
      </c>
      <c r="N1902" s="25">
        <f>IFERROR(T_reg.root.SK[[#This Row],[Price]]/T_reg.root.SK[[#This Row],[Starch content]],"")</f>
        <v>14.959096221269963</v>
      </c>
    </row>
    <row r="1903" spans="1:14">
      <c r="A1903" s="21">
        <v>2023</v>
      </c>
      <c r="B1903" s="21" t="s">
        <v>28</v>
      </c>
      <c r="C1903" s="21" t="s">
        <v>1145</v>
      </c>
      <c r="D1903" s="21" t="s">
        <v>35</v>
      </c>
      <c r="E1903" s="17" t="s">
        <v>212</v>
      </c>
      <c r="F1903" s="18" t="s">
        <v>187</v>
      </c>
      <c r="G1903" s="18" t="s">
        <v>48</v>
      </c>
      <c r="H1903" s="26">
        <v>72070</v>
      </c>
      <c r="I1903" s="24">
        <f>T_reg.root.SK[[#This Row],[Volume, kg]]/1000</f>
        <v>72.069999999999993</v>
      </c>
      <c r="J1903" s="27">
        <v>0.27940000000000004</v>
      </c>
      <c r="K1903" s="25">
        <f t="shared" si="29"/>
        <v>20136.358000000004</v>
      </c>
      <c r="L1903" s="27">
        <v>4.04</v>
      </c>
      <c r="M1903" s="26">
        <v>291439</v>
      </c>
      <c r="N1903" s="25">
        <f>IFERROR(T_reg.root.SK[[#This Row],[Price]]/T_reg.root.SK[[#This Row],[Starch content]],"")</f>
        <v>14.459556191839654</v>
      </c>
    </row>
    <row r="1904" spans="1:14">
      <c r="A1904" s="21">
        <v>2023</v>
      </c>
      <c r="B1904" s="21" t="s">
        <v>28</v>
      </c>
      <c r="C1904" s="21" t="s">
        <v>1145</v>
      </c>
      <c r="D1904" s="21" t="s">
        <v>35</v>
      </c>
      <c r="E1904" s="17" t="s">
        <v>537</v>
      </c>
      <c r="F1904" s="18" t="s">
        <v>187</v>
      </c>
      <c r="G1904" s="18" t="s">
        <v>48</v>
      </c>
      <c r="H1904" s="26">
        <v>6190</v>
      </c>
      <c r="I1904" s="24">
        <f>T_reg.root.SK[[#This Row],[Volume, kg]]/1000</f>
        <v>6.19</v>
      </c>
      <c r="J1904" s="27">
        <v>0.24399999999999999</v>
      </c>
      <c r="K1904" s="25">
        <f t="shared" si="29"/>
        <v>1510.36</v>
      </c>
      <c r="L1904" s="27">
        <v>3.6</v>
      </c>
      <c r="M1904" s="26">
        <v>22284</v>
      </c>
      <c r="N1904" s="25">
        <f>IFERROR(T_reg.root.SK[[#This Row],[Price]]/T_reg.root.SK[[#This Row],[Starch content]],"")</f>
        <v>14.754098360655739</v>
      </c>
    </row>
    <row r="1905" spans="1:14">
      <c r="A1905" s="21">
        <v>2023</v>
      </c>
      <c r="B1905" s="21" t="s">
        <v>28</v>
      </c>
      <c r="C1905" s="21" t="s">
        <v>1145</v>
      </c>
      <c r="D1905" s="21" t="s">
        <v>35</v>
      </c>
      <c r="E1905" s="17" t="s">
        <v>214</v>
      </c>
      <c r="F1905" s="18" t="s">
        <v>187</v>
      </c>
      <c r="G1905" s="18" t="s">
        <v>48</v>
      </c>
      <c r="H1905" s="26">
        <v>7300</v>
      </c>
      <c r="I1905" s="24">
        <f>T_reg.root.SK[[#This Row],[Volume, kg]]/1000</f>
        <v>7.3</v>
      </c>
      <c r="J1905" s="27">
        <v>0.25850000000000001</v>
      </c>
      <c r="K1905" s="25">
        <f t="shared" si="29"/>
        <v>1887.05</v>
      </c>
      <c r="L1905" s="27">
        <v>3.95</v>
      </c>
      <c r="M1905" s="26">
        <v>28835</v>
      </c>
      <c r="N1905" s="25">
        <f>IFERROR(T_reg.root.SK[[#This Row],[Price]]/T_reg.root.SK[[#This Row],[Starch content]],"")</f>
        <v>15.28046421663443</v>
      </c>
    </row>
    <row r="1906" spans="1:14">
      <c r="A1906" s="21">
        <v>2023</v>
      </c>
      <c r="B1906" s="21" t="s">
        <v>28</v>
      </c>
      <c r="C1906" s="21" t="s">
        <v>1145</v>
      </c>
      <c r="D1906" s="21" t="s">
        <v>35</v>
      </c>
      <c r="E1906" s="17" t="s">
        <v>335</v>
      </c>
      <c r="F1906" s="18" t="s">
        <v>187</v>
      </c>
      <c r="G1906" s="18" t="s">
        <v>48</v>
      </c>
      <c r="H1906" s="26">
        <v>83740</v>
      </c>
      <c r="I1906" s="24">
        <f>T_reg.root.SK[[#This Row],[Volume, kg]]/1000</f>
        <v>83.74</v>
      </c>
      <c r="J1906" s="27">
        <v>0.24729999999999999</v>
      </c>
      <c r="K1906" s="25">
        <f t="shared" si="29"/>
        <v>20708.901999999998</v>
      </c>
      <c r="L1906" s="27">
        <v>3.8</v>
      </c>
      <c r="M1906" s="26">
        <v>318275</v>
      </c>
      <c r="N1906" s="25">
        <f>IFERROR(T_reg.root.SK[[#This Row],[Price]]/T_reg.root.SK[[#This Row],[Starch content]],"")</f>
        <v>15.365952284674485</v>
      </c>
    </row>
    <row r="1907" spans="1:14">
      <c r="A1907" s="21">
        <v>2023</v>
      </c>
      <c r="B1907" s="21" t="s">
        <v>28</v>
      </c>
      <c r="C1907" s="21" t="s">
        <v>1145</v>
      </c>
      <c r="D1907" s="21" t="s">
        <v>35</v>
      </c>
      <c r="E1907" s="17" t="s">
        <v>216</v>
      </c>
      <c r="F1907" s="18" t="s">
        <v>187</v>
      </c>
      <c r="G1907" s="18" t="s">
        <v>48</v>
      </c>
      <c r="H1907" s="26">
        <v>58680</v>
      </c>
      <c r="I1907" s="24">
        <f>T_reg.root.SK[[#This Row],[Volume, kg]]/1000</f>
        <v>58.68</v>
      </c>
      <c r="J1907" s="27">
        <v>0.22690000000000002</v>
      </c>
      <c r="K1907" s="25">
        <f t="shared" si="29"/>
        <v>13314.492</v>
      </c>
      <c r="L1907" s="27">
        <v>3.56</v>
      </c>
      <c r="M1907" s="26">
        <v>208956</v>
      </c>
      <c r="N1907" s="25">
        <f>IFERROR(T_reg.root.SK[[#This Row],[Price]]/T_reg.root.SK[[#This Row],[Starch content]],"")</f>
        <v>15.689731159100925</v>
      </c>
    </row>
    <row r="1908" spans="1:14">
      <c r="A1908" s="21">
        <v>2023</v>
      </c>
      <c r="B1908" s="21" t="s">
        <v>29</v>
      </c>
      <c r="C1908" s="21" t="s">
        <v>1145</v>
      </c>
      <c r="D1908" s="21" t="s">
        <v>35</v>
      </c>
      <c r="E1908" s="17" t="s">
        <v>651</v>
      </c>
      <c r="F1908" s="18" t="s">
        <v>37</v>
      </c>
      <c r="G1908" s="18" t="s">
        <v>38</v>
      </c>
      <c r="H1908" s="24">
        <v>95560</v>
      </c>
      <c r="I1908" s="24">
        <f>T_reg.root.SK[[#This Row],[Volume, kg]]/1000</f>
        <v>95.56</v>
      </c>
      <c r="J1908" s="25">
        <v>0.255</v>
      </c>
      <c r="K1908" s="25">
        <f t="shared" si="29"/>
        <v>24367.8</v>
      </c>
      <c r="L1908" s="25">
        <v>3.9</v>
      </c>
      <c r="M1908" s="24">
        <v>372372.5</v>
      </c>
      <c r="N1908" s="25">
        <f>IFERROR(T_reg.root.SK[[#This Row],[Price]]/T_reg.root.SK[[#This Row],[Starch content]],"")</f>
        <v>15.294117647058822</v>
      </c>
    </row>
    <row r="1909" spans="1:14">
      <c r="A1909" s="21">
        <v>2023</v>
      </c>
      <c r="B1909" s="21" t="s">
        <v>29</v>
      </c>
      <c r="C1909" s="21" t="s">
        <v>1145</v>
      </c>
      <c r="D1909" s="21" t="s">
        <v>35</v>
      </c>
      <c r="E1909" s="17" t="s">
        <v>652</v>
      </c>
      <c r="F1909" s="18" t="s">
        <v>653</v>
      </c>
      <c r="G1909" s="18" t="s">
        <v>48</v>
      </c>
      <c r="H1909" s="24">
        <v>47110</v>
      </c>
      <c r="I1909" s="24">
        <f>T_reg.root.SK[[#This Row],[Volume, kg]]/1000</f>
        <v>47.11</v>
      </c>
      <c r="J1909" s="25">
        <v>0.24579999999999999</v>
      </c>
      <c r="K1909" s="25">
        <f t="shared" si="29"/>
        <v>11579.637999999999</v>
      </c>
      <c r="L1909" s="25">
        <v>3.8</v>
      </c>
      <c r="M1909" s="24">
        <v>179005</v>
      </c>
      <c r="N1909" s="25">
        <f>IFERROR(T_reg.root.SK[[#This Row],[Price]]/T_reg.root.SK[[#This Row],[Starch content]],"")</f>
        <v>15.459723352318958</v>
      </c>
    </row>
    <row r="1910" spans="1:14">
      <c r="A1910" s="21">
        <v>2023</v>
      </c>
      <c r="B1910" s="21" t="s">
        <v>29</v>
      </c>
      <c r="C1910" s="21" t="s">
        <v>1145</v>
      </c>
      <c r="D1910" s="21" t="s">
        <v>39</v>
      </c>
      <c r="E1910" s="17" t="s">
        <v>218</v>
      </c>
      <c r="F1910" s="18" t="s">
        <v>219</v>
      </c>
      <c r="G1910" s="18" t="s">
        <v>220</v>
      </c>
      <c r="H1910" s="24">
        <v>68640</v>
      </c>
      <c r="I1910" s="24">
        <f>T_reg.root.SK[[#This Row],[Volume, kg]]/1000</f>
        <v>68.64</v>
      </c>
      <c r="J1910" s="25">
        <v>0.28239999999999998</v>
      </c>
      <c r="K1910" s="25">
        <f t="shared" si="29"/>
        <v>19383.935999999998</v>
      </c>
      <c r="L1910" s="25">
        <v>4.07</v>
      </c>
      <c r="M1910" s="24">
        <v>279523</v>
      </c>
      <c r="N1910" s="25">
        <f>IFERROR(T_reg.root.SK[[#This Row],[Price]]/T_reg.root.SK[[#This Row],[Starch content]],"")</f>
        <v>14.412181303116149</v>
      </c>
    </row>
    <row r="1911" spans="1:14">
      <c r="A1911" s="21">
        <v>2023</v>
      </c>
      <c r="B1911" s="21" t="s">
        <v>29</v>
      </c>
      <c r="C1911" s="21" t="s">
        <v>1145</v>
      </c>
      <c r="D1911" s="21" t="s">
        <v>35</v>
      </c>
      <c r="E1911" s="17" t="s">
        <v>457</v>
      </c>
      <c r="F1911" s="18" t="s">
        <v>47</v>
      </c>
      <c r="G1911" s="18" t="s">
        <v>48</v>
      </c>
      <c r="H1911" s="24">
        <v>126560</v>
      </c>
      <c r="I1911" s="24">
        <f>T_reg.root.SK[[#This Row],[Volume, kg]]/1000</f>
        <v>126.56</v>
      </c>
      <c r="J1911" s="25">
        <v>0.22539999999999999</v>
      </c>
      <c r="K1911" s="25">
        <f t="shared" si="29"/>
        <v>28526.624</v>
      </c>
      <c r="L1911" s="25">
        <v>3.68</v>
      </c>
      <c r="M1911" s="24">
        <v>465756.5</v>
      </c>
      <c r="N1911" s="25">
        <f>IFERROR(T_reg.root.SK[[#This Row],[Price]]/T_reg.root.SK[[#This Row],[Starch content]],"")</f>
        <v>16.326530612244898</v>
      </c>
    </row>
    <row r="1912" spans="1:14">
      <c r="A1912" s="21">
        <v>2023</v>
      </c>
      <c r="B1912" s="21" t="s">
        <v>29</v>
      </c>
      <c r="C1912" s="21" t="s">
        <v>1145</v>
      </c>
      <c r="D1912" s="21" t="s">
        <v>35</v>
      </c>
      <c r="E1912" s="17" t="s">
        <v>546</v>
      </c>
      <c r="F1912" s="18" t="s">
        <v>47</v>
      </c>
      <c r="G1912" s="18" t="s">
        <v>48</v>
      </c>
      <c r="H1912" s="24">
        <v>65250</v>
      </c>
      <c r="I1912" s="24">
        <f>T_reg.root.SK[[#This Row],[Volume, kg]]/1000</f>
        <v>65.25</v>
      </c>
      <c r="J1912" s="25">
        <v>0.2482</v>
      </c>
      <c r="K1912" s="25">
        <f t="shared" si="29"/>
        <v>16195.050000000001</v>
      </c>
      <c r="L1912" s="25">
        <v>3.84</v>
      </c>
      <c r="M1912" s="24">
        <v>250590.5</v>
      </c>
      <c r="N1912" s="25">
        <f>IFERROR(T_reg.root.SK[[#This Row],[Price]]/T_reg.root.SK[[#This Row],[Starch content]],"")</f>
        <v>15.471394037066881</v>
      </c>
    </row>
    <row r="1913" spans="1:14">
      <c r="A1913" s="21">
        <v>2023</v>
      </c>
      <c r="B1913" s="21" t="s">
        <v>29</v>
      </c>
      <c r="C1913" s="21" t="s">
        <v>1145</v>
      </c>
      <c r="D1913" s="21" t="s">
        <v>35</v>
      </c>
      <c r="E1913" s="17" t="s">
        <v>46</v>
      </c>
      <c r="F1913" s="18" t="s">
        <v>47</v>
      </c>
      <c r="G1913" s="18" t="s">
        <v>48</v>
      </c>
      <c r="H1913" s="24">
        <v>331210</v>
      </c>
      <c r="I1913" s="24">
        <f>T_reg.root.SK[[#This Row],[Volume, kg]]/1000</f>
        <v>331.21</v>
      </c>
      <c r="J1913" s="25">
        <v>0.26669999999999999</v>
      </c>
      <c r="K1913" s="25">
        <f t="shared" si="29"/>
        <v>88333.706999999995</v>
      </c>
      <c r="L1913" s="25">
        <v>3.9</v>
      </c>
      <c r="M1913" s="24">
        <v>1290350</v>
      </c>
      <c r="N1913" s="25">
        <f>IFERROR(T_reg.root.SK[[#This Row],[Price]]/T_reg.root.SK[[#This Row],[Starch content]],"")</f>
        <v>14.623172103487065</v>
      </c>
    </row>
    <row r="1914" spans="1:14">
      <c r="A1914" s="21">
        <v>2023</v>
      </c>
      <c r="B1914" s="21" t="s">
        <v>29</v>
      </c>
      <c r="C1914" s="21" t="s">
        <v>1145</v>
      </c>
      <c r="D1914" s="21" t="s">
        <v>35</v>
      </c>
      <c r="E1914" s="17" t="s">
        <v>50</v>
      </c>
      <c r="F1914" s="18" t="s">
        <v>47</v>
      </c>
      <c r="G1914" s="18" t="s">
        <v>48</v>
      </c>
      <c r="H1914" s="24">
        <v>73790</v>
      </c>
      <c r="I1914" s="24">
        <f>T_reg.root.SK[[#This Row],[Volume, kg]]/1000</f>
        <v>73.790000000000006</v>
      </c>
      <c r="J1914" s="25">
        <v>0.2452</v>
      </c>
      <c r="K1914" s="25">
        <f t="shared" si="29"/>
        <v>18093.308000000001</v>
      </c>
      <c r="L1914" s="25">
        <v>3.77</v>
      </c>
      <c r="M1914" s="24">
        <v>277959.5</v>
      </c>
      <c r="N1914" s="25">
        <f>IFERROR(T_reg.root.SK[[#This Row],[Price]]/T_reg.root.SK[[#This Row],[Starch content]],"")</f>
        <v>15.375203915171289</v>
      </c>
    </row>
    <row r="1915" spans="1:14">
      <c r="A1915" s="21">
        <v>2023</v>
      </c>
      <c r="B1915" s="21" t="s">
        <v>29</v>
      </c>
      <c r="C1915" s="21" t="s">
        <v>1145</v>
      </c>
      <c r="D1915" s="21" t="s">
        <v>35</v>
      </c>
      <c r="E1915" s="17" t="s">
        <v>336</v>
      </c>
      <c r="F1915" s="18" t="s">
        <v>47</v>
      </c>
      <c r="G1915" s="18" t="s">
        <v>48</v>
      </c>
      <c r="H1915" s="24">
        <v>84890</v>
      </c>
      <c r="I1915" s="24">
        <f>T_reg.root.SK[[#This Row],[Volume, kg]]/1000</f>
        <v>84.89</v>
      </c>
      <c r="J1915" s="25">
        <v>0.26100000000000001</v>
      </c>
      <c r="K1915" s="25">
        <f t="shared" si="29"/>
        <v>22156.29</v>
      </c>
      <c r="L1915" s="25">
        <v>3.83</v>
      </c>
      <c r="M1915" s="24">
        <v>324796.5</v>
      </c>
      <c r="N1915" s="25">
        <f>IFERROR(T_reg.root.SK[[#This Row],[Price]]/T_reg.root.SK[[#This Row],[Starch content]],"")</f>
        <v>14.674329501915709</v>
      </c>
    </row>
    <row r="1916" spans="1:14">
      <c r="A1916" s="21">
        <v>2023</v>
      </c>
      <c r="B1916" s="21" t="s">
        <v>29</v>
      </c>
      <c r="C1916" s="21" t="s">
        <v>1145</v>
      </c>
      <c r="D1916" s="21" t="s">
        <v>35</v>
      </c>
      <c r="E1916" s="17" t="s">
        <v>642</v>
      </c>
      <c r="F1916" s="18" t="s">
        <v>47</v>
      </c>
      <c r="G1916" s="18" t="s">
        <v>48</v>
      </c>
      <c r="H1916" s="24">
        <v>10870</v>
      </c>
      <c r="I1916" s="24">
        <f>T_reg.root.SK[[#This Row],[Volume, kg]]/1000</f>
        <v>10.87</v>
      </c>
      <c r="J1916" s="25">
        <v>0.27250000000000002</v>
      </c>
      <c r="K1916" s="25">
        <f t="shared" si="29"/>
        <v>2962.0750000000003</v>
      </c>
      <c r="L1916" s="25">
        <v>4</v>
      </c>
      <c r="M1916" s="24">
        <v>43480</v>
      </c>
      <c r="N1916" s="25">
        <f>IFERROR(T_reg.root.SK[[#This Row],[Price]]/T_reg.root.SK[[#This Row],[Starch content]],"")</f>
        <v>14.678899082568806</v>
      </c>
    </row>
    <row r="1917" spans="1:14">
      <c r="A1917" s="21">
        <v>2023</v>
      </c>
      <c r="B1917" s="21" t="s">
        <v>29</v>
      </c>
      <c r="C1917" s="21" t="s">
        <v>1145</v>
      </c>
      <c r="D1917" s="21" t="s">
        <v>35</v>
      </c>
      <c r="E1917" s="17" t="s">
        <v>52</v>
      </c>
      <c r="F1917" s="18" t="s">
        <v>47</v>
      </c>
      <c r="G1917" s="18" t="s">
        <v>48</v>
      </c>
      <c r="H1917" s="24">
        <v>22590</v>
      </c>
      <c r="I1917" s="24">
        <f>T_reg.root.SK[[#This Row],[Volume, kg]]/1000</f>
        <v>22.59</v>
      </c>
      <c r="J1917" s="25">
        <v>0.19219999999999998</v>
      </c>
      <c r="K1917" s="25">
        <f t="shared" si="29"/>
        <v>4341.7979999999998</v>
      </c>
      <c r="L1917" s="25">
        <v>3.48</v>
      </c>
      <c r="M1917" s="24">
        <v>78553</v>
      </c>
      <c r="N1917" s="25">
        <f>IFERROR(T_reg.root.SK[[#This Row],[Price]]/T_reg.root.SK[[#This Row],[Starch content]],"")</f>
        <v>18.106139438085329</v>
      </c>
    </row>
    <row r="1918" spans="1:14">
      <c r="A1918" s="21">
        <v>2023</v>
      </c>
      <c r="B1918" s="21" t="s">
        <v>29</v>
      </c>
      <c r="C1918" s="21" t="s">
        <v>1145</v>
      </c>
      <c r="D1918" s="21" t="s">
        <v>35</v>
      </c>
      <c r="E1918" s="17" t="s">
        <v>654</v>
      </c>
      <c r="F1918" s="18" t="s">
        <v>47</v>
      </c>
      <c r="G1918" s="18" t="s">
        <v>48</v>
      </c>
      <c r="H1918" s="24">
        <v>28410</v>
      </c>
      <c r="I1918" s="24">
        <f>T_reg.root.SK[[#This Row],[Volume, kg]]/1000</f>
        <v>28.41</v>
      </c>
      <c r="J1918" s="25">
        <v>0.23219999999999999</v>
      </c>
      <c r="K1918" s="25">
        <f t="shared" si="29"/>
        <v>6596.8019999999997</v>
      </c>
      <c r="L1918" s="25">
        <v>3.8</v>
      </c>
      <c r="M1918" s="24">
        <v>107986.5</v>
      </c>
      <c r="N1918" s="25">
        <f>IFERROR(T_reg.root.SK[[#This Row],[Price]]/T_reg.root.SK[[#This Row],[Starch content]],"")</f>
        <v>16.365202411714041</v>
      </c>
    </row>
    <row r="1919" spans="1:14">
      <c r="A1919" s="21">
        <v>2023</v>
      </c>
      <c r="B1919" s="21" t="s">
        <v>29</v>
      </c>
      <c r="C1919" s="21" t="s">
        <v>1145</v>
      </c>
      <c r="D1919" s="21" t="s">
        <v>35</v>
      </c>
      <c r="E1919" s="17" t="s">
        <v>78</v>
      </c>
      <c r="F1919" s="18" t="s">
        <v>47</v>
      </c>
      <c r="G1919" s="18" t="s">
        <v>48</v>
      </c>
      <c r="H1919" s="24">
        <v>136340</v>
      </c>
      <c r="I1919" s="24">
        <f>T_reg.root.SK[[#This Row],[Volume, kg]]/1000</f>
        <v>136.34</v>
      </c>
      <c r="J1919" s="25">
        <v>0.23350000000000001</v>
      </c>
      <c r="K1919" s="25">
        <f t="shared" si="29"/>
        <v>31835.390000000003</v>
      </c>
      <c r="L1919" s="25">
        <v>3.75</v>
      </c>
      <c r="M1919" s="24">
        <v>511556.5</v>
      </c>
      <c r="N1919" s="25">
        <f>IFERROR(T_reg.root.SK[[#This Row],[Price]]/T_reg.root.SK[[#This Row],[Starch content]],"")</f>
        <v>16.059957173447536</v>
      </c>
    </row>
    <row r="1920" spans="1:14">
      <c r="A1920" s="21">
        <v>2023</v>
      </c>
      <c r="B1920" s="21" t="s">
        <v>29</v>
      </c>
      <c r="C1920" s="21" t="s">
        <v>1145</v>
      </c>
      <c r="D1920" s="21" t="s">
        <v>35</v>
      </c>
      <c r="E1920" s="17" t="s">
        <v>53</v>
      </c>
      <c r="F1920" s="18" t="s">
        <v>47</v>
      </c>
      <c r="G1920" s="18" t="s">
        <v>48</v>
      </c>
      <c r="H1920" s="24">
        <v>58650</v>
      </c>
      <c r="I1920" s="24">
        <f>T_reg.root.SK[[#This Row],[Volume, kg]]/1000</f>
        <v>58.65</v>
      </c>
      <c r="J1920" s="25">
        <v>0.27560000000000001</v>
      </c>
      <c r="K1920" s="25">
        <f t="shared" si="29"/>
        <v>16163.94</v>
      </c>
      <c r="L1920" s="25">
        <v>3.91</v>
      </c>
      <c r="M1920" s="24">
        <v>229527.5</v>
      </c>
      <c r="N1920" s="25">
        <f>IFERROR(T_reg.root.SK[[#This Row],[Price]]/T_reg.root.SK[[#This Row],[Starch content]],"")</f>
        <v>14.187227866473149</v>
      </c>
    </row>
    <row r="1921" spans="1:14">
      <c r="A1921" s="21">
        <v>2023</v>
      </c>
      <c r="B1921" s="21" t="s">
        <v>29</v>
      </c>
      <c r="C1921" s="21" t="s">
        <v>1145</v>
      </c>
      <c r="D1921" s="21" t="s">
        <v>35</v>
      </c>
      <c r="E1921" s="17" t="s">
        <v>624</v>
      </c>
      <c r="F1921" s="18" t="s">
        <v>47</v>
      </c>
      <c r="G1921" s="18" t="s">
        <v>48</v>
      </c>
      <c r="H1921" s="24">
        <v>37810</v>
      </c>
      <c r="I1921" s="24">
        <f>T_reg.root.SK[[#This Row],[Volume, kg]]/1000</f>
        <v>37.81</v>
      </c>
      <c r="J1921" s="25">
        <v>0.25109999999999999</v>
      </c>
      <c r="K1921" s="25">
        <f t="shared" si="29"/>
        <v>9494.0910000000003</v>
      </c>
      <c r="L1921" s="25">
        <v>3.77</v>
      </c>
      <c r="M1921" s="24">
        <v>142537</v>
      </c>
      <c r="N1921" s="25">
        <f>IFERROR(T_reg.root.SK[[#This Row],[Price]]/T_reg.root.SK[[#This Row],[Starch content]],"")</f>
        <v>15.013938669852649</v>
      </c>
    </row>
    <row r="1922" spans="1:14">
      <c r="A1922" s="21">
        <v>2023</v>
      </c>
      <c r="B1922" s="21" t="s">
        <v>29</v>
      </c>
      <c r="C1922" s="21" t="s">
        <v>1145</v>
      </c>
      <c r="D1922" s="21" t="s">
        <v>35</v>
      </c>
      <c r="E1922" s="17" t="s">
        <v>460</v>
      </c>
      <c r="F1922" s="18" t="s">
        <v>47</v>
      </c>
      <c r="G1922" s="18" t="s">
        <v>48</v>
      </c>
      <c r="H1922" s="24">
        <v>3290</v>
      </c>
      <c r="I1922" s="24">
        <f>T_reg.root.SK[[#This Row],[Volume, kg]]/1000</f>
        <v>3.29</v>
      </c>
      <c r="J1922" s="25">
        <v>0.19500000000000001</v>
      </c>
      <c r="K1922" s="25">
        <f t="shared" si="29"/>
        <v>641.55000000000007</v>
      </c>
      <c r="L1922" s="25">
        <v>3.5</v>
      </c>
      <c r="M1922" s="24">
        <v>11515</v>
      </c>
      <c r="N1922" s="25">
        <f>IFERROR(T_reg.root.SK[[#This Row],[Price]]/T_reg.root.SK[[#This Row],[Starch content]],"")</f>
        <v>17.948717948717949</v>
      </c>
    </row>
    <row r="1923" spans="1:14">
      <c r="A1923" s="21">
        <v>2023</v>
      </c>
      <c r="B1923" s="21" t="s">
        <v>29</v>
      </c>
      <c r="C1923" s="21" t="s">
        <v>1145</v>
      </c>
      <c r="D1923" s="21" t="s">
        <v>35</v>
      </c>
      <c r="E1923" s="17" t="s">
        <v>56</v>
      </c>
      <c r="F1923" s="18" t="s">
        <v>47</v>
      </c>
      <c r="G1923" s="18" t="s">
        <v>48</v>
      </c>
      <c r="H1923" s="24">
        <v>154710</v>
      </c>
      <c r="I1923" s="24">
        <f>T_reg.root.SK[[#This Row],[Volume, kg]]/1000</f>
        <v>154.71</v>
      </c>
      <c r="J1923" s="25">
        <v>0.2286</v>
      </c>
      <c r="K1923" s="25">
        <f t="shared" ref="K1923:K1986" si="30">H1923*J1923</f>
        <v>35366.705999999998</v>
      </c>
      <c r="L1923" s="25">
        <v>3.72</v>
      </c>
      <c r="M1923" s="24">
        <v>575509.5</v>
      </c>
      <c r="N1923" s="25">
        <f>IFERROR(T_reg.root.SK[[#This Row],[Price]]/T_reg.root.SK[[#This Row],[Starch content]],"")</f>
        <v>16.272965879265094</v>
      </c>
    </row>
    <row r="1924" spans="1:14">
      <c r="A1924" s="21">
        <v>2023</v>
      </c>
      <c r="B1924" s="21" t="s">
        <v>29</v>
      </c>
      <c r="C1924" s="21" t="s">
        <v>1145</v>
      </c>
      <c r="D1924" s="21" t="s">
        <v>35</v>
      </c>
      <c r="E1924" s="17" t="s">
        <v>462</v>
      </c>
      <c r="F1924" s="18" t="s">
        <v>47</v>
      </c>
      <c r="G1924" s="18" t="s">
        <v>48</v>
      </c>
      <c r="H1924" s="24">
        <v>25910</v>
      </c>
      <c r="I1924" s="24">
        <f>T_reg.root.SK[[#This Row],[Volume, kg]]/1000</f>
        <v>25.91</v>
      </c>
      <c r="J1924" s="25">
        <v>0.19550000000000001</v>
      </c>
      <c r="K1924" s="25">
        <f t="shared" si="30"/>
        <v>5065.4049999999997</v>
      </c>
      <c r="L1924" s="25">
        <v>3.57</v>
      </c>
      <c r="M1924" s="24">
        <v>92522</v>
      </c>
      <c r="N1924" s="25">
        <f>IFERROR(T_reg.root.SK[[#This Row],[Price]]/T_reg.root.SK[[#This Row],[Starch content]],"")</f>
        <v>18.260869565217391</v>
      </c>
    </row>
    <row r="1925" spans="1:14">
      <c r="A1925" s="21">
        <v>2023</v>
      </c>
      <c r="B1925" s="21" t="s">
        <v>29</v>
      </c>
      <c r="C1925" s="21" t="s">
        <v>1145</v>
      </c>
      <c r="D1925" s="21" t="s">
        <v>35</v>
      </c>
      <c r="E1925" s="17" t="s">
        <v>655</v>
      </c>
      <c r="F1925" s="18" t="s">
        <v>47</v>
      </c>
      <c r="G1925" s="18" t="s">
        <v>48</v>
      </c>
      <c r="H1925" s="24">
        <v>17980</v>
      </c>
      <c r="I1925" s="24">
        <f>T_reg.root.SK[[#This Row],[Volume, kg]]/1000</f>
        <v>17.98</v>
      </c>
      <c r="J1925" s="25">
        <v>0.2492</v>
      </c>
      <c r="K1925" s="25">
        <f t="shared" si="30"/>
        <v>4480.616</v>
      </c>
      <c r="L1925" s="25">
        <v>3.79</v>
      </c>
      <c r="M1925" s="24">
        <v>68228</v>
      </c>
      <c r="N1925" s="25">
        <f>IFERROR(T_reg.root.SK[[#This Row],[Price]]/T_reg.root.SK[[#This Row],[Starch content]],"")</f>
        <v>15.208667736757624</v>
      </c>
    </row>
    <row r="1926" spans="1:14">
      <c r="A1926" s="21">
        <v>2023</v>
      </c>
      <c r="B1926" s="21" t="s">
        <v>29</v>
      </c>
      <c r="C1926" s="21" t="s">
        <v>1145</v>
      </c>
      <c r="D1926" s="21" t="s">
        <v>35</v>
      </c>
      <c r="E1926" s="17" t="s">
        <v>625</v>
      </c>
      <c r="F1926" s="18" t="s">
        <v>47</v>
      </c>
      <c r="G1926" s="18" t="s">
        <v>48</v>
      </c>
      <c r="H1926" s="24">
        <v>29710</v>
      </c>
      <c r="I1926" s="24">
        <f>T_reg.root.SK[[#This Row],[Volume, kg]]/1000</f>
        <v>29.71</v>
      </c>
      <c r="J1926" s="25">
        <v>0.28999999999999998</v>
      </c>
      <c r="K1926" s="25">
        <f t="shared" si="30"/>
        <v>8615.9</v>
      </c>
      <c r="L1926" s="25">
        <v>4.07</v>
      </c>
      <c r="M1926" s="24">
        <v>120877</v>
      </c>
      <c r="N1926" s="25">
        <f>IFERROR(T_reg.root.SK[[#This Row],[Price]]/T_reg.root.SK[[#This Row],[Starch content]],"")</f>
        <v>14.034482758620692</v>
      </c>
    </row>
    <row r="1927" spans="1:14">
      <c r="A1927" s="21">
        <v>2023</v>
      </c>
      <c r="B1927" s="21" t="s">
        <v>29</v>
      </c>
      <c r="C1927" s="21" t="s">
        <v>1145</v>
      </c>
      <c r="D1927" s="21" t="s">
        <v>35</v>
      </c>
      <c r="E1927" s="17" t="s">
        <v>57</v>
      </c>
      <c r="F1927" s="18" t="s">
        <v>47</v>
      </c>
      <c r="G1927" s="18" t="s">
        <v>48</v>
      </c>
      <c r="H1927" s="24">
        <v>151960</v>
      </c>
      <c r="I1927" s="24">
        <f>T_reg.root.SK[[#This Row],[Volume, kg]]/1000</f>
        <v>151.96</v>
      </c>
      <c r="J1927" s="25">
        <v>0.25409999999999999</v>
      </c>
      <c r="K1927" s="25">
        <f t="shared" si="30"/>
        <v>38613.036</v>
      </c>
      <c r="L1927" s="25">
        <v>3.81</v>
      </c>
      <c r="M1927" s="24">
        <v>578490</v>
      </c>
      <c r="N1927" s="25">
        <f>IFERROR(T_reg.root.SK[[#This Row],[Price]]/T_reg.root.SK[[#This Row],[Starch content]],"")</f>
        <v>14.994096812278631</v>
      </c>
    </row>
    <row r="1928" spans="1:14">
      <c r="A1928" s="21">
        <v>2023</v>
      </c>
      <c r="B1928" s="21" t="s">
        <v>29</v>
      </c>
      <c r="C1928" s="21" t="s">
        <v>1145</v>
      </c>
      <c r="D1928" s="21" t="s">
        <v>35</v>
      </c>
      <c r="E1928" s="17" t="s">
        <v>379</v>
      </c>
      <c r="F1928" s="18" t="s">
        <v>47</v>
      </c>
      <c r="G1928" s="18" t="s">
        <v>48</v>
      </c>
      <c r="H1928" s="24">
        <v>93010</v>
      </c>
      <c r="I1928" s="24">
        <f>T_reg.root.SK[[#This Row],[Volume, kg]]/1000</f>
        <v>93.01</v>
      </c>
      <c r="J1928" s="25">
        <v>0.2329</v>
      </c>
      <c r="K1928" s="25">
        <f t="shared" si="30"/>
        <v>21662.028999999999</v>
      </c>
      <c r="L1928" s="25">
        <v>3.74</v>
      </c>
      <c r="M1928" s="24">
        <v>347412.5</v>
      </c>
      <c r="N1928" s="25">
        <f>IFERROR(T_reg.root.SK[[#This Row],[Price]]/T_reg.root.SK[[#This Row],[Starch content]],"")</f>
        <v>16.058394160583944</v>
      </c>
    </row>
    <row r="1929" spans="1:14">
      <c r="A1929" s="21">
        <v>2023</v>
      </c>
      <c r="B1929" s="21" t="s">
        <v>29</v>
      </c>
      <c r="C1929" s="21" t="s">
        <v>1145</v>
      </c>
      <c r="D1929" s="21" t="s">
        <v>35</v>
      </c>
      <c r="E1929" s="17" t="s">
        <v>58</v>
      </c>
      <c r="F1929" s="18" t="s">
        <v>47</v>
      </c>
      <c r="G1929" s="18" t="s">
        <v>48</v>
      </c>
      <c r="H1929" s="24">
        <v>147050</v>
      </c>
      <c r="I1929" s="24">
        <f>T_reg.root.SK[[#This Row],[Volume, kg]]/1000</f>
        <v>147.05000000000001</v>
      </c>
      <c r="J1929" s="25">
        <v>0.22460000000000002</v>
      </c>
      <c r="K1929" s="25">
        <f t="shared" si="30"/>
        <v>33027.43</v>
      </c>
      <c r="L1929" s="25">
        <v>3.7</v>
      </c>
      <c r="M1929" s="24">
        <v>543924.5</v>
      </c>
      <c r="N1929" s="25">
        <f>IFERROR(T_reg.root.SK[[#This Row],[Price]]/T_reg.root.SK[[#This Row],[Starch content]],"")</f>
        <v>16.473731077471058</v>
      </c>
    </row>
    <row r="1930" spans="1:14">
      <c r="A1930" s="21">
        <v>2023</v>
      </c>
      <c r="B1930" s="21" t="s">
        <v>29</v>
      </c>
      <c r="C1930" s="21" t="s">
        <v>1145</v>
      </c>
      <c r="D1930" s="21" t="s">
        <v>35</v>
      </c>
      <c r="E1930" s="17" t="s">
        <v>337</v>
      </c>
      <c r="F1930" s="18" t="s">
        <v>47</v>
      </c>
      <c r="G1930" s="18" t="s">
        <v>48</v>
      </c>
      <c r="H1930" s="24">
        <v>56920</v>
      </c>
      <c r="I1930" s="24">
        <f>T_reg.root.SK[[#This Row],[Volume, kg]]/1000</f>
        <v>56.92</v>
      </c>
      <c r="J1930" s="25">
        <v>0.28510000000000002</v>
      </c>
      <c r="K1930" s="25">
        <f t="shared" si="30"/>
        <v>16227.892000000002</v>
      </c>
      <c r="L1930" s="25">
        <v>3.93</v>
      </c>
      <c r="M1930" s="24">
        <v>223721.5</v>
      </c>
      <c r="N1930" s="25">
        <f>IFERROR(T_reg.root.SK[[#This Row],[Price]]/T_reg.root.SK[[#This Row],[Starch content]],"")</f>
        <v>13.78463696948439</v>
      </c>
    </row>
    <row r="1931" spans="1:14">
      <c r="A1931" s="21">
        <v>2023</v>
      </c>
      <c r="B1931" s="21" t="s">
        <v>29</v>
      </c>
      <c r="C1931" s="21" t="s">
        <v>1145</v>
      </c>
      <c r="D1931" s="21" t="s">
        <v>35</v>
      </c>
      <c r="E1931" s="17" t="s">
        <v>59</v>
      </c>
      <c r="F1931" s="18" t="s">
        <v>47</v>
      </c>
      <c r="G1931" s="18" t="s">
        <v>48</v>
      </c>
      <c r="H1931" s="24">
        <v>45820</v>
      </c>
      <c r="I1931" s="24">
        <f>T_reg.root.SK[[#This Row],[Volume, kg]]/1000</f>
        <v>45.82</v>
      </c>
      <c r="J1931" s="25">
        <v>0.255</v>
      </c>
      <c r="K1931" s="25">
        <f t="shared" si="30"/>
        <v>11684.1</v>
      </c>
      <c r="L1931" s="25">
        <v>3.88</v>
      </c>
      <c r="M1931" s="24">
        <v>177756</v>
      </c>
      <c r="N1931" s="25">
        <f>IFERROR(T_reg.root.SK[[#This Row],[Price]]/T_reg.root.SK[[#This Row],[Starch content]],"")</f>
        <v>15.215686274509803</v>
      </c>
    </row>
    <row r="1932" spans="1:14">
      <c r="A1932" s="21">
        <v>2023</v>
      </c>
      <c r="B1932" s="21" t="s">
        <v>29</v>
      </c>
      <c r="C1932" s="21" t="s">
        <v>1145</v>
      </c>
      <c r="D1932" s="21" t="s">
        <v>35</v>
      </c>
      <c r="E1932" s="17" t="s">
        <v>60</v>
      </c>
      <c r="F1932" s="18" t="s">
        <v>47</v>
      </c>
      <c r="G1932" s="18" t="s">
        <v>48</v>
      </c>
      <c r="H1932" s="24">
        <v>73900</v>
      </c>
      <c r="I1932" s="24">
        <f>T_reg.root.SK[[#This Row],[Volume, kg]]/1000</f>
        <v>73.900000000000006</v>
      </c>
      <c r="J1932" s="25">
        <v>0.24359999999999998</v>
      </c>
      <c r="K1932" s="25">
        <f t="shared" si="30"/>
        <v>18002.039999999997</v>
      </c>
      <c r="L1932" s="25">
        <v>3.72</v>
      </c>
      <c r="M1932" s="24">
        <v>275059</v>
      </c>
      <c r="N1932" s="25">
        <f>IFERROR(T_reg.root.SK[[#This Row],[Price]]/T_reg.root.SK[[#This Row],[Starch content]],"")</f>
        <v>15.270935960591135</v>
      </c>
    </row>
    <row r="1933" spans="1:14">
      <c r="A1933" s="21">
        <v>2023</v>
      </c>
      <c r="B1933" s="21" t="s">
        <v>29</v>
      </c>
      <c r="C1933" s="21" t="s">
        <v>1145</v>
      </c>
      <c r="D1933" s="21" t="s">
        <v>35</v>
      </c>
      <c r="E1933" s="17" t="s">
        <v>643</v>
      </c>
      <c r="F1933" s="18" t="s">
        <v>47</v>
      </c>
      <c r="G1933" s="18" t="s">
        <v>48</v>
      </c>
      <c r="H1933" s="24">
        <v>96740</v>
      </c>
      <c r="I1933" s="24">
        <f>T_reg.root.SK[[#This Row],[Volume, kg]]/1000</f>
        <v>96.74</v>
      </c>
      <c r="J1933" s="25">
        <v>0.26050000000000001</v>
      </c>
      <c r="K1933" s="25">
        <f t="shared" si="30"/>
        <v>25200.77</v>
      </c>
      <c r="L1933" s="25">
        <v>3.86</v>
      </c>
      <c r="M1933" s="24">
        <v>373116</v>
      </c>
      <c r="N1933" s="25">
        <f>IFERROR(T_reg.root.SK[[#This Row],[Price]]/T_reg.root.SK[[#This Row],[Starch content]],"")</f>
        <v>14.817658349328214</v>
      </c>
    </row>
    <row r="1934" spans="1:14">
      <c r="A1934" s="21">
        <v>2023</v>
      </c>
      <c r="B1934" s="21" t="s">
        <v>29</v>
      </c>
      <c r="C1934" s="21" t="s">
        <v>1145</v>
      </c>
      <c r="D1934" s="21" t="s">
        <v>35</v>
      </c>
      <c r="E1934" s="17" t="s">
        <v>467</v>
      </c>
      <c r="F1934" s="18" t="s">
        <v>47</v>
      </c>
      <c r="G1934" s="18" t="s">
        <v>48</v>
      </c>
      <c r="H1934" s="24">
        <v>34690</v>
      </c>
      <c r="I1934" s="24">
        <f>T_reg.root.SK[[#This Row],[Volume, kg]]/1000</f>
        <v>34.69</v>
      </c>
      <c r="J1934" s="25">
        <v>0.28260000000000002</v>
      </c>
      <c r="K1934" s="25">
        <f t="shared" si="30"/>
        <v>9803.3940000000002</v>
      </c>
      <c r="L1934" s="25">
        <v>3.98</v>
      </c>
      <c r="M1934" s="24">
        <v>138081</v>
      </c>
      <c r="N1934" s="25">
        <f>IFERROR(T_reg.root.SK[[#This Row],[Price]]/T_reg.root.SK[[#This Row],[Starch content]],"")</f>
        <v>14.08351026185421</v>
      </c>
    </row>
    <row r="1935" spans="1:14">
      <c r="A1935" s="21">
        <v>2023</v>
      </c>
      <c r="B1935" s="21" t="s">
        <v>29</v>
      </c>
      <c r="C1935" s="21" t="s">
        <v>1145</v>
      </c>
      <c r="D1935" s="21" t="s">
        <v>35</v>
      </c>
      <c r="E1935" s="17" t="s">
        <v>61</v>
      </c>
      <c r="F1935" s="18" t="s">
        <v>47</v>
      </c>
      <c r="G1935" s="18" t="s">
        <v>48</v>
      </c>
      <c r="H1935" s="24">
        <v>334470</v>
      </c>
      <c r="I1935" s="24">
        <f>T_reg.root.SK[[#This Row],[Volume, kg]]/1000</f>
        <v>334.47</v>
      </c>
      <c r="J1935" s="25">
        <v>0.23860000000000001</v>
      </c>
      <c r="K1935" s="25">
        <f t="shared" si="30"/>
        <v>79804.542000000001</v>
      </c>
      <c r="L1935" s="25">
        <v>3.77</v>
      </c>
      <c r="M1935" s="24">
        <v>1260105</v>
      </c>
      <c r="N1935" s="25">
        <f>IFERROR(T_reg.root.SK[[#This Row],[Price]]/T_reg.root.SK[[#This Row],[Starch content]],"")</f>
        <v>15.800502933780384</v>
      </c>
    </row>
    <row r="1936" spans="1:14">
      <c r="A1936" s="21">
        <v>2023</v>
      </c>
      <c r="B1936" s="21" t="s">
        <v>29</v>
      </c>
      <c r="C1936" s="21" t="s">
        <v>1145</v>
      </c>
      <c r="D1936" s="21" t="s">
        <v>35</v>
      </c>
      <c r="E1936" s="17" t="s">
        <v>656</v>
      </c>
      <c r="F1936" s="18" t="s">
        <v>47</v>
      </c>
      <c r="G1936" s="18" t="s">
        <v>48</v>
      </c>
      <c r="H1936" s="24">
        <v>60710</v>
      </c>
      <c r="I1936" s="24">
        <f>T_reg.root.SK[[#This Row],[Volume, kg]]/1000</f>
        <v>60.71</v>
      </c>
      <c r="J1936" s="25">
        <v>0.2429</v>
      </c>
      <c r="K1936" s="25">
        <f t="shared" si="30"/>
        <v>14746.459000000001</v>
      </c>
      <c r="L1936" s="25">
        <v>3.75</v>
      </c>
      <c r="M1936" s="24">
        <v>227810.5</v>
      </c>
      <c r="N1936" s="25">
        <f>IFERROR(T_reg.root.SK[[#This Row],[Price]]/T_reg.root.SK[[#This Row],[Starch content]],"")</f>
        <v>15.438452037875669</v>
      </c>
    </row>
    <row r="1937" spans="1:14">
      <c r="A1937" s="21">
        <v>2023</v>
      </c>
      <c r="B1937" s="21" t="s">
        <v>29</v>
      </c>
      <c r="C1937" s="21" t="s">
        <v>1145</v>
      </c>
      <c r="D1937" s="21" t="s">
        <v>35</v>
      </c>
      <c r="E1937" s="17" t="s">
        <v>657</v>
      </c>
      <c r="F1937" s="18" t="s">
        <v>47</v>
      </c>
      <c r="G1937" s="18" t="s">
        <v>48</v>
      </c>
      <c r="H1937" s="24">
        <v>19820</v>
      </c>
      <c r="I1937" s="24">
        <f>T_reg.root.SK[[#This Row],[Volume, kg]]/1000</f>
        <v>19.82</v>
      </c>
      <c r="J1937" s="25">
        <v>0.2792</v>
      </c>
      <c r="K1937" s="25">
        <f t="shared" si="30"/>
        <v>5533.7439999999997</v>
      </c>
      <c r="L1937" s="25">
        <v>3.9</v>
      </c>
      <c r="M1937" s="24">
        <v>77335</v>
      </c>
      <c r="N1937" s="25">
        <f>IFERROR(T_reg.root.SK[[#This Row],[Price]]/T_reg.root.SK[[#This Row],[Starch content]],"")</f>
        <v>13.968481375358166</v>
      </c>
    </row>
    <row r="1938" spans="1:14">
      <c r="A1938" s="21">
        <v>2023</v>
      </c>
      <c r="B1938" s="21" t="s">
        <v>29</v>
      </c>
      <c r="C1938" s="21" t="s">
        <v>1145</v>
      </c>
      <c r="D1938" s="21" t="s">
        <v>35</v>
      </c>
      <c r="E1938" s="17" t="s">
        <v>468</v>
      </c>
      <c r="F1938" s="18" t="s">
        <v>47</v>
      </c>
      <c r="G1938" s="18" t="s">
        <v>48</v>
      </c>
      <c r="H1938" s="24">
        <v>60510</v>
      </c>
      <c r="I1938" s="24">
        <f>T_reg.root.SK[[#This Row],[Volume, kg]]/1000</f>
        <v>60.51</v>
      </c>
      <c r="J1938" s="25">
        <v>0.23719999999999999</v>
      </c>
      <c r="K1938" s="25">
        <f t="shared" si="30"/>
        <v>14352.972</v>
      </c>
      <c r="L1938" s="25">
        <v>3.75</v>
      </c>
      <c r="M1938" s="24">
        <v>226793.5</v>
      </c>
      <c r="N1938" s="25">
        <f>IFERROR(T_reg.root.SK[[#This Row],[Price]]/T_reg.root.SK[[#This Row],[Starch content]],"")</f>
        <v>15.809443507588533</v>
      </c>
    </row>
    <row r="1939" spans="1:14">
      <c r="A1939" s="21">
        <v>2023</v>
      </c>
      <c r="B1939" s="21" t="s">
        <v>29</v>
      </c>
      <c r="C1939" s="21" t="s">
        <v>1145</v>
      </c>
      <c r="D1939" s="21" t="s">
        <v>35</v>
      </c>
      <c r="E1939" s="17" t="s">
        <v>658</v>
      </c>
      <c r="F1939" s="18" t="s">
        <v>47</v>
      </c>
      <c r="G1939" s="18" t="s">
        <v>48</v>
      </c>
      <c r="H1939" s="24">
        <v>41020</v>
      </c>
      <c r="I1939" s="24">
        <f>T_reg.root.SK[[#This Row],[Volume, kg]]/1000</f>
        <v>41.02</v>
      </c>
      <c r="J1939" s="25">
        <v>0.23519999999999999</v>
      </c>
      <c r="K1939" s="25">
        <f t="shared" si="30"/>
        <v>9647.9040000000005</v>
      </c>
      <c r="L1939" s="25">
        <v>3.72</v>
      </c>
      <c r="M1939" s="24">
        <v>152780</v>
      </c>
      <c r="N1939" s="25">
        <f>IFERROR(T_reg.root.SK[[#This Row],[Price]]/T_reg.root.SK[[#This Row],[Starch content]],"")</f>
        <v>15.816326530612246</v>
      </c>
    </row>
    <row r="1940" spans="1:14">
      <c r="A1940" s="21">
        <v>2023</v>
      </c>
      <c r="B1940" s="21" t="s">
        <v>29</v>
      </c>
      <c r="C1940" s="21" t="s">
        <v>1145</v>
      </c>
      <c r="D1940" s="21" t="s">
        <v>35</v>
      </c>
      <c r="E1940" s="17" t="s">
        <v>62</v>
      </c>
      <c r="F1940" s="18" t="s">
        <v>47</v>
      </c>
      <c r="G1940" s="18" t="s">
        <v>48</v>
      </c>
      <c r="H1940" s="24">
        <v>425290</v>
      </c>
      <c r="I1940" s="24">
        <f>T_reg.root.SK[[#This Row],[Volume, kg]]/1000</f>
        <v>425.29</v>
      </c>
      <c r="J1940" s="25">
        <v>0.24160000000000001</v>
      </c>
      <c r="K1940" s="25">
        <f t="shared" si="30"/>
        <v>102750.064</v>
      </c>
      <c r="L1940" s="25">
        <v>3.78</v>
      </c>
      <c r="M1940" s="24">
        <v>1608225</v>
      </c>
      <c r="N1940" s="25">
        <f>IFERROR(T_reg.root.SK[[#This Row],[Price]]/T_reg.root.SK[[#This Row],[Starch content]],"")</f>
        <v>15.64569536423841</v>
      </c>
    </row>
    <row r="1941" spans="1:14">
      <c r="A1941" s="21">
        <v>2023</v>
      </c>
      <c r="B1941" s="21" t="s">
        <v>29</v>
      </c>
      <c r="C1941" s="21" t="s">
        <v>1145</v>
      </c>
      <c r="D1941" s="21" t="s">
        <v>35</v>
      </c>
      <c r="E1941" s="17" t="s">
        <v>63</v>
      </c>
      <c r="F1941" s="18" t="s">
        <v>47</v>
      </c>
      <c r="G1941" s="18" t="s">
        <v>48</v>
      </c>
      <c r="H1941" s="24">
        <v>8260</v>
      </c>
      <c r="I1941" s="24">
        <f>T_reg.root.SK[[#This Row],[Volume, kg]]/1000</f>
        <v>8.26</v>
      </c>
      <c r="J1941" s="25">
        <v>0.28149999999999997</v>
      </c>
      <c r="K1941" s="25">
        <f t="shared" si="30"/>
        <v>2325.1899999999996</v>
      </c>
      <c r="L1941" s="25">
        <v>3.95</v>
      </c>
      <c r="M1941" s="24">
        <v>32627</v>
      </c>
      <c r="N1941" s="25">
        <f>IFERROR(T_reg.root.SK[[#This Row],[Price]]/T_reg.root.SK[[#This Row],[Starch content]],"")</f>
        <v>14.031971580817054</v>
      </c>
    </row>
    <row r="1942" spans="1:14">
      <c r="A1942" s="21">
        <v>2023</v>
      </c>
      <c r="B1942" s="21" t="s">
        <v>29</v>
      </c>
      <c r="C1942" s="21" t="s">
        <v>1145</v>
      </c>
      <c r="D1942" s="21" t="s">
        <v>35</v>
      </c>
      <c r="E1942" s="17" t="s">
        <v>340</v>
      </c>
      <c r="F1942" s="18" t="s">
        <v>47</v>
      </c>
      <c r="G1942" s="18" t="s">
        <v>48</v>
      </c>
      <c r="H1942" s="24">
        <v>81070</v>
      </c>
      <c r="I1942" s="24">
        <f>T_reg.root.SK[[#This Row],[Volume, kg]]/1000</f>
        <v>81.069999999999993</v>
      </c>
      <c r="J1942" s="25">
        <v>0.2311</v>
      </c>
      <c r="K1942" s="25">
        <f t="shared" si="30"/>
        <v>18735.276999999998</v>
      </c>
      <c r="L1942" s="25">
        <v>3.7</v>
      </c>
      <c r="M1942" s="24">
        <v>299568</v>
      </c>
      <c r="N1942" s="25">
        <f>IFERROR(T_reg.root.SK[[#This Row],[Price]]/T_reg.root.SK[[#This Row],[Starch content]],"")</f>
        <v>16.010385114668974</v>
      </c>
    </row>
    <row r="1943" spans="1:14">
      <c r="A1943" s="21">
        <v>2023</v>
      </c>
      <c r="B1943" s="21" t="s">
        <v>29</v>
      </c>
      <c r="C1943" s="21" t="s">
        <v>1145</v>
      </c>
      <c r="D1943" s="21" t="s">
        <v>35</v>
      </c>
      <c r="E1943" s="17" t="s">
        <v>469</v>
      </c>
      <c r="F1943" s="18" t="s">
        <v>47</v>
      </c>
      <c r="G1943" s="18" t="s">
        <v>48</v>
      </c>
      <c r="H1943" s="24">
        <v>5420</v>
      </c>
      <c r="I1943" s="24">
        <f>T_reg.root.SK[[#This Row],[Volume, kg]]/1000</f>
        <v>5.42</v>
      </c>
      <c r="J1943" s="25">
        <v>0.254</v>
      </c>
      <c r="K1943" s="25">
        <f t="shared" si="30"/>
        <v>1376.68</v>
      </c>
      <c r="L1943" s="25">
        <v>3.75</v>
      </c>
      <c r="M1943" s="24">
        <v>20325</v>
      </c>
      <c r="N1943" s="25">
        <f>IFERROR(T_reg.root.SK[[#This Row],[Price]]/T_reg.root.SK[[#This Row],[Starch content]],"")</f>
        <v>14.763779527559056</v>
      </c>
    </row>
    <row r="1944" spans="1:14">
      <c r="A1944" s="21">
        <v>2023</v>
      </c>
      <c r="B1944" s="21" t="s">
        <v>29</v>
      </c>
      <c r="C1944" s="21" t="s">
        <v>1145</v>
      </c>
      <c r="D1944" s="21" t="s">
        <v>35</v>
      </c>
      <c r="E1944" s="17" t="s">
        <v>64</v>
      </c>
      <c r="F1944" s="18" t="s">
        <v>47</v>
      </c>
      <c r="G1944" s="18" t="s">
        <v>48</v>
      </c>
      <c r="H1944" s="24">
        <v>78680</v>
      </c>
      <c r="I1944" s="24">
        <f>T_reg.root.SK[[#This Row],[Volume, kg]]/1000</f>
        <v>78.680000000000007</v>
      </c>
      <c r="J1944" s="25">
        <v>0.24660000000000001</v>
      </c>
      <c r="K1944" s="25">
        <f t="shared" si="30"/>
        <v>19402.488000000001</v>
      </c>
      <c r="L1944" s="25">
        <v>3.84</v>
      </c>
      <c r="M1944" s="24">
        <v>301890</v>
      </c>
      <c r="N1944" s="25">
        <f>IFERROR(T_reg.root.SK[[#This Row],[Price]]/T_reg.root.SK[[#This Row],[Starch content]],"")</f>
        <v>15.57177615571776</v>
      </c>
    </row>
    <row r="1945" spans="1:14">
      <c r="A1945" s="21">
        <v>2023</v>
      </c>
      <c r="B1945" s="21" t="s">
        <v>29</v>
      </c>
      <c r="C1945" s="21" t="s">
        <v>1145</v>
      </c>
      <c r="D1945" s="21" t="s">
        <v>35</v>
      </c>
      <c r="E1945" s="17" t="s">
        <v>659</v>
      </c>
      <c r="F1945" s="18" t="s">
        <v>47</v>
      </c>
      <c r="G1945" s="18" t="s">
        <v>48</v>
      </c>
      <c r="H1945" s="24">
        <v>8680</v>
      </c>
      <c r="I1945" s="24">
        <f>T_reg.root.SK[[#This Row],[Volume, kg]]/1000</f>
        <v>8.68</v>
      </c>
      <c r="J1945" s="25">
        <v>0.23550000000000001</v>
      </c>
      <c r="K1945" s="25">
        <f t="shared" si="30"/>
        <v>2044.14</v>
      </c>
      <c r="L1945" s="25">
        <v>3.85</v>
      </c>
      <c r="M1945" s="24">
        <v>33418</v>
      </c>
      <c r="N1945" s="25">
        <f>IFERROR(T_reg.root.SK[[#This Row],[Price]]/T_reg.root.SK[[#This Row],[Starch content]],"")</f>
        <v>16.348195329087048</v>
      </c>
    </row>
    <row r="1946" spans="1:14">
      <c r="A1946" s="21">
        <v>2023</v>
      </c>
      <c r="B1946" s="21" t="s">
        <v>29</v>
      </c>
      <c r="C1946" s="21" t="s">
        <v>1145</v>
      </c>
      <c r="D1946" s="21" t="s">
        <v>35</v>
      </c>
      <c r="E1946" s="17" t="s">
        <v>274</v>
      </c>
      <c r="F1946" s="18" t="s">
        <v>47</v>
      </c>
      <c r="G1946" s="18" t="s">
        <v>48</v>
      </c>
      <c r="H1946" s="24">
        <v>41780</v>
      </c>
      <c r="I1946" s="24">
        <f>T_reg.root.SK[[#This Row],[Volume, kg]]/1000</f>
        <v>41.78</v>
      </c>
      <c r="J1946" s="25">
        <v>0.23449999999999999</v>
      </c>
      <c r="K1946" s="25">
        <f t="shared" si="30"/>
        <v>9797.41</v>
      </c>
      <c r="L1946" s="25">
        <v>3.62</v>
      </c>
      <c r="M1946" s="24">
        <v>151367</v>
      </c>
      <c r="N1946" s="25">
        <f>IFERROR(T_reg.root.SK[[#This Row],[Price]]/T_reg.root.SK[[#This Row],[Starch content]],"")</f>
        <v>15.437100213219617</v>
      </c>
    </row>
    <row r="1947" spans="1:14">
      <c r="A1947" s="21">
        <v>2023</v>
      </c>
      <c r="B1947" s="21" t="s">
        <v>29</v>
      </c>
      <c r="C1947" s="21" t="s">
        <v>1145</v>
      </c>
      <c r="D1947" s="21" t="s">
        <v>35</v>
      </c>
      <c r="E1947" s="17" t="s">
        <v>660</v>
      </c>
      <c r="F1947" s="18" t="s">
        <v>47</v>
      </c>
      <c r="G1947" s="18" t="s">
        <v>48</v>
      </c>
      <c r="H1947" s="24">
        <v>123460</v>
      </c>
      <c r="I1947" s="24">
        <f>T_reg.root.SK[[#This Row],[Volume, kg]]/1000</f>
        <v>123.46</v>
      </c>
      <c r="J1947" s="25">
        <v>0.26869999999999999</v>
      </c>
      <c r="K1947" s="25">
        <f t="shared" si="30"/>
        <v>33173.701999999997</v>
      </c>
      <c r="L1947" s="25">
        <v>3.89</v>
      </c>
      <c r="M1947" s="24">
        <v>479710</v>
      </c>
      <c r="N1947" s="25">
        <f>IFERROR(T_reg.root.SK[[#This Row],[Price]]/T_reg.root.SK[[#This Row],[Starch content]],"")</f>
        <v>14.477112020841087</v>
      </c>
    </row>
    <row r="1948" spans="1:14">
      <c r="A1948" s="21">
        <v>2023</v>
      </c>
      <c r="B1948" s="21" t="s">
        <v>29</v>
      </c>
      <c r="C1948" s="21" t="s">
        <v>1145</v>
      </c>
      <c r="D1948" s="21" t="s">
        <v>35</v>
      </c>
      <c r="E1948" s="17" t="s">
        <v>66</v>
      </c>
      <c r="F1948" s="18" t="s">
        <v>47</v>
      </c>
      <c r="G1948" s="18" t="s">
        <v>48</v>
      </c>
      <c r="H1948" s="24">
        <v>249800</v>
      </c>
      <c r="I1948" s="24">
        <f>T_reg.root.SK[[#This Row],[Volume, kg]]/1000</f>
        <v>249.8</v>
      </c>
      <c r="J1948" s="25">
        <v>0.2382</v>
      </c>
      <c r="K1948" s="25">
        <f t="shared" si="30"/>
        <v>59502.36</v>
      </c>
      <c r="L1948" s="25">
        <v>3.74</v>
      </c>
      <c r="M1948" s="24">
        <v>935085.5</v>
      </c>
      <c r="N1948" s="25">
        <f>IFERROR(T_reg.root.SK[[#This Row],[Price]]/T_reg.root.SK[[#This Row],[Starch content]],"")</f>
        <v>15.701091519731319</v>
      </c>
    </row>
    <row r="1949" spans="1:14">
      <c r="A1949" s="21">
        <v>2023</v>
      </c>
      <c r="B1949" s="21" t="s">
        <v>29</v>
      </c>
      <c r="C1949" s="21" t="s">
        <v>1145</v>
      </c>
      <c r="D1949" s="21" t="s">
        <v>35</v>
      </c>
      <c r="E1949" s="17" t="s">
        <v>380</v>
      </c>
      <c r="F1949" s="18" t="s">
        <v>47</v>
      </c>
      <c r="G1949" s="18" t="s">
        <v>48</v>
      </c>
      <c r="H1949" s="24">
        <v>16990</v>
      </c>
      <c r="I1949" s="24">
        <f>T_reg.root.SK[[#This Row],[Volume, kg]]/1000</f>
        <v>16.989999999999998</v>
      </c>
      <c r="J1949" s="25">
        <v>0.26229999999999998</v>
      </c>
      <c r="K1949" s="25">
        <f t="shared" si="30"/>
        <v>4456.4769999999999</v>
      </c>
      <c r="L1949" s="25">
        <v>3.8</v>
      </c>
      <c r="M1949" s="24">
        <v>64562</v>
      </c>
      <c r="N1949" s="25">
        <f>IFERROR(T_reg.root.SK[[#This Row],[Price]]/T_reg.root.SK[[#This Row],[Starch content]],"")</f>
        <v>14.487228364468168</v>
      </c>
    </row>
    <row r="1950" spans="1:14">
      <c r="A1950" s="21">
        <v>2023</v>
      </c>
      <c r="B1950" s="21" t="s">
        <v>29</v>
      </c>
      <c r="C1950" s="21" t="s">
        <v>1145</v>
      </c>
      <c r="D1950" s="21" t="s">
        <v>35</v>
      </c>
      <c r="E1950" s="17" t="s">
        <v>341</v>
      </c>
      <c r="F1950" s="18" t="s">
        <v>47</v>
      </c>
      <c r="G1950" s="18" t="s">
        <v>48</v>
      </c>
      <c r="H1950" s="24">
        <v>32620</v>
      </c>
      <c r="I1950" s="24">
        <f>T_reg.root.SK[[#This Row],[Volume, kg]]/1000</f>
        <v>32.619999999999997</v>
      </c>
      <c r="J1950" s="25">
        <v>0.26649999999999996</v>
      </c>
      <c r="K1950" s="25">
        <f t="shared" si="30"/>
        <v>8693.23</v>
      </c>
      <c r="L1950" s="25">
        <v>3.85</v>
      </c>
      <c r="M1950" s="24">
        <v>125529.5</v>
      </c>
      <c r="N1950" s="25">
        <f>IFERROR(T_reg.root.SK[[#This Row],[Price]]/T_reg.root.SK[[#This Row],[Starch content]],"")</f>
        <v>14.446529080675425</v>
      </c>
    </row>
    <row r="1951" spans="1:14">
      <c r="A1951" s="21">
        <v>2023</v>
      </c>
      <c r="B1951" s="21" t="s">
        <v>29</v>
      </c>
      <c r="C1951" s="21" t="s">
        <v>1145</v>
      </c>
      <c r="D1951" s="21" t="s">
        <v>35</v>
      </c>
      <c r="E1951" s="17" t="s">
        <v>68</v>
      </c>
      <c r="F1951" s="18" t="s">
        <v>47</v>
      </c>
      <c r="G1951" s="18" t="s">
        <v>48</v>
      </c>
      <c r="H1951" s="24">
        <v>101510</v>
      </c>
      <c r="I1951" s="24">
        <f>T_reg.root.SK[[#This Row],[Volume, kg]]/1000</f>
        <v>101.51</v>
      </c>
      <c r="J1951" s="25">
        <v>0.2586</v>
      </c>
      <c r="K1951" s="25">
        <f t="shared" si="30"/>
        <v>26250.486000000001</v>
      </c>
      <c r="L1951" s="25">
        <v>3.88</v>
      </c>
      <c r="M1951" s="24">
        <v>394095</v>
      </c>
      <c r="N1951" s="25">
        <f>IFERROR(T_reg.root.SK[[#This Row],[Price]]/T_reg.root.SK[[#This Row],[Starch content]],"")</f>
        <v>15.003866976024748</v>
      </c>
    </row>
    <row r="1952" spans="1:14">
      <c r="A1952" s="21">
        <v>2023</v>
      </c>
      <c r="B1952" s="21" t="s">
        <v>29</v>
      </c>
      <c r="C1952" s="21" t="s">
        <v>1145</v>
      </c>
      <c r="D1952" s="21" t="s">
        <v>35</v>
      </c>
      <c r="E1952" s="17" t="s">
        <v>69</v>
      </c>
      <c r="F1952" s="18" t="s">
        <v>47</v>
      </c>
      <c r="G1952" s="18" t="s">
        <v>48</v>
      </c>
      <c r="H1952" s="24">
        <v>19560</v>
      </c>
      <c r="I1952" s="24">
        <f>T_reg.root.SK[[#This Row],[Volume, kg]]/1000</f>
        <v>19.559999999999999</v>
      </c>
      <c r="J1952" s="25">
        <v>0.27750000000000002</v>
      </c>
      <c r="K1952" s="25">
        <f t="shared" si="30"/>
        <v>5427.9000000000005</v>
      </c>
      <c r="L1952" s="25">
        <v>4.0199999999999996</v>
      </c>
      <c r="M1952" s="24">
        <v>78678</v>
      </c>
      <c r="N1952" s="25">
        <f>IFERROR(T_reg.root.SK[[#This Row],[Price]]/T_reg.root.SK[[#This Row],[Starch content]],"")</f>
        <v>14.486486486486484</v>
      </c>
    </row>
    <row r="1953" spans="1:14">
      <c r="A1953" s="21">
        <v>2023</v>
      </c>
      <c r="B1953" s="21" t="s">
        <v>29</v>
      </c>
      <c r="C1953" s="21" t="s">
        <v>1145</v>
      </c>
      <c r="D1953" s="21" t="s">
        <v>35</v>
      </c>
      <c r="E1953" s="17" t="s">
        <v>70</v>
      </c>
      <c r="F1953" s="18" t="s">
        <v>47</v>
      </c>
      <c r="G1953" s="18" t="s">
        <v>48</v>
      </c>
      <c r="H1953" s="24">
        <v>276570</v>
      </c>
      <c r="I1953" s="24">
        <f>T_reg.root.SK[[#This Row],[Volume, kg]]/1000</f>
        <v>276.57</v>
      </c>
      <c r="J1953" s="25">
        <v>0.25120000000000003</v>
      </c>
      <c r="K1953" s="25">
        <f t="shared" si="30"/>
        <v>69474.384000000005</v>
      </c>
      <c r="L1953" s="25">
        <v>3.82</v>
      </c>
      <c r="M1953" s="24">
        <v>1055508</v>
      </c>
      <c r="N1953" s="25">
        <f>IFERROR(T_reg.root.SK[[#This Row],[Price]]/T_reg.root.SK[[#This Row],[Starch content]],"")</f>
        <v>15.207006369426749</v>
      </c>
    </row>
    <row r="1954" spans="1:14">
      <c r="A1954" s="21">
        <v>2023</v>
      </c>
      <c r="B1954" s="21" t="s">
        <v>29</v>
      </c>
      <c r="C1954" s="21" t="s">
        <v>1145</v>
      </c>
      <c r="D1954" s="21" t="s">
        <v>35</v>
      </c>
      <c r="E1954" s="17" t="s">
        <v>71</v>
      </c>
      <c r="F1954" s="18" t="s">
        <v>47</v>
      </c>
      <c r="G1954" s="18" t="s">
        <v>48</v>
      </c>
      <c r="H1954" s="24">
        <v>35950</v>
      </c>
      <c r="I1954" s="24">
        <f>T_reg.root.SK[[#This Row],[Volume, kg]]/1000</f>
        <v>35.950000000000003</v>
      </c>
      <c r="J1954" s="25">
        <v>0.2432</v>
      </c>
      <c r="K1954" s="25">
        <f t="shared" si="30"/>
        <v>8743.0400000000009</v>
      </c>
      <c r="L1954" s="25">
        <v>3.73</v>
      </c>
      <c r="M1954" s="24">
        <v>133987</v>
      </c>
      <c r="N1954" s="25">
        <f>IFERROR(T_reg.root.SK[[#This Row],[Price]]/T_reg.root.SK[[#This Row],[Starch content]],"")</f>
        <v>15.337171052631579</v>
      </c>
    </row>
    <row r="1955" spans="1:14">
      <c r="A1955" s="21">
        <v>2023</v>
      </c>
      <c r="B1955" s="21" t="s">
        <v>29</v>
      </c>
      <c r="C1955" s="21" t="s">
        <v>1145</v>
      </c>
      <c r="D1955" s="21" t="s">
        <v>35</v>
      </c>
      <c r="E1955" s="17" t="s">
        <v>72</v>
      </c>
      <c r="F1955" s="18" t="s">
        <v>47</v>
      </c>
      <c r="G1955" s="18" t="s">
        <v>48</v>
      </c>
      <c r="H1955" s="24">
        <v>110160</v>
      </c>
      <c r="I1955" s="24">
        <f>T_reg.root.SK[[#This Row],[Volume, kg]]/1000</f>
        <v>110.16</v>
      </c>
      <c r="J1955" s="25">
        <v>0.2278</v>
      </c>
      <c r="K1955" s="25">
        <f t="shared" si="30"/>
        <v>25094.448</v>
      </c>
      <c r="L1955" s="25">
        <v>3.72</v>
      </c>
      <c r="M1955" s="24">
        <v>409398.5</v>
      </c>
      <c r="N1955" s="25">
        <f>IFERROR(T_reg.root.SK[[#This Row],[Price]]/T_reg.root.SK[[#This Row],[Starch content]],"")</f>
        <v>16.330114135206323</v>
      </c>
    </row>
    <row r="1956" spans="1:14">
      <c r="A1956" s="21">
        <v>2023</v>
      </c>
      <c r="B1956" s="21" t="s">
        <v>29</v>
      </c>
      <c r="C1956" s="21" t="s">
        <v>1145</v>
      </c>
      <c r="D1956" s="21" t="s">
        <v>35</v>
      </c>
      <c r="E1956" s="17" t="s">
        <v>472</v>
      </c>
      <c r="F1956" s="18" t="s">
        <v>47</v>
      </c>
      <c r="G1956" s="18" t="s">
        <v>48</v>
      </c>
      <c r="H1956" s="24">
        <v>99950</v>
      </c>
      <c r="I1956" s="24">
        <f>T_reg.root.SK[[#This Row],[Volume, kg]]/1000</f>
        <v>99.95</v>
      </c>
      <c r="J1956" s="25">
        <v>0.2238</v>
      </c>
      <c r="K1956" s="25">
        <f t="shared" si="30"/>
        <v>22368.81</v>
      </c>
      <c r="L1956" s="25">
        <v>3.69</v>
      </c>
      <c r="M1956" s="24">
        <v>368393.5</v>
      </c>
      <c r="N1956" s="25">
        <f>IFERROR(T_reg.root.SK[[#This Row],[Price]]/T_reg.root.SK[[#This Row],[Starch content]],"")</f>
        <v>16.487935656836459</v>
      </c>
    </row>
    <row r="1957" spans="1:14">
      <c r="A1957" s="21">
        <v>2023</v>
      </c>
      <c r="B1957" s="21" t="s">
        <v>29</v>
      </c>
      <c r="C1957" s="21" t="s">
        <v>1145</v>
      </c>
      <c r="D1957" s="21" t="s">
        <v>35</v>
      </c>
      <c r="E1957" s="17" t="s">
        <v>661</v>
      </c>
      <c r="F1957" s="18" t="s">
        <v>47</v>
      </c>
      <c r="G1957" s="18" t="s">
        <v>48</v>
      </c>
      <c r="H1957" s="24">
        <v>72670</v>
      </c>
      <c r="I1957" s="24">
        <f>T_reg.root.SK[[#This Row],[Volume, kg]]/1000</f>
        <v>72.67</v>
      </c>
      <c r="J1957" s="25">
        <v>0.23949999999999999</v>
      </c>
      <c r="K1957" s="25">
        <f t="shared" si="30"/>
        <v>17404.465</v>
      </c>
      <c r="L1957" s="25">
        <v>3.73</v>
      </c>
      <c r="M1957" s="24">
        <v>270734</v>
      </c>
      <c r="N1957" s="25">
        <f>IFERROR(T_reg.root.SK[[#This Row],[Price]]/T_reg.root.SK[[#This Row],[Starch content]],"")</f>
        <v>15.5741127348643</v>
      </c>
    </row>
    <row r="1958" spans="1:14">
      <c r="A1958" s="21">
        <v>2023</v>
      </c>
      <c r="B1958" s="21" t="s">
        <v>29</v>
      </c>
      <c r="C1958" s="21" t="s">
        <v>1145</v>
      </c>
      <c r="D1958" s="21" t="s">
        <v>35</v>
      </c>
      <c r="E1958" s="17" t="s">
        <v>73</v>
      </c>
      <c r="F1958" s="18" t="s">
        <v>47</v>
      </c>
      <c r="G1958" s="18" t="s">
        <v>48</v>
      </c>
      <c r="H1958" s="24">
        <v>15870</v>
      </c>
      <c r="I1958" s="24">
        <f>T_reg.root.SK[[#This Row],[Volume, kg]]/1000</f>
        <v>15.87</v>
      </c>
      <c r="J1958" s="25">
        <v>0.29239999999999999</v>
      </c>
      <c r="K1958" s="25">
        <f t="shared" si="30"/>
        <v>4640.3879999999999</v>
      </c>
      <c r="L1958" s="25">
        <v>3.95</v>
      </c>
      <c r="M1958" s="24">
        <v>62686.5</v>
      </c>
      <c r="N1958" s="25">
        <f>IFERROR(T_reg.root.SK[[#This Row],[Price]]/T_reg.root.SK[[#This Row],[Starch content]],"")</f>
        <v>13.508891928864569</v>
      </c>
    </row>
    <row r="1959" spans="1:14">
      <c r="A1959" s="21">
        <v>2023</v>
      </c>
      <c r="B1959" s="21" t="s">
        <v>29</v>
      </c>
      <c r="C1959" s="21" t="s">
        <v>1145</v>
      </c>
      <c r="D1959" s="21" t="s">
        <v>35</v>
      </c>
      <c r="E1959" s="17" t="s">
        <v>74</v>
      </c>
      <c r="F1959" s="18" t="s">
        <v>47</v>
      </c>
      <c r="G1959" s="18" t="s">
        <v>48</v>
      </c>
      <c r="H1959" s="24">
        <v>108470</v>
      </c>
      <c r="I1959" s="24">
        <f>T_reg.root.SK[[#This Row],[Volume, kg]]/1000</f>
        <v>108.47</v>
      </c>
      <c r="J1959" s="25">
        <v>0.25019999999999998</v>
      </c>
      <c r="K1959" s="25">
        <f t="shared" si="30"/>
        <v>27139.193999999996</v>
      </c>
      <c r="L1959" s="25">
        <v>3.77</v>
      </c>
      <c r="M1959" s="24">
        <v>408542</v>
      </c>
      <c r="N1959" s="25">
        <f>IFERROR(T_reg.root.SK[[#This Row],[Price]]/T_reg.root.SK[[#This Row],[Starch content]],"")</f>
        <v>15.067945643485213</v>
      </c>
    </row>
    <row r="1960" spans="1:14">
      <c r="A1960" s="21">
        <v>2023</v>
      </c>
      <c r="B1960" s="21" t="s">
        <v>29</v>
      </c>
      <c r="C1960" s="21" t="s">
        <v>1145</v>
      </c>
      <c r="D1960" s="21" t="s">
        <v>35</v>
      </c>
      <c r="E1960" s="17" t="s">
        <v>382</v>
      </c>
      <c r="F1960" s="18" t="s">
        <v>47</v>
      </c>
      <c r="G1960" s="18" t="s">
        <v>48</v>
      </c>
      <c r="H1960" s="24">
        <v>16940</v>
      </c>
      <c r="I1960" s="24">
        <f>T_reg.root.SK[[#This Row],[Volume, kg]]/1000</f>
        <v>16.940000000000001</v>
      </c>
      <c r="J1960" s="25">
        <v>0.29949999999999999</v>
      </c>
      <c r="K1960" s="25">
        <f t="shared" si="30"/>
        <v>5073.53</v>
      </c>
      <c r="L1960" s="25">
        <v>4</v>
      </c>
      <c r="M1960" s="24">
        <v>67760</v>
      </c>
      <c r="N1960" s="25">
        <f>IFERROR(T_reg.root.SK[[#This Row],[Price]]/T_reg.root.SK[[#This Row],[Starch content]],"")</f>
        <v>13.35559265442404</v>
      </c>
    </row>
    <row r="1961" spans="1:14">
      <c r="A1961" s="21">
        <v>2023</v>
      </c>
      <c r="B1961" s="21" t="s">
        <v>29</v>
      </c>
      <c r="C1961" s="21" t="s">
        <v>1145</v>
      </c>
      <c r="D1961" s="21" t="s">
        <v>35</v>
      </c>
      <c r="E1961" s="17" t="s">
        <v>473</v>
      </c>
      <c r="F1961" s="18" t="s">
        <v>47</v>
      </c>
      <c r="G1961" s="18" t="s">
        <v>48</v>
      </c>
      <c r="H1961" s="24">
        <v>45600</v>
      </c>
      <c r="I1961" s="24">
        <f>T_reg.root.SK[[#This Row],[Volume, kg]]/1000</f>
        <v>45.6</v>
      </c>
      <c r="J1961" s="25">
        <v>0.22690000000000002</v>
      </c>
      <c r="K1961" s="25">
        <f t="shared" si="30"/>
        <v>10346.640000000001</v>
      </c>
      <c r="L1961" s="25">
        <v>3.69</v>
      </c>
      <c r="M1961" s="24">
        <v>168306</v>
      </c>
      <c r="N1961" s="25">
        <f>IFERROR(T_reg.root.SK[[#This Row],[Price]]/T_reg.root.SK[[#This Row],[Starch content]],"")</f>
        <v>16.262670780079329</v>
      </c>
    </row>
    <row r="1962" spans="1:14">
      <c r="A1962" s="21">
        <v>2023</v>
      </c>
      <c r="B1962" s="21" t="s">
        <v>29</v>
      </c>
      <c r="C1962" s="21" t="s">
        <v>1145</v>
      </c>
      <c r="D1962" s="21" t="s">
        <v>35</v>
      </c>
      <c r="E1962" s="17" t="s">
        <v>75</v>
      </c>
      <c r="F1962" s="18" t="s">
        <v>47</v>
      </c>
      <c r="G1962" s="18" t="s">
        <v>48</v>
      </c>
      <c r="H1962" s="24">
        <v>93250</v>
      </c>
      <c r="I1962" s="24">
        <f>T_reg.root.SK[[#This Row],[Volume, kg]]/1000</f>
        <v>93.25</v>
      </c>
      <c r="J1962" s="25">
        <v>0.25640000000000002</v>
      </c>
      <c r="K1962" s="25">
        <f t="shared" si="30"/>
        <v>23909.300000000003</v>
      </c>
      <c r="L1962" s="25">
        <v>3.83</v>
      </c>
      <c r="M1962" s="24">
        <v>356823.5</v>
      </c>
      <c r="N1962" s="25">
        <f>IFERROR(T_reg.root.SK[[#This Row],[Price]]/T_reg.root.SK[[#This Row],[Starch content]],"")</f>
        <v>14.937597503900156</v>
      </c>
    </row>
    <row r="1963" spans="1:14">
      <c r="A1963" s="21">
        <v>2023</v>
      </c>
      <c r="B1963" s="21" t="s">
        <v>29</v>
      </c>
      <c r="C1963" s="21" t="s">
        <v>1145</v>
      </c>
      <c r="D1963" s="21" t="s">
        <v>35</v>
      </c>
      <c r="E1963" s="17" t="s">
        <v>76</v>
      </c>
      <c r="F1963" s="18" t="s">
        <v>47</v>
      </c>
      <c r="G1963" s="18" t="s">
        <v>48</v>
      </c>
      <c r="H1963" s="24">
        <v>90230</v>
      </c>
      <c r="I1963" s="24">
        <f>T_reg.root.SK[[#This Row],[Volume, kg]]/1000</f>
        <v>90.23</v>
      </c>
      <c r="J1963" s="25">
        <v>0.22159999999999999</v>
      </c>
      <c r="K1963" s="25">
        <f t="shared" si="30"/>
        <v>19994.968000000001</v>
      </c>
      <c r="L1963" s="25">
        <v>3.67</v>
      </c>
      <c r="M1963" s="24">
        <v>331202.5</v>
      </c>
      <c r="N1963" s="25">
        <f>IFERROR(T_reg.root.SK[[#This Row],[Price]]/T_reg.root.SK[[#This Row],[Starch content]],"")</f>
        <v>16.561371841155236</v>
      </c>
    </row>
    <row r="1964" spans="1:14">
      <c r="A1964" s="21">
        <v>2023</v>
      </c>
      <c r="B1964" s="21" t="s">
        <v>29</v>
      </c>
      <c r="C1964" s="21" t="s">
        <v>1145</v>
      </c>
      <c r="D1964" s="21" t="s">
        <v>35</v>
      </c>
      <c r="E1964" s="17" t="s">
        <v>475</v>
      </c>
      <c r="F1964" s="18" t="s">
        <v>47</v>
      </c>
      <c r="G1964" s="18" t="s">
        <v>48</v>
      </c>
      <c r="H1964" s="24">
        <v>44450</v>
      </c>
      <c r="I1964" s="24">
        <f>T_reg.root.SK[[#This Row],[Volume, kg]]/1000</f>
        <v>44.45</v>
      </c>
      <c r="J1964" s="25">
        <v>0.20910000000000001</v>
      </c>
      <c r="K1964" s="25">
        <f t="shared" si="30"/>
        <v>9294.4950000000008</v>
      </c>
      <c r="L1964" s="25">
        <v>3.69</v>
      </c>
      <c r="M1964" s="24">
        <v>164050</v>
      </c>
      <c r="N1964" s="25">
        <f>IFERROR(T_reg.root.SK[[#This Row],[Price]]/T_reg.root.SK[[#This Row],[Starch content]],"")</f>
        <v>17.647058823529409</v>
      </c>
    </row>
    <row r="1965" spans="1:14">
      <c r="A1965" s="21">
        <v>2023</v>
      </c>
      <c r="B1965" s="21" t="s">
        <v>29</v>
      </c>
      <c r="C1965" s="21" t="s">
        <v>1145</v>
      </c>
      <c r="D1965" s="21" t="s">
        <v>35</v>
      </c>
      <c r="E1965" s="17" t="s">
        <v>77</v>
      </c>
      <c r="F1965" s="18" t="s">
        <v>47</v>
      </c>
      <c r="G1965" s="18" t="s">
        <v>48</v>
      </c>
      <c r="H1965" s="24">
        <v>93750</v>
      </c>
      <c r="I1965" s="24">
        <f>T_reg.root.SK[[#This Row],[Volume, kg]]/1000</f>
        <v>93.75</v>
      </c>
      <c r="J1965" s="25">
        <v>0.2162</v>
      </c>
      <c r="K1965" s="25">
        <f t="shared" si="30"/>
        <v>20268.75</v>
      </c>
      <c r="L1965" s="25">
        <v>3.59</v>
      </c>
      <c r="M1965" s="24">
        <v>336545</v>
      </c>
      <c r="N1965" s="25">
        <f>IFERROR(T_reg.root.SK[[#This Row],[Price]]/T_reg.root.SK[[#This Row],[Starch content]],"")</f>
        <v>16.604995374653097</v>
      </c>
    </row>
    <row r="1966" spans="1:14">
      <c r="A1966" s="21">
        <v>2023</v>
      </c>
      <c r="B1966" s="21" t="s">
        <v>29</v>
      </c>
      <c r="C1966" s="21" t="s">
        <v>1145</v>
      </c>
      <c r="D1966" s="21" t="s">
        <v>35</v>
      </c>
      <c r="E1966" s="17" t="s">
        <v>476</v>
      </c>
      <c r="F1966" s="18" t="s">
        <v>47</v>
      </c>
      <c r="G1966" s="18" t="s">
        <v>48</v>
      </c>
      <c r="H1966" s="24">
        <v>25080</v>
      </c>
      <c r="I1966" s="24">
        <f>T_reg.root.SK[[#This Row],[Volume, kg]]/1000</f>
        <v>25.08</v>
      </c>
      <c r="J1966" s="25">
        <v>0.25269999999999998</v>
      </c>
      <c r="K1966" s="25">
        <f t="shared" si="30"/>
        <v>6337.7159999999994</v>
      </c>
      <c r="L1966" s="25">
        <v>3.82</v>
      </c>
      <c r="M1966" s="24">
        <v>95744.5</v>
      </c>
      <c r="N1966" s="25">
        <f>IFERROR(T_reg.root.SK[[#This Row],[Price]]/T_reg.root.SK[[#This Row],[Starch content]],"")</f>
        <v>15.116739216462209</v>
      </c>
    </row>
    <row r="1967" spans="1:14">
      <c r="A1967" s="21">
        <v>2023</v>
      </c>
      <c r="B1967" s="21" t="s">
        <v>29</v>
      </c>
      <c r="C1967" s="21" t="s">
        <v>1145</v>
      </c>
      <c r="D1967" s="21" t="s">
        <v>35</v>
      </c>
      <c r="E1967" s="17" t="s">
        <v>383</v>
      </c>
      <c r="F1967" s="18" t="s">
        <v>47</v>
      </c>
      <c r="G1967" s="18" t="s">
        <v>48</v>
      </c>
      <c r="H1967" s="24">
        <v>156980</v>
      </c>
      <c r="I1967" s="24">
        <f>T_reg.root.SK[[#This Row],[Volume, kg]]/1000</f>
        <v>156.97999999999999</v>
      </c>
      <c r="J1967" s="25">
        <v>0.26129999999999998</v>
      </c>
      <c r="K1967" s="25">
        <f t="shared" si="30"/>
        <v>41018.873999999996</v>
      </c>
      <c r="L1967" s="25">
        <v>3.88</v>
      </c>
      <c r="M1967" s="24">
        <v>609053</v>
      </c>
      <c r="N1967" s="25">
        <f>IFERROR(T_reg.root.SK[[#This Row],[Price]]/T_reg.root.SK[[#This Row],[Starch content]],"")</f>
        <v>14.848832759280521</v>
      </c>
    </row>
    <row r="1968" spans="1:14">
      <c r="A1968" s="21">
        <v>2023</v>
      </c>
      <c r="B1968" s="21" t="s">
        <v>29</v>
      </c>
      <c r="C1968" s="21" t="s">
        <v>1145</v>
      </c>
      <c r="D1968" s="21" t="s">
        <v>35</v>
      </c>
      <c r="E1968" s="17" t="s">
        <v>79</v>
      </c>
      <c r="F1968" s="18" t="s">
        <v>80</v>
      </c>
      <c r="G1968" s="18" t="s">
        <v>81</v>
      </c>
      <c r="H1968" s="24">
        <v>40360</v>
      </c>
      <c r="I1968" s="24">
        <f>T_reg.root.SK[[#This Row],[Volume, kg]]/1000</f>
        <v>40.36</v>
      </c>
      <c r="J1968" s="25">
        <v>0.2107</v>
      </c>
      <c r="K1968" s="25">
        <f t="shared" si="30"/>
        <v>8503.8520000000008</v>
      </c>
      <c r="L1968" s="25">
        <v>3.62</v>
      </c>
      <c r="M1968" s="24">
        <v>146020.5</v>
      </c>
      <c r="N1968" s="25">
        <f>IFERROR(T_reg.root.SK[[#This Row],[Price]]/T_reg.root.SK[[#This Row],[Starch content]],"")</f>
        <v>17.180825818699574</v>
      </c>
    </row>
    <row r="1969" spans="1:14">
      <c r="A1969" s="21">
        <v>2023</v>
      </c>
      <c r="B1969" s="21" t="s">
        <v>29</v>
      </c>
      <c r="C1969" s="21" t="s">
        <v>1145</v>
      </c>
      <c r="D1969" s="21" t="s">
        <v>35</v>
      </c>
      <c r="E1969" s="17" t="s">
        <v>82</v>
      </c>
      <c r="F1969" s="18" t="s">
        <v>83</v>
      </c>
      <c r="G1969" s="18" t="s">
        <v>48</v>
      </c>
      <c r="H1969" s="24">
        <v>17580</v>
      </c>
      <c r="I1969" s="24">
        <f>T_reg.root.SK[[#This Row],[Volume, kg]]/1000</f>
        <v>17.579999999999998</v>
      </c>
      <c r="J1969" s="25">
        <v>0.22059999999999999</v>
      </c>
      <c r="K1969" s="25">
        <f t="shared" si="30"/>
        <v>3878.1479999999997</v>
      </c>
      <c r="L1969" s="25">
        <v>3.75</v>
      </c>
      <c r="M1969" s="24">
        <v>65991</v>
      </c>
      <c r="N1969" s="25">
        <f>IFERROR(T_reg.root.SK[[#This Row],[Price]]/T_reg.root.SK[[#This Row],[Starch content]],"")</f>
        <v>16.999093381686311</v>
      </c>
    </row>
    <row r="1970" spans="1:14">
      <c r="A1970" s="21">
        <v>2023</v>
      </c>
      <c r="B1970" s="21" t="s">
        <v>29</v>
      </c>
      <c r="C1970" s="21" t="s">
        <v>1145</v>
      </c>
      <c r="D1970" s="21" t="s">
        <v>39</v>
      </c>
      <c r="E1970" s="17" t="s">
        <v>85</v>
      </c>
      <c r="F1970" s="18" t="s">
        <v>86</v>
      </c>
      <c r="G1970" s="18" t="s">
        <v>87</v>
      </c>
      <c r="H1970" s="24">
        <v>691640</v>
      </c>
      <c r="I1970" s="24">
        <f>T_reg.root.SK[[#This Row],[Volume, kg]]/1000</f>
        <v>691.64</v>
      </c>
      <c r="J1970" s="25">
        <v>0.25429999999999997</v>
      </c>
      <c r="K1970" s="25">
        <f t="shared" si="30"/>
        <v>175884.05199999997</v>
      </c>
      <c r="L1970" s="25">
        <v>3.92</v>
      </c>
      <c r="M1970" s="24">
        <v>2712783</v>
      </c>
      <c r="N1970" s="25">
        <f>IFERROR(T_reg.root.SK[[#This Row],[Price]]/T_reg.root.SK[[#This Row],[Starch content]],"")</f>
        <v>15.414864333464413</v>
      </c>
    </row>
    <row r="1971" spans="1:14">
      <c r="A1971" s="21">
        <v>2023</v>
      </c>
      <c r="B1971" s="21" t="s">
        <v>29</v>
      </c>
      <c r="C1971" s="21" t="s">
        <v>1145</v>
      </c>
      <c r="D1971" s="21" t="s">
        <v>39</v>
      </c>
      <c r="E1971" s="17" t="s">
        <v>342</v>
      </c>
      <c r="F1971" s="18" t="s">
        <v>343</v>
      </c>
      <c r="G1971" s="18" t="s">
        <v>344</v>
      </c>
      <c r="H1971" s="24">
        <v>235660</v>
      </c>
      <c r="I1971" s="24">
        <f>T_reg.root.SK[[#This Row],[Volume, kg]]/1000</f>
        <v>235.66</v>
      </c>
      <c r="J1971" s="25">
        <v>0.26030000000000003</v>
      </c>
      <c r="K1971" s="25">
        <f t="shared" si="30"/>
        <v>61342.29800000001</v>
      </c>
      <c r="L1971" s="25">
        <v>3.85</v>
      </c>
      <c r="M1971" s="24">
        <v>907428</v>
      </c>
      <c r="N1971" s="25">
        <f>IFERROR(T_reg.root.SK[[#This Row],[Price]]/T_reg.root.SK[[#This Row],[Starch content]],"")</f>
        <v>14.79062620053784</v>
      </c>
    </row>
    <row r="1972" spans="1:14">
      <c r="A1972" s="21">
        <v>2023</v>
      </c>
      <c r="B1972" s="21" t="s">
        <v>29</v>
      </c>
      <c r="C1972" s="21" t="s">
        <v>1145</v>
      </c>
      <c r="D1972" s="21" t="s">
        <v>39</v>
      </c>
      <c r="E1972" s="17" t="s">
        <v>88</v>
      </c>
      <c r="F1972" s="18" t="s">
        <v>89</v>
      </c>
      <c r="G1972" s="18" t="s">
        <v>90</v>
      </c>
      <c r="H1972" s="24">
        <v>4855180</v>
      </c>
      <c r="I1972" s="24">
        <f>T_reg.root.SK[[#This Row],[Volume, kg]]/1000</f>
        <v>4855.18</v>
      </c>
      <c r="J1972" s="25">
        <v>0.2717</v>
      </c>
      <c r="K1972" s="25">
        <f t="shared" si="30"/>
        <v>1319152.406</v>
      </c>
      <c r="L1972" s="25">
        <v>3.93</v>
      </c>
      <c r="M1972" s="24">
        <v>19095227</v>
      </c>
      <c r="N1972" s="25">
        <f>IFERROR(T_reg.root.SK[[#This Row],[Price]]/T_reg.root.SK[[#This Row],[Starch content]],"")</f>
        <v>14.464482885535517</v>
      </c>
    </row>
    <row r="1973" spans="1:14">
      <c r="A1973" s="21">
        <v>2023</v>
      </c>
      <c r="B1973" s="21" t="s">
        <v>29</v>
      </c>
      <c r="C1973" s="21" t="s">
        <v>1145</v>
      </c>
      <c r="D1973" s="21" t="s">
        <v>35</v>
      </c>
      <c r="E1973" s="17" t="s">
        <v>662</v>
      </c>
      <c r="F1973" s="18" t="s">
        <v>92</v>
      </c>
      <c r="G1973" s="18" t="s">
        <v>48</v>
      </c>
      <c r="H1973" s="24">
        <v>20140</v>
      </c>
      <c r="I1973" s="24">
        <f>T_reg.root.SK[[#This Row],[Volume, kg]]/1000</f>
        <v>20.14</v>
      </c>
      <c r="J1973" s="25">
        <v>0.28120000000000001</v>
      </c>
      <c r="K1973" s="25">
        <f t="shared" si="30"/>
        <v>5663.3680000000004</v>
      </c>
      <c r="L1973" s="25">
        <v>4.07</v>
      </c>
      <c r="M1973" s="24">
        <v>82068.5</v>
      </c>
      <c r="N1973" s="25">
        <f>IFERROR(T_reg.root.SK[[#This Row],[Price]]/T_reg.root.SK[[#This Row],[Starch content]],"")</f>
        <v>14.473684210526317</v>
      </c>
    </row>
    <row r="1974" spans="1:14">
      <c r="A1974" s="21">
        <v>2023</v>
      </c>
      <c r="B1974" s="21" t="s">
        <v>29</v>
      </c>
      <c r="C1974" s="21" t="s">
        <v>1145</v>
      </c>
      <c r="D1974" s="21" t="s">
        <v>35</v>
      </c>
      <c r="E1974" s="17" t="s">
        <v>478</v>
      </c>
      <c r="F1974" s="18" t="s">
        <v>92</v>
      </c>
      <c r="G1974" s="18" t="s">
        <v>48</v>
      </c>
      <c r="H1974" s="24">
        <v>8910</v>
      </c>
      <c r="I1974" s="24">
        <f>T_reg.root.SK[[#This Row],[Volume, kg]]/1000</f>
        <v>8.91</v>
      </c>
      <c r="J1974" s="25">
        <v>0.2495</v>
      </c>
      <c r="K1974" s="25">
        <f t="shared" si="30"/>
        <v>2223.0450000000001</v>
      </c>
      <c r="L1974" s="25">
        <v>3.75</v>
      </c>
      <c r="M1974" s="24">
        <v>33412.5</v>
      </c>
      <c r="N1974" s="25">
        <f>IFERROR(T_reg.root.SK[[#This Row],[Price]]/T_reg.root.SK[[#This Row],[Starch content]],"")</f>
        <v>15.030060120240481</v>
      </c>
    </row>
    <row r="1975" spans="1:14">
      <c r="A1975" s="21">
        <v>2023</v>
      </c>
      <c r="B1975" s="21" t="s">
        <v>29</v>
      </c>
      <c r="C1975" s="21" t="s">
        <v>1145</v>
      </c>
      <c r="D1975" s="21" t="s">
        <v>35</v>
      </c>
      <c r="E1975" s="17" t="s">
        <v>275</v>
      </c>
      <c r="F1975" s="18" t="s">
        <v>92</v>
      </c>
      <c r="G1975" s="18" t="s">
        <v>48</v>
      </c>
      <c r="H1975" s="24">
        <v>25200</v>
      </c>
      <c r="I1975" s="24">
        <f>T_reg.root.SK[[#This Row],[Volume, kg]]/1000</f>
        <v>25.2</v>
      </c>
      <c r="J1975" s="25">
        <v>0.24390000000000001</v>
      </c>
      <c r="K1975" s="25">
        <f t="shared" si="30"/>
        <v>6146.28</v>
      </c>
      <c r="L1975" s="25">
        <v>3.84</v>
      </c>
      <c r="M1975" s="24">
        <v>96691.5</v>
      </c>
      <c r="N1975" s="25">
        <f>IFERROR(T_reg.root.SK[[#This Row],[Price]]/T_reg.root.SK[[#This Row],[Starch content]],"")</f>
        <v>15.744157441574416</v>
      </c>
    </row>
    <row r="1976" spans="1:14">
      <c r="A1976" s="21">
        <v>2023</v>
      </c>
      <c r="B1976" s="21" t="s">
        <v>29</v>
      </c>
      <c r="C1976" s="21" t="s">
        <v>1145</v>
      </c>
      <c r="D1976" s="21" t="s">
        <v>35</v>
      </c>
      <c r="E1976" s="17" t="s">
        <v>91</v>
      </c>
      <c r="F1976" s="18" t="s">
        <v>92</v>
      </c>
      <c r="G1976" s="18" t="s">
        <v>48</v>
      </c>
      <c r="H1976" s="24">
        <v>35310</v>
      </c>
      <c r="I1976" s="24">
        <f>T_reg.root.SK[[#This Row],[Volume, kg]]/1000</f>
        <v>35.31</v>
      </c>
      <c r="J1976" s="25">
        <v>0.23780000000000001</v>
      </c>
      <c r="K1976" s="25">
        <f t="shared" si="30"/>
        <v>8396.7180000000008</v>
      </c>
      <c r="L1976" s="25">
        <v>3.7</v>
      </c>
      <c r="M1976" s="24">
        <v>130525.5</v>
      </c>
      <c r="N1976" s="25">
        <f>IFERROR(T_reg.root.SK[[#This Row],[Price]]/T_reg.root.SK[[#This Row],[Starch content]],"")</f>
        <v>15.559293523969723</v>
      </c>
    </row>
    <row r="1977" spans="1:14">
      <c r="A1977" s="21">
        <v>2023</v>
      </c>
      <c r="B1977" s="21" t="s">
        <v>29</v>
      </c>
      <c r="C1977" s="21" t="s">
        <v>1145</v>
      </c>
      <c r="D1977" s="21" t="s">
        <v>35</v>
      </c>
      <c r="E1977" s="17" t="s">
        <v>93</v>
      </c>
      <c r="F1977" s="18" t="s">
        <v>92</v>
      </c>
      <c r="G1977" s="18" t="s">
        <v>48</v>
      </c>
      <c r="H1977" s="24">
        <v>20720</v>
      </c>
      <c r="I1977" s="24">
        <f>T_reg.root.SK[[#This Row],[Volume, kg]]/1000</f>
        <v>20.72</v>
      </c>
      <c r="J1977" s="25">
        <v>0.25850000000000001</v>
      </c>
      <c r="K1977" s="25">
        <f t="shared" si="30"/>
        <v>5356.12</v>
      </c>
      <c r="L1977" s="25">
        <v>3.83</v>
      </c>
      <c r="M1977" s="24">
        <v>79255.5</v>
      </c>
      <c r="N1977" s="25">
        <f>IFERROR(T_reg.root.SK[[#This Row],[Price]]/T_reg.root.SK[[#This Row],[Starch content]],"")</f>
        <v>14.81624758220503</v>
      </c>
    </row>
    <row r="1978" spans="1:14">
      <c r="A1978" s="21">
        <v>2023</v>
      </c>
      <c r="B1978" s="21" t="s">
        <v>29</v>
      </c>
      <c r="C1978" s="21" t="s">
        <v>1145</v>
      </c>
      <c r="D1978" s="21" t="s">
        <v>39</v>
      </c>
      <c r="E1978" s="17" t="s">
        <v>552</v>
      </c>
      <c r="F1978" s="18" t="s">
        <v>95</v>
      </c>
      <c r="G1978" s="18" t="s">
        <v>48</v>
      </c>
      <c r="H1978" s="24">
        <v>1435980</v>
      </c>
      <c r="I1978" s="24">
        <f>T_reg.root.SK[[#This Row],[Volume, kg]]/1000</f>
        <v>1435.98</v>
      </c>
      <c r="J1978" s="25">
        <v>0.24480000000000002</v>
      </c>
      <c r="K1978" s="25">
        <f t="shared" si="30"/>
        <v>351527.90400000004</v>
      </c>
      <c r="L1978" s="25">
        <v>3.77</v>
      </c>
      <c r="M1978" s="24">
        <v>5411123</v>
      </c>
      <c r="N1978" s="25">
        <f>IFERROR(T_reg.root.SK[[#This Row],[Price]]/T_reg.root.SK[[#This Row],[Starch content]],"")</f>
        <v>15.40032679738562</v>
      </c>
    </row>
    <row r="1979" spans="1:14">
      <c r="A1979" s="21">
        <v>2023</v>
      </c>
      <c r="B1979" s="21" t="s">
        <v>29</v>
      </c>
      <c r="C1979" s="21" t="s">
        <v>1145</v>
      </c>
      <c r="D1979" s="21" t="s">
        <v>35</v>
      </c>
      <c r="E1979" s="17" t="s">
        <v>276</v>
      </c>
      <c r="F1979" s="18" t="s">
        <v>95</v>
      </c>
      <c r="G1979" s="18" t="s">
        <v>48</v>
      </c>
      <c r="H1979" s="24">
        <v>236740</v>
      </c>
      <c r="I1979" s="24">
        <f>T_reg.root.SK[[#This Row],[Volume, kg]]/1000</f>
        <v>236.74</v>
      </c>
      <c r="J1979" s="25">
        <v>0.26300000000000001</v>
      </c>
      <c r="K1979" s="25">
        <f t="shared" si="30"/>
        <v>62262.62</v>
      </c>
      <c r="L1979" s="25">
        <v>3.87</v>
      </c>
      <c r="M1979" s="24">
        <v>916320</v>
      </c>
      <c r="N1979" s="25">
        <f>IFERROR(T_reg.root.SK[[#This Row],[Price]]/T_reg.root.SK[[#This Row],[Starch content]],"")</f>
        <v>14.714828897338403</v>
      </c>
    </row>
    <row r="1980" spans="1:14">
      <c r="A1980" s="21">
        <v>2023</v>
      </c>
      <c r="B1980" s="21" t="s">
        <v>29</v>
      </c>
      <c r="C1980" s="21" t="s">
        <v>1145</v>
      </c>
      <c r="D1980" s="21" t="s">
        <v>35</v>
      </c>
      <c r="E1980" s="17" t="s">
        <v>663</v>
      </c>
      <c r="F1980" s="18" t="s">
        <v>95</v>
      </c>
      <c r="G1980" s="18" t="s">
        <v>48</v>
      </c>
      <c r="H1980" s="24">
        <v>17240</v>
      </c>
      <c r="I1980" s="24">
        <f>T_reg.root.SK[[#This Row],[Volume, kg]]/1000</f>
        <v>17.239999999999998</v>
      </c>
      <c r="J1980" s="25">
        <v>0.25269999999999998</v>
      </c>
      <c r="K1980" s="25">
        <f t="shared" si="30"/>
        <v>4356.5479999999998</v>
      </c>
      <c r="L1980" s="25">
        <v>3.9</v>
      </c>
      <c r="M1980" s="24">
        <v>67236</v>
      </c>
      <c r="N1980" s="25">
        <f>IFERROR(T_reg.root.SK[[#This Row],[Price]]/T_reg.root.SK[[#This Row],[Starch content]],"")</f>
        <v>15.433320142461417</v>
      </c>
    </row>
    <row r="1981" spans="1:14">
      <c r="A1981" s="21">
        <v>2023</v>
      </c>
      <c r="B1981" s="21" t="s">
        <v>29</v>
      </c>
      <c r="C1981" s="21" t="s">
        <v>1145</v>
      </c>
      <c r="D1981" s="21" t="s">
        <v>35</v>
      </c>
      <c r="E1981" s="17" t="s">
        <v>97</v>
      </c>
      <c r="F1981" s="18" t="s">
        <v>95</v>
      </c>
      <c r="G1981" s="18" t="s">
        <v>48</v>
      </c>
      <c r="H1981" s="24">
        <v>13750</v>
      </c>
      <c r="I1981" s="24">
        <f>T_reg.root.SK[[#This Row],[Volume, kg]]/1000</f>
        <v>13.75</v>
      </c>
      <c r="J1981" s="25">
        <v>0.25370000000000004</v>
      </c>
      <c r="K1981" s="25">
        <f t="shared" si="30"/>
        <v>3488.3750000000005</v>
      </c>
      <c r="L1981" s="25">
        <v>3.75</v>
      </c>
      <c r="M1981" s="24">
        <v>51562.5</v>
      </c>
      <c r="N1981" s="25">
        <f>IFERROR(T_reg.root.SK[[#This Row],[Price]]/T_reg.root.SK[[#This Row],[Starch content]],"")</f>
        <v>14.78123768230193</v>
      </c>
    </row>
    <row r="1982" spans="1:14">
      <c r="A1982" s="21">
        <v>2023</v>
      </c>
      <c r="B1982" s="21" t="s">
        <v>29</v>
      </c>
      <c r="C1982" s="21" t="s">
        <v>1145</v>
      </c>
      <c r="D1982" s="21" t="s">
        <v>35</v>
      </c>
      <c r="E1982" s="17" t="s">
        <v>664</v>
      </c>
      <c r="F1982" s="18" t="s">
        <v>95</v>
      </c>
      <c r="G1982" s="18" t="s">
        <v>48</v>
      </c>
      <c r="H1982" s="24">
        <v>39130</v>
      </c>
      <c r="I1982" s="24">
        <f>T_reg.root.SK[[#This Row],[Volume, kg]]/1000</f>
        <v>39.130000000000003</v>
      </c>
      <c r="J1982" s="25">
        <v>0.2727</v>
      </c>
      <c r="K1982" s="25">
        <f t="shared" si="30"/>
        <v>10670.751</v>
      </c>
      <c r="L1982" s="25">
        <v>3.94</v>
      </c>
      <c r="M1982" s="24">
        <v>154268.5</v>
      </c>
      <c r="N1982" s="25">
        <f>IFERROR(T_reg.root.SK[[#This Row],[Price]]/T_reg.root.SK[[#This Row],[Starch content]],"")</f>
        <v>14.448111477814448</v>
      </c>
    </row>
    <row r="1983" spans="1:14">
      <c r="A1983" s="21">
        <v>2023</v>
      </c>
      <c r="B1983" s="21" t="s">
        <v>29</v>
      </c>
      <c r="C1983" s="21" t="s">
        <v>1145</v>
      </c>
      <c r="D1983" s="21" t="s">
        <v>39</v>
      </c>
      <c r="E1983" s="17" t="s">
        <v>98</v>
      </c>
      <c r="F1983" s="18" t="s">
        <v>99</v>
      </c>
      <c r="G1983" s="18" t="s">
        <v>42</v>
      </c>
      <c r="H1983" s="24">
        <v>4025700</v>
      </c>
      <c r="I1983" s="24">
        <f>T_reg.root.SK[[#This Row],[Volume, kg]]/1000</f>
        <v>4025.7</v>
      </c>
      <c r="J1983" s="25">
        <v>0.25950000000000001</v>
      </c>
      <c r="K1983" s="25">
        <f t="shared" si="30"/>
        <v>1044669.15</v>
      </c>
      <c r="L1983" s="25">
        <v>3.86</v>
      </c>
      <c r="M1983" s="24">
        <v>15536155</v>
      </c>
      <c r="N1983" s="25">
        <f>IFERROR(T_reg.root.SK[[#This Row],[Price]]/T_reg.root.SK[[#This Row],[Starch content]],"")</f>
        <v>14.874759152215798</v>
      </c>
    </row>
    <row r="1984" spans="1:14">
      <c r="A1984" s="21">
        <v>2023</v>
      </c>
      <c r="B1984" s="21" t="s">
        <v>29</v>
      </c>
      <c r="C1984" s="21" t="s">
        <v>1145</v>
      </c>
      <c r="D1984" s="21" t="s">
        <v>39</v>
      </c>
      <c r="E1984" s="17" t="s">
        <v>346</v>
      </c>
      <c r="F1984" s="18" t="s">
        <v>99</v>
      </c>
      <c r="G1984" s="18" t="s">
        <v>42</v>
      </c>
      <c r="H1984" s="24">
        <v>3671210</v>
      </c>
      <c r="I1984" s="24">
        <f>T_reg.root.SK[[#This Row],[Volume, kg]]/1000</f>
        <v>3671.21</v>
      </c>
      <c r="J1984" s="25">
        <v>0.251</v>
      </c>
      <c r="K1984" s="25">
        <f t="shared" si="30"/>
        <v>921473.71</v>
      </c>
      <c r="L1984" s="25">
        <v>3.8</v>
      </c>
      <c r="M1984" s="24">
        <v>13944606</v>
      </c>
      <c r="N1984" s="25">
        <f>IFERROR(T_reg.root.SK[[#This Row],[Price]]/T_reg.root.SK[[#This Row],[Starch content]],"")</f>
        <v>15.139442231075696</v>
      </c>
    </row>
    <row r="1985" spans="1:14">
      <c r="A1985" s="21">
        <v>2023</v>
      </c>
      <c r="B1985" s="21" t="s">
        <v>29</v>
      </c>
      <c r="C1985" s="21" t="s">
        <v>1145</v>
      </c>
      <c r="D1985" s="21" t="s">
        <v>39</v>
      </c>
      <c r="E1985" s="17" t="s">
        <v>101</v>
      </c>
      <c r="F1985" s="18" t="s">
        <v>102</v>
      </c>
      <c r="G1985" s="18" t="s">
        <v>103</v>
      </c>
      <c r="H1985" s="24">
        <v>29280</v>
      </c>
      <c r="I1985" s="24">
        <f>T_reg.root.SK[[#This Row],[Volume, kg]]/1000</f>
        <v>29.28</v>
      </c>
      <c r="J1985" s="25">
        <v>0.2427</v>
      </c>
      <c r="K1985" s="25">
        <f t="shared" si="30"/>
        <v>7106.2560000000003</v>
      </c>
      <c r="L1985" s="25">
        <v>3.8</v>
      </c>
      <c r="M1985" s="24">
        <v>111264</v>
      </c>
      <c r="N1985" s="25">
        <f>IFERROR(T_reg.root.SK[[#This Row],[Price]]/T_reg.root.SK[[#This Row],[Starch content]],"")</f>
        <v>15.657189946435928</v>
      </c>
    </row>
    <row r="1986" spans="1:14">
      <c r="A1986" s="21">
        <v>2023</v>
      </c>
      <c r="B1986" s="21" t="s">
        <v>29</v>
      </c>
      <c r="C1986" s="21" t="s">
        <v>1145</v>
      </c>
      <c r="D1986" s="21" t="s">
        <v>39</v>
      </c>
      <c r="E1986" s="17" t="s">
        <v>284</v>
      </c>
      <c r="F1986" s="18" t="s">
        <v>285</v>
      </c>
      <c r="G1986" s="18" t="s">
        <v>286</v>
      </c>
      <c r="H1986" s="24">
        <v>1295390</v>
      </c>
      <c r="I1986" s="24">
        <f>T_reg.root.SK[[#This Row],[Volume, kg]]/1000</f>
        <v>1295.3900000000001</v>
      </c>
      <c r="J1986" s="25">
        <v>0.2515</v>
      </c>
      <c r="K1986" s="25">
        <f t="shared" si="30"/>
        <v>325790.58500000002</v>
      </c>
      <c r="L1986" s="25">
        <v>3.79</v>
      </c>
      <c r="M1986" s="24">
        <v>4911580.5</v>
      </c>
      <c r="N1986" s="25">
        <f>IFERROR(T_reg.root.SK[[#This Row],[Price]]/T_reg.root.SK[[#This Row],[Starch content]],"")</f>
        <v>15.069582504970178</v>
      </c>
    </row>
    <row r="1987" spans="1:14">
      <c r="A1987" s="21">
        <v>2023</v>
      </c>
      <c r="B1987" s="21" t="s">
        <v>29</v>
      </c>
      <c r="C1987" s="21" t="s">
        <v>1145</v>
      </c>
      <c r="D1987" s="21" t="s">
        <v>35</v>
      </c>
      <c r="E1987" s="17" t="s">
        <v>185</v>
      </c>
      <c r="F1987" s="18" t="s">
        <v>105</v>
      </c>
      <c r="G1987" s="18" t="s">
        <v>48</v>
      </c>
      <c r="H1987" s="24">
        <v>18140</v>
      </c>
      <c r="I1987" s="24">
        <f>T_reg.root.SK[[#This Row],[Volume, kg]]/1000</f>
        <v>18.14</v>
      </c>
      <c r="J1987" s="25">
        <v>0.24829999999999999</v>
      </c>
      <c r="K1987" s="25">
        <f t="shared" ref="K1987:K2050" si="31">H1987*J1987</f>
        <v>4504.1620000000003</v>
      </c>
      <c r="L1987" s="25">
        <v>3.7</v>
      </c>
      <c r="M1987" s="24">
        <v>67118</v>
      </c>
      <c r="N1987" s="25">
        <f>IFERROR(T_reg.root.SK[[#This Row],[Price]]/T_reg.root.SK[[#This Row],[Starch content]],"")</f>
        <v>14.901329037454692</v>
      </c>
    </row>
    <row r="1988" spans="1:14">
      <c r="A1988" s="21">
        <v>2023</v>
      </c>
      <c r="B1988" s="21" t="s">
        <v>29</v>
      </c>
      <c r="C1988" s="21" t="s">
        <v>1145</v>
      </c>
      <c r="D1988" s="21" t="s">
        <v>35</v>
      </c>
      <c r="E1988" s="17" t="s">
        <v>104</v>
      </c>
      <c r="F1988" s="18" t="s">
        <v>105</v>
      </c>
      <c r="G1988" s="18" t="s">
        <v>48</v>
      </c>
      <c r="H1988" s="24">
        <v>15550</v>
      </c>
      <c r="I1988" s="24">
        <f>T_reg.root.SK[[#This Row],[Volume, kg]]/1000</f>
        <v>15.55</v>
      </c>
      <c r="J1988" s="25">
        <v>0.28170000000000001</v>
      </c>
      <c r="K1988" s="25">
        <f t="shared" si="31"/>
        <v>4380.4350000000004</v>
      </c>
      <c r="L1988" s="25">
        <v>3.85</v>
      </c>
      <c r="M1988" s="24">
        <v>59909</v>
      </c>
      <c r="N1988" s="25">
        <f>IFERROR(T_reg.root.SK[[#This Row],[Price]]/T_reg.root.SK[[#This Row],[Starch content]],"")</f>
        <v>13.667021654242102</v>
      </c>
    </row>
    <row r="1989" spans="1:14">
      <c r="A1989" s="21">
        <v>2023</v>
      </c>
      <c r="B1989" s="21" t="s">
        <v>29</v>
      </c>
      <c r="C1989" s="21" t="s">
        <v>1145</v>
      </c>
      <c r="D1989" s="21" t="s">
        <v>35</v>
      </c>
      <c r="E1989" s="17" t="s">
        <v>401</v>
      </c>
      <c r="F1989" s="18" t="s">
        <v>105</v>
      </c>
      <c r="G1989" s="18" t="s">
        <v>48</v>
      </c>
      <c r="H1989" s="24">
        <v>17210</v>
      </c>
      <c r="I1989" s="24">
        <f>T_reg.root.SK[[#This Row],[Volume, kg]]/1000</f>
        <v>17.21</v>
      </c>
      <c r="J1989" s="25">
        <v>0.25509999999999999</v>
      </c>
      <c r="K1989" s="25">
        <f t="shared" si="31"/>
        <v>4390.2709999999997</v>
      </c>
      <c r="L1989" s="25">
        <v>3.68</v>
      </c>
      <c r="M1989" s="24">
        <v>63258.5</v>
      </c>
      <c r="N1989" s="25">
        <f>IFERROR(T_reg.root.SK[[#This Row],[Price]]/T_reg.root.SK[[#This Row],[Starch content]],"")</f>
        <v>14.425715405723247</v>
      </c>
    </row>
    <row r="1990" spans="1:14">
      <c r="A1990" s="21">
        <v>2023</v>
      </c>
      <c r="B1990" s="21" t="s">
        <v>29</v>
      </c>
      <c r="C1990" s="21" t="s">
        <v>1145</v>
      </c>
      <c r="D1990" s="21" t="s">
        <v>35</v>
      </c>
      <c r="E1990" s="17" t="s">
        <v>109</v>
      </c>
      <c r="F1990" s="18" t="s">
        <v>105</v>
      </c>
      <c r="G1990" s="18" t="s">
        <v>48</v>
      </c>
      <c r="H1990" s="24">
        <v>16990</v>
      </c>
      <c r="I1990" s="24">
        <f>T_reg.root.SK[[#This Row],[Volume, kg]]/1000</f>
        <v>16.989999999999998</v>
      </c>
      <c r="J1990" s="25">
        <v>0.26289999999999997</v>
      </c>
      <c r="K1990" s="25">
        <f t="shared" si="31"/>
        <v>4466.6709999999994</v>
      </c>
      <c r="L1990" s="25">
        <v>3.77</v>
      </c>
      <c r="M1990" s="24">
        <v>64117</v>
      </c>
      <c r="N1990" s="25">
        <f>IFERROR(T_reg.root.SK[[#This Row],[Price]]/T_reg.root.SK[[#This Row],[Starch content]],"")</f>
        <v>14.340053252187145</v>
      </c>
    </row>
    <row r="1991" spans="1:14">
      <c r="A1991" s="21">
        <v>2023</v>
      </c>
      <c r="B1991" s="21" t="s">
        <v>29</v>
      </c>
      <c r="C1991" s="21" t="s">
        <v>1145</v>
      </c>
      <c r="D1991" s="21" t="s">
        <v>35</v>
      </c>
      <c r="E1991" s="17" t="s">
        <v>293</v>
      </c>
      <c r="F1991" s="18" t="s">
        <v>105</v>
      </c>
      <c r="G1991" s="18" t="s">
        <v>48</v>
      </c>
      <c r="H1991" s="24">
        <v>17660</v>
      </c>
      <c r="I1991" s="24">
        <f>T_reg.root.SK[[#This Row],[Volume, kg]]/1000</f>
        <v>17.66</v>
      </c>
      <c r="J1991" s="25">
        <v>0.25850000000000001</v>
      </c>
      <c r="K1991" s="25">
        <f t="shared" si="31"/>
        <v>4565.1100000000006</v>
      </c>
      <c r="L1991" s="25">
        <v>3.8</v>
      </c>
      <c r="M1991" s="24">
        <v>67122.5</v>
      </c>
      <c r="N1991" s="25">
        <f>IFERROR(T_reg.root.SK[[#This Row],[Price]]/T_reg.root.SK[[#This Row],[Starch content]],"")</f>
        <v>14.700193423597678</v>
      </c>
    </row>
    <row r="1992" spans="1:14">
      <c r="A1992" s="21">
        <v>2023</v>
      </c>
      <c r="B1992" s="21" t="s">
        <v>29</v>
      </c>
      <c r="C1992" s="21" t="s">
        <v>1145</v>
      </c>
      <c r="D1992" s="21" t="s">
        <v>35</v>
      </c>
      <c r="E1992" s="17" t="s">
        <v>294</v>
      </c>
      <c r="F1992" s="18" t="s">
        <v>105</v>
      </c>
      <c r="G1992" s="18" t="s">
        <v>48</v>
      </c>
      <c r="H1992" s="24">
        <v>24870</v>
      </c>
      <c r="I1992" s="24">
        <f>T_reg.root.SK[[#This Row],[Volume, kg]]/1000</f>
        <v>24.87</v>
      </c>
      <c r="J1992" s="25">
        <v>0.25180000000000002</v>
      </c>
      <c r="K1992" s="25">
        <f t="shared" si="31"/>
        <v>6262.2660000000005</v>
      </c>
      <c r="L1992" s="25">
        <v>3.68</v>
      </c>
      <c r="M1992" s="24">
        <v>91543</v>
      </c>
      <c r="N1992" s="25">
        <f>IFERROR(T_reg.root.SK[[#This Row],[Price]]/T_reg.root.SK[[#This Row],[Starch content]],"")</f>
        <v>14.614773629864972</v>
      </c>
    </row>
    <row r="1993" spans="1:14">
      <c r="A1993" s="21">
        <v>2023</v>
      </c>
      <c r="B1993" s="21" t="s">
        <v>29</v>
      </c>
      <c r="C1993" s="21" t="s">
        <v>1145</v>
      </c>
      <c r="D1993" s="21" t="s">
        <v>35</v>
      </c>
      <c r="E1993" s="17" t="s">
        <v>556</v>
      </c>
      <c r="F1993" s="18" t="s">
        <v>105</v>
      </c>
      <c r="G1993" s="18" t="s">
        <v>48</v>
      </c>
      <c r="H1993" s="24">
        <v>20400</v>
      </c>
      <c r="I1993" s="24">
        <f>T_reg.root.SK[[#This Row],[Volume, kg]]/1000</f>
        <v>20.399999999999999</v>
      </c>
      <c r="J1993" s="25">
        <v>0.2039</v>
      </c>
      <c r="K1993" s="25">
        <f t="shared" si="31"/>
        <v>4159.5600000000004</v>
      </c>
      <c r="L1993" s="25">
        <v>3.55</v>
      </c>
      <c r="M1993" s="24">
        <v>72449</v>
      </c>
      <c r="N1993" s="25">
        <f>IFERROR(T_reg.root.SK[[#This Row],[Price]]/T_reg.root.SK[[#This Row],[Starch content]],"")</f>
        <v>17.410495340853359</v>
      </c>
    </row>
    <row r="1994" spans="1:14">
      <c r="A1994" s="21">
        <v>2023</v>
      </c>
      <c r="B1994" s="21" t="s">
        <v>29</v>
      </c>
      <c r="C1994" s="21" t="s">
        <v>1145</v>
      </c>
      <c r="D1994" s="21" t="s">
        <v>35</v>
      </c>
      <c r="E1994" s="17" t="s">
        <v>665</v>
      </c>
      <c r="F1994" s="18" t="s">
        <v>105</v>
      </c>
      <c r="G1994" s="18" t="s">
        <v>48</v>
      </c>
      <c r="H1994" s="24">
        <v>113420</v>
      </c>
      <c r="I1994" s="24">
        <f>T_reg.root.SK[[#This Row],[Volume, kg]]/1000</f>
        <v>113.42</v>
      </c>
      <c r="J1994" s="25">
        <v>0.25239999999999996</v>
      </c>
      <c r="K1994" s="25">
        <f t="shared" si="31"/>
        <v>28627.207999999995</v>
      </c>
      <c r="L1994" s="25">
        <v>3.76</v>
      </c>
      <c r="M1994" s="24">
        <v>426911</v>
      </c>
      <c r="N1994" s="25">
        <f>IFERROR(T_reg.root.SK[[#This Row],[Price]]/T_reg.root.SK[[#This Row],[Starch content]],"")</f>
        <v>14.896988906497624</v>
      </c>
    </row>
    <row r="1995" spans="1:14">
      <c r="A1995" s="21">
        <v>2023</v>
      </c>
      <c r="B1995" s="21" t="s">
        <v>29</v>
      </c>
      <c r="C1995" s="21" t="s">
        <v>1145</v>
      </c>
      <c r="D1995" s="21" t="s">
        <v>35</v>
      </c>
      <c r="E1995" s="17" t="s">
        <v>233</v>
      </c>
      <c r="F1995" s="18" t="s">
        <v>105</v>
      </c>
      <c r="G1995" s="18" t="s">
        <v>48</v>
      </c>
      <c r="H1995" s="24">
        <v>4300</v>
      </c>
      <c r="I1995" s="24">
        <f>T_reg.root.SK[[#This Row],[Volume, kg]]/1000</f>
        <v>4.3</v>
      </c>
      <c r="J1995" s="25">
        <v>0.24399999999999999</v>
      </c>
      <c r="K1995" s="25">
        <f t="shared" si="31"/>
        <v>1049.2</v>
      </c>
      <c r="L1995" s="25">
        <v>3.65</v>
      </c>
      <c r="M1995" s="24">
        <v>15695</v>
      </c>
      <c r="N1995" s="25">
        <f>IFERROR(T_reg.root.SK[[#This Row],[Price]]/T_reg.root.SK[[#This Row],[Starch content]],"")</f>
        <v>14.959016393442623</v>
      </c>
    </row>
    <row r="1996" spans="1:14">
      <c r="A1996" s="21">
        <v>2023</v>
      </c>
      <c r="B1996" s="21" t="s">
        <v>29</v>
      </c>
      <c r="C1996" s="21" t="s">
        <v>1145</v>
      </c>
      <c r="D1996" s="21" t="s">
        <v>35</v>
      </c>
      <c r="E1996" s="17" t="s">
        <v>234</v>
      </c>
      <c r="F1996" s="18" t="s">
        <v>105</v>
      </c>
      <c r="G1996" s="18" t="s">
        <v>48</v>
      </c>
      <c r="H1996" s="24">
        <v>16020</v>
      </c>
      <c r="I1996" s="24">
        <f>T_reg.root.SK[[#This Row],[Volume, kg]]/1000</f>
        <v>16.02</v>
      </c>
      <c r="J1996" s="25">
        <v>0.26550000000000001</v>
      </c>
      <c r="K1996" s="25">
        <f t="shared" si="31"/>
        <v>4253.3100000000004</v>
      </c>
      <c r="L1996" s="25">
        <v>3.87</v>
      </c>
      <c r="M1996" s="24">
        <v>62010</v>
      </c>
      <c r="N1996" s="25">
        <f>IFERROR(T_reg.root.SK[[#This Row],[Price]]/T_reg.root.SK[[#This Row],[Starch content]],"")</f>
        <v>14.576271186440678</v>
      </c>
    </row>
    <row r="1997" spans="1:14">
      <c r="A1997" s="21">
        <v>2023</v>
      </c>
      <c r="B1997" s="21" t="s">
        <v>29</v>
      </c>
      <c r="C1997" s="21" t="s">
        <v>1145</v>
      </c>
      <c r="D1997" s="21" t="s">
        <v>35</v>
      </c>
      <c r="E1997" s="17" t="s">
        <v>402</v>
      </c>
      <c r="F1997" s="18" t="s">
        <v>105</v>
      </c>
      <c r="G1997" s="18" t="s">
        <v>48</v>
      </c>
      <c r="H1997" s="24">
        <v>3830</v>
      </c>
      <c r="I1997" s="24">
        <f>T_reg.root.SK[[#This Row],[Volume, kg]]/1000</f>
        <v>3.83</v>
      </c>
      <c r="J1997" s="25">
        <v>0.20600000000000002</v>
      </c>
      <c r="K1997" s="25">
        <f t="shared" si="31"/>
        <v>788.98</v>
      </c>
      <c r="L1997" s="25">
        <v>3.6</v>
      </c>
      <c r="M1997" s="24">
        <v>13788</v>
      </c>
      <c r="N1997" s="25">
        <f>IFERROR(T_reg.root.SK[[#This Row],[Price]]/T_reg.root.SK[[#This Row],[Starch content]],"")</f>
        <v>17.475728155339805</v>
      </c>
    </row>
    <row r="1998" spans="1:14">
      <c r="A1998" s="21">
        <v>2023</v>
      </c>
      <c r="B1998" s="21" t="s">
        <v>29</v>
      </c>
      <c r="C1998" s="21" t="s">
        <v>1145</v>
      </c>
      <c r="D1998" s="21" t="s">
        <v>35</v>
      </c>
      <c r="E1998" s="17" t="s">
        <v>666</v>
      </c>
      <c r="F1998" s="18" t="s">
        <v>105</v>
      </c>
      <c r="G1998" s="18" t="s">
        <v>48</v>
      </c>
      <c r="H1998" s="24">
        <v>26310</v>
      </c>
      <c r="I1998" s="24">
        <f>T_reg.root.SK[[#This Row],[Volume, kg]]/1000</f>
        <v>26.31</v>
      </c>
      <c r="J1998" s="25">
        <v>0.24309999999999998</v>
      </c>
      <c r="K1998" s="25">
        <f t="shared" si="31"/>
        <v>6395.9609999999993</v>
      </c>
      <c r="L1998" s="25">
        <v>3.62</v>
      </c>
      <c r="M1998" s="24">
        <v>95162</v>
      </c>
      <c r="N1998" s="25">
        <f>IFERROR(T_reg.root.SK[[#This Row],[Price]]/T_reg.root.SK[[#This Row],[Starch content]],"")</f>
        <v>14.890991361579598</v>
      </c>
    </row>
    <row r="1999" spans="1:14">
      <c r="A1999" s="21">
        <v>2023</v>
      </c>
      <c r="B1999" s="21" t="s">
        <v>29</v>
      </c>
      <c r="C1999" s="21" t="s">
        <v>1145</v>
      </c>
      <c r="D1999" s="21" t="s">
        <v>35</v>
      </c>
      <c r="E1999" s="17" t="s">
        <v>236</v>
      </c>
      <c r="F1999" s="18" t="s">
        <v>105</v>
      </c>
      <c r="G1999" s="18" t="s">
        <v>48</v>
      </c>
      <c r="H1999" s="24">
        <v>32560</v>
      </c>
      <c r="I1999" s="24">
        <f>T_reg.root.SK[[#This Row],[Volume, kg]]/1000</f>
        <v>32.56</v>
      </c>
      <c r="J1999" s="25">
        <v>0.2525</v>
      </c>
      <c r="K1999" s="25">
        <f t="shared" si="31"/>
        <v>8221.4</v>
      </c>
      <c r="L1999" s="25">
        <v>3.81</v>
      </c>
      <c r="M1999" s="24">
        <v>124077.5</v>
      </c>
      <c r="N1999" s="25">
        <f>IFERROR(T_reg.root.SK[[#This Row],[Price]]/T_reg.root.SK[[#This Row],[Starch content]],"")</f>
        <v>15.089108910891088</v>
      </c>
    </row>
    <row r="2000" spans="1:14">
      <c r="A2000" s="21">
        <v>2023</v>
      </c>
      <c r="B2000" s="21" t="s">
        <v>29</v>
      </c>
      <c r="C2000" s="21" t="s">
        <v>1145</v>
      </c>
      <c r="D2000" s="21" t="s">
        <v>35</v>
      </c>
      <c r="E2000" s="17" t="s">
        <v>296</v>
      </c>
      <c r="F2000" s="18" t="s">
        <v>105</v>
      </c>
      <c r="G2000" s="18" t="s">
        <v>48</v>
      </c>
      <c r="H2000" s="24">
        <v>143220</v>
      </c>
      <c r="I2000" s="24">
        <f>T_reg.root.SK[[#This Row],[Volume, kg]]/1000</f>
        <v>143.22</v>
      </c>
      <c r="J2000" s="25">
        <v>0.27679999999999999</v>
      </c>
      <c r="K2000" s="25">
        <f t="shared" si="31"/>
        <v>39643.296000000002</v>
      </c>
      <c r="L2000" s="25">
        <v>3.82</v>
      </c>
      <c r="M2000" s="24">
        <v>547729</v>
      </c>
      <c r="N2000" s="25">
        <f>IFERROR(T_reg.root.SK[[#This Row],[Price]]/T_reg.root.SK[[#This Row],[Starch content]],"")</f>
        <v>13.800578034682081</v>
      </c>
    </row>
    <row r="2001" spans="1:14">
      <c r="A2001" s="21">
        <v>2023</v>
      </c>
      <c r="B2001" s="21" t="s">
        <v>29</v>
      </c>
      <c r="C2001" s="21" t="s">
        <v>1145</v>
      </c>
      <c r="D2001" s="21" t="s">
        <v>35</v>
      </c>
      <c r="E2001" s="17" t="s">
        <v>297</v>
      </c>
      <c r="F2001" s="18" t="s">
        <v>105</v>
      </c>
      <c r="G2001" s="18" t="s">
        <v>48</v>
      </c>
      <c r="H2001" s="24">
        <v>8480</v>
      </c>
      <c r="I2001" s="24">
        <f>T_reg.root.SK[[#This Row],[Volume, kg]]/1000</f>
        <v>8.48</v>
      </c>
      <c r="J2001" s="25">
        <v>0.20800000000000002</v>
      </c>
      <c r="K2001" s="25">
        <f t="shared" si="31"/>
        <v>1763.8400000000001</v>
      </c>
      <c r="L2001" s="25">
        <v>3.5</v>
      </c>
      <c r="M2001" s="24">
        <v>29680</v>
      </c>
      <c r="N2001" s="25">
        <f>IFERROR(T_reg.root.SK[[#This Row],[Price]]/T_reg.root.SK[[#This Row],[Starch content]],"")</f>
        <v>16.826923076923077</v>
      </c>
    </row>
    <row r="2002" spans="1:14">
      <c r="A2002" s="21">
        <v>2023</v>
      </c>
      <c r="B2002" s="21" t="s">
        <v>29</v>
      </c>
      <c r="C2002" s="21" t="s">
        <v>1145</v>
      </c>
      <c r="D2002" s="21" t="s">
        <v>35</v>
      </c>
      <c r="E2002" s="17" t="s">
        <v>118</v>
      </c>
      <c r="F2002" s="18" t="s">
        <v>105</v>
      </c>
      <c r="G2002" s="18" t="s">
        <v>48</v>
      </c>
      <c r="H2002" s="24">
        <v>932980</v>
      </c>
      <c r="I2002" s="24">
        <f>T_reg.root.SK[[#This Row],[Volume, kg]]/1000</f>
        <v>932.98</v>
      </c>
      <c r="J2002" s="25">
        <v>0.24480000000000002</v>
      </c>
      <c r="K2002" s="25">
        <f t="shared" si="31"/>
        <v>228393.50400000002</v>
      </c>
      <c r="L2002" s="25">
        <v>3.76</v>
      </c>
      <c r="M2002" s="24">
        <v>3509646</v>
      </c>
      <c r="N2002" s="25">
        <f>IFERROR(T_reg.root.SK[[#This Row],[Price]]/T_reg.root.SK[[#This Row],[Starch content]],"")</f>
        <v>15.359477124183005</v>
      </c>
    </row>
    <row r="2003" spans="1:14">
      <c r="A2003" s="21">
        <v>2023</v>
      </c>
      <c r="B2003" s="21" t="s">
        <v>29</v>
      </c>
      <c r="C2003" s="21" t="s">
        <v>1145</v>
      </c>
      <c r="D2003" s="21" t="s">
        <v>35</v>
      </c>
      <c r="E2003" s="17" t="s">
        <v>122</v>
      </c>
      <c r="F2003" s="18" t="s">
        <v>105</v>
      </c>
      <c r="G2003" s="18" t="s">
        <v>48</v>
      </c>
      <c r="H2003" s="24">
        <v>23630</v>
      </c>
      <c r="I2003" s="24">
        <f>T_reg.root.SK[[#This Row],[Volume, kg]]/1000</f>
        <v>23.63</v>
      </c>
      <c r="J2003" s="25">
        <v>0.2334</v>
      </c>
      <c r="K2003" s="25">
        <f t="shared" si="31"/>
        <v>5515.2420000000002</v>
      </c>
      <c r="L2003" s="25">
        <v>3.7</v>
      </c>
      <c r="M2003" s="24">
        <v>87402</v>
      </c>
      <c r="N2003" s="25">
        <f>IFERROR(T_reg.root.SK[[#This Row],[Price]]/T_reg.root.SK[[#This Row],[Starch content]],"")</f>
        <v>15.85261353898886</v>
      </c>
    </row>
    <row r="2004" spans="1:14">
      <c r="A2004" s="21">
        <v>2023</v>
      </c>
      <c r="B2004" s="21" t="s">
        <v>29</v>
      </c>
      <c r="C2004" s="21" t="s">
        <v>1145</v>
      </c>
      <c r="D2004" s="21" t="s">
        <v>35</v>
      </c>
      <c r="E2004" s="17" t="s">
        <v>123</v>
      </c>
      <c r="F2004" s="18" t="s">
        <v>105</v>
      </c>
      <c r="G2004" s="18" t="s">
        <v>48</v>
      </c>
      <c r="H2004" s="24">
        <v>17600</v>
      </c>
      <c r="I2004" s="24">
        <f>T_reg.root.SK[[#This Row],[Volume, kg]]/1000</f>
        <v>17.600000000000001</v>
      </c>
      <c r="J2004" s="25">
        <v>0.26719999999999999</v>
      </c>
      <c r="K2004" s="25">
        <f t="shared" si="31"/>
        <v>4702.72</v>
      </c>
      <c r="L2004" s="25">
        <v>3.77</v>
      </c>
      <c r="M2004" s="24">
        <v>66413.5</v>
      </c>
      <c r="N2004" s="25">
        <f>IFERROR(T_reg.root.SK[[#This Row],[Price]]/T_reg.root.SK[[#This Row],[Starch content]],"")</f>
        <v>14.109281437125748</v>
      </c>
    </row>
    <row r="2005" spans="1:14">
      <c r="A2005" s="21">
        <v>2023</v>
      </c>
      <c r="B2005" s="21" t="s">
        <v>29</v>
      </c>
      <c r="C2005" s="21" t="s">
        <v>1145</v>
      </c>
      <c r="D2005" s="21" t="s">
        <v>35</v>
      </c>
      <c r="E2005" s="17" t="s">
        <v>239</v>
      </c>
      <c r="F2005" s="18" t="s">
        <v>105</v>
      </c>
      <c r="G2005" s="18" t="s">
        <v>48</v>
      </c>
      <c r="H2005" s="24">
        <v>16150</v>
      </c>
      <c r="I2005" s="24">
        <f>T_reg.root.SK[[#This Row],[Volume, kg]]/1000</f>
        <v>16.149999999999999</v>
      </c>
      <c r="J2005" s="25">
        <v>0.22260000000000002</v>
      </c>
      <c r="K2005" s="25">
        <f t="shared" si="31"/>
        <v>3594.9900000000002</v>
      </c>
      <c r="L2005" s="25">
        <v>3.57</v>
      </c>
      <c r="M2005" s="24">
        <v>57701</v>
      </c>
      <c r="N2005" s="25">
        <f>IFERROR(T_reg.root.SK[[#This Row],[Price]]/T_reg.root.SK[[#This Row],[Starch content]],"")</f>
        <v>16.037735849056602</v>
      </c>
    </row>
    <row r="2006" spans="1:14">
      <c r="A2006" s="21">
        <v>2023</v>
      </c>
      <c r="B2006" s="21" t="s">
        <v>29</v>
      </c>
      <c r="C2006" s="21" t="s">
        <v>1145</v>
      </c>
      <c r="D2006" s="21" t="s">
        <v>35</v>
      </c>
      <c r="E2006" s="17" t="s">
        <v>124</v>
      </c>
      <c r="F2006" s="18" t="s">
        <v>105</v>
      </c>
      <c r="G2006" s="18" t="s">
        <v>48</v>
      </c>
      <c r="H2006" s="24">
        <v>19900</v>
      </c>
      <c r="I2006" s="24">
        <f>T_reg.root.SK[[#This Row],[Volume, kg]]/1000</f>
        <v>19.899999999999999</v>
      </c>
      <c r="J2006" s="25">
        <v>0.25950000000000001</v>
      </c>
      <c r="K2006" s="25">
        <f t="shared" si="31"/>
        <v>5164.05</v>
      </c>
      <c r="L2006" s="25">
        <v>3.81</v>
      </c>
      <c r="M2006" s="24">
        <v>75741</v>
      </c>
      <c r="N2006" s="25">
        <f>IFERROR(T_reg.root.SK[[#This Row],[Price]]/T_reg.root.SK[[#This Row],[Starch content]],"")</f>
        <v>14.682080924855491</v>
      </c>
    </row>
    <row r="2007" spans="1:14">
      <c r="A2007" s="21">
        <v>2023</v>
      </c>
      <c r="B2007" s="21" t="s">
        <v>29</v>
      </c>
      <c r="C2007" s="21" t="s">
        <v>1145</v>
      </c>
      <c r="D2007" s="21" t="s">
        <v>35</v>
      </c>
      <c r="E2007" s="17" t="s">
        <v>616</v>
      </c>
      <c r="F2007" s="18" t="s">
        <v>105</v>
      </c>
      <c r="G2007" s="18" t="s">
        <v>48</v>
      </c>
      <c r="H2007" s="24">
        <v>17470</v>
      </c>
      <c r="I2007" s="24">
        <f>T_reg.root.SK[[#This Row],[Volume, kg]]/1000</f>
        <v>17.47</v>
      </c>
      <c r="J2007" s="25">
        <v>0.27729999999999999</v>
      </c>
      <c r="K2007" s="25">
        <f t="shared" si="31"/>
        <v>4844.4309999999996</v>
      </c>
      <c r="L2007" s="25">
        <v>3.85</v>
      </c>
      <c r="M2007" s="24">
        <v>67259.5</v>
      </c>
      <c r="N2007" s="25">
        <f>IFERROR(T_reg.root.SK[[#This Row],[Price]]/T_reg.root.SK[[#This Row],[Starch content]],"")</f>
        <v>13.883880274071403</v>
      </c>
    </row>
    <row r="2008" spans="1:14">
      <c r="A2008" s="21">
        <v>2023</v>
      </c>
      <c r="B2008" s="21" t="s">
        <v>29</v>
      </c>
      <c r="C2008" s="21" t="s">
        <v>1145</v>
      </c>
      <c r="D2008" s="21" t="s">
        <v>35</v>
      </c>
      <c r="E2008" s="17" t="s">
        <v>240</v>
      </c>
      <c r="F2008" s="18" t="s">
        <v>105</v>
      </c>
      <c r="G2008" s="18" t="s">
        <v>48</v>
      </c>
      <c r="H2008" s="24">
        <v>2070</v>
      </c>
      <c r="I2008" s="24">
        <f>T_reg.root.SK[[#This Row],[Volume, kg]]/1000</f>
        <v>2.0699999999999998</v>
      </c>
      <c r="J2008" s="25">
        <v>0.27800000000000002</v>
      </c>
      <c r="K2008" s="25">
        <f t="shared" si="31"/>
        <v>575.46</v>
      </c>
      <c r="L2008" s="25">
        <v>3.85</v>
      </c>
      <c r="M2008" s="24">
        <v>7969.5</v>
      </c>
      <c r="N2008" s="25">
        <f>IFERROR(T_reg.root.SK[[#This Row],[Price]]/T_reg.root.SK[[#This Row],[Starch content]],"")</f>
        <v>13.848920863309351</v>
      </c>
    </row>
    <row r="2009" spans="1:14">
      <c r="A2009" s="21">
        <v>2023</v>
      </c>
      <c r="B2009" s="21" t="s">
        <v>29</v>
      </c>
      <c r="C2009" s="21" t="s">
        <v>1145</v>
      </c>
      <c r="D2009" s="21" t="s">
        <v>35</v>
      </c>
      <c r="E2009" s="17" t="s">
        <v>667</v>
      </c>
      <c r="F2009" s="18" t="s">
        <v>105</v>
      </c>
      <c r="G2009" s="18" t="s">
        <v>48</v>
      </c>
      <c r="H2009" s="24">
        <v>9410</v>
      </c>
      <c r="I2009" s="24">
        <f>T_reg.root.SK[[#This Row],[Volume, kg]]/1000</f>
        <v>9.41</v>
      </c>
      <c r="J2009" s="25">
        <v>0.32500000000000001</v>
      </c>
      <c r="K2009" s="25">
        <f t="shared" si="31"/>
        <v>3058.25</v>
      </c>
      <c r="L2009" s="25">
        <v>4.2</v>
      </c>
      <c r="M2009" s="24">
        <v>39522</v>
      </c>
      <c r="N2009" s="25">
        <f>IFERROR(T_reg.root.SK[[#This Row],[Price]]/T_reg.root.SK[[#This Row],[Starch content]],"")</f>
        <v>12.923076923076923</v>
      </c>
    </row>
    <row r="2010" spans="1:14">
      <c r="A2010" s="21">
        <v>2023</v>
      </c>
      <c r="B2010" s="21" t="s">
        <v>29</v>
      </c>
      <c r="C2010" s="21" t="s">
        <v>1145</v>
      </c>
      <c r="D2010" s="21" t="s">
        <v>35</v>
      </c>
      <c r="E2010" s="17" t="s">
        <v>603</v>
      </c>
      <c r="F2010" s="18" t="s">
        <v>105</v>
      </c>
      <c r="G2010" s="18" t="s">
        <v>48</v>
      </c>
      <c r="H2010" s="24">
        <v>61240</v>
      </c>
      <c r="I2010" s="24">
        <f>T_reg.root.SK[[#This Row],[Volume, kg]]/1000</f>
        <v>61.24</v>
      </c>
      <c r="J2010" s="25">
        <v>0.26739999999999997</v>
      </c>
      <c r="K2010" s="25">
        <f t="shared" si="31"/>
        <v>16375.575999999999</v>
      </c>
      <c r="L2010" s="25">
        <v>3.79</v>
      </c>
      <c r="M2010" s="24">
        <v>232228</v>
      </c>
      <c r="N2010" s="25">
        <f>IFERROR(T_reg.root.SK[[#This Row],[Price]]/T_reg.root.SK[[#This Row],[Starch content]],"")</f>
        <v>14.173522812266269</v>
      </c>
    </row>
    <row r="2011" spans="1:14">
      <c r="A2011" s="21">
        <v>2023</v>
      </c>
      <c r="B2011" s="21" t="s">
        <v>29</v>
      </c>
      <c r="C2011" s="21" t="s">
        <v>1145</v>
      </c>
      <c r="D2011" s="21" t="s">
        <v>35</v>
      </c>
      <c r="E2011" s="17" t="s">
        <v>133</v>
      </c>
      <c r="F2011" s="18" t="s">
        <v>105</v>
      </c>
      <c r="G2011" s="18" t="s">
        <v>48</v>
      </c>
      <c r="H2011" s="24">
        <v>34820</v>
      </c>
      <c r="I2011" s="24">
        <f>T_reg.root.SK[[#This Row],[Volume, kg]]/1000</f>
        <v>34.82</v>
      </c>
      <c r="J2011" s="25">
        <v>0.2913</v>
      </c>
      <c r="K2011" s="25">
        <f t="shared" si="31"/>
        <v>10143.066000000001</v>
      </c>
      <c r="L2011" s="25">
        <v>3.93</v>
      </c>
      <c r="M2011" s="24">
        <v>136792</v>
      </c>
      <c r="N2011" s="25">
        <f>IFERROR(T_reg.root.SK[[#This Row],[Price]]/T_reg.root.SK[[#This Row],[Starch content]],"")</f>
        <v>13.49124613800206</v>
      </c>
    </row>
    <row r="2012" spans="1:14">
      <c r="A2012" s="21">
        <v>2023</v>
      </c>
      <c r="B2012" s="21" t="s">
        <v>29</v>
      </c>
      <c r="C2012" s="21" t="s">
        <v>1145</v>
      </c>
      <c r="D2012" s="21" t="s">
        <v>35</v>
      </c>
      <c r="E2012" s="17" t="s">
        <v>134</v>
      </c>
      <c r="F2012" s="18" t="s">
        <v>105</v>
      </c>
      <c r="G2012" s="18" t="s">
        <v>48</v>
      </c>
      <c r="H2012" s="24">
        <v>86630</v>
      </c>
      <c r="I2012" s="24">
        <f>T_reg.root.SK[[#This Row],[Volume, kg]]/1000</f>
        <v>86.63</v>
      </c>
      <c r="J2012" s="25">
        <v>0.2636</v>
      </c>
      <c r="K2012" s="25">
        <f t="shared" si="31"/>
        <v>22835.668000000001</v>
      </c>
      <c r="L2012" s="25">
        <v>3.79</v>
      </c>
      <c r="M2012" s="24">
        <v>327929</v>
      </c>
      <c r="N2012" s="25">
        <f>IFERROR(T_reg.root.SK[[#This Row],[Price]]/T_reg.root.SK[[#This Row],[Starch content]],"")</f>
        <v>14.377845220030348</v>
      </c>
    </row>
    <row r="2013" spans="1:14">
      <c r="A2013" s="21">
        <v>2023</v>
      </c>
      <c r="B2013" s="21" t="s">
        <v>29</v>
      </c>
      <c r="C2013" s="21" t="s">
        <v>1145</v>
      </c>
      <c r="D2013" s="21" t="s">
        <v>35</v>
      </c>
      <c r="E2013" s="17" t="s">
        <v>136</v>
      </c>
      <c r="F2013" s="18" t="s">
        <v>105</v>
      </c>
      <c r="G2013" s="18" t="s">
        <v>48</v>
      </c>
      <c r="H2013" s="24">
        <v>186800</v>
      </c>
      <c r="I2013" s="24">
        <f>T_reg.root.SK[[#This Row],[Volume, kg]]/1000</f>
        <v>186.8</v>
      </c>
      <c r="J2013" s="25">
        <v>0.26250000000000001</v>
      </c>
      <c r="K2013" s="25">
        <f t="shared" si="31"/>
        <v>49035</v>
      </c>
      <c r="L2013" s="25">
        <v>3.82</v>
      </c>
      <c r="M2013" s="24">
        <v>714388</v>
      </c>
      <c r="N2013" s="25">
        <f>IFERROR(T_reg.root.SK[[#This Row],[Price]]/T_reg.root.SK[[#This Row],[Starch content]],"")</f>
        <v>14.55238095238095</v>
      </c>
    </row>
    <row r="2014" spans="1:14">
      <c r="A2014" s="21">
        <v>2023</v>
      </c>
      <c r="B2014" s="21" t="s">
        <v>29</v>
      </c>
      <c r="C2014" s="21" t="s">
        <v>1145</v>
      </c>
      <c r="D2014" s="21" t="s">
        <v>35</v>
      </c>
      <c r="E2014" s="17" t="s">
        <v>493</v>
      </c>
      <c r="F2014" s="18" t="s">
        <v>105</v>
      </c>
      <c r="G2014" s="18" t="s">
        <v>48</v>
      </c>
      <c r="H2014" s="24">
        <v>51430</v>
      </c>
      <c r="I2014" s="24">
        <f>T_reg.root.SK[[#This Row],[Volume, kg]]/1000</f>
        <v>51.43</v>
      </c>
      <c r="J2014" s="25">
        <v>0.25869999999999999</v>
      </c>
      <c r="K2014" s="25">
        <f t="shared" si="31"/>
        <v>13304.940999999999</v>
      </c>
      <c r="L2014" s="25">
        <v>3.79</v>
      </c>
      <c r="M2014" s="24">
        <v>194950.5</v>
      </c>
      <c r="N2014" s="25">
        <f>IFERROR(T_reg.root.SK[[#This Row],[Price]]/T_reg.root.SK[[#This Row],[Starch content]],"")</f>
        <v>14.650173946656359</v>
      </c>
    </row>
    <row r="2015" spans="1:14">
      <c r="A2015" s="21">
        <v>2023</v>
      </c>
      <c r="B2015" s="21" t="s">
        <v>29</v>
      </c>
      <c r="C2015" s="21" t="s">
        <v>1145</v>
      </c>
      <c r="D2015" s="21" t="s">
        <v>35</v>
      </c>
      <c r="E2015" s="17" t="s">
        <v>138</v>
      </c>
      <c r="F2015" s="18" t="s">
        <v>105</v>
      </c>
      <c r="G2015" s="18" t="s">
        <v>48</v>
      </c>
      <c r="H2015" s="24">
        <v>370260</v>
      </c>
      <c r="I2015" s="24">
        <f>T_reg.root.SK[[#This Row],[Volume, kg]]/1000</f>
        <v>370.26</v>
      </c>
      <c r="J2015" s="25">
        <v>0.25140000000000001</v>
      </c>
      <c r="K2015" s="25">
        <f t="shared" si="31"/>
        <v>93083.364000000001</v>
      </c>
      <c r="L2015" s="25">
        <v>3.78</v>
      </c>
      <c r="M2015" s="24">
        <v>1398663.5</v>
      </c>
      <c r="N2015" s="25">
        <f>IFERROR(T_reg.root.SK[[#This Row],[Price]]/T_reg.root.SK[[#This Row],[Starch content]],"")</f>
        <v>15.035799522673029</v>
      </c>
    </row>
    <row r="2016" spans="1:14">
      <c r="A2016" s="21">
        <v>2023</v>
      </c>
      <c r="B2016" s="21" t="s">
        <v>29</v>
      </c>
      <c r="C2016" s="21" t="s">
        <v>1145</v>
      </c>
      <c r="D2016" s="21" t="s">
        <v>35</v>
      </c>
      <c r="E2016" s="17" t="s">
        <v>140</v>
      </c>
      <c r="F2016" s="18" t="s">
        <v>105</v>
      </c>
      <c r="G2016" s="18" t="s">
        <v>48</v>
      </c>
      <c r="H2016" s="24">
        <v>18010</v>
      </c>
      <c r="I2016" s="24">
        <f>T_reg.root.SK[[#This Row],[Volume, kg]]/1000</f>
        <v>18.010000000000002</v>
      </c>
      <c r="J2016" s="25">
        <v>0.28199999999999997</v>
      </c>
      <c r="K2016" s="25">
        <f t="shared" si="31"/>
        <v>5078.82</v>
      </c>
      <c r="L2016" s="25">
        <v>3.85</v>
      </c>
      <c r="M2016" s="24">
        <v>69338.5</v>
      </c>
      <c r="N2016" s="25">
        <f>IFERROR(T_reg.root.SK[[#This Row],[Price]]/T_reg.root.SK[[#This Row],[Starch content]],"")</f>
        <v>13.652482269503547</v>
      </c>
    </row>
    <row r="2017" spans="1:14">
      <c r="A2017" s="21">
        <v>2023</v>
      </c>
      <c r="B2017" s="21" t="s">
        <v>29</v>
      </c>
      <c r="C2017" s="21" t="s">
        <v>1145</v>
      </c>
      <c r="D2017" s="21" t="s">
        <v>35</v>
      </c>
      <c r="E2017" s="17" t="s">
        <v>307</v>
      </c>
      <c r="F2017" s="18" t="s">
        <v>105</v>
      </c>
      <c r="G2017" s="18" t="s">
        <v>48</v>
      </c>
      <c r="H2017" s="24">
        <v>28050</v>
      </c>
      <c r="I2017" s="24">
        <f>T_reg.root.SK[[#This Row],[Volume, kg]]/1000</f>
        <v>28.05</v>
      </c>
      <c r="J2017" s="25">
        <v>0.25359999999999999</v>
      </c>
      <c r="K2017" s="25">
        <f t="shared" si="31"/>
        <v>7113.48</v>
      </c>
      <c r="L2017" s="25">
        <v>3.68</v>
      </c>
      <c r="M2017" s="24">
        <v>103279.5</v>
      </c>
      <c r="N2017" s="25">
        <f>IFERROR(T_reg.root.SK[[#This Row],[Price]]/T_reg.root.SK[[#This Row],[Starch content]],"")</f>
        <v>14.511041009463723</v>
      </c>
    </row>
    <row r="2018" spans="1:14">
      <c r="A2018" s="21">
        <v>2023</v>
      </c>
      <c r="B2018" s="21" t="s">
        <v>29</v>
      </c>
      <c r="C2018" s="21" t="s">
        <v>1145</v>
      </c>
      <c r="D2018" s="21" t="s">
        <v>35</v>
      </c>
      <c r="E2018" s="17" t="s">
        <v>245</v>
      </c>
      <c r="F2018" s="18" t="s">
        <v>105</v>
      </c>
      <c r="G2018" s="18" t="s">
        <v>48</v>
      </c>
      <c r="H2018" s="24">
        <v>46430</v>
      </c>
      <c r="I2018" s="24">
        <f>T_reg.root.SK[[#This Row],[Volume, kg]]/1000</f>
        <v>46.43</v>
      </c>
      <c r="J2018" s="25">
        <v>0.24350000000000002</v>
      </c>
      <c r="K2018" s="25">
        <f t="shared" si="31"/>
        <v>11305.705000000002</v>
      </c>
      <c r="L2018" s="25">
        <v>3.74</v>
      </c>
      <c r="M2018" s="24">
        <v>173512</v>
      </c>
      <c r="N2018" s="25">
        <f>IFERROR(T_reg.root.SK[[#This Row],[Price]]/T_reg.root.SK[[#This Row],[Starch content]],"")</f>
        <v>15.359342915811087</v>
      </c>
    </row>
    <row r="2019" spans="1:14">
      <c r="A2019" s="21">
        <v>2023</v>
      </c>
      <c r="B2019" s="21" t="s">
        <v>29</v>
      </c>
      <c r="C2019" s="21" t="s">
        <v>1145</v>
      </c>
      <c r="D2019" s="21" t="s">
        <v>35</v>
      </c>
      <c r="E2019" s="17" t="s">
        <v>309</v>
      </c>
      <c r="F2019" s="18" t="s">
        <v>105</v>
      </c>
      <c r="G2019" s="18" t="s">
        <v>48</v>
      </c>
      <c r="H2019" s="24">
        <v>5180</v>
      </c>
      <c r="I2019" s="24">
        <f>T_reg.root.SK[[#This Row],[Volume, kg]]/1000</f>
        <v>5.18</v>
      </c>
      <c r="J2019" s="25">
        <v>0.23749999999999999</v>
      </c>
      <c r="K2019" s="25">
        <f t="shared" si="31"/>
        <v>1230.25</v>
      </c>
      <c r="L2019" s="25">
        <v>3.75</v>
      </c>
      <c r="M2019" s="24">
        <v>19425</v>
      </c>
      <c r="N2019" s="25">
        <f>IFERROR(T_reg.root.SK[[#This Row],[Price]]/T_reg.root.SK[[#This Row],[Starch content]],"")</f>
        <v>15.789473684210527</v>
      </c>
    </row>
    <row r="2020" spans="1:14">
      <c r="A2020" s="21">
        <v>2023</v>
      </c>
      <c r="B2020" s="21" t="s">
        <v>29</v>
      </c>
      <c r="C2020" s="21" t="s">
        <v>1145</v>
      </c>
      <c r="D2020" s="21" t="s">
        <v>35</v>
      </c>
      <c r="E2020" s="17" t="s">
        <v>246</v>
      </c>
      <c r="F2020" s="18" t="s">
        <v>105</v>
      </c>
      <c r="G2020" s="18" t="s">
        <v>48</v>
      </c>
      <c r="H2020" s="24">
        <v>21240</v>
      </c>
      <c r="I2020" s="24">
        <f>T_reg.root.SK[[#This Row],[Volume, kg]]/1000</f>
        <v>21.24</v>
      </c>
      <c r="J2020" s="25">
        <v>0.2702</v>
      </c>
      <c r="K2020" s="25">
        <f t="shared" si="31"/>
        <v>5739.0479999999998</v>
      </c>
      <c r="L2020" s="25">
        <v>3.8</v>
      </c>
      <c r="M2020" s="24">
        <v>80712</v>
      </c>
      <c r="N2020" s="25">
        <f>IFERROR(T_reg.root.SK[[#This Row],[Price]]/T_reg.root.SK[[#This Row],[Starch content]],"")</f>
        <v>14.063656550703183</v>
      </c>
    </row>
    <row r="2021" spans="1:14">
      <c r="A2021" s="21">
        <v>2023</v>
      </c>
      <c r="B2021" s="21" t="s">
        <v>29</v>
      </c>
      <c r="C2021" s="21" t="s">
        <v>1145</v>
      </c>
      <c r="D2021" s="21" t="s">
        <v>35</v>
      </c>
      <c r="E2021" s="17" t="s">
        <v>497</v>
      </c>
      <c r="F2021" s="18" t="s">
        <v>105</v>
      </c>
      <c r="G2021" s="18" t="s">
        <v>48</v>
      </c>
      <c r="H2021" s="24">
        <v>13470</v>
      </c>
      <c r="I2021" s="24">
        <f>T_reg.root.SK[[#This Row],[Volume, kg]]/1000</f>
        <v>13.47</v>
      </c>
      <c r="J2021" s="25">
        <v>0.27600000000000002</v>
      </c>
      <c r="K2021" s="25">
        <f t="shared" si="31"/>
        <v>3717.7200000000003</v>
      </c>
      <c r="L2021" s="25">
        <v>3.77</v>
      </c>
      <c r="M2021" s="24">
        <v>50815</v>
      </c>
      <c r="N2021" s="25">
        <f>IFERROR(T_reg.root.SK[[#This Row],[Price]]/T_reg.root.SK[[#This Row],[Starch content]],"")</f>
        <v>13.659420289855071</v>
      </c>
    </row>
    <row r="2022" spans="1:14">
      <c r="A2022" s="21">
        <v>2023</v>
      </c>
      <c r="B2022" s="21" t="s">
        <v>29</v>
      </c>
      <c r="C2022" s="21" t="s">
        <v>1145</v>
      </c>
      <c r="D2022" s="21" t="s">
        <v>35</v>
      </c>
      <c r="E2022" s="17" t="s">
        <v>568</v>
      </c>
      <c r="F2022" s="18" t="s">
        <v>105</v>
      </c>
      <c r="G2022" s="18" t="s">
        <v>48</v>
      </c>
      <c r="H2022" s="24">
        <v>8820</v>
      </c>
      <c r="I2022" s="24">
        <f>T_reg.root.SK[[#This Row],[Volume, kg]]/1000</f>
        <v>8.82</v>
      </c>
      <c r="J2022" s="25">
        <v>0.26700000000000002</v>
      </c>
      <c r="K2022" s="25">
        <f t="shared" si="31"/>
        <v>2354.94</v>
      </c>
      <c r="L2022" s="25">
        <v>3.9</v>
      </c>
      <c r="M2022" s="24">
        <v>34398</v>
      </c>
      <c r="N2022" s="25">
        <f>IFERROR(T_reg.root.SK[[#This Row],[Price]]/T_reg.root.SK[[#This Row],[Starch content]],"")</f>
        <v>14.606741573033707</v>
      </c>
    </row>
    <row r="2023" spans="1:14">
      <c r="A2023" s="21">
        <v>2023</v>
      </c>
      <c r="B2023" s="21" t="s">
        <v>29</v>
      </c>
      <c r="C2023" s="21" t="s">
        <v>1145</v>
      </c>
      <c r="D2023" s="21" t="s">
        <v>35</v>
      </c>
      <c r="E2023" s="17" t="s">
        <v>247</v>
      </c>
      <c r="F2023" s="18" t="s">
        <v>105</v>
      </c>
      <c r="G2023" s="18" t="s">
        <v>48</v>
      </c>
      <c r="H2023" s="24">
        <v>77330</v>
      </c>
      <c r="I2023" s="24">
        <f>T_reg.root.SK[[#This Row],[Volume, kg]]/1000</f>
        <v>77.33</v>
      </c>
      <c r="J2023" s="25">
        <v>0.21940000000000001</v>
      </c>
      <c r="K2023" s="25">
        <f t="shared" si="31"/>
        <v>16966.202000000001</v>
      </c>
      <c r="L2023" s="25">
        <v>3.56</v>
      </c>
      <c r="M2023" s="24">
        <v>275041</v>
      </c>
      <c r="N2023" s="25">
        <f>IFERROR(T_reg.root.SK[[#This Row],[Price]]/T_reg.root.SK[[#This Row],[Starch content]],"")</f>
        <v>16.226071103008202</v>
      </c>
    </row>
    <row r="2024" spans="1:14">
      <c r="A2024" s="21">
        <v>2023</v>
      </c>
      <c r="B2024" s="21" t="s">
        <v>29</v>
      </c>
      <c r="C2024" s="21" t="s">
        <v>1145</v>
      </c>
      <c r="D2024" s="21" t="s">
        <v>35</v>
      </c>
      <c r="E2024" s="17" t="s">
        <v>144</v>
      </c>
      <c r="F2024" s="18" t="s">
        <v>105</v>
      </c>
      <c r="G2024" s="18" t="s">
        <v>48</v>
      </c>
      <c r="H2024" s="24">
        <v>124400</v>
      </c>
      <c r="I2024" s="24">
        <f>T_reg.root.SK[[#This Row],[Volume, kg]]/1000</f>
        <v>124.4</v>
      </c>
      <c r="J2024" s="25">
        <v>0.26450000000000001</v>
      </c>
      <c r="K2024" s="25">
        <f t="shared" si="31"/>
        <v>32903.800000000003</v>
      </c>
      <c r="L2024" s="25">
        <v>3.76</v>
      </c>
      <c r="M2024" s="24">
        <v>467809.5</v>
      </c>
      <c r="N2024" s="25">
        <f>IFERROR(T_reg.root.SK[[#This Row],[Price]]/T_reg.root.SK[[#This Row],[Starch content]],"")</f>
        <v>14.215500945179583</v>
      </c>
    </row>
    <row r="2025" spans="1:14">
      <c r="A2025" s="21">
        <v>2023</v>
      </c>
      <c r="B2025" s="21" t="s">
        <v>29</v>
      </c>
      <c r="C2025" s="21" t="s">
        <v>1145</v>
      </c>
      <c r="D2025" s="21" t="s">
        <v>35</v>
      </c>
      <c r="E2025" s="17" t="s">
        <v>361</v>
      </c>
      <c r="F2025" s="18" t="s">
        <v>105</v>
      </c>
      <c r="G2025" s="18" t="s">
        <v>48</v>
      </c>
      <c r="H2025" s="24">
        <v>60820</v>
      </c>
      <c r="I2025" s="24">
        <f>T_reg.root.SK[[#This Row],[Volume, kg]]/1000</f>
        <v>60.82</v>
      </c>
      <c r="J2025" s="25">
        <v>0.253</v>
      </c>
      <c r="K2025" s="25">
        <f t="shared" si="31"/>
        <v>15387.460000000001</v>
      </c>
      <c r="L2025" s="25">
        <v>3.78</v>
      </c>
      <c r="M2025" s="24">
        <v>230017.5</v>
      </c>
      <c r="N2025" s="25">
        <f>IFERROR(T_reg.root.SK[[#This Row],[Price]]/T_reg.root.SK[[#This Row],[Starch content]],"")</f>
        <v>14.940711462450592</v>
      </c>
    </row>
    <row r="2026" spans="1:14">
      <c r="A2026" s="21">
        <v>2023</v>
      </c>
      <c r="B2026" s="21" t="s">
        <v>29</v>
      </c>
      <c r="C2026" s="21" t="s">
        <v>1145</v>
      </c>
      <c r="D2026" s="21" t="s">
        <v>35</v>
      </c>
      <c r="E2026" s="17" t="s">
        <v>146</v>
      </c>
      <c r="F2026" s="18" t="s">
        <v>105</v>
      </c>
      <c r="G2026" s="18" t="s">
        <v>48</v>
      </c>
      <c r="H2026" s="24">
        <v>232340</v>
      </c>
      <c r="I2026" s="24">
        <f>T_reg.root.SK[[#This Row],[Volume, kg]]/1000</f>
        <v>232.34</v>
      </c>
      <c r="J2026" s="25">
        <v>0.25170000000000003</v>
      </c>
      <c r="K2026" s="25">
        <f t="shared" si="31"/>
        <v>58479.97800000001</v>
      </c>
      <c r="L2026" s="25">
        <v>3.83</v>
      </c>
      <c r="M2026" s="24">
        <v>889510.5</v>
      </c>
      <c r="N2026" s="25">
        <f>IFERROR(T_reg.root.SK[[#This Row],[Price]]/T_reg.root.SK[[#This Row],[Starch content]],"")</f>
        <v>15.216527612236789</v>
      </c>
    </row>
    <row r="2027" spans="1:14">
      <c r="A2027" s="21">
        <v>2023</v>
      </c>
      <c r="B2027" s="21" t="s">
        <v>29</v>
      </c>
      <c r="C2027" s="21" t="s">
        <v>1145</v>
      </c>
      <c r="D2027" s="21" t="s">
        <v>35</v>
      </c>
      <c r="E2027" s="17" t="s">
        <v>668</v>
      </c>
      <c r="F2027" s="18" t="s">
        <v>105</v>
      </c>
      <c r="G2027" s="18" t="s">
        <v>48</v>
      </c>
      <c r="H2027" s="24">
        <v>119680</v>
      </c>
      <c r="I2027" s="24">
        <f>T_reg.root.SK[[#This Row],[Volume, kg]]/1000</f>
        <v>119.68</v>
      </c>
      <c r="J2027" s="25">
        <v>0.25329999999999997</v>
      </c>
      <c r="K2027" s="25">
        <f t="shared" si="31"/>
        <v>30314.943999999996</v>
      </c>
      <c r="L2027" s="25">
        <v>3.7</v>
      </c>
      <c r="M2027" s="24">
        <v>442455</v>
      </c>
      <c r="N2027" s="25">
        <f>IFERROR(T_reg.root.SK[[#This Row],[Price]]/T_reg.root.SK[[#This Row],[Starch content]],"")</f>
        <v>14.607185155941574</v>
      </c>
    </row>
    <row r="2028" spans="1:14">
      <c r="A2028" s="21">
        <v>2023</v>
      </c>
      <c r="B2028" s="21" t="s">
        <v>29</v>
      </c>
      <c r="C2028" s="21" t="s">
        <v>1145</v>
      </c>
      <c r="D2028" s="21" t="s">
        <v>35</v>
      </c>
      <c r="E2028" s="17" t="s">
        <v>147</v>
      </c>
      <c r="F2028" s="18" t="s">
        <v>105</v>
      </c>
      <c r="G2028" s="18" t="s">
        <v>48</v>
      </c>
      <c r="H2028" s="24">
        <v>92360</v>
      </c>
      <c r="I2028" s="24">
        <f>T_reg.root.SK[[#This Row],[Volume, kg]]/1000</f>
        <v>92.36</v>
      </c>
      <c r="J2028" s="25">
        <v>0.25309999999999999</v>
      </c>
      <c r="K2028" s="25">
        <f t="shared" si="31"/>
        <v>23376.315999999999</v>
      </c>
      <c r="L2028" s="25">
        <v>3.83</v>
      </c>
      <c r="M2028" s="24">
        <v>353729.5</v>
      </c>
      <c r="N2028" s="25">
        <f>IFERROR(T_reg.root.SK[[#This Row],[Price]]/T_reg.root.SK[[#This Row],[Starch content]],"")</f>
        <v>15.132358751481629</v>
      </c>
    </row>
    <row r="2029" spans="1:14">
      <c r="A2029" s="21">
        <v>2023</v>
      </c>
      <c r="B2029" s="21" t="s">
        <v>29</v>
      </c>
      <c r="C2029" s="21" t="s">
        <v>1145</v>
      </c>
      <c r="D2029" s="21" t="s">
        <v>35</v>
      </c>
      <c r="E2029" s="17" t="s">
        <v>363</v>
      </c>
      <c r="F2029" s="18" t="s">
        <v>105</v>
      </c>
      <c r="G2029" s="18" t="s">
        <v>48</v>
      </c>
      <c r="H2029" s="24">
        <v>19930</v>
      </c>
      <c r="I2029" s="24">
        <f>T_reg.root.SK[[#This Row],[Volume, kg]]/1000</f>
        <v>19.93</v>
      </c>
      <c r="J2029" s="25">
        <v>0.2409</v>
      </c>
      <c r="K2029" s="25">
        <f t="shared" si="31"/>
        <v>4801.1369999999997</v>
      </c>
      <c r="L2029" s="25">
        <v>3.69</v>
      </c>
      <c r="M2029" s="24">
        <v>73506.5</v>
      </c>
      <c r="N2029" s="25">
        <f>IFERROR(T_reg.root.SK[[#This Row],[Price]]/T_reg.root.SK[[#This Row],[Starch content]],"")</f>
        <v>15.317559153175591</v>
      </c>
    </row>
    <row r="2030" spans="1:14">
      <c r="A2030" s="21">
        <v>2023</v>
      </c>
      <c r="B2030" s="21" t="s">
        <v>29</v>
      </c>
      <c r="C2030" s="21" t="s">
        <v>1145</v>
      </c>
      <c r="D2030" s="21" t="s">
        <v>35</v>
      </c>
      <c r="E2030" s="17" t="s">
        <v>148</v>
      </c>
      <c r="F2030" s="18" t="s">
        <v>105</v>
      </c>
      <c r="G2030" s="18" t="s">
        <v>48</v>
      </c>
      <c r="H2030" s="24">
        <v>25480</v>
      </c>
      <c r="I2030" s="24">
        <f>T_reg.root.SK[[#This Row],[Volume, kg]]/1000</f>
        <v>25.48</v>
      </c>
      <c r="J2030" s="25">
        <v>0.25650000000000001</v>
      </c>
      <c r="K2030" s="25">
        <f t="shared" si="31"/>
        <v>6535.62</v>
      </c>
      <c r="L2030" s="25">
        <v>3.77</v>
      </c>
      <c r="M2030" s="24">
        <v>95970.5</v>
      </c>
      <c r="N2030" s="25">
        <f>IFERROR(T_reg.root.SK[[#This Row],[Price]]/T_reg.root.SK[[#This Row],[Starch content]],"")</f>
        <v>14.69785575048733</v>
      </c>
    </row>
    <row r="2031" spans="1:14">
      <c r="A2031" s="21">
        <v>2023</v>
      </c>
      <c r="B2031" s="21" t="s">
        <v>29</v>
      </c>
      <c r="C2031" s="21" t="s">
        <v>1145</v>
      </c>
      <c r="D2031" s="21" t="s">
        <v>35</v>
      </c>
      <c r="E2031" s="17" t="s">
        <v>150</v>
      </c>
      <c r="F2031" s="18" t="s">
        <v>105</v>
      </c>
      <c r="G2031" s="18" t="s">
        <v>48</v>
      </c>
      <c r="H2031" s="24">
        <v>49130</v>
      </c>
      <c r="I2031" s="24">
        <f>T_reg.root.SK[[#This Row],[Volume, kg]]/1000</f>
        <v>49.13</v>
      </c>
      <c r="J2031" s="25">
        <v>0.27329999999999999</v>
      </c>
      <c r="K2031" s="25">
        <f t="shared" si="31"/>
        <v>13427.228999999999</v>
      </c>
      <c r="L2031" s="25">
        <v>3.97</v>
      </c>
      <c r="M2031" s="24">
        <v>195254</v>
      </c>
      <c r="N2031" s="25">
        <f>IFERROR(T_reg.root.SK[[#This Row],[Price]]/T_reg.root.SK[[#This Row],[Starch content]],"")</f>
        <v>14.526161727039884</v>
      </c>
    </row>
    <row r="2032" spans="1:14">
      <c r="A2032" s="21">
        <v>2023</v>
      </c>
      <c r="B2032" s="21" t="s">
        <v>29</v>
      </c>
      <c r="C2032" s="21" t="s">
        <v>1145</v>
      </c>
      <c r="D2032" s="21" t="s">
        <v>35</v>
      </c>
      <c r="E2032" s="17" t="s">
        <v>151</v>
      </c>
      <c r="F2032" s="18" t="s">
        <v>105</v>
      </c>
      <c r="G2032" s="18" t="s">
        <v>48</v>
      </c>
      <c r="H2032" s="24">
        <v>452560</v>
      </c>
      <c r="I2032" s="24">
        <f>T_reg.root.SK[[#This Row],[Volume, kg]]/1000</f>
        <v>452.56</v>
      </c>
      <c r="J2032" s="25">
        <v>0.25819999999999999</v>
      </c>
      <c r="K2032" s="25">
        <f t="shared" si="31"/>
        <v>116850.992</v>
      </c>
      <c r="L2032" s="25">
        <v>3.83</v>
      </c>
      <c r="M2032" s="24">
        <v>1731731.5</v>
      </c>
      <c r="N2032" s="25">
        <f>IFERROR(T_reg.root.SK[[#This Row],[Price]]/T_reg.root.SK[[#This Row],[Starch content]],"")</f>
        <v>14.833462432223085</v>
      </c>
    </row>
    <row r="2033" spans="1:14">
      <c r="A2033" s="21">
        <v>2023</v>
      </c>
      <c r="B2033" s="21" t="s">
        <v>29</v>
      </c>
      <c r="C2033" s="21" t="s">
        <v>1145</v>
      </c>
      <c r="D2033" s="21" t="s">
        <v>35</v>
      </c>
      <c r="E2033" s="17" t="s">
        <v>669</v>
      </c>
      <c r="F2033" s="18" t="s">
        <v>105</v>
      </c>
      <c r="G2033" s="18" t="s">
        <v>48</v>
      </c>
      <c r="H2033" s="24">
        <v>30510</v>
      </c>
      <c r="I2033" s="24">
        <f>T_reg.root.SK[[#This Row],[Volume, kg]]/1000</f>
        <v>30.51</v>
      </c>
      <c r="J2033" s="25">
        <v>0.2737</v>
      </c>
      <c r="K2033" s="25">
        <f t="shared" si="31"/>
        <v>8350.5869999999995</v>
      </c>
      <c r="L2033" s="25">
        <v>3.94</v>
      </c>
      <c r="M2033" s="24">
        <v>120170</v>
      </c>
      <c r="N2033" s="25">
        <f>IFERROR(T_reg.root.SK[[#This Row],[Price]]/T_reg.root.SK[[#This Row],[Starch content]],"")</f>
        <v>14.395323346729997</v>
      </c>
    </row>
    <row r="2034" spans="1:14">
      <c r="A2034" s="21">
        <v>2023</v>
      </c>
      <c r="B2034" s="21" t="s">
        <v>29</v>
      </c>
      <c r="C2034" s="21" t="s">
        <v>1145</v>
      </c>
      <c r="D2034" s="21" t="s">
        <v>35</v>
      </c>
      <c r="E2034" s="17" t="s">
        <v>152</v>
      </c>
      <c r="F2034" s="18" t="s">
        <v>105</v>
      </c>
      <c r="G2034" s="18" t="s">
        <v>48</v>
      </c>
      <c r="H2034" s="24">
        <v>46850</v>
      </c>
      <c r="I2034" s="24">
        <f>T_reg.root.SK[[#This Row],[Volume, kg]]/1000</f>
        <v>46.85</v>
      </c>
      <c r="J2034" s="25">
        <v>0.25989999999999996</v>
      </c>
      <c r="K2034" s="25">
        <f t="shared" si="31"/>
        <v>12176.314999999999</v>
      </c>
      <c r="L2034" s="25">
        <v>3.75</v>
      </c>
      <c r="M2034" s="24">
        <v>175902.5</v>
      </c>
      <c r="N2034" s="25">
        <f>IFERROR(T_reg.root.SK[[#This Row],[Price]]/T_reg.root.SK[[#This Row],[Starch content]],"")</f>
        <v>14.428626394767219</v>
      </c>
    </row>
    <row r="2035" spans="1:14">
      <c r="A2035" s="21">
        <v>2023</v>
      </c>
      <c r="B2035" s="21" t="s">
        <v>29</v>
      </c>
      <c r="C2035" s="21" t="s">
        <v>1145</v>
      </c>
      <c r="D2035" s="21" t="s">
        <v>35</v>
      </c>
      <c r="E2035" s="17" t="s">
        <v>571</v>
      </c>
      <c r="F2035" s="18" t="s">
        <v>105</v>
      </c>
      <c r="G2035" s="18" t="s">
        <v>48</v>
      </c>
      <c r="H2035" s="24">
        <v>9930</v>
      </c>
      <c r="I2035" s="24">
        <f>T_reg.root.SK[[#This Row],[Volume, kg]]/1000</f>
        <v>9.93</v>
      </c>
      <c r="J2035" s="25">
        <v>0.28149999999999997</v>
      </c>
      <c r="K2035" s="25">
        <f t="shared" si="31"/>
        <v>2795.2949999999996</v>
      </c>
      <c r="L2035" s="25">
        <v>3.8</v>
      </c>
      <c r="M2035" s="24">
        <v>37734</v>
      </c>
      <c r="N2035" s="25">
        <f>IFERROR(T_reg.root.SK[[#This Row],[Price]]/T_reg.root.SK[[#This Row],[Starch content]],"")</f>
        <v>13.49911190053286</v>
      </c>
    </row>
    <row r="2036" spans="1:14">
      <c r="A2036" s="21">
        <v>2023</v>
      </c>
      <c r="B2036" s="21" t="s">
        <v>29</v>
      </c>
      <c r="C2036" s="21" t="s">
        <v>1145</v>
      </c>
      <c r="D2036" s="21" t="s">
        <v>35</v>
      </c>
      <c r="E2036" s="17" t="s">
        <v>153</v>
      </c>
      <c r="F2036" s="18" t="s">
        <v>105</v>
      </c>
      <c r="G2036" s="18" t="s">
        <v>48</v>
      </c>
      <c r="H2036" s="24">
        <v>7590</v>
      </c>
      <c r="I2036" s="24">
        <f>T_reg.root.SK[[#This Row],[Volume, kg]]/1000</f>
        <v>7.59</v>
      </c>
      <c r="J2036" s="25">
        <v>0.25879999999999997</v>
      </c>
      <c r="K2036" s="25">
        <f t="shared" si="31"/>
        <v>1964.2919999999999</v>
      </c>
      <c r="L2036" s="25">
        <v>3.79</v>
      </c>
      <c r="M2036" s="24">
        <v>28791</v>
      </c>
      <c r="N2036" s="25">
        <f>IFERROR(T_reg.root.SK[[#This Row],[Price]]/T_reg.root.SK[[#This Row],[Starch content]],"")</f>
        <v>14.644513137557961</v>
      </c>
    </row>
    <row r="2037" spans="1:14">
      <c r="A2037" s="21">
        <v>2023</v>
      </c>
      <c r="B2037" s="21" t="s">
        <v>29</v>
      </c>
      <c r="C2037" s="21" t="s">
        <v>1145</v>
      </c>
      <c r="D2037" s="21" t="s">
        <v>35</v>
      </c>
      <c r="E2037" s="17" t="s">
        <v>155</v>
      </c>
      <c r="F2037" s="18" t="s">
        <v>105</v>
      </c>
      <c r="G2037" s="18" t="s">
        <v>48</v>
      </c>
      <c r="H2037" s="24">
        <v>56120</v>
      </c>
      <c r="I2037" s="24">
        <f>T_reg.root.SK[[#This Row],[Volume, kg]]/1000</f>
        <v>56.12</v>
      </c>
      <c r="J2037" s="25">
        <v>0.25090000000000001</v>
      </c>
      <c r="K2037" s="25">
        <f t="shared" si="31"/>
        <v>14080.508</v>
      </c>
      <c r="L2037" s="25">
        <v>3.7</v>
      </c>
      <c r="M2037" s="24">
        <v>207868</v>
      </c>
      <c r="N2037" s="25">
        <f>IFERROR(T_reg.root.SK[[#This Row],[Price]]/T_reg.root.SK[[#This Row],[Starch content]],"")</f>
        <v>14.746911119968114</v>
      </c>
    </row>
    <row r="2038" spans="1:14">
      <c r="A2038" s="21">
        <v>2023</v>
      </c>
      <c r="B2038" s="21" t="s">
        <v>29</v>
      </c>
      <c r="C2038" s="21" t="s">
        <v>1145</v>
      </c>
      <c r="D2038" s="21" t="s">
        <v>35</v>
      </c>
      <c r="E2038" s="17" t="s">
        <v>159</v>
      </c>
      <c r="F2038" s="18" t="s">
        <v>105</v>
      </c>
      <c r="G2038" s="18" t="s">
        <v>48</v>
      </c>
      <c r="H2038" s="24">
        <v>1024020</v>
      </c>
      <c r="I2038" s="24">
        <f>T_reg.root.SK[[#This Row],[Volume, kg]]/1000</f>
        <v>1024.02</v>
      </c>
      <c r="J2038" s="25">
        <v>0.26190000000000002</v>
      </c>
      <c r="K2038" s="25">
        <f t="shared" si="31"/>
        <v>268190.83800000005</v>
      </c>
      <c r="L2038" s="25">
        <v>3.83</v>
      </c>
      <c r="M2038" s="24">
        <v>3920311</v>
      </c>
      <c r="N2038" s="25">
        <f>IFERROR(T_reg.root.SK[[#This Row],[Price]]/T_reg.root.SK[[#This Row],[Starch content]],"")</f>
        <v>14.623902252768231</v>
      </c>
    </row>
    <row r="2039" spans="1:14">
      <c r="A2039" s="21">
        <v>2023</v>
      </c>
      <c r="B2039" s="21" t="s">
        <v>29</v>
      </c>
      <c r="C2039" s="21" t="s">
        <v>1145</v>
      </c>
      <c r="D2039" s="21" t="s">
        <v>35</v>
      </c>
      <c r="E2039" s="17" t="s">
        <v>255</v>
      </c>
      <c r="F2039" s="18" t="s">
        <v>105</v>
      </c>
      <c r="G2039" s="18" t="s">
        <v>48</v>
      </c>
      <c r="H2039" s="24">
        <v>7780</v>
      </c>
      <c r="I2039" s="24">
        <f>T_reg.root.SK[[#This Row],[Volume, kg]]/1000</f>
        <v>7.78</v>
      </c>
      <c r="J2039" s="25">
        <v>0.23399999999999999</v>
      </c>
      <c r="K2039" s="25">
        <f t="shared" si="31"/>
        <v>1820.52</v>
      </c>
      <c r="L2039" s="25">
        <v>3.55</v>
      </c>
      <c r="M2039" s="24">
        <v>27619</v>
      </c>
      <c r="N2039" s="25">
        <f>IFERROR(T_reg.root.SK[[#This Row],[Price]]/T_reg.root.SK[[#This Row],[Starch content]],"")</f>
        <v>15.17094017094017</v>
      </c>
    </row>
    <row r="2040" spans="1:14">
      <c r="A2040" s="21">
        <v>2023</v>
      </c>
      <c r="B2040" s="21" t="s">
        <v>29</v>
      </c>
      <c r="C2040" s="21" t="s">
        <v>1145</v>
      </c>
      <c r="D2040" s="21" t="s">
        <v>35</v>
      </c>
      <c r="E2040" s="17" t="s">
        <v>160</v>
      </c>
      <c r="F2040" s="18" t="s">
        <v>105</v>
      </c>
      <c r="G2040" s="18" t="s">
        <v>48</v>
      </c>
      <c r="H2040" s="24">
        <v>10650</v>
      </c>
      <c r="I2040" s="24">
        <f>T_reg.root.SK[[#This Row],[Volume, kg]]/1000</f>
        <v>10.65</v>
      </c>
      <c r="J2040" s="25">
        <v>0.20749999999999999</v>
      </c>
      <c r="K2040" s="25">
        <f t="shared" si="31"/>
        <v>2209.875</v>
      </c>
      <c r="L2040" s="25">
        <v>3.45</v>
      </c>
      <c r="M2040" s="24">
        <v>36742.5</v>
      </c>
      <c r="N2040" s="25">
        <f>IFERROR(T_reg.root.SK[[#This Row],[Price]]/T_reg.root.SK[[#This Row],[Starch content]],"")</f>
        <v>16.626506024096386</v>
      </c>
    </row>
    <row r="2041" spans="1:14">
      <c r="A2041" s="21">
        <v>2023</v>
      </c>
      <c r="B2041" s="21" t="s">
        <v>29</v>
      </c>
      <c r="C2041" s="21" t="s">
        <v>1145</v>
      </c>
      <c r="D2041" s="21" t="s">
        <v>35</v>
      </c>
      <c r="E2041" s="17" t="s">
        <v>161</v>
      </c>
      <c r="F2041" s="18" t="s">
        <v>105</v>
      </c>
      <c r="G2041" s="18" t="s">
        <v>48</v>
      </c>
      <c r="H2041" s="24">
        <v>48690</v>
      </c>
      <c r="I2041" s="24">
        <f>T_reg.root.SK[[#This Row],[Volume, kg]]/1000</f>
        <v>48.69</v>
      </c>
      <c r="J2041" s="25">
        <v>0.26500000000000001</v>
      </c>
      <c r="K2041" s="25">
        <f t="shared" si="31"/>
        <v>12902.85</v>
      </c>
      <c r="L2041" s="25">
        <v>3.79</v>
      </c>
      <c r="M2041" s="24">
        <v>184771.5</v>
      </c>
      <c r="N2041" s="25">
        <f>IFERROR(T_reg.root.SK[[#This Row],[Price]]/T_reg.root.SK[[#This Row],[Starch content]],"")</f>
        <v>14.30188679245283</v>
      </c>
    </row>
    <row r="2042" spans="1:14">
      <c r="A2042" s="21">
        <v>2023</v>
      </c>
      <c r="B2042" s="21" t="s">
        <v>29</v>
      </c>
      <c r="C2042" s="21" t="s">
        <v>1145</v>
      </c>
      <c r="D2042" s="21" t="s">
        <v>35</v>
      </c>
      <c r="E2042" s="17" t="s">
        <v>162</v>
      </c>
      <c r="F2042" s="18" t="s">
        <v>105</v>
      </c>
      <c r="G2042" s="18" t="s">
        <v>48</v>
      </c>
      <c r="H2042" s="24">
        <v>18300</v>
      </c>
      <c r="I2042" s="24">
        <f>T_reg.root.SK[[#This Row],[Volume, kg]]/1000</f>
        <v>18.3</v>
      </c>
      <c r="J2042" s="25">
        <v>0.23139999999999999</v>
      </c>
      <c r="K2042" s="25">
        <f t="shared" si="31"/>
        <v>4234.62</v>
      </c>
      <c r="L2042" s="25">
        <v>3.72</v>
      </c>
      <c r="M2042" s="24">
        <v>68161.5</v>
      </c>
      <c r="N2042" s="25">
        <f>IFERROR(T_reg.root.SK[[#This Row],[Price]]/T_reg.root.SK[[#This Row],[Starch content]],"")</f>
        <v>16.076058772687986</v>
      </c>
    </row>
    <row r="2043" spans="1:14">
      <c r="A2043" s="21">
        <v>2023</v>
      </c>
      <c r="B2043" s="21" t="s">
        <v>29</v>
      </c>
      <c r="C2043" s="21" t="s">
        <v>1145</v>
      </c>
      <c r="D2043" s="21" t="s">
        <v>35</v>
      </c>
      <c r="E2043" s="17" t="s">
        <v>163</v>
      </c>
      <c r="F2043" s="18" t="s">
        <v>105</v>
      </c>
      <c r="G2043" s="18" t="s">
        <v>48</v>
      </c>
      <c r="H2043" s="24">
        <v>5330</v>
      </c>
      <c r="I2043" s="24">
        <f>T_reg.root.SK[[#This Row],[Volume, kg]]/1000</f>
        <v>5.33</v>
      </c>
      <c r="J2043" s="25">
        <v>0.21350000000000002</v>
      </c>
      <c r="K2043" s="25">
        <f t="shared" si="31"/>
        <v>1137.9550000000002</v>
      </c>
      <c r="L2043" s="25">
        <v>3.6</v>
      </c>
      <c r="M2043" s="24">
        <v>19188</v>
      </c>
      <c r="N2043" s="25">
        <f>IFERROR(T_reg.root.SK[[#This Row],[Price]]/T_reg.root.SK[[#This Row],[Starch content]],"")</f>
        <v>16.861826697892269</v>
      </c>
    </row>
    <row r="2044" spans="1:14">
      <c r="A2044" s="21">
        <v>2023</v>
      </c>
      <c r="B2044" s="21" t="s">
        <v>29</v>
      </c>
      <c r="C2044" s="21" t="s">
        <v>1145</v>
      </c>
      <c r="D2044" s="21" t="s">
        <v>35</v>
      </c>
      <c r="E2044" s="17" t="s">
        <v>164</v>
      </c>
      <c r="F2044" s="18" t="s">
        <v>105</v>
      </c>
      <c r="G2044" s="18" t="s">
        <v>48</v>
      </c>
      <c r="H2044" s="24">
        <v>93980</v>
      </c>
      <c r="I2044" s="24">
        <f>T_reg.root.SK[[#This Row],[Volume, kg]]/1000</f>
        <v>93.98</v>
      </c>
      <c r="J2044" s="25">
        <v>0.25969999999999999</v>
      </c>
      <c r="K2044" s="25">
        <f t="shared" si="31"/>
        <v>24406.606</v>
      </c>
      <c r="L2044" s="25">
        <v>3.84</v>
      </c>
      <c r="M2044" s="24">
        <v>360539</v>
      </c>
      <c r="N2044" s="25">
        <f>IFERROR(T_reg.root.SK[[#This Row],[Price]]/T_reg.root.SK[[#This Row],[Starch content]],"")</f>
        <v>14.786291875240662</v>
      </c>
    </row>
    <row r="2045" spans="1:14">
      <c r="A2045" s="21">
        <v>2023</v>
      </c>
      <c r="B2045" s="21" t="s">
        <v>29</v>
      </c>
      <c r="C2045" s="21" t="s">
        <v>1145</v>
      </c>
      <c r="D2045" s="21" t="s">
        <v>35</v>
      </c>
      <c r="E2045" s="17" t="s">
        <v>165</v>
      </c>
      <c r="F2045" s="18" t="s">
        <v>105</v>
      </c>
      <c r="G2045" s="18" t="s">
        <v>48</v>
      </c>
      <c r="H2045" s="24">
        <v>29700</v>
      </c>
      <c r="I2045" s="24">
        <f>T_reg.root.SK[[#This Row],[Volume, kg]]/1000</f>
        <v>29.7</v>
      </c>
      <c r="J2045" s="25">
        <v>0.2641</v>
      </c>
      <c r="K2045" s="25">
        <f t="shared" si="31"/>
        <v>7843.77</v>
      </c>
      <c r="L2045" s="25">
        <v>3.71</v>
      </c>
      <c r="M2045" s="24">
        <v>110292.5</v>
      </c>
      <c r="N2045" s="25">
        <f>IFERROR(T_reg.root.SK[[#This Row],[Price]]/T_reg.root.SK[[#This Row],[Starch content]],"")</f>
        <v>14.047709201060204</v>
      </c>
    </row>
    <row r="2046" spans="1:14">
      <c r="A2046" s="21">
        <v>2023</v>
      </c>
      <c r="B2046" s="21" t="s">
        <v>29</v>
      </c>
      <c r="C2046" s="21" t="s">
        <v>1145</v>
      </c>
      <c r="D2046" s="21" t="s">
        <v>35</v>
      </c>
      <c r="E2046" s="17" t="s">
        <v>167</v>
      </c>
      <c r="F2046" s="18" t="s">
        <v>105</v>
      </c>
      <c r="G2046" s="18" t="s">
        <v>48</v>
      </c>
      <c r="H2046" s="24">
        <v>74890</v>
      </c>
      <c r="I2046" s="24">
        <f>T_reg.root.SK[[#This Row],[Volume, kg]]/1000</f>
        <v>74.89</v>
      </c>
      <c r="J2046" s="25">
        <v>0.2291</v>
      </c>
      <c r="K2046" s="25">
        <f t="shared" si="31"/>
        <v>17157.298999999999</v>
      </c>
      <c r="L2046" s="25">
        <v>3.61</v>
      </c>
      <c r="M2046" s="24">
        <v>270718.5</v>
      </c>
      <c r="N2046" s="25">
        <f>IFERROR(T_reg.root.SK[[#This Row],[Price]]/T_reg.root.SK[[#This Row],[Starch content]],"")</f>
        <v>15.757311217808816</v>
      </c>
    </row>
    <row r="2047" spans="1:14">
      <c r="A2047" s="21">
        <v>2023</v>
      </c>
      <c r="B2047" s="21" t="s">
        <v>29</v>
      </c>
      <c r="C2047" s="21" t="s">
        <v>1145</v>
      </c>
      <c r="D2047" s="21" t="s">
        <v>35</v>
      </c>
      <c r="E2047" s="17" t="s">
        <v>670</v>
      </c>
      <c r="F2047" s="18" t="s">
        <v>105</v>
      </c>
      <c r="G2047" s="18" t="s">
        <v>48</v>
      </c>
      <c r="H2047" s="24">
        <v>17470</v>
      </c>
      <c r="I2047" s="24">
        <f>T_reg.root.SK[[#This Row],[Volume, kg]]/1000</f>
        <v>17.47</v>
      </c>
      <c r="J2047" s="25">
        <v>0.26860000000000001</v>
      </c>
      <c r="K2047" s="25">
        <f t="shared" si="31"/>
        <v>4692.442</v>
      </c>
      <c r="L2047" s="25">
        <v>3.78</v>
      </c>
      <c r="M2047" s="24">
        <v>66009</v>
      </c>
      <c r="N2047" s="25">
        <f>IFERROR(T_reg.root.SK[[#This Row],[Price]]/T_reg.root.SK[[#This Row],[Starch content]],"")</f>
        <v>14.072970960536113</v>
      </c>
    </row>
    <row r="2048" spans="1:14">
      <c r="A2048" s="21">
        <v>2023</v>
      </c>
      <c r="B2048" s="21" t="s">
        <v>29</v>
      </c>
      <c r="C2048" s="21" t="s">
        <v>1145</v>
      </c>
      <c r="D2048" s="21" t="s">
        <v>35</v>
      </c>
      <c r="E2048" s="17" t="s">
        <v>503</v>
      </c>
      <c r="F2048" s="18" t="s">
        <v>105</v>
      </c>
      <c r="G2048" s="18" t="s">
        <v>48</v>
      </c>
      <c r="H2048" s="24">
        <v>9980</v>
      </c>
      <c r="I2048" s="24">
        <f>T_reg.root.SK[[#This Row],[Volume, kg]]/1000</f>
        <v>9.98</v>
      </c>
      <c r="J2048" s="25">
        <v>0.25600000000000001</v>
      </c>
      <c r="K2048" s="25">
        <f t="shared" si="31"/>
        <v>2554.88</v>
      </c>
      <c r="L2048" s="25">
        <v>3.85</v>
      </c>
      <c r="M2048" s="24">
        <v>38423</v>
      </c>
      <c r="N2048" s="25">
        <f>IFERROR(T_reg.root.SK[[#This Row],[Price]]/T_reg.root.SK[[#This Row],[Starch content]],"")</f>
        <v>15.0390625</v>
      </c>
    </row>
    <row r="2049" spans="1:14">
      <c r="A2049" s="21">
        <v>2023</v>
      </c>
      <c r="B2049" s="21" t="s">
        <v>29</v>
      </c>
      <c r="C2049" s="21" t="s">
        <v>1145</v>
      </c>
      <c r="D2049" s="21" t="s">
        <v>35</v>
      </c>
      <c r="E2049" s="17" t="s">
        <v>170</v>
      </c>
      <c r="F2049" s="18" t="s">
        <v>105</v>
      </c>
      <c r="G2049" s="18" t="s">
        <v>48</v>
      </c>
      <c r="H2049" s="24">
        <v>112790</v>
      </c>
      <c r="I2049" s="24">
        <f>T_reg.root.SK[[#This Row],[Volume, kg]]/1000</f>
        <v>112.79</v>
      </c>
      <c r="J2049" s="25">
        <v>0.26700000000000002</v>
      </c>
      <c r="K2049" s="25">
        <f t="shared" si="31"/>
        <v>30114.93</v>
      </c>
      <c r="L2049" s="25">
        <v>3.78</v>
      </c>
      <c r="M2049" s="24">
        <v>426320.5</v>
      </c>
      <c r="N2049" s="25">
        <f>IFERROR(T_reg.root.SK[[#This Row],[Price]]/T_reg.root.SK[[#This Row],[Starch content]],"")</f>
        <v>14.157303370786515</v>
      </c>
    </row>
    <row r="2050" spans="1:14">
      <c r="A2050" s="21">
        <v>2023</v>
      </c>
      <c r="B2050" s="21" t="s">
        <v>29</v>
      </c>
      <c r="C2050" s="21" t="s">
        <v>1145</v>
      </c>
      <c r="D2050" s="21" t="s">
        <v>35</v>
      </c>
      <c r="E2050" s="17" t="s">
        <v>173</v>
      </c>
      <c r="F2050" s="18" t="s">
        <v>105</v>
      </c>
      <c r="G2050" s="18" t="s">
        <v>48</v>
      </c>
      <c r="H2050" s="24">
        <v>39470</v>
      </c>
      <c r="I2050" s="24">
        <f>T_reg.root.SK[[#This Row],[Volume, kg]]/1000</f>
        <v>39.47</v>
      </c>
      <c r="J2050" s="25">
        <v>0.24879999999999999</v>
      </c>
      <c r="K2050" s="25">
        <f t="shared" si="31"/>
        <v>9820.1360000000004</v>
      </c>
      <c r="L2050" s="25">
        <v>3.68</v>
      </c>
      <c r="M2050" s="24">
        <v>145234.5</v>
      </c>
      <c r="N2050" s="25">
        <f>IFERROR(T_reg.root.SK[[#This Row],[Price]]/T_reg.root.SK[[#This Row],[Starch content]],"")</f>
        <v>14.790996784565918</v>
      </c>
    </row>
    <row r="2051" spans="1:14">
      <c r="A2051" s="21">
        <v>2023</v>
      </c>
      <c r="B2051" s="21" t="s">
        <v>29</v>
      </c>
      <c r="C2051" s="21" t="s">
        <v>1145</v>
      </c>
      <c r="D2051" s="21" t="s">
        <v>35</v>
      </c>
      <c r="E2051" s="17" t="s">
        <v>323</v>
      </c>
      <c r="F2051" s="18" t="s">
        <v>105</v>
      </c>
      <c r="G2051" s="18" t="s">
        <v>48</v>
      </c>
      <c r="H2051" s="24">
        <v>11970</v>
      </c>
      <c r="I2051" s="24">
        <f>T_reg.root.SK[[#This Row],[Volume, kg]]/1000</f>
        <v>11.97</v>
      </c>
      <c r="J2051" s="25">
        <v>0.25509999999999999</v>
      </c>
      <c r="K2051" s="25">
        <f t="shared" ref="K2051:K2114" si="32">H2051*J2051</f>
        <v>3053.547</v>
      </c>
      <c r="L2051" s="25">
        <v>3.69</v>
      </c>
      <c r="M2051" s="24">
        <v>44131.5</v>
      </c>
      <c r="N2051" s="25">
        <f>IFERROR(T_reg.root.SK[[#This Row],[Price]]/T_reg.root.SK[[#This Row],[Starch content]],"")</f>
        <v>14.464915719325754</v>
      </c>
    </row>
    <row r="2052" spans="1:14">
      <c r="A2052" s="21">
        <v>2023</v>
      </c>
      <c r="B2052" s="21" t="s">
        <v>29</v>
      </c>
      <c r="C2052" s="21" t="s">
        <v>1145</v>
      </c>
      <c r="D2052" s="21" t="s">
        <v>35</v>
      </c>
      <c r="E2052" s="17" t="s">
        <v>506</v>
      </c>
      <c r="F2052" s="18" t="s">
        <v>105</v>
      </c>
      <c r="G2052" s="18" t="s">
        <v>48</v>
      </c>
      <c r="H2052" s="24">
        <v>12640</v>
      </c>
      <c r="I2052" s="24">
        <f>T_reg.root.SK[[#This Row],[Volume, kg]]/1000</f>
        <v>12.64</v>
      </c>
      <c r="J2052" s="25">
        <v>0.28070000000000001</v>
      </c>
      <c r="K2052" s="25">
        <f t="shared" si="32"/>
        <v>3548.0480000000002</v>
      </c>
      <c r="L2052" s="25">
        <v>3.79</v>
      </c>
      <c r="M2052" s="24">
        <v>47867</v>
      </c>
      <c r="N2052" s="25">
        <f>IFERROR(T_reg.root.SK[[#This Row],[Price]]/T_reg.root.SK[[#This Row],[Starch content]],"")</f>
        <v>13.501959387246171</v>
      </c>
    </row>
    <row r="2053" spans="1:14">
      <c r="A2053" s="21">
        <v>2023</v>
      </c>
      <c r="B2053" s="21" t="s">
        <v>29</v>
      </c>
      <c r="C2053" s="21" t="s">
        <v>1145</v>
      </c>
      <c r="D2053" s="21" t="s">
        <v>35</v>
      </c>
      <c r="E2053" s="17" t="s">
        <v>325</v>
      </c>
      <c r="F2053" s="18" t="s">
        <v>105</v>
      </c>
      <c r="G2053" s="18" t="s">
        <v>48</v>
      </c>
      <c r="H2053" s="24">
        <v>41120</v>
      </c>
      <c r="I2053" s="24">
        <f>T_reg.root.SK[[#This Row],[Volume, kg]]/1000</f>
        <v>41.12</v>
      </c>
      <c r="J2053" s="25">
        <v>0.24489999999999998</v>
      </c>
      <c r="K2053" s="25">
        <f t="shared" si="32"/>
        <v>10070.287999999999</v>
      </c>
      <c r="L2053" s="25">
        <v>3.71</v>
      </c>
      <c r="M2053" s="24">
        <v>152672</v>
      </c>
      <c r="N2053" s="25">
        <f>IFERROR(T_reg.root.SK[[#This Row],[Price]]/T_reg.root.SK[[#This Row],[Starch content]],"")</f>
        <v>15.149040424663129</v>
      </c>
    </row>
    <row r="2054" spans="1:14">
      <c r="A2054" s="21">
        <v>2023</v>
      </c>
      <c r="B2054" s="21" t="s">
        <v>29</v>
      </c>
      <c r="C2054" s="21" t="s">
        <v>1145</v>
      </c>
      <c r="D2054" s="21" t="s">
        <v>35</v>
      </c>
      <c r="E2054" s="17" t="s">
        <v>507</v>
      </c>
      <c r="F2054" s="18" t="s">
        <v>105</v>
      </c>
      <c r="G2054" s="18" t="s">
        <v>48</v>
      </c>
      <c r="H2054" s="24">
        <v>32010</v>
      </c>
      <c r="I2054" s="24">
        <f>T_reg.root.SK[[#This Row],[Volume, kg]]/1000</f>
        <v>32.01</v>
      </c>
      <c r="J2054" s="25">
        <v>0.26419999999999999</v>
      </c>
      <c r="K2054" s="25">
        <f t="shared" si="32"/>
        <v>8457.0419999999995</v>
      </c>
      <c r="L2054" s="25">
        <v>3.74</v>
      </c>
      <c r="M2054" s="24">
        <v>119754</v>
      </c>
      <c r="N2054" s="25">
        <f>IFERROR(T_reg.root.SK[[#This Row],[Price]]/T_reg.root.SK[[#This Row],[Starch content]],"")</f>
        <v>14.155942467827405</v>
      </c>
    </row>
    <row r="2055" spans="1:14">
      <c r="A2055" s="21">
        <v>2023</v>
      </c>
      <c r="B2055" s="21" t="s">
        <v>29</v>
      </c>
      <c r="C2055" s="21" t="s">
        <v>1145</v>
      </c>
      <c r="D2055" s="21" t="s">
        <v>35</v>
      </c>
      <c r="E2055" s="17" t="s">
        <v>174</v>
      </c>
      <c r="F2055" s="18" t="s">
        <v>105</v>
      </c>
      <c r="G2055" s="18" t="s">
        <v>48</v>
      </c>
      <c r="H2055" s="24">
        <v>42860</v>
      </c>
      <c r="I2055" s="24">
        <f>T_reg.root.SK[[#This Row],[Volume, kg]]/1000</f>
        <v>42.86</v>
      </c>
      <c r="J2055" s="25">
        <v>0.26979999999999998</v>
      </c>
      <c r="K2055" s="25">
        <f t="shared" si="32"/>
        <v>11563.627999999999</v>
      </c>
      <c r="L2055" s="25">
        <v>3.78</v>
      </c>
      <c r="M2055" s="24">
        <v>162010</v>
      </c>
      <c r="N2055" s="25">
        <f>IFERROR(T_reg.root.SK[[#This Row],[Price]]/T_reg.root.SK[[#This Row],[Starch content]],"")</f>
        <v>14.010378057820608</v>
      </c>
    </row>
    <row r="2056" spans="1:14">
      <c r="A2056" s="21">
        <v>2023</v>
      </c>
      <c r="B2056" s="21" t="s">
        <v>29</v>
      </c>
      <c r="C2056" s="21" t="s">
        <v>1145</v>
      </c>
      <c r="D2056" s="21" t="s">
        <v>35</v>
      </c>
      <c r="E2056" s="17" t="s">
        <v>577</v>
      </c>
      <c r="F2056" s="18" t="s">
        <v>105</v>
      </c>
      <c r="G2056" s="18" t="s">
        <v>48</v>
      </c>
      <c r="H2056" s="24">
        <v>17790</v>
      </c>
      <c r="I2056" s="24">
        <f>T_reg.root.SK[[#This Row],[Volume, kg]]/1000</f>
        <v>17.79</v>
      </c>
      <c r="J2056" s="25">
        <v>0.2462</v>
      </c>
      <c r="K2056" s="25">
        <f t="shared" si="32"/>
        <v>4379.8980000000001</v>
      </c>
      <c r="L2056" s="25">
        <v>3.67</v>
      </c>
      <c r="M2056" s="24">
        <v>65311.5</v>
      </c>
      <c r="N2056" s="25">
        <f>IFERROR(T_reg.root.SK[[#This Row],[Price]]/T_reg.root.SK[[#This Row],[Starch content]],"")</f>
        <v>14.906580016246954</v>
      </c>
    </row>
    <row r="2057" spans="1:14">
      <c r="A2057" s="21">
        <v>2023</v>
      </c>
      <c r="B2057" s="21" t="s">
        <v>29</v>
      </c>
      <c r="C2057" s="21" t="s">
        <v>1145</v>
      </c>
      <c r="D2057" s="21" t="s">
        <v>35</v>
      </c>
      <c r="E2057" s="17" t="s">
        <v>175</v>
      </c>
      <c r="F2057" s="18" t="s">
        <v>105</v>
      </c>
      <c r="G2057" s="18" t="s">
        <v>48</v>
      </c>
      <c r="H2057" s="24">
        <v>44430</v>
      </c>
      <c r="I2057" s="24">
        <f>T_reg.root.SK[[#This Row],[Volume, kg]]/1000</f>
        <v>44.43</v>
      </c>
      <c r="J2057" s="25">
        <v>0.26989999999999997</v>
      </c>
      <c r="K2057" s="25">
        <f t="shared" si="32"/>
        <v>11991.656999999999</v>
      </c>
      <c r="L2057" s="25">
        <v>3.79</v>
      </c>
      <c r="M2057" s="24">
        <v>168561.5</v>
      </c>
      <c r="N2057" s="25">
        <f>IFERROR(T_reg.root.SK[[#This Row],[Price]]/T_reg.root.SK[[#This Row],[Starch content]],"")</f>
        <v>14.042237865876253</v>
      </c>
    </row>
    <row r="2058" spans="1:14">
      <c r="A2058" s="21">
        <v>2023</v>
      </c>
      <c r="B2058" s="21" t="s">
        <v>29</v>
      </c>
      <c r="C2058" s="21" t="s">
        <v>1145</v>
      </c>
      <c r="D2058" s="21" t="s">
        <v>35</v>
      </c>
      <c r="E2058" s="17" t="s">
        <v>176</v>
      </c>
      <c r="F2058" s="18" t="s">
        <v>105</v>
      </c>
      <c r="G2058" s="18" t="s">
        <v>48</v>
      </c>
      <c r="H2058" s="24">
        <v>14830</v>
      </c>
      <c r="I2058" s="24">
        <f>T_reg.root.SK[[#This Row],[Volume, kg]]/1000</f>
        <v>14.83</v>
      </c>
      <c r="J2058" s="25">
        <v>0.25559999999999999</v>
      </c>
      <c r="K2058" s="25">
        <f t="shared" si="32"/>
        <v>3790.5479999999998</v>
      </c>
      <c r="L2058" s="25">
        <v>3.78</v>
      </c>
      <c r="M2058" s="24">
        <v>56096.5</v>
      </c>
      <c r="N2058" s="25">
        <f>IFERROR(T_reg.root.SK[[#This Row],[Price]]/T_reg.root.SK[[#This Row],[Starch content]],"")</f>
        <v>14.788732394366196</v>
      </c>
    </row>
    <row r="2059" spans="1:14">
      <c r="A2059" s="21">
        <v>2023</v>
      </c>
      <c r="B2059" s="21" t="s">
        <v>29</v>
      </c>
      <c r="C2059" s="21" t="s">
        <v>1145</v>
      </c>
      <c r="D2059" s="21" t="s">
        <v>35</v>
      </c>
      <c r="E2059" s="17" t="s">
        <v>605</v>
      </c>
      <c r="F2059" s="18" t="s">
        <v>105</v>
      </c>
      <c r="G2059" s="18" t="s">
        <v>48</v>
      </c>
      <c r="H2059" s="24">
        <v>206000</v>
      </c>
      <c r="I2059" s="24">
        <f>T_reg.root.SK[[#This Row],[Volume, kg]]/1000</f>
        <v>206</v>
      </c>
      <c r="J2059" s="25">
        <v>0.2402</v>
      </c>
      <c r="K2059" s="25">
        <f t="shared" si="32"/>
        <v>49481.2</v>
      </c>
      <c r="L2059" s="25">
        <v>3.69</v>
      </c>
      <c r="M2059" s="24">
        <v>759601</v>
      </c>
      <c r="N2059" s="25">
        <f>IFERROR(T_reg.root.SK[[#This Row],[Price]]/T_reg.root.SK[[#This Row],[Starch content]],"")</f>
        <v>15.362198168193173</v>
      </c>
    </row>
    <row r="2060" spans="1:14">
      <c r="A2060" s="21">
        <v>2023</v>
      </c>
      <c r="B2060" s="21" t="s">
        <v>29</v>
      </c>
      <c r="C2060" s="21" t="s">
        <v>1145</v>
      </c>
      <c r="D2060" s="21" t="s">
        <v>35</v>
      </c>
      <c r="E2060" s="17" t="s">
        <v>258</v>
      </c>
      <c r="F2060" s="18" t="s">
        <v>105</v>
      </c>
      <c r="G2060" s="18" t="s">
        <v>48</v>
      </c>
      <c r="H2060" s="24">
        <v>17030</v>
      </c>
      <c r="I2060" s="24">
        <f>T_reg.root.SK[[#This Row],[Volume, kg]]/1000</f>
        <v>17.03</v>
      </c>
      <c r="J2060" s="25">
        <v>0.26019999999999999</v>
      </c>
      <c r="K2060" s="25">
        <f t="shared" si="32"/>
        <v>4431.2060000000001</v>
      </c>
      <c r="L2060" s="25">
        <v>3.73</v>
      </c>
      <c r="M2060" s="24">
        <v>63534</v>
      </c>
      <c r="N2060" s="25">
        <f>IFERROR(T_reg.root.SK[[#This Row],[Price]]/T_reg.root.SK[[#This Row],[Starch content]],"")</f>
        <v>14.335126825518833</v>
      </c>
    </row>
    <row r="2061" spans="1:14">
      <c r="A2061" s="21">
        <v>2023</v>
      </c>
      <c r="B2061" s="21" t="s">
        <v>29</v>
      </c>
      <c r="C2061" s="21" t="s">
        <v>1145</v>
      </c>
      <c r="D2061" s="21" t="s">
        <v>35</v>
      </c>
      <c r="E2061" s="17" t="s">
        <v>259</v>
      </c>
      <c r="F2061" s="18" t="s">
        <v>105</v>
      </c>
      <c r="G2061" s="18" t="s">
        <v>48</v>
      </c>
      <c r="H2061" s="24">
        <v>20830</v>
      </c>
      <c r="I2061" s="24">
        <f>T_reg.root.SK[[#This Row],[Volume, kg]]/1000</f>
        <v>20.83</v>
      </c>
      <c r="J2061" s="25">
        <v>0.19399999999999998</v>
      </c>
      <c r="K2061" s="25">
        <f t="shared" si="32"/>
        <v>4041.0199999999995</v>
      </c>
      <c r="L2061" s="25">
        <v>3.4</v>
      </c>
      <c r="M2061" s="24">
        <v>70893.5</v>
      </c>
      <c r="N2061" s="25">
        <f>IFERROR(T_reg.root.SK[[#This Row],[Price]]/T_reg.root.SK[[#This Row],[Starch content]],"")</f>
        <v>17.52577319587629</v>
      </c>
    </row>
    <row r="2062" spans="1:14">
      <c r="A2062" s="21">
        <v>2023</v>
      </c>
      <c r="B2062" s="21" t="s">
        <v>29</v>
      </c>
      <c r="C2062" s="21" t="s">
        <v>1145</v>
      </c>
      <c r="D2062" s="21" t="s">
        <v>35</v>
      </c>
      <c r="E2062" s="17" t="s">
        <v>329</v>
      </c>
      <c r="F2062" s="18" t="s">
        <v>105</v>
      </c>
      <c r="G2062" s="18" t="s">
        <v>48</v>
      </c>
      <c r="H2062" s="24">
        <v>37650</v>
      </c>
      <c r="I2062" s="24">
        <f>T_reg.root.SK[[#This Row],[Volume, kg]]/1000</f>
        <v>37.65</v>
      </c>
      <c r="J2062" s="25">
        <v>0.23929999999999998</v>
      </c>
      <c r="K2062" s="25">
        <f t="shared" si="32"/>
        <v>9009.6449999999986</v>
      </c>
      <c r="L2062" s="25">
        <v>3.72</v>
      </c>
      <c r="M2062" s="24">
        <v>140179</v>
      </c>
      <c r="N2062" s="25">
        <f>IFERROR(T_reg.root.SK[[#This Row],[Price]]/T_reg.root.SK[[#This Row],[Starch content]],"")</f>
        <v>15.545340576681991</v>
      </c>
    </row>
    <row r="2063" spans="1:14">
      <c r="A2063" s="21">
        <v>2023</v>
      </c>
      <c r="B2063" s="21" t="s">
        <v>29</v>
      </c>
      <c r="C2063" s="21" t="s">
        <v>1145</v>
      </c>
      <c r="D2063" s="21" t="s">
        <v>35</v>
      </c>
      <c r="E2063" s="17" t="s">
        <v>181</v>
      </c>
      <c r="F2063" s="18" t="s">
        <v>105</v>
      </c>
      <c r="G2063" s="18" t="s">
        <v>48</v>
      </c>
      <c r="H2063" s="24">
        <v>271910</v>
      </c>
      <c r="I2063" s="24">
        <f>T_reg.root.SK[[#This Row],[Volume, kg]]/1000</f>
        <v>271.91000000000003</v>
      </c>
      <c r="J2063" s="25">
        <v>0.2394</v>
      </c>
      <c r="K2063" s="25">
        <f t="shared" si="32"/>
        <v>65095.254000000001</v>
      </c>
      <c r="L2063" s="25">
        <v>3.71</v>
      </c>
      <c r="M2063" s="24">
        <v>1007516</v>
      </c>
      <c r="N2063" s="25">
        <f>IFERROR(T_reg.root.SK[[#This Row],[Price]]/T_reg.root.SK[[#This Row],[Starch content]],"")</f>
        <v>15.497076023391813</v>
      </c>
    </row>
    <row r="2064" spans="1:14">
      <c r="A2064" s="21">
        <v>2023</v>
      </c>
      <c r="B2064" s="21" t="s">
        <v>29</v>
      </c>
      <c r="C2064" s="21" t="s">
        <v>1145</v>
      </c>
      <c r="D2064" s="21" t="s">
        <v>35</v>
      </c>
      <c r="E2064" s="17" t="s">
        <v>182</v>
      </c>
      <c r="F2064" s="18" t="s">
        <v>105</v>
      </c>
      <c r="G2064" s="18" t="s">
        <v>48</v>
      </c>
      <c r="H2064" s="24">
        <v>14530</v>
      </c>
      <c r="I2064" s="24">
        <f>T_reg.root.SK[[#This Row],[Volume, kg]]/1000</f>
        <v>14.53</v>
      </c>
      <c r="J2064" s="25">
        <v>0.23989999999999997</v>
      </c>
      <c r="K2064" s="25">
        <f t="shared" si="32"/>
        <v>3485.7469999999998</v>
      </c>
      <c r="L2064" s="25">
        <v>3.69</v>
      </c>
      <c r="M2064" s="24">
        <v>53682</v>
      </c>
      <c r="N2064" s="25">
        <f>IFERROR(T_reg.root.SK[[#This Row],[Price]]/T_reg.root.SK[[#This Row],[Starch content]],"")</f>
        <v>15.381408920383494</v>
      </c>
    </row>
    <row r="2065" spans="1:14">
      <c r="A2065" s="21">
        <v>2023</v>
      </c>
      <c r="B2065" s="21" t="s">
        <v>29</v>
      </c>
      <c r="C2065" s="21" t="s">
        <v>1145</v>
      </c>
      <c r="D2065" s="21" t="s">
        <v>35</v>
      </c>
      <c r="E2065" s="17" t="s">
        <v>640</v>
      </c>
      <c r="F2065" s="18" t="s">
        <v>105</v>
      </c>
      <c r="G2065" s="18" t="s">
        <v>48</v>
      </c>
      <c r="H2065" s="24">
        <v>55950</v>
      </c>
      <c r="I2065" s="24">
        <f>T_reg.root.SK[[#This Row],[Volume, kg]]/1000</f>
        <v>55.95</v>
      </c>
      <c r="J2065" s="25">
        <v>0.2266</v>
      </c>
      <c r="K2065" s="25">
        <f t="shared" si="32"/>
        <v>12678.27</v>
      </c>
      <c r="L2065" s="25">
        <v>3.69</v>
      </c>
      <c r="M2065" s="24">
        <v>206243</v>
      </c>
      <c r="N2065" s="25">
        <f>IFERROR(T_reg.root.SK[[#This Row],[Price]]/T_reg.root.SK[[#This Row],[Starch content]],"")</f>
        <v>16.284201235657548</v>
      </c>
    </row>
    <row r="2066" spans="1:14">
      <c r="A2066" s="21">
        <v>2023</v>
      </c>
      <c r="B2066" s="21" t="s">
        <v>29</v>
      </c>
      <c r="C2066" s="21" t="s">
        <v>1145</v>
      </c>
      <c r="D2066" s="21" t="s">
        <v>35</v>
      </c>
      <c r="E2066" s="17" t="s">
        <v>641</v>
      </c>
      <c r="F2066" s="18" t="s">
        <v>105</v>
      </c>
      <c r="G2066" s="18" t="s">
        <v>48</v>
      </c>
      <c r="H2066" s="24">
        <v>0</v>
      </c>
      <c r="I2066" s="24">
        <f>T_reg.root.SK[[#This Row],[Volume, kg]]/1000</f>
        <v>0</v>
      </c>
      <c r="J2066" s="25">
        <v>0</v>
      </c>
      <c r="K2066" s="25">
        <f t="shared" si="32"/>
        <v>0</v>
      </c>
      <c r="L2066" s="25">
        <f>J2066*K2066/100</f>
        <v>0</v>
      </c>
      <c r="M2066" s="24">
        <f>K2066*L2066/100</f>
        <v>0</v>
      </c>
      <c r="N2066" s="25" t="str">
        <f>IFERROR(T_reg.root.SK[[#This Row],[Price]]/T_reg.root.SK[[#This Row],[Starch content]],"")</f>
        <v/>
      </c>
    </row>
    <row r="2067" spans="1:14">
      <c r="A2067" s="21">
        <v>2023</v>
      </c>
      <c r="B2067" s="21" t="s">
        <v>29</v>
      </c>
      <c r="C2067" s="21" t="s">
        <v>1145</v>
      </c>
      <c r="D2067" s="21" t="s">
        <v>35</v>
      </c>
      <c r="E2067" s="17" t="s">
        <v>648</v>
      </c>
      <c r="F2067" s="18" t="s">
        <v>105</v>
      </c>
      <c r="G2067" s="18" t="s">
        <v>48</v>
      </c>
      <c r="H2067" s="24">
        <v>27700</v>
      </c>
      <c r="I2067" s="24">
        <f>T_reg.root.SK[[#This Row],[Volume, kg]]/1000</f>
        <v>27.7</v>
      </c>
      <c r="J2067" s="25">
        <v>0.23260000000000003</v>
      </c>
      <c r="K2067" s="25">
        <f t="shared" si="32"/>
        <v>6443.02</v>
      </c>
      <c r="L2067" s="25">
        <v>3.72</v>
      </c>
      <c r="M2067" s="24">
        <v>103078</v>
      </c>
      <c r="N2067" s="25">
        <f>IFERROR(T_reg.root.SK[[#This Row],[Price]]/T_reg.root.SK[[#This Row],[Starch content]],"")</f>
        <v>15.993121238177126</v>
      </c>
    </row>
    <row r="2068" spans="1:14">
      <c r="A2068" s="21">
        <v>2023</v>
      </c>
      <c r="B2068" s="21" t="s">
        <v>29</v>
      </c>
      <c r="C2068" s="21" t="s">
        <v>1145</v>
      </c>
      <c r="D2068" s="21" t="s">
        <v>35</v>
      </c>
      <c r="E2068" s="17" t="s">
        <v>183</v>
      </c>
      <c r="F2068" s="18" t="s">
        <v>105</v>
      </c>
      <c r="G2068" s="18" t="s">
        <v>48</v>
      </c>
      <c r="H2068" s="24">
        <v>474990</v>
      </c>
      <c r="I2068" s="24">
        <f>T_reg.root.SK[[#This Row],[Volume, kg]]/1000</f>
        <v>474.99</v>
      </c>
      <c r="J2068" s="25">
        <v>0.2737</v>
      </c>
      <c r="K2068" s="25">
        <f t="shared" si="32"/>
        <v>130004.76300000001</v>
      </c>
      <c r="L2068" s="25">
        <v>3.89</v>
      </c>
      <c r="M2068" s="24">
        <v>1846838</v>
      </c>
      <c r="N2068" s="25">
        <f>IFERROR(T_reg.root.SK[[#This Row],[Price]]/T_reg.root.SK[[#This Row],[Starch content]],"")</f>
        <v>14.212641578370478</v>
      </c>
    </row>
    <row r="2069" spans="1:14">
      <c r="A2069" s="21">
        <v>2023</v>
      </c>
      <c r="B2069" s="21" t="s">
        <v>29</v>
      </c>
      <c r="C2069" s="21" t="s">
        <v>1145</v>
      </c>
      <c r="D2069" s="21" t="s">
        <v>35</v>
      </c>
      <c r="E2069" s="17" t="s">
        <v>579</v>
      </c>
      <c r="F2069" s="18" t="s">
        <v>187</v>
      </c>
      <c r="G2069" s="18" t="s">
        <v>48</v>
      </c>
      <c r="H2069" s="24">
        <v>121820</v>
      </c>
      <c r="I2069" s="24">
        <f>T_reg.root.SK[[#This Row],[Volume, kg]]/1000</f>
        <v>121.82</v>
      </c>
      <c r="J2069" s="25">
        <v>0.24329999999999999</v>
      </c>
      <c r="K2069" s="25">
        <f t="shared" si="32"/>
        <v>29638.805999999997</v>
      </c>
      <c r="L2069" s="25">
        <v>3.82</v>
      </c>
      <c r="M2069" s="24">
        <v>465312.5</v>
      </c>
      <c r="N2069" s="25">
        <f>IFERROR(T_reg.root.SK[[#This Row],[Price]]/T_reg.root.SK[[#This Row],[Starch content]],"")</f>
        <v>15.700780928894369</v>
      </c>
    </row>
    <row r="2070" spans="1:14">
      <c r="A2070" s="21">
        <v>2023</v>
      </c>
      <c r="B2070" s="21" t="s">
        <v>29</v>
      </c>
      <c r="C2070" s="21" t="s">
        <v>1145</v>
      </c>
      <c r="D2070" s="21" t="s">
        <v>35</v>
      </c>
      <c r="E2070" s="17" t="s">
        <v>261</v>
      </c>
      <c r="F2070" s="18" t="s">
        <v>187</v>
      </c>
      <c r="G2070" s="18" t="s">
        <v>48</v>
      </c>
      <c r="H2070" s="24">
        <v>102140</v>
      </c>
      <c r="I2070" s="24">
        <f>T_reg.root.SK[[#This Row],[Volume, kg]]/1000</f>
        <v>102.14</v>
      </c>
      <c r="J2070" s="25">
        <v>0.22769999999999999</v>
      </c>
      <c r="K2070" s="25">
        <f t="shared" si="32"/>
        <v>23257.277999999998</v>
      </c>
      <c r="L2070" s="25">
        <v>3.71</v>
      </c>
      <c r="M2070" s="24">
        <v>378552</v>
      </c>
      <c r="N2070" s="25">
        <f>IFERROR(T_reg.root.SK[[#This Row],[Price]]/T_reg.root.SK[[#This Row],[Starch content]],"")</f>
        <v>16.29336846728151</v>
      </c>
    </row>
    <row r="2071" spans="1:14">
      <c r="A2071" s="21">
        <v>2023</v>
      </c>
      <c r="B2071" s="21" t="s">
        <v>29</v>
      </c>
      <c r="C2071" s="21" t="s">
        <v>1145</v>
      </c>
      <c r="D2071" s="21" t="s">
        <v>35</v>
      </c>
      <c r="E2071" s="17" t="s">
        <v>192</v>
      </c>
      <c r="F2071" s="18" t="s">
        <v>187</v>
      </c>
      <c r="G2071" s="18" t="s">
        <v>48</v>
      </c>
      <c r="H2071" s="24">
        <v>30710</v>
      </c>
      <c r="I2071" s="24">
        <f>T_reg.root.SK[[#This Row],[Volume, kg]]/1000</f>
        <v>30.71</v>
      </c>
      <c r="J2071" s="25">
        <v>0.25840000000000002</v>
      </c>
      <c r="K2071" s="25">
        <f t="shared" si="32"/>
        <v>7935.4640000000009</v>
      </c>
      <c r="L2071" s="25">
        <v>3.94</v>
      </c>
      <c r="M2071" s="24">
        <v>121093.5</v>
      </c>
      <c r="N2071" s="25">
        <f>IFERROR(T_reg.root.SK[[#This Row],[Price]]/T_reg.root.SK[[#This Row],[Starch content]],"")</f>
        <v>15.247678018575851</v>
      </c>
    </row>
    <row r="2072" spans="1:14">
      <c r="A2072" s="21">
        <v>2023</v>
      </c>
      <c r="B2072" s="21" t="s">
        <v>29</v>
      </c>
      <c r="C2072" s="21" t="s">
        <v>1145</v>
      </c>
      <c r="D2072" s="21" t="s">
        <v>35</v>
      </c>
      <c r="E2072" s="17" t="s">
        <v>514</v>
      </c>
      <c r="F2072" s="18" t="s">
        <v>187</v>
      </c>
      <c r="G2072" s="18" t="s">
        <v>48</v>
      </c>
      <c r="H2072" s="24">
        <v>46810</v>
      </c>
      <c r="I2072" s="24">
        <f>T_reg.root.SK[[#This Row],[Volume, kg]]/1000</f>
        <v>46.81</v>
      </c>
      <c r="J2072" s="25">
        <v>0.24670000000000003</v>
      </c>
      <c r="K2072" s="25">
        <f t="shared" si="32"/>
        <v>11548.027000000002</v>
      </c>
      <c r="L2072" s="25">
        <v>3.83</v>
      </c>
      <c r="M2072" s="24">
        <v>179252.5</v>
      </c>
      <c r="N2072" s="25">
        <f>IFERROR(T_reg.root.SK[[#This Row],[Price]]/T_reg.root.SK[[#This Row],[Starch content]],"")</f>
        <v>15.524929063640046</v>
      </c>
    </row>
    <row r="2073" spans="1:14">
      <c r="A2073" s="21">
        <v>2023</v>
      </c>
      <c r="B2073" s="21" t="s">
        <v>29</v>
      </c>
      <c r="C2073" s="21" t="s">
        <v>1145</v>
      </c>
      <c r="D2073" s="21" t="s">
        <v>35</v>
      </c>
      <c r="E2073" s="17" t="s">
        <v>621</v>
      </c>
      <c r="F2073" s="18" t="s">
        <v>187</v>
      </c>
      <c r="G2073" s="18" t="s">
        <v>48</v>
      </c>
      <c r="H2073" s="24">
        <v>18410</v>
      </c>
      <c r="I2073" s="24">
        <f>T_reg.root.SK[[#This Row],[Volume, kg]]/1000</f>
        <v>18.41</v>
      </c>
      <c r="J2073" s="25">
        <v>0.20579999999999998</v>
      </c>
      <c r="K2073" s="25">
        <f t="shared" si="32"/>
        <v>3788.7779999999998</v>
      </c>
      <c r="L2073" s="25">
        <v>3.57</v>
      </c>
      <c r="M2073" s="24">
        <v>65647</v>
      </c>
      <c r="N2073" s="25">
        <f>IFERROR(T_reg.root.SK[[#This Row],[Price]]/T_reg.root.SK[[#This Row],[Starch content]],"")</f>
        <v>17.346938775510203</v>
      </c>
    </row>
    <row r="2074" spans="1:14">
      <c r="A2074" s="21">
        <v>2023</v>
      </c>
      <c r="B2074" s="21" t="s">
        <v>29</v>
      </c>
      <c r="C2074" s="21" t="s">
        <v>1145</v>
      </c>
      <c r="D2074" s="21" t="s">
        <v>35</v>
      </c>
      <c r="E2074" s="17" t="s">
        <v>194</v>
      </c>
      <c r="F2074" s="18" t="s">
        <v>187</v>
      </c>
      <c r="G2074" s="18" t="s">
        <v>48</v>
      </c>
      <c r="H2074" s="24">
        <v>37560</v>
      </c>
      <c r="I2074" s="24">
        <f>T_reg.root.SK[[#This Row],[Volume, kg]]/1000</f>
        <v>37.56</v>
      </c>
      <c r="J2074" s="25">
        <v>0.27350000000000002</v>
      </c>
      <c r="K2074" s="25">
        <f t="shared" si="32"/>
        <v>10272.660000000002</v>
      </c>
      <c r="L2074" s="25">
        <v>4.0199999999999996</v>
      </c>
      <c r="M2074" s="24">
        <v>151177.5</v>
      </c>
      <c r="N2074" s="25">
        <f>IFERROR(T_reg.root.SK[[#This Row],[Price]]/T_reg.root.SK[[#This Row],[Starch content]],"")</f>
        <v>14.698354661791587</v>
      </c>
    </row>
    <row r="2075" spans="1:14">
      <c r="A2075" s="21">
        <v>2023</v>
      </c>
      <c r="B2075" s="21" t="s">
        <v>29</v>
      </c>
      <c r="C2075" s="21" t="s">
        <v>1145</v>
      </c>
      <c r="D2075" s="21" t="s">
        <v>35</v>
      </c>
      <c r="E2075" s="17" t="s">
        <v>263</v>
      </c>
      <c r="F2075" s="18" t="s">
        <v>187</v>
      </c>
      <c r="G2075" s="18" t="s">
        <v>48</v>
      </c>
      <c r="H2075" s="24">
        <v>10240</v>
      </c>
      <c r="I2075" s="24">
        <f>T_reg.root.SK[[#This Row],[Volume, kg]]/1000</f>
        <v>10.24</v>
      </c>
      <c r="J2075" s="25">
        <v>0.2666</v>
      </c>
      <c r="K2075" s="25">
        <f t="shared" si="32"/>
        <v>2729.9839999999999</v>
      </c>
      <c r="L2075" s="25">
        <v>3.87</v>
      </c>
      <c r="M2075" s="24">
        <v>39664</v>
      </c>
      <c r="N2075" s="25">
        <f>IFERROR(T_reg.root.SK[[#This Row],[Price]]/T_reg.root.SK[[#This Row],[Starch content]],"")</f>
        <v>14.516129032258064</v>
      </c>
    </row>
    <row r="2076" spans="1:14">
      <c r="A2076" s="21">
        <v>2023</v>
      </c>
      <c r="B2076" s="21" t="s">
        <v>29</v>
      </c>
      <c r="C2076" s="21" t="s">
        <v>1145</v>
      </c>
      <c r="D2076" s="21" t="s">
        <v>35</v>
      </c>
      <c r="E2076" s="17" t="s">
        <v>195</v>
      </c>
      <c r="F2076" s="18" t="s">
        <v>187</v>
      </c>
      <c r="G2076" s="18" t="s">
        <v>48</v>
      </c>
      <c r="H2076" s="24">
        <v>20130</v>
      </c>
      <c r="I2076" s="24">
        <f>T_reg.root.SK[[#This Row],[Volume, kg]]/1000</f>
        <v>20.13</v>
      </c>
      <c r="J2076" s="25">
        <v>0.2303</v>
      </c>
      <c r="K2076" s="25">
        <f t="shared" si="32"/>
        <v>4635.9390000000003</v>
      </c>
      <c r="L2076" s="25">
        <v>3.8</v>
      </c>
      <c r="M2076" s="24">
        <v>76433.5</v>
      </c>
      <c r="N2076" s="25">
        <f>IFERROR(T_reg.root.SK[[#This Row],[Price]]/T_reg.root.SK[[#This Row],[Starch content]],"")</f>
        <v>16.500217108119841</v>
      </c>
    </row>
    <row r="2077" spans="1:14">
      <c r="A2077" s="21">
        <v>2023</v>
      </c>
      <c r="B2077" s="21" t="s">
        <v>29</v>
      </c>
      <c r="C2077" s="21" t="s">
        <v>1145</v>
      </c>
      <c r="D2077" s="21" t="s">
        <v>35</v>
      </c>
      <c r="E2077" s="17" t="s">
        <v>331</v>
      </c>
      <c r="F2077" s="18" t="s">
        <v>187</v>
      </c>
      <c r="G2077" s="18" t="s">
        <v>48</v>
      </c>
      <c r="H2077" s="24">
        <v>32600</v>
      </c>
      <c r="I2077" s="24">
        <f>T_reg.root.SK[[#This Row],[Volume, kg]]/1000</f>
        <v>32.6</v>
      </c>
      <c r="J2077" s="25">
        <v>0.2427</v>
      </c>
      <c r="K2077" s="25">
        <f t="shared" si="32"/>
        <v>7912.0199999999995</v>
      </c>
      <c r="L2077" s="25">
        <v>3.78</v>
      </c>
      <c r="M2077" s="24">
        <v>123329</v>
      </c>
      <c r="N2077" s="25">
        <f>IFERROR(T_reg.root.SK[[#This Row],[Price]]/T_reg.root.SK[[#This Row],[Starch content]],"")</f>
        <v>15.57478368355995</v>
      </c>
    </row>
    <row r="2078" spans="1:14">
      <c r="A2078" s="21">
        <v>2023</v>
      </c>
      <c r="B2078" s="21" t="s">
        <v>29</v>
      </c>
      <c r="C2078" s="21" t="s">
        <v>1145</v>
      </c>
      <c r="D2078" s="21" t="s">
        <v>35</v>
      </c>
      <c r="E2078" s="17" t="s">
        <v>671</v>
      </c>
      <c r="F2078" s="18" t="s">
        <v>187</v>
      </c>
      <c r="G2078" s="18" t="s">
        <v>48</v>
      </c>
      <c r="H2078" s="24">
        <v>3570</v>
      </c>
      <c r="I2078" s="24">
        <f>T_reg.root.SK[[#This Row],[Volume, kg]]/1000</f>
        <v>3.57</v>
      </c>
      <c r="J2078" s="25">
        <v>0.23649999999999999</v>
      </c>
      <c r="K2078" s="25">
        <f t="shared" si="32"/>
        <v>844.30499999999995</v>
      </c>
      <c r="L2078" s="25">
        <v>3.75</v>
      </c>
      <c r="M2078" s="24">
        <v>13387.5</v>
      </c>
      <c r="N2078" s="25">
        <f>IFERROR(T_reg.root.SK[[#This Row],[Price]]/T_reg.root.SK[[#This Row],[Starch content]],"")</f>
        <v>15.856236786469346</v>
      </c>
    </row>
    <row r="2079" spans="1:14">
      <c r="A2079" s="21">
        <v>2023</v>
      </c>
      <c r="B2079" s="21" t="s">
        <v>29</v>
      </c>
      <c r="C2079" s="21" t="s">
        <v>1145</v>
      </c>
      <c r="D2079" s="21" t="s">
        <v>35</v>
      </c>
      <c r="E2079" s="17" t="s">
        <v>519</v>
      </c>
      <c r="F2079" s="18" t="s">
        <v>187</v>
      </c>
      <c r="G2079" s="18" t="s">
        <v>48</v>
      </c>
      <c r="H2079" s="24">
        <v>38330</v>
      </c>
      <c r="I2079" s="24">
        <f>T_reg.root.SK[[#This Row],[Volume, kg]]/1000</f>
        <v>38.33</v>
      </c>
      <c r="J2079" s="25">
        <v>0.25920000000000004</v>
      </c>
      <c r="K2079" s="25">
        <f t="shared" si="32"/>
        <v>9935.1360000000022</v>
      </c>
      <c r="L2079" s="25">
        <v>3.92</v>
      </c>
      <c r="M2079" s="24">
        <v>150342.5</v>
      </c>
      <c r="N2079" s="25">
        <f>IFERROR(T_reg.root.SK[[#This Row],[Price]]/T_reg.root.SK[[#This Row],[Starch content]],"")</f>
        <v>15.123456790123454</v>
      </c>
    </row>
    <row r="2080" spans="1:14">
      <c r="A2080" s="21">
        <v>2023</v>
      </c>
      <c r="B2080" s="21" t="s">
        <v>29</v>
      </c>
      <c r="C2080" s="21" t="s">
        <v>1145</v>
      </c>
      <c r="D2080" s="21" t="s">
        <v>35</v>
      </c>
      <c r="E2080" s="17" t="s">
        <v>610</v>
      </c>
      <c r="F2080" s="18" t="s">
        <v>187</v>
      </c>
      <c r="G2080" s="18" t="s">
        <v>48</v>
      </c>
      <c r="H2080" s="24">
        <v>7210</v>
      </c>
      <c r="I2080" s="24">
        <f>T_reg.root.SK[[#This Row],[Volume, kg]]/1000</f>
        <v>7.21</v>
      </c>
      <c r="J2080" s="25">
        <v>0.23550000000000001</v>
      </c>
      <c r="K2080" s="25">
        <f t="shared" si="32"/>
        <v>1697.9550000000002</v>
      </c>
      <c r="L2080" s="25">
        <v>3.7</v>
      </c>
      <c r="M2080" s="24">
        <v>26677</v>
      </c>
      <c r="N2080" s="25">
        <f>IFERROR(T_reg.root.SK[[#This Row],[Price]]/T_reg.root.SK[[#This Row],[Starch content]],"")</f>
        <v>15.711252653927813</v>
      </c>
    </row>
    <row r="2081" spans="1:14">
      <c r="A2081" s="21">
        <v>2023</v>
      </c>
      <c r="B2081" s="21" t="s">
        <v>29</v>
      </c>
      <c r="C2081" s="21" t="s">
        <v>1145</v>
      </c>
      <c r="D2081" s="21" t="s">
        <v>35</v>
      </c>
      <c r="E2081" s="17" t="s">
        <v>199</v>
      </c>
      <c r="F2081" s="18" t="s">
        <v>187</v>
      </c>
      <c r="G2081" s="18" t="s">
        <v>48</v>
      </c>
      <c r="H2081" s="24">
        <v>35480</v>
      </c>
      <c r="I2081" s="24">
        <f>T_reg.root.SK[[#This Row],[Volume, kg]]/1000</f>
        <v>35.479999999999997</v>
      </c>
      <c r="J2081" s="25">
        <v>0.27</v>
      </c>
      <c r="K2081" s="25">
        <f t="shared" si="32"/>
        <v>9579.6</v>
      </c>
      <c r="L2081" s="25">
        <v>3.87</v>
      </c>
      <c r="M2081" s="24">
        <v>137352.5</v>
      </c>
      <c r="N2081" s="25">
        <f>IFERROR(T_reg.root.SK[[#This Row],[Price]]/T_reg.root.SK[[#This Row],[Starch content]],"")</f>
        <v>14.333333333333332</v>
      </c>
    </row>
    <row r="2082" spans="1:14">
      <c r="A2082" s="21">
        <v>2023</v>
      </c>
      <c r="B2082" s="21" t="s">
        <v>29</v>
      </c>
      <c r="C2082" s="21" t="s">
        <v>1145</v>
      </c>
      <c r="D2082" s="21" t="s">
        <v>35</v>
      </c>
      <c r="E2082" s="17" t="s">
        <v>200</v>
      </c>
      <c r="F2082" s="18" t="s">
        <v>187</v>
      </c>
      <c r="G2082" s="18" t="s">
        <v>48</v>
      </c>
      <c r="H2082" s="24">
        <v>68490</v>
      </c>
      <c r="I2082" s="24">
        <f>T_reg.root.SK[[#This Row],[Volume, kg]]/1000</f>
        <v>68.489999999999995</v>
      </c>
      <c r="J2082" s="25">
        <v>0.26030000000000003</v>
      </c>
      <c r="K2082" s="25">
        <f t="shared" si="32"/>
        <v>17827.947000000004</v>
      </c>
      <c r="L2082" s="25">
        <v>3.86</v>
      </c>
      <c r="M2082" s="24">
        <v>264258.5</v>
      </c>
      <c r="N2082" s="25">
        <f>IFERROR(T_reg.root.SK[[#This Row],[Price]]/T_reg.root.SK[[#This Row],[Starch content]],"")</f>
        <v>14.829043411448326</v>
      </c>
    </row>
    <row r="2083" spans="1:14">
      <c r="A2083" s="21">
        <v>2023</v>
      </c>
      <c r="B2083" s="21" t="s">
        <v>29</v>
      </c>
      <c r="C2083" s="21" t="s">
        <v>1145</v>
      </c>
      <c r="D2083" s="21" t="s">
        <v>35</v>
      </c>
      <c r="E2083" s="17" t="s">
        <v>201</v>
      </c>
      <c r="F2083" s="18" t="s">
        <v>187</v>
      </c>
      <c r="G2083" s="18" t="s">
        <v>48</v>
      </c>
      <c r="H2083" s="24">
        <v>11600</v>
      </c>
      <c r="I2083" s="24">
        <f>T_reg.root.SK[[#This Row],[Volume, kg]]/1000</f>
        <v>11.6</v>
      </c>
      <c r="J2083" s="25">
        <v>0.2447</v>
      </c>
      <c r="K2083" s="25">
        <f t="shared" si="32"/>
        <v>2838.52</v>
      </c>
      <c r="L2083" s="25">
        <v>3.77</v>
      </c>
      <c r="M2083" s="24">
        <v>43694.5</v>
      </c>
      <c r="N2083" s="25">
        <f>IFERROR(T_reg.root.SK[[#This Row],[Price]]/T_reg.root.SK[[#This Row],[Starch content]],"")</f>
        <v>15.406620351450757</v>
      </c>
    </row>
    <row r="2084" spans="1:14">
      <c r="A2084" s="21">
        <v>2023</v>
      </c>
      <c r="B2084" s="21" t="s">
        <v>29</v>
      </c>
      <c r="C2084" s="21" t="s">
        <v>1145</v>
      </c>
      <c r="D2084" s="21" t="s">
        <v>35</v>
      </c>
      <c r="E2084" s="17" t="s">
        <v>267</v>
      </c>
      <c r="F2084" s="18" t="s">
        <v>187</v>
      </c>
      <c r="G2084" s="18" t="s">
        <v>48</v>
      </c>
      <c r="H2084" s="24">
        <v>28470</v>
      </c>
      <c r="I2084" s="24">
        <f>T_reg.root.SK[[#This Row],[Volume, kg]]/1000</f>
        <v>28.47</v>
      </c>
      <c r="J2084" s="25">
        <v>0.21510000000000001</v>
      </c>
      <c r="K2084" s="25">
        <f t="shared" si="32"/>
        <v>6123.8969999999999</v>
      </c>
      <c r="L2084" s="25">
        <v>3.63</v>
      </c>
      <c r="M2084" s="24">
        <v>103307</v>
      </c>
      <c r="N2084" s="25">
        <f>IFERROR(T_reg.root.SK[[#This Row],[Price]]/T_reg.root.SK[[#This Row],[Starch content]],"")</f>
        <v>16.875871687587168</v>
      </c>
    </row>
    <row r="2085" spans="1:14">
      <c r="A2085" s="21">
        <v>2023</v>
      </c>
      <c r="B2085" s="21" t="s">
        <v>29</v>
      </c>
      <c r="C2085" s="21" t="s">
        <v>1145</v>
      </c>
      <c r="D2085" s="21" t="s">
        <v>35</v>
      </c>
      <c r="E2085" s="17" t="s">
        <v>208</v>
      </c>
      <c r="F2085" s="18" t="s">
        <v>187</v>
      </c>
      <c r="G2085" s="18" t="s">
        <v>48</v>
      </c>
      <c r="H2085" s="24">
        <v>23450</v>
      </c>
      <c r="I2085" s="24">
        <f>T_reg.root.SK[[#This Row],[Volume, kg]]/1000</f>
        <v>23.45</v>
      </c>
      <c r="J2085" s="25">
        <v>0.26940000000000003</v>
      </c>
      <c r="K2085" s="25">
        <f t="shared" si="32"/>
        <v>6317.43</v>
      </c>
      <c r="L2085" s="25">
        <v>3.9</v>
      </c>
      <c r="M2085" s="24">
        <v>91358</v>
      </c>
      <c r="N2085" s="25">
        <f>IFERROR(T_reg.root.SK[[#This Row],[Price]]/T_reg.root.SK[[#This Row],[Starch content]],"")</f>
        <v>14.476614699331847</v>
      </c>
    </row>
    <row r="2086" spans="1:14">
      <c r="A2086" s="21">
        <v>2023</v>
      </c>
      <c r="B2086" s="21" t="s">
        <v>29</v>
      </c>
      <c r="C2086" s="21" t="s">
        <v>1145</v>
      </c>
      <c r="D2086" s="21" t="s">
        <v>35</v>
      </c>
      <c r="E2086" s="17" t="s">
        <v>211</v>
      </c>
      <c r="F2086" s="18" t="s">
        <v>187</v>
      </c>
      <c r="G2086" s="18" t="s">
        <v>48</v>
      </c>
      <c r="H2086" s="24">
        <v>61120</v>
      </c>
      <c r="I2086" s="24">
        <f>T_reg.root.SK[[#This Row],[Volume, kg]]/1000</f>
        <v>61.12</v>
      </c>
      <c r="J2086" s="25">
        <v>0.26050000000000001</v>
      </c>
      <c r="K2086" s="25">
        <f t="shared" si="32"/>
        <v>15921.76</v>
      </c>
      <c r="L2086" s="25">
        <v>3.91</v>
      </c>
      <c r="M2086" s="24">
        <v>238892</v>
      </c>
      <c r="N2086" s="25">
        <f>IFERROR(T_reg.root.SK[[#This Row],[Price]]/T_reg.root.SK[[#This Row],[Starch content]],"")</f>
        <v>15.009596928982726</v>
      </c>
    </row>
    <row r="2087" spans="1:14">
      <c r="A2087" s="21">
        <v>2023</v>
      </c>
      <c r="B2087" s="21" t="s">
        <v>29</v>
      </c>
      <c r="C2087" s="21" t="s">
        <v>1145</v>
      </c>
      <c r="D2087" s="21" t="s">
        <v>35</v>
      </c>
      <c r="E2087" s="17" t="s">
        <v>212</v>
      </c>
      <c r="F2087" s="18" t="s">
        <v>187</v>
      </c>
      <c r="G2087" s="18" t="s">
        <v>48</v>
      </c>
      <c r="H2087" s="24">
        <v>21380</v>
      </c>
      <c r="I2087" s="24">
        <f>T_reg.root.SK[[#This Row],[Volume, kg]]/1000</f>
        <v>21.38</v>
      </c>
      <c r="J2087" s="25">
        <v>0.25409999999999999</v>
      </c>
      <c r="K2087" s="25">
        <f t="shared" si="32"/>
        <v>5432.6579999999994</v>
      </c>
      <c r="L2087" s="25">
        <v>3.83</v>
      </c>
      <c r="M2087" s="24">
        <v>81799</v>
      </c>
      <c r="N2087" s="25">
        <f>IFERROR(T_reg.root.SK[[#This Row],[Price]]/T_reg.root.SK[[#This Row],[Starch content]],"")</f>
        <v>15.072805981896892</v>
      </c>
    </row>
    <row r="2088" spans="1:14">
      <c r="A2088" s="21">
        <v>2023</v>
      </c>
      <c r="B2088" s="21" t="s">
        <v>29</v>
      </c>
      <c r="C2088" s="21" t="s">
        <v>1145</v>
      </c>
      <c r="D2088" s="21" t="s">
        <v>35</v>
      </c>
      <c r="E2088" s="17" t="s">
        <v>672</v>
      </c>
      <c r="F2088" s="18" t="s">
        <v>187</v>
      </c>
      <c r="G2088" s="18" t="s">
        <v>48</v>
      </c>
      <c r="H2088" s="24">
        <v>47080</v>
      </c>
      <c r="I2088" s="24">
        <f>T_reg.root.SK[[#This Row],[Volume, kg]]/1000</f>
        <v>47.08</v>
      </c>
      <c r="J2088" s="25">
        <v>0.25629999999999997</v>
      </c>
      <c r="K2088" s="25">
        <f t="shared" si="32"/>
        <v>12066.603999999999</v>
      </c>
      <c r="L2088" s="25">
        <v>3.93</v>
      </c>
      <c r="M2088" s="24">
        <v>184851.5</v>
      </c>
      <c r="N2088" s="25">
        <f>IFERROR(T_reg.root.SK[[#This Row],[Price]]/T_reg.root.SK[[#This Row],[Starch content]],"")</f>
        <v>15.33359344518143</v>
      </c>
    </row>
    <row r="2089" spans="1:14">
      <c r="A2089" s="21">
        <v>2023</v>
      </c>
      <c r="B2089" s="21" t="s">
        <v>29</v>
      </c>
      <c r="C2089" s="21" t="s">
        <v>1145</v>
      </c>
      <c r="D2089" s="21" t="s">
        <v>35</v>
      </c>
      <c r="E2089" s="17" t="s">
        <v>213</v>
      </c>
      <c r="F2089" s="18" t="s">
        <v>187</v>
      </c>
      <c r="G2089" s="18" t="s">
        <v>48</v>
      </c>
      <c r="H2089" s="24">
        <v>90300</v>
      </c>
      <c r="I2089" s="24">
        <f>T_reg.root.SK[[#This Row],[Volume, kg]]/1000</f>
        <v>90.3</v>
      </c>
      <c r="J2089" s="25">
        <v>0.26</v>
      </c>
      <c r="K2089" s="25">
        <f t="shared" si="32"/>
        <v>23478</v>
      </c>
      <c r="L2089" s="25">
        <v>3.82</v>
      </c>
      <c r="M2089" s="24">
        <v>345201</v>
      </c>
      <c r="N2089" s="25">
        <f>IFERROR(T_reg.root.SK[[#This Row],[Price]]/T_reg.root.SK[[#This Row],[Starch content]],"")</f>
        <v>14.692307692307692</v>
      </c>
    </row>
    <row r="2090" spans="1:14">
      <c r="A2090" s="21">
        <v>2023</v>
      </c>
      <c r="B2090" s="21" t="s">
        <v>29</v>
      </c>
      <c r="C2090" s="21" t="s">
        <v>1145</v>
      </c>
      <c r="D2090" s="21" t="s">
        <v>35</v>
      </c>
      <c r="E2090" s="17" t="s">
        <v>334</v>
      </c>
      <c r="F2090" s="18" t="s">
        <v>187</v>
      </c>
      <c r="G2090" s="18" t="s">
        <v>48</v>
      </c>
      <c r="H2090" s="24">
        <v>16690</v>
      </c>
      <c r="I2090" s="24">
        <f>T_reg.root.SK[[#This Row],[Volume, kg]]/1000</f>
        <v>16.690000000000001</v>
      </c>
      <c r="J2090" s="25">
        <v>0.26750000000000002</v>
      </c>
      <c r="K2090" s="25">
        <f t="shared" si="32"/>
        <v>4464.5749999999998</v>
      </c>
      <c r="L2090" s="25">
        <v>3.88</v>
      </c>
      <c r="M2090" s="24">
        <v>64685</v>
      </c>
      <c r="N2090" s="25">
        <f>IFERROR(T_reg.root.SK[[#This Row],[Price]]/T_reg.root.SK[[#This Row],[Starch content]],"")</f>
        <v>14.50467289719626</v>
      </c>
    </row>
    <row r="2091" spans="1:14">
      <c r="A2091" s="21">
        <v>2023</v>
      </c>
      <c r="B2091" s="21" t="s">
        <v>29</v>
      </c>
      <c r="C2091" s="21" t="s">
        <v>1145</v>
      </c>
      <c r="D2091" s="21" t="s">
        <v>35</v>
      </c>
      <c r="E2091" s="17" t="s">
        <v>335</v>
      </c>
      <c r="F2091" s="18" t="s">
        <v>187</v>
      </c>
      <c r="G2091" s="18" t="s">
        <v>48</v>
      </c>
      <c r="H2091" s="24">
        <v>10470</v>
      </c>
      <c r="I2091" s="24">
        <f>T_reg.root.SK[[#This Row],[Volume, kg]]/1000</f>
        <v>10.47</v>
      </c>
      <c r="J2091" s="25">
        <v>0.28050000000000003</v>
      </c>
      <c r="K2091" s="25">
        <f t="shared" si="32"/>
        <v>2936.8350000000005</v>
      </c>
      <c r="L2091" s="25">
        <v>4.05</v>
      </c>
      <c r="M2091" s="24">
        <v>42403.5</v>
      </c>
      <c r="N2091" s="25">
        <f>IFERROR(T_reg.root.SK[[#This Row],[Price]]/T_reg.root.SK[[#This Row],[Starch content]],"")</f>
        <v>14.438502673796789</v>
      </c>
    </row>
    <row r="2092" spans="1:14">
      <c r="A2092" s="21">
        <v>2023</v>
      </c>
      <c r="B2092" s="21" t="s">
        <v>29</v>
      </c>
      <c r="C2092" s="21" t="s">
        <v>1145</v>
      </c>
      <c r="D2092" s="21" t="s">
        <v>35</v>
      </c>
      <c r="E2092" s="17" t="s">
        <v>216</v>
      </c>
      <c r="F2092" s="18" t="s">
        <v>187</v>
      </c>
      <c r="G2092" s="18" t="s">
        <v>48</v>
      </c>
      <c r="H2092" s="24">
        <v>144810</v>
      </c>
      <c r="I2092" s="24">
        <f>T_reg.root.SK[[#This Row],[Volume, kg]]/1000</f>
        <v>144.81</v>
      </c>
      <c r="J2092" s="25">
        <v>0.23699999999999999</v>
      </c>
      <c r="K2092" s="25">
        <f t="shared" si="32"/>
        <v>34319.97</v>
      </c>
      <c r="L2092" s="25">
        <v>3.76</v>
      </c>
      <c r="M2092" s="24">
        <v>544229</v>
      </c>
      <c r="N2092" s="25">
        <f>IFERROR(T_reg.root.SK[[#This Row],[Price]]/T_reg.root.SK[[#This Row],[Starch content]],"")</f>
        <v>15.864978902953586</v>
      </c>
    </row>
    <row r="2093" spans="1:14">
      <c r="A2093" s="21">
        <v>2023</v>
      </c>
      <c r="B2093" s="21" t="s">
        <v>29</v>
      </c>
      <c r="C2093" s="21" t="s">
        <v>1145</v>
      </c>
      <c r="D2093" s="21" t="s">
        <v>35</v>
      </c>
      <c r="E2093" s="17" t="s">
        <v>543</v>
      </c>
      <c r="F2093" s="18" t="s">
        <v>187</v>
      </c>
      <c r="G2093" s="18" t="s">
        <v>48</v>
      </c>
      <c r="H2093" s="24">
        <v>7190</v>
      </c>
      <c r="I2093" s="24">
        <f>T_reg.root.SK[[#This Row],[Volume, kg]]/1000</f>
        <v>7.19</v>
      </c>
      <c r="J2093" s="25">
        <v>0.25800000000000001</v>
      </c>
      <c r="K2093" s="25">
        <f t="shared" si="32"/>
        <v>1855.02</v>
      </c>
      <c r="L2093" s="25">
        <v>3.95</v>
      </c>
      <c r="M2093" s="24">
        <v>28400.5</v>
      </c>
      <c r="N2093" s="25">
        <f>IFERROR(T_reg.root.SK[[#This Row],[Price]]/T_reg.root.SK[[#This Row],[Starch content]],"")</f>
        <v>15.310077519379846</v>
      </c>
    </row>
    <row r="2094" spans="1:14">
      <c r="A2094" s="21">
        <v>2024</v>
      </c>
      <c r="B2094" s="21" t="s">
        <v>17</v>
      </c>
      <c r="C2094" s="21" t="s">
        <v>1145</v>
      </c>
      <c r="D2094" s="21" t="s">
        <v>35</v>
      </c>
      <c r="E2094" s="17" t="s">
        <v>651</v>
      </c>
      <c r="F2094" s="18" t="s">
        <v>37</v>
      </c>
      <c r="G2094" s="18" t="s">
        <v>38</v>
      </c>
      <c r="H2094" s="24">
        <v>111510</v>
      </c>
      <c r="I2094" s="24">
        <f>T_reg.root.SK[[#This Row],[Volume, kg]]/1000</f>
        <v>111.51</v>
      </c>
      <c r="J2094" s="25">
        <v>0.24850000000000003</v>
      </c>
      <c r="K2094" s="25">
        <f t="shared" si="32"/>
        <v>27710.235000000004</v>
      </c>
      <c r="L2094" s="25">
        <v>3.8490359609003675</v>
      </c>
      <c r="M2094" s="24">
        <v>429206</v>
      </c>
      <c r="N2094" s="25">
        <f>IFERROR(T_reg.root.SK[[#This Row],[Price]]/T_reg.root.SK[[#This Row],[Starch content]],"")</f>
        <v>15.489078313482363</v>
      </c>
    </row>
    <row r="2095" spans="1:14">
      <c r="A2095" s="21">
        <v>2024</v>
      </c>
      <c r="B2095" s="21" t="s">
        <v>17</v>
      </c>
      <c r="C2095" s="21" t="s">
        <v>1145</v>
      </c>
      <c r="D2095" s="21" t="s">
        <v>35</v>
      </c>
      <c r="E2095" s="17" t="s">
        <v>652</v>
      </c>
      <c r="F2095" s="18" t="s">
        <v>653</v>
      </c>
      <c r="G2095" s="18" t="s">
        <v>48</v>
      </c>
      <c r="H2095" s="24">
        <v>38100</v>
      </c>
      <c r="I2095" s="24">
        <f>T_reg.root.SK[[#This Row],[Volume, kg]]/1000</f>
        <v>38.1</v>
      </c>
      <c r="J2095" s="25">
        <v>0.24890000000000001</v>
      </c>
      <c r="K2095" s="25">
        <f t="shared" si="32"/>
        <v>9483.09</v>
      </c>
      <c r="L2095" s="25">
        <v>3.8052755905511813</v>
      </c>
      <c r="M2095" s="24">
        <v>144981</v>
      </c>
      <c r="N2095" s="25">
        <f>IFERROR(T_reg.root.SK[[#This Row],[Price]]/T_reg.root.SK[[#This Row],[Starch content]],"")</f>
        <v>15.288371195464769</v>
      </c>
    </row>
    <row r="2096" spans="1:14">
      <c r="A2096" s="21">
        <v>2024</v>
      </c>
      <c r="B2096" s="21" t="s">
        <v>17</v>
      </c>
      <c r="C2096" s="21" t="s">
        <v>1145</v>
      </c>
      <c r="D2096" s="21" t="s">
        <v>39</v>
      </c>
      <c r="E2096" s="17" t="s">
        <v>218</v>
      </c>
      <c r="F2096" s="18" t="s">
        <v>219</v>
      </c>
      <c r="G2096" s="18" t="s">
        <v>220</v>
      </c>
      <c r="H2096" s="24">
        <v>28330</v>
      </c>
      <c r="I2096" s="24">
        <f>T_reg.root.SK[[#This Row],[Volume, kg]]/1000</f>
        <v>28.33</v>
      </c>
      <c r="J2096" s="25">
        <v>0.24199999999999999</v>
      </c>
      <c r="K2096" s="25">
        <f t="shared" si="32"/>
        <v>6855.86</v>
      </c>
      <c r="L2096" s="25">
        <v>3.7</v>
      </c>
      <c r="M2096" s="24">
        <v>104821</v>
      </c>
      <c r="N2096" s="25">
        <f>IFERROR(T_reg.root.SK[[#This Row],[Price]]/T_reg.root.SK[[#This Row],[Starch content]],"")</f>
        <v>15.289256198347109</v>
      </c>
    </row>
    <row r="2097" spans="1:14">
      <c r="A2097" s="21">
        <v>2024</v>
      </c>
      <c r="B2097" s="21" t="s">
        <v>17</v>
      </c>
      <c r="C2097" s="21" t="s">
        <v>1145</v>
      </c>
      <c r="D2097" s="21" t="s">
        <v>35</v>
      </c>
      <c r="E2097" s="17" t="s">
        <v>338</v>
      </c>
      <c r="F2097" s="18" t="s">
        <v>47</v>
      </c>
      <c r="G2097" s="18" t="s">
        <v>48</v>
      </c>
      <c r="H2097" s="24">
        <v>8940</v>
      </c>
      <c r="I2097" s="24">
        <f>T_reg.root.SK[[#This Row],[Volume, kg]]/1000</f>
        <v>8.94</v>
      </c>
      <c r="J2097" s="25">
        <v>0.22670000000000001</v>
      </c>
      <c r="K2097" s="25">
        <f t="shared" si="32"/>
        <v>2026.6980000000001</v>
      </c>
      <c r="L2097" s="25">
        <v>3.75</v>
      </c>
      <c r="M2097" s="24">
        <v>33525</v>
      </c>
      <c r="N2097" s="25">
        <f>IFERROR(T_reg.root.SK[[#This Row],[Price]]/T_reg.root.SK[[#This Row],[Starch content]],"")</f>
        <v>16.541685046316719</v>
      </c>
    </row>
    <row r="2098" spans="1:14">
      <c r="A2098" s="21">
        <v>2024</v>
      </c>
      <c r="B2098" s="21" t="s">
        <v>17</v>
      </c>
      <c r="C2098" s="21" t="s">
        <v>1145</v>
      </c>
      <c r="D2098" s="21" t="s">
        <v>35</v>
      </c>
      <c r="E2098" s="17" t="s">
        <v>673</v>
      </c>
      <c r="F2098" s="18" t="s">
        <v>47</v>
      </c>
      <c r="G2098" s="18" t="s">
        <v>48</v>
      </c>
      <c r="H2098" s="24">
        <v>18410</v>
      </c>
      <c r="I2098" s="24">
        <f>T_reg.root.SK[[#This Row],[Volume, kg]]/1000</f>
        <v>18.41</v>
      </c>
      <c r="J2098" s="25">
        <v>0.27810000000000001</v>
      </c>
      <c r="K2098" s="25">
        <f t="shared" si="32"/>
        <v>5119.8209999999999</v>
      </c>
      <c r="L2098" s="25">
        <v>3.95</v>
      </c>
      <c r="M2098" s="24">
        <v>72719.5</v>
      </c>
      <c r="N2098" s="25">
        <f>IFERROR(T_reg.root.SK[[#This Row],[Price]]/T_reg.root.SK[[#This Row],[Starch content]],"")</f>
        <v>14.203523912261776</v>
      </c>
    </row>
    <row r="2099" spans="1:14">
      <c r="A2099" s="21">
        <v>2024</v>
      </c>
      <c r="B2099" s="21" t="s">
        <v>17</v>
      </c>
      <c r="C2099" s="21" t="s">
        <v>1145</v>
      </c>
      <c r="D2099" s="21" t="s">
        <v>35</v>
      </c>
      <c r="E2099" s="17" t="s">
        <v>340</v>
      </c>
      <c r="F2099" s="18" t="s">
        <v>47</v>
      </c>
      <c r="G2099" s="18" t="s">
        <v>48</v>
      </c>
      <c r="H2099" s="24">
        <v>38260</v>
      </c>
      <c r="I2099" s="24">
        <f>T_reg.root.SK[[#This Row],[Volume, kg]]/1000</f>
        <v>38.26</v>
      </c>
      <c r="J2099" s="25">
        <v>0.25219999999999998</v>
      </c>
      <c r="K2099" s="25">
        <f t="shared" si="32"/>
        <v>9649.1719999999987</v>
      </c>
      <c r="L2099" s="25">
        <v>3.8447856769472035</v>
      </c>
      <c r="M2099" s="24">
        <v>147101.5</v>
      </c>
      <c r="N2099" s="25">
        <f>IFERROR(T_reg.root.SK[[#This Row],[Price]]/T_reg.root.SK[[#This Row],[Starch content]],"")</f>
        <v>15.244986823739904</v>
      </c>
    </row>
    <row r="2100" spans="1:14">
      <c r="A2100" s="21">
        <v>2024</v>
      </c>
      <c r="B2100" s="21" t="s">
        <v>17</v>
      </c>
      <c r="C2100" s="21" t="s">
        <v>1145</v>
      </c>
      <c r="D2100" s="21" t="s">
        <v>35</v>
      </c>
      <c r="E2100" s="17" t="s">
        <v>66</v>
      </c>
      <c r="F2100" s="18" t="s">
        <v>47</v>
      </c>
      <c r="G2100" s="18" t="s">
        <v>48</v>
      </c>
      <c r="H2100" s="24">
        <v>87120</v>
      </c>
      <c r="I2100" s="24">
        <f>T_reg.root.SK[[#This Row],[Volume, kg]]/1000</f>
        <v>87.12</v>
      </c>
      <c r="J2100" s="25">
        <v>0.26060697887970619</v>
      </c>
      <c r="K2100" s="25">
        <f t="shared" si="32"/>
        <v>22704.080000000002</v>
      </c>
      <c r="L2100" s="25">
        <v>3.939043847566575</v>
      </c>
      <c r="M2100" s="24">
        <v>343169.5</v>
      </c>
      <c r="N2100" s="25">
        <f>IFERROR(T_reg.root.SK[[#This Row],[Price]]/T_reg.root.SK[[#This Row],[Starch content]],"")</f>
        <v>15.1148824352275</v>
      </c>
    </row>
    <row r="2101" spans="1:14">
      <c r="A2101" s="21">
        <v>2024</v>
      </c>
      <c r="B2101" s="21" t="s">
        <v>17</v>
      </c>
      <c r="C2101" s="21" t="s">
        <v>1145</v>
      </c>
      <c r="D2101" s="21" t="s">
        <v>35</v>
      </c>
      <c r="E2101" s="17" t="s">
        <v>546</v>
      </c>
      <c r="F2101" s="18" t="s">
        <v>47</v>
      </c>
      <c r="G2101" s="18" t="s">
        <v>48</v>
      </c>
      <c r="H2101" s="24">
        <v>120640</v>
      </c>
      <c r="I2101" s="24">
        <f>T_reg.root.SK[[#This Row],[Volume, kg]]/1000</f>
        <v>120.64</v>
      </c>
      <c r="J2101" s="25">
        <v>0.2893</v>
      </c>
      <c r="K2101" s="25">
        <f t="shared" si="32"/>
        <v>34901.152000000002</v>
      </c>
      <c r="L2101" s="25">
        <v>4.0258869363395222</v>
      </c>
      <c r="M2101" s="24">
        <v>485683</v>
      </c>
      <c r="N2101" s="25">
        <f>IFERROR(T_reg.root.SK[[#This Row],[Price]]/T_reg.root.SK[[#This Row],[Starch content]],"")</f>
        <v>13.915958991840727</v>
      </c>
    </row>
    <row r="2102" spans="1:14">
      <c r="A2102" s="21">
        <v>2024</v>
      </c>
      <c r="B2102" s="21" t="s">
        <v>17</v>
      </c>
      <c r="C2102" s="21" t="s">
        <v>1145</v>
      </c>
      <c r="D2102" s="21" t="s">
        <v>35</v>
      </c>
      <c r="E2102" s="17" t="s">
        <v>336</v>
      </c>
      <c r="F2102" s="18" t="s">
        <v>47</v>
      </c>
      <c r="G2102" s="18" t="s">
        <v>48</v>
      </c>
      <c r="H2102" s="24">
        <v>15650</v>
      </c>
      <c r="I2102" s="24">
        <f>T_reg.root.SK[[#This Row],[Volume, kg]]/1000</f>
        <v>15.65</v>
      </c>
      <c r="J2102" s="25">
        <v>0.28849999999999998</v>
      </c>
      <c r="K2102" s="25">
        <f t="shared" si="32"/>
        <v>4515.0249999999996</v>
      </c>
      <c r="L2102" s="25">
        <v>4.05</v>
      </c>
      <c r="M2102" s="24">
        <v>63382.5</v>
      </c>
      <c r="N2102" s="25">
        <f>IFERROR(T_reg.root.SK[[#This Row],[Price]]/T_reg.root.SK[[#This Row],[Starch content]],"")</f>
        <v>14.038128249566725</v>
      </c>
    </row>
    <row r="2103" spans="1:14">
      <c r="A2103" s="21">
        <v>2024</v>
      </c>
      <c r="B2103" s="21" t="s">
        <v>17</v>
      </c>
      <c r="C2103" s="21" t="s">
        <v>1145</v>
      </c>
      <c r="D2103" s="21" t="s">
        <v>35</v>
      </c>
      <c r="E2103" s="17" t="s">
        <v>624</v>
      </c>
      <c r="F2103" s="18" t="s">
        <v>47</v>
      </c>
      <c r="G2103" s="18" t="s">
        <v>48</v>
      </c>
      <c r="H2103" s="24">
        <v>65740</v>
      </c>
      <c r="I2103" s="24">
        <f>T_reg.root.SK[[#This Row],[Volume, kg]]/1000</f>
        <v>65.739999999999995</v>
      </c>
      <c r="J2103" s="25">
        <v>0.24950000000000003</v>
      </c>
      <c r="K2103" s="25">
        <f t="shared" si="32"/>
        <v>16402.13</v>
      </c>
      <c r="L2103" s="25">
        <v>3.8226041983571646</v>
      </c>
      <c r="M2103" s="24">
        <v>251298</v>
      </c>
      <c r="N2103" s="25">
        <f>IFERROR(T_reg.root.SK[[#This Row],[Price]]/T_reg.root.SK[[#This Row],[Starch content]],"")</f>
        <v>15.321058911251159</v>
      </c>
    </row>
    <row r="2104" spans="1:14">
      <c r="A2104" s="21">
        <v>2024</v>
      </c>
      <c r="B2104" s="21" t="s">
        <v>17</v>
      </c>
      <c r="C2104" s="21" t="s">
        <v>1145</v>
      </c>
      <c r="D2104" s="21" t="s">
        <v>35</v>
      </c>
      <c r="E2104" s="17" t="s">
        <v>674</v>
      </c>
      <c r="F2104" s="18" t="s">
        <v>47</v>
      </c>
      <c r="G2104" s="18" t="s">
        <v>48</v>
      </c>
      <c r="H2104" s="24">
        <v>37980</v>
      </c>
      <c r="I2104" s="24">
        <f>T_reg.root.SK[[#This Row],[Volume, kg]]/1000</f>
        <v>37.979999999999997</v>
      </c>
      <c r="J2104" s="25">
        <v>0.28410000000000002</v>
      </c>
      <c r="K2104" s="25">
        <f t="shared" si="32"/>
        <v>10790.118</v>
      </c>
      <c r="L2104" s="25">
        <v>3.9607688256977358</v>
      </c>
      <c r="M2104" s="24">
        <v>150430</v>
      </c>
      <c r="N2104" s="25">
        <f>IFERROR(T_reg.root.SK[[#This Row],[Price]]/T_reg.root.SK[[#This Row],[Starch content]],"")</f>
        <v>13.941460139731557</v>
      </c>
    </row>
    <row r="2105" spans="1:14">
      <c r="A2105" s="21">
        <v>2024</v>
      </c>
      <c r="B2105" s="21" t="s">
        <v>17</v>
      </c>
      <c r="C2105" s="21" t="s">
        <v>1145</v>
      </c>
      <c r="D2105" s="21" t="s">
        <v>35</v>
      </c>
      <c r="E2105" s="17" t="s">
        <v>56</v>
      </c>
      <c r="F2105" s="18" t="s">
        <v>47</v>
      </c>
      <c r="G2105" s="18" t="s">
        <v>48</v>
      </c>
      <c r="H2105" s="24">
        <v>133190</v>
      </c>
      <c r="I2105" s="24">
        <f>T_reg.root.SK[[#This Row],[Volume, kg]]/1000</f>
        <v>133.19</v>
      </c>
      <c r="J2105" s="25">
        <v>0.24314484570913733</v>
      </c>
      <c r="K2105" s="25">
        <f t="shared" si="32"/>
        <v>32384.462</v>
      </c>
      <c r="L2105" s="25">
        <v>3.8519896388617765</v>
      </c>
      <c r="M2105" s="24">
        <v>513046.5</v>
      </c>
      <c r="N2105" s="25">
        <f>IFERROR(T_reg.root.SK[[#This Row],[Price]]/T_reg.root.SK[[#This Row],[Starch content]],"")</f>
        <v>15.842366008735917</v>
      </c>
    </row>
    <row r="2106" spans="1:14">
      <c r="A2106" s="21">
        <v>2024</v>
      </c>
      <c r="B2106" s="21" t="s">
        <v>17</v>
      </c>
      <c r="C2106" s="21" t="s">
        <v>1145</v>
      </c>
      <c r="D2106" s="21" t="s">
        <v>35</v>
      </c>
      <c r="E2106" s="17" t="s">
        <v>378</v>
      </c>
      <c r="F2106" s="18" t="s">
        <v>47</v>
      </c>
      <c r="G2106" s="18" t="s">
        <v>48</v>
      </c>
      <c r="H2106" s="24">
        <v>68130</v>
      </c>
      <c r="I2106" s="24">
        <f>T_reg.root.SK[[#This Row],[Volume, kg]]/1000</f>
        <v>68.13</v>
      </c>
      <c r="J2106" s="25">
        <v>0.28000000000000003</v>
      </c>
      <c r="K2106" s="25">
        <f t="shared" si="32"/>
        <v>19076.400000000001</v>
      </c>
      <c r="L2106" s="25">
        <v>3.9478056656392191</v>
      </c>
      <c r="M2106" s="24">
        <v>268964</v>
      </c>
      <c r="N2106" s="25">
        <f>IFERROR(T_reg.root.SK[[#This Row],[Price]]/T_reg.root.SK[[#This Row],[Starch content]],"")</f>
        <v>14.099305948711496</v>
      </c>
    </row>
    <row r="2107" spans="1:14">
      <c r="A2107" s="21">
        <v>2024</v>
      </c>
      <c r="B2107" s="21" t="s">
        <v>17</v>
      </c>
      <c r="C2107" s="21" t="s">
        <v>1145</v>
      </c>
      <c r="D2107" s="21" t="s">
        <v>35</v>
      </c>
      <c r="E2107" s="17" t="s">
        <v>60</v>
      </c>
      <c r="F2107" s="18" t="s">
        <v>47</v>
      </c>
      <c r="G2107" s="18" t="s">
        <v>48</v>
      </c>
      <c r="H2107" s="24">
        <v>59110</v>
      </c>
      <c r="I2107" s="24">
        <f>T_reg.root.SK[[#This Row],[Volume, kg]]/1000</f>
        <v>59.11</v>
      </c>
      <c r="J2107" s="25">
        <v>0.25690000000000002</v>
      </c>
      <c r="K2107" s="25">
        <f t="shared" si="32"/>
        <v>15185.359</v>
      </c>
      <c r="L2107" s="25">
        <v>3.845829808830993</v>
      </c>
      <c r="M2107" s="24">
        <v>227327</v>
      </c>
      <c r="N2107" s="25">
        <f>IFERROR(T_reg.root.SK[[#This Row],[Price]]/T_reg.root.SK[[#This Row],[Starch content]],"")</f>
        <v>14.970143280774593</v>
      </c>
    </row>
    <row r="2108" spans="1:14">
      <c r="A2108" s="21">
        <v>2024</v>
      </c>
      <c r="B2108" s="21" t="s">
        <v>17</v>
      </c>
      <c r="C2108" s="21" t="s">
        <v>1145</v>
      </c>
      <c r="D2108" s="21" t="s">
        <v>35</v>
      </c>
      <c r="E2108" s="17" t="s">
        <v>59</v>
      </c>
      <c r="F2108" s="18" t="s">
        <v>47</v>
      </c>
      <c r="G2108" s="18" t="s">
        <v>48</v>
      </c>
      <c r="H2108" s="24">
        <v>85070</v>
      </c>
      <c r="I2108" s="24">
        <f>T_reg.root.SK[[#This Row],[Volume, kg]]/1000</f>
        <v>85.07</v>
      </c>
      <c r="J2108" s="25">
        <v>0.23789999999999994</v>
      </c>
      <c r="K2108" s="25">
        <f t="shared" si="32"/>
        <v>20238.152999999995</v>
      </c>
      <c r="L2108" s="25">
        <v>3.7753673445397906</v>
      </c>
      <c r="M2108" s="24">
        <v>321170.5</v>
      </c>
      <c r="N2108" s="25">
        <f>IFERROR(T_reg.root.SK[[#This Row],[Price]]/T_reg.root.SK[[#This Row],[Starch content]],"")</f>
        <v>15.869555882891095</v>
      </c>
    </row>
    <row r="2109" spans="1:14">
      <c r="A2109" s="21">
        <v>2024</v>
      </c>
      <c r="B2109" s="21" t="s">
        <v>17</v>
      </c>
      <c r="C2109" s="21" t="s">
        <v>1145</v>
      </c>
      <c r="D2109" s="21" t="s">
        <v>35</v>
      </c>
      <c r="E2109" s="17" t="s">
        <v>643</v>
      </c>
      <c r="F2109" s="18" t="s">
        <v>47</v>
      </c>
      <c r="G2109" s="18" t="s">
        <v>48</v>
      </c>
      <c r="H2109" s="24">
        <v>46160</v>
      </c>
      <c r="I2109" s="24">
        <f>T_reg.root.SK[[#This Row],[Volume, kg]]/1000</f>
        <v>46.16</v>
      </c>
      <c r="J2109" s="25">
        <v>0.27640000000000003</v>
      </c>
      <c r="K2109" s="25">
        <f t="shared" si="32"/>
        <v>12758.624000000002</v>
      </c>
      <c r="L2109" s="25">
        <v>3.9816941074523395</v>
      </c>
      <c r="M2109" s="24">
        <v>183795</v>
      </c>
      <c r="N2109" s="25">
        <f>IFERROR(T_reg.root.SK[[#This Row],[Price]]/T_reg.root.SK[[#This Row],[Starch content]],"")</f>
        <v>14.405550316397754</v>
      </c>
    </row>
    <row r="2110" spans="1:14">
      <c r="A2110" s="21">
        <v>2024</v>
      </c>
      <c r="B2110" s="21" t="s">
        <v>17</v>
      </c>
      <c r="C2110" s="21" t="s">
        <v>1145</v>
      </c>
      <c r="D2110" s="21" t="s">
        <v>35</v>
      </c>
      <c r="E2110" s="17" t="s">
        <v>62</v>
      </c>
      <c r="F2110" s="18" t="s">
        <v>47</v>
      </c>
      <c r="G2110" s="18" t="s">
        <v>48</v>
      </c>
      <c r="H2110" s="24">
        <v>564090</v>
      </c>
      <c r="I2110" s="24">
        <f>T_reg.root.SK[[#This Row],[Volume, kg]]/1000</f>
        <v>564.09</v>
      </c>
      <c r="J2110" s="25">
        <v>0.26470967044265986</v>
      </c>
      <c r="K2110" s="25">
        <f t="shared" si="32"/>
        <v>149320.07800000001</v>
      </c>
      <c r="L2110" s="25">
        <v>3.9256519349749155</v>
      </c>
      <c r="M2110" s="24">
        <v>2214421</v>
      </c>
      <c r="N2110" s="25">
        <f>IFERROR(T_reg.root.SK[[#This Row],[Price]]/T_reg.root.SK[[#This Row],[Starch content]],"")</f>
        <v>14.830028417209908</v>
      </c>
    </row>
    <row r="2111" spans="1:14">
      <c r="A2111" s="21">
        <v>2024</v>
      </c>
      <c r="B2111" s="21" t="s">
        <v>17</v>
      </c>
      <c r="C2111" s="21" t="s">
        <v>1145</v>
      </c>
      <c r="D2111" s="21" t="s">
        <v>35</v>
      </c>
      <c r="E2111" s="17" t="s">
        <v>64</v>
      </c>
      <c r="F2111" s="18" t="s">
        <v>47</v>
      </c>
      <c r="G2111" s="18" t="s">
        <v>48</v>
      </c>
      <c r="H2111" s="24">
        <v>15770</v>
      </c>
      <c r="I2111" s="24">
        <f>T_reg.root.SK[[#This Row],[Volume, kg]]/1000</f>
        <v>15.77</v>
      </c>
      <c r="J2111" s="25">
        <v>0.2797</v>
      </c>
      <c r="K2111" s="25">
        <f t="shared" si="32"/>
        <v>4410.8689999999997</v>
      </c>
      <c r="L2111" s="25">
        <v>4.0059923906150923</v>
      </c>
      <c r="M2111" s="24">
        <v>63174.5</v>
      </c>
      <c r="N2111" s="25">
        <f>IFERROR(T_reg.root.SK[[#This Row],[Price]]/T_reg.root.SK[[#This Row],[Starch content]],"")</f>
        <v>14.322461174884134</v>
      </c>
    </row>
    <row r="2112" spans="1:14">
      <c r="A2112" s="21">
        <v>2024</v>
      </c>
      <c r="B2112" s="21" t="s">
        <v>17</v>
      </c>
      <c r="C2112" s="21" t="s">
        <v>1145</v>
      </c>
      <c r="D2112" s="21" t="s">
        <v>35</v>
      </c>
      <c r="E2112" s="17" t="s">
        <v>70</v>
      </c>
      <c r="F2112" s="18" t="s">
        <v>47</v>
      </c>
      <c r="G2112" s="18" t="s">
        <v>48</v>
      </c>
      <c r="H2112" s="24">
        <v>278880</v>
      </c>
      <c r="I2112" s="24">
        <f>T_reg.root.SK[[#This Row],[Volume, kg]]/1000</f>
        <v>278.88</v>
      </c>
      <c r="J2112" s="25">
        <v>0.26040602409638552</v>
      </c>
      <c r="K2112" s="25">
        <f t="shared" si="32"/>
        <v>72622.031999999992</v>
      </c>
      <c r="L2112" s="25">
        <v>3.8954675846242113</v>
      </c>
      <c r="M2112" s="24">
        <v>1086368</v>
      </c>
      <c r="N2112" s="25">
        <f>IFERROR(T_reg.root.SK[[#This Row],[Price]]/T_reg.root.SK[[#This Row],[Starch content]],"")</f>
        <v>14.95920686989315</v>
      </c>
    </row>
    <row r="2113" spans="1:14">
      <c r="A2113" s="21">
        <v>2024</v>
      </c>
      <c r="B2113" s="21" t="s">
        <v>17</v>
      </c>
      <c r="C2113" s="21" t="s">
        <v>1145</v>
      </c>
      <c r="D2113" s="21" t="s">
        <v>35</v>
      </c>
      <c r="E2113" s="17" t="s">
        <v>74</v>
      </c>
      <c r="F2113" s="18" t="s">
        <v>47</v>
      </c>
      <c r="G2113" s="18" t="s">
        <v>48</v>
      </c>
      <c r="H2113" s="24">
        <v>66210</v>
      </c>
      <c r="I2113" s="24">
        <f>T_reg.root.SK[[#This Row],[Volume, kg]]/1000</f>
        <v>66.209999999999994</v>
      </c>
      <c r="J2113" s="25">
        <v>0.25599999999999995</v>
      </c>
      <c r="K2113" s="25">
        <f t="shared" si="32"/>
        <v>16949.759999999998</v>
      </c>
      <c r="L2113" s="25">
        <v>3.8524769672254946</v>
      </c>
      <c r="M2113" s="24">
        <v>255072.5</v>
      </c>
      <c r="N2113" s="25">
        <f>IFERROR(T_reg.root.SK[[#This Row],[Price]]/T_reg.root.SK[[#This Row],[Starch content]],"")</f>
        <v>15.048738153224591</v>
      </c>
    </row>
    <row r="2114" spans="1:14">
      <c r="A2114" s="21">
        <v>2024</v>
      </c>
      <c r="B2114" s="21" t="s">
        <v>17</v>
      </c>
      <c r="C2114" s="21" t="s">
        <v>1145</v>
      </c>
      <c r="D2114" s="21" t="s">
        <v>35</v>
      </c>
      <c r="E2114" s="17" t="s">
        <v>473</v>
      </c>
      <c r="F2114" s="18" t="s">
        <v>47</v>
      </c>
      <c r="G2114" s="18" t="s">
        <v>48</v>
      </c>
      <c r="H2114" s="24">
        <v>107040</v>
      </c>
      <c r="I2114" s="24">
        <f>T_reg.root.SK[[#This Row],[Volume, kg]]/1000</f>
        <v>107.04</v>
      </c>
      <c r="J2114" s="25">
        <v>0.2281</v>
      </c>
      <c r="K2114" s="25">
        <f t="shared" si="32"/>
        <v>24415.824000000001</v>
      </c>
      <c r="L2114" s="25">
        <v>3.7246917040358745</v>
      </c>
      <c r="M2114" s="24">
        <v>398691</v>
      </c>
      <c r="N2114" s="25">
        <f>IFERROR(T_reg.root.SK[[#This Row],[Price]]/T_reg.root.SK[[#This Row],[Starch content]],"")</f>
        <v>16.329205190863107</v>
      </c>
    </row>
    <row r="2115" spans="1:14">
      <c r="A2115" s="21">
        <v>2024</v>
      </c>
      <c r="B2115" s="21" t="s">
        <v>17</v>
      </c>
      <c r="C2115" s="21" t="s">
        <v>1145</v>
      </c>
      <c r="D2115" s="21" t="s">
        <v>35</v>
      </c>
      <c r="E2115" s="17" t="s">
        <v>675</v>
      </c>
      <c r="F2115" s="18" t="s">
        <v>47</v>
      </c>
      <c r="G2115" s="18" t="s">
        <v>48</v>
      </c>
      <c r="H2115" s="24">
        <v>45400</v>
      </c>
      <c r="I2115" s="24">
        <f>T_reg.root.SK[[#This Row],[Volume, kg]]/1000</f>
        <v>45.4</v>
      </c>
      <c r="J2115" s="25">
        <v>0.28449999999999998</v>
      </c>
      <c r="K2115" s="25">
        <f t="shared" ref="K2115:K2178" si="33">H2115*J2115</f>
        <v>12916.3</v>
      </c>
      <c r="L2115" s="25">
        <v>3.9843832599118945</v>
      </c>
      <c r="M2115" s="24">
        <v>180891</v>
      </c>
      <c r="N2115" s="25">
        <f>IFERROR(T_reg.root.SK[[#This Row],[Price]]/T_reg.root.SK[[#This Row],[Starch content]],"")</f>
        <v>14.004862073504023</v>
      </c>
    </row>
    <row r="2116" spans="1:14">
      <c r="A2116" s="21">
        <v>2024</v>
      </c>
      <c r="B2116" s="21" t="s">
        <v>17</v>
      </c>
      <c r="C2116" s="21" t="s">
        <v>1145</v>
      </c>
      <c r="D2116" s="21" t="s">
        <v>35</v>
      </c>
      <c r="E2116" s="17" t="s">
        <v>457</v>
      </c>
      <c r="F2116" s="18" t="s">
        <v>47</v>
      </c>
      <c r="G2116" s="18" t="s">
        <v>48</v>
      </c>
      <c r="H2116" s="24">
        <v>80410</v>
      </c>
      <c r="I2116" s="24">
        <f>T_reg.root.SK[[#This Row],[Volume, kg]]/1000</f>
        <v>80.41</v>
      </c>
      <c r="J2116" s="25">
        <v>0.27400000000000002</v>
      </c>
      <c r="K2116" s="25">
        <f t="shared" si="33"/>
        <v>22032.34</v>
      </c>
      <c r="L2116" s="25">
        <v>3.9600795920905361</v>
      </c>
      <c r="M2116" s="24">
        <v>318430</v>
      </c>
      <c r="N2116" s="25">
        <f>IFERROR(T_reg.root.SK[[#This Row],[Price]]/T_reg.root.SK[[#This Row],[Starch content]],"")</f>
        <v>14.452845226607796</v>
      </c>
    </row>
    <row r="2117" spans="1:14">
      <c r="A2117" s="21">
        <v>2024</v>
      </c>
      <c r="B2117" s="21" t="s">
        <v>17</v>
      </c>
      <c r="C2117" s="21" t="s">
        <v>1145</v>
      </c>
      <c r="D2117" s="21" t="s">
        <v>35</v>
      </c>
      <c r="E2117" s="17" t="s">
        <v>46</v>
      </c>
      <c r="F2117" s="18" t="s">
        <v>47</v>
      </c>
      <c r="G2117" s="18" t="s">
        <v>48</v>
      </c>
      <c r="H2117" s="24">
        <v>169890</v>
      </c>
      <c r="I2117" s="24">
        <f>T_reg.root.SK[[#This Row],[Volume, kg]]/1000</f>
        <v>169.89</v>
      </c>
      <c r="J2117" s="25">
        <v>0.26752055447642592</v>
      </c>
      <c r="K2117" s="25">
        <f t="shared" si="33"/>
        <v>45449.067000000003</v>
      </c>
      <c r="L2117" s="25">
        <v>3.9720201306727883</v>
      </c>
      <c r="M2117" s="24">
        <v>674806.5</v>
      </c>
      <c r="N2117" s="25">
        <f>IFERROR(T_reg.root.SK[[#This Row],[Price]]/T_reg.root.SK[[#This Row],[Starch content]],"")</f>
        <v>14.847532513703747</v>
      </c>
    </row>
    <row r="2118" spans="1:14">
      <c r="A2118" s="21">
        <v>2024</v>
      </c>
      <c r="B2118" s="21" t="s">
        <v>17</v>
      </c>
      <c r="C2118" s="21" t="s">
        <v>1145</v>
      </c>
      <c r="D2118" s="21" t="s">
        <v>35</v>
      </c>
      <c r="E2118" s="17" t="s">
        <v>50</v>
      </c>
      <c r="F2118" s="18" t="s">
        <v>47</v>
      </c>
      <c r="G2118" s="18" t="s">
        <v>48</v>
      </c>
      <c r="H2118" s="24">
        <v>109710</v>
      </c>
      <c r="I2118" s="24">
        <f>T_reg.root.SK[[#This Row],[Volume, kg]]/1000</f>
        <v>109.71</v>
      </c>
      <c r="J2118" s="25">
        <v>0.27019999999999994</v>
      </c>
      <c r="K2118" s="25">
        <f t="shared" si="33"/>
        <v>29643.641999999993</v>
      </c>
      <c r="L2118" s="25">
        <v>3.9261598760368241</v>
      </c>
      <c r="M2118" s="24">
        <v>430739</v>
      </c>
      <c r="N2118" s="25">
        <f>IFERROR(T_reg.root.SK[[#This Row],[Price]]/T_reg.root.SK[[#This Row],[Starch content]],"")</f>
        <v>14.530569489403497</v>
      </c>
    </row>
    <row r="2119" spans="1:14">
      <c r="A2119" s="21">
        <v>2024</v>
      </c>
      <c r="B2119" s="21" t="s">
        <v>17</v>
      </c>
      <c r="C2119" s="21" t="s">
        <v>1145</v>
      </c>
      <c r="D2119" s="21" t="s">
        <v>35</v>
      </c>
      <c r="E2119" s="17" t="s">
        <v>642</v>
      </c>
      <c r="F2119" s="18" t="s">
        <v>47</v>
      </c>
      <c r="G2119" s="18" t="s">
        <v>48</v>
      </c>
      <c r="H2119" s="24">
        <v>38210</v>
      </c>
      <c r="I2119" s="24">
        <f>T_reg.root.SK[[#This Row],[Volume, kg]]/1000</f>
        <v>38.21</v>
      </c>
      <c r="J2119" s="25">
        <v>0.26674129808950536</v>
      </c>
      <c r="K2119" s="25">
        <f t="shared" si="33"/>
        <v>10192.184999999999</v>
      </c>
      <c r="L2119" s="25">
        <v>4.0084140277414289</v>
      </c>
      <c r="M2119" s="24">
        <v>153161.5</v>
      </c>
      <c r="N2119" s="25">
        <f>IFERROR(T_reg.root.SK[[#This Row],[Price]]/T_reg.root.SK[[#This Row],[Starch content]],"")</f>
        <v>15.02734693296874</v>
      </c>
    </row>
    <row r="2120" spans="1:14">
      <c r="A2120" s="21">
        <v>2024</v>
      </c>
      <c r="B2120" s="21" t="s">
        <v>17</v>
      </c>
      <c r="C2120" s="21" t="s">
        <v>1145</v>
      </c>
      <c r="D2120" s="21" t="s">
        <v>35</v>
      </c>
      <c r="E2120" s="17" t="s">
        <v>52</v>
      </c>
      <c r="F2120" s="18" t="s">
        <v>47</v>
      </c>
      <c r="G2120" s="18" t="s">
        <v>48</v>
      </c>
      <c r="H2120" s="24">
        <v>12040</v>
      </c>
      <c r="I2120" s="24">
        <f>T_reg.root.SK[[#This Row],[Volume, kg]]/1000</f>
        <v>12.04</v>
      </c>
      <c r="J2120" s="25">
        <v>0.21531976744186049</v>
      </c>
      <c r="K2120" s="25">
        <f t="shared" si="33"/>
        <v>2592.4500000000003</v>
      </c>
      <c r="L2120" s="25">
        <v>3.8</v>
      </c>
      <c r="M2120" s="24">
        <v>45752</v>
      </c>
      <c r="N2120" s="25">
        <f>IFERROR(T_reg.root.SK[[#This Row],[Price]]/T_reg.root.SK[[#This Row],[Starch content]],"")</f>
        <v>17.648170649385712</v>
      </c>
    </row>
    <row r="2121" spans="1:14">
      <c r="A2121" s="21">
        <v>2024</v>
      </c>
      <c r="B2121" s="21" t="s">
        <v>17</v>
      </c>
      <c r="C2121" s="21" t="s">
        <v>1145</v>
      </c>
      <c r="D2121" s="21" t="s">
        <v>35</v>
      </c>
      <c r="E2121" s="17" t="s">
        <v>78</v>
      </c>
      <c r="F2121" s="18" t="s">
        <v>47</v>
      </c>
      <c r="G2121" s="18" t="s">
        <v>48</v>
      </c>
      <c r="H2121" s="24">
        <v>95180</v>
      </c>
      <c r="I2121" s="24">
        <f>T_reg.root.SK[[#This Row],[Volume, kg]]/1000</f>
        <v>95.18</v>
      </c>
      <c r="J2121" s="25">
        <v>0.25090000000000001</v>
      </c>
      <c r="K2121" s="25">
        <f t="shared" si="33"/>
        <v>23880.662</v>
      </c>
      <c r="L2121" s="25">
        <v>3.8431865938222316</v>
      </c>
      <c r="M2121" s="24">
        <v>365794.5</v>
      </c>
      <c r="N2121" s="25">
        <f>IFERROR(T_reg.root.SK[[#This Row],[Price]]/T_reg.root.SK[[#This Row],[Starch content]],"")</f>
        <v>15.317603004472824</v>
      </c>
    </row>
    <row r="2122" spans="1:14">
      <c r="A2122" s="21">
        <v>2024</v>
      </c>
      <c r="B2122" s="21" t="s">
        <v>17</v>
      </c>
      <c r="C2122" s="21" t="s">
        <v>1145</v>
      </c>
      <c r="D2122" s="21" t="s">
        <v>35</v>
      </c>
      <c r="E2122" s="17" t="s">
        <v>654</v>
      </c>
      <c r="F2122" s="18" t="s">
        <v>47</v>
      </c>
      <c r="G2122" s="18" t="s">
        <v>48</v>
      </c>
      <c r="H2122" s="24">
        <v>120780</v>
      </c>
      <c r="I2122" s="24">
        <f>T_reg.root.SK[[#This Row],[Volume, kg]]/1000</f>
        <v>120.78</v>
      </c>
      <c r="J2122" s="25">
        <v>0.24736530882596458</v>
      </c>
      <c r="K2122" s="25">
        <f t="shared" si="33"/>
        <v>29876.782000000003</v>
      </c>
      <c r="L2122" s="25">
        <v>3.8549221725451233</v>
      </c>
      <c r="M2122" s="24">
        <v>465597.5</v>
      </c>
      <c r="N2122" s="25">
        <f>IFERROR(T_reg.root.SK[[#This Row],[Price]]/T_reg.root.SK[[#This Row],[Starch content]],"")</f>
        <v>15.583923998240506</v>
      </c>
    </row>
    <row r="2123" spans="1:14">
      <c r="A2123" s="21">
        <v>2024</v>
      </c>
      <c r="B2123" s="21" t="s">
        <v>17</v>
      </c>
      <c r="C2123" s="21" t="s">
        <v>1145</v>
      </c>
      <c r="D2123" s="21" t="s">
        <v>35</v>
      </c>
      <c r="E2123" s="17" t="s">
        <v>459</v>
      </c>
      <c r="F2123" s="18" t="s">
        <v>47</v>
      </c>
      <c r="G2123" s="18" t="s">
        <v>48</v>
      </c>
      <c r="H2123" s="24">
        <v>19330</v>
      </c>
      <c r="I2123" s="24">
        <f>T_reg.root.SK[[#This Row],[Volume, kg]]/1000</f>
        <v>19.329999999999998</v>
      </c>
      <c r="J2123" s="25">
        <v>0.25240000000000001</v>
      </c>
      <c r="K2123" s="25">
        <f t="shared" si="33"/>
        <v>4878.8919999999998</v>
      </c>
      <c r="L2123" s="25">
        <v>3.7994568028970512</v>
      </c>
      <c r="M2123" s="24">
        <v>73443.5</v>
      </c>
      <c r="N2123" s="25">
        <f>IFERROR(T_reg.root.SK[[#This Row],[Price]]/T_reg.root.SK[[#This Row],[Starch content]],"")</f>
        <v>15.053315383902738</v>
      </c>
    </row>
    <row r="2124" spans="1:14">
      <c r="A2124" s="21">
        <v>2024</v>
      </c>
      <c r="B2124" s="21" t="s">
        <v>17</v>
      </c>
      <c r="C2124" s="21" t="s">
        <v>1145</v>
      </c>
      <c r="D2124" s="21" t="s">
        <v>35</v>
      </c>
      <c r="E2124" s="17" t="s">
        <v>460</v>
      </c>
      <c r="F2124" s="18" t="s">
        <v>47</v>
      </c>
      <c r="G2124" s="18" t="s">
        <v>48</v>
      </c>
      <c r="H2124" s="24">
        <v>11990</v>
      </c>
      <c r="I2124" s="24">
        <f>T_reg.root.SK[[#This Row],[Volume, kg]]/1000</f>
        <v>11.99</v>
      </c>
      <c r="J2124" s="25">
        <v>0.20620000000000002</v>
      </c>
      <c r="K2124" s="25">
        <f t="shared" si="33"/>
        <v>2472.3380000000002</v>
      </c>
      <c r="L2124" s="25">
        <v>3.625771476230192</v>
      </c>
      <c r="M2124" s="24">
        <v>43473</v>
      </c>
      <c r="N2124" s="25">
        <f>IFERROR(T_reg.root.SK[[#This Row],[Price]]/T_reg.root.SK[[#This Row],[Starch content]],"")</f>
        <v>17.583760796460677</v>
      </c>
    </row>
    <row r="2125" spans="1:14">
      <c r="A2125" s="21">
        <v>2024</v>
      </c>
      <c r="B2125" s="21" t="s">
        <v>17</v>
      </c>
      <c r="C2125" s="21" t="s">
        <v>1145</v>
      </c>
      <c r="D2125" s="21" t="s">
        <v>35</v>
      </c>
      <c r="E2125" s="17" t="s">
        <v>54</v>
      </c>
      <c r="F2125" s="18" t="s">
        <v>47</v>
      </c>
      <c r="G2125" s="18" t="s">
        <v>48</v>
      </c>
      <c r="H2125" s="24">
        <v>8110</v>
      </c>
      <c r="I2125" s="24">
        <f>T_reg.root.SK[[#This Row],[Volume, kg]]/1000</f>
        <v>8.11</v>
      </c>
      <c r="J2125" s="25">
        <v>0.26950000000000002</v>
      </c>
      <c r="K2125" s="25">
        <f t="shared" si="33"/>
        <v>2185.645</v>
      </c>
      <c r="L2125" s="25">
        <v>3.9</v>
      </c>
      <c r="M2125" s="24">
        <v>31629</v>
      </c>
      <c r="N2125" s="25">
        <f>IFERROR(T_reg.root.SK[[#This Row],[Price]]/T_reg.root.SK[[#This Row],[Starch content]],"")</f>
        <v>14.471243042671613</v>
      </c>
    </row>
    <row r="2126" spans="1:14">
      <c r="A2126" s="21">
        <v>2024</v>
      </c>
      <c r="B2126" s="21" t="s">
        <v>17</v>
      </c>
      <c r="C2126" s="21" t="s">
        <v>1145</v>
      </c>
      <c r="D2126" s="21" t="s">
        <v>35</v>
      </c>
      <c r="E2126" s="17" t="s">
        <v>461</v>
      </c>
      <c r="F2126" s="18" t="s">
        <v>47</v>
      </c>
      <c r="G2126" s="18" t="s">
        <v>48</v>
      </c>
      <c r="H2126" s="24">
        <v>6830</v>
      </c>
      <c r="I2126" s="24">
        <f>T_reg.root.SK[[#This Row],[Volume, kg]]/1000</f>
        <v>6.83</v>
      </c>
      <c r="J2126" s="25">
        <v>0.25669999999999998</v>
      </c>
      <c r="K2126" s="25">
        <f t="shared" si="33"/>
        <v>1753.261</v>
      </c>
      <c r="L2126" s="25">
        <v>3.9</v>
      </c>
      <c r="M2126" s="24">
        <v>26637</v>
      </c>
      <c r="N2126" s="25">
        <f>IFERROR(T_reg.root.SK[[#This Row],[Price]]/T_reg.root.SK[[#This Row],[Starch content]],"")</f>
        <v>15.192832099727308</v>
      </c>
    </row>
    <row r="2127" spans="1:14">
      <c r="A2127" s="21">
        <v>2024</v>
      </c>
      <c r="B2127" s="21" t="s">
        <v>17</v>
      </c>
      <c r="C2127" s="21" t="s">
        <v>1145</v>
      </c>
      <c r="D2127" s="21" t="s">
        <v>35</v>
      </c>
      <c r="E2127" s="17" t="s">
        <v>57</v>
      </c>
      <c r="F2127" s="18" t="s">
        <v>47</v>
      </c>
      <c r="G2127" s="18" t="s">
        <v>48</v>
      </c>
      <c r="H2127" s="24">
        <v>150990</v>
      </c>
      <c r="I2127" s="24">
        <f>T_reg.root.SK[[#This Row],[Volume, kg]]/1000</f>
        <v>150.99</v>
      </c>
      <c r="J2127" s="25">
        <v>0.25590000000000002</v>
      </c>
      <c r="K2127" s="25">
        <f t="shared" si="33"/>
        <v>38638.341</v>
      </c>
      <c r="L2127" s="25">
        <v>3.8672428637658123</v>
      </c>
      <c r="M2127" s="24">
        <v>583915</v>
      </c>
      <c r="N2127" s="25">
        <f>IFERROR(T_reg.root.SK[[#This Row],[Price]]/T_reg.root.SK[[#This Row],[Starch content]],"")</f>
        <v>15.112320686853506</v>
      </c>
    </row>
    <row r="2128" spans="1:14">
      <c r="A2128" s="21">
        <v>2024</v>
      </c>
      <c r="B2128" s="21" t="s">
        <v>17</v>
      </c>
      <c r="C2128" s="21" t="s">
        <v>1145</v>
      </c>
      <c r="D2128" s="21" t="s">
        <v>35</v>
      </c>
      <c r="E2128" s="17" t="s">
        <v>379</v>
      </c>
      <c r="F2128" s="18" t="s">
        <v>47</v>
      </c>
      <c r="G2128" s="18" t="s">
        <v>48</v>
      </c>
      <c r="H2128" s="24">
        <v>36860</v>
      </c>
      <c r="I2128" s="24">
        <f>T_reg.root.SK[[#This Row],[Volume, kg]]/1000</f>
        <v>36.86</v>
      </c>
      <c r="J2128" s="25">
        <v>0.25575320130222462</v>
      </c>
      <c r="K2128" s="25">
        <f t="shared" si="33"/>
        <v>9427.0630000000001</v>
      </c>
      <c r="L2128" s="25">
        <v>3.892200217037439</v>
      </c>
      <c r="M2128" s="24">
        <v>143466.5</v>
      </c>
      <c r="N2128" s="25">
        <f>IFERROR(T_reg.root.SK[[#This Row],[Price]]/T_reg.root.SK[[#This Row],[Starch content]],"")</f>
        <v>15.218578681398439</v>
      </c>
    </row>
    <row r="2129" spans="1:14">
      <c r="A2129" s="21">
        <v>2024</v>
      </c>
      <c r="B2129" s="21" t="s">
        <v>17</v>
      </c>
      <c r="C2129" s="21" t="s">
        <v>1145</v>
      </c>
      <c r="D2129" s="21" t="s">
        <v>35</v>
      </c>
      <c r="E2129" s="17" t="s">
        <v>625</v>
      </c>
      <c r="F2129" s="18" t="s">
        <v>47</v>
      </c>
      <c r="G2129" s="18" t="s">
        <v>48</v>
      </c>
      <c r="H2129" s="24">
        <v>19780</v>
      </c>
      <c r="I2129" s="24">
        <f>T_reg.root.SK[[#This Row],[Volume, kg]]/1000</f>
        <v>19.78</v>
      </c>
      <c r="J2129" s="25">
        <v>0.27150000000000002</v>
      </c>
      <c r="K2129" s="25">
        <f t="shared" si="33"/>
        <v>5370.27</v>
      </c>
      <c r="L2129" s="25">
        <v>3.9737108190091002</v>
      </c>
      <c r="M2129" s="24">
        <v>78600</v>
      </c>
      <c r="N2129" s="25">
        <f>IFERROR(T_reg.root.SK[[#This Row],[Price]]/T_reg.root.SK[[#This Row],[Starch content]],"")</f>
        <v>14.636135613293186</v>
      </c>
    </row>
    <row r="2130" spans="1:14">
      <c r="A2130" s="21">
        <v>2024</v>
      </c>
      <c r="B2130" s="21" t="s">
        <v>17</v>
      </c>
      <c r="C2130" s="21" t="s">
        <v>1145</v>
      </c>
      <c r="D2130" s="21" t="s">
        <v>35</v>
      </c>
      <c r="E2130" s="17" t="s">
        <v>467</v>
      </c>
      <c r="F2130" s="18" t="s">
        <v>47</v>
      </c>
      <c r="G2130" s="18" t="s">
        <v>48</v>
      </c>
      <c r="H2130" s="24">
        <v>148580</v>
      </c>
      <c r="I2130" s="24">
        <f>T_reg.root.SK[[#This Row],[Volume, kg]]/1000</f>
        <v>148.58000000000001</v>
      </c>
      <c r="J2130" s="25">
        <v>0.27988240678422394</v>
      </c>
      <c r="K2130" s="25">
        <f t="shared" si="33"/>
        <v>41584.927999999993</v>
      </c>
      <c r="L2130" s="25">
        <v>3.9825683133665364</v>
      </c>
      <c r="M2130" s="24">
        <v>591730</v>
      </c>
      <c r="N2130" s="25">
        <f>IFERROR(T_reg.root.SK[[#This Row],[Price]]/T_reg.root.SK[[#This Row],[Starch content]],"")</f>
        <v>14.229434279650553</v>
      </c>
    </row>
    <row r="2131" spans="1:14">
      <c r="A2131" s="21">
        <v>2024</v>
      </c>
      <c r="B2131" s="21" t="s">
        <v>17</v>
      </c>
      <c r="C2131" s="21" t="s">
        <v>1145</v>
      </c>
      <c r="D2131" s="21" t="s">
        <v>35</v>
      </c>
      <c r="E2131" s="17" t="s">
        <v>58</v>
      </c>
      <c r="F2131" s="18" t="s">
        <v>47</v>
      </c>
      <c r="G2131" s="18" t="s">
        <v>48</v>
      </c>
      <c r="H2131" s="24">
        <v>203010</v>
      </c>
      <c r="I2131" s="24">
        <f>T_reg.root.SK[[#This Row],[Volume, kg]]/1000</f>
        <v>203.01</v>
      </c>
      <c r="J2131" s="25">
        <v>0.22412558494655435</v>
      </c>
      <c r="K2131" s="25">
        <f t="shared" si="33"/>
        <v>45499.735000000001</v>
      </c>
      <c r="L2131" s="25">
        <v>3.7132185606620363</v>
      </c>
      <c r="M2131" s="24">
        <v>753820.5</v>
      </c>
      <c r="N2131" s="25">
        <f>IFERROR(T_reg.root.SK[[#This Row],[Price]]/T_reg.root.SK[[#This Row],[Starch content]],"")</f>
        <v>16.567580008982471</v>
      </c>
    </row>
    <row r="2132" spans="1:14">
      <c r="A2132" s="21">
        <v>2024</v>
      </c>
      <c r="B2132" s="21" t="s">
        <v>17</v>
      </c>
      <c r="C2132" s="21" t="s">
        <v>1145</v>
      </c>
      <c r="D2132" s="21" t="s">
        <v>35</v>
      </c>
      <c r="E2132" s="17" t="s">
        <v>465</v>
      </c>
      <c r="F2132" s="18" t="s">
        <v>47</v>
      </c>
      <c r="G2132" s="18" t="s">
        <v>48</v>
      </c>
      <c r="H2132" s="24">
        <v>20250</v>
      </c>
      <c r="I2132" s="24">
        <f>T_reg.root.SK[[#This Row],[Volume, kg]]/1000</f>
        <v>20.25</v>
      </c>
      <c r="J2132" s="25">
        <v>0.30929999999999996</v>
      </c>
      <c r="K2132" s="25">
        <f t="shared" si="33"/>
        <v>6263.3249999999989</v>
      </c>
      <c r="L2132" s="25">
        <v>4.1251851851851855</v>
      </c>
      <c r="M2132" s="24">
        <v>83535</v>
      </c>
      <c r="N2132" s="25">
        <f>IFERROR(T_reg.root.SK[[#This Row],[Price]]/T_reg.root.SK[[#This Row],[Starch content]],"")</f>
        <v>13.33716516387063</v>
      </c>
    </row>
    <row r="2133" spans="1:14">
      <c r="A2133" s="21">
        <v>2024</v>
      </c>
      <c r="B2133" s="21" t="s">
        <v>17</v>
      </c>
      <c r="C2133" s="21" t="s">
        <v>1145</v>
      </c>
      <c r="D2133" s="21" t="s">
        <v>35</v>
      </c>
      <c r="E2133" s="17" t="s">
        <v>548</v>
      </c>
      <c r="F2133" s="18" t="s">
        <v>47</v>
      </c>
      <c r="G2133" s="18" t="s">
        <v>48</v>
      </c>
      <c r="H2133" s="24">
        <v>43130</v>
      </c>
      <c r="I2133" s="24">
        <f>T_reg.root.SK[[#This Row],[Volume, kg]]/1000</f>
        <v>43.13</v>
      </c>
      <c r="J2133" s="25">
        <v>0.26342121493160214</v>
      </c>
      <c r="K2133" s="25">
        <f t="shared" si="33"/>
        <v>11361.357</v>
      </c>
      <c r="L2133" s="25">
        <v>3.9445977277996755</v>
      </c>
      <c r="M2133" s="24">
        <v>170130.5</v>
      </c>
      <c r="N2133" s="25">
        <f>IFERROR(T_reg.root.SK[[#This Row],[Price]]/T_reg.root.SK[[#This Row],[Starch content]],"")</f>
        <v>14.97448764262931</v>
      </c>
    </row>
    <row r="2134" spans="1:14">
      <c r="A2134" s="21">
        <v>2024</v>
      </c>
      <c r="B2134" s="21" t="s">
        <v>17</v>
      </c>
      <c r="C2134" s="21" t="s">
        <v>1145</v>
      </c>
      <c r="D2134" s="21" t="s">
        <v>35</v>
      </c>
      <c r="E2134" s="17" t="s">
        <v>61</v>
      </c>
      <c r="F2134" s="18" t="s">
        <v>47</v>
      </c>
      <c r="G2134" s="18" t="s">
        <v>48</v>
      </c>
      <c r="H2134" s="24">
        <v>149170</v>
      </c>
      <c r="I2134" s="24">
        <f>T_reg.root.SK[[#This Row],[Volume, kg]]/1000</f>
        <v>149.16999999999999</v>
      </c>
      <c r="J2134" s="25">
        <v>0.24690000000000004</v>
      </c>
      <c r="K2134" s="25">
        <f t="shared" si="33"/>
        <v>36830.073000000004</v>
      </c>
      <c r="L2134" s="25">
        <v>3.8059160689146609</v>
      </c>
      <c r="M2134" s="24">
        <v>567728.5</v>
      </c>
      <c r="N2134" s="25">
        <f>IFERROR(T_reg.root.SK[[#This Row],[Price]]/T_reg.root.SK[[#This Row],[Starch content]],"")</f>
        <v>15.414807893538519</v>
      </c>
    </row>
    <row r="2135" spans="1:14">
      <c r="A2135" s="21">
        <v>2024</v>
      </c>
      <c r="B2135" s="21" t="s">
        <v>17</v>
      </c>
      <c r="C2135" s="21" t="s">
        <v>1145</v>
      </c>
      <c r="D2135" s="21" t="s">
        <v>35</v>
      </c>
      <c r="E2135" s="17" t="s">
        <v>657</v>
      </c>
      <c r="F2135" s="18" t="s">
        <v>47</v>
      </c>
      <c r="G2135" s="18" t="s">
        <v>48</v>
      </c>
      <c r="H2135" s="24">
        <v>9560</v>
      </c>
      <c r="I2135" s="24">
        <f>T_reg.root.SK[[#This Row],[Volume, kg]]/1000</f>
        <v>9.56</v>
      </c>
      <c r="J2135" s="25">
        <v>0.27989999999999998</v>
      </c>
      <c r="K2135" s="25">
        <f t="shared" si="33"/>
        <v>2675.8440000000001</v>
      </c>
      <c r="L2135" s="25">
        <v>3.95</v>
      </c>
      <c r="M2135" s="24">
        <v>37762</v>
      </c>
      <c r="N2135" s="25">
        <f>IFERROR(T_reg.root.SK[[#This Row],[Price]]/T_reg.root.SK[[#This Row],[Starch content]],"")</f>
        <v>14.112182922472313</v>
      </c>
    </row>
    <row r="2136" spans="1:14">
      <c r="A2136" s="21">
        <v>2024</v>
      </c>
      <c r="B2136" s="21" t="s">
        <v>17</v>
      </c>
      <c r="C2136" s="21" t="s">
        <v>1145</v>
      </c>
      <c r="D2136" s="21" t="s">
        <v>35</v>
      </c>
      <c r="E2136" s="17" t="s">
        <v>468</v>
      </c>
      <c r="F2136" s="18" t="s">
        <v>47</v>
      </c>
      <c r="G2136" s="18" t="s">
        <v>48</v>
      </c>
      <c r="H2136" s="24">
        <v>133690</v>
      </c>
      <c r="I2136" s="24">
        <f>T_reg.root.SK[[#This Row],[Volume, kg]]/1000</f>
        <v>133.69</v>
      </c>
      <c r="J2136" s="25">
        <v>0.22920000000000001</v>
      </c>
      <c r="K2136" s="25">
        <f t="shared" si="33"/>
        <v>30641.748000000003</v>
      </c>
      <c r="L2136" s="25">
        <v>3.7289438252674096</v>
      </c>
      <c r="M2136" s="24">
        <v>498522.5</v>
      </c>
      <c r="N2136" s="25">
        <f>IFERROR(T_reg.root.SK[[#This Row],[Price]]/T_reg.root.SK[[#This Row],[Starch content]],"")</f>
        <v>16.269388417397074</v>
      </c>
    </row>
    <row r="2137" spans="1:14">
      <c r="A2137" s="21">
        <v>2024</v>
      </c>
      <c r="B2137" s="21" t="s">
        <v>17</v>
      </c>
      <c r="C2137" s="21" t="s">
        <v>1145</v>
      </c>
      <c r="D2137" s="21" t="s">
        <v>35</v>
      </c>
      <c r="E2137" s="17" t="s">
        <v>339</v>
      </c>
      <c r="F2137" s="18" t="s">
        <v>47</v>
      </c>
      <c r="G2137" s="18" t="s">
        <v>48</v>
      </c>
      <c r="H2137" s="24">
        <v>44190</v>
      </c>
      <c r="I2137" s="24">
        <f>T_reg.root.SK[[#This Row],[Volume, kg]]/1000</f>
        <v>44.19</v>
      </c>
      <c r="J2137" s="25">
        <v>0.183</v>
      </c>
      <c r="K2137" s="25">
        <f t="shared" si="33"/>
        <v>8086.7699999999995</v>
      </c>
      <c r="L2137" s="25">
        <v>3.521418873048201</v>
      </c>
      <c r="M2137" s="24">
        <v>155611.5</v>
      </c>
      <c r="N2137" s="25">
        <f>IFERROR(T_reg.root.SK[[#This Row],[Price]]/T_reg.root.SK[[#This Row],[Starch content]],"")</f>
        <v>19.242726082230607</v>
      </c>
    </row>
    <row r="2138" spans="1:14">
      <c r="A2138" s="21">
        <v>2024</v>
      </c>
      <c r="B2138" s="21" t="s">
        <v>17</v>
      </c>
      <c r="C2138" s="21" t="s">
        <v>1145</v>
      </c>
      <c r="D2138" s="21" t="s">
        <v>35</v>
      </c>
      <c r="E2138" s="17" t="s">
        <v>676</v>
      </c>
      <c r="F2138" s="18" t="s">
        <v>47</v>
      </c>
      <c r="G2138" s="18" t="s">
        <v>48</v>
      </c>
      <c r="H2138" s="24">
        <v>54480</v>
      </c>
      <c r="I2138" s="24">
        <f>T_reg.root.SK[[#This Row],[Volume, kg]]/1000</f>
        <v>54.48</v>
      </c>
      <c r="J2138" s="25">
        <v>0.30429999999999996</v>
      </c>
      <c r="K2138" s="25">
        <f t="shared" si="33"/>
        <v>16578.263999999999</v>
      </c>
      <c r="L2138" s="25">
        <v>4.0818832599118942</v>
      </c>
      <c r="M2138" s="24">
        <v>222381</v>
      </c>
      <c r="N2138" s="25">
        <f>IFERROR(T_reg.root.SK[[#This Row],[Price]]/T_reg.root.SK[[#This Row],[Starch content]],"")</f>
        <v>13.414010055576387</v>
      </c>
    </row>
    <row r="2139" spans="1:14">
      <c r="A2139" s="21">
        <v>2024</v>
      </c>
      <c r="B2139" s="21" t="s">
        <v>17</v>
      </c>
      <c r="C2139" s="21" t="s">
        <v>1145</v>
      </c>
      <c r="D2139" s="21" t="s">
        <v>35</v>
      </c>
      <c r="E2139" s="17" t="s">
        <v>660</v>
      </c>
      <c r="F2139" s="18" t="s">
        <v>47</v>
      </c>
      <c r="G2139" s="18" t="s">
        <v>48</v>
      </c>
      <c r="H2139" s="24">
        <v>58630</v>
      </c>
      <c r="I2139" s="24">
        <f>T_reg.root.SK[[#This Row],[Volume, kg]]/1000</f>
        <v>58.63</v>
      </c>
      <c r="J2139" s="25">
        <v>0.25159999999999999</v>
      </c>
      <c r="K2139" s="25">
        <f t="shared" si="33"/>
        <v>14751.307999999999</v>
      </c>
      <c r="L2139" s="25">
        <v>3.8268292682926828</v>
      </c>
      <c r="M2139" s="24">
        <v>224367</v>
      </c>
      <c r="N2139" s="25">
        <f>IFERROR(T_reg.root.SK[[#This Row],[Price]]/T_reg.root.SK[[#This Row],[Starch content]],"")</f>
        <v>15.20997324440653</v>
      </c>
    </row>
    <row r="2140" spans="1:14">
      <c r="A2140" s="21">
        <v>2024</v>
      </c>
      <c r="B2140" s="21" t="s">
        <v>17</v>
      </c>
      <c r="C2140" s="21" t="s">
        <v>1145</v>
      </c>
      <c r="D2140" s="21" t="s">
        <v>35</v>
      </c>
      <c r="E2140" s="17" t="s">
        <v>677</v>
      </c>
      <c r="F2140" s="18" t="s">
        <v>47</v>
      </c>
      <c r="G2140" s="18" t="s">
        <v>48</v>
      </c>
      <c r="H2140" s="24">
        <v>28080</v>
      </c>
      <c r="I2140" s="24">
        <f>T_reg.root.SK[[#This Row],[Volume, kg]]/1000</f>
        <v>28.08</v>
      </c>
      <c r="J2140" s="25">
        <v>0.2621</v>
      </c>
      <c r="K2140" s="25">
        <f t="shared" si="33"/>
        <v>7359.768</v>
      </c>
      <c r="L2140" s="25">
        <v>3.9168447293447293</v>
      </c>
      <c r="M2140" s="24">
        <v>109985</v>
      </c>
      <c r="N2140" s="25">
        <f>IFERROR(T_reg.root.SK[[#This Row],[Price]]/T_reg.root.SK[[#This Row],[Starch content]],"")</f>
        <v>14.94408519398981</v>
      </c>
    </row>
    <row r="2141" spans="1:14">
      <c r="A2141" s="21">
        <v>2024</v>
      </c>
      <c r="B2141" s="21" t="s">
        <v>17</v>
      </c>
      <c r="C2141" s="21" t="s">
        <v>1145</v>
      </c>
      <c r="D2141" s="21" t="s">
        <v>35</v>
      </c>
      <c r="E2141" s="17" t="s">
        <v>71</v>
      </c>
      <c r="F2141" s="18" t="s">
        <v>47</v>
      </c>
      <c r="G2141" s="18" t="s">
        <v>48</v>
      </c>
      <c r="H2141" s="24">
        <v>32580</v>
      </c>
      <c r="I2141" s="24">
        <f>T_reg.root.SK[[#This Row],[Volume, kg]]/1000</f>
        <v>32.58</v>
      </c>
      <c r="J2141" s="25">
        <v>0.24647998772252916</v>
      </c>
      <c r="K2141" s="25">
        <f t="shared" si="33"/>
        <v>8030.3180000000002</v>
      </c>
      <c r="L2141" s="25">
        <v>3.8699201964395336</v>
      </c>
      <c r="M2141" s="24">
        <v>126082</v>
      </c>
      <c r="N2141" s="25">
        <f>IFERROR(T_reg.root.SK[[#This Row],[Price]]/T_reg.root.SK[[#This Row],[Starch content]],"")</f>
        <v>15.700748089926202</v>
      </c>
    </row>
    <row r="2142" spans="1:14">
      <c r="A2142" s="21">
        <v>2024</v>
      </c>
      <c r="B2142" s="21" t="s">
        <v>17</v>
      </c>
      <c r="C2142" s="21" t="s">
        <v>1145</v>
      </c>
      <c r="D2142" s="21" t="s">
        <v>35</v>
      </c>
      <c r="E2142" s="17" t="s">
        <v>382</v>
      </c>
      <c r="F2142" s="18" t="s">
        <v>47</v>
      </c>
      <c r="G2142" s="18" t="s">
        <v>48</v>
      </c>
      <c r="H2142" s="24">
        <v>15300</v>
      </c>
      <c r="I2142" s="24">
        <f>T_reg.root.SK[[#This Row],[Volume, kg]]/1000</f>
        <v>15.3</v>
      </c>
      <c r="J2142" s="25">
        <v>0.28723333333333334</v>
      </c>
      <c r="K2142" s="25">
        <f t="shared" si="33"/>
        <v>4394.67</v>
      </c>
      <c r="L2142" s="25">
        <v>4.1500000000000004</v>
      </c>
      <c r="M2142" s="24">
        <v>63495.000000000007</v>
      </c>
      <c r="N2142" s="25">
        <f>IFERROR(T_reg.root.SK[[#This Row],[Price]]/T_reg.root.SK[[#This Row],[Starch content]],"")</f>
        <v>14.448183822676107</v>
      </c>
    </row>
    <row r="2143" spans="1:14">
      <c r="A2143" s="21">
        <v>2024</v>
      </c>
      <c r="B2143" s="21" t="s">
        <v>17</v>
      </c>
      <c r="C2143" s="21" t="s">
        <v>1145</v>
      </c>
      <c r="D2143" s="21" t="s">
        <v>35</v>
      </c>
      <c r="E2143" s="17" t="s">
        <v>73</v>
      </c>
      <c r="F2143" s="18" t="s">
        <v>47</v>
      </c>
      <c r="G2143" s="18" t="s">
        <v>48</v>
      </c>
      <c r="H2143" s="24">
        <v>13420</v>
      </c>
      <c r="I2143" s="24">
        <f>T_reg.root.SK[[#This Row],[Volume, kg]]/1000</f>
        <v>13.42</v>
      </c>
      <c r="J2143" s="25">
        <v>0.30030000000000001</v>
      </c>
      <c r="K2143" s="25">
        <f t="shared" si="33"/>
        <v>4030.0260000000003</v>
      </c>
      <c r="L2143" s="25">
        <v>4.1017138599105811</v>
      </c>
      <c r="M2143" s="24">
        <v>55045</v>
      </c>
      <c r="N2143" s="25">
        <f>IFERROR(T_reg.root.SK[[#This Row],[Price]]/T_reg.root.SK[[#This Row],[Starch content]],"")</f>
        <v>13.658720812223047</v>
      </c>
    </row>
    <row r="2144" spans="1:14">
      <c r="A2144" s="21">
        <v>2024</v>
      </c>
      <c r="B2144" s="21" t="s">
        <v>17</v>
      </c>
      <c r="C2144" s="21" t="s">
        <v>1145</v>
      </c>
      <c r="D2144" s="21" t="s">
        <v>35</v>
      </c>
      <c r="E2144" s="17" t="s">
        <v>75</v>
      </c>
      <c r="F2144" s="18" t="s">
        <v>47</v>
      </c>
      <c r="G2144" s="18" t="s">
        <v>48</v>
      </c>
      <c r="H2144" s="24">
        <v>66680</v>
      </c>
      <c r="I2144" s="24">
        <f>T_reg.root.SK[[#This Row],[Volume, kg]]/1000</f>
        <v>66.680000000000007</v>
      </c>
      <c r="J2144" s="25">
        <v>0.24889999999999998</v>
      </c>
      <c r="K2144" s="25">
        <f t="shared" si="33"/>
        <v>16596.651999999998</v>
      </c>
      <c r="L2144" s="25">
        <v>3.8343581283743253</v>
      </c>
      <c r="M2144" s="24">
        <v>255675</v>
      </c>
      <c r="N2144" s="25">
        <f>IFERROR(T_reg.root.SK[[#This Row],[Price]]/T_reg.root.SK[[#This Row],[Starch content]],"")</f>
        <v>15.405215461528027</v>
      </c>
    </row>
    <row r="2145" spans="1:14">
      <c r="A2145" s="21">
        <v>2024</v>
      </c>
      <c r="B2145" s="21" t="s">
        <v>17</v>
      </c>
      <c r="C2145" s="21" t="s">
        <v>1145</v>
      </c>
      <c r="D2145" s="21" t="s">
        <v>35</v>
      </c>
      <c r="E2145" s="17" t="s">
        <v>661</v>
      </c>
      <c r="F2145" s="18" t="s">
        <v>47</v>
      </c>
      <c r="G2145" s="18" t="s">
        <v>48</v>
      </c>
      <c r="H2145" s="24">
        <v>26550</v>
      </c>
      <c r="I2145" s="24">
        <f>T_reg.root.SK[[#This Row],[Volume, kg]]/1000</f>
        <v>26.55</v>
      </c>
      <c r="J2145" s="25">
        <v>0.27240000000000003</v>
      </c>
      <c r="K2145" s="25">
        <f t="shared" si="33"/>
        <v>7232.2200000000012</v>
      </c>
      <c r="L2145" s="25">
        <v>3.9781167608286254</v>
      </c>
      <c r="M2145" s="24">
        <v>105619</v>
      </c>
      <c r="N2145" s="25">
        <f>IFERROR(T_reg.root.SK[[#This Row],[Price]]/T_reg.root.SK[[#This Row],[Starch content]],"")</f>
        <v>14.603952866478066</v>
      </c>
    </row>
    <row r="2146" spans="1:14">
      <c r="A2146" s="21">
        <v>2024</v>
      </c>
      <c r="B2146" s="21" t="s">
        <v>17</v>
      </c>
      <c r="C2146" s="21" t="s">
        <v>1145</v>
      </c>
      <c r="D2146" s="21" t="s">
        <v>35</v>
      </c>
      <c r="E2146" s="17" t="s">
        <v>68</v>
      </c>
      <c r="F2146" s="18" t="s">
        <v>47</v>
      </c>
      <c r="G2146" s="18" t="s">
        <v>48</v>
      </c>
      <c r="H2146" s="24">
        <v>70640</v>
      </c>
      <c r="I2146" s="24">
        <f>T_reg.root.SK[[#This Row],[Volume, kg]]/1000</f>
        <v>70.64</v>
      </c>
      <c r="J2146" s="25">
        <v>0.25890000000000002</v>
      </c>
      <c r="K2146" s="25">
        <f t="shared" si="33"/>
        <v>18288.696</v>
      </c>
      <c r="L2146" s="25">
        <v>3.8948117214043037</v>
      </c>
      <c r="M2146" s="24">
        <v>275129.5</v>
      </c>
      <c r="N2146" s="25">
        <f>IFERROR(T_reg.root.SK[[#This Row],[Price]]/T_reg.root.SK[[#This Row],[Starch content]],"")</f>
        <v>15.043691469309785</v>
      </c>
    </row>
    <row r="2147" spans="1:14">
      <c r="A2147" s="21">
        <v>2024</v>
      </c>
      <c r="B2147" s="21" t="s">
        <v>17</v>
      </c>
      <c r="C2147" s="21" t="s">
        <v>1145</v>
      </c>
      <c r="D2147" s="21" t="s">
        <v>35</v>
      </c>
      <c r="E2147" s="17" t="s">
        <v>76</v>
      </c>
      <c r="F2147" s="18" t="s">
        <v>47</v>
      </c>
      <c r="G2147" s="18" t="s">
        <v>48</v>
      </c>
      <c r="H2147" s="24">
        <v>38100</v>
      </c>
      <c r="I2147" s="24">
        <f>T_reg.root.SK[[#This Row],[Volume, kg]]/1000</f>
        <v>38.1</v>
      </c>
      <c r="J2147" s="25">
        <v>0.25929999999999997</v>
      </c>
      <c r="K2147" s="25">
        <f t="shared" si="33"/>
        <v>9879.33</v>
      </c>
      <c r="L2147" s="25">
        <v>3.8638451443569553</v>
      </c>
      <c r="M2147" s="24">
        <v>147212.5</v>
      </c>
      <c r="N2147" s="25">
        <f>IFERROR(T_reg.root.SK[[#This Row],[Price]]/T_reg.root.SK[[#This Row],[Starch content]],"")</f>
        <v>14.901061104346146</v>
      </c>
    </row>
    <row r="2148" spans="1:14">
      <c r="A2148" s="21">
        <v>2024</v>
      </c>
      <c r="B2148" s="21" t="s">
        <v>17</v>
      </c>
      <c r="C2148" s="21" t="s">
        <v>1145</v>
      </c>
      <c r="D2148" s="21" t="s">
        <v>35</v>
      </c>
      <c r="E2148" s="17" t="s">
        <v>69</v>
      </c>
      <c r="F2148" s="18" t="s">
        <v>47</v>
      </c>
      <c r="G2148" s="18" t="s">
        <v>48</v>
      </c>
      <c r="H2148" s="24">
        <v>8610</v>
      </c>
      <c r="I2148" s="24">
        <f>T_reg.root.SK[[#This Row],[Volume, kg]]/1000</f>
        <v>8.61</v>
      </c>
      <c r="J2148" s="25">
        <v>0.22550000000000001</v>
      </c>
      <c r="K2148" s="25">
        <f t="shared" si="33"/>
        <v>1941.5550000000001</v>
      </c>
      <c r="L2148" s="25">
        <v>3.75</v>
      </c>
      <c r="M2148" s="24">
        <v>32287.5</v>
      </c>
      <c r="N2148" s="25">
        <f>IFERROR(T_reg.root.SK[[#This Row],[Price]]/T_reg.root.SK[[#This Row],[Starch content]],"")</f>
        <v>16.62971175166297</v>
      </c>
    </row>
    <row r="2149" spans="1:14">
      <c r="A2149" s="21">
        <v>2024</v>
      </c>
      <c r="B2149" s="21" t="s">
        <v>17</v>
      </c>
      <c r="C2149" s="21" t="s">
        <v>1145</v>
      </c>
      <c r="D2149" s="21" t="s">
        <v>35</v>
      </c>
      <c r="E2149" s="17" t="s">
        <v>341</v>
      </c>
      <c r="F2149" s="18" t="s">
        <v>47</v>
      </c>
      <c r="G2149" s="18" t="s">
        <v>48</v>
      </c>
      <c r="H2149" s="24">
        <v>106310</v>
      </c>
      <c r="I2149" s="24">
        <f>T_reg.root.SK[[#This Row],[Volume, kg]]/1000</f>
        <v>106.31</v>
      </c>
      <c r="J2149" s="25">
        <v>0.24510000000000001</v>
      </c>
      <c r="K2149" s="25">
        <f t="shared" si="33"/>
        <v>26056.581000000002</v>
      </c>
      <c r="L2149" s="25">
        <v>3.8193490734643967</v>
      </c>
      <c r="M2149" s="24">
        <v>406035</v>
      </c>
      <c r="N2149" s="25">
        <f>IFERROR(T_reg.root.SK[[#This Row],[Price]]/T_reg.root.SK[[#This Row],[Starch content]],"")</f>
        <v>15.582819557178281</v>
      </c>
    </row>
    <row r="2150" spans="1:14">
      <c r="A2150" s="21">
        <v>2024</v>
      </c>
      <c r="B2150" s="21" t="s">
        <v>17</v>
      </c>
      <c r="C2150" s="21" t="s">
        <v>1145</v>
      </c>
      <c r="D2150" s="21" t="s">
        <v>35</v>
      </c>
      <c r="E2150" s="17" t="s">
        <v>472</v>
      </c>
      <c r="F2150" s="18" t="s">
        <v>47</v>
      </c>
      <c r="G2150" s="18" t="s">
        <v>48</v>
      </c>
      <c r="H2150" s="24">
        <v>40730</v>
      </c>
      <c r="I2150" s="24">
        <f>T_reg.root.SK[[#This Row],[Volume, kg]]/1000</f>
        <v>40.729999999999997</v>
      </c>
      <c r="J2150" s="25">
        <v>0.2291</v>
      </c>
      <c r="K2150" s="25">
        <f t="shared" si="33"/>
        <v>9331.2430000000004</v>
      </c>
      <c r="L2150" s="25">
        <v>3.7367419592438007</v>
      </c>
      <c r="M2150" s="24">
        <v>152197.5</v>
      </c>
      <c r="N2150" s="25">
        <f>IFERROR(T_reg.root.SK[[#This Row],[Price]]/T_reg.root.SK[[#This Row],[Starch content]],"")</f>
        <v>16.310527975747711</v>
      </c>
    </row>
    <row r="2151" spans="1:14">
      <c r="A2151" s="21">
        <v>2024</v>
      </c>
      <c r="B2151" s="21" t="s">
        <v>17</v>
      </c>
      <c r="C2151" s="21" t="s">
        <v>1145</v>
      </c>
      <c r="D2151" s="21" t="s">
        <v>35</v>
      </c>
      <c r="E2151" s="17" t="s">
        <v>475</v>
      </c>
      <c r="F2151" s="18" t="s">
        <v>47</v>
      </c>
      <c r="G2151" s="18" t="s">
        <v>48</v>
      </c>
      <c r="H2151" s="24">
        <v>80630</v>
      </c>
      <c r="I2151" s="24">
        <f>T_reg.root.SK[[#This Row],[Volume, kg]]/1000</f>
        <v>80.63</v>
      </c>
      <c r="J2151" s="25">
        <v>0.20629999999999996</v>
      </c>
      <c r="K2151" s="25">
        <f t="shared" si="33"/>
        <v>16633.968999999997</v>
      </c>
      <c r="L2151" s="25">
        <v>3.624941088924718</v>
      </c>
      <c r="M2151" s="24">
        <v>292279</v>
      </c>
      <c r="N2151" s="25">
        <f>IFERROR(T_reg.root.SK[[#This Row],[Price]]/T_reg.root.SK[[#This Row],[Starch content]],"")</f>
        <v>17.571212258481427</v>
      </c>
    </row>
    <row r="2152" spans="1:14">
      <c r="A2152" s="21">
        <v>2024</v>
      </c>
      <c r="B2152" s="21" t="s">
        <v>17</v>
      </c>
      <c r="C2152" s="21" t="s">
        <v>1145</v>
      </c>
      <c r="D2152" s="21" t="s">
        <v>35</v>
      </c>
      <c r="E2152" s="17" t="s">
        <v>77</v>
      </c>
      <c r="F2152" s="18" t="s">
        <v>47</v>
      </c>
      <c r="G2152" s="18" t="s">
        <v>48</v>
      </c>
      <c r="H2152" s="24">
        <v>56280</v>
      </c>
      <c r="I2152" s="24">
        <f>T_reg.root.SK[[#This Row],[Volume, kg]]/1000</f>
        <v>56.28</v>
      </c>
      <c r="J2152" s="25">
        <v>0.23306938521677328</v>
      </c>
      <c r="K2152" s="25">
        <f t="shared" si="33"/>
        <v>13117.145</v>
      </c>
      <c r="L2152" s="25">
        <v>3.8412491115849323</v>
      </c>
      <c r="M2152" s="24">
        <v>216185.5</v>
      </c>
      <c r="N2152" s="25">
        <f>IFERROR(T_reg.root.SK[[#This Row],[Price]]/T_reg.root.SK[[#This Row],[Starch content]],"")</f>
        <v>16.481139760214589</v>
      </c>
    </row>
    <row r="2153" spans="1:14">
      <c r="A2153" s="21">
        <v>2024</v>
      </c>
      <c r="B2153" s="21" t="s">
        <v>17</v>
      </c>
      <c r="C2153" s="21" t="s">
        <v>1145</v>
      </c>
      <c r="D2153" s="21" t="s">
        <v>35</v>
      </c>
      <c r="E2153" s="17" t="s">
        <v>678</v>
      </c>
      <c r="F2153" s="18" t="s">
        <v>47</v>
      </c>
      <c r="G2153" s="18" t="s">
        <v>48</v>
      </c>
      <c r="H2153" s="24">
        <v>41590</v>
      </c>
      <c r="I2153" s="24">
        <f>T_reg.root.SK[[#This Row],[Volume, kg]]/1000</f>
        <v>41.59</v>
      </c>
      <c r="J2153" s="25">
        <v>0.25719999999999998</v>
      </c>
      <c r="K2153" s="25">
        <f t="shared" si="33"/>
        <v>10696.947999999999</v>
      </c>
      <c r="L2153" s="25">
        <v>3.8854171675883626</v>
      </c>
      <c r="M2153" s="24">
        <v>161594.5</v>
      </c>
      <c r="N2153" s="25">
        <f>IFERROR(T_reg.root.SK[[#This Row],[Price]]/T_reg.root.SK[[#This Row],[Starch content]],"")</f>
        <v>15.106598629814785</v>
      </c>
    </row>
    <row r="2154" spans="1:14">
      <c r="A2154" s="21">
        <v>2024</v>
      </c>
      <c r="B2154" s="21" t="s">
        <v>17</v>
      </c>
      <c r="C2154" s="21" t="s">
        <v>1145</v>
      </c>
      <c r="D2154" s="21" t="s">
        <v>35</v>
      </c>
      <c r="E2154" s="17" t="s">
        <v>79</v>
      </c>
      <c r="F2154" s="18" t="s">
        <v>80</v>
      </c>
      <c r="G2154" s="18" t="s">
        <v>81</v>
      </c>
      <c r="H2154" s="24">
        <v>39090</v>
      </c>
      <c r="I2154" s="24">
        <f>T_reg.root.SK[[#This Row],[Volume, kg]]/1000</f>
        <v>39.090000000000003</v>
      </c>
      <c r="J2154" s="25">
        <v>0.2198</v>
      </c>
      <c r="K2154" s="25">
        <f t="shared" si="33"/>
        <v>8591.982</v>
      </c>
      <c r="L2154" s="25">
        <v>3.6990918393451011</v>
      </c>
      <c r="M2154" s="24">
        <v>144597.5</v>
      </c>
      <c r="N2154" s="25">
        <f>IFERROR(T_reg.root.SK[[#This Row],[Price]]/T_reg.root.SK[[#This Row],[Starch content]],"")</f>
        <v>16.82935322722976</v>
      </c>
    </row>
    <row r="2155" spans="1:14">
      <c r="A2155" s="21">
        <v>2024</v>
      </c>
      <c r="B2155" s="21" t="s">
        <v>17</v>
      </c>
      <c r="C2155" s="21" t="s">
        <v>1145</v>
      </c>
      <c r="D2155" s="21" t="s">
        <v>35</v>
      </c>
      <c r="E2155" s="17" t="s">
        <v>82</v>
      </c>
      <c r="F2155" s="18" t="s">
        <v>83</v>
      </c>
      <c r="G2155" s="18" t="s">
        <v>48</v>
      </c>
      <c r="H2155" s="24">
        <v>16260</v>
      </c>
      <c r="I2155" s="24">
        <f>T_reg.root.SK[[#This Row],[Volume, kg]]/1000</f>
        <v>16.260000000000002</v>
      </c>
      <c r="J2155" s="25">
        <v>0.18079999999999999</v>
      </c>
      <c r="K2155" s="25">
        <f t="shared" si="33"/>
        <v>2939.808</v>
      </c>
      <c r="L2155" s="25">
        <v>3.4950799507995081</v>
      </c>
      <c r="M2155" s="24">
        <v>56830</v>
      </c>
      <c r="N2155" s="25">
        <f>IFERROR(T_reg.root.SK[[#This Row],[Price]]/T_reg.root.SK[[#This Row],[Starch content]],"")</f>
        <v>19.331194418138875</v>
      </c>
    </row>
    <row r="2156" spans="1:14">
      <c r="A2156" s="21">
        <v>2024</v>
      </c>
      <c r="B2156" s="21" t="s">
        <v>17</v>
      </c>
      <c r="C2156" s="21" t="s">
        <v>1145</v>
      </c>
      <c r="D2156" s="21" t="s">
        <v>39</v>
      </c>
      <c r="E2156" s="17" t="s">
        <v>85</v>
      </c>
      <c r="F2156" s="18" t="s">
        <v>86</v>
      </c>
      <c r="G2156" s="18" t="s">
        <v>87</v>
      </c>
      <c r="H2156" s="24">
        <v>257390</v>
      </c>
      <c r="I2156" s="24">
        <f>T_reg.root.SK[[#This Row],[Volume, kg]]/1000</f>
        <v>257.39</v>
      </c>
      <c r="J2156" s="25">
        <v>0.22606423714985038</v>
      </c>
      <c r="K2156" s="25">
        <f t="shared" si="33"/>
        <v>58186.673999999992</v>
      </c>
      <c r="L2156" s="25">
        <v>3.7287307199191888</v>
      </c>
      <c r="M2156" s="24">
        <v>959738</v>
      </c>
      <c r="N2156" s="25">
        <f>IFERROR(T_reg.root.SK[[#This Row],[Price]]/T_reg.root.SK[[#This Row],[Starch content]],"")</f>
        <v>16.494120286029755</v>
      </c>
    </row>
    <row r="2157" spans="1:14">
      <c r="A2157" s="21">
        <v>2024</v>
      </c>
      <c r="B2157" s="21" t="s">
        <v>17</v>
      </c>
      <c r="C2157" s="21" t="s">
        <v>1145</v>
      </c>
      <c r="D2157" s="21" t="s">
        <v>39</v>
      </c>
      <c r="E2157" s="17" t="s">
        <v>342</v>
      </c>
      <c r="F2157" s="18" t="s">
        <v>343</v>
      </c>
      <c r="G2157" s="18" t="s">
        <v>344</v>
      </c>
      <c r="H2157" s="24">
        <v>296380</v>
      </c>
      <c r="I2157" s="24">
        <f>T_reg.root.SK[[#This Row],[Volume, kg]]/1000</f>
        <v>296.38</v>
      </c>
      <c r="J2157" s="25">
        <v>0.25799999999999995</v>
      </c>
      <c r="K2157" s="25">
        <f t="shared" si="33"/>
        <v>76466.039999999979</v>
      </c>
      <c r="L2157" s="25">
        <v>3.8451042580471015</v>
      </c>
      <c r="M2157" s="24">
        <v>1139612</v>
      </c>
      <c r="N2157" s="25">
        <f>IFERROR(T_reg.root.SK[[#This Row],[Price]]/T_reg.root.SK[[#This Row],[Starch content]],"")</f>
        <v>14.903504876151558</v>
      </c>
    </row>
    <row r="2158" spans="1:14">
      <c r="A2158" s="21">
        <v>2024</v>
      </c>
      <c r="B2158" s="21" t="s">
        <v>17</v>
      </c>
      <c r="C2158" s="21" t="s">
        <v>1145</v>
      </c>
      <c r="D2158" s="21" t="s">
        <v>39</v>
      </c>
      <c r="E2158" s="17" t="s">
        <v>88</v>
      </c>
      <c r="F2158" s="18" t="s">
        <v>89</v>
      </c>
      <c r="G2158" s="18" t="s">
        <v>90</v>
      </c>
      <c r="H2158" s="24">
        <v>4725820</v>
      </c>
      <c r="I2158" s="24">
        <f>T_reg.root.SK[[#This Row],[Volume, kg]]/1000</f>
        <v>4725.82</v>
      </c>
      <c r="J2158" s="25">
        <v>0.27447449924034345</v>
      </c>
      <c r="K2158" s="25">
        <f t="shared" si="33"/>
        <v>1297117.078</v>
      </c>
      <c r="L2158" s="25">
        <v>3.9283394204603646</v>
      </c>
      <c r="M2158" s="24">
        <v>18564625</v>
      </c>
      <c r="N2158" s="25">
        <f>IFERROR(T_reg.root.SK[[#This Row],[Price]]/T_reg.root.SK[[#This Row],[Starch content]],"")</f>
        <v>14.312220010721347</v>
      </c>
    </row>
    <row r="2159" spans="1:14">
      <c r="A2159" s="21">
        <v>2024</v>
      </c>
      <c r="B2159" s="21" t="s">
        <v>17</v>
      </c>
      <c r="C2159" s="21" t="s">
        <v>1145</v>
      </c>
      <c r="D2159" s="21" t="s">
        <v>35</v>
      </c>
      <c r="E2159" s="17" t="s">
        <v>91</v>
      </c>
      <c r="F2159" s="18" t="s">
        <v>92</v>
      </c>
      <c r="G2159" s="18" t="s">
        <v>48</v>
      </c>
      <c r="H2159" s="24">
        <v>8760</v>
      </c>
      <c r="I2159" s="24">
        <f>T_reg.root.SK[[#This Row],[Volume, kg]]/1000</f>
        <v>8.76</v>
      </c>
      <c r="J2159" s="25">
        <v>0.24200000000000002</v>
      </c>
      <c r="K2159" s="25">
        <f t="shared" si="33"/>
        <v>2119.92</v>
      </c>
      <c r="L2159" s="25">
        <v>3.8</v>
      </c>
      <c r="M2159" s="24">
        <v>33288</v>
      </c>
      <c r="N2159" s="25">
        <f>IFERROR(T_reg.root.SK[[#This Row],[Price]]/T_reg.root.SK[[#This Row],[Starch content]],"")</f>
        <v>15.702479338842974</v>
      </c>
    </row>
    <row r="2160" spans="1:14">
      <c r="A2160" s="21">
        <v>2024</v>
      </c>
      <c r="B2160" s="21" t="s">
        <v>17</v>
      </c>
      <c r="C2160" s="21" t="s">
        <v>1145</v>
      </c>
      <c r="D2160" s="21" t="s">
        <v>35</v>
      </c>
      <c r="E2160" s="17" t="s">
        <v>679</v>
      </c>
      <c r="F2160" s="18" t="s">
        <v>92</v>
      </c>
      <c r="G2160" s="18" t="s">
        <v>48</v>
      </c>
      <c r="H2160" s="24">
        <v>29560</v>
      </c>
      <c r="I2160" s="24">
        <f>T_reg.root.SK[[#This Row],[Volume, kg]]/1000</f>
        <v>29.56</v>
      </c>
      <c r="J2160" s="25">
        <v>0.25209999999999999</v>
      </c>
      <c r="K2160" s="25">
        <f t="shared" si="33"/>
        <v>7452.076</v>
      </c>
      <c r="L2160" s="25">
        <v>3.8671853856562923</v>
      </c>
      <c r="M2160" s="24">
        <v>114314</v>
      </c>
      <c r="N2160" s="25">
        <f>IFERROR(T_reg.root.SK[[#This Row],[Price]]/T_reg.root.SK[[#This Row],[Starch content]],"")</f>
        <v>15.339886496058281</v>
      </c>
    </row>
    <row r="2161" spans="1:14">
      <c r="A2161" s="21">
        <v>2024</v>
      </c>
      <c r="B2161" s="21" t="s">
        <v>17</v>
      </c>
      <c r="C2161" s="21" t="s">
        <v>1145</v>
      </c>
      <c r="D2161" s="21" t="s">
        <v>35</v>
      </c>
      <c r="E2161" s="17" t="s">
        <v>478</v>
      </c>
      <c r="F2161" s="18" t="s">
        <v>92</v>
      </c>
      <c r="G2161" s="18" t="s">
        <v>48</v>
      </c>
      <c r="H2161" s="24">
        <v>42210</v>
      </c>
      <c r="I2161" s="24">
        <f>T_reg.root.SK[[#This Row],[Volume, kg]]/1000</f>
        <v>42.21</v>
      </c>
      <c r="J2161" s="25">
        <v>0.27549999999999997</v>
      </c>
      <c r="K2161" s="25">
        <f t="shared" si="33"/>
        <v>11628.854999999998</v>
      </c>
      <c r="L2161" s="25">
        <v>3.9505330490405117</v>
      </c>
      <c r="M2161" s="24">
        <v>166752</v>
      </c>
      <c r="N2161" s="25">
        <f>IFERROR(T_reg.root.SK[[#This Row],[Price]]/T_reg.root.SK[[#This Row],[Starch content]],"")</f>
        <v>14.339502900328538</v>
      </c>
    </row>
    <row r="2162" spans="1:14">
      <c r="A2162" s="21">
        <v>2024</v>
      </c>
      <c r="B2162" s="21" t="s">
        <v>17</v>
      </c>
      <c r="C2162" s="21" t="s">
        <v>1145</v>
      </c>
      <c r="D2162" s="21" t="s">
        <v>35</v>
      </c>
      <c r="E2162" s="17" t="s">
        <v>93</v>
      </c>
      <c r="F2162" s="18" t="s">
        <v>92</v>
      </c>
      <c r="G2162" s="18" t="s">
        <v>48</v>
      </c>
      <c r="H2162" s="24">
        <v>87860</v>
      </c>
      <c r="I2162" s="24">
        <f>T_reg.root.SK[[#This Row],[Volume, kg]]/1000</f>
        <v>87.86</v>
      </c>
      <c r="J2162" s="25">
        <v>0.27879999999999999</v>
      </c>
      <c r="K2162" s="25">
        <f t="shared" si="33"/>
        <v>24495.367999999999</v>
      </c>
      <c r="L2162" s="25">
        <v>3.9843671750512177</v>
      </c>
      <c r="M2162" s="24">
        <v>350066.5</v>
      </c>
      <c r="N2162" s="25">
        <f>IFERROR(T_reg.root.SK[[#This Row],[Price]]/T_reg.root.SK[[#This Row],[Starch content]],"")</f>
        <v>14.291130470054583</v>
      </c>
    </row>
    <row r="2163" spans="1:14">
      <c r="A2163" s="21">
        <v>2024</v>
      </c>
      <c r="B2163" s="21" t="s">
        <v>17</v>
      </c>
      <c r="C2163" s="21" t="s">
        <v>1145</v>
      </c>
      <c r="D2163" s="21" t="s">
        <v>39</v>
      </c>
      <c r="E2163" s="17" t="s">
        <v>552</v>
      </c>
      <c r="F2163" s="18" t="s">
        <v>95</v>
      </c>
      <c r="G2163" s="18" t="s">
        <v>48</v>
      </c>
      <c r="H2163" s="24">
        <v>4519670</v>
      </c>
      <c r="I2163" s="24">
        <f>T_reg.root.SK[[#This Row],[Volume, kg]]/1000</f>
        <v>4519.67</v>
      </c>
      <c r="J2163" s="25">
        <v>0.27847508446413127</v>
      </c>
      <c r="K2163" s="25">
        <f t="shared" si="33"/>
        <v>1258615.4850000001</v>
      </c>
      <c r="L2163" s="25">
        <v>3.9228525533943848</v>
      </c>
      <c r="M2163" s="24">
        <v>17729999</v>
      </c>
      <c r="N2163" s="25">
        <f>IFERROR(T_reg.root.SK[[#This Row],[Price]]/T_reg.root.SK[[#This Row],[Starch content]],"")</f>
        <v>14.086906772802017</v>
      </c>
    </row>
    <row r="2164" spans="1:14">
      <c r="A2164" s="21">
        <v>2024</v>
      </c>
      <c r="B2164" s="21" t="s">
        <v>17</v>
      </c>
      <c r="C2164" s="21" t="s">
        <v>1145</v>
      </c>
      <c r="D2164" s="21" t="s">
        <v>35</v>
      </c>
      <c r="E2164" s="17" t="s">
        <v>680</v>
      </c>
      <c r="F2164" s="18" t="s">
        <v>95</v>
      </c>
      <c r="G2164" s="18" t="s">
        <v>48</v>
      </c>
      <c r="H2164" s="24">
        <v>64950</v>
      </c>
      <c r="I2164" s="24">
        <f>T_reg.root.SK[[#This Row],[Volume, kg]]/1000</f>
        <v>64.95</v>
      </c>
      <c r="J2164" s="25">
        <v>0.31079999999999997</v>
      </c>
      <c r="K2164" s="25">
        <f t="shared" si="33"/>
        <v>20186.46</v>
      </c>
      <c r="L2164" s="25">
        <v>4.1452578906851425</v>
      </c>
      <c r="M2164" s="24">
        <v>269234.5</v>
      </c>
      <c r="N2164" s="25">
        <f>IFERROR(T_reg.root.SK[[#This Row],[Price]]/T_reg.root.SK[[#This Row],[Starch content]],"")</f>
        <v>13.337380600660047</v>
      </c>
    </row>
    <row r="2165" spans="1:14">
      <c r="A2165" s="21">
        <v>2024</v>
      </c>
      <c r="B2165" s="21" t="s">
        <v>17</v>
      </c>
      <c r="C2165" s="21" t="s">
        <v>1145</v>
      </c>
      <c r="D2165" s="21" t="s">
        <v>35</v>
      </c>
      <c r="E2165" s="17" t="s">
        <v>681</v>
      </c>
      <c r="F2165" s="18" t="s">
        <v>95</v>
      </c>
      <c r="G2165" s="18" t="s">
        <v>48</v>
      </c>
      <c r="H2165" s="24">
        <v>15280</v>
      </c>
      <c r="I2165" s="24">
        <f>T_reg.root.SK[[#This Row],[Volume, kg]]/1000</f>
        <v>15.28</v>
      </c>
      <c r="J2165" s="25">
        <v>0.3</v>
      </c>
      <c r="K2165" s="25">
        <f t="shared" si="33"/>
        <v>4584</v>
      </c>
      <c r="L2165" s="25">
        <v>4.0331806282722509</v>
      </c>
      <c r="M2165" s="24">
        <v>61627</v>
      </c>
      <c r="N2165" s="25">
        <f>IFERROR(T_reg.root.SK[[#This Row],[Price]]/T_reg.root.SK[[#This Row],[Starch content]],"")</f>
        <v>13.44393542757417</v>
      </c>
    </row>
    <row r="2166" spans="1:14">
      <c r="A2166" s="21">
        <v>2024</v>
      </c>
      <c r="B2166" s="21" t="s">
        <v>17</v>
      </c>
      <c r="C2166" s="21" t="s">
        <v>1145</v>
      </c>
      <c r="D2166" s="21" t="s">
        <v>39</v>
      </c>
      <c r="E2166" s="17" t="s">
        <v>98</v>
      </c>
      <c r="F2166" s="18" t="s">
        <v>99</v>
      </c>
      <c r="G2166" s="18" t="s">
        <v>42</v>
      </c>
      <c r="H2166" s="24">
        <v>3171150</v>
      </c>
      <c r="I2166" s="24">
        <f>T_reg.root.SK[[#This Row],[Volume, kg]]/1000</f>
        <v>3171.15</v>
      </c>
      <c r="J2166" s="25">
        <v>0.26028656291881497</v>
      </c>
      <c r="K2166" s="25">
        <f t="shared" si="33"/>
        <v>825407.73400000005</v>
      </c>
      <c r="L2166" s="25">
        <v>3.8619103479810164</v>
      </c>
      <c r="M2166" s="24">
        <v>12246697</v>
      </c>
      <c r="N2166" s="25">
        <f>IFERROR(T_reg.root.SK[[#This Row],[Price]]/T_reg.root.SK[[#This Row],[Starch content]],"")</f>
        <v>14.837148351701778</v>
      </c>
    </row>
    <row r="2167" spans="1:14">
      <c r="A2167" s="21">
        <v>2024</v>
      </c>
      <c r="B2167" s="21" t="s">
        <v>17</v>
      </c>
      <c r="C2167" s="21" t="s">
        <v>1145</v>
      </c>
      <c r="D2167" s="21" t="s">
        <v>39</v>
      </c>
      <c r="E2167" s="17" t="s">
        <v>346</v>
      </c>
      <c r="F2167" s="18" t="s">
        <v>99</v>
      </c>
      <c r="G2167" s="18" t="s">
        <v>42</v>
      </c>
      <c r="H2167" s="24">
        <v>3519740</v>
      </c>
      <c r="I2167" s="24">
        <f>T_reg.root.SK[[#This Row],[Volume, kg]]/1000</f>
        <v>3519.74</v>
      </c>
      <c r="J2167" s="25">
        <v>0.25270175637973258</v>
      </c>
      <c r="K2167" s="25">
        <f t="shared" si="33"/>
        <v>889444.48</v>
      </c>
      <c r="L2167" s="25">
        <v>3.8000680447987634</v>
      </c>
      <c r="M2167" s="24">
        <v>13375251.5</v>
      </c>
      <c r="N2167" s="25">
        <f>IFERROR(T_reg.root.SK[[#This Row],[Price]]/T_reg.root.SK[[#This Row],[Starch content]],"")</f>
        <v>15.037758736779164</v>
      </c>
    </row>
    <row r="2168" spans="1:14">
      <c r="A2168" s="21">
        <v>2024</v>
      </c>
      <c r="B2168" s="21" t="s">
        <v>17</v>
      </c>
      <c r="C2168" s="21" t="s">
        <v>1145</v>
      </c>
      <c r="D2168" s="21" t="s">
        <v>39</v>
      </c>
      <c r="E2168" s="17" t="s">
        <v>101</v>
      </c>
      <c r="F2168" s="18" t="s">
        <v>102</v>
      </c>
      <c r="G2168" s="18" t="s">
        <v>103</v>
      </c>
      <c r="H2168" s="24">
        <v>340620</v>
      </c>
      <c r="I2168" s="24">
        <f>T_reg.root.SK[[#This Row],[Volume, kg]]/1000</f>
        <v>340.62</v>
      </c>
      <c r="J2168" s="25">
        <v>0.23472601726263873</v>
      </c>
      <c r="K2168" s="25">
        <f t="shared" si="33"/>
        <v>79952.376000000004</v>
      </c>
      <c r="L2168" s="25">
        <v>3.7869620104515294</v>
      </c>
      <c r="M2168" s="24">
        <v>1289915</v>
      </c>
      <c r="N2168" s="25">
        <f>IFERROR(T_reg.root.SK[[#This Row],[Price]]/T_reg.root.SK[[#This Row],[Starch content]],"")</f>
        <v>16.133541797432009</v>
      </c>
    </row>
    <row r="2169" spans="1:14">
      <c r="A2169" s="21">
        <v>2024</v>
      </c>
      <c r="B2169" s="21" t="s">
        <v>17</v>
      </c>
      <c r="C2169" s="21" t="s">
        <v>1145</v>
      </c>
      <c r="D2169" s="21" t="s">
        <v>35</v>
      </c>
      <c r="E2169" s="17" t="s">
        <v>629</v>
      </c>
      <c r="F2169" s="18" t="s">
        <v>283</v>
      </c>
      <c r="G2169" s="18" t="s">
        <v>48</v>
      </c>
      <c r="H2169" s="24">
        <v>34950</v>
      </c>
      <c r="I2169" s="24">
        <f>T_reg.root.SK[[#This Row],[Volume, kg]]/1000</f>
        <v>34.950000000000003</v>
      </c>
      <c r="J2169" s="25">
        <v>0.2576</v>
      </c>
      <c r="K2169" s="25">
        <f t="shared" si="33"/>
        <v>9003.119999999999</v>
      </c>
      <c r="L2169" s="25">
        <v>3.8983547925608013</v>
      </c>
      <c r="M2169" s="24">
        <v>136247.5</v>
      </c>
      <c r="N2169" s="25">
        <f>IFERROR(T_reg.root.SK[[#This Row],[Price]]/T_reg.root.SK[[#This Row],[Starch content]],"")</f>
        <v>15.133364877953422</v>
      </c>
    </row>
    <row r="2170" spans="1:14">
      <c r="A2170" s="21">
        <v>2024</v>
      </c>
      <c r="B2170" s="21" t="s">
        <v>17</v>
      </c>
      <c r="C2170" s="21" t="s">
        <v>1145</v>
      </c>
      <c r="D2170" s="21" t="s">
        <v>35</v>
      </c>
      <c r="E2170" s="17" t="s">
        <v>555</v>
      </c>
      <c r="F2170" s="18" t="s">
        <v>283</v>
      </c>
      <c r="G2170" s="18" t="s">
        <v>48</v>
      </c>
      <c r="H2170" s="24">
        <v>8680</v>
      </c>
      <c r="I2170" s="24">
        <f>T_reg.root.SK[[#This Row],[Volume, kg]]/1000</f>
        <v>8.68</v>
      </c>
      <c r="J2170" s="25">
        <v>0.2225</v>
      </c>
      <c r="K2170" s="25">
        <f t="shared" si="33"/>
        <v>1931.3</v>
      </c>
      <c r="L2170" s="25">
        <v>3.55</v>
      </c>
      <c r="M2170" s="24">
        <v>30814</v>
      </c>
      <c r="N2170" s="25">
        <f>IFERROR(T_reg.root.SK[[#This Row],[Price]]/T_reg.root.SK[[#This Row],[Starch content]],"")</f>
        <v>15.95505617977528</v>
      </c>
    </row>
    <row r="2171" spans="1:14">
      <c r="A2171" s="21">
        <v>2024</v>
      </c>
      <c r="B2171" s="21" t="s">
        <v>17</v>
      </c>
      <c r="C2171" s="21" t="s">
        <v>1145</v>
      </c>
      <c r="D2171" s="21" t="s">
        <v>35</v>
      </c>
      <c r="E2171" s="17" t="s">
        <v>104</v>
      </c>
      <c r="F2171" s="18" t="s">
        <v>105</v>
      </c>
      <c r="G2171" s="18" t="s">
        <v>48</v>
      </c>
      <c r="H2171" s="24">
        <v>4250</v>
      </c>
      <c r="I2171" s="24">
        <f>T_reg.root.SK[[#This Row],[Volume, kg]]/1000</f>
        <v>4.25</v>
      </c>
      <c r="J2171" s="25">
        <v>0.29199999999999998</v>
      </c>
      <c r="K2171" s="25">
        <f t="shared" si="33"/>
        <v>1241</v>
      </c>
      <c r="L2171" s="25">
        <v>3.95</v>
      </c>
      <c r="M2171" s="24">
        <v>16787.5</v>
      </c>
      <c r="N2171" s="25">
        <f>IFERROR(T_reg.root.SK[[#This Row],[Price]]/T_reg.root.SK[[#This Row],[Starch content]],"")</f>
        <v>13.527397260273974</v>
      </c>
    </row>
    <row r="2172" spans="1:14">
      <c r="A2172" s="21">
        <v>2024</v>
      </c>
      <c r="B2172" s="21" t="s">
        <v>17</v>
      </c>
      <c r="C2172" s="21" t="s">
        <v>1145</v>
      </c>
      <c r="D2172" s="21" t="s">
        <v>35</v>
      </c>
      <c r="E2172" s="17" t="s">
        <v>232</v>
      </c>
      <c r="F2172" s="18" t="s">
        <v>105</v>
      </c>
      <c r="G2172" s="18" t="s">
        <v>48</v>
      </c>
      <c r="H2172" s="24">
        <v>26630</v>
      </c>
      <c r="I2172" s="24">
        <f>T_reg.root.SK[[#This Row],[Volume, kg]]/1000</f>
        <v>26.63</v>
      </c>
      <c r="J2172" s="25">
        <v>0.27669076229815998</v>
      </c>
      <c r="K2172" s="25">
        <f t="shared" si="33"/>
        <v>7368.2750000000005</v>
      </c>
      <c r="L2172" s="25">
        <v>3.9857303792714984</v>
      </c>
      <c r="M2172" s="24">
        <v>106140</v>
      </c>
      <c r="N2172" s="25">
        <f>IFERROR(T_reg.root.SK[[#This Row],[Price]]/T_reg.root.SK[[#This Row],[Starch content]],"")</f>
        <v>14.404999813389159</v>
      </c>
    </row>
    <row r="2173" spans="1:14">
      <c r="A2173" s="21">
        <v>2024</v>
      </c>
      <c r="B2173" s="21" t="s">
        <v>17</v>
      </c>
      <c r="C2173" s="21" t="s">
        <v>1145</v>
      </c>
      <c r="D2173" s="21" t="s">
        <v>35</v>
      </c>
      <c r="E2173" s="17" t="s">
        <v>109</v>
      </c>
      <c r="F2173" s="18" t="s">
        <v>105</v>
      </c>
      <c r="G2173" s="18" t="s">
        <v>48</v>
      </c>
      <c r="H2173" s="24">
        <v>104540</v>
      </c>
      <c r="I2173" s="24">
        <f>T_reg.root.SK[[#This Row],[Volume, kg]]/1000</f>
        <v>104.54</v>
      </c>
      <c r="J2173" s="25">
        <v>0.24680000000000002</v>
      </c>
      <c r="K2173" s="25">
        <f t="shared" si="33"/>
        <v>25800.472000000002</v>
      </c>
      <c r="L2173" s="25">
        <v>3.731844270135833</v>
      </c>
      <c r="M2173" s="24">
        <v>390127</v>
      </c>
      <c r="N2173" s="25">
        <f>IFERROR(T_reg.root.SK[[#This Row],[Price]]/T_reg.root.SK[[#This Row],[Starch content]],"")</f>
        <v>15.120924919513099</v>
      </c>
    </row>
    <row r="2174" spans="1:14">
      <c r="A2174" s="21">
        <v>2024</v>
      </c>
      <c r="B2174" s="21" t="s">
        <v>17</v>
      </c>
      <c r="C2174" s="21" t="s">
        <v>1145</v>
      </c>
      <c r="D2174" s="21" t="s">
        <v>35</v>
      </c>
      <c r="E2174" s="17" t="s">
        <v>117</v>
      </c>
      <c r="F2174" s="18" t="s">
        <v>105</v>
      </c>
      <c r="G2174" s="18" t="s">
        <v>48</v>
      </c>
      <c r="H2174" s="24">
        <v>26450</v>
      </c>
      <c r="I2174" s="24">
        <f>T_reg.root.SK[[#This Row],[Volume, kg]]/1000</f>
        <v>26.45</v>
      </c>
      <c r="J2174" s="25">
        <v>0.25179999999999997</v>
      </c>
      <c r="K2174" s="25">
        <f t="shared" si="33"/>
        <v>6660.1099999999988</v>
      </c>
      <c r="L2174" s="25">
        <v>3.7208884688090738</v>
      </c>
      <c r="M2174" s="24">
        <v>98417.5</v>
      </c>
      <c r="N2174" s="25">
        <f>IFERROR(T_reg.root.SK[[#This Row],[Price]]/T_reg.root.SK[[#This Row],[Starch content]],"")</f>
        <v>14.777158335222694</v>
      </c>
    </row>
    <row r="2175" spans="1:14">
      <c r="A2175" s="21">
        <v>2024</v>
      </c>
      <c r="B2175" s="21" t="s">
        <v>17</v>
      </c>
      <c r="C2175" s="21" t="s">
        <v>1145</v>
      </c>
      <c r="D2175" s="21" t="s">
        <v>35</v>
      </c>
      <c r="E2175" s="17" t="s">
        <v>682</v>
      </c>
      <c r="F2175" s="18" t="s">
        <v>105</v>
      </c>
      <c r="G2175" s="18" t="s">
        <v>48</v>
      </c>
      <c r="H2175" s="24">
        <v>12960</v>
      </c>
      <c r="I2175" s="24">
        <f>T_reg.root.SK[[#This Row],[Volume, kg]]/1000</f>
        <v>12.96</v>
      </c>
      <c r="J2175" s="25">
        <v>0.25900000000000001</v>
      </c>
      <c r="K2175" s="25">
        <f t="shared" si="33"/>
        <v>3356.6400000000003</v>
      </c>
      <c r="L2175" s="25">
        <v>3.7822916666666666</v>
      </c>
      <c r="M2175" s="24">
        <v>49018.5</v>
      </c>
      <c r="N2175" s="25">
        <f>IFERROR(T_reg.root.SK[[#This Row],[Price]]/T_reg.root.SK[[#This Row],[Starch content]],"")</f>
        <v>14.603442728442728</v>
      </c>
    </row>
    <row r="2176" spans="1:14">
      <c r="A2176" s="21">
        <v>2024</v>
      </c>
      <c r="B2176" s="21" t="s">
        <v>17</v>
      </c>
      <c r="C2176" s="21" t="s">
        <v>1145</v>
      </c>
      <c r="D2176" s="21" t="s">
        <v>35</v>
      </c>
      <c r="E2176" s="17" t="s">
        <v>309</v>
      </c>
      <c r="F2176" s="18" t="s">
        <v>105</v>
      </c>
      <c r="G2176" s="18" t="s">
        <v>48</v>
      </c>
      <c r="H2176" s="24">
        <v>30510</v>
      </c>
      <c r="I2176" s="24">
        <f>T_reg.root.SK[[#This Row],[Volume, kg]]/1000</f>
        <v>30.51</v>
      </c>
      <c r="J2176" s="25">
        <v>0.25900000000000001</v>
      </c>
      <c r="K2176" s="25">
        <f t="shared" si="33"/>
        <v>7902.09</v>
      </c>
      <c r="L2176" s="25">
        <v>3.7962307440183545</v>
      </c>
      <c r="M2176" s="24">
        <v>115823</v>
      </c>
      <c r="N2176" s="25">
        <f>IFERROR(T_reg.root.SK[[#This Row],[Price]]/T_reg.root.SK[[#This Row],[Starch content]],"")</f>
        <v>14.657261559916426</v>
      </c>
    </row>
    <row r="2177" spans="1:14">
      <c r="A2177" s="21">
        <v>2024</v>
      </c>
      <c r="B2177" s="21" t="s">
        <v>17</v>
      </c>
      <c r="C2177" s="21" t="s">
        <v>1145</v>
      </c>
      <c r="D2177" s="21" t="s">
        <v>35</v>
      </c>
      <c r="E2177" s="17" t="s">
        <v>155</v>
      </c>
      <c r="F2177" s="18" t="s">
        <v>105</v>
      </c>
      <c r="G2177" s="18" t="s">
        <v>48</v>
      </c>
      <c r="H2177" s="24">
        <v>79320</v>
      </c>
      <c r="I2177" s="24">
        <f>T_reg.root.SK[[#This Row],[Volume, kg]]/1000</f>
        <v>79.319999999999993</v>
      </c>
      <c r="J2177" s="25">
        <v>0.26940379475542109</v>
      </c>
      <c r="K2177" s="25">
        <f t="shared" si="33"/>
        <v>21369.109</v>
      </c>
      <c r="L2177" s="25">
        <v>3.8424546142208773</v>
      </c>
      <c r="M2177" s="24">
        <v>304783.5</v>
      </c>
      <c r="N2177" s="25">
        <f>IFERROR(T_reg.root.SK[[#This Row],[Price]]/T_reg.root.SK[[#This Row],[Starch content]],"")</f>
        <v>14.262808056246049</v>
      </c>
    </row>
    <row r="2178" spans="1:14">
      <c r="A2178" s="21">
        <v>2024</v>
      </c>
      <c r="B2178" s="21" t="s">
        <v>17</v>
      </c>
      <c r="C2178" s="21" t="s">
        <v>1145</v>
      </c>
      <c r="D2178" s="21" t="s">
        <v>35</v>
      </c>
      <c r="E2178" s="17" t="s">
        <v>253</v>
      </c>
      <c r="F2178" s="18" t="s">
        <v>105</v>
      </c>
      <c r="G2178" s="18" t="s">
        <v>48</v>
      </c>
      <c r="H2178" s="24">
        <v>12100</v>
      </c>
      <c r="I2178" s="24">
        <f>T_reg.root.SK[[#This Row],[Volume, kg]]/1000</f>
        <v>12.1</v>
      </c>
      <c r="J2178" s="25">
        <v>0.26219999999999999</v>
      </c>
      <c r="K2178" s="25">
        <f t="shared" si="33"/>
        <v>3172.62</v>
      </c>
      <c r="L2178" s="25">
        <v>3.8</v>
      </c>
      <c r="M2178" s="24">
        <v>45980</v>
      </c>
      <c r="N2178" s="25">
        <f>IFERROR(T_reg.root.SK[[#This Row],[Price]]/T_reg.root.SK[[#This Row],[Starch content]],"")</f>
        <v>14.492753623188406</v>
      </c>
    </row>
    <row r="2179" spans="1:14">
      <c r="A2179" s="21">
        <v>2024</v>
      </c>
      <c r="B2179" s="21" t="s">
        <v>17</v>
      </c>
      <c r="C2179" s="21" t="s">
        <v>1145</v>
      </c>
      <c r="D2179" s="21" t="s">
        <v>35</v>
      </c>
      <c r="E2179" s="17" t="s">
        <v>506</v>
      </c>
      <c r="F2179" s="18" t="s">
        <v>105</v>
      </c>
      <c r="G2179" s="18" t="s">
        <v>48</v>
      </c>
      <c r="H2179" s="24">
        <v>18990</v>
      </c>
      <c r="I2179" s="24">
        <f>T_reg.root.SK[[#This Row],[Volume, kg]]/1000</f>
        <v>18.989999999999998</v>
      </c>
      <c r="J2179" s="25">
        <v>0.26309999999999995</v>
      </c>
      <c r="K2179" s="25">
        <f t="shared" ref="K2179:K2242" si="34">H2179*J2179</f>
        <v>4996.2689999999993</v>
      </c>
      <c r="L2179" s="25">
        <v>3.7723538704581361</v>
      </c>
      <c r="M2179" s="24">
        <v>71637</v>
      </c>
      <c r="N2179" s="25">
        <f>IFERROR(T_reg.root.SK[[#This Row],[Price]]/T_reg.root.SK[[#This Row],[Starch content]],"")</f>
        <v>14.338099089540618</v>
      </c>
    </row>
    <row r="2180" spans="1:14">
      <c r="A2180" s="21">
        <v>2024</v>
      </c>
      <c r="B2180" s="21" t="s">
        <v>17</v>
      </c>
      <c r="C2180" s="21" t="s">
        <v>1145</v>
      </c>
      <c r="D2180" s="21" t="s">
        <v>35</v>
      </c>
      <c r="E2180" s="17" t="s">
        <v>164</v>
      </c>
      <c r="F2180" s="18" t="s">
        <v>105</v>
      </c>
      <c r="G2180" s="18" t="s">
        <v>48</v>
      </c>
      <c r="H2180" s="24">
        <v>341110</v>
      </c>
      <c r="I2180" s="24">
        <f>T_reg.root.SK[[#This Row],[Volume, kg]]/1000</f>
        <v>341.11</v>
      </c>
      <c r="J2180" s="25">
        <v>0.25392025446336958</v>
      </c>
      <c r="K2180" s="25">
        <f t="shared" si="34"/>
        <v>86614.737999999998</v>
      </c>
      <c r="L2180" s="25">
        <v>3.8091949810911436</v>
      </c>
      <c r="M2180" s="24">
        <v>1299354.5</v>
      </c>
      <c r="N2180" s="25">
        <f>IFERROR(T_reg.root.SK[[#This Row],[Price]]/T_reg.root.SK[[#This Row],[Starch content]],"")</f>
        <v>15.0015404999551</v>
      </c>
    </row>
    <row r="2181" spans="1:14">
      <c r="A2181" s="21">
        <v>2024</v>
      </c>
      <c r="B2181" s="21" t="s">
        <v>17</v>
      </c>
      <c r="C2181" s="21" t="s">
        <v>1145</v>
      </c>
      <c r="D2181" s="21" t="s">
        <v>35</v>
      </c>
      <c r="E2181" s="17" t="s">
        <v>171</v>
      </c>
      <c r="F2181" s="18" t="s">
        <v>105</v>
      </c>
      <c r="G2181" s="18" t="s">
        <v>48</v>
      </c>
      <c r="H2181" s="24">
        <v>8300</v>
      </c>
      <c r="I2181" s="24">
        <f>T_reg.root.SK[[#This Row],[Volume, kg]]/1000</f>
        <v>8.3000000000000007</v>
      </c>
      <c r="J2181" s="25">
        <v>0.26949999999999996</v>
      </c>
      <c r="K2181" s="25">
        <f t="shared" si="34"/>
        <v>2236.85</v>
      </c>
      <c r="L2181" s="25">
        <v>3.8</v>
      </c>
      <c r="M2181" s="24">
        <v>31540</v>
      </c>
      <c r="N2181" s="25">
        <f>IFERROR(T_reg.root.SK[[#This Row],[Price]]/T_reg.root.SK[[#This Row],[Starch content]],"")</f>
        <v>14.100185528756958</v>
      </c>
    </row>
    <row r="2182" spans="1:14">
      <c r="A2182" s="21">
        <v>2024</v>
      </c>
      <c r="B2182" s="21" t="s">
        <v>17</v>
      </c>
      <c r="C2182" s="21" t="s">
        <v>1145</v>
      </c>
      <c r="D2182" s="21" t="s">
        <v>35</v>
      </c>
      <c r="E2182" s="17" t="s">
        <v>640</v>
      </c>
      <c r="F2182" s="18" t="s">
        <v>105</v>
      </c>
      <c r="G2182" s="18" t="s">
        <v>48</v>
      </c>
      <c r="H2182" s="24">
        <v>9340</v>
      </c>
      <c r="I2182" s="24">
        <f>T_reg.root.SK[[#This Row],[Volume, kg]]/1000</f>
        <v>9.34</v>
      </c>
      <c r="J2182" s="25">
        <v>0.192</v>
      </c>
      <c r="K2182" s="25">
        <f t="shared" si="34"/>
        <v>1793.28</v>
      </c>
      <c r="L2182" s="25">
        <v>3.45</v>
      </c>
      <c r="M2182" s="24">
        <v>32223</v>
      </c>
      <c r="N2182" s="25">
        <f>IFERROR(T_reg.root.SK[[#This Row],[Price]]/T_reg.root.SK[[#This Row],[Starch content]],"")</f>
        <v>17.96875</v>
      </c>
    </row>
    <row r="2183" spans="1:14">
      <c r="A2183" s="21">
        <v>2024</v>
      </c>
      <c r="B2183" s="21" t="s">
        <v>17</v>
      </c>
      <c r="C2183" s="21" t="s">
        <v>1145</v>
      </c>
      <c r="D2183" s="21" t="s">
        <v>35</v>
      </c>
      <c r="E2183" s="17" t="s">
        <v>259</v>
      </c>
      <c r="F2183" s="18" t="s">
        <v>105</v>
      </c>
      <c r="G2183" s="18" t="s">
        <v>48</v>
      </c>
      <c r="H2183" s="24">
        <v>35810</v>
      </c>
      <c r="I2183" s="24">
        <f>T_reg.root.SK[[#This Row],[Volume, kg]]/1000</f>
        <v>35.81</v>
      </c>
      <c r="J2183" s="25">
        <v>0.25445322535604581</v>
      </c>
      <c r="K2183" s="25">
        <f t="shared" si="34"/>
        <v>9111.9700000000012</v>
      </c>
      <c r="L2183" s="25">
        <v>3.9032393186260821</v>
      </c>
      <c r="M2183" s="24">
        <v>139775</v>
      </c>
      <c r="N2183" s="25">
        <f>IFERROR(T_reg.root.SK[[#This Row],[Price]]/T_reg.root.SK[[#This Row],[Starch content]],"")</f>
        <v>15.339712488078867</v>
      </c>
    </row>
    <row r="2184" spans="1:14">
      <c r="A2184" s="21">
        <v>2024</v>
      </c>
      <c r="B2184" s="21" t="s">
        <v>17</v>
      </c>
      <c r="C2184" s="21" t="s">
        <v>1145</v>
      </c>
      <c r="D2184" s="21" t="s">
        <v>35</v>
      </c>
      <c r="E2184" s="17" t="s">
        <v>683</v>
      </c>
      <c r="F2184" s="18" t="s">
        <v>105</v>
      </c>
      <c r="G2184" s="18" t="s">
        <v>48</v>
      </c>
      <c r="H2184" s="24">
        <v>61810</v>
      </c>
      <c r="I2184" s="24">
        <f>T_reg.root.SK[[#This Row],[Volume, kg]]/1000</f>
        <v>61.81</v>
      </c>
      <c r="J2184" s="25">
        <v>0.27829999999999999</v>
      </c>
      <c r="K2184" s="25">
        <f t="shared" si="34"/>
        <v>17201.722999999998</v>
      </c>
      <c r="L2184" s="25">
        <v>3.880828344928005</v>
      </c>
      <c r="M2184" s="24">
        <v>239874</v>
      </c>
      <c r="N2184" s="25">
        <f>IFERROR(T_reg.root.SK[[#This Row],[Price]]/T_reg.root.SK[[#This Row],[Starch content]],"")</f>
        <v>13.944765881882878</v>
      </c>
    </row>
    <row r="2185" spans="1:14">
      <c r="A2185" s="21">
        <v>2024</v>
      </c>
      <c r="B2185" s="21" t="s">
        <v>17</v>
      </c>
      <c r="C2185" s="21" t="s">
        <v>1145</v>
      </c>
      <c r="D2185" s="21" t="s">
        <v>35</v>
      </c>
      <c r="E2185" s="17" t="s">
        <v>630</v>
      </c>
      <c r="F2185" s="18" t="s">
        <v>105</v>
      </c>
      <c r="G2185" s="18" t="s">
        <v>48</v>
      </c>
      <c r="H2185" s="24">
        <v>7110</v>
      </c>
      <c r="I2185" s="24">
        <f>T_reg.root.SK[[#This Row],[Volume, kg]]/1000</f>
        <v>7.11</v>
      </c>
      <c r="J2185" s="25">
        <v>0.29699999999999999</v>
      </c>
      <c r="K2185" s="25">
        <f t="shared" si="34"/>
        <v>2111.67</v>
      </c>
      <c r="L2185" s="25">
        <v>3.95</v>
      </c>
      <c r="M2185" s="24">
        <v>28084.5</v>
      </c>
      <c r="N2185" s="25">
        <f>IFERROR(T_reg.root.SK[[#This Row],[Price]]/T_reg.root.SK[[#This Row],[Starch content]],"")</f>
        <v>13.299663299663301</v>
      </c>
    </row>
    <row r="2186" spans="1:14">
      <c r="A2186" s="21">
        <v>2024</v>
      </c>
      <c r="B2186" s="21" t="s">
        <v>17</v>
      </c>
      <c r="C2186" s="21" t="s">
        <v>1145</v>
      </c>
      <c r="D2186" s="21" t="s">
        <v>35</v>
      </c>
      <c r="E2186" s="17" t="s">
        <v>112</v>
      </c>
      <c r="F2186" s="18" t="s">
        <v>105</v>
      </c>
      <c r="G2186" s="18" t="s">
        <v>48</v>
      </c>
      <c r="H2186" s="24">
        <v>29110</v>
      </c>
      <c r="I2186" s="24">
        <f>T_reg.root.SK[[#This Row],[Volume, kg]]/1000</f>
        <v>29.11</v>
      </c>
      <c r="J2186" s="25">
        <v>0.267609927859842</v>
      </c>
      <c r="K2186" s="25">
        <f t="shared" si="34"/>
        <v>7790.1250000000009</v>
      </c>
      <c r="L2186" s="25">
        <v>3.9682239780144282</v>
      </c>
      <c r="M2186" s="24">
        <v>115515</v>
      </c>
      <c r="N2186" s="25">
        <f>IFERROR(T_reg.root.SK[[#This Row],[Price]]/T_reg.root.SK[[#This Row],[Starch content]],"")</f>
        <v>14.828388504677395</v>
      </c>
    </row>
    <row r="2187" spans="1:14">
      <c r="A2187" s="21">
        <v>2024</v>
      </c>
      <c r="B2187" s="21" t="s">
        <v>17</v>
      </c>
      <c r="C2187" s="21" t="s">
        <v>1145</v>
      </c>
      <c r="D2187" s="21" t="s">
        <v>35</v>
      </c>
      <c r="E2187" s="17" t="s">
        <v>236</v>
      </c>
      <c r="F2187" s="18" t="s">
        <v>105</v>
      </c>
      <c r="G2187" s="18" t="s">
        <v>48</v>
      </c>
      <c r="H2187" s="24">
        <v>29110</v>
      </c>
      <c r="I2187" s="24">
        <f>T_reg.root.SK[[#This Row],[Volume, kg]]/1000</f>
        <v>29.11</v>
      </c>
      <c r="J2187" s="25">
        <v>0.29255891446238402</v>
      </c>
      <c r="K2187" s="25">
        <f t="shared" si="34"/>
        <v>8516.39</v>
      </c>
      <c r="L2187" s="25">
        <v>4.0773102026794916</v>
      </c>
      <c r="M2187" s="24">
        <v>118690.5</v>
      </c>
      <c r="N2187" s="25">
        <f>IFERROR(T_reg.root.SK[[#This Row],[Price]]/T_reg.root.SK[[#This Row],[Starch content]],"")</f>
        <v>13.936714969605669</v>
      </c>
    </row>
    <row r="2188" spans="1:14">
      <c r="A2188" s="21">
        <v>2024</v>
      </c>
      <c r="B2188" s="21" t="s">
        <v>17</v>
      </c>
      <c r="C2188" s="21" t="s">
        <v>1145</v>
      </c>
      <c r="D2188" s="21" t="s">
        <v>35</v>
      </c>
      <c r="E2188" s="17" t="s">
        <v>563</v>
      </c>
      <c r="F2188" s="18" t="s">
        <v>105</v>
      </c>
      <c r="G2188" s="18" t="s">
        <v>48</v>
      </c>
      <c r="H2188" s="24">
        <v>17070</v>
      </c>
      <c r="I2188" s="24">
        <f>T_reg.root.SK[[#This Row],[Volume, kg]]/1000</f>
        <v>17.07</v>
      </c>
      <c r="J2188" s="25">
        <v>0.28940000000000005</v>
      </c>
      <c r="K2188" s="25">
        <f t="shared" si="34"/>
        <v>4940.0580000000009</v>
      </c>
      <c r="L2188" s="25">
        <v>3.9536613942589338</v>
      </c>
      <c r="M2188" s="24">
        <v>67489</v>
      </c>
      <c r="N2188" s="25">
        <f>IFERROR(T_reg.root.SK[[#This Row],[Price]]/T_reg.root.SK[[#This Row],[Starch content]],"")</f>
        <v>13.661580491565077</v>
      </c>
    </row>
    <row r="2189" spans="1:14">
      <c r="A2189" s="21">
        <v>2024</v>
      </c>
      <c r="B2189" s="21" t="s">
        <v>17</v>
      </c>
      <c r="C2189" s="21" t="s">
        <v>1145</v>
      </c>
      <c r="D2189" s="21" t="s">
        <v>35</v>
      </c>
      <c r="E2189" s="17" t="s">
        <v>129</v>
      </c>
      <c r="F2189" s="18" t="s">
        <v>105</v>
      </c>
      <c r="G2189" s="18" t="s">
        <v>48</v>
      </c>
      <c r="H2189" s="24">
        <v>90380</v>
      </c>
      <c r="I2189" s="24">
        <f>T_reg.root.SK[[#This Row],[Volume, kg]]/1000</f>
        <v>90.38</v>
      </c>
      <c r="J2189" s="25">
        <v>0.26738909050674931</v>
      </c>
      <c r="K2189" s="25">
        <f t="shared" si="34"/>
        <v>24166.626000000004</v>
      </c>
      <c r="L2189" s="25">
        <v>3.8235505642841336</v>
      </c>
      <c r="M2189" s="24">
        <v>345572.5</v>
      </c>
      <c r="N2189" s="25">
        <f>IFERROR(T_reg.root.SK[[#This Row],[Price]]/T_reg.root.SK[[#This Row],[Starch content]],"")</f>
        <v>14.299575786872357</v>
      </c>
    </row>
    <row r="2190" spans="1:14">
      <c r="A2190" s="21">
        <v>2024</v>
      </c>
      <c r="B2190" s="21" t="s">
        <v>17</v>
      </c>
      <c r="C2190" s="21" t="s">
        <v>1145</v>
      </c>
      <c r="D2190" s="21" t="s">
        <v>35</v>
      </c>
      <c r="E2190" s="17" t="s">
        <v>134</v>
      </c>
      <c r="F2190" s="18" t="s">
        <v>105</v>
      </c>
      <c r="G2190" s="18" t="s">
        <v>48</v>
      </c>
      <c r="H2190" s="24">
        <v>87680</v>
      </c>
      <c r="I2190" s="24">
        <f>T_reg.root.SK[[#This Row],[Volume, kg]]/1000</f>
        <v>87.68</v>
      </c>
      <c r="J2190" s="25">
        <v>0.25768916514598544</v>
      </c>
      <c r="K2190" s="25">
        <f t="shared" si="34"/>
        <v>22594.186000000005</v>
      </c>
      <c r="L2190" s="25">
        <v>3.8048984945255473</v>
      </c>
      <c r="M2190" s="24">
        <v>333613.5</v>
      </c>
      <c r="N2190" s="25">
        <f>IFERROR(T_reg.root.SK[[#This Row],[Price]]/T_reg.root.SK[[#This Row],[Starch content]],"")</f>
        <v>14.765457804056314</v>
      </c>
    </row>
    <row r="2191" spans="1:14">
      <c r="A2191" s="21">
        <v>2024</v>
      </c>
      <c r="B2191" s="21" t="s">
        <v>17</v>
      </c>
      <c r="C2191" s="21" t="s">
        <v>1145</v>
      </c>
      <c r="D2191" s="21" t="s">
        <v>35</v>
      </c>
      <c r="E2191" s="17" t="s">
        <v>138</v>
      </c>
      <c r="F2191" s="18" t="s">
        <v>105</v>
      </c>
      <c r="G2191" s="18" t="s">
        <v>48</v>
      </c>
      <c r="H2191" s="24">
        <v>354620</v>
      </c>
      <c r="I2191" s="24">
        <f>T_reg.root.SK[[#This Row],[Volume, kg]]/1000</f>
        <v>354.62</v>
      </c>
      <c r="J2191" s="25">
        <v>0.26711383452709941</v>
      </c>
      <c r="K2191" s="25">
        <f t="shared" si="34"/>
        <v>94723.907999999996</v>
      </c>
      <c r="L2191" s="25">
        <v>3.8908084710394224</v>
      </c>
      <c r="M2191" s="24">
        <v>1379758.5</v>
      </c>
      <c r="N2191" s="25">
        <f>IFERROR(T_reg.root.SK[[#This Row],[Price]]/T_reg.root.SK[[#This Row],[Starch content]],"")</f>
        <v>14.566106161920601</v>
      </c>
    </row>
    <row r="2192" spans="1:14">
      <c r="A2192" s="21">
        <v>2024</v>
      </c>
      <c r="B2192" s="21" t="s">
        <v>17</v>
      </c>
      <c r="C2192" s="21" t="s">
        <v>1145</v>
      </c>
      <c r="D2192" s="21" t="s">
        <v>35</v>
      </c>
      <c r="E2192" s="17" t="s">
        <v>243</v>
      </c>
      <c r="F2192" s="18" t="s">
        <v>105</v>
      </c>
      <c r="G2192" s="18" t="s">
        <v>48</v>
      </c>
      <c r="H2192" s="24">
        <v>6870</v>
      </c>
      <c r="I2192" s="24">
        <f>T_reg.root.SK[[#This Row],[Volume, kg]]/1000</f>
        <v>6.87</v>
      </c>
      <c r="J2192" s="25">
        <v>0.26250000000000001</v>
      </c>
      <c r="K2192" s="25">
        <f t="shared" si="34"/>
        <v>1803.375</v>
      </c>
      <c r="L2192" s="25">
        <v>3.7783842794759823</v>
      </c>
      <c r="M2192" s="24">
        <v>25957.5</v>
      </c>
      <c r="N2192" s="25">
        <f>IFERROR(T_reg.root.SK[[#This Row],[Price]]/T_reg.root.SK[[#This Row],[Starch content]],"")</f>
        <v>14.393844874194217</v>
      </c>
    </row>
    <row r="2193" spans="1:14">
      <c r="A2193" s="21">
        <v>2024</v>
      </c>
      <c r="B2193" s="21" t="s">
        <v>17</v>
      </c>
      <c r="C2193" s="21" t="s">
        <v>1145</v>
      </c>
      <c r="D2193" s="21" t="s">
        <v>35</v>
      </c>
      <c r="E2193" s="17" t="s">
        <v>141</v>
      </c>
      <c r="F2193" s="18" t="s">
        <v>105</v>
      </c>
      <c r="G2193" s="18" t="s">
        <v>48</v>
      </c>
      <c r="H2193" s="24">
        <v>54070</v>
      </c>
      <c r="I2193" s="24">
        <f>T_reg.root.SK[[#This Row],[Volume, kg]]/1000</f>
        <v>54.07</v>
      </c>
      <c r="J2193" s="25">
        <v>0.30729999999999996</v>
      </c>
      <c r="K2193" s="25">
        <f t="shared" si="34"/>
        <v>16615.710999999999</v>
      </c>
      <c r="L2193" s="25">
        <v>4.0167375624190864</v>
      </c>
      <c r="M2193" s="24">
        <v>217185</v>
      </c>
      <c r="N2193" s="25">
        <f>IFERROR(T_reg.root.SK[[#This Row],[Price]]/T_reg.root.SK[[#This Row],[Starch content]],"")</f>
        <v>13.07106268278258</v>
      </c>
    </row>
    <row r="2194" spans="1:14">
      <c r="A2194" s="21">
        <v>2024</v>
      </c>
      <c r="B2194" s="21" t="s">
        <v>17</v>
      </c>
      <c r="C2194" s="21" t="s">
        <v>1145</v>
      </c>
      <c r="D2194" s="21" t="s">
        <v>35</v>
      </c>
      <c r="E2194" s="17" t="s">
        <v>322</v>
      </c>
      <c r="F2194" s="18" t="s">
        <v>105</v>
      </c>
      <c r="G2194" s="18" t="s">
        <v>48</v>
      </c>
      <c r="H2194" s="24">
        <v>81300</v>
      </c>
      <c r="I2194" s="24">
        <f>T_reg.root.SK[[#This Row],[Volume, kg]]/1000</f>
        <v>81.3</v>
      </c>
      <c r="J2194" s="25">
        <v>0.26900000000000002</v>
      </c>
      <c r="K2194" s="25">
        <f t="shared" si="34"/>
        <v>21869.7</v>
      </c>
      <c r="L2194" s="25">
        <v>3.8246309963099629</v>
      </c>
      <c r="M2194" s="24">
        <v>310942.5</v>
      </c>
      <c r="N2194" s="25">
        <f>IFERROR(T_reg.root.SK[[#This Row],[Price]]/T_reg.root.SK[[#This Row],[Starch content]],"")</f>
        <v>14.21795909408908</v>
      </c>
    </row>
    <row r="2195" spans="1:14">
      <c r="A2195" s="21">
        <v>2024</v>
      </c>
      <c r="B2195" s="21" t="s">
        <v>17</v>
      </c>
      <c r="C2195" s="21" t="s">
        <v>1145</v>
      </c>
      <c r="D2195" s="21" t="s">
        <v>35</v>
      </c>
      <c r="E2195" s="17" t="s">
        <v>159</v>
      </c>
      <c r="F2195" s="18" t="s">
        <v>105</v>
      </c>
      <c r="G2195" s="18" t="s">
        <v>48</v>
      </c>
      <c r="H2195" s="24">
        <v>991620</v>
      </c>
      <c r="I2195" s="24">
        <f>T_reg.root.SK[[#This Row],[Volume, kg]]/1000</f>
        <v>991.62</v>
      </c>
      <c r="J2195" s="25">
        <v>0.26349216332869446</v>
      </c>
      <c r="K2195" s="25">
        <f t="shared" si="34"/>
        <v>261284.09900000002</v>
      </c>
      <c r="L2195" s="25">
        <v>3.8713015066255219</v>
      </c>
      <c r="M2195" s="24">
        <v>3838860</v>
      </c>
      <c r="N2195" s="25">
        <f>IFERROR(T_reg.root.SK[[#This Row],[Price]]/T_reg.root.SK[[#This Row],[Starch content]],"")</f>
        <v>14.692283283568663</v>
      </c>
    </row>
    <row r="2196" spans="1:14">
      <c r="A2196" s="21">
        <v>2024</v>
      </c>
      <c r="B2196" s="21" t="s">
        <v>17</v>
      </c>
      <c r="C2196" s="21" t="s">
        <v>1145</v>
      </c>
      <c r="D2196" s="21" t="s">
        <v>35</v>
      </c>
      <c r="E2196" s="17" t="s">
        <v>176</v>
      </c>
      <c r="F2196" s="18" t="s">
        <v>105</v>
      </c>
      <c r="G2196" s="18" t="s">
        <v>48</v>
      </c>
      <c r="H2196" s="24">
        <v>28320</v>
      </c>
      <c r="I2196" s="24">
        <f>T_reg.root.SK[[#This Row],[Volume, kg]]/1000</f>
        <v>28.32</v>
      </c>
      <c r="J2196" s="25">
        <v>0.26979999999999998</v>
      </c>
      <c r="K2196" s="25">
        <f t="shared" si="34"/>
        <v>7640.7359999999999</v>
      </c>
      <c r="L2196" s="25">
        <v>3.8150776836158191</v>
      </c>
      <c r="M2196" s="24">
        <v>108043</v>
      </c>
      <c r="N2196" s="25">
        <f>IFERROR(T_reg.root.SK[[#This Row],[Price]]/T_reg.root.SK[[#This Row],[Starch content]],"")</f>
        <v>14.140391710955594</v>
      </c>
    </row>
    <row r="2197" spans="1:14">
      <c r="A2197" s="21">
        <v>2024</v>
      </c>
      <c r="B2197" s="21" t="s">
        <v>17</v>
      </c>
      <c r="C2197" s="21" t="s">
        <v>1145</v>
      </c>
      <c r="D2197" s="21" t="s">
        <v>35</v>
      </c>
      <c r="E2197" s="17" t="s">
        <v>684</v>
      </c>
      <c r="F2197" s="18" t="s">
        <v>105</v>
      </c>
      <c r="G2197" s="18" t="s">
        <v>48</v>
      </c>
      <c r="H2197" s="24">
        <v>5050</v>
      </c>
      <c r="I2197" s="24">
        <f>T_reg.root.SK[[#This Row],[Volume, kg]]/1000</f>
        <v>5.05</v>
      </c>
      <c r="J2197" s="25">
        <v>0.27550000000000002</v>
      </c>
      <c r="K2197" s="25">
        <f t="shared" si="34"/>
        <v>1391.2750000000001</v>
      </c>
      <c r="L2197" s="25">
        <v>3.9</v>
      </c>
      <c r="M2197" s="24">
        <v>19695</v>
      </c>
      <c r="N2197" s="25">
        <f>IFERROR(T_reg.root.SK[[#This Row],[Price]]/T_reg.root.SK[[#This Row],[Starch content]],"")</f>
        <v>14.156079854809436</v>
      </c>
    </row>
    <row r="2198" spans="1:14">
      <c r="A2198" s="21">
        <v>2024</v>
      </c>
      <c r="B2198" s="21" t="s">
        <v>17</v>
      </c>
      <c r="C2198" s="21" t="s">
        <v>1145</v>
      </c>
      <c r="D2198" s="21" t="s">
        <v>35</v>
      </c>
      <c r="E2198" s="17" t="s">
        <v>108</v>
      </c>
      <c r="F2198" s="18" t="s">
        <v>105</v>
      </c>
      <c r="G2198" s="18" t="s">
        <v>48</v>
      </c>
      <c r="H2198" s="24">
        <v>120680</v>
      </c>
      <c r="I2198" s="24">
        <f>T_reg.root.SK[[#This Row],[Volume, kg]]/1000</f>
        <v>120.68</v>
      </c>
      <c r="J2198" s="25">
        <v>0.25529999999999997</v>
      </c>
      <c r="K2198" s="25">
        <f t="shared" si="34"/>
        <v>30809.603999999996</v>
      </c>
      <c r="L2198" s="25">
        <v>3.8186194895591647</v>
      </c>
      <c r="M2198" s="24">
        <v>460831</v>
      </c>
      <c r="N2198" s="25">
        <f>IFERROR(T_reg.root.SK[[#This Row],[Price]]/T_reg.root.SK[[#This Row],[Starch content]],"")</f>
        <v>14.957381471050393</v>
      </c>
    </row>
    <row r="2199" spans="1:14">
      <c r="A2199" s="21">
        <v>2024</v>
      </c>
      <c r="B2199" s="21" t="s">
        <v>17</v>
      </c>
      <c r="C2199" s="21" t="s">
        <v>1145</v>
      </c>
      <c r="D2199" s="21" t="s">
        <v>35</v>
      </c>
      <c r="E2199" s="17" t="s">
        <v>685</v>
      </c>
      <c r="F2199" s="18" t="s">
        <v>105</v>
      </c>
      <c r="G2199" s="18" t="s">
        <v>48</v>
      </c>
      <c r="H2199" s="24">
        <v>39000</v>
      </c>
      <c r="I2199" s="24">
        <f>T_reg.root.SK[[#This Row],[Volume, kg]]/1000</f>
        <v>39</v>
      </c>
      <c r="J2199" s="25">
        <v>0.24440000000000001</v>
      </c>
      <c r="K2199" s="25">
        <f t="shared" si="34"/>
        <v>9531.6</v>
      </c>
      <c r="L2199" s="25">
        <v>3.7112435897435896</v>
      </c>
      <c r="M2199" s="24">
        <v>144738.5</v>
      </c>
      <c r="N2199" s="25">
        <f>IFERROR(T_reg.root.SK[[#This Row],[Price]]/T_reg.root.SK[[#This Row],[Starch content]],"")</f>
        <v>15.18512107096395</v>
      </c>
    </row>
    <row r="2200" spans="1:14">
      <c r="A2200" s="21">
        <v>2024</v>
      </c>
      <c r="B2200" s="21" t="s">
        <v>17</v>
      </c>
      <c r="C2200" s="21" t="s">
        <v>1145</v>
      </c>
      <c r="D2200" s="21" t="s">
        <v>35</v>
      </c>
      <c r="E2200" s="17" t="s">
        <v>116</v>
      </c>
      <c r="F2200" s="18" t="s">
        <v>105</v>
      </c>
      <c r="G2200" s="18" t="s">
        <v>48</v>
      </c>
      <c r="H2200" s="24">
        <v>33080</v>
      </c>
      <c r="I2200" s="24">
        <f>T_reg.root.SK[[#This Row],[Volume, kg]]/1000</f>
        <v>33.08</v>
      </c>
      <c r="J2200" s="25">
        <v>0.26019999999999999</v>
      </c>
      <c r="K2200" s="25">
        <f t="shared" si="34"/>
        <v>8607.4159999999993</v>
      </c>
      <c r="L2200" s="25">
        <v>3.7969619105199515</v>
      </c>
      <c r="M2200" s="24">
        <v>125603.5</v>
      </c>
      <c r="N2200" s="25">
        <f>IFERROR(T_reg.root.SK[[#This Row],[Price]]/T_reg.root.SK[[#This Row],[Starch content]],"")</f>
        <v>14.592474675326486</v>
      </c>
    </row>
    <row r="2201" spans="1:14">
      <c r="A2201" s="21">
        <v>2024</v>
      </c>
      <c r="B2201" s="21" t="s">
        <v>17</v>
      </c>
      <c r="C2201" s="21" t="s">
        <v>1145</v>
      </c>
      <c r="D2201" s="21" t="s">
        <v>35</v>
      </c>
      <c r="E2201" s="17" t="s">
        <v>237</v>
      </c>
      <c r="F2201" s="18" t="s">
        <v>105</v>
      </c>
      <c r="G2201" s="18" t="s">
        <v>48</v>
      </c>
      <c r="H2201" s="24">
        <v>29630</v>
      </c>
      <c r="I2201" s="24">
        <f>T_reg.root.SK[[#This Row],[Volume, kg]]/1000</f>
        <v>29.63</v>
      </c>
      <c r="J2201" s="25">
        <v>0.23615045561930478</v>
      </c>
      <c r="K2201" s="25">
        <f t="shared" si="34"/>
        <v>6997.1380000000008</v>
      </c>
      <c r="L2201" s="25">
        <v>3.7317583530205871</v>
      </c>
      <c r="M2201" s="24">
        <v>110572</v>
      </c>
      <c r="N2201" s="25">
        <f>IFERROR(T_reg.root.SK[[#This Row],[Price]]/T_reg.root.SK[[#This Row],[Starch content]],"")</f>
        <v>15.802460949033732</v>
      </c>
    </row>
    <row r="2202" spans="1:14">
      <c r="A2202" s="21">
        <v>2024</v>
      </c>
      <c r="B2202" s="21" t="s">
        <v>17</v>
      </c>
      <c r="C2202" s="21" t="s">
        <v>1145</v>
      </c>
      <c r="D2202" s="21" t="s">
        <v>35</v>
      </c>
      <c r="E2202" s="17" t="s">
        <v>115</v>
      </c>
      <c r="F2202" s="18" t="s">
        <v>105</v>
      </c>
      <c r="G2202" s="18" t="s">
        <v>48</v>
      </c>
      <c r="H2202" s="24">
        <v>19360</v>
      </c>
      <c r="I2202" s="24">
        <f>T_reg.root.SK[[#This Row],[Volume, kg]]/1000</f>
        <v>19.36</v>
      </c>
      <c r="J2202" s="25">
        <v>0.24632644628099171</v>
      </c>
      <c r="K2202" s="25">
        <f t="shared" si="34"/>
        <v>4768.8799999999992</v>
      </c>
      <c r="L2202" s="25">
        <v>3.8551652892561985</v>
      </c>
      <c r="M2202" s="24">
        <v>74636</v>
      </c>
      <c r="N2202" s="25">
        <f>IFERROR(T_reg.root.SK[[#This Row],[Price]]/T_reg.root.SK[[#This Row],[Starch content]],"")</f>
        <v>15.650634949925351</v>
      </c>
    </row>
    <row r="2203" spans="1:14">
      <c r="A2203" s="21">
        <v>2024</v>
      </c>
      <c r="B2203" s="21" t="s">
        <v>17</v>
      </c>
      <c r="C2203" s="21" t="s">
        <v>1145</v>
      </c>
      <c r="D2203" s="21" t="s">
        <v>35</v>
      </c>
      <c r="E2203" s="17" t="s">
        <v>118</v>
      </c>
      <c r="F2203" s="18" t="s">
        <v>105</v>
      </c>
      <c r="G2203" s="18" t="s">
        <v>48</v>
      </c>
      <c r="H2203" s="24">
        <v>298080</v>
      </c>
      <c r="I2203" s="24">
        <f>T_reg.root.SK[[#This Row],[Volume, kg]]/1000</f>
        <v>298.08</v>
      </c>
      <c r="J2203" s="25">
        <v>0.26962357756307032</v>
      </c>
      <c r="K2203" s="25">
        <f t="shared" si="34"/>
        <v>80369.395999999993</v>
      </c>
      <c r="L2203" s="25">
        <v>3.8963633923778853</v>
      </c>
      <c r="M2203" s="24">
        <v>1161428</v>
      </c>
      <c r="N2203" s="25">
        <f>IFERROR(T_reg.root.SK[[#This Row],[Price]]/T_reg.root.SK[[#This Row],[Starch content]],"")</f>
        <v>14.451122663656699</v>
      </c>
    </row>
    <row r="2204" spans="1:14">
      <c r="A2204" s="21">
        <v>2024</v>
      </c>
      <c r="B2204" s="21" t="s">
        <v>17</v>
      </c>
      <c r="C2204" s="21" t="s">
        <v>1145</v>
      </c>
      <c r="D2204" s="21" t="s">
        <v>35</v>
      </c>
      <c r="E2204" s="17" t="s">
        <v>122</v>
      </c>
      <c r="F2204" s="18" t="s">
        <v>105</v>
      </c>
      <c r="G2204" s="18" t="s">
        <v>48</v>
      </c>
      <c r="H2204" s="24">
        <v>132630</v>
      </c>
      <c r="I2204" s="24">
        <f>T_reg.root.SK[[#This Row],[Volume, kg]]/1000</f>
        <v>132.63</v>
      </c>
      <c r="J2204" s="25">
        <v>0.27660000000000001</v>
      </c>
      <c r="K2204" s="25">
        <f t="shared" si="34"/>
        <v>36685.457999999999</v>
      </c>
      <c r="L2204" s="25">
        <v>3.8690982432330543</v>
      </c>
      <c r="M2204" s="24">
        <v>513158.5</v>
      </c>
      <c r="N2204" s="25">
        <f>IFERROR(T_reg.root.SK[[#This Row],[Price]]/T_reg.root.SK[[#This Row],[Starch content]],"")</f>
        <v>13.988063063026226</v>
      </c>
    </row>
    <row r="2205" spans="1:14">
      <c r="A2205" s="21">
        <v>2024</v>
      </c>
      <c r="B2205" s="21" t="s">
        <v>17</v>
      </c>
      <c r="C2205" s="21" t="s">
        <v>1145</v>
      </c>
      <c r="D2205" s="21" t="s">
        <v>35</v>
      </c>
      <c r="E2205" s="17" t="s">
        <v>124</v>
      </c>
      <c r="F2205" s="18" t="s">
        <v>105</v>
      </c>
      <c r="G2205" s="18" t="s">
        <v>48</v>
      </c>
      <c r="H2205" s="24">
        <v>137490</v>
      </c>
      <c r="I2205" s="24">
        <f>T_reg.root.SK[[#This Row],[Volume, kg]]/1000</f>
        <v>137.49</v>
      </c>
      <c r="J2205" s="25">
        <v>0.26430000000000003</v>
      </c>
      <c r="K2205" s="25">
        <f t="shared" si="34"/>
        <v>36338.607000000004</v>
      </c>
      <c r="L2205" s="25">
        <v>3.7972543457706016</v>
      </c>
      <c r="M2205" s="24">
        <v>522084.5</v>
      </c>
      <c r="N2205" s="25">
        <f>IFERROR(T_reg.root.SK[[#This Row],[Price]]/T_reg.root.SK[[#This Row],[Starch content]],"")</f>
        <v>14.367212810331445</v>
      </c>
    </row>
    <row r="2206" spans="1:14">
      <c r="A2206" s="21">
        <v>2024</v>
      </c>
      <c r="B2206" s="21" t="s">
        <v>17</v>
      </c>
      <c r="C2206" s="21" t="s">
        <v>1145</v>
      </c>
      <c r="D2206" s="21" t="s">
        <v>35</v>
      </c>
      <c r="E2206" s="17" t="s">
        <v>239</v>
      </c>
      <c r="F2206" s="18" t="s">
        <v>105</v>
      </c>
      <c r="G2206" s="18" t="s">
        <v>48</v>
      </c>
      <c r="H2206" s="24">
        <v>60450</v>
      </c>
      <c r="I2206" s="24">
        <f>T_reg.root.SK[[#This Row],[Volume, kg]]/1000</f>
        <v>60.45</v>
      </c>
      <c r="J2206" s="25">
        <v>0.25193589743589745</v>
      </c>
      <c r="K2206" s="25">
        <f t="shared" si="34"/>
        <v>15229.525000000001</v>
      </c>
      <c r="L2206" s="25">
        <v>3.7827626137303558</v>
      </c>
      <c r="M2206" s="24">
        <v>228668</v>
      </c>
      <c r="N2206" s="25">
        <f>IFERROR(T_reg.root.SK[[#This Row],[Price]]/T_reg.root.SK[[#This Row],[Starch content]],"")</f>
        <v>15.014782141924977</v>
      </c>
    </row>
    <row r="2207" spans="1:14">
      <c r="A2207" s="21">
        <v>2024</v>
      </c>
      <c r="B2207" s="21" t="s">
        <v>17</v>
      </c>
      <c r="C2207" s="21" t="s">
        <v>1145</v>
      </c>
      <c r="D2207" s="21" t="s">
        <v>35</v>
      </c>
      <c r="E2207" s="17" t="s">
        <v>240</v>
      </c>
      <c r="F2207" s="18" t="s">
        <v>105</v>
      </c>
      <c r="G2207" s="18" t="s">
        <v>48</v>
      </c>
      <c r="H2207" s="24">
        <v>23230</v>
      </c>
      <c r="I2207" s="24">
        <f>T_reg.root.SK[[#This Row],[Volume, kg]]/1000</f>
        <v>23.23</v>
      </c>
      <c r="J2207" s="25">
        <v>0.25489999999999996</v>
      </c>
      <c r="K2207" s="25">
        <f t="shared" si="34"/>
        <v>5921.3269999999993</v>
      </c>
      <c r="L2207" s="25">
        <v>3.7345027981058974</v>
      </c>
      <c r="M2207" s="24">
        <v>86752.5</v>
      </c>
      <c r="N2207" s="25">
        <f>IFERROR(T_reg.root.SK[[#This Row],[Price]]/T_reg.root.SK[[#This Row],[Starch content]],"")</f>
        <v>14.650854445295794</v>
      </c>
    </row>
    <row r="2208" spans="1:14">
      <c r="A2208" s="21">
        <v>2024</v>
      </c>
      <c r="B2208" s="21" t="s">
        <v>17</v>
      </c>
      <c r="C2208" s="21" t="s">
        <v>1145</v>
      </c>
      <c r="D2208" s="21" t="s">
        <v>35</v>
      </c>
      <c r="E2208" s="17" t="s">
        <v>603</v>
      </c>
      <c r="F2208" s="18" t="s">
        <v>105</v>
      </c>
      <c r="G2208" s="18" t="s">
        <v>48</v>
      </c>
      <c r="H2208" s="24">
        <v>44560</v>
      </c>
      <c r="I2208" s="24">
        <f>T_reg.root.SK[[#This Row],[Volume, kg]]/1000</f>
        <v>44.56</v>
      </c>
      <c r="J2208" s="25">
        <v>0.27917917414721721</v>
      </c>
      <c r="K2208" s="25">
        <f t="shared" si="34"/>
        <v>12440.223999999998</v>
      </c>
      <c r="L2208" s="25">
        <v>3.8875673249551168</v>
      </c>
      <c r="M2208" s="24">
        <v>173230</v>
      </c>
      <c r="N2208" s="25">
        <f>IFERROR(T_reg.root.SK[[#This Row],[Price]]/T_reg.root.SK[[#This Row],[Starch content]],"")</f>
        <v>13.924990418178966</v>
      </c>
    </row>
    <row r="2209" spans="1:14">
      <c r="A2209" s="21">
        <v>2024</v>
      </c>
      <c r="B2209" s="21" t="s">
        <v>17</v>
      </c>
      <c r="C2209" s="21" t="s">
        <v>1145</v>
      </c>
      <c r="D2209" s="21" t="s">
        <v>35</v>
      </c>
      <c r="E2209" s="17" t="s">
        <v>667</v>
      </c>
      <c r="F2209" s="18" t="s">
        <v>105</v>
      </c>
      <c r="G2209" s="18" t="s">
        <v>48</v>
      </c>
      <c r="H2209" s="24">
        <v>10040</v>
      </c>
      <c r="I2209" s="24">
        <f>T_reg.root.SK[[#This Row],[Volume, kg]]/1000</f>
        <v>10.039999999999999</v>
      </c>
      <c r="J2209" s="25">
        <v>0.29849999999999999</v>
      </c>
      <c r="K2209" s="25">
        <f t="shared" si="34"/>
        <v>2996.94</v>
      </c>
      <c r="L2209" s="25">
        <v>4</v>
      </c>
      <c r="M2209" s="24">
        <v>40160</v>
      </c>
      <c r="N2209" s="25">
        <f>IFERROR(T_reg.root.SK[[#This Row],[Price]]/T_reg.root.SK[[#This Row],[Starch content]],"")</f>
        <v>13.40033500837521</v>
      </c>
    </row>
    <row r="2210" spans="1:14">
      <c r="A2210" s="21">
        <v>2024</v>
      </c>
      <c r="B2210" s="21" t="s">
        <v>17</v>
      </c>
      <c r="C2210" s="21" t="s">
        <v>1145</v>
      </c>
      <c r="D2210" s="21" t="s">
        <v>35</v>
      </c>
      <c r="E2210" s="17" t="s">
        <v>601</v>
      </c>
      <c r="F2210" s="18" t="s">
        <v>105</v>
      </c>
      <c r="G2210" s="18" t="s">
        <v>48</v>
      </c>
      <c r="H2210" s="24">
        <v>10200</v>
      </c>
      <c r="I2210" s="24">
        <f>T_reg.root.SK[[#This Row],[Volume, kg]]/1000</f>
        <v>10.199999999999999</v>
      </c>
      <c r="J2210" s="25">
        <v>0.28049999999999997</v>
      </c>
      <c r="K2210" s="25">
        <f t="shared" si="34"/>
        <v>2861.1</v>
      </c>
      <c r="L2210" s="25">
        <v>3.9</v>
      </c>
      <c r="M2210" s="24">
        <v>39780</v>
      </c>
      <c r="N2210" s="25">
        <f>IFERROR(T_reg.root.SK[[#This Row],[Price]]/T_reg.root.SK[[#This Row],[Starch content]],"")</f>
        <v>13.903743315508022</v>
      </c>
    </row>
    <row r="2211" spans="1:14">
      <c r="A2211" s="21">
        <v>2024</v>
      </c>
      <c r="B2211" s="21" t="s">
        <v>17</v>
      </c>
      <c r="C2211" s="21" t="s">
        <v>1145</v>
      </c>
      <c r="D2211" s="21" t="s">
        <v>35</v>
      </c>
      <c r="E2211" s="17" t="s">
        <v>686</v>
      </c>
      <c r="F2211" s="18" t="s">
        <v>105</v>
      </c>
      <c r="G2211" s="18" t="s">
        <v>48</v>
      </c>
      <c r="H2211" s="24">
        <v>13340</v>
      </c>
      <c r="I2211" s="24">
        <f>T_reg.root.SK[[#This Row],[Volume, kg]]/1000</f>
        <v>13.34</v>
      </c>
      <c r="J2211" s="25">
        <v>0.23819999999999997</v>
      </c>
      <c r="K2211" s="25">
        <f t="shared" si="34"/>
        <v>3177.5879999999997</v>
      </c>
      <c r="L2211" s="25">
        <v>3.6508995502248878</v>
      </c>
      <c r="M2211" s="24">
        <v>48703</v>
      </c>
      <c r="N2211" s="25">
        <f>IFERROR(T_reg.root.SK[[#This Row],[Price]]/T_reg.root.SK[[#This Row],[Starch content]],"")</f>
        <v>15.327034215889539</v>
      </c>
    </row>
    <row r="2212" spans="1:14">
      <c r="A2212" s="21">
        <v>2024</v>
      </c>
      <c r="B2212" s="21" t="s">
        <v>17</v>
      </c>
      <c r="C2212" s="21" t="s">
        <v>1145</v>
      </c>
      <c r="D2212" s="21" t="s">
        <v>35</v>
      </c>
      <c r="E2212" s="17" t="s">
        <v>133</v>
      </c>
      <c r="F2212" s="18" t="s">
        <v>105</v>
      </c>
      <c r="G2212" s="18" t="s">
        <v>48</v>
      </c>
      <c r="H2212" s="24">
        <v>123870</v>
      </c>
      <c r="I2212" s="24">
        <f>T_reg.root.SK[[#This Row],[Volume, kg]]/1000</f>
        <v>123.87</v>
      </c>
      <c r="J2212" s="25">
        <v>0.2674179785258739</v>
      </c>
      <c r="K2212" s="25">
        <f t="shared" si="34"/>
        <v>33125.065000000002</v>
      </c>
      <c r="L2212" s="25">
        <v>3.8654637926858801</v>
      </c>
      <c r="M2212" s="24">
        <v>478815</v>
      </c>
      <c r="N2212" s="25">
        <f>IFERROR(T_reg.root.SK[[#This Row],[Price]]/T_reg.root.SK[[#This Row],[Starch content]],"")</f>
        <v>14.454764088764806</v>
      </c>
    </row>
    <row r="2213" spans="1:14">
      <c r="A2213" s="21">
        <v>2024</v>
      </c>
      <c r="B2213" s="21" t="s">
        <v>17</v>
      </c>
      <c r="C2213" s="21" t="s">
        <v>1145</v>
      </c>
      <c r="D2213" s="21" t="s">
        <v>35</v>
      </c>
      <c r="E2213" s="17" t="s">
        <v>136</v>
      </c>
      <c r="F2213" s="18" t="s">
        <v>105</v>
      </c>
      <c r="G2213" s="18" t="s">
        <v>48</v>
      </c>
      <c r="H2213" s="24">
        <v>183480</v>
      </c>
      <c r="I2213" s="24">
        <f>T_reg.root.SK[[#This Row],[Volume, kg]]/1000</f>
        <v>183.48</v>
      </c>
      <c r="J2213" s="25">
        <v>0.28298639633747547</v>
      </c>
      <c r="K2213" s="25">
        <f t="shared" si="34"/>
        <v>51922.343999999997</v>
      </c>
      <c r="L2213" s="25">
        <v>3.9105461085676914</v>
      </c>
      <c r="M2213" s="24">
        <v>717507</v>
      </c>
      <c r="N2213" s="25">
        <f>IFERROR(T_reg.root.SK[[#This Row],[Price]]/T_reg.root.SK[[#This Row],[Starch content]],"")</f>
        <v>13.818848394055554</v>
      </c>
    </row>
    <row r="2214" spans="1:14">
      <c r="A2214" s="21">
        <v>2024</v>
      </c>
      <c r="B2214" s="21" t="s">
        <v>17</v>
      </c>
      <c r="C2214" s="21" t="s">
        <v>1145</v>
      </c>
      <c r="D2214" s="21" t="s">
        <v>35</v>
      </c>
      <c r="E2214" s="17" t="s">
        <v>140</v>
      </c>
      <c r="F2214" s="18" t="s">
        <v>105</v>
      </c>
      <c r="G2214" s="18" t="s">
        <v>48</v>
      </c>
      <c r="H2214" s="24">
        <v>5870</v>
      </c>
      <c r="I2214" s="24">
        <f>T_reg.root.SK[[#This Row],[Volume, kg]]/1000</f>
        <v>5.87</v>
      </c>
      <c r="J2214" s="25">
        <v>0.29120000000000001</v>
      </c>
      <c r="K2214" s="25">
        <f t="shared" si="34"/>
        <v>1709.3440000000001</v>
      </c>
      <c r="L2214" s="25">
        <v>3.95</v>
      </c>
      <c r="M2214" s="24">
        <v>23186.5</v>
      </c>
      <c r="N2214" s="25">
        <f>IFERROR(T_reg.root.SK[[#This Row],[Price]]/T_reg.root.SK[[#This Row],[Starch content]],"")</f>
        <v>13.56456043956044</v>
      </c>
    </row>
    <row r="2215" spans="1:14">
      <c r="A2215" s="21">
        <v>2024</v>
      </c>
      <c r="B2215" s="21" t="s">
        <v>17</v>
      </c>
      <c r="C2215" s="21" t="s">
        <v>1145</v>
      </c>
      <c r="D2215" s="21" t="s">
        <v>35</v>
      </c>
      <c r="E2215" s="17" t="s">
        <v>245</v>
      </c>
      <c r="F2215" s="18" t="s">
        <v>105</v>
      </c>
      <c r="G2215" s="18" t="s">
        <v>48</v>
      </c>
      <c r="H2215" s="24">
        <v>13640</v>
      </c>
      <c r="I2215" s="24">
        <f>T_reg.root.SK[[#This Row],[Volume, kg]]/1000</f>
        <v>13.64</v>
      </c>
      <c r="J2215" s="25">
        <v>0.25814956011730206</v>
      </c>
      <c r="K2215" s="25">
        <f t="shared" si="34"/>
        <v>3521.16</v>
      </c>
      <c r="L2215" s="25">
        <v>3.9166055718475072</v>
      </c>
      <c r="M2215" s="24">
        <v>53422.5</v>
      </c>
      <c r="N2215" s="25">
        <f>IFERROR(T_reg.root.SK[[#This Row],[Price]]/T_reg.root.SK[[#This Row],[Starch content]],"")</f>
        <v>15.171846777766417</v>
      </c>
    </row>
    <row r="2216" spans="1:14">
      <c r="A2216" s="21">
        <v>2024</v>
      </c>
      <c r="B2216" s="21" t="s">
        <v>17</v>
      </c>
      <c r="C2216" s="21" t="s">
        <v>1145</v>
      </c>
      <c r="D2216" s="21" t="s">
        <v>35</v>
      </c>
      <c r="E2216" s="17" t="s">
        <v>146</v>
      </c>
      <c r="F2216" s="18" t="s">
        <v>105</v>
      </c>
      <c r="G2216" s="18" t="s">
        <v>48</v>
      </c>
      <c r="H2216" s="24">
        <v>908770</v>
      </c>
      <c r="I2216" s="24">
        <f>T_reg.root.SK[[#This Row],[Volume, kg]]/1000</f>
        <v>908.77</v>
      </c>
      <c r="J2216" s="25">
        <v>0.25810889443973722</v>
      </c>
      <c r="K2216" s="25">
        <f t="shared" si="34"/>
        <v>234561.62</v>
      </c>
      <c r="L2216" s="25">
        <v>3.8294551976847826</v>
      </c>
      <c r="M2216" s="24">
        <v>3480094</v>
      </c>
      <c r="N2216" s="25">
        <f>IFERROR(T_reg.root.SK[[#This Row],[Price]]/T_reg.root.SK[[#This Row],[Starch content]],"")</f>
        <v>14.836587503104727</v>
      </c>
    </row>
    <row r="2217" spans="1:14">
      <c r="A2217" s="21">
        <v>2024</v>
      </c>
      <c r="B2217" s="21" t="s">
        <v>17</v>
      </c>
      <c r="C2217" s="21" t="s">
        <v>1145</v>
      </c>
      <c r="D2217" s="21" t="s">
        <v>35</v>
      </c>
      <c r="E2217" s="17" t="s">
        <v>646</v>
      </c>
      <c r="F2217" s="18" t="s">
        <v>105</v>
      </c>
      <c r="G2217" s="18" t="s">
        <v>48</v>
      </c>
      <c r="H2217" s="24">
        <v>29470</v>
      </c>
      <c r="I2217" s="24">
        <f>T_reg.root.SK[[#This Row],[Volume, kg]]/1000</f>
        <v>29.47</v>
      </c>
      <c r="J2217" s="25">
        <v>0.29459348489989823</v>
      </c>
      <c r="K2217" s="25">
        <f t="shared" si="34"/>
        <v>8681.67</v>
      </c>
      <c r="L2217" s="25">
        <v>4.0891923990498809</v>
      </c>
      <c r="M2217" s="24">
        <v>120508.5</v>
      </c>
      <c r="N2217" s="25">
        <f>IFERROR(T_reg.root.SK[[#This Row],[Price]]/T_reg.root.SK[[#This Row],[Starch content]],"")</f>
        <v>13.88079712774155</v>
      </c>
    </row>
    <row r="2218" spans="1:14">
      <c r="A2218" s="21">
        <v>2024</v>
      </c>
      <c r="B2218" s="21" t="s">
        <v>17</v>
      </c>
      <c r="C2218" s="21" t="s">
        <v>1145</v>
      </c>
      <c r="D2218" s="21" t="s">
        <v>35</v>
      </c>
      <c r="E2218" s="17" t="s">
        <v>312</v>
      </c>
      <c r="F2218" s="18" t="s">
        <v>105</v>
      </c>
      <c r="G2218" s="18" t="s">
        <v>48</v>
      </c>
      <c r="H2218" s="24">
        <v>21170</v>
      </c>
      <c r="I2218" s="24">
        <f>T_reg.root.SK[[#This Row],[Volume, kg]]/1000</f>
        <v>21.17</v>
      </c>
      <c r="J2218" s="25">
        <v>0.33929999999999999</v>
      </c>
      <c r="K2218" s="25">
        <f t="shared" si="34"/>
        <v>7182.9809999999998</v>
      </c>
      <c r="L2218" s="25">
        <v>4.1480869154463864</v>
      </c>
      <c r="M2218" s="24">
        <v>87815</v>
      </c>
      <c r="N2218" s="25">
        <f>IFERROR(T_reg.root.SK[[#This Row],[Price]]/T_reg.root.SK[[#This Row],[Starch content]],"")</f>
        <v>12.225425627605029</v>
      </c>
    </row>
    <row r="2219" spans="1:14">
      <c r="A2219" s="21">
        <v>2024</v>
      </c>
      <c r="B2219" s="21" t="s">
        <v>17</v>
      </c>
      <c r="C2219" s="21" t="s">
        <v>1145</v>
      </c>
      <c r="D2219" s="21" t="s">
        <v>35</v>
      </c>
      <c r="E2219" s="17" t="s">
        <v>247</v>
      </c>
      <c r="F2219" s="18" t="s">
        <v>105</v>
      </c>
      <c r="G2219" s="18" t="s">
        <v>48</v>
      </c>
      <c r="H2219" s="24">
        <v>24500</v>
      </c>
      <c r="I2219" s="24">
        <f>T_reg.root.SK[[#This Row],[Volume, kg]]/1000</f>
        <v>24.5</v>
      </c>
      <c r="J2219" s="25">
        <v>0.27340000000000003</v>
      </c>
      <c r="K2219" s="25">
        <f t="shared" si="34"/>
        <v>6698.3000000000011</v>
      </c>
      <c r="L2219" s="25">
        <v>3.8075306122448977</v>
      </c>
      <c r="M2219" s="24">
        <v>93284.5</v>
      </c>
      <c r="N2219" s="25">
        <f>IFERROR(T_reg.root.SK[[#This Row],[Price]]/T_reg.root.SK[[#This Row],[Starch content]],"")</f>
        <v>13.926593314721643</v>
      </c>
    </row>
    <row r="2220" spans="1:14">
      <c r="A2220" s="21">
        <v>2024</v>
      </c>
      <c r="B2220" s="21" t="s">
        <v>17</v>
      </c>
      <c r="C2220" s="21" t="s">
        <v>1145</v>
      </c>
      <c r="D2220" s="21" t="s">
        <v>35</v>
      </c>
      <c r="E2220" s="17" t="s">
        <v>142</v>
      </c>
      <c r="F2220" s="18" t="s">
        <v>105</v>
      </c>
      <c r="G2220" s="18" t="s">
        <v>48</v>
      </c>
      <c r="H2220" s="24">
        <v>5330</v>
      </c>
      <c r="I2220" s="24">
        <f>T_reg.root.SK[[#This Row],[Volume, kg]]/1000</f>
        <v>5.33</v>
      </c>
      <c r="J2220" s="25">
        <v>0.2445</v>
      </c>
      <c r="K2220" s="25">
        <f t="shared" si="34"/>
        <v>1303.1849999999999</v>
      </c>
      <c r="L2220" s="25">
        <v>3.7</v>
      </c>
      <c r="M2220" s="24">
        <v>19721</v>
      </c>
      <c r="N2220" s="25">
        <f>IFERROR(T_reg.root.SK[[#This Row],[Price]]/T_reg.root.SK[[#This Row],[Starch content]],"")</f>
        <v>15.132924335378323</v>
      </c>
    </row>
    <row r="2221" spans="1:14">
      <c r="A2221" s="21">
        <v>2024</v>
      </c>
      <c r="B2221" s="21" t="s">
        <v>17</v>
      </c>
      <c r="C2221" s="21" t="s">
        <v>1145</v>
      </c>
      <c r="D2221" s="21" t="s">
        <v>35</v>
      </c>
      <c r="E2221" s="17" t="s">
        <v>143</v>
      </c>
      <c r="F2221" s="18" t="s">
        <v>105</v>
      </c>
      <c r="G2221" s="18" t="s">
        <v>48</v>
      </c>
      <c r="H2221" s="24">
        <v>31080</v>
      </c>
      <c r="I2221" s="24">
        <f>T_reg.root.SK[[#This Row],[Volume, kg]]/1000</f>
        <v>31.08</v>
      </c>
      <c r="J2221" s="25">
        <v>0.23339999999999997</v>
      </c>
      <c r="K2221" s="25">
        <f t="shared" si="34"/>
        <v>7254.0719999999992</v>
      </c>
      <c r="L2221" s="25">
        <v>3.6507400257400255</v>
      </c>
      <c r="M2221" s="24">
        <v>113465</v>
      </c>
      <c r="N2221" s="25">
        <f>IFERROR(T_reg.root.SK[[#This Row],[Price]]/T_reg.root.SK[[#This Row],[Starch content]],"")</f>
        <v>15.641559664695913</v>
      </c>
    </row>
    <row r="2222" spans="1:14">
      <c r="A2222" s="21">
        <v>2024</v>
      </c>
      <c r="B2222" s="21" t="s">
        <v>17</v>
      </c>
      <c r="C2222" s="21" t="s">
        <v>1145</v>
      </c>
      <c r="D2222" s="21" t="s">
        <v>35</v>
      </c>
      <c r="E2222" s="17" t="s">
        <v>150</v>
      </c>
      <c r="F2222" s="18" t="s">
        <v>105</v>
      </c>
      <c r="G2222" s="18" t="s">
        <v>48</v>
      </c>
      <c r="H2222" s="24">
        <v>7330</v>
      </c>
      <c r="I2222" s="24">
        <f>T_reg.root.SK[[#This Row],[Volume, kg]]/1000</f>
        <v>7.33</v>
      </c>
      <c r="J2222" s="25">
        <v>0.30449999999999999</v>
      </c>
      <c r="K2222" s="25">
        <f t="shared" si="34"/>
        <v>2231.9850000000001</v>
      </c>
      <c r="L2222" s="25">
        <v>4</v>
      </c>
      <c r="M2222" s="24">
        <v>29320</v>
      </c>
      <c r="N2222" s="25">
        <f>IFERROR(T_reg.root.SK[[#This Row],[Price]]/T_reg.root.SK[[#This Row],[Starch content]],"")</f>
        <v>13.136288998357964</v>
      </c>
    </row>
    <row r="2223" spans="1:14">
      <c r="A2223" s="21">
        <v>2024</v>
      </c>
      <c r="B2223" s="21" t="s">
        <v>17</v>
      </c>
      <c r="C2223" s="21" t="s">
        <v>1145</v>
      </c>
      <c r="D2223" s="21" t="s">
        <v>35</v>
      </c>
      <c r="E2223" s="17" t="s">
        <v>151</v>
      </c>
      <c r="F2223" s="18" t="s">
        <v>105</v>
      </c>
      <c r="G2223" s="18" t="s">
        <v>48</v>
      </c>
      <c r="H2223" s="24">
        <v>448170</v>
      </c>
      <c r="I2223" s="24">
        <f>T_reg.root.SK[[#This Row],[Volume, kg]]/1000</f>
        <v>448.17</v>
      </c>
      <c r="J2223" s="25">
        <v>0.27919997545574221</v>
      </c>
      <c r="K2223" s="25">
        <f t="shared" si="34"/>
        <v>125129.05299999999</v>
      </c>
      <c r="L2223" s="25">
        <v>3.943126492179307</v>
      </c>
      <c r="M2223" s="24">
        <v>1767191</v>
      </c>
      <c r="N2223" s="25">
        <f>IFERROR(T_reg.root.SK[[#This Row],[Price]]/T_reg.root.SK[[#This Row],[Starch content]],"")</f>
        <v>14.122947130431813</v>
      </c>
    </row>
    <row r="2224" spans="1:14">
      <c r="A2224" s="21">
        <v>2024</v>
      </c>
      <c r="B2224" s="21" t="s">
        <v>17</v>
      </c>
      <c r="C2224" s="21" t="s">
        <v>1145</v>
      </c>
      <c r="D2224" s="21" t="s">
        <v>35</v>
      </c>
      <c r="E2224" s="17" t="s">
        <v>158</v>
      </c>
      <c r="F2224" s="18" t="s">
        <v>105</v>
      </c>
      <c r="G2224" s="18" t="s">
        <v>48</v>
      </c>
      <c r="H2224" s="24">
        <v>18500</v>
      </c>
      <c r="I2224" s="24">
        <f>T_reg.root.SK[[#This Row],[Volume, kg]]/1000</f>
        <v>18.5</v>
      </c>
      <c r="J2224" s="25">
        <v>0.27429999999999999</v>
      </c>
      <c r="K2224" s="25">
        <f t="shared" si="34"/>
        <v>5074.55</v>
      </c>
      <c r="L2224" s="25">
        <v>3.8756756756756756</v>
      </c>
      <c r="M2224" s="24">
        <v>71700</v>
      </c>
      <c r="N2224" s="25">
        <f>IFERROR(T_reg.root.SK[[#This Row],[Price]]/T_reg.root.SK[[#This Row],[Starch content]],"")</f>
        <v>14.129331664876689</v>
      </c>
    </row>
    <row r="2225" spans="1:14">
      <c r="A2225" s="21">
        <v>2024</v>
      </c>
      <c r="B2225" s="21" t="s">
        <v>17</v>
      </c>
      <c r="C2225" s="21" t="s">
        <v>1145</v>
      </c>
      <c r="D2225" s="21" t="s">
        <v>35</v>
      </c>
      <c r="E2225" s="17" t="s">
        <v>153</v>
      </c>
      <c r="F2225" s="18" t="s">
        <v>105</v>
      </c>
      <c r="G2225" s="18" t="s">
        <v>48</v>
      </c>
      <c r="H2225" s="24">
        <v>3210</v>
      </c>
      <c r="I2225" s="24">
        <f>T_reg.root.SK[[#This Row],[Volume, kg]]/1000</f>
        <v>3.21</v>
      </c>
      <c r="J2225" s="25">
        <v>0.28900000000000003</v>
      </c>
      <c r="K2225" s="25">
        <f t="shared" si="34"/>
        <v>927.69</v>
      </c>
      <c r="L2225" s="25">
        <v>3.95</v>
      </c>
      <c r="M2225" s="24">
        <v>12679.5</v>
      </c>
      <c r="N2225" s="25">
        <f>IFERROR(T_reg.root.SK[[#This Row],[Price]]/T_reg.root.SK[[#This Row],[Starch content]],"")</f>
        <v>13.667820069204151</v>
      </c>
    </row>
    <row r="2226" spans="1:14">
      <c r="A2226" s="21">
        <v>2024</v>
      </c>
      <c r="B2226" s="21" t="s">
        <v>17</v>
      </c>
      <c r="C2226" s="21" t="s">
        <v>1145</v>
      </c>
      <c r="D2226" s="21" t="s">
        <v>35</v>
      </c>
      <c r="E2226" s="17" t="s">
        <v>160</v>
      </c>
      <c r="F2226" s="18" t="s">
        <v>105</v>
      </c>
      <c r="G2226" s="18" t="s">
        <v>48</v>
      </c>
      <c r="H2226" s="24">
        <v>17820</v>
      </c>
      <c r="I2226" s="24">
        <f>T_reg.root.SK[[#This Row],[Volume, kg]]/1000</f>
        <v>17.82</v>
      </c>
      <c r="J2226" s="25">
        <v>0.26450000000000001</v>
      </c>
      <c r="K2226" s="25">
        <f t="shared" si="34"/>
        <v>4713.3900000000003</v>
      </c>
      <c r="L2226" s="25">
        <v>3.7743265993265993</v>
      </c>
      <c r="M2226" s="24">
        <v>67258.5</v>
      </c>
      <c r="N2226" s="25">
        <f>IFERROR(T_reg.root.SK[[#This Row],[Price]]/T_reg.root.SK[[#This Row],[Starch content]],"")</f>
        <v>14.269665781953115</v>
      </c>
    </row>
    <row r="2227" spans="1:14">
      <c r="A2227" s="21">
        <v>2024</v>
      </c>
      <c r="B2227" s="21" t="s">
        <v>17</v>
      </c>
      <c r="C2227" s="21" t="s">
        <v>1145</v>
      </c>
      <c r="D2227" s="21" t="s">
        <v>35</v>
      </c>
      <c r="E2227" s="17" t="s">
        <v>165</v>
      </c>
      <c r="F2227" s="18" t="s">
        <v>105</v>
      </c>
      <c r="G2227" s="18" t="s">
        <v>48</v>
      </c>
      <c r="H2227" s="24">
        <v>112380</v>
      </c>
      <c r="I2227" s="24">
        <f>T_reg.root.SK[[#This Row],[Volume, kg]]/1000</f>
        <v>112.38</v>
      </c>
      <c r="J2227" s="25">
        <v>0.28929664531055349</v>
      </c>
      <c r="K2227" s="25">
        <f t="shared" si="34"/>
        <v>32511.157000000003</v>
      </c>
      <c r="L2227" s="25">
        <v>3.9609494571987898</v>
      </c>
      <c r="M2227" s="24">
        <v>445131.5</v>
      </c>
      <c r="N2227" s="25">
        <f>IFERROR(T_reg.root.SK[[#This Row],[Price]]/T_reg.root.SK[[#This Row],[Starch content]],"")</f>
        <v>13.691653606791046</v>
      </c>
    </row>
    <row r="2228" spans="1:14">
      <c r="A2228" s="21">
        <v>2024</v>
      </c>
      <c r="B2228" s="21" t="s">
        <v>17</v>
      </c>
      <c r="C2228" s="21" t="s">
        <v>1145</v>
      </c>
      <c r="D2228" s="21" t="s">
        <v>35</v>
      </c>
      <c r="E2228" s="17" t="s">
        <v>161</v>
      </c>
      <c r="F2228" s="18" t="s">
        <v>105</v>
      </c>
      <c r="G2228" s="18" t="s">
        <v>48</v>
      </c>
      <c r="H2228" s="24">
        <v>46550</v>
      </c>
      <c r="I2228" s="24">
        <f>T_reg.root.SK[[#This Row],[Volume, kg]]/1000</f>
        <v>46.55</v>
      </c>
      <c r="J2228" s="25">
        <v>0.27739999999999998</v>
      </c>
      <c r="K2228" s="25">
        <f t="shared" si="34"/>
        <v>12912.97</v>
      </c>
      <c r="L2228" s="25">
        <v>3.8661331901181524</v>
      </c>
      <c r="M2228" s="24">
        <v>179968.5</v>
      </c>
      <c r="N2228" s="25">
        <f>IFERROR(T_reg.root.SK[[#This Row],[Price]]/T_reg.root.SK[[#This Row],[Starch content]],"")</f>
        <v>13.937033850461978</v>
      </c>
    </row>
    <row r="2229" spans="1:14">
      <c r="A2229" s="21">
        <v>2024</v>
      </c>
      <c r="B2229" s="21" t="s">
        <v>17</v>
      </c>
      <c r="C2229" s="21" t="s">
        <v>1145</v>
      </c>
      <c r="D2229" s="21" t="s">
        <v>35</v>
      </c>
      <c r="E2229" s="17" t="s">
        <v>163</v>
      </c>
      <c r="F2229" s="18" t="s">
        <v>105</v>
      </c>
      <c r="G2229" s="18" t="s">
        <v>48</v>
      </c>
      <c r="H2229" s="24">
        <v>142760</v>
      </c>
      <c r="I2229" s="24">
        <f>T_reg.root.SK[[#This Row],[Volume, kg]]/1000</f>
        <v>142.76</v>
      </c>
      <c r="J2229" s="25">
        <v>0.25590000000000002</v>
      </c>
      <c r="K2229" s="25">
        <f t="shared" si="34"/>
        <v>36532.284</v>
      </c>
      <c r="L2229" s="25">
        <v>3.7765585598206779</v>
      </c>
      <c r="M2229" s="24">
        <v>539141.5</v>
      </c>
      <c r="N2229" s="25">
        <f>IFERROR(T_reg.root.SK[[#This Row],[Price]]/T_reg.root.SK[[#This Row],[Starch content]],"")</f>
        <v>14.757946697228126</v>
      </c>
    </row>
    <row r="2230" spans="1:14">
      <c r="A2230" s="21">
        <v>2024</v>
      </c>
      <c r="B2230" s="21" t="s">
        <v>17</v>
      </c>
      <c r="C2230" s="21" t="s">
        <v>1145</v>
      </c>
      <c r="D2230" s="21" t="s">
        <v>35</v>
      </c>
      <c r="E2230" s="17" t="s">
        <v>172</v>
      </c>
      <c r="F2230" s="18" t="s">
        <v>105</v>
      </c>
      <c r="G2230" s="18" t="s">
        <v>48</v>
      </c>
      <c r="H2230" s="24">
        <v>29730</v>
      </c>
      <c r="I2230" s="24">
        <f>T_reg.root.SK[[#This Row],[Volume, kg]]/1000</f>
        <v>29.73</v>
      </c>
      <c r="J2230" s="25">
        <v>0.27609999999999996</v>
      </c>
      <c r="K2230" s="25">
        <f t="shared" si="34"/>
        <v>8208.4529999999995</v>
      </c>
      <c r="L2230" s="25">
        <v>3.8311974436596032</v>
      </c>
      <c r="M2230" s="24">
        <v>113901.5</v>
      </c>
      <c r="N2230" s="25">
        <f>IFERROR(T_reg.root.SK[[#This Row],[Price]]/T_reg.root.SK[[#This Row],[Starch content]],"")</f>
        <v>13.876122577542933</v>
      </c>
    </row>
    <row r="2231" spans="1:14">
      <c r="A2231" s="21">
        <v>2024</v>
      </c>
      <c r="B2231" s="21" t="s">
        <v>17</v>
      </c>
      <c r="C2231" s="21" t="s">
        <v>1145</v>
      </c>
      <c r="D2231" s="21" t="s">
        <v>35</v>
      </c>
      <c r="E2231" s="17" t="s">
        <v>148</v>
      </c>
      <c r="F2231" s="18" t="s">
        <v>105</v>
      </c>
      <c r="G2231" s="18" t="s">
        <v>48</v>
      </c>
      <c r="H2231" s="24">
        <v>22350</v>
      </c>
      <c r="I2231" s="24">
        <f>T_reg.root.SK[[#This Row],[Volume, kg]]/1000</f>
        <v>22.35</v>
      </c>
      <c r="J2231" s="25">
        <v>0.26570000000000005</v>
      </c>
      <c r="K2231" s="25">
        <f t="shared" si="34"/>
        <v>5938.3950000000013</v>
      </c>
      <c r="L2231" s="25">
        <v>3.8402460850111857</v>
      </c>
      <c r="M2231" s="24">
        <v>85829.5</v>
      </c>
      <c r="N2231" s="25">
        <f>IFERROR(T_reg.root.SK[[#This Row],[Price]]/T_reg.root.SK[[#This Row],[Starch content]],"")</f>
        <v>14.453316089616806</v>
      </c>
    </row>
    <row r="2232" spans="1:14">
      <c r="A2232" s="21">
        <v>2024</v>
      </c>
      <c r="B2232" s="21" t="s">
        <v>17</v>
      </c>
      <c r="C2232" s="21" t="s">
        <v>1145</v>
      </c>
      <c r="D2232" s="21" t="s">
        <v>35</v>
      </c>
      <c r="E2232" s="17" t="s">
        <v>687</v>
      </c>
      <c r="F2232" s="18" t="s">
        <v>105</v>
      </c>
      <c r="G2232" s="18" t="s">
        <v>48</v>
      </c>
      <c r="H2232" s="24">
        <v>21200</v>
      </c>
      <c r="I2232" s="24">
        <f>T_reg.root.SK[[#This Row],[Volume, kg]]/1000</f>
        <v>21.2</v>
      </c>
      <c r="J2232" s="25">
        <v>0.2475</v>
      </c>
      <c r="K2232" s="25">
        <f t="shared" si="34"/>
        <v>5247</v>
      </c>
      <c r="L2232" s="25">
        <v>3.7428773584905661</v>
      </c>
      <c r="M2232" s="24">
        <v>79349</v>
      </c>
      <c r="N2232" s="25">
        <f>IFERROR(T_reg.root.SK[[#This Row],[Price]]/T_reg.root.SK[[#This Row],[Starch content]],"")</f>
        <v>15.122736801982086</v>
      </c>
    </row>
    <row r="2233" spans="1:14">
      <c r="A2233" s="21">
        <v>2024</v>
      </c>
      <c r="B2233" s="21" t="s">
        <v>17</v>
      </c>
      <c r="C2233" s="21" t="s">
        <v>1145</v>
      </c>
      <c r="D2233" s="21" t="s">
        <v>35</v>
      </c>
      <c r="E2233" s="17" t="s">
        <v>175</v>
      </c>
      <c r="F2233" s="18" t="s">
        <v>105</v>
      </c>
      <c r="G2233" s="18" t="s">
        <v>48</v>
      </c>
      <c r="H2233" s="24">
        <v>65180</v>
      </c>
      <c r="I2233" s="24">
        <f>T_reg.root.SK[[#This Row],[Volume, kg]]/1000</f>
        <v>65.180000000000007</v>
      </c>
      <c r="J2233" s="25">
        <v>0.27170000000000005</v>
      </c>
      <c r="K2233" s="25">
        <f t="shared" si="34"/>
        <v>17709.406000000003</v>
      </c>
      <c r="L2233" s="25">
        <v>3.8365909788278612</v>
      </c>
      <c r="M2233" s="24">
        <v>250069</v>
      </c>
      <c r="N2233" s="25">
        <f>IFERROR(T_reg.root.SK[[#This Row],[Price]]/T_reg.root.SK[[#This Row],[Starch content]],"")</f>
        <v>14.120688181184617</v>
      </c>
    </row>
    <row r="2234" spans="1:14">
      <c r="A2234" s="21">
        <v>2024</v>
      </c>
      <c r="B2234" s="21" t="s">
        <v>17</v>
      </c>
      <c r="C2234" s="21" t="s">
        <v>1145</v>
      </c>
      <c r="D2234" s="21" t="s">
        <v>35</v>
      </c>
      <c r="E2234" s="17" t="s">
        <v>183</v>
      </c>
      <c r="F2234" s="18" t="s">
        <v>105</v>
      </c>
      <c r="G2234" s="18" t="s">
        <v>48</v>
      </c>
      <c r="H2234" s="24">
        <v>1297280</v>
      </c>
      <c r="I2234" s="24">
        <f>T_reg.root.SK[[#This Row],[Volume, kg]]/1000</f>
        <v>1297.28</v>
      </c>
      <c r="J2234" s="25">
        <v>0.29231410258386781</v>
      </c>
      <c r="K2234" s="25">
        <f t="shared" si="34"/>
        <v>379213.239</v>
      </c>
      <c r="L2234" s="25">
        <v>4.0051060680809076</v>
      </c>
      <c r="M2234" s="24">
        <v>5195744</v>
      </c>
      <c r="N2234" s="25">
        <f>IFERROR(T_reg.root.SK[[#This Row],[Price]]/T_reg.root.SK[[#This Row],[Starch content]],"")</f>
        <v>13.701378184214711</v>
      </c>
    </row>
    <row r="2235" spans="1:14">
      <c r="A2235" s="21">
        <v>2024</v>
      </c>
      <c r="B2235" s="21" t="s">
        <v>17</v>
      </c>
      <c r="C2235" s="21" t="s">
        <v>1145</v>
      </c>
      <c r="D2235" s="21" t="s">
        <v>35</v>
      </c>
      <c r="E2235" s="17" t="s">
        <v>178</v>
      </c>
      <c r="F2235" s="18" t="s">
        <v>105</v>
      </c>
      <c r="G2235" s="18" t="s">
        <v>48</v>
      </c>
      <c r="H2235" s="24">
        <v>38850</v>
      </c>
      <c r="I2235" s="24">
        <f>T_reg.root.SK[[#This Row],[Volume, kg]]/1000</f>
        <v>38.85</v>
      </c>
      <c r="J2235" s="25">
        <v>0.24179999999999999</v>
      </c>
      <c r="K2235" s="25">
        <f t="shared" si="34"/>
        <v>9393.93</v>
      </c>
      <c r="L2235" s="25">
        <v>3.7124581724581724</v>
      </c>
      <c r="M2235" s="24">
        <v>144229</v>
      </c>
      <c r="N2235" s="25">
        <f>IFERROR(T_reg.root.SK[[#This Row],[Price]]/T_reg.root.SK[[#This Row],[Starch content]],"")</f>
        <v>15.353425030844386</v>
      </c>
    </row>
    <row r="2236" spans="1:14">
      <c r="A2236" s="21">
        <v>2024</v>
      </c>
      <c r="B2236" s="21" t="s">
        <v>17</v>
      </c>
      <c r="C2236" s="21" t="s">
        <v>1145</v>
      </c>
      <c r="D2236" s="21" t="s">
        <v>35</v>
      </c>
      <c r="E2236" s="17" t="s">
        <v>181</v>
      </c>
      <c r="F2236" s="18" t="s">
        <v>105</v>
      </c>
      <c r="G2236" s="18" t="s">
        <v>48</v>
      </c>
      <c r="H2236" s="24">
        <v>427380</v>
      </c>
      <c r="I2236" s="24">
        <f>T_reg.root.SK[[#This Row],[Volume, kg]]/1000</f>
        <v>427.38</v>
      </c>
      <c r="J2236" s="25">
        <v>0.24843892788619026</v>
      </c>
      <c r="K2236" s="25">
        <f t="shared" si="34"/>
        <v>106177.829</v>
      </c>
      <c r="L2236" s="25">
        <v>3.7824945013805045</v>
      </c>
      <c r="M2236" s="24">
        <v>1616562.5</v>
      </c>
      <c r="N2236" s="25">
        <f>IFERROR(T_reg.root.SK[[#This Row],[Price]]/T_reg.root.SK[[#This Row],[Starch content]],"")</f>
        <v>15.225047594446483</v>
      </c>
    </row>
    <row r="2237" spans="1:14">
      <c r="A2237" s="21">
        <v>2024</v>
      </c>
      <c r="B2237" s="21" t="s">
        <v>17</v>
      </c>
      <c r="C2237" s="21" t="s">
        <v>1145</v>
      </c>
      <c r="D2237" s="21" t="s">
        <v>35</v>
      </c>
      <c r="E2237" s="17" t="s">
        <v>182</v>
      </c>
      <c r="F2237" s="18" t="s">
        <v>105</v>
      </c>
      <c r="G2237" s="18" t="s">
        <v>48</v>
      </c>
      <c r="H2237" s="24">
        <v>10310</v>
      </c>
      <c r="I2237" s="24">
        <f>T_reg.root.SK[[#This Row],[Volume, kg]]/1000</f>
        <v>10.31</v>
      </c>
      <c r="J2237" s="25">
        <v>0.24649999999999994</v>
      </c>
      <c r="K2237" s="25">
        <f t="shared" si="34"/>
        <v>2541.4149999999995</v>
      </c>
      <c r="L2237" s="25">
        <v>3.7</v>
      </c>
      <c r="M2237" s="24">
        <v>38147</v>
      </c>
      <c r="N2237" s="25">
        <f>IFERROR(T_reg.root.SK[[#This Row],[Price]]/T_reg.root.SK[[#This Row],[Starch content]],"")</f>
        <v>15.010141987829618</v>
      </c>
    </row>
    <row r="2238" spans="1:14">
      <c r="A2238" s="21">
        <v>2024</v>
      </c>
      <c r="B2238" s="21" t="s">
        <v>17</v>
      </c>
      <c r="C2238" s="21" t="s">
        <v>1145</v>
      </c>
      <c r="D2238" s="21" t="s">
        <v>35</v>
      </c>
      <c r="E2238" s="17" t="s">
        <v>605</v>
      </c>
      <c r="F2238" s="18" t="s">
        <v>105</v>
      </c>
      <c r="G2238" s="18" t="s">
        <v>48</v>
      </c>
      <c r="H2238" s="24">
        <v>446640</v>
      </c>
      <c r="I2238" s="24">
        <f>T_reg.root.SK[[#This Row],[Volume, kg]]/1000</f>
        <v>446.64</v>
      </c>
      <c r="J2238" s="25">
        <v>0.27470653322586425</v>
      </c>
      <c r="K2238" s="25">
        <f t="shared" si="34"/>
        <v>122694.92600000001</v>
      </c>
      <c r="L2238" s="25">
        <v>3.9054372649113378</v>
      </c>
      <c r="M2238" s="24">
        <v>1744324.5</v>
      </c>
      <c r="N2238" s="25">
        <f>IFERROR(T_reg.root.SK[[#This Row],[Price]]/T_reg.root.SK[[#This Row],[Starch content]],"")</f>
        <v>14.216761498352424</v>
      </c>
    </row>
    <row r="2239" spans="1:14">
      <c r="A2239" s="21">
        <v>2024</v>
      </c>
      <c r="B2239" s="21" t="s">
        <v>17</v>
      </c>
      <c r="C2239" s="21" t="s">
        <v>1145</v>
      </c>
      <c r="D2239" s="21" t="s">
        <v>35</v>
      </c>
      <c r="E2239" s="17" t="s">
        <v>191</v>
      </c>
      <c r="F2239" s="18" t="s">
        <v>187</v>
      </c>
      <c r="G2239" s="18" t="s">
        <v>48</v>
      </c>
      <c r="H2239" s="24">
        <v>34180</v>
      </c>
      <c r="I2239" s="24">
        <f>T_reg.root.SK[[#This Row],[Volume, kg]]/1000</f>
        <v>34.18</v>
      </c>
      <c r="J2239" s="25">
        <v>0.27193522527794028</v>
      </c>
      <c r="K2239" s="25">
        <f t="shared" si="34"/>
        <v>9294.7459999999992</v>
      </c>
      <c r="L2239" s="25">
        <v>4.0006290228203625</v>
      </c>
      <c r="M2239" s="24">
        <v>136741.5</v>
      </c>
      <c r="N2239" s="25">
        <f>IFERROR(T_reg.root.SK[[#This Row],[Price]]/T_reg.root.SK[[#This Row],[Starch content]],"")</f>
        <v>14.711698415427383</v>
      </c>
    </row>
    <row r="2240" spans="1:14">
      <c r="A2240" s="21">
        <v>2024</v>
      </c>
      <c r="B2240" s="21" t="s">
        <v>17</v>
      </c>
      <c r="C2240" s="21" t="s">
        <v>1145</v>
      </c>
      <c r="D2240" s="21" t="s">
        <v>35</v>
      </c>
      <c r="E2240" s="17" t="s">
        <v>190</v>
      </c>
      <c r="F2240" s="18" t="s">
        <v>187</v>
      </c>
      <c r="G2240" s="18" t="s">
        <v>48</v>
      </c>
      <c r="H2240" s="24">
        <v>37000</v>
      </c>
      <c r="I2240" s="24">
        <f>T_reg.root.SK[[#This Row],[Volume, kg]]/1000</f>
        <v>37</v>
      </c>
      <c r="J2240" s="25">
        <v>0.23150000000000001</v>
      </c>
      <c r="K2240" s="25">
        <f t="shared" si="34"/>
        <v>8565.5</v>
      </c>
      <c r="L2240" s="25">
        <v>3.7164729729729729</v>
      </c>
      <c r="M2240" s="24">
        <v>137509.5</v>
      </c>
      <c r="N2240" s="25">
        <f>IFERROR(T_reg.root.SK[[#This Row],[Price]]/T_reg.root.SK[[#This Row],[Starch content]],"")</f>
        <v>16.053878932928608</v>
      </c>
    </row>
    <row r="2241" spans="1:14">
      <c r="A2241" s="21">
        <v>2024</v>
      </c>
      <c r="B2241" s="21" t="s">
        <v>17</v>
      </c>
      <c r="C2241" s="21" t="s">
        <v>1145</v>
      </c>
      <c r="D2241" s="21" t="s">
        <v>35</v>
      </c>
      <c r="E2241" s="17" t="s">
        <v>579</v>
      </c>
      <c r="F2241" s="18" t="s">
        <v>187</v>
      </c>
      <c r="G2241" s="18" t="s">
        <v>48</v>
      </c>
      <c r="H2241" s="24">
        <v>171800</v>
      </c>
      <c r="I2241" s="24">
        <f>T_reg.root.SK[[#This Row],[Volume, kg]]/1000</f>
        <v>171.8</v>
      </c>
      <c r="J2241" s="25">
        <v>0.26560852153667058</v>
      </c>
      <c r="K2241" s="25">
        <f t="shared" si="34"/>
        <v>45631.544000000009</v>
      </c>
      <c r="L2241" s="25">
        <v>3.9033265424912691</v>
      </c>
      <c r="M2241" s="24">
        <v>670591.5</v>
      </c>
      <c r="N2241" s="25">
        <f>IFERROR(T_reg.root.SK[[#This Row],[Price]]/T_reg.root.SK[[#This Row],[Starch content]],"")</f>
        <v>14.695788071514739</v>
      </c>
    </row>
    <row r="2242" spans="1:14">
      <c r="A2242" s="21">
        <v>2024</v>
      </c>
      <c r="B2242" s="21" t="s">
        <v>17</v>
      </c>
      <c r="C2242" s="21" t="s">
        <v>1145</v>
      </c>
      <c r="D2242" s="21" t="s">
        <v>35</v>
      </c>
      <c r="E2242" s="17" t="s">
        <v>531</v>
      </c>
      <c r="F2242" s="18" t="s">
        <v>187</v>
      </c>
      <c r="G2242" s="18" t="s">
        <v>48</v>
      </c>
      <c r="H2242" s="24">
        <v>37540</v>
      </c>
      <c r="I2242" s="24">
        <f>T_reg.root.SK[[#This Row],[Volume, kg]]/1000</f>
        <v>37.54</v>
      </c>
      <c r="J2242" s="25">
        <v>0.29749999999999999</v>
      </c>
      <c r="K2242" s="25">
        <f t="shared" si="34"/>
        <v>11168.15</v>
      </c>
      <c r="L2242" s="25">
        <v>4.0351225359616407</v>
      </c>
      <c r="M2242" s="24">
        <v>151478.5</v>
      </c>
      <c r="N2242" s="25">
        <f>IFERROR(T_reg.root.SK[[#This Row],[Price]]/T_reg.root.SK[[#This Row],[Starch content]],"")</f>
        <v>13.56343709566938</v>
      </c>
    </row>
    <row r="2243" spans="1:14">
      <c r="A2243" s="21">
        <v>2024</v>
      </c>
      <c r="B2243" s="21" t="s">
        <v>17</v>
      </c>
      <c r="C2243" s="21" t="s">
        <v>1145</v>
      </c>
      <c r="D2243" s="21" t="s">
        <v>35</v>
      </c>
      <c r="E2243" s="17" t="s">
        <v>688</v>
      </c>
      <c r="F2243" s="18" t="s">
        <v>187</v>
      </c>
      <c r="G2243" s="18" t="s">
        <v>48</v>
      </c>
      <c r="H2243" s="24">
        <v>26340</v>
      </c>
      <c r="I2243" s="24">
        <f>T_reg.root.SK[[#This Row],[Volume, kg]]/1000</f>
        <v>26.34</v>
      </c>
      <c r="J2243" s="25">
        <v>0.24589999999999995</v>
      </c>
      <c r="K2243" s="25">
        <f t="shared" ref="K2243:K2306" si="35">H2243*J2243</f>
        <v>6477.0059999999985</v>
      </c>
      <c r="L2243" s="25">
        <v>3.7778663629460896</v>
      </c>
      <c r="M2243" s="24">
        <v>99509</v>
      </c>
      <c r="N2243" s="25">
        <f>IFERROR(T_reg.root.SK[[#This Row],[Price]]/T_reg.root.SK[[#This Row],[Starch content]],"")</f>
        <v>15.363425632151648</v>
      </c>
    </row>
    <row r="2244" spans="1:14">
      <c r="A2244" s="21">
        <v>2024</v>
      </c>
      <c r="B2244" s="21" t="s">
        <v>17</v>
      </c>
      <c r="C2244" s="21" t="s">
        <v>1145</v>
      </c>
      <c r="D2244" s="21" t="s">
        <v>35</v>
      </c>
      <c r="E2244" s="17" t="s">
        <v>330</v>
      </c>
      <c r="F2244" s="18" t="s">
        <v>187</v>
      </c>
      <c r="G2244" s="18" t="s">
        <v>48</v>
      </c>
      <c r="H2244" s="24">
        <v>5780</v>
      </c>
      <c r="I2244" s="24">
        <f>T_reg.root.SK[[#This Row],[Volume, kg]]/1000</f>
        <v>5.78</v>
      </c>
      <c r="J2244" s="25">
        <v>0.28949999999999998</v>
      </c>
      <c r="K2244" s="25">
        <f t="shared" si="35"/>
        <v>1673.31</v>
      </c>
      <c r="L2244" s="25">
        <v>4.05</v>
      </c>
      <c r="M2244" s="24">
        <v>23409</v>
      </c>
      <c r="N2244" s="25">
        <f>IFERROR(T_reg.root.SK[[#This Row],[Price]]/T_reg.root.SK[[#This Row],[Starch content]],"")</f>
        <v>13.989637305699482</v>
      </c>
    </row>
    <row r="2245" spans="1:14">
      <c r="A2245" s="21">
        <v>2024</v>
      </c>
      <c r="B2245" s="21" t="s">
        <v>17</v>
      </c>
      <c r="C2245" s="21" t="s">
        <v>1145</v>
      </c>
      <c r="D2245" s="21" t="s">
        <v>35</v>
      </c>
      <c r="E2245" s="17" t="s">
        <v>262</v>
      </c>
      <c r="F2245" s="18" t="s">
        <v>187</v>
      </c>
      <c r="G2245" s="18" t="s">
        <v>48</v>
      </c>
      <c r="H2245" s="24">
        <v>6740</v>
      </c>
      <c r="I2245" s="24">
        <f>T_reg.root.SK[[#This Row],[Volume, kg]]/1000</f>
        <v>6.74</v>
      </c>
      <c r="J2245" s="25">
        <v>0.2175</v>
      </c>
      <c r="K2245" s="25">
        <f t="shared" si="35"/>
        <v>1465.95</v>
      </c>
      <c r="L2245" s="25">
        <v>3.65</v>
      </c>
      <c r="M2245" s="24">
        <v>24601</v>
      </c>
      <c r="N2245" s="25">
        <f>IFERROR(T_reg.root.SK[[#This Row],[Price]]/T_reg.root.SK[[#This Row],[Starch content]],"")</f>
        <v>16.7816091954023</v>
      </c>
    </row>
    <row r="2246" spans="1:14">
      <c r="A2246" s="21">
        <v>2024</v>
      </c>
      <c r="B2246" s="21" t="s">
        <v>17</v>
      </c>
      <c r="C2246" s="21" t="s">
        <v>1145</v>
      </c>
      <c r="D2246" s="21" t="s">
        <v>35</v>
      </c>
      <c r="E2246" s="17" t="s">
        <v>195</v>
      </c>
      <c r="F2246" s="18" t="s">
        <v>187</v>
      </c>
      <c r="G2246" s="18" t="s">
        <v>48</v>
      </c>
      <c r="H2246" s="24">
        <v>9200</v>
      </c>
      <c r="I2246" s="24">
        <f>T_reg.root.SK[[#This Row],[Volume, kg]]/1000</f>
        <v>9.1999999999999993</v>
      </c>
      <c r="J2246" s="25">
        <v>0.23400000000000001</v>
      </c>
      <c r="K2246" s="25">
        <f t="shared" si="35"/>
        <v>2152.8000000000002</v>
      </c>
      <c r="L2246" s="25">
        <v>3.8</v>
      </c>
      <c r="M2246" s="24">
        <v>34960</v>
      </c>
      <c r="N2246" s="25">
        <f>IFERROR(T_reg.root.SK[[#This Row],[Price]]/T_reg.root.SK[[#This Row],[Starch content]],"")</f>
        <v>16.239316239316238</v>
      </c>
    </row>
    <row r="2247" spans="1:14">
      <c r="A2247" s="21">
        <v>2024</v>
      </c>
      <c r="B2247" s="21" t="s">
        <v>17</v>
      </c>
      <c r="C2247" s="21" t="s">
        <v>1145</v>
      </c>
      <c r="D2247" s="21" t="s">
        <v>35</v>
      </c>
      <c r="E2247" s="17" t="s">
        <v>196</v>
      </c>
      <c r="F2247" s="18" t="s">
        <v>187</v>
      </c>
      <c r="G2247" s="18" t="s">
        <v>48</v>
      </c>
      <c r="H2247" s="24">
        <v>83780</v>
      </c>
      <c r="I2247" s="24">
        <f>T_reg.root.SK[[#This Row],[Volume, kg]]/1000</f>
        <v>83.78</v>
      </c>
      <c r="J2247" s="25">
        <v>0.26150000000000001</v>
      </c>
      <c r="K2247" s="25">
        <f t="shared" si="35"/>
        <v>21908.47</v>
      </c>
      <c r="L2247" s="25">
        <v>3.8712580568154693</v>
      </c>
      <c r="M2247" s="24">
        <v>324334</v>
      </c>
      <c r="N2247" s="25">
        <f>IFERROR(T_reg.root.SK[[#This Row],[Price]]/T_reg.root.SK[[#This Row],[Starch content]],"")</f>
        <v>14.804046106368906</v>
      </c>
    </row>
    <row r="2248" spans="1:14">
      <c r="A2248" s="21">
        <v>2024</v>
      </c>
      <c r="B2248" s="21" t="s">
        <v>17</v>
      </c>
      <c r="C2248" s="21" t="s">
        <v>1145</v>
      </c>
      <c r="D2248" s="21" t="s">
        <v>35</v>
      </c>
      <c r="E2248" s="17" t="s">
        <v>200</v>
      </c>
      <c r="F2248" s="18" t="s">
        <v>187</v>
      </c>
      <c r="G2248" s="18" t="s">
        <v>48</v>
      </c>
      <c r="H2248" s="24">
        <v>10010</v>
      </c>
      <c r="I2248" s="24">
        <f>T_reg.root.SK[[#This Row],[Volume, kg]]/1000</f>
        <v>10.01</v>
      </c>
      <c r="J2248" s="25">
        <v>0.24149999999999999</v>
      </c>
      <c r="K2248" s="25">
        <f t="shared" si="35"/>
        <v>2417.415</v>
      </c>
      <c r="L2248" s="25">
        <v>3.95</v>
      </c>
      <c r="M2248" s="24">
        <v>39539.5</v>
      </c>
      <c r="N2248" s="25">
        <f>IFERROR(T_reg.root.SK[[#This Row],[Price]]/T_reg.root.SK[[#This Row],[Starch content]],"")</f>
        <v>16.356107660455489</v>
      </c>
    </row>
    <row r="2249" spans="1:14">
      <c r="A2249" s="21">
        <v>2024</v>
      </c>
      <c r="B2249" s="21" t="s">
        <v>17</v>
      </c>
      <c r="C2249" s="21" t="s">
        <v>1145</v>
      </c>
      <c r="D2249" s="21" t="s">
        <v>35</v>
      </c>
      <c r="E2249" s="17" t="s">
        <v>530</v>
      </c>
      <c r="F2249" s="18" t="s">
        <v>187</v>
      </c>
      <c r="G2249" s="18" t="s">
        <v>48</v>
      </c>
      <c r="H2249" s="24">
        <v>17620</v>
      </c>
      <c r="I2249" s="24">
        <f>T_reg.root.SK[[#This Row],[Volume, kg]]/1000</f>
        <v>17.62</v>
      </c>
      <c r="J2249" s="25">
        <v>0.27610000000000001</v>
      </c>
      <c r="K2249" s="25">
        <f t="shared" si="35"/>
        <v>4864.8820000000005</v>
      </c>
      <c r="L2249" s="25">
        <v>3.9243189557321227</v>
      </c>
      <c r="M2249" s="24">
        <v>69146.5</v>
      </c>
      <c r="N2249" s="25">
        <f>IFERROR(T_reg.root.SK[[#This Row],[Price]]/T_reg.root.SK[[#This Row],[Starch content]],"")</f>
        <v>14.213397159478895</v>
      </c>
    </row>
    <row r="2250" spans="1:14">
      <c r="A2250" s="21">
        <v>2024</v>
      </c>
      <c r="B2250" s="21" t="s">
        <v>17</v>
      </c>
      <c r="C2250" s="21" t="s">
        <v>1145</v>
      </c>
      <c r="D2250" s="21" t="s">
        <v>35</v>
      </c>
      <c r="E2250" s="17" t="s">
        <v>210</v>
      </c>
      <c r="F2250" s="18" t="s">
        <v>187</v>
      </c>
      <c r="G2250" s="18" t="s">
        <v>48</v>
      </c>
      <c r="H2250" s="24">
        <v>49510</v>
      </c>
      <c r="I2250" s="24">
        <f>T_reg.root.SK[[#This Row],[Volume, kg]]/1000</f>
        <v>49.51</v>
      </c>
      <c r="J2250" s="25">
        <v>0.25509999999999999</v>
      </c>
      <c r="K2250" s="25">
        <f t="shared" si="35"/>
        <v>12630.001</v>
      </c>
      <c r="L2250" s="25">
        <v>3.8702484346596648</v>
      </c>
      <c r="M2250" s="24">
        <v>191616</v>
      </c>
      <c r="N2250" s="25">
        <f>IFERROR(T_reg.root.SK[[#This Row],[Price]]/T_reg.root.SK[[#This Row],[Starch content]],"")</f>
        <v>15.171495235827773</v>
      </c>
    </row>
    <row r="2251" spans="1:14">
      <c r="A2251" s="21">
        <v>2024</v>
      </c>
      <c r="B2251" s="21" t="s">
        <v>17</v>
      </c>
      <c r="C2251" s="21" t="s">
        <v>1145</v>
      </c>
      <c r="D2251" s="21" t="s">
        <v>35</v>
      </c>
      <c r="E2251" s="17" t="s">
        <v>689</v>
      </c>
      <c r="F2251" s="18" t="s">
        <v>187</v>
      </c>
      <c r="G2251" s="18" t="s">
        <v>48</v>
      </c>
      <c r="H2251" s="24">
        <v>57010</v>
      </c>
      <c r="I2251" s="24">
        <f>T_reg.root.SK[[#This Row],[Volume, kg]]/1000</f>
        <v>57.01</v>
      </c>
      <c r="J2251" s="25">
        <v>0.27640000000000003</v>
      </c>
      <c r="K2251" s="25">
        <f t="shared" si="35"/>
        <v>15757.564000000002</v>
      </c>
      <c r="L2251" s="25">
        <v>3.9819593053850202</v>
      </c>
      <c r="M2251" s="24">
        <v>227011.5</v>
      </c>
      <c r="N2251" s="25">
        <f>IFERROR(T_reg.root.SK[[#This Row],[Price]]/T_reg.root.SK[[#This Row],[Starch content]],"")</f>
        <v>14.406509787934224</v>
      </c>
    </row>
    <row r="2252" spans="1:14">
      <c r="A2252" s="21">
        <v>2024</v>
      </c>
      <c r="B2252" s="21" t="s">
        <v>17</v>
      </c>
      <c r="C2252" s="21" t="s">
        <v>1145</v>
      </c>
      <c r="D2252" s="21" t="s">
        <v>35</v>
      </c>
      <c r="E2252" s="17" t="s">
        <v>209</v>
      </c>
      <c r="F2252" s="18" t="s">
        <v>187</v>
      </c>
      <c r="G2252" s="18" t="s">
        <v>48</v>
      </c>
      <c r="H2252" s="24">
        <v>73570</v>
      </c>
      <c r="I2252" s="24">
        <f>T_reg.root.SK[[#This Row],[Volume, kg]]/1000</f>
        <v>73.569999999999993</v>
      </c>
      <c r="J2252" s="25">
        <v>0.26510000000000006</v>
      </c>
      <c r="K2252" s="25">
        <f t="shared" si="35"/>
        <v>19503.407000000003</v>
      </c>
      <c r="L2252" s="25">
        <v>3.8970164469212993</v>
      </c>
      <c r="M2252" s="24">
        <v>286703.5</v>
      </c>
      <c r="N2252" s="25">
        <f>IFERROR(T_reg.root.SK[[#This Row],[Price]]/T_reg.root.SK[[#This Row],[Starch content]],"")</f>
        <v>14.700175205285925</v>
      </c>
    </row>
    <row r="2253" spans="1:14">
      <c r="A2253" s="21">
        <v>2024</v>
      </c>
      <c r="B2253" s="21" t="s">
        <v>17</v>
      </c>
      <c r="C2253" s="21" t="s">
        <v>1145</v>
      </c>
      <c r="D2253" s="21" t="s">
        <v>35</v>
      </c>
      <c r="E2253" s="17" t="s">
        <v>537</v>
      </c>
      <c r="F2253" s="18" t="s">
        <v>187</v>
      </c>
      <c r="G2253" s="18" t="s">
        <v>48</v>
      </c>
      <c r="H2253" s="24">
        <v>18820</v>
      </c>
      <c r="I2253" s="24">
        <f>T_reg.root.SK[[#This Row],[Volume, kg]]/1000</f>
        <v>18.82</v>
      </c>
      <c r="J2253" s="25">
        <v>0.28899999999999998</v>
      </c>
      <c r="K2253" s="25">
        <f t="shared" si="35"/>
        <v>5438.98</v>
      </c>
      <c r="L2253" s="25">
        <v>4</v>
      </c>
      <c r="M2253" s="24">
        <v>75280</v>
      </c>
      <c r="N2253" s="25">
        <f>IFERROR(T_reg.root.SK[[#This Row],[Price]]/T_reg.root.SK[[#This Row],[Starch content]],"")</f>
        <v>13.84083044982699</v>
      </c>
    </row>
    <row r="2254" spans="1:14">
      <c r="A2254" s="21">
        <v>2024</v>
      </c>
      <c r="B2254" s="21" t="s">
        <v>17</v>
      </c>
      <c r="C2254" s="21" t="s">
        <v>1145</v>
      </c>
      <c r="D2254" s="21" t="s">
        <v>35</v>
      </c>
      <c r="E2254" s="17" t="s">
        <v>186</v>
      </c>
      <c r="F2254" s="18" t="s">
        <v>187</v>
      </c>
      <c r="G2254" s="18" t="s">
        <v>48</v>
      </c>
      <c r="H2254" s="24">
        <v>40890</v>
      </c>
      <c r="I2254" s="24">
        <f>T_reg.root.SK[[#This Row],[Volume, kg]]/1000</f>
        <v>40.89</v>
      </c>
      <c r="J2254" s="25">
        <v>0.25240000000000001</v>
      </c>
      <c r="K2254" s="25">
        <f t="shared" si="35"/>
        <v>10320.636</v>
      </c>
      <c r="L2254" s="25">
        <v>3.8011494252873561</v>
      </c>
      <c r="M2254" s="24">
        <v>155429</v>
      </c>
      <c r="N2254" s="25">
        <f>IFERROR(T_reg.root.SK[[#This Row],[Price]]/T_reg.root.SK[[#This Row],[Starch content]],"")</f>
        <v>15.060021494799351</v>
      </c>
    </row>
    <row r="2255" spans="1:14">
      <c r="A2255" s="21">
        <v>2024</v>
      </c>
      <c r="B2255" s="21" t="s">
        <v>17</v>
      </c>
      <c r="C2255" s="21" t="s">
        <v>1145</v>
      </c>
      <c r="D2255" s="21" t="s">
        <v>35</v>
      </c>
      <c r="E2255" s="17" t="s">
        <v>370</v>
      </c>
      <c r="F2255" s="18" t="s">
        <v>187</v>
      </c>
      <c r="G2255" s="18" t="s">
        <v>48</v>
      </c>
      <c r="H2255" s="24">
        <v>275490</v>
      </c>
      <c r="I2255" s="24">
        <f>T_reg.root.SK[[#This Row],[Volume, kg]]/1000</f>
        <v>275.49</v>
      </c>
      <c r="J2255" s="25">
        <v>0.26669999999999999</v>
      </c>
      <c r="K2255" s="25">
        <f t="shared" si="35"/>
        <v>73473.183000000005</v>
      </c>
      <c r="L2255" s="25">
        <v>3.9324331191694797</v>
      </c>
      <c r="M2255" s="24">
        <v>1083346</v>
      </c>
      <c r="N2255" s="25">
        <f>IFERROR(T_reg.root.SK[[#This Row],[Price]]/T_reg.root.SK[[#This Row],[Starch content]],"")</f>
        <v>14.744781099248144</v>
      </c>
    </row>
    <row r="2256" spans="1:14">
      <c r="A2256" s="21">
        <v>2024</v>
      </c>
      <c r="B2256" s="21" t="s">
        <v>17</v>
      </c>
      <c r="C2256" s="21" t="s">
        <v>1145</v>
      </c>
      <c r="D2256" s="21" t="s">
        <v>35</v>
      </c>
      <c r="E2256" s="17" t="s">
        <v>514</v>
      </c>
      <c r="F2256" s="18" t="s">
        <v>187</v>
      </c>
      <c r="G2256" s="18" t="s">
        <v>48</v>
      </c>
      <c r="H2256" s="24">
        <v>74300</v>
      </c>
      <c r="I2256" s="24">
        <f>T_reg.root.SK[[#This Row],[Volume, kg]]/1000</f>
        <v>74.3</v>
      </c>
      <c r="J2256" s="25">
        <v>0.24624086137281292</v>
      </c>
      <c r="K2256" s="25">
        <f t="shared" si="35"/>
        <v>18295.696</v>
      </c>
      <c r="L2256" s="25">
        <v>3.8594818304172276</v>
      </c>
      <c r="M2256" s="24">
        <v>286759.5</v>
      </c>
      <c r="N2256" s="25">
        <f>IFERROR(T_reg.root.SK[[#This Row],[Price]]/T_reg.root.SK[[#This Row],[Starch content]],"")</f>
        <v>15.673604327487732</v>
      </c>
    </row>
    <row r="2257" spans="1:14">
      <c r="A2257" s="21">
        <v>2024</v>
      </c>
      <c r="B2257" s="21" t="s">
        <v>17</v>
      </c>
      <c r="C2257" s="21" t="s">
        <v>1145</v>
      </c>
      <c r="D2257" s="21" t="s">
        <v>35</v>
      </c>
      <c r="E2257" s="17" t="s">
        <v>192</v>
      </c>
      <c r="F2257" s="18" t="s">
        <v>187</v>
      </c>
      <c r="G2257" s="18" t="s">
        <v>48</v>
      </c>
      <c r="H2257" s="24">
        <v>72440</v>
      </c>
      <c r="I2257" s="24">
        <f>T_reg.root.SK[[#This Row],[Volume, kg]]/1000</f>
        <v>72.44</v>
      </c>
      <c r="J2257" s="25">
        <v>0.25390000000000001</v>
      </c>
      <c r="K2257" s="25">
        <f t="shared" si="35"/>
        <v>18392.516</v>
      </c>
      <c r="L2257" s="25">
        <v>3.8672487575924905</v>
      </c>
      <c r="M2257" s="24">
        <v>280143.5</v>
      </c>
      <c r="N2257" s="25">
        <f>IFERROR(T_reg.root.SK[[#This Row],[Price]]/T_reg.root.SK[[#This Row],[Starch content]],"")</f>
        <v>15.231385417851477</v>
      </c>
    </row>
    <row r="2258" spans="1:14">
      <c r="A2258" s="21">
        <v>2024</v>
      </c>
      <c r="B2258" s="21" t="s">
        <v>17</v>
      </c>
      <c r="C2258" s="21" t="s">
        <v>1145</v>
      </c>
      <c r="D2258" s="21" t="s">
        <v>35</v>
      </c>
      <c r="E2258" s="17" t="s">
        <v>261</v>
      </c>
      <c r="F2258" s="18" t="s">
        <v>187</v>
      </c>
      <c r="G2258" s="18" t="s">
        <v>48</v>
      </c>
      <c r="H2258" s="24">
        <v>38620</v>
      </c>
      <c r="I2258" s="24">
        <f>T_reg.root.SK[[#This Row],[Volume, kg]]/1000</f>
        <v>38.619999999999997</v>
      </c>
      <c r="J2258" s="25">
        <v>0.26469999999999999</v>
      </c>
      <c r="K2258" s="25">
        <f t="shared" si="35"/>
        <v>10222.714</v>
      </c>
      <c r="L2258" s="25">
        <v>3.8786380113930607</v>
      </c>
      <c r="M2258" s="24">
        <v>149793</v>
      </c>
      <c r="N2258" s="25">
        <f>IFERROR(T_reg.root.SK[[#This Row],[Price]]/T_reg.root.SK[[#This Row],[Starch content]],"")</f>
        <v>14.652958108776202</v>
      </c>
    </row>
    <row r="2259" spans="1:14">
      <c r="A2259" s="21">
        <v>2024</v>
      </c>
      <c r="B2259" s="21" t="s">
        <v>17</v>
      </c>
      <c r="C2259" s="21" t="s">
        <v>1145</v>
      </c>
      <c r="D2259" s="21" t="s">
        <v>35</v>
      </c>
      <c r="E2259" s="17" t="s">
        <v>193</v>
      </c>
      <c r="F2259" s="18" t="s">
        <v>187</v>
      </c>
      <c r="G2259" s="18" t="s">
        <v>48</v>
      </c>
      <c r="H2259" s="24">
        <v>68690</v>
      </c>
      <c r="I2259" s="24">
        <f>T_reg.root.SK[[#This Row],[Volume, kg]]/1000</f>
        <v>68.69</v>
      </c>
      <c r="J2259" s="25">
        <v>0.22460000000000002</v>
      </c>
      <c r="K2259" s="25">
        <f t="shared" si="35"/>
        <v>15427.774000000001</v>
      </c>
      <c r="L2259" s="25">
        <v>3.697015577231038</v>
      </c>
      <c r="M2259" s="24">
        <v>253948</v>
      </c>
      <c r="N2259" s="25">
        <f>IFERROR(T_reg.root.SK[[#This Row],[Price]]/T_reg.root.SK[[#This Row],[Starch content]],"")</f>
        <v>16.460443353655556</v>
      </c>
    </row>
    <row r="2260" spans="1:14">
      <c r="A2260" s="21">
        <v>2024</v>
      </c>
      <c r="B2260" s="21" t="s">
        <v>17</v>
      </c>
      <c r="C2260" s="21" t="s">
        <v>1145</v>
      </c>
      <c r="D2260" s="21" t="s">
        <v>35</v>
      </c>
      <c r="E2260" s="17" t="s">
        <v>194</v>
      </c>
      <c r="F2260" s="18" t="s">
        <v>187</v>
      </c>
      <c r="G2260" s="18" t="s">
        <v>48</v>
      </c>
      <c r="H2260" s="24">
        <v>37870</v>
      </c>
      <c r="I2260" s="24">
        <f>T_reg.root.SK[[#This Row],[Volume, kg]]/1000</f>
        <v>37.869999999999997</v>
      </c>
      <c r="J2260" s="25">
        <v>0.26756535516239766</v>
      </c>
      <c r="K2260" s="25">
        <f t="shared" si="35"/>
        <v>10132.699999999999</v>
      </c>
      <c r="L2260" s="25">
        <v>4.021494586744125</v>
      </c>
      <c r="M2260" s="24">
        <v>152294</v>
      </c>
      <c r="N2260" s="25">
        <f>IFERROR(T_reg.root.SK[[#This Row],[Price]]/T_reg.root.SK[[#This Row],[Starch content]],"")</f>
        <v>15.02995252992786</v>
      </c>
    </row>
    <row r="2261" spans="1:14">
      <c r="A2261" s="21">
        <v>2024</v>
      </c>
      <c r="B2261" s="21" t="s">
        <v>17</v>
      </c>
      <c r="C2261" s="21" t="s">
        <v>1145</v>
      </c>
      <c r="D2261" s="21" t="s">
        <v>35</v>
      </c>
      <c r="E2261" s="17" t="s">
        <v>587</v>
      </c>
      <c r="F2261" s="18" t="s">
        <v>187</v>
      </c>
      <c r="G2261" s="18" t="s">
        <v>48</v>
      </c>
      <c r="H2261" s="24">
        <v>39640</v>
      </c>
      <c r="I2261" s="24">
        <f>T_reg.root.SK[[#This Row],[Volume, kg]]/1000</f>
        <v>39.64</v>
      </c>
      <c r="J2261" s="25">
        <v>0.24489999999999998</v>
      </c>
      <c r="K2261" s="25">
        <f t="shared" si="35"/>
        <v>9707.8359999999993</v>
      </c>
      <c r="L2261" s="25">
        <v>3.7757568113017155</v>
      </c>
      <c r="M2261" s="24">
        <v>149671</v>
      </c>
      <c r="N2261" s="25">
        <f>IFERROR(T_reg.root.SK[[#This Row],[Price]]/T_reg.root.SK[[#This Row],[Starch content]],"")</f>
        <v>15.417545166605619</v>
      </c>
    </row>
    <row r="2262" spans="1:14">
      <c r="A2262" s="21">
        <v>2024</v>
      </c>
      <c r="B2262" s="21" t="s">
        <v>17</v>
      </c>
      <c r="C2262" s="21" t="s">
        <v>1145</v>
      </c>
      <c r="D2262" s="21" t="s">
        <v>35</v>
      </c>
      <c r="E2262" s="17" t="s">
        <v>331</v>
      </c>
      <c r="F2262" s="18" t="s">
        <v>187</v>
      </c>
      <c r="G2262" s="18" t="s">
        <v>48</v>
      </c>
      <c r="H2262" s="24">
        <v>22460</v>
      </c>
      <c r="I2262" s="24">
        <f>T_reg.root.SK[[#This Row],[Volume, kg]]/1000</f>
        <v>22.46</v>
      </c>
      <c r="J2262" s="25">
        <v>0.24640000000000001</v>
      </c>
      <c r="K2262" s="25">
        <f t="shared" si="35"/>
        <v>5534.1440000000002</v>
      </c>
      <c r="L2262" s="25">
        <v>3.842008014247551</v>
      </c>
      <c r="M2262" s="24">
        <v>86291.5</v>
      </c>
      <c r="N2262" s="25">
        <f>IFERROR(T_reg.root.SK[[#This Row],[Price]]/T_reg.root.SK[[#This Row],[Starch content]],"")</f>
        <v>15.592564992887787</v>
      </c>
    </row>
    <row r="2263" spans="1:14">
      <c r="A2263" s="21">
        <v>2024</v>
      </c>
      <c r="B2263" s="21" t="s">
        <v>17</v>
      </c>
      <c r="C2263" s="21" t="s">
        <v>1145</v>
      </c>
      <c r="D2263" s="21" t="s">
        <v>35</v>
      </c>
      <c r="E2263" s="17" t="s">
        <v>516</v>
      </c>
      <c r="F2263" s="18" t="s">
        <v>187</v>
      </c>
      <c r="G2263" s="18" t="s">
        <v>48</v>
      </c>
      <c r="H2263" s="24">
        <v>9980</v>
      </c>
      <c r="I2263" s="24">
        <f>T_reg.root.SK[[#This Row],[Volume, kg]]/1000</f>
        <v>9.98</v>
      </c>
      <c r="J2263" s="25">
        <v>0.214</v>
      </c>
      <c r="K2263" s="25">
        <f t="shared" si="35"/>
        <v>2135.7199999999998</v>
      </c>
      <c r="L2263" s="25">
        <v>3.8</v>
      </c>
      <c r="M2263" s="24">
        <v>37924</v>
      </c>
      <c r="N2263" s="25">
        <f>IFERROR(T_reg.root.SK[[#This Row],[Price]]/T_reg.root.SK[[#This Row],[Starch content]],"")</f>
        <v>17.75700934579439</v>
      </c>
    </row>
    <row r="2264" spans="1:14">
      <c r="A2264" s="21">
        <v>2024</v>
      </c>
      <c r="B2264" s="21" t="s">
        <v>17</v>
      </c>
      <c r="C2264" s="21" t="s">
        <v>1145</v>
      </c>
      <c r="D2264" s="21" t="s">
        <v>35</v>
      </c>
      <c r="E2264" s="17" t="s">
        <v>519</v>
      </c>
      <c r="F2264" s="18" t="s">
        <v>187</v>
      </c>
      <c r="G2264" s="18" t="s">
        <v>48</v>
      </c>
      <c r="H2264" s="24">
        <v>25370</v>
      </c>
      <c r="I2264" s="24">
        <f>T_reg.root.SK[[#This Row],[Volume, kg]]/1000</f>
        <v>25.37</v>
      </c>
      <c r="J2264" s="25">
        <v>0.27502179739850219</v>
      </c>
      <c r="K2264" s="25">
        <f t="shared" si="35"/>
        <v>6977.3030000000008</v>
      </c>
      <c r="L2264" s="25">
        <v>4.0092037839968464</v>
      </c>
      <c r="M2264" s="24">
        <v>101713.5</v>
      </c>
      <c r="N2264" s="25">
        <f>IFERROR(T_reg.root.SK[[#This Row],[Price]]/T_reg.root.SK[[#This Row],[Starch content]],"")</f>
        <v>14.577767369426265</v>
      </c>
    </row>
    <row r="2265" spans="1:14">
      <c r="A2265" s="21">
        <v>2024</v>
      </c>
      <c r="B2265" s="21" t="s">
        <v>17</v>
      </c>
      <c r="C2265" s="21" t="s">
        <v>1145</v>
      </c>
      <c r="D2265" s="21" t="s">
        <v>35</v>
      </c>
      <c r="E2265" s="17" t="s">
        <v>610</v>
      </c>
      <c r="F2265" s="18" t="s">
        <v>187</v>
      </c>
      <c r="G2265" s="18" t="s">
        <v>48</v>
      </c>
      <c r="H2265" s="24">
        <v>30640</v>
      </c>
      <c r="I2265" s="24">
        <f>T_reg.root.SK[[#This Row],[Volume, kg]]/1000</f>
        <v>30.64</v>
      </c>
      <c r="J2265" s="25">
        <v>0.24769999999999995</v>
      </c>
      <c r="K2265" s="25">
        <f t="shared" si="35"/>
        <v>7589.5279999999984</v>
      </c>
      <c r="L2265" s="25">
        <v>3.8245920365535246</v>
      </c>
      <c r="M2265" s="24">
        <v>117185.5</v>
      </c>
      <c r="N2265" s="25">
        <f>IFERROR(T_reg.root.SK[[#This Row],[Price]]/T_reg.root.SK[[#This Row],[Starch content]],"")</f>
        <v>15.440420010308944</v>
      </c>
    </row>
    <row r="2266" spans="1:14">
      <c r="A2266" s="21">
        <v>2024</v>
      </c>
      <c r="B2266" s="21" t="s">
        <v>17</v>
      </c>
      <c r="C2266" s="21" t="s">
        <v>1145</v>
      </c>
      <c r="D2266" s="21" t="s">
        <v>35</v>
      </c>
      <c r="E2266" s="17" t="s">
        <v>407</v>
      </c>
      <c r="F2266" s="18" t="s">
        <v>187</v>
      </c>
      <c r="G2266" s="18" t="s">
        <v>48</v>
      </c>
      <c r="H2266" s="24">
        <v>33410</v>
      </c>
      <c r="I2266" s="24">
        <f>T_reg.root.SK[[#This Row],[Volume, kg]]/1000</f>
        <v>33.409999999999997</v>
      </c>
      <c r="J2266" s="25">
        <v>0.28949999999999998</v>
      </c>
      <c r="K2266" s="25">
        <f t="shared" si="35"/>
        <v>9672.1949999999997</v>
      </c>
      <c r="L2266" s="25">
        <v>3.9971116432205926</v>
      </c>
      <c r="M2266" s="24">
        <v>133543.5</v>
      </c>
      <c r="N2266" s="25">
        <f>IFERROR(T_reg.root.SK[[#This Row],[Price]]/T_reg.root.SK[[#This Row],[Starch content]],"")</f>
        <v>13.806948681245572</v>
      </c>
    </row>
    <row r="2267" spans="1:14">
      <c r="A2267" s="21">
        <v>2024</v>
      </c>
      <c r="B2267" s="21" t="s">
        <v>17</v>
      </c>
      <c r="C2267" s="21" t="s">
        <v>1145</v>
      </c>
      <c r="D2267" s="21" t="s">
        <v>35</v>
      </c>
      <c r="E2267" s="17" t="s">
        <v>590</v>
      </c>
      <c r="F2267" s="18" t="s">
        <v>187</v>
      </c>
      <c r="G2267" s="18" t="s">
        <v>48</v>
      </c>
      <c r="H2267" s="24">
        <v>18020</v>
      </c>
      <c r="I2267" s="24">
        <f>T_reg.root.SK[[#This Row],[Volume, kg]]/1000</f>
        <v>18.02</v>
      </c>
      <c r="J2267" s="25">
        <v>0.2268749167591565</v>
      </c>
      <c r="K2267" s="25">
        <f t="shared" si="35"/>
        <v>4088.2860000000001</v>
      </c>
      <c r="L2267" s="25">
        <v>3.750443951165372</v>
      </c>
      <c r="M2267" s="24">
        <v>67583</v>
      </c>
      <c r="N2267" s="25">
        <f>IFERROR(T_reg.root.SK[[#This Row],[Price]]/T_reg.root.SK[[#This Row],[Starch content]],"")</f>
        <v>16.530888494591622</v>
      </c>
    </row>
    <row r="2268" spans="1:14">
      <c r="A2268" s="21">
        <v>2024</v>
      </c>
      <c r="B2268" s="21" t="s">
        <v>17</v>
      </c>
      <c r="C2268" s="21" t="s">
        <v>1145</v>
      </c>
      <c r="D2268" s="21" t="s">
        <v>35</v>
      </c>
      <c r="E2268" s="17" t="s">
        <v>524</v>
      </c>
      <c r="F2268" s="18" t="s">
        <v>187</v>
      </c>
      <c r="G2268" s="18" t="s">
        <v>48</v>
      </c>
      <c r="H2268" s="24">
        <v>151620</v>
      </c>
      <c r="I2268" s="24">
        <f>T_reg.root.SK[[#This Row],[Volume, kg]]/1000</f>
        <v>151.62</v>
      </c>
      <c r="J2268" s="25">
        <v>0.28499999999999998</v>
      </c>
      <c r="K2268" s="25">
        <f t="shared" si="35"/>
        <v>43211.7</v>
      </c>
      <c r="L2268" s="25">
        <v>4.0255606120564567</v>
      </c>
      <c r="M2268" s="24">
        <v>610355.5</v>
      </c>
      <c r="N2268" s="25">
        <f>IFERROR(T_reg.root.SK[[#This Row],[Price]]/T_reg.root.SK[[#This Row],[Starch content]],"")</f>
        <v>14.124774077391077</v>
      </c>
    </row>
    <row r="2269" spans="1:14">
      <c r="A2269" s="21">
        <v>2024</v>
      </c>
      <c r="B2269" s="21" t="s">
        <v>17</v>
      </c>
      <c r="C2269" s="21" t="s">
        <v>1145</v>
      </c>
      <c r="D2269" s="21" t="s">
        <v>35</v>
      </c>
      <c r="E2269" s="17" t="s">
        <v>525</v>
      </c>
      <c r="F2269" s="18" t="s">
        <v>187</v>
      </c>
      <c r="G2269" s="18" t="s">
        <v>48</v>
      </c>
      <c r="H2269" s="24">
        <v>207050</v>
      </c>
      <c r="I2269" s="24">
        <f>T_reg.root.SK[[#This Row],[Volume, kg]]/1000</f>
        <v>207.05</v>
      </c>
      <c r="J2269" s="25">
        <v>0.2828</v>
      </c>
      <c r="K2269" s="25">
        <f t="shared" si="35"/>
        <v>58553.74</v>
      </c>
      <c r="L2269" s="25">
        <v>3.9922216855831927</v>
      </c>
      <c r="M2269" s="24">
        <v>826589.5</v>
      </c>
      <c r="N2269" s="25">
        <f>IFERROR(T_reg.root.SK[[#This Row],[Price]]/T_reg.root.SK[[#This Row],[Starch content]],"")</f>
        <v>14.116766922147075</v>
      </c>
    </row>
    <row r="2270" spans="1:14">
      <c r="A2270" s="21">
        <v>2024</v>
      </c>
      <c r="B2270" s="21" t="s">
        <v>17</v>
      </c>
      <c r="C2270" s="21" t="s">
        <v>1145</v>
      </c>
      <c r="D2270" s="21" t="s">
        <v>35</v>
      </c>
      <c r="E2270" s="17" t="s">
        <v>201</v>
      </c>
      <c r="F2270" s="18" t="s">
        <v>187</v>
      </c>
      <c r="G2270" s="18" t="s">
        <v>48</v>
      </c>
      <c r="H2270" s="24">
        <v>91690</v>
      </c>
      <c r="I2270" s="24">
        <f>T_reg.root.SK[[#This Row],[Volume, kg]]/1000</f>
        <v>91.69</v>
      </c>
      <c r="J2270" s="25">
        <v>0.25600000000000001</v>
      </c>
      <c r="K2270" s="25">
        <f t="shared" si="35"/>
        <v>23472.639999999999</v>
      </c>
      <c r="L2270" s="25">
        <v>3.8520994655905771</v>
      </c>
      <c r="M2270" s="24">
        <v>353199</v>
      </c>
      <c r="N2270" s="25">
        <f>IFERROR(T_reg.root.SK[[#This Row],[Price]]/T_reg.root.SK[[#This Row],[Starch content]],"")</f>
        <v>15.047263537463191</v>
      </c>
    </row>
    <row r="2271" spans="1:14">
      <c r="A2271" s="21">
        <v>2024</v>
      </c>
      <c r="B2271" s="21" t="s">
        <v>17</v>
      </c>
      <c r="C2271" s="21" t="s">
        <v>1145</v>
      </c>
      <c r="D2271" s="21" t="s">
        <v>35</v>
      </c>
      <c r="E2271" s="17" t="s">
        <v>373</v>
      </c>
      <c r="F2271" s="18" t="s">
        <v>187</v>
      </c>
      <c r="G2271" s="18" t="s">
        <v>48</v>
      </c>
      <c r="H2271" s="24">
        <v>9490</v>
      </c>
      <c r="I2271" s="24">
        <f>T_reg.root.SK[[#This Row],[Volume, kg]]/1000</f>
        <v>9.49</v>
      </c>
      <c r="J2271" s="25">
        <v>0.22599999999999998</v>
      </c>
      <c r="K2271" s="25">
        <f t="shared" si="35"/>
        <v>2144.7399999999998</v>
      </c>
      <c r="L2271" s="25">
        <v>3.75</v>
      </c>
      <c r="M2271" s="24">
        <v>35587.5</v>
      </c>
      <c r="N2271" s="25">
        <f>IFERROR(T_reg.root.SK[[#This Row],[Price]]/T_reg.root.SK[[#This Row],[Starch content]],"")</f>
        <v>16.592920353982301</v>
      </c>
    </row>
    <row r="2272" spans="1:14">
      <c r="A2272" s="21">
        <v>2024</v>
      </c>
      <c r="B2272" s="21" t="s">
        <v>17</v>
      </c>
      <c r="C2272" s="21" t="s">
        <v>1145</v>
      </c>
      <c r="D2272" s="21" t="s">
        <v>35</v>
      </c>
      <c r="E2272" s="17" t="s">
        <v>202</v>
      </c>
      <c r="F2272" s="18" t="s">
        <v>187</v>
      </c>
      <c r="G2272" s="18" t="s">
        <v>48</v>
      </c>
      <c r="H2272" s="24">
        <v>36270</v>
      </c>
      <c r="I2272" s="24">
        <f>T_reg.root.SK[[#This Row],[Volume, kg]]/1000</f>
        <v>36.270000000000003</v>
      </c>
      <c r="J2272" s="25">
        <v>0.26890000000000003</v>
      </c>
      <c r="K2272" s="25">
        <f t="shared" si="35"/>
        <v>9753.0030000000006</v>
      </c>
      <c r="L2272" s="25">
        <v>3.9148331954783568</v>
      </c>
      <c r="M2272" s="24">
        <v>141991</v>
      </c>
      <c r="N2272" s="25">
        <f>IFERROR(T_reg.root.SK[[#This Row],[Price]]/T_reg.root.SK[[#This Row],[Starch content]],"")</f>
        <v>14.558695408993517</v>
      </c>
    </row>
    <row r="2273" spans="1:14">
      <c r="A2273" s="21">
        <v>2024</v>
      </c>
      <c r="B2273" s="21" t="s">
        <v>17</v>
      </c>
      <c r="C2273" s="21" t="s">
        <v>1145</v>
      </c>
      <c r="D2273" s="21" t="s">
        <v>35</v>
      </c>
      <c r="E2273" s="17" t="s">
        <v>594</v>
      </c>
      <c r="F2273" s="18" t="s">
        <v>187</v>
      </c>
      <c r="G2273" s="18" t="s">
        <v>48</v>
      </c>
      <c r="H2273" s="24">
        <v>9230</v>
      </c>
      <c r="I2273" s="24">
        <f>T_reg.root.SK[[#This Row],[Volume, kg]]/1000</f>
        <v>9.23</v>
      </c>
      <c r="J2273" s="25">
        <v>0.3105</v>
      </c>
      <c r="K2273" s="25">
        <f t="shared" si="35"/>
        <v>2865.915</v>
      </c>
      <c r="L2273" s="25">
        <v>4.1500000000000004</v>
      </c>
      <c r="M2273" s="24">
        <v>38304.5</v>
      </c>
      <c r="N2273" s="25">
        <f>IFERROR(T_reg.root.SK[[#This Row],[Price]]/T_reg.root.SK[[#This Row],[Starch content]],"")</f>
        <v>13.365539452495975</v>
      </c>
    </row>
    <row r="2274" spans="1:14">
      <c r="A2274" s="21">
        <v>2024</v>
      </c>
      <c r="B2274" s="21" t="s">
        <v>17</v>
      </c>
      <c r="C2274" s="21" t="s">
        <v>1145</v>
      </c>
      <c r="D2274" s="21" t="s">
        <v>35</v>
      </c>
      <c r="E2274" s="17" t="s">
        <v>265</v>
      </c>
      <c r="F2274" s="18" t="s">
        <v>187</v>
      </c>
      <c r="G2274" s="18" t="s">
        <v>48</v>
      </c>
      <c r="H2274" s="24">
        <v>66100</v>
      </c>
      <c r="I2274" s="24">
        <f>T_reg.root.SK[[#This Row],[Volume, kg]]/1000</f>
        <v>66.099999999999994</v>
      </c>
      <c r="J2274" s="25">
        <v>0.24179999999999999</v>
      </c>
      <c r="K2274" s="25">
        <f t="shared" si="35"/>
        <v>15982.98</v>
      </c>
      <c r="L2274" s="25">
        <v>3.7853706505295008</v>
      </c>
      <c r="M2274" s="24">
        <v>250213</v>
      </c>
      <c r="N2274" s="25">
        <f>IFERROR(T_reg.root.SK[[#This Row],[Price]]/T_reg.root.SK[[#This Row],[Starch content]],"")</f>
        <v>15.654965469518201</v>
      </c>
    </row>
    <row r="2275" spans="1:14">
      <c r="A2275" s="21">
        <v>2024</v>
      </c>
      <c r="B2275" s="21" t="s">
        <v>17</v>
      </c>
      <c r="C2275" s="21" t="s">
        <v>1145</v>
      </c>
      <c r="D2275" s="21" t="s">
        <v>35</v>
      </c>
      <c r="E2275" s="17" t="s">
        <v>690</v>
      </c>
      <c r="F2275" s="18" t="s">
        <v>187</v>
      </c>
      <c r="G2275" s="18" t="s">
        <v>48</v>
      </c>
      <c r="H2275" s="24">
        <v>28740</v>
      </c>
      <c r="I2275" s="24">
        <f>T_reg.root.SK[[#This Row],[Volume, kg]]/1000</f>
        <v>28.74</v>
      </c>
      <c r="J2275" s="25">
        <v>0.23906437021572724</v>
      </c>
      <c r="K2275" s="25">
        <f t="shared" si="35"/>
        <v>6870.7100000000009</v>
      </c>
      <c r="L2275" s="25">
        <v>3.9328462073764787</v>
      </c>
      <c r="M2275" s="24">
        <v>113030</v>
      </c>
      <c r="N2275" s="25">
        <f>IFERROR(T_reg.root.SK[[#This Row],[Price]]/T_reg.root.SK[[#This Row],[Starch content]],"")</f>
        <v>16.450992692167183</v>
      </c>
    </row>
    <row r="2276" spans="1:14">
      <c r="A2276" s="21">
        <v>2024</v>
      </c>
      <c r="B2276" s="21" t="s">
        <v>17</v>
      </c>
      <c r="C2276" s="21" t="s">
        <v>1145</v>
      </c>
      <c r="D2276" s="21" t="s">
        <v>35</v>
      </c>
      <c r="E2276" s="17" t="s">
        <v>542</v>
      </c>
      <c r="F2276" s="18" t="s">
        <v>187</v>
      </c>
      <c r="G2276" s="18" t="s">
        <v>48</v>
      </c>
      <c r="H2276" s="24">
        <v>9750</v>
      </c>
      <c r="I2276" s="24">
        <f>T_reg.root.SK[[#This Row],[Volume, kg]]/1000</f>
        <v>9.75</v>
      </c>
      <c r="J2276" s="25">
        <v>0.27800000000000002</v>
      </c>
      <c r="K2276" s="25">
        <f t="shared" si="35"/>
        <v>2710.5000000000005</v>
      </c>
      <c r="L2276" s="25">
        <v>3.95</v>
      </c>
      <c r="M2276" s="24">
        <v>38512.5</v>
      </c>
      <c r="N2276" s="25">
        <f>IFERROR(T_reg.root.SK[[#This Row],[Price]]/T_reg.root.SK[[#This Row],[Starch content]],"")</f>
        <v>14.208633093525179</v>
      </c>
    </row>
    <row r="2277" spans="1:14">
      <c r="A2277" s="21">
        <v>2024</v>
      </c>
      <c r="B2277" s="21" t="s">
        <v>17</v>
      </c>
      <c r="C2277" s="21" t="s">
        <v>1145</v>
      </c>
      <c r="D2277" s="21" t="s">
        <v>35</v>
      </c>
      <c r="E2277" s="17" t="s">
        <v>211</v>
      </c>
      <c r="F2277" s="18" t="s">
        <v>187</v>
      </c>
      <c r="G2277" s="18" t="s">
        <v>48</v>
      </c>
      <c r="H2277" s="24">
        <v>107120</v>
      </c>
      <c r="I2277" s="24">
        <f>T_reg.root.SK[[#This Row],[Volume, kg]]/1000</f>
        <v>107.12</v>
      </c>
      <c r="J2277" s="25">
        <v>0.2823</v>
      </c>
      <c r="K2277" s="25">
        <f t="shared" si="35"/>
        <v>30239.975999999999</v>
      </c>
      <c r="L2277" s="25">
        <v>4.0022778192681105</v>
      </c>
      <c r="M2277" s="24">
        <v>428724</v>
      </c>
      <c r="N2277" s="25">
        <f>IFERROR(T_reg.root.SK[[#This Row],[Price]]/T_reg.root.SK[[#This Row],[Starch content]],"")</f>
        <v>14.177392204279528</v>
      </c>
    </row>
    <row r="2278" spans="1:14">
      <c r="A2278" s="21">
        <v>2024</v>
      </c>
      <c r="B2278" s="21" t="s">
        <v>17</v>
      </c>
      <c r="C2278" s="21" t="s">
        <v>1145</v>
      </c>
      <c r="D2278" s="21" t="s">
        <v>35</v>
      </c>
      <c r="E2278" s="17" t="s">
        <v>214</v>
      </c>
      <c r="F2278" s="18" t="s">
        <v>187</v>
      </c>
      <c r="G2278" s="18" t="s">
        <v>48</v>
      </c>
      <c r="H2278" s="24">
        <v>17440</v>
      </c>
      <c r="I2278" s="24">
        <f>T_reg.root.SK[[#This Row],[Volume, kg]]/1000</f>
        <v>17.440000000000001</v>
      </c>
      <c r="J2278" s="25">
        <v>0.25910000000000005</v>
      </c>
      <c r="K2278" s="25">
        <f t="shared" si="35"/>
        <v>4518.7040000000006</v>
      </c>
      <c r="L2278" s="25">
        <v>3.8890481651376145</v>
      </c>
      <c r="M2278" s="24">
        <v>67825</v>
      </c>
      <c r="N2278" s="25">
        <f>IFERROR(T_reg.root.SK[[#This Row],[Price]]/T_reg.root.SK[[#This Row],[Starch content]],"")</f>
        <v>15.009834678261727</v>
      </c>
    </row>
    <row r="2279" spans="1:14">
      <c r="A2279" s="21">
        <v>2024</v>
      </c>
      <c r="B2279" s="21" t="s">
        <v>17</v>
      </c>
      <c r="C2279" s="21" t="s">
        <v>1145</v>
      </c>
      <c r="D2279" s="21" t="s">
        <v>35</v>
      </c>
      <c r="E2279" s="17" t="s">
        <v>269</v>
      </c>
      <c r="F2279" s="18" t="s">
        <v>187</v>
      </c>
      <c r="G2279" s="18" t="s">
        <v>48</v>
      </c>
      <c r="H2279" s="24">
        <v>20450</v>
      </c>
      <c r="I2279" s="24">
        <f>T_reg.root.SK[[#This Row],[Volume, kg]]/1000</f>
        <v>20.45</v>
      </c>
      <c r="J2279" s="25">
        <v>0.2412</v>
      </c>
      <c r="K2279" s="25">
        <f t="shared" si="35"/>
        <v>4932.54</v>
      </c>
      <c r="L2279" s="25">
        <v>3.7742053789731052</v>
      </c>
      <c r="M2279" s="24">
        <v>77182.5</v>
      </c>
      <c r="N2279" s="25">
        <f>IFERROR(T_reg.root.SK[[#This Row],[Price]]/T_reg.root.SK[[#This Row],[Starch content]],"")</f>
        <v>15.6476176574341</v>
      </c>
    </row>
    <row r="2280" spans="1:14">
      <c r="A2280" s="21">
        <v>2024</v>
      </c>
      <c r="B2280" s="21" t="s">
        <v>17</v>
      </c>
      <c r="C2280" s="21" t="s">
        <v>1145</v>
      </c>
      <c r="D2280" s="21" t="s">
        <v>35</v>
      </c>
      <c r="E2280" s="17" t="s">
        <v>691</v>
      </c>
      <c r="F2280" s="18" t="s">
        <v>187</v>
      </c>
      <c r="G2280" s="18" t="s">
        <v>48</v>
      </c>
      <c r="H2280" s="24">
        <v>38900</v>
      </c>
      <c r="I2280" s="24">
        <f>T_reg.root.SK[[#This Row],[Volume, kg]]/1000</f>
        <v>38.9</v>
      </c>
      <c r="J2280" s="25">
        <v>0.25619999999999998</v>
      </c>
      <c r="K2280" s="25">
        <f t="shared" si="35"/>
        <v>9966.1799999999985</v>
      </c>
      <c r="L2280" s="25">
        <v>3.8296401028277636</v>
      </c>
      <c r="M2280" s="24">
        <v>148973</v>
      </c>
      <c r="N2280" s="25">
        <f>IFERROR(T_reg.root.SK[[#This Row],[Price]]/T_reg.root.SK[[#This Row],[Starch content]],"")</f>
        <v>14.947853641013911</v>
      </c>
    </row>
    <row r="2281" spans="1:14">
      <c r="A2281" s="21">
        <v>2024</v>
      </c>
      <c r="B2281" s="21" t="s">
        <v>17</v>
      </c>
      <c r="C2281" s="21" t="s">
        <v>1145</v>
      </c>
      <c r="D2281" s="21" t="s">
        <v>35</v>
      </c>
      <c r="E2281" s="17" t="s">
        <v>268</v>
      </c>
      <c r="F2281" s="18" t="s">
        <v>187</v>
      </c>
      <c r="G2281" s="18" t="s">
        <v>48</v>
      </c>
      <c r="H2281" s="24">
        <v>38010</v>
      </c>
      <c r="I2281" s="24">
        <f>T_reg.root.SK[[#This Row],[Volume, kg]]/1000</f>
        <v>38.01</v>
      </c>
      <c r="J2281" s="25">
        <v>0.26335793212312553</v>
      </c>
      <c r="K2281" s="25">
        <f t="shared" si="35"/>
        <v>10010.235000000001</v>
      </c>
      <c r="L2281" s="25">
        <v>3.9309523809523808</v>
      </c>
      <c r="M2281" s="24">
        <v>149415.5</v>
      </c>
      <c r="N2281" s="25">
        <f>IFERROR(T_reg.root.SK[[#This Row],[Price]]/T_reg.root.SK[[#This Row],[Starch content]],"")</f>
        <v>14.92627295962582</v>
      </c>
    </row>
    <row r="2282" spans="1:14">
      <c r="A2282" s="21">
        <v>2024</v>
      </c>
      <c r="B2282" s="21" t="s">
        <v>17</v>
      </c>
      <c r="C2282" s="21" t="s">
        <v>1145</v>
      </c>
      <c r="D2282" s="21" t="s">
        <v>35</v>
      </c>
      <c r="E2282" s="17" t="s">
        <v>208</v>
      </c>
      <c r="F2282" s="18" t="s">
        <v>187</v>
      </c>
      <c r="G2282" s="18" t="s">
        <v>48</v>
      </c>
      <c r="H2282" s="24">
        <v>86260</v>
      </c>
      <c r="I2282" s="24">
        <f>T_reg.root.SK[[#This Row],[Volume, kg]]/1000</f>
        <v>86.26</v>
      </c>
      <c r="J2282" s="25">
        <v>0.24079999999999999</v>
      </c>
      <c r="K2282" s="25">
        <f t="shared" si="35"/>
        <v>20771.407999999999</v>
      </c>
      <c r="L2282" s="25">
        <v>3.6939948991421283</v>
      </c>
      <c r="M2282" s="24">
        <v>318644</v>
      </c>
      <c r="N2282" s="25">
        <f>IFERROR(T_reg.root.SK[[#This Row],[Price]]/T_reg.root.SK[[#This Row],[Starch content]],"")</f>
        <v>15.340510378497212</v>
      </c>
    </row>
    <row r="2283" spans="1:14">
      <c r="A2283" s="21">
        <v>2024</v>
      </c>
      <c r="B2283" s="21" t="s">
        <v>17</v>
      </c>
      <c r="C2283" s="21" t="s">
        <v>1145</v>
      </c>
      <c r="D2283" s="21" t="s">
        <v>35</v>
      </c>
      <c r="E2283" s="17" t="s">
        <v>270</v>
      </c>
      <c r="F2283" s="18" t="s">
        <v>187</v>
      </c>
      <c r="G2283" s="18" t="s">
        <v>48</v>
      </c>
      <c r="H2283" s="24">
        <v>6550</v>
      </c>
      <c r="I2283" s="24">
        <f>T_reg.root.SK[[#This Row],[Volume, kg]]/1000</f>
        <v>6.55</v>
      </c>
      <c r="J2283" s="25">
        <v>0.27100000000000002</v>
      </c>
      <c r="K2283" s="25">
        <f t="shared" si="35"/>
        <v>1775.0500000000002</v>
      </c>
      <c r="L2283" s="25">
        <v>3.9</v>
      </c>
      <c r="M2283" s="24">
        <v>25545</v>
      </c>
      <c r="N2283" s="25">
        <f>IFERROR(T_reg.root.SK[[#This Row],[Price]]/T_reg.root.SK[[#This Row],[Starch content]],"")</f>
        <v>14.391143911439112</v>
      </c>
    </row>
    <row r="2284" spans="1:14">
      <c r="A2284" s="21">
        <v>2024</v>
      </c>
      <c r="B2284" s="21" t="s">
        <v>17</v>
      </c>
      <c r="C2284" s="21" t="s">
        <v>1145</v>
      </c>
      <c r="D2284" s="21" t="s">
        <v>35</v>
      </c>
      <c r="E2284" s="17" t="s">
        <v>217</v>
      </c>
      <c r="F2284" s="18" t="s">
        <v>187</v>
      </c>
      <c r="G2284" s="18" t="s">
        <v>48</v>
      </c>
      <c r="H2284" s="24">
        <v>17950</v>
      </c>
      <c r="I2284" s="24">
        <f>T_reg.root.SK[[#This Row],[Volume, kg]]/1000</f>
        <v>17.95</v>
      </c>
      <c r="J2284" s="25">
        <v>0.27689999999999998</v>
      </c>
      <c r="K2284" s="25">
        <f t="shared" si="35"/>
        <v>4970.3549999999996</v>
      </c>
      <c r="L2284" s="25">
        <v>3.9812534818941505</v>
      </c>
      <c r="M2284" s="24">
        <v>71463.5</v>
      </c>
      <c r="N2284" s="25">
        <f>IFERROR(T_reg.root.SK[[#This Row],[Price]]/T_reg.root.SK[[#This Row],[Starch content]],"")</f>
        <v>14.377946846855005</v>
      </c>
    </row>
    <row r="2285" spans="1:14">
      <c r="A2285" s="21">
        <v>2024</v>
      </c>
      <c r="B2285" s="21" t="s">
        <v>17</v>
      </c>
      <c r="C2285" s="21" t="s">
        <v>1145</v>
      </c>
      <c r="D2285" s="21" t="s">
        <v>35</v>
      </c>
      <c r="E2285" s="17" t="s">
        <v>271</v>
      </c>
      <c r="F2285" s="18" t="s">
        <v>187</v>
      </c>
      <c r="G2285" s="18" t="s">
        <v>48</v>
      </c>
      <c r="H2285" s="24">
        <v>21030</v>
      </c>
      <c r="I2285" s="24">
        <f>T_reg.root.SK[[#This Row],[Volume, kg]]/1000</f>
        <v>21.03</v>
      </c>
      <c r="J2285" s="25">
        <v>0.27929999999999999</v>
      </c>
      <c r="K2285" s="25">
        <f t="shared" si="35"/>
        <v>5873.6790000000001</v>
      </c>
      <c r="L2285" s="25">
        <v>4</v>
      </c>
      <c r="M2285" s="24">
        <v>84120</v>
      </c>
      <c r="N2285" s="25">
        <f>IFERROR(T_reg.root.SK[[#This Row],[Price]]/T_reg.root.SK[[#This Row],[Starch content]],"")</f>
        <v>14.321518080916578</v>
      </c>
    </row>
    <row r="2286" spans="1:14">
      <c r="A2286" s="21">
        <v>2024</v>
      </c>
      <c r="B2286" s="21" t="s">
        <v>19</v>
      </c>
      <c r="C2286" s="21" t="s">
        <v>1145</v>
      </c>
      <c r="D2286" s="21" t="s">
        <v>35</v>
      </c>
      <c r="E2286" s="18" t="s">
        <v>651</v>
      </c>
      <c r="F2286" s="18" t="s">
        <v>37</v>
      </c>
      <c r="G2286" s="18" t="s">
        <v>38</v>
      </c>
      <c r="H2286" s="24">
        <v>188260</v>
      </c>
      <c r="I2286" s="24">
        <f>T_reg.root.SK[[#This Row],[Volume, kg]]/1000</f>
        <v>188.26</v>
      </c>
      <c r="J2286" s="25">
        <v>0.22399999999999998</v>
      </c>
      <c r="K2286" s="25">
        <f t="shared" si="35"/>
        <v>42170.239999999998</v>
      </c>
      <c r="L2286" s="25">
        <v>3.66</v>
      </c>
      <c r="M2286" s="24">
        <v>688522.5</v>
      </c>
      <c r="N2286" s="25">
        <f>IFERROR(T_reg.root.SK[[#This Row],[Price]]/T_reg.root.SK[[#This Row],[Starch content]],"")</f>
        <v>16.339285714285715</v>
      </c>
    </row>
    <row r="2287" spans="1:14">
      <c r="A2287" s="21">
        <v>2024</v>
      </c>
      <c r="B2287" s="21" t="s">
        <v>19</v>
      </c>
      <c r="C2287" s="21" t="s">
        <v>1145</v>
      </c>
      <c r="D2287" s="21" t="s">
        <v>35</v>
      </c>
      <c r="E2287" s="18" t="s">
        <v>457</v>
      </c>
      <c r="F2287" s="18" t="s">
        <v>47</v>
      </c>
      <c r="G2287" s="18" t="s">
        <v>48</v>
      </c>
      <c r="H2287" s="24">
        <v>69230</v>
      </c>
      <c r="I2287" s="24">
        <f>T_reg.root.SK[[#This Row],[Volume, kg]]/1000</f>
        <v>69.23</v>
      </c>
      <c r="J2287" s="25">
        <v>0.27329999999999999</v>
      </c>
      <c r="K2287" s="25">
        <f t="shared" si="35"/>
        <v>18920.558999999997</v>
      </c>
      <c r="L2287" s="25">
        <v>3.79</v>
      </c>
      <c r="M2287" s="24">
        <v>262143.5</v>
      </c>
      <c r="N2287" s="25">
        <f>IFERROR(T_reg.root.SK[[#This Row],[Price]]/T_reg.root.SK[[#This Row],[Starch content]],"")</f>
        <v>13.867544822539335</v>
      </c>
    </row>
    <row r="2288" spans="1:14">
      <c r="A2288" s="21">
        <v>2024</v>
      </c>
      <c r="B2288" s="21" t="s">
        <v>19</v>
      </c>
      <c r="C2288" s="21" t="s">
        <v>1145</v>
      </c>
      <c r="D2288" s="21" t="s">
        <v>35</v>
      </c>
      <c r="E2288" s="18" t="s">
        <v>546</v>
      </c>
      <c r="F2288" s="18" t="s">
        <v>47</v>
      </c>
      <c r="G2288" s="18" t="s">
        <v>48</v>
      </c>
      <c r="H2288" s="24">
        <v>140910</v>
      </c>
      <c r="I2288" s="24">
        <f>T_reg.root.SK[[#This Row],[Volume, kg]]/1000</f>
        <v>140.91</v>
      </c>
      <c r="J2288" s="25">
        <v>0.25650000000000001</v>
      </c>
      <c r="K2288" s="25">
        <f t="shared" si="35"/>
        <v>36143.415000000001</v>
      </c>
      <c r="L2288" s="25">
        <v>3.72</v>
      </c>
      <c r="M2288" s="24">
        <v>524629</v>
      </c>
      <c r="N2288" s="25">
        <f>IFERROR(T_reg.root.SK[[#This Row],[Price]]/T_reg.root.SK[[#This Row],[Starch content]],"")</f>
        <v>14.502923976608187</v>
      </c>
    </row>
    <row r="2289" spans="1:14">
      <c r="A2289" s="21">
        <v>2024</v>
      </c>
      <c r="B2289" s="21" t="s">
        <v>19</v>
      </c>
      <c r="C2289" s="21" t="s">
        <v>1145</v>
      </c>
      <c r="D2289" s="21" t="s">
        <v>35</v>
      </c>
      <c r="E2289" s="18" t="s">
        <v>675</v>
      </c>
      <c r="F2289" s="18" t="s">
        <v>47</v>
      </c>
      <c r="G2289" s="18" t="s">
        <v>48</v>
      </c>
      <c r="H2289" s="24">
        <v>93830</v>
      </c>
      <c r="I2289" s="24">
        <f>T_reg.root.SK[[#This Row],[Volume, kg]]/1000</f>
        <v>93.83</v>
      </c>
      <c r="J2289" s="25">
        <v>0.29189999999999999</v>
      </c>
      <c r="K2289" s="25">
        <f t="shared" si="35"/>
        <v>27388.976999999999</v>
      </c>
      <c r="L2289" s="25">
        <v>3.97</v>
      </c>
      <c r="M2289" s="24">
        <v>372177</v>
      </c>
      <c r="N2289" s="25">
        <f>IFERROR(T_reg.root.SK[[#This Row],[Price]]/T_reg.root.SK[[#This Row],[Starch content]],"")</f>
        <v>13.600548132922235</v>
      </c>
    </row>
    <row r="2290" spans="1:14">
      <c r="A2290" s="21">
        <v>2024</v>
      </c>
      <c r="B2290" s="21" t="s">
        <v>19</v>
      </c>
      <c r="C2290" s="21" t="s">
        <v>1145</v>
      </c>
      <c r="D2290" s="21" t="s">
        <v>35</v>
      </c>
      <c r="E2290" s="18" t="s">
        <v>46</v>
      </c>
      <c r="F2290" s="18" t="s">
        <v>47</v>
      </c>
      <c r="G2290" s="18" t="s">
        <v>48</v>
      </c>
      <c r="H2290" s="24">
        <v>132460</v>
      </c>
      <c r="I2290" s="24">
        <f>T_reg.root.SK[[#This Row],[Volume, kg]]/1000</f>
        <v>132.46</v>
      </c>
      <c r="J2290" s="25">
        <v>0.30969999999999998</v>
      </c>
      <c r="K2290" s="25">
        <f t="shared" si="35"/>
        <v>41022.861999999994</v>
      </c>
      <c r="L2290" s="25">
        <v>4.04</v>
      </c>
      <c r="M2290" s="24">
        <v>534510</v>
      </c>
      <c r="N2290" s="25">
        <f>IFERROR(T_reg.root.SK[[#This Row],[Price]]/T_reg.root.SK[[#This Row],[Starch content]],"")</f>
        <v>13.044882144010334</v>
      </c>
    </row>
    <row r="2291" spans="1:14">
      <c r="A2291" s="21">
        <v>2024</v>
      </c>
      <c r="B2291" s="21" t="s">
        <v>19</v>
      </c>
      <c r="C2291" s="21" t="s">
        <v>1145</v>
      </c>
      <c r="D2291" s="21" t="s">
        <v>35</v>
      </c>
      <c r="E2291" s="18" t="s">
        <v>50</v>
      </c>
      <c r="F2291" s="18" t="s">
        <v>47</v>
      </c>
      <c r="G2291" s="18" t="s">
        <v>48</v>
      </c>
      <c r="H2291" s="24">
        <v>14420</v>
      </c>
      <c r="I2291" s="24">
        <f>T_reg.root.SK[[#This Row],[Volume, kg]]/1000</f>
        <v>14.42</v>
      </c>
      <c r="J2291" s="25">
        <v>0.2928</v>
      </c>
      <c r="K2291" s="25">
        <f t="shared" si="35"/>
        <v>4222.1760000000004</v>
      </c>
      <c r="L2291" s="25">
        <v>3.95</v>
      </c>
      <c r="M2291" s="24">
        <v>56959</v>
      </c>
      <c r="N2291" s="25">
        <f>IFERROR(T_reg.root.SK[[#This Row],[Price]]/T_reg.root.SK[[#This Row],[Starch content]],"")</f>
        <v>13.490437158469947</v>
      </c>
    </row>
    <row r="2292" spans="1:14">
      <c r="A2292" s="21">
        <v>2024</v>
      </c>
      <c r="B2292" s="21" t="s">
        <v>19</v>
      </c>
      <c r="C2292" s="21" t="s">
        <v>1145</v>
      </c>
      <c r="D2292" s="21" t="s">
        <v>35</v>
      </c>
      <c r="E2292" s="18" t="s">
        <v>51</v>
      </c>
      <c r="F2292" s="18" t="s">
        <v>47</v>
      </c>
      <c r="G2292" s="18" t="s">
        <v>48</v>
      </c>
      <c r="H2292" s="24">
        <v>56310</v>
      </c>
      <c r="I2292" s="24">
        <f>T_reg.root.SK[[#This Row],[Volume, kg]]/1000</f>
        <v>56.31</v>
      </c>
      <c r="J2292" s="25">
        <v>0.32049999999999995</v>
      </c>
      <c r="K2292" s="25">
        <f t="shared" si="35"/>
        <v>18047.354999999996</v>
      </c>
      <c r="L2292" s="25">
        <v>4.04</v>
      </c>
      <c r="M2292" s="24">
        <v>227221</v>
      </c>
      <c r="N2292" s="25">
        <f>IFERROR(T_reg.root.SK[[#This Row],[Price]]/T_reg.root.SK[[#This Row],[Starch content]],"")</f>
        <v>12.605304212168489</v>
      </c>
    </row>
    <row r="2293" spans="1:14">
      <c r="A2293" s="21">
        <v>2024</v>
      </c>
      <c r="B2293" s="21" t="s">
        <v>19</v>
      </c>
      <c r="C2293" s="21" t="s">
        <v>1145</v>
      </c>
      <c r="D2293" s="21" t="s">
        <v>35</v>
      </c>
      <c r="E2293" s="18" t="s">
        <v>642</v>
      </c>
      <c r="F2293" s="18" t="s">
        <v>47</v>
      </c>
      <c r="G2293" s="18" t="s">
        <v>48</v>
      </c>
      <c r="H2293" s="24">
        <v>11020</v>
      </c>
      <c r="I2293" s="24">
        <f>T_reg.root.SK[[#This Row],[Volume, kg]]/1000</f>
        <v>11.02</v>
      </c>
      <c r="J2293" s="25">
        <v>0.28149999999999997</v>
      </c>
      <c r="K2293" s="25">
        <f t="shared" si="35"/>
        <v>3102.1299999999997</v>
      </c>
      <c r="L2293" s="25">
        <v>3.9</v>
      </c>
      <c r="M2293" s="24">
        <v>42978</v>
      </c>
      <c r="N2293" s="25">
        <f>IFERROR(T_reg.root.SK[[#This Row],[Price]]/T_reg.root.SK[[#This Row],[Starch content]],"")</f>
        <v>13.854351687388988</v>
      </c>
    </row>
    <row r="2294" spans="1:14">
      <c r="A2294" s="21">
        <v>2024</v>
      </c>
      <c r="B2294" s="21" t="s">
        <v>19</v>
      </c>
      <c r="C2294" s="21" t="s">
        <v>1145</v>
      </c>
      <c r="D2294" s="21" t="s">
        <v>35</v>
      </c>
      <c r="E2294" s="18" t="s">
        <v>654</v>
      </c>
      <c r="F2294" s="18" t="s">
        <v>47</v>
      </c>
      <c r="G2294" s="18" t="s">
        <v>48</v>
      </c>
      <c r="H2294" s="24">
        <v>10120</v>
      </c>
      <c r="I2294" s="24">
        <f>T_reg.root.SK[[#This Row],[Volume, kg]]/1000</f>
        <v>10.119999999999999</v>
      </c>
      <c r="J2294" s="25">
        <v>0.22550000000000001</v>
      </c>
      <c r="K2294" s="25">
        <f t="shared" si="35"/>
        <v>2282.06</v>
      </c>
      <c r="L2294" s="25">
        <v>3.7</v>
      </c>
      <c r="M2294" s="24">
        <v>37444</v>
      </c>
      <c r="N2294" s="25">
        <f>IFERROR(T_reg.root.SK[[#This Row],[Price]]/T_reg.root.SK[[#This Row],[Starch content]],"")</f>
        <v>16.4079822616408</v>
      </c>
    </row>
    <row r="2295" spans="1:14">
      <c r="A2295" s="21">
        <v>2024</v>
      </c>
      <c r="B2295" s="21" t="s">
        <v>19</v>
      </c>
      <c r="C2295" s="21" t="s">
        <v>1145</v>
      </c>
      <c r="D2295" s="21" t="s">
        <v>35</v>
      </c>
      <c r="E2295" s="18" t="s">
        <v>674</v>
      </c>
      <c r="F2295" s="18" t="s">
        <v>47</v>
      </c>
      <c r="G2295" s="18" t="s">
        <v>48</v>
      </c>
      <c r="H2295" s="24">
        <v>70220</v>
      </c>
      <c r="I2295" s="24">
        <f>T_reg.root.SK[[#This Row],[Volume, kg]]/1000</f>
        <v>70.22</v>
      </c>
      <c r="J2295" s="25">
        <v>0.24399999999999999</v>
      </c>
      <c r="K2295" s="25">
        <f t="shared" si="35"/>
        <v>17133.68</v>
      </c>
      <c r="L2295" s="25">
        <v>3.61</v>
      </c>
      <c r="M2295" s="24">
        <v>253287.5</v>
      </c>
      <c r="N2295" s="25">
        <f>IFERROR(T_reg.root.SK[[#This Row],[Price]]/T_reg.root.SK[[#This Row],[Starch content]],"")</f>
        <v>14.795081967213115</v>
      </c>
    </row>
    <row r="2296" spans="1:14">
      <c r="A2296" s="21">
        <v>2024</v>
      </c>
      <c r="B2296" s="21" t="s">
        <v>19</v>
      </c>
      <c r="C2296" s="21" t="s">
        <v>1145</v>
      </c>
      <c r="D2296" s="21" t="s">
        <v>35</v>
      </c>
      <c r="E2296" s="18" t="s">
        <v>78</v>
      </c>
      <c r="F2296" s="18" t="s">
        <v>47</v>
      </c>
      <c r="G2296" s="18" t="s">
        <v>48</v>
      </c>
      <c r="H2296" s="24">
        <v>33470</v>
      </c>
      <c r="I2296" s="24">
        <f>T_reg.root.SK[[#This Row],[Volume, kg]]/1000</f>
        <v>33.47</v>
      </c>
      <c r="J2296" s="25">
        <v>0.19969999999999999</v>
      </c>
      <c r="K2296" s="25">
        <f t="shared" si="35"/>
        <v>6683.9589999999998</v>
      </c>
      <c r="L2296" s="25">
        <v>3.4</v>
      </c>
      <c r="M2296" s="24">
        <v>113755</v>
      </c>
      <c r="N2296" s="25">
        <f>IFERROR(T_reg.root.SK[[#This Row],[Price]]/T_reg.root.SK[[#This Row],[Starch content]],"")</f>
        <v>17.025538307461193</v>
      </c>
    </row>
    <row r="2297" spans="1:14">
      <c r="A2297" s="21">
        <v>2024</v>
      </c>
      <c r="B2297" s="21" t="s">
        <v>19</v>
      </c>
      <c r="C2297" s="21" t="s">
        <v>1145</v>
      </c>
      <c r="D2297" s="21" t="s">
        <v>35</v>
      </c>
      <c r="E2297" s="18" t="s">
        <v>624</v>
      </c>
      <c r="F2297" s="18" t="s">
        <v>47</v>
      </c>
      <c r="G2297" s="18" t="s">
        <v>48</v>
      </c>
      <c r="H2297" s="24">
        <v>20750</v>
      </c>
      <c r="I2297" s="24">
        <f>T_reg.root.SK[[#This Row],[Volume, kg]]/1000</f>
        <v>20.75</v>
      </c>
      <c r="J2297" s="25">
        <v>0.22800000000000001</v>
      </c>
      <c r="K2297" s="25">
        <f t="shared" si="35"/>
        <v>4731</v>
      </c>
      <c r="L2297" s="25">
        <v>3.5</v>
      </c>
      <c r="M2297" s="24">
        <v>72625</v>
      </c>
      <c r="N2297" s="25">
        <f>IFERROR(T_reg.root.SK[[#This Row],[Price]]/T_reg.root.SK[[#This Row],[Starch content]],"")</f>
        <v>15.350877192982455</v>
      </c>
    </row>
    <row r="2298" spans="1:14">
      <c r="A2298" s="21">
        <v>2024</v>
      </c>
      <c r="B2298" s="21" t="s">
        <v>19</v>
      </c>
      <c r="C2298" s="21" t="s">
        <v>1145</v>
      </c>
      <c r="D2298" s="21" t="s">
        <v>35</v>
      </c>
      <c r="E2298" s="18" t="s">
        <v>459</v>
      </c>
      <c r="F2298" s="18" t="s">
        <v>47</v>
      </c>
      <c r="G2298" s="18" t="s">
        <v>48</v>
      </c>
      <c r="H2298" s="24">
        <v>28830</v>
      </c>
      <c r="I2298" s="24">
        <f>T_reg.root.SK[[#This Row],[Volume, kg]]/1000</f>
        <v>28.83</v>
      </c>
      <c r="J2298" s="25">
        <v>0.2505</v>
      </c>
      <c r="K2298" s="25">
        <f t="shared" si="35"/>
        <v>7221.915</v>
      </c>
      <c r="L2298" s="25">
        <v>3.76</v>
      </c>
      <c r="M2298" s="24">
        <v>108509</v>
      </c>
      <c r="N2298" s="25">
        <f>IFERROR(T_reg.root.SK[[#This Row],[Price]]/T_reg.root.SK[[#This Row],[Starch content]],"")</f>
        <v>15.009980039920158</v>
      </c>
    </row>
    <row r="2299" spans="1:14">
      <c r="A2299" s="21">
        <v>2024</v>
      </c>
      <c r="B2299" s="21" t="s">
        <v>19</v>
      </c>
      <c r="C2299" s="21" t="s">
        <v>1145</v>
      </c>
      <c r="D2299" s="21" t="s">
        <v>35</v>
      </c>
      <c r="E2299" s="18" t="s">
        <v>461</v>
      </c>
      <c r="F2299" s="18" t="s">
        <v>47</v>
      </c>
      <c r="G2299" s="18" t="s">
        <v>48</v>
      </c>
      <c r="H2299" s="24">
        <v>19920</v>
      </c>
      <c r="I2299" s="24">
        <f>T_reg.root.SK[[#This Row],[Volume, kg]]/1000</f>
        <v>19.920000000000002</v>
      </c>
      <c r="J2299" s="25">
        <v>0.2382</v>
      </c>
      <c r="K2299" s="25">
        <f t="shared" si="35"/>
        <v>4744.9439999999995</v>
      </c>
      <c r="L2299" s="25">
        <v>3.7</v>
      </c>
      <c r="M2299" s="24">
        <v>73704</v>
      </c>
      <c r="N2299" s="25">
        <f>IFERROR(T_reg.root.SK[[#This Row],[Price]]/T_reg.root.SK[[#This Row],[Starch content]],"")</f>
        <v>15.533165407220825</v>
      </c>
    </row>
    <row r="2300" spans="1:14">
      <c r="A2300" s="21">
        <v>2024</v>
      </c>
      <c r="B2300" s="21" t="s">
        <v>19</v>
      </c>
      <c r="C2300" s="21" t="s">
        <v>1145</v>
      </c>
      <c r="D2300" s="21" t="s">
        <v>35</v>
      </c>
      <c r="E2300" s="18" t="s">
        <v>54</v>
      </c>
      <c r="F2300" s="18" t="s">
        <v>47</v>
      </c>
      <c r="G2300" s="18" t="s">
        <v>48</v>
      </c>
      <c r="H2300" s="24">
        <v>26620</v>
      </c>
      <c r="I2300" s="24">
        <f>T_reg.root.SK[[#This Row],[Volume, kg]]/1000</f>
        <v>26.62</v>
      </c>
      <c r="J2300" s="25">
        <v>0.26030000000000003</v>
      </c>
      <c r="K2300" s="25">
        <f t="shared" si="35"/>
        <v>6929.1860000000006</v>
      </c>
      <c r="L2300" s="25">
        <v>3.82</v>
      </c>
      <c r="M2300" s="24">
        <v>101648</v>
      </c>
      <c r="N2300" s="25">
        <f>IFERROR(T_reg.root.SK[[#This Row],[Price]]/T_reg.root.SK[[#This Row],[Starch content]],"")</f>
        <v>14.675374567806374</v>
      </c>
    </row>
    <row r="2301" spans="1:14">
      <c r="A2301" s="21">
        <v>2024</v>
      </c>
      <c r="B2301" s="21" t="s">
        <v>19</v>
      </c>
      <c r="C2301" s="21" t="s">
        <v>1145</v>
      </c>
      <c r="D2301" s="21" t="s">
        <v>35</v>
      </c>
      <c r="E2301" s="18" t="s">
        <v>56</v>
      </c>
      <c r="F2301" s="18" t="s">
        <v>47</v>
      </c>
      <c r="G2301" s="18" t="s">
        <v>48</v>
      </c>
      <c r="H2301" s="24">
        <v>92630</v>
      </c>
      <c r="I2301" s="24">
        <f>T_reg.root.SK[[#This Row],[Volume, kg]]/1000</f>
        <v>92.63</v>
      </c>
      <c r="J2301" s="25">
        <v>0.2727</v>
      </c>
      <c r="K2301" s="25">
        <f t="shared" si="35"/>
        <v>25260.201000000001</v>
      </c>
      <c r="L2301" s="25">
        <v>3.77</v>
      </c>
      <c r="M2301" s="24">
        <v>349261</v>
      </c>
      <c r="N2301" s="25">
        <f>IFERROR(T_reg.root.SK[[#This Row],[Price]]/T_reg.root.SK[[#This Row],[Starch content]],"")</f>
        <v>13.824715804913826</v>
      </c>
    </row>
    <row r="2302" spans="1:14">
      <c r="A2302" s="21">
        <v>2024</v>
      </c>
      <c r="B2302" s="21" t="s">
        <v>19</v>
      </c>
      <c r="C2302" s="21" t="s">
        <v>1145</v>
      </c>
      <c r="D2302" s="21" t="s">
        <v>35</v>
      </c>
      <c r="E2302" s="18" t="s">
        <v>378</v>
      </c>
      <c r="F2302" s="18" t="s">
        <v>47</v>
      </c>
      <c r="G2302" s="18" t="s">
        <v>48</v>
      </c>
      <c r="H2302" s="24">
        <v>19770</v>
      </c>
      <c r="I2302" s="24">
        <f>T_reg.root.SK[[#This Row],[Volume, kg]]/1000</f>
        <v>19.77</v>
      </c>
      <c r="J2302" s="25">
        <v>0.22969999999999999</v>
      </c>
      <c r="K2302" s="25">
        <f t="shared" si="35"/>
        <v>4541.1689999999999</v>
      </c>
      <c r="L2302" s="25">
        <v>3.65</v>
      </c>
      <c r="M2302" s="24">
        <v>72160.5</v>
      </c>
      <c r="N2302" s="25">
        <f>IFERROR(T_reg.root.SK[[#This Row],[Price]]/T_reg.root.SK[[#This Row],[Starch content]],"")</f>
        <v>15.89029168480627</v>
      </c>
    </row>
    <row r="2303" spans="1:14">
      <c r="A2303" s="21">
        <v>2024</v>
      </c>
      <c r="B2303" s="21" t="s">
        <v>19</v>
      </c>
      <c r="C2303" s="21" t="s">
        <v>1145</v>
      </c>
      <c r="D2303" s="21" t="s">
        <v>35</v>
      </c>
      <c r="E2303" s="18" t="s">
        <v>462</v>
      </c>
      <c r="F2303" s="18" t="s">
        <v>47</v>
      </c>
      <c r="G2303" s="18" t="s">
        <v>48</v>
      </c>
      <c r="H2303" s="24">
        <v>58330</v>
      </c>
      <c r="I2303" s="24">
        <f>T_reg.root.SK[[#This Row],[Volume, kg]]/1000</f>
        <v>58.33</v>
      </c>
      <c r="J2303" s="25">
        <v>0.25879999999999997</v>
      </c>
      <c r="K2303" s="25">
        <f t="shared" si="35"/>
        <v>15095.803999999998</v>
      </c>
      <c r="L2303" s="25">
        <v>3.75</v>
      </c>
      <c r="M2303" s="24">
        <v>218693.5</v>
      </c>
      <c r="N2303" s="25">
        <f>IFERROR(T_reg.root.SK[[#This Row],[Price]]/T_reg.root.SK[[#This Row],[Starch content]],"")</f>
        <v>14.489953632148378</v>
      </c>
    </row>
    <row r="2304" spans="1:14">
      <c r="A2304" s="21">
        <v>2024</v>
      </c>
      <c r="B2304" s="21" t="s">
        <v>19</v>
      </c>
      <c r="C2304" s="21" t="s">
        <v>1145</v>
      </c>
      <c r="D2304" s="21" t="s">
        <v>35</v>
      </c>
      <c r="E2304" s="18" t="s">
        <v>655</v>
      </c>
      <c r="F2304" s="18" t="s">
        <v>47</v>
      </c>
      <c r="G2304" s="18" t="s">
        <v>48</v>
      </c>
      <c r="H2304" s="24">
        <v>64590</v>
      </c>
      <c r="I2304" s="24">
        <f>T_reg.root.SK[[#This Row],[Volume, kg]]/1000</f>
        <v>64.59</v>
      </c>
      <c r="J2304" s="25">
        <v>0.26239999999999997</v>
      </c>
      <c r="K2304" s="25">
        <f t="shared" si="35"/>
        <v>16948.415999999997</v>
      </c>
      <c r="L2304" s="25">
        <v>3.82</v>
      </c>
      <c r="M2304" s="24">
        <v>246537</v>
      </c>
      <c r="N2304" s="25">
        <f>IFERROR(T_reg.root.SK[[#This Row],[Price]]/T_reg.root.SK[[#This Row],[Starch content]],"")</f>
        <v>14.557926829268293</v>
      </c>
    </row>
    <row r="2305" spans="1:14">
      <c r="A2305" s="21">
        <v>2024</v>
      </c>
      <c r="B2305" s="21" t="s">
        <v>19</v>
      </c>
      <c r="C2305" s="21" t="s">
        <v>1145</v>
      </c>
      <c r="D2305" s="21" t="s">
        <v>35</v>
      </c>
      <c r="E2305" s="18" t="s">
        <v>57</v>
      </c>
      <c r="F2305" s="18" t="s">
        <v>47</v>
      </c>
      <c r="G2305" s="18" t="s">
        <v>48</v>
      </c>
      <c r="H2305" s="24">
        <v>74430</v>
      </c>
      <c r="I2305" s="24">
        <f>T_reg.root.SK[[#This Row],[Volume, kg]]/1000</f>
        <v>74.430000000000007</v>
      </c>
      <c r="J2305" s="25">
        <v>0.215</v>
      </c>
      <c r="K2305" s="25">
        <f t="shared" si="35"/>
        <v>16002.449999999999</v>
      </c>
      <c r="L2305" s="25">
        <v>3.52</v>
      </c>
      <c r="M2305" s="24">
        <v>261774.5</v>
      </c>
      <c r="N2305" s="25">
        <f>IFERROR(T_reg.root.SK[[#This Row],[Price]]/T_reg.root.SK[[#This Row],[Starch content]],"")</f>
        <v>16.372093023255815</v>
      </c>
    </row>
    <row r="2306" spans="1:14">
      <c r="A2306" s="21">
        <v>2024</v>
      </c>
      <c r="B2306" s="21" t="s">
        <v>19</v>
      </c>
      <c r="C2306" s="21" t="s">
        <v>1145</v>
      </c>
      <c r="D2306" s="21" t="s">
        <v>35</v>
      </c>
      <c r="E2306" s="18" t="s">
        <v>379</v>
      </c>
      <c r="F2306" s="18" t="s">
        <v>47</v>
      </c>
      <c r="G2306" s="18" t="s">
        <v>48</v>
      </c>
      <c r="H2306" s="24">
        <v>23610</v>
      </c>
      <c r="I2306" s="24">
        <f>T_reg.root.SK[[#This Row],[Volume, kg]]/1000</f>
        <v>23.61</v>
      </c>
      <c r="J2306" s="25">
        <v>0.2427</v>
      </c>
      <c r="K2306" s="25">
        <f t="shared" si="35"/>
        <v>5730.1469999999999</v>
      </c>
      <c r="L2306" s="25">
        <v>3.63</v>
      </c>
      <c r="M2306" s="24">
        <v>85696</v>
      </c>
      <c r="N2306" s="25">
        <f>IFERROR(T_reg.root.SK[[#This Row],[Price]]/T_reg.root.SK[[#This Row],[Starch content]],"")</f>
        <v>14.956736711990111</v>
      </c>
    </row>
    <row r="2307" spans="1:14">
      <c r="A2307" s="21">
        <v>2024</v>
      </c>
      <c r="B2307" s="21" t="s">
        <v>19</v>
      </c>
      <c r="C2307" s="21" t="s">
        <v>1145</v>
      </c>
      <c r="D2307" s="21" t="s">
        <v>35</v>
      </c>
      <c r="E2307" s="18" t="s">
        <v>58</v>
      </c>
      <c r="F2307" s="18" t="s">
        <v>47</v>
      </c>
      <c r="G2307" s="18" t="s">
        <v>48</v>
      </c>
      <c r="H2307" s="24">
        <v>78520</v>
      </c>
      <c r="I2307" s="24">
        <f>T_reg.root.SK[[#This Row],[Volume, kg]]/1000</f>
        <v>78.52</v>
      </c>
      <c r="J2307" s="25">
        <v>0.23929999999999998</v>
      </c>
      <c r="K2307" s="25">
        <f t="shared" ref="K2307:K2370" si="36">H2307*J2307</f>
        <v>18789.835999999999</v>
      </c>
      <c r="L2307" s="25">
        <v>3.62</v>
      </c>
      <c r="M2307" s="24">
        <v>284633.5</v>
      </c>
      <c r="N2307" s="25">
        <f>IFERROR(T_reg.root.SK[[#This Row],[Price]]/T_reg.root.SK[[#This Row],[Starch content]],"")</f>
        <v>15.127455077308818</v>
      </c>
    </row>
    <row r="2308" spans="1:14">
      <c r="A2308" s="21">
        <v>2024</v>
      </c>
      <c r="B2308" s="21" t="s">
        <v>19</v>
      </c>
      <c r="C2308" s="21" t="s">
        <v>1145</v>
      </c>
      <c r="D2308" s="21" t="s">
        <v>35</v>
      </c>
      <c r="E2308" s="18" t="s">
        <v>337</v>
      </c>
      <c r="F2308" s="18" t="s">
        <v>47</v>
      </c>
      <c r="G2308" s="18" t="s">
        <v>48</v>
      </c>
      <c r="H2308" s="24">
        <v>88020</v>
      </c>
      <c r="I2308" s="24">
        <f>T_reg.root.SK[[#This Row],[Volume, kg]]/1000</f>
        <v>88.02</v>
      </c>
      <c r="J2308" s="25">
        <v>0.27560000000000001</v>
      </c>
      <c r="K2308" s="25">
        <f t="shared" si="36"/>
        <v>24258.312000000002</v>
      </c>
      <c r="L2308" s="25">
        <v>3.82</v>
      </c>
      <c r="M2308" s="24">
        <v>336550.5</v>
      </c>
      <c r="N2308" s="25">
        <f>IFERROR(T_reg.root.SK[[#This Row],[Price]]/T_reg.root.SK[[#This Row],[Starch content]],"")</f>
        <v>13.860667634252538</v>
      </c>
    </row>
    <row r="2309" spans="1:14">
      <c r="A2309" s="21">
        <v>2024</v>
      </c>
      <c r="B2309" s="21" t="s">
        <v>19</v>
      </c>
      <c r="C2309" s="21" t="s">
        <v>1145</v>
      </c>
      <c r="D2309" s="21" t="s">
        <v>35</v>
      </c>
      <c r="E2309" s="18" t="s">
        <v>59</v>
      </c>
      <c r="F2309" s="18" t="s">
        <v>47</v>
      </c>
      <c r="G2309" s="18" t="s">
        <v>48</v>
      </c>
      <c r="H2309" s="24">
        <v>31330</v>
      </c>
      <c r="I2309" s="24">
        <f>T_reg.root.SK[[#This Row],[Volume, kg]]/1000</f>
        <v>31.33</v>
      </c>
      <c r="J2309" s="25">
        <v>0.2482</v>
      </c>
      <c r="K2309" s="25">
        <f t="shared" si="36"/>
        <v>7776.1059999999998</v>
      </c>
      <c r="L2309" s="25">
        <v>3.76</v>
      </c>
      <c r="M2309" s="24">
        <v>117869.5</v>
      </c>
      <c r="N2309" s="25">
        <f>IFERROR(T_reg.root.SK[[#This Row],[Price]]/T_reg.root.SK[[#This Row],[Starch content]],"")</f>
        <v>15.14907332796132</v>
      </c>
    </row>
    <row r="2310" spans="1:14">
      <c r="A2310" s="21">
        <v>2024</v>
      </c>
      <c r="B2310" s="21" t="s">
        <v>19</v>
      </c>
      <c r="C2310" s="21" t="s">
        <v>1145</v>
      </c>
      <c r="D2310" s="21" t="s">
        <v>35</v>
      </c>
      <c r="E2310" s="18" t="s">
        <v>60</v>
      </c>
      <c r="F2310" s="18" t="s">
        <v>47</v>
      </c>
      <c r="G2310" s="18" t="s">
        <v>48</v>
      </c>
      <c r="H2310" s="24">
        <v>121420</v>
      </c>
      <c r="I2310" s="24">
        <f>T_reg.root.SK[[#This Row],[Volume, kg]]/1000</f>
        <v>121.42</v>
      </c>
      <c r="J2310" s="25">
        <v>0.25390000000000001</v>
      </c>
      <c r="K2310" s="25">
        <f t="shared" si="36"/>
        <v>30828.538</v>
      </c>
      <c r="L2310" s="25">
        <v>3.75</v>
      </c>
      <c r="M2310" s="24">
        <v>454975</v>
      </c>
      <c r="N2310" s="25">
        <f>IFERROR(T_reg.root.SK[[#This Row],[Price]]/T_reg.root.SK[[#This Row],[Starch content]],"")</f>
        <v>14.769594328475778</v>
      </c>
    </row>
    <row r="2311" spans="1:14">
      <c r="A2311" s="21">
        <v>2024</v>
      </c>
      <c r="B2311" s="21" t="s">
        <v>19</v>
      </c>
      <c r="C2311" s="21" t="s">
        <v>1145</v>
      </c>
      <c r="D2311" s="21" t="s">
        <v>35</v>
      </c>
      <c r="E2311" s="18" t="s">
        <v>643</v>
      </c>
      <c r="F2311" s="18" t="s">
        <v>47</v>
      </c>
      <c r="G2311" s="18" t="s">
        <v>48</v>
      </c>
      <c r="H2311" s="24">
        <v>74010</v>
      </c>
      <c r="I2311" s="24">
        <f>T_reg.root.SK[[#This Row],[Volume, kg]]/1000</f>
        <v>74.010000000000005</v>
      </c>
      <c r="J2311" s="25">
        <v>0.26860000000000001</v>
      </c>
      <c r="K2311" s="25">
        <f t="shared" si="36"/>
        <v>19879.085999999999</v>
      </c>
      <c r="L2311" s="25">
        <v>3.82</v>
      </c>
      <c r="M2311" s="24">
        <v>282424</v>
      </c>
      <c r="N2311" s="25">
        <f>IFERROR(T_reg.root.SK[[#This Row],[Price]]/T_reg.root.SK[[#This Row],[Starch content]],"")</f>
        <v>14.221891288160833</v>
      </c>
    </row>
    <row r="2312" spans="1:14">
      <c r="A2312" s="21">
        <v>2024</v>
      </c>
      <c r="B2312" s="21" t="s">
        <v>19</v>
      </c>
      <c r="C2312" s="21" t="s">
        <v>1145</v>
      </c>
      <c r="D2312" s="21" t="s">
        <v>35</v>
      </c>
      <c r="E2312" s="18" t="s">
        <v>467</v>
      </c>
      <c r="F2312" s="18" t="s">
        <v>47</v>
      </c>
      <c r="G2312" s="18" t="s">
        <v>48</v>
      </c>
      <c r="H2312" s="24">
        <v>54610</v>
      </c>
      <c r="I2312" s="24">
        <f>T_reg.root.SK[[#This Row],[Volume, kg]]/1000</f>
        <v>54.61</v>
      </c>
      <c r="J2312" s="25">
        <v>0.25929999999999997</v>
      </c>
      <c r="K2312" s="25">
        <f t="shared" si="36"/>
        <v>14160.372999999998</v>
      </c>
      <c r="L2312" s="25">
        <v>3.77</v>
      </c>
      <c r="M2312" s="24">
        <v>205949</v>
      </c>
      <c r="N2312" s="25">
        <f>IFERROR(T_reg.root.SK[[#This Row],[Price]]/T_reg.root.SK[[#This Row],[Starch content]],"")</f>
        <v>14.539143848823757</v>
      </c>
    </row>
    <row r="2313" spans="1:14">
      <c r="A2313" s="21">
        <v>2024</v>
      </c>
      <c r="B2313" s="21" t="s">
        <v>19</v>
      </c>
      <c r="C2313" s="21" t="s">
        <v>1145</v>
      </c>
      <c r="D2313" s="21" t="s">
        <v>35</v>
      </c>
      <c r="E2313" s="18" t="s">
        <v>61</v>
      </c>
      <c r="F2313" s="18" t="s">
        <v>47</v>
      </c>
      <c r="G2313" s="18" t="s">
        <v>48</v>
      </c>
      <c r="H2313" s="24">
        <v>209160</v>
      </c>
      <c r="I2313" s="24">
        <f>T_reg.root.SK[[#This Row],[Volume, kg]]/1000</f>
        <v>209.16</v>
      </c>
      <c r="J2313" s="25">
        <v>0.25800000000000001</v>
      </c>
      <c r="K2313" s="25">
        <f t="shared" si="36"/>
        <v>53963.28</v>
      </c>
      <c r="L2313" s="25">
        <v>3.78</v>
      </c>
      <c r="M2313" s="24">
        <v>790405.5</v>
      </c>
      <c r="N2313" s="25">
        <f>IFERROR(T_reg.root.SK[[#This Row],[Price]]/T_reg.root.SK[[#This Row],[Starch content]],"")</f>
        <v>14.651162790697674</v>
      </c>
    </row>
    <row r="2314" spans="1:14">
      <c r="A2314" s="21">
        <v>2024</v>
      </c>
      <c r="B2314" s="21" t="s">
        <v>19</v>
      </c>
      <c r="C2314" s="21" t="s">
        <v>1145</v>
      </c>
      <c r="D2314" s="21" t="s">
        <v>35</v>
      </c>
      <c r="E2314" s="18" t="s">
        <v>673</v>
      </c>
      <c r="F2314" s="18" t="s">
        <v>47</v>
      </c>
      <c r="G2314" s="18" t="s">
        <v>48</v>
      </c>
      <c r="H2314" s="24">
        <v>29010</v>
      </c>
      <c r="I2314" s="24">
        <f>T_reg.root.SK[[#This Row],[Volume, kg]]/1000</f>
        <v>29.01</v>
      </c>
      <c r="J2314" s="25">
        <v>0.25650000000000001</v>
      </c>
      <c r="K2314" s="25">
        <f t="shared" si="36"/>
        <v>7441.0650000000005</v>
      </c>
      <c r="L2314" s="25">
        <v>3.68</v>
      </c>
      <c r="M2314" s="24">
        <v>106860.5</v>
      </c>
      <c r="N2314" s="25">
        <f>IFERROR(T_reg.root.SK[[#This Row],[Price]]/T_reg.root.SK[[#This Row],[Starch content]],"")</f>
        <v>14.346978557504874</v>
      </c>
    </row>
    <row r="2315" spans="1:14">
      <c r="A2315" s="21">
        <v>2024</v>
      </c>
      <c r="B2315" s="21" t="s">
        <v>19</v>
      </c>
      <c r="C2315" s="21" t="s">
        <v>1145</v>
      </c>
      <c r="D2315" s="21" t="s">
        <v>35</v>
      </c>
      <c r="E2315" s="18" t="s">
        <v>339</v>
      </c>
      <c r="F2315" s="18" t="s">
        <v>47</v>
      </c>
      <c r="G2315" s="18" t="s">
        <v>48</v>
      </c>
      <c r="H2315" s="24">
        <v>10200</v>
      </c>
      <c r="I2315" s="24">
        <f>T_reg.root.SK[[#This Row],[Volume, kg]]/1000</f>
        <v>10.199999999999999</v>
      </c>
      <c r="J2315" s="25">
        <v>0.22850000000000001</v>
      </c>
      <c r="K2315" s="25">
        <f t="shared" si="36"/>
        <v>2330.7000000000003</v>
      </c>
      <c r="L2315" s="25">
        <v>3.65</v>
      </c>
      <c r="M2315" s="24">
        <v>37230</v>
      </c>
      <c r="N2315" s="25">
        <f>IFERROR(T_reg.root.SK[[#This Row],[Price]]/T_reg.root.SK[[#This Row],[Starch content]],"")</f>
        <v>15.973741794310721</v>
      </c>
    </row>
    <row r="2316" spans="1:14">
      <c r="A2316" s="21">
        <v>2024</v>
      </c>
      <c r="B2316" s="21" t="s">
        <v>19</v>
      </c>
      <c r="C2316" s="21" t="s">
        <v>1145</v>
      </c>
      <c r="D2316" s="21" t="s">
        <v>35</v>
      </c>
      <c r="E2316" s="18" t="s">
        <v>468</v>
      </c>
      <c r="F2316" s="18" t="s">
        <v>47</v>
      </c>
      <c r="G2316" s="18" t="s">
        <v>48</v>
      </c>
      <c r="H2316" s="24">
        <v>72170</v>
      </c>
      <c r="I2316" s="24">
        <f>T_reg.root.SK[[#This Row],[Volume, kg]]/1000</f>
        <v>72.17</v>
      </c>
      <c r="J2316" s="25">
        <v>0.2455</v>
      </c>
      <c r="K2316" s="25">
        <f t="shared" si="36"/>
        <v>17717.735000000001</v>
      </c>
      <c r="L2316" s="25">
        <v>3.69</v>
      </c>
      <c r="M2316" s="24">
        <v>266401</v>
      </c>
      <c r="N2316" s="25">
        <f>IFERROR(T_reg.root.SK[[#This Row],[Price]]/T_reg.root.SK[[#This Row],[Starch content]],"")</f>
        <v>15.030549898167006</v>
      </c>
    </row>
    <row r="2317" spans="1:14">
      <c r="A2317" s="21">
        <v>2024</v>
      </c>
      <c r="B2317" s="21" t="s">
        <v>19</v>
      </c>
      <c r="C2317" s="21" t="s">
        <v>1145</v>
      </c>
      <c r="D2317" s="21" t="s">
        <v>35</v>
      </c>
      <c r="E2317" s="18" t="s">
        <v>62</v>
      </c>
      <c r="F2317" s="18" t="s">
        <v>47</v>
      </c>
      <c r="G2317" s="18" t="s">
        <v>48</v>
      </c>
      <c r="H2317" s="24">
        <v>232400</v>
      </c>
      <c r="I2317" s="24">
        <f>T_reg.root.SK[[#This Row],[Volume, kg]]/1000</f>
        <v>232.4</v>
      </c>
      <c r="J2317" s="25">
        <v>0.26530000000000004</v>
      </c>
      <c r="K2317" s="25">
        <f t="shared" si="36"/>
        <v>61655.720000000008</v>
      </c>
      <c r="L2317" s="25">
        <v>3.78</v>
      </c>
      <c r="M2317" s="24">
        <v>878140.5</v>
      </c>
      <c r="N2317" s="25">
        <f>IFERROR(T_reg.root.SK[[#This Row],[Price]]/T_reg.root.SK[[#This Row],[Starch content]],"")</f>
        <v>14.248021108179417</v>
      </c>
    </row>
    <row r="2318" spans="1:14">
      <c r="A2318" s="21">
        <v>2024</v>
      </c>
      <c r="B2318" s="21" t="s">
        <v>19</v>
      </c>
      <c r="C2318" s="21" t="s">
        <v>1145</v>
      </c>
      <c r="D2318" s="21" t="s">
        <v>35</v>
      </c>
      <c r="E2318" s="18" t="s">
        <v>63</v>
      </c>
      <c r="F2318" s="18" t="s">
        <v>47</v>
      </c>
      <c r="G2318" s="18" t="s">
        <v>48</v>
      </c>
      <c r="H2318" s="24">
        <v>27780</v>
      </c>
      <c r="I2318" s="24">
        <f>T_reg.root.SK[[#This Row],[Volume, kg]]/1000</f>
        <v>27.78</v>
      </c>
      <c r="J2318" s="25">
        <v>0.2581</v>
      </c>
      <c r="K2318" s="25">
        <f t="shared" si="36"/>
        <v>7170.018</v>
      </c>
      <c r="L2318" s="25">
        <v>3.73</v>
      </c>
      <c r="M2318" s="24">
        <v>103669</v>
      </c>
      <c r="N2318" s="25">
        <f>IFERROR(T_reg.root.SK[[#This Row],[Price]]/T_reg.root.SK[[#This Row],[Starch content]],"")</f>
        <v>14.451762882603642</v>
      </c>
    </row>
    <row r="2319" spans="1:14">
      <c r="A2319" s="21">
        <v>2024</v>
      </c>
      <c r="B2319" s="21" t="s">
        <v>19</v>
      </c>
      <c r="C2319" s="21" t="s">
        <v>1145</v>
      </c>
      <c r="D2319" s="21" t="s">
        <v>35</v>
      </c>
      <c r="E2319" s="18" t="s">
        <v>340</v>
      </c>
      <c r="F2319" s="18" t="s">
        <v>47</v>
      </c>
      <c r="G2319" s="18" t="s">
        <v>48</v>
      </c>
      <c r="H2319" s="24">
        <v>51160</v>
      </c>
      <c r="I2319" s="24">
        <f>T_reg.root.SK[[#This Row],[Volume, kg]]/1000</f>
        <v>51.16</v>
      </c>
      <c r="J2319" s="25">
        <v>0.23550000000000001</v>
      </c>
      <c r="K2319" s="25">
        <f t="shared" si="36"/>
        <v>12048.18</v>
      </c>
      <c r="L2319" s="25">
        <v>3.7</v>
      </c>
      <c r="M2319" s="24">
        <v>189312</v>
      </c>
      <c r="N2319" s="25">
        <f>IFERROR(T_reg.root.SK[[#This Row],[Price]]/T_reg.root.SK[[#This Row],[Starch content]],"")</f>
        <v>15.711252653927813</v>
      </c>
    </row>
    <row r="2320" spans="1:14">
      <c r="A2320" s="21">
        <v>2024</v>
      </c>
      <c r="B2320" s="21" t="s">
        <v>19</v>
      </c>
      <c r="C2320" s="21" t="s">
        <v>1145</v>
      </c>
      <c r="D2320" s="21" t="s">
        <v>35</v>
      </c>
      <c r="E2320" s="18" t="s">
        <v>692</v>
      </c>
      <c r="F2320" s="18" t="s">
        <v>47</v>
      </c>
      <c r="G2320" s="18" t="s">
        <v>48</v>
      </c>
      <c r="H2320" s="24">
        <v>74620</v>
      </c>
      <c r="I2320" s="24">
        <f>T_reg.root.SK[[#This Row],[Volume, kg]]/1000</f>
        <v>74.62</v>
      </c>
      <c r="J2320" s="25">
        <v>0.24850000000000003</v>
      </c>
      <c r="K2320" s="25">
        <f t="shared" si="36"/>
        <v>18543.070000000003</v>
      </c>
      <c r="L2320" s="25">
        <v>3.71</v>
      </c>
      <c r="M2320" s="24">
        <v>276770</v>
      </c>
      <c r="N2320" s="25">
        <f>IFERROR(T_reg.root.SK[[#This Row],[Price]]/T_reg.root.SK[[#This Row],[Starch content]],"")</f>
        <v>14.92957746478873</v>
      </c>
    </row>
    <row r="2321" spans="1:14">
      <c r="A2321" s="21">
        <v>2024</v>
      </c>
      <c r="B2321" s="21" t="s">
        <v>19</v>
      </c>
      <c r="C2321" s="21" t="s">
        <v>1145</v>
      </c>
      <c r="D2321" s="21" t="s">
        <v>35</v>
      </c>
      <c r="E2321" s="18" t="s">
        <v>676</v>
      </c>
      <c r="F2321" s="18" t="s">
        <v>47</v>
      </c>
      <c r="G2321" s="18" t="s">
        <v>48</v>
      </c>
      <c r="H2321" s="24">
        <v>62960</v>
      </c>
      <c r="I2321" s="24">
        <f>T_reg.root.SK[[#This Row],[Volume, kg]]/1000</f>
        <v>62.96</v>
      </c>
      <c r="J2321" s="25">
        <v>0.27329999999999999</v>
      </c>
      <c r="K2321" s="25">
        <f t="shared" si="36"/>
        <v>17206.968000000001</v>
      </c>
      <c r="L2321" s="25">
        <v>3.77</v>
      </c>
      <c r="M2321" s="24">
        <v>237246.5</v>
      </c>
      <c r="N2321" s="25">
        <f>IFERROR(T_reg.root.SK[[#This Row],[Price]]/T_reg.root.SK[[#This Row],[Starch content]],"")</f>
        <v>13.794365166483718</v>
      </c>
    </row>
    <row r="2322" spans="1:14">
      <c r="A2322" s="21">
        <v>2024</v>
      </c>
      <c r="B2322" s="21" t="s">
        <v>19</v>
      </c>
      <c r="C2322" s="21" t="s">
        <v>1145</v>
      </c>
      <c r="D2322" s="21" t="s">
        <v>35</v>
      </c>
      <c r="E2322" s="18" t="s">
        <v>64</v>
      </c>
      <c r="F2322" s="18" t="s">
        <v>47</v>
      </c>
      <c r="G2322" s="18" t="s">
        <v>48</v>
      </c>
      <c r="H2322" s="24">
        <v>43260</v>
      </c>
      <c r="I2322" s="24">
        <f>T_reg.root.SK[[#This Row],[Volume, kg]]/1000</f>
        <v>43.26</v>
      </c>
      <c r="J2322" s="25">
        <v>0.25030000000000002</v>
      </c>
      <c r="K2322" s="25">
        <f t="shared" si="36"/>
        <v>10827.978000000001</v>
      </c>
      <c r="L2322" s="25">
        <v>3.68</v>
      </c>
      <c r="M2322" s="24">
        <v>159130.5</v>
      </c>
      <c r="N2322" s="25">
        <f>IFERROR(T_reg.root.SK[[#This Row],[Price]]/T_reg.root.SK[[#This Row],[Starch content]],"")</f>
        <v>14.702357171394326</v>
      </c>
    </row>
    <row r="2323" spans="1:14">
      <c r="A2323" s="21">
        <v>2024</v>
      </c>
      <c r="B2323" s="21" t="s">
        <v>19</v>
      </c>
      <c r="C2323" s="21" t="s">
        <v>1145</v>
      </c>
      <c r="D2323" s="21" t="s">
        <v>35</v>
      </c>
      <c r="E2323" s="18" t="s">
        <v>660</v>
      </c>
      <c r="F2323" s="18" t="s">
        <v>47</v>
      </c>
      <c r="G2323" s="18" t="s">
        <v>48</v>
      </c>
      <c r="H2323" s="24">
        <v>17860</v>
      </c>
      <c r="I2323" s="24">
        <f>T_reg.root.SK[[#This Row],[Volume, kg]]/1000</f>
        <v>17.86</v>
      </c>
      <c r="J2323" s="25">
        <v>0.25840000000000002</v>
      </c>
      <c r="K2323" s="25">
        <f t="shared" si="36"/>
        <v>4615.0240000000003</v>
      </c>
      <c r="L2323" s="25">
        <v>3.78</v>
      </c>
      <c r="M2323" s="24">
        <v>67464</v>
      </c>
      <c r="N2323" s="25">
        <f>IFERROR(T_reg.root.SK[[#This Row],[Price]]/T_reg.root.SK[[#This Row],[Starch content]],"")</f>
        <v>14.62848297213622</v>
      </c>
    </row>
    <row r="2324" spans="1:14">
      <c r="A2324" s="21">
        <v>2024</v>
      </c>
      <c r="B2324" s="21" t="s">
        <v>19</v>
      </c>
      <c r="C2324" s="21" t="s">
        <v>1145</v>
      </c>
      <c r="D2324" s="21" t="s">
        <v>35</v>
      </c>
      <c r="E2324" s="18" t="s">
        <v>66</v>
      </c>
      <c r="F2324" s="18" t="s">
        <v>47</v>
      </c>
      <c r="G2324" s="18" t="s">
        <v>48</v>
      </c>
      <c r="H2324" s="24">
        <v>74180</v>
      </c>
      <c r="I2324" s="24">
        <f>T_reg.root.SK[[#This Row],[Volume, kg]]/1000</f>
        <v>74.180000000000007</v>
      </c>
      <c r="J2324" s="25">
        <v>0.26190000000000002</v>
      </c>
      <c r="K2324" s="25">
        <f t="shared" si="36"/>
        <v>19427.742000000002</v>
      </c>
      <c r="L2324" s="25">
        <v>3.81</v>
      </c>
      <c r="M2324" s="24">
        <v>282835.5</v>
      </c>
      <c r="N2324" s="25">
        <f>IFERROR(T_reg.root.SK[[#This Row],[Price]]/T_reg.root.SK[[#This Row],[Starch content]],"")</f>
        <v>14.547537227949599</v>
      </c>
    </row>
    <row r="2325" spans="1:14">
      <c r="A2325" s="21">
        <v>2024</v>
      </c>
      <c r="B2325" s="21" t="s">
        <v>19</v>
      </c>
      <c r="C2325" s="21" t="s">
        <v>1145</v>
      </c>
      <c r="D2325" s="21" t="s">
        <v>35</v>
      </c>
      <c r="E2325" s="18" t="s">
        <v>677</v>
      </c>
      <c r="F2325" s="18" t="s">
        <v>47</v>
      </c>
      <c r="G2325" s="18" t="s">
        <v>48</v>
      </c>
      <c r="H2325" s="24">
        <v>60130</v>
      </c>
      <c r="I2325" s="24">
        <f>T_reg.root.SK[[#This Row],[Volume, kg]]/1000</f>
        <v>60.13</v>
      </c>
      <c r="J2325" s="25">
        <v>0.27839999999999998</v>
      </c>
      <c r="K2325" s="25">
        <f t="shared" si="36"/>
        <v>16740.191999999999</v>
      </c>
      <c r="L2325" s="25">
        <v>3.82</v>
      </c>
      <c r="M2325" s="24">
        <v>229515</v>
      </c>
      <c r="N2325" s="25">
        <f>IFERROR(T_reg.root.SK[[#This Row],[Price]]/T_reg.root.SK[[#This Row],[Starch content]],"")</f>
        <v>13.721264367816092</v>
      </c>
    </row>
    <row r="2326" spans="1:14">
      <c r="A2326" s="21">
        <v>2024</v>
      </c>
      <c r="B2326" s="21" t="s">
        <v>19</v>
      </c>
      <c r="C2326" s="21" t="s">
        <v>1145</v>
      </c>
      <c r="D2326" s="21" t="s">
        <v>35</v>
      </c>
      <c r="E2326" s="18" t="s">
        <v>380</v>
      </c>
      <c r="F2326" s="18" t="s">
        <v>47</v>
      </c>
      <c r="G2326" s="18" t="s">
        <v>48</v>
      </c>
      <c r="H2326" s="24">
        <v>33600</v>
      </c>
      <c r="I2326" s="24">
        <f>T_reg.root.SK[[#This Row],[Volume, kg]]/1000</f>
        <v>33.6</v>
      </c>
      <c r="J2326" s="25">
        <v>0.2477</v>
      </c>
      <c r="K2326" s="25">
        <f t="shared" si="36"/>
        <v>8322.7199999999993</v>
      </c>
      <c r="L2326" s="25">
        <v>3.68</v>
      </c>
      <c r="M2326" s="24">
        <v>123643.5</v>
      </c>
      <c r="N2326" s="25">
        <f>IFERROR(T_reg.root.SK[[#This Row],[Price]]/T_reg.root.SK[[#This Row],[Starch content]],"")</f>
        <v>14.856681469519581</v>
      </c>
    </row>
    <row r="2327" spans="1:14">
      <c r="A2327" s="21">
        <v>2024</v>
      </c>
      <c r="B2327" s="21" t="s">
        <v>19</v>
      </c>
      <c r="C2327" s="21" t="s">
        <v>1145</v>
      </c>
      <c r="D2327" s="21" t="s">
        <v>35</v>
      </c>
      <c r="E2327" s="18" t="s">
        <v>68</v>
      </c>
      <c r="F2327" s="18" t="s">
        <v>47</v>
      </c>
      <c r="G2327" s="18" t="s">
        <v>48</v>
      </c>
      <c r="H2327" s="24">
        <v>119390</v>
      </c>
      <c r="I2327" s="24">
        <f>T_reg.root.SK[[#This Row],[Volume, kg]]/1000</f>
        <v>119.39</v>
      </c>
      <c r="J2327" s="25">
        <v>0.26719999999999999</v>
      </c>
      <c r="K2327" s="25">
        <f t="shared" si="36"/>
        <v>31901.007999999998</v>
      </c>
      <c r="L2327" s="25">
        <v>3.8</v>
      </c>
      <c r="M2327" s="24">
        <v>453349.5</v>
      </c>
      <c r="N2327" s="25">
        <f>IFERROR(T_reg.root.SK[[#This Row],[Price]]/T_reg.root.SK[[#This Row],[Starch content]],"")</f>
        <v>14.221556886227544</v>
      </c>
    </row>
    <row r="2328" spans="1:14">
      <c r="A2328" s="21">
        <v>2024</v>
      </c>
      <c r="B2328" s="21" t="s">
        <v>19</v>
      </c>
      <c r="C2328" s="21" t="s">
        <v>1145</v>
      </c>
      <c r="D2328" s="21" t="s">
        <v>35</v>
      </c>
      <c r="E2328" s="18" t="s">
        <v>70</v>
      </c>
      <c r="F2328" s="18" t="s">
        <v>47</v>
      </c>
      <c r="G2328" s="18" t="s">
        <v>48</v>
      </c>
      <c r="H2328" s="24">
        <v>507470</v>
      </c>
      <c r="I2328" s="24">
        <f>T_reg.root.SK[[#This Row],[Volume, kg]]/1000</f>
        <v>507.47</v>
      </c>
      <c r="J2328" s="25">
        <v>0.27310000000000001</v>
      </c>
      <c r="K2328" s="25">
        <f t="shared" si="36"/>
        <v>138590.057</v>
      </c>
      <c r="L2328" s="25">
        <v>3.84</v>
      </c>
      <c r="M2328" s="24">
        <v>1948285</v>
      </c>
      <c r="N2328" s="25">
        <f>IFERROR(T_reg.root.SK[[#This Row],[Price]]/T_reg.root.SK[[#This Row],[Starch content]],"")</f>
        <v>14.06078359575247</v>
      </c>
    </row>
    <row r="2329" spans="1:14">
      <c r="A2329" s="21">
        <v>2024</v>
      </c>
      <c r="B2329" s="21" t="s">
        <v>19</v>
      </c>
      <c r="C2329" s="21" t="s">
        <v>1145</v>
      </c>
      <c r="D2329" s="21" t="s">
        <v>35</v>
      </c>
      <c r="E2329" s="18" t="s">
        <v>71</v>
      </c>
      <c r="F2329" s="18" t="s">
        <v>47</v>
      </c>
      <c r="G2329" s="18" t="s">
        <v>48</v>
      </c>
      <c r="H2329" s="24">
        <v>8910</v>
      </c>
      <c r="I2329" s="24">
        <f>T_reg.root.SK[[#This Row],[Volume, kg]]/1000</f>
        <v>8.91</v>
      </c>
      <c r="J2329" s="25">
        <v>0.22550000000000001</v>
      </c>
      <c r="K2329" s="25">
        <f t="shared" si="36"/>
        <v>2009.2050000000002</v>
      </c>
      <c r="L2329" s="25">
        <v>3.55</v>
      </c>
      <c r="M2329" s="24">
        <v>31630.5</v>
      </c>
      <c r="N2329" s="25">
        <f>IFERROR(T_reg.root.SK[[#This Row],[Price]]/T_reg.root.SK[[#This Row],[Starch content]],"")</f>
        <v>15.742793791574279</v>
      </c>
    </row>
    <row r="2330" spans="1:14">
      <c r="A2330" s="21">
        <v>2024</v>
      </c>
      <c r="B2330" s="21" t="s">
        <v>19</v>
      </c>
      <c r="C2330" s="21" t="s">
        <v>1145</v>
      </c>
      <c r="D2330" s="21" t="s">
        <v>35</v>
      </c>
      <c r="E2330" s="18" t="s">
        <v>472</v>
      </c>
      <c r="F2330" s="18" t="s">
        <v>47</v>
      </c>
      <c r="G2330" s="18" t="s">
        <v>48</v>
      </c>
      <c r="H2330" s="24">
        <v>53550</v>
      </c>
      <c r="I2330" s="24">
        <f>T_reg.root.SK[[#This Row],[Volume, kg]]/1000</f>
        <v>53.55</v>
      </c>
      <c r="J2330" s="25">
        <v>0.25309999999999999</v>
      </c>
      <c r="K2330" s="25">
        <f t="shared" si="36"/>
        <v>13553.504999999999</v>
      </c>
      <c r="L2330" s="25">
        <v>3.72</v>
      </c>
      <c r="M2330" s="24">
        <v>199218.5</v>
      </c>
      <c r="N2330" s="25">
        <f>IFERROR(T_reg.root.SK[[#This Row],[Price]]/T_reg.root.SK[[#This Row],[Starch content]],"")</f>
        <v>14.69774792572106</v>
      </c>
    </row>
    <row r="2331" spans="1:14">
      <c r="A2331" s="21">
        <v>2024</v>
      </c>
      <c r="B2331" s="21" t="s">
        <v>19</v>
      </c>
      <c r="C2331" s="21" t="s">
        <v>1145</v>
      </c>
      <c r="D2331" s="21" t="s">
        <v>35</v>
      </c>
      <c r="E2331" s="18" t="s">
        <v>661</v>
      </c>
      <c r="F2331" s="18" t="s">
        <v>47</v>
      </c>
      <c r="G2331" s="18" t="s">
        <v>48</v>
      </c>
      <c r="H2331" s="24">
        <v>160730</v>
      </c>
      <c r="I2331" s="24">
        <f>T_reg.root.SK[[#This Row],[Volume, kg]]/1000</f>
        <v>160.72999999999999</v>
      </c>
      <c r="J2331" s="25">
        <v>0.27190000000000003</v>
      </c>
      <c r="K2331" s="25">
        <f t="shared" si="36"/>
        <v>43702.487000000008</v>
      </c>
      <c r="L2331" s="25">
        <v>3.76</v>
      </c>
      <c r="M2331" s="24">
        <v>604108</v>
      </c>
      <c r="N2331" s="25">
        <f>IFERROR(T_reg.root.SK[[#This Row],[Price]]/T_reg.root.SK[[#This Row],[Starch content]],"")</f>
        <v>13.828613460831185</v>
      </c>
    </row>
    <row r="2332" spans="1:14">
      <c r="A2332" s="21">
        <v>2024</v>
      </c>
      <c r="B2332" s="21" t="s">
        <v>19</v>
      </c>
      <c r="C2332" s="21" t="s">
        <v>1145</v>
      </c>
      <c r="D2332" s="21" t="s">
        <v>35</v>
      </c>
      <c r="E2332" s="18" t="s">
        <v>73</v>
      </c>
      <c r="F2332" s="18" t="s">
        <v>47</v>
      </c>
      <c r="G2332" s="18" t="s">
        <v>48</v>
      </c>
      <c r="H2332" s="24">
        <v>24980</v>
      </c>
      <c r="I2332" s="24">
        <f>T_reg.root.SK[[#This Row],[Volume, kg]]/1000</f>
        <v>24.98</v>
      </c>
      <c r="J2332" s="25">
        <v>0.29719999999999996</v>
      </c>
      <c r="K2332" s="25">
        <f t="shared" si="36"/>
        <v>7424.0559999999987</v>
      </c>
      <c r="L2332" s="25">
        <v>3.88</v>
      </c>
      <c r="M2332" s="24">
        <v>97021</v>
      </c>
      <c r="N2332" s="25">
        <f>IFERROR(T_reg.root.SK[[#This Row],[Price]]/T_reg.root.SK[[#This Row],[Starch content]],"")</f>
        <v>13.055181695827727</v>
      </c>
    </row>
    <row r="2333" spans="1:14">
      <c r="A2333" s="21">
        <v>2024</v>
      </c>
      <c r="B2333" s="21" t="s">
        <v>19</v>
      </c>
      <c r="C2333" s="21" t="s">
        <v>1145</v>
      </c>
      <c r="D2333" s="21" t="s">
        <v>35</v>
      </c>
      <c r="E2333" s="18" t="s">
        <v>74</v>
      </c>
      <c r="F2333" s="18" t="s">
        <v>47</v>
      </c>
      <c r="G2333" s="18" t="s">
        <v>48</v>
      </c>
      <c r="H2333" s="24">
        <v>82300</v>
      </c>
      <c r="I2333" s="24">
        <f>T_reg.root.SK[[#This Row],[Volume, kg]]/1000</f>
        <v>82.3</v>
      </c>
      <c r="J2333" s="25">
        <v>0.25129999999999997</v>
      </c>
      <c r="K2333" s="25">
        <f t="shared" si="36"/>
        <v>20681.989999999998</v>
      </c>
      <c r="L2333" s="25">
        <v>3.71</v>
      </c>
      <c r="M2333" s="24">
        <v>305627.5</v>
      </c>
      <c r="N2333" s="25">
        <f>IFERROR(T_reg.root.SK[[#This Row],[Price]]/T_reg.root.SK[[#This Row],[Starch content]],"")</f>
        <v>14.763231197771589</v>
      </c>
    </row>
    <row r="2334" spans="1:14">
      <c r="A2334" s="21">
        <v>2024</v>
      </c>
      <c r="B2334" s="21" t="s">
        <v>19</v>
      </c>
      <c r="C2334" s="21" t="s">
        <v>1145</v>
      </c>
      <c r="D2334" s="21" t="s">
        <v>35</v>
      </c>
      <c r="E2334" s="18" t="s">
        <v>473</v>
      </c>
      <c r="F2334" s="18" t="s">
        <v>47</v>
      </c>
      <c r="G2334" s="18" t="s">
        <v>48</v>
      </c>
      <c r="H2334" s="24">
        <v>36090</v>
      </c>
      <c r="I2334" s="24">
        <f>T_reg.root.SK[[#This Row],[Volume, kg]]/1000</f>
        <v>36.090000000000003</v>
      </c>
      <c r="J2334" s="25">
        <v>0.22920000000000001</v>
      </c>
      <c r="K2334" s="25">
        <f t="shared" si="36"/>
        <v>8271.8280000000013</v>
      </c>
      <c r="L2334" s="25">
        <v>3.58</v>
      </c>
      <c r="M2334" s="24">
        <v>129040.5</v>
      </c>
      <c r="N2334" s="25">
        <f>IFERROR(T_reg.root.SK[[#This Row],[Price]]/T_reg.root.SK[[#This Row],[Starch content]],"")</f>
        <v>15.619546247818498</v>
      </c>
    </row>
    <row r="2335" spans="1:14">
      <c r="A2335" s="21">
        <v>2024</v>
      </c>
      <c r="B2335" s="21" t="s">
        <v>19</v>
      </c>
      <c r="C2335" s="21" t="s">
        <v>1145</v>
      </c>
      <c r="D2335" s="21" t="s">
        <v>35</v>
      </c>
      <c r="E2335" s="18" t="s">
        <v>474</v>
      </c>
      <c r="F2335" s="18" t="s">
        <v>47</v>
      </c>
      <c r="G2335" s="18" t="s">
        <v>48</v>
      </c>
      <c r="H2335" s="24">
        <v>63120</v>
      </c>
      <c r="I2335" s="24">
        <f>T_reg.root.SK[[#This Row],[Volume, kg]]/1000</f>
        <v>63.12</v>
      </c>
      <c r="J2335" s="25">
        <v>0.27329999999999999</v>
      </c>
      <c r="K2335" s="25">
        <f t="shared" si="36"/>
        <v>17250.696</v>
      </c>
      <c r="L2335" s="25">
        <v>3.87</v>
      </c>
      <c r="M2335" s="24">
        <v>244172</v>
      </c>
      <c r="N2335" s="25">
        <f>IFERROR(T_reg.root.SK[[#This Row],[Price]]/T_reg.root.SK[[#This Row],[Starch content]],"")</f>
        <v>14.160263446761801</v>
      </c>
    </row>
    <row r="2336" spans="1:14">
      <c r="A2336" s="21">
        <v>2024</v>
      </c>
      <c r="B2336" s="21" t="s">
        <v>19</v>
      </c>
      <c r="C2336" s="21" t="s">
        <v>1145</v>
      </c>
      <c r="D2336" s="21" t="s">
        <v>35</v>
      </c>
      <c r="E2336" s="18" t="s">
        <v>76</v>
      </c>
      <c r="F2336" s="18" t="s">
        <v>47</v>
      </c>
      <c r="G2336" s="18" t="s">
        <v>48</v>
      </c>
      <c r="H2336" s="24">
        <v>71870</v>
      </c>
      <c r="I2336" s="24">
        <f>T_reg.root.SK[[#This Row],[Volume, kg]]/1000</f>
        <v>71.87</v>
      </c>
      <c r="J2336" s="25">
        <v>0.26929999999999998</v>
      </c>
      <c r="K2336" s="25">
        <f t="shared" si="36"/>
        <v>19354.591</v>
      </c>
      <c r="L2336" s="25">
        <v>3.78</v>
      </c>
      <c r="M2336" s="24">
        <v>271563</v>
      </c>
      <c r="N2336" s="25">
        <f>IFERROR(T_reg.root.SK[[#This Row],[Price]]/T_reg.root.SK[[#This Row],[Starch content]],"")</f>
        <v>14.036390642406239</v>
      </c>
    </row>
    <row r="2337" spans="1:14">
      <c r="A2337" s="21">
        <v>2024</v>
      </c>
      <c r="B2337" s="21" t="s">
        <v>19</v>
      </c>
      <c r="C2337" s="21" t="s">
        <v>1145</v>
      </c>
      <c r="D2337" s="21" t="s">
        <v>35</v>
      </c>
      <c r="E2337" s="18" t="s">
        <v>77</v>
      </c>
      <c r="F2337" s="18" t="s">
        <v>47</v>
      </c>
      <c r="G2337" s="18" t="s">
        <v>48</v>
      </c>
      <c r="H2337" s="24">
        <v>35490</v>
      </c>
      <c r="I2337" s="24">
        <f>T_reg.root.SK[[#This Row],[Volume, kg]]/1000</f>
        <v>35.49</v>
      </c>
      <c r="J2337" s="25">
        <v>0.23719999999999999</v>
      </c>
      <c r="K2337" s="25">
        <f t="shared" si="36"/>
        <v>8418.2279999999992</v>
      </c>
      <c r="L2337" s="25">
        <v>3.63</v>
      </c>
      <c r="M2337" s="24">
        <v>129002</v>
      </c>
      <c r="N2337" s="25">
        <f>IFERROR(T_reg.root.SK[[#This Row],[Price]]/T_reg.root.SK[[#This Row],[Starch content]],"")</f>
        <v>15.303541315345699</v>
      </c>
    </row>
    <row r="2338" spans="1:14">
      <c r="A2338" s="21">
        <v>2024</v>
      </c>
      <c r="B2338" s="21" t="s">
        <v>19</v>
      </c>
      <c r="C2338" s="21" t="s">
        <v>1145</v>
      </c>
      <c r="D2338" s="21" t="s">
        <v>35</v>
      </c>
      <c r="E2338" s="18" t="s">
        <v>693</v>
      </c>
      <c r="F2338" s="18" t="s">
        <v>47</v>
      </c>
      <c r="G2338" s="18" t="s">
        <v>48</v>
      </c>
      <c r="H2338" s="24">
        <v>38300</v>
      </c>
      <c r="I2338" s="24">
        <f>T_reg.root.SK[[#This Row],[Volume, kg]]/1000</f>
        <v>38.299999999999997</v>
      </c>
      <c r="J2338" s="25">
        <v>0.25259999999999999</v>
      </c>
      <c r="K2338" s="25">
        <f t="shared" si="36"/>
        <v>9674.58</v>
      </c>
      <c r="L2338" s="25">
        <v>3.78</v>
      </c>
      <c r="M2338" s="24">
        <v>144659</v>
      </c>
      <c r="N2338" s="25">
        <f>IFERROR(T_reg.root.SK[[#This Row],[Price]]/T_reg.root.SK[[#This Row],[Starch content]],"")</f>
        <v>14.964370546318289</v>
      </c>
    </row>
    <row r="2339" spans="1:14">
      <c r="A2339" s="21">
        <v>2024</v>
      </c>
      <c r="B2339" s="21" t="s">
        <v>19</v>
      </c>
      <c r="C2339" s="21" t="s">
        <v>1145</v>
      </c>
      <c r="D2339" s="21" t="s">
        <v>35</v>
      </c>
      <c r="E2339" s="18" t="s">
        <v>678</v>
      </c>
      <c r="F2339" s="18" t="s">
        <v>47</v>
      </c>
      <c r="G2339" s="18" t="s">
        <v>48</v>
      </c>
      <c r="H2339" s="24">
        <v>42580</v>
      </c>
      <c r="I2339" s="24">
        <f>T_reg.root.SK[[#This Row],[Volume, kg]]/1000</f>
        <v>42.58</v>
      </c>
      <c r="J2339" s="25">
        <v>0.25950000000000001</v>
      </c>
      <c r="K2339" s="25">
        <f t="shared" si="36"/>
        <v>11049.51</v>
      </c>
      <c r="L2339" s="25">
        <v>3.83</v>
      </c>
      <c r="M2339" s="24">
        <v>163261</v>
      </c>
      <c r="N2339" s="25">
        <f>IFERROR(T_reg.root.SK[[#This Row],[Price]]/T_reg.root.SK[[#This Row],[Starch content]],"")</f>
        <v>14.759152215799615</v>
      </c>
    </row>
    <row r="2340" spans="1:14">
      <c r="A2340" s="21">
        <v>2024</v>
      </c>
      <c r="B2340" s="21" t="s">
        <v>19</v>
      </c>
      <c r="C2340" s="21" t="s">
        <v>1145</v>
      </c>
      <c r="D2340" s="21" t="s">
        <v>35</v>
      </c>
      <c r="E2340" s="18" t="s">
        <v>694</v>
      </c>
      <c r="F2340" s="18" t="s">
        <v>47</v>
      </c>
      <c r="G2340" s="18" t="s">
        <v>48</v>
      </c>
      <c r="H2340" s="24">
        <v>9090</v>
      </c>
      <c r="I2340" s="24">
        <f>T_reg.root.SK[[#This Row],[Volume, kg]]/1000</f>
        <v>9.09</v>
      </c>
      <c r="J2340" s="25">
        <v>0.30349999999999999</v>
      </c>
      <c r="K2340" s="25">
        <f t="shared" si="36"/>
        <v>2758.8150000000001</v>
      </c>
      <c r="L2340" s="25">
        <v>3.9</v>
      </c>
      <c r="M2340" s="24">
        <v>35451</v>
      </c>
      <c r="N2340" s="25">
        <f>IFERROR(T_reg.root.SK[[#This Row],[Price]]/T_reg.root.SK[[#This Row],[Starch content]],"")</f>
        <v>12.8500823723229</v>
      </c>
    </row>
    <row r="2341" spans="1:14">
      <c r="A2341" s="21">
        <v>2024</v>
      </c>
      <c r="B2341" s="21" t="s">
        <v>19</v>
      </c>
      <c r="C2341" s="21" t="s">
        <v>1145</v>
      </c>
      <c r="D2341" s="21" t="s">
        <v>35</v>
      </c>
      <c r="E2341" s="18" t="s">
        <v>79</v>
      </c>
      <c r="F2341" s="18" t="s">
        <v>80</v>
      </c>
      <c r="G2341" s="18" t="s">
        <v>81</v>
      </c>
      <c r="H2341" s="24">
        <v>32550</v>
      </c>
      <c r="I2341" s="24">
        <f>T_reg.root.SK[[#This Row],[Volume, kg]]/1000</f>
        <v>32.549999999999997</v>
      </c>
      <c r="J2341" s="25">
        <v>0.2535</v>
      </c>
      <c r="K2341" s="25">
        <f t="shared" si="36"/>
        <v>8251.4249999999993</v>
      </c>
      <c r="L2341" s="25">
        <v>3.7</v>
      </c>
      <c r="M2341" s="24">
        <v>120414</v>
      </c>
      <c r="N2341" s="25">
        <f>IFERROR(T_reg.root.SK[[#This Row],[Price]]/T_reg.root.SK[[#This Row],[Starch content]],"")</f>
        <v>14.595660749506903</v>
      </c>
    </row>
    <row r="2342" spans="1:14">
      <c r="A2342" s="21">
        <v>2024</v>
      </c>
      <c r="B2342" s="21" t="s">
        <v>19</v>
      </c>
      <c r="C2342" s="21" t="s">
        <v>1145</v>
      </c>
      <c r="D2342" s="21" t="s">
        <v>35</v>
      </c>
      <c r="E2342" s="18" t="s">
        <v>82</v>
      </c>
      <c r="F2342" s="18" t="s">
        <v>83</v>
      </c>
      <c r="G2342" s="18" t="s">
        <v>48</v>
      </c>
      <c r="H2342" s="24">
        <v>38400</v>
      </c>
      <c r="I2342" s="24">
        <f>T_reg.root.SK[[#This Row],[Volume, kg]]/1000</f>
        <v>38.4</v>
      </c>
      <c r="J2342" s="25">
        <v>0.23089999999999999</v>
      </c>
      <c r="K2342" s="25">
        <f t="shared" si="36"/>
        <v>8866.56</v>
      </c>
      <c r="L2342" s="25">
        <v>3.62</v>
      </c>
      <c r="M2342" s="24">
        <v>139130</v>
      </c>
      <c r="N2342" s="25">
        <f>IFERROR(T_reg.root.SK[[#This Row],[Price]]/T_reg.root.SK[[#This Row],[Starch content]],"")</f>
        <v>15.677782589865744</v>
      </c>
    </row>
    <row r="2343" spans="1:14">
      <c r="A2343" s="21">
        <v>2024</v>
      </c>
      <c r="B2343" s="21" t="s">
        <v>19</v>
      </c>
      <c r="C2343" s="21" t="s">
        <v>1145</v>
      </c>
      <c r="D2343" s="21" t="s">
        <v>39</v>
      </c>
      <c r="E2343" s="18" t="s">
        <v>88</v>
      </c>
      <c r="F2343" s="18" t="s">
        <v>89</v>
      </c>
      <c r="G2343" s="18" t="s">
        <v>90</v>
      </c>
      <c r="H2343" s="24">
        <v>4326730</v>
      </c>
      <c r="I2343" s="24">
        <f>T_reg.root.SK[[#This Row],[Volume, kg]]/1000</f>
        <v>4326.7299999999996</v>
      </c>
      <c r="J2343" s="25">
        <v>0.27610000000000001</v>
      </c>
      <c r="K2343" s="25">
        <f t="shared" si="36"/>
        <v>1194610.1530000002</v>
      </c>
      <c r="L2343" s="25">
        <v>3.88</v>
      </c>
      <c r="M2343" s="24">
        <v>16777146</v>
      </c>
      <c r="N2343" s="25">
        <f>IFERROR(T_reg.root.SK[[#This Row],[Price]]/T_reg.root.SK[[#This Row],[Starch content]],"")</f>
        <v>14.052879391524808</v>
      </c>
    </row>
    <row r="2344" spans="1:14">
      <c r="A2344" s="21">
        <v>2024</v>
      </c>
      <c r="B2344" s="21" t="s">
        <v>19</v>
      </c>
      <c r="C2344" s="21" t="s">
        <v>1145</v>
      </c>
      <c r="D2344" s="21" t="s">
        <v>35</v>
      </c>
      <c r="E2344" s="18" t="s">
        <v>478</v>
      </c>
      <c r="F2344" s="18" t="s">
        <v>92</v>
      </c>
      <c r="G2344" s="18" t="s">
        <v>48</v>
      </c>
      <c r="H2344" s="24">
        <v>16810</v>
      </c>
      <c r="I2344" s="24">
        <f>T_reg.root.SK[[#This Row],[Volume, kg]]/1000</f>
        <v>16.809999999999999</v>
      </c>
      <c r="J2344" s="25">
        <v>0.2223</v>
      </c>
      <c r="K2344" s="25">
        <f t="shared" si="36"/>
        <v>3736.8629999999998</v>
      </c>
      <c r="L2344" s="25">
        <v>3.58</v>
      </c>
      <c r="M2344" s="24">
        <v>60098.5</v>
      </c>
      <c r="N2344" s="25">
        <f>IFERROR(T_reg.root.SK[[#This Row],[Price]]/T_reg.root.SK[[#This Row],[Starch content]],"")</f>
        <v>16.104363472784527</v>
      </c>
    </row>
    <row r="2345" spans="1:14">
      <c r="A2345" s="21">
        <v>2024</v>
      </c>
      <c r="B2345" s="21" t="s">
        <v>19</v>
      </c>
      <c r="C2345" s="21" t="s">
        <v>1145</v>
      </c>
      <c r="D2345" s="21" t="s">
        <v>35</v>
      </c>
      <c r="E2345" s="18" t="s">
        <v>229</v>
      </c>
      <c r="F2345" s="18" t="s">
        <v>92</v>
      </c>
      <c r="G2345" s="18" t="s">
        <v>48</v>
      </c>
      <c r="H2345" s="24">
        <v>49350</v>
      </c>
      <c r="I2345" s="24">
        <f>T_reg.root.SK[[#This Row],[Volume, kg]]/1000</f>
        <v>49.35</v>
      </c>
      <c r="J2345" s="25">
        <v>0.22589999999999999</v>
      </c>
      <c r="K2345" s="25">
        <f t="shared" si="36"/>
        <v>11148.164999999999</v>
      </c>
      <c r="L2345" s="25">
        <v>3.59</v>
      </c>
      <c r="M2345" s="24">
        <v>177088.5</v>
      </c>
      <c r="N2345" s="25">
        <f>IFERROR(T_reg.root.SK[[#This Row],[Price]]/T_reg.root.SK[[#This Row],[Starch content]],"")</f>
        <v>15.891987605135016</v>
      </c>
    </row>
    <row r="2346" spans="1:14">
      <c r="A2346" s="21">
        <v>2024</v>
      </c>
      <c r="B2346" s="21" t="s">
        <v>19</v>
      </c>
      <c r="C2346" s="21" t="s">
        <v>1145</v>
      </c>
      <c r="D2346" s="21" t="s">
        <v>35</v>
      </c>
      <c r="E2346" s="18" t="s">
        <v>91</v>
      </c>
      <c r="F2346" s="18" t="s">
        <v>92</v>
      </c>
      <c r="G2346" s="18" t="s">
        <v>48</v>
      </c>
      <c r="H2346" s="24">
        <v>74010</v>
      </c>
      <c r="I2346" s="24">
        <f>T_reg.root.SK[[#This Row],[Volume, kg]]/1000</f>
        <v>74.010000000000005</v>
      </c>
      <c r="J2346" s="25">
        <v>0.25</v>
      </c>
      <c r="K2346" s="25">
        <f t="shared" si="36"/>
        <v>18502.5</v>
      </c>
      <c r="L2346" s="25">
        <v>3.75</v>
      </c>
      <c r="M2346" s="24">
        <v>277189.5</v>
      </c>
      <c r="N2346" s="25">
        <f>IFERROR(T_reg.root.SK[[#This Row],[Price]]/T_reg.root.SK[[#This Row],[Starch content]],"")</f>
        <v>15</v>
      </c>
    </row>
    <row r="2347" spans="1:14">
      <c r="A2347" s="21">
        <v>2024</v>
      </c>
      <c r="B2347" s="21" t="s">
        <v>19</v>
      </c>
      <c r="C2347" s="21" t="s">
        <v>1145</v>
      </c>
      <c r="D2347" s="21" t="s">
        <v>35</v>
      </c>
      <c r="E2347" s="18" t="s">
        <v>93</v>
      </c>
      <c r="F2347" s="18" t="s">
        <v>92</v>
      </c>
      <c r="G2347" s="18" t="s">
        <v>48</v>
      </c>
      <c r="H2347" s="24">
        <v>94610</v>
      </c>
      <c r="I2347" s="24">
        <f>T_reg.root.SK[[#This Row],[Volume, kg]]/1000</f>
        <v>94.61</v>
      </c>
      <c r="J2347" s="25">
        <v>0.26170000000000004</v>
      </c>
      <c r="K2347" s="25">
        <f t="shared" si="36"/>
        <v>24759.437000000005</v>
      </c>
      <c r="L2347" s="25">
        <v>3.75</v>
      </c>
      <c r="M2347" s="24">
        <v>354836.5</v>
      </c>
      <c r="N2347" s="25">
        <f>IFERROR(T_reg.root.SK[[#This Row],[Price]]/T_reg.root.SK[[#This Row],[Starch content]],"")</f>
        <v>14.329384791746271</v>
      </c>
    </row>
    <row r="2348" spans="1:14">
      <c r="A2348" s="21">
        <v>2024</v>
      </c>
      <c r="B2348" s="21" t="s">
        <v>19</v>
      </c>
      <c r="C2348" s="21" t="s">
        <v>1145</v>
      </c>
      <c r="D2348" s="21" t="s">
        <v>39</v>
      </c>
      <c r="E2348" s="18" t="s">
        <v>552</v>
      </c>
      <c r="F2348" s="18" t="s">
        <v>95</v>
      </c>
      <c r="G2348" s="18" t="s">
        <v>48</v>
      </c>
      <c r="H2348" s="24">
        <v>6973600</v>
      </c>
      <c r="I2348" s="24">
        <f>T_reg.root.SK[[#This Row],[Volume, kg]]/1000</f>
        <v>6973.6</v>
      </c>
      <c r="J2348" s="25">
        <v>0.3</v>
      </c>
      <c r="K2348" s="25">
        <f t="shared" si="36"/>
        <v>2092080</v>
      </c>
      <c r="L2348" s="25">
        <v>4</v>
      </c>
      <c r="M2348" s="24">
        <v>27878778.5</v>
      </c>
      <c r="N2348" s="25">
        <f>IFERROR(T_reg.root.SK[[#This Row],[Price]]/T_reg.root.SK[[#This Row],[Starch content]],"")</f>
        <v>13.333333333333334</v>
      </c>
    </row>
    <row r="2349" spans="1:14">
      <c r="A2349" s="21">
        <v>2024</v>
      </c>
      <c r="B2349" s="21" t="s">
        <v>19</v>
      </c>
      <c r="C2349" s="21" t="s">
        <v>1145</v>
      </c>
      <c r="D2349" s="21" t="s">
        <v>35</v>
      </c>
      <c r="E2349" s="18" t="s">
        <v>681</v>
      </c>
      <c r="F2349" s="18" t="s">
        <v>95</v>
      </c>
      <c r="G2349" s="18" t="s">
        <v>48</v>
      </c>
      <c r="H2349" s="24">
        <v>203950</v>
      </c>
      <c r="I2349" s="24">
        <f>T_reg.root.SK[[#This Row],[Volume, kg]]/1000</f>
        <v>203.95</v>
      </c>
      <c r="J2349" s="25">
        <v>0.2752</v>
      </c>
      <c r="K2349" s="25">
        <f t="shared" si="36"/>
        <v>56127.040000000001</v>
      </c>
      <c r="L2349" s="25">
        <v>3.8</v>
      </c>
      <c r="M2349" s="24">
        <v>775322.5</v>
      </c>
      <c r="N2349" s="25">
        <f>IFERROR(T_reg.root.SK[[#This Row],[Price]]/T_reg.root.SK[[#This Row],[Starch content]],"")</f>
        <v>13.80813953488372</v>
      </c>
    </row>
    <row r="2350" spans="1:14">
      <c r="A2350" s="21">
        <v>2024</v>
      </c>
      <c r="B2350" s="21" t="s">
        <v>19</v>
      </c>
      <c r="C2350" s="21" t="s">
        <v>1145</v>
      </c>
      <c r="D2350" s="21" t="s">
        <v>39</v>
      </c>
      <c r="E2350" s="18" t="s">
        <v>98</v>
      </c>
      <c r="F2350" s="18" t="s">
        <v>99</v>
      </c>
      <c r="G2350" s="18" t="s">
        <v>42</v>
      </c>
      <c r="H2350" s="24">
        <v>2375590</v>
      </c>
      <c r="I2350" s="24">
        <f>T_reg.root.SK[[#This Row],[Volume, kg]]/1000</f>
        <v>2375.59</v>
      </c>
      <c r="J2350" s="25">
        <v>0.25519999999999998</v>
      </c>
      <c r="K2350" s="25">
        <f t="shared" si="36"/>
        <v>606250.56799999997</v>
      </c>
      <c r="L2350" s="25">
        <v>3.73</v>
      </c>
      <c r="M2350" s="24">
        <v>8860935</v>
      </c>
      <c r="N2350" s="25">
        <f>IFERROR(T_reg.root.SK[[#This Row],[Price]]/T_reg.root.SK[[#This Row],[Starch content]],"")</f>
        <v>14.615987460815047</v>
      </c>
    </row>
    <row r="2351" spans="1:14">
      <c r="A2351" s="21">
        <v>2024</v>
      </c>
      <c r="B2351" s="21" t="s">
        <v>19</v>
      </c>
      <c r="C2351" s="21" t="s">
        <v>1145</v>
      </c>
      <c r="D2351" s="21" t="s">
        <v>39</v>
      </c>
      <c r="E2351" s="18" t="s">
        <v>346</v>
      </c>
      <c r="F2351" s="18" t="s">
        <v>99</v>
      </c>
      <c r="G2351" s="18" t="s">
        <v>42</v>
      </c>
      <c r="H2351" s="24">
        <v>3345150</v>
      </c>
      <c r="I2351" s="24">
        <f>T_reg.root.SK[[#This Row],[Volume, kg]]/1000</f>
        <v>3345.15</v>
      </c>
      <c r="J2351" s="25">
        <v>0.24579999999999999</v>
      </c>
      <c r="K2351" s="25">
        <f t="shared" si="36"/>
        <v>822237.87</v>
      </c>
      <c r="L2351" s="25">
        <v>3.68</v>
      </c>
      <c r="M2351" s="24">
        <v>12314496</v>
      </c>
      <c r="N2351" s="25">
        <f>IFERROR(T_reg.root.SK[[#This Row],[Price]]/T_reg.root.SK[[#This Row],[Starch content]],"")</f>
        <v>14.97152156224573</v>
      </c>
    </row>
    <row r="2352" spans="1:14">
      <c r="A2352" s="21">
        <v>2024</v>
      </c>
      <c r="B2352" s="21" t="s">
        <v>19</v>
      </c>
      <c r="C2352" s="21" t="s">
        <v>1145</v>
      </c>
      <c r="D2352" s="21" t="s">
        <v>39</v>
      </c>
      <c r="E2352" s="18" t="s">
        <v>101</v>
      </c>
      <c r="F2352" s="18" t="s">
        <v>102</v>
      </c>
      <c r="G2352" s="18" t="s">
        <v>103</v>
      </c>
      <c r="H2352" s="24">
        <v>74270</v>
      </c>
      <c r="I2352" s="24">
        <f>T_reg.root.SK[[#This Row],[Volume, kg]]/1000</f>
        <v>74.27</v>
      </c>
      <c r="J2352" s="25">
        <v>0.27729999999999999</v>
      </c>
      <c r="K2352" s="25">
        <f t="shared" si="36"/>
        <v>20595.071</v>
      </c>
      <c r="L2352" s="25">
        <v>3.82</v>
      </c>
      <c r="M2352" s="24">
        <v>284020</v>
      </c>
      <c r="N2352" s="25">
        <f>IFERROR(T_reg.root.SK[[#This Row],[Price]]/T_reg.root.SK[[#This Row],[Starch content]],"")</f>
        <v>13.775694194013704</v>
      </c>
    </row>
    <row r="2353" spans="1:14">
      <c r="A2353" s="21">
        <v>2024</v>
      </c>
      <c r="B2353" s="21" t="s">
        <v>19</v>
      </c>
      <c r="C2353" s="21" t="s">
        <v>1145</v>
      </c>
      <c r="D2353" s="21" t="s">
        <v>35</v>
      </c>
      <c r="E2353" s="18" t="s">
        <v>695</v>
      </c>
      <c r="F2353" s="18" t="s">
        <v>283</v>
      </c>
      <c r="G2353" s="18" t="s">
        <v>48</v>
      </c>
      <c r="H2353" s="24">
        <v>10300</v>
      </c>
      <c r="I2353" s="24">
        <f>T_reg.root.SK[[#This Row],[Volume, kg]]/1000</f>
        <v>10.3</v>
      </c>
      <c r="J2353" s="25">
        <v>0.29149999999999998</v>
      </c>
      <c r="K2353" s="25">
        <f t="shared" si="36"/>
        <v>3002.45</v>
      </c>
      <c r="L2353" s="25">
        <v>3.8</v>
      </c>
      <c r="M2353" s="24">
        <v>39140</v>
      </c>
      <c r="N2353" s="25">
        <f>IFERROR(T_reg.root.SK[[#This Row],[Price]]/T_reg.root.SK[[#This Row],[Starch content]],"")</f>
        <v>13.036020583190394</v>
      </c>
    </row>
    <row r="2354" spans="1:14">
      <c r="A2354" s="21">
        <v>2024</v>
      </c>
      <c r="B2354" s="21" t="s">
        <v>19</v>
      </c>
      <c r="C2354" s="21" t="s">
        <v>1145</v>
      </c>
      <c r="D2354" s="21" t="s">
        <v>35</v>
      </c>
      <c r="E2354" s="18" t="s">
        <v>696</v>
      </c>
      <c r="F2354" s="18" t="s">
        <v>283</v>
      </c>
      <c r="G2354" s="18" t="s">
        <v>48</v>
      </c>
      <c r="H2354" s="24">
        <v>27910</v>
      </c>
      <c r="I2354" s="24">
        <f>T_reg.root.SK[[#This Row],[Volume, kg]]/1000</f>
        <v>27.91</v>
      </c>
      <c r="J2354" s="25">
        <v>0.23800000000000002</v>
      </c>
      <c r="K2354" s="25">
        <f t="shared" si="36"/>
        <v>6642.5800000000008</v>
      </c>
      <c r="L2354" s="25">
        <v>3.68</v>
      </c>
      <c r="M2354" s="24">
        <v>102821.5</v>
      </c>
      <c r="N2354" s="25">
        <f>IFERROR(T_reg.root.SK[[#This Row],[Price]]/T_reg.root.SK[[#This Row],[Starch content]],"")</f>
        <v>15.46218487394958</v>
      </c>
    </row>
    <row r="2355" spans="1:14">
      <c r="A2355" s="21">
        <v>2024</v>
      </c>
      <c r="B2355" s="21" t="s">
        <v>19</v>
      </c>
      <c r="C2355" s="21" t="s">
        <v>1145</v>
      </c>
      <c r="D2355" s="21" t="s">
        <v>35</v>
      </c>
      <c r="E2355" s="18" t="s">
        <v>287</v>
      </c>
      <c r="F2355" s="18" t="s">
        <v>105</v>
      </c>
      <c r="G2355" s="18" t="s">
        <v>48</v>
      </c>
      <c r="H2355" s="24">
        <v>9000</v>
      </c>
      <c r="I2355" s="24">
        <f>T_reg.root.SK[[#This Row],[Volume, kg]]/1000</f>
        <v>9</v>
      </c>
      <c r="J2355" s="25">
        <v>0.25800000000000001</v>
      </c>
      <c r="K2355" s="25">
        <f t="shared" si="36"/>
        <v>2322</v>
      </c>
      <c r="L2355" s="25">
        <v>3.6</v>
      </c>
      <c r="M2355" s="24">
        <v>32400</v>
      </c>
      <c r="N2355" s="25">
        <f>IFERROR(T_reg.root.SK[[#This Row],[Price]]/T_reg.root.SK[[#This Row],[Starch content]],"")</f>
        <v>13.953488372093023</v>
      </c>
    </row>
    <row r="2356" spans="1:14">
      <c r="A2356" s="21">
        <v>2024</v>
      </c>
      <c r="B2356" s="21" t="s">
        <v>19</v>
      </c>
      <c r="C2356" s="21" t="s">
        <v>1145</v>
      </c>
      <c r="D2356" s="21" t="s">
        <v>35</v>
      </c>
      <c r="E2356" s="18" t="s">
        <v>697</v>
      </c>
      <c r="F2356" s="18" t="s">
        <v>105</v>
      </c>
      <c r="G2356" s="18" t="s">
        <v>48</v>
      </c>
      <c r="H2356" s="24">
        <v>10050</v>
      </c>
      <c r="I2356" s="24">
        <f>T_reg.root.SK[[#This Row],[Volume, kg]]/1000</f>
        <v>10.050000000000001</v>
      </c>
      <c r="J2356" s="25">
        <v>0.26200000000000001</v>
      </c>
      <c r="K2356" s="25">
        <f t="shared" si="36"/>
        <v>2633.1</v>
      </c>
      <c r="L2356" s="25">
        <v>3.6</v>
      </c>
      <c r="M2356" s="24">
        <v>36180</v>
      </c>
      <c r="N2356" s="25">
        <f>IFERROR(T_reg.root.SK[[#This Row],[Price]]/T_reg.root.SK[[#This Row],[Starch content]],"")</f>
        <v>13.740458015267174</v>
      </c>
    </row>
    <row r="2357" spans="1:14">
      <c r="A2357" s="21">
        <v>2024</v>
      </c>
      <c r="B2357" s="21" t="s">
        <v>19</v>
      </c>
      <c r="C2357" s="21" t="s">
        <v>1145</v>
      </c>
      <c r="D2357" s="21" t="s">
        <v>35</v>
      </c>
      <c r="E2357" s="18" t="s">
        <v>108</v>
      </c>
      <c r="F2357" s="18" t="s">
        <v>105</v>
      </c>
      <c r="G2357" s="18" t="s">
        <v>48</v>
      </c>
      <c r="H2357" s="24">
        <v>132820</v>
      </c>
      <c r="I2357" s="24">
        <f>T_reg.root.SK[[#This Row],[Volume, kg]]/1000</f>
        <v>132.82</v>
      </c>
      <c r="J2357" s="25">
        <v>0.26250000000000001</v>
      </c>
      <c r="K2357" s="25">
        <f t="shared" si="36"/>
        <v>34865.25</v>
      </c>
      <c r="L2357" s="25">
        <v>3.71</v>
      </c>
      <c r="M2357" s="24">
        <v>493055</v>
      </c>
      <c r="N2357" s="25">
        <f>IFERROR(T_reg.root.SK[[#This Row],[Price]]/T_reg.root.SK[[#This Row],[Starch content]],"")</f>
        <v>14.133333333333333</v>
      </c>
    </row>
    <row r="2358" spans="1:14">
      <c r="A2358" s="21">
        <v>2024</v>
      </c>
      <c r="B2358" s="21" t="s">
        <v>19</v>
      </c>
      <c r="C2358" s="21" t="s">
        <v>1145</v>
      </c>
      <c r="D2358" s="21" t="s">
        <v>35</v>
      </c>
      <c r="E2358" s="18" t="s">
        <v>401</v>
      </c>
      <c r="F2358" s="18" t="s">
        <v>105</v>
      </c>
      <c r="G2358" s="18" t="s">
        <v>48</v>
      </c>
      <c r="H2358" s="24">
        <v>10430</v>
      </c>
      <c r="I2358" s="24">
        <f>T_reg.root.SK[[#This Row],[Volume, kg]]/1000</f>
        <v>10.43</v>
      </c>
      <c r="J2358" s="25">
        <v>0.27250000000000002</v>
      </c>
      <c r="K2358" s="25">
        <f t="shared" si="36"/>
        <v>2842.1750000000002</v>
      </c>
      <c r="L2358" s="25">
        <v>3.6</v>
      </c>
      <c r="M2358" s="24">
        <v>37548</v>
      </c>
      <c r="N2358" s="25">
        <f>IFERROR(T_reg.root.SK[[#This Row],[Price]]/T_reg.root.SK[[#This Row],[Starch content]],"")</f>
        <v>13.211009174311926</v>
      </c>
    </row>
    <row r="2359" spans="1:14">
      <c r="A2359" s="21">
        <v>2024</v>
      </c>
      <c r="B2359" s="21" t="s">
        <v>19</v>
      </c>
      <c r="C2359" s="21" t="s">
        <v>1145</v>
      </c>
      <c r="D2359" s="21" t="s">
        <v>35</v>
      </c>
      <c r="E2359" s="18" t="s">
        <v>109</v>
      </c>
      <c r="F2359" s="18" t="s">
        <v>105</v>
      </c>
      <c r="G2359" s="18" t="s">
        <v>48</v>
      </c>
      <c r="H2359" s="24">
        <v>86110</v>
      </c>
      <c r="I2359" s="24">
        <f>T_reg.root.SK[[#This Row],[Volume, kg]]/1000</f>
        <v>86.11</v>
      </c>
      <c r="J2359" s="25">
        <v>0.25980000000000003</v>
      </c>
      <c r="K2359" s="25">
        <f t="shared" si="36"/>
        <v>22371.378000000004</v>
      </c>
      <c r="L2359" s="25">
        <v>3.64</v>
      </c>
      <c r="M2359" s="24">
        <v>313432</v>
      </c>
      <c r="N2359" s="25">
        <f>IFERROR(T_reg.root.SK[[#This Row],[Price]]/T_reg.root.SK[[#This Row],[Starch content]],"")</f>
        <v>14.01077752117013</v>
      </c>
    </row>
    <row r="2360" spans="1:14">
      <c r="A2360" s="21">
        <v>2024</v>
      </c>
      <c r="B2360" s="21" t="s">
        <v>19</v>
      </c>
      <c r="C2360" s="21" t="s">
        <v>1145</v>
      </c>
      <c r="D2360" s="21" t="s">
        <v>35</v>
      </c>
      <c r="E2360" s="18" t="s">
        <v>232</v>
      </c>
      <c r="F2360" s="18" t="s">
        <v>105</v>
      </c>
      <c r="G2360" s="18" t="s">
        <v>48</v>
      </c>
      <c r="H2360" s="24">
        <v>38960</v>
      </c>
      <c r="I2360" s="24">
        <f>T_reg.root.SK[[#This Row],[Volume, kg]]/1000</f>
        <v>38.96</v>
      </c>
      <c r="J2360" s="25">
        <v>0.26729999999999998</v>
      </c>
      <c r="K2360" s="25">
        <f t="shared" si="36"/>
        <v>10414.008</v>
      </c>
      <c r="L2360" s="25">
        <v>3.77</v>
      </c>
      <c r="M2360" s="24">
        <v>146685.5</v>
      </c>
      <c r="N2360" s="25">
        <f>IFERROR(T_reg.root.SK[[#This Row],[Price]]/T_reg.root.SK[[#This Row],[Starch content]],"")</f>
        <v>14.104002992891882</v>
      </c>
    </row>
    <row r="2361" spans="1:14">
      <c r="A2361" s="21">
        <v>2024</v>
      </c>
      <c r="B2361" s="21" t="s">
        <v>19</v>
      </c>
      <c r="C2361" s="21" t="s">
        <v>1145</v>
      </c>
      <c r="D2361" s="21" t="s">
        <v>35</v>
      </c>
      <c r="E2361" s="18" t="s">
        <v>112</v>
      </c>
      <c r="F2361" s="18" t="s">
        <v>105</v>
      </c>
      <c r="G2361" s="18" t="s">
        <v>48</v>
      </c>
      <c r="H2361" s="24">
        <v>19720</v>
      </c>
      <c r="I2361" s="24">
        <f>T_reg.root.SK[[#This Row],[Volume, kg]]/1000</f>
        <v>19.72</v>
      </c>
      <c r="J2361" s="25">
        <v>0.2457</v>
      </c>
      <c r="K2361" s="25">
        <f t="shared" si="36"/>
        <v>4845.2039999999997</v>
      </c>
      <c r="L2361" s="25">
        <v>3.63</v>
      </c>
      <c r="M2361" s="24">
        <v>71485.5</v>
      </c>
      <c r="N2361" s="25">
        <f>IFERROR(T_reg.root.SK[[#This Row],[Price]]/T_reg.root.SK[[#This Row],[Starch content]],"")</f>
        <v>14.774114774114773</v>
      </c>
    </row>
    <row r="2362" spans="1:14">
      <c r="A2362" s="21">
        <v>2024</v>
      </c>
      <c r="B2362" s="21" t="s">
        <v>19</v>
      </c>
      <c r="C2362" s="21" t="s">
        <v>1145</v>
      </c>
      <c r="D2362" s="21" t="s">
        <v>35</v>
      </c>
      <c r="E2362" s="18" t="s">
        <v>698</v>
      </c>
      <c r="F2362" s="18" t="s">
        <v>105</v>
      </c>
      <c r="G2362" s="18" t="s">
        <v>48</v>
      </c>
      <c r="H2362" s="24">
        <v>13780</v>
      </c>
      <c r="I2362" s="24">
        <f>T_reg.root.SK[[#This Row],[Volume, kg]]/1000</f>
        <v>13.78</v>
      </c>
      <c r="J2362" s="25">
        <v>0.32090000000000002</v>
      </c>
      <c r="K2362" s="25">
        <f t="shared" si="36"/>
        <v>4422.0020000000004</v>
      </c>
      <c r="L2362" s="25">
        <v>3.87</v>
      </c>
      <c r="M2362" s="24">
        <v>53289.5</v>
      </c>
      <c r="N2362" s="25">
        <f>IFERROR(T_reg.root.SK[[#This Row],[Price]]/T_reg.root.SK[[#This Row],[Starch content]],"")</f>
        <v>12.059831723278279</v>
      </c>
    </row>
    <row r="2363" spans="1:14">
      <c r="A2363" s="21">
        <v>2024</v>
      </c>
      <c r="B2363" s="21" t="s">
        <v>19</v>
      </c>
      <c r="C2363" s="21" t="s">
        <v>1145</v>
      </c>
      <c r="D2363" s="21" t="s">
        <v>35</v>
      </c>
      <c r="E2363" s="18" t="s">
        <v>600</v>
      </c>
      <c r="F2363" s="18" t="s">
        <v>105</v>
      </c>
      <c r="G2363" s="18" t="s">
        <v>48</v>
      </c>
      <c r="H2363" s="24">
        <v>21990</v>
      </c>
      <c r="I2363" s="24">
        <f>T_reg.root.SK[[#This Row],[Volume, kg]]/1000</f>
        <v>21.99</v>
      </c>
      <c r="J2363" s="25">
        <v>0.2757</v>
      </c>
      <c r="K2363" s="25">
        <f t="shared" si="36"/>
        <v>6062.643</v>
      </c>
      <c r="L2363" s="25">
        <v>3.7</v>
      </c>
      <c r="M2363" s="24">
        <v>81363</v>
      </c>
      <c r="N2363" s="25">
        <f>IFERROR(T_reg.root.SK[[#This Row],[Price]]/T_reg.root.SK[[#This Row],[Starch content]],"")</f>
        <v>13.42038447587958</v>
      </c>
    </row>
    <row r="2364" spans="1:14">
      <c r="A2364" s="21">
        <v>2024</v>
      </c>
      <c r="B2364" s="21" t="s">
        <v>19</v>
      </c>
      <c r="C2364" s="21" t="s">
        <v>1145</v>
      </c>
      <c r="D2364" s="21" t="s">
        <v>35</v>
      </c>
      <c r="E2364" s="18" t="s">
        <v>236</v>
      </c>
      <c r="F2364" s="18" t="s">
        <v>105</v>
      </c>
      <c r="G2364" s="18" t="s">
        <v>48</v>
      </c>
      <c r="H2364" s="24">
        <v>23160</v>
      </c>
      <c r="I2364" s="24">
        <f>T_reg.root.SK[[#This Row],[Volume, kg]]/1000</f>
        <v>23.16</v>
      </c>
      <c r="J2364" s="25">
        <v>0.28639999999999999</v>
      </c>
      <c r="K2364" s="25">
        <f t="shared" si="36"/>
        <v>6633.0239999999994</v>
      </c>
      <c r="L2364" s="25">
        <v>3.85</v>
      </c>
      <c r="M2364" s="24">
        <v>89166</v>
      </c>
      <c r="N2364" s="25">
        <f>IFERROR(T_reg.root.SK[[#This Row],[Price]]/T_reg.root.SK[[#This Row],[Starch content]],"")</f>
        <v>13.442737430167599</v>
      </c>
    </row>
    <row r="2365" spans="1:14">
      <c r="A2365" s="21">
        <v>2024</v>
      </c>
      <c r="B2365" s="21" t="s">
        <v>19</v>
      </c>
      <c r="C2365" s="21" t="s">
        <v>1145</v>
      </c>
      <c r="D2365" s="21" t="s">
        <v>35</v>
      </c>
      <c r="E2365" s="18" t="s">
        <v>118</v>
      </c>
      <c r="F2365" s="18" t="s">
        <v>105</v>
      </c>
      <c r="G2365" s="18" t="s">
        <v>48</v>
      </c>
      <c r="H2365" s="24">
        <v>544490</v>
      </c>
      <c r="I2365" s="24">
        <f>T_reg.root.SK[[#This Row],[Volume, kg]]/1000</f>
        <v>544.49</v>
      </c>
      <c r="J2365" s="25">
        <v>0.27329999999999999</v>
      </c>
      <c r="K2365" s="25">
        <f t="shared" si="36"/>
        <v>148809.117</v>
      </c>
      <c r="L2365" s="25">
        <v>3.76</v>
      </c>
      <c r="M2365" s="24">
        <v>2049407.5</v>
      </c>
      <c r="N2365" s="25">
        <f>IFERROR(T_reg.root.SK[[#This Row],[Price]]/T_reg.root.SK[[#This Row],[Starch content]],"")</f>
        <v>13.757775338455909</v>
      </c>
    </row>
    <row r="2366" spans="1:14">
      <c r="A2366" s="21">
        <v>2024</v>
      </c>
      <c r="B2366" s="21" t="s">
        <v>19</v>
      </c>
      <c r="C2366" s="21" t="s">
        <v>1145</v>
      </c>
      <c r="D2366" s="21" t="s">
        <v>35</v>
      </c>
      <c r="E2366" s="18" t="s">
        <v>122</v>
      </c>
      <c r="F2366" s="18" t="s">
        <v>105</v>
      </c>
      <c r="G2366" s="18" t="s">
        <v>48</v>
      </c>
      <c r="H2366" s="24">
        <v>60950</v>
      </c>
      <c r="I2366" s="24">
        <f>T_reg.root.SK[[#This Row],[Volume, kg]]/1000</f>
        <v>60.95</v>
      </c>
      <c r="J2366" s="25">
        <v>0.255</v>
      </c>
      <c r="K2366" s="25">
        <f t="shared" si="36"/>
        <v>15542.25</v>
      </c>
      <c r="L2366" s="25">
        <v>3.62</v>
      </c>
      <c r="M2366" s="24">
        <v>220381</v>
      </c>
      <c r="N2366" s="25">
        <f>IFERROR(T_reg.root.SK[[#This Row],[Price]]/T_reg.root.SK[[#This Row],[Starch content]],"")</f>
        <v>14.196078431372548</v>
      </c>
    </row>
    <row r="2367" spans="1:14">
      <c r="A2367" s="21">
        <v>2024</v>
      </c>
      <c r="B2367" s="21" t="s">
        <v>19</v>
      </c>
      <c r="C2367" s="21" t="s">
        <v>1145</v>
      </c>
      <c r="D2367" s="21" t="s">
        <v>35</v>
      </c>
      <c r="E2367" s="18" t="s">
        <v>124</v>
      </c>
      <c r="F2367" s="18" t="s">
        <v>105</v>
      </c>
      <c r="G2367" s="18" t="s">
        <v>48</v>
      </c>
      <c r="H2367" s="24">
        <v>30710</v>
      </c>
      <c r="I2367" s="24">
        <f>T_reg.root.SK[[#This Row],[Volume, kg]]/1000</f>
        <v>30.71</v>
      </c>
      <c r="J2367" s="25">
        <v>0.25800000000000001</v>
      </c>
      <c r="K2367" s="25">
        <f t="shared" si="36"/>
        <v>7923.18</v>
      </c>
      <c r="L2367" s="25">
        <v>3.62</v>
      </c>
      <c r="M2367" s="24">
        <v>111281</v>
      </c>
      <c r="N2367" s="25">
        <f>IFERROR(T_reg.root.SK[[#This Row],[Price]]/T_reg.root.SK[[#This Row],[Starch content]],"")</f>
        <v>14.031007751937985</v>
      </c>
    </row>
    <row r="2368" spans="1:14">
      <c r="A2368" s="21">
        <v>2024</v>
      </c>
      <c r="B2368" s="21" t="s">
        <v>19</v>
      </c>
      <c r="C2368" s="21" t="s">
        <v>1145</v>
      </c>
      <c r="D2368" s="21" t="s">
        <v>35</v>
      </c>
      <c r="E2368" s="18" t="s">
        <v>404</v>
      </c>
      <c r="F2368" s="18" t="s">
        <v>105</v>
      </c>
      <c r="G2368" s="18" t="s">
        <v>48</v>
      </c>
      <c r="H2368" s="24">
        <v>7950</v>
      </c>
      <c r="I2368" s="24">
        <f>T_reg.root.SK[[#This Row],[Volume, kg]]/1000</f>
        <v>7.95</v>
      </c>
      <c r="J2368" s="25">
        <v>0.26300000000000001</v>
      </c>
      <c r="K2368" s="25">
        <f t="shared" si="36"/>
        <v>2090.85</v>
      </c>
      <c r="L2368" s="25">
        <v>3.7</v>
      </c>
      <c r="M2368" s="24">
        <v>29415</v>
      </c>
      <c r="N2368" s="25">
        <f>IFERROR(T_reg.root.SK[[#This Row],[Price]]/T_reg.root.SK[[#This Row],[Starch content]],"")</f>
        <v>14.068441064638783</v>
      </c>
    </row>
    <row r="2369" spans="1:14">
      <c r="A2369" s="21">
        <v>2024</v>
      </c>
      <c r="B2369" s="21" t="s">
        <v>19</v>
      </c>
      <c r="C2369" s="21" t="s">
        <v>1145</v>
      </c>
      <c r="D2369" s="21" t="s">
        <v>35</v>
      </c>
      <c r="E2369" s="18" t="s">
        <v>240</v>
      </c>
      <c r="F2369" s="18" t="s">
        <v>105</v>
      </c>
      <c r="G2369" s="18" t="s">
        <v>48</v>
      </c>
      <c r="H2369" s="24">
        <v>15820</v>
      </c>
      <c r="I2369" s="24">
        <f>T_reg.root.SK[[#This Row],[Volume, kg]]/1000</f>
        <v>15.82</v>
      </c>
      <c r="J2369" s="25">
        <v>0.25640000000000002</v>
      </c>
      <c r="K2369" s="25">
        <f t="shared" si="36"/>
        <v>4056.248</v>
      </c>
      <c r="L2369" s="25">
        <v>3.63</v>
      </c>
      <c r="M2369" s="24">
        <v>57422.5</v>
      </c>
      <c r="N2369" s="25">
        <f>IFERROR(T_reg.root.SK[[#This Row],[Price]]/T_reg.root.SK[[#This Row],[Starch content]],"")</f>
        <v>14.157566302652105</v>
      </c>
    </row>
    <row r="2370" spans="1:14">
      <c r="A2370" s="21">
        <v>2024</v>
      </c>
      <c r="B2370" s="21" t="s">
        <v>19</v>
      </c>
      <c r="C2370" s="21" t="s">
        <v>1145</v>
      </c>
      <c r="D2370" s="21" t="s">
        <v>35</v>
      </c>
      <c r="E2370" s="18" t="s">
        <v>127</v>
      </c>
      <c r="F2370" s="18" t="s">
        <v>105</v>
      </c>
      <c r="G2370" s="18" t="s">
        <v>48</v>
      </c>
      <c r="H2370" s="24">
        <v>19570</v>
      </c>
      <c r="I2370" s="24">
        <f>T_reg.root.SK[[#This Row],[Volume, kg]]/1000</f>
        <v>19.57</v>
      </c>
      <c r="J2370" s="25">
        <v>0.2545</v>
      </c>
      <c r="K2370" s="25">
        <f t="shared" si="36"/>
        <v>4980.5650000000005</v>
      </c>
      <c r="L2370" s="25">
        <v>3.68</v>
      </c>
      <c r="M2370" s="24">
        <v>71939</v>
      </c>
      <c r="N2370" s="25">
        <f>IFERROR(T_reg.root.SK[[#This Row],[Price]]/T_reg.root.SK[[#This Row],[Starch content]],"")</f>
        <v>14.459724950884087</v>
      </c>
    </row>
    <row r="2371" spans="1:14">
      <c r="A2371" s="21">
        <v>2024</v>
      </c>
      <c r="B2371" s="21" t="s">
        <v>19</v>
      </c>
      <c r="C2371" s="21" t="s">
        <v>1145</v>
      </c>
      <c r="D2371" s="21" t="s">
        <v>35</v>
      </c>
      <c r="E2371" s="18" t="s">
        <v>129</v>
      </c>
      <c r="F2371" s="18" t="s">
        <v>105</v>
      </c>
      <c r="G2371" s="18" t="s">
        <v>48</v>
      </c>
      <c r="H2371" s="24">
        <v>6730</v>
      </c>
      <c r="I2371" s="24">
        <f>T_reg.root.SK[[#This Row],[Volume, kg]]/1000</f>
        <v>6.73</v>
      </c>
      <c r="J2371" s="25">
        <v>0.27</v>
      </c>
      <c r="K2371" s="25">
        <f t="shared" ref="K2371:K2434" si="37">H2371*J2371</f>
        <v>1817.1000000000001</v>
      </c>
      <c r="L2371" s="25">
        <v>3.65</v>
      </c>
      <c r="M2371" s="24">
        <v>24564.5</v>
      </c>
      <c r="N2371" s="25">
        <f>IFERROR(T_reg.root.SK[[#This Row],[Price]]/T_reg.root.SK[[#This Row],[Starch content]],"")</f>
        <v>13.518518518518517</v>
      </c>
    </row>
    <row r="2372" spans="1:14">
      <c r="A2372" s="21">
        <v>2024</v>
      </c>
      <c r="B2372" s="21" t="s">
        <v>19</v>
      </c>
      <c r="C2372" s="21" t="s">
        <v>1145</v>
      </c>
      <c r="D2372" s="21" t="s">
        <v>35</v>
      </c>
      <c r="E2372" s="18" t="s">
        <v>603</v>
      </c>
      <c r="F2372" s="18" t="s">
        <v>105</v>
      </c>
      <c r="G2372" s="18" t="s">
        <v>48</v>
      </c>
      <c r="H2372" s="24">
        <v>16490</v>
      </c>
      <c r="I2372" s="24">
        <f>T_reg.root.SK[[#This Row],[Volume, kg]]/1000</f>
        <v>16.489999999999998</v>
      </c>
      <c r="J2372" s="25">
        <v>0.23379999999999998</v>
      </c>
      <c r="K2372" s="25">
        <f t="shared" si="37"/>
        <v>3855.3619999999996</v>
      </c>
      <c r="L2372" s="25">
        <v>3.54</v>
      </c>
      <c r="M2372" s="24">
        <v>58331</v>
      </c>
      <c r="N2372" s="25">
        <f>IFERROR(T_reg.root.SK[[#This Row],[Price]]/T_reg.root.SK[[#This Row],[Starch content]],"")</f>
        <v>15.141146278870831</v>
      </c>
    </row>
    <row r="2373" spans="1:14">
      <c r="A2373" s="21">
        <v>2024</v>
      </c>
      <c r="B2373" s="21" t="s">
        <v>19</v>
      </c>
      <c r="C2373" s="21" t="s">
        <v>1145</v>
      </c>
      <c r="D2373" s="21" t="s">
        <v>35</v>
      </c>
      <c r="E2373" s="18" t="s">
        <v>699</v>
      </c>
      <c r="F2373" s="18" t="s">
        <v>105</v>
      </c>
      <c r="G2373" s="18" t="s">
        <v>48</v>
      </c>
      <c r="H2373" s="24">
        <v>28420</v>
      </c>
      <c r="I2373" s="24">
        <f>T_reg.root.SK[[#This Row],[Volume, kg]]/1000</f>
        <v>28.42</v>
      </c>
      <c r="J2373" s="25">
        <v>0.22820000000000001</v>
      </c>
      <c r="K2373" s="25">
        <f t="shared" si="37"/>
        <v>6485.4440000000004</v>
      </c>
      <c r="L2373" s="25">
        <v>3.54</v>
      </c>
      <c r="M2373" s="24">
        <v>100737</v>
      </c>
      <c r="N2373" s="25">
        <f>IFERROR(T_reg.root.SK[[#This Row],[Price]]/T_reg.root.SK[[#This Row],[Starch content]],"")</f>
        <v>15.51270815074496</v>
      </c>
    </row>
    <row r="2374" spans="1:14">
      <c r="A2374" s="21">
        <v>2024</v>
      </c>
      <c r="B2374" s="21" t="s">
        <v>19</v>
      </c>
      <c r="C2374" s="21" t="s">
        <v>1145</v>
      </c>
      <c r="D2374" s="21" t="s">
        <v>35</v>
      </c>
      <c r="E2374" s="18" t="s">
        <v>133</v>
      </c>
      <c r="F2374" s="18" t="s">
        <v>105</v>
      </c>
      <c r="G2374" s="18" t="s">
        <v>48</v>
      </c>
      <c r="H2374" s="24">
        <v>32800</v>
      </c>
      <c r="I2374" s="24">
        <f>T_reg.root.SK[[#This Row],[Volume, kg]]/1000</f>
        <v>32.799999999999997</v>
      </c>
      <c r="J2374" s="25">
        <v>0.20129999999999998</v>
      </c>
      <c r="K2374" s="25">
        <f t="shared" si="37"/>
        <v>6602.6399999999994</v>
      </c>
      <c r="L2374" s="25">
        <v>3.31</v>
      </c>
      <c r="M2374" s="24">
        <v>108714</v>
      </c>
      <c r="N2374" s="25">
        <f>IFERROR(T_reg.root.SK[[#This Row],[Price]]/T_reg.root.SK[[#This Row],[Starch content]],"")</f>
        <v>16.443119721808248</v>
      </c>
    </row>
    <row r="2375" spans="1:14">
      <c r="A2375" s="21">
        <v>2024</v>
      </c>
      <c r="B2375" s="21" t="s">
        <v>19</v>
      </c>
      <c r="C2375" s="21" t="s">
        <v>1145</v>
      </c>
      <c r="D2375" s="21" t="s">
        <v>35</v>
      </c>
      <c r="E2375" s="18" t="s">
        <v>136</v>
      </c>
      <c r="F2375" s="18" t="s">
        <v>105</v>
      </c>
      <c r="G2375" s="18" t="s">
        <v>48</v>
      </c>
      <c r="H2375" s="24">
        <v>173330</v>
      </c>
      <c r="I2375" s="24">
        <f>T_reg.root.SK[[#This Row],[Volume, kg]]/1000</f>
        <v>173.33</v>
      </c>
      <c r="J2375" s="25">
        <v>0.26950000000000002</v>
      </c>
      <c r="K2375" s="25">
        <f t="shared" si="37"/>
        <v>46712.435000000005</v>
      </c>
      <c r="L2375" s="25">
        <v>3.71</v>
      </c>
      <c r="M2375" s="24">
        <v>642194.5</v>
      </c>
      <c r="N2375" s="25">
        <f>IFERROR(T_reg.root.SK[[#This Row],[Price]]/T_reg.root.SK[[#This Row],[Starch content]],"")</f>
        <v>13.766233766233766</v>
      </c>
    </row>
    <row r="2376" spans="1:14">
      <c r="A2376" s="21">
        <v>2024</v>
      </c>
      <c r="B2376" s="21" t="s">
        <v>19</v>
      </c>
      <c r="C2376" s="21" t="s">
        <v>1145</v>
      </c>
      <c r="D2376" s="21" t="s">
        <v>35</v>
      </c>
      <c r="E2376" s="18" t="s">
        <v>138</v>
      </c>
      <c r="F2376" s="18" t="s">
        <v>105</v>
      </c>
      <c r="G2376" s="18" t="s">
        <v>48</v>
      </c>
      <c r="H2376" s="24">
        <v>447850</v>
      </c>
      <c r="I2376" s="24">
        <f>T_reg.root.SK[[#This Row],[Volume, kg]]/1000</f>
        <v>447.85</v>
      </c>
      <c r="J2376" s="25">
        <v>0.26469999999999999</v>
      </c>
      <c r="K2376" s="25">
        <f t="shared" si="37"/>
        <v>118545.89499999999</v>
      </c>
      <c r="L2376" s="25">
        <v>3.74</v>
      </c>
      <c r="M2376" s="24">
        <v>1673828</v>
      </c>
      <c r="N2376" s="25">
        <f>IFERROR(T_reg.root.SK[[#This Row],[Price]]/T_reg.root.SK[[#This Row],[Starch content]],"")</f>
        <v>14.129202871174916</v>
      </c>
    </row>
    <row r="2377" spans="1:14">
      <c r="A2377" s="21">
        <v>2024</v>
      </c>
      <c r="B2377" s="21" t="s">
        <v>19</v>
      </c>
      <c r="C2377" s="21" t="s">
        <v>1145</v>
      </c>
      <c r="D2377" s="21" t="s">
        <v>35</v>
      </c>
      <c r="E2377" s="18" t="s">
        <v>243</v>
      </c>
      <c r="F2377" s="18" t="s">
        <v>105</v>
      </c>
      <c r="G2377" s="18" t="s">
        <v>48</v>
      </c>
      <c r="H2377" s="24">
        <v>9040</v>
      </c>
      <c r="I2377" s="24">
        <f>T_reg.root.SK[[#This Row],[Volume, kg]]/1000</f>
        <v>9.0399999999999991</v>
      </c>
      <c r="J2377" s="25">
        <v>0.25530000000000003</v>
      </c>
      <c r="K2377" s="25">
        <f t="shared" si="37"/>
        <v>2307.9120000000003</v>
      </c>
      <c r="L2377" s="25">
        <v>3.56</v>
      </c>
      <c r="M2377" s="24">
        <v>32205.5</v>
      </c>
      <c r="N2377" s="25">
        <f>IFERROR(T_reg.root.SK[[#This Row],[Price]]/T_reg.root.SK[[#This Row],[Starch content]],"")</f>
        <v>13.944379161770465</v>
      </c>
    </row>
    <row r="2378" spans="1:14">
      <c r="A2378" s="21">
        <v>2024</v>
      </c>
      <c r="B2378" s="21" t="s">
        <v>19</v>
      </c>
      <c r="C2378" s="21" t="s">
        <v>1145</v>
      </c>
      <c r="D2378" s="21" t="s">
        <v>35</v>
      </c>
      <c r="E2378" s="18" t="s">
        <v>308</v>
      </c>
      <c r="F2378" s="18" t="s">
        <v>105</v>
      </c>
      <c r="G2378" s="18" t="s">
        <v>48</v>
      </c>
      <c r="H2378" s="24">
        <v>7280</v>
      </c>
      <c r="I2378" s="24">
        <f>T_reg.root.SK[[#This Row],[Volume, kg]]/1000</f>
        <v>7.28</v>
      </c>
      <c r="J2378" s="25">
        <v>0.22149999999999997</v>
      </c>
      <c r="K2378" s="25">
        <f t="shared" si="37"/>
        <v>1612.5199999999998</v>
      </c>
      <c r="L2378" s="25">
        <v>3.5</v>
      </c>
      <c r="M2378" s="24">
        <v>25480</v>
      </c>
      <c r="N2378" s="25">
        <f>IFERROR(T_reg.root.SK[[#This Row],[Price]]/T_reg.root.SK[[#This Row],[Starch content]],"")</f>
        <v>15.80135440180587</v>
      </c>
    </row>
    <row r="2379" spans="1:14">
      <c r="A2379" s="21">
        <v>2024</v>
      </c>
      <c r="B2379" s="21" t="s">
        <v>19</v>
      </c>
      <c r="C2379" s="21" t="s">
        <v>1145</v>
      </c>
      <c r="D2379" s="21" t="s">
        <v>35</v>
      </c>
      <c r="E2379" s="18" t="s">
        <v>245</v>
      </c>
      <c r="F2379" s="18" t="s">
        <v>105</v>
      </c>
      <c r="G2379" s="18" t="s">
        <v>48</v>
      </c>
      <c r="H2379" s="24">
        <v>6820</v>
      </c>
      <c r="I2379" s="24">
        <f>T_reg.root.SK[[#This Row],[Volume, kg]]/1000</f>
        <v>6.82</v>
      </c>
      <c r="J2379" s="25">
        <v>0.27550000000000002</v>
      </c>
      <c r="K2379" s="25">
        <f t="shared" si="37"/>
        <v>1878.91</v>
      </c>
      <c r="L2379" s="25">
        <v>3.8</v>
      </c>
      <c r="M2379" s="24">
        <v>25916</v>
      </c>
      <c r="N2379" s="25">
        <f>IFERROR(T_reg.root.SK[[#This Row],[Price]]/T_reg.root.SK[[#This Row],[Starch content]],"")</f>
        <v>13.793103448275859</v>
      </c>
    </row>
    <row r="2380" spans="1:14">
      <c r="A2380" s="21">
        <v>2024</v>
      </c>
      <c r="B2380" s="21" t="s">
        <v>19</v>
      </c>
      <c r="C2380" s="21" t="s">
        <v>1145</v>
      </c>
      <c r="D2380" s="21" t="s">
        <v>35</v>
      </c>
      <c r="E2380" s="18" t="s">
        <v>405</v>
      </c>
      <c r="F2380" s="18" t="s">
        <v>105</v>
      </c>
      <c r="G2380" s="18" t="s">
        <v>48</v>
      </c>
      <c r="H2380" s="24">
        <v>36710</v>
      </c>
      <c r="I2380" s="24">
        <f>T_reg.root.SK[[#This Row],[Volume, kg]]/1000</f>
        <v>36.71</v>
      </c>
      <c r="J2380" s="25">
        <v>0.28660000000000002</v>
      </c>
      <c r="K2380" s="25">
        <f t="shared" si="37"/>
        <v>10521.086000000001</v>
      </c>
      <c r="L2380" s="25">
        <v>3.8</v>
      </c>
      <c r="M2380" s="24">
        <v>139510.5</v>
      </c>
      <c r="N2380" s="25">
        <f>IFERROR(T_reg.root.SK[[#This Row],[Price]]/T_reg.root.SK[[#This Row],[Starch content]],"")</f>
        <v>13.258897418004185</v>
      </c>
    </row>
    <row r="2381" spans="1:14">
      <c r="A2381" s="21">
        <v>2024</v>
      </c>
      <c r="B2381" s="21" t="s">
        <v>19</v>
      </c>
      <c r="C2381" s="21" t="s">
        <v>1145</v>
      </c>
      <c r="D2381" s="21" t="s">
        <v>35</v>
      </c>
      <c r="E2381" s="18" t="s">
        <v>310</v>
      </c>
      <c r="F2381" s="18" t="s">
        <v>105</v>
      </c>
      <c r="G2381" s="18" t="s">
        <v>48</v>
      </c>
      <c r="H2381" s="24">
        <v>19240</v>
      </c>
      <c r="I2381" s="24">
        <f>T_reg.root.SK[[#This Row],[Volume, kg]]/1000</f>
        <v>19.239999999999998</v>
      </c>
      <c r="J2381" s="25">
        <v>0.27750000000000002</v>
      </c>
      <c r="K2381" s="25">
        <f t="shared" si="37"/>
        <v>5339.1</v>
      </c>
      <c r="L2381" s="25">
        <v>3.73</v>
      </c>
      <c r="M2381" s="24">
        <v>71678</v>
      </c>
      <c r="N2381" s="25">
        <f>IFERROR(T_reg.root.SK[[#This Row],[Price]]/T_reg.root.SK[[#This Row],[Starch content]],"")</f>
        <v>13.441441441441441</v>
      </c>
    </row>
    <row r="2382" spans="1:14">
      <c r="A2382" s="21">
        <v>2024</v>
      </c>
      <c r="B2382" s="21" t="s">
        <v>19</v>
      </c>
      <c r="C2382" s="21" t="s">
        <v>1145</v>
      </c>
      <c r="D2382" s="21" t="s">
        <v>35</v>
      </c>
      <c r="E2382" s="18" t="s">
        <v>143</v>
      </c>
      <c r="F2382" s="18" t="s">
        <v>105</v>
      </c>
      <c r="G2382" s="18" t="s">
        <v>48</v>
      </c>
      <c r="H2382" s="24">
        <v>47290</v>
      </c>
      <c r="I2382" s="24">
        <f>T_reg.root.SK[[#This Row],[Volume, kg]]/1000</f>
        <v>47.29</v>
      </c>
      <c r="J2382" s="25">
        <v>0.2286</v>
      </c>
      <c r="K2382" s="25">
        <f t="shared" si="37"/>
        <v>10810.494000000001</v>
      </c>
      <c r="L2382" s="25">
        <v>3.52</v>
      </c>
      <c r="M2382" s="24">
        <v>166686.5</v>
      </c>
      <c r="N2382" s="25">
        <f>IFERROR(T_reg.root.SK[[#This Row],[Price]]/T_reg.root.SK[[#This Row],[Starch content]],"")</f>
        <v>15.398075240594926</v>
      </c>
    </row>
    <row r="2383" spans="1:14">
      <c r="A2383" s="21">
        <v>2024</v>
      </c>
      <c r="B2383" s="21" t="s">
        <v>19</v>
      </c>
      <c r="C2383" s="21" t="s">
        <v>1145</v>
      </c>
      <c r="D2383" s="21" t="s">
        <v>35</v>
      </c>
      <c r="E2383" s="18" t="s">
        <v>646</v>
      </c>
      <c r="F2383" s="18" t="s">
        <v>105</v>
      </c>
      <c r="G2383" s="18" t="s">
        <v>48</v>
      </c>
      <c r="H2383" s="24">
        <v>9560</v>
      </c>
      <c r="I2383" s="24">
        <f>T_reg.root.SK[[#This Row],[Volume, kg]]/1000</f>
        <v>9.56</v>
      </c>
      <c r="J2383" s="25">
        <v>0.30049999999999999</v>
      </c>
      <c r="K2383" s="25">
        <f t="shared" si="37"/>
        <v>2872.7799999999997</v>
      </c>
      <c r="L2383" s="25">
        <v>3.75</v>
      </c>
      <c r="M2383" s="24">
        <v>35850</v>
      </c>
      <c r="N2383" s="25">
        <f>IFERROR(T_reg.root.SK[[#This Row],[Price]]/T_reg.root.SK[[#This Row],[Starch content]],"")</f>
        <v>12.479201331114808</v>
      </c>
    </row>
    <row r="2384" spans="1:14">
      <c r="A2384" s="21">
        <v>2024</v>
      </c>
      <c r="B2384" s="21" t="s">
        <v>19</v>
      </c>
      <c r="C2384" s="21" t="s">
        <v>1145</v>
      </c>
      <c r="D2384" s="21" t="s">
        <v>35</v>
      </c>
      <c r="E2384" s="18" t="s">
        <v>144</v>
      </c>
      <c r="F2384" s="18" t="s">
        <v>105</v>
      </c>
      <c r="G2384" s="18" t="s">
        <v>48</v>
      </c>
      <c r="H2384" s="24">
        <v>32640</v>
      </c>
      <c r="I2384" s="24">
        <f>T_reg.root.SK[[#This Row],[Volume, kg]]/1000</f>
        <v>32.64</v>
      </c>
      <c r="J2384" s="25">
        <v>0.27129999999999999</v>
      </c>
      <c r="K2384" s="25">
        <f t="shared" si="37"/>
        <v>8855.232</v>
      </c>
      <c r="L2384" s="25">
        <v>3.65</v>
      </c>
      <c r="M2384" s="24">
        <v>119061</v>
      </c>
      <c r="N2384" s="25">
        <f>IFERROR(T_reg.root.SK[[#This Row],[Price]]/T_reg.root.SK[[#This Row],[Starch content]],"")</f>
        <v>13.453741245853299</v>
      </c>
    </row>
    <row r="2385" spans="1:14">
      <c r="A2385" s="21">
        <v>2024</v>
      </c>
      <c r="B2385" s="21" t="s">
        <v>19</v>
      </c>
      <c r="C2385" s="21" t="s">
        <v>1145</v>
      </c>
      <c r="D2385" s="21" t="s">
        <v>35</v>
      </c>
      <c r="E2385" s="18" t="s">
        <v>146</v>
      </c>
      <c r="F2385" s="18" t="s">
        <v>105</v>
      </c>
      <c r="G2385" s="18" t="s">
        <v>48</v>
      </c>
      <c r="H2385" s="24">
        <v>610900</v>
      </c>
      <c r="I2385" s="24">
        <f>T_reg.root.SK[[#This Row],[Volume, kg]]/1000</f>
        <v>610.9</v>
      </c>
      <c r="J2385" s="25">
        <v>0.27039999999999997</v>
      </c>
      <c r="K2385" s="25">
        <f t="shared" si="37"/>
        <v>165187.35999999999</v>
      </c>
      <c r="L2385" s="25">
        <v>3.77</v>
      </c>
      <c r="M2385" s="24">
        <v>2300330</v>
      </c>
      <c r="N2385" s="25">
        <f>IFERROR(T_reg.root.SK[[#This Row],[Price]]/T_reg.root.SK[[#This Row],[Starch content]],"")</f>
        <v>13.942307692307693</v>
      </c>
    </row>
    <row r="2386" spans="1:14">
      <c r="A2386" s="21">
        <v>2024</v>
      </c>
      <c r="B2386" s="21" t="s">
        <v>19</v>
      </c>
      <c r="C2386" s="21" t="s">
        <v>1145</v>
      </c>
      <c r="D2386" s="21" t="s">
        <v>35</v>
      </c>
      <c r="E2386" s="18" t="s">
        <v>249</v>
      </c>
      <c r="F2386" s="18" t="s">
        <v>105</v>
      </c>
      <c r="G2386" s="18" t="s">
        <v>48</v>
      </c>
      <c r="H2386" s="24">
        <v>4050</v>
      </c>
      <c r="I2386" s="24">
        <f>T_reg.root.SK[[#This Row],[Volume, kg]]/1000</f>
        <v>4.05</v>
      </c>
      <c r="J2386" s="25">
        <v>0.24249999999999999</v>
      </c>
      <c r="K2386" s="25">
        <f t="shared" si="37"/>
        <v>982.125</v>
      </c>
      <c r="L2386" s="25">
        <v>3.65</v>
      </c>
      <c r="M2386" s="24">
        <v>14782.5</v>
      </c>
      <c r="N2386" s="25">
        <f>IFERROR(T_reg.root.SK[[#This Row],[Price]]/T_reg.root.SK[[#This Row],[Starch content]],"")</f>
        <v>15.051546391752577</v>
      </c>
    </row>
    <row r="2387" spans="1:14">
      <c r="A2387" s="21">
        <v>2024</v>
      </c>
      <c r="B2387" s="21" t="s">
        <v>19</v>
      </c>
      <c r="C2387" s="21" t="s">
        <v>1145</v>
      </c>
      <c r="D2387" s="21" t="s">
        <v>35</v>
      </c>
      <c r="E2387" s="18" t="s">
        <v>569</v>
      </c>
      <c r="F2387" s="18" t="s">
        <v>105</v>
      </c>
      <c r="G2387" s="18" t="s">
        <v>48</v>
      </c>
      <c r="H2387" s="24">
        <v>21730</v>
      </c>
      <c r="I2387" s="24">
        <f>T_reg.root.SK[[#This Row],[Volume, kg]]/1000</f>
        <v>21.73</v>
      </c>
      <c r="J2387" s="25">
        <v>0.26369999999999999</v>
      </c>
      <c r="K2387" s="25">
        <f t="shared" si="37"/>
        <v>5730.201</v>
      </c>
      <c r="L2387" s="25">
        <v>3.62</v>
      </c>
      <c r="M2387" s="24">
        <v>78625</v>
      </c>
      <c r="N2387" s="25">
        <f>IFERROR(T_reg.root.SK[[#This Row],[Price]]/T_reg.root.SK[[#This Row],[Starch content]],"")</f>
        <v>13.727720894956391</v>
      </c>
    </row>
    <row r="2388" spans="1:14">
      <c r="A2388" s="21">
        <v>2024</v>
      </c>
      <c r="B2388" s="21" t="s">
        <v>19</v>
      </c>
      <c r="C2388" s="21" t="s">
        <v>1145</v>
      </c>
      <c r="D2388" s="21" t="s">
        <v>35</v>
      </c>
      <c r="E2388" s="18" t="s">
        <v>250</v>
      </c>
      <c r="F2388" s="18" t="s">
        <v>105</v>
      </c>
      <c r="G2388" s="18" t="s">
        <v>48</v>
      </c>
      <c r="H2388" s="24">
        <v>20000</v>
      </c>
      <c r="I2388" s="24">
        <f>T_reg.root.SK[[#This Row],[Volume, kg]]/1000</f>
        <v>20</v>
      </c>
      <c r="J2388" s="25">
        <v>0.31530000000000002</v>
      </c>
      <c r="K2388" s="25">
        <f t="shared" si="37"/>
        <v>6306.0000000000009</v>
      </c>
      <c r="L2388" s="25">
        <v>3.98</v>
      </c>
      <c r="M2388" s="24">
        <v>79563</v>
      </c>
      <c r="N2388" s="25">
        <f>IFERROR(T_reg.root.SK[[#This Row],[Price]]/T_reg.root.SK[[#This Row],[Starch content]],"")</f>
        <v>12.62289882651443</v>
      </c>
    </row>
    <row r="2389" spans="1:14">
      <c r="A2389" s="21">
        <v>2024</v>
      </c>
      <c r="B2389" s="21" t="s">
        <v>19</v>
      </c>
      <c r="C2389" s="21" t="s">
        <v>1145</v>
      </c>
      <c r="D2389" s="21" t="s">
        <v>35</v>
      </c>
      <c r="E2389" s="18" t="s">
        <v>147</v>
      </c>
      <c r="F2389" s="18" t="s">
        <v>105</v>
      </c>
      <c r="G2389" s="18" t="s">
        <v>48</v>
      </c>
      <c r="H2389" s="24">
        <v>178830</v>
      </c>
      <c r="I2389" s="24">
        <f>T_reg.root.SK[[#This Row],[Volume, kg]]/1000</f>
        <v>178.83</v>
      </c>
      <c r="J2389" s="25">
        <v>0.27140000000000003</v>
      </c>
      <c r="K2389" s="25">
        <f t="shared" si="37"/>
        <v>48534.462000000007</v>
      </c>
      <c r="L2389" s="25">
        <v>3.72</v>
      </c>
      <c r="M2389" s="24">
        <v>665281</v>
      </c>
      <c r="N2389" s="25">
        <f>IFERROR(T_reg.root.SK[[#This Row],[Price]]/T_reg.root.SK[[#This Row],[Starch content]],"")</f>
        <v>13.706705969049374</v>
      </c>
    </row>
    <row r="2390" spans="1:14">
      <c r="A2390" s="21">
        <v>2024</v>
      </c>
      <c r="B2390" s="21" t="s">
        <v>19</v>
      </c>
      <c r="C2390" s="21" t="s">
        <v>1145</v>
      </c>
      <c r="D2390" s="21" t="s">
        <v>35</v>
      </c>
      <c r="E2390" s="18" t="s">
        <v>364</v>
      </c>
      <c r="F2390" s="18" t="s">
        <v>105</v>
      </c>
      <c r="G2390" s="18" t="s">
        <v>48</v>
      </c>
      <c r="H2390" s="24">
        <v>11400</v>
      </c>
      <c r="I2390" s="24">
        <f>T_reg.root.SK[[#This Row],[Volume, kg]]/1000</f>
        <v>11.4</v>
      </c>
      <c r="J2390" s="25">
        <v>0.2492</v>
      </c>
      <c r="K2390" s="25">
        <f t="shared" si="37"/>
        <v>2840.88</v>
      </c>
      <c r="L2390" s="25">
        <v>3.66</v>
      </c>
      <c r="M2390" s="24">
        <v>41718</v>
      </c>
      <c r="N2390" s="25">
        <f>IFERROR(T_reg.root.SK[[#This Row],[Price]]/T_reg.root.SK[[#This Row],[Starch content]],"")</f>
        <v>14.686998394863563</v>
      </c>
    </row>
    <row r="2391" spans="1:14">
      <c r="A2391" s="21">
        <v>2024</v>
      </c>
      <c r="B2391" s="21" t="s">
        <v>19</v>
      </c>
      <c r="C2391" s="21" t="s">
        <v>1145</v>
      </c>
      <c r="D2391" s="21" t="s">
        <v>35</v>
      </c>
      <c r="E2391" s="18" t="s">
        <v>150</v>
      </c>
      <c r="F2391" s="18" t="s">
        <v>105</v>
      </c>
      <c r="G2391" s="18" t="s">
        <v>48</v>
      </c>
      <c r="H2391" s="24">
        <v>27870</v>
      </c>
      <c r="I2391" s="24">
        <f>T_reg.root.SK[[#This Row],[Volume, kg]]/1000</f>
        <v>27.87</v>
      </c>
      <c r="J2391" s="25">
        <v>0.20860000000000001</v>
      </c>
      <c r="K2391" s="25">
        <f t="shared" si="37"/>
        <v>5813.6819999999998</v>
      </c>
      <c r="L2391" s="25">
        <v>3.45</v>
      </c>
      <c r="M2391" s="24">
        <v>96056.5</v>
      </c>
      <c r="N2391" s="25">
        <f>IFERROR(T_reg.root.SK[[#This Row],[Price]]/T_reg.root.SK[[#This Row],[Starch content]],"")</f>
        <v>16.538830297219558</v>
      </c>
    </row>
    <row r="2392" spans="1:14">
      <c r="A2392" s="21">
        <v>2024</v>
      </c>
      <c r="B2392" s="21" t="s">
        <v>19</v>
      </c>
      <c r="C2392" s="21" t="s">
        <v>1145</v>
      </c>
      <c r="D2392" s="21" t="s">
        <v>35</v>
      </c>
      <c r="E2392" s="18" t="s">
        <v>570</v>
      </c>
      <c r="F2392" s="18" t="s">
        <v>105</v>
      </c>
      <c r="G2392" s="18" t="s">
        <v>48</v>
      </c>
      <c r="H2392" s="24">
        <v>33010</v>
      </c>
      <c r="I2392" s="24">
        <f>T_reg.root.SK[[#This Row],[Volume, kg]]/1000</f>
        <v>33.01</v>
      </c>
      <c r="J2392" s="25">
        <v>0.24600000000000002</v>
      </c>
      <c r="K2392" s="25">
        <f t="shared" si="37"/>
        <v>8120.4600000000009</v>
      </c>
      <c r="L2392" s="25">
        <v>3.65</v>
      </c>
      <c r="M2392" s="24">
        <v>120644.5</v>
      </c>
      <c r="N2392" s="25">
        <f>IFERROR(T_reg.root.SK[[#This Row],[Price]]/T_reg.root.SK[[#This Row],[Starch content]],"")</f>
        <v>14.837398373983739</v>
      </c>
    </row>
    <row r="2393" spans="1:14">
      <c r="A2393" s="21">
        <v>2024</v>
      </c>
      <c r="B2393" s="21" t="s">
        <v>19</v>
      </c>
      <c r="C2393" s="21" t="s">
        <v>1145</v>
      </c>
      <c r="D2393" s="21" t="s">
        <v>35</v>
      </c>
      <c r="E2393" s="18" t="s">
        <v>151</v>
      </c>
      <c r="F2393" s="18" t="s">
        <v>105</v>
      </c>
      <c r="G2393" s="18" t="s">
        <v>48</v>
      </c>
      <c r="H2393" s="24">
        <v>373790</v>
      </c>
      <c r="I2393" s="24">
        <f>T_reg.root.SK[[#This Row],[Volume, kg]]/1000</f>
        <v>373.79</v>
      </c>
      <c r="J2393" s="25">
        <v>0.27110000000000001</v>
      </c>
      <c r="K2393" s="25">
        <f t="shared" si="37"/>
        <v>101334.469</v>
      </c>
      <c r="L2393" s="25">
        <v>3.75</v>
      </c>
      <c r="M2393" s="24">
        <v>1401748.5</v>
      </c>
      <c r="N2393" s="25">
        <f>IFERROR(T_reg.root.SK[[#This Row],[Price]]/T_reg.root.SK[[#This Row],[Starch content]],"")</f>
        <v>13.832534120250829</v>
      </c>
    </row>
    <row r="2394" spans="1:14">
      <c r="A2394" s="21">
        <v>2024</v>
      </c>
      <c r="B2394" s="21" t="s">
        <v>19</v>
      </c>
      <c r="C2394" s="21" t="s">
        <v>1145</v>
      </c>
      <c r="D2394" s="21" t="s">
        <v>35</v>
      </c>
      <c r="E2394" s="18" t="s">
        <v>159</v>
      </c>
      <c r="F2394" s="18" t="s">
        <v>105</v>
      </c>
      <c r="G2394" s="18" t="s">
        <v>48</v>
      </c>
      <c r="H2394" s="24">
        <v>954310</v>
      </c>
      <c r="I2394" s="24">
        <f>T_reg.root.SK[[#This Row],[Volume, kg]]/1000</f>
        <v>954.31</v>
      </c>
      <c r="J2394" s="25">
        <v>0.27200000000000002</v>
      </c>
      <c r="K2394" s="25">
        <f t="shared" si="37"/>
        <v>259572.32</v>
      </c>
      <c r="L2394" s="25">
        <v>3.77</v>
      </c>
      <c r="M2394" s="24">
        <v>3598582</v>
      </c>
      <c r="N2394" s="25">
        <f>IFERROR(T_reg.root.SK[[#This Row],[Price]]/T_reg.root.SK[[#This Row],[Starch content]],"")</f>
        <v>13.860294117647058</v>
      </c>
    </row>
    <row r="2395" spans="1:14">
      <c r="A2395" s="21">
        <v>2024</v>
      </c>
      <c r="B2395" s="21" t="s">
        <v>19</v>
      </c>
      <c r="C2395" s="21" t="s">
        <v>1145</v>
      </c>
      <c r="D2395" s="21" t="s">
        <v>35</v>
      </c>
      <c r="E2395" s="18" t="s">
        <v>162</v>
      </c>
      <c r="F2395" s="18" t="s">
        <v>105</v>
      </c>
      <c r="G2395" s="18" t="s">
        <v>48</v>
      </c>
      <c r="H2395" s="24">
        <v>80540</v>
      </c>
      <c r="I2395" s="24">
        <f>T_reg.root.SK[[#This Row],[Volume, kg]]/1000</f>
        <v>80.540000000000006</v>
      </c>
      <c r="J2395" s="25">
        <v>0.2676</v>
      </c>
      <c r="K2395" s="25">
        <f t="shared" si="37"/>
        <v>21552.504000000001</v>
      </c>
      <c r="L2395" s="25">
        <v>3.61</v>
      </c>
      <c r="M2395" s="24">
        <v>291094.5</v>
      </c>
      <c r="N2395" s="25">
        <f>IFERROR(T_reg.root.SK[[#This Row],[Price]]/T_reg.root.SK[[#This Row],[Starch content]],"")</f>
        <v>13.490284005979072</v>
      </c>
    </row>
    <row r="2396" spans="1:14">
      <c r="A2396" s="21">
        <v>2024</v>
      </c>
      <c r="B2396" s="21" t="s">
        <v>19</v>
      </c>
      <c r="C2396" s="21" t="s">
        <v>1145</v>
      </c>
      <c r="D2396" s="21" t="s">
        <v>35</v>
      </c>
      <c r="E2396" s="18" t="s">
        <v>164</v>
      </c>
      <c r="F2396" s="18" t="s">
        <v>105</v>
      </c>
      <c r="G2396" s="18" t="s">
        <v>48</v>
      </c>
      <c r="H2396" s="24">
        <v>272240</v>
      </c>
      <c r="I2396" s="24">
        <f>T_reg.root.SK[[#This Row],[Volume, kg]]/1000</f>
        <v>272.24</v>
      </c>
      <c r="J2396" s="25">
        <v>0.25879999999999997</v>
      </c>
      <c r="K2396" s="25">
        <f t="shared" si="37"/>
        <v>70455.712</v>
      </c>
      <c r="L2396" s="25">
        <v>3.71</v>
      </c>
      <c r="M2396" s="24">
        <v>1010232</v>
      </c>
      <c r="N2396" s="25">
        <f>IFERROR(T_reg.root.SK[[#This Row],[Price]]/T_reg.root.SK[[#This Row],[Starch content]],"")</f>
        <v>14.335394126738796</v>
      </c>
    </row>
    <row r="2397" spans="1:14">
      <c r="A2397" s="21">
        <v>2024</v>
      </c>
      <c r="B2397" s="21" t="s">
        <v>19</v>
      </c>
      <c r="C2397" s="21" t="s">
        <v>1145</v>
      </c>
      <c r="D2397" s="21" t="s">
        <v>35</v>
      </c>
      <c r="E2397" s="18" t="s">
        <v>165</v>
      </c>
      <c r="F2397" s="18" t="s">
        <v>105</v>
      </c>
      <c r="G2397" s="18" t="s">
        <v>48</v>
      </c>
      <c r="H2397" s="24">
        <v>45420</v>
      </c>
      <c r="I2397" s="24">
        <f>T_reg.root.SK[[#This Row],[Volume, kg]]/1000</f>
        <v>45.42</v>
      </c>
      <c r="J2397" s="25">
        <v>0.29139999999999999</v>
      </c>
      <c r="K2397" s="25">
        <f t="shared" si="37"/>
        <v>13235.387999999999</v>
      </c>
      <c r="L2397" s="25">
        <v>3.85</v>
      </c>
      <c r="M2397" s="24">
        <v>175054.5</v>
      </c>
      <c r="N2397" s="25">
        <f>IFERROR(T_reg.root.SK[[#This Row],[Price]]/T_reg.root.SK[[#This Row],[Starch content]],"")</f>
        <v>13.212079615648594</v>
      </c>
    </row>
    <row r="2398" spans="1:14">
      <c r="A2398" s="21">
        <v>2024</v>
      </c>
      <c r="B2398" s="21" t="s">
        <v>19</v>
      </c>
      <c r="C2398" s="21" t="s">
        <v>1145</v>
      </c>
      <c r="D2398" s="21" t="s">
        <v>35</v>
      </c>
      <c r="E2398" s="18" t="s">
        <v>620</v>
      </c>
      <c r="F2398" s="18" t="s">
        <v>105</v>
      </c>
      <c r="G2398" s="18" t="s">
        <v>48</v>
      </c>
      <c r="H2398" s="24">
        <v>73380</v>
      </c>
      <c r="I2398" s="24">
        <f>T_reg.root.SK[[#This Row],[Volume, kg]]/1000</f>
        <v>73.38</v>
      </c>
      <c r="J2398" s="25">
        <v>0.25280000000000002</v>
      </c>
      <c r="K2398" s="25">
        <f t="shared" si="37"/>
        <v>18550.464000000004</v>
      </c>
      <c r="L2398" s="25">
        <v>3.63</v>
      </c>
      <c r="M2398" s="24">
        <v>266561.5</v>
      </c>
      <c r="N2398" s="25">
        <f>IFERROR(T_reg.root.SK[[#This Row],[Price]]/T_reg.root.SK[[#This Row],[Starch content]],"")</f>
        <v>14.359177215189872</v>
      </c>
    </row>
    <row r="2399" spans="1:14">
      <c r="A2399" s="21">
        <v>2024</v>
      </c>
      <c r="B2399" s="21" t="s">
        <v>19</v>
      </c>
      <c r="C2399" s="21" t="s">
        <v>1145</v>
      </c>
      <c r="D2399" s="21" t="s">
        <v>35</v>
      </c>
      <c r="E2399" s="18" t="s">
        <v>171</v>
      </c>
      <c r="F2399" s="18" t="s">
        <v>105</v>
      </c>
      <c r="G2399" s="18" t="s">
        <v>48</v>
      </c>
      <c r="H2399" s="24">
        <v>21150</v>
      </c>
      <c r="I2399" s="24">
        <f>T_reg.root.SK[[#This Row],[Volume, kg]]/1000</f>
        <v>21.15</v>
      </c>
      <c r="J2399" s="25">
        <v>0.2863</v>
      </c>
      <c r="K2399" s="25">
        <f t="shared" si="37"/>
        <v>6055.2449999999999</v>
      </c>
      <c r="L2399" s="25">
        <v>3.86</v>
      </c>
      <c r="M2399" s="24">
        <v>81731</v>
      </c>
      <c r="N2399" s="25">
        <f>IFERROR(T_reg.root.SK[[#This Row],[Price]]/T_reg.root.SK[[#This Row],[Starch content]],"")</f>
        <v>13.482361159622773</v>
      </c>
    </row>
    <row r="2400" spans="1:14">
      <c r="A2400" s="21">
        <v>2024</v>
      </c>
      <c r="B2400" s="21" t="s">
        <v>19</v>
      </c>
      <c r="C2400" s="21" t="s">
        <v>1145</v>
      </c>
      <c r="D2400" s="21" t="s">
        <v>35</v>
      </c>
      <c r="E2400" s="18" t="s">
        <v>322</v>
      </c>
      <c r="F2400" s="18" t="s">
        <v>105</v>
      </c>
      <c r="G2400" s="18" t="s">
        <v>48</v>
      </c>
      <c r="H2400" s="24">
        <v>50560</v>
      </c>
      <c r="I2400" s="24">
        <f>T_reg.root.SK[[#This Row],[Volume, kg]]/1000</f>
        <v>50.56</v>
      </c>
      <c r="J2400" s="25">
        <v>0.26129999999999998</v>
      </c>
      <c r="K2400" s="25">
        <f t="shared" si="37"/>
        <v>13211.328</v>
      </c>
      <c r="L2400" s="25">
        <v>3.7</v>
      </c>
      <c r="M2400" s="24">
        <v>187294.5</v>
      </c>
      <c r="N2400" s="25">
        <f>IFERROR(T_reg.root.SK[[#This Row],[Price]]/T_reg.root.SK[[#This Row],[Starch content]],"")</f>
        <v>14.159969383849983</v>
      </c>
    </row>
    <row r="2401" spans="1:14">
      <c r="A2401" s="21">
        <v>2024</v>
      </c>
      <c r="B2401" s="21" t="s">
        <v>19</v>
      </c>
      <c r="C2401" s="21" t="s">
        <v>1145</v>
      </c>
      <c r="D2401" s="21" t="s">
        <v>35</v>
      </c>
      <c r="E2401" s="18" t="s">
        <v>323</v>
      </c>
      <c r="F2401" s="18" t="s">
        <v>105</v>
      </c>
      <c r="G2401" s="18" t="s">
        <v>48</v>
      </c>
      <c r="H2401" s="24">
        <v>19740</v>
      </c>
      <c r="I2401" s="24">
        <f>T_reg.root.SK[[#This Row],[Volume, kg]]/1000</f>
        <v>19.739999999999998</v>
      </c>
      <c r="J2401" s="25">
        <v>0.27679999999999999</v>
      </c>
      <c r="K2401" s="25">
        <f t="shared" si="37"/>
        <v>5464.0320000000002</v>
      </c>
      <c r="L2401" s="25">
        <v>3.73</v>
      </c>
      <c r="M2401" s="24">
        <v>73615.5</v>
      </c>
      <c r="N2401" s="25">
        <f>IFERROR(T_reg.root.SK[[#This Row],[Price]]/T_reg.root.SK[[#This Row],[Starch content]],"")</f>
        <v>13.47543352601156</v>
      </c>
    </row>
    <row r="2402" spans="1:14">
      <c r="A2402" s="21">
        <v>2024</v>
      </c>
      <c r="B2402" s="21" t="s">
        <v>19</v>
      </c>
      <c r="C2402" s="21" t="s">
        <v>1145</v>
      </c>
      <c r="D2402" s="21" t="s">
        <v>35</v>
      </c>
      <c r="E2402" s="18" t="s">
        <v>700</v>
      </c>
      <c r="F2402" s="18" t="s">
        <v>105</v>
      </c>
      <c r="G2402" s="18" t="s">
        <v>48</v>
      </c>
      <c r="H2402" s="24">
        <v>33210</v>
      </c>
      <c r="I2402" s="24">
        <f>T_reg.root.SK[[#This Row],[Volume, kg]]/1000</f>
        <v>33.21</v>
      </c>
      <c r="J2402" s="25">
        <v>0.20519999999999999</v>
      </c>
      <c r="K2402" s="25">
        <f t="shared" si="37"/>
        <v>6814.692</v>
      </c>
      <c r="L2402" s="25">
        <v>3.42</v>
      </c>
      <c r="M2402" s="24">
        <v>113523.5</v>
      </c>
      <c r="N2402" s="25">
        <f>IFERROR(T_reg.root.SK[[#This Row],[Price]]/T_reg.root.SK[[#This Row],[Starch content]],"")</f>
        <v>16.666666666666668</v>
      </c>
    </row>
    <row r="2403" spans="1:14">
      <c r="A2403" s="21">
        <v>2024</v>
      </c>
      <c r="B2403" s="21" t="s">
        <v>19</v>
      </c>
      <c r="C2403" s="21" t="s">
        <v>1145</v>
      </c>
      <c r="D2403" s="21" t="s">
        <v>35</v>
      </c>
      <c r="E2403" s="18" t="s">
        <v>174</v>
      </c>
      <c r="F2403" s="18" t="s">
        <v>105</v>
      </c>
      <c r="G2403" s="18" t="s">
        <v>48</v>
      </c>
      <c r="H2403" s="24">
        <v>40340</v>
      </c>
      <c r="I2403" s="24">
        <f>T_reg.root.SK[[#This Row],[Volume, kg]]/1000</f>
        <v>40.340000000000003</v>
      </c>
      <c r="J2403" s="25">
        <v>0.30030000000000001</v>
      </c>
      <c r="K2403" s="25">
        <f t="shared" si="37"/>
        <v>12114.102000000001</v>
      </c>
      <c r="L2403" s="25">
        <v>3.91</v>
      </c>
      <c r="M2403" s="24">
        <v>157643.5</v>
      </c>
      <c r="N2403" s="25">
        <f>IFERROR(T_reg.root.SK[[#This Row],[Price]]/T_reg.root.SK[[#This Row],[Starch content]],"")</f>
        <v>13.02031302031302</v>
      </c>
    </row>
    <row r="2404" spans="1:14">
      <c r="A2404" s="21">
        <v>2024</v>
      </c>
      <c r="B2404" s="21" t="s">
        <v>19</v>
      </c>
      <c r="C2404" s="21" t="s">
        <v>1145</v>
      </c>
      <c r="D2404" s="21" t="s">
        <v>35</v>
      </c>
      <c r="E2404" s="18" t="s">
        <v>176</v>
      </c>
      <c r="F2404" s="18" t="s">
        <v>105</v>
      </c>
      <c r="G2404" s="18" t="s">
        <v>48</v>
      </c>
      <c r="H2404" s="24">
        <v>49280</v>
      </c>
      <c r="I2404" s="24">
        <f>T_reg.root.SK[[#This Row],[Volume, kg]]/1000</f>
        <v>49.28</v>
      </c>
      <c r="J2404" s="25">
        <v>0.25069999999999998</v>
      </c>
      <c r="K2404" s="25">
        <f t="shared" si="37"/>
        <v>12354.495999999999</v>
      </c>
      <c r="L2404" s="25">
        <v>3.6</v>
      </c>
      <c r="M2404" s="24">
        <v>177605.5</v>
      </c>
      <c r="N2404" s="25">
        <f>IFERROR(T_reg.root.SK[[#This Row],[Price]]/T_reg.root.SK[[#This Row],[Starch content]],"")</f>
        <v>14.359792580773835</v>
      </c>
    </row>
    <row r="2405" spans="1:14">
      <c r="A2405" s="21">
        <v>2024</v>
      </c>
      <c r="B2405" s="21" t="s">
        <v>19</v>
      </c>
      <c r="C2405" s="21" t="s">
        <v>1145</v>
      </c>
      <c r="D2405" s="21" t="s">
        <v>35</v>
      </c>
      <c r="E2405" s="18" t="s">
        <v>178</v>
      </c>
      <c r="F2405" s="18" t="s">
        <v>105</v>
      </c>
      <c r="G2405" s="18" t="s">
        <v>48</v>
      </c>
      <c r="H2405" s="24">
        <v>53960</v>
      </c>
      <c r="I2405" s="24">
        <f>T_reg.root.SK[[#This Row],[Volume, kg]]/1000</f>
        <v>53.96</v>
      </c>
      <c r="J2405" s="25">
        <v>0.2122</v>
      </c>
      <c r="K2405" s="25">
        <f t="shared" si="37"/>
        <v>11450.312</v>
      </c>
      <c r="L2405" s="25">
        <v>3.38</v>
      </c>
      <c r="M2405" s="24">
        <v>182500</v>
      </c>
      <c r="N2405" s="25">
        <f>IFERROR(T_reg.root.SK[[#This Row],[Price]]/T_reg.root.SK[[#This Row],[Starch content]],"")</f>
        <v>15.92836946277097</v>
      </c>
    </row>
    <row r="2406" spans="1:14">
      <c r="A2406" s="21">
        <v>2024</v>
      </c>
      <c r="B2406" s="21" t="s">
        <v>19</v>
      </c>
      <c r="C2406" s="21" t="s">
        <v>1145</v>
      </c>
      <c r="D2406" s="21" t="s">
        <v>35</v>
      </c>
      <c r="E2406" s="18" t="s">
        <v>605</v>
      </c>
      <c r="F2406" s="18" t="s">
        <v>105</v>
      </c>
      <c r="G2406" s="18" t="s">
        <v>48</v>
      </c>
      <c r="H2406" s="24">
        <v>496620</v>
      </c>
      <c r="I2406" s="24">
        <f>T_reg.root.SK[[#This Row],[Volume, kg]]/1000</f>
        <v>496.62</v>
      </c>
      <c r="J2406" s="25">
        <v>0.24890000000000001</v>
      </c>
      <c r="K2406" s="25">
        <f t="shared" si="37"/>
        <v>123608.71800000001</v>
      </c>
      <c r="L2406" s="25">
        <v>3.65</v>
      </c>
      <c r="M2406" s="24">
        <v>1812882</v>
      </c>
      <c r="N2406" s="25">
        <f>IFERROR(T_reg.root.SK[[#This Row],[Price]]/T_reg.root.SK[[#This Row],[Starch content]],"")</f>
        <v>14.664523905182804</v>
      </c>
    </row>
    <row r="2407" spans="1:14">
      <c r="A2407" s="21">
        <v>2024</v>
      </c>
      <c r="B2407" s="21" t="s">
        <v>19</v>
      </c>
      <c r="C2407" s="21" t="s">
        <v>1145</v>
      </c>
      <c r="D2407" s="21" t="s">
        <v>35</v>
      </c>
      <c r="E2407" s="18" t="s">
        <v>259</v>
      </c>
      <c r="F2407" s="18" t="s">
        <v>105</v>
      </c>
      <c r="G2407" s="18" t="s">
        <v>48</v>
      </c>
      <c r="H2407" s="24">
        <v>63900</v>
      </c>
      <c r="I2407" s="24">
        <f>T_reg.root.SK[[#This Row],[Volume, kg]]/1000</f>
        <v>63.9</v>
      </c>
      <c r="J2407" s="25">
        <v>0.28559999999999997</v>
      </c>
      <c r="K2407" s="25">
        <f t="shared" si="37"/>
        <v>18249.839999999997</v>
      </c>
      <c r="L2407" s="25">
        <v>3.74</v>
      </c>
      <c r="M2407" s="24">
        <v>238731.5</v>
      </c>
      <c r="N2407" s="25">
        <f>IFERROR(T_reg.root.SK[[#This Row],[Price]]/T_reg.root.SK[[#This Row],[Starch content]],"")</f>
        <v>13.095238095238098</v>
      </c>
    </row>
    <row r="2408" spans="1:14">
      <c r="A2408" s="21">
        <v>2024</v>
      </c>
      <c r="B2408" s="21" t="s">
        <v>19</v>
      </c>
      <c r="C2408" s="21" t="s">
        <v>1145</v>
      </c>
      <c r="D2408" s="21" t="s">
        <v>35</v>
      </c>
      <c r="E2408" s="18" t="s">
        <v>181</v>
      </c>
      <c r="F2408" s="18" t="s">
        <v>105</v>
      </c>
      <c r="G2408" s="18" t="s">
        <v>48</v>
      </c>
      <c r="H2408" s="24">
        <v>360110</v>
      </c>
      <c r="I2408" s="24">
        <f>T_reg.root.SK[[#This Row],[Volume, kg]]/1000</f>
        <v>360.11</v>
      </c>
      <c r="J2408" s="25">
        <v>0.25019999999999998</v>
      </c>
      <c r="K2408" s="25">
        <f t="shared" si="37"/>
        <v>90099.521999999997</v>
      </c>
      <c r="L2408" s="25">
        <v>3.66</v>
      </c>
      <c r="M2408" s="24">
        <v>1316886.5</v>
      </c>
      <c r="N2408" s="25">
        <f>IFERROR(T_reg.root.SK[[#This Row],[Price]]/T_reg.root.SK[[#This Row],[Starch content]],"")</f>
        <v>14.628297362110313</v>
      </c>
    </row>
    <row r="2409" spans="1:14">
      <c r="A2409" s="21">
        <v>2024</v>
      </c>
      <c r="B2409" s="21" t="s">
        <v>19</v>
      </c>
      <c r="C2409" s="21" t="s">
        <v>1145</v>
      </c>
      <c r="D2409" s="21" t="s">
        <v>35</v>
      </c>
      <c r="E2409" s="18" t="s">
        <v>182</v>
      </c>
      <c r="F2409" s="18" t="s">
        <v>105</v>
      </c>
      <c r="G2409" s="18" t="s">
        <v>48</v>
      </c>
      <c r="H2409" s="24">
        <v>42940</v>
      </c>
      <c r="I2409" s="24">
        <f>T_reg.root.SK[[#This Row],[Volume, kg]]/1000</f>
        <v>42.94</v>
      </c>
      <c r="J2409" s="25">
        <v>0.22510000000000002</v>
      </c>
      <c r="K2409" s="25">
        <f t="shared" si="37"/>
        <v>9665.7940000000017</v>
      </c>
      <c r="L2409" s="25">
        <v>3.54</v>
      </c>
      <c r="M2409" s="24">
        <v>151798</v>
      </c>
      <c r="N2409" s="25">
        <f>IFERROR(T_reg.root.SK[[#This Row],[Price]]/T_reg.root.SK[[#This Row],[Starch content]],"")</f>
        <v>15.726343847179031</v>
      </c>
    </row>
    <row r="2410" spans="1:14">
      <c r="A2410" s="21">
        <v>2024</v>
      </c>
      <c r="B2410" s="21" t="s">
        <v>19</v>
      </c>
      <c r="C2410" s="21" t="s">
        <v>1145</v>
      </c>
      <c r="D2410" s="21" t="s">
        <v>35</v>
      </c>
      <c r="E2410" s="18" t="s">
        <v>640</v>
      </c>
      <c r="F2410" s="18" t="s">
        <v>105</v>
      </c>
      <c r="G2410" s="18" t="s">
        <v>48</v>
      </c>
      <c r="H2410" s="24">
        <v>11860</v>
      </c>
      <c r="I2410" s="24">
        <f>T_reg.root.SK[[#This Row],[Volume, kg]]/1000</f>
        <v>11.86</v>
      </c>
      <c r="J2410" s="25">
        <v>0.28839999999999999</v>
      </c>
      <c r="K2410" s="25">
        <f t="shared" si="37"/>
        <v>3420.424</v>
      </c>
      <c r="L2410" s="25">
        <v>3.85</v>
      </c>
      <c r="M2410" s="24">
        <v>45661</v>
      </c>
      <c r="N2410" s="25">
        <f>IFERROR(T_reg.root.SK[[#This Row],[Price]]/T_reg.root.SK[[#This Row],[Starch content]],"")</f>
        <v>13.349514563106798</v>
      </c>
    </row>
    <row r="2411" spans="1:14">
      <c r="A2411" s="21">
        <v>2024</v>
      </c>
      <c r="B2411" s="21" t="s">
        <v>19</v>
      </c>
      <c r="C2411" s="21" t="s">
        <v>1145</v>
      </c>
      <c r="D2411" s="21" t="s">
        <v>35</v>
      </c>
      <c r="E2411" s="18" t="s">
        <v>183</v>
      </c>
      <c r="F2411" s="18" t="s">
        <v>105</v>
      </c>
      <c r="G2411" s="18" t="s">
        <v>48</v>
      </c>
      <c r="H2411" s="24">
        <v>1501480</v>
      </c>
      <c r="I2411" s="24">
        <f>T_reg.root.SK[[#This Row],[Volume, kg]]/1000</f>
        <v>1501.48</v>
      </c>
      <c r="J2411" s="25">
        <v>0.28920000000000001</v>
      </c>
      <c r="K2411" s="25">
        <f t="shared" si="37"/>
        <v>434228.016</v>
      </c>
      <c r="L2411" s="25">
        <v>3.87</v>
      </c>
      <c r="M2411" s="24">
        <v>5808341</v>
      </c>
      <c r="N2411" s="25">
        <f>IFERROR(T_reg.root.SK[[#This Row],[Price]]/T_reg.root.SK[[#This Row],[Starch content]],"")</f>
        <v>13.381742738589212</v>
      </c>
    </row>
    <row r="2412" spans="1:14">
      <c r="A2412" s="21">
        <v>2024</v>
      </c>
      <c r="B2412" s="21" t="s">
        <v>19</v>
      </c>
      <c r="C2412" s="21" t="s">
        <v>1145</v>
      </c>
      <c r="D2412" s="21" t="s">
        <v>35</v>
      </c>
      <c r="E2412" s="18" t="s">
        <v>330</v>
      </c>
      <c r="F2412" s="18" t="s">
        <v>187</v>
      </c>
      <c r="G2412" s="18" t="s">
        <v>48</v>
      </c>
      <c r="H2412" s="24">
        <v>23130</v>
      </c>
      <c r="I2412" s="24">
        <f>T_reg.root.SK[[#This Row],[Volume, kg]]/1000</f>
        <v>23.13</v>
      </c>
      <c r="J2412" s="25">
        <v>0.27029999999999998</v>
      </c>
      <c r="K2412" s="25">
        <f t="shared" si="37"/>
        <v>6252.0389999999998</v>
      </c>
      <c r="L2412" s="25">
        <v>3.7</v>
      </c>
      <c r="M2412" s="24">
        <v>85581</v>
      </c>
      <c r="N2412" s="25">
        <f>IFERROR(T_reg.root.SK[[#This Row],[Price]]/T_reg.root.SK[[#This Row],[Starch content]],"")</f>
        <v>13.688494265630782</v>
      </c>
    </row>
    <row r="2413" spans="1:14">
      <c r="A2413" s="21">
        <v>2024</v>
      </c>
      <c r="B2413" s="21" t="s">
        <v>19</v>
      </c>
      <c r="C2413" s="21" t="s">
        <v>1145</v>
      </c>
      <c r="D2413" s="21" t="s">
        <v>35</v>
      </c>
      <c r="E2413" s="18" t="s">
        <v>579</v>
      </c>
      <c r="F2413" s="18" t="s">
        <v>187</v>
      </c>
      <c r="G2413" s="18" t="s">
        <v>48</v>
      </c>
      <c r="H2413" s="24">
        <v>307900</v>
      </c>
      <c r="I2413" s="24">
        <f>T_reg.root.SK[[#This Row],[Volume, kg]]/1000</f>
        <v>307.89999999999998</v>
      </c>
      <c r="J2413" s="25">
        <v>0.2636</v>
      </c>
      <c r="K2413" s="25">
        <f t="shared" si="37"/>
        <v>81162.44</v>
      </c>
      <c r="L2413" s="25">
        <v>3.75</v>
      </c>
      <c r="M2413" s="24">
        <v>1154549.5</v>
      </c>
      <c r="N2413" s="25">
        <f>IFERROR(T_reg.root.SK[[#This Row],[Price]]/T_reg.root.SK[[#This Row],[Starch content]],"")</f>
        <v>14.226100151745069</v>
      </c>
    </row>
    <row r="2414" spans="1:14">
      <c r="A2414" s="21">
        <v>2024</v>
      </c>
      <c r="B2414" s="21" t="s">
        <v>19</v>
      </c>
      <c r="C2414" s="21" t="s">
        <v>1145</v>
      </c>
      <c r="D2414" s="21" t="s">
        <v>35</v>
      </c>
      <c r="E2414" s="18" t="s">
        <v>649</v>
      </c>
      <c r="F2414" s="18" t="s">
        <v>187</v>
      </c>
      <c r="G2414" s="18" t="s">
        <v>48</v>
      </c>
      <c r="H2414" s="24">
        <v>103980</v>
      </c>
      <c r="I2414" s="24">
        <f>T_reg.root.SK[[#This Row],[Volume, kg]]/1000</f>
        <v>103.98</v>
      </c>
      <c r="J2414" s="25">
        <v>0.2397</v>
      </c>
      <c r="K2414" s="25">
        <f t="shared" si="37"/>
        <v>24924.006000000001</v>
      </c>
      <c r="L2414" s="25">
        <v>3.69</v>
      </c>
      <c r="M2414" s="24">
        <v>384042.5</v>
      </c>
      <c r="N2414" s="25">
        <f>IFERROR(T_reg.root.SK[[#This Row],[Price]]/T_reg.root.SK[[#This Row],[Starch content]],"")</f>
        <v>15.39424280350438</v>
      </c>
    </row>
    <row r="2415" spans="1:14">
      <c r="A2415" s="21">
        <v>2024</v>
      </c>
      <c r="B2415" s="21" t="s">
        <v>19</v>
      </c>
      <c r="C2415" s="21" t="s">
        <v>1145</v>
      </c>
      <c r="D2415" s="21" t="s">
        <v>35</v>
      </c>
      <c r="E2415" s="18" t="s">
        <v>511</v>
      </c>
      <c r="F2415" s="18" t="s">
        <v>187</v>
      </c>
      <c r="G2415" s="18" t="s">
        <v>48</v>
      </c>
      <c r="H2415" s="24">
        <v>15090</v>
      </c>
      <c r="I2415" s="24">
        <f>T_reg.root.SK[[#This Row],[Volume, kg]]/1000</f>
        <v>15.09</v>
      </c>
      <c r="J2415" s="25">
        <v>0.27899999999999997</v>
      </c>
      <c r="K2415" s="25">
        <f t="shared" si="37"/>
        <v>4210.1099999999997</v>
      </c>
      <c r="L2415" s="25">
        <v>3.8</v>
      </c>
      <c r="M2415" s="24">
        <v>57342</v>
      </c>
      <c r="N2415" s="25">
        <f>IFERROR(T_reg.root.SK[[#This Row],[Price]]/T_reg.root.SK[[#This Row],[Starch content]],"")</f>
        <v>13.620071684587815</v>
      </c>
    </row>
    <row r="2416" spans="1:14">
      <c r="A2416" s="21">
        <v>2024</v>
      </c>
      <c r="B2416" s="21" t="s">
        <v>19</v>
      </c>
      <c r="C2416" s="21" t="s">
        <v>1145</v>
      </c>
      <c r="D2416" s="21" t="s">
        <v>35</v>
      </c>
      <c r="E2416" s="18" t="s">
        <v>261</v>
      </c>
      <c r="F2416" s="18" t="s">
        <v>187</v>
      </c>
      <c r="G2416" s="18" t="s">
        <v>48</v>
      </c>
      <c r="H2416" s="24">
        <v>30750</v>
      </c>
      <c r="I2416" s="24">
        <f>T_reg.root.SK[[#This Row],[Volume, kg]]/1000</f>
        <v>30.75</v>
      </c>
      <c r="J2416" s="25">
        <v>0.24359999999999998</v>
      </c>
      <c r="K2416" s="25">
        <f t="shared" si="37"/>
        <v>7490.7</v>
      </c>
      <c r="L2416" s="25">
        <v>3.69</v>
      </c>
      <c r="M2416" s="24">
        <v>113554.5</v>
      </c>
      <c r="N2416" s="25">
        <f>IFERROR(T_reg.root.SK[[#This Row],[Price]]/T_reg.root.SK[[#This Row],[Starch content]],"")</f>
        <v>15.147783251231528</v>
      </c>
    </row>
    <row r="2417" spans="1:14">
      <c r="A2417" s="21">
        <v>2024</v>
      </c>
      <c r="B2417" s="21" t="s">
        <v>19</v>
      </c>
      <c r="C2417" s="21" t="s">
        <v>1145</v>
      </c>
      <c r="D2417" s="21" t="s">
        <v>35</v>
      </c>
      <c r="E2417" s="18" t="s">
        <v>192</v>
      </c>
      <c r="F2417" s="18" t="s">
        <v>187</v>
      </c>
      <c r="G2417" s="18" t="s">
        <v>48</v>
      </c>
      <c r="H2417" s="24">
        <v>124020</v>
      </c>
      <c r="I2417" s="24">
        <f>T_reg.root.SK[[#This Row],[Volume, kg]]/1000</f>
        <v>124.02</v>
      </c>
      <c r="J2417" s="25">
        <v>0.26700000000000002</v>
      </c>
      <c r="K2417" s="25">
        <f t="shared" si="37"/>
        <v>33113.340000000004</v>
      </c>
      <c r="L2417" s="25">
        <v>3.84</v>
      </c>
      <c r="M2417" s="24">
        <v>475658</v>
      </c>
      <c r="N2417" s="25">
        <f>IFERROR(T_reg.root.SK[[#This Row],[Price]]/T_reg.root.SK[[#This Row],[Starch content]],"")</f>
        <v>14.38202247191011</v>
      </c>
    </row>
    <row r="2418" spans="1:14">
      <c r="A2418" s="21">
        <v>2024</v>
      </c>
      <c r="B2418" s="21" t="s">
        <v>19</v>
      </c>
      <c r="C2418" s="21" t="s">
        <v>1145</v>
      </c>
      <c r="D2418" s="21" t="s">
        <v>35</v>
      </c>
      <c r="E2418" s="18" t="s">
        <v>514</v>
      </c>
      <c r="F2418" s="18" t="s">
        <v>187</v>
      </c>
      <c r="G2418" s="18" t="s">
        <v>48</v>
      </c>
      <c r="H2418" s="24">
        <v>65410</v>
      </c>
      <c r="I2418" s="24">
        <f>T_reg.root.SK[[#This Row],[Volume, kg]]/1000</f>
        <v>65.41</v>
      </c>
      <c r="J2418" s="25">
        <v>0.27250000000000002</v>
      </c>
      <c r="K2418" s="25">
        <f t="shared" si="37"/>
        <v>17824.225000000002</v>
      </c>
      <c r="L2418" s="25">
        <v>3.86</v>
      </c>
      <c r="M2418" s="24">
        <v>252354</v>
      </c>
      <c r="N2418" s="25">
        <f>IFERROR(T_reg.root.SK[[#This Row],[Price]]/T_reg.root.SK[[#This Row],[Starch content]],"")</f>
        <v>14.165137614678898</v>
      </c>
    </row>
    <row r="2419" spans="1:14">
      <c r="A2419" s="21">
        <v>2024</v>
      </c>
      <c r="B2419" s="21" t="s">
        <v>19</v>
      </c>
      <c r="C2419" s="21" t="s">
        <v>1145</v>
      </c>
      <c r="D2419" s="21" t="s">
        <v>35</v>
      </c>
      <c r="E2419" s="18" t="s">
        <v>701</v>
      </c>
      <c r="F2419" s="18" t="s">
        <v>187</v>
      </c>
      <c r="G2419" s="18" t="s">
        <v>48</v>
      </c>
      <c r="H2419" s="24">
        <v>39680</v>
      </c>
      <c r="I2419" s="24">
        <f>T_reg.root.SK[[#This Row],[Volume, kg]]/1000</f>
        <v>39.68</v>
      </c>
      <c r="J2419" s="25">
        <v>0.22550000000000001</v>
      </c>
      <c r="K2419" s="25">
        <f t="shared" si="37"/>
        <v>8947.84</v>
      </c>
      <c r="L2419" s="25">
        <v>3.5</v>
      </c>
      <c r="M2419" s="24">
        <v>138952</v>
      </c>
      <c r="N2419" s="25">
        <f>IFERROR(T_reg.root.SK[[#This Row],[Price]]/T_reg.root.SK[[#This Row],[Starch content]],"")</f>
        <v>15.521064301552107</v>
      </c>
    </row>
    <row r="2420" spans="1:14">
      <c r="A2420" s="21">
        <v>2024</v>
      </c>
      <c r="B2420" s="21" t="s">
        <v>19</v>
      </c>
      <c r="C2420" s="21" t="s">
        <v>1145</v>
      </c>
      <c r="D2420" s="21" t="s">
        <v>35</v>
      </c>
      <c r="E2420" s="18" t="s">
        <v>193</v>
      </c>
      <c r="F2420" s="18" t="s">
        <v>187</v>
      </c>
      <c r="G2420" s="18" t="s">
        <v>48</v>
      </c>
      <c r="H2420" s="24">
        <v>39360</v>
      </c>
      <c r="I2420" s="24">
        <f>T_reg.root.SK[[#This Row],[Volume, kg]]/1000</f>
        <v>39.36</v>
      </c>
      <c r="J2420" s="25">
        <v>0.23089999999999999</v>
      </c>
      <c r="K2420" s="25">
        <f t="shared" si="37"/>
        <v>9088.2240000000002</v>
      </c>
      <c r="L2420" s="25">
        <v>3.67</v>
      </c>
      <c r="M2420" s="24">
        <v>144412</v>
      </c>
      <c r="N2420" s="25">
        <f>IFERROR(T_reg.root.SK[[#This Row],[Price]]/T_reg.root.SK[[#This Row],[Starch content]],"")</f>
        <v>15.894326548289303</v>
      </c>
    </row>
    <row r="2421" spans="1:14">
      <c r="A2421" s="21">
        <v>2024</v>
      </c>
      <c r="B2421" s="21" t="s">
        <v>19</v>
      </c>
      <c r="C2421" s="21" t="s">
        <v>1145</v>
      </c>
      <c r="D2421" s="21" t="s">
        <v>35</v>
      </c>
      <c r="E2421" s="18" t="s">
        <v>262</v>
      </c>
      <c r="F2421" s="18" t="s">
        <v>187</v>
      </c>
      <c r="G2421" s="18" t="s">
        <v>48</v>
      </c>
      <c r="H2421" s="24">
        <v>30410</v>
      </c>
      <c r="I2421" s="24">
        <f>T_reg.root.SK[[#This Row],[Volume, kg]]/1000</f>
        <v>30.41</v>
      </c>
      <c r="J2421" s="25">
        <v>0.24789999999999998</v>
      </c>
      <c r="K2421" s="25">
        <f t="shared" si="37"/>
        <v>7538.6389999999992</v>
      </c>
      <c r="L2421" s="25">
        <v>3.63</v>
      </c>
      <c r="M2421" s="24">
        <v>110501.5</v>
      </c>
      <c r="N2421" s="25">
        <f>IFERROR(T_reg.root.SK[[#This Row],[Price]]/T_reg.root.SK[[#This Row],[Starch content]],"")</f>
        <v>14.643001210165391</v>
      </c>
    </row>
    <row r="2422" spans="1:14">
      <c r="A2422" s="21">
        <v>2024</v>
      </c>
      <c r="B2422" s="21" t="s">
        <v>19</v>
      </c>
      <c r="C2422" s="21" t="s">
        <v>1145</v>
      </c>
      <c r="D2422" s="21" t="s">
        <v>35</v>
      </c>
      <c r="E2422" s="18" t="s">
        <v>194</v>
      </c>
      <c r="F2422" s="18" t="s">
        <v>187</v>
      </c>
      <c r="G2422" s="18" t="s">
        <v>48</v>
      </c>
      <c r="H2422" s="24">
        <v>110640</v>
      </c>
      <c r="I2422" s="24">
        <f>T_reg.root.SK[[#This Row],[Volume, kg]]/1000</f>
        <v>110.64</v>
      </c>
      <c r="J2422" s="25">
        <v>0.28420000000000001</v>
      </c>
      <c r="K2422" s="25">
        <f t="shared" si="37"/>
        <v>31443.888000000003</v>
      </c>
      <c r="L2422" s="25">
        <v>3.92</v>
      </c>
      <c r="M2422" s="24">
        <v>433897</v>
      </c>
      <c r="N2422" s="25">
        <f>IFERROR(T_reg.root.SK[[#This Row],[Price]]/T_reg.root.SK[[#This Row],[Starch content]],"")</f>
        <v>13.793103448275861</v>
      </c>
    </row>
    <row r="2423" spans="1:14">
      <c r="A2423" s="21">
        <v>2024</v>
      </c>
      <c r="B2423" s="21" t="s">
        <v>19</v>
      </c>
      <c r="C2423" s="21" t="s">
        <v>1145</v>
      </c>
      <c r="D2423" s="21" t="s">
        <v>35</v>
      </c>
      <c r="E2423" s="18" t="s">
        <v>587</v>
      </c>
      <c r="F2423" s="18" t="s">
        <v>187</v>
      </c>
      <c r="G2423" s="18" t="s">
        <v>48</v>
      </c>
      <c r="H2423" s="24">
        <v>17530</v>
      </c>
      <c r="I2423" s="24">
        <f>T_reg.root.SK[[#This Row],[Volume, kg]]/1000</f>
        <v>17.53</v>
      </c>
      <c r="J2423" s="25">
        <v>0.26</v>
      </c>
      <c r="K2423" s="25">
        <f t="shared" si="37"/>
        <v>4557.8</v>
      </c>
      <c r="L2423" s="25">
        <v>3.81</v>
      </c>
      <c r="M2423" s="24">
        <v>66823</v>
      </c>
      <c r="N2423" s="25">
        <f>IFERROR(T_reg.root.SK[[#This Row],[Price]]/T_reg.root.SK[[#This Row],[Starch content]],"")</f>
        <v>14.653846153846153</v>
      </c>
    </row>
    <row r="2424" spans="1:14">
      <c r="A2424" s="21">
        <v>2024</v>
      </c>
      <c r="B2424" s="21" t="s">
        <v>19</v>
      </c>
      <c r="C2424" s="21" t="s">
        <v>1145</v>
      </c>
      <c r="D2424" s="21" t="s">
        <v>35</v>
      </c>
      <c r="E2424" s="18" t="s">
        <v>195</v>
      </c>
      <c r="F2424" s="18" t="s">
        <v>187</v>
      </c>
      <c r="G2424" s="18" t="s">
        <v>48</v>
      </c>
      <c r="H2424" s="24">
        <v>77340</v>
      </c>
      <c r="I2424" s="24">
        <f>T_reg.root.SK[[#This Row],[Volume, kg]]/1000</f>
        <v>77.34</v>
      </c>
      <c r="J2424" s="25">
        <v>0.2346</v>
      </c>
      <c r="K2424" s="25">
        <f t="shared" si="37"/>
        <v>18143.964</v>
      </c>
      <c r="L2424" s="25">
        <v>3.6</v>
      </c>
      <c r="M2424" s="24">
        <v>278791.5</v>
      </c>
      <c r="N2424" s="25">
        <f>IFERROR(T_reg.root.SK[[#This Row],[Price]]/T_reg.root.SK[[#This Row],[Starch content]],"")</f>
        <v>15.345268542199488</v>
      </c>
    </row>
    <row r="2425" spans="1:14">
      <c r="A2425" s="21">
        <v>2024</v>
      </c>
      <c r="B2425" s="21" t="s">
        <v>19</v>
      </c>
      <c r="C2425" s="21" t="s">
        <v>1145</v>
      </c>
      <c r="D2425" s="21" t="s">
        <v>35</v>
      </c>
      <c r="E2425" s="18" t="s">
        <v>516</v>
      </c>
      <c r="F2425" s="18" t="s">
        <v>187</v>
      </c>
      <c r="G2425" s="18" t="s">
        <v>48</v>
      </c>
      <c r="H2425" s="24">
        <v>255010</v>
      </c>
      <c r="I2425" s="24">
        <f>T_reg.root.SK[[#This Row],[Volume, kg]]/1000</f>
        <v>255.01</v>
      </c>
      <c r="J2425" s="25">
        <v>0.2379</v>
      </c>
      <c r="K2425" s="25">
        <f t="shared" si="37"/>
        <v>60666.879000000001</v>
      </c>
      <c r="L2425" s="25">
        <v>3.67</v>
      </c>
      <c r="M2425" s="24">
        <v>935352</v>
      </c>
      <c r="N2425" s="25">
        <f>IFERROR(T_reg.root.SK[[#This Row],[Price]]/T_reg.root.SK[[#This Row],[Starch content]],"")</f>
        <v>15.426649852879361</v>
      </c>
    </row>
    <row r="2426" spans="1:14">
      <c r="A2426" s="21">
        <v>2024</v>
      </c>
      <c r="B2426" s="21" t="s">
        <v>19</v>
      </c>
      <c r="C2426" s="21" t="s">
        <v>1145</v>
      </c>
      <c r="D2426" s="21" t="s">
        <v>35</v>
      </c>
      <c r="E2426" s="18" t="s">
        <v>519</v>
      </c>
      <c r="F2426" s="18" t="s">
        <v>187</v>
      </c>
      <c r="G2426" s="18" t="s">
        <v>48</v>
      </c>
      <c r="H2426" s="24">
        <v>18340</v>
      </c>
      <c r="I2426" s="24">
        <f>T_reg.root.SK[[#This Row],[Volume, kg]]/1000</f>
        <v>18.34</v>
      </c>
      <c r="J2426" s="25">
        <v>0.24230000000000002</v>
      </c>
      <c r="K2426" s="25">
        <f t="shared" si="37"/>
        <v>4443.7820000000002</v>
      </c>
      <c r="L2426" s="25">
        <v>3.7</v>
      </c>
      <c r="M2426" s="24">
        <v>67858</v>
      </c>
      <c r="N2426" s="25">
        <f>IFERROR(T_reg.root.SK[[#This Row],[Price]]/T_reg.root.SK[[#This Row],[Starch content]],"")</f>
        <v>15.270326042096574</v>
      </c>
    </row>
    <row r="2427" spans="1:14">
      <c r="A2427" s="21">
        <v>2024</v>
      </c>
      <c r="B2427" s="21" t="s">
        <v>19</v>
      </c>
      <c r="C2427" s="21" t="s">
        <v>1145</v>
      </c>
      <c r="D2427" s="21" t="s">
        <v>35</v>
      </c>
      <c r="E2427" s="18" t="s">
        <v>264</v>
      </c>
      <c r="F2427" s="18" t="s">
        <v>187</v>
      </c>
      <c r="G2427" s="18" t="s">
        <v>48</v>
      </c>
      <c r="H2427" s="24">
        <v>17340</v>
      </c>
      <c r="I2427" s="24">
        <f>T_reg.root.SK[[#This Row],[Volume, kg]]/1000</f>
        <v>17.34</v>
      </c>
      <c r="J2427" s="25">
        <v>0.26030000000000003</v>
      </c>
      <c r="K2427" s="25">
        <f t="shared" si="37"/>
        <v>4513.6020000000008</v>
      </c>
      <c r="L2427" s="25">
        <v>3.75</v>
      </c>
      <c r="M2427" s="24">
        <v>65025</v>
      </c>
      <c r="N2427" s="25">
        <f>IFERROR(T_reg.root.SK[[#This Row],[Price]]/T_reg.root.SK[[#This Row],[Starch content]],"")</f>
        <v>14.406454091432961</v>
      </c>
    </row>
    <row r="2428" spans="1:14">
      <c r="A2428" s="21">
        <v>2024</v>
      </c>
      <c r="B2428" s="21" t="s">
        <v>19</v>
      </c>
      <c r="C2428" s="21" t="s">
        <v>1145</v>
      </c>
      <c r="D2428" s="21" t="s">
        <v>35</v>
      </c>
      <c r="E2428" s="18" t="s">
        <v>196</v>
      </c>
      <c r="F2428" s="18" t="s">
        <v>187</v>
      </c>
      <c r="G2428" s="18" t="s">
        <v>48</v>
      </c>
      <c r="H2428" s="24">
        <v>91670</v>
      </c>
      <c r="I2428" s="24">
        <f>T_reg.root.SK[[#This Row],[Volume, kg]]/1000</f>
        <v>91.67</v>
      </c>
      <c r="J2428" s="25">
        <v>0.26789999999999997</v>
      </c>
      <c r="K2428" s="25">
        <f t="shared" si="37"/>
        <v>24558.392999999996</v>
      </c>
      <c r="L2428" s="25">
        <v>3.79</v>
      </c>
      <c r="M2428" s="24">
        <v>347372</v>
      </c>
      <c r="N2428" s="25">
        <f>IFERROR(T_reg.root.SK[[#This Row],[Price]]/T_reg.root.SK[[#This Row],[Starch content]],"")</f>
        <v>14.147069802164989</v>
      </c>
    </row>
    <row r="2429" spans="1:14">
      <c r="A2429" s="21">
        <v>2024</v>
      </c>
      <c r="B2429" s="21" t="s">
        <v>19</v>
      </c>
      <c r="C2429" s="21" t="s">
        <v>1145</v>
      </c>
      <c r="D2429" s="21" t="s">
        <v>35</v>
      </c>
      <c r="E2429" s="18" t="s">
        <v>610</v>
      </c>
      <c r="F2429" s="18" t="s">
        <v>187</v>
      </c>
      <c r="G2429" s="18" t="s">
        <v>48</v>
      </c>
      <c r="H2429" s="24">
        <v>3640</v>
      </c>
      <c r="I2429" s="24">
        <f>T_reg.root.SK[[#This Row],[Volume, kg]]/1000</f>
        <v>3.64</v>
      </c>
      <c r="J2429" s="25">
        <v>0.312</v>
      </c>
      <c r="K2429" s="25">
        <f t="shared" si="37"/>
        <v>1135.68</v>
      </c>
      <c r="L2429" s="25">
        <v>4.05</v>
      </c>
      <c r="M2429" s="24">
        <v>14742</v>
      </c>
      <c r="N2429" s="25">
        <f>IFERROR(T_reg.root.SK[[#This Row],[Price]]/T_reg.root.SK[[#This Row],[Starch content]],"")</f>
        <v>12.98076923076923</v>
      </c>
    </row>
    <row r="2430" spans="1:14">
      <c r="A2430" s="21">
        <v>2024</v>
      </c>
      <c r="B2430" s="21" t="s">
        <v>19</v>
      </c>
      <c r="C2430" s="21" t="s">
        <v>1145</v>
      </c>
      <c r="D2430" s="21" t="s">
        <v>35</v>
      </c>
      <c r="E2430" s="18" t="s">
        <v>197</v>
      </c>
      <c r="F2430" s="18" t="s">
        <v>187</v>
      </c>
      <c r="G2430" s="18" t="s">
        <v>48</v>
      </c>
      <c r="H2430" s="24">
        <v>37630</v>
      </c>
      <c r="I2430" s="24">
        <f>T_reg.root.SK[[#This Row],[Volume, kg]]/1000</f>
        <v>37.630000000000003</v>
      </c>
      <c r="J2430" s="25">
        <v>0.23649999999999999</v>
      </c>
      <c r="K2430" s="25">
        <f t="shared" si="37"/>
        <v>8899.494999999999</v>
      </c>
      <c r="L2430" s="25">
        <v>3.55</v>
      </c>
      <c r="M2430" s="24">
        <v>133534</v>
      </c>
      <c r="N2430" s="25">
        <f>IFERROR(T_reg.root.SK[[#This Row],[Price]]/T_reg.root.SK[[#This Row],[Starch content]],"")</f>
        <v>15.010570824524313</v>
      </c>
    </row>
    <row r="2431" spans="1:14">
      <c r="A2431" s="21">
        <v>2024</v>
      </c>
      <c r="B2431" s="21" t="s">
        <v>19</v>
      </c>
      <c r="C2431" s="21" t="s">
        <v>1145</v>
      </c>
      <c r="D2431" s="21" t="s">
        <v>35</v>
      </c>
      <c r="E2431" s="18" t="s">
        <v>407</v>
      </c>
      <c r="F2431" s="18" t="s">
        <v>187</v>
      </c>
      <c r="G2431" s="18" t="s">
        <v>48</v>
      </c>
      <c r="H2431" s="24">
        <v>14190</v>
      </c>
      <c r="I2431" s="24">
        <f>T_reg.root.SK[[#This Row],[Volume, kg]]/1000</f>
        <v>14.19</v>
      </c>
      <c r="J2431" s="25">
        <v>0.29189999999999999</v>
      </c>
      <c r="K2431" s="25">
        <f t="shared" si="37"/>
        <v>4142.0609999999997</v>
      </c>
      <c r="L2431" s="25">
        <v>4.01</v>
      </c>
      <c r="M2431" s="24">
        <v>56836.5</v>
      </c>
      <c r="N2431" s="25">
        <f>IFERROR(T_reg.root.SK[[#This Row],[Price]]/T_reg.root.SK[[#This Row],[Starch content]],"")</f>
        <v>13.737581363480643</v>
      </c>
    </row>
    <row r="2432" spans="1:14">
      <c r="A2432" s="21">
        <v>2024</v>
      </c>
      <c r="B2432" s="21" t="s">
        <v>19</v>
      </c>
      <c r="C2432" s="21" t="s">
        <v>1145</v>
      </c>
      <c r="D2432" s="21" t="s">
        <v>35</v>
      </c>
      <c r="E2432" s="18" t="s">
        <v>524</v>
      </c>
      <c r="F2432" s="18" t="s">
        <v>187</v>
      </c>
      <c r="G2432" s="18" t="s">
        <v>48</v>
      </c>
      <c r="H2432" s="24">
        <v>65720</v>
      </c>
      <c r="I2432" s="24">
        <f>T_reg.root.SK[[#This Row],[Volume, kg]]/1000</f>
        <v>65.72</v>
      </c>
      <c r="J2432" s="25">
        <v>0.28820000000000001</v>
      </c>
      <c r="K2432" s="25">
        <f t="shared" si="37"/>
        <v>18940.504000000001</v>
      </c>
      <c r="L2432" s="25">
        <v>3.9</v>
      </c>
      <c r="M2432" s="24">
        <v>256340.5</v>
      </c>
      <c r="N2432" s="25">
        <f>IFERROR(T_reg.root.SK[[#This Row],[Price]]/T_reg.root.SK[[#This Row],[Starch content]],"")</f>
        <v>13.532269257460097</v>
      </c>
    </row>
    <row r="2433" spans="1:14">
      <c r="A2433" s="21">
        <v>2024</v>
      </c>
      <c r="B2433" s="21" t="s">
        <v>19</v>
      </c>
      <c r="C2433" s="21" t="s">
        <v>1145</v>
      </c>
      <c r="D2433" s="21" t="s">
        <v>35</v>
      </c>
      <c r="E2433" s="18" t="s">
        <v>525</v>
      </c>
      <c r="F2433" s="18" t="s">
        <v>187</v>
      </c>
      <c r="G2433" s="18" t="s">
        <v>48</v>
      </c>
      <c r="H2433" s="24">
        <v>53420</v>
      </c>
      <c r="I2433" s="24">
        <f>T_reg.root.SK[[#This Row],[Volume, kg]]/1000</f>
        <v>53.42</v>
      </c>
      <c r="J2433" s="25">
        <v>0.27129999999999999</v>
      </c>
      <c r="K2433" s="25">
        <f t="shared" si="37"/>
        <v>14492.846</v>
      </c>
      <c r="L2433" s="25">
        <v>3.79</v>
      </c>
      <c r="M2433" s="24">
        <v>202724</v>
      </c>
      <c r="N2433" s="25">
        <f>IFERROR(T_reg.root.SK[[#This Row],[Price]]/T_reg.root.SK[[#This Row],[Starch content]],"")</f>
        <v>13.969775156653153</v>
      </c>
    </row>
    <row r="2434" spans="1:14">
      <c r="A2434" s="21">
        <v>2024</v>
      </c>
      <c r="B2434" s="21" t="s">
        <v>19</v>
      </c>
      <c r="C2434" s="21" t="s">
        <v>1145</v>
      </c>
      <c r="D2434" s="21" t="s">
        <v>35</v>
      </c>
      <c r="E2434" s="18" t="s">
        <v>198</v>
      </c>
      <c r="F2434" s="18" t="s">
        <v>187</v>
      </c>
      <c r="G2434" s="18" t="s">
        <v>48</v>
      </c>
      <c r="H2434" s="24">
        <v>36250</v>
      </c>
      <c r="I2434" s="24">
        <f>T_reg.root.SK[[#This Row],[Volume, kg]]/1000</f>
        <v>36.25</v>
      </c>
      <c r="J2434" s="25">
        <v>0.2145</v>
      </c>
      <c r="K2434" s="25">
        <f t="shared" si="37"/>
        <v>7775.625</v>
      </c>
      <c r="L2434" s="25">
        <v>3.56</v>
      </c>
      <c r="M2434" s="24">
        <v>129149.5</v>
      </c>
      <c r="N2434" s="25">
        <f>IFERROR(T_reg.root.SK[[#This Row],[Price]]/T_reg.root.SK[[#This Row],[Starch content]],"")</f>
        <v>16.596736596736598</v>
      </c>
    </row>
    <row r="2435" spans="1:14">
      <c r="A2435" s="21">
        <v>2024</v>
      </c>
      <c r="B2435" s="21" t="s">
        <v>19</v>
      </c>
      <c r="C2435" s="21" t="s">
        <v>1145</v>
      </c>
      <c r="D2435" s="21" t="s">
        <v>35</v>
      </c>
      <c r="E2435" s="18" t="s">
        <v>611</v>
      </c>
      <c r="F2435" s="18" t="s">
        <v>187</v>
      </c>
      <c r="G2435" s="18" t="s">
        <v>48</v>
      </c>
      <c r="H2435" s="24">
        <v>5400</v>
      </c>
      <c r="I2435" s="24">
        <f>T_reg.root.SK[[#This Row],[Volume, kg]]/1000</f>
        <v>5.4</v>
      </c>
      <c r="J2435" s="25">
        <v>0.2397</v>
      </c>
      <c r="K2435" s="25">
        <f t="shared" ref="K2435:K2498" si="38">H2435*J2435</f>
        <v>1294.3799999999999</v>
      </c>
      <c r="L2435" s="25">
        <v>3.65</v>
      </c>
      <c r="M2435" s="24">
        <v>19710</v>
      </c>
      <c r="N2435" s="25">
        <f>IFERROR(T_reg.root.SK[[#This Row],[Price]]/T_reg.root.SK[[#This Row],[Starch content]],"")</f>
        <v>15.227367542761785</v>
      </c>
    </row>
    <row r="2436" spans="1:14">
      <c r="A2436" s="21">
        <v>2024</v>
      </c>
      <c r="B2436" s="21" t="s">
        <v>19</v>
      </c>
      <c r="C2436" s="21" t="s">
        <v>1145</v>
      </c>
      <c r="D2436" s="21" t="s">
        <v>35</v>
      </c>
      <c r="E2436" s="18" t="s">
        <v>200</v>
      </c>
      <c r="F2436" s="18" t="s">
        <v>187</v>
      </c>
      <c r="G2436" s="18" t="s">
        <v>48</v>
      </c>
      <c r="H2436" s="24">
        <v>75310</v>
      </c>
      <c r="I2436" s="24">
        <f>T_reg.root.SK[[#This Row],[Volume, kg]]/1000</f>
        <v>75.31</v>
      </c>
      <c r="J2436" s="25">
        <v>0.2571</v>
      </c>
      <c r="K2436" s="25">
        <f t="shared" si="38"/>
        <v>19362.201000000001</v>
      </c>
      <c r="L2436" s="25">
        <v>3.69</v>
      </c>
      <c r="M2436" s="24">
        <v>277528.5</v>
      </c>
      <c r="N2436" s="25">
        <f>IFERROR(T_reg.root.SK[[#This Row],[Price]]/T_reg.root.SK[[#This Row],[Starch content]],"")</f>
        <v>14.352392065344224</v>
      </c>
    </row>
    <row r="2437" spans="1:14">
      <c r="A2437" s="21">
        <v>2024</v>
      </c>
      <c r="B2437" s="21" t="s">
        <v>19</v>
      </c>
      <c r="C2437" s="21" t="s">
        <v>1145</v>
      </c>
      <c r="D2437" s="21" t="s">
        <v>35</v>
      </c>
      <c r="E2437" s="18" t="s">
        <v>201</v>
      </c>
      <c r="F2437" s="18" t="s">
        <v>187</v>
      </c>
      <c r="G2437" s="18" t="s">
        <v>48</v>
      </c>
      <c r="H2437" s="24">
        <v>118670</v>
      </c>
      <c r="I2437" s="24">
        <f>T_reg.root.SK[[#This Row],[Volume, kg]]/1000</f>
        <v>118.67</v>
      </c>
      <c r="J2437" s="25">
        <v>0.27</v>
      </c>
      <c r="K2437" s="25">
        <f t="shared" si="38"/>
        <v>32040.9</v>
      </c>
      <c r="L2437" s="25">
        <v>3.85</v>
      </c>
      <c r="M2437" s="24">
        <v>456384</v>
      </c>
      <c r="N2437" s="25">
        <f>IFERROR(T_reg.root.SK[[#This Row],[Price]]/T_reg.root.SK[[#This Row],[Starch content]],"")</f>
        <v>14.25925925925926</v>
      </c>
    </row>
    <row r="2438" spans="1:14">
      <c r="A2438" s="21">
        <v>2024</v>
      </c>
      <c r="B2438" s="21" t="s">
        <v>19</v>
      </c>
      <c r="C2438" s="21" t="s">
        <v>1145</v>
      </c>
      <c r="D2438" s="21" t="s">
        <v>35</v>
      </c>
      <c r="E2438" s="18" t="s">
        <v>702</v>
      </c>
      <c r="F2438" s="18" t="s">
        <v>187</v>
      </c>
      <c r="G2438" s="18" t="s">
        <v>48</v>
      </c>
      <c r="H2438" s="24">
        <v>38090</v>
      </c>
      <c r="I2438" s="24">
        <f>T_reg.root.SK[[#This Row],[Volume, kg]]/1000</f>
        <v>38.090000000000003</v>
      </c>
      <c r="J2438" s="25">
        <v>0.25719999999999998</v>
      </c>
      <c r="K2438" s="25">
        <f t="shared" si="38"/>
        <v>9796.7479999999996</v>
      </c>
      <c r="L2438" s="25">
        <v>3.75</v>
      </c>
      <c r="M2438" s="24">
        <v>142891.5</v>
      </c>
      <c r="N2438" s="25">
        <f>IFERROR(T_reg.root.SK[[#This Row],[Price]]/T_reg.root.SK[[#This Row],[Starch content]],"")</f>
        <v>14.580093312597201</v>
      </c>
    </row>
    <row r="2439" spans="1:14">
      <c r="A2439" s="21">
        <v>2024</v>
      </c>
      <c r="B2439" s="21" t="s">
        <v>19</v>
      </c>
      <c r="C2439" s="21" t="s">
        <v>1145</v>
      </c>
      <c r="D2439" s="21" t="s">
        <v>35</v>
      </c>
      <c r="E2439" s="18" t="s">
        <v>202</v>
      </c>
      <c r="F2439" s="18" t="s">
        <v>187</v>
      </c>
      <c r="G2439" s="18" t="s">
        <v>48</v>
      </c>
      <c r="H2439" s="24">
        <v>38480</v>
      </c>
      <c r="I2439" s="24">
        <f>T_reg.root.SK[[#This Row],[Volume, kg]]/1000</f>
        <v>38.479999999999997</v>
      </c>
      <c r="J2439" s="25">
        <v>0.23280000000000001</v>
      </c>
      <c r="K2439" s="25">
        <f t="shared" si="38"/>
        <v>8958.1440000000002</v>
      </c>
      <c r="L2439" s="25">
        <v>3.57</v>
      </c>
      <c r="M2439" s="24">
        <v>137509</v>
      </c>
      <c r="N2439" s="25">
        <f>IFERROR(T_reg.root.SK[[#This Row],[Price]]/T_reg.root.SK[[#This Row],[Starch content]],"")</f>
        <v>15.335051546391751</v>
      </c>
    </row>
    <row r="2440" spans="1:14">
      <c r="A2440" s="21">
        <v>2024</v>
      </c>
      <c r="B2440" s="21" t="s">
        <v>19</v>
      </c>
      <c r="C2440" s="21" t="s">
        <v>1145</v>
      </c>
      <c r="D2440" s="21" t="s">
        <v>35</v>
      </c>
      <c r="E2440" s="18" t="s">
        <v>531</v>
      </c>
      <c r="F2440" s="18" t="s">
        <v>187</v>
      </c>
      <c r="G2440" s="18" t="s">
        <v>48</v>
      </c>
      <c r="H2440" s="24">
        <v>36520</v>
      </c>
      <c r="I2440" s="24">
        <f>T_reg.root.SK[[#This Row],[Volume, kg]]/1000</f>
        <v>36.520000000000003</v>
      </c>
      <c r="J2440" s="25">
        <v>0.26619999999999999</v>
      </c>
      <c r="K2440" s="25">
        <f t="shared" si="38"/>
        <v>9721.6239999999998</v>
      </c>
      <c r="L2440" s="25">
        <v>3.76</v>
      </c>
      <c r="M2440" s="24">
        <v>137139.5</v>
      </c>
      <c r="N2440" s="25">
        <f>IFERROR(T_reg.root.SK[[#This Row],[Price]]/T_reg.root.SK[[#This Row],[Starch content]],"")</f>
        <v>14.124718256949661</v>
      </c>
    </row>
    <row r="2441" spans="1:14">
      <c r="A2441" s="21">
        <v>2024</v>
      </c>
      <c r="B2441" s="21" t="s">
        <v>19</v>
      </c>
      <c r="C2441" s="21" t="s">
        <v>1145</v>
      </c>
      <c r="D2441" s="21" t="s">
        <v>35</v>
      </c>
      <c r="E2441" s="18" t="s">
        <v>265</v>
      </c>
      <c r="F2441" s="18" t="s">
        <v>187</v>
      </c>
      <c r="G2441" s="18" t="s">
        <v>48</v>
      </c>
      <c r="H2441" s="24">
        <v>95160</v>
      </c>
      <c r="I2441" s="24">
        <f>T_reg.root.SK[[#This Row],[Volume, kg]]/1000</f>
        <v>95.16</v>
      </c>
      <c r="J2441" s="25">
        <v>0.26369999999999999</v>
      </c>
      <c r="K2441" s="25">
        <f t="shared" si="38"/>
        <v>25093.691999999999</v>
      </c>
      <c r="L2441" s="25">
        <v>3.82</v>
      </c>
      <c r="M2441" s="24">
        <v>363917</v>
      </c>
      <c r="N2441" s="25">
        <f>IFERROR(T_reg.root.SK[[#This Row],[Price]]/T_reg.root.SK[[#This Row],[Starch content]],"")</f>
        <v>14.486158513462268</v>
      </c>
    </row>
    <row r="2442" spans="1:14">
      <c r="A2442" s="21">
        <v>2024</v>
      </c>
      <c r="B2442" s="21" t="s">
        <v>19</v>
      </c>
      <c r="C2442" s="21" t="s">
        <v>1145</v>
      </c>
      <c r="D2442" s="21" t="s">
        <v>35</v>
      </c>
      <c r="E2442" s="18" t="s">
        <v>374</v>
      </c>
      <c r="F2442" s="18" t="s">
        <v>187</v>
      </c>
      <c r="G2442" s="18" t="s">
        <v>48</v>
      </c>
      <c r="H2442" s="24">
        <v>9670</v>
      </c>
      <c r="I2442" s="24">
        <f>T_reg.root.SK[[#This Row],[Volume, kg]]/1000</f>
        <v>9.67</v>
      </c>
      <c r="J2442" s="25">
        <v>0.3155</v>
      </c>
      <c r="K2442" s="25">
        <f t="shared" si="38"/>
        <v>3050.8850000000002</v>
      </c>
      <c r="L2442" s="25">
        <v>4</v>
      </c>
      <c r="M2442" s="24">
        <v>38680</v>
      </c>
      <c r="N2442" s="25">
        <f>IFERROR(T_reg.root.SK[[#This Row],[Price]]/T_reg.root.SK[[#This Row],[Starch content]],"")</f>
        <v>12.678288431061807</v>
      </c>
    </row>
    <row r="2443" spans="1:14">
      <c r="A2443" s="21">
        <v>2024</v>
      </c>
      <c r="B2443" s="21" t="s">
        <v>19</v>
      </c>
      <c r="C2443" s="21" t="s">
        <v>1145</v>
      </c>
      <c r="D2443" s="21" t="s">
        <v>35</v>
      </c>
      <c r="E2443" s="18" t="s">
        <v>703</v>
      </c>
      <c r="F2443" s="18" t="s">
        <v>187</v>
      </c>
      <c r="G2443" s="18" t="s">
        <v>48</v>
      </c>
      <c r="H2443" s="24">
        <v>77920</v>
      </c>
      <c r="I2443" s="24">
        <f>T_reg.root.SK[[#This Row],[Volume, kg]]/1000</f>
        <v>77.92</v>
      </c>
      <c r="J2443" s="25">
        <v>0.247</v>
      </c>
      <c r="K2443" s="25">
        <f t="shared" si="38"/>
        <v>19246.240000000002</v>
      </c>
      <c r="L2443" s="25">
        <v>3.74</v>
      </c>
      <c r="M2443" s="24">
        <v>291489</v>
      </c>
      <c r="N2443" s="25">
        <f>IFERROR(T_reg.root.SK[[#This Row],[Price]]/T_reg.root.SK[[#This Row],[Starch content]],"")</f>
        <v>15.1417004048583</v>
      </c>
    </row>
    <row r="2444" spans="1:14">
      <c r="A2444" s="21">
        <v>2024</v>
      </c>
      <c r="B2444" s="21" t="s">
        <v>19</v>
      </c>
      <c r="C2444" s="21" t="s">
        <v>1145</v>
      </c>
      <c r="D2444" s="21" t="s">
        <v>35</v>
      </c>
      <c r="E2444" s="18" t="s">
        <v>206</v>
      </c>
      <c r="F2444" s="18" t="s">
        <v>187</v>
      </c>
      <c r="G2444" s="18" t="s">
        <v>48</v>
      </c>
      <c r="H2444" s="24">
        <v>37020</v>
      </c>
      <c r="I2444" s="24">
        <f>T_reg.root.SK[[#This Row],[Volume, kg]]/1000</f>
        <v>37.020000000000003</v>
      </c>
      <c r="J2444" s="25">
        <v>0.24199999999999999</v>
      </c>
      <c r="K2444" s="25">
        <f t="shared" si="38"/>
        <v>8958.84</v>
      </c>
      <c r="L2444" s="25">
        <v>3.71</v>
      </c>
      <c r="M2444" s="24">
        <v>137501.5</v>
      </c>
      <c r="N2444" s="25">
        <f>IFERROR(T_reg.root.SK[[#This Row],[Price]]/T_reg.root.SK[[#This Row],[Starch content]],"")</f>
        <v>15.330578512396695</v>
      </c>
    </row>
    <row r="2445" spans="1:14">
      <c r="A2445" s="21">
        <v>2024</v>
      </c>
      <c r="B2445" s="21" t="s">
        <v>19</v>
      </c>
      <c r="C2445" s="21" t="s">
        <v>1145</v>
      </c>
      <c r="D2445" s="21" t="s">
        <v>35</v>
      </c>
      <c r="E2445" s="18" t="s">
        <v>268</v>
      </c>
      <c r="F2445" s="18" t="s">
        <v>187</v>
      </c>
      <c r="G2445" s="18" t="s">
        <v>48</v>
      </c>
      <c r="H2445" s="24">
        <v>187720</v>
      </c>
      <c r="I2445" s="24">
        <f>T_reg.root.SK[[#This Row],[Volume, kg]]/1000</f>
        <v>187.72</v>
      </c>
      <c r="J2445" s="25">
        <v>0.24840000000000001</v>
      </c>
      <c r="K2445" s="25">
        <f t="shared" si="38"/>
        <v>46629.648000000001</v>
      </c>
      <c r="L2445" s="25">
        <v>3.71</v>
      </c>
      <c r="M2445" s="24">
        <v>696322.5</v>
      </c>
      <c r="N2445" s="25">
        <f>IFERROR(T_reg.root.SK[[#This Row],[Price]]/T_reg.root.SK[[#This Row],[Starch content]],"")</f>
        <v>14.935587761674718</v>
      </c>
    </row>
    <row r="2446" spans="1:14">
      <c r="A2446" s="21">
        <v>2024</v>
      </c>
      <c r="B2446" s="21" t="s">
        <v>19</v>
      </c>
      <c r="C2446" s="21" t="s">
        <v>1145</v>
      </c>
      <c r="D2446" s="21" t="s">
        <v>35</v>
      </c>
      <c r="E2446" s="18" t="s">
        <v>208</v>
      </c>
      <c r="F2446" s="18" t="s">
        <v>187</v>
      </c>
      <c r="G2446" s="18" t="s">
        <v>48</v>
      </c>
      <c r="H2446" s="24">
        <v>87850</v>
      </c>
      <c r="I2446" s="24">
        <f>T_reg.root.SK[[#This Row],[Volume, kg]]/1000</f>
        <v>87.85</v>
      </c>
      <c r="J2446" s="25">
        <v>0.2452</v>
      </c>
      <c r="K2446" s="25">
        <f t="shared" si="38"/>
        <v>21540.82</v>
      </c>
      <c r="L2446" s="25">
        <v>3.59</v>
      </c>
      <c r="M2446" s="24">
        <v>315415</v>
      </c>
      <c r="N2446" s="25">
        <f>IFERROR(T_reg.root.SK[[#This Row],[Price]]/T_reg.root.SK[[#This Row],[Starch content]],"")</f>
        <v>14.641109298531811</v>
      </c>
    </row>
    <row r="2447" spans="1:14">
      <c r="A2447" s="21">
        <v>2024</v>
      </c>
      <c r="B2447" s="21" t="s">
        <v>19</v>
      </c>
      <c r="C2447" s="21" t="s">
        <v>1145</v>
      </c>
      <c r="D2447" s="21" t="s">
        <v>35</v>
      </c>
      <c r="E2447" s="18" t="s">
        <v>209</v>
      </c>
      <c r="F2447" s="18" t="s">
        <v>187</v>
      </c>
      <c r="G2447" s="18" t="s">
        <v>48</v>
      </c>
      <c r="H2447" s="24">
        <v>80760</v>
      </c>
      <c r="I2447" s="24">
        <f>T_reg.root.SK[[#This Row],[Volume, kg]]/1000</f>
        <v>80.760000000000005</v>
      </c>
      <c r="J2447" s="25">
        <v>0.26219999999999999</v>
      </c>
      <c r="K2447" s="25">
        <f t="shared" si="38"/>
        <v>21175.272000000001</v>
      </c>
      <c r="L2447" s="25">
        <v>3.76</v>
      </c>
      <c r="M2447" s="24">
        <v>303913.5</v>
      </c>
      <c r="N2447" s="25">
        <f>IFERROR(T_reg.root.SK[[#This Row],[Price]]/T_reg.root.SK[[#This Row],[Starch content]],"")</f>
        <v>14.340198321891686</v>
      </c>
    </row>
    <row r="2448" spans="1:14">
      <c r="A2448" s="21">
        <v>2024</v>
      </c>
      <c r="B2448" s="21" t="s">
        <v>19</v>
      </c>
      <c r="C2448" s="21" t="s">
        <v>1145</v>
      </c>
      <c r="D2448" s="21" t="s">
        <v>35</v>
      </c>
      <c r="E2448" s="18" t="s">
        <v>689</v>
      </c>
      <c r="F2448" s="18" t="s">
        <v>187</v>
      </c>
      <c r="G2448" s="18" t="s">
        <v>48</v>
      </c>
      <c r="H2448" s="24">
        <v>6860</v>
      </c>
      <c r="I2448" s="24">
        <f>T_reg.root.SK[[#This Row],[Volume, kg]]/1000</f>
        <v>6.86</v>
      </c>
      <c r="J2448" s="25">
        <v>0.31950000000000001</v>
      </c>
      <c r="K2448" s="25">
        <f t="shared" si="38"/>
        <v>2191.77</v>
      </c>
      <c r="L2448" s="25">
        <v>4.0999999999999996</v>
      </c>
      <c r="M2448" s="24">
        <v>28126</v>
      </c>
      <c r="N2448" s="25">
        <f>IFERROR(T_reg.root.SK[[#This Row],[Price]]/T_reg.root.SK[[#This Row],[Starch content]],"")</f>
        <v>12.832550860719873</v>
      </c>
    </row>
    <row r="2449" spans="1:14">
      <c r="A2449" s="21">
        <v>2024</v>
      </c>
      <c r="B2449" s="21" t="s">
        <v>19</v>
      </c>
      <c r="C2449" s="21" t="s">
        <v>1145</v>
      </c>
      <c r="D2449" s="21" t="s">
        <v>35</v>
      </c>
      <c r="E2449" s="18" t="s">
        <v>704</v>
      </c>
      <c r="F2449" s="18" t="s">
        <v>187</v>
      </c>
      <c r="G2449" s="18" t="s">
        <v>48</v>
      </c>
      <c r="H2449" s="24">
        <v>55560</v>
      </c>
      <c r="I2449" s="24">
        <f>T_reg.root.SK[[#This Row],[Volume, kg]]/1000</f>
        <v>55.56</v>
      </c>
      <c r="J2449" s="25">
        <v>0.27850000000000003</v>
      </c>
      <c r="K2449" s="25">
        <f t="shared" si="38"/>
        <v>15473.460000000001</v>
      </c>
      <c r="L2449" s="25">
        <v>3.76</v>
      </c>
      <c r="M2449" s="24">
        <v>208658</v>
      </c>
      <c r="N2449" s="25">
        <f>IFERROR(T_reg.root.SK[[#This Row],[Price]]/T_reg.root.SK[[#This Row],[Starch content]],"")</f>
        <v>13.500897666068221</v>
      </c>
    </row>
    <row r="2450" spans="1:14">
      <c r="A2450" s="21">
        <v>2024</v>
      </c>
      <c r="B2450" s="21" t="s">
        <v>19</v>
      </c>
      <c r="C2450" s="21" t="s">
        <v>1145</v>
      </c>
      <c r="D2450" s="21" t="s">
        <v>35</v>
      </c>
      <c r="E2450" s="18" t="s">
        <v>333</v>
      </c>
      <c r="F2450" s="18" t="s">
        <v>187</v>
      </c>
      <c r="G2450" s="18" t="s">
        <v>48</v>
      </c>
      <c r="H2450" s="24">
        <v>33310</v>
      </c>
      <c r="I2450" s="24">
        <f>T_reg.root.SK[[#This Row],[Volume, kg]]/1000</f>
        <v>33.31</v>
      </c>
      <c r="J2450" s="25">
        <v>0.24280000000000002</v>
      </c>
      <c r="K2450" s="25">
        <f t="shared" si="38"/>
        <v>8087.6680000000006</v>
      </c>
      <c r="L2450" s="25">
        <v>3.65</v>
      </c>
      <c r="M2450" s="24">
        <v>121676</v>
      </c>
      <c r="N2450" s="25">
        <f>IFERROR(T_reg.root.SK[[#This Row],[Price]]/T_reg.root.SK[[#This Row],[Starch content]],"")</f>
        <v>15.032948929159801</v>
      </c>
    </row>
    <row r="2451" spans="1:14">
      <c r="A2451" s="21">
        <v>2024</v>
      </c>
      <c r="B2451" s="21" t="s">
        <v>19</v>
      </c>
      <c r="C2451" s="21" t="s">
        <v>1145</v>
      </c>
      <c r="D2451" s="21" t="s">
        <v>35</v>
      </c>
      <c r="E2451" s="18" t="s">
        <v>211</v>
      </c>
      <c r="F2451" s="18" t="s">
        <v>187</v>
      </c>
      <c r="G2451" s="18" t="s">
        <v>48</v>
      </c>
      <c r="H2451" s="24">
        <v>26180</v>
      </c>
      <c r="I2451" s="24">
        <f>T_reg.root.SK[[#This Row],[Volume, kg]]/1000</f>
        <v>26.18</v>
      </c>
      <c r="J2451" s="25">
        <v>0.2752</v>
      </c>
      <c r="K2451" s="25">
        <f t="shared" si="38"/>
        <v>7204.7359999999999</v>
      </c>
      <c r="L2451" s="25">
        <v>3.88</v>
      </c>
      <c r="M2451" s="24">
        <v>101612.5</v>
      </c>
      <c r="N2451" s="25">
        <f>IFERROR(T_reg.root.SK[[#This Row],[Price]]/T_reg.root.SK[[#This Row],[Starch content]],"")</f>
        <v>14.098837209302324</v>
      </c>
    </row>
    <row r="2452" spans="1:14">
      <c r="A2452" s="21">
        <v>2024</v>
      </c>
      <c r="B2452" s="21" t="s">
        <v>19</v>
      </c>
      <c r="C2452" s="21" t="s">
        <v>1145</v>
      </c>
      <c r="D2452" s="21" t="s">
        <v>35</v>
      </c>
      <c r="E2452" s="18" t="s">
        <v>213</v>
      </c>
      <c r="F2452" s="18" t="s">
        <v>187</v>
      </c>
      <c r="G2452" s="18" t="s">
        <v>48</v>
      </c>
      <c r="H2452" s="24">
        <v>71830</v>
      </c>
      <c r="I2452" s="24">
        <f>T_reg.root.SK[[#This Row],[Volume, kg]]/1000</f>
        <v>71.83</v>
      </c>
      <c r="J2452" s="25">
        <v>0.29260000000000003</v>
      </c>
      <c r="K2452" s="25">
        <f t="shared" si="38"/>
        <v>21017.458000000002</v>
      </c>
      <c r="L2452" s="25">
        <v>3.87</v>
      </c>
      <c r="M2452" s="24">
        <v>278159.5</v>
      </c>
      <c r="N2452" s="25">
        <f>IFERROR(T_reg.root.SK[[#This Row],[Price]]/T_reg.root.SK[[#This Row],[Starch content]],"")</f>
        <v>13.226247436773752</v>
      </c>
    </row>
    <row r="2453" spans="1:14">
      <c r="A2453" s="21">
        <v>2024</v>
      </c>
      <c r="B2453" s="21" t="s">
        <v>19</v>
      </c>
      <c r="C2453" s="21" t="s">
        <v>1145</v>
      </c>
      <c r="D2453" s="21" t="s">
        <v>35</v>
      </c>
      <c r="E2453" s="18" t="s">
        <v>536</v>
      </c>
      <c r="F2453" s="18" t="s">
        <v>187</v>
      </c>
      <c r="G2453" s="18" t="s">
        <v>48</v>
      </c>
      <c r="H2453" s="24">
        <v>32230</v>
      </c>
      <c r="I2453" s="24">
        <f>T_reg.root.SK[[#This Row],[Volume, kg]]/1000</f>
        <v>32.229999999999997</v>
      </c>
      <c r="J2453" s="25">
        <v>0.24280000000000002</v>
      </c>
      <c r="K2453" s="25">
        <f t="shared" si="38"/>
        <v>7825.4440000000004</v>
      </c>
      <c r="L2453" s="25">
        <v>3.61</v>
      </c>
      <c r="M2453" s="24">
        <v>116434.5</v>
      </c>
      <c r="N2453" s="25">
        <f>IFERROR(T_reg.root.SK[[#This Row],[Price]]/T_reg.root.SK[[#This Row],[Starch content]],"")</f>
        <v>14.868204283360789</v>
      </c>
    </row>
    <row r="2454" spans="1:14">
      <c r="A2454" s="21">
        <v>2024</v>
      </c>
      <c r="B2454" s="21" t="s">
        <v>19</v>
      </c>
      <c r="C2454" s="21" t="s">
        <v>1145</v>
      </c>
      <c r="D2454" s="21" t="s">
        <v>35</v>
      </c>
      <c r="E2454" s="18" t="s">
        <v>537</v>
      </c>
      <c r="F2454" s="18" t="s">
        <v>187</v>
      </c>
      <c r="G2454" s="18" t="s">
        <v>48</v>
      </c>
      <c r="H2454" s="24">
        <v>6760</v>
      </c>
      <c r="I2454" s="24">
        <f>T_reg.root.SK[[#This Row],[Volume, kg]]/1000</f>
        <v>6.76</v>
      </c>
      <c r="J2454" s="25">
        <v>0.27550000000000002</v>
      </c>
      <c r="K2454" s="25">
        <f t="shared" si="38"/>
        <v>1862.38</v>
      </c>
      <c r="L2454" s="25">
        <v>3.9</v>
      </c>
      <c r="M2454" s="24">
        <v>26364</v>
      </c>
      <c r="N2454" s="25">
        <f>IFERROR(T_reg.root.SK[[#This Row],[Price]]/T_reg.root.SK[[#This Row],[Starch content]],"")</f>
        <v>14.156079854809436</v>
      </c>
    </row>
    <row r="2455" spans="1:14">
      <c r="A2455" s="21">
        <v>2024</v>
      </c>
      <c r="B2455" s="21" t="s">
        <v>19</v>
      </c>
      <c r="C2455" s="21" t="s">
        <v>1145</v>
      </c>
      <c r="D2455" s="21" t="s">
        <v>35</v>
      </c>
      <c r="E2455" s="18" t="s">
        <v>214</v>
      </c>
      <c r="F2455" s="18" t="s">
        <v>187</v>
      </c>
      <c r="G2455" s="18" t="s">
        <v>48</v>
      </c>
      <c r="H2455" s="24">
        <v>74740</v>
      </c>
      <c r="I2455" s="24">
        <f>T_reg.root.SK[[#This Row],[Volume, kg]]/1000</f>
        <v>74.739999999999995</v>
      </c>
      <c r="J2455" s="25">
        <v>0.23910000000000001</v>
      </c>
      <c r="K2455" s="25">
        <f t="shared" si="38"/>
        <v>17870.333999999999</v>
      </c>
      <c r="L2455" s="25">
        <v>3.6</v>
      </c>
      <c r="M2455" s="24">
        <v>269430.5</v>
      </c>
      <c r="N2455" s="25">
        <f>IFERROR(T_reg.root.SK[[#This Row],[Price]]/T_reg.root.SK[[#This Row],[Starch content]],"")</f>
        <v>15.0564617314931</v>
      </c>
    </row>
    <row r="2456" spans="1:14">
      <c r="A2456" s="21">
        <v>2024</v>
      </c>
      <c r="B2456" s="21" t="s">
        <v>19</v>
      </c>
      <c r="C2456" s="21" t="s">
        <v>1145</v>
      </c>
      <c r="D2456" s="21" t="s">
        <v>35</v>
      </c>
      <c r="E2456" s="18" t="s">
        <v>691</v>
      </c>
      <c r="F2456" s="18" t="s">
        <v>187</v>
      </c>
      <c r="G2456" s="18" t="s">
        <v>48</v>
      </c>
      <c r="H2456" s="24">
        <v>50220</v>
      </c>
      <c r="I2456" s="24">
        <f>T_reg.root.SK[[#This Row],[Volume, kg]]/1000</f>
        <v>50.22</v>
      </c>
      <c r="J2456" s="25">
        <v>0.25929999999999997</v>
      </c>
      <c r="K2456" s="25">
        <f t="shared" si="38"/>
        <v>13022.045999999998</v>
      </c>
      <c r="L2456" s="25">
        <v>3.67</v>
      </c>
      <c r="M2456" s="24">
        <v>184430.5</v>
      </c>
      <c r="N2456" s="25">
        <f>IFERROR(T_reg.root.SK[[#This Row],[Price]]/T_reg.root.SK[[#This Row],[Starch content]],"")</f>
        <v>14.153490165831085</v>
      </c>
    </row>
    <row r="2457" spans="1:14">
      <c r="A2457" s="21">
        <v>2024</v>
      </c>
      <c r="B2457" s="21" t="s">
        <v>19</v>
      </c>
      <c r="C2457" s="21" t="s">
        <v>1145</v>
      </c>
      <c r="D2457" s="21" t="s">
        <v>35</v>
      </c>
      <c r="E2457" s="18" t="s">
        <v>215</v>
      </c>
      <c r="F2457" s="18" t="s">
        <v>187</v>
      </c>
      <c r="G2457" s="18" t="s">
        <v>48</v>
      </c>
      <c r="H2457" s="24">
        <v>45370</v>
      </c>
      <c r="I2457" s="24">
        <f>T_reg.root.SK[[#This Row],[Volume, kg]]/1000</f>
        <v>45.37</v>
      </c>
      <c r="J2457" s="25">
        <v>0.25379999999999997</v>
      </c>
      <c r="K2457" s="25">
        <f t="shared" si="38"/>
        <v>11514.905999999999</v>
      </c>
      <c r="L2457" s="25">
        <v>3.65</v>
      </c>
      <c r="M2457" s="24">
        <v>165784</v>
      </c>
      <c r="N2457" s="25">
        <f>IFERROR(T_reg.root.SK[[#This Row],[Price]]/T_reg.root.SK[[#This Row],[Starch content]],"")</f>
        <v>14.381402679275022</v>
      </c>
    </row>
    <row r="2458" spans="1:14">
      <c r="A2458" s="21">
        <v>2024</v>
      </c>
      <c r="B2458" s="21" t="s">
        <v>19</v>
      </c>
      <c r="C2458" s="21" t="s">
        <v>1145</v>
      </c>
      <c r="D2458" s="21" t="s">
        <v>35</v>
      </c>
      <c r="E2458" s="18" t="s">
        <v>270</v>
      </c>
      <c r="F2458" s="18" t="s">
        <v>187</v>
      </c>
      <c r="G2458" s="18" t="s">
        <v>48</v>
      </c>
      <c r="H2458" s="24">
        <v>11980</v>
      </c>
      <c r="I2458" s="24">
        <f>T_reg.root.SK[[#This Row],[Volume, kg]]/1000</f>
        <v>11.98</v>
      </c>
      <c r="J2458" s="25">
        <v>0.29449999999999998</v>
      </c>
      <c r="K2458" s="25">
        <f t="shared" si="38"/>
        <v>3528.1099999999997</v>
      </c>
      <c r="L2458" s="25">
        <v>3.98</v>
      </c>
      <c r="M2458" s="24">
        <v>47624</v>
      </c>
      <c r="N2458" s="25">
        <f>IFERROR(T_reg.root.SK[[#This Row],[Price]]/T_reg.root.SK[[#This Row],[Starch content]],"")</f>
        <v>13.514431239388795</v>
      </c>
    </row>
    <row r="2459" spans="1:14">
      <c r="A2459" s="21">
        <v>2024</v>
      </c>
      <c r="B2459" s="21" t="s">
        <v>19</v>
      </c>
      <c r="C2459" s="21" t="s">
        <v>1145</v>
      </c>
      <c r="D2459" s="21" t="s">
        <v>35</v>
      </c>
      <c r="E2459" s="18" t="s">
        <v>271</v>
      </c>
      <c r="F2459" s="18" t="s">
        <v>187</v>
      </c>
      <c r="G2459" s="18" t="s">
        <v>48</v>
      </c>
      <c r="H2459" s="24">
        <v>41950</v>
      </c>
      <c r="I2459" s="24">
        <f>T_reg.root.SK[[#This Row],[Volume, kg]]/1000</f>
        <v>41.95</v>
      </c>
      <c r="J2459" s="25">
        <v>0.22149999999999997</v>
      </c>
      <c r="K2459" s="25">
        <f t="shared" si="38"/>
        <v>9291.9249999999993</v>
      </c>
      <c r="L2459" s="25">
        <v>3.6</v>
      </c>
      <c r="M2459" s="24">
        <v>151039</v>
      </c>
      <c r="N2459" s="25">
        <f>IFERROR(T_reg.root.SK[[#This Row],[Price]]/T_reg.root.SK[[#This Row],[Starch content]],"")</f>
        <v>16.252821670428897</v>
      </c>
    </row>
    <row r="2460" spans="1:14">
      <c r="A2460" s="21">
        <v>2024</v>
      </c>
      <c r="B2460" s="21" t="s">
        <v>19</v>
      </c>
      <c r="C2460" s="21" t="s">
        <v>1145</v>
      </c>
      <c r="D2460" s="21" t="s">
        <v>35</v>
      </c>
      <c r="E2460" s="18" t="s">
        <v>705</v>
      </c>
      <c r="F2460" s="18" t="s">
        <v>187</v>
      </c>
      <c r="G2460" s="18" t="s">
        <v>48</v>
      </c>
      <c r="H2460" s="24">
        <v>89310</v>
      </c>
      <c r="I2460" s="24">
        <f>T_reg.root.SK[[#This Row],[Volume, kg]]/1000</f>
        <v>89.31</v>
      </c>
      <c r="J2460" s="25">
        <v>0.29460000000000003</v>
      </c>
      <c r="K2460" s="25">
        <f t="shared" si="38"/>
        <v>26310.726000000002</v>
      </c>
      <c r="L2460" s="25">
        <v>3.9</v>
      </c>
      <c r="M2460" s="24">
        <v>348116.5</v>
      </c>
      <c r="N2460" s="25">
        <f>IFERROR(T_reg.root.SK[[#This Row],[Price]]/T_reg.root.SK[[#This Row],[Starch content]],"")</f>
        <v>13.238289205702646</v>
      </c>
    </row>
    <row r="2461" spans="1:14">
      <c r="A2461" s="21">
        <v>2024</v>
      </c>
      <c r="B2461" s="21" t="s">
        <v>19</v>
      </c>
      <c r="C2461" s="21" t="s">
        <v>1145</v>
      </c>
      <c r="D2461" s="21" t="s">
        <v>35</v>
      </c>
      <c r="E2461" s="18" t="s">
        <v>706</v>
      </c>
      <c r="F2461" s="18" t="s">
        <v>187</v>
      </c>
      <c r="G2461" s="18" t="s">
        <v>48</v>
      </c>
      <c r="H2461" s="24">
        <v>108010</v>
      </c>
      <c r="I2461" s="24">
        <f>T_reg.root.SK[[#This Row],[Volume, kg]]/1000</f>
        <v>108.01</v>
      </c>
      <c r="J2461" s="25">
        <v>0.2177</v>
      </c>
      <c r="K2461" s="25">
        <f t="shared" si="38"/>
        <v>23513.777000000002</v>
      </c>
      <c r="L2461" s="25">
        <v>3.52</v>
      </c>
      <c r="M2461" s="24">
        <v>380732.5</v>
      </c>
      <c r="N2461" s="25">
        <f>IFERROR(T_reg.root.SK[[#This Row],[Price]]/T_reg.root.SK[[#This Row],[Starch content]],"")</f>
        <v>16.169039963252182</v>
      </c>
    </row>
    <row r="2462" spans="1:14">
      <c r="A2462" s="21">
        <v>2024</v>
      </c>
      <c r="B2462" s="21" t="s">
        <v>19</v>
      </c>
      <c r="C2462" s="21" t="s">
        <v>1145</v>
      </c>
      <c r="D2462" s="21" t="s">
        <v>35</v>
      </c>
      <c r="E2462" s="18" t="s">
        <v>217</v>
      </c>
      <c r="F2462" s="18" t="s">
        <v>187</v>
      </c>
      <c r="G2462" s="18" t="s">
        <v>48</v>
      </c>
      <c r="H2462" s="24">
        <v>93030</v>
      </c>
      <c r="I2462" s="24">
        <f>T_reg.root.SK[[#This Row],[Volume, kg]]/1000</f>
        <v>93.03</v>
      </c>
      <c r="J2462" s="25">
        <v>0.2893</v>
      </c>
      <c r="K2462" s="25">
        <f t="shared" si="38"/>
        <v>26913.579000000002</v>
      </c>
      <c r="L2462" s="25">
        <v>3.88</v>
      </c>
      <c r="M2462" s="24">
        <v>360738</v>
      </c>
      <c r="N2462" s="25">
        <f>IFERROR(T_reg.root.SK[[#This Row],[Price]]/T_reg.root.SK[[#This Row],[Starch content]],"")</f>
        <v>13.41168337366056</v>
      </c>
    </row>
    <row r="2463" spans="1:14">
      <c r="A2463" s="21">
        <v>2024</v>
      </c>
      <c r="B2463" s="21" t="s">
        <v>20</v>
      </c>
      <c r="C2463" s="21" t="s">
        <v>1145</v>
      </c>
      <c r="D2463" s="21" t="s">
        <v>35</v>
      </c>
      <c r="E2463" s="18" t="s">
        <v>707</v>
      </c>
      <c r="F2463" s="18" t="s">
        <v>37</v>
      </c>
      <c r="G2463" s="18" t="s">
        <v>38</v>
      </c>
      <c r="H2463" s="24">
        <v>46320</v>
      </c>
      <c r="I2463" s="24">
        <f>T_reg.root.SK[[#This Row],[Volume, kg]]/1000</f>
        <v>46.32</v>
      </c>
      <c r="J2463" s="25">
        <v>0.1918</v>
      </c>
      <c r="K2463" s="25">
        <f t="shared" si="38"/>
        <v>8884.1759999999995</v>
      </c>
      <c r="L2463" s="25">
        <v>3.22</v>
      </c>
      <c r="M2463" s="24">
        <v>149293</v>
      </c>
      <c r="N2463" s="25">
        <f>IFERROR(T_reg.root.SK[[#This Row],[Price]]/T_reg.root.SK[[#This Row],[Starch content]],"")</f>
        <v>16.788321167883211</v>
      </c>
    </row>
    <row r="2464" spans="1:14">
      <c r="A2464" s="21">
        <v>2024</v>
      </c>
      <c r="B2464" s="21" t="s">
        <v>20</v>
      </c>
      <c r="C2464" s="21" t="s">
        <v>1145</v>
      </c>
      <c r="D2464" s="21" t="s">
        <v>35</v>
      </c>
      <c r="E2464" s="18" t="s">
        <v>651</v>
      </c>
      <c r="F2464" s="18" t="s">
        <v>37</v>
      </c>
      <c r="G2464" s="18" t="s">
        <v>38</v>
      </c>
      <c r="H2464" s="24">
        <v>128430</v>
      </c>
      <c r="I2464" s="24">
        <f>T_reg.root.SK[[#This Row],[Volume, kg]]/1000</f>
        <v>128.43</v>
      </c>
      <c r="J2464" s="25">
        <v>0.23230000000000001</v>
      </c>
      <c r="K2464" s="25">
        <f t="shared" si="38"/>
        <v>29834.289000000001</v>
      </c>
      <c r="L2464" s="25">
        <v>3.42</v>
      </c>
      <c r="M2464" s="24">
        <v>439756.5</v>
      </c>
      <c r="N2464" s="25">
        <f>IFERROR(T_reg.root.SK[[#This Row],[Price]]/T_reg.root.SK[[#This Row],[Starch content]],"")</f>
        <v>14.722341799397331</v>
      </c>
    </row>
    <row r="2465" spans="1:14">
      <c r="A2465" s="21">
        <v>2024</v>
      </c>
      <c r="B2465" s="21" t="s">
        <v>20</v>
      </c>
      <c r="C2465" s="21" t="s">
        <v>1145</v>
      </c>
      <c r="D2465" s="21" t="s">
        <v>35</v>
      </c>
      <c r="E2465" s="18" t="s">
        <v>457</v>
      </c>
      <c r="F2465" s="18" t="s">
        <v>47</v>
      </c>
      <c r="G2465" s="18" t="s">
        <v>48</v>
      </c>
      <c r="H2465" s="24">
        <v>29050</v>
      </c>
      <c r="I2465" s="24">
        <f>T_reg.root.SK[[#This Row],[Volume, kg]]/1000</f>
        <v>29.05</v>
      </c>
      <c r="J2465" s="25">
        <v>0.2661</v>
      </c>
      <c r="K2465" s="25">
        <f t="shared" si="38"/>
        <v>7730.2049999999999</v>
      </c>
      <c r="L2465" s="25">
        <v>3.66</v>
      </c>
      <c r="M2465" s="24">
        <v>106328.5</v>
      </c>
      <c r="N2465" s="25">
        <f>IFERROR(T_reg.root.SK[[#This Row],[Price]]/T_reg.root.SK[[#This Row],[Starch content]],"")</f>
        <v>13.754227733934611</v>
      </c>
    </row>
    <row r="2466" spans="1:14">
      <c r="A2466" s="21">
        <v>2024</v>
      </c>
      <c r="B2466" s="21" t="s">
        <v>20</v>
      </c>
      <c r="C2466" s="21" t="s">
        <v>1145</v>
      </c>
      <c r="D2466" s="21" t="s">
        <v>35</v>
      </c>
      <c r="E2466" s="18" t="s">
        <v>546</v>
      </c>
      <c r="F2466" s="18" t="s">
        <v>47</v>
      </c>
      <c r="G2466" s="18" t="s">
        <v>48</v>
      </c>
      <c r="H2466" s="24">
        <v>36630</v>
      </c>
      <c r="I2466" s="24">
        <f>T_reg.root.SK[[#This Row],[Volume, kg]]/1000</f>
        <v>36.630000000000003</v>
      </c>
      <c r="J2466" s="25">
        <v>0.2576</v>
      </c>
      <c r="K2466" s="25">
        <f t="shared" si="38"/>
        <v>9435.887999999999</v>
      </c>
      <c r="L2466" s="25">
        <v>3.61</v>
      </c>
      <c r="M2466" s="24">
        <v>132265</v>
      </c>
      <c r="N2466" s="25">
        <f>IFERROR(T_reg.root.SK[[#This Row],[Price]]/T_reg.root.SK[[#This Row],[Starch content]],"")</f>
        <v>14.013975155279503</v>
      </c>
    </row>
    <row r="2467" spans="1:14">
      <c r="A2467" s="21">
        <v>2024</v>
      </c>
      <c r="B2467" s="21" t="s">
        <v>20</v>
      </c>
      <c r="C2467" s="21" t="s">
        <v>1145</v>
      </c>
      <c r="D2467" s="21" t="s">
        <v>35</v>
      </c>
      <c r="E2467" s="18" t="s">
        <v>46</v>
      </c>
      <c r="F2467" s="18" t="s">
        <v>47</v>
      </c>
      <c r="G2467" s="18" t="s">
        <v>48</v>
      </c>
      <c r="H2467" s="24">
        <v>364180</v>
      </c>
      <c r="I2467" s="24">
        <f>T_reg.root.SK[[#This Row],[Volume, kg]]/1000</f>
        <v>364.18</v>
      </c>
      <c r="J2467" s="25">
        <v>0.24629999999999999</v>
      </c>
      <c r="K2467" s="25">
        <f t="shared" si="38"/>
        <v>89697.534</v>
      </c>
      <c r="L2467" s="25">
        <v>3.49</v>
      </c>
      <c r="M2467" s="24">
        <v>1269446</v>
      </c>
      <c r="N2467" s="25">
        <f>IFERROR(T_reg.root.SK[[#This Row],[Price]]/T_reg.root.SK[[#This Row],[Starch content]],"")</f>
        <v>14.169711733658142</v>
      </c>
    </row>
    <row r="2468" spans="1:14">
      <c r="A2468" s="21">
        <v>2024</v>
      </c>
      <c r="B2468" s="21" t="s">
        <v>20</v>
      </c>
      <c r="C2468" s="21" t="s">
        <v>1145</v>
      </c>
      <c r="D2468" s="21" t="s">
        <v>35</v>
      </c>
      <c r="E2468" s="18" t="s">
        <v>708</v>
      </c>
      <c r="F2468" s="18" t="s">
        <v>47</v>
      </c>
      <c r="G2468" s="18" t="s">
        <v>48</v>
      </c>
      <c r="H2468" s="24">
        <v>15210</v>
      </c>
      <c r="I2468" s="24">
        <f>T_reg.root.SK[[#This Row],[Volume, kg]]/1000</f>
        <v>15.21</v>
      </c>
      <c r="J2468" s="25">
        <v>0.22850000000000001</v>
      </c>
      <c r="K2468" s="25">
        <f t="shared" si="38"/>
        <v>3475.4850000000001</v>
      </c>
      <c r="L2468" s="25">
        <v>3.43</v>
      </c>
      <c r="M2468" s="24">
        <v>52183.5</v>
      </c>
      <c r="N2468" s="25">
        <f>IFERROR(T_reg.root.SK[[#This Row],[Price]]/T_reg.root.SK[[#This Row],[Starch content]],"")</f>
        <v>15.0109409190372</v>
      </c>
    </row>
    <row r="2469" spans="1:14">
      <c r="A2469" s="21">
        <v>2024</v>
      </c>
      <c r="B2469" s="21" t="s">
        <v>20</v>
      </c>
      <c r="C2469" s="21" t="s">
        <v>1145</v>
      </c>
      <c r="D2469" s="21" t="s">
        <v>35</v>
      </c>
      <c r="E2469" s="18" t="s">
        <v>52</v>
      </c>
      <c r="F2469" s="18" t="s">
        <v>47</v>
      </c>
      <c r="G2469" s="18" t="s">
        <v>48</v>
      </c>
      <c r="H2469" s="24">
        <v>49050</v>
      </c>
      <c r="I2469" s="24">
        <f>T_reg.root.SK[[#This Row],[Volume, kg]]/1000</f>
        <v>49.05</v>
      </c>
      <c r="J2469" s="25">
        <v>0.22399999999999998</v>
      </c>
      <c r="K2469" s="25">
        <f t="shared" si="38"/>
        <v>10987.199999999999</v>
      </c>
      <c r="L2469" s="25">
        <v>3.41</v>
      </c>
      <c r="M2469" s="24">
        <v>167197.5</v>
      </c>
      <c r="N2469" s="25">
        <f>IFERROR(T_reg.root.SK[[#This Row],[Price]]/T_reg.root.SK[[#This Row],[Starch content]],"")</f>
        <v>15.223214285714288</v>
      </c>
    </row>
    <row r="2470" spans="1:14">
      <c r="A2470" s="21">
        <v>2024</v>
      </c>
      <c r="B2470" s="21" t="s">
        <v>20</v>
      </c>
      <c r="C2470" s="21" t="s">
        <v>1145</v>
      </c>
      <c r="D2470" s="21" t="s">
        <v>35</v>
      </c>
      <c r="E2470" s="18" t="s">
        <v>78</v>
      </c>
      <c r="F2470" s="18" t="s">
        <v>47</v>
      </c>
      <c r="G2470" s="18" t="s">
        <v>48</v>
      </c>
      <c r="H2470" s="24">
        <v>116960</v>
      </c>
      <c r="I2470" s="24">
        <f>T_reg.root.SK[[#This Row],[Volume, kg]]/1000</f>
        <v>116.96</v>
      </c>
      <c r="J2470" s="25">
        <v>0.21920000000000001</v>
      </c>
      <c r="K2470" s="25">
        <f t="shared" si="38"/>
        <v>25637.632000000001</v>
      </c>
      <c r="L2470" s="25">
        <v>3.31</v>
      </c>
      <c r="M2470" s="24">
        <v>386555.5</v>
      </c>
      <c r="N2470" s="25">
        <f>IFERROR(T_reg.root.SK[[#This Row],[Price]]/T_reg.root.SK[[#This Row],[Starch content]],"")</f>
        <v>15.100364963503649</v>
      </c>
    </row>
    <row r="2471" spans="1:14">
      <c r="A2471" s="21">
        <v>2024</v>
      </c>
      <c r="B2471" s="21" t="s">
        <v>20</v>
      </c>
      <c r="C2471" s="21" t="s">
        <v>1145</v>
      </c>
      <c r="D2471" s="21" t="s">
        <v>35</v>
      </c>
      <c r="E2471" s="18" t="s">
        <v>624</v>
      </c>
      <c r="F2471" s="18" t="s">
        <v>47</v>
      </c>
      <c r="G2471" s="18" t="s">
        <v>48</v>
      </c>
      <c r="H2471" s="24">
        <v>62890</v>
      </c>
      <c r="I2471" s="24">
        <f>T_reg.root.SK[[#This Row],[Volume, kg]]/1000</f>
        <v>62.89</v>
      </c>
      <c r="J2471" s="25">
        <v>0.26899999999999996</v>
      </c>
      <c r="K2471" s="25">
        <f t="shared" si="38"/>
        <v>16917.409999999996</v>
      </c>
      <c r="L2471" s="25">
        <v>3.65</v>
      </c>
      <c r="M2471" s="24">
        <v>229761</v>
      </c>
      <c r="N2471" s="25">
        <f>IFERROR(T_reg.root.SK[[#This Row],[Price]]/T_reg.root.SK[[#This Row],[Starch content]],"")</f>
        <v>13.568773234200744</v>
      </c>
    </row>
    <row r="2472" spans="1:14">
      <c r="A2472" s="21">
        <v>2024</v>
      </c>
      <c r="B2472" s="21" t="s">
        <v>20</v>
      </c>
      <c r="C2472" s="21" t="s">
        <v>1145</v>
      </c>
      <c r="D2472" s="21" t="s">
        <v>35</v>
      </c>
      <c r="E2472" s="18" t="s">
        <v>460</v>
      </c>
      <c r="F2472" s="18" t="s">
        <v>47</v>
      </c>
      <c r="G2472" s="18" t="s">
        <v>48</v>
      </c>
      <c r="H2472" s="24">
        <v>9960</v>
      </c>
      <c r="I2472" s="24">
        <f>T_reg.root.SK[[#This Row],[Volume, kg]]/1000</f>
        <v>9.9600000000000009</v>
      </c>
      <c r="J2472" s="25">
        <v>0.25269999999999998</v>
      </c>
      <c r="K2472" s="25">
        <f t="shared" si="38"/>
        <v>2516.8919999999998</v>
      </c>
      <c r="L2472" s="25">
        <v>3.48</v>
      </c>
      <c r="M2472" s="24">
        <v>34616</v>
      </c>
      <c r="N2472" s="25">
        <f>IFERROR(T_reg.root.SK[[#This Row],[Price]]/T_reg.root.SK[[#This Row],[Starch content]],"")</f>
        <v>13.771270280965572</v>
      </c>
    </row>
    <row r="2473" spans="1:14">
      <c r="A2473" s="21">
        <v>2024</v>
      </c>
      <c r="B2473" s="21" t="s">
        <v>20</v>
      </c>
      <c r="C2473" s="21" t="s">
        <v>1145</v>
      </c>
      <c r="D2473" s="21" t="s">
        <v>35</v>
      </c>
      <c r="E2473" s="18" t="s">
        <v>54</v>
      </c>
      <c r="F2473" s="18" t="s">
        <v>47</v>
      </c>
      <c r="G2473" s="18" t="s">
        <v>48</v>
      </c>
      <c r="H2473" s="24">
        <v>16300</v>
      </c>
      <c r="I2473" s="24">
        <f>T_reg.root.SK[[#This Row],[Volume, kg]]/1000</f>
        <v>16.3</v>
      </c>
      <c r="J2473" s="25">
        <v>0.23910000000000001</v>
      </c>
      <c r="K2473" s="25">
        <f t="shared" si="38"/>
        <v>3897.33</v>
      </c>
      <c r="L2473" s="25">
        <v>3.49</v>
      </c>
      <c r="M2473" s="24">
        <v>56815</v>
      </c>
      <c r="N2473" s="25">
        <f>IFERROR(T_reg.root.SK[[#This Row],[Price]]/T_reg.root.SK[[#This Row],[Starch content]],"")</f>
        <v>14.596403178586366</v>
      </c>
    </row>
    <row r="2474" spans="1:14">
      <c r="A2474" s="21">
        <v>2024</v>
      </c>
      <c r="B2474" s="21" t="s">
        <v>20</v>
      </c>
      <c r="C2474" s="21" t="s">
        <v>1145</v>
      </c>
      <c r="D2474" s="21" t="s">
        <v>35</v>
      </c>
      <c r="E2474" s="18" t="s">
        <v>56</v>
      </c>
      <c r="F2474" s="18" t="s">
        <v>47</v>
      </c>
      <c r="G2474" s="18" t="s">
        <v>48</v>
      </c>
      <c r="H2474" s="24">
        <v>101250</v>
      </c>
      <c r="I2474" s="24">
        <f>T_reg.root.SK[[#This Row],[Volume, kg]]/1000</f>
        <v>101.25</v>
      </c>
      <c r="J2474" s="25">
        <v>0.23680000000000001</v>
      </c>
      <c r="K2474" s="25">
        <f t="shared" si="38"/>
        <v>23976</v>
      </c>
      <c r="L2474" s="25">
        <v>3.5</v>
      </c>
      <c r="M2474" s="24">
        <v>354456.5</v>
      </c>
      <c r="N2474" s="25">
        <f>IFERROR(T_reg.root.SK[[#This Row],[Price]]/T_reg.root.SK[[#This Row],[Starch content]],"")</f>
        <v>14.780405405405405</v>
      </c>
    </row>
    <row r="2475" spans="1:14">
      <c r="A2475" s="21">
        <v>2024</v>
      </c>
      <c r="B2475" s="21" t="s">
        <v>20</v>
      </c>
      <c r="C2475" s="21" t="s">
        <v>1145</v>
      </c>
      <c r="D2475" s="21" t="s">
        <v>35</v>
      </c>
      <c r="E2475" s="18" t="s">
        <v>462</v>
      </c>
      <c r="F2475" s="18" t="s">
        <v>47</v>
      </c>
      <c r="G2475" s="18" t="s">
        <v>48</v>
      </c>
      <c r="H2475" s="24">
        <v>42410</v>
      </c>
      <c r="I2475" s="24">
        <f>T_reg.root.SK[[#This Row],[Volume, kg]]/1000</f>
        <v>42.41</v>
      </c>
      <c r="J2475" s="25">
        <v>0.25750000000000001</v>
      </c>
      <c r="K2475" s="25">
        <f t="shared" si="38"/>
        <v>10920.575000000001</v>
      </c>
      <c r="L2475" s="25">
        <v>3.58</v>
      </c>
      <c r="M2475" s="24">
        <v>152014.5</v>
      </c>
      <c r="N2475" s="25">
        <f>IFERROR(T_reg.root.SK[[#This Row],[Price]]/T_reg.root.SK[[#This Row],[Starch content]],"")</f>
        <v>13.902912621359222</v>
      </c>
    </row>
    <row r="2476" spans="1:14">
      <c r="A2476" s="21">
        <v>2024</v>
      </c>
      <c r="B2476" s="21" t="s">
        <v>20</v>
      </c>
      <c r="C2476" s="21" t="s">
        <v>1145</v>
      </c>
      <c r="D2476" s="21" t="s">
        <v>35</v>
      </c>
      <c r="E2476" s="18" t="s">
        <v>57</v>
      </c>
      <c r="F2476" s="18" t="s">
        <v>47</v>
      </c>
      <c r="G2476" s="18" t="s">
        <v>48</v>
      </c>
      <c r="H2476" s="24">
        <v>121400</v>
      </c>
      <c r="I2476" s="24">
        <f>T_reg.root.SK[[#This Row],[Volume, kg]]/1000</f>
        <v>121.4</v>
      </c>
      <c r="J2476" s="25">
        <v>0.27710000000000001</v>
      </c>
      <c r="K2476" s="25">
        <f t="shared" si="38"/>
        <v>33639.94</v>
      </c>
      <c r="L2476" s="25">
        <v>3.71</v>
      </c>
      <c r="M2476" s="24">
        <v>449795</v>
      </c>
      <c r="N2476" s="25">
        <f>IFERROR(T_reg.root.SK[[#This Row],[Price]]/T_reg.root.SK[[#This Row],[Starch content]],"")</f>
        <v>13.388668350775893</v>
      </c>
    </row>
    <row r="2477" spans="1:14">
      <c r="A2477" s="21">
        <v>2024</v>
      </c>
      <c r="B2477" s="21" t="s">
        <v>20</v>
      </c>
      <c r="C2477" s="21" t="s">
        <v>1145</v>
      </c>
      <c r="D2477" s="21" t="s">
        <v>35</v>
      </c>
      <c r="E2477" s="18" t="s">
        <v>709</v>
      </c>
      <c r="F2477" s="18" t="s">
        <v>47</v>
      </c>
      <c r="G2477" s="18" t="s">
        <v>48</v>
      </c>
      <c r="H2477" s="24">
        <v>18340</v>
      </c>
      <c r="I2477" s="24">
        <f>T_reg.root.SK[[#This Row],[Volume, kg]]/1000</f>
        <v>18.34</v>
      </c>
      <c r="J2477" s="25">
        <v>0.24780000000000002</v>
      </c>
      <c r="K2477" s="25">
        <f t="shared" si="38"/>
        <v>4544.652</v>
      </c>
      <c r="L2477" s="25">
        <v>3.61</v>
      </c>
      <c r="M2477" s="24">
        <v>66230.5</v>
      </c>
      <c r="N2477" s="25">
        <f>IFERROR(T_reg.root.SK[[#This Row],[Price]]/T_reg.root.SK[[#This Row],[Starch content]],"")</f>
        <v>14.568200161420499</v>
      </c>
    </row>
    <row r="2478" spans="1:14">
      <c r="A2478" s="21">
        <v>2024</v>
      </c>
      <c r="B2478" s="21" t="s">
        <v>20</v>
      </c>
      <c r="C2478" s="21" t="s">
        <v>1145</v>
      </c>
      <c r="D2478" s="21" t="s">
        <v>35</v>
      </c>
      <c r="E2478" s="18" t="s">
        <v>465</v>
      </c>
      <c r="F2478" s="18" t="s">
        <v>47</v>
      </c>
      <c r="G2478" s="18" t="s">
        <v>48</v>
      </c>
      <c r="H2478" s="24">
        <v>257700</v>
      </c>
      <c r="I2478" s="24">
        <f>T_reg.root.SK[[#This Row],[Volume, kg]]/1000</f>
        <v>257.7</v>
      </c>
      <c r="J2478" s="25">
        <v>0.25530000000000003</v>
      </c>
      <c r="K2478" s="25">
        <f t="shared" si="38"/>
        <v>65790.810000000012</v>
      </c>
      <c r="L2478" s="25">
        <v>3.56</v>
      </c>
      <c r="M2478" s="24">
        <v>916386</v>
      </c>
      <c r="N2478" s="25">
        <f>IFERROR(T_reg.root.SK[[#This Row],[Price]]/T_reg.root.SK[[#This Row],[Starch content]],"")</f>
        <v>13.944379161770465</v>
      </c>
    </row>
    <row r="2479" spans="1:14">
      <c r="A2479" s="21">
        <v>2024</v>
      </c>
      <c r="B2479" s="21" t="s">
        <v>20</v>
      </c>
      <c r="C2479" s="21" t="s">
        <v>1145</v>
      </c>
      <c r="D2479" s="21" t="s">
        <v>35</v>
      </c>
      <c r="E2479" s="18" t="s">
        <v>58</v>
      </c>
      <c r="F2479" s="18" t="s">
        <v>47</v>
      </c>
      <c r="G2479" s="18" t="s">
        <v>48</v>
      </c>
      <c r="H2479" s="24">
        <v>52690</v>
      </c>
      <c r="I2479" s="24">
        <f>T_reg.root.SK[[#This Row],[Volume, kg]]/1000</f>
        <v>52.69</v>
      </c>
      <c r="J2479" s="25">
        <v>0.20530000000000001</v>
      </c>
      <c r="K2479" s="25">
        <f t="shared" si="38"/>
        <v>10817.257000000001</v>
      </c>
      <c r="L2479" s="25">
        <v>3.34</v>
      </c>
      <c r="M2479" s="24">
        <v>176035.5</v>
      </c>
      <c r="N2479" s="25">
        <f>IFERROR(T_reg.root.SK[[#This Row],[Price]]/T_reg.root.SK[[#This Row],[Starch content]],"")</f>
        <v>16.268874817340475</v>
      </c>
    </row>
    <row r="2480" spans="1:14">
      <c r="A2480" s="21">
        <v>2024</v>
      </c>
      <c r="B2480" s="21" t="s">
        <v>20</v>
      </c>
      <c r="C2480" s="21" t="s">
        <v>1145</v>
      </c>
      <c r="D2480" s="21" t="s">
        <v>35</v>
      </c>
      <c r="E2480" s="18" t="s">
        <v>60</v>
      </c>
      <c r="F2480" s="18" t="s">
        <v>47</v>
      </c>
      <c r="G2480" s="18" t="s">
        <v>48</v>
      </c>
      <c r="H2480" s="24">
        <v>21530</v>
      </c>
      <c r="I2480" s="24">
        <f>T_reg.root.SK[[#This Row],[Volume, kg]]/1000</f>
        <v>21.53</v>
      </c>
      <c r="J2480" s="25">
        <v>0.2369</v>
      </c>
      <c r="K2480" s="25">
        <f t="shared" si="38"/>
        <v>5100.4570000000003</v>
      </c>
      <c r="L2480" s="25">
        <v>3.52</v>
      </c>
      <c r="M2480" s="24">
        <v>75845</v>
      </c>
      <c r="N2480" s="25">
        <f>IFERROR(T_reg.root.SK[[#This Row],[Price]]/T_reg.root.SK[[#This Row],[Starch content]],"")</f>
        <v>14.858590122414521</v>
      </c>
    </row>
    <row r="2481" spans="1:14">
      <c r="A2481" s="21">
        <v>2024</v>
      </c>
      <c r="B2481" s="21" t="s">
        <v>20</v>
      </c>
      <c r="C2481" s="21" t="s">
        <v>1145</v>
      </c>
      <c r="D2481" s="21" t="s">
        <v>35</v>
      </c>
      <c r="E2481" s="18" t="s">
        <v>548</v>
      </c>
      <c r="F2481" s="18" t="s">
        <v>47</v>
      </c>
      <c r="G2481" s="18" t="s">
        <v>48</v>
      </c>
      <c r="H2481" s="24">
        <v>72370</v>
      </c>
      <c r="I2481" s="24">
        <f>T_reg.root.SK[[#This Row],[Volume, kg]]/1000</f>
        <v>72.37</v>
      </c>
      <c r="J2481" s="25">
        <v>0.20860000000000001</v>
      </c>
      <c r="K2481" s="25">
        <f t="shared" si="38"/>
        <v>15096.382000000001</v>
      </c>
      <c r="L2481" s="25">
        <v>3.24</v>
      </c>
      <c r="M2481" s="24">
        <v>234779.5</v>
      </c>
      <c r="N2481" s="25">
        <f>IFERROR(T_reg.root.SK[[#This Row],[Price]]/T_reg.root.SK[[#This Row],[Starch content]],"")</f>
        <v>15.532118887823586</v>
      </c>
    </row>
    <row r="2482" spans="1:14">
      <c r="A2482" s="21">
        <v>2024</v>
      </c>
      <c r="B2482" s="21" t="s">
        <v>20</v>
      </c>
      <c r="C2482" s="21" t="s">
        <v>1145</v>
      </c>
      <c r="D2482" s="21" t="s">
        <v>35</v>
      </c>
      <c r="E2482" s="18" t="s">
        <v>467</v>
      </c>
      <c r="F2482" s="18" t="s">
        <v>47</v>
      </c>
      <c r="G2482" s="18" t="s">
        <v>48</v>
      </c>
      <c r="H2482" s="24">
        <v>55090</v>
      </c>
      <c r="I2482" s="24">
        <f>T_reg.root.SK[[#This Row],[Volume, kg]]/1000</f>
        <v>55.09</v>
      </c>
      <c r="J2482" s="25">
        <v>0.24969999999999998</v>
      </c>
      <c r="K2482" s="25">
        <f t="shared" si="38"/>
        <v>13755.972999999998</v>
      </c>
      <c r="L2482" s="25">
        <v>3.47</v>
      </c>
      <c r="M2482" s="24">
        <v>191214</v>
      </c>
      <c r="N2482" s="25">
        <f>IFERROR(T_reg.root.SK[[#This Row],[Price]]/T_reg.root.SK[[#This Row],[Starch content]],"")</f>
        <v>13.896676011213458</v>
      </c>
    </row>
    <row r="2483" spans="1:14">
      <c r="A2483" s="21">
        <v>2024</v>
      </c>
      <c r="B2483" s="21" t="s">
        <v>20</v>
      </c>
      <c r="C2483" s="21" t="s">
        <v>1145</v>
      </c>
      <c r="D2483" s="21" t="s">
        <v>35</v>
      </c>
      <c r="E2483" s="18" t="s">
        <v>710</v>
      </c>
      <c r="F2483" s="18" t="s">
        <v>47</v>
      </c>
      <c r="G2483" s="18" t="s">
        <v>48</v>
      </c>
      <c r="H2483" s="24">
        <v>17940</v>
      </c>
      <c r="I2483" s="24">
        <f>T_reg.root.SK[[#This Row],[Volume, kg]]/1000</f>
        <v>17.940000000000001</v>
      </c>
      <c r="J2483" s="25">
        <v>0.22769999999999999</v>
      </c>
      <c r="K2483" s="25">
        <f t="shared" si="38"/>
        <v>4084.9379999999996</v>
      </c>
      <c r="L2483" s="25">
        <v>3.33</v>
      </c>
      <c r="M2483" s="24">
        <v>59707.5</v>
      </c>
      <c r="N2483" s="25">
        <f>IFERROR(T_reg.root.SK[[#This Row],[Price]]/T_reg.root.SK[[#This Row],[Starch content]],"")</f>
        <v>14.624505928853756</v>
      </c>
    </row>
    <row r="2484" spans="1:14">
      <c r="A2484" s="21">
        <v>2024</v>
      </c>
      <c r="B2484" s="21" t="s">
        <v>20</v>
      </c>
      <c r="C2484" s="21" t="s">
        <v>1145</v>
      </c>
      <c r="D2484" s="21" t="s">
        <v>35</v>
      </c>
      <c r="E2484" s="18" t="s">
        <v>61</v>
      </c>
      <c r="F2484" s="18" t="s">
        <v>47</v>
      </c>
      <c r="G2484" s="18" t="s">
        <v>48</v>
      </c>
      <c r="H2484" s="24">
        <v>123750</v>
      </c>
      <c r="I2484" s="24">
        <f>T_reg.root.SK[[#This Row],[Volume, kg]]/1000</f>
        <v>123.75</v>
      </c>
      <c r="J2484" s="25">
        <v>0.23370000000000002</v>
      </c>
      <c r="K2484" s="25">
        <f t="shared" si="38"/>
        <v>28920.375000000004</v>
      </c>
      <c r="L2484" s="25">
        <v>3.47</v>
      </c>
      <c r="M2484" s="24">
        <v>429279.5</v>
      </c>
      <c r="N2484" s="25">
        <f>IFERROR(T_reg.root.SK[[#This Row],[Price]]/T_reg.root.SK[[#This Row],[Starch content]],"")</f>
        <v>14.848095849379545</v>
      </c>
    </row>
    <row r="2485" spans="1:14">
      <c r="A2485" s="21">
        <v>2024</v>
      </c>
      <c r="B2485" s="21" t="s">
        <v>20</v>
      </c>
      <c r="C2485" s="21" t="s">
        <v>1145</v>
      </c>
      <c r="D2485" s="21" t="s">
        <v>35</v>
      </c>
      <c r="E2485" s="18" t="s">
        <v>224</v>
      </c>
      <c r="F2485" s="18" t="s">
        <v>47</v>
      </c>
      <c r="G2485" s="18" t="s">
        <v>48</v>
      </c>
      <c r="H2485" s="24">
        <v>16170</v>
      </c>
      <c r="I2485" s="24">
        <f>T_reg.root.SK[[#This Row],[Volume, kg]]/1000</f>
        <v>16.170000000000002</v>
      </c>
      <c r="J2485" s="25">
        <v>0.24030000000000001</v>
      </c>
      <c r="K2485" s="25">
        <f t="shared" si="38"/>
        <v>3885.6510000000003</v>
      </c>
      <c r="L2485" s="25">
        <v>3.41</v>
      </c>
      <c r="M2485" s="24">
        <v>55163.5</v>
      </c>
      <c r="N2485" s="25">
        <f>IFERROR(T_reg.root.SK[[#This Row],[Price]]/T_reg.root.SK[[#This Row],[Starch content]],"")</f>
        <v>14.190595089471493</v>
      </c>
    </row>
    <row r="2486" spans="1:14">
      <c r="A2486" s="21">
        <v>2024</v>
      </c>
      <c r="B2486" s="21" t="s">
        <v>20</v>
      </c>
      <c r="C2486" s="21" t="s">
        <v>1145</v>
      </c>
      <c r="D2486" s="21" t="s">
        <v>35</v>
      </c>
      <c r="E2486" s="18" t="s">
        <v>468</v>
      </c>
      <c r="F2486" s="18" t="s">
        <v>47</v>
      </c>
      <c r="G2486" s="18" t="s">
        <v>48</v>
      </c>
      <c r="H2486" s="24">
        <v>4730</v>
      </c>
      <c r="I2486" s="24">
        <f>T_reg.root.SK[[#This Row],[Volume, kg]]/1000</f>
        <v>4.7300000000000004</v>
      </c>
      <c r="J2486" s="25">
        <v>0.2525</v>
      </c>
      <c r="K2486" s="25">
        <f t="shared" si="38"/>
        <v>1194.325</v>
      </c>
      <c r="L2486" s="25">
        <v>3.45</v>
      </c>
      <c r="M2486" s="24">
        <v>16318.5</v>
      </c>
      <c r="N2486" s="25">
        <f>IFERROR(T_reg.root.SK[[#This Row],[Price]]/T_reg.root.SK[[#This Row],[Starch content]],"")</f>
        <v>13.663366336633663</v>
      </c>
    </row>
    <row r="2487" spans="1:14">
      <c r="A2487" s="21">
        <v>2024</v>
      </c>
      <c r="B2487" s="21" t="s">
        <v>20</v>
      </c>
      <c r="C2487" s="21" t="s">
        <v>1145</v>
      </c>
      <c r="D2487" s="21" t="s">
        <v>35</v>
      </c>
      <c r="E2487" s="18" t="s">
        <v>62</v>
      </c>
      <c r="F2487" s="18" t="s">
        <v>47</v>
      </c>
      <c r="G2487" s="18" t="s">
        <v>48</v>
      </c>
      <c r="H2487" s="24">
        <v>169860</v>
      </c>
      <c r="I2487" s="24">
        <f>T_reg.root.SK[[#This Row],[Volume, kg]]/1000</f>
        <v>169.86</v>
      </c>
      <c r="J2487" s="25">
        <v>0.27610000000000001</v>
      </c>
      <c r="K2487" s="25">
        <f t="shared" si="38"/>
        <v>46898.346000000005</v>
      </c>
      <c r="L2487" s="25">
        <v>3.7</v>
      </c>
      <c r="M2487" s="24">
        <v>629089.5</v>
      </c>
      <c r="N2487" s="25">
        <f>IFERROR(T_reg.root.SK[[#This Row],[Price]]/T_reg.root.SK[[#This Row],[Starch content]],"")</f>
        <v>13.400941687794278</v>
      </c>
    </row>
    <row r="2488" spans="1:14">
      <c r="A2488" s="21">
        <v>2024</v>
      </c>
      <c r="B2488" s="21" t="s">
        <v>20</v>
      </c>
      <c r="C2488" s="21" t="s">
        <v>1145</v>
      </c>
      <c r="D2488" s="21" t="s">
        <v>35</v>
      </c>
      <c r="E2488" s="18" t="s">
        <v>340</v>
      </c>
      <c r="F2488" s="18" t="s">
        <v>47</v>
      </c>
      <c r="G2488" s="18" t="s">
        <v>48</v>
      </c>
      <c r="H2488" s="24">
        <v>5160</v>
      </c>
      <c r="I2488" s="24">
        <f>T_reg.root.SK[[#This Row],[Volume, kg]]/1000</f>
        <v>5.16</v>
      </c>
      <c r="J2488" s="25">
        <v>0.20350000000000001</v>
      </c>
      <c r="K2488" s="25">
        <f t="shared" si="38"/>
        <v>1050.0600000000002</v>
      </c>
      <c r="L2488" s="25">
        <v>3.2</v>
      </c>
      <c r="M2488" s="24">
        <v>16512</v>
      </c>
      <c r="N2488" s="25">
        <f>IFERROR(T_reg.root.SK[[#This Row],[Price]]/T_reg.root.SK[[#This Row],[Starch content]],"")</f>
        <v>15.724815724815725</v>
      </c>
    </row>
    <row r="2489" spans="1:14">
      <c r="A2489" s="21">
        <v>2024</v>
      </c>
      <c r="B2489" s="21" t="s">
        <v>20</v>
      </c>
      <c r="C2489" s="21" t="s">
        <v>1145</v>
      </c>
      <c r="D2489" s="21" t="s">
        <v>35</v>
      </c>
      <c r="E2489" s="18" t="s">
        <v>676</v>
      </c>
      <c r="F2489" s="18" t="s">
        <v>47</v>
      </c>
      <c r="G2489" s="18" t="s">
        <v>48</v>
      </c>
      <c r="H2489" s="24">
        <v>8310</v>
      </c>
      <c r="I2489" s="24">
        <f>T_reg.root.SK[[#This Row],[Volume, kg]]/1000</f>
        <v>8.31</v>
      </c>
      <c r="J2489" s="25">
        <v>0.2767</v>
      </c>
      <c r="K2489" s="25">
        <f t="shared" si="38"/>
        <v>2299.377</v>
      </c>
      <c r="L2489" s="25">
        <v>3.75</v>
      </c>
      <c r="M2489" s="24">
        <v>31162.5</v>
      </c>
      <c r="N2489" s="25">
        <f>IFERROR(T_reg.root.SK[[#This Row],[Price]]/T_reg.root.SK[[#This Row],[Starch content]],"")</f>
        <v>13.552584026020961</v>
      </c>
    </row>
    <row r="2490" spans="1:14">
      <c r="A2490" s="21">
        <v>2024</v>
      </c>
      <c r="B2490" s="21" t="s">
        <v>20</v>
      </c>
      <c r="C2490" s="21" t="s">
        <v>1145</v>
      </c>
      <c r="D2490" s="21" t="s">
        <v>35</v>
      </c>
      <c r="E2490" s="18" t="s">
        <v>660</v>
      </c>
      <c r="F2490" s="18" t="s">
        <v>47</v>
      </c>
      <c r="G2490" s="18" t="s">
        <v>48</v>
      </c>
      <c r="H2490" s="24">
        <v>35010</v>
      </c>
      <c r="I2490" s="24">
        <f>T_reg.root.SK[[#This Row],[Volume, kg]]/1000</f>
        <v>35.01</v>
      </c>
      <c r="J2490" s="25">
        <v>0.22390000000000002</v>
      </c>
      <c r="K2490" s="25">
        <f t="shared" si="38"/>
        <v>7838.7390000000005</v>
      </c>
      <c r="L2490" s="25">
        <v>3.4</v>
      </c>
      <c r="M2490" s="24">
        <v>119099</v>
      </c>
      <c r="N2490" s="25">
        <f>IFERROR(T_reg.root.SK[[#This Row],[Price]]/T_reg.root.SK[[#This Row],[Starch content]],"")</f>
        <v>15.185350602947743</v>
      </c>
    </row>
    <row r="2491" spans="1:14">
      <c r="A2491" s="21">
        <v>2024</v>
      </c>
      <c r="B2491" s="21" t="s">
        <v>20</v>
      </c>
      <c r="C2491" s="21" t="s">
        <v>1145</v>
      </c>
      <c r="D2491" s="21" t="s">
        <v>35</v>
      </c>
      <c r="E2491" s="18" t="s">
        <v>66</v>
      </c>
      <c r="F2491" s="18" t="s">
        <v>47</v>
      </c>
      <c r="G2491" s="18" t="s">
        <v>48</v>
      </c>
      <c r="H2491" s="24">
        <v>99470</v>
      </c>
      <c r="I2491" s="24">
        <f>T_reg.root.SK[[#This Row],[Volume, kg]]/1000</f>
        <v>99.47</v>
      </c>
      <c r="J2491" s="25">
        <v>0.26429999999999998</v>
      </c>
      <c r="K2491" s="25">
        <f t="shared" si="38"/>
        <v>26289.920999999998</v>
      </c>
      <c r="L2491" s="25">
        <v>3.6</v>
      </c>
      <c r="M2491" s="24">
        <v>358369.5</v>
      </c>
      <c r="N2491" s="25">
        <f>IFERROR(T_reg.root.SK[[#This Row],[Price]]/T_reg.root.SK[[#This Row],[Starch content]],"")</f>
        <v>13.620885357548243</v>
      </c>
    </row>
    <row r="2492" spans="1:14">
      <c r="A2492" s="21">
        <v>2024</v>
      </c>
      <c r="B2492" s="21" t="s">
        <v>20</v>
      </c>
      <c r="C2492" s="21" t="s">
        <v>1145</v>
      </c>
      <c r="D2492" s="21" t="s">
        <v>35</v>
      </c>
      <c r="E2492" s="18" t="s">
        <v>677</v>
      </c>
      <c r="F2492" s="18" t="s">
        <v>47</v>
      </c>
      <c r="G2492" s="18" t="s">
        <v>48</v>
      </c>
      <c r="H2492" s="24">
        <v>26490</v>
      </c>
      <c r="I2492" s="24">
        <f>T_reg.root.SK[[#This Row],[Volume, kg]]/1000</f>
        <v>26.49</v>
      </c>
      <c r="J2492" s="25">
        <v>0.2868</v>
      </c>
      <c r="K2492" s="25">
        <f t="shared" si="38"/>
        <v>7597.3320000000003</v>
      </c>
      <c r="L2492" s="25">
        <v>3.76</v>
      </c>
      <c r="M2492" s="24">
        <v>99510.5</v>
      </c>
      <c r="N2492" s="25">
        <f>IFERROR(T_reg.root.SK[[#This Row],[Price]]/T_reg.root.SK[[#This Row],[Starch content]],"")</f>
        <v>13.110181311018131</v>
      </c>
    </row>
    <row r="2493" spans="1:14">
      <c r="A2493" s="21">
        <v>2024</v>
      </c>
      <c r="B2493" s="21" t="s">
        <v>20</v>
      </c>
      <c r="C2493" s="21" t="s">
        <v>1145</v>
      </c>
      <c r="D2493" s="21" t="s">
        <v>35</v>
      </c>
      <c r="E2493" s="18" t="s">
        <v>341</v>
      </c>
      <c r="F2493" s="18" t="s">
        <v>47</v>
      </c>
      <c r="G2493" s="18" t="s">
        <v>48</v>
      </c>
      <c r="H2493" s="24">
        <v>120380</v>
      </c>
      <c r="I2493" s="24">
        <f>T_reg.root.SK[[#This Row],[Volume, kg]]/1000</f>
        <v>120.38</v>
      </c>
      <c r="J2493" s="25">
        <v>0.255</v>
      </c>
      <c r="K2493" s="25">
        <f t="shared" si="38"/>
        <v>30696.9</v>
      </c>
      <c r="L2493" s="25">
        <v>3.5</v>
      </c>
      <c r="M2493" s="24">
        <v>421780.5</v>
      </c>
      <c r="N2493" s="25">
        <f>IFERROR(T_reg.root.SK[[#This Row],[Price]]/T_reg.root.SK[[#This Row],[Starch content]],"")</f>
        <v>13.725490196078431</v>
      </c>
    </row>
    <row r="2494" spans="1:14">
      <c r="A2494" s="21">
        <v>2024</v>
      </c>
      <c r="B2494" s="21" t="s">
        <v>20</v>
      </c>
      <c r="C2494" s="21" t="s">
        <v>1145</v>
      </c>
      <c r="D2494" s="21" t="s">
        <v>35</v>
      </c>
      <c r="E2494" s="18" t="s">
        <v>70</v>
      </c>
      <c r="F2494" s="18" t="s">
        <v>47</v>
      </c>
      <c r="G2494" s="18" t="s">
        <v>48</v>
      </c>
      <c r="H2494" s="24">
        <v>19460</v>
      </c>
      <c r="I2494" s="24">
        <f>T_reg.root.SK[[#This Row],[Volume, kg]]/1000</f>
        <v>19.46</v>
      </c>
      <c r="J2494" s="25">
        <v>0.25069999999999998</v>
      </c>
      <c r="K2494" s="25">
        <f t="shared" si="38"/>
        <v>4878.6219999999994</v>
      </c>
      <c r="L2494" s="25">
        <v>3.45</v>
      </c>
      <c r="M2494" s="24">
        <v>67137</v>
      </c>
      <c r="N2494" s="25">
        <f>IFERROR(T_reg.root.SK[[#This Row],[Price]]/T_reg.root.SK[[#This Row],[Starch content]],"")</f>
        <v>13.761467889908259</v>
      </c>
    </row>
    <row r="2495" spans="1:14">
      <c r="A2495" s="21">
        <v>2024</v>
      </c>
      <c r="B2495" s="21" t="s">
        <v>20</v>
      </c>
      <c r="C2495" s="21" t="s">
        <v>1145</v>
      </c>
      <c r="D2495" s="21" t="s">
        <v>35</v>
      </c>
      <c r="E2495" s="18" t="s">
        <v>71</v>
      </c>
      <c r="F2495" s="18" t="s">
        <v>47</v>
      </c>
      <c r="G2495" s="18" t="s">
        <v>48</v>
      </c>
      <c r="H2495" s="24">
        <v>29080</v>
      </c>
      <c r="I2495" s="24">
        <f>T_reg.root.SK[[#This Row],[Volume, kg]]/1000</f>
        <v>29.08</v>
      </c>
      <c r="J2495" s="25">
        <v>0.26369999999999999</v>
      </c>
      <c r="K2495" s="25">
        <f t="shared" si="38"/>
        <v>7668.3959999999997</v>
      </c>
      <c r="L2495" s="25">
        <v>3.59</v>
      </c>
      <c r="M2495" s="24">
        <v>104525</v>
      </c>
      <c r="N2495" s="25">
        <f>IFERROR(T_reg.root.SK[[#This Row],[Price]]/T_reg.root.SK[[#This Row],[Starch content]],"")</f>
        <v>13.613955252180508</v>
      </c>
    </row>
    <row r="2496" spans="1:14">
      <c r="A2496" s="21">
        <v>2024</v>
      </c>
      <c r="B2496" s="21" t="s">
        <v>20</v>
      </c>
      <c r="C2496" s="21" t="s">
        <v>1145</v>
      </c>
      <c r="D2496" s="21" t="s">
        <v>35</v>
      </c>
      <c r="E2496" s="18" t="s">
        <v>72</v>
      </c>
      <c r="F2496" s="18" t="s">
        <v>47</v>
      </c>
      <c r="G2496" s="18" t="s">
        <v>48</v>
      </c>
      <c r="H2496" s="24">
        <v>6460</v>
      </c>
      <c r="I2496" s="24">
        <f>T_reg.root.SK[[#This Row],[Volume, kg]]/1000</f>
        <v>6.46</v>
      </c>
      <c r="J2496" s="25">
        <v>0.21600000000000003</v>
      </c>
      <c r="K2496" s="25">
        <f t="shared" si="38"/>
        <v>1395.3600000000001</v>
      </c>
      <c r="L2496" s="25">
        <v>3.3</v>
      </c>
      <c r="M2496" s="24">
        <v>21318</v>
      </c>
      <c r="N2496" s="25">
        <f>IFERROR(T_reg.root.SK[[#This Row],[Price]]/T_reg.root.SK[[#This Row],[Starch content]],"")</f>
        <v>15.277777777777775</v>
      </c>
    </row>
    <row r="2497" spans="1:14">
      <c r="A2497" s="21">
        <v>2024</v>
      </c>
      <c r="B2497" s="21" t="s">
        <v>20</v>
      </c>
      <c r="C2497" s="21" t="s">
        <v>1145</v>
      </c>
      <c r="D2497" s="21" t="s">
        <v>35</v>
      </c>
      <c r="E2497" s="18" t="s">
        <v>472</v>
      </c>
      <c r="F2497" s="18" t="s">
        <v>47</v>
      </c>
      <c r="G2497" s="18" t="s">
        <v>48</v>
      </c>
      <c r="H2497" s="24">
        <v>10140</v>
      </c>
      <c r="I2497" s="24">
        <f>T_reg.root.SK[[#This Row],[Volume, kg]]/1000</f>
        <v>10.14</v>
      </c>
      <c r="J2497" s="25">
        <v>0.22800000000000001</v>
      </c>
      <c r="K2497" s="25">
        <f t="shared" si="38"/>
        <v>2311.92</v>
      </c>
      <c r="L2497" s="25">
        <v>3.35</v>
      </c>
      <c r="M2497" s="24">
        <v>33969</v>
      </c>
      <c r="N2497" s="25">
        <f>IFERROR(T_reg.root.SK[[#This Row],[Price]]/T_reg.root.SK[[#This Row],[Starch content]],"")</f>
        <v>14.692982456140351</v>
      </c>
    </row>
    <row r="2498" spans="1:14">
      <c r="A2498" s="21">
        <v>2024</v>
      </c>
      <c r="B2498" s="21" t="s">
        <v>20</v>
      </c>
      <c r="C2498" s="21" t="s">
        <v>1145</v>
      </c>
      <c r="D2498" s="21" t="s">
        <v>35</v>
      </c>
      <c r="E2498" s="18" t="s">
        <v>661</v>
      </c>
      <c r="F2498" s="18" t="s">
        <v>47</v>
      </c>
      <c r="G2498" s="18" t="s">
        <v>48</v>
      </c>
      <c r="H2498" s="24">
        <v>58420</v>
      </c>
      <c r="I2498" s="24">
        <f>T_reg.root.SK[[#This Row],[Volume, kg]]/1000</f>
        <v>58.42</v>
      </c>
      <c r="J2498" s="25">
        <v>0.28070000000000001</v>
      </c>
      <c r="K2498" s="25">
        <f t="shared" si="38"/>
        <v>16398.493999999999</v>
      </c>
      <c r="L2498" s="25">
        <v>3.7</v>
      </c>
      <c r="M2498" s="24">
        <v>216417.5</v>
      </c>
      <c r="N2498" s="25">
        <f>IFERROR(T_reg.root.SK[[#This Row],[Price]]/T_reg.root.SK[[#This Row],[Starch content]],"")</f>
        <v>13.181332383327396</v>
      </c>
    </row>
    <row r="2499" spans="1:14">
      <c r="A2499" s="21">
        <v>2024</v>
      </c>
      <c r="B2499" s="21" t="s">
        <v>20</v>
      </c>
      <c r="C2499" s="21" t="s">
        <v>1145</v>
      </c>
      <c r="D2499" s="21" t="s">
        <v>35</v>
      </c>
      <c r="E2499" s="18" t="s">
        <v>73</v>
      </c>
      <c r="F2499" s="18" t="s">
        <v>47</v>
      </c>
      <c r="G2499" s="18" t="s">
        <v>48</v>
      </c>
      <c r="H2499" s="24">
        <v>10710</v>
      </c>
      <c r="I2499" s="24">
        <f>T_reg.root.SK[[#This Row],[Volume, kg]]/1000</f>
        <v>10.71</v>
      </c>
      <c r="J2499" s="25">
        <v>0.27410000000000001</v>
      </c>
      <c r="K2499" s="25">
        <f t="shared" ref="K2499:K2562" si="39">H2499*J2499</f>
        <v>2935.6110000000003</v>
      </c>
      <c r="L2499" s="25">
        <v>3.67</v>
      </c>
      <c r="M2499" s="24">
        <v>39314.5</v>
      </c>
      <c r="N2499" s="25">
        <f>IFERROR(T_reg.root.SK[[#This Row],[Price]]/T_reg.root.SK[[#This Row],[Starch content]],"")</f>
        <v>13.389273987595768</v>
      </c>
    </row>
    <row r="2500" spans="1:14">
      <c r="A2500" s="21">
        <v>2024</v>
      </c>
      <c r="B2500" s="21" t="s">
        <v>20</v>
      </c>
      <c r="C2500" s="21" t="s">
        <v>1145</v>
      </c>
      <c r="D2500" s="21" t="s">
        <v>35</v>
      </c>
      <c r="E2500" s="18" t="s">
        <v>74</v>
      </c>
      <c r="F2500" s="18" t="s">
        <v>47</v>
      </c>
      <c r="G2500" s="18" t="s">
        <v>48</v>
      </c>
      <c r="H2500" s="24">
        <v>87040</v>
      </c>
      <c r="I2500" s="24">
        <f>T_reg.root.SK[[#This Row],[Volume, kg]]/1000</f>
        <v>87.04</v>
      </c>
      <c r="J2500" s="25">
        <v>0.24809999999999999</v>
      </c>
      <c r="K2500" s="25">
        <f t="shared" si="39"/>
        <v>21594.624</v>
      </c>
      <c r="L2500" s="25">
        <v>3.55</v>
      </c>
      <c r="M2500" s="24">
        <v>309385</v>
      </c>
      <c r="N2500" s="25">
        <f>IFERROR(T_reg.root.SK[[#This Row],[Price]]/T_reg.root.SK[[#This Row],[Starch content]],"")</f>
        <v>14.308746473196292</v>
      </c>
    </row>
    <row r="2501" spans="1:14">
      <c r="A2501" s="21">
        <v>2024</v>
      </c>
      <c r="B2501" s="21" t="s">
        <v>20</v>
      </c>
      <c r="C2501" s="21" t="s">
        <v>1145</v>
      </c>
      <c r="D2501" s="21" t="s">
        <v>35</v>
      </c>
      <c r="E2501" s="18" t="s">
        <v>473</v>
      </c>
      <c r="F2501" s="18" t="s">
        <v>47</v>
      </c>
      <c r="G2501" s="18" t="s">
        <v>48</v>
      </c>
      <c r="H2501" s="24">
        <v>35690</v>
      </c>
      <c r="I2501" s="24">
        <f>T_reg.root.SK[[#This Row],[Volume, kg]]/1000</f>
        <v>35.69</v>
      </c>
      <c r="J2501" s="25">
        <v>0.21940000000000001</v>
      </c>
      <c r="K2501" s="25">
        <f t="shared" si="39"/>
        <v>7830.3860000000004</v>
      </c>
      <c r="L2501" s="25">
        <v>3.3</v>
      </c>
      <c r="M2501" s="24">
        <v>117739.5</v>
      </c>
      <c r="N2501" s="25">
        <f>IFERROR(T_reg.root.SK[[#This Row],[Price]]/T_reg.root.SK[[#This Row],[Starch content]],"")</f>
        <v>15.041020966271649</v>
      </c>
    </row>
    <row r="2502" spans="1:14">
      <c r="A2502" s="21">
        <v>2024</v>
      </c>
      <c r="B2502" s="21" t="s">
        <v>20</v>
      </c>
      <c r="C2502" s="21" t="s">
        <v>1145</v>
      </c>
      <c r="D2502" s="21" t="s">
        <v>35</v>
      </c>
      <c r="E2502" s="18" t="s">
        <v>75</v>
      </c>
      <c r="F2502" s="18" t="s">
        <v>47</v>
      </c>
      <c r="G2502" s="18" t="s">
        <v>48</v>
      </c>
      <c r="H2502" s="24">
        <v>33560</v>
      </c>
      <c r="I2502" s="24">
        <f>T_reg.root.SK[[#This Row],[Volume, kg]]/1000</f>
        <v>33.56</v>
      </c>
      <c r="J2502" s="25">
        <v>0.24929999999999999</v>
      </c>
      <c r="K2502" s="25">
        <f t="shared" si="39"/>
        <v>8366.5079999999998</v>
      </c>
      <c r="L2502" s="25">
        <v>3.5</v>
      </c>
      <c r="M2502" s="24">
        <v>117371.5</v>
      </c>
      <c r="N2502" s="25">
        <f>IFERROR(T_reg.root.SK[[#This Row],[Price]]/T_reg.root.SK[[#This Row],[Starch content]],"")</f>
        <v>14.039310068190934</v>
      </c>
    </row>
    <row r="2503" spans="1:14">
      <c r="A2503" s="21">
        <v>2024</v>
      </c>
      <c r="B2503" s="21" t="s">
        <v>20</v>
      </c>
      <c r="C2503" s="21" t="s">
        <v>1145</v>
      </c>
      <c r="D2503" s="21" t="s">
        <v>35</v>
      </c>
      <c r="E2503" s="18" t="s">
        <v>76</v>
      </c>
      <c r="F2503" s="18" t="s">
        <v>47</v>
      </c>
      <c r="G2503" s="18" t="s">
        <v>48</v>
      </c>
      <c r="H2503" s="24">
        <v>48630</v>
      </c>
      <c r="I2503" s="24">
        <f>T_reg.root.SK[[#This Row],[Volume, kg]]/1000</f>
        <v>48.63</v>
      </c>
      <c r="J2503" s="25">
        <v>0.25869999999999999</v>
      </c>
      <c r="K2503" s="25">
        <f t="shared" si="39"/>
        <v>12580.581</v>
      </c>
      <c r="L2503" s="25">
        <v>3.61</v>
      </c>
      <c r="M2503" s="24">
        <v>175443.5</v>
      </c>
      <c r="N2503" s="25">
        <f>IFERROR(T_reg.root.SK[[#This Row],[Price]]/T_reg.root.SK[[#This Row],[Starch content]],"")</f>
        <v>13.954387321221493</v>
      </c>
    </row>
    <row r="2504" spans="1:14">
      <c r="A2504" s="21">
        <v>2024</v>
      </c>
      <c r="B2504" s="21" t="s">
        <v>20</v>
      </c>
      <c r="C2504" s="21" t="s">
        <v>1145</v>
      </c>
      <c r="D2504" s="21" t="s">
        <v>35</v>
      </c>
      <c r="E2504" s="18" t="s">
        <v>475</v>
      </c>
      <c r="F2504" s="18" t="s">
        <v>47</v>
      </c>
      <c r="G2504" s="18" t="s">
        <v>48</v>
      </c>
      <c r="H2504" s="24">
        <v>9820</v>
      </c>
      <c r="I2504" s="24">
        <f>T_reg.root.SK[[#This Row],[Volume, kg]]/1000</f>
        <v>9.82</v>
      </c>
      <c r="J2504" s="25">
        <v>0.19600000000000001</v>
      </c>
      <c r="K2504" s="25">
        <f t="shared" si="39"/>
        <v>1924.72</v>
      </c>
      <c r="L2504" s="25">
        <v>3.2</v>
      </c>
      <c r="M2504" s="24">
        <v>31424</v>
      </c>
      <c r="N2504" s="25">
        <f>IFERROR(T_reg.root.SK[[#This Row],[Price]]/T_reg.root.SK[[#This Row],[Starch content]],"")</f>
        <v>16.326530612244898</v>
      </c>
    </row>
    <row r="2505" spans="1:14">
      <c r="A2505" s="21">
        <v>2024</v>
      </c>
      <c r="B2505" s="21" t="s">
        <v>20</v>
      </c>
      <c r="C2505" s="21" t="s">
        <v>1145</v>
      </c>
      <c r="D2505" s="21" t="s">
        <v>35</v>
      </c>
      <c r="E2505" s="18" t="s">
        <v>77</v>
      </c>
      <c r="F2505" s="18" t="s">
        <v>47</v>
      </c>
      <c r="G2505" s="18" t="s">
        <v>48</v>
      </c>
      <c r="H2505" s="24">
        <v>102320</v>
      </c>
      <c r="I2505" s="24">
        <f>T_reg.root.SK[[#This Row],[Volume, kg]]/1000</f>
        <v>102.32</v>
      </c>
      <c r="J2505" s="25">
        <v>0.22020000000000001</v>
      </c>
      <c r="K2505" s="25">
        <f t="shared" si="39"/>
        <v>22530.864000000001</v>
      </c>
      <c r="L2505" s="25">
        <v>3.34</v>
      </c>
      <c r="M2505" s="24">
        <v>341740</v>
      </c>
      <c r="N2505" s="25">
        <f>IFERROR(T_reg.root.SK[[#This Row],[Price]]/T_reg.root.SK[[#This Row],[Starch content]],"")</f>
        <v>15.168029064486829</v>
      </c>
    </row>
    <row r="2506" spans="1:14">
      <c r="A2506" s="21">
        <v>2024</v>
      </c>
      <c r="B2506" s="21" t="s">
        <v>20</v>
      </c>
      <c r="C2506" s="21" t="s">
        <v>1145</v>
      </c>
      <c r="D2506" s="21" t="s">
        <v>35</v>
      </c>
      <c r="E2506" s="18" t="s">
        <v>476</v>
      </c>
      <c r="F2506" s="18" t="s">
        <v>47</v>
      </c>
      <c r="G2506" s="18" t="s">
        <v>48</v>
      </c>
      <c r="H2506" s="24">
        <v>8960</v>
      </c>
      <c r="I2506" s="24">
        <f>T_reg.root.SK[[#This Row],[Volume, kg]]/1000</f>
        <v>8.9600000000000009</v>
      </c>
      <c r="J2506" s="25">
        <v>0.22149999999999997</v>
      </c>
      <c r="K2506" s="25">
        <f t="shared" si="39"/>
        <v>1984.6399999999999</v>
      </c>
      <c r="L2506" s="25">
        <v>3.3</v>
      </c>
      <c r="M2506" s="24">
        <v>29568</v>
      </c>
      <c r="N2506" s="25">
        <f>IFERROR(T_reg.root.SK[[#This Row],[Price]]/T_reg.root.SK[[#This Row],[Starch content]],"")</f>
        <v>14.89841986455982</v>
      </c>
    </row>
    <row r="2507" spans="1:14">
      <c r="A2507" s="21">
        <v>2024</v>
      </c>
      <c r="B2507" s="21" t="s">
        <v>20</v>
      </c>
      <c r="C2507" s="21" t="s">
        <v>1145</v>
      </c>
      <c r="D2507" s="21" t="s">
        <v>35</v>
      </c>
      <c r="E2507" s="18" t="s">
        <v>82</v>
      </c>
      <c r="F2507" s="18" t="s">
        <v>83</v>
      </c>
      <c r="G2507" s="18" t="s">
        <v>48</v>
      </c>
      <c r="H2507" s="24">
        <v>9910</v>
      </c>
      <c r="I2507" s="24">
        <f>T_reg.root.SK[[#This Row],[Volume, kg]]/1000</f>
        <v>9.91</v>
      </c>
      <c r="J2507" s="25">
        <v>0.223</v>
      </c>
      <c r="K2507" s="25">
        <f t="shared" si="39"/>
        <v>2209.9299999999998</v>
      </c>
      <c r="L2507" s="25">
        <v>3.4</v>
      </c>
      <c r="M2507" s="24">
        <v>33694</v>
      </c>
      <c r="N2507" s="25">
        <f>IFERROR(T_reg.root.SK[[#This Row],[Price]]/T_reg.root.SK[[#This Row],[Starch content]],"")</f>
        <v>15.246636771300448</v>
      </c>
    </row>
    <row r="2508" spans="1:14">
      <c r="A2508" s="21">
        <v>2024</v>
      </c>
      <c r="B2508" s="21" t="s">
        <v>20</v>
      </c>
      <c r="C2508" s="21" t="s">
        <v>1145</v>
      </c>
      <c r="D2508" s="21" t="s">
        <v>39</v>
      </c>
      <c r="E2508" s="18" t="s">
        <v>88</v>
      </c>
      <c r="F2508" s="18" t="s">
        <v>89</v>
      </c>
      <c r="G2508" s="18" t="s">
        <v>90</v>
      </c>
      <c r="H2508" s="24">
        <v>3643530</v>
      </c>
      <c r="I2508" s="24">
        <f>T_reg.root.SK[[#This Row],[Volume, kg]]/1000</f>
        <v>3643.53</v>
      </c>
      <c r="J2508" s="25">
        <v>0.24969999999999998</v>
      </c>
      <c r="K2508" s="25">
        <f t="shared" si="39"/>
        <v>909789.44099999988</v>
      </c>
      <c r="L2508" s="25">
        <v>3.54</v>
      </c>
      <c r="M2508" s="24">
        <v>12896020</v>
      </c>
      <c r="N2508" s="25">
        <f>IFERROR(T_reg.root.SK[[#This Row],[Price]]/T_reg.root.SK[[#This Row],[Starch content]],"")</f>
        <v>14.177012414897879</v>
      </c>
    </row>
    <row r="2509" spans="1:14">
      <c r="A2509" s="21">
        <v>2024</v>
      </c>
      <c r="B2509" s="21" t="s">
        <v>20</v>
      </c>
      <c r="C2509" s="21" t="s">
        <v>1145</v>
      </c>
      <c r="D2509" s="21" t="s">
        <v>35</v>
      </c>
      <c r="E2509" s="18" t="s">
        <v>478</v>
      </c>
      <c r="F2509" s="18" t="s">
        <v>92</v>
      </c>
      <c r="G2509" s="18" t="s">
        <v>48</v>
      </c>
      <c r="H2509" s="24">
        <v>26150</v>
      </c>
      <c r="I2509" s="24">
        <f>T_reg.root.SK[[#This Row],[Volume, kg]]/1000</f>
        <v>26.15</v>
      </c>
      <c r="J2509" s="25">
        <v>0.24</v>
      </c>
      <c r="K2509" s="25">
        <f t="shared" si="39"/>
        <v>6276</v>
      </c>
      <c r="L2509" s="25">
        <v>3.5</v>
      </c>
      <c r="M2509" s="24">
        <v>91525</v>
      </c>
      <c r="N2509" s="25">
        <f>IFERROR(T_reg.root.SK[[#This Row],[Price]]/T_reg.root.SK[[#This Row],[Starch content]],"")</f>
        <v>14.583333333333334</v>
      </c>
    </row>
    <row r="2510" spans="1:14">
      <c r="A2510" s="21">
        <v>2024</v>
      </c>
      <c r="B2510" s="21" t="s">
        <v>20</v>
      </c>
      <c r="C2510" s="21" t="s">
        <v>1145</v>
      </c>
      <c r="D2510" s="21" t="s">
        <v>35</v>
      </c>
      <c r="E2510" s="18" t="s">
        <v>389</v>
      </c>
      <c r="F2510" s="18" t="s">
        <v>92</v>
      </c>
      <c r="G2510" s="18" t="s">
        <v>48</v>
      </c>
      <c r="H2510" s="24">
        <v>64840</v>
      </c>
      <c r="I2510" s="24">
        <f>T_reg.root.SK[[#This Row],[Volume, kg]]/1000</f>
        <v>64.84</v>
      </c>
      <c r="J2510" s="25">
        <v>0.2671</v>
      </c>
      <c r="K2510" s="25">
        <f t="shared" si="39"/>
        <v>17318.763999999999</v>
      </c>
      <c r="L2510" s="25">
        <v>3.61</v>
      </c>
      <c r="M2510" s="24">
        <v>234191.5</v>
      </c>
      <c r="N2510" s="25">
        <f>IFERROR(T_reg.root.SK[[#This Row],[Price]]/T_reg.root.SK[[#This Row],[Starch content]],"")</f>
        <v>13.515537251965556</v>
      </c>
    </row>
    <row r="2511" spans="1:14">
      <c r="A2511" s="21">
        <v>2024</v>
      </c>
      <c r="B2511" s="21" t="s">
        <v>20</v>
      </c>
      <c r="C2511" s="21" t="s">
        <v>1145</v>
      </c>
      <c r="D2511" s="21" t="s">
        <v>35</v>
      </c>
      <c r="E2511" s="18" t="s">
        <v>91</v>
      </c>
      <c r="F2511" s="18" t="s">
        <v>92</v>
      </c>
      <c r="G2511" s="18" t="s">
        <v>48</v>
      </c>
      <c r="H2511" s="24">
        <v>84230</v>
      </c>
      <c r="I2511" s="24">
        <f>T_reg.root.SK[[#This Row],[Volume, kg]]/1000</f>
        <v>84.23</v>
      </c>
      <c r="J2511" s="25">
        <v>0.23350000000000001</v>
      </c>
      <c r="K2511" s="25">
        <f t="shared" si="39"/>
        <v>19667.705000000002</v>
      </c>
      <c r="L2511" s="25">
        <v>3.41</v>
      </c>
      <c r="M2511" s="24">
        <v>287409.5</v>
      </c>
      <c r="N2511" s="25">
        <f>IFERROR(T_reg.root.SK[[#This Row],[Price]]/T_reg.root.SK[[#This Row],[Starch content]],"")</f>
        <v>14.603854389721628</v>
      </c>
    </row>
    <row r="2512" spans="1:14">
      <c r="A2512" s="21">
        <v>2024</v>
      </c>
      <c r="B2512" s="21" t="s">
        <v>20</v>
      </c>
      <c r="C2512" s="21" t="s">
        <v>1145</v>
      </c>
      <c r="D2512" s="21" t="s">
        <v>39</v>
      </c>
      <c r="E2512" s="18" t="s">
        <v>552</v>
      </c>
      <c r="F2512" s="18" t="s">
        <v>95</v>
      </c>
      <c r="G2512" s="18" t="s">
        <v>48</v>
      </c>
      <c r="H2512" s="24">
        <v>8334990</v>
      </c>
      <c r="I2512" s="24">
        <f>T_reg.root.SK[[#This Row],[Volume, kg]]/1000</f>
        <v>8334.99</v>
      </c>
      <c r="J2512" s="25">
        <v>0.27239999999999998</v>
      </c>
      <c r="K2512" s="25">
        <f t="shared" si="39"/>
        <v>2270451.2759999996</v>
      </c>
      <c r="L2512" s="25">
        <v>3.7</v>
      </c>
      <c r="M2512" s="24">
        <v>30838255</v>
      </c>
      <c r="N2512" s="25">
        <f>IFERROR(T_reg.root.SK[[#This Row],[Price]]/T_reg.root.SK[[#This Row],[Starch content]],"")</f>
        <v>13.582966226138034</v>
      </c>
    </row>
    <row r="2513" spans="1:14">
      <c r="A2513" s="21">
        <v>2024</v>
      </c>
      <c r="B2513" s="21" t="s">
        <v>20</v>
      </c>
      <c r="C2513" s="21" t="s">
        <v>1145</v>
      </c>
      <c r="D2513" s="21" t="s">
        <v>35</v>
      </c>
      <c r="E2513" s="18" t="s">
        <v>276</v>
      </c>
      <c r="F2513" s="18" t="s">
        <v>95</v>
      </c>
      <c r="G2513" s="18" t="s">
        <v>48</v>
      </c>
      <c r="H2513" s="24">
        <v>47350</v>
      </c>
      <c r="I2513" s="24">
        <f>T_reg.root.SK[[#This Row],[Volume, kg]]/1000</f>
        <v>47.35</v>
      </c>
      <c r="J2513" s="25">
        <v>0.2445</v>
      </c>
      <c r="K2513" s="25">
        <f t="shared" si="39"/>
        <v>11577.074999999999</v>
      </c>
      <c r="L2513" s="25">
        <v>3.47</v>
      </c>
      <c r="M2513" s="24">
        <v>164406.5</v>
      </c>
      <c r="N2513" s="25">
        <f>IFERROR(T_reg.root.SK[[#This Row],[Price]]/T_reg.root.SK[[#This Row],[Starch content]],"")</f>
        <v>14.192229038854807</v>
      </c>
    </row>
    <row r="2514" spans="1:14">
      <c r="A2514" s="21">
        <v>2024</v>
      </c>
      <c r="B2514" s="21" t="s">
        <v>20</v>
      </c>
      <c r="C2514" s="21" t="s">
        <v>1145</v>
      </c>
      <c r="D2514" s="21" t="s">
        <v>35</v>
      </c>
      <c r="E2514" s="18" t="s">
        <v>681</v>
      </c>
      <c r="F2514" s="18" t="s">
        <v>95</v>
      </c>
      <c r="G2514" s="18" t="s">
        <v>48</v>
      </c>
      <c r="H2514" s="24">
        <v>534910</v>
      </c>
      <c r="I2514" s="24">
        <f>T_reg.root.SK[[#This Row],[Volume, kg]]/1000</f>
        <v>534.91</v>
      </c>
      <c r="J2514" s="25">
        <v>0.25730000000000003</v>
      </c>
      <c r="K2514" s="25">
        <f t="shared" si="39"/>
        <v>137632.34300000002</v>
      </c>
      <c r="L2514" s="25">
        <v>3.54</v>
      </c>
      <c r="M2514" s="24">
        <v>1895189</v>
      </c>
      <c r="N2514" s="25">
        <f>IFERROR(T_reg.root.SK[[#This Row],[Price]]/T_reg.root.SK[[#This Row],[Starch content]],"")</f>
        <v>13.758258841818886</v>
      </c>
    </row>
    <row r="2515" spans="1:14">
      <c r="A2515" s="21">
        <v>2024</v>
      </c>
      <c r="B2515" s="21" t="s">
        <v>20</v>
      </c>
      <c r="C2515" s="21" t="s">
        <v>1145</v>
      </c>
      <c r="D2515" s="21" t="s">
        <v>35</v>
      </c>
      <c r="E2515" s="18" t="s">
        <v>711</v>
      </c>
      <c r="F2515" s="18" t="s">
        <v>95</v>
      </c>
      <c r="G2515" s="18" t="s">
        <v>48</v>
      </c>
      <c r="H2515" s="24">
        <v>9500</v>
      </c>
      <c r="I2515" s="24">
        <f>T_reg.root.SK[[#This Row],[Volume, kg]]/1000</f>
        <v>9.5</v>
      </c>
      <c r="J2515" s="25">
        <v>0.28800000000000003</v>
      </c>
      <c r="K2515" s="25">
        <f t="shared" si="39"/>
        <v>2736.0000000000005</v>
      </c>
      <c r="L2515" s="25">
        <v>3.75</v>
      </c>
      <c r="M2515" s="24">
        <v>35625</v>
      </c>
      <c r="N2515" s="25">
        <f>IFERROR(T_reg.root.SK[[#This Row],[Price]]/T_reg.root.SK[[#This Row],[Starch content]],"")</f>
        <v>13.020833333333332</v>
      </c>
    </row>
    <row r="2516" spans="1:14">
      <c r="A2516" s="21">
        <v>2024</v>
      </c>
      <c r="B2516" s="21" t="s">
        <v>20</v>
      </c>
      <c r="C2516" s="21" t="s">
        <v>1145</v>
      </c>
      <c r="D2516" s="21" t="s">
        <v>35</v>
      </c>
      <c r="E2516" s="18" t="s">
        <v>664</v>
      </c>
      <c r="F2516" s="18" t="s">
        <v>95</v>
      </c>
      <c r="G2516" s="18" t="s">
        <v>48</v>
      </c>
      <c r="H2516" s="24">
        <v>24410</v>
      </c>
      <c r="I2516" s="24">
        <f>T_reg.root.SK[[#This Row],[Volume, kg]]/1000</f>
        <v>24.41</v>
      </c>
      <c r="J2516" s="25">
        <v>0.21899999999999997</v>
      </c>
      <c r="K2516" s="25">
        <f t="shared" si="39"/>
        <v>5345.7899999999991</v>
      </c>
      <c r="L2516" s="25">
        <v>3.3</v>
      </c>
      <c r="M2516" s="24">
        <v>80553</v>
      </c>
      <c r="N2516" s="25">
        <f>IFERROR(T_reg.root.SK[[#This Row],[Price]]/T_reg.root.SK[[#This Row],[Starch content]],"")</f>
        <v>15.068493150684933</v>
      </c>
    </row>
    <row r="2517" spans="1:14">
      <c r="A2517" s="21">
        <v>2024</v>
      </c>
      <c r="B2517" s="21" t="s">
        <v>20</v>
      </c>
      <c r="C2517" s="21" t="s">
        <v>1145</v>
      </c>
      <c r="D2517" s="21" t="s">
        <v>39</v>
      </c>
      <c r="E2517" s="18" t="s">
        <v>98</v>
      </c>
      <c r="F2517" s="18" t="s">
        <v>99</v>
      </c>
      <c r="G2517" s="18" t="s">
        <v>42</v>
      </c>
      <c r="H2517" s="24">
        <v>1888270</v>
      </c>
      <c r="I2517" s="24">
        <f>T_reg.root.SK[[#This Row],[Volume, kg]]/1000</f>
        <v>1888.27</v>
      </c>
      <c r="J2517" s="25">
        <v>0.24010000000000001</v>
      </c>
      <c r="K2517" s="25">
        <f t="shared" si="39"/>
        <v>453373.62700000004</v>
      </c>
      <c r="L2517" s="25">
        <v>3.48</v>
      </c>
      <c r="M2517" s="24">
        <v>6572924</v>
      </c>
      <c r="N2517" s="25">
        <f>IFERROR(T_reg.root.SK[[#This Row],[Price]]/T_reg.root.SK[[#This Row],[Starch content]],"")</f>
        <v>14.49396084964598</v>
      </c>
    </row>
    <row r="2518" spans="1:14">
      <c r="A2518" s="21">
        <v>2024</v>
      </c>
      <c r="B2518" s="21" t="s">
        <v>20</v>
      </c>
      <c r="C2518" s="21" t="s">
        <v>1145</v>
      </c>
      <c r="D2518" s="21" t="s">
        <v>39</v>
      </c>
      <c r="E2518" s="18" t="s">
        <v>346</v>
      </c>
      <c r="F2518" s="18" t="s">
        <v>99</v>
      </c>
      <c r="G2518" s="18" t="s">
        <v>42</v>
      </c>
      <c r="H2518" s="24">
        <v>3181270</v>
      </c>
      <c r="I2518" s="24">
        <f>T_reg.root.SK[[#This Row],[Volume, kg]]/1000</f>
        <v>3181.27</v>
      </c>
      <c r="J2518" s="25">
        <v>0.23559999999999998</v>
      </c>
      <c r="K2518" s="25">
        <f t="shared" si="39"/>
        <v>749507.21199999994</v>
      </c>
      <c r="L2518" s="25">
        <v>3.47</v>
      </c>
      <c r="M2518" s="24">
        <v>11024231</v>
      </c>
      <c r="N2518" s="25">
        <f>IFERROR(T_reg.root.SK[[#This Row],[Price]]/T_reg.root.SK[[#This Row],[Starch content]],"")</f>
        <v>14.728353140916811</v>
      </c>
    </row>
    <row r="2519" spans="1:14">
      <c r="A2519" s="21">
        <v>2024</v>
      </c>
      <c r="B2519" s="21" t="s">
        <v>20</v>
      </c>
      <c r="C2519" s="21" t="s">
        <v>1145</v>
      </c>
      <c r="D2519" s="21" t="s">
        <v>35</v>
      </c>
      <c r="E2519" s="18" t="s">
        <v>712</v>
      </c>
      <c r="F2519" s="18" t="s">
        <v>645</v>
      </c>
      <c r="G2519" s="18" t="s">
        <v>48</v>
      </c>
      <c r="H2519" s="24">
        <v>30130</v>
      </c>
      <c r="I2519" s="24">
        <f>T_reg.root.SK[[#This Row],[Volume, kg]]/1000</f>
        <v>30.13</v>
      </c>
      <c r="J2519" s="25">
        <v>0.2525</v>
      </c>
      <c r="K2519" s="25">
        <f t="shared" si="39"/>
        <v>7607.8249999999998</v>
      </c>
      <c r="L2519" s="25">
        <v>3.47</v>
      </c>
      <c r="M2519" s="24">
        <v>104508</v>
      </c>
      <c r="N2519" s="25">
        <f>IFERROR(T_reg.root.SK[[#This Row],[Price]]/T_reg.root.SK[[#This Row],[Starch content]],"")</f>
        <v>13.742574257425742</v>
      </c>
    </row>
    <row r="2520" spans="1:14">
      <c r="A2520" s="21">
        <v>2024</v>
      </c>
      <c r="B2520" s="21" t="s">
        <v>20</v>
      </c>
      <c r="C2520" s="21" t="s">
        <v>1145</v>
      </c>
      <c r="D2520" s="21" t="s">
        <v>35</v>
      </c>
      <c r="E2520" s="18" t="s">
        <v>280</v>
      </c>
      <c r="F2520" s="18" t="s">
        <v>281</v>
      </c>
      <c r="G2520" s="18" t="s">
        <v>38</v>
      </c>
      <c r="H2520" s="24">
        <v>6380</v>
      </c>
      <c r="I2520" s="24">
        <f>T_reg.root.SK[[#This Row],[Volume, kg]]/1000</f>
        <v>6.38</v>
      </c>
      <c r="J2520" s="25">
        <v>0.28399999999999997</v>
      </c>
      <c r="K2520" s="25">
        <f t="shared" si="39"/>
        <v>1811.9199999999998</v>
      </c>
      <c r="L2520" s="25">
        <v>3.55</v>
      </c>
      <c r="M2520" s="24">
        <v>22649</v>
      </c>
      <c r="N2520" s="25">
        <f>IFERROR(T_reg.root.SK[[#This Row],[Price]]/T_reg.root.SK[[#This Row],[Starch content]],"")</f>
        <v>12.5</v>
      </c>
    </row>
    <row r="2521" spans="1:14">
      <c r="A2521" s="21">
        <v>2024</v>
      </c>
      <c r="B2521" s="21" t="s">
        <v>20</v>
      </c>
      <c r="C2521" s="21" t="s">
        <v>1145</v>
      </c>
      <c r="D2521" s="21" t="s">
        <v>39</v>
      </c>
      <c r="E2521" s="18" t="s">
        <v>101</v>
      </c>
      <c r="F2521" s="18" t="s">
        <v>102</v>
      </c>
      <c r="G2521" s="18" t="s">
        <v>103</v>
      </c>
      <c r="H2521" s="24">
        <v>77350</v>
      </c>
      <c r="I2521" s="24">
        <f>T_reg.root.SK[[#This Row],[Volume, kg]]/1000</f>
        <v>77.349999999999994</v>
      </c>
      <c r="J2521" s="25">
        <v>0.22899999999999998</v>
      </c>
      <c r="K2521" s="25">
        <f t="shared" si="39"/>
        <v>17713.149999999998</v>
      </c>
      <c r="L2521" s="25">
        <v>3.4</v>
      </c>
      <c r="M2521" s="24">
        <v>262990</v>
      </c>
      <c r="N2521" s="25">
        <f>IFERROR(T_reg.root.SK[[#This Row],[Price]]/T_reg.root.SK[[#This Row],[Starch content]],"")</f>
        <v>14.847161572052402</v>
      </c>
    </row>
    <row r="2522" spans="1:14">
      <c r="A2522" s="21">
        <v>2024</v>
      </c>
      <c r="B2522" s="21" t="s">
        <v>20</v>
      </c>
      <c r="C2522" s="21" t="s">
        <v>1145</v>
      </c>
      <c r="D2522" s="21" t="s">
        <v>35</v>
      </c>
      <c r="E2522" s="18" t="s">
        <v>695</v>
      </c>
      <c r="F2522" s="18" t="s">
        <v>283</v>
      </c>
      <c r="G2522" s="18" t="s">
        <v>48</v>
      </c>
      <c r="H2522" s="24">
        <v>92320</v>
      </c>
      <c r="I2522" s="24">
        <f>T_reg.root.SK[[#This Row],[Volume, kg]]/1000</f>
        <v>92.32</v>
      </c>
      <c r="J2522" s="25">
        <v>0.29100000000000004</v>
      </c>
      <c r="K2522" s="25">
        <f t="shared" si="39"/>
        <v>26865.120000000003</v>
      </c>
      <c r="L2522" s="25">
        <v>3.78</v>
      </c>
      <c r="M2522" s="24">
        <v>348901.5</v>
      </c>
      <c r="N2522" s="25">
        <f>IFERROR(T_reg.root.SK[[#This Row],[Price]]/T_reg.root.SK[[#This Row],[Starch content]],"")</f>
        <v>12.989690721649483</v>
      </c>
    </row>
    <row r="2523" spans="1:14">
      <c r="A2523" s="21">
        <v>2024</v>
      </c>
      <c r="B2523" s="21" t="s">
        <v>20</v>
      </c>
      <c r="C2523" s="21" t="s">
        <v>1145</v>
      </c>
      <c r="D2523" s="21" t="s">
        <v>35</v>
      </c>
      <c r="E2523" s="18" t="s">
        <v>287</v>
      </c>
      <c r="F2523" s="18" t="s">
        <v>105</v>
      </c>
      <c r="G2523" s="18" t="s">
        <v>48</v>
      </c>
      <c r="H2523" s="24">
        <v>29890</v>
      </c>
      <c r="I2523" s="24">
        <f>T_reg.root.SK[[#This Row],[Volume, kg]]/1000</f>
        <v>29.89</v>
      </c>
      <c r="J2523" s="25">
        <v>0.27910000000000001</v>
      </c>
      <c r="K2523" s="25">
        <f t="shared" si="39"/>
        <v>8342.2990000000009</v>
      </c>
      <c r="L2523" s="25">
        <v>3.62</v>
      </c>
      <c r="M2523" s="24">
        <v>108090.5</v>
      </c>
      <c r="N2523" s="25">
        <f>IFERROR(T_reg.root.SK[[#This Row],[Price]]/T_reg.root.SK[[#This Row],[Starch content]],"")</f>
        <v>12.970261554998208</v>
      </c>
    </row>
    <row r="2524" spans="1:14">
      <c r="A2524" s="21">
        <v>2024</v>
      </c>
      <c r="B2524" s="21" t="s">
        <v>20</v>
      </c>
      <c r="C2524" s="21" t="s">
        <v>1145</v>
      </c>
      <c r="D2524" s="21" t="s">
        <v>35</v>
      </c>
      <c r="E2524" s="18" t="s">
        <v>684</v>
      </c>
      <c r="F2524" s="18" t="s">
        <v>105</v>
      </c>
      <c r="G2524" s="18" t="s">
        <v>48</v>
      </c>
      <c r="H2524" s="24">
        <v>34390</v>
      </c>
      <c r="I2524" s="24">
        <f>T_reg.root.SK[[#This Row],[Volume, kg]]/1000</f>
        <v>34.39</v>
      </c>
      <c r="J2524" s="25">
        <v>0.2828</v>
      </c>
      <c r="K2524" s="25">
        <f t="shared" si="39"/>
        <v>9725.4920000000002</v>
      </c>
      <c r="L2524" s="25">
        <v>3.62</v>
      </c>
      <c r="M2524" s="24">
        <v>124464.5</v>
      </c>
      <c r="N2524" s="25">
        <f>IFERROR(T_reg.root.SK[[#This Row],[Price]]/T_reg.root.SK[[#This Row],[Starch content]],"")</f>
        <v>12.800565770862802</v>
      </c>
    </row>
    <row r="2525" spans="1:14">
      <c r="A2525" s="21">
        <v>2024</v>
      </c>
      <c r="B2525" s="21" t="s">
        <v>20</v>
      </c>
      <c r="C2525" s="21" t="s">
        <v>1145</v>
      </c>
      <c r="D2525" s="21" t="s">
        <v>35</v>
      </c>
      <c r="E2525" s="18" t="s">
        <v>683</v>
      </c>
      <c r="F2525" s="18" t="s">
        <v>105</v>
      </c>
      <c r="G2525" s="18" t="s">
        <v>48</v>
      </c>
      <c r="H2525" s="24">
        <v>64390</v>
      </c>
      <c r="I2525" s="24">
        <f>T_reg.root.SK[[#This Row],[Volume, kg]]/1000</f>
        <v>64.39</v>
      </c>
      <c r="J2525" s="25">
        <v>0.2404</v>
      </c>
      <c r="K2525" s="25">
        <f t="shared" si="39"/>
        <v>15479.356</v>
      </c>
      <c r="L2525" s="25">
        <v>3.36</v>
      </c>
      <c r="M2525" s="24">
        <v>216212.5</v>
      </c>
      <c r="N2525" s="25">
        <f>IFERROR(T_reg.root.SK[[#This Row],[Price]]/T_reg.root.SK[[#This Row],[Starch content]],"")</f>
        <v>13.976705490848586</v>
      </c>
    </row>
    <row r="2526" spans="1:14">
      <c r="A2526" s="21">
        <v>2024</v>
      </c>
      <c r="B2526" s="21" t="s">
        <v>20</v>
      </c>
      <c r="C2526" s="21" t="s">
        <v>1145</v>
      </c>
      <c r="D2526" s="21" t="s">
        <v>35</v>
      </c>
      <c r="E2526" s="18" t="s">
        <v>349</v>
      </c>
      <c r="F2526" s="18" t="s">
        <v>105</v>
      </c>
      <c r="G2526" s="18" t="s">
        <v>48</v>
      </c>
      <c r="H2526" s="24">
        <v>48810</v>
      </c>
      <c r="I2526" s="24">
        <f>T_reg.root.SK[[#This Row],[Volume, kg]]/1000</f>
        <v>48.81</v>
      </c>
      <c r="J2526" s="25">
        <v>0.25840000000000002</v>
      </c>
      <c r="K2526" s="25">
        <f t="shared" si="39"/>
        <v>12612.504000000001</v>
      </c>
      <c r="L2526" s="25">
        <v>3.44</v>
      </c>
      <c r="M2526" s="24">
        <v>168019.5</v>
      </c>
      <c r="N2526" s="25">
        <f>IFERROR(T_reg.root.SK[[#This Row],[Price]]/T_reg.root.SK[[#This Row],[Starch content]],"")</f>
        <v>13.312693498452012</v>
      </c>
    </row>
    <row r="2527" spans="1:14">
      <c r="A2527" s="21">
        <v>2024</v>
      </c>
      <c r="B2527" s="21" t="s">
        <v>20</v>
      </c>
      <c r="C2527" s="21" t="s">
        <v>1145</v>
      </c>
      <c r="D2527" s="21" t="s">
        <v>35</v>
      </c>
      <c r="E2527" s="18" t="s">
        <v>289</v>
      </c>
      <c r="F2527" s="18" t="s">
        <v>105</v>
      </c>
      <c r="G2527" s="18" t="s">
        <v>48</v>
      </c>
      <c r="H2527" s="24">
        <v>68510</v>
      </c>
      <c r="I2527" s="24">
        <f>T_reg.root.SK[[#This Row],[Volume, kg]]/1000</f>
        <v>68.510000000000005</v>
      </c>
      <c r="J2527" s="25">
        <v>0.2515</v>
      </c>
      <c r="K2527" s="25">
        <f t="shared" si="39"/>
        <v>17230.264999999999</v>
      </c>
      <c r="L2527" s="25">
        <v>3.44</v>
      </c>
      <c r="M2527" s="24">
        <v>235995.5</v>
      </c>
      <c r="N2527" s="25">
        <f>IFERROR(T_reg.root.SK[[#This Row],[Price]]/T_reg.root.SK[[#This Row],[Starch content]],"")</f>
        <v>13.677932405566601</v>
      </c>
    </row>
    <row r="2528" spans="1:14">
      <c r="A2528" s="21">
        <v>2024</v>
      </c>
      <c r="B2528" s="21" t="s">
        <v>20</v>
      </c>
      <c r="C2528" s="21" t="s">
        <v>1145</v>
      </c>
      <c r="D2528" s="21" t="s">
        <v>35</v>
      </c>
      <c r="E2528" s="18" t="s">
        <v>108</v>
      </c>
      <c r="F2528" s="18" t="s">
        <v>105</v>
      </c>
      <c r="G2528" s="18" t="s">
        <v>48</v>
      </c>
      <c r="H2528" s="24">
        <v>97980</v>
      </c>
      <c r="I2528" s="24">
        <f>T_reg.root.SK[[#This Row],[Volume, kg]]/1000</f>
        <v>97.98</v>
      </c>
      <c r="J2528" s="25">
        <v>0.2742</v>
      </c>
      <c r="K2528" s="25">
        <f t="shared" si="39"/>
        <v>26866.115999999998</v>
      </c>
      <c r="L2528" s="25">
        <v>3.6</v>
      </c>
      <c r="M2528" s="24">
        <v>352499</v>
      </c>
      <c r="N2528" s="25">
        <f>IFERROR(T_reg.root.SK[[#This Row],[Price]]/T_reg.root.SK[[#This Row],[Starch content]],"")</f>
        <v>13.12910284463895</v>
      </c>
    </row>
    <row r="2529" spans="1:14">
      <c r="A2529" s="21">
        <v>2024</v>
      </c>
      <c r="B2529" s="21" t="s">
        <v>20</v>
      </c>
      <c r="C2529" s="21" t="s">
        <v>1145</v>
      </c>
      <c r="D2529" s="21" t="s">
        <v>35</v>
      </c>
      <c r="E2529" s="18" t="s">
        <v>401</v>
      </c>
      <c r="F2529" s="18" t="s">
        <v>105</v>
      </c>
      <c r="G2529" s="18" t="s">
        <v>48</v>
      </c>
      <c r="H2529" s="24">
        <v>17850</v>
      </c>
      <c r="I2529" s="24">
        <f>T_reg.root.SK[[#This Row],[Volume, kg]]/1000</f>
        <v>17.850000000000001</v>
      </c>
      <c r="J2529" s="25">
        <v>0.26800000000000002</v>
      </c>
      <c r="K2529" s="25">
        <f t="shared" si="39"/>
        <v>4783.8</v>
      </c>
      <c r="L2529" s="25">
        <v>3.6</v>
      </c>
      <c r="M2529" s="24">
        <v>64260</v>
      </c>
      <c r="N2529" s="25">
        <f>IFERROR(T_reg.root.SK[[#This Row],[Price]]/T_reg.root.SK[[#This Row],[Starch content]],"")</f>
        <v>13.432835820895521</v>
      </c>
    </row>
    <row r="2530" spans="1:14">
      <c r="A2530" s="21">
        <v>2024</v>
      </c>
      <c r="B2530" s="21" t="s">
        <v>20</v>
      </c>
      <c r="C2530" s="21" t="s">
        <v>1145</v>
      </c>
      <c r="D2530" s="21" t="s">
        <v>35</v>
      </c>
      <c r="E2530" s="18" t="s">
        <v>290</v>
      </c>
      <c r="F2530" s="18" t="s">
        <v>105</v>
      </c>
      <c r="G2530" s="18" t="s">
        <v>48</v>
      </c>
      <c r="H2530" s="24">
        <v>73960</v>
      </c>
      <c r="I2530" s="24">
        <f>T_reg.root.SK[[#This Row],[Volume, kg]]/1000</f>
        <v>73.959999999999994</v>
      </c>
      <c r="J2530" s="25">
        <v>0.25370000000000004</v>
      </c>
      <c r="K2530" s="25">
        <f t="shared" si="39"/>
        <v>18763.652000000002</v>
      </c>
      <c r="L2530" s="25">
        <v>3.41</v>
      </c>
      <c r="M2530" s="24">
        <v>252439</v>
      </c>
      <c r="N2530" s="25">
        <f>IFERROR(T_reg.root.SK[[#This Row],[Price]]/T_reg.root.SK[[#This Row],[Starch content]],"")</f>
        <v>13.441072132439889</v>
      </c>
    </row>
    <row r="2531" spans="1:14">
      <c r="A2531" s="21">
        <v>2024</v>
      </c>
      <c r="B2531" s="21" t="s">
        <v>20</v>
      </c>
      <c r="C2531" s="21" t="s">
        <v>1145</v>
      </c>
      <c r="D2531" s="21" t="s">
        <v>35</v>
      </c>
      <c r="E2531" s="18" t="s">
        <v>713</v>
      </c>
      <c r="F2531" s="18" t="s">
        <v>105</v>
      </c>
      <c r="G2531" s="18" t="s">
        <v>48</v>
      </c>
      <c r="H2531" s="24">
        <v>99000</v>
      </c>
      <c r="I2531" s="24">
        <f>T_reg.root.SK[[#This Row],[Volume, kg]]/1000</f>
        <v>99</v>
      </c>
      <c r="J2531" s="25">
        <v>0.2581</v>
      </c>
      <c r="K2531" s="25">
        <f t="shared" si="39"/>
        <v>25551.899999999998</v>
      </c>
      <c r="L2531" s="25">
        <v>3.44</v>
      </c>
      <c r="M2531" s="24">
        <v>340679</v>
      </c>
      <c r="N2531" s="25">
        <f>IFERROR(T_reg.root.SK[[#This Row],[Price]]/T_reg.root.SK[[#This Row],[Starch content]],"")</f>
        <v>13.328167376985665</v>
      </c>
    </row>
    <row r="2532" spans="1:14">
      <c r="A2532" s="21">
        <v>2024</v>
      </c>
      <c r="B2532" s="21" t="s">
        <v>20</v>
      </c>
      <c r="C2532" s="21" t="s">
        <v>1145</v>
      </c>
      <c r="D2532" s="21" t="s">
        <v>35</v>
      </c>
      <c r="E2532" s="18" t="s">
        <v>630</v>
      </c>
      <c r="F2532" s="18" t="s">
        <v>105</v>
      </c>
      <c r="G2532" s="18" t="s">
        <v>48</v>
      </c>
      <c r="H2532" s="24">
        <v>20230</v>
      </c>
      <c r="I2532" s="24">
        <f>T_reg.root.SK[[#This Row],[Volume, kg]]/1000</f>
        <v>20.23</v>
      </c>
      <c r="J2532" s="25">
        <v>0.21440000000000001</v>
      </c>
      <c r="K2532" s="25">
        <f t="shared" si="39"/>
        <v>4337.3119999999999</v>
      </c>
      <c r="L2532" s="25">
        <v>3.23</v>
      </c>
      <c r="M2532" s="24">
        <v>65305.5</v>
      </c>
      <c r="N2532" s="25">
        <f>IFERROR(T_reg.root.SK[[#This Row],[Price]]/T_reg.root.SK[[#This Row],[Starch content]],"")</f>
        <v>15.065298507462686</v>
      </c>
    </row>
    <row r="2533" spans="1:14">
      <c r="A2533" s="21">
        <v>2024</v>
      </c>
      <c r="B2533" s="21" t="s">
        <v>20</v>
      </c>
      <c r="C2533" s="21" t="s">
        <v>1145</v>
      </c>
      <c r="D2533" s="21" t="s">
        <v>35</v>
      </c>
      <c r="E2533" s="18" t="s">
        <v>291</v>
      </c>
      <c r="F2533" s="18" t="s">
        <v>105</v>
      </c>
      <c r="G2533" s="18" t="s">
        <v>48</v>
      </c>
      <c r="H2533" s="24">
        <v>63350</v>
      </c>
      <c r="I2533" s="24">
        <f>T_reg.root.SK[[#This Row],[Volume, kg]]/1000</f>
        <v>63.35</v>
      </c>
      <c r="J2533" s="25">
        <v>0.28559999999999997</v>
      </c>
      <c r="K2533" s="25">
        <f t="shared" si="39"/>
        <v>18092.759999999998</v>
      </c>
      <c r="L2533" s="25">
        <v>3.58</v>
      </c>
      <c r="M2533" s="24">
        <v>227094</v>
      </c>
      <c r="N2533" s="25">
        <f>IFERROR(T_reg.root.SK[[#This Row],[Price]]/T_reg.root.SK[[#This Row],[Starch content]],"")</f>
        <v>12.535014005602243</v>
      </c>
    </row>
    <row r="2534" spans="1:14">
      <c r="A2534" s="21">
        <v>2024</v>
      </c>
      <c r="B2534" s="21" t="s">
        <v>20</v>
      </c>
      <c r="C2534" s="21" t="s">
        <v>1145</v>
      </c>
      <c r="D2534" s="21" t="s">
        <v>35</v>
      </c>
      <c r="E2534" s="18" t="s">
        <v>631</v>
      </c>
      <c r="F2534" s="18" t="s">
        <v>105</v>
      </c>
      <c r="G2534" s="18" t="s">
        <v>48</v>
      </c>
      <c r="H2534" s="24">
        <v>34170</v>
      </c>
      <c r="I2534" s="24">
        <f>T_reg.root.SK[[#This Row],[Volume, kg]]/1000</f>
        <v>34.17</v>
      </c>
      <c r="J2534" s="25">
        <v>0.22719999999999999</v>
      </c>
      <c r="K2534" s="25">
        <f t="shared" si="39"/>
        <v>7763.4239999999991</v>
      </c>
      <c r="L2534" s="25">
        <v>3.3</v>
      </c>
      <c r="M2534" s="24">
        <v>112654.5</v>
      </c>
      <c r="N2534" s="25">
        <f>IFERROR(T_reg.root.SK[[#This Row],[Price]]/T_reg.root.SK[[#This Row],[Starch content]],"")</f>
        <v>14.524647887323944</v>
      </c>
    </row>
    <row r="2535" spans="1:14">
      <c r="A2535" s="21">
        <v>2024</v>
      </c>
      <c r="B2535" s="21" t="s">
        <v>20</v>
      </c>
      <c r="C2535" s="21" t="s">
        <v>1145</v>
      </c>
      <c r="D2535" s="21" t="s">
        <v>35</v>
      </c>
      <c r="E2535" s="18" t="s">
        <v>109</v>
      </c>
      <c r="F2535" s="18" t="s">
        <v>105</v>
      </c>
      <c r="G2535" s="18" t="s">
        <v>48</v>
      </c>
      <c r="H2535" s="24">
        <v>273560</v>
      </c>
      <c r="I2535" s="24">
        <f>T_reg.root.SK[[#This Row],[Volume, kg]]/1000</f>
        <v>273.56</v>
      </c>
      <c r="J2535" s="25">
        <v>0.24489999999999998</v>
      </c>
      <c r="K2535" s="25">
        <f t="shared" si="39"/>
        <v>66994.843999999997</v>
      </c>
      <c r="L2535" s="25">
        <v>3.42</v>
      </c>
      <c r="M2535" s="24">
        <v>934253.5</v>
      </c>
      <c r="N2535" s="25">
        <f>IFERROR(T_reg.root.SK[[#This Row],[Price]]/T_reg.root.SK[[#This Row],[Starch content]],"")</f>
        <v>13.964883625969785</v>
      </c>
    </row>
    <row r="2536" spans="1:14">
      <c r="A2536" s="21">
        <v>2024</v>
      </c>
      <c r="B2536" s="21" t="s">
        <v>20</v>
      </c>
      <c r="C2536" s="21" t="s">
        <v>1145</v>
      </c>
      <c r="D2536" s="21" t="s">
        <v>35</v>
      </c>
      <c r="E2536" s="18" t="s">
        <v>352</v>
      </c>
      <c r="F2536" s="18" t="s">
        <v>105</v>
      </c>
      <c r="G2536" s="18" t="s">
        <v>48</v>
      </c>
      <c r="H2536" s="24">
        <v>9860</v>
      </c>
      <c r="I2536" s="24">
        <f>T_reg.root.SK[[#This Row],[Volume, kg]]/1000</f>
        <v>9.86</v>
      </c>
      <c r="J2536" s="25">
        <v>0.24929999999999999</v>
      </c>
      <c r="K2536" s="25">
        <f t="shared" si="39"/>
        <v>2458.098</v>
      </c>
      <c r="L2536" s="25">
        <v>3.41</v>
      </c>
      <c r="M2536" s="24">
        <v>33665.5</v>
      </c>
      <c r="N2536" s="25">
        <f>IFERROR(T_reg.root.SK[[#This Row],[Price]]/T_reg.root.SK[[#This Row],[Starch content]],"")</f>
        <v>13.678299237866026</v>
      </c>
    </row>
    <row r="2537" spans="1:14">
      <c r="A2537" s="21">
        <v>2024</v>
      </c>
      <c r="B2537" s="21" t="s">
        <v>20</v>
      </c>
      <c r="C2537" s="21" t="s">
        <v>1145</v>
      </c>
      <c r="D2537" s="21" t="s">
        <v>35</v>
      </c>
      <c r="E2537" s="18" t="s">
        <v>295</v>
      </c>
      <c r="F2537" s="18" t="s">
        <v>105</v>
      </c>
      <c r="G2537" s="18" t="s">
        <v>48</v>
      </c>
      <c r="H2537" s="24">
        <v>11470</v>
      </c>
      <c r="I2537" s="24">
        <f>T_reg.root.SK[[#This Row],[Volume, kg]]/1000</f>
        <v>11.47</v>
      </c>
      <c r="J2537" s="25">
        <v>0.22370000000000001</v>
      </c>
      <c r="K2537" s="25">
        <f t="shared" si="39"/>
        <v>2565.8389999999999</v>
      </c>
      <c r="L2537" s="25">
        <v>3.26</v>
      </c>
      <c r="M2537" s="24">
        <v>37439</v>
      </c>
      <c r="N2537" s="25">
        <f>IFERROR(T_reg.root.SK[[#This Row],[Price]]/T_reg.root.SK[[#This Row],[Starch content]],"")</f>
        <v>14.573088958426462</v>
      </c>
    </row>
    <row r="2538" spans="1:14">
      <c r="A2538" s="21">
        <v>2024</v>
      </c>
      <c r="B2538" s="21" t="s">
        <v>20</v>
      </c>
      <c r="C2538" s="21" t="s">
        <v>1145</v>
      </c>
      <c r="D2538" s="21" t="s">
        <v>35</v>
      </c>
      <c r="E2538" s="18" t="s">
        <v>714</v>
      </c>
      <c r="F2538" s="18" t="s">
        <v>105</v>
      </c>
      <c r="G2538" s="18" t="s">
        <v>48</v>
      </c>
      <c r="H2538" s="24">
        <v>21530</v>
      </c>
      <c r="I2538" s="24">
        <f>T_reg.root.SK[[#This Row],[Volume, kg]]/1000</f>
        <v>21.53</v>
      </c>
      <c r="J2538" s="25">
        <v>0.25429999999999997</v>
      </c>
      <c r="K2538" s="25">
        <f t="shared" si="39"/>
        <v>5475.0789999999997</v>
      </c>
      <c r="L2538" s="25">
        <v>3.49</v>
      </c>
      <c r="M2538" s="24">
        <v>75230.5</v>
      </c>
      <c r="N2538" s="25">
        <f>IFERROR(T_reg.root.SK[[#This Row],[Price]]/T_reg.root.SK[[#This Row],[Starch content]],"")</f>
        <v>13.723948092803777</v>
      </c>
    </row>
    <row r="2539" spans="1:14">
      <c r="A2539" s="21">
        <v>2024</v>
      </c>
      <c r="B2539" s="21" t="s">
        <v>20</v>
      </c>
      <c r="C2539" s="21" t="s">
        <v>1145</v>
      </c>
      <c r="D2539" s="21" t="s">
        <v>35</v>
      </c>
      <c r="E2539" s="18" t="s">
        <v>665</v>
      </c>
      <c r="F2539" s="18" t="s">
        <v>105</v>
      </c>
      <c r="G2539" s="18" t="s">
        <v>48</v>
      </c>
      <c r="H2539" s="24">
        <v>39970</v>
      </c>
      <c r="I2539" s="24">
        <f>T_reg.root.SK[[#This Row],[Volume, kg]]/1000</f>
        <v>39.97</v>
      </c>
      <c r="J2539" s="25">
        <v>0.2631</v>
      </c>
      <c r="K2539" s="25">
        <f t="shared" si="39"/>
        <v>10516.107</v>
      </c>
      <c r="L2539" s="25">
        <v>3.53</v>
      </c>
      <c r="M2539" s="24">
        <v>141082</v>
      </c>
      <c r="N2539" s="25">
        <f>IFERROR(T_reg.root.SK[[#This Row],[Price]]/T_reg.root.SK[[#This Row],[Starch content]],"")</f>
        <v>13.416951729380463</v>
      </c>
    </row>
    <row r="2540" spans="1:14">
      <c r="A2540" s="21">
        <v>2024</v>
      </c>
      <c r="B2540" s="21" t="s">
        <v>20</v>
      </c>
      <c r="C2540" s="21" t="s">
        <v>1145</v>
      </c>
      <c r="D2540" s="21" t="s">
        <v>35</v>
      </c>
      <c r="E2540" s="18" t="s">
        <v>233</v>
      </c>
      <c r="F2540" s="18" t="s">
        <v>105</v>
      </c>
      <c r="G2540" s="18" t="s">
        <v>48</v>
      </c>
      <c r="H2540" s="24">
        <v>54710</v>
      </c>
      <c r="I2540" s="24">
        <f>T_reg.root.SK[[#This Row],[Volume, kg]]/1000</f>
        <v>54.71</v>
      </c>
      <c r="J2540" s="25">
        <v>0.23100000000000001</v>
      </c>
      <c r="K2540" s="25">
        <f t="shared" si="39"/>
        <v>12638.01</v>
      </c>
      <c r="L2540" s="25">
        <v>3.31</v>
      </c>
      <c r="M2540" s="24">
        <v>181217</v>
      </c>
      <c r="N2540" s="25">
        <f>IFERROR(T_reg.root.SK[[#This Row],[Price]]/T_reg.root.SK[[#This Row],[Starch content]],"")</f>
        <v>14.329004329004329</v>
      </c>
    </row>
    <row r="2541" spans="1:14">
      <c r="A2541" s="21">
        <v>2024</v>
      </c>
      <c r="B2541" s="21" t="s">
        <v>20</v>
      </c>
      <c r="C2541" s="21" t="s">
        <v>1145</v>
      </c>
      <c r="D2541" s="21" t="s">
        <v>35</v>
      </c>
      <c r="E2541" s="18" t="s">
        <v>234</v>
      </c>
      <c r="F2541" s="18" t="s">
        <v>105</v>
      </c>
      <c r="G2541" s="18" t="s">
        <v>48</v>
      </c>
      <c r="H2541" s="24">
        <v>13540</v>
      </c>
      <c r="I2541" s="24">
        <f>T_reg.root.SK[[#This Row],[Volume, kg]]/1000</f>
        <v>13.54</v>
      </c>
      <c r="J2541" s="25">
        <v>0.22550000000000001</v>
      </c>
      <c r="K2541" s="25">
        <f t="shared" si="39"/>
        <v>3053.27</v>
      </c>
      <c r="L2541" s="25">
        <v>3.3</v>
      </c>
      <c r="M2541" s="24">
        <v>44682</v>
      </c>
      <c r="N2541" s="25">
        <f>IFERROR(T_reg.root.SK[[#This Row],[Price]]/T_reg.root.SK[[#This Row],[Starch content]],"")</f>
        <v>14.634146341463413</v>
      </c>
    </row>
    <row r="2542" spans="1:14">
      <c r="A2542" s="21">
        <v>2024</v>
      </c>
      <c r="B2542" s="21" t="s">
        <v>20</v>
      </c>
      <c r="C2542" s="21" t="s">
        <v>1145</v>
      </c>
      <c r="D2542" s="21" t="s">
        <v>35</v>
      </c>
      <c r="E2542" s="18" t="s">
        <v>402</v>
      </c>
      <c r="F2542" s="18" t="s">
        <v>105</v>
      </c>
      <c r="G2542" s="18" t="s">
        <v>48</v>
      </c>
      <c r="H2542" s="24">
        <v>56570</v>
      </c>
      <c r="I2542" s="24">
        <f>T_reg.root.SK[[#This Row],[Volume, kg]]/1000</f>
        <v>56.57</v>
      </c>
      <c r="J2542" s="25">
        <v>0.24760000000000001</v>
      </c>
      <c r="K2542" s="25">
        <f t="shared" si="39"/>
        <v>14006.732</v>
      </c>
      <c r="L2542" s="25">
        <v>3.39</v>
      </c>
      <c r="M2542" s="24">
        <v>191582.5</v>
      </c>
      <c r="N2542" s="25">
        <f>IFERROR(T_reg.root.SK[[#This Row],[Price]]/T_reg.root.SK[[#This Row],[Starch content]],"")</f>
        <v>13.691437802907915</v>
      </c>
    </row>
    <row r="2543" spans="1:14">
      <c r="A2543" s="21">
        <v>2024</v>
      </c>
      <c r="B2543" s="21" t="s">
        <v>20</v>
      </c>
      <c r="C2543" s="21" t="s">
        <v>1145</v>
      </c>
      <c r="D2543" s="21" t="s">
        <v>35</v>
      </c>
      <c r="E2543" s="18" t="s">
        <v>113</v>
      </c>
      <c r="F2543" s="18" t="s">
        <v>105</v>
      </c>
      <c r="G2543" s="18" t="s">
        <v>48</v>
      </c>
      <c r="H2543" s="24">
        <v>25540</v>
      </c>
      <c r="I2543" s="24">
        <f>T_reg.root.SK[[#This Row],[Volume, kg]]/1000</f>
        <v>25.54</v>
      </c>
      <c r="J2543" s="25">
        <v>0.27710000000000001</v>
      </c>
      <c r="K2543" s="25">
        <f t="shared" si="39"/>
        <v>7077.134</v>
      </c>
      <c r="L2543" s="25">
        <v>3.54</v>
      </c>
      <c r="M2543" s="24">
        <v>90415</v>
      </c>
      <c r="N2543" s="25">
        <f>IFERROR(T_reg.root.SK[[#This Row],[Price]]/T_reg.root.SK[[#This Row],[Starch content]],"")</f>
        <v>12.775171418260555</v>
      </c>
    </row>
    <row r="2544" spans="1:14">
      <c r="A2544" s="21">
        <v>2024</v>
      </c>
      <c r="B2544" s="21" t="s">
        <v>20</v>
      </c>
      <c r="C2544" s="21" t="s">
        <v>1145</v>
      </c>
      <c r="D2544" s="21" t="s">
        <v>35</v>
      </c>
      <c r="E2544" s="18" t="s">
        <v>685</v>
      </c>
      <c r="F2544" s="18" t="s">
        <v>105</v>
      </c>
      <c r="G2544" s="18" t="s">
        <v>48</v>
      </c>
      <c r="H2544" s="24">
        <v>8800</v>
      </c>
      <c r="I2544" s="24">
        <f>T_reg.root.SK[[#This Row],[Volume, kg]]/1000</f>
        <v>8.8000000000000007</v>
      </c>
      <c r="J2544" s="25">
        <v>0.23300000000000001</v>
      </c>
      <c r="K2544" s="25">
        <f t="shared" si="39"/>
        <v>2050.4</v>
      </c>
      <c r="L2544" s="25">
        <v>3.3</v>
      </c>
      <c r="M2544" s="24">
        <v>29040</v>
      </c>
      <c r="N2544" s="25">
        <f>IFERROR(T_reg.root.SK[[#This Row],[Price]]/T_reg.root.SK[[#This Row],[Starch content]],"")</f>
        <v>14.163090128755364</v>
      </c>
    </row>
    <row r="2545" spans="1:14">
      <c r="A2545" s="21">
        <v>2024</v>
      </c>
      <c r="B2545" s="21" t="s">
        <v>20</v>
      </c>
      <c r="C2545" s="21" t="s">
        <v>1145</v>
      </c>
      <c r="D2545" s="21" t="s">
        <v>35</v>
      </c>
      <c r="E2545" s="18" t="s">
        <v>115</v>
      </c>
      <c r="F2545" s="18" t="s">
        <v>105</v>
      </c>
      <c r="G2545" s="18" t="s">
        <v>48</v>
      </c>
      <c r="H2545" s="24">
        <v>34450</v>
      </c>
      <c r="I2545" s="24">
        <f>T_reg.root.SK[[#This Row],[Volume, kg]]/1000</f>
        <v>34.450000000000003</v>
      </c>
      <c r="J2545" s="25">
        <v>0.22210000000000002</v>
      </c>
      <c r="K2545" s="25">
        <f t="shared" si="39"/>
        <v>7651.3450000000003</v>
      </c>
      <c r="L2545" s="25">
        <v>3.27</v>
      </c>
      <c r="M2545" s="24">
        <v>112586.5</v>
      </c>
      <c r="N2545" s="25">
        <f>IFERROR(T_reg.root.SK[[#This Row],[Price]]/T_reg.root.SK[[#This Row],[Starch content]],"")</f>
        <v>14.723097703737054</v>
      </c>
    </row>
    <row r="2546" spans="1:14">
      <c r="A2546" s="21">
        <v>2024</v>
      </c>
      <c r="B2546" s="21" t="s">
        <v>20</v>
      </c>
      <c r="C2546" s="21" t="s">
        <v>1145</v>
      </c>
      <c r="D2546" s="21" t="s">
        <v>35</v>
      </c>
      <c r="E2546" s="18" t="s">
        <v>116</v>
      </c>
      <c r="F2546" s="18" t="s">
        <v>105</v>
      </c>
      <c r="G2546" s="18" t="s">
        <v>48</v>
      </c>
      <c r="H2546" s="24">
        <v>12040</v>
      </c>
      <c r="I2546" s="24">
        <f>T_reg.root.SK[[#This Row],[Volume, kg]]/1000</f>
        <v>12.04</v>
      </c>
      <c r="J2546" s="25">
        <v>0.24010000000000001</v>
      </c>
      <c r="K2546" s="25">
        <f t="shared" si="39"/>
        <v>2890.8040000000001</v>
      </c>
      <c r="L2546" s="25">
        <v>3.45</v>
      </c>
      <c r="M2546" s="24">
        <v>41538</v>
      </c>
      <c r="N2546" s="25">
        <f>IFERROR(T_reg.root.SK[[#This Row],[Price]]/T_reg.root.SK[[#This Row],[Starch content]],"")</f>
        <v>14.369012911286964</v>
      </c>
    </row>
    <row r="2547" spans="1:14">
      <c r="A2547" s="21">
        <v>2024</v>
      </c>
      <c r="B2547" s="21" t="s">
        <v>20</v>
      </c>
      <c r="C2547" s="21" t="s">
        <v>1145</v>
      </c>
      <c r="D2547" s="21" t="s">
        <v>35</v>
      </c>
      <c r="E2547" s="18" t="s">
        <v>296</v>
      </c>
      <c r="F2547" s="18" t="s">
        <v>105</v>
      </c>
      <c r="G2547" s="18" t="s">
        <v>48</v>
      </c>
      <c r="H2547" s="24">
        <v>65250</v>
      </c>
      <c r="I2547" s="24">
        <f>T_reg.root.SK[[#This Row],[Volume, kg]]/1000</f>
        <v>65.25</v>
      </c>
      <c r="J2547" s="25">
        <v>0.24640000000000001</v>
      </c>
      <c r="K2547" s="25">
        <f t="shared" si="39"/>
        <v>16077.6</v>
      </c>
      <c r="L2547" s="25">
        <v>3.42</v>
      </c>
      <c r="M2547" s="24">
        <v>223355.5</v>
      </c>
      <c r="N2547" s="25">
        <f>IFERROR(T_reg.root.SK[[#This Row],[Price]]/T_reg.root.SK[[#This Row],[Starch content]],"")</f>
        <v>13.879870129870129</v>
      </c>
    </row>
    <row r="2548" spans="1:14">
      <c r="A2548" s="21">
        <v>2024</v>
      </c>
      <c r="B2548" s="21" t="s">
        <v>20</v>
      </c>
      <c r="C2548" s="21" t="s">
        <v>1145</v>
      </c>
      <c r="D2548" s="21" t="s">
        <v>35</v>
      </c>
      <c r="E2548" s="18" t="s">
        <v>118</v>
      </c>
      <c r="F2548" s="18" t="s">
        <v>105</v>
      </c>
      <c r="G2548" s="18" t="s">
        <v>48</v>
      </c>
      <c r="H2548" s="24">
        <v>564970</v>
      </c>
      <c r="I2548" s="24">
        <f>T_reg.root.SK[[#This Row],[Volume, kg]]/1000</f>
        <v>564.97</v>
      </c>
      <c r="J2548" s="25">
        <v>0.25590000000000002</v>
      </c>
      <c r="K2548" s="25">
        <f t="shared" si="39"/>
        <v>144575.823</v>
      </c>
      <c r="L2548" s="25">
        <v>3.51</v>
      </c>
      <c r="M2548" s="24">
        <v>1984023.5</v>
      </c>
      <c r="N2548" s="25">
        <f>IFERROR(T_reg.root.SK[[#This Row],[Price]]/T_reg.root.SK[[#This Row],[Starch content]],"")</f>
        <v>13.716295427901523</v>
      </c>
    </row>
    <row r="2549" spans="1:14">
      <c r="A2549" s="21">
        <v>2024</v>
      </c>
      <c r="B2549" s="21" t="s">
        <v>20</v>
      </c>
      <c r="C2549" s="21" t="s">
        <v>1145</v>
      </c>
      <c r="D2549" s="21" t="s">
        <v>35</v>
      </c>
      <c r="E2549" s="18" t="s">
        <v>119</v>
      </c>
      <c r="F2549" s="18" t="s">
        <v>105</v>
      </c>
      <c r="G2549" s="18" t="s">
        <v>48</v>
      </c>
      <c r="H2549" s="24">
        <v>8360</v>
      </c>
      <c r="I2549" s="24">
        <f>T_reg.root.SK[[#This Row],[Volume, kg]]/1000</f>
        <v>8.36</v>
      </c>
      <c r="J2549" s="25">
        <v>0.2525</v>
      </c>
      <c r="K2549" s="25">
        <f t="shared" si="39"/>
        <v>2110.9</v>
      </c>
      <c r="L2549" s="25">
        <v>3.4</v>
      </c>
      <c r="M2549" s="24">
        <v>28424</v>
      </c>
      <c r="N2549" s="25">
        <f>IFERROR(T_reg.root.SK[[#This Row],[Price]]/T_reg.root.SK[[#This Row],[Starch content]],"")</f>
        <v>13.465346534653465</v>
      </c>
    </row>
    <row r="2550" spans="1:14">
      <c r="A2550" s="21">
        <v>2024</v>
      </c>
      <c r="B2550" s="21" t="s">
        <v>20</v>
      </c>
      <c r="C2550" s="21" t="s">
        <v>1145</v>
      </c>
      <c r="D2550" s="21" t="s">
        <v>35</v>
      </c>
      <c r="E2550" s="18" t="s">
        <v>122</v>
      </c>
      <c r="F2550" s="18" t="s">
        <v>105</v>
      </c>
      <c r="G2550" s="18" t="s">
        <v>48</v>
      </c>
      <c r="H2550" s="24">
        <v>209040</v>
      </c>
      <c r="I2550" s="24">
        <f>T_reg.root.SK[[#This Row],[Volume, kg]]/1000</f>
        <v>209.04</v>
      </c>
      <c r="J2550" s="25">
        <v>0.23600000000000002</v>
      </c>
      <c r="K2550" s="25">
        <f t="shared" si="39"/>
        <v>49333.440000000002</v>
      </c>
      <c r="L2550" s="25">
        <v>3.34</v>
      </c>
      <c r="M2550" s="24">
        <v>697943.5</v>
      </c>
      <c r="N2550" s="25">
        <f>IFERROR(T_reg.root.SK[[#This Row],[Price]]/T_reg.root.SK[[#This Row],[Starch content]],"")</f>
        <v>14.152542372881355</v>
      </c>
    </row>
    <row r="2551" spans="1:14">
      <c r="A2551" s="21">
        <v>2024</v>
      </c>
      <c r="B2551" s="21" t="s">
        <v>20</v>
      </c>
      <c r="C2551" s="21" t="s">
        <v>1145</v>
      </c>
      <c r="D2551" s="21" t="s">
        <v>35</v>
      </c>
      <c r="E2551" s="18" t="s">
        <v>123</v>
      </c>
      <c r="F2551" s="18" t="s">
        <v>105</v>
      </c>
      <c r="G2551" s="18" t="s">
        <v>48</v>
      </c>
      <c r="H2551" s="24">
        <v>7670</v>
      </c>
      <c r="I2551" s="24">
        <f>T_reg.root.SK[[#This Row],[Volume, kg]]/1000</f>
        <v>7.67</v>
      </c>
      <c r="J2551" s="25">
        <v>0.23649999999999999</v>
      </c>
      <c r="K2551" s="25">
        <f t="shared" si="39"/>
        <v>1813.9549999999999</v>
      </c>
      <c r="L2551" s="25">
        <v>3.35</v>
      </c>
      <c r="M2551" s="24">
        <v>25694.5</v>
      </c>
      <c r="N2551" s="25">
        <f>IFERROR(T_reg.root.SK[[#This Row],[Price]]/T_reg.root.SK[[#This Row],[Starch content]],"")</f>
        <v>14.164904862579283</v>
      </c>
    </row>
    <row r="2552" spans="1:14">
      <c r="A2552" s="21">
        <v>2024</v>
      </c>
      <c r="B2552" s="21" t="s">
        <v>20</v>
      </c>
      <c r="C2552" s="21" t="s">
        <v>1145</v>
      </c>
      <c r="D2552" s="21" t="s">
        <v>35</v>
      </c>
      <c r="E2552" s="18" t="s">
        <v>238</v>
      </c>
      <c r="F2552" s="18" t="s">
        <v>105</v>
      </c>
      <c r="G2552" s="18" t="s">
        <v>48</v>
      </c>
      <c r="H2552" s="24">
        <v>143090</v>
      </c>
      <c r="I2552" s="24">
        <f>T_reg.root.SK[[#This Row],[Volume, kg]]/1000</f>
        <v>143.09</v>
      </c>
      <c r="J2552" s="25">
        <v>0.19719999999999999</v>
      </c>
      <c r="K2552" s="25">
        <f t="shared" si="39"/>
        <v>28217.347999999998</v>
      </c>
      <c r="L2552" s="25">
        <v>3.14</v>
      </c>
      <c r="M2552" s="24">
        <v>449239.5</v>
      </c>
      <c r="N2552" s="25">
        <f>IFERROR(T_reg.root.SK[[#This Row],[Price]]/T_reg.root.SK[[#This Row],[Starch content]],"")</f>
        <v>15.922920892494931</v>
      </c>
    </row>
    <row r="2553" spans="1:14">
      <c r="A2553" s="21">
        <v>2024</v>
      </c>
      <c r="B2553" s="21" t="s">
        <v>20</v>
      </c>
      <c r="C2553" s="21" t="s">
        <v>1145</v>
      </c>
      <c r="D2553" s="21" t="s">
        <v>35</v>
      </c>
      <c r="E2553" s="18" t="s">
        <v>355</v>
      </c>
      <c r="F2553" s="18" t="s">
        <v>105</v>
      </c>
      <c r="G2553" s="18" t="s">
        <v>48</v>
      </c>
      <c r="H2553" s="24">
        <v>17250</v>
      </c>
      <c r="I2553" s="24">
        <f>T_reg.root.SK[[#This Row],[Volume, kg]]/1000</f>
        <v>17.25</v>
      </c>
      <c r="J2553" s="25">
        <v>0.25030000000000002</v>
      </c>
      <c r="K2553" s="25">
        <f t="shared" si="39"/>
        <v>4317.6750000000002</v>
      </c>
      <c r="L2553" s="25">
        <v>3.4</v>
      </c>
      <c r="M2553" s="24">
        <v>58650</v>
      </c>
      <c r="N2553" s="25">
        <f>IFERROR(T_reg.root.SK[[#This Row],[Price]]/T_reg.root.SK[[#This Row],[Starch content]],"")</f>
        <v>13.583699560527366</v>
      </c>
    </row>
    <row r="2554" spans="1:14">
      <c r="A2554" s="21">
        <v>2024</v>
      </c>
      <c r="B2554" s="21" t="s">
        <v>20</v>
      </c>
      <c r="C2554" s="21" t="s">
        <v>1145</v>
      </c>
      <c r="D2554" s="21" t="s">
        <v>35</v>
      </c>
      <c r="E2554" s="18" t="s">
        <v>239</v>
      </c>
      <c r="F2554" s="18" t="s">
        <v>105</v>
      </c>
      <c r="G2554" s="18" t="s">
        <v>48</v>
      </c>
      <c r="H2554" s="24">
        <v>74370</v>
      </c>
      <c r="I2554" s="24">
        <f>T_reg.root.SK[[#This Row],[Volume, kg]]/1000</f>
        <v>74.37</v>
      </c>
      <c r="J2554" s="25">
        <v>0.24579999999999999</v>
      </c>
      <c r="K2554" s="25">
        <f t="shared" si="39"/>
        <v>18280.146000000001</v>
      </c>
      <c r="L2554" s="25">
        <v>3.42</v>
      </c>
      <c r="M2554" s="24">
        <v>254188.5</v>
      </c>
      <c r="N2554" s="25">
        <f>IFERROR(T_reg.root.SK[[#This Row],[Price]]/T_reg.root.SK[[#This Row],[Starch content]],"")</f>
        <v>13.913751017087064</v>
      </c>
    </row>
    <row r="2555" spans="1:14">
      <c r="A2555" s="21">
        <v>2024</v>
      </c>
      <c r="B2555" s="21" t="s">
        <v>20</v>
      </c>
      <c r="C2555" s="21" t="s">
        <v>1145</v>
      </c>
      <c r="D2555" s="21" t="s">
        <v>35</v>
      </c>
      <c r="E2555" s="18" t="s">
        <v>124</v>
      </c>
      <c r="F2555" s="18" t="s">
        <v>105</v>
      </c>
      <c r="G2555" s="18" t="s">
        <v>48</v>
      </c>
      <c r="H2555" s="24">
        <v>138170</v>
      </c>
      <c r="I2555" s="24">
        <f>T_reg.root.SK[[#This Row],[Volume, kg]]/1000</f>
        <v>138.16999999999999</v>
      </c>
      <c r="J2555" s="25">
        <v>0.24600000000000002</v>
      </c>
      <c r="K2555" s="25">
        <f t="shared" si="39"/>
        <v>33989.82</v>
      </c>
      <c r="L2555" s="25">
        <v>3.39</v>
      </c>
      <c r="M2555" s="24">
        <v>468618.5</v>
      </c>
      <c r="N2555" s="25">
        <f>IFERROR(T_reg.root.SK[[#This Row],[Price]]/T_reg.root.SK[[#This Row],[Starch content]],"")</f>
        <v>13.780487804878048</v>
      </c>
    </row>
    <row r="2556" spans="1:14">
      <c r="A2556" s="21">
        <v>2024</v>
      </c>
      <c r="B2556" s="21" t="s">
        <v>20</v>
      </c>
      <c r="C2556" s="21" t="s">
        <v>1145</v>
      </c>
      <c r="D2556" s="21" t="s">
        <v>35</v>
      </c>
      <c r="E2556" s="18" t="s">
        <v>487</v>
      </c>
      <c r="F2556" s="18" t="s">
        <v>105</v>
      </c>
      <c r="G2556" s="18" t="s">
        <v>48</v>
      </c>
      <c r="H2556" s="24">
        <v>4790</v>
      </c>
      <c r="I2556" s="24">
        <f>T_reg.root.SK[[#This Row],[Volume, kg]]/1000</f>
        <v>4.79</v>
      </c>
      <c r="J2556" s="25">
        <v>0.25750000000000001</v>
      </c>
      <c r="K2556" s="25">
        <f t="shared" si="39"/>
        <v>1233.425</v>
      </c>
      <c r="L2556" s="25">
        <v>3.5</v>
      </c>
      <c r="M2556" s="24">
        <v>16765</v>
      </c>
      <c r="N2556" s="25">
        <f>IFERROR(T_reg.root.SK[[#This Row],[Price]]/T_reg.root.SK[[#This Row],[Starch content]],"")</f>
        <v>13.592233009708737</v>
      </c>
    </row>
    <row r="2557" spans="1:14">
      <c r="A2557" s="21">
        <v>2024</v>
      </c>
      <c r="B2557" s="21" t="s">
        <v>20</v>
      </c>
      <c r="C2557" s="21" t="s">
        <v>1145</v>
      </c>
      <c r="D2557" s="21" t="s">
        <v>35</v>
      </c>
      <c r="E2557" s="18" t="s">
        <v>715</v>
      </c>
      <c r="F2557" s="18" t="s">
        <v>105</v>
      </c>
      <c r="G2557" s="18" t="s">
        <v>48</v>
      </c>
      <c r="H2557" s="24">
        <v>55720</v>
      </c>
      <c r="I2557" s="24">
        <f>T_reg.root.SK[[#This Row],[Volume, kg]]/1000</f>
        <v>55.72</v>
      </c>
      <c r="J2557" s="25">
        <v>0.2412</v>
      </c>
      <c r="K2557" s="25">
        <f t="shared" si="39"/>
        <v>13439.664000000001</v>
      </c>
      <c r="L2557" s="25">
        <v>3.38</v>
      </c>
      <c r="M2557" s="24">
        <v>188335</v>
      </c>
      <c r="N2557" s="25">
        <f>IFERROR(T_reg.root.SK[[#This Row],[Price]]/T_reg.root.SK[[#This Row],[Starch content]],"")</f>
        <v>14.013266998341624</v>
      </c>
    </row>
    <row r="2558" spans="1:14">
      <c r="A2558" s="21">
        <v>2024</v>
      </c>
      <c r="B2558" s="21" t="s">
        <v>20</v>
      </c>
      <c r="C2558" s="21" t="s">
        <v>1145</v>
      </c>
      <c r="D2558" s="21" t="s">
        <v>35</v>
      </c>
      <c r="E2558" s="18" t="s">
        <v>716</v>
      </c>
      <c r="F2558" s="18" t="s">
        <v>105</v>
      </c>
      <c r="G2558" s="18" t="s">
        <v>48</v>
      </c>
      <c r="H2558" s="24">
        <v>15240</v>
      </c>
      <c r="I2558" s="24">
        <f>T_reg.root.SK[[#This Row],[Volume, kg]]/1000</f>
        <v>15.24</v>
      </c>
      <c r="J2558" s="25">
        <v>0.2767</v>
      </c>
      <c r="K2558" s="25">
        <f t="shared" si="39"/>
        <v>4216.9080000000004</v>
      </c>
      <c r="L2558" s="25">
        <v>3.6</v>
      </c>
      <c r="M2558" s="24">
        <v>54838</v>
      </c>
      <c r="N2558" s="25">
        <f>IFERROR(T_reg.root.SK[[#This Row],[Price]]/T_reg.root.SK[[#This Row],[Starch content]],"")</f>
        <v>13.010480664980124</v>
      </c>
    </row>
    <row r="2559" spans="1:14">
      <c r="A2559" s="21">
        <v>2024</v>
      </c>
      <c r="B2559" s="21" t="s">
        <v>20</v>
      </c>
      <c r="C2559" s="21" t="s">
        <v>1145</v>
      </c>
      <c r="D2559" s="21" t="s">
        <v>35</v>
      </c>
      <c r="E2559" s="18" t="s">
        <v>240</v>
      </c>
      <c r="F2559" s="18" t="s">
        <v>105</v>
      </c>
      <c r="G2559" s="18" t="s">
        <v>48</v>
      </c>
      <c r="H2559" s="24">
        <v>10080</v>
      </c>
      <c r="I2559" s="24">
        <f>T_reg.root.SK[[#This Row],[Volume, kg]]/1000</f>
        <v>10.08</v>
      </c>
      <c r="J2559" s="25">
        <v>0.2477</v>
      </c>
      <c r="K2559" s="25">
        <f t="shared" si="39"/>
        <v>2496.8160000000003</v>
      </c>
      <c r="L2559" s="25">
        <v>3.48</v>
      </c>
      <c r="M2559" s="24">
        <v>35060.5</v>
      </c>
      <c r="N2559" s="25">
        <f>IFERROR(T_reg.root.SK[[#This Row],[Price]]/T_reg.root.SK[[#This Row],[Starch content]],"")</f>
        <v>14.049253128784819</v>
      </c>
    </row>
    <row r="2560" spans="1:14">
      <c r="A2560" s="21">
        <v>2024</v>
      </c>
      <c r="B2560" s="21" t="s">
        <v>20</v>
      </c>
      <c r="C2560" s="21" t="s">
        <v>1145</v>
      </c>
      <c r="D2560" s="21" t="s">
        <v>35</v>
      </c>
      <c r="E2560" s="18" t="s">
        <v>127</v>
      </c>
      <c r="F2560" s="18" t="s">
        <v>105</v>
      </c>
      <c r="G2560" s="18" t="s">
        <v>48</v>
      </c>
      <c r="H2560" s="24">
        <v>19160</v>
      </c>
      <c r="I2560" s="24">
        <f>T_reg.root.SK[[#This Row],[Volume, kg]]/1000</f>
        <v>19.16</v>
      </c>
      <c r="J2560" s="25">
        <v>0.23139999999999999</v>
      </c>
      <c r="K2560" s="25">
        <f t="shared" si="39"/>
        <v>4433.6239999999998</v>
      </c>
      <c r="L2560" s="25">
        <v>3.3</v>
      </c>
      <c r="M2560" s="24">
        <v>63293.5</v>
      </c>
      <c r="N2560" s="25">
        <f>IFERROR(T_reg.root.SK[[#This Row],[Price]]/T_reg.root.SK[[#This Row],[Starch content]],"")</f>
        <v>14.261019878997407</v>
      </c>
    </row>
    <row r="2561" spans="1:14">
      <c r="A2561" s="21">
        <v>2024</v>
      </c>
      <c r="B2561" s="21" t="s">
        <v>20</v>
      </c>
      <c r="C2561" s="21" t="s">
        <v>1145</v>
      </c>
      <c r="D2561" s="21" t="s">
        <v>35</v>
      </c>
      <c r="E2561" s="18" t="s">
        <v>635</v>
      </c>
      <c r="F2561" s="18" t="s">
        <v>105</v>
      </c>
      <c r="G2561" s="18" t="s">
        <v>48</v>
      </c>
      <c r="H2561" s="24">
        <v>26990</v>
      </c>
      <c r="I2561" s="24">
        <f>T_reg.root.SK[[#This Row],[Volume, kg]]/1000</f>
        <v>26.99</v>
      </c>
      <c r="J2561" s="25">
        <v>0.2329</v>
      </c>
      <c r="K2561" s="25">
        <f t="shared" si="39"/>
        <v>6285.9709999999995</v>
      </c>
      <c r="L2561" s="25">
        <v>3.36</v>
      </c>
      <c r="M2561" s="24">
        <v>90555</v>
      </c>
      <c r="N2561" s="25">
        <f>IFERROR(T_reg.root.SK[[#This Row],[Price]]/T_reg.root.SK[[#This Row],[Starch content]],"")</f>
        <v>14.426792614856161</v>
      </c>
    </row>
    <row r="2562" spans="1:14">
      <c r="A2562" s="21">
        <v>2024</v>
      </c>
      <c r="B2562" s="21" t="s">
        <v>20</v>
      </c>
      <c r="C2562" s="21" t="s">
        <v>1145</v>
      </c>
      <c r="D2562" s="21" t="s">
        <v>35</v>
      </c>
      <c r="E2562" s="18" t="s">
        <v>602</v>
      </c>
      <c r="F2562" s="18" t="s">
        <v>105</v>
      </c>
      <c r="G2562" s="18" t="s">
        <v>48</v>
      </c>
      <c r="H2562" s="24">
        <v>30390</v>
      </c>
      <c r="I2562" s="24">
        <f>T_reg.root.SK[[#This Row],[Volume, kg]]/1000</f>
        <v>30.39</v>
      </c>
      <c r="J2562" s="25">
        <v>0.23860000000000001</v>
      </c>
      <c r="K2562" s="25">
        <f t="shared" si="39"/>
        <v>7251.0540000000001</v>
      </c>
      <c r="L2562" s="25">
        <v>3.34</v>
      </c>
      <c r="M2562" s="24">
        <v>101578</v>
      </c>
      <c r="N2562" s="25">
        <f>IFERROR(T_reg.root.SK[[#This Row],[Price]]/T_reg.root.SK[[#This Row],[Starch content]],"")</f>
        <v>13.998323554065381</v>
      </c>
    </row>
    <row r="2563" spans="1:14">
      <c r="A2563" s="21">
        <v>2024</v>
      </c>
      <c r="B2563" s="21" t="s">
        <v>20</v>
      </c>
      <c r="C2563" s="21" t="s">
        <v>1145</v>
      </c>
      <c r="D2563" s="21" t="s">
        <v>35</v>
      </c>
      <c r="E2563" s="18" t="s">
        <v>129</v>
      </c>
      <c r="F2563" s="18" t="s">
        <v>105</v>
      </c>
      <c r="G2563" s="18" t="s">
        <v>48</v>
      </c>
      <c r="H2563" s="24">
        <v>161560</v>
      </c>
      <c r="I2563" s="24">
        <f>T_reg.root.SK[[#This Row],[Volume, kg]]/1000</f>
        <v>161.56</v>
      </c>
      <c r="J2563" s="25">
        <v>0.24609999999999999</v>
      </c>
      <c r="K2563" s="25">
        <f t="shared" ref="K2563:K2626" si="40">H2563*J2563</f>
        <v>39759.915999999997</v>
      </c>
      <c r="L2563" s="25">
        <v>3.42</v>
      </c>
      <c r="M2563" s="24">
        <v>553183.5</v>
      </c>
      <c r="N2563" s="25">
        <f>IFERROR(T_reg.root.SK[[#This Row],[Price]]/T_reg.root.SK[[#This Row],[Starch content]],"")</f>
        <v>13.896789922795612</v>
      </c>
    </row>
    <row r="2564" spans="1:14">
      <c r="A2564" s="21">
        <v>2024</v>
      </c>
      <c r="B2564" s="21" t="s">
        <v>20</v>
      </c>
      <c r="C2564" s="21" t="s">
        <v>1145</v>
      </c>
      <c r="D2564" s="21" t="s">
        <v>35</v>
      </c>
      <c r="E2564" s="18" t="s">
        <v>131</v>
      </c>
      <c r="F2564" s="18" t="s">
        <v>105</v>
      </c>
      <c r="G2564" s="18" t="s">
        <v>48</v>
      </c>
      <c r="H2564" s="24">
        <v>53430</v>
      </c>
      <c r="I2564" s="24">
        <f>T_reg.root.SK[[#This Row],[Volume, kg]]/1000</f>
        <v>53.43</v>
      </c>
      <c r="J2564" s="25">
        <v>0.25920000000000004</v>
      </c>
      <c r="K2564" s="25">
        <f t="shared" si="40"/>
        <v>13849.056000000002</v>
      </c>
      <c r="L2564" s="25">
        <v>3.49</v>
      </c>
      <c r="M2564" s="24">
        <v>186523.5</v>
      </c>
      <c r="N2564" s="25">
        <f>IFERROR(T_reg.root.SK[[#This Row],[Price]]/T_reg.root.SK[[#This Row],[Starch content]],"")</f>
        <v>13.464506172839505</v>
      </c>
    </row>
    <row r="2565" spans="1:14">
      <c r="A2565" s="21">
        <v>2024</v>
      </c>
      <c r="B2565" s="21" t="s">
        <v>20</v>
      </c>
      <c r="C2565" s="21" t="s">
        <v>1145</v>
      </c>
      <c r="D2565" s="21" t="s">
        <v>35</v>
      </c>
      <c r="E2565" s="18" t="s">
        <v>564</v>
      </c>
      <c r="F2565" s="18" t="s">
        <v>105</v>
      </c>
      <c r="G2565" s="18" t="s">
        <v>48</v>
      </c>
      <c r="H2565" s="24">
        <v>10150</v>
      </c>
      <c r="I2565" s="24">
        <f>T_reg.root.SK[[#This Row],[Volume, kg]]/1000</f>
        <v>10.15</v>
      </c>
      <c r="J2565" s="25">
        <v>0.19570000000000001</v>
      </c>
      <c r="K2565" s="25">
        <f t="shared" si="40"/>
        <v>1986.355</v>
      </c>
      <c r="L2565" s="25">
        <v>3.15</v>
      </c>
      <c r="M2565" s="24">
        <v>31972.5</v>
      </c>
      <c r="N2565" s="25">
        <f>IFERROR(T_reg.root.SK[[#This Row],[Price]]/T_reg.root.SK[[#This Row],[Starch content]],"")</f>
        <v>16.096065406234029</v>
      </c>
    </row>
    <row r="2566" spans="1:14">
      <c r="A2566" s="21">
        <v>2024</v>
      </c>
      <c r="B2566" s="21" t="s">
        <v>20</v>
      </c>
      <c r="C2566" s="21" t="s">
        <v>1145</v>
      </c>
      <c r="D2566" s="21" t="s">
        <v>35</v>
      </c>
      <c r="E2566" s="18" t="s">
        <v>132</v>
      </c>
      <c r="F2566" s="18" t="s">
        <v>105</v>
      </c>
      <c r="G2566" s="18" t="s">
        <v>48</v>
      </c>
      <c r="H2566" s="24">
        <v>34270</v>
      </c>
      <c r="I2566" s="24">
        <f>T_reg.root.SK[[#This Row],[Volume, kg]]/1000</f>
        <v>34.270000000000003</v>
      </c>
      <c r="J2566" s="25">
        <v>0.22339999999999999</v>
      </c>
      <c r="K2566" s="25">
        <f t="shared" si="40"/>
        <v>7655.9179999999997</v>
      </c>
      <c r="L2566" s="25">
        <v>3.27</v>
      </c>
      <c r="M2566" s="24">
        <v>112015.5</v>
      </c>
      <c r="N2566" s="25">
        <f>IFERROR(T_reg.root.SK[[#This Row],[Price]]/T_reg.root.SK[[#This Row],[Starch content]],"")</f>
        <v>14.637421665174575</v>
      </c>
    </row>
    <row r="2567" spans="1:14">
      <c r="A2567" s="21">
        <v>2024</v>
      </c>
      <c r="B2567" s="21" t="s">
        <v>20</v>
      </c>
      <c r="C2567" s="21" t="s">
        <v>1145</v>
      </c>
      <c r="D2567" s="21" t="s">
        <v>35</v>
      </c>
      <c r="E2567" s="18" t="s">
        <v>717</v>
      </c>
      <c r="F2567" s="18" t="s">
        <v>105</v>
      </c>
      <c r="G2567" s="18" t="s">
        <v>48</v>
      </c>
      <c r="H2567" s="24">
        <v>34990</v>
      </c>
      <c r="I2567" s="24">
        <f>T_reg.root.SK[[#This Row],[Volume, kg]]/1000</f>
        <v>34.99</v>
      </c>
      <c r="J2567" s="25">
        <v>0.23469999999999999</v>
      </c>
      <c r="K2567" s="25">
        <f t="shared" si="40"/>
        <v>8212.1530000000002</v>
      </c>
      <c r="L2567" s="25">
        <v>3.37</v>
      </c>
      <c r="M2567" s="24">
        <v>118057.5</v>
      </c>
      <c r="N2567" s="25">
        <f>IFERROR(T_reg.root.SK[[#This Row],[Price]]/T_reg.root.SK[[#This Row],[Starch content]],"")</f>
        <v>14.358755858542821</v>
      </c>
    </row>
    <row r="2568" spans="1:14">
      <c r="A2568" s="21">
        <v>2024</v>
      </c>
      <c r="B2568" s="21" t="s">
        <v>20</v>
      </c>
      <c r="C2568" s="21" t="s">
        <v>1145</v>
      </c>
      <c r="D2568" s="21" t="s">
        <v>35</v>
      </c>
      <c r="E2568" s="18" t="s">
        <v>301</v>
      </c>
      <c r="F2568" s="18" t="s">
        <v>105</v>
      </c>
      <c r="G2568" s="18" t="s">
        <v>48</v>
      </c>
      <c r="H2568" s="24">
        <v>180730</v>
      </c>
      <c r="I2568" s="24">
        <f>T_reg.root.SK[[#This Row],[Volume, kg]]/1000</f>
        <v>180.73</v>
      </c>
      <c r="J2568" s="25">
        <v>0.22889999999999999</v>
      </c>
      <c r="K2568" s="25">
        <f t="shared" si="40"/>
        <v>41369.097000000002</v>
      </c>
      <c r="L2568" s="25">
        <v>3.29</v>
      </c>
      <c r="M2568" s="24">
        <v>594074</v>
      </c>
      <c r="N2568" s="25">
        <f>IFERROR(T_reg.root.SK[[#This Row],[Price]]/T_reg.root.SK[[#This Row],[Starch content]],"")</f>
        <v>14.373088685015292</v>
      </c>
    </row>
    <row r="2569" spans="1:14">
      <c r="A2569" s="21">
        <v>2024</v>
      </c>
      <c r="B2569" s="21" t="s">
        <v>20</v>
      </c>
      <c r="C2569" s="21" t="s">
        <v>1145</v>
      </c>
      <c r="D2569" s="21" t="s">
        <v>35</v>
      </c>
      <c r="E2569" s="18" t="s">
        <v>134</v>
      </c>
      <c r="F2569" s="18" t="s">
        <v>105</v>
      </c>
      <c r="G2569" s="18" t="s">
        <v>48</v>
      </c>
      <c r="H2569" s="24">
        <v>27400</v>
      </c>
      <c r="I2569" s="24">
        <f>T_reg.root.SK[[#This Row],[Volume, kg]]/1000</f>
        <v>27.4</v>
      </c>
      <c r="J2569" s="25">
        <v>0.2238</v>
      </c>
      <c r="K2569" s="25">
        <f t="shared" si="40"/>
        <v>6132.12</v>
      </c>
      <c r="L2569" s="25">
        <v>3.28</v>
      </c>
      <c r="M2569" s="24">
        <v>89925.5</v>
      </c>
      <c r="N2569" s="25">
        <f>IFERROR(T_reg.root.SK[[#This Row],[Price]]/T_reg.root.SK[[#This Row],[Starch content]],"")</f>
        <v>14.655942806076853</v>
      </c>
    </row>
    <row r="2570" spans="1:14">
      <c r="A2570" s="21">
        <v>2024</v>
      </c>
      <c r="B2570" s="21" t="s">
        <v>20</v>
      </c>
      <c r="C2570" s="21" t="s">
        <v>1145</v>
      </c>
      <c r="D2570" s="21" t="s">
        <v>35</v>
      </c>
      <c r="E2570" s="18" t="s">
        <v>135</v>
      </c>
      <c r="F2570" s="18" t="s">
        <v>105</v>
      </c>
      <c r="G2570" s="18" t="s">
        <v>48</v>
      </c>
      <c r="H2570" s="24">
        <v>12310</v>
      </c>
      <c r="I2570" s="24">
        <f>T_reg.root.SK[[#This Row],[Volume, kg]]/1000</f>
        <v>12.31</v>
      </c>
      <c r="J2570" s="25">
        <v>0.23699999999999999</v>
      </c>
      <c r="K2570" s="25">
        <f t="shared" si="40"/>
        <v>2917.47</v>
      </c>
      <c r="L2570" s="25">
        <v>3.34</v>
      </c>
      <c r="M2570" s="24">
        <v>41096</v>
      </c>
      <c r="N2570" s="25">
        <f>IFERROR(T_reg.root.SK[[#This Row],[Price]]/T_reg.root.SK[[#This Row],[Starch content]],"")</f>
        <v>14.092827004219409</v>
      </c>
    </row>
    <row r="2571" spans="1:14">
      <c r="A2571" s="21">
        <v>2024</v>
      </c>
      <c r="B2571" s="21" t="s">
        <v>20</v>
      </c>
      <c r="C2571" s="21" t="s">
        <v>1145</v>
      </c>
      <c r="D2571" s="21" t="s">
        <v>35</v>
      </c>
      <c r="E2571" s="18" t="s">
        <v>636</v>
      </c>
      <c r="F2571" s="18" t="s">
        <v>105</v>
      </c>
      <c r="G2571" s="18" t="s">
        <v>48</v>
      </c>
      <c r="H2571" s="24">
        <v>15900</v>
      </c>
      <c r="I2571" s="24">
        <f>T_reg.root.SK[[#This Row],[Volume, kg]]/1000</f>
        <v>15.9</v>
      </c>
      <c r="J2571" s="25">
        <v>0.20879999999999999</v>
      </c>
      <c r="K2571" s="25">
        <f t="shared" si="40"/>
        <v>3319.9199999999996</v>
      </c>
      <c r="L2571" s="25">
        <v>3.3</v>
      </c>
      <c r="M2571" s="24">
        <v>52397</v>
      </c>
      <c r="N2571" s="25">
        <f>IFERROR(T_reg.root.SK[[#This Row],[Price]]/T_reg.root.SK[[#This Row],[Starch content]],"")</f>
        <v>15.804597701149426</v>
      </c>
    </row>
    <row r="2572" spans="1:14">
      <c r="A2572" s="21">
        <v>2024</v>
      </c>
      <c r="B2572" s="21" t="s">
        <v>20</v>
      </c>
      <c r="C2572" s="21" t="s">
        <v>1145</v>
      </c>
      <c r="D2572" s="21" t="s">
        <v>35</v>
      </c>
      <c r="E2572" s="18" t="s">
        <v>136</v>
      </c>
      <c r="F2572" s="18" t="s">
        <v>105</v>
      </c>
      <c r="G2572" s="18" t="s">
        <v>48</v>
      </c>
      <c r="H2572" s="24">
        <v>313900</v>
      </c>
      <c r="I2572" s="24">
        <f>T_reg.root.SK[[#This Row],[Volume, kg]]/1000</f>
        <v>313.89999999999998</v>
      </c>
      <c r="J2572" s="25">
        <v>0.2445</v>
      </c>
      <c r="K2572" s="25">
        <f t="shared" si="40"/>
        <v>76748.55</v>
      </c>
      <c r="L2572" s="25">
        <v>3.39</v>
      </c>
      <c r="M2572" s="24">
        <v>1063670</v>
      </c>
      <c r="N2572" s="25">
        <f>IFERROR(T_reg.root.SK[[#This Row],[Price]]/T_reg.root.SK[[#This Row],[Starch content]],"")</f>
        <v>13.865030674846627</v>
      </c>
    </row>
    <row r="2573" spans="1:14">
      <c r="A2573" s="21">
        <v>2024</v>
      </c>
      <c r="B2573" s="21" t="s">
        <v>20</v>
      </c>
      <c r="C2573" s="21" t="s">
        <v>1145</v>
      </c>
      <c r="D2573" s="21" t="s">
        <v>35</v>
      </c>
      <c r="E2573" s="18" t="s">
        <v>494</v>
      </c>
      <c r="F2573" s="18" t="s">
        <v>105</v>
      </c>
      <c r="G2573" s="18" t="s">
        <v>48</v>
      </c>
      <c r="H2573" s="24">
        <v>24090</v>
      </c>
      <c r="I2573" s="24">
        <f>T_reg.root.SK[[#This Row],[Volume, kg]]/1000</f>
        <v>24.09</v>
      </c>
      <c r="J2573" s="25">
        <v>0.1895</v>
      </c>
      <c r="K2573" s="25">
        <f t="shared" si="40"/>
        <v>4565.0550000000003</v>
      </c>
      <c r="L2573" s="25">
        <v>3.1</v>
      </c>
      <c r="M2573" s="24">
        <v>74679</v>
      </c>
      <c r="N2573" s="25">
        <f>IFERROR(T_reg.root.SK[[#This Row],[Price]]/T_reg.root.SK[[#This Row],[Starch content]],"")</f>
        <v>16.358839050131927</v>
      </c>
    </row>
    <row r="2574" spans="1:14">
      <c r="A2574" s="21">
        <v>2024</v>
      </c>
      <c r="B2574" s="21" t="s">
        <v>20</v>
      </c>
      <c r="C2574" s="21" t="s">
        <v>1145</v>
      </c>
      <c r="D2574" s="21" t="s">
        <v>35</v>
      </c>
      <c r="E2574" s="18" t="s">
        <v>138</v>
      </c>
      <c r="F2574" s="18" t="s">
        <v>105</v>
      </c>
      <c r="G2574" s="18" t="s">
        <v>48</v>
      </c>
      <c r="H2574" s="24">
        <v>335790</v>
      </c>
      <c r="I2574" s="24">
        <f>T_reg.root.SK[[#This Row],[Volume, kg]]/1000</f>
        <v>335.79</v>
      </c>
      <c r="J2574" s="25">
        <v>0.25579999999999997</v>
      </c>
      <c r="K2574" s="25">
        <f t="shared" si="40"/>
        <v>85895.081999999995</v>
      </c>
      <c r="L2574" s="25">
        <v>3.53</v>
      </c>
      <c r="M2574" s="24">
        <v>1186204.5</v>
      </c>
      <c r="N2574" s="25">
        <f>IFERROR(T_reg.root.SK[[#This Row],[Price]]/T_reg.root.SK[[#This Row],[Starch content]],"")</f>
        <v>13.799843627834246</v>
      </c>
    </row>
    <row r="2575" spans="1:14">
      <c r="A2575" s="21">
        <v>2024</v>
      </c>
      <c r="B2575" s="21" t="s">
        <v>20</v>
      </c>
      <c r="C2575" s="21" t="s">
        <v>1145</v>
      </c>
      <c r="D2575" s="21" t="s">
        <v>35</v>
      </c>
      <c r="E2575" s="18" t="s">
        <v>718</v>
      </c>
      <c r="F2575" s="18" t="s">
        <v>105</v>
      </c>
      <c r="G2575" s="18" t="s">
        <v>48</v>
      </c>
      <c r="H2575" s="24">
        <v>26930</v>
      </c>
      <c r="I2575" s="24">
        <f>T_reg.root.SK[[#This Row],[Volume, kg]]/1000</f>
        <v>26.93</v>
      </c>
      <c r="J2575" s="25">
        <v>0.22440000000000002</v>
      </c>
      <c r="K2575" s="25">
        <f t="shared" si="40"/>
        <v>6043.0920000000006</v>
      </c>
      <c r="L2575" s="25">
        <v>3.28</v>
      </c>
      <c r="M2575" s="24">
        <v>88235</v>
      </c>
      <c r="N2575" s="25">
        <f>IFERROR(T_reg.root.SK[[#This Row],[Price]]/T_reg.root.SK[[#This Row],[Starch content]],"")</f>
        <v>14.61675579322638</v>
      </c>
    </row>
    <row r="2576" spans="1:14">
      <c r="A2576" s="21">
        <v>2024</v>
      </c>
      <c r="B2576" s="21" t="s">
        <v>20</v>
      </c>
      <c r="C2576" s="21" t="s">
        <v>1145</v>
      </c>
      <c r="D2576" s="21" t="s">
        <v>35</v>
      </c>
      <c r="E2576" s="18" t="s">
        <v>303</v>
      </c>
      <c r="F2576" s="18" t="s">
        <v>105</v>
      </c>
      <c r="G2576" s="18" t="s">
        <v>48</v>
      </c>
      <c r="H2576" s="24">
        <v>66400</v>
      </c>
      <c r="I2576" s="24">
        <f>T_reg.root.SK[[#This Row],[Volume, kg]]/1000</f>
        <v>66.400000000000006</v>
      </c>
      <c r="J2576" s="25">
        <v>0.27879999999999999</v>
      </c>
      <c r="K2576" s="25">
        <f t="shared" si="40"/>
        <v>18512.32</v>
      </c>
      <c r="L2576" s="25">
        <v>3.61</v>
      </c>
      <c r="M2576" s="24">
        <v>239473</v>
      </c>
      <c r="N2576" s="25">
        <f>IFERROR(T_reg.root.SK[[#This Row],[Price]]/T_reg.root.SK[[#This Row],[Starch content]],"")</f>
        <v>12.948350071736012</v>
      </c>
    </row>
    <row r="2577" spans="1:14">
      <c r="A2577" s="21">
        <v>2024</v>
      </c>
      <c r="B2577" s="21" t="s">
        <v>20</v>
      </c>
      <c r="C2577" s="21" t="s">
        <v>1145</v>
      </c>
      <c r="D2577" s="21" t="s">
        <v>35</v>
      </c>
      <c r="E2577" s="18" t="s">
        <v>304</v>
      </c>
      <c r="F2577" s="18" t="s">
        <v>105</v>
      </c>
      <c r="G2577" s="18" t="s">
        <v>48</v>
      </c>
      <c r="H2577" s="24">
        <v>32660</v>
      </c>
      <c r="I2577" s="24">
        <f>T_reg.root.SK[[#This Row],[Volume, kg]]/1000</f>
        <v>32.659999999999997</v>
      </c>
      <c r="J2577" s="25">
        <v>0.23530000000000001</v>
      </c>
      <c r="K2577" s="25">
        <f t="shared" si="40"/>
        <v>7684.8980000000001</v>
      </c>
      <c r="L2577" s="25">
        <v>3.34</v>
      </c>
      <c r="M2577" s="24">
        <v>109091</v>
      </c>
      <c r="N2577" s="25">
        <f>IFERROR(T_reg.root.SK[[#This Row],[Price]]/T_reg.root.SK[[#This Row],[Starch content]],"")</f>
        <v>14.194645133871653</v>
      </c>
    </row>
    <row r="2578" spans="1:14">
      <c r="A2578" s="21">
        <v>2024</v>
      </c>
      <c r="B2578" s="21" t="s">
        <v>20</v>
      </c>
      <c r="C2578" s="21" t="s">
        <v>1145</v>
      </c>
      <c r="D2578" s="21" t="s">
        <v>35</v>
      </c>
      <c r="E2578" s="18" t="s">
        <v>359</v>
      </c>
      <c r="F2578" s="18" t="s">
        <v>105</v>
      </c>
      <c r="G2578" s="18" t="s">
        <v>48</v>
      </c>
      <c r="H2578" s="24">
        <v>11800</v>
      </c>
      <c r="I2578" s="24">
        <f>T_reg.root.SK[[#This Row],[Volume, kg]]/1000</f>
        <v>11.8</v>
      </c>
      <c r="J2578" s="25">
        <v>0.2366</v>
      </c>
      <c r="K2578" s="25">
        <f t="shared" si="40"/>
        <v>2791.88</v>
      </c>
      <c r="L2578" s="25">
        <v>3.36</v>
      </c>
      <c r="M2578" s="24">
        <v>39630.5</v>
      </c>
      <c r="N2578" s="25">
        <f>IFERROR(T_reg.root.SK[[#This Row],[Price]]/T_reg.root.SK[[#This Row],[Starch content]],"")</f>
        <v>14.201183431952662</v>
      </c>
    </row>
    <row r="2579" spans="1:14">
      <c r="A2579" s="21">
        <v>2024</v>
      </c>
      <c r="B2579" s="21" t="s">
        <v>20</v>
      </c>
      <c r="C2579" s="21" t="s">
        <v>1145</v>
      </c>
      <c r="D2579" s="21" t="s">
        <v>35</v>
      </c>
      <c r="E2579" s="18" t="s">
        <v>719</v>
      </c>
      <c r="F2579" s="18" t="s">
        <v>105</v>
      </c>
      <c r="G2579" s="18" t="s">
        <v>48</v>
      </c>
      <c r="H2579" s="24">
        <v>34140</v>
      </c>
      <c r="I2579" s="24">
        <f>T_reg.root.SK[[#This Row],[Volume, kg]]/1000</f>
        <v>34.14</v>
      </c>
      <c r="J2579" s="25">
        <v>0.24940000000000001</v>
      </c>
      <c r="K2579" s="25">
        <f t="shared" si="40"/>
        <v>8514.5159999999996</v>
      </c>
      <c r="L2579" s="25">
        <v>3.41</v>
      </c>
      <c r="M2579" s="24">
        <v>116282.5</v>
      </c>
      <c r="N2579" s="25">
        <f>IFERROR(T_reg.root.SK[[#This Row],[Price]]/T_reg.root.SK[[#This Row],[Starch content]],"")</f>
        <v>13.672814755412992</v>
      </c>
    </row>
    <row r="2580" spans="1:14">
      <c r="A2580" s="21">
        <v>2024</v>
      </c>
      <c r="B2580" s="21" t="s">
        <v>20</v>
      </c>
      <c r="C2580" s="21" t="s">
        <v>1145</v>
      </c>
      <c r="D2580" s="21" t="s">
        <v>35</v>
      </c>
      <c r="E2580" s="18" t="s">
        <v>243</v>
      </c>
      <c r="F2580" s="18" t="s">
        <v>105</v>
      </c>
      <c r="G2580" s="18" t="s">
        <v>48</v>
      </c>
      <c r="H2580" s="24">
        <v>26790</v>
      </c>
      <c r="I2580" s="24">
        <f>T_reg.root.SK[[#This Row],[Volume, kg]]/1000</f>
        <v>26.79</v>
      </c>
      <c r="J2580" s="25">
        <v>0.21940000000000001</v>
      </c>
      <c r="K2580" s="25">
        <f t="shared" si="40"/>
        <v>5877.7260000000006</v>
      </c>
      <c r="L2580" s="25">
        <v>3.29</v>
      </c>
      <c r="M2580" s="24">
        <v>88188.5</v>
      </c>
      <c r="N2580" s="25">
        <f>IFERROR(T_reg.root.SK[[#This Row],[Price]]/T_reg.root.SK[[#This Row],[Starch content]],"")</f>
        <v>14.995442114858704</v>
      </c>
    </row>
    <row r="2581" spans="1:14">
      <c r="A2581" s="21">
        <v>2024</v>
      </c>
      <c r="B2581" s="21" t="s">
        <v>20</v>
      </c>
      <c r="C2581" s="21" t="s">
        <v>1145</v>
      </c>
      <c r="D2581" s="21" t="s">
        <v>35</v>
      </c>
      <c r="E2581" s="18" t="s">
        <v>637</v>
      </c>
      <c r="F2581" s="18" t="s">
        <v>105</v>
      </c>
      <c r="G2581" s="18" t="s">
        <v>48</v>
      </c>
      <c r="H2581" s="24">
        <v>88530</v>
      </c>
      <c r="I2581" s="24">
        <f>T_reg.root.SK[[#This Row],[Volume, kg]]/1000</f>
        <v>88.53</v>
      </c>
      <c r="J2581" s="25">
        <v>0.27210000000000001</v>
      </c>
      <c r="K2581" s="25">
        <f t="shared" si="40"/>
        <v>24089.012999999999</v>
      </c>
      <c r="L2581" s="25">
        <v>3.57</v>
      </c>
      <c r="M2581" s="24">
        <v>315775.5</v>
      </c>
      <c r="N2581" s="25">
        <f>IFERROR(T_reg.root.SK[[#This Row],[Price]]/T_reg.root.SK[[#This Row],[Starch content]],"")</f>
        <v>13.120176405733185</v>
      </c>
    </row>
    <row r="2582" spans="1:14">
      <c r="A2582" s="21">
        <v>2024</v>
      </c>
      <c r="B2582" s="21" t="s">
        <v>20</v>
      </c>
      <c r="C2582" s="21" t="s">
        <v>1145</v>
      </c>
      <c r="D2582" s="21" t="s">
        <v>35</v>
      </c>
      <c r="E2582" s="18" t="s">
        <v>245</v>
      </c>
      <c r="F2582" s="18" t="s">
        <v>105</v>
      </c>
      <c r="G2582" s="18" t="s">
        <v>48</v>
      </c>
      <c r="H2582" s="24">
        <v>8370</v>
      </c>
      <c r="I2582" s="24">
        <f>T_reg.root.SK[[#This Row],[Volume, kg]]/1000</f>
        <v>8.3699999999999992</v>
      </c>
      <c r="J2582" s="25">
        <v>0.245</v>
      </c>
      <c r="K2582" s="25">
        <f t="shared" si="40"/>
        <v>2050.65</v>
      </c>
      <c r="L2582" s="25">
        <v>3.45</v>
      </c>
      <c r="M2582" s="24">
        <v>28876.5</v>
      </c>
      <c r="N2582" s="25">
        <f>IFERROR(T_reg.root.SK[[#This Row],[Price]]/T_reg.root.SK[[#This Row],[Starch content]],"")</f>
        <v>14.081632653061225</v>
      </c>
    </row>
    <row r="2583" spans="1:14">
      <c r="A2583" s="21">
        <v>2024</v>
      </c>
      <c r="B2583" s="21" t="s">
        <v>20</v>
      </c>
      <c r="C2583" s="21" t="s">
        <v>1145</v>
      </c>
      <c r="D2583" s="21" t="s">
        <v>35</v>
      </c>
      <c r="E2583" s="18" t="s">
        <v>309</v>
      </c>
      <c r="F2583" s="18" t="s">
        <v>105</v>
      </c>
      <c r="G2583" s="18" t="s">
        <v>48</v>
      </c>
      <c r="H2583" s="24">
        <v>109410</v>
      </c>
      <c r="I2583" s="24">
        <f>T_reg.root.SK[[#This Row],[Volume, kg]]/1000</f>
        <v>109.41</v>
      </c>
      <c r="J2583" s="25">
        <v>0.24890000000000001</v>
      </c>
      <c r="K2583" s="25">
        <f t="shared" si="40"/>
        <v>27232.149000000001</v>
      </c>
      <c r="L2583" s="25">
        <v>3.39</v>
      </c>
      <c r="M2583" s="24">
        <v>371024.5</v>
      </c>
      <c r="N2583" s="25">
        <f>IFERROR(T_reg.root.SK[[#This Row],[Price]]/T_reg.root.SK[[#This Row],[Starch content]],"")</f>
        <v>13.61992768179992</v>
      </c>
    </row>
    <row r="2584" spans="1:14">
      <c r="A2584" s="21">
        <v>2024</v>
      </c>
      <c r="B2584" s="21" t="s">
        <v>20</v>
      </c>
      <c r="C2584" s="21" t="s">
        <v>1145</v>
      </c>
      <c r="D2584" s="21" t="s">
        <v>35</v>
      </c>
      <c r="E2584" s="18" t="s">
        <v>405</v>
      </c>
      <c r="F2584" s="18" t="s">
        <v>105</v>
      </c>
      <c r="G2584" s="18" t="s">
        <v>48</v>
      </c>
      <c r="H2584" s="24">
        <v>27080</v>
      </c>
      <c r="I2584" s="24">
        <f>T_reg.root.SK[[#This Row],[Volume, kg]]/1000</f>
        <v>27.08</v>
      </c>
      <c r="J2584" s="25">
        <v>0.24640000000000001</v>
      </c>
      <c r="K2584" s="25">
        <f t="shared" si="40"/>
        <v>6672.5120000000006</v>
      </c>
      <c r="L2584" s="25">
        <v>3.38</v>
      </c>
      <c r="M2584" s="24">
        <v>91604</v>
      </c>
      <c r="N2584" s="25">
        <f>IFERROR(T_reg.root.SK[[#This Row],[Price]]/T_reg.root.SK[[#This Row],[Starch content]],"")</f>
        <v>13.717532467532466</v>
      </c>
    </row>
    <row r="2585" spans="1:14">
      <c r="A2585" s="21">
        <v>2024</v>
      </c>
      <c r="B2585" s="21" t="s">
        <v>20</v>
      </c>
      <c r="C2585" s="21" t="s">
        <v>1145</v>
      </c>
      <c r="D2585" s="21" t="s">
        <v>35</v>
      </c>
      <c r="E2585" s="18" t="s">
        <v>310</v>
      </c>
      <c r="F2585" s="18" t="s">
        <v>105</v>
      </c>
      <c r="G2585" s="18" t="s">
        <v>48</v>
      </c>
      <c r="H2585" s="24">
        <v>40010</v>
      </c>
      <c r="I2585" s="24">
        <f>T_reg.root.SK[[#This Row],[Volume, kg]]/1000</f>
        <v>40.01</v>
      </c>
      <c r="J2585" s="25">
        <v>0.24809999999999999</v>
      </c>
      <c r="K2585" s="25">
        <f t="shared" si="40"/>
        <v>9926.4809999999998</v>
      </c>
      <c r="L2585" s="25">
        <v>3.41</v>
      </c>
      <c r="M2585" s="24">
        <v>136510.5</v>
      </c>
      <c r="N2585" s="25">
        <f>IFERROR(T_reg.root.SK[[#This Row],[Price]]/T_reg.root.SK[[#This Row],[Starch content]],"")</f>
        <v>13.744457879887143</v>
      </c>
    </row>
    <row r="2586" spans="1:14">
      <c r="A2586" s="21">
        <v>2024</v>
      </c>
      <c r="B2586" s="21" t="s">
        <v>20</v>
      </c>
      <c r="C2586" s="21" t="s">
        <v>1145</v>
      </c>
      <c r="D2586" s="21" t="s">
        <v>35</v>
      </c>
      <c r="E2586" s="18" t="s">
        <v>247</v>
      </c>
      <c r="F2586" s="18" t="s">
        <v>105</v>
      </c>
      <c r="G2586" s="18" t="s">
        <v>48</v>
      </c>
      <c r="H2586" s="24">
        <v>41130</v>
      </c>
      <c r="I2586" s="24">
        <f>T_reg.root.SK[[#This Row],[Volume, kg]]/1000</f>
        <v>41.13</v>
      </c>
      <c r="J2586" s="25">
        <v>0.25280000000000002</v>
      </c>
      <c r="K2586" s="25">
        <f t="shared" si="40"/>
        <v>10397.664000000001</v>
      </c>
      <c r="L2586" s="25">
        <v>3.44</v>
      </c>
      <c r="M2586" s="24">
        <v>141632</v>
      </c>
      <c r="N2586" s="25">
        <f>IFERROR(T_reg.root.SK[[#This Row],[Price]]/T_reg.root.SK[[#This Row],[Starch content]],"")</f>
        <v>13.607594936708859</v>
      </c>
    </row>
    <row r="2587" spans="1:14">
      <c r="A2587" s="21">
        <v>2024</v>
      </c>
      <c r="B2587" s="21" t="s">
        <v>20</v>
      </c>
      <c r="C2587" s="21" t="s">
        <v>1145</v>
      </c>
      <c r="D2587" s="21" t="s">
        <v>35</v>
      </c>
      <c r="E2587" s="18" t="s">
        <v>143</v>
      </c>
      <c r="F2587" s="18" t="s">
        <v>105</v>
      </c>
      <c r="G2587" s="18" t="s">
        <v>48</v>
      </c>
      <c r="H2587" s="24">
        <v>26480</v>
      </c>
      <c r="I2587" s="24">
        <f>T_reg.root.SK[[#This Row],[Volume, kg]]/1000</f>
        <v>26.48</v>
      </c>
      <c r="J2587" s="25">
        <v>0.2571</v>
      </c>
      <c r="K2587" s="25">
        <f t="shared" si="40"/>
        <v>6808.0079999999998</v>
      </c>
      <c r="L2587" s="25">
        <v>3.45</v>
      </c>
      <c r="M2587" s="24">
        <v>91429</v>
      </c>
      <c r="N2587" s="25">
        <f>IFERROR(T_reg.root.SK[[#This Row],[Price]]/T_reg.root.SK[[#This Row],[Starch content]],"")</f>
        <v>13.418903150525088</v>
      </c>
    </row>
    <row r="2588" spans="1:14">
      <c r="A2588" s="21">
        <v>2024</v>
      </c>
      <c r="B2588" s="21" t="s">
        <v>20</v>
      </c>
      <c r="C2588" s="21" t="s">
        <v>1145</v>
      </c>
      <c r="D2588" s="21" t="s">
        <v>35</v>
      </c>
      <c r="E2588" s="18" t="s">
        <v>311</v>
      </c>
      <c r="F2588" s="18" t="s">
        <v>105</v>
      </c>
      <c r="G2588" s="18" t="s">
        <v>48</v>
      </c>
      <c r="H2588" s="24">
        <v>24280</v>
      </c>
      <c r="I2588" s="24">
        <f>T_reg.root.SK[[#This Row],[Volume, kg]]/1000</f>
        <v>24.28</v>
      </c>
      <c r="J2588" s="25">
        <v>0.2261</v>
      </c>
      <c r="K2588" s="25">
        <f t="shared" si="40"/>
        <v>5489.7079999999996</v>
      </c>
      <c r="L2588" s="25">
        <v>3.29</v>
      </c>
      <c r="M2588" s="24">
        <v>79829</v>
      </c>
      <c r="N2588" s="25">
        <f>IFERROR(T_reg.root.SK[[#This Row],[Price]]/T_reg.root.SK[[#This Row],[Starch content]],"")</f>
        <v>14.55108359133127</v>
      </c>
    </row>
    <row r="2589" spans="1:14">
      <c r="A2589" s="21">
        <v>2024</v>
      </c>
      <c r="B2589" s="21" t="s">
        <v>20</v>
      </c>
      <c r="C2589" s="21" t="s">
        <v>1145</v>
      </c>
      <c r="D2589" s="21" t="s">
        <v>35</v>
      </c>
      <c r="E2589" s="18" t="s">
        <v>646</v>
      </c>
      <c r="F2589" s="18" t="s">
        <v>105</v>
      </c>
      <c r="G2589" s="18" t="s">
        <v>48</v>
      </c>
      <c r="H2589" s="24">
        <v>62620</v>
      </c>
      <c r="I2589" s="24">
        <f>T_reg.root.SK[[#This Row],[Volume, kg]]/1000</f>
        <v>62.62</v>
      </c>
      <c r="J2589" s="25">
        <v>0.28149999999999997</v>
      </c>
      <c r="K2589" s="25">
        <f t="shared" si="40"/>
        <v>17627.53</v>
      </c>
      <c r="L2589" s="25">
        <v>3.65</v>
      </c>
      <c r="M2589" s="24">
        <v>228651</v>
      </c>
      <c r="N2589" s="25">
        <f>IFERROR(T_reg.root.SK[[#This Row],[Price]]/T_reg.root.SK[[#This Row],[Starch content]],"")</f>
        <v>12.966252220248668</v>
      </c>
    </row>
    <row r="2590" spans="1:14">
      <c r="A2590" s="21">
        <v>2024</v>
      </c>
      <c r="B2590" s="21" t="s">
        <v>20</v>
      </c>
      <c r="C2590" s="21" t="s">
        <v>1145</v>
      </c>
      <c r="D2590" s="21" t="s">
        <v>35</v>
      </c>
      <c r="E2590" s="18" t="s">
        <v>144</v>
      </c>
      <c r="F2590" s="18" t="s">
        <v>105</v>
      </c>
      <c r="G2590" s="18" t="s">
        <v>48</v>
      </c>
      <c r="H2590" s="24">
        <v>130540</v>
      </c>
      <c r="I2590" s="24">
        <f>T_reg.root.SK[[#This Row],[Volume, kg]]/1000</f>
        <v>130.54</v>
      </c>
      <c r="J2590" s="25">
        <v>0.23319999999999999</v>
      </c>
      <c r="K2590" s="25">
        <f t="shared" si="40"/>
        <v>30441.928</v>
      </c>
      <c r="L2590" s="25">
        <v>3.32</v>
      </c>
      <c r="M2590" s="24">
        <v>433223</v>
      </c>
      <c r="N2590" s="25">
        <f>IFERROR(T_reg.root.SK[[#This Row],[Price]]/T_reg.root.SK[[#This Row],[Starch content]],"")</f>
        <v>14.236706689536877</v>
      </c>
    </row>
    <row r="2591" spans="1:14">
      <c r="A2591" s="21">
        <v>2024</v>
      </c>
      <c r="B2591" s="21" t="s">
        <v>20</v>
      </c>
      <c r="C2591" s="21" t="s">
        <v>1145</v>
      </c>
      <c r="D2591" s="21" t="s">
        <v>35</v>
      </c>
      <c r="E2591" s="18" t="s">
        <v>146</v>
      </c>
      <c r="F2591" s="18" t="s">
        <v>105</v>
      </c>
      <c r="G2591" s="18" t="s">
        <v>48</v>
      </c>
      <c r="H2591" s="24">
        <v>750200</v>
      </c>
      <c r="I2591" s="24">
        <f>T_reg.root.SK[[#This Row],[Volume, kg]]/1000</f>
        <v>750.2</v>
      </c>
      <c r="J2591" s="25">
        <v>0.25019999999999998</v>
      </c>
      <c r="K2591" s="25">
        <f t="shared" si="40"/>
        <v>187700.03999999998</v>
      </c>
      <c r="L2591" s="25">
        <v>3.47</v>
      </c>
      <c r="M2591" s="24">
        <v>2602172.5</v>
      </c>
      <c r="N2591" s="25">
        <f>IFERROR(T_reg.root.SK[[#This Row],[Price]]/T_reg.root.SK[[#This Row],[Starch content]],"")</f>
        <v>13.868904876099123</v>
      </c>
    </row>
    <row r="2592" spans="1:14">
      <c r="A2592" s="21">
        <v>2024</v>
      </c>
      <c r="B2592" s="21" t="s">
        <v>20</v>
      </c>
      <c r="C2592" s="21" t="s">
        <v>1145</v>
      </c>
      <c r="D2592" s="21" t="s">
        <v>35</v>
      </c>
      <c r="E2592" s="18" t="s">
        <v>569</v>
      </c>
      <c r="F2592" s="18" t="s">
        <v>105</v>
      </c>
      <c r="G2592" s="18" t="s">
        <v>48</v>
      </c>
      <c r="H2592" s="24">
        <v>67430</v>
      </c>
      <c r="I2592" s="24">
        <f>T_reg.root.SK[[#This Row],[Volume, kg]]/1000</f>
        <v>67.430000000000007</v>
      </c>
      <c r="J2592" s="25">
        <v>0.27479999999999999</v>
      </c>
      <c r="K2592" s="25">
        <f t="shared" si="40"/>
        <v>18529.763999999999</v>
      </c>
      <c r="L2592" s="25">
        <v>3.58</v>
      </c>
      <c r="M2592" s="24">
        <v>241423</v>
      </c>
      <c r="N2592" s="25">
        <f>IFERROR(T_reg.root.SK[[#This Row],[Price]]/T_reg.root.SK[[#This Row],[Starch content]],"")</f>
        <v>13.027656477438137</v>
      </c>
    </row>
    <row r="2593" spans="1:14">
      <c r="A2593" s="21">
        <v>2024</v>
      </c>
      <c r="B2593" s="21" t="s">
        <v>20</v>
      </c>
      <c r="C2593" s="21" t="s">
        <v>1145</v>
      </c>
      <c r="D2593" s="21" t="s">
        <v>35</v>
      </c>
      <c r="E2593" s="18" t="s">
        <v>147</v>
      </c>
      <c r="F2593" s="18" t="s">
        <v>105</v>
      </c>
      <c r="G2593" s="18" t="s">
        <v>48</v>
      </c>
      <c r="H2593" s="24">
        <v>180400</v>
      </c>
      <c r="I2593" s="24">
        <f>T_reg.root.SK[[#This Row],[Volume, kg]]/1000</f>
        <v>180.4</v>
      </c>
      <c r="J2593" s="25">
        <v>0.2429</v>
      </c>
      <c r="K2593" s="25">
        <f t="shared" si="40"/>
        <v>43819.16</v>
      </c>
      <c r="L2593" s="25">
        <v>3.41</v>
      </c>
      <c r="M2593" s="24">
        <v>614385</v>
      </c>
      <c r="N2593" s="25">
        <f>IFERROR(T_reg.root.SK[[#This Row],[Price]]/T_reg.root.SK[[#This Row],[Starch content]],"")</f>
        <v>14.038699053108274</v>
      </c>
    </row>
    <row r="2594" spans="1:14">
      <c r="A2594" s="21">
        <v>2024</v>
      </c>
      <c r="B2594" s="21" t="s">
        <v>20</v>
      </c>
      <c r="C2594" s="21" t="s">
        <v>1145</v>
      </c>
      <c r="D2594" s="21" t="s">
        <v>35</v>
      </c>
      <c r="E2594" s="18" t="s">
        <v>363</v>
      </c>
      <c r="F2594" s="18" t="s">
        <v>105</v>
      </c>
      <c r="G2594" s="18" t="s">
        <v>48</v>
      </c>
      <c r="H2594" s="24">
        <v>39090</v>
      </c>
      <c r="I2594" s="24">
        <f>T_reg.root.SK[[#This Row],[Volume, kg]]/1000</f>
        <v>39.090000000000003</v>
      </c>
      <c r="J2594" s="25">
        <v>0.28620000000000001</v>
      </c>
      <c r="K2594" s="25">
        <f t="shared" si="40"/>
        <v>11187.558000000001</v>
      </c>
      <c r="L2594" s="25">
        <v>3.64</v>
      </c>
      <c r="M2594" s="24">
        <v>142139.5</v>
      </c>
      <c r="N2594" s="25">
        <f>IFERROR(T_reg.root.SK[[#This Row],[Price]]/T_reg.root.SK[[#This Row],[Starch content]],"")</f>
        <v>12.718378756114605</v>
      </c>
    </row>
    <row r="2595" spans="1:14">
      <c r="A2595" s="21">
        <v>2024</v>
      </c>
      <c r="B2595" s="21" t="s">
        <v>20</v>
      </c>
      <c r="C2595" s="21" t="s">
        <v>1145</v>
      </c>
      <c r="D2595" s="21" t="s">
        <v>35</v>
      </c>
      <c r="E2595" s="18" t="s">
        <v>251</v>
      </c>
      <c r="F2595" s="18" t="s">
        <v>105</v>
      </c>
      <c r="G2595" s="18" t="s">
        <v>48</v>
      </c>
      <c r="H2595" s="24">
        <v>51950</v>
      </c>
      <c r="I2595" s="24">
        <f>T_reg.root.SK[[#This Row],[Volume, kg]]/1000</f>
        <v>51.95</v>
      </c>
      <c r="J2595" s="25">
        <v>0.2477</v>
      </c>
      <c r="K2595" s="25">
        <f t="shared" si="40"/>
        <v>12868.014999999999</v>
      </c>
      <c r="L2595" s="25">
        <v>3.46</v>
      </c>
      <c r="M2595" s="24">
        <v>179662</v>
      </c>
      <c r="N2595" s="25">
        <f>IFERROR(T_reg.root.SK[[#This Row],[Price]]/T_reg.root.SK[[#This Row],[Starch content]],"")</f>
        <v>13.968510294711344</v>
      </c>
    </row>
    <row r="2596" spans="1:14">
      <c r="A2596" s="21">
        <v>2024</v>
      </c>
      <c r="B2596" s="21" t="s">
        <v>20</v>
      </c>
      <c r="C2596" s="21" t="s">
        <v>1145</v>
      </c>
      <c r="D2596" s="21" t="s">
        <v>35</v>
      </c>
      <c r="E2596" s="18" t="s">
        <v>618</v>
      </c>
      <c r="F2596" s="18" t="s">
        <v>105</v>
      </c>
      <c r="G2596" s="18" t="s">
        <v>48</v>
      </c>
      <c r="H2596" s="24">
        <v>68270</v>
      </c>
      <c r="I2596" s="24">
        <f>T_reg.root.SK[[#This Row],[Volume, kg]]/1000</f>
        <v>68.27</v>
      </c>
      <c r="J2596" s="25">
        <v>0.2235</v>
      </c>
      <c r="K2596" s="25">
        <f t="shared" si="40"/>
        <v>15258.345000000001</v>
      </c>
      <c r="L2596" s="25">
        <v>3.27</v>
      </c>
      <c r="M2596" s="24">
        <v>223222.5</v>
      </c>
      <c r="N2596" s="25">
        <f>IFERROR(T_reg.root.SK[[#This Row],[Price]]/T_reg.root.SK[[#This Row],[Starch content]],"")</f>
        <v>14.630872483221477</v>
      </c>
    </row>
    <row r="2597" spans="1:14">
      <c r="A2597" s="21">
        <v>2024</v>
      </c>
      <c r="B2597" s="21" t="s">
        <v>20</v>
      </c>
      <c r="C2597" s="21" t="s">
        <v>1145</v>
      </c>
      <c r="D2597" s="21" t="s">
        <v>35</v>
      </c>
      <c r="E2597" s="18" t="s">
        <v>148</v>
      </c>
      <c r="F2597" s="18" t="s">
        <v>105</v>
      </c>
      <c r="G2597" s="18" t="s">
        <v>48</v>
      </c>
      <c r="H2597" s="24">
        <v>181900</v>
      </c>
      <c r="I2597" s="24">
        <f>T_reg.root.SK[[#This Row],[Volume, kg]]/1000</f>
        <v>181.9</v>
      </c>
      <c r="J2597" s="25">
        <v>0.24280000000000002</v>
      </c>
      <c r="K2597" s="25">
        <f t="shared" si="40"/>
        <v>44165.32</v>
      </c>
      <c r="L2597" s="25">
        <v>3.4</v>
      </c>
      <c r="M2597" s="24">
        <v>618316.5</v>
      </c>
      <c r="N2597" s="25">
        <f>IFERROR(T_reg.root.SK[[#This Row],[Price]]/T_reg.root.SK[[#This Row],[Starch content]],"")</f>
        <v>14.00329489291598</v>
      </c>
    </row>
    <row r="2598" spans="1:14">
      <c r="A2598" s="21">
        <v>2024</v>
      </c>
      <c r="B2598" s="21" t="s">
        <v>20</v>
      </c>
      <c r="C2598" s="21" t="s">
        <v>1145</v>
      </c>
      <c r="D2598" s="21" t="s">
        <v>35</v>
      </c>
      <c r="E2598" s="18" t="s">
        <v>364</v>
      </c>
      <c r="F2598" s="18" t="s">
        <v>105</v>
      </c>
      <c r="G2598" s="18" t="s">
        <v>48</v>
      </c>
      <c r="H2598" s="24">
        <v>84310</v>
      </c>
      <c r="I2598" s="24">
        <f>T_reg.root.SK[[#This Row],[Volume, kg]]/1000</f>
        <v>84.31</v>
      </c>
      <c r="J2598" s="25">
        <v>0.24030000000000001</v>
      </c>
      <c r="K2598" s="25">
        <f t="shared" si="40"/>
        <v>20259.693000000003</v>
      </c>
      <c r="L2598" s="25">
        <v>3.38</v>
      </c>
      <c r="M2598" s="24">
        <v>285135</v>
      </c>
      <c r="N2598" s="25">
        <f>IFERROR(T_reg.root.SK[[#This Row],[Price]]/T_reg.root.SK[[#This Row],[Starch content]],"")</f>
        <v>14.065751144402828</v>
      </c>
    </row>
    <row r="2599" spans="1:14">
      <c r="A2599" s="21">
        <v>2024</v>
      </c>
      <c r="B2599" s="21" t="s">
        <v>20</v>
      </c>
      <c r="C2599" s="21" t="s">
        <v>1145</v>
      </c>
      <c r="D2599" s="21" t="s">
        <v>35</v>
      </c>
      <c r="E2599" s="18" t="s">
        <v>252</v>
      </c>
      <c r="F2599" s="18" t="s">
        <v>105</v>
      </c>
      <c r="G2599" s="18" t="s">
        <v>48</v>
      </c>
      <c r="H2599" s="24">
        <v>13790</v>
      </c>
      <c r="I2599" s="24">
        <f>T_reg.root.SK[[#This Row],[Volume, kg]]/1000</f>
        <v>13.79</v>
      </c>
      <c r="J2599" s="25">
        <v>0.25750000000000001</v>
      </c>
      <c r="K2599" s="25">
        <f t="shared" si="40"/>
        <v>3550.9250000000002</v>
      </c>
      <c r="L2599" s="25">
        <v>3.45</v>
      </c>
      <c r="M2599" s="24">
        <v>47575.5</v>
      </c>
      <c r="N2599" s="25">
        <f>IFERROR(T_reg.root.SK[[#This Row],[Price]]/T_reg.root.SK[[#This Row],[Starch content]],"")</f>
        <v>13.398058252427186</v>
      </c>
    </row>
    <row r="2600" spans="1:14">
      <c r="A2600" s="21">
        <v>2024</v>
      </c>
      <c r="B2600" s="21" t="s">
        <v>20</v>
      </c>
      <c r="C2600" s="21" t="s">
        <v>1145</v>
      </c>
      <c r="D2600" s="21" t="s">
        <v>35</v>
      </c>
      <c r="E2600" s="18" t="s">
        <v>720</v>
      </c>
      <c r="F2600" s="18" t="s">
        <v>105</v>
      </c>
      <c r="G2600" s="18" t="s">
        <v>48</v>
      </c>
      <c r="H2600" s="24">
        <v>12720</v>
      </c>
      <c r="I2600" s="24">
        <f>T_reg.root.SK[[#This Row],[Volume, kg]]/1000</f>
        <v>12.72</v>
      </c>
      <c r="J2600" s="25">
        <v>0.28100000000000003</v>
      </c>
      <c r="K2600" s="25">
        <f t="shared" si="40"/>
        <v>3574.32</v>
      </c>
      <c r="L2600" s="25">
        <v>3.55</v>
      </c>
      <c r="M2600" s="24">
        <v>45156</v>
      </c>
      <c r="N2600" s="25">
        <f>IFERROR(T_reg.root.SK[[#This Row],[Price]]/T_reg.root.SK[[#This Row],[Starch content]],"")</f>
        <v>12.633451957295371</v>
      </c>
    </row>
    <row r="2601" spans="1:14">
      <c r="A2601" s="21">
        <v>2024</v>
      </c>
      <c r="B2601" s="21" t="s">
        <v>20</v>
      </c>
      <c r="C2601" s="21" t="s">
        <v>1145</v>
      </c>
      <c r="D2601" s="21" t="s">
        <v>35</v>
      </c>
      <c r="E2601" s="18" t="s">
        <v>604</v>
      </c>
      <c r="F2601" s="18" t="s">
        <v>105</v>
      </c>
      <c r="G2601" s="18" t="s">
        <v>48</v>
      </c>
      <c r="H2601" s="24">
        <v>37360</v>
      </c>
      <c r="I2601" s="24">
        <f>T_reg.root.SK[[#This Row],[Volume, kg]]/1000</f>
        <v>37.36</v>
      </c>
      <c r="J2601" s="25">
        <v>0.27089999999999997</v>
      </c>
      <c r="K2601" s="25">
        <f t="shared" si="40"/>
        <v>10120.823999999999</v>
      </c>
      <c r="L2601" s="25">
        <v>3.53</v>
      </c>
      <c r="M2601" s="24">
        <v>132067</v>
      </c>
      <c r="N2601" s="25">
        <f>IFERROR(T_reg.root.SK[[#This Row],[Price]]/T_reg.root.SK[[#This Row],[Starch content]],"")</f>
        <v>13.030638612033961</v>
      </c>
    </row>
    <row r="2602" spans="1:14">
      <c r="A2602" s="21">
        <v>2024</v>
      </c>
      <c r="B2602" s="21" t="s">
        <v>20</v>
      </c>
      <c r="C2602" s="21" t="s">
        <v>1145</v>
      </c>
      <c r="D2602" s="21" t="s">
        <v>35</v>
      </c>
      <c r="E2602" s="18" t="s">
        <v>313</v>
      </c>
      <c r="F2602" s="18" t="s">
        <v>105</v>
      </c>
      <c r="G2602" s="18" t="s">
        <v>48</v>
      </c>
      <c r="H2602" s="24">
        <v>37060</v>
      </c>
      <c r="I2602" s="24">
        <f>T_reg.root.SK[[#This Row],[Volume, kg]]/1000</f>
        <v>37.06</v>
      </c>
      <c r="J2602" s="25">
        <v>0.2409</v>
      </c>
      <c r="K2602" s="25">
        <f t="shared" si="40"/>
        <v>8927.7540000000008</v>
      </c>
      <c r="L2602" s="25">
        <v>3.36</v>
      </c>
      <c r="M2602" s="24">
        <v>124532.5</v>
      </c>
      <c r="N2602" s="25">
        <f>IFERROR(T_reg.root.SK[[#This Row],[Price]]/T_reg.root.SK[[#This Row],[Starch content]],"")</f>
        <v>13.94769613947696</v>
      </c>
    </row>
    <row r="2603" spans="1:14">
      <c r="A2603" s="21">
        <v>2024</v>
      </c>
      <c r="B2603" s="21" t="s">
        <v>20</v>
      </c>
      <c r="C2603" s="21" t="s">
        <v>1145</v>
      </c>
      <c r="D2603" s="21" t="s">
        <v>35</v>
      </c>
      <c r="E2603" s="18" t="s">
        <v>150</v>
      </c>
      <c r="F2603" s="18" t="s">
        <v>105</v>
      </c>
      <c r="G2603" s="18" t="s">
        <v>48</v>
      </c>
      <c r="H2603" s="24">
        <v>387960</v>
      </c>
      <c r="I2603" s="24">
        <f>T_reg.root.SK[[#This Row],[Volume, kg]]/1000</f>
        <v>387.96</v>
      </c>
      <c r="J2603" s="25">
        <v>0.25009999999999999</v>
      </c>
      <c r="K2603" s="25">
        <f t="shared" si="40"/>
        <v>97028.796000000002</v>
      </c>
      <c r="L2603" s="25">
        <v>3.43</v>
      </c>
      <c r="M2603" s="24">
        <v>1330819.5</v>
      </c>
      <c r="N2603" s="25">
        <f>IFERROR(T_reg.root.SK[[#This Row],[Price]]/T_reg.root.SK[[#This Row],[Starch content]],"")</f>
        <v>13.714514194322271</v>
      </c>
    </row>
    <row r="2604" spans="1:14">
      <c r="A2604" s="21">
        <v>2024</v>
      </c>
      <c r="B2604" s="21" t="s">
        <v>20</v>
      </c>
      <c r="C2604" s="21" t="s">
        <v>1145</v>
      </c>
      <c r="D2604" s="21" t="s">
        <v>35</v>
      </c>
      <c r="E2604" s="18" t="s">
        <v>151</v>
      </c>
      <c r="F2604" s="18" t="s">
        <v>105</v>
      </c>
      <c r="G2604" s="18" t="s">
        <v>48</v>
      </c>
      <c r="H2604" s="24">
        <v>470090</v>
      </c>
      <c r="I2604" s="24">
        <f>T_reg.root.SK[[#This Row],[Volume, kg]]/1000</f>
        <v>470.09</v>
      </c>
      <c r="J2604" s="25">
        <v>0.2311</v>
      </c>
      <c r="K2604" s="25">
        <f t="shared" si="40"/>
        <v>108637.799</v>
      </c>
      <c r="L2604" s="25">
        <v>3.33</v>
      </c>
      <c r="M2604" s="24">
        <v>1567576</v>
      </c>
      <c r="N2604" s="25">
        <f>IFERROR(T_reg.root.SK[[#This Row],[Price]]/T_reg.root.SK[[#This Row],[Starch content]],"")</f>
        <v>14.409346603202078</v>
      </c>
    </row>
    <row r="2605" spans="1:14">
      <c r="A2605" s="21">
        <v>2024</v>
      </c>
      <c r="B2605" s="21" t="s">
        <v>20</v>
      </c>
      <c r="C2605" s="21" t="s">
        <v>1145</v>
      </c>
      <c r="D2605" s="21" t="s">
        <v>35</v>
      </c>
      <c r="E2605" s="18" t="s">
        <v>316</v>
      </c>
      <c r="F2605" s="18" t="s">
        <v>105</v>
      </c>
      <c r="G2605" s="18" t="s">
        <v>48</v>
      </c>
      <c r="H2605" s="24">
        <v>147840</v>
      </c>
      <c r="I2605" s="24">
        <f>T_reg.root.SK[[#This Row],[Volume, kg]]/1000</f>
        <v>147.84</v>
      </c>
      <c r="J2605" s="25">
        <v>0.2671</v>
      </c>
      <c r="K2605" s="25">
        <f t="shared" si="40"/>
        <v>39488.063999999998</v>
      </c>
      <c r="L2605" s="25">
        <v>3.52</v>
      </c>
      <c r="M2605" s="24">
        <v>521040</v>
      </c>
      <c r="N2605" s="25">
        <f>IFERROR(T_reg.root.SK[[#This Row],[Price]]/T_reg.root.SK[[#This Row],[Starch content]],"")</f>
        <v>13.178584799700486</v>
      </c>
    </row>
    <row r="2606" spans="1:14">
      <c r="A2606" s="21">
        <v>2024</v>
      </c>
      <c r="B2606" s="21" t="s">
        <v>20</v>
      </c>
      <c r="C2606" s="21" t="s">
        <v>1145</v>
      </c>
      <c r="D2606" s="21" t="s">
        <v>35</v>
      </c>
      <c r="E2606" s="18" t="s">
        <v>365</v>
      </c>
      <c r="F2606" s="18" t="s">
        <v>105</v>
      </c>
      <c r="G2606" s="18" t="s">
        <v>48</v>
      </c>
      <c r="H2606" s="24">
        <v>5710</v>
      </c>
      <c r="I2606" s="24">
        <f>T_reg.root.SK[[#This Row],[Volume, kg]]/1000</f>
        <v>5.71</v>
      </c>
      <c r="J2606" s="25">
        <v>0.25950000000000001</v>
      </c>
      <c r="K2606" s="25">
        <f t="shared" si="40"/>
        <v>1481.7450000000001</v>
      </c>
      <c r="L2606" s="25">
        <v>3.5</v>
      </c>
      <c r="M2606" s="24">
        <v>19985</v>
      </c>
      <c r="N2606" s="25">
        <f>IFERROR(T_reg.root.SK[[#This Row],[Price]]/T_reg.root.SK[[#This Row],[Starch content]],"")</f>
        <v>13.48747591522158</v>
      </c>
    </row>
    <row r="2607" spans="1:14">
      <c r="A2607" s="21">
        <v>2024</v>
      </c>
      <c r="B2607" s="21" t="s">
        <v>20</v>
      </c>
      <c r="C2607" s="21" t="s">
        <v>1145</v>
      </c>
      <c r="D2607" s="21" t="s">
        <v>35</v>
      </c>
      <c r="E2607" s="18" t="s">
        <v>152</v>
      </c>
      <c r="F2607" s="18" t="s">
        <v>105</v>
      </c>
      <c r="G2607" s="18" t="s">
        <v>48</v>
      </c>
      <c r="H2607" s="24">
        <v>20550</v>
      </c>
      <c r="I2607" s="24">
        <f>T_reg.root.SK[[#This Row],[Volume, kg]]/1000</f>
        <v>20.55</v>
      </c>
      <c r="J2607" s="25">
        <v>0.25469999999999998</v>
      </c>
      <c r="K2607" s="25">
        <f t="shared" si="40"/>
        <v>5234.085</v>
      </c>
      <c r="L2607" s="25">
        <v>3.48</v>
      </c>
      <c r="M2607" s="24">
        <v>71447.5</v>
      </c>
      <c r="N2607" s="25">
        <f>IFERROR(T_reg.root.SK[[#This Row],[Price]]/T_reg.root.SK[[#This Row],[Starch content]],"")</f>
        <v>13.663133097762074</v>
      </c>
    </row>
    <row r="2608" spans="1:14">
      <c r="A2608" s="21">
        <v>2024</v>
      </c>
      <c r="B2608" s="21" t="s">
        <v>20</v>
      </c>
      <c r="C2608" s="21" t="s">
        <v>1145</v>
      </c>
      <c r="D2608" s="21" t="s">
        <v>35</v>
      </c>
      <c r="E2608" s="18" t="s">
        <v>153</v>
      </c>
      <c r="F2608" s="18" t="s">
        <v>105</v>
      </c>
      <c r="G2608" s="18" t="s">
        <v>48</v>
      </c>
      <c r="H2608" s="24">
        <v>31980</v>
      </c>
      <c r="I2608" s="24">
        <f>T_reg.root.SK[[#This Row],[Volume, kg]]/1000</f>
        <v>31.98</v>
      </c>
      <c r="J2608" s="25">
        <v>0.25619999999999998</v>
      </c>
      <c r="K2608" s="25">
        <f t="shared" si="40"/>
        <v>8193.2759999999998</v>
      </c>
      <c r="L2608" s="25">
        <v>3.46</v>
      </c>
      <c r="M2608" s="24">
        <v>110587</v>
      </c>
      <c r="N2608" s="25">
        <f>IFERROR(T_reg.root.SK[[#This Row],[Price]]/T_reg.root.SK[[#This Row],[Starch content]],"")</f>
        <v>13.505074160811866</v>
      </c>
    </row>
    <row r="2609" spans="1:14">
      <c r="A2609" s="21">
        <v>2024</v>
      </c>
      <c r="B2609" s="21" t="s">
        <v>20</v>
      </c>
      <c r="C2609" s="21" t="s">
        <v>1145</v>
      </c>
      <c r="D2609" s="21" t="s">
        <v>35</v>
      </c>
      <c r="E2609" s="18" t="s">
        <v>155</v>
      </c>
      <c r="F2609" s="18" t="s">
        <v>105</v>
      </c>
      <c r="G2609" s="18" t="s">
        <v>48</v>
      </c>
      <c r="H2609" s="24">
        <v>32720</v>
      </c>
      <c r="I2609" s="24">
        <f>T_reg.root.SK[[#This Row],[Volume, kg]]/1000</f>
        <v>32.72</v>
      </c>
      <c r="J2609" s="25">
        <v>0.27839999999999998</v>
      </c>
      <c r="K2609" s="25">
        <f t="shared" si="40"/>
        <v>9109.2479999999996</v>
      </c>
      <c r="L2609" s="25">
        <v>3.61</v>
      </c>
      <c r="M2609" s="24">
        <v>118177</v>
      </c>
      <c r="N2609" s="25">
        <f>IFERROR(T_reg.root.SK[[#This Row],[Price]]/T_reg.root.SK[[#This Row],[Starch content]],"")</f>
        <v>12.966954022988507</v>
      </c>
    </row>
    <row r="2610" spans="1:14">
      <c r="A2610" s="21">
        <v>2024</v>
      </c>
      <c r="B2610" s="21" t="s">
        <v>20</v>
      </c>
      <c r="C2610" s="21" t="s">
        <v>1145</v>
      </c>
      <c r="D2610" s="21" t="s">
        <v>35</v>
      </c>
      <c r="E2610" s="18" t="s">
        <v>366</v>
      </c>
      <c r="F2610" s="18" t="s">
        <v>105</v>
      </c>
      <c r="G2610" s="18" t="s">
        <v>48</v>
      </c>
      <c r="H2610" s="24">
        <v>11100</v>
      </c>
      <c r="I2610" s="24">
        <f>T_reg.root.SK[[#This Row],[Volume, kg]]/1000</f>
        <v>11.1</v>
      </c>
      <c r="J2610" s="25">
        <v>0.20749999999999999</v>
      </c>
      <c r="K2610" s="25">
        <f t="shared" si="40"/>
        <v>2303.25</v>
      </c>
      <c r="L2610" s="25">
        <v>3.2</v>
      </c>
      <c r="M2610" s="24">
        <v>35520</v>
      </c>
      <c r="N2610" s="25">
        <f>IFERROR(T_reg.root.SK[[#This Row],[Price]]/T_reg.root.SK[[#This Row],[Starch content]],"")</f>
        <v>15.421686746987953</v>
      </c>
    </row>
    <row r="2611" spans="1:14">
      <c r="A2611" s="21">
        <v>2024</v>
      </c>
      <c r="B2611" s="21" t="s">
        <v>20</v>
      </c>
      <c r="C2611" s="21" t="s">
        <v>1145</v>
      </c>
      <c r="D2611" s="21" t="s">
        <v>35</v>
      </c>
      <c r="E2611" s="18" t="s">
        <v>159</v>
      </c>
      <c r="F2611" s="18" t="s">
        <v>105</v>
      </c>
      <c r="G2611" s="18" t="s">
        <v>48</v>
      </c>
      <c r="H2611" s="24">
        <v>721570</v>
      </c>
      <c r="I2611" s="24">
        <f>T_reg.root.SK[[#This Row],[Volume, kg]]/1000</f>
        <v>721.57</v>
      </c>
      <c r="J2611" s="25">
        <v>0.25519999999999998</v>
      </c>
      <c r="K2611" s="25">
        <f t="shared" si="40"/>
        <v>184144.66399999999</v>
      </c>
      <c r="L2611" s="25">
        <v>3.5</v>
      </c>
      <c r="M2611" s="24">
        <v>2526049.5</v>
      </c>
      <c r="N2611" s="25">
        <f>IFERROR(T_reg.root.SK[[#This Row],[Price]]/T_reg.root.SK[[#This Row],[Starch content]],"")</f>
        <v>13.714733542319751</v>
      </c>
    </row>
    <row r="2612" spans="1:14">
      <c r="A2612" s="21">
        <v>2024</v>
      </c>
      <c r="B2612" s="21" t="s">
        <v>20</v>
      </c>
      <c r="C2612" s="21" t="s">
        <v>1145</v>
      </c>
      <c r="D2612" s="21" t="s">
        <v>35</v>
      </c>
      <c r="E2612" s="18" t="s">
        <v>255</v>
      </c>
      <c r="F2612" s="18" t="s">
        <v>105</v>
      </c>
      <c r="G2612" s="18" t="s">
        <v>48</v>
      </c>
      <c r="H2612" s="24">
        <v>66260</v>
      </c>
      <c r="I2612" s="24">
        <f>T_reg.root.SK[[#This Row],[Volume, kg]]/1000</f>
        <v>66.260000000000005</v>
      </c>
      <c r="J2612" s="25">
        <v>0.24780000000000002</v>
      </c>
      <c r="K2612" s="25">
        <f t="shared" si="40"/>
        <v>16419.228000000003</v>
      </c>
      <c r="L2612" s="25">
        <v>3.4</v>
      </c>
      <c r="M2612" s="24">
        <v>224972</v>
      </c>
      <c r="N2612" s="25">
        <f>IFERROR(T_reg.root.SK[[#This Row],[Price]]/T_reg.root.SK[[#This Row],[Starch content]],"")</f>
        <v>13.720742534301856</v>
      </c>
    </row>
    <row r="2613" spans="1:14">
      <c r="A2613" s="21">
        <v>2024</v>
      </c>
      <c r="B2613" s="21" t="s">
        <v>20</v>
      </c>
      <c r="C2613" s="21" t="s">
        <v>1145</v>
      </c>
      <c r="D2613" s="21" t="s">
        <v>35</v>
      </c>
      <c r="E2613" s="18" t="s">
        <v>721</v>
      </c>
      <c r="F2613" s="18" t="s">
        <v>105</v>
      </c>
      <c r="G2613" s="18" t="s">
        <v>48</v>
      </c>
      <c r="H2613" s="24">
        <v>39990</v>
      </c>
      <c r="I2613" s="24">
        <f>T_reg.root.SK[[#This Row],[Volume, kg]]/1000</f>
        <v>39.99</v>
      </c>
      <c r="J2613" s="25">
        <v>0.19699999999999998</v>
      </c>
      <c r="K2613" s="25">
        <f t="shared" si="40"/>
        <v>7878.0299999999988</v>
      </c>
      <c r="L2613" s="25">
        <v>3.13</v>
      </c>
      <c r="M2613" s="24">
        <v>125106</v>
      </c>
      <c r="N2613" s="25">
        <f>IFERROR(T_reg.root.SK[[#This Row],[Price]]/T_reg.root.SK[[#This Row],[Starch content]],"")</f>
        <v>15.888324873096447</v>
      </c>
    </row>
    <row r="2614" spans="1:14">
      <c r="A2614" s="21">
        <v>2024</v>
      </c>
      <c r="B2614" s="21" t="s">
        <v>20</v>
      </c>
      <c r="C2614" s="21" t="s">
        <v>1145</v>
      </c>
      <c r="D2614" s="21" t="s">
        <v>35</v>
      </c>
      <c r="E2614" s="18" t="s">
        <v>161</v>
      </c>
      <c r="F2614" s="18" t="s">
        <v>105</v>
      </c>
      <c r="G2614" s="18" t="s">
        <v>48</v>
      </c>
      <c r="H2614" s="24">
        <v>161690</v>
      </c>
      <c r="I2614" s="24">
        <f>T_reg.root.SK[[#This Row],[Volume, kg]]/1000</f>
        <v>161.69</v>
      </c>
      <c r="J2614" s="25">
        <v>0.2515</v>
      </c>
      <c r="K2614" s="25">
        <f t="shared" si="40"/>
        <v>40665.035000000003</v>
      </c>
      <c r="L2614" s="25">
        <v>3.45</v>
      </c>
      <c r="M2614" s="24">
        <v>557550</v>
      </c>
      <c r="N2614" s="25">
        <f>IFERROR(T_reg.root.SK[[#This Row],[Price]]/T_reg.root.SK[[#This Row],[Starch content]],"")</f>
        <v>13.717693836978132</v>
      </c>
    </row>
    <row r="2615" spans="1:14">
      <c r="A2615" s="21">
        <v>2024</v>
      </c>
      <c r="B2615" s="21" t="s">
        <v>20</v>
      </c>
      <c r="C2615" s="21" t="s">
        <v>1145</v>
      </c>
      <c r="D2615" s="21" t="s">
        <v>35</v>
      </c>
      <c r="E2615" s="18" t="s">
        <v>162</v>
      </c>
      <c r="F2615" s="18" t="s">
        <v>105</v>
      </c>
      <c r="G2615" s="18" t="s">
        <v>48</v>
      </c>
      <c r="H2615" s="24">
        <v>248010</v>
      </c>
      <c r="I2615" s="24">
        <f>T_reg.root.SK[[#This Row],[Volume, kg]]/1000</f>
        <v>248.01</v>
      </c>
      <c r="J2615" s="25">
        <v>0.24579999999999999</v>
      </c>
      <c r="K2615" s="25">
        <f t="shared" si="40"/>
        <v>60960.858</v>
      </c>
      <c r="L2615" s="25">
        <v>3.42</v>
      </c>
      <c r="M2615" s="24">
        <v>847881.5</v>
      </c>
      <c r="N2615" s="25">
        <f>IFERROR(T_reg.root.SK[[#This Row],[Price]]/T_reg.root.SK[[#This Row],[Starch content]],"")</f>
        <v>13.913751017087064</v>
      </c>
    </row>
    <row r="2616" spans="1:14">
      <c r="A2616" s="21">
        <v>2024</v>
      </c>
      <c r="B2616" s="21" t="s">
        <v>20</v>
      </c>
      <c r="C2616" s="21" t="s">
        <v>1145</v>
      </c>
      <c r="D2616" s="21" t="s">
        <v>35</v>
      </c>
      <c r="E2616" s="18" t="s">
        <v>163</v>
      </c>
      <c r="F2616" s="18" t="s">
        <v>105</v>
      </c>
      <c r="G2616" s="18" t="s">
        <v>48</v>
      </c>
      <c r="H2616" s="24">
        <v>7840</v>
      </c>
      <c r="I2616" s="24">
        <f>T_reg.root.SK[[#This Row],[Volume, kg]]/1000</f>
        <v>7.84</v>
      </c>
      <c r="J2616" s="25">
        <v>0.24299999999999999</v>
      </c>
      <c r="K2616" s="25">
        <f t="shared" si="40"/>
        <v>1905.12</v>
      </c>
      <c r="L2616" s="25">
        <v>3.35</v>
      </c>
      <c r="M2616" s="24">
        <v>26264</v>
      </c>
      <c r="N2616" s="25">
        <f>IFERROR(T_reg.root.SK[[#This Row],[Price]]/T_reg.root.SK[[#This Row],[Starch content]],"")</f>
        <v>13.786008230452676</v>
      </c>
    </row>
    <row r="2617" spans="1:14">
      <c r="A2617" s="21">
        <v>2024</v>
      </c>
      <c r="B2617" s="21" t="s">
        <v>20</v>
      </c>
      <c r="C2617" s="21" t="s">
        <v>1145</v>
      </c>
      <c r="D2617" s="21" t="s">
        <v>35</v>
      </c>
      <c r="E2617" s="18" t="s">
        <v>164</v>
      </c>
      <c r="F2617" s="18" t="s">
        <v>105</v>
      </c>
      <c r="G2617" s="18" t="s">
        <v>48</v>
      </c>
      <c r="H2617" s="24">
        <v>145830</v>
      </c>
      <c r="I2617" s="24">
        <f>T_reg.root.SK[[#This Row],[Volume, kg]]/1000</f>
        <v>145.83000000000001</v>
      </c>
      <c r="J2617" s="25">
        <v>0.24</v>
      </c>
      <c r="K2617" s="25">
        <f t="shared" si="40"/>
        <v>34999.199999999997</v>
      </c>
      <c r="L2617" s="25">
        <v>3.46</v>
      </c>
      <c r="M2617" s="24">
        <v>504886.5</v>
      </c>
      <c r="N2617" s="25">
        <f>IFERROR(T_reg.root.SK[[#This Row],[Price]]/T_reg.root.SK[[#This Row],[Starch content]],"")</f>
        <v>14.416666666666668</v>
      </c>
    </row>
    <row r="2618" spans="1:14">
      <c r="A2618" s="21">
        <v>2024</v>
      </c>
      <c r="B2618" s="21" t="s">
        <v>20</v>
      </c>
      <c r="C2618" s="21" t="s">
        <v>1145</v>
      </c>
      <c r="D2618" s="21" t="s">
        <v>35</v>
      </c>
      <c r="E2618" s="18" t="s">
        <v>257</v>
      </c>
      <c r="F2618" s="18" t="s">
        <v>105</v>
      </c>
      <c r="G2618" s="18" t="s">
        <v>48</v>
      </c>
      <c r="H2618" s="24">
        <v>15740</v>
      </c>
      <c r="I2618" s="24">
        <f>T_reg.root.SK[[#This Row],[Volume, kg]]/1000</f>
        <v>15.74</v>
      </c>
      <c r="J2618" s="25">
        <v>0.2452</v>
      </c>
      <c r="K2618" s="25">
        <f t="shared" si="40"/>
        <v>3859.4479999999999</v>
      </c>
      <c r="L2618" s="25">
        <v>3.37</v>
      </c>
      <c r="M2618" s="24">
        <v>53002.5</v>
      </c>
      <c r="N2618" s="25">
        <f>IFERROR(T_reg.root.SK[[#This Row],[Price]]/T_reg.root.SK[[#This Row],[Starch content]],"")</f>
        <v>13.743882544861338</v>
      </c>
    </row>
    <row r="2619" spans="1:14">
      <c r="A2619" s="21">
        <v>2024</v>
      </c>
      <c r="B2619" s="21" t="s">
        <v>20</v>
      </c>
      <c r="C2619" s="21" t="s">
        <v>1145</v>
      </c>
      <c r="D2619" s="21" t="s">
        <v>35</v>
      </c>
      <c r="E2619" s="18" t="s">
        <v>670</v>
      </c>
      <c r="F2619" s="18" t="s">
        <v>105</v>
      </c>
      <c r="G2619" s="18" t="s">
        <v>48</v>
      </c>
      <c r="H2619" s="24">
        <v>34020</v>
      </c>
      <c r="I2619" s="24">
        <f>T_reg.root.SK[[#This Row],[Volume, kg]]/1000</f>
        <v>34.020000000000003</v>
      </c>
      <c r="J2619" s="25">
        <v>0.24890000000000001</v>
      </c>
      <c r="K2619" s="25">
        <f t="shared" si="40"/>
        <v>8467.5779999999995</v>
      </c>
      <c r="L2619" s="25">
        <v>3.4</v>
      </c>
      <c r="M2619" s="24">
        <v>115696.5</v>
      </c>
      <c r="N2619" s="25">
        <f>IFERROR(T_reg.root.SK[[#This Row],[Price]]/T_reg.root.SK[[#This Row],[Starch content]],"")</f>
        <v>13.660104459622337</v>
      </c>
    </row>
    <row r="2620" spans="1:14">
      <c r="A2620" s="21">
        <v>2024</v>
      </c>
      <c r="B2620" s="21" t="s">
        <v>20</v>
      </c>
      <c r="C2620" s="21" t="s">
        <v>1145</v>
      </c>
      <c r="D2620" s="21" t="s">
        <v>35</v>
      </c>
      <c r="E2620" s="18" t="s">
        <v>171</v>
      </c>
      <c r="F2620" s="18" t="s">
        <v>105</v>
      </c>
      <c r="G2620" s="18" t="s">
        <v>48</v>
      </c>
      <c r="H2620" s="24">
        <v>20230</v>
      </c>
      <c r="I2620" s="24">
        <f>T_reg.root.SK[[#This Row],[Volume, kg]]/1000</f>
        <v>20.23</v>
      </c>
      <c r="J2620" s="25">
        <v>0.28100000000000003</v>
      </c>
      <c r="K2620" s="25">
        <f t="shared" si="40"/>
        <v>5684.63</v>
      </c>
      <c r="L2620" s="25">
        <v>3.62</v>
      </c>
      <c r="M2620" s="24">
        <v>73233</v>
      </c>
      <c r="N2620" s="25">
        <f>IFERROR(T_reg.root.SK[[#This Row],[Price]]/T_reg.root.SK[[#This Row],[Starch content]],"")</f>
        <v>12.882562277580071</v>
      </c>
    </row>
    <row r="2621" spans="1:14">
      <c r="A2621" s="21">
        <v>2024</v>
      </c>
      <c r="B2621" s="21" t="s">
        <v>20</v>
      </c>
      <c r="C2621" s="21" t="s">
        <v>1145</v>
      </c>
      <c r="D2621" s="21" t="s">
        <v>35</v>
      </c>
      <c r="E2621" s="18" t="s">
        <v>722</v>
      </c>
      <c r="F2621" s="18" t="s">
        <v>105</v>
      </c>
      <c r="G2621" s="18" t="s">
        <v>48</v>
      </c>
      <c r="H2621" s="24">
        <v>18130</v>
      </c>
      <c r="I2621" s="24">
        <f>T_reg.root.SK[[#This Row],[Volume, kg]]/1000</f>
        <v>18.13</v>
      </c>
      <c r="J2621" s="25">
        <v>0.22289999999999999</v>
      </c>
      <c r="K2621" s="25">
        <f t="shared" si="40"/>
        <v>4041.1769999999997</v>
      </c>
      <c r="L2621" s="25">
        <v>3.25</v>
      </c>
      <c r="M2621" s="24">
        <v>58915</v>
      </c>
      <c r="N2621" s="25">
        <f>IFERROR(T_reg.root.SK[[#This Row],[Price]]/T_reg.root.SK[[#This Row],[Starch content]],"")</f>
        <v>14.580529385374609</v>
      </c>
    </row>
    <row r="2622" spans="1:14">
      <c r="A2622" s="21">
        <v>2024</v>
      </c>
      <c r="B2622" s="21" t="s">
        <v>20</v>
      </c>
      <c r="C2622" s="21" t="s">
        <v>1145</v>
      </c>
      <c r="D2622" s="21" t="s">
        <v>35</v>
      </c>
      <c r="E2622" s="18" t="s">
        <v>321</v>
      </c>
      <c r="F2622" s="18" t="s">
        <v>105</v>
      </c>
      <c r="G2622" s="18" t="s">
        <v>48</v>
      </c>
      <c r="H2622" s="24">
        <v>4310</v>
      </c>
      <c r="I2622" s="24">
        <f>T_reg.root.SK[[#This Row],[Volume, kg]]/1000</f>
        <v>4.3099999999999996</v>
      </c>
      <c r="J2622" s="25">
        <v>0.28149999999999997</v>
      </c>
      <c r="K2622" s="25">
        <f t="shared" si="40"/>
        <v>1213.2649999999999</v>
      </c>
      <c r="L2622" s="25">
        <v>3.6</v>
      </c>
      <c r="M2622" s="24">
        <v>15516</v>
      </c>
      <c r="N2622" s="25">
        <f>IFERROR(T_reg.root.SK[[#This Row],[Price]]/T_reg.root.SK[[#This Row],[Starch content]],"")</f>
        <v>12.788632326820606</v>
      </c>
    </row>
    <row r="2623" spans="1:14">
      <c r="A2623" s="21">
        <v>2024</v>
      </c>
      <c r="B2623" s="21" t="s">
        <v>20</v>
      </c>
      <c r="C2623" s="21" t="s">
        <v>1145</v>
      </c>
      <c r="D2623" s="21" t="s">
        <v>35</v>
      </c>
      <c r="E2623" s="18" t="s">
        <v>322</v>
      </c>
      <c r="F2623" s="18" t="s">
        <v>105</v>
      </c>
      <c r="G2623" s="18" t="s">
        <v>48</v>
      </c>
      <c r="H2623" s="24">
        <v>21510</v>
      </c>
      <c r="I2623" s="24">
        <f>T_reg.root.SK[[#This Row],[Volume, kg]]/1000</f>
        <v>21.51</v>
      </c>
      <c r="J2623" s="25">
        <v>0.21379999999999999</v>
      </c>
      <c r="K2623" s="25">
        <f t="shared" si="40"/>
        <v>4598.8379999999997</v>
      </c>
      <c r="L2623" s="25">
        <v>3.24</v>
      </c>
      <c r="M2623" s="24">
        <v>69763.5</v>
      </c>
      <c r="N2623" s="25">
        <f>IFERROR(T_reg.root.SK[[#This Row],[Price]]/T_reg.root.SK[[#This Row],[Starch content]],"")</f>
        <v>15.154349859681947</v>
      </c>
    </row>
    <row r="2624" spans="1:14">
      <c r="A2624" s="21">
        <v>2024</v>
      </c>
      <c r="B2624" s="21" t="s">
        <v>20</v>
      </c>
      <c r="C2624" s="21" t="s">
        <v>1145</v>
      </c>
      <c r="D2624" s="21" t="s">
        <v>35</v>
      </c>
      <c r="E2624" s="18" t="s">
        <v>173</v>
      </c>
      <c r="F2624" s="18" t="s">
        <v>105</v>
      </c>
      <c r="G2624" s="18" t="s">
        <v>48</v>
      </c>
      <c r="H2624" s="24">
        <v>23910</v>
      </c>
      <c r="I2624" s="24">
        <f>T_reg.root.SK[[#This Row],[Volume, kg]]/1000</f>
        <v>23.91</v>
      </c>
      <c r="J2624" s="25">
        <v>0.25800000000000001</v>
      </c>
      <c r="K2624" s="25">
        <f t="shared" si="40"/>
        <v>6168.78</v>
      </c>
      <c r="L2624" s="25">
        <v>3.43</v>
      </c>
      <c r="M2624" s="24">
        <v>81929.5</v>
      </c>
      <c r="N2624" s="25">
        <f>IFERROR(T_reg.root.SK[[#This Row],[Price]]/T_reg.root.SK[[#This Row],[Starch content]],"")</f>
        <v>13.294573643410853</v>
      </c>
    </row>
    <row r="2625" spans="1:14">
      <c r="A2625" s="21">
        <v>2024</v>
      </c>
      <c r="B2625" s="21" t="s">
        <v>20</v>
      </c>
      <c r="C2625" s="21" t="s">
        <v>1145</v>
      </c>
      <c r="D2625" s="21" t="s">
        <v>35</v>
      </c>
      <c r="E2625" s="18" t="s">
        <v>506</v>
      </c>
      <c r="F2625" s="18" t="s">
        <v>105</v>
      </c>
      <c r="G2625" s="18" t="s">
        <v>48</v>
      </c>
      <c r="H2625" s="24">
        <v>17460</v>
      </c>
      <c r="I2625" s="24">
        <f>T_reg.root.SK[[#This Row],[Volume, kg]]/1000</f>
        <v>17.46</v>
      </c>
      <c r="J2625" s="25">
        <v>0.22260000000000002</v>
      </c>
      <c r="K2625" s="25">
        <f t="shared" si="40"/>
        <v>3886.5960000000005</v>
      </c>
      <c r="L2625" s="25">
        <v>3.32</v>
      </c>
      <c r="M2625" s="24">
        <v>57919.5</v>
      </c>
      <c r="N2625" s="25">
        <f>IFERROR(T_reg.root.SK[[#This Row],[Price]]/T_reg.root.SK[[#This Row],[Starch content]],"")</f>
        <v>14.914645103324347</v>
      </c>
    </row>
    <row r="2626" spans="1:14">
      <c r="A2626" s="21">
        <v>2024</v>
      </c>
      <c r="B2626" s="21" t="s">
        <v>20</v>
      </c>
      <c r="C2626" s="21" t="s">
        <v>1145</v>
      </c>
      <c r="D2626" s="21" t="s">
        <v>35</v>
      </c>
      <c r="E2626" s="18" t="s">
        <v>507</v>
      </c>
      <c r="F2626" s="18" t="s">
        <v>105</v>
      </c>
      <c r="G2626" s="18" t="s">
        <v>48</v>
      </c>
      <c r="H2626" s="24">
        <v>50950</v>
      </c>
      <c r="I2626" s="24">
        <f>T_reg.root.SK[[#This Row],[Volume, kg]]/1000</f>
        <v>50.95</v>
      </c>
      <c r="J2626" s="25">
        <v>0.23100000000000001</v>
      </c>
      <c r="K2626" s="25">
        <f t="shared" si="40"/>
        <v>11769.45</v>
      </c>
      <c r="L2626" s="25">
        <v>3.32</v>
      </c>
      <c r="M2626" s="24">
        <v>169006.5</v>
      </c>
      <c r="N2626" s="25">
        <f>IFERROR(T_reg.root.SK[[#This Row],[Price]]/T_reg.root.SK[[#This Row],[Starch content]],"")</f>
        <v>14.372294372294371</v>
      </c>
    </row>
    <row r="2627" spans="1:14">
      <c r="A2627" s="21">
        <v>2024</v>
      </c>
      <c r="B2627" s="21" t="s">
        <v>20</v>
      </c>
      <c r="C2627" s="21" t="s">
        <v>1145</v>
      </c>
      <c r="D2627" s="21" t="s">
        <v>35</v>
      </c>
      <c r="E2627" s="18" t="s">
        <v>174</v>
      </c>
      <c r="F2627" s="18" t="s">
        <v>105</v>
      </c>
      <c r="G2627" s="18" t="s">
        <v>48</v>
      </c>
      <c r="H2627" s="24">
        <v>41010</v>
      </c>
      <c r="I2627" s="24">
        <f>T_reg.root.SK[[#This Row],[Volume, kg]]/1000</f>
        <v>41.01</v>
      </c>
      <c r="J2627" s="25">
        <v>0.23809999999999998</v>
      </c>
      <c r="K2627" s="25">
        <f t="shared" ref="K2627:K2690" si="41">H2627*J2627</f>
        <v>9764.4809999999998</v>
      </c>
      <c r="L2627" s="25">
        <v>3.33</v>
      </c>
      <c r="M2627" s="24">
        <v>136408.5</v>
      </c>
      <c r="N2627" s="25">
        <f>IFERROR(T_reg.root.SK[[#This Row],[Price]]/T_reg.root.SK[[#This Row],[Starch content]],"")</f>
        <v>13.98572028559429</v>
      </c>
    </row>
    <row r="2628" spans="1:14">
      <c r="A2628" s="21">
        <v>2024</v>
      </c>
      <c r="B2628" s="21" t="s">
        <v>20</v>
      </c>
      <c r="C2628" s="21" t="s">
        <v>1145</v>
      </c>
      <c r="D2628" s="21" t="s">
        <v>35</v>
      </c>
      <c r="E2628" s="18" t="s">
        <v>176</v>
      </c>
      <c r="F2628" s="18" t="s">
        <v>105</v>
      </c>
      <c r="G2628" s="18" t="s">
        <v>48</v>
      </c>
      <c r="H2628" s="24">
        <v>56460</v>
      </c>
      <c r="I2628" s="24">
        <f>T_reg.root.SK[[#This Row],[Volume, kg]]/1000</f>
        <v>56.46</v>
      </c>
      <c r="J2628" s="25">
        <v>0.2198</v>
      </c>
      <c r="K2628" s="25">
        <f t="shared" si="41"/>
        <v>12409.907999999999</v>
      </c>
      <c r="L2628" s="25">
        <v>3.25</v>
      </c>
      <c r="M2628" s="24">
        <v>183466</v>
      </c>
      <c r="N2628" s="25">
        <f>IFERROR(T_reg.root.SK[[#This Row],[Price]]/T_reg.root.SK[[#This Row],[Starch content]],"")</f>
        <v>14.78616924476797</v>
      </c>
    </row>
    <row r="2629" spans="1:14">
      <c r="A2629" s="21">
        <v>2024</v>
      </c>
      <c r="B2629" s="21" t="s">
        <v>20</v>
      </c>
      <c r="C2629" s="21" t="s">
        <v>1145</v>
      </c>
      <c r="D2629" s="21" t="s">
        <v>35</v>
      </c>
      <c r="E2629" s="18" t="s">
        <v>605</v>
      </c>
      <c r="F2629" s="18" t="s">
        <v>105</v>
      </c>
      <c r="G2629" s="18" t="s">
        <v>48</v>
      </c>
      <c r="H2629" s="24">
        <v>708080</v>
      </c>
      <c r="I2629" s="24">
        <f>T_reg.root.SK[[#This Row],[Volume, kg]]/1000</f>
        <v>708.08</v>
      </c>
      <c r="J2629" s="25">
        <v>0.24260000000000001</v>
      </c>
      <c r="K2629" s="25">
        <f t="shared" si="41"/>
        <v>171780.20800000001</v>
      </c>
      <c r="L2629" s="25">
        <v>3.41</v>
      </c>
      <c r="M2629" s="24">
        <v>2416757.5</v>
      </c>
      <c r="N2629" s="25">
        <f>IFERROR(T_reg.root.SK[[#This Row],[Price]]/T_reg.root.SK[[#This Row],[Starch content]],"")</f>
        <v>14.0560593569662</v>
      </c>
    </row>
    <row r="2630" spans="1:14">
      <c r="A2630" s="21">
        <v>2024</v>
      </c>
      <c r="B2630" s="21" t="s">
        <v>20</v>
      </c>
      <c r="C2630" s="21" t="s">
        <v>1145</v>
      </c>
      <c r="D2630" s="21" t="s">
        <v>35</v>
      </c>
      <c r="E2630" s="18" t="s">
        <v>259</v>
      </c>
      <c r="F2630" s="18" t="s">
        <v>105</v>
      </c>
      <c r="G2630" s="18" t="s">
        <v>48</v>
      </c>
      <c r="H2630" s="24">
        <v>20320</v>
      </c>
      <c r="I2630" s="24">
        <f>T_reg.root.SK[[#This Row],[Volume, kg]]/1000</f>
        <v>20.32</v>
      </c>
      <c r="J2630" s="25">
        <v>0.26440000000000002</v>
      </c>
      <c r="K2630" s="25">
        <f t="shared" si="41"/>
        <v>5372.6080000000002</v>
      </c>
      <c r="L2630" s="25">
        <v>3.55</v>
      </c>
      <c r="M2630" s="24">
        <v>72074</v>
      </c>
      <c r="N2630" s="25">
        <f>IFERROR(T_reg.root.SK[[#This Row],[Price]]/T_reg.root.SK[[#This Row],[Starch content]],"")</f>
        <v>13.42662632375189</v>
      </c>
    </row>
    <row r="2631" spans="1:14">
      <c r="A2631" s="21">
        <v>2024</v>
      </c>
      <c r="B2631" s="21" t="s">
        <v>20</v>
      </c>
      <c r="C2631" s="21" t="s">
        <v>1145</v>
      </c>
      <c r="D2631" s="21" t="s">
        <v>35</v>
      </c>
      <c r="E2631" s="18" t="s">
        <v>329</v>
      </c>
      <c r="F2631" s="18" t="s">
        <v>105</v>
      </c>
      <c r="G2631" s="18" t="s">
        <v>48</v>
      </c>
      <c r="H2631" s="24">
        <v>121490</v>
      </c>
      <c r="I2631" s="24">
        <f>T_reg.root.SK[[#This Row],[Volume, kg]]/1000</f>
        <v>121.49</v>
      </c>
      <c r="J2631" s="25">
        <v>0.20269999999999999</v>
      </c>
      <c r="K2631" s="25">
        <f t="shared" si="41"/>
        <v>24626.022999999997</v>
      </c>
      <c r="L2631" s="25">
        <v>3.17</v>
      </c>
      <c r="M2631" s="24">
        <v>385197</v>
      </c>
      <c r="N2631" s="25">
        <f>IFERROR(T_reg.root.SK[[#This Row],[Price]]/T_reg.root.SK[[#This Row],[Starch content]],"")</f>
        <v>15.638875185002467</v>
      </c>
    </row>
    <row r="2632" spans="1:14">
      <c r="A2632" s="21">
        <v>2024</v>
      </c>
      <c r="B2632" s="21" t="s">
        <v>20</v>
      </c>
      <c r="C2632" s="21" t="s">
        <v>1145</v>
      </c>
      <c r="D2632" s="21" t="s">
        <v>35</v>
      </c>
      <c r="E2632" s="18" t="s">
        <v>181</v>
      </c>
      <c r="F2632" s="18" t="s">
        <v>105</v>
      </c>
      <c r="G2632" s="18" t="s">
        <v>48</v>
      </c>
      <c r="H2632" s="24">
        <v>305740</v>
      </c>
      <c r="I2632" s="24">
        <f>T_reg.root.SK[[#This Row],[Volume, kg]]/1000</f>
        <v>305.74</v>
      </c>
      <c r="J2632" s="25">
        <v>0.2427</v>
      </c>
      <c r="K2632" s="25">
        <f t="shared" si="41"/>
        <v>74203.097999999998</v>
      </c>
      <c r="L2632" s="25">
        <v>3.46</v>
      </c>
      <c r="M2632" s="24">
        <v>1058922</v>
      </c>
      <c r="N2632" s="25">
        <f>IFERROR(T_reg.root.SK[[#This Row],[Price]]/T_reg.root.SK[[#This Row],[Starch content]],"")</f>
        <v>14.256283477544294</v>
      </c>
    </row>
    <row r="2633" spans="1:14">
      <c r="A2633" s="21">
        <v>2024</v>
      </c>
      <c r="B2633" s="21" t="s">
        <v>20</v>
      </c>
      <c r="C2633" s="21" t="s">
        <v>1145</v>
      </c>
      <c r="D2633" s="21" t="s">
        <v>35</v>
      </c>
      <c r="E2633" s="18" t="s">
        <v>182</v>
      </c>
      <c r="F2633" s="18" t="s">
        <v>105</v>
      </c>
      <c r="G2633" s="18" t="s">
        <v>48</v>
      </c>
      <c r="H2633" s="24">
        <v>36630</v>
      </c>
      <c r="I2633" s="24">
        <f>T_reg.root.SK[[#This Row],[Volume, kg]]/1000</f>
        <v>36.630000000000003</v>
      </c>
      <c r="J2633" s="25">
        <v>0.2346</v>
      </c>
      <c r="K2633" s="25">
        <f t="shared" si="41"/>
        <v>8593.3979999999992</v>
      </c>
      <c r="L2633" s="25">
        <v>3.39</v>
      </c>
      <c r="M2633" s="24">
        <v>124127</v>
      </c>
      <c r="N2633" s="25">
        <f>IFERROR(T_reg.root.SK[[#This Row],[Price]]/T_reg.root.SK[[#This Row],[Starch content]],"")</f>
        <v>14.450127877237852</v>
      </c>
    </row>
    <row r="2634" spans="1:14">
      <c r="A2634" s="21">
        <v>2024</v>
      </c>
      <c r="B2634" s="21" t="s">
        <v>20</v>
      </c>
      <c r="C2634" s="21" t="s">
        <v>1145</v>
      </c>
      <c r="D2634" s="21" t="s">
        <v>35</v>
      </c>
      <c r="E2634" s="18" t="s">
        <v>260</v>
      </c>
      <c r="F2634" s="18" t="s">
        <v>105</v>
      </c>
      <c r="G2634" s="18" t="s">
        <v>48</v>
      </c>
      <c r="H2634" s="24">
        <v>16140</v>
      </c>
      <c r="I2634" s="24">
        <f>T_reg.root.SK[[#This Row],[Volume, kg]]/1000</f>
        <v>16.14</v>
      </c>
      <c r="J2634" s="25">
        <v>0.29210000000000003</v>
      </c>
      <c r="K2634" s="25">
        <f t="shared" si="41"/>
        <v>4714.4940000000006</v>
      </c>
      <c r="L2634" s="25">
        <v>3.62</v>
      </c>
      <c r="M2634" s="24">
        <v>58499</v>
      </c>
      <c r="N2634" s="25">
        <f>IFERROR(T_reg.root.SK[[#This Row],[Price]]/T_reg.root.SK[[#This Row],[Starch content]],"")</f>
        <v>12.393016090380007</v>
      </c>
    </row>
    <row r="2635" spans="1:14">
      <c r="A2635" s="21">
        <v>2024</v>
      </c>
      <c r="B2635" s="21" t="s">
        <v>20</v>
      </c>
      <c r="C2635" s="21" t="s">
        <v>1145</v>
      </c>
      <c r="D2635" s="21" t="s">
        <v>35</v>
      </c>
      <c r="E2635" s="18" t="s">
        <v>640</v>
      </c>
      <c r="F2635" s="18" t="s">
        <v>105</v>
      </c>
      <c r="G2635" s="18" t="s">
        <v>48</v>
      </c>
      <c r="H2635" s="24">
        <v>149700</v>
      </c>
      <c r="I2635" s="24">
        <f>T_reg.root.SK[[#This Row],[Volume, kg]]/1000</f>
        <v>149.69999999999999</v>
      </c>
      <c r="J2635" s="25">
        <v>0.25879999999999997</v>
      </c>
      <c r="K2635" s="25">
        <f t="shared" si="41"/>
        <v>38742.359999999993</v>
      </c>
      <c r="L2635" s="25">
        <v>3.46</v>
      </c>
      <c r="M2635" s="24">
        <v>517317.5</v>
      </c>
      <c r="N2635" s="25">
        <f>IFERROR(T_reg.root.SK[[#This Row],[Price]]/T_reg.root.SK[[#This Row],[Starch content]],"")</f>
        <v>13.369397217928904</v>
      </c>
    </row>
    <row r="2636" spans="1:14">
      <c r="A2636" s="21">
        <v>2024</v>
      </c>
      <c r="B2636" s="21" t="s">
        <v>20</v>
      </c>
      <c r="C2636" s="21" t="s">
        <v>1145</v>
      </c>
      <c r="D2636" s="21" t="s">
        <v>35</v>
      </c>
      <c r="E2636" s="18" t="s">
        <v>641</v>
      </c>
      <c r="F2636" s="18" t="s">
        <v>105</v>
      </c>
      <c r="G2636" s="18" t="s">
        <v>48</v>
      </c>
      <c r="H2636" s="24">
        <v>26920</v>
      </c>
      <c r="I2636" s="24">
        <f>T_reg.root.SK[[#This Row],[Volume, kg]]/1000</f>
        <v>26.92</v>
      </c>
      <c r="J2636" s="25">
        <v>0.17739999999999997</v>
      </c>
      <c r="K2636" s="25">
        <f t="shared" si="41"/>
        <v>4775.6079999999993</v>
      </c>
      <c r="L2636" s="25">
        <v>3.03</v>
      </c>
      <c r="M2636" s="24">
        <v>81611.5</v>
      </c>
      <c r="N2636" s="25">
        <f>IFERROR(T_reg.root.SK[[#This Row],[Price]]/T_reg.root.SK[[#This Row],[Starch content]],"")</f>
        <v>17.080045095828638</v>
      </c>
    </row>
    <row r="2637" spans="1:14">
      <c r="A2637" s="21">
        <v>2024</v>
      </c>
      <c r="B2637" s="21" t="s">
        <v>20</v>
      </c>
      <c r="C2637" s="21" t="s">
        <v>1145</v>
      </c>
      <c r="D2637" s="21" t="s">
        <v>35</v>
      </c>
      <c r="E2637" s="18" t="s">
        <v>183</v>
      </c>
      <c r="F2637" s="18" t="s">
        <v>105</v>
      </c>
      <c r="G2637" s="18" t="s">
        <v>48</v>
      </c>
      <c r="H2637" s="24">
        <v>539220</v>
      </c>
      <c r="I2637" s="24">
        <f>T_reg.root.SK[[#This Row],[Volume, kg]]/1000</f>
        <v>539.22</v>
      </c>
      <c r="J2637" s="25">
        <v>0.26190000000000002</v>
      </c>
      <c r="K2637" s="25">
        <f t="shared" si="41"/>
        <v>141221.71800000002</v>
      </c>
      <c r="L2637" s="25">
        <v>3.55</v>
      </c>
      <c r="M2637" s="24">
        <v>1915532.5</v>
      </c>
      <c r="N2637" s="25">
        <f>IFERROR(T_reg.root.SK[[#This Row],[Price]]/T_reg.root.SK[[#This Row],[Starch content]],"")</f>
        <v>13.554791905307367</v>
      </c>
    </row>
    <row r="2638" spans="1:14">
      <c r="A2638" s="21">
        <v>2024</v>
      </c>
      <c r="B2638" s="21" t="s">
        <v>20</v>
      </c>
      <c r="C2638" s="21" t="s">
        <v>1145</v>
      </c>
      <c r="D2638" s="21" t="s">
        <v>35</v>
      </c>
      <c r="E2638" s="18" t="s">
        <v>330</v>
      </c>
      <c r="F2638" s="18" t="s">
        <v>187</v>
      </c>
      <c r="G2638" s="18" t="s">
        <v>48</v>
      </c>
      <c r="H2638" s="24">
        <v>56850</v>
      </c>
      <c r="I2638" s="24">
        <f>T_reg.root.SK[[#This Row],[Volume, kg]]/1000</f>
        <v>56.85</v>
      </c>
      <c r="J2638" s="25">
        <v>0.25690000000000002</v>
      </c>
      <c r="K2638" s="25">
        <f t="shared" si="41"/>
        <v>14604.765000000001</v>
      </c>
      <c r="L2638" s="25">
        <v>3.59</v>
      </c>
      <c r="M2638" s="24">
        <v>204341</v>
      </c>
      <c r="N2638" s="25">
        <f>IFERROR(T_reg.root.SK[[#This Row],[Price]]/T_reg.root.SK[[#This Row],[Starch content]],"")</f>
        <v>13.974309069676915</v>
      </c>
    </row>
    <row r="2639" spans="1:14">
      <c r="A2639" s="21">
        <v>2024</v>
      </c>
      <c r="B2639" s="21" t="s">
        <v>20</v>
      </c>
      <c r="C2639" s="21" t="s">
        <v>1145</v>
      </c>
      <c r="D2639" s="21" t="s">
        <v>35</v>
      </c>
      <c r="E2639" s="18" t="s">
        <v>579</v>
      </c>
      <c r="F2639" s="18" t="s">
        <v>187</v>
      </c>
      <c r="G2639" s="18" t="s">
        <v>48</v>
      </c>
      <c r="H2639" s="24">
        <v>77170</v>
      </c>
      <c r="I2639" s="24">
        <f>T_reg.root.SK[[#This Row],[Volume, kg]]/1000</f>
        <v>77.17</v>
      </c>
      <c r="J2639" s="25">
        <v>0.24399999999999999</v>
      </c>
      <c r="K2639" s="25">
        <f t="shared" si="41"/>
        <v>18829.48</v>
      </c>
      <c r="L2639" s="25">
        <v>3.53</v>
      </c>
      <c r="M2639" s="24">
        <v>272374</v>
      </c>
      <c r="N2639" s="25">
        <f>IFERROR(T_reg.root.SK[[#This Row],[Price]]/T_reg.root.SK[[#This Row],[Starch content]],"")</f>
        <v>14.467213114754097</v>
      </c>
    </row>
    <row r="2640" spans="1:14">
      <c r="A2640" s="21">
        <v>2024</v>
      </c>
      <c r="B2640" s="21" t="s">
        <v>20</v>
      </c>
      <c r="C2640" s="21" t="s">
        <v>1145</v>
      </c>
      <c r="D2640" s="21" t="s">
        <v>35</v>
      </c>
      <c r="E2640" s="18" t="s">
        <v>186</v>
      </c>
      <c r="F2640" s="18" t="s">
        <v>187</v>
      </c>
      <c r="G2640" s="18" t="s">
        <v>48</v>
      </c>
      <c r="H2640" s="24">
        <v>58380</v>
      </c>
      <c r="I2640" s="24">
        <f>T_reg.root.SK[[#This Row],[Volume, kg]]/1000</f>
        <v>58.38</v>
      </c>
      <c r="J2640" s="25">
        <v>0.23829999999999998</v>
      </c>
      <c r="K2640" s="25">
        <f t="shared" si="41"/>
        <v>13911.954</v>
      </c>
      <c r="L2640" s="25">
        <v>3.42</v>
      </c>
      <c r="M2640" s="24">
        <v>199799</v>
      </c>
      <c r="N2640" s="25">
        <f>IFERROR(T_reg.root.SK[[#This Row],[Price]]/T_reg.root.SK[[#This Row],[Starch content]],"")</f>
        <v>14.351657574485943</v>
      </c>
    </row>
    <row r="2641" spans="1:14">
      <c r="A2641" s="21">
        <v>2024</v>
      </c>
      <c r="B2641" s="21" t="s">
        <v>20</v>
      </c>
      <c r="C2641" s="21" t="s">
        <v>1145</v>
      </c>
      <c r="D2641" s="21" t="s">
        <v>35</v>
      </c>
      <c r="E2641" s="18" t="s">
        <v>190</v>
      </c>
      <c r="F2641" s="18" t="s">
        <v>187</v>
      </c>
      <c r="G2641" s="18" t="s">
        <v>48</v>
      </c>
      <c r="H2641" s="24">
        <v>67860</v>
      </c>
      <c r="I2641" s="24">
        <f>T_reg.root.SK[[#This Row],[Volume, kg]]/1000</f>
        <v>67.86</v>
      </c>
      <c r="J2641" s="25">
        <v>0.2646</v>
      </c>
      <c r="K2641" s="25">
        <f t="shared" si="41"/>
        <v>17955.756000000001</v>
      </c>
      <c r="L2641" s="25">
        <v>3.63</v>
      </c>
      <c r="M2641" s="24">
        <v>246648</v>
      </c>
      <c r="N2641" s="25">
        <f>IFERROR(T_reg.root.SK[[#This Row],[Price]]/T_reg.root.SK[[#This Row],[Starch content]],"")</f>
        <v>13.718820861678005</v>
      </c>
    </row>
    <row r="2642" spans="1:14">
      <c r="A2642" s="21">
        <v>2024</v>
      </c>
      <c r="B2642" s="21" t="s">
        <v>20</v>
      </c>
      <c r="C2642" s="21" t="s">
        <v>1145</v>
      </c>
      <c r="D2642" s="21" t="s">
        <v>35</v>
      </c>
      <c r="E2642" s="18" t="s">
        <v>723</v>
      </c>
      <c r="F2642" s="18" t="s">
        <v>187</v>
      </c>
      <c r="G2642" s="18" t="s">
        <v>48</v>
      </c>
      <c r="H2642" s="24">
        <v>8860</v>
      </c>
      <c r="I2642" s="24">
        <f>T_reg.root.SK[[#This Row],[Volume, kg]]/1000</f>
        <v>8.86</v>
      </c>
      <c r="J2642" s="25">
        <v>0.29600000000000004</v>
      </c>
      <c r="K2642" s="25">
        <f t="shared" si="41"/>
        <v>2622.5600000000004</v>
      </c>
      <c r="L2642" s="25">
        <v>3.85</v>
      </c>
      <c r="M2642" s="24">
        <v>34111</v>
      </c>
      <c r="N2642" s="25">
        <f>IFERROR(T_reg.root.SK[[#This Row],[Price]]/T_reg.root.SK[[#This Row],[Starch content]],"")</f>
        <v>13.006756756756756</v>
      </c>
    </row>
    <row r="2643" spans="1:14">
      <c r="A2643" s="21">
        <v>2024</v>
      </c>
      <c r="B2643" s="21" t="s">
        <v>20</v>
      </c>
      <c r="C2643" s="21" t="s">
        <v>1145</v>
      </c>
      <c r="D2643" s="21" t="s">
        <v>35</v>
      </c>
      <c r="E2643" s="18" t="s">
        <v>192</v>
      </c>
      <c r="F2643" s="18" t="s">
        <v>187</v>
      </c>
      <c r="G2643" s="18" t="s">
        <v>48</v>
      </c>
      <c r="H2643" s="24">
        <v>68730</v>
      </c>
      <c r="I2643" s="24">
        <f>T_reg.root.SK[[#This Row],[Volume, kg]]/1000</f>
        <v>68.73</v>
      </c>
      <c r="J2643" s="25">
        <v>0.26250000000000001</v>
      </c>
      <c r="K2643" s="25">
        <f t="shared" si="41"/>
        <v>18041.625</v>
      </c>
      <c r="L2643" s="25">
        <v>3.61</v>
      </c>
      <c r="M2643" s="24">
        <v>247958.5</v>
      </c>
      <c r="N2643" s="25">
        <f>IFERROR(T_reg.root.SK[[#This Row],[Price]]/T_reg.root.SK[[#This Row],[Starch content]],"")</f>
        <v>13.752380952380951</v>
      </c>
    </row>
    <row r="2644" spans="1:14">
      <c r="A2644" s="21">
        <v>2024</v>
      </c>
      <c r="B2644" s="21" t="s">
        <v>20</v>
      </c>
      <c r="C2644" s="21" t="s">
        <v>1145</v>
      </c>
      <c r="D2644" s="21" t="s">
        <v>35</v>
      </c>
      <c r="E2644" s="18" t="s">
        <v>514</v>
      </c>
      <c r="F2644" s="18" t="s">
        <v>187</v>
      </c>
      <c r="G2644" s="18" t="s">
        <v>48</v>
      </c>
      <c r="H2644" s="24">
        <v>53230</v>
      </c>
      <c r="I2644" s="24">
        <f>T_reg.root.SK[[#This Row],[Volume, kg]]/1000</f>
        <v>53.23</v>
      </c>
      <c r="J2644" s="25">
        <v>0.23089999999999999</v>
      </c>
      <c r="K2644" s="25">
        <f t="shared" si="41"/>
        <v>12290.806999999999</v>
      </c>
      <c r="L2644" s="25">
        <v>3.37</v>
      </c>
      <c r="M2644" s="24">
        <v>179613.5</v>
      </c>
      <c r="N2644" s="25">
        <f>IFERROR(T_reg.root.SK[[#This Row],[Price]]/T_reg.root.SK[[#This Row],[Starch content]],"")</f>
        <v>14.595062797747943</v>
      </c>
    </row>
    <row r="2645" spans="1:14">
      <c r="A2645" s="21">
        <v>2024</v>
      </c>
      <c r="B2645" s="21" t="s">
        <v>20</v>
      </c>
      <c r="C2645" s="21" t="s">
        <v>1145</v>
      </c>
      <c r="D2645" s="21" t="s">
        <v>35</v>
      </c>
      <c r="E2645" s="18" t="s">
        <v>701</v>
      </c>
      <c r="F2645" s="18" t="s">
        <v>187</v>
      </c>
      <c r="G2645" s="18" t="s">
        <v>48</v>
      </c>
      <c r="H2645" s="24">
        <v>106140</v>
      </c>
      <c r="I2645" s="24">
        <f>T_reg.root.SK[[#This Row],[Volume, kg]]/1000</f>
        <v>106.14</v>
      </c>
      <c r="J2645" s="25">
        <v>0.24030000000000001</v>
      </c>
      <c r="K2645" s="25">
        <f t="shared" si="41"/>
        <v>25505.442000000003</v>
      </c>
      <c r="L2645" s="25">
        <v>3.52</v>
      </c>
      <c r="M2645" s="24">
        <v>373645</v>
      </c>
      <c r="N2645" s="25">
        <f>IFERROR(T_reg.root.SK[[#This Row],[Price]]/T_reg.root.SK[[#This Row],[Starch content]],"")</f>
        <v>14.648356221389928</v>
      </c>
    </row>
    <row r="2646" spans="1:14">
      <c r="A2646" s="21">
        <v>2024</v>
      </c>
      <c r="B2646" s="21" t="s">
        <v>20</v>
      </c>
      <c r="C2646" s="21" t="s">
        <v>1145</v>
      </c>
      <c r="D2646" s="21" t="s">
        <v>35</v>
      </c>
      <c r="E2646" s="18" t="s">
        <v>193</v>
      </c>
      <c r="F2646" s="18" t="s">
        <v>187</v>
      </c>
      <c r="G2646" s="18" t="s">
        <v>48</v>
      </c>
      <c r="H2646" s="24">
        <v>84780</v>
      </c>
      <c r="I2646" s="24">
        <f>T_reg.root.SK[[#This Row],[Volume, kg]]/1000</f>
        <v>84.78</v>
      </c>
      <c r="J2646" s="25">
        <v>0.22789999999999999</v>
      </c>
      <c r="K2646" s="25">
        <f t="shared" si="41"/>
        <v>19321.362000000001</v>
      </c>
      <c r="L2646" s="25">
        <v>3.39</v>
      </c>
      <c r="M2646" s="24">
        <v>287264</v>
      </c>
      <c r="N2646" s="25">
        <f>IFERROR(T_reg.root.SK[[#This Row],[Price]]/T_reg.root.SK[[#This Row],[Starch content]],"")</f>
        <v>14.874945151382187</v>
      </c>
    </row>
    <row r="2647" spans="1:14">
      <c r="A2647" s="21">
        <v>2024</v>
      </c>
      <c r="B2647" s="21" t="s">
        <v>20</v>
      </c>
      <c r="C2647" s="21" t="s">
        <v>1145</v>
      </c>
      <c r="D2647" s="21" t="s">
        <v>35</v>
      </c>
      <c r="E2647" s="18" t="s">
        <v>262</v>
      </c>
      <c r="F2647" s="18" t="s">
        <v>187</v>
      </c>
      <c r="G2647" s="18" t="s">
        <v>48</v>
      </c>
      <c r="H2647" s="24">
        <v>197060</v>
      </c>
      <c r="I2647" s="24">
        <f>T_reg.root.SK[[#This Row],[Volume, kg]]/1000</f>
        <v>197.06</v>
      </c>
      <c r="J2647" s="25">
        <v>0.2334</v>
      </c>
      <c r="K2647" s="25">
        <f t="shared" si="41"/>
        <v>45993.803999999996</v>
      </c>
      <c r="L2647" s="25">
        <v>3.44</v>
      </c>
      <c r="M2647" s="24">
        <v>676966</v>
      </c>
      <c r="N2647" s="25">
        <f>IFERROR(T_reg.root.SK[[#This Row],[Price]]/T_reg.root.SK[[#This Row],[Starch content]],"")</f>
        <v>14.738646101113968</v>
      </c>
    </row>
    <row r="2648" spans="1:14">
      <c r="A2648" s="21">
        <v>2024</v>
      </c>
      <c r="B2648" s="21" t="s">
        <v>20</v>
      </c>
      <c r="C2648" s="21" t="s">
        <v>1145</v>
      </c>
      <c r="D2648" s="21" t="s">
        <v>35</v>
      </c>
      <c r="E2648" s="18" t="s">
        <v>194</v>
      </c>
      <c r="F2648" s="18" t="s">
        <v>187</v>
      </c>
      <c r="G2648" s="18" t="s">
        <v>48</v>
      </c>
      <c r="H2648" s="24">
        <v>83540</v>
      </c>
      <c r="I2648" s="24">
        <f>T_reg.root.SK[[#This Row],[Volume, kg]]/1000</f>
        <v>83.54</v>
      </c>
      <c r="J2648" s="25">
        <v>0.26769999999999999</v>
      </c>
      <c r="K2648" s="25">
        <f t="shared" si="41"/>
        <v>22363.657999999999</v>
      </c>
      <c r="L2648" s="25">
        <v>3.58</v>
      </c>
      <c r="M2648" s="24">
        <v>299184.5</v>
      </c>
      <c r="N2648" s="25">
        <f>IFERROR(T_reg.root.SK[[#This Row],[Price]]/T_reg.root.SK[[#This Row],[Starch content]],"")</f>
        <v>13.373178931639895</v>
      </c>
    </row>
    <row r="2649" spans="1:14">
      <c r="A2649" s="21">
        <v>2024</v>
      </c>
      <c r="B2649" s="21" t="s">
        <v>20</v>
      </c>
      <c r="C2649" s="21" t="s">
        <v>1145</v>
      </c>
      <c r="D2649" s="21" t="s">
        <v>35</v>
      </c>
      <c r="E2649" s="18" t="s">
        <v>195</v>
      </c>
      <c r="F2649" s="18" t="s">
        <v>187</v>
      </c>
      <c r="G2649" s="18" t="s">
        <v>48</v>
      </c>
      <c r="H2649" s="24">
        <v>85500</v>
      </c>
      <c r="I2649" s="24">
        <f>T_reg.root.SK[[#This Row],[Volume, kg]]/1000</f>
        <v>85.5</v>
      </c>
      <c r="J2649" s="25">
        <v>0.21929999999999999</v>
      </c>
      <c r="K2649" s="25">
        <f t="shared" si="41"/>
        <v>18750.149999999998</v>
      </c>
      <c r="L2649" s="25">
        <v>3.42</v>
      </c>
      <c r="M2649" s="24">
        <v>292530.5</v>
      </c>
      <c r="N2649" s="25">
        <f>IFERROR(T_reg.root.SK[[#This Row],[Price]]/T_reg.root.SK[[#This Row],[Starch content]],"")</f>
        <v>15.595075239398085</v>
      </c>
    </row>
    <row r="2650" spans="1:14">
      <c r="A2650" s="21">
        <v>2024</v>
      </c>
      <c r="B2650" s="21" t="s">
        <v>20</v>
      </c>
      <c r="C2650" s="21" t="s">
        <v>1145</v>
      </c>
      <c r="D2650" s="21" t="s">
        <v>35</v>
      </c>
      <c r="E2650" s="18" t="s">
        <v>516</v>
      </c>
      <c r="F2650" s="18" t="s">
        <v>187</v>
      </c>
      <c r="G2650" s="18" t="s">
        <v>48</v>
      </c>
      <c r="H2650" s="24">
        <v>9780</v>
      </c>
      <c r="I2650" s="24">
        <f>T_reg.root.SK[[#This Row],[Volume, kg]]/1000</f>
        <v>9.7799999999999994</v>
      </c>
      <c r="J2650" s="25">
        <v>0.23199999999999998</v>
      </c>
      <c r="K2650" s="25">
        <f t="shared" si="41"/>
        <v>2268.96</v>
      </c>
      <c r="L2650" s="25">
        <v>3.45</v>
      </c>
      <c r="M2650" s="24">
        <v>33741</v>
      </c>
      <c r="N2650" s="25">
        <f>IFERROR(T_reg.root.SK[[#This Row],[Price]]/T_reg.root.SK[[#This Row],[Starch content]],"")</f>
        <v>14.870689655172416</v>
      </c>
    </row>
    <row r="2651" spans="1:14">
      <c r="A2651" s="21">
        <v>2024</v>
      </c>
      <c r="B2651" s="21" t="s">
        <v>20</v>
      </c>
      <c r="C2651" s="21" t="s">
        <v>1145</v>
      </c>
      <c r="D2651" s="21" t="s">
        <v>35</v>
      </c>
      <c r="E2651" s="18" t="s">
        <v>331</v>
      </c>
      <c r="F2651" s="18" t="s">
        <v>187</v>
      </c>
      <c r="G2651" s="18" t="s">
        <v>48</v>
      </c>
      <c r="H2651" s="24">
        <v>55710</v>
      </c>
      <c r="I2651" s="24">
        <f>T_reg.root.SK[[#This Row],[Volume, kg]]/1000</f>
        <v>55.71</v>
      </c>
      <c r="J2651" s="25">
        <v>0.23139999999999999</v>
      </c>
      <c r="K2651" s="25">
        <f t="shared" si="41"/>
        <v>12891.294</v>
      </c>
      <c r="L2651" s="25">
        <v>3.36</v>
      </c>
      <c r="M2651" s="24">
        <v>187099.5</v>
      </c>
      <c r="N2651" s="25">
        <f>IFERROR(T_reg.root.SK[[#This Row],[Price]]/T_reg.root.SK[[#This Row],[Starch content]],"")</f>
        <v>14.520311149524632</v>
      </c>
    </row>
    <row r="2652" spans="1:14">
      <c r="A2652" s="21">
        <v>2024</v>
      </c>
      <c r="B2652" s="21" t="s">
        <v>20</v>
      </c>
      <c r="C2652" s="21" t="s">
        <v>1145</v>
      </c>
      <c r="D2652" s="21" t="s">
        <v>35</v>
      </c>
      <c r="E2652" s="18" t="s">
        <v>519</v>
      </c>
      <c r="F2652" s="18" t="s">
        <v>187</v>
      </c>
      <c r="G2652" s="18" t="s">
        <v>48</v>
      </c>
      <c r="H2652" s="24">
        <v>9100</v>
      </c>
      <c r="I2652" s="24">
        <f>T_reg.root.SK[[#This Row],[Volume, kg]]/1000</f>
        <v>9.1</v>
      </c>
      <c r="J2652" s="25">
        <v>0.27649999999999997</v>
      </c>
      <c r="K2652" s="25">
        <f t="shared" si="41"/>
        <v>2516.1499999999996</v>
      </c>
      <c r="L2652" s="25">
        <v>3.6</v>
      </c>
      <c r="M2652" s="24">
        <v>32760</v>
      </c>
      <c r="N2652" s="25">
        <f>IFERROR(T_reg.root.SK[[#This Row],[Price]]/T_reg.root.SK[[#This Row],[Starch content]],"")</f>
        <v>13.01989150090416</v>
      </c>
    </row>
    <row r="2653" spans="1:14">
      <c r="A2653" s="21">
        <v>2024</v>
      </c>
      <c r="B2653" s="21" t="s">
        <v>20</v>
      </c>
      <c r="C2653" s="21" t="s">
        <v>1145</v>
      </c>
      <c r="D2653" s="21" t="s">
        <v>35</v>
      </c>
      <c r="E2653" s="18" t="s">
        <v>724</v>
      </c>
      <c r="F2653" s="18" t="s">
        <v>187</v>
      </c>
      <c r="G2653" s="18" t="s">
        <v>48</v>
      </c>
      <c r="H2653" s="24">
        <v>46080</v>
      </c>
      <c r="I2653" s="24">
        <f>T_reg.root.SK[[#This Row],[Volume, kg]]/1000</f>
        <v>46.08</v>
      </c>
      <c r="J2653" s="25">
        <v>0.2445</v>
      </c>
      <c r="K2653" s="25">
        <f t="shared" si="41"/>
        <v>11266.56</v>
      </c>
      <c r="L2653" s="25">
        <v>3.48</v>
      </c>
      <c r="M2653" s="24">
        <v>160392</v>
      </c>
      <c r="N2653" s="25">
        <f>IFERROR(T_reg.root.SK[[#This Row],[Price]]/T_reg.root.SK[[#This Row],[Starch content]],"")</f>
        <v>14.233128834355828</v>
      </c>
    </row>
    <row r="2654" spans="1:14">
      <c r="A2654" s="21">
        <v>2024</v>
      </c>
      <c r="B2654" s="21" t="s">
        <v>20</v>
      </c>
      <c r="C2654" s="21" t="s">
        <v>1145</v>
      </c>
      <c r="D2654" s="21" t="s">
        <v>35</v>
      </c>
      <c r="E2654" s="18" t="s">
        <v>590</v>
      </c>
      <c r="F2654" s="18" t="s">
        <v>187</v>
      </c>
      <c r="G2654" s="18" t="s">
        <v>48</v>
      </c>
      <c r="H2654" s="24">
        <v>62930</v>
      </c>
      <c r="I2654" s="24">
        <f>T_reg.root.SK[[#This Row],[Volume, kg]]/1000</f>
        <v>62.93</v>
      </c>
      <c r="J2654" s="25">
        <v>0.27489999999999998</v>
      </c>
      <c r="K2654" s="25">
        <f t="shared" si="41"/>
        <v>17299.456999999999</v>
      </c>
      <c r="L2654" s="25">
        <v>3.64</v>
      </c>
      <c r="M2654" s="24">
        <v>229370.5</v>
      </c>
      <c r="N2654" s="25">
        <f>IFERROR(T_reg.root.SK[[#This Row],[Price]]/T_reg.root.SK[[#This Row],[Starch content]],"")</f>
        <v>13.241178610403784</v>
      </c>
    </row>
    <row r="2655" spans="1:14">
      <c r="A2655" s="21">
        <v>2024</v>
      </c>
      <c r="B2655" s="21" t="s">
        <v>20</v>
      </c>
      <c r="C2655" s="21" t="s">
        <v>1145</v>
      </c>
      <c r="D2655" s="21" t="s">
        <v>35</v>
      </c>
      <c r="E2655" s="18" t="s">
        <v>264</v>
      </c>
      <c r="F2655" s="18" t="s">
        <v>187</v>
      </c>
      <c r="G2655" s="18" t="s">
        <v>48</v>
      </c>
      <c r="H2655" s="24">
        <v>27540</v>
      </c>
      <c r="I2655" s="24">
        <f>T_reg.root.SK[[#This Row],[Volume, kg]]/1000</f>
        <v>27.54</v>
      </c>
      <c r="J2655" s="25">
        <v>0.2021</v>
      </c>
      <c r="K2655" s="25">
        <f t="shared" si="41"/>
        <v>5565.8339999999998</v>
      </c>
      <c r="L2655" s="25">
        <v>3.32</v>
      </c>
      <c r="M2655" s="24">
        <v>91394</v>
      </c>
      <c r="N2655" s="25">
        <f>IFERROR(T_reg.root.SK[[#This Row],[Price]]/T_reg.root.SK[[#This Row],[Starch content]],"")</f>
        <v>16.427511133102424</v>
      </c>
    </row>
    <row r="2656" spans="1:14">
      <c r="A2656" s="21">
        <v>2024</v>
      </c>
      <c r="B2656" s="21" t="s">
        <v>20</v>
      </c>
      <c r="C2656" s="21" t="s">
        <v>1145</v>
      </c>
      <c r="D2656" s="21" t="s">
        <v>35</v>
      </c>
      <c r="E2656" s="18" t="s">
        <v>196</v>
      </c>
      <c r="F2656" s="18" t="s">
        <v>187</v>
      </c>
      <c r="G2656" s="18" t="s">
        <v>48</v>
      </c>
      <c r="H2656" s="24">
        <v>125460</v>
      </c>
      <c r="I2656" s="24">
        <f>T_reg.root.SK[[#This Row],[Volume, kg]]/1000</f>
        <v>125.46</v>
      </c>
      <c r="J2656" s="25">
        <v>0.2412</v>
      </c>
      <c r="K2656" s="25">
        <f t="shared" si="41"/>
        <v>30260.952000000001</v>
      </c>
      <c r="L2656" s="25">
        <v>3.51</v>
      </c>
      <c r="M2656" s="24">
        <v>439821</v>
      </c>
      <c r="N2656" s="25">
        <f>IFERROR(T_reg.root.SK[[#This Row],[Price]]/T_reg.root.SK[[#This Row],[Starch content]],"")</f>
        <v>14.552238805970148</v>
      </c>
    </row>
    <row r="2657" spans="1:14">
      <c r="A2657" s="21">
        <v>2024</v>
      </c>
      <c r="B2657" s="21" t="s">
        <v>20</v>
      </c>
      <c r="C2657" s="21" t="s">
        <v>1145</v>
      </c>
      <c r="D2657" s="21" t="s">
        <v>35</v>
      </c>
      <c r="E2657" s="18" t="s">
        <v>197</v>
      </c>
      <c r="F2657" s="18" t="s">
        <v>187</v>
      </c>
      <c r="G2657" s="18" t="s">
        <v>48</v>
      </c>
      <c r="H2657" s="24">
        <v>23620</v>
      </c>
      <c r="I2657" s="24">
        <f>T_reg.root.SK[[#This Row],[Volume, kg]]/1000</f>
        <v>23.62</v>
      </c>
      <c r="J2657" s="25">
        <v>0.20149999999999998</v>
      </c>
      <c r="K2657" s="25">
        <f t="shared" si="41"/>
        <v>4759.4299999999994</v>
      </c>
      <c r="L2657" s="25">
        <v>3.36</v>
      </c>
      <c r="M2657" s="24">
        <v>79280</v>
      </c>
      <c r="N2657" s="25">
        <f>IFERROR(T_reg.root.SK[[#This Row],[Price]]/T_reg.root.SK[[#This Row],[Starch content]],"")</f>
        <v>16.674937965260547</v>
      </c>
    </row>
    <row r="2658" spans="1:14">
      <c r="A2658" s="21">
        <v>2024</v>
      </c>
      <c r="B2658" s="21" t="s">
        <v>20</v>
      </c>
      <c r="C2658" s="21" t="s">
        <v>1145</v>
      </c>
      <c r="D2658" s="21" t="s">
        <v>35</v>
      </c>
      <c r="E2658" s="18" t="s">
        <v>524</v>
      </c>
      <c r="F2658" s="18" t="s">
        <v>187</v>
      </c>
      <c r="G2658" s="18" t="s">
        <v>48</v>
      </c>
      <c r="H2658" s="24">
        <v>52620</v>
      </c>
      <c r="I2658" s="24">
        <f>T_reg.root.SK[[#This Row],[Volume, kg]]/1000</f>
        <v>52.62</v>
      </c>
      <c r="J2658" s="25">
        <v>0.2702</v>
      </c>
      <c r="K2658" s="25">
        <f t="shared" si="41"/>
        <v>14217.923999999999</v>
      </c>
      <c r="L2658" s="25">
        <v>3.68</v>
      </c>
      <c r="M2658" s="24">
        <v>193893</v>
      </c>
      <c r="N2658" s="25">
        <f>IFERROR(T_reg.root.SK[[#This Row],[Price]]/T_reg.root.SK[[#This Row],[Starch content]],"")</f>
        <v>13.619541080680978</v>
      </c>
    </row>
    <row r="2659" spans="1:14">
      <c r="A2659" s="21">
        <v>2024</v>
      </c>
      <c r="B2659" s="21" t="s">
        <v>20</v>
      </c>
      <c r="C2659" s="21" t="s">
        <v>1145</v>
      </c>
      <c r="D2659" s="21" t="s">
        <v>35</v>
      </c>
      <c r="E2659" s="18" t="s">
        <v>725</v>
      </c>
      <c r="F2659" s="18" t="s">
        <v>187</v>
      </c>
      <c r="G2659" s="18" t="s">
        <v>48</v>
      </c>
      <c r="H2659" s="24">
        <v>57460</v>
      </c>
      <c r="I2659" s="24">
        <f>T_reg.root.SK[[#This Row],[Volume, kg]]/1000</f>
        <v>57.46</v>
      </c>
      <c r="J2659" s="25">
        <v>0.2351</v>
      </c>
      <c r="K2659" s="25">
        <f t="shared" si="41"/>
        <v>13508.846</v>
      </c>
      <c r="L2659" s="25">
        <v>3.36</v>
      </c>
      <c r="M2659" s="24">
        <v>193311</v>
      </c>
      <c r="N2659" s="25">
        <f>IFERROR(T_reg.root.SK[[#This Row],[Price]]/T_reg.root.SK[[#This Row],[Starch content]],"")</f>
        <v>14.291790727350064</v>
      </c>
    </row>
    <row r="2660" spans="1:14">
      <c r="A2660" s="21">
        <v>2024</v>
      </c>
      <c r="B2660" s="21" t="s">
        <v>20</v>
      </c>
      <c r="C2660" s="21" t="s">
        <v>1145</v>
      </c>
      <c r="D2660" s="21" t="s">
        <v>35</v>
      </c>
      <c r="E2660" s="18" t="s">
        <v>373</v>
      </c>
      <c r="F2660" s="18" t="s">
        <v>187</v>
      </c>
      <c r="G2660" s="18" t="s">
        <v>48</v>
      </c>
      <c r="H2660" s="24">
        <v>24710</v>
      </c>
      <c r="I2660" s="24">
        <f>T_reg.root.SK[[#This Row],[Volume, kg]]/1000</f>
        <v>24.71</v>
      </c>
      <c r="J2660" s="25">
        <v>0.24780000000000002</v>
      </c>
      <c r="K2660" s="25">
        <f t="shared" si="41"/>
        <v>6123.1380000000008</v>
      </c>
      <c r="L2660" s="25">
        <v>3.49</v>
      </c>
      <c r="M2660" s="24">
        <v>86248.5</v>
      </c>
      <c r="N2660" s="25">
        <f>IFERROR(T_reg.root.SK[[#This Row],[Price]]/T_reg.root.SK[[#This Row],[Starch content]],"")</f>
        <v>14.083938660209846</v>
      </c>
    </row>
    <row r="2661" spans="1:14">
      <c r="A2661" s="21">
        <v>2024</v>
      </c>
      <c r="B2661" s="21" t="s">
        <v>20</v>
      </c>
      <c r="C2661" s="21" t="s">
        <v>1145</v>
      </c>
      <c r="D2661" s="21" t="s">
        <v>35</v>
      </c>
      <c r="E2661" s="18" t="s">
        <v>332</v>
      </c>
      <c r="F2661" s="18" t="s">
        <v>187</v>
      </c>
      <c r="G2661" s="18" t="s">
        <v>48</v>
      </c>
      <c r="H2661" s="24">
        <v>88460</v>
      </c>
      <c r="I2661" s="24">
        <f>T_reg.root.SK[[#This Row],[Volume, kg]]/1000</f>
        <v>88.46</v>
      </c>
      <c r="J2661" s="25">
        <v>0.22039999999999998</v>
      </c>
      <c r="K2661" s="25">
        <f t="shared" si="41"/>
        <v>19496.583999999999</v>
      </c>
      <c r="L2661" s="25">
        <v>3.31</v>
      </c>
      <c r="M2661" s="24">
        <v>292396</v>
      </c>
      <c r="N2661" s="25">
        <f>IFERROR(T_reg.root.SK[[#This Row],[Price]]/T_reg.root.SK[[#This Row],[Starch content]],"")</f>
        <v>15.01814882032668</v>
      </c>
    </row>
    <row r="2662" spans="1:14">
      <c r="A2662" s="21">
        <v>2024</v>
      </c>
      <c r="B2662" s="21" t="s">
        <v>20</v>
      </c>
      <c r="C2662" s="21" t="s">
        <v>1145</v>
      </c>
      <c r="D2662" s="21" t="s">
        <v>35</v>
      </c>
      <c r="E2662" s="18" t="s">
        <v>202</v>
      </c>
      <c r="F2662" s="18" t="s">
        <v>187</v>
      </c>
      <c r="G2662" s="18" t="s">
        <v>48</v>
      </c>
      <c r="H2662" s="24">
        <v>106010</v>
      </c>
      <c r="I2662" s="24">
        <f>T_reg.root.SK[[#This Row],[Volume, kg]]/1000</f>
        <v>106.01</v>
      </c>
      <c r="J2662" s="25">
        <v>0.23910000000000001</v>
      </c>
      <c r="K2662" s="25">
        <f t="shared" si="41"/>
        <v>25346.991000000002</v>
      </c>
      <c r="L2662" s="25">
        <v>3.49</v>
      </c>
      <c r="M2662" s="24">
        <v>370425</v>
      </c>
      <c r="N2662" s="25">
        <f>IFERROR(T_reg.root.SK[[#This Row],[Price]]/T_reg.root.SK[[#This Row],[Starch content]],"")</f>
        <v>14.596403178586366</v>
      </c>
    </row>
    <row r="2663" spans="1:14">
      <c r="A2663" s="21">
        <v>2024</v>
      </c>
      <c r="B2663" s="21" t="s">
        <v>20</v>
      </c>
      <c r="C2663" s="21" t="s">
        <v>1145</v>
      </c>
      <c r="D2663" s="21" t="s">
        <v>35</v>
      </c>
      <c r="E2663" s="18" t="s">
        <v>594</v>
      </c>
      <c r="F2663" s="18" t="s">
        <v>187</v>
      </c>
      <c r="G2663" s="18" t="s">
        <v>48</v>
      </c>
      <c r="H2663" s="24">
        <v>20180</v>
      </c>
      <c r="I2663" s="24">
        <f>T_reg.root.SK[[#This Row],[Volume, kg]]/1000</f>
        <v>20.18</v>
      </c>
      <c r="J2663" s="25">
        <v>0.27029999999999998</v>
      </c>
      <c r="K2663" s="25">
        <f t="shared" si="41"/>
        <v>5454.6539999999995</v>
      </c>
      <c r="L2663" s="25">
        <v>3.59</v>
      </c>
      <c r="M2663" s="24">
        <v>72478</v>
      </c>
      <c r="N2663" s="25">
        <f>IFERROR(T_reg.root.SK[[#This Row],[Price]]/T_reg.root.SK[[#This Row],[Starch content]],"")</f>
        <v>13.281539030706622</v>
      </c>
    </row>
    <row r="2664" spans="1:14">
      <c r="A2664" s="21">
        <v>2024</v>
      </c>
      <c r="B2664" s="21" t="s">
        <v>20</v>
      </c>
      <c r="C2664" s="21" t="s">
        <v>1145</v>
      </c>
      <c r="D2664" s="21" t="s">
        <v>35</v>
      </c>
      <c r="E2664" s="18" t="s">
        <v>265</v>
      </c>
      <c r="F2664" s="18" t="s">
        <v>187</v>
      </c>
      <c r="G2664" s="18" t="s">
        <v>48</v>
      </c>
      <c r="H2664" s="24">
        <v>38200</v>
      </c>
      <c r="I2664" s="24">
        <f>T_reg.root.SK[[#This Row],[Volume, kg]]/1000</f>
        <v>38.200000000000003</v>
      </c>
      <c r="J2664" s="25">
        <v>0.23100000000000001</v>
      </c>
      <c r="K2664" s="25">
        <f t="shared" si="41"/>
        <v>8824.2000000000007</v>
      </c>
      <c r="L2664" s="25">
        <v>3.35</v>
      </c>
      <c r="M2664" s="24">
        <v>128056</v>
      </c>
      <c r="N2664" s="25">
        <f>IFERROR(T_reg.root.SK[[#This Row],[Price]]/T_reg.root.SK[[#This Row],[Starch content]],"")</f>
        <v>14.502164502164502</v>
      </c>
    </row>
    <row r="2665" spans="1:14">
      <c r="A2665" s="21">
        <v>2024</v>
      </c>
      <c r="B2665" s="21" t="s">
        <v>20</v>
      </c>
      <c r="C2665" s="21" t="s">
        <v>1145</v>
      </c>
      <c r="D2665" s="21" t="s">
        <v>35</v>
      </c>
      <c r="E2665" s="18" t="s">
        <v>374</v>
      </c>
      <c r="F2665" s="18" t="s">
        <v>187</v>
      </c>
      <c r="G2665" s="18" t="s">
        <v>48</v>
      </c>
      <c r="H2665" s="24">
        <v>32730</v>
      </c>
      <c r="I2665" s="24">
        <f>T_reg.root.SK[[#This Row],[Volume, kg]]/1000</f>
        <v>32.729999999999997</v>
      </c>
      <c r="J2665" s="25">
        <v>0.26590000000000003</v>
      </c>
      <c r="K2665" s="25">
        <f t="shared" si="41"/>
        <v>8702.9070000000011</v>
      </c>
      <c r="L2665" s="25">
        <v>3.65</v>
      </c>
      <c r="M2665" s="24">
        <v>119370</v>
      </c>
      <c r="N2665" s="25">
        <f>IFERROR(T_reg.root.SK[[#This Row],[Price]]/T_reg.root.SK[[#This Row],[Starch content]],"")</f>
        <v>13.726965024445278</v>
      </c>
    </row>
    <row r="2666" spans="1:14">
      <c r="A2666" s="21">
        <v>2024</v>
      </c>
      <c r="B2666" s="21" t="s">
        <v>20</v>
      </c>
      <c r="C2666" s="21" t="s">
        <v>1145</v>
      </c>
      <c r="D2666" s="21" t="s">
        <v>35</v>
      </c>
      <c r="E2666" s="18" t="s">
        <v>206</v>
      </c>
      <c r="F2666" s="18" t="s">
        <v>187</v>
      </c>
      <c r="G2666" s="18" t="s">
        <v>48</v>
      </c>
      <c r="H2666" s="24">
        <v>12450</v>
      </c>
      <c r="I2666" s="24">
        <f>T_reg.root.SK[[#This Row],[Volume, kg]]/1000</f>
        <v>12.45</v>
      </c>
      <c r="J2666" s="25">
        <v>0.2298</v>
      </c>
      <c r="K2666" s="25">
        <f t="shared" si="41"/>
        <v>2861.01</v>
      </c>
      <c r="L2666" s="25">
        <v>3.45</v>
      </c>
      <c r="M2666" s="24">
        <v>42971</v>
      </c>
      <c r="N2666" s="25">
        <f>IFERROR(T_reg.root.SK[[#This Row],[Price]]/T_reg.root.SK[[#This Row],[Starch content]],"")</f>
        <v>15.013054830287206</v>
      </c>
    </row>
    <row r="2667" spans="1:14">
      <c r="A2667" s="21">
        <v>2024</v>
      </c>
      <c r="B2667" s="21" t="s">
        <v>20</v>
      </c>
      <c r="C2667" s="21" t="s">
        <v>1145</v>
      </c>
      <c r="D2667" s="21" t="s">
        <v>35</v>
      </c>
      <c r="E2667" s="18" t="s">
        <v>208</v>
      </c>
      <c r="F2667" s="18" t="s">
        <v>187</v>
      </c>
      <c r="G2667" s="18" t="s">
        <v>48</v>
      </c>
      <c r="H2667" s="24">
        <v>24140</v>
      </c>
      <c r="I2667" s="24">
        <f>T_reg.root.SK[[#This Row],[Volume, kg]]/1000</f>
        <v>24.14</v>
      </c>
      <c r="J2667" s="25">
        <v>0.24640000000000001</v>
      </c>
      <c r="K2667" s="25">
        <f t="shared" si="41"/>
        <v>5948.0960000000005</v>
      </c>
      <c r="L2667" s="25">
        <v>3.44</v>
      </c>
      <c r="M2667" s="24">
        <v>83078</v>
      </c>
      <c r="N2667" s="25">
        <f>IFERROR(T_reg.root.SK[[#This Row],[Price]]/T_reg.root.SK[[#This Row],[Starch content]],"")</f>
        <v>13.961038961038961</v>
      </c>
    </row>
    <row r="2668" spans="1:14">
      <c r="A2668" s="21">
        <v>2024</v>
      </c>
      <c r="B2668" s="21" t="s">
        <v>20</v>
      </c>
      <c r="C2668" s="21" t="s">
        <v>1145</v>
      </c>
      <c r="D2668" s="21" t="s">
        <v>35</v>
      </c>
      <c r="E2668" s="18" t="s">
        <v>209</v>
      </c>
      <c r="F2668" s="18" t="s">
        <v>187</v>
      </c>
      <c r="G2668" s="18" t="s">
        <v>48</v>
      </c>
      <c r="H2668" s="24">
        <v>18580</v>
      </c>
      <c r="I2668" s="24">
        <f>T_reg.root.SK[[#This Row],[Volume, kg]]/1000</f>
        <v>18.579999999999998</v>
      </c>
      <c r="J2668" s="25">
        <v>0.24410000000000001</v>
      </c>
      <c r="K2668" s="25">
        <f t="shared" si="41"/>
        <v>4535.3780000000006</v>
      </c>
      <c r="L2668" s="25">
        <v>3.41</v>
      </c>
      <c r="M2668" s="24">
        <v>63346</v>
      </c>
      <c r="N2668" s="25">
        <f>IFERROR(T_reg.root.SK[[#This Row],[Price]]/T_reg.root.SK[[#This Row],[Starch content]],"")</f>
        <v>13.969684555510037</v>
      </c>
    </row>
    <row r="2669" spans="1:14">
      <c r="A2669" s="21">
        <v>2024</v>
      </c>
      <c r="B2669" s="21" t="s">
        <v>20</v>
      </c>
      <c r="C2669" s="21" t="s">
        <v>1145</v>
      </c>
      <c r="D2669" s="21" t="s">
        <v>35</v>
      </c>
      <c r="E2669" s="18" t="s">
        <v>211</v>
      </c>
      <c r="F2669" s="18" t="s">
        <v>187</v>
      </c>
      <c r="G2669" s="18" t="s">
        <v>48</v>
      </c>
      <c r="H2669" s="24">
        <v>106310</v>
      </c>
      <c r="I2669" s="24">
        <f>T_reg.root.SK[[#This Row],[Volume, kg]]/1000</f>
        <v>106.31</v>
      </c>
      <c r="J2669" s="25">
        <v>0.20780000000000001</v>
      </c>
      <c r="K2669" s="25">
        <f t="shared" si="41"/>
        <v>22091.218000000001</v>
      </c>
      <c r="L2669" s="25">
        <v>3.24</v>
      </c>
      <c r="M2669" s="24">
        <v>344400.5</v>
      </c>
      <c r="N2669" s="25">
        <f>IFERROR(T_reg.root.SK[[#This Row],[Price]]/T_reg.root.SK[[#This Row],[Starch content]],"")</f>
        <v>15.591915303176132</v>
      </c>
    </row>
    <row r="2670" spans="1:14">
      <c r="A2670" s="21">
        <v>2024</v>
      </c>
      <c r="B2670" s="21" t="s">
        <v>20</v>
      </c>
      <c r="C2670" s="21" t="s">
        <v>1145</v>
      </c>
      <c r="D2670" s="21" t="s">
        <v>35</v>
      </c>
      <c r="E2670" s="18" t="s">
        <v>212</v>
      </c>
      <c r="F2670" s="18" t="s">
        <v>187</v>
      </c>
      <c r="G2670" s="18" t="s">
        <v>48</v>
      </c>
      <c r="H2670" s="24">
        <v>8610</v>
      </c>
      <c r="I2670" s="24">
        <f>T_reg.root.SK[[#This Row],[Volume, kg]]/1000</f>
        <v>8.61</v>
      </c>
      <c r="J2670" s="25">
        <v>0.26400000000000001</v>
      </c>
      <c r="K2670" s="25">
        <f t="shared" si="41"/>
        <v>2273.04</v>
      </c>
      <c r="L2670" s="25">
        <v>3.6</v>
      </c>
      <c r="M2670" s="24">
        <v>30996</v>
      </c>
      <c r="N2670" s="25">
        <f>IFERROR(T_reg.root.SK[[#This Row],[Price]]/T_reg.root.SK[[#This Row],[Starch content]],"")</f>
        <v>13.636363636363637</v>
      </c>
    </row>
    <row r="2671" spans="1:14">
      <c r="A2671" s="21">
        <v>2024</v>
      </c>
      <c r="B2671" s="21" t="s">
        <v>20</v>
      </c>
      <c r="C2671" s="21" t="s">
        <v>1145</v>
      </c>
      <c r="D2671" s="21" t="s">
        <v>35</v>
      </c>
      <c r="E2671" s="18" t="s">
        <v>213</v>
      </c>
      <c r="F2671" s="18" t="s">
        <v>187</v>
      </c>
      <c r="G2671" s="18" t="s">
        <v>48</v>
      </c>
      <c r="H2671" s="24">
        <v>76790</v>
      </c>
      <c r="I2671" s="24">
        <f>T_reg.root.SK[[#This Row],[Volume, kg]]/1000</f>
        <v>76.790000000000006</v>
      </c>
      <c r="J2671" s="25">
        <v>0.23230000000000001</v>
      </c>
      <c r="K2671" s="25">
        <f t="shared" si="41"/>
        <v>17838.316999999999</v>
      </c>
      <c r="L2671" s="25">
        <v>3.4</v>
      </c>
      <c r="M2671" s="24">
        <v>261056.5</v>
      </c>
      <c r="N2671" s="25">
        <f>IFERROR(T_reg.root.SK[[#This Row],[Price]]/T_reg.root.SK[[#This Row],[Starch content]],"")</f>
        <v>14.636246233318984</v>
      </c>
    </row>
    <row r="2672" spans="1:14">
      <c r="A2672" s="21">
        <v>2024</v>
      </c>
      <c r="B2672" s="21" t="s">
        <v>20</v>
      </c>
      <c r="C2672" s="21" t="s">
        <v>1145</v>
      </c>
      <c r="D2672" s="21" t="s">
        <v>35</v>
      </c>
      <c r="E2672" s="18" t="s">
        <v>408</v>
      </c>
      <c r="F2672" s="18" t="s">
        <v>187</v>
      </c>
      <c r="G2672" s="18" t="s">
        <v>48</v>
      </c>
      <c r="H2672" s="24">
        <v>117850</v>
      </c>
      <c r="I2672" s="24">
        <f>T_reg.root.SK[[#This Row],[Volume, kg]]/1000</f>
        <v>117.85</v>
      </c>
      <c r="J2672" s="25">
        <v>0.2407</v>
      </c>
      <c r="K2672" s="25">
        <f t="shared" si="41"/>
        <v>28366.494999999999</v>
      </c>
      <c r="L2672" s="25">
        <v>3.42</v>
      </c>
      <c r="M2672" s="24">
        <v>402873</v>
      </c>
      <c r="N2672" s="25">
        <f>IFERROR(T_reg.root.SK[[#This Row],[Price]]/T_reg.root.SK[[#This Row],[Starch content]],"")</f>
        <v>14.208558371416702</v>
      </c>
    </row>
    <row r="2673" spans="1:14">
      <c r="A2673" s="21">
        <v>2024</v>
      </c>
      <c r="B2673" s="21" t="s">
        <v>20</v>
      </c>
      <c r="C2673" s="21" t="s">
        <v>1145</v>
      </c>
      <c r="D2673" s="21" t="s">
        <v>35</v>
      </c>
      <c r="E2673" s="18" t="s">
        <v>536</v>
      </c>
      <c r="F2673" s="18" t="s">
        <v>187</v>
      </c>
      <c r="G2673" s="18" t="s">
        <v>48</v>
      </c>
      <c r="H2673" s="24">
        <v>8600</v>
      </c>
      <c r="I2673" s="24">
        <f>T_reg.root.SK[[#This Row],[Volume, kg]]/1000</f>
        <v>8.6</v>
      </c>
      <c r="J2673" s="25">
        <v>0.26600000000000001</v>
      </c>
      <c r="K2673" s="25">
        <f t="shared" si="41"/>
        <v>2287.6</v>
      </c>
      <c r="L2673" s="25">
        <v>3.65</v>
      </c>
      <c r="M2673" s="24">
        <v>31390</v>
      </c>
      <c r="N2673" s="25">
        <f>IFERROR(T_reg.root.SK[[#This Row],[Price]]/T_reg.root.SK[[#This Row],[Starch content]],"")</f>
        <v>13.721804511278194</v>
      </c>
    </row>
    <row r="2674" spans="1:14">
      <c r="A2674" s="21">
        <v>2024</v>
      </c>
      <c r="B2674" s="21" t="s">
        <v>20</v>
      </c>
      <c r="C2674" s="21" t="s">
        <v>1145</v>
      </c>
      <c r="D2674" s="21" t="s">
        <v>35</v>
      </c>
      <c r="E2674" s="18" t="s">
        <v>537</v>
      </c>
      <c r="F2674" s="18" t="s">
        <v>187</v>
      </c>
      <c r="G2674" s="18" t="s">
        <v>48</v>
      </c>
      <c r="H2674" s="24">
        <v>13450</v>
      </c>
      <c r="I2674" s="24">
        <f>T_reg.root.SK[[#This Row],[Volume, kg]]/1000</f>
        <v>13.45</v>
      </c>
      <c r="J2674" s="25">
        <v>0.25090000000000001</v>
      </c>
      <c r="K2674" s="25">
        <f t="shared" si="41"/>
        <v>3374.605</v>
      </c>
      <c r="L2674" s="25">
        <v>3.6</v>
      </c>
      <c r="M2674" s="24">
        <v>48420</v>
      </c>
      <c r="N2674" s="25">
        <f>IFERROR(T_reg.root.SK[[#This Row],[Price]]/T_reg.root.SK[[#This Row],[Starch content]],"")</f>
        <v>14.348345954563571</v>
      </c>
    </row>
    <row r="2675" spans="1:14">
      <c r="A2675" s="21">
        <v>2024</v>
      </c>
      <c r="B2675" s="21" t="s">
        <v>20</v>
      </c>
      <c r="C2675" s="21" t="s">
        <v>1145</v>
      </c>
      <c r="D2675" s="21" t="s">
        <v>35</v>
      </c>
      <c r="E2675" s="18" t="s">
        <v>269</v>
      </c>
      <c r="F2675" s="18" t="s">
        <v>187</v>
      </c>
      <c r="G2675" s="18" t="s">
        <v>48</v>
      </c>
      <c r="H2675" s="24">
        <v>129270</v>
      </c>
      <c r="I2675" s="24">
        <f>T_reg.root.SK[[#This Row],[Volume, kg]]/1000</f>
        <v>129.27000000000001</v>
      </c>
      <c r="J2675" s="25">
        <v>0.21129999999999999</v>
      </c>
      <c r="K2675" s="25">
        <f t="shared" si="41"/>
        <v>27314.751</v>
      </c>
      <c r="L2675" s="25">
        <v>3.31</v>
      </c>
      <c r="M2675" s="24">
        <v>428522</v>
      </c>
      <c r="N2675" s="25">
        <f>IFERROR(T_reg.root.SK[[#This Row],[Price]]/T_reg.root.SK[[#This Row],[Starch content]],"")</f>
        <v>15.664931377188832</v>
      </c>
    </row>
    <row r="2676" spans="1:14">
      <c r="A2676" s="21">
        <v>2024</v>
      </c>
      <c r="B2676" s="21" t="s">
        <v>20</v>
      </c>
      <c r="C2676" s="21" t="s">
        <v>1145</v>
      </c>
      <c r="D2676" s="21" t="s">
        <v>35</v>
      </c>
      <c r="E2676" s="18" t="s">
        <v>539</v>
      </c>
      <c r="F2676" s="18" t="s">
        <v>187</v>
      </c>
      <c r="G2676" s="18" t="s">
        <v>48</v>
      </c>
      <c r="H2676" s="24">
        <v>115410</v>
      </c>
      <c r="I2676" s="24">
        <f>T_reg.root.SK[[#This Row],[Volume, kg]]/1000</f>
        <v>115.41</v>
      </c>
      <c r="J2676" s="25">
        <v>0.2525</v>
      </c>
      <c r="K2676" s="25">
        <f t="shared" si="41"/>
        <v>29141.025000000001</v>
      </c>
      <c r="L2676" s="25">
        <v>3.48</v>
      </c>
      <c r="M2676" s="24">
        <v>402072.5</v>
      </c>
      <c r="N2676" s="25">
        <f>IFERROR(T_reg.root.SK[[#This Row],[Price]]/T_reg.root.SK[[#This Row],[Starch content]],"")</f>
        <v>13.782178217821782</v>
      </c>
    </row>
    <row r="2677" spans="1:14">
      <c r="A2677" s="21">
        <v>2024</v>
      </c>
      <c r="B2677" s="21" t="s">
        <v>20</v>
      </c>
      <c r="C2677" s="21" t="s">
        <v>1145</v>
      </c>
      <c r="D2677" s="21" t="s">
        <v>35</v>
      </c>
      <c r="E2677" s="18" t="s">
        <v>214</v>
      </c>
      <c r="F2677" s="18" t="s">
        <v>187</v>
      </c>
      <c r="G2677" s="18" t="s">
        <v>48</v>
      </c>
      <c r="H2677" s="24">
        <v>67140</v>
      </c>
      <c r="I2677" s="24">
        <f>T_reg.root.SK[[#This Row],[Volume, kg]]/1000</f>
        <v>67.14</v>
      </c>
      <c r="J2677" s="25">
        <v>0.23649999999999999</v>
      </c>
      <c r="K2677" s="25">
        <f t="shared" si="41"/>
        <v>15878.609999999999</v>
      </c>
      <c r="L2677" s="25">
        <v>3.44</v>
      </c>
      <c r="M2677" s="24">
        <v>231205</v>
      </c>
      <c r="N2677" s="25">
        <f>IFERROR(T_reg.root.SK[[#This Row],[Price]]/T_reg.root.SK[[#This Row],[Starch content]],"")</f>
        <v>14.545454545454547</v>
      </c>
    </row>
    <row r="2678" spans="1:14">
      <c r="A2678" s="21">
        <v>2024</v>
      </c>
      <c r="B2678" s="21" t="s">
        <v>20</v>
      </c>
      <c r="C2678" s="21" t="s">
        <v>1145</v>
      </c>
      <c r="D2678" s="21" t="s">
        <v>35</v>
      </c>
      <c r="E2678" s="18" t="s">
        <v>623</v>
      </c>
      <c r="F2678" s="18" t="s">
        <v>187</v>
      </c>
      <c r="G2678" s="18" t="s">
        <v>48</v>
      </c>
      <c r="H2678" s="24">
        <v>48290</v>
      </c>
      <c r="I2678" s="24">
        <f>T_reg.root.SK[[#This Row],[Volume, kg]]/1000</f>
        <v>48.29</v>
      </c>
      <c r="J2678" s="25">
        <v>0.25659999999999999</v>
      </c>
      <c r="K2678" s="25">
        <f t="shared" si="41"/>
        <v>12391.214</v>
      </c>
      <c r="L2678" s="25">
        <v>3.58</v>
      </c>
      <c r="M2678" s="24">
        <v>172992</v>
      </c>
      <c r="N2678" s="25">
        <f>IFERROR(T_reg.root.SK[[#This Row],[Price]]/T_reg.root.SK[[#This Row],[Starch content]],"")</f>
        <v>13.951675759937647</v>
      </c>
    </row>
    <row r="2679" spans="1:14">
      <c r="A2679" s="21">
        <v>2024</v>
      </c>
      <c r="B2679" s="21" t="s">
        <v>20</v>
      </c>
      <c r="C2679" s="21" t="s">
        <v>1145</v>
      </c>
      <c r="D2679" s="21" t="s">
        <v>35</v>
      </c>
      <c r="E2679" s="18" t="s">
        <v>691</v>
      </c>
      <c r="F2679" s="18" t="s">
        <v>187</v>
      </c>
      <c r="G2679" s="18" t="s">
        <v>48</v>
      </c>
      <c r="H2679" s="24">
        <v>36010</v>
      </c>
      <c r="I2679" s="24">
        <f>T_reg.root.SK[[#This Row],[Volume, kg]]/1000</f>
        <v>36.01</v>
      </c>
      <c r="J2679" s="25">
        <v>0.30299999999999999</v>
      </c>
      <c r="K2679" s="25">
        <f t="shared" si="41"/>
        <v>10911.029999999999</v>
      </c>
      <c r="L2679" s="25">
        <v>3.84</v>
      </c>
      <c r="M2679" s="24">
        <v>138393.5</v>
      </c>
      <c r="N2679" s="25">
        <f>IFERROR(T_reg.root.SK[[#This Row],[Price]]/T_reg.root.SK[[#This Row],[Starch content]],"")</f>
        <v>12.673267326732674</v>
      </c>
    </row>
    <row r="2680" spans="1:14">
      <c r="A2680" s="21">
        <v>2024</v>
      </c>
      <c r="B2680" s="21" t="s">
        <v>20</v>
      </c>
      <c r="C2680" s="21" t="s">
        <v>1145</v>
      </c>
      <c r="D2680" s="21" t="s">
        <v>35</v>
      </c>
      <c r="E2680" s="18" t="s">
        <v>335</v>
      </c>
      <c r="F2680" s="18" t="s">
        <v>187</v>
      </c>
      <c r="G2680" s="18" t="s">
        <v>48</v>
      </c>
      <c r="H2680" s="24">
        <v>57700</v>
      </c>
      <c r="I2680" s="24">
        <f>T_reg.root.SK[[#This Row],[Volume, kg]]/1000</f>
        <v>57.7</v>
      </c>
      <c r="J2680" s="25">
        <v>0.25420000000000004</v>
      </c>
      <c r="K2680" s="25">
        <f t="shared" si="41"/>
        <v>14667.340000000002</v>
      </c>
      <c r="L2680" s="25">
        <v>3.55</v>
      </c>
      <c r="M2680" s="24">
        <v>204645</v>
      </c>
      <c r="N2680" s="25">
        <f>IFERROR(T_reg.root.SK[[#This Row],[Price]]/T_reg.root.SK[[#This Row],[Starch content]],"")</f>
        <v>13.965381589299762</v>
      </c>
    </row>
    <row r="2681" spans="1:14">
      <c r="A2681" s="21">
        <v>2024</v>
      </c>
      <c r="B2681" s="21" t="s">
        <v>20</v>
      </c>
      <c r="C2681" s="21" t="s">
        <v>1145</v>
      </c>
      <c r="D2681" s="21" t="s">
        <v>35</v>
      </c>
      <c r="E2681" s="18" t="s">
        <v>726</v>
      </c>
      <c r="F2681" s="18" t="s">
        <v>187</v>
      </c>
      <c r="G2681" s="18" t="s">
        <v>48</v>
      </c>
      <c r="H2681" s="24">
        <v>144670</v>
      </c>
      <c r="I2681" s="24">
        <f>T_reg.root.SK[[#This Row],[Volume, kg]]/1000</f>
        <v>144.66999999999999</v>
      </c>
      <c r="J2681" s="25">
        <v>0.2261</v>
      </c>
      <c r="K2681" s="25">
        <f t="shared" si="41"/>
        <v>32709.886999999999</v>
      </c>
      <c r="L2681" s="25">
        <v>3.33</v>
      </c>
      <c r="M2681" s="24">
        <v>481521.5</v>
      </c>
      <c r="N2681" s="25">
        <f>IFERROR(T_reg.root.SK[[#This Row],[Price]]/T_reg.root.SK[[#This Row],[Starch content]],"")</f>
        <v>14.727996461742592</v>
      </c>
    </row>
    <row r="2682" spans="1:14">
      <c r="A2682" s="21">
        <v>2024</v>
      </c>
      <c r="B2682" s="21" t="s">
        <v>20</v>
      </c>
      <c r="C2682" s="21" t="s">
        <v>1145</v>
      </c>
      <c r="D2682" s="21" t="s">
        <v>35</v>
      </c>
      <c r="E2682" s="18" t="s">
        <v>271</v>
      </c>
      <c r="F2682" s="18" t="s">
        <v>187</v>
      </c>
      <c r="G2682" s="18" t="s">
        <v>48</v>
      </c>
      <c r="H2682" s="24">
        <v>57170</v>
      </c>
      <c r="I2682" s="24">
        <f>T_reg.root.SK[[#This Row],[Volume, kg]]/1000</f>
        <v>57.17</v>
      </c>
      <c r="J2682" s="25">
        <v>0.20489999999999997</v>
      </c>
      <c r="K2682" s="25">
        <f t="shared" si="41"/>
        <v>11714.132999999998</v>
      </c>
      <c r="L2682" s="25">
        <v>3.32</v>
      </c>
      <c r="M2682" s="24">
        <v>190071</v>
      </c>
      <c r="N2682" s="25">
        <f>IFERROR(T_reg.root.SK[[#This Row],[Price]]/T_reg.root.SK[[#This Row],[Starch content]],"")</f>
        <v>16.203025866276235</v>
      </c>
    </row>
    <row r="2683" spans="1:14">
      <c r="A2683" s="21">
        <v>2024</v>
      </c>
      <c r="B2683" s="21" t="s">
        <v>20</v>
      </c>
      <c r="C2683" s="21" t="s">
        <v>1145</v>
      </c>
      <c r="D2683" s="21" t="s">
        <v>35</v>
      </c>
      <c r="E2683" s="18" t="s">
        <v>727</v>
      </c>
      <c r="F2683" s="18" t="s">
        <v>187</v>
      </c>
      <c r="G2683" s="18" t="s">
        <v>48</v>
      </c>
      <c r="H2683" s="24">
        <v>8840</v>
      </c>
      <c r="I2683" s="24">
        <f>T_reg.root.SK[[#This Row],[Volume, kg]]/1000</f>
        <v>8.84</v>
      </c>
      <c r="J2683" s="25">
        <v>0.19350000000000001</v>
      </c>
      <c r="K2683" s="25">
        <f t="shared" si="41"/>
        <v>1710.54</v>
      </c>
      <c r="L2683" s="25">
        <v>3.15</v>
      </c>
      <c r="M2683" s="24">
        <v>27846</v>
      </c>
      <c r="N2683" s="25">
        <f>IFERROR(T_reg.root.SK[[#This Row],[Price]]/T_reg.root.SK[[#This Row],[Starch content]],"")</f>
        <v>16.279069767441861</v>
      </c>
    </row>
    <row r="2684" spans="1:14">
      <c r="A2684" s="21">
        <v>2024</v>
      </c>
      <c r="B2684" s="21" t="s">
        <v>20</v>
      </c>
      <c r="C2684" s="21" t="s">
        <v>1145</v>
      </c>
      <c r="D2684" s="21" t="s">
        <v>35</v>
      </c>
      <c r="E2684" s="18" t="s">
        <v>705</v>
      </c>
      <c r="F2684" s="18" t="s">
        <v>187</v>
      </c>
      <c r="G2684" s="18" t="s">
        <v>48</v>
      </c>
      <c r="H2684" s="24">
        <v>11280</v>
      </c>
      <c r="I2684" s="24">
        <f>T_reg.root.SK[[#This Row],[Volume, kg]]/1000</f>
        <v>11.28</v>
      </c>
      <c r="J2684" s="25">
        <v>0.26750000000000002</v>
      </c>
      <c r="K2684" s="25">
        <f t="shared" si="41"/>
        <v>3017.4</v>
      </c>
      <c r="L2684" s="25">
        <v>3.7</v>
      </c>
      <c r="M2684" s="24">
        <v>41736</v>
      </c>
      <c r="N2684" s="25">
        <f>IFERROR(T_reg.root.SK[[#This Row],[Price]]/T_reg.root.SK[[#This Row],[Starch content]],"")</f>
        <v>13.83177570093458</v>
      </c>
    </row>
    <row r="2685" spans="1:14">
      <c r="A2685" s="21">
        <v>2024</v>
      </c>
      <c r="B2685" s="21" t="s">
        <v>21</v>
      </c>
      <c r="C2685" s="21" t="s">
        <v>1145</v>
      </c>
      <c r="D2685" s="21" t="s">
        <v>35</v>
      </c>
      <c r="E2685" s="18" t="s">
        <v>728</v>
      </c>
      <c r="F2685" s="18" t="s">
        <v>37</v>
      </c>
      <c r="G2685" s="18" t="s">
        <v>38</v>
      </c>
      <c r="H2685" s="24">
        <v>37530</v>
      </c>
      <c r="I2685" s="24">
        <f>T_reg.root.SK[[#This Row],[Volume, kg]]/1000</f>
        <v>37.53</v>
      </c>
      <c r="J2685" s="25">
        <v>0.19390000000000002</v>
      </c>
      <c r="K2685" s="25">
        <f t="shared" si="41"/>
        <v>7277.0670000000009</v>
      </c>
      <c r="L2685" s="25">
        <v>3.13</v>
      </c>
      <c r="M2685" s="24">
        <v>117603</v>
      </c>
      <c r="N2685" s="25">
        <f>IFERROR(T_reg.root.SK[[#This Row],[Price]]/T_reg.root.SK[[#This Row],[Starch content]],"")</f>
        <v>16.142341413099533</v>
      </c>
    </row>
    <row r="2686" spans="1:14">
      <c r="A2686" s="21">
        <v>2024</v>
      </c>
      <c r="B2686" s="21" t="s">
        <v>21</v>
      </c>
      <c r="C2686" s="21" t="s">
        <v>1145</v>
      </c>
      <c r="D2686" s="21" t="s">
        <v>35</v>
      </c>
      <c r="E2686" s="18" t="s">
        <v>707</v>
      </c>
      <c r="F2686" s="18" t="s">
        <v>37</v>
      </c>
      <c r="G2686" s="18" t="s">
        <v>38</v>
      </c>
      <c r="H2686" s="24">
        <v>101620</v>
      </c>
      <c r="I2686" s="24">
        <f>T_reg.root.SK[[#This Row],[Volume, kg]]/1000</f>
        <v>101.62</v>
      </c>
      <c r="J2686" s="25">
        <v>0.18289999999999998</v>
      </c>
      <c r="K2686" s="25">
        <f t="shared" si="41"/>
        <v>18586.297999999999</v>
      </c>
      <c r="L2686" s="25">
        <v>3.11</v>
      </c>
      <c r="M2686" s="24">
        <v>316162</v>
      </c>
      <c r="N2686" s="25">
        <f>IFERROR(T_reg.root.SK[[#This Row],[Price]]/T_reg.root.SK[[#This Row],[Starch content]],"")</f>
        <v>17.00382722799344</v>
      </c>
    </row>
    <row r="2687" spans="1:14">
      <c r="A2687" s="21">
        <v>2024</v>
      </c>
      <c r="B2687" s="21" t="s">
        <v>21</v>
      </c>
      <c r="C2687" s="21" t="s">
        <v>1145</v>
      </c>
      <c r="D2687" s="21" t="s">
        <v>35</v>
      </c>
      <c r="E2687" s="18" t="s">
        <v>651</v>
      </c>
      <c r="F2687" s="18" t="s">
        <v>37</v>
      </c>
      <c r="G2687" s="18" t="s">
        <v>38</v>
      </c>
      <c r="H2687" s="24">
        <v>34560</v>
      </c>
      <c r="I2687" s="24">
        <f>T_reg.root.SK[[#This Row],[Volume, kg]]/1000</f>
        <v>34.56</v>
      </c>
      <c r="J2687" s="25">
        <v>0.25159999999999999</v>
      </c>
      <c r="K2687" s="25">
        <f t="shared" si="41"/>
        <v>8695.2960000000003</v>
      </c>
      <c r="L2687" s="25">
        <v>3.49</v>
      </c>
      <c r="M2687" s="24">
        <v>120644</v>
      </c>
      <c r="N2687" s="25">
        <f>IFERROR(T_reg.root.SK[[#This Row],[Price]]/T_reg.root.SK[[#This Row],[Starch content]],"")</f>
        <v>13.871224165341813</v>
      </c>
    </row>
    <row r="2688" spans="1:14">
      <c r="A2688" s="21">
        <v>2024</v>
      </c>
      <c r="B2688" s="21" t="s">
        <v>21</v>
      </c>
      <c r="C2688" s="21" t="s">
        <v>1145</v>
      </c>
      <c r="D2688" s="21" t="s">
        <v>35</v>
      </c>
      <c r="E2688" s="18" t="s">
        <v>457</v>
      </c>
      <c r="F2688" s="18" t="s">
        <v>47</v>
      </c>
      <c r="G2688" s="18" t="s">
        <v>48</v>
      </c>
      <c r="H2688" s="24">
        <v>47140</v>
      </c>
      <c r="I2688" s="24">
        <f>T_reg.root.SK[[#This Row],[Volume, kg]]/1000</f>
        <v>47.14</v>
      </c>
      <c r="J2688" s="25">
        <v>0.18140000000000001</v>
      </c>
      <c r="K2688" s="25">
        <f t="shared" si="41"/>
        <v>8551.1959999999999</v>
      </c>
      <c r="L2688" s="25">
        <v>2.95</v>
      </c>
      <c r="M2688" s="24">
        <v>138905.5</v>
      </c>
      <c r="N2688" s="25">
        <f>IFERROR(T_reg.root.SK[[#This Row],[Price]]/T_reg.root.SK[[#This Row],[Starch content]],"")</f>
        <v>16.262403528114664</v>
      </c>
    </row>
    <row r="2689" spans="1:14">
      <c r="A2689" s="21">
        <v>2024</v>
      </c>
      <c r="B2689" s="21" t="s">
        <v>21</v>
      </c>
      <c r="C2689" s="21" t="s">
        <v>1145</v>
      </c>
      <c r="D2689" s="21" t="s">
        <v>35</v>
      </c>
      <c r="E2689" s="18" t="s">
        <v>46</v>
      </c>
      <c r="F2689" s="18" t="s">
        <v>47</v>
      </c>
      <c r="G2689" s="18" t="s">
        <v>48</v>
      </c>
      <c r="H2689" s="24">
        <v>284400</v>
      </c>
      <c r="I2689" s="24">
        <f>T_reg.root.SK[[#This Row],[Volume, kg]]/1000</f>
        <v>284.39999999999998</v>
      </c>
      <c r="J2689" s="25">
        <v>0.22460000000000002</v>
      </c>
      <c r="K2689" s="25">
        <f t="shared" si="41"/>
        <v>63876.240000000005</v>
      </c>
      <c r="L2689" s="25">
        <v>3.15</v>
      </c>
      <c r="M2689" s="24">
        <v>895646.5</v>
      </c>
      <c r="N2689" s="25">
        <f>IFERROR(T_reg.root.SK[[#This Row],[Price]]/T_reg.root.SK[[#This Row],[Starch content]],"")</f>
        <v>14.024933214603738</v>
      </c>
    </row>
    <row r="2690" spans="1:14">
      <c r="A2690" s="21">
        <v>2024</v>
      </c>
      <c r="B2690" s="21" t="s">
        <v>21</v>
      </c>
      <c r="C2690" s="21" t="s">
        <v>1145</v>
      </c>
      <c r="D2690" s="21" t="s">
        <v>35</v>
      </c>
      <c r="E2690" s="18" t="s">
        <v>50</v>
      </c>
      <c r="F2690" s="18" t="s">
        <v>47</v>
      </c>
      <c r="G2690" s="18" t="s">
        <v>48</v>
      </c>
      <c r="H2690" s="24">
        <v>14160</v>
      </c>
      <c r="I2690" s="24">
        <f>T_reg.root.SK[[#This Row],[Volume, kg]]/1000</f>
        <v>14.16</v>
      </c>
      <c r="J2690" s="25">
        <v>0.2354</v>
      </c>
      <c r="K2690" s="25">
        <f t="shared" si="41"/>
        <v>3333.2640000000001</v>
      </c>
      <c r="L2690" s="25">
        <v>3.26</v>
      </c>
      <c r="M2690" s="24">
        <v>46134</v>
      </c>
      <c r="N2690" s="25">
        <f>IFERROR(T_reg.root.SK[[#This Row],[Price]]/T_reg.root.SK[[#This Row],[Starch content]],"")</f>
        <v>13.84876805437553</v>
      </c>
    </row>
    <row r="2691" spans="1:14">
      <c r="A2691" s="21">
        <v>2024</v>
      </c>
      <c r="B2691" s="21" t="s">
        <v>21</v>
      </c>
      <c r="C2691" s="21" t="s">
        <v>1145</v>
      </c>
      <c r="D2691" s="21" t="s">
        <v>35</v>
      </c>
      <c r="E2691" s="18" t="s">
        <v>336</v>
      </c>
      <c r="F2691" s="18" t="s">
        <v>47</v>
      </c>
      <c r="G2691" s="18" t="s">
        <v>48</v>
      </c>
      <c r="H2691" s="24">
        <v>61640</v>
      </c>
      <c r="I2691" s="24">
        <f>T_reg.root.SK[[#This Row],[Volume, kg]]/1000</f>
        <v>61.64</v>
      </c>
      <c r="J2691" s="25">
        <v>0.24260000000000001</v>
      </c>
      <c r="K2691" s="25">
        <f t="shared" ref="K2691:K2754" si="42">H2691*J2691</f>
        <v>14953.864000000001</v>
      </c>
      <c r="L2691" s="25">
        <v>3.23</v>
      </c>
      <c r="M2691" s="24">
        <v>198949</v>
      </c>
      <c r="N2691" s="25">
        <f>IFERROR(T_reg.root.SK[[#This Row],[Price]]/T_reg.root.SK[[#This Row],[Starch content]],"")</f>
        <v>13.314097279472382</v>
      </c>
    </row>
    <row r="2692" spans="1:14">
      <c r="A2692" s="21">
        <v>2024</v>
      </c>
      <c r="B2692" s="21" t="s">
        <v>21</v>
      </c>
      <c r="C2692" s="21" t="s">
        <v>1145</v>
      </c>
      <c r="D2692" s="21" t="s">
        <v>35</v>
      </c>
      <c r="E2692" s="18" t="s">
        <v>642</v>
      </c>
      <c r="F2692" s="18" t="s">
        <v>47</v>
      </c>
      <c r="G2692" s="18" t="s">
        <v>48</v>
      </c>
      <c r="H2692" s="24">
        <v>59620</v>
      </c>
      <c r="I2692" s="24">
        <f>T_reg.root.SK[[#This Row],[Volume, kg]]/1000</f>
        <v>59.62</v>
      </c>
      <c r="J2692" s="25">
        <v>0.21850000000000003</v>
      </c>
      <c r="K2692" s="25">
        <f t="shared" si="42"/>
        <v>13026.970000000001</v>
      </c>
      <c r="L2692" s="25">
        <v>3.08</v>
      </c>
      <c r="M2692" s="24">
        <v>183537.5</v>
      </c>
      <c r="N2692" s="25">
        <f>IFERROR(T_reg.root.SK[[#This Row],[Price]]/T_reg.root.SK[[#This Row],[Starch content]],"")</f>
        <v>14.096109839816933</v>
      </c>
    </row>
    <row r="2693" spans="1:14">
      <c r="A2693" s="21">
        <v>2024</v>
      </c>
      <c r="B2693" s="21" t="s">
        <v>21</v>
      </c>
      <c r="C2693" s="21" t="s">
        <v>1145</v>
      </c>
      <c r="D2693" s="21" t="s">
        <v>35</v>
      </c>
      <c r="E2693" s="18" t="s">
        <v>52</v>
      </c>
      <c r="F2693" s="18" t="s">
        <v>47</v>
      </c>
      <c r="G2693" s="18" t="s">
        <v>48</v>
      </c>
      <c r="H2693" s="24">
        <v>9720</v>
      </c>
      <c r="I2693" s="24">
        <f>T_reg.root.SK[[#This Row],[Volume, kg]]/1000</f>
        <v>9.7200000000000006</v>
      </c>
      <c r="J2693" s="25">
        <v>0.21249999999999999</v>
      </c>
      <c r="K2693" s="25">
        <f t="shared" si="42"/>
        <v>2065.5</v>
      </c>
      <c r="L2693" s="25">
        <v>3.05</v>
      </c>
      <c r="M2693" s="24">
        <v>29646</v>
      </c>
      <c r="N2693" s="25">
        <f>IFERROR(T_reg.root.SK[[#This Row],[Price]]/T_reg.root.SK[[#This Row],[Starch content]],"")</f>
        <v>14.352941176470587</v>
      </c>
    </row>
    <row r="2694" spans="1:14">
      <c r="A2694" s="21">
        <v>2024</v>
      </c>
      <c r="B2694" s="21" t="s">
        <v>21</v>
      </c>
      <c r="C2694" s="21" t="s">
        <v>1145</v>
      </c>
      <c r="D2694" s="21" t="s">
        <v>35</v>
      </c>
      <c r="E2694" s="18" t="s">
        <v>654</v>
      </c>
      <c r="F2694" s="18" t="s">
        <v>47</v>
      </c>
      <c r="G2694" s="18" t="s">
        <v>48</v>
      </c>
      <c r="H2694" s="24">
        <v>69970</v>
      </c>
      <c r="I2694" s="24">
        <f>T_reg.root.SK[[#This Row],[Volume, kg]]/1000</f>
        <v>69.97</v>
      </c>
      <c r="J2694" s="25">
        <v>0.20610000000000001</v>
      </c>
      <c r="K2694" s="25">
        <f t="shared" si="42"/>
        <v>14420.817000000001</v>
      </c>
      <c r="L2694" s="25">
        <v>3.16</v>
      </c>
      <c r="M2694" s="24">
        <v>221121</v>
      </c>
      <c r="N2694" s="25">
        <f>IFERROR(T_reg.root.SK[[#This Row],[Price]]/T_reg.root.SK[[#This Row],[Starch content]],"")</f>
        <v>15.332362930616206</v>
      </c>
    </row>
    <row r="2695" spans="1:14">
      <c r="A2695" s="21">
        <v>2024</v>
      </c>
      <c r="B2695" s="21" t="s">
        <v>21</v>
      </c>
      <c r="C2695" s="21" t="s">
        <v>1145</v>
      </c>
      <c r="D2695" s="21" t="s">
        <v>35</v>
      </c>
      <c r="E2695" s="18" t="s">
        <v>78</v>
      </c>
      <c r="F2695" s="18" t="s">
        <v>47</v>
      </c>
      <c r="G2695" s="18" t="s">
        <v>48</v>
      </c>
      <c r="H2695" s="24">
        <v>23840</v>
      </c>
      <c r="I2695" s="24">
        <f>T_reg.root.SK[[#This Row],[Volume, kg]]/1000</f>
        <v>23.84</v>
      </c>
      <c r="J2695" s="25">
        <v>0.22920000000000001</v>
      </c>
      <c r="K2695" s="25">
        <f t="shared" si="42"/>
        <v>5464.1280000000006</v>
      </c>
      <c r="L2695" s="25">
        <v>3.05</v>
      </c>
      <c r="M2695" s="24">
        <v>72712</v>
      </c>
      <c r="N2695" s="25">
        <f>IFERROR(T_reg.root.SK[[#This Row],[Price]]/T_reg.root.SK[[#This Row],[Starch content]],"")</f>
        <v>13.307155322862128</v>
      </c>
    </row>
    <row r="2696" spans="1:14">
      <c r="A2696" s="21">
        <v>2024</v>
      </c>
      <c r="B2696" s="21" t="s">
        <v>21</v>
      </c>
      <c r="C2696" s="21" t="s">
        <v>1145</v>
      </c>
      <c r="D2696" s="21" t="s">
        <v>35</v>
      </c>
      <c r="E2696" s="18" t="s">
        <v>53</v>
      </c>
      <c r="F2696" s="18" t="s">
        <v>47</v>
      </c>
      <c r="G2696" s="18" t="s">
        <v>48</v>
      </c>
      <c r="H2696" s="24">
        <v>13820</v>
      </c>
      <c r="I2696" s="24">
        <f>T_reg.root.SK[[#This Row],[Volume, kg]]/1000</f>
        <v>13.82</v>
      </c>
      <c r="J2696" s="25">
        <v>0.22339999999999999</v>
      </c>
      <c r="K2696" s="25">
        <f t="shared" si="42"/>
        <v>3087.3879999999999</v>
      </c>
      <c r="L2696" s="25">
        <v>3.12</v>
      </c>
      <c r="M2696" s="24">
        <v>43112.5</v>
      </c>
      <c r="N2696" s="25">
        <f>IFERROR(T_reg.root.SK[[#This Row],[Price]]/T_reg.root.SK[[#This Row],[Starch content]],"")</f>
        <v>13.965980304386752</v>
      </c>
    </row>
    <row r="2697" spans="1:14">
      <c r="A2697" s="21">
        <v>2024</v>
      </c>
      <c r="B2697" s="21" t="s">
        <v>21</v>
      </c>
      <c r="C2697" s="21" t="s">
        <v>1145</v>
      </c>
      <c r="D2697" s="21" t="s">
        <v>35</v>
      </c>
      <c r="E2697" s="18" t="s">
        <v>56</v>
      </c>
      <c r="F2697" s="18" t="s">
        <v>47</v>
      </c>
      <c r="G2697" s="18" t="s">
        <v>48</v>
      </c>
      <c r="H2697" s="24">
        <v>71820</v>
      </c>
      <c r="I2697" s="24">
        <f>T_reg.root.SK[[#This Row],[Volume, kg]]/1000</f>
        <v>71.819999999999993</v>
      </c>
      <c r="J2697" s="25">
        <v>0.21379999999999999</v>
      </c>
      <c r="K2697" s="25">
        <f t="shared" si="42"/>
        <v>15355.116</v>
      </c>
      <c r="L2697" s="25">
        <v>3.21</v>
      </c>
      <c r="M2697" s="24">
        <v>230510.5</v>
      </c>
      <c r="N2697" s="25">
        <f>IFERROR(T_reg.root.SK[[#This Row],[Price]]/T_reg.root.SK[[#This Row],[Starch content]],"")</f>
        <v>15.014031805425631</v>
      </c>
    </row>
    <row r="2698" spans="1:14">
      <c r="A2698" s="21">
        <v>2024</v>
      </c>
      <c r="B2698" s="21" t="s">
        <v>21</v>
      </c>
      <c r="C2698" s="21" t="s">
        <v>1145</v>
      </c>
      <c r="D2698" s="21" t="s">
        <v>35</v>
      </c>
      <c r="E2698" s="18" t="s">
        <v>625</v>
      </c>
      <c r="F2698" s="18" t="s">
        <v>47</v>
      </c>
      <c r="G2698" s="18" t="s">
        <v>48</v>
      </c>
      <c r="H2698" s="24">
        <v>55170</v>
      </c>
      <c r="I2698" s="24">
        <f>T_reg.root.SK[[#This Row],[Volume, kg]]/1000</f>
        <v>55.17</v>
      </c>
      <c r="J2698" s="25">
        <v>0.20610000000000001</v>
      </c>
      <c r="K2698" s="25">
        <f t="shared" si="42"/>
        <v>11370.537</v>
      </c>
      <c r="L2698" s="25">
        <v>3.08</v>
      </c>
      <c r="M2698" s="24">
        <v>169741.5</v>
      </c>
      <c r="N2698" s="25">
        <f>IFERROR(T_reg.root.SK[[#This Row],[Price]]/T_reg.root.SK[[#This Row],[Starch content]],"")</f>
        <v>14.944201843765162</v>
      </c>
    </row>
    <row r="2699" spans="1:14">
      <c r="A2699" s="21">
        <v>2024</v>
      </c>
      <c r="B2699" s="21" t="s">
        <v>21</v>
      </c>
      <c r="C2699" s="21" t="s">
        <v>1145</v>
      </c>
      <c r="D2699" s="21" t="s">
        <v>35</v>
      </c>
      <c r="E2699" s="18" t="s">
        <v>729</v>
      </c>
      <c r="F2699" s="18" t="s">
        <v>47</v>
      </c>
      <c r="G2699" s="18" t="s">
        <v>48</v>
      </c>
      <c r="H2699" s="24">
        <v>52820</v>
      </c>
      <c r="I2699" s="24">
        <f>T_reg.root.SK[[#This Row],[Volume, kg]]/1000</f>
        <v>52.82</v>
      </c>
      <c r="J2699" s="25">
        <v>0.23730000000000001</v>
      </c>
      <c r="K2699" s="25">
        <f t="shared" si="42"/>
        <v>12534.186</v>
      </c>
      <c r="L2699" s="25">
        <v>3.3</v>
      </c>
      <c r="M2699" s="24">
        <v>174314</v>
      </c>
      <c r="N2699" s="25">
        <f>IFERROR(T_reg.root.SK[[#This Row],[Price]]/T_reg.root.SK[[#This Row],[Starch content]],"")</f>
        <v>13.906447534766118</v>
      </c>
    </row>
    <row r="2700" spans="1:14">
      <c r="A2700" s="21">
        <v>2024</v>
      </c>
      <c r="B2700" s="21" t="s">
        <v>21</v>
      </c>
      <c r="C2700" s="21" t="s">
        <v>1145</v>
      </c>
      <c r="D2700" s="21" t="s">
        <v>35</v>
      </c>
      <c r="E2700" s="18" t="s">
        <v>709</v>
      </c>
      <c r="F2700" s="18" t="s">
        <v>47</v>
      </c>
      <c r="G2700" s="18" t="s">
        <v>48</v>
      </c>
      <c r="H2700" s="24">
        <v>18240</v>
      </c>
      <c r="I2700" s="24">
        <f>T_reg.root.SK[[#This Row],[Volume, kg]]/1000</f>
        <v>18.239999999999998</v>
      </c>
      <c r="J2700" s="25">
        <v>0.18489999999999998</v>
      </c>
      <c r="K2700" s="25">
        <f t="shared" si="42"/>
        <v>3372.5759999999996</v>
      </c>
      <c r="L2700" s="25">
        <v>2.92</v>
      </c>
      <c r="M2700" s="24">
        <v>53312</v>
      </c>
      <c r="N2700" s="25">
        <f>IFERROR(T_reg.root.SK[[#This Row],[Price]]/T_reg.root.SK[[#This Row],[Starch content]],"")</f>
        <v>15.792320173066523</v>
      </c>
    </row>
    <row r="2701" spans="1:14">
      <c r="A2701" s="21">
        <v>2024</v>
      </c>
      <c r="B2701" s="21" t="s">
        <v>21</v>
      </c>
      <c r="C2701" s="21" t="s">
        <v>1145</v>
      </c>
      <c r="D2701" s="21" t="s">
        <v>35</v>
      </c>
      <c r="E2701" s="18" t="s">
        <v>465</v>
      </c>
      <c r="F2701" s="18" t="s">
        <v>47</v>
      </c>
      <c r="G2701" s="18" t="s">
        <v>48</v>
      </c>
      <c r="H2701" s="24">
        <v>32190</v>
      </c>
      <c r="I2701" s="24">
        <f>T_reg.root.SK[[#This Row],[Volume, kg]]/1000</f>
        <v>32.19</v>
      </c>
      <c r="J2701" s="25">
        <v>0.28129999999999999</v>
      </c>
      <c r="K2701" s="25">
        <f t="shared" si="42"/>
        <v>9055.0470000000005</v>
      </c>
      <c r="L2701" s="25">
        <v>3.55</v>
      </c>
      <c r="M2701" s="24">
        <v>114274.5</v>
      </c>
      <c r="N2701" s="25">
        <f>IFERROR(T_reg.root.SK[[#This Row],[Price]]/T_reg.root.SK[[#This Row],[Starch content]],"")</f>
        <v>12.619978670458584</v>
      </c>
    </row>
    <row r="2702" spans="1:14">
      <c r="A2702" s="21">
        <v>2024</v>
      </c>
      <c r="B2702" s="21" t="s">
        <v>21</v>
      </c>
      <c r="C2702" s="21" t="s">
        <v>1145</v>
      </c>
      <c r="D2702" s="21" t="s">
        <v>35</v>
      </c>
      <c r="E2702" s="18" t="s">
        <v>58</v>
      </c>
      <c r="F2702" s="18" t="s">
        <v>47</v>
      </c>
      <c r="G2702" s="18" t="s">
        <v>48</v>
      </c>
      <c r="H2702" s="24">
        <v>155750</v>
      </c>
      <c r="I2702" s="24">
        <f>T_reg.root.SK[[#This Row],[Volume, kg]]/1000</f>
        <v>155.75</v>
      </c>
      <c r="J2702" s="25">
        <v>0.18770000000000001</v>
      </c>
      <c r="K2702" s="25">
        <f t="shared" si="42"/>
        <v>29234.275000000001</v>
      </c>
      <c r="L2702" s="25">
        <v>2.98</v>
      </c>
      <c r="M2702" s="24">
        <v>464309</v>
      </c>
      <c r="N2702" s="25">
        <f>IFERROR(T_reg.root.SK[[#This Row],[Price]]/T_reg.root.SK[[#This Row],[Starch content]],"")</f>
        <v>15.876398508257857</v>
      </c>
    </row>
    <row r="2703" spans="1:14">
      <c r="A2703" s="21">
        <v>2024</v>
      </c>
      <c r="B2703" s="21" t="s">
        <v>21</v>
      </c>
      <c r="C2703" s="21" t="s">
        <v>1145</v>
      </c>
      <c r="D2703" s="21" t="s">
        <v>35</v>
      </c>
      <c r="E2703" s="18" t="s">
        <v>466</v>
      </c>
      <c r="F2703" s="18" t="s">
        <v>47</v>
      </c>
      <c r="G2703" s="18" t="s">
        <v>48</v>
      </c>
      <c r="H2703" s="24">
        <v>8930</v>
      </c>
      <c r="I2703" s="24">
        <f>T_reg.root.SK[[#This Row],[Volume, kg]]/1000</f>
        <v>8.93</v>
      </c>
      <c r="J2703" s="25">
        <v>0.23</v>
      </c>
      <c r="K2703" s="25">
        <f t="shared" si="42"/>
        <v>2053.9</v>
      </c>
      <c r="L2703" s="25">
        <v>3.1</v>
      </c>
      <c r="M2703" s="24">
        <v>27683</v>
      </c>
      <c r="N2703" s="25">
        <f>IFERROR(T_reg.root.SK[[#This Row],[Price]]/T_reg.root.SK[[#This Row],[Starch content]],"")</f>
        <v>13.478260869565217</v>
      </c>
    </row>
    <row r="2704" spans="1:14">
      <c r="A2704" s="21">
        <v>2024</v>
      </c>
      <c r="B2704" s="21" t="s">
        <v>21</v>
      </c>
      <c r="C2704" s="21" t="s">
        <v>1145</v>
      </c>
      <c r="D2704" s="21" t="s">
        <v>35</v>
      </c>
      <c r="E2704" s="18" t="s">
        <v>60</v>
      </c>
      <c r="F2704" s="18" t="s">
        <v>47</v>
      </c>
      <c r="G2704" s="18" t="s">
        <v>48</v>
      </c>
      <c r="H2704" s="24">
        <v>7450</v>
      </c>
      <c r="I2704" s="24">
        <f>T_reg.root.SK[[#This Row],[Volume, kg]]/1000</f>
        <v>7.45</v>
      </c>
      <c r="J2704" s="25">
        <v>0.20800000000000002</v>
      </c>
      <c r="K2704" s="25">
        <f t="shared" si="42"/>
        <v>1549.6000000000001</v>
      </c>
      <c r="L2704" s="25">
        <v>3.05</v>
      </c>
      <c r="M2704" s="24">
        <v>22722.5</v>
      </c>
      <c r="N2704" s="25">
        <f>IFERROR(T_reg.root.SK[[#This Row],[Price]]/T_reg.root.SK[[#This Row],[Starch content]],"")</f>
        <v>14.663461538461537</v>
      </c>
    </row>
    <row r="2705" spans="1:14">
      <c r="A2705" s="21">
        <v>2024</v>
      </c>
      <c r="B2705" s="21" t="s">
        <v>21</v>
      </c>
      <c r="C2705" s="21" t="s">
        <v>1145</v>
      </c>
      <c r="D2705" s="21" t="s">
        <v>35</v>
      </c>
      <c r="E2705" s="18" t="s">
        <v>548</v>
      </c>
      <c r="F2705" s="18" t="s">
        <v>47</v>
      </c>
      <c r="G2705" s="18" t="s">
        <v>48</v>
      </c>
      <c r="H2705" s="24">
        <v>99280</v>
      </c>
      <c r="I2705" s="24">
        <f>T_reg.root.SK[[#This Row],[Volume, kg]]/1000</f>
        <v>99.28</v>
      </c>
      <c r="J2705" s="25">
        <v>0.26600000000000001</v>
      </c>
      <c r="K2705" s="25">
        <f t="shared" si="42"/>
        <v>26408.480000000003</v>
      </c>
      <c r="L2705" s="25">
        <v>3.46</v>
      </c>
      <c r="M2705" s="24">
        <v>343751.5</v>
      </c>
      <c r="N2705" s="25">
        <f>IFERROR(T_reg.root.SK[[#This Row],[Price]]/T_reg.root.SK[[#This Row],[Starch content]],"")</f>
        <v>13.00751879699248</v>
      </c>
    </row>
    <row r="2706" spans="1:14">
      <c r="A2706" s="21">
        <v>2024</v>
      </c>
      <c r="B2706" s="21" t="s">
        <v>21</v>
      </c>
      <c r="C2706" s="21" t="s">
        <v>1145</v>
      </c>
      <c r="D2706" s="21" t="s">
        <v>35</v>
      </c>
      <c r="E2706" s="18" t="s">
        <v>467</v>
      </c>
      <c r="F2706" s="18" t="s">
        <v>47</v>
      </c>
      <c r="G2706" s="18" t="s">
        <v>48</v>
      </c>
      <c r="H2706" s="24">
        <v>10230</v>
      </c>
      <c r="I2706" s="24">
        <f>T_reg.root.SK[[#This Row],[Volume, kg]]/1000</f>
        <v>10.23</v>
      </c>
      <c r="J2706" s="25">
        <v>0.21299999999999999</v>
      </c>
      <c r="K2706" s="25">
        <f t="shared" si="42"/>
        <v>2178.9899999999998</v>
      </c>
      <c r="L2706" s="25">
        <v>3</v>
      </c>
      <c r="M2706" s="24">
        <v>30690</v>
      </c>
      <c r="N2706" s="25">
        <f>IFERROR(T_reg.root.SK[[#This Row],[Price]]/T_reg.root.SK[[#This Row],[Starch content]],"")</f>
        <v>14.084507042253522</v>
      </c>
    </row>
    <row r="2707" spans="1:14">
      <c r="A2707" s="21">
        <v>2024</v>
      </c>
      <c r="B2707" s="21" t="s">
        <v>21</v>
      </c>
      <c r="C2707" s="21" t="s">
        <v>1145</v>
      </c>
      <c r="D2707" s="21" t="s">
        <v>35</v>
      </c>
      <c r="E2707" s="18" t="s">
        <v>710</v>
      </c>
      <c r="F2707" s="18" t="s">
        <v>47</v>
      </c>
      <c r="G2707" s="18" t="s">
        <v>48</v>
      </c>
      <c r="H2707" s="24">
        <v>57080</v>
      </c>
      <c r="I2707" s="24">
        <f>T_reg.root.SK[[#This Row],[Volume, kg]]/1000</f>
        <v>57.08</v>
      </c>
      <c r="J2707" s="25">
        <v>0.22159999999999999</v>
      </c>
      <c r="K2707" s="25">
        <f t="shared" si="42"/>
        <v>12648.928</v>
      </c>
      <c r="L2707" s="25">
        <v>3.12</v>
      </c>
      <c r="M2707" s="24">
        <v>178087.5</v>
      </c>
      <c r="N2707" s="25">
        <f>IFERROR(T_reg.root.SK[[#This Row],[Price]]/T_reg.root.SK[[#This Row],[Starch content]],"")</f>
        <v>14.079422382671481</v>
      </c>
    </row>
    <row r="2708" spans="1:14">
      <c r="A2708" s="21">
        <v>2024</v>
      </c>
      <c r="B2708" s="21" t="s">
        <v>21</v>
      </c>
      <c r="C2708" s="21" t="s">
        <v>1145</v>
      </c>
      <c r="D2708" s="21" t="s">
        <v>35</v>
      </c>
      <c r="E2708" s="18" t="s">
        <v>61</v>
      </c>
      <c r="F2708" s="18" t="s">
        <v>47</v>
      </c>
      <c r="G2708" s="18" t="s">
        <v>48</v>
      </c>
      <c r="H2708" s="24">
        <v>85020</v>
      </c>
      <c r="I2708" s="24">
        <f>T_reg.root.SK[[#This Row],[Volume, kg]]/1000</f>
        <v>85.02</v>
      </c>
      <c r="J2708" s="25">
        <v>0.24230000000000002</v>
      </c>
      <c r="K2708" s="25">
        <f t="shared" si="42"/>
        <v>20600.346000000001</v>
      </c>
      <c r="L2708" s="25">
        <v>3.31</v>
      </c>
      <c r="M2708" s="24">
        <v>281707.5</v>
      </c>
      <c r="N2708" s="25">
        <f>IFERROR(T_reg.root.SK[[#This Row],[Price]]/T_reg.root.SK[[#This Row],[Starch content]],"")</f>
        <v>13.660751134956664</v>
      </c>
    </row>
    <row r="2709" spans="1:14">
      <c r="A2709" s="21">
        <v>2024</v>
      </c>
      <c r="B2709" s="21" t="s">
        <v>21</v>
      </c>
      <c r="C2709" s="21" t="s">
        <v>1145</v>
      </c>
      <c r="D2709" s="21" t="s">
        <v>35</v>
      </c>
      <c r="E2709" s="18" t="s">
        <v>673</v>
      </c>
      <c r="F2709" s="18" t="s">
        <v>47</v>
      </c>
      <c r="G2709" s="18" t="s">
        <v>48</v>
      </c>
      <c r="H2709" s="24">
        <v>21700</v>
      </c>
      <c r="I2709" s="24">
        <f>T_reg.root.SK[[#This Row],[Volume, kg]]/1000</f>
        <v>21.7</v>
      </c>
      <c r="J2709" s="25">
        <v>0.26700000000000002</v>
      </c>
      <c r="K2709" s="25">
        <f t="shared" si="42"/>
        <v>5793.9000000000005</v>
      </c>
      <c r="L2709" s="25">
        <v>3.5</v>
      </c>
      <c r="M2709" s="24">
        <v>75950</v>
      </c>
      <c r="N2709" s="25">
        <f>IFERROR(T_reg.root.SK[[#This Row],[Price]]/T_reg.root.SK[[#This Row],[Starch content]],"")</f>
        <v>13.108614232209737</v>
      </c>
    </row>
    <row r="2710" spans="1:14">
      <c r="A2710" s="21">
        <v>2024</v>
      </c>
      <c r="B2710" s="21" t="s">
        <v>21</v>
      </c>
      <c r="C2710" s="21" t="s">
        <v>1145</v>
      </c>
      <c r="D2710" s="21" t="s">
        <v>35</v>
      </c>
      <c r="E2710" s="18" t="s">
        <v>224</v>
      </c>
      <c r="F2710" s="18" t="s">
        <v>47</v>
      </c>
      <c r="G2710" s="18" t="s">
        <v>48</v>
      </c>
      <c r="H2710" s="24">
        <v>58840</v>
      </c>
      <c r="I2710" s="24">
        <f>T_reg.root.SK[[#This Row],[Volume, kg]]/1000</f>
        <v>58.84</v>
      </c>
      <c r="J2710" s="25">
        <v>0.20309999999999997</v>
      </c>
      <c r="K2710" s="25">
        <f t="shared" si="42"/>
        <v>11950.403999999999</v>
      </c>
      <c r="L2710" s="25">
        <v>2.97</v>
      </c>
      <c r="M2710" s="24">
        <v>174479</v>
      </c>
      <c r="N2710" s="25">
        <f>IFERROR(T_reg.root.SK[[#This Row],[Price]]/T_reg.root.SK[[#This Row],[Starch content]],"")</f>
        <v>14.62333825701625</v>
      </c>
    </row>
    <row r="2711" spans="1:14">
      <c r="A2711" s="21">
        <v>2024</v>
      </c>
      <c r="B2711" s="21" t="s">
        <v>21</v>
      </c>
      <c r="C2711" s="21" t="s">
        <v>1145</v>
      </c>
      <c r="D2711" s="21" t="s">
        <v>35</v>
      </c>
      <c r="E2711" s="18" t="s">
        <v>339</v>
      </c>
      <c r="F2711" s="18" t="s">
        <v>47</v>
      </c>
      <c r="G2711" s="18" t="s">
        <v>48</v>
      </c>
      <c r="H2711" s="24">
        <v>40740</v>
      </c>
      <c r="I2711" s="24">
        <f>T_reg.root.SK[[#This Row],[Volume, kg]]/1000</f>
        <v>40.74</v>
      </c>
      <c r="J2711" s="25">
        <v>0.1537</v>
      </c>
      <c r="K2711" s="25">
        <f t="shared" si="42"/>
        <v>6261.7380000000003</v>
      </c>
      <c r="L2711" s="25">
        <v>2.78</v>
      </c>
      <c r="M2711" s="24">
        <v>113057.5</v>
      </c>
      <c r="N2711" s="25">
        <f>IFERROR(T_reg.root.SK[[#This Row],[Price]]/T_reg.root.SK[[#This Row],[Starch content]],"")</f>
        <v>18.087182823682497</v>
      </c>
    </row>
    <row r="2712" spans="1:14">
      <c r="A2712" s="21">
        <v>2024</v>
      </c>
      <c r="B2712" s="21" t="s">
        <v>21</v>
      </c>
      <c r="C2712" s="21" t="s">
        <v>1145</v>
      </c>
      <c r="D2712" s="21" t="s">
        <v>35</v>
      </c>
      <c r="E2712" s="18" t="s">
        <v>468</v>
      </c>
      <c r="F2712" s="18" t="s">
        <v>47</v>
      </c>
      <c r="G2712" s="18" t="s">
        <v>48</v>
      </c>
      <c r="H2712" s="24">
        <v>26230</v>
      </c>
      <c r="I2712" s="24">
        <f>T_reg.root.SK[[#This Row],[Volume, kg]]/1000</f>
        <v>26.23</v>
      </c>
      <c r="J2712" s="25">
        <v>0.19600000000000001</v>
      </c>
      <c r="K2712" s="25">
        <f t="shared" si="42"/>
        <v>5141.08</v>
      </c>
      <c r="L2712" s="25">
        <v>2.97</v>
      </c>
      <c r="M2712" s="24">
        <v>77938.5</v>
      </c>
      <c r="N2712" s="25">
        <f>IFERROR(T_reg.root.SK[[#This Row],[Price]]/T_reg.root.SK[[#This Row],[Starch content]],"")</f>
        <v>15.153061224489797</v>
      </c>
    </row>
    <row r="2713" spans="1:14">
      <c r="A2713" s="21">
        <v>2024</v>
      </c>
      <c r="B2713" s="21" t="s">
        <v>21</v>
      </c>
      <c r="C2713" s="21" t="s">
        <v>1145</v>
      </c>
      <c r="D2713" s="21" t="s">
        <v>35</v>
      </c>
      <c r="E2713" s="18" t="s">
        <v>62</v>
      </c>
      <c r="F2713" s="18" t="s">
        <v>47</v>
      </c>
      <c r="G2713" s="18" t="s">
        <v>48</v>
      </c>
      <c r="H2713" s="24">
        <v>92720</v>
      </c>
      <c r="I2713" s="24">
        <f>T_reg.root.SK[[#This Row],[Volume, kg]]/1000</f>
        <v>92.72</v>
      </c>
      <c r="J2713" s="25">
        <v>0.22309999999999999</v>
      </c>
      <c r="K2713" s="25">
        <f t="shared" si="42"/>
        <v>20685.831999999999</v>
      </c>
      <c r="L2713" s="25">
        <v>3.11</v>
      </c>
      <c r="M2713" s="24">
        <v>288627</v>
      </c>
      <c r="N2713" s="25">
        <f>IFERROR(T_reg.root.SK[[#This Row],[Price]]/T_reg.root.SK[[#This Row],[Starch content]],"")</f>
        <v>13.93993724787091</v>
      </c>
    </row>
    <row r="2714" spans="1:14">
      <c r="A2714" s="21">
        <v>2024</v>
      </c>
      <c r="B2714" s="21" t="s">
        <v>21</v>
      </c>
      <c r="C2714" s="21" t="s">
        <v>1145</v>
      </c>
      <c r="D2714" s="21" t="s">
        <v>35</v>
      </c>
      <c r="E2714" s="18" t="s">
        <v>340</v>
      </c>
      <c r="F2714" s="18" t="s">
        <v>47</v>
      </c>
      <c r="G2714" s="18" t="s">
        <v>48</v>
      </c>
      <c r="H2714" s="24">
        <v>82270</v>
      </c>
      <c r="I2714" s="24">
        <f>T_reg.root.SK[[#This Row],[Volume, kg]]/1000</f>
        <v>82.27</v>
      </c>
      <c r="J2714" s="25">
        <v>0.184</v>
      </c>
      <c r="K2714" s="25">
        <f t="shared" si="42"/>
        <v>15137.68</v>
      </c>
      <c r="L2714" s="25">
        <v>2.9</v>
      </c>
      <c r="M2714" s="24">
        <v>238503</v>
      </c>
      <c r="N2714" s="25">
        <f>IFERROR(T_reg.root.SK[[#This Row],[Price]]/T_reg.root.SK[[#This Row],[Starch content]],"")</f>
        <v>15.760869565217391</v>
      </c>
    </row>
    <row r="2715" spans="1:14">
      <c r="A2715" s="21">
        <v>2024</v>
      </c>
      <c r="B2715" s="21" t="s">
        <v>21</v>
      </c>
      <c r="C2715" s="21" t="s">
        <v>1145</v>
      </c>
      <c r="D2715" s="21" t="s">
        <v>35</v>
      </c>
      <c r="E2715" s="18" t="s">
        <v>676</v>
      </c>
      <c r="F2715" s="18" t="s">
        <v>47</v>
      </c>
      <c r="G2715" s="18" t="s">
        <v>48</v>
      </c>
      <c r="H2715" s="24">
        <v>18730</v>
      </c>
      <c r="I2715" s="24">
        <f>T_reg.root.SK[[#This Row],[Volume, kg]]/1000</f>
        <v>18.73</v>
      </c>
      <c r="J2715" s="25">
        <v>0.1764</v>
      </c>
      <c r="K2715" s="25">
        <f t="shared" si="42"/>
        <v>3303.9720000000002</v>
      </c>
      <c r="L2715" s="25">
        <v>2.89</v>
      </c>
      <c r="M2715" s="24">
        <v>54183.5</v>
      </c>
      <c r="N2715" s="25">
        <f>IFERROR(T_reg.root.SK[[#This Row],[Price]]/T_reg.root.SK[[#This Row],[Starch content]],"")</f>
        <v>16.383219954648528</v>
      </c>
    </row>
    <row r="2716" spans="1:14">
      <c r="A2716" s="21">
        <v>2024</v>
      </c>
      <c r="B2716" s="21" t="s">
        <v>21</v>
      </c>
      <c r="C2716" s="21" t="s">
        <v>1145</v>
      </c>
      <c r="D2716" s="21" t="s">
        <v>35</v>
      </c>
      <c r="E2716" s="18" t="s">
        <v>730</v>
      </c>
      <c r="F2716" s="18" t="s">
        <v>47</v>
      </c>
      <c r="G2716" s="18" t="s">
        <v>48</v>
      </c>
      <c r="H2716" s="24">
        <v>17810</v>
      </c>
      <c r="I2716" s="24">
        <f>T_reg.root.SK[[#This Row],[Volume, kg]]/1000</f>
        <v>17.809999999999999</v>
      </c>
      <c r="J2716" s="25">
        <v>0.21160000000000001</v>
      </c>
      <c r="K2716" s="25">
        <f t="shared" si="42"/>
        <v>3768.596</v>
      </c>
      <c r="L2716" s="25">
        <v>3.19</v>
      </c>
      <c r="M2716" s="24">
        <v>56802.5</v>
      </c>
      <c r="N2716" s="25">
        <f>IFERROR(T_reg.root.SK[[#This Row],[Price]]/T_reg.root.SK[[#This Row],[Starch content]],"")</f>
        <v>15.075614366729678</v>
      </c>
    </row>
    <row r="2717" spans="1:14">
      <c r="A2717" s="21">
        <v>2024</v>
      </c>
      <c r="B2717" s="21" t="s">
        <v>21</v>
      </c>
      <c r="C2717" s="21" t="s">
        <v>1145</v>
      </c>
      <c r="D2717" s="21" t="s">
        <v>35</v>
      </c>
      <c r="E2717" s="18" t="s">
        <v>66</v>
      </c>
      <c r="F2717" s="18" t="s">
        <v>47</v>
      </c>
      <c r="G2717" s="18" t="s">
        <v>48</v>
      </c>
      <c r="H2717" s="24">
        <v>87810</v>
      </c>
      <c r="I2717" s="24">
        <f>T_reg.root.SK[[#This Row],[Volume, kg]]/1000</f>
        <v>87.81</v>
      </c>
      <c r="J2717" s="25">
        <v>0.2306</v>
      </c>
      <c r="K2717" s="25">
        <f t="shared" si="42"/>
        <v>20248.986000000001</v>
      </c>
      <c r="L2717" s="25">
        <v>3.24</v>
      </c>
      <c r="M2717" s="24">
        <v>284680.5</v>
      </c>
      <c r="N2717" s="25">
        <f>IFERROR(T_reg.root.SK[[#This Row],[Price]]/T_reg.root.SK[[#This Row],[Starch content]],"")</f>
        <v>14.050303555941024</v>
      </c>
    </row>
    <row r="2718" spans="1:14">
      <c r="A2718" s="21">
        <v>2024</v>
      </c>
      <c r="B2718" s="21" t="s">
        <v>21</v>
      </c>
      <c r="C2718" s="21" t="s">
        <v>1145</v>
      </c>
      <c r="D2718" s="21" t="s">
        <v>35</v>
      </c>
      <c r="E2718" s="18" t="s">
        <v>341</v>
      </c>
      <c r="F2718" s="18" t="s">
        <v>47</v>
      </c>
      <c r="G2718" s="18" t="s">
        <v>48</v>
      </c>
      <c r="H2718" s="24">
        <v>115280</v>
      </c>
      <c r="I2718" s="24">
        <f>T_reg.root.SK[[#This Row],[Volume, kg]]/1000</f>
        <v>115.28</v>
      </c>
      <c r="J2718" s="25">
        <v>0.21719999999999998</v>
      </c>
      <c r="K2718" s="25">
        <f t="shared" si="42"/>
        <v>25038.815999999999</v>
      </c>
      <c r="L2718" s="25">
        <v>3.09</v>
      </c>
      <c r="M2718" s="24">
        <v>356498</v>
      </c>
      <c r="N2718" s="25">
        <f>IFERROR(T_reg.root.SK[[#This Row],[Price]]/T_reg.root.SK[[#This Row],[Starch content]],"")</f>
        <v>14.226519337016576</v>
      </c>
    </row>
    <row r="2719" spans="1:14">
      <c r="A2719" s="21">
        <v>2024</v>
      </c>
      <c r="B2719" s="21" t="s">
        <v>21</v>
      </c>
      <c r="C2719" s="21" t="s">
        <v>1145</v>
      </c>
      <c r="D2719" s="21" t="s">
        <v>35</v>
      </c>
      <c r="E2719" s="18" t="s">
        <v>68</v>
      </c>
      <c r="F2719" s="18" t="s">
        <v>47</v>
      </c>
      <c r="G2719" s="18" t="s">
        <v>48</v>
      </c>
      <c r="H2719" s="24">
        <v>33770</v>
      </c>
      <c r="I2719" s="24">
        <f>T_reg.root.SK[[#This Row],[Volume, kg]]/1000</f>
        <v>33.770000000000003</v>
      </c>
      <c r="J2719" s="25">
        <v>0.21530000000000002</v>
      </c>
      <c r="K2719" s="25">
        <f t="shared" si="42"/>
        <v>7270.6810000000005</v>
      </c>
      <c r="L2719" s="25">
        <v>3.06</v>
      </c>
      <c r="M2719" s="24">
        <v>103328.5</v>
      </c>
      <c r="N2719" s="25">
        <f>IFERROR(T_reg.root.SK[[#This Row],[Price]]/T_reg.root.SK[[#This Row],[Starch content]],"")</f>
        <v>14.212726428239664</v>
      </c>
    </row>
    <row r="2720" spans="1:14">
      <c r="A2720" s="21">
        <v>2024</v>
      </c>
      <c r="B2720" s="21" t="s">
        <v>21</v>
      </c>
      <c r="C2720" s="21" t="s">
        <v>1145</v>
      </c>
      <c r="D2720" s="21" t="s">
        <v>35</v>
      </c>
      <c r="E2720" s="18" t="s">
        <v>69</v>
      </c>
      <c r="F2720" s="18" t="s">
        <v>47</v>
      </c>
      <c r="G2720" s="18" t="s">
        <v>48</v>
      </c>
      <c r="H2720" s="24">
        <v>81930</v>
      </c>
      <c r="I2720" s="24">
        <f>T_reg.root.SK[[#This Row],[Volume, kg]]/1000</f>
        <v>81.93</v>
      </c>
      <c r="J2720" s="25">
        <v>0.22570000000000001</v>
      </c>
      <c r="K2720" s="25">
        <f t="shared" si="42"/>
        <v>18491.601000000002</v>
      </c>
      <c r="L2720" s="25">
        <v>3.08</v>
      </c>
      <c r="M2720" s="24">
        <v>251987.5</v>
      </c>
      <c r="N2720" s="25">
        <f>IFERROR(T_reg.root.SK[[#This Row],[Price]]/T_reg.root.SK[[#This Row],[Starch content]],"")</f>
        <v>13.646433318564466</v>
      </c>
    </row>
    <row r="2721" spans="1:14">
      <c r="A2721" s="21">
        <v>2024</v>
      </c>
      <c r="B2721" s="21" t="s">
        <v>21</v>
      </c>
      <c r="C2721" s="21" t="s">
        <v>1145</v>
      </c>
      <c r="D2721" s="21" t="s">
        <v>35</v>
      </c>
      <c r="E2721" s="18" t="s">
        <v>70</v>
      </c>
      <c r="F2721" s="18" t="s">
        <v>47</v>
      </c>
      <c r="G2721" s="18" t="s">
        <v>48</v>
      </c>
      <c r="H2721" s="24">
        <v>72910</v>
      </c>
      <c r="I2721" s="24">
        <f>T_reg.root.SK[[#This Row],[Volume, kg]]/1000</f>
        <v>72.91</v>
      </c>
      <c r="J2721" s="25">
        <v>0.24329999999999999</v>
      </c>
      <c r="K2721" s="25">
        <f t="shared" si="42"/>
        <v>17739.003000000001</v>
      </c>
      <c r="L2721" s="25">
        <v>3.42</v>
      </c>
      <c r="M2721" s="24">
        <v>249329.5</v>
      </c>
      <c r="N2721" s="25">
        <f>IFERROR(T_reg.root.SK[[#This Row],[Price]]/T_reg.root.SK[[#This Row],[Starch content]],"")</f>
        <v>14.05672009864365</v>
      </c>
    </row>
    <row r="2722" spans="1:14">
      <c r="A2722" s="21">
        <v>2024</v>
      </c>
      <c r="B2722" s="21" t="s">
        <v>21</v>
      </c>
      <c r="C2722" s="21" t="s">
        <v>1145</v>
      </c>
      <c r="D2722" s="21" t="s">
        <v>35</v>
      </c>
      <c r="E2722" s="18" t="s">
        <v>71</v>
      </c>
      <c r="F2722" s="18" t="s">
        <v>47</v>
      </c>
      <c r="G2722" s="18" t="s">
        <v>48</v>
      </c>
      <c r="H2722" s="24">
        <v>0</v>
      </c>
      <c r="I2722" s="24">
        <f>T_reg.root.SK[[#This Row],[Volume, kg]]/1000</f>
        <v>0</v>
      </c>
      <c r="J2722" s="25">
        <v>0</v>
      </c>
      <c r="K2722" s="25">
        <f t="shared" si="42"/>
        <v>0</v>
      </c>
      <c r="L2722" s="25">
        <v>0</v>
      </c>
      <c r="M2722" s="24">
        <v>0</v>
      </c>
      <c r="N2722" s="25" t="str">
        <f>IFERROR(T_reg.root.SK[[#This Row],[Price]]/T_reg.root.SK[[#This Row],[Starch content]],"")</f>
        <v/>
      </c>
    </row>
    <row r="2723" spans="1:14">
      <c r="A2723" s="21">
        <v>2024</v>
      </c>
      <c r="B2723" s="21" t="s">
        <v>21</v>
      </c>
      <c r="C2723" s="21" t="s">
        <v>1145</v>
      </c>
      <c r="D2723" s="21" t="s">
        <v>35</v>
      </c>
      <c r="E2723" s="18" t="s">
        <v>472</v>
      </c>
      <c r="F2723" s="18" t="s">
        <v>47</v>
      </c>
      <c r="G2723" s="18" t="s">
        <v>48</v>
      </c>
      <c r="H2723" s="24">
        <v>118850</v>
      </c>
      <c r="I2723" s="24">
        <f>T_reg.root.SK[[#This Row],[Volume, kg]]/1000</f>
        <v>118.85</v>
      </c>
      <c r="J2723" s="25">
        <v>0.2329</v>
      </c>
      <c r="K2723" s="25">
        <f t="shared" si="42"/>
        <v>27680.165000000001</v>
      </c>
      <c r="L2723" s="25">
        <v>3.23</v>
      </c>
      <c r="M2723" s="24">
        <v>384038.5</v>
      </c>
      <c r="N2723" s="25">
        <f>IFERROR(T_reg.root.SK[[#This Row],[Price]]/T_reg.root.SK[[#This Row],[Starch content]],"")</f>
        <v>13.868613138686131</v>
      </c>
    </row>
    <row r="2724" spans="1:14">
      <c r="A2724" s="21">
        <v>2024</v>
      </c>
      <c r="B2724" s="21" t="s">
        <v>21</v>
      </c>
      <c r="C2724" s="21" t="s">
        <v>1145</v>
      </c>
      <c r="D2724" s="21" t="s">
        <v>35</v>
      </c>
      <c r="E2724" s="18" t="s">
        <v>381</v>
      </c>
      <c r="F2724" s="18" t="s">
        <v>47</v>
      </c>
      <c r="G2724" s="18" t="s">
        <v>48</v>
      </c>
      <c r="H2724" s="24">
        <v>7580</v>
      </c>
      <c r="I2724" s="24">
        <f>T_reg.root.SK[[#This Row],[Volume, kg]]/1000</f>
        <v>7.58</v>
      </c>
      <c r="J2724" s="25">
        <v>0.23550000000000001</v>
      </c>
      <c r="K2724" s="25">
        <f t="shared" si="42"/>
        <v>1785.0900000000001</v>
      </c>
      <c r="L2724" s="25">
        <v>3.3</v>
      </c>
      <c r="M2724" s="24">
        <v>25014</v>
      </c>
      <c r="N2724" s="25">
        <f>IFERROR(T_reg.root.SK[[#This Row],[Price]]/T_reg.root.SK[[#This Row],[Starch content]],"")</f>
        <v>14.012738853503183</v>
      </c>
    </row>
    <row r="2725" spans="1:14">
      <c r="A2725" s="21">
        <v>2024</v>
      </c>
      <c r="B2725" s="21" t="s">
        <v>21</v>
      </c>
      <c r="C2725" s="21" t="s">
        <v>1145</v>
      </c>
      <c r="D2725" s="21" t="s">
        <v>35</v>
      </c>
      <c r="E2725" s="18" t="s">
        <v>73</v>
      </c>
      <c r="F2725" s="18" t="s">
        <v>47</v>
      </c>
      <c r="G2725" s="18" t="s">
        <v>48</v>
      </c>
      <c r="H2725" s="24">
        <v>16650</v>
      </c>
      <c r="I2725" s="24">
        <f>T_reg.root.SK[[#This Row],[Volume, kg]]/1000</f>
        <v>16.649999999999999</v>
      </c>
      <c r="J2725" s="25">
        <v>0.2059</v>
      </c>
      <c r="K2725" s="25">
        <f t="shared" si="42"/>
        <v>3428.2350000000001</v>
      </c>
      <c r="L2725" s="25">
        <v>3.02</v>
      </c>
      <c r="M2725" s="24">
        <v>50342.5</v>
      </c>
      <c r="N2725" s="25">
        <f>IFERROR(T_reg.root.SK[[#This Row],[Price]]/T_reg.root.SK[[#This Row],[Starch content]],"")</f>
        <v>14.66731423020884</v>
      </c>
    </row>
    <row r="2726" spans="1:14">
      <c r="A2726" s="21">
        <v>2024</v>
      </c>
      <c r="B2726" s="21" t="s">
        <v>21</v>
      </c>
      <c r="C2726" s="21" t="s">
        <v>1145</v>
      </c>
      <c r="D2726" s="21" t="s">
        <v>35</v>
      </c>
      <c r="E2726" s="18" t="s">
        <v>473</v>
      </c>
      <c r="F2726" s="18" t="s">
        <v>47</v>
      </c>
      <c r="G2726" s="18" t="s">
        <v>48</v>
      </c>
      <c r="H2726" s="24">
        <v>73650</v>
      </c>
      <c r="I2726" s="24">
        <f>T_reg.root.SK[[#This Row],[Volume, kg]]/1000</f>
        <v>73.650000000000006</v>
      </c>
      <c r="J2726" s="25">
        <v>0.2218</v>
      </c>
      <c r="K2726" s="25">
        <f t="shared" si="42"/>
        <v>16335.57</v>
      </c>
      <c r="L2726" s="25">
        <v>3.14</v>
      </c>
      <c r="M2726" s="24">
        <v>231119.5</v>
      </c>
      <c r="N2726" s="25">
        <f>IFERROR(T_reg.root.SK[[#This Row],[Price]]/T_reg.root.SK[[#This Row],[Starch content]],"")</f>
        <v>14.156898106402165</v>
      </c>
    </row>
    <row r="2727" spans="1:14">
      <c r="A2727" s="21">
        <v>2024</v>
      </c>
      <c r="B2727" s="21" t="s">
        <v>21</v>
      </c>
      <c r="C2727" s="21" t="s">
        <v>1145</v>
      </c>
      <c r="D2727" s="21" t="s">
        <v>35</v>
      </c>
      <c r="E2727" s="18" t="s">
        <v>75</v>
      </c>
      <c r="F2727" s="18" t="s">
        <v>47</v>
      </c>
      <c r="G2727" s="18" t="s">
        <v>48</v>
      </c>
      <c r="H2727" s="24">
        <v>18630</v>
      </c>
      <c r="I2727" s="24">
        <f>T_reg.root.SK[[#This Row],[Volume, kg]]/1000</f>
        <v>18.63</v>
      </c>
      <c r="J2727" s="25">
        <v>0.19239999999999999</v>
      </c>
      <c r="K2727" s="25">
        <f t="shared" si="42"/>
        <v>3584.4119999999998</v>
      </c>
      <c r="L2727" s="25">
        <v>3.13</v>
      </c>
      <c r="M2727" s="24">
        <v>58335</v>
      </c>
      <c r="N2727" s="25">
        <f>IFERROR(T_reg.root.SK[[#This Row],[Price]]/T_reg.root.SK[[#This Row],[Starch content]],"")</f>
        <v>16.26819126819127</v>
      </c>
    </row>
    <row r="2728" spans="1:14">
      <c r="A2728" s="21">
        <v>2024</v>
      </c>
      <c r="B2728" s="21" t="s">
        <v>21</v>
      </c>
      <c r="C2728" s="21" t="s">
        <v>1145</v>
      </c>
      <c r="D2728" s="21" t="s">
        <v>35</v>
      </c>
      <c r="E2728" s="18" t="s">
        <v>76</v>
      </c>
      <c r="F2728" s="18" t="s">
        <v>47</v>
      </c>
      <c r="G2728" s="18" t="s">
        <v>48</v>
      </c>
      <c r="H2728" s="24">
        <v>129650</v>
      </c>
      <c r="I2728" s="24">
        <f>T_reg.root.SK[[#This Row],[Volume, kg]]/1000</f>
        <v>129.65</v>
      </c>
      <c r="J2728" s="25">
        <v>0.19879999999999998</v>
      </c>
      <c r="K2728" s="25">
        <f t="shared" si="42"/>
        <v>25774.42</v>
      </c>
      <c r="L2728" s="25">
        <v>2.99</v>
      </c>
      <c r="M2728" s="24">
        <v>387454.5</v>
      </c>
      <c r="N2728" s="25">
        <f>IFERROR(T_reg.root.SK[[#This Row],[Price]]/T_reg.root.SK[[#This Row],[Starch content]],"")</f>
        <v>15.040241448692155</v>
      </c>
    </row>
    <row r="2729" spans="1:14">
      <c r="A2729" s="21">
        <v>2024</v>
      </c>
      <c r="B2729" s="21" t="s">
        <v>21</v>
      </c>
      <c r="C2729" s="21" t="s">
        <v>1145</v>
      </c>
      <c r="D2729" s="21" t="s">
        <v>35</v>
      </c>
      <c r="E2729" s="18" t="s">
        <v>225</v>
      </c>
      <c r="F2729" s="18" t="s">
        <v>47</v>
      </c>
      <c r="G2729" s="18" t="s">
        <v>48</v>
      </c>
      <c r="H2729" s="24">
        <v>8590</v>
      </c>
      <c r="I2729" s="24">
        <f>T_reg.root.SK[[#This Row],[Volume, kg]]/1000</f>
        <v>8.59</v>
      </c>
      <c r="J2729" s="25">
        <v>0.1953</v>
      </c>
      <c r="K2729" s="25">
        <f t="shared" si="42"/>
        <v>1677.627</v>
      </c>
      <c r="L2729" s="25">
        <v>2.95</v>
      </c>
      <c r="M2729" s="24">
        <v>25340.5</v>
      </c>
      <c r="N2729" s="25">
        <f>IFERROR(T_reg.root.SK[[#This Row],[Price]]/T_reg.root.SK[[#This Row],[Starch content]],"")</f>
        <v>15.104966717869944</v>
      </c>
    </row>
    <row r="2730" spans="1:14">
      <c r="A2730" s="21">
        <v>2024</v>
      </c>
      <c r="B2730" s="21" t="s">
        <v>21</v>
      </c>
      <c r="C2730" s="21" t="s">
        <v>1145</v>
      </c>
      <c r="D2730" s="21" t="s">
        <v>35</v>
      </c>
      <c r="E2730" s="18" t="s">
        <v>475</v>
      </c>
      <c r="F2730" s="18" t="s">
        <v>47</v>
      </c>
      <c r="G2730" s="18" t="s">
        <v>48</v>
      </c>
      <c r="H2730" s="24">
        <v>47860</v>
      </c>
      <c r="I2730" s="24">
        <f>T_reg.root.SK[[#This Row],[Volume, kg]]/1000</f>
        <v>47.86</v>
      </c>
      <c r="J2730" s="25">
        <v>0.2291</v>
      </c>
      <c r="K2730" s="25">
        <f t="shared" si="42"/>
        <v>10964.726000000001</v>
      </c>
      <c r="L2730" s="25">
        <v>3.34</v>
      </c>
      <c r="M2730" s="24">
        <v>159756.5</v>
      </c>
      <c r="N2730" s="25">
        <f>IFERROR(T_reg.root.SK[[#This Row],[Price]]/T_reg.root.SK[[#This Row],[Starch content]],"")</f>
        <v>14.578786556089044</v>
      </c>
    </row>
    <row r="2731" spans="1:14">
      <c r="A2731" s="21">
        <v>2024</v>
      </c>
      <c r="B2731" s="21" t="s">
        <v>21</v>
      </c>
      <c r="C2731" s="21" t="s">
        <v>1145</v>
      </c>
      <c r="D2731" s="21" t="s">
        <v>35</v>
      </c>
      <c r="E2731" s="18" t="s">
        <v>77</v>
      </c>
      <c r="F2731" s="18" t="s">
        <v>47</v>
      </c>
      <c r="G2731" s="18" t="s">
        <v>48</v>
      </c>
      <c r="H2731" s="24">
        <v>23910</v>
      </c>
      <c r="I2731" s="24">
        <f>T_reg.root.SK[[#This Row],[Volume, kg]]/1000</f>
        <v>23.91</v>
      </c>
      <c r="J2731" s="25">
        <v>0.20850000000000002</v>
      </c>
      <c r="K2731" s="25">
        <f t="shared" si="42"/>
        <v>4985.2350000000006</v>
      </c>
      <c r="L2731" s="25">
        <v>3.25</v>
      </c>
      <c r="M2731" s="24">
        <v>77621</v>
      </c>
      <c r="N2731" s="25">
        <f>IFERROR(T_reg.root.SK[[#This Row],[Price]]/T_reg.root.SK[[#This Row],[Starch content]],"")</f>
        <v>15.587529976019184</v>
      </c>
    </row>
    <row r="2732" spans="1:14">
      <c r="A2732" s="21">
        <v>2024</v>
      </c>
      <c r="B2732" s="21" t="s">
        <v>21</v>
      </c>
      <c r="C2732" s="21" t="s">
        <v>1145</v>
      </c>
      <c r="D2732" s="21" t="s">
        <v>35</v>
      </c>
      <c r="E2732" s="18" t="s">
        <v>82</v>
      </c>
      <c r="F2732" s="18" t="s">
        <v>83</v>
      </c>
      <c r="G2732" s="18" t="s">
        <v>48</v>
      </c>
      <c r="H2732" s="24">
        <v>70300</v>
      </c>
      <c r="I2732" s="24">
        <f>T_reg.root.SK[[#This Row],[Volume, kg]]/1000</f>
        <v>70.3</v>
      </c>
      <c r="J2732" s="25">
        <v>0.21170000000000003</v>
      </c>
      <c r="K2732" s="25">
        <f t="shared" si="42"/>
        <v>14882.510000000002</v>
      </c>
      <c r="L2732" s="25">
        <v>3.26</v>
      </c>
      <c r="M2732" s="24">
        <v>229156.5</v>
      </c>
      <c r="N2732" s="25">
        <f>IFERROR(T_reg.root.SK[[#This Row],[Price]]/T_reg.root.SK[[#This Row],[Starch content]],"")</f>
        <v>15.399149740198391</v>
      </c>
    </row>
    <row r="2733" spans="1:14">
      <c r="A2733" s="21">
        <v>2024</v>
      </c>
      <c r="B2733" s="21" t="s">
        <v>21</v>
      </c>
      <c r="C2733" s="21" t="s">
        <v>1145</v>
      </c>
      <c r="D2733" s="21" t="s">
        <v>39</v>
      </c>
      <c r="E2733" s="18" t="s">
        <v>88</v>
      </c>
      <c r="F2733" s="18" t="s">
        <v>89</v>
      </c>
      <c r="G2733" s="18" t="s">
        <v>90</v>
      </c>
      <c r="H2733" s="24">
        <v>3532860</v>
      </c>
      <c r="I2733" s="24">
        <f>T_reg.root.SK[[#This Row],[Volume, kg]]/1000</f>
        <v>3532.86</v>
      </c>
      <c r="J2733" s="25">
        <v>0.2155</v>
      </c>
      <c r="K2733" s="25">
        <f t="shared" si="42"/>
        <v>761331.33</v>
      </c>
      <c r="L2733" s="25">
        <v>3.19</v>
      </c>
      <c r="M2733" s="24">
        <v>11275278.5</v>
      </c>
      <c r="N2733" s="25">
        <f>IFERROR(T_reg.root.SK[[#This Row],[Price]]/T_reg.root.SK[[#This Row],[Starch content]],"")</f>
        <v>14.802784222737818</v>
      </c>
    </row>
    <row r="2734" spans="1:14">
      <c r="A2734" s="21">
        <v>2024</v>
      </c>
      <c r="B2734" s="21" t="s">
        <v>21</v>
      </c>
      <c r="C2734" s="21" t="s">
        <v>1145</v>
      </c>
      <c r="D2734" s="21" t="s">
        <v>35</v>
      </c>
      <c r="E2734" s="18" t="s">
        <v>731</v>
      </c>
      <c r="F2734" s="18" t="s">
        <v>92</v>
      </c>
      <c r="G2734" s="18" t="s">
        <v>48</v>
      </c>
      <c r="H2734" s="24">
        <v>8880</v>
      </c>
      <c r="I2734" s="24">
        <f>T_reg.root.SK[[#This Row],[Volume, kg]]/1000</f>
        <v>8.8800000000000008</v>
      </c>
      <c r="J2734" s="25">
        <v>0.26050000000000001</v>
      </c>
      <c r="K2734" s="25">
        <f t="shared" si="42"/>
        <v>2313.2400000000002</v>
      </c>
      <c r="L2734" s="25">
        <v>3.45</v>
      </c>
      <c r="M2734" s="24">
        <v>30636</v>
      </c>
      <c r="N2734" s="25">
        <f>IFERROR(T_reg.root.SK[[#This Row],[Price]]/T_reg.root.SK[[#This Row],[Starch content]],"")</f>
        <v>13.243761996161229</v>
      </c>
    </row>
    <row r="2735" spans="1:14">
      <c r="A2735" s="21">
        <v>2024</v>
      </c>
      <c r="B2735" s="21" t="s">
        <v>21</v>
      </c>
      <c r="C2735" s="21" t="s">
        <v>1145</v>
      </c>
      <c r="D2735" s="21" t="s">
        <v>35</v>
      </c>
      <c r="E2735" s="18" t="s">
        <v>679</v>
      </c>
      <c r="F2735" s="18" t="s">
        <v>92</v>
      </c>
      <c r="G2735" s="18" t="s">
        <v>48</v>
      </c>
      <c r="H2735" s="24">
        <v>68360</v>
      </c>
      <c r="I2735" s="24">
        <f>T_reg.root.SK[[#This Row],[Volume, kg]]/1000</f>
        <v>68.36</v>
      </c>
      <c r="J2735" s="25">
        <v>0.2112</v>
      </c>
      <c r="K2735" s="25">
        <f t="shared" si="42"/>
        <v>14437.632</v>
      </c>
      <c r="L2735" s="25">
        <v>3.06</v>
      </c>
      <c r="M2735" s="24">
        <v>209359.5</v>
      </c>
      <c r="N2735" s="25">
        <f>IFERROR(T_reg.root.SK[[#This Row],[Price]]/T_reg.root.SK[[#This Row],[Starch content]],"")</f>
        <v>14.488636363636363</v>
      </c>
    </row>
    <row r="2736" spans="1:14">
      <c r="A2736" s="21">
        <v>2024</v>
      </c>
      <c r="B2736" s="21" t="s">
        <v>21</v>
      </c>
      <c r="C2736" s="21" t="s">
        <v>1145</v>
      </c>
      <c r="D2736" s="21" t="s">
        <v>35</v>
      </c>
      <c r="E2736" s="18" t="s">
        <v>389</v>
      </c>
      <c r="F2736" s="18" t="s">
        <v>92</v>
      </c>
      <c r="G2736" s="18" t="s">
        <v>48</v>
      </c>
      <c r="H2736" s="24">
        <v>36240</v>
      </c>
      <c r="I2736" s="24">
        <f>T_reg.root.SK[[#This Row],[Volume, kg]]/1000</f>
        <v>36.24</v>
      </c>
      <c r="J2736" s="25">
        <v>0.26119999999999999</v>
      </c>
      <c r="K2736" s="25">
        <f t="shared" si="42"/>
        <v>9465.887999999999</v>
      </c>
      <c r="L2736" s="25">
        <v>3.37</v>
      </c>
      <c r="M2736" s="24">
        <v>122274</v>
      </c>
      <c r="N2736" s="25">
        <f>IFERROR(T_reg.root.SK[[#This Row],[Price]]/T_reg.root.SK[[#This Row],[Starch content]],"")</f>
        <v>12.901990811638592</v>
      </c>
    </row>
    <row r="2737" spans="1:14">
      <c r="A2737" s="21">
        <v>2024</v>
      </c>
      <c r="B2737" s="21" t="s">
        <v>21</v>
      </c>
      <c r="C2737" s="21" t="s">
        <v>1145</v>
      </c>
      <c r="D2737" s="21" t="s">
        <v>35</v>
      </c>
      <c r="E2737" s="18" t="s">
        <v>275</v>
      </c>
      <c r="F2737" s="18" t="s">
        <v>92</v>
      </c>
      <c r="G2737" s="18" t="s">
        <v>48</v>
      </c>
      <c r="H2737" s="24">
        <v>6600</v>
      </c>
      <c r="I2737" s="24">
        <f>T_reg.root.SK[[#This Row],[Volume, kg]]/1000</f>
        <v>6.6</v>
      </c>
      <c r="J2737" s="25">
        <v>0.22030000000000002</v>
      </c>
      <c r="K2737" s="25">
        <f t="shared" si="42"/>
        <v>1453.9800000000002</v>
      </c>
      <c r="L2737" s="25">
        <v>3.25</v>
      </c>
      <c r="M2737" s="24">
        <v>21450</v>
      </c>
      <c r="N2737" s="25">
        <f>IFERROR(T_reg.root.SK[[#This Row],[Price]]/T_reg.root.SK[[#This Row],[Starch content]],"")</f>
        <v>14.752610077167498</v>
      </c>
    </row>
    <row r="2738" spans="1:14">
      <c r="A2738" s="21">
        <v>2024</v>
      </c>
      <c r="B2738" s="21" t="s">
        <v>21</v>
      </c>
      <c r="C2738" s="21" t="s">
        <v>1145</v>
      </c>
      <c r="D2738" s="21" t="s">
        <v>39</v>
      </c>
      <c r="E2738" s="18" t="s">
        <v>552</v>
      </c>
      <c r="F2738" s="18" t="s">
        <v>95</v>
      </c>
      <c r="G2738" s="18" t="s">
        <v>48</v>
      </c>
      <c r="H2738" s="24">
        <v>4888300</v>
      </c>
      <c r="I2738" s="24">
        <f>T_reg.root.SK[[#This Row],[Volume, kg]]/1000</f>
        <v>4888.3</v>
      </c>
      <c r="J2738" s="25">
        <v>0.21940000000000001</v>
      </c>
      <c r="K2738" s="25">
        <f t="shared" si="42"/>
        <v>1072493.02</v>
      </c>
      <c r="L2738" s="25">
        <v>3.2</v>
      </c>
      <c r="M2738" s="24">
        <v>15623735.5</v>
      </c>
      <c r="N2738" s="25">
        <f>IFERROR(T_reg.root.SK[[#This Row],[Price]]/T_reg.root.SK[[#This Row],[Starch content]],"")</f>
        <v>14.585232452142206</v>
      </c>
    </row>
    <row r="2739" spans="1:14">
      <c r="A2739" s="21">
        <v>2024</v>
      </c>
      <c r="B2739" s="21" t="s">
        <v>21</v>
      </c>
      <c r="C2739" s="21" t="s">
        <v>1145</v>
      </c>
      <c r="D2739" s="21" t="s">
        <v>35</v>
      </c>
      <c r="E2739" s="18" t="s">
        <v>276</v>
      </c>
      <c r="F2739" s="18" t="s">
        <v>95</v>
      </c>
      <c r="G2739" s="18" t="s">
        <v>48</v>
      </c>
      <c r="H2739" s="24">
        <v>36700</v>
      </c>
      <c r="I2739" s="24">
        <f>T_reg.root.SK[[#This Row],[Volume, kg]]/1000</f>
        <v>36.700000000000003</v>
      </c>
      <c r="J2739" s="25">
        <v>0.21789999999999998</v>
      </c>
      <c r="K2739" s="25">
        <f t="shared" si="42"/>
        <v>7996.9299999999994</v>
      </c>
      <c r="L2739" s="25">
        <v>3.07</v>
      </c>
      <c r="M2739" s="24">
        <v>112589</v>
      </c>
      <c r="N2739" s="25">
        <f>IFERROR(T_reg.root.SK[[#This Row],[Price]]/T_reg.root.SK[[#This Row],[Starch content]],"")</f>
        <v>14.089031665901791</v>
      </c>
    </row>
    <row r="2740" spans="1:14">
      <c r="A2740" s="21">
        <v>2024</v>
      </c>
      <c r="B2740" s="21" t="s">
        <v>21</v>
      </c>
      <c r="C2740" s="21" t="s">
        <v>1145</v>
      </c>
      <c r="D2740" s="21" t="s">
        <v>35</v>
      </c>
      <c r="E2740" s="18" t="s">
        <v>681</v>
      </c>
      <c r="F2740" s="18" t="s">
        <v>95</v>
      </c>
      <c r="G2740" s="18" t="s">
        <v>48</v>
      </c>
      <c r="H2740" s="24">
        <v>689920</v>
      </c>
      <c r="I2740" s="24">
        <f>T_reg.root.SK[[#This Row],[Volume, kg]]/1000</f>
        <v>689.92</v>
      </c>
      <c r="J2740" s="25">
        <v>0.2162</v>
      </c>
      <c r="K2740" s="25">
        <f t="shared" si="42"/>
        <v>149160.704</v>
      </c>
      <c r="L2740" s="25">
        <v>3.09</v>
      </c>
      <c r="M2740" s="24">
        <v>2128477</v>
      </c>
      <c r="N2740" s="25">
        <f>IFERROR(T_reg.root.SK[[#This Row],[Price]]/T_reg.root.SK[[#This Row],[Starch content]],"")</f>
        <v>14.292321924144311</v>
      </c>
    </row>
    <row r="2741" spans="1:14">
      <c r="A2741" s="21">
        <v>2024</v>
      </c>
      <c r="B2741" s="21" t="s">
        <v>21</v>
      </c>
      <c r="C2741" s="21" t="s">
        <v>1145</v>
      </c>
      <c r="D2741" s="21" t="s">
        <v>35</v>
      </c>
      <c r="E2741" s="18" t="s">
        <v>391</v>
      </c>
      <c r="F2741" s="18" t="s">
        <v>95</v>
      </c>
      <c r="G2741" s="18" t="s">
        <v>48</v>
      </c>
      <c r="H2741" s="24">
        <v>16550</v>
      </c>
      <c r="I2741" s="24">
        <f>T_reg.root.SK[[#This Row],[Volume, kg]]/1000</f>
        <v>16.55</v>
      </c>
      <c r="J2741" s="25">
        <v>0.18729999999999999</v>
      </c>
      <c r="K2741" s="25">
        <f t="shared" si="42"/>
        <v>3099.8150000000001</v>
      </c>
      <c r="L2741" s="25">
        <v>2.9</v>
      </c>
      <c r="M2741" s="24">
        <v>47995</v>
      </c>
      <c r="N2741" s="25">
        <f>IFERROR(T_reg.root.SK[[#This Row],[Price]]/T_reg.root.SK[[#This Row],[Starch content]],"")</f>
        <v>15.483182060864923</v>
      </c>
    </row>
    <row r="2742" spans="1:14">
      <c r="A2742" s="21">
        <v>2024</v>
      </c>
      <c r="B2742" s="21" t="s">
        <v>21</v>
      </c>
      <c r="C2742" s="21" t="s">
        <v>1145</v>
      </c>
      <c r="D2742" s="21" t="s">
        <v>35</v>
      </c>
      <c r="E2742" s="18" t="s">
        <v>732</v>
      </c>
      <c r="F2742" s="18" t="s">
        <v>95</v>
      </c>
      <c r="G2742" s="18" t="s">
        <v>48</v>
      </c>
      <c r="H2742" s="24">
        <v>70120</v>
      </c>
      <c r="I2742" s="24">
        <f>T_reg.root.SK[[#This Row],[Volume, kg]]/1000</f>
        <v>70.12</v>
      </c>
      <c r="J2742" s="25">
        <v>0.2379</v>
      </c>
      <c r="K2742" s="25">
        <f t="shared" si="42"/>
        <v>16681.547999999999</v>
      </c>
      <c r="L2742" s="25">
        <v>3.17</v>
      </c>
      <c r="M2742" s="24">
        <v>222416</v>
      </c>
      <c r="N2742" s="25">
        <f>IFERROR(T_reg.root.SK[[#This Row],[Price]]/T_reg.root.SK[[#This Row],[Starch content]],"")</f>
        <v>13.324926439680537</v>
      </c>
    </row>
    <row r="2743" spans="1:14">
      <c r="A2743" s="21">
        <v>2024</v>
      </c>
      <c r="B2743" s="21" t="s">
        <v>21</v>
      </c>
      <c r="C2743" s="21" t="s">
        <v>1145</v>
      </c>
      <c r="D2743" s="21" t="s">
        <v>35</v>
      </c>
      <c r="E2743" s="18" t="s">
        <v>664</v>
      </c>
      <c r="F2743" s="18" t="s">
        <v>95</v>
      </c>
      <c r="G2743" s="18" t="s">
        <v>48</v>
      </c>
      <c r="H2743" s="24">
        <v>80930</v>
      </c>
      <c r="I2743" s="24">
        <f>T_reg.root.SK[[#This Row],[Volume, kg]]/1000</f>
        <v>80.930000000000007</v>
      </c>
      <c r="J2743" s="25">
        <v>0.25409999999999999</v>
      </c>
      <c r="K2743" s="25">
        <f t="shared" si="42"/>
        <v>20564.312999999998</v>
      </c>
      <c r="L2743" s="25">
        <v>3.21</v>
      </c>
      <c r="M2743" s="24">
        <v>259569.5</v>
      </c>
      <c r="N2743" s="25">
        <f>IFERROR(T_reg.root.SK[[#This Row],[Price]]/T_reg.root.SK[[#This Row],[Starch content]],"")</f>
        <v>12.632821723730816</v>
      </c>
    </row>
    <row r="2744" spans="1:14">
      <c r="A2744" s="21">
        <v>2024</v>
      </c>
      <c r="B2744" s="21" t="s">
        <v>21</v>
      </c>
      <c r="C2744" s="21" t="s">
        <v>1145</v>
      </c>
      <c r="D2744" s="21" t="s">
        <v>39</v>
      </c>
      <c r="E2744" s="18" t="s">
        <v>98</v>
      </c>
      <c r="F2744" s="18" t="s">
        <v>99</v>
      </c>
      <c r="G2744" s="18" t="s">
        <v>42</v>
      </c>
      <c r="H2744" s="24">
        <v>1882280</v>
      </c>
      <c r="I2744" s="24">
        <f>T_reg.root.SK[[#This Row],[Volume, kg]]/1000</f>
        <v>1882.28</v>
      </c>
      <c r="J2744" s="25">
        <v>0.21289999999999998</v>
      </c>
      <c r="K2744" s="25">
        <f t="shared" si="42"/>
        <v>400737.41199999995</v>
      </c>
      <c r="L2744" s="25">
        <v>3.15</v>
      </c>
      <c r="M2744" s="24">
        <v>5927167.5</v>
      </c>
      <c r="N2744" s="25">
        <f>IFERROR(T_reg.root.SK[[#This Row],[Price]]/T_reg.root.SK[[#This Row],[Starch content]],"")</f>
        <v>14.795678722404887</v>
      </c>
    </row>
    <row r="2745" spans="1:14">
      <c r="A2745" s="21">
        <v>2024</v>
      </c>
      <c r="B2745" s="21" t="s">
        <v>21</v>
      </c>
      <c r="C2745" s="21" t="s">
        <v>1145</v>
      </c>
      <c r="D2745" s="21" t="s">
        <v>39</v>
      </c>
      <c r="E2745" s="18" t="s">
        <v>346</v>
      </c>
      <c r="F2745" s="18" t="s">
        <v>99</v>
      </c>
      <c r="G2745" s="18" t="s">
        <v>42</v>
      </c>
      <c r="H2745" s="24">
        <v>3701330</v>
      </c>
      <c r="I2745" s="24">
        <f>T_reg.root.SK[[#This Row],[Volume, kg]]/1000</f>
        <v>3701.33</v>
      </c>
      <c r="J2745" s="25">
        <v>0.20600000000000002</v>
      </c>
      <c r="K2745" s="25">
        <f t="shared" si="42"/>
        <v>762473.9800000001</v>
      </c>
      <c r="L2745" s="25">
        <v>3.08</v>
      </c>
      <c r="M2745" s="24">
        <v>11408293.5</v>
      </c>
      <c r="N2745" s="25">
        <f>IFERROR(T_reg.root.SK[[#This Row],[Price]]/T_reg.root.SK[[#This Row],[Starch content]],"")</f>
        <v>14.95145631067961</v>
      </c>
    </row>
    <row r="2746" spans="1:14">
      <c r="A2746" s="21">
        <v>2024</v>
      </c>
      <c r="B2746" s="21" t="s">
        <v>21</v>
      </c>
      <c r="C2746" s="21" t="s">
        <v>1145</v>
      </c>
      <c r="D2746" s="21" t="s">
        <v>35</v>
      </c>
      <c r="E2746" s="18" t="s">
        <v>280</v>
      </c>
      <c r="F2746" s="18" t="s">
        <v>281</v>
      </c>
      <c r="G2746" s="18" t="s">
        <v>38</v>
      </c>
      <c r="H2746" s="24">
        <v>26800</v>
      </c>
      <c r="I2746" s="24">
        <f>T_reg.root.SK[[#This Row],[Volume, kg]]/1000</f>
        <v>26.8</v>
      </c>
      <c r="J2746" s="25">
        <v>0.27879999999999999</v>
      </c>
      <c r="K2746" s="25">
        <f t="shared" si="42"/>
        <v>7471.84</v>
      </c>
      <c r="L2746" s="25">
        <v>3.5</v>
      </c>
      <c r="M2746" s="24">
        <v>93843</v>
      </c>
      <c r="N2746" s="25">
        <f>IFERROR(T_reg.root.SK[[#This Row],[Price]]/T_reg.root.SK[[#This Row],[Starch content]],"")</f>
        <v>12.553802008608322</v>
      </c>
    </row>
    <row r="2747" spans="1:14">
      <c r="A2747" s="21">
        <v>2024</v>
      </c>
      <c r="B2747" s="21" t="s">
        <v>21</v>
      </c>
      <c r="C2747" s="21" t="s">
        <v>1145</v>
      </c>
      <c r="D2747" s="21" t="s">
        <v>39</v>
      </c>
      <c r="E2747" s="18" t="s">
        <v>101</v>
      </c>
      <c r="F2747" s="18" t="s">
        <v>102</v>
      </c>
      <c r="G2747" s="18" t="s">
        <v>103</v>
      </c>
      <c r="H2747" s="24">
        <v>257610</v>
      </c>
      <c r="I2747" s="24">
        <f>T_reg.root.SK[[#This Row],[Volume, kg]]/1000</f>
        <v>257.61</v>
      </c>
      <c r="J2747" s="25">
        <v>0.22289999999999999</v>
      </c>
      <c r="K2747" s="25">
        <f t="shared" si="42"/>
        <v>57421.269</v>
      </c>
      <c r="L2747" s="25">
        <v>3.19</v>
      </c>
      <c r="M2747" s="24">
        <v>821754</v>
      </c>
      <c r="N2747" s="25">
        <f>IFERROR(T_reg.root.SK[[#This Row],[Price]]/T_reg.root.SK[[#This Row],[Starch content]],"")</f>
        <v>14.311350381336924</v>
      </c>
    </row>
    <row r="2748" spans="1:14">
      <c r="A2748" s="21">
        <v>2024</v>
      </c>
      <c r="B2748" s="21" t="s">
        <v>21</v>
      </c>
      <c r="C2748" s="21" t="s">
        <v>1145</v>
      </c>
      <c r="D2748" s="21" t="s">
        <v>35</v>
      </c>
      <c r="E2748" s="18" t="s">
        <v>555</v>
      </c>
      <c r="F2748" s="18" t="s">
        <v>283</v>
      </c>
      <c r="G2748" s="18" t="s">
        <v>48</v>
      </c>
      <c r="H2748" s="24">
        <v>4290</v>
      </c>
      <c r="I2748" s="24">
        <f>T_reg.root.SK[[#This Row],[Volume, kg]]/1000</f>
        <v>4.29</v>
      </c>
      <c r="J2748" s="25">
        <v>0.26</v>
      </c>
      <c r="K2748" s="25">
        <f t="shared" si="42"/>
        <v>1115.4000000000001</v>
      </c>
      <c r="L2748" s="25">
        <v>3.4</v>
      </c>
      <c r="M2748" s="24">
        <v>14586</v>
      </c>
      <c r="N2748" s="25">
        <f>IFERROR(T_reg.root.SK[[#This Row],[Price]]/T_reg.root.SK[[#This Row],[Starch content]],"")</f>
        <v>13.076923076923077</v>
      </c>
    </row>
    <row r="2749" spans="1:14">
      <c r="A2749" s="21">
        <v>2024</v>
      </c>
      <c r="B2749" s="21" t="s">
        <v>21</v>
      </c>
      <c r="C2749" s="21" t="s">
        <v>1145</v>
      </c>
      <c r="D2749" s="21" t="s">
        <v>35</v>
      </c>
      <c r="E2749" s="18" t="s">
        <v>480</v>
      </c>
      <c r="F2749" s="18" t="s">
        <v>105</v>
      </c>
      <c r="G2749" s="18" t="s">
        <v>48</v>
      </c>
      <c r="H2749" s="24">
        <v>120060</v>
      </c>
      <c r="I2749" s="24">
        <f>T_reg.root.SK[[#This Row],[Volume, kg]]/1000</f>
        <v>120.06</v>
      </c>
      <c r="J2749" s="25">
        <v>0.23089999999999999</v>
      </c>
      <c r="K2749" s="25">
        <f t="shared" si="42"/>
        <v>27721.853999999999</v>
      </c>
      <c r="L2749" s="25">
        <v>3.2</v>
      </c>
      <c r="M2749" s="24">
        <v>384180</v>
      </c>
      <c r="N2749" s="25">
        <f>IFERROR(T_reg.root.SK[[#This Row],[Price]]/T_reg.root.SK[[#This Row],[Starch content]],"")</f>
        <v>13.85881333910784</v>
      </c>
    </row>
    <row r="2750" spans="1:14">
      <c r="A2750" s="21">
        <v>2024</v>
      </c>
      <c r="B2750" s="21" t="s">
        <v>21</v>
      </c>
      <c r="C2750" s="21" t="s">
        <v>1145</v>
      </c>
      <c r="D2750" s="21" t="s">
        <v>35</v>
      </c>
      <c r="E2750" s="18" t="s">
        <v>684</v>
      </c>
      <c r="F2750" s="18" t="s">
        <v>105</v>
      </c>
      <c r="G2750" s="18" t="s">
        <v>48</v>
      </c>
      <c r="H2750" s="24">
        <v>33470</v>
      </c>
      <c r="I2750" s="24">
        <f>T_reg.root.SK[[#This Row],[Volume, kg]]/1000</f>
        <v>33.47</v>
      </c>
      <c r="J2750" s="25">
        <v>0.25659999999999999</v>
      </c>
      <c r="K2750" s="25">
        <f t="shared" si="42"/>
        <v>8588.402</v>
      </c>
      <c r="L2750" s="25">
        <v>3.42</v>
      </c>
      <c r="M2750" s="24">
        <v>114540.5</v>
      </c>
      <c r="N2750" s="25">
        <f>IFERROR(T_reg.root.SK[[#This Row],[Price]]/T_reg.root.SK[[#This Row],[Starch content]],"")</f>
        <v>13.328137178487919</v>
      </c>
    </row>
    <row r="2751" spans="1:14">
      <c r="A2751" s="21">
        <v>2024</v>
      </c>
      <c r="B2751" s="21" t="s">
        <v>21</v>
      </c>
      <c r="C2751" s="21" t="s">
        <v>1145</v>
      </c>
      <c r="D2751" s="21" t="s">
        <v>35</v>
      </c>
      <c r="E2751" s="18" t="s">
        <v>733</v>
      </c>
      <c r="F2751" s="18" t="s">
        <v>105</v>
      </c>
      <c r="G2751" s="18" t="s">
        <v>48</v>
      </c>
      <c r="H2751" s="24">
        <v>43930</v>
      </c>
      <c r="I2751" s="24">
        <f>T_reg.root.SK[[#This Row],[Volume, kg]]/1000</f>
        <v>43.93</v>
      </c>
      <c r="J2751" s="25">
        <v>0.22600000000000001</v>
      </c>
      <c r="K2751" s="25">
        <f t="shared" si="42"/>
        <v>9928.18</v>
      </c>
      <c r="L2751" s="25">
        <v>3.07</v>
      </c>
      <c r="M2751" s="24">
        <v>135079</v>
      </c>
      <c r="N2751" s="25">
        <f>IFERROR(T_reg.root.SK[[#This Row],[Price]]/T_reg.root.SK[[#This Row],[Starch content]],"")</f>
        <v>13.584070796460177</v>
      </c>
    </row>
    <row r="2752" spans="1:14">
      <c r="A2752" s="21">
        <v>2024</v>
      </c>
      <c r="B2752" s="21" t="s">
        <v>21</v>
      </c>
      <c r="C2752" s="21" t="s">
        <v>1145</v>
      </c>
      <c r="D2752" s="21" t="s">
        <v>35</v>
      </c>
      <c r="E2752" s="18" t="s">
        <v>697</v>
      </c>
      <c r="F2752" s="18" t="s">
        <v>105</v>
      </c>
      <c r="G2752" s="18" t="s">
        <v>48</v>
      </c>
      <c r="H2752" s="24">
        <v>60240</v>
      </c>
      <c r="I2752" s="24">
        <f>T_reg.root.SK[[#This Row],[Volume, kg]]/1000</f>
        <v>60.24</v>
      </c>
      <c r="J2752" s="25">
        <v>0.2409</v>
      </c>
      <c r="K2752" s="25">
        <f t="shared" si="42"/>
        <v>14511.816000000001</v>
      </c>
      <c r="L2752" s="25">
        <v>3.07</v>
      </c>
      <c r="M2752" s="24">
        <v>184709</v>
      </c>
      <c r="N2752" s="25">
        <f>IFERROR(T_reg.root.SK[[#This Row],[Price]]/T_reg.root.SK[[#This Row],[Starch content]],"")</f>
        <v>12.74387712743877</v>
      </c>
    </row>
    <row r="2753" spans="1:14">
      <c r="A2753" s="21">
        <v>2024</v>
      </c>
      <c r="B2753" s="21" t="s">
        <v>21</v>
      </c>
      <c r="C2753" s="21" t="s">
        <v>1145</v>
      </c>
      <c r="D2753" s="21" t="s">
        <v>35</v>
      </c>
      <c r="E2753" s="18" t="s">
        <v>683</v>
      </c>
      <c r="F2753" s="18" t="s">
        <v>105</v>
      </c>
      <c r="G2753" s="18" t="s">
        <v>48</v>
      </c>
      <c r="H2753" s="24">
        <v>5350</v>
      </c>
      <c r="I2753" s="24">
        <f>T_reg.root.SK[[#This Row],[Volume, kg]]/1000</f>
        <v>5.35</v>
      </c>
      <c r="J2753" s="25">
        <v>0.2157</v>
      </c>
      <c r="K2753" s="25">
        <f t="shared" si="42"/>
        <v>1153.9950000000001</v>
      </c>
      <c r="L2753" s="25">
        <v>3.05</v>
      </c>
      <c r="M2753" s="24">
        <v>16317.5</v>
      </c>
      <c r="N2753" s="25">
        <f>IFERROR(T_reg.root.SK[[#This Row],[Price]]/T_reg.root.SK[[#This Row],[Starch content]],"")</f>
        <v>14.140009272137227</v>
      </c>
    </row>
    <row r="2754" spans="1:14">
      <c r="A2754" s="21">
        <v>2024</v>
      </c>
      <c r="B2754" s="21" t="s">
        <v>21</v>
      </c>
      <c r="C2754" s="21" t="s">
        <v>1145</v>
      </c>
      <c r="D2754" s="21" t="s">
        <v>35</v>
      </c>
      <c r="E2754" s="18" t="s">
        <v>349</v>
      </c>
      <c r="F2754" s="18" t="s">
        <v>105</v>
      </c>
      <c r="G2754" s="18" t="s">
        <v>48</v>
      </c>
      <c r="H2754" s="24">
        <v>15660</v>
      </c>
      <c r="I2754" s="24">
        <f>T_reg.root.SK[[#This Row],[Volume, kg]]/1000</f>
        <v>15.66</v>
      </c>
      <c r="J2754" s="25">
        <v>0.28050000000000003</v>
      </c>
      <c r="K2754" s="25">
        <f t="shared" si="42"/>
        <v>4392.63</v>
      </c>
      <c r="L2754" s="25">
        <v>3.53</v>
      </c>
      <c r="M2754" s="24">
        <v>55220</v>
      </c>
      <c r="N2754" s="25">
        <f>IFERROR(T_reg.root.SK[[#This Row],[Price]]/T_reg.root.SK[[#This Row],[Starch content]],"")</f>
        <v>12.584670231729053</v>
      </c>
    </row>
    <row r="2755" spans="1:14">
      <c r="A2755" s="21">
        <v>2024</v>
      </c>
      <c r="B2755" s="21" t="s">
        <v>21</v>
      </c>
      <c r="C2755" s="21" t="s">
        <v>1145</v>
      </c>
      <c r="D2755" s="21" t="s">
        <v>35</v>
      </c>
      <c r="E2755" s="18" t="s">
        <v>108</v>
      </c>
      <c r="F2755" s="18" t="s">
        <v>105</v>
      </c>
      <c r="G2755" s="18" t="s">
        <v>48</v>
      </c>
      <c r="H2755" s="24">
        <v>67590</v>
      </c>
      <c r="I2755" s="24">
        <f>T_reg.root.SK[[#This Row],[Volume, kg]]/1000</f>
        <v>67.59</v>
      </c>
      <c r="J2755" s="25">
        <v>0.21199999999999999</v>
      </c>
      <c r="K2755" s="25">
        <f t="shared" ref="K2755:K2818" si="43">H2755*J2755</f>
        <v>14329.08</v>
      </c>
      <c r="L2755" s="25">
        <v>2.97</v>
      </c>
      <c r="M2755" s="24">
        <v>200664</v>
      </c>
      <c r="N2755" s="25">
        <f>IFERROR(T_reg.root.SK[[#This Row],[Price]]/T_reg.root.SK[[#This Row],[Starch content]],"")</f>
        <v>14.009433962264152</v>
      </c>
    </row>
    <row r="2756" spans="1:14">
      <c r="A2756" s="21">
        <v>2024</v>
      </c>
      <c r="B2756" s="21" t="s">
        <v>21</v>
      </c>
      <c r="C2756" s="21" t="s">
        <v>1145</v>
      </c>
      <c r="D2756" s="21" t="s">
        <v>35</v>
      </c>
      <c r="E2756" s="18" t="s">
        <v>290</v>
      </c>
      <c r="F2756" s="18" t="s">
        <v>105</v>
      </c>
      <c r="G2756" s="18" t="s">
        <v>48</v>
      </c>
      <c r="H2756" s="24">
        <v>8630</v>
      </c>
      <c r="I2756" s="24">
        <f>T_reg.root.SK[[#This Row],[Volume, kg]]/1000</f>
        <v>8.6300000000000008</v>
      </c>
      <c r="J2756" s="25">
        <v>0.23120000000000002</v>
      </c>
      <c r="K2756" s="25">
        <f t="shared" si="43"/>
        <v>1995.2560000000001</v>
      </c>
      <c r="L2756" s="25">
        <v>3.3</v>
      </c>
      <c r="M2756" s="24">
        <v>28479</v>
      </c>
      <c r="N2756" s="25">
        <f>IFERROR(T_reg.root.SK[[#This Row],[Price]]/T_reg.root.SK[[#This Row],[Starch content]],"")</f>
        <v>14.273356401384081</v>
      </c>
    </row>
    <row r="2757" spans="1:14">
      <c r="A2757" s="21">
        <v>2024</v>
      </c>
      <c r="B2757" s="21" t="s">
        <v>21</v>
      </c>
      <c r="C2757" s="21" t="s">
        <v>1145</v>
      </c>
      <c r="D2757" s="21" t="s">
        <v>35</v>
      </c>
      <c r="E2757" s="18" t="s">
        <v>713</v>
      </c>
      <c r="F2757" s="18" t="s">
        <v>105</v>
      </c>
      <c r="G2757" s="18" t="s">
        <v>48</v>
      </c>
      <c r="H2757" s="24">
        <v>32920</v>
      </c>
      <c r="I2757" s="24">
        <f>T_reg.root.SK[[#This Row],[Volume, kg]]/1000</f>
        <v>32.92</v>
      </c>
      <c r="J2757" s="25">
        <v>0.20960000000000001</v>
      </c>
      <c r="K2757" s="25">
        <f t="shared" si="43"/>
        <v>6900.0320000000002</v>
      </c>
      <c r="L2757" s="25">
        <v>3.14</v>
      </c>
      <c r="M2757" s="24">
        <v>103277.5</v>
      </c>
      <c r="N2757" s="25">
        <f>IFERROR(T_reg.root.SK[[#This Row],[Price]]/T_reg.root.SK[[#This Row],[Starch content]],"")</f>
        <v>14.980916030534351</v>
      </c>
    </row>
    <row r="2758" spans="1:14">
      <c r="A2758" s="21">
        <v>2024</v>
      </c>
      <c r="B2758" s="21" t="s">
        <v>21</v>
      </c>
      <c r="C2758" s="21" t="s">
        <v>1145</v>
      </c>
      <c r="D2758" s="21" t="s">
        <v>35</v>
      </c>
      <c r="E2758" s="18" t="s">
        <v>109</v>
      </c>
      <c r="F2758" s="18" t="s">
        <v>105</v>
      </c>
      <c r="G2758" s="18" t="s">
        <v>48</v>
      </c>
      <c r="H2758" s="24">
        <v>53830</v>
      </c>
      <c r="I2758" s="24">
        <f>T_reg.root.SK[[#This Row],[Volume, kg]]/1000</f>
        <v>53.83</v>
      </c>
      <c r="J2758" s="25">
        <v>0.2243</v>
      </c>
      <c r="K2758" s="25">
        <f t="shared" si="43"/>
        <v>12074.069</v>
      </c>
      <c r="L2758" s="25">
        <v>3.2</v>
      </c>
      <c r="M2758" s="24">
        <v>172231.5</v>
      </c>
      <c r="N2758" s="25">
        <f>IFERROR(T_reg.root.SK[[#This Row],[Price]]/T_reg.root.SK[[#This Row],[Starch content]],"")</f>
        <v>14.266607222469908</v>
      </c>
    </row>
    <row r="2759" spans="1:14">
      <c r="A2759" s="21">
        <v>2024</v>
      </c>
      <c r="B2759" s="21" t="s">
        <v>21</v>
      </c>
      <c r="C2759" s="21" t="s">
        <v>1145</v>
      </c>
      <c r="D2759" s="21" t="s">
        <v>35</v>
      </c>
      <c r="E2759" s="18" t="s">
        <v>350</v>
      </c>
      <c r="F2759" s="18" t="s">
        <v>105</v>
      </c>
      <c r="G2759" s="18" t="s">
        <v>48</v>
      </c>
      <c r="H2759" s="24">
        <v>129220</v>
      </c>
      <c r="I2759" s="24">
        <f>T_reg.root.SK[[#This Row],[Volume, kg]]/1000</f>
        <v>129.22</v>
      </c>
      <c r="J2759" s="25">
        <v>0.24170000000000003</v>
      </c>
      <c r="K2759" s="25">
        <f t="shared" si="43"/>
        <v>31232.474000000002</v>
      </c>
      <c r="L2759" s="25">
        <v>3.1</v>
      </c>
      <c r="M2759" s="24">
        <v>400603</v>
      </c>
      <c r="N2759" s="25">
        <f>IFERROR(T_reg.root.SK[[#This Row],[Price]]/T_reg.root.SK[[#This Row],[Starch content]],"")</f>
        <v>12.825817128671906</v>
      </c>
    </row>
    <row r="2760" spans="1:14">
      <c r="A2760" s="21">
        <v>2024</v>
      </c>
      <c r="B2760" s="21" t="s">
        <v>21</v>
      </c>
      <c r="C2760" s="21" t="s">
        <v>1145</v>
      </c>
      <c r="D2760" s="21" t="s">
        <v>35</v>
      </c>
      <c r="E2760" s="18" t="s">
        <v>294</v>
      </c>
      <c r="F2760" s="18" t="s">
        <v>105</v>
      </c>
      <c r="G2760" s="18" t="s">
        <v>48</v>
      </c>
      <c r="H2760" s="24">
        <v>109520</v>
      </c>
      <c r="I2760" s="24">
        <f>T_reg.root.SK[[#This Row],[Volume, kg]]/1000</f>
        <v>109.52</v>
      </c>
      <c r="J2760" s="25">
        <v>0.22760000000000002</v>
      </c>
      <c r="K2760" s="25">
        <f t="shared" si="43"/>
        <v>24926.752000000004</v>
      </c>
      <c r="L2760" s="25">
        <v>3.14</v>
      </c>
      <c r="M2760" s="24">
        <v>343646.5</v>
      </c>
      <c r="N2760" s="25">
        <f>IFERROR(T_reg.root.SK[[#This Row],[Price]]/T_reg.root.SK[[#This Row],[Starch content]],"")</f>
        <v>13.796133567662565</v>
      </c>
    </row>
    <row r="2761" spans="1:14">
      <c r="A2761" s="21">
        <v>2024</v>
      </c>
      <c r="B2761" s="21" t="s">
        <v>21</v>
      </c>
      <c r="C2761" s="21" t="s">
        <v>1145</v>
      </c>
      <c r="D2761" s="21" t="s">
        <v>35</v>
      </c>
      <c r="E2761" s="18" t="s">
        <v>734</v>
      </c>
      <c r="F2761" s="18" t="s">
        <v>105</v>
      </c>
      <c r="G2761" s="18" t="s">
        <v>48</v>
      </c>
      <c r="H2761" s="24">
        <v>53170</v>
      </c>
      <c r="I2761" s="24">
        <f>T_reg.root.SK[[#This Row],[Volume, kg]]/1000</f>
        <v>53.17</v>
      </c>
      <c r="J2761" s="25">
        <v>0.21820000000000001</v>
      </c>
      <c r="K2761" s="25">
        <f t="shared" si="43"/>
        <v>11601.694</v>
      </c>
      <c r="L2761" s="25">
        <v>3.02</v>
      </c>
      <c r="M2761" s="24">
        <v>160350.5</v>
      </c>
      <c r="N2761" s="25">
        <f>IFERROR(T_reg.root.SK[[#This Row],[Price]]/T_reg.root.SK[[#This Row],[Starch content]],"")</f>
        <v>13.840513290559119</v>
      </c>
    </row>
    <row r="2762" spans="1:14">
      <c r="A2762" s="21">
        <v>2024</v>
      </c>
      <c r="B2762" s="21" t="s">
        <v>21</v>
      </c>
      <c r="C2762" s="21" t="s">
        <v>1145</v>
      </c>
      <c r="D2762" s="21" t="s">
        <v>35</v>
      </c>
      <c r="E2762" s="18" t="s">
        <v>233</v>
      </c>
      <c r="F2762" s="18" t="s">
        <v>105</v>
      </c>
      <c r="G2762" s="18" t="s">
        <v>48</v>
      </c>
      <c r="H2762" s="24">
        <v>62900</v>
      </c>
      <c r="I2762" s="24">
        <f>T_reg.root.SK[[#This Row],[Volume, kg]]/1000</f>
        <v>62.9</v>
      </c>
      <c r="J2762" s="25">
        <v>0.22550000000000001</v>
      </c>
      <c r="K2762" s="25">
        <f t="shared" si="43"/>
        <v>14183.95</v>
      </c>
      <c r="L2762" s="25">
        <v>3.03</v>
      </c>
      <c r="M2762" s="24">
        <v>190399.5</v>
      </c>
      <c r="N2762" s="25">
        <f>IFERROR(T_reg.root.SK[[#This Row],[Price]]/T_reg.root.SK[[#This Row],[Starch content]],"")</f>
        <v>13.43680709534368</v>
      </c>
    </row>
    <row r="2763" spans="1:14">
      <c r="A2763" s="21">
        <v>2024</v>
      </c>
      <c r="B2763" s="21" t="s">
        <v>21</v>
      </c>
      <c r="C2763" s="21" t="s">
        <v>1145</v>
      </c>
      <c r="D2763" s="21" t="s">
        <v>35</v>
      </c>
      <c r="E2763" s="18" t="s">
        <v>234</v>
      </c>
      <c r="F2763" s="18" t="s">
        <v>105</v>
      </c>
      <c r="G2763" s="18" t="s">
        <v>48</v>
      </c>
      <c r="H2763" s="24">
        <v>53690</v>
      </c>
      <c r="I2763" s="24">
        <f>T_reg.root.SK[[#This Row],[Volume, kg]]/1000</f>
        <v>53.69</v>
      </c>
      <c r="J2763" s="25">
        <v>0.23319999999999999</v>
      </c>
      <c r="K2763" s="25">
        <f t="shared" si="43"/>
        <v>12520.508</v>
      </c>
      <c r="L2763" s="25">
        <v>3.19</v>
      </c>
      <c r="M2763" s="24">
        <v>171404</v>
      </c>
      <c r="N2763" s="25">
        <f>IFERROR(T_reg.root.SK[[#This Row],[Price]]/T_reg.root.SK[[#This Row],[Starch content]],"")</f>
        <v>13.679245283018869</v>
      </c>
    </row>
    <row r="2764" spans="1:14">
      <c r="A2764" s="21">
        <v>2024</v>
      </c>
      <c r="B2764" s="21" t="s">
        <v>21</v>
      </c>
      <c r="C2764" s="21" t="s">
        <v>1145</v>
      </c>
      <c r="D2764" s="21" t="s">
        <v>35</v>
      </c>
      <c r="E2764" s="18" t="s">
        <v>113</v>
      </c>
      <c r="F2764" s="18" t="s">
        <v>105</v>
      </c>
      <c r="G2764" s="18" t="s">
        <v>48</v>
      </c>
      <c r="H2764" s="24">
        <v>35580</v>
      </c>
      <c r="I2764" s="24">
        <f>T_reg.root.SK[[#This Row],[Volume, kg]]/1000</f>
        <v>35.58</v>
      </c>
      <c r="J2764" s="25">
        <v>0.22769999999999999</v>
      </c>
      <c r="K2764" s="25">
        <f t="shared" si="43"/>
        <v>8101.5659999999998</v>
      </c>
      <c r="L2764" s="25">
        <v>3.24</v>
      </c>
      <c r="M2764" s="24">
        <v>115214.5</v>
      </c>
      <c r="N2764" s="25">
        <f>IFERROR(T_reg.root.SK[[#This Row],[Price]]/T_reg.root.SK[[#This Row],[Starch content]],"")</f>
        <v>14.229249011857709</v>
      </c>
    </row>
    <row r="2765" spans="1:14">
      <c r="A2765" s="21">
        <v>2024</v>
      </c>
      <c r="B2765" s="21" t="s">
        <v>21</v>
      </c>
      <c r="C2765" s="21" t="s">
        <v>1145</v>
      </c>
      <c r="D2765" s="21" t="s">
        <v>35</v>
      </c>
      <c r="E2765" s="18" t="s">
        <v>353</v>
      </c>
      <c r="F2765" s="18" t="s">
        <v>105</v>
      </c>
      <c r="G2765" s="18" t="s">
        <v>48</v>
      </c>
      <c r="H2765" s="24">
        <v>30230</v>
      </c>
      <c r="I2765" s="24">
        <f>T_reg.root.SK[[#This Row],[Volume, kg]]/1000</f>
        <v>30.23</v>
      </c>
      <c r="J2765" s="25">
        <v>0.20679999999999998</v>
      </c>
      <c r="K2765" s="25">
        <f t="shared" si="43"/>
        <v>6251.5639999999994</v>
      </c>
      <c r="L2765" s="25">
        <v>3.14</v>
      </c>
      <c r="M2765" s="24">
        <v>94836</v>
      </c>
      <c r="N2765" s="25">
        <f>IFERROR(T_reg.root.SK[[#This Row],[Price]]/T_reg.root.SK[[#This Row],[Starch content]],"")</f>
        <v>15.183752417794972</v>
      </c>
    </row>
    <row r="2766" spans="1:14">
      <c r="A2766" s="21">
        <v>2024</v>
      </c>
      <c r="B2766" s="21" t="s">
        <v>21</v>
      </c>
      <c r="C2766" s="21" t="s">
        <v>1145</v>
      </c>
      <c r="D2766" s="21" t="s">
        <v>35</v>
      </c>
      <c r="E2766" s="18" t="s">
        <v>115</v>
      </c>
      <c r="F2766" s="18" t="s">
        <v>105</v>
      </c>
      <c r="G2766" s="18" t="s">
        <v>48</v>
      </c>
      <c r="H2766" s="24">
        <v>106960</v>
      </c>
      <c r="I2766" s="24">
        <f>T_reg.root.SK[[#This Row],[Volume, kg]]/1000</f>
        <v>106.96</v>
      </c>
      <c r="J2766" s="25">
        <v>0.22850000000000001</v>
      </c>
      <c r="K2766" s="25">
        <f t="shared" si="43"/>
        <v>24440.36</v>
      </c>
      <c r="L2766" s="25">
        <v>3.18</v>
      </c>
      <c r="M2766" s="24">
        <v>339897.5</v>
      </c>
      <c r="N2766" s="25">
        <f>IFERROR(T_reg.root.SK[[#This Row],[Price]]/T_reg.root.SK[[#This Row],[Starch content]],"")</f>
        <v>13.916849015317286</v>
      </c>
    </row>
    <row r="2767" spans="1:14">
      <c r="A2767" s="21">
        <v>2024</v>
      </c>
      <c r="B2767" s="21" t="s">
        <v>21</v>
      </c>
      <c r="C2767" s="21" t="s">
        <v>1145</v>
      </c>
      <c r="D2767" s="21" t="s">
        <v>35</v>
      </c>
      <c r="E2767" s="18" t="s">
        <v>116</v>
      </c>
      <c r="F2767" s="18" t="s">
        <v>105</v>
      </c>
      <c r="G2767" s="18" t="s">
        <v>48</v>
      </c>
      <c r="H2767" s="24">
        <v>8520</v>
      </c>
      <c r="I2767" s="24">
        <f>T_reg.root.SK[[#This Row],[Volume, kg]]/1000</f>
        <v>8.52</v>
      </c>
      <c r="J2767" s="25">
        <v>0.21</v>
      </c>
      <c r="K2767" s="25">
        <f t="shared" si="43"/>
        <v>1789.2</v>
      </c>
      <c r="L2767" s="25">
        <v>3.2</v>
      </c>
      <c r="M2767" s="24">
        <v>27264</v>
      </c>
      <c r="N2767" s="25">
        <f>IFERROR(T_reg.root.SK[[#This Row],[Price]]/T_reg.root.SK[[#This Row],[Starch content]],"")</f>
        <v>15.238095238095239</v>
      </c>
    </row>
    <row r="2768" spans="1:14">
      <c r="A2768" s="21">
        <v>2024</v>
      </c>
      <c r="B2768" s="21" t="s">
        <v>21</v>
      </c>
      <c r="C2768" s="21" t="s">
        <v>1145</v>
      </c>
      <c r="D2768" s="21" t="s">
        <v>35</v>
      </c>
      <c r="E2768" s="18" t="s">
        <v>296</v>
      </c>
      <c r="F2768" s="18" t="s">
        <v>105</v>
      </c>
      <c r="G2768" s="18" t="s">
        <v>48</v>
      </c>
      <c r="H2768" s="24">
        <v>222210</v>
      </c>
      <c r="I2768" s="24">
        <f>T_reg.root.SK[[#This Row],[Volume, kg]]/1000</f>
        <v>222.21</v>
      </c>
      <c r="J2768" s="25">
        <v>0.24260000000000001</v>
      </c>
      <c r="K2768" s="25">
        <f t="shared" si="43"/>
        <v>53908.146000000001</v>
      </c>
      <c r="L2768" s="25">
        <v>3.16</v>
      </c>
      <c r="M2768" s="24">
        <v>701901</v>
      </c>
      <c r="N2768" s="25">
        <f>IFERROR(T_reg.root.SK[[#This Row],[Price]]/T_reg.root.SK[[#This Row],[Starch content]],"")</f>
        <v>13.02555647155812</v>
      </c>
    </row>
    <row r="2769" spans="1:14">
      <c r="A2769" s="21">
        <v>2024</v>
      </c>
      <c r="B2769" s="21" t="s">
        <v>21</v>
      </c>
      <c r="C2769" s="21" t="s">
        <v>1145</v>
      </c>
      <c r="D2769" s="21" t="s">
        <v>35</v>
      </c>
      <c r="E2769" s="18" t="s">
        <v>118</v>
      </c>
      <c r="F2769" s="18" t="s">
        <v>105</v>
      </c>
      <c r="G2769" s="18" t="s">
        <v>48</v>
      </c>
      <c r="H2769" s="24">
        <v>202710</v>
      </c>
      <c r="I2769" s="24">
        <f>T_reg.root.SK[[#This Row],[Volume, kg]]/1000</f>
        <v>202.71</v>
      </c>
      <c r="J2769" s="25">
        <v>0.23949999999999999</v>
      </c>
      <c r="K2769" s="25">
        <f t="shared" si="43"/>
        <v>48549.044999999998</v>
      </c>
      <c r="L2769" s="25">
        <v>3.25</v>
      </c>
      <c r="M2769" s="24">
        <v>658213</v>
      </c>
      <c r="N2769" s="25">
        <f>IFERROR(T_reg.root.SK[[#This Row],[Price]]/T_reg.root.SK[[#This Row],[Starch content]],"")</f>
        <v>13.569937369519833</v>
      </c>
    </row>
    <row r="2770" spans="1:14">
      <c r="A2770" s="21">
        <v>2024</v>
      </c>
      <c r="B2770" s="21" t="s">
        <v>21</v>
      </c>
      <c r="C2770" s="21" t="s">
        <v>1145</v>
      </c>
      <c r="D2770" s="21" t="s">
        <v>35</v>
      </c>
      <c r="E2770" s="18" t="s">
        <v>119</v>
      </c>
      <c r="F2770" s="18" t="s">
        <v>105</v>
      </c>
      <c r="G2770" s="18" t="s">
        <v>48</v>
      </c>
      <c r="H2770" s="24">
        <v>19170</v>
      </c>
      <c r="I2770" s="24">
        <f>T_reg.root.SK[[#This Row],[Volume, kg]]/1000</f>
        <v>19.170000000000002</v>
      </c>
      <c r="J2770" s="25">
        <v>0.22889999999999999</v>
      </c>
      <c r="K2770" s="25">
        <f t="shared" si="43"/>
        <v>4388.0129999999999</v>
      </c>
      <c r="L2770" s="25">
        <v>3.08</v>
      </c>
      <c r="M2770" s="24">
        <v>59004</v>
      </c>
      <c r="N2770" s="25">
        <f>IFERROR(T_reg.root.SK[[#This Row],[Price]]/T_reg.root.SK[[#This Row],[Starch content]],"")</f>
        <v>13.455657492354741</v>
      </c>
    </row>
    <row r="2771" spans="1:14">
      <c r="A2771" s="21">
        <v>2024</v>
      </c>
      <c r="B2771" s="21" t="s">
        <v>21</v>
      </c>
      <c r="C2771" s="21" t="s">
        <v>1145</v>
      </c>
      <c r="D2771" s="21" t="s">
        <v>35</v>
      </c>
      <c r="E2771" s="18" t="s">
        <v>122</v>
      </c>
      <c r="F2771" s="18" t="s">
        <v>105</v>
      </c>
      <c r="G2771" s="18" t="s">
        <v>48</v>
      </c>
      <c r="H2771" s="24">
        <v>241850</v>
      </c>
      <c r="I2771" s="24">
        <f>T_reg.root.SK[[#This Row],[Volume, kg]]/1000</f>
        <v>241.85</v>
      </c>
      <c r="J2771" s="25">
        <v>0.2069</v>
      </c>
      <c r="K2771" s="25">
        <f t="shared" si="43"/>
        <v>50038.764999999999</v>
      </c>
      <c r="L2771" s="25">
        <v>2.97</v>
      </c>
      <c r="M2771" s="24">
        <v>718223</v>
      </c>
      <c r="N2771" s="25">
        <f>IFERROR(T_reg.root.SK[[#This Row],[Price]]/T_reg.root.SK[[#This Row],[Starch content]],"")</f>
        <v>14.354760753987435</v>
      </c>
    </row>
    <row r="2772" spans="1:14">
      <c r="A2772" s="21">
        <v>2024</v>
      </c>
      <c r="B2772" s="21" t="s">
        <v>21</v>
      </c>
      <c r="C2772" s="21" t="s">
        <v>1145</v>
      </c>
      <c r="D2772" s="21" t="s">
        <v>35</v>
      </c>
      <c r="E2772" s="18" t="s">
        <v>123</v>
      </c>
      <c r="F2772" s="18" t="s">
        <v>105</v>
      </c>
      <c r="G2772" s="18" t="s">
        <v>48</v>
      </c>
      <c r="H2772" s="24">
        <v>38160</v>
      </c>
      <c r="I2772" s="24">
        <f>T_reg.root.SK[[#This Row],[Volume, kg]]/1000</f>
        <v>38.159999999999997</v>
      </c>
      <c r="J2772" s="25">
        <v>0.25209999999999999</v>
      </c>
      <c r="K2772" s="25">
        <f t="shared" si="43"/>
        <v>9620.1360000000004</v>
      </c>
      <c r="L2772" s="25">
        <v>3.22</v>
      </c>
      <c r="M2772" s="24">
        <v>122791.5</v>
      </c>
      <c r="N2772" s="25">
        <f>IFERROR(T_reg.root.SK[[#This Row],[Price]]/T_reg.root.SK[[#This Row],[Starch content]],"")</f>
        <v>12.772709242364142</v>
      </c>
    </row>
    <row r="2773" spans="1:14">
      <c r="A2773" s="21">
        <v>2024</v>
      </c>
      <c r="B2773" s="21" t="s">
        <v>21</v>
      </c>
      <c r="C2773" s="21" t="s">
        <v>1145</v>
      </c>
      <c r="D2773" s="21" t="s">
        <v>35</v>
      </c>
      <c r="E2773" s="18" t="s">
        <v>735</v>
      </c>
      <c r="F2773" s="18" t="s">
        <v>105</v>
      </c>
      <c r="G2773" s="18" t="s">
        <v>48</v>
      </c>
      <c r="H2773" s="24">
        <v>29150</v>
      </c>
      <c r="I2773" s="24">
        <f>T_reg.root.SK[[#This Row],[Volume, kg]]/1000</f>
        <v>29.15</v>
      </c>
      <c r="J2773" s="25">
        <v>0.23319999999999999</v>
      </c>
      <c r="K2773" s="25">
        <f t="shared" si="43"/>
        <v>6797.78</v>
      </c>
      <c r="L2773" s="25">
        <v>3.03</v>
      </c>
      <c r="M2773" s="24">
        <v>88440</v>
      </c>
      <c r="N2773" s="25">
        <f>IFERROR(T_reg.root.SK[[#This Row],[Price]]/T_reg.root.SK[[#This Row],[Starch content]],"")</f>
        <v>12.993138936535162</v>
      </c>
    </row>
    <row r="2774" spans="1:14">
      <c r="A2774" s="21">
        <v>2024</v>
      </c>
      <c r="B2774" s="21" t="s">
        <v>21</v>
      </c>
      <c r="C2774" s="21" t="s">
        <v>1145</v>
      </c>
      <c r="D2774" s="21" t="s">
        <v>35</v>
      </c>
      <c r="E2774" s="18" t="s">
        <v>239</v>
      </c>
      <c r="F2774" s="18" t="s">
        <v>105</v>
      </c>
      <c r="G2774" s="18" t="s">
        <v>48</v>
      </c>
      <c r="H2774" s="24">
        <v>19920</v>
      </c>
      <c r="I2774" s="24">
        <f>T_reg.root.SK[[#This Row],[Volume, kg]]/1000</f>
        <v>19.920000000000002</v>
      </c>
      <c r="J2774" s="25">
        <v>0.24579999999999999</v>
      </c>
      <c r="K2774" s="25">
        <f t="shared" si="43"/>
        <v>4896.3360000000002</v>
      </c>
      <c r="L2774" s="25">
        <v>3.07</v>
      </c>
      <c r="M2774" s="24">
        <v>61206.5</v>
      </c>
      <c r="N2774" s="25">
        <f>IFERROR(T_reg.root.SK[[#This Row],[Price]]/T_reg.root.SK[[#This Row],[Starch content]],"")</f>
        <v>12.489829129373474</v>
      </c>
    </row>
    <row r="2775" spans="1:14">
      <c r="A2775" s="21">
        <v>2024</v>
      </c>
      <c r="B2775" s="21" t="s">
        <v>21</v>
      </c>
      <c r="C2775" s="21" t="s">
        <v>1145</v>
      </c>
      <c r="D2775" s="21" t="s">
        <v>35</v>
      </c>
      <c r="E2775" s="18" t="s">
        <v>124</v>
      </c>
      <c r="F2775" s="18" t="s">
        <v>105</v>
      </c>
      <c r="G2775" s="18" t="s">
        <v>48</v>
      </c>
      <c r="H2775" s="24">
        <v>242250</v>
      </c>
      <c r="I2775" s="24">
        <f>T_reg.root.SK[[#This Row],[Volume, kg]]/1000</f>
        <v>242.25</v>
      </c>
      <c r="J2775" s="25">
        <v>0.22020000000000001</v>
      </c>
      <c r="K2775" s="25">
        <f t="shared" si="43"/>
        <v>53343.450000000004</v>
      </c>
      <c r="L2775" s="25">
        <v>3.08</v>
      </c>
      <c r="M2775" s="24">
        <v>747139</v>
      </c>
      <c r="N2775" s="25">
        <f>IFERROR(T_reg.root.SK[[#This Row],[Price]]/T_reg.root.SK[[#This Row],[Starch content]],"")</f>
        <v>13.987284287011807</v>
      </c>
    </row>
    <row r="2776" spans="1:14">
      <c r="A2776" s="21">
        <v>2024</v>
      </c>
      <c r="B2776" s="21" t="s">
        <v>21</v>
      </c>
      <c r="C2776" s="21" t="s">
        <v>1145</v>
      </c>
      <c r="D2776" s="21" t="s">
        <v>35</v>
      </c>
      <c r="E2776" s="18" t="s">
        <v>715</v>
      </c>
      <c r="F2776" s="18" t="s">
        <v>105</v>
      </c>
      <c r="G2776" s="18" t="s">
        <v>48</v>
      </c>
      <c r="H2776" s="24">
        <v>15530</v>
      </c>
      <c r="I2776" s="24">
        <f>T_reg.root.SK[[#This Row],[Volume, kg]]/1000</f>
        <v>15.53</v>
      </c>
      <c r="J2776" s="25">
        <v>0.2777</v>
      </c>
      <c r="K2776" s="25">
        <f t="shared" si="43"/>
        <v>4312.6809999999996</v>
      </c>
      <c r="L2776" s="25">
        <v>3.53</v>
      </c>
      <c r="M2776" s="24">
        <v>54785.5</v>
      </c>
      <c r="N2776" s="25">
        <f>IFERROR(T_reg.root.SK[[#This Row],[Price]]/T_reg.root.SK[[#This Row],[Starch content]],"")</f>
        <v>12.711559236586243</v>
      </c>
    </row>
    <row r="2777" spans="1:14">
      <c r="A2777" s="21">
        <v>2024</v>
      </c>
      <c r="B2777" s="21" t="s">
        <v>21</v>
      </c>
      <c r="C2777" s="21" t="s">
        <v>1145</v>
      </c>
      <c r="D2777" s="21" t="s">
        <v>35</v>
      </c>
      <c r="E2777" s="18" t="s">
        <v>736</v>
      </c>
      <c r="F2777" s="18" t="s">
        <v>105</v>
      </c>
      <c r="G2777" s="18" t="s">
        <v>48</v>
      </c>
      <c r="H2777" s="24">
        <v>124360</v>
      </c>
      <c r="I2777" s="24">
        <f>T_reg.root.SK[[#This Row],[Volume, kg]]/1000</f>
        <v>124.36</v>
      </c>
      <c r="J2777" s="25">
        <v>0.21640000000000001</v>
      </c>
      <c r="K2777" s="25">
        <f t="shared" si="43"/>
        <v>26911.504000000001</v>
      </c>
      <c r="L2777" s="25">
        <v>3.01</v>
      </c>
      <c r="M2777" s="24">
        <v>374109</v>
      </c>
      <c r="N2777" s="25">
        <f>IFERROR(T_reg.root.SK[[#This Row],[Price]]/T_reg.root.SK[[#This Row],[Starch content]],"")</f>
        <v>13.909426987060996</v>
      </c>
    </row>
    <row r="2778" spans="1:14">
      <c r="A2778" s="21">
        <v>2024</v>
      </c>
      <c r="B2778" s="21" t="s">
        <v>21</v>
      </c>
      <c r="C2778" s="21" t="s">
        <v>1145</v>
      </c>
      <c r="D2778" s="21" t="s">
        <v>35</v>
      </c>
      <c r="E2778" s="18" t="s">
        <v>601</v>
      </c>
      <c r="F2778" s="18" t="s">
        <v>105</v>
      </c>
      <c r="G2778" s="18" t="s">
        <v>48</v>
      </c>
      <c r="H2778" s="24">
        <v>11900</v>
      </c>
      <c r="I2778" s="24">
        <f>T_reg.root.SK[[#This Row],[Volume, kg]]/1000</f>
        <v>11.9</v>
      </c>
      <c r="J2778" s="25">
        <v>0.21960000000000002</v>
      </c>
      <c r="K2778" s="25">
        <f t="shared" si="43"/>
        <v>2613.2400000000002</v>
      </c>
      <c r="L2778" s="25">
        <v>3.05</v>
      </c>
      <c r="M2778" s="24">
        <v>36295</v>
      </c>
      <c r="N2778" s="25">
        <f>IFERROR(T_reg.root.SK[[#This Row],[Price]]/T_reg.root.SK[[#This Row],[Starch content]],"")</f>
        <v>13.888888888888888</v>
      </c>
    </row>
    <row r="2779" spans="1:14">
      <c r="A2779" s="21">
        <v>2024</v>
      </c>
      <c r="B2779" s="21" t="s">
        <v>21</v>
      </c>
      <c r="C2779" s="21" t="s">
        <v>1145</v>
      </c>
      <c r="D2779" s="21" t="s">
        <v>35</v>
      </c>
      <c r="E2779" s="18" t="s">
        <v>127</v>
      </c>
      <c r="F2779" s="18" t="s">
        <v>105</v>
      </c>
      <c r="G2779" s="18" t="s">
        <v>48</v>
      </c>
      <c r="H2779" s="24">
        <v>4950</v>
      </c>
      <c r="I2779" s="24">
        <f>T_reg.root.SK[[#This Row],[Volume, kg]]/1000</f>
        <v>4.95</v>
      </c>
      <c r="J2779" s="25">
        <v>0.26550000000000001</v>
      </c>
      <c r="K2779" s="25">
        <f t="shared" si="43"/>
        <v>1314.2250000000001</v>
      </c>
      <c r="L2779" s="25">
        <v>3.5</v>
      </c>
      <c r="M2779" s="24">
        <v>17325</v>
      </c>
      <c r="N2779" s="25">
        <f>IFERROR(T_reg.root.SK[[#This Row],[Price]]/T_reg.root.SK[[#This Row],[Starch content]],"")</f>
        <v>13.182674199623351</v>
      </c>
    </row>
    <row r="2780" spans="1:14">
      <c r="A2780" s="21">
        <v>2024</v>
      </c>
      <c r="B2780" s="21" t="s">
        <v>21</v>
      </c>
      <c r="C2780" s="21" t="s">
        <v>1145</v>
      </c>
      <c r="D2780" s="21" t="s">
        <v>35</v>
      </c>
      <c r="E2780" s="18" t="s">
        <v>129</v>
      </c>
      <c r="F2780" s="18" t="s">
        <v>105</v>
      </c>
      <c r="G2780" s="18" t="s">
        <v>48</v>
      </c>
      <c r="H2780" s="24">
        <v>68440</v>
      </c>
      <c r="I2780" s="24">
        <f>T_reg.root.SK[[#This Row],[Volume, kg]]/1000</f>
        <v>68.44</v>
      </c>
      <c r="J2780" s="25">
        <v>0.2213</v>
      </c>
      <c r="K2780" s="25">
        <f t="shared" si="43"/>
        <v>15145.771999999999</v>
      </c>
      <c r="L2780" s="25">
        <v>3.03</v>
      </c>
      <c r="M2780" s="24">
        <v>207078</v>
      </c>
      <c r="N2780" s="25">
        <f>IFERROR(T_reg.root.SK[[#This Row],[Price]]/T_reg.root.SK[[#This Row],[Starch content]],"")</f>
        <v>13.691821057388161</v>
      </c>
    </row>
    <row r="2781" spans="1:14">
      <c r="A2781" s="21">
        <v>2024</v>
      </c>
      <c r="B2781" s="21" t="s">
        <v>21</v>
      </c>
      <c r="C2781" s="21" t="s">
        <v>1145</v>
      </c>
      <c r="D2781" s="21" t="s">
        <v>35</v>
      </c>
      <c r="E2781" s="18" t="s">
        <v>130</v>
      </c>
      <c r="F2781" s="18" t="s">
        <v>105</v>
      </c>
      <c r="G2781" s="18" t="s">
        <v>48</v>
      </c>
      <c r="H2781" s="24">
        <v>34210</v>
      </c>
      <c r="I2781" s="24">
        <f>T_reg.root.SK[[#This Row],[Volume, kg]]/1000</f>
        <v>34.21</v>
      </c>
      <c r="J2781" s="25">
        <v>0.20489999999999997</v>
      </c>
      <c r="K2781" s="25">
        <f t="shared" si="43"/>
        <v>7009.628999999999</v>
      </c>
      <c r="L2781" s="25">
        <v>2.96</v>
      </c>
      <c r="M2781" s="24">
        <v>101338</v>
      </c>
      <c r="N2781" s="25">
        <f>IFERROR(T_reg.root.SK[[#This Row],[Price]]/T_reg.root.SK[[#This Row],[Starch content]],"")</f>
        <v>14.446071254270377</v>
      </c>
    </row>
    <row r="2782" spans="1:14">
      <c r="A2782" s="21">
        <v>2024</v>
      </c>
      <c r="B2782" s="21" t="s">
        <v>21</v>
      </c>
      <c r="C2782" s="21" t="s">
        <v>1145</v>
      </c>
      <c r="D2782" s="21" t="s">
        <v>35</v>
      </c>
      <c r="E2782" s="18" t="s">
        <v>131</v>
      </c>
      <c r="F2782" s="18" t="s">
        <v>105</v>
      </c>
      <c r="G2782" s="18" t="s">
        <v>48</v>
      </c>
      <c r="H2782" s="24">
        <v>5810</v>
      </c>
      <c r="I2782" s="24">
        <f>T_reg.root.SK[[#This Row],[Volume, kg]]/1000</f>
        <v>5.81</v>
      </c>
      <c r="J2782" s="25">
        <v>0.18149999999999999</v>
      </c>
      <c r="K2782" s="25">
        <f t="shared" si="43"/>
        <v>1054.5149999999999</v>
      </c>
      <c r="L2782" s="25">
        <v>2.75</v>
      </c>
      <c r="M2782" s="24">
        <v>15977.5</v>
      </c>
      <c r="N2782" s="25">
        <f>IFERROR(T_reg.root.SK[[#This Row],[Price]]/T_reg.root.SK[[#This Row],[Starch content]],"")</f>
        <v>15.151515151515152</v>
      </c>
    </row>
    <row r="2783" spans="1:14">
      <c r="A2783" s="21">
        <v>2024</v>
      </c>
      <c r="B2783" s="21" t="s">
        <v>21</v>
      </c>
      <c r="C2783" s="21" t="s">
        <v>1145</v>
      </c>
      <c r="D2783" s="21" t="s">
        <v>35</v>
      </c>
      <c r="E2783" s="18" t="s">
        <v>132</v>
      </c>
      <c r="F2783" s="18" t="s">
        <v>105</v>
      </c>
      <c r="G2783" s="18" t="s">
        <v>48</v>
      </c>
      <c r="H2783" s="24">
        <v>9910</v>
      </c>
      <c r="I2783" s="24">
        <f>T_reg.root.SK[[#This Row],[Volume, kg]]/1000</f>
        <v>9.91</v>
      </c>
      <c r="J2783" s="25">
        <v>0.25900000000000001</v>
      </c>
      <c r="K2783" s="25">
        <f t="shared" si="43"/>
        <v>2566.69</v>
      </c>
      <c r="L2783" s="25">
        <v>3.25</v>
      </c>
      <c r="M2783" s="24">
        <v>32207.5</v>
      </c>
      <c r="N2783" s="25">
        <f>IFERROR(T_reg.root.SK[[#This Row],[Price]]/T_reg.root.SK[[#This Row],[Starch content]],"")</f>
        <v>12.548262548262548</v>
      </c>
    </row>
    <row r="2784" spans="1:14">
      <c r="A2784" s="21">
        <v>2024</v>
      </c>
      <c r="B2784" s="21" t="s">
        <v>21</v>
      </c>
      <c r="C2784" s="21" t="s">
        <v>1145</v>
      </c>
      <c r="D2784" s="21" t="s">
        <v>35</v>
      </c>
      <c r="E2784" s="18" t="s">
        <v>241</v>
      </c>
      <c r="F2784" s="18" t="s">
        <v>105</v>
      </c>
      <c r="G2784" s="18" t="s">
        <v>48</v>
      </c>
      <c r="H2784" s="24">
        <v>15480</v>
      </c>
      <c r="I2784" s="24">
        <f>T_reg.root.SK[[#This Row],[Volume, kg]]/1000</f>
        <v>15.48</v>
      </c>
      <c r="J2784" s="25">
        <v>0.21609999999999999</v>
      </c>
      <c r="K2784" s="25">
        <f t="shared" si="43"/>
        <v>3345.2279999999996</v>
      </c>
      <c r="L2784" s="25">
        <v>3.02</v>
      </c>
      <c r="M2784" s="24">
        <v>46810</v>
      </c>
      <c r="N2784" s="25">
        <f>IFERROR(T_reg.root.SK[[#This Row],[Price]]/T_reg.root.SK[[#This Row],[Starch content]],"")</f>
        <v>13.975011568718188</v>
      </c>
    </row>
    <row r="2785" spans="1:14">
      <c r="A2785" s="21">
        <v>2024</v>
      </c>
      <c r="B2785" s="21" t="s">
        <v>21</v>
      </c>
      <c r="C2785" s="21" t="s">
        <v>1145</v>
      </c>
      <c r="D2785" s="21" t="s">
        <v>35</v>
      </c>
      <c r="E2785" s="18" t="s">
        <v>737</v>
      </c>
      <c r="F2785" s="18" t="s">
        <v>105</v>
      </c>
      <c r="G2785" s="18" t="s">
        <v>48</v>
      </c>
      <c r="H2785" s="24">
        <v>51320</v>
      </c>
      <c r="I2785" s="24">
        <f>T_reg.root.SK[[#This Row],[Volume, kg]]/1000</f>
        <v>51.32</v>
      </c>
      <c r="J2785" s="25">
        <v>0.2606</v>
      </c>
      <c r="K2785" s="25">
        <f t="shared" si="43"/>
        <v>13373.992</v>
      </c>
      <c r="L2785" s="25">
        <v>3.26</v>
      </c>
      <c r="M2785" s="24">
        <v>167547.5</v>
      </c>
      <c r="N2785" s="25">
        <f>IFERROR(T_reg.root.SK[[#This Row],[Price]]/T_reg.root.SK[[#This Row],[Starch content]],"")</f>
        <v>12.509593246354566</v>
      </c>
    </row>
    <row r="2786" spans="1:14">
      <c r="A2786" s="21">
        <v>2024</v>
      </c>
      <c r="B2786" s="21" t="s">
        <v>21</v>
      </c>
      <c r="C2786" s="21" t="s">
        <v>1145</v>
      </c>
      <c r="D2786" s="21" t="s">
        <v>35</v>
      </c>
      <c r="E2786" s="18" t="s">
        <v>301</v>
      </c>
      <c r="F2786" s="18" t="s">
        <v>105</v>
      </c>
      <c r="G2786" s="18" t="s">
        <v>48</v>
      </c>
      <c r="H2786" s="24">
        <v>95150</v>
      </c>
      <c r="I2786" s="24">
        <f>T_reg.root.SK[[#This Row],[Volume, kg]]/1000</f>
        <v>95.15</v>
      </c>
      <c r="J2786" s="25">
        <v>0.20180000000000001</v>
      </c>
      <c r="K2786" s="25">
        <f t="shared" si="43"/>
        <v>19201.27</v>
      </c>
      <c r="L2786" s="25">
        <v>3</v>
      </c>
      <c r="M2786" s="24">
        <v>285002.5</v>
      </c>
      <c r="N2786" s="25">
        <f>IFERROR(T_reg.root.SK[[#This Row],[Price]]/T_reg.root.SK[[#This Row],[Starch content]],"")</f>
        <v>14.866204162537166</v>
      </c>
    </row>
    <row r="2787" spans="1:14">
      <c r="A2787" s="21">
        <v>2024</v>
      </c>
      <c r="B2787" s="21" t="s">
        <v>21</v>
      </c>
      <c r="C2787" s="21" t="s">
        <v>1145</v>
      </c>
      <c r="D2787" s="21" t="s">
        <v>35</v>
      </c>
      <c r="E2787" s="18" t="s">
        <v>134</v>
      </c>
      <c r="F2787" s="18" t="s">
        <v>105</v>
      </c>
      <c r="G2787" s="18" t="s">
        <v>48</v>
      </c>
      <c r="H2787" s="24">
        <v>22940</v>
      </c>
      <c r="I2787" s="24">
        <f>T_reg.root.SK[[#This Row],[Volume, kg]]/1000</f>
        <v>22.94</v>
      </c>
      <c r="J2787" s="25">
        <v>0.22289999999999999</v>
      </c>
      <c r="K2787" s="25">
        <f t="shared" si="43"/>
        <v>5113.326</v>
      </c>
      <c r="L2787" s="25">
        <v>2.99</v>
      </c>
      <c r="M2787" s="24">
        <v>68499</v>
      </c>
      <c r="N2787" s="25">
        <f>IFERROR(T_reg.root.SK[[#This Row],[Price]]/T_reg.root.SK[[#This Row],[Starch content]],"")</f>
        <v>13.414087034544641</v>
      </c>
    </row>
    <row r="2788" spans="1:14">
      <c r="A2788" s="21">
        <v>2024</v>
      </c>
      <c r="B2788" s="21" t="s">
        <v>21</v>
      </c>
      <c r="C2788" s="21" t="s">
        <v>1145</v>
      </c>
      <c r="D2788" s="21" t="s">
        <v>35</v>
      </c>
      <c r="E2788" s="18" t="s">
        <v>136</v>
      </c>
      <c r="F2788" s="18" t="s">
        <v>105</v>
      </c>
      <c r="G2788" s="18" t="s">
        <v>48</v>
      </c>
      <c r="H2788" s="24">
        <v>55280</v>
      </c>
      <c r="I2788" s="24">
        <f>T_reg.root.SK[[#This Row],[Volume, kg]]/1000</f>
        <v>55.28</v>
      </c>
      <c r="J2788" s="25">
        <v>0.22539999999999999</v>
      </c>
      <c r="K2788" s="25">
        <f t="shared" si="43"/>
        <v>12460.111999999999</v>
      </c>
      <c r="L2788" s="25">
        <v>3.05</v>
      </c>
      <c r="M2788" s="24">
        <v>168605.5</v>
      </c>
      <c r="N2788" s="25">
        <f>IFERROR(T_reg.root.SK[[#This Row],[Price]]/T_reg.root.SK[[#This Row],[Starch content]],"")</f>
        <v>13.531499556344277</v>
      </c>
    </row>
    <row r="2789" spans="1:14">
      <c r="A2789" s="21">
        <v>2024</v>
      </c>
      <c r="B2789" s="21" t="s">
        <v>21</v>
      </c>
      <c r="C2789" s="21" t="s">
        <v>1145</v>
      </c>
      <c r="D2789" s="21" t="s">
        <v>35</v>
      </c>
      <c r="E2789" s="18" t="s">
        <v>242</v>
      </c>
      <c r="F2789" s="18" t="s">
        <v>105</v>
      </c>
      <c r="G2789" s="18" t="s">
        <v>48</v>
      </c>
      <c r="H2789" s="24">
        <v>17030</v>
      </c>
      <c r="I2789" s="24">
        <f>T_reg.root.SK[[#This Row],[Volume, kg]]/1000</f>
        <v>17.03</v>
      </c>
      <c r="J2789" s="25">
        <v>0.26879999999999998</v>
      </c>
      <c r="K2789" s="25">
        <f t="shared" si="43"/>
        <v>4577.6639999999998</v>
      </c>
      <c r="L2789" s="25">
        <v>3.5</v>
      </c>
      <c r="M2789" s="24">
        <v>59679</v>
      </c>
      <c r="N2789" s="25">
        <f>IFERROR(T_reg.root.SK[[#This Row],[Price]]/T_reg.root.SK[[#This Row],[Starch content]],"")</f>
        <v>13.020833333333334</v>
      </c>
    </row>
    <row r="2790" spans="1:14">
      <c r="A2790" s="21">
        <v>2024</v>
      </c>
      <c r="B2790" s="21" t="s">
        <v>21</v>
      </c>
      <c r="C2790" s="21" t="s">
        <v>1145</v>
      </c>
      <c r="D2790" s="21" t="s">
        <v>35</v>
      </c>
      <c r="E2790" s="18" t="s">
        <v>138</v>
      </c>
      <c r="F2790" s="18" t="s">
        <v>105</v>
      </c>
      <c r="G2790" s="18" t="s">
        <v>48</v>
      </c>
      <c r="H2790" s="24">
        <v>85150</v>
      </c>
      <c r="I2790" s="24">
        <f>T_reg.root.SK[[#This Row],[Volume, kg]]/1000</f>
        <v>85.15</v>
      </c>
      <c r="J2790" s="25">
        <v>0.22</v>
      </c>
      <c r="K2790" s="25">
        <f t="shared" si="43"/>
        <v>18733</v>
      </c>
      <c r="L2790" s="25">
        <v>3.11</v>
      </c>
      <c r="M2790" s="24">
        <v>265077</v>
      </c>
      <c r="N2790" s="25">
        <f>IFERROR(T_reg.root.SK[[#This Row],[Price]]/T_reg.root.SK[[#This Row],[Starch content]],"")</f>
        <v>14.136363636363635</v>
      </c>
    </row>
    <row r="2791" spans="1:14">
      <c r="A2791" s="21">
        <v>2024</v>
      </c>
      <c r="B2791" s="21" t="s">
        <v>21</v>
      </c>
      <c r="C2791" s="21" t="s">
        <v>1145</v>
      </c>
      <c r="D2791" s="21" t="s">
        <v>35</v>
      </c>
      <c r="E2791" s="18" t="s">
        <v>718</v>
      </c>
      <c r="F2791" s="18" t="s">
        <v>105</v>
      </c>
      <c r="G2791" s="18" t="s">
        <v>48</v>
      </c>
      <c r="H2791" s="24">
        <v>47780</v>
      </c>
      <c r="I2791" s="24">
        <f>T_reg.root.SK[[#This Row],[Volume, kg]]/1000</f>
        <v>47.78</v>
      </c>
      <c r="J2791" s="25">
        <v>0.1925</v>
      </c>
      <c r="K2791" s="25">
        <f t="shared" si="43"/>
        <v>9197.65</v>
      </c>
      <c r="L2791" s="25">
        <v>2.91</v>
      </c>
      <c r="M2791" s="24">
        <v>139269</v>
      </c>
      <c r="N2791" s="25">
        <f>IFERROR(T_reg.root.SK[[#This Row],[Price]]/T_reg.root.SK[[#This Row],[Starch content]],"")</f>
        <v>15.116883116883118</v>
      </c>
    </row>
    <row r="2792" spans="1:14">
      <c r="A2792" s="21">
        <v>2024</v>
      </c>
      <c r="B2792" s="21" t="s">
        <v>21</v>
      </c>
      <c r="C2792" s="21" t="s">
        <v>1145</v>
      </c>
      <c r="D2792" s="21" t="s">
        <v>35</v>
      </c>
      <c r="E2792" s="18" t="s">
        <v>304</v>
      </c>
      <c r="F2792" s="18" t="s">
        <v>105</v>
      </c>
      <c r="G2792" s="18" t="s">
        <v>48</v>
      </c>
      <c r="H2792" s="24">
        <v>142040</v>
      </c>
      <c r="I2792" s="24">
        <f>T_reg.root.SK[[#This Row],[Volume, kg]]/1000</f>
        <v>142.04</v>
      </c>
      <c r="J2792" s="25">
        <v>0.2208</v>
      </c>
      <c r="K2792" s="25">
        <f t="shared" si="43"/>
        <v>31362.432000000001</v>
      </c>
      <c r="L2792" s="25">
        <v>3.08</v>
      </c>
      <c r="M2792" s="24">
        <v>437592.5</v>
      </c>
      <c r="N2792" s="25">
        <f>IFERROR(T_reg.root.SK[[#This Row],[Price]]/T_reg.root.SK[[#This Row],[Starch content]],"")</f>
        <v>13.949275362318842</v>
      </c>
    </row>
    <row r="2793" spans="1:14">
      <c r="A2793" s="21">
        <v>2024</v>
      </c>
      <c r="B2793" s="21" t="s">
        <v>21</v>
      </c>
      <c r="C2793" s="21" t="s">
        <v>1145</v>
      </c>
      <c r="D2793" s="21" t="s">
        <v>35</v>
      </c>
      <c r="E2793" s="18" t="s">
        <v>359</v>
      </c>
      <c r="F2793" s="18" t="s">
        <v>105</v>
      </c>
      <c r="G2793" s="18" t="s">
        <v>48</v>
      </c>
      <c r="H2793" s="24">
        <v>6560</v>
      </c>
      <c r="I2793" s="24">
        <f>T_reg.root.SK[[#This Row],[Volume, kg]]/1000</f>
        <v>6.56</v>
      </c>
      <c r="J2793" s="25">
        <v>0.193</v>
      </c>
      <c r="K2793" s="25">
        <f t="shared" si="43"/>
        <v>1266.08</v>
      </c>
      <c r="L2793" s="25">
        <v>2.9</v>
      </c>
      <c r="M2793" s="24">
        <v>19024</v>
      </c>
      <c r="N2793" s="25">
        <f>IFERROR(T_reg.root.SK[[#This Row],[Price]]/T_reg.root.SK[[#This Row],[Starch content]],"")</f>
        <v>15.025906735751294</v>
      </c>
    </row>
    <row r="2794" spans="1:14">
      <c r="A2794" s="21">
        <v>2024</v>
      </c>
      <c r="B2794" s="21" t="s">
        <v>21</v>
      </c>
      <c r="C2794" s="21" t="s">
        <v>1145</v>
      </c>
      <c r="D2794" s="21" t="s">
        <v>35</v>
      </c>
      <c r="E2794" s="18" t="s">
        <v>719</v>
      </c>
      <c r="F2794" s="18" t="s">
        <v>105</v>
      </c>
      <c r="G2794" s="18" t="s">
        <v>48</v>
      </c>
      <c r="H2794" s="24">
        <v>13730</v>
      </c>
      <c r="I2794" s="24">
        <f>T_reg.root.SK[[#This Row],[Volume, kg]]/1000</f>
        <v>13.73</v>
      </c>
      <c r="J2794" s="25">
        <v>0.252</v>
      </c>
      <c r="K2794" s="25">
        <f t="shared" si="43"/>
        <v>3459.96</v>
      </c>
      <c r="L2794" s="25">
        <v>3.35</v>
      </c>
      <c r="M2794" s="24">
        <v>45995.5</v>
      </c>
      <c r="N2794" s="25">
        <f>IFERROR(T_reg.root.SK[[#This Row],[Price]]/T_reg.root.SK[[#This Row],[Starch content]],"")</f>
        <v>13.293650793650794</v>
      </c>
    </row>
    <row r="2795" spans="1:14">
      <c r="A2795" s="21">
        <v>2024</v>
      </c>
      <c r="B2795" s="21" t="s">
        <v>21</v>
      </c>
      <c r="C2795" s="21" t="s">
        <v>1145</v>
      </c>
      <c r="D2795" s="21" t="s">
        <v>35</v>
      </c>
      <c r="E2795" s="18" t="s">
        <v>306</v>
      </c>
      <c r="F2795" s="18" t="s">
        <v>105</v>
      </c>
      <c r="G2795" s="18" t="s">
        <v>48</v>
      </c>
      <c r="H2795" s="24">
        <v>63420</v>
      </c>
      <c r="I2795" s="24">
        <f>T_reg.root.SK[[#This Row],[Volume, kg]]/1000</f>
        <v>63.42</v>
      </c>
      <c r="J2795" s="25">
        <v>0.19010000000000002</v>
      </c>
      <c r="K2795" s="25">
        <f t="shared" si="43"/>
        <v>12056.142000000002</v>
      </c>
      <c r="L2795" s="25">
        <v>3.04</v>
      </c>
      <c r="M2795" s="24">
        <v>192640</v>
      </c>
      <c r="N2795" s="25">
        <f>IFERROR(T_reg.root.SK[[#This Row],[Price]]/T_reg.root.SK[[#This Row],[Starch content]],"")</f>
        <v>15.99158337716991</v>
      </c>
    </row>
    <row r="2796" spans="1:14">
      <c r="A2796" s="21">
        <v>2024</v>
      </c>
      <c r="B2796" s="21" t="s">
        <v>21</v>
      </c>
      <c r="C2796" s="21" t="s">
        <v>1145</v>
      </c>
      <c r="D2796" s="21" t="s">
        <v>35</v>
      </c>
      <c r="E2796" s="18" t="s">
        <v>309</v>
      </c>
      <c r="F2796" s="18" t="s">
        <v>105</v>
      </c>
      <c r="G2796" s="18" t="s">
        <v>48</v>
      </c>
      <c r="H2796" s="24">
        <v>47020</v>
      </c>
      <c r="I2796" s="24">
        <f>T_reg.root.SK[[#This Row],[Volume, kg]]/1000</f>
        <v>47.02</v>
      </c>
      <c r="J2796" s="25">
        <v>0.2354</v>
      </c>
      <c r="K2796" s="25">
        <f t="shared" si="43"/>
        <v>11068.508</v>
      </c>
      <c r="L2796" s="25">
        <v>3.26</v>
      </c>
      <c r="M2796" s="24">
        <v>153098</v>
      </c>
      <c r="N2796" s="25">
        <f>IFERROR(T_reg.root.SK[[#This Row],[Price]]/T_reg.root.SK[[#This Row],[Starch content]],"")</f>
        <v>13.84876805437553</v>
      </c>
    </row>
    <row r="2797" spans="1:14">
      <c r="A2797" s="21">
        <v>2024</v>
      </c>
      <c r="B2797" s="21" t="s">
        <v>21</v>
      </c>
      <c r="C2797" s="21" t="s">
        <v>1145</v>
      </c>
      <c r="D2797" s="21" t="s">
        <v>35</v>
      </c>
      <c r="E2797" s="18" t="s">
        <v>246</v>
      </c>
      <c r="F2797" s="18" t="s">
        <v>105</v>
      </c>
      <c r="G2797" s="18" t="s">
        <v>48</v>
      </c>
      <c r="H2797" s="24">
        <v>8580</v>
      </c>
      <c r="I2797" s="24">
        <f>T_reg.root.SK[[#This Row],[Volume, kg]]/1000</f>
        <v>8.58</v>
      </c>
      <c r="J2797" s="25">
        <v>0.20670000000000002</v>
      </c>
      <c r="K2797" s="25">
        <f t="shared" si="43"/>
        <v>1773.4860000000001</v>
      </c>
      <c r="L2797" s="25">
        <v>2.9</v>
      </c>
      <c r="M2797" s="24">
        <v>24882</v>
      </c>
      <c r="N2797" s="25">
        <f>IFERROR(T_reg.root.SK[[#This Row],[Price]]/T_reg.root.SK[[#This Row],[Starch content]],"")</f>
        <v>14.029995162070632</v>
      </c>
    </row>
    <row r="2798" spans="1:14">
      <c r="A2798" s="21">
        <v>2024</v>
      </c>
      <c r="B2798" s="21" t="s">
        <v>21</v>
      </c>
      <c r="C2798" s="21" t="s">
        <v>1145</v>
      </c>
      <c r="D2798" s="21" t="s">
        <v>35</v>
      </c>
      <c r="E2798" s="18" t="s">
        <v>738</v>
      </c>
      <c r="F2798" s="18" t="s">
        <v>105</v>
      </c>
      <c r="G2798" s="18" t="s">
        <v>48</v>
      </c>
      <c r="H2798" s="24">
        <v>10270</v>
      </c>
      <c r="I2798" s="24">
        <f>T_reg.root.SK[[#This Row],[Volume, kg]]/1000</f>
        <v>10.27</v>
      </c>
      <c r="J2798" s="25">
        <v>0.19350000000000001</v>
      </c>
      <c r="K2798" s="25">
        <f t="shared" si="43"/>
        <v>1987.2450000000001</v>
      </c>
      <c r="L2798" s="25">
        <v>2.9</v>
      </c>
      <c r="M2798" s="24">
        <v>29783</v>
      </c>
      <c r="N2798" s="25">
        <f>IFERROR(T_reg.root.SK[[#This Row],[Price]]/T_reg.root.SK[[#This Row],[Starch content]],"")</f>
        <v>14.987080103359173</v>
      </c>
    </row>
    <row r="2799" spans="1:14">
      <c r="A2799" s="21">
        <v>2024</v>
      </c>
      <c r="B2799" s="21" t="s">
        <v>21</v>
      </c>
      <c r="C2799" s="21" t="s">
        <v>1145</v>
      </c>
      <c r="D2799" s="21" t="s">
        <v>35</v>
      </c>
      <c r="E2799" s="18" t="s">
        <v>497</v>
      </c>
      <c r="F2799" s="18" t="s">
        <v>105</v>
      </c>
      <c r="G2799" s="18" t="s">
        <v>48</v>
      </c>
      <c r="H2799" s="24">
        <v>10200</v>
      </c>
      <c r="I2799" s="24">
        <f>T_reg.root.SK[[#This Row],[Volume, kg]]/1000</f>
        <v>10.199999999999999</v>
      </c>
      <c r="J2799" s="25">
        <v>0.2515</v>
      </c>
      <c r="K2799" s="25">
        <f t="shared" si="43"/>
        <v>2565.3000000000002</v>
      </c>
      <c r="L2799" s="25">
        <v>3.4</v>
      </c>
      <c r="M2799" s="24">
        <v>34680</v>
      </c>
      <c r="N2799" s="25">
        <f>IFERROR(T_reg.root.SK[[#This Row],[Price]]/T_reg.root.SK[[#This Row],[Starch content]],"")</f>
        <v>13.518886679920477</v>
      </c>
    </row>
    <row r="2800" spans="1:14">
      <c r="A2800" s="21">
        <v>2024</v>
      </c>
      <c r="B2800" s="21" t="s">
        <v>21</v>
      </c>
      <c r="C2800" s="21" t="s">
        <v>1145</v>
      </c>
      <c r="D2800" s="21" t="s">
        <v>35</v>
      </c>
      <c r="E2800" s="18" t="s">
        <v>568</v>
      </c>
      <c r="F2800" s="18" t="s">
        <v>105</v>
      </c>
      <c r="G2800" s="18" t="s">
        <v>48</v>
      </c>
      <c r="H2800" s="24">
        <v>8330</v>
      </c>
      <c r="I2800" s="24">
        <f>T_reg.root.SK[[#This Row],[Volume, kg]]/1000</f>
        <v>8.33</v>
      </c>
      <c r="J2800" s="25">
        <v>0.16149999999999998</v>
      </c>
      <c r="K2800" s="25">
        <f t="shared" si="43"/>
        <v>1345.2949999999998</v>
      </c>
      <c r="L2800" s="25">
        <v>2.7</v>
      </c>
      <c r="M2800" s="24">
        <v>22491</v>
      </c>
      <c r="N2800" s="25">
        <f>IFERROR(T_reg.root.SK[[#This Row],[Price]]/T_reg.root.SK[[#This Row],[Starch content]],"")</f>
        <v>16.718266253869974</v>
      </c>
    </row>
    <row r="2801" spans="1:14">
      <c r="A2801" s="21">
        <v>2024</v>
      </c>
      <c r="B2801" s="21" t="s">
        <v>21</v>
      </c>
      <c r="C2801" s="21" t="s">
        <v>1145</v>
      </c>
      <c r="D2801" s="21" t="s">
        <v>35</v>
      </c>
      <c r="E2801" s="18" t="s">
        <v>310</v>
      </c>
      <c r="F2801" s="18" t="s">
        <v>105</v>
      </c>
      <c r="G2801" s="18" t="s">
        <v>48</v>
      </c>
      <c r="H2801" s="24">
        <v>58240</v>
      </c>
      <c r="I2801" s="24">
        <f>T_reg.root.SK[[#This Row],[Volume, kg]]/1000</f>
        <v>58.24</v>
      </c>
      <c r="J2801" s="25">
        <v>0.25090000000000001</v>
      </c>
      <c r="K2801" s="25">
        <f t="shared" si="43"/>
        <v>14612.416000000001</v>
      </c>
      <c r="L2801" s="25">
        <v>3.13</v>
      </c>
      <c r="M2801" s="24">
        <v>182545</v>
      </c>
      <c r="N2801" s="25">
        <f>IFERROR(T_reg.root.SK[[#This Row],[Price]]/T_reg.root.SK[[#This Row],[Starch content]],"")</f>
        <v>12.475089677162215</v>
      </c>
    </row>
    <row r="2802" spans="1:14">
      <c r="A2802" s="21">
        <v>2024</v>
      </c>
      <c r="B2802" s="21" t="s">
        <v>21</v>
      </c>
      <c r="C2802" s="21" t="s">
        <v>1145</v>
      </c>
      <c r="D2802" s="21" t="s">
        <v>35</v>
      </c>
      <c r="E2802" s="18" t="s">
        <v>247</v>
      </c>
      <c r="F2802" s="18" t="s">
        <v>105</v>
      </c>
      <c r="G2802" s="18" t="s">
        <v>48</v>
      </c>
      <c r="H2802" s="24">
        <v>4860</v>
      </c>
      <c r="I2802" s="24">
        <f>T_reg.root.SK[[#This Row],[Volume, kg]]/1000</f>
        <v>4.8600000000000003</v>
      </c>
      <c r="J2802" s="25">
        <v>0.20350000000000001</v>
      </c>
      <c r="K2802" s="25">
        <f t="shared" si="43"/>
        <v>989.0100000000001</v>
      </c>
      <c r="L2802" s="25">
        <v>3.15</v>
      </c>
      <c r="M2802" s="24">
        <v>15309</v>
      </c>
      <c r="N2802" s="25">
        <f>IFERROR(T_reg.root.SK[[#This Row],[Price]]/T_reg.root.SK[[#This Row],[Starch content]],"")</f>
        <v>15.479115479115478</v>
      </c>
    </row>
    <row r="2803" spans="1:14">
      <c r="A2803" s="21">
        <v>2024</v>
      </c>
      <c r="B2803" s="21" t="s">
        <v>21</v>
      </c>
      <c r="C2803" s="21" t="s">
        <v>1145</v>
      </c>
      <c r="D2803" s="21" t="s">
        <v>35</v>
      </c>
      <c r="E2803" s="18" t="s">
        <v>143</v>
      </c>
      <c r="F2803" s="18" t="s">
        <v>105</v>
      </c>
      <c r="G2803" s="18" t="s">
        <v>48</v>
      </c>
      <c r="H2803" s="24">
        <v>50600</v>
      </c>
      <c r="I2803" s="24">
        <f>T_reg.root.SK[[#This Row],[Volume, kg]]/1000</f>
        <v>50.6</v>
      </c>
      <c r="J2803" s="25">
        <v>0.1961</v>
      </c>
      <c r="K2803" s="25">
        <f t="shared" si="43"/>
        <v>9922.66</v>
      </c>
      <c r="L2803" s="25">
        <v>2.93</v>
      </c>
      <c r="M2803" s="24">
        <v>148213.5</v>
      </c>
      <c r="N2803" s="25">
        <f>IFERROR(T_reg.root.SK[[#This Row],[Price]]/T_reg.root.SK[[#This Row],[Starch content]],"")</f>
        <v>14.941356450790414</v>
      </c>
    </row>
    <row r="2804" spans="1:14">
      <c r="A2804" s="21">
        <v>2024</v>
      </c>
      <c r="B2804" s="21" t="s">
        <v>21</v>
      </c>
      <c r="C2804" s="21" t="s">
        <v>1145</v>
      </c>
      <c r="D2804" s="21" t="s">
        <v>35</v>
      </c>
      <c r="E2804" s="18" t="s">
        <v>144</v>
      </c>
      <c r="F2804" s="18" t="s">
        <v>105</v>
      </c>
      <c r="G2804" s="18" t="s">
        <v>48</v>
      </c>
      <c r="H2804" s="24">
        <v>26230</v>
      </c>
      <c r="I2804" s="24">
        <f>T_reg.root.SK[[#This Row],[Volume, kg]]/1000</f>
        <v>26.23</v>
      </c>
      <c r="J2804" s="25">
        <v>0.23480000000000001</v>
      </c>
      <c r="K2804" s="25">
        <f t="shared" si="43"/>
        <v>6158.8040000000001</v>
      </c>
      <c r="L2804" s="25">
        <v>3.33</v>
      </c>
      <c r="M2804" s="24">
        <v>87403</v>
      </c>
      <c r="N2804" s="25">
        <f>IFERROR(T_reg.root.SK[[#This Row],[Price]]/T_reg.root.SK[[#This Row],[Starch content]],"")</f>
        <v>14.18228279386712</v>
      </c>
    </row>
    <row r="2805" spans="1:14">
      <c r="A2805" s="21">
        <v>2024</v>
      </c>
      <c r="B2805" s="21" t="s">
        <v>21</v>
      </c>
      <c r="C2805" s="21" t="s">
        <v>1145</v>
      </c>
      <c r="D2805" s="21" t="s">
        <v>35</v>
      </c>
      <c r="E2805" s="18" t="s">
        <v>146</v>
      </c>
      <c r="F2805" s="18" t="s">
        <v>105</v>
      </c>
      <c r="G2805" s="18" t="s">
        <v>48</v>
      </c>
      <c r="H2805" s="24">
        <v>762080</v>
      </c>
      <c r="I2805" s="24">
        <f>T_reg.root.SK[[#This Row],[Volume, kg]]/1000</f>
        <v>762.08</v>
      </c>
      <c r="J2805" s="25">
        <v>0.21530000000000002</v>
      </c>
      <c r="K2805" s="25">
        <f t="shared" si="43"/>
        <v>164075.82400000002</v>
      </c>
      <c r="L2805" s="25">
        <v>3.03</v>
      </c>
      <c r="M2805" s="24">
        <v>2308012</v>
      </c>
      <c r="N2805" s="25">
        <f>IFERROR(T_reg.root.SK[[#This Row],[Price]]/T_reg.root.SK[[#This Row],[Starch content]],"")</f>
        <v>14.073385973060843</v>
      </c>
    </row>
    <row r="2806" spans="1:14">
      <c r="A2806" s="21">
        <v>2024</v>
      </c>
      <c r="B2806" s="21" t="s">
        <v>21</v>
      </c>
      <c r="C2806" s="21" t="s">
        <v>1145</v>
      </c>
      <c r="D2806" s="21" t="s">
        <v>35</v>
      </c>
      <c r="E2806" s="18" t="s">
        <v>249</v>
      </c>
      <c r="F2806" s="18" t="s">
        <v>105</v>
      </c>
      <c r="G2806" s="18" t="s">
        <v>48</v>
      </c>
      <c r="H2806" s="24">
        <v>45330</v>
      </c>
      <c r="I2806" s="24">
        <f>T_reg.root.SK[[#This Row],[Volume, kg]]/1000</f>
        <v>45.33</v>
      </c>
      <c r="J2806" s="25">
        <v>0.21590000000000001</v>
      </c>
      <c r="K2806" s="25">
        <f t="shared" si="43"/>
        <v>9786.7470000000012</v>
      </c>
      <c r="L2806" s="25">
        <v>3.16</v>
      </c>
      <c r="M2806" s="24">
        <v>143119.5</v>
      </c>
      <c r="N2806" s="25">
        <f>IFERROR(T_reg.root.SK[[#This Row],[Price]]/T_reg.root.SK[[#This Row],[Starch content]],"")</f>
        <v>14.636405743399722</v>
      </c>
    </row>
    <row r="2807" spans="1:14">
      <c r="A2807" s="21">
        <v>2024</v>
      </c>
      <c r="B2807" s="21" t="s">
        <v>21</v>
      </c>
      <c r="C2807" s="21" t="s">
        <v>1145</v>
      </c>
      <c r="D2807" s="21" t="s">
        <v>35</v>
      </c>
      <c r="E2807" s="18" t="s">
        <v>569</v>
      </c>
      <c r="F2807" s="18" t="s">
        <v>105</v>
      </c>
      <c r="G2807" s="18" t="s">
        <v>48</v>
      </c>
      <c r="H2807" s="24">
        <v>16440</v>
      </c>
      <c r="I2807" s="24">
        <f>T_reg.root.SK[[#This Row],[Volume, kg]]/1000</f>
        <v>16.440000000000001</v>
      </c>
      <c r="J2807" s="25">
        <v>0.22270000000000001</v>
      </c>
      <c r="K2807" s="25">
        <f t="shared" si="43"/>
        <v>3661.1880000000001</v>
      </c>
      <c r="L2807" s="25">
        <v>3.23</v>
      </c>
      <c r="M2807" s="24">
        <v>53072</v>
      </c>
      <c r="N2807" s="25">
        <f>IFERROR(T_reg.root.SK[[#This Row],[Price]]/T_reg.root.SK[[#This Row],[Starch content]],"")</f>
        <v>14.503816793893129</v>
      </c>
    </row>
    <row r="2808" spans="1:14">
      <c r="A2808" s="21">
        <v>2024</v>
      </c>
      <c r="B2808" s="21" t="s">
        <v>21</v>
      </c>
      <c r="C2808" s="21" t="s">
        <v>1145</v>
      </c>
      <c r="D2808" s="21" t="s">
        <v>35</v>
      </c>
      <c r="E2808" s="18" t="s">
        <v>250</v>
      </c>
      <c r="F2808" s="18" t="s">
        <v>105</v>
      </c>
      <c r="G2808" s="18" t="s">
        <v>48</v>
      </c>
      <c r="H2808" s="24">
        <v>3110</v>
      </c>
      <c r="I2808" s="24">
        <f>T_reg.root.SK[[#This Row],[Volume, kg]]/1000</f>
        <v>3.11</v>
      </c>
      <c r="J2808" s="25">
        <v>0.21829999999999999</v>
      </c>
      <c r="K2808" s="25">
        <f t="shared" si="43"/>
        <v>678.91300000000001</v>
      </c>
      <c r="L2808" s="25">
        <v>3.05</v>
      </c>
      <c r="M2808" s="24">
        <v>9485.5</v>
      </c>
      <c r="N2808" s="25">
        <f>IFERROR(T_reg.root.SK[[#This Row],[Price]]/T_reg.root.SK[[#This Row],[Starch content]],"")</f>
        <v>13.971598717361429</v>
      </c>
    </row>
    <row r="2809" spans="1:14">
      <c r="A2809" s="21">
        <v>2024</v>
      </c>
      <c r="B2809" s="21" t="s">
        <v>21</v>
      </c>
      <c r="C2809" s="21" t="s">
        <v>1145</v>
      </c>
      <c r="D2809" s="21" t="s">
        <v>35</v>
      </c>
      <c r="E2809" s="18" t="s">
        <v>148</v>
      </c>
      <c r="F2809" s="18" t="s">
        <v>105</v>
      </c>
      <c r="G2809" s="18" t="s">
        <v>48</v>
      </c>
      <c r="H2809" s="24">
        <v>191010</v>
      </c>
      <c r="I2809" s="24">
        <f>T_reg.root.SK[[#This Row],[Volume, kg]]/1000</f>
        <v>191.01</v>
      </c>
      <c r="J2809" s="25">
        <v>0.215</v>
      </c>
      <c r="K2809" s="25">
        <f t="shared" si="43"/>
        <v>41067.15</v>
      </c>
      <c r="L2809" s="25">
        <v>3.05</v>
      </c>
      <c r="M2809" s="24">
        <v>583092</v>
      </c>
      <c r="N2809" s="25">
        <f>IFERROR(T_reg.root.SK[[#This Row],[Price]]/T_reg.root.SK[[#This Row],[Starch content]],"")</f>
        <v>14.186046511627906</v>
      </c>
    </row>
    <row r="2810" spans="1:14">
      <c r="A2810" s="21">
        <v>2024</v>
      </c>
      <c r="B2810" s="21" t="s">
        <v>21</v>
      </c>
      <c r="C2810" s="21" t="s">
        <v>1145</v>
      </c>
      <c r="D2810" s="21" t="s">
        <v>35</v>
      </c>
      <c r="E2810" s="18" t="s">
        <v>364</v>
      </c>
      <c r="F2810" s="18" t="s">
        <v>105</v>
      </c>
      <c r="G2810" s="18" t="s">
        <v>48</v>
      </c>
      <c r="H2810" s="24">
        <v>42580</v>
      </c>
      <c r="I2810" s="24">
        <f>T_reg.root.SK[[#This Row],[Volume, kg]]/1000</f>
        <v>42.58</v>
      </c>
      <c r="J2810" s="25">
        <v>0.1807</v>
      </c>
      <c r="K2810" s="25">
        <f t="shared" si="43"/>
        <v>7694.2060000000001</v>
      </c>
      <c r="L2810" s="25">
        <v>2.85</v>
      </c>
      <c r="M2810" s="24">
        <v>121539</v>
      </c>
      <c r="N2810" s="25">
        <f>IFERROR(T_reg.root.SK[[#This Row],[Price]]/T_reg.root.SK[[#This Row],[Starch content]],"")</f>
        <v>15.771997786386276</v>
      </c>
    </row>
    <row r="2811" spans="1:14">
      <c r="A2811" s="21">
        <v>2024</v>
      </c>
      <c r="B2811" s="21" t="s">
        <v>21</v>
      </c>
      <c r="C2811" s="21" t="s">
        <v>1145</v>
      </c>
      <c r="D2811" s="21" t="s">
        <v>35</v>
      </c>
      <c r="E2811" s="18" t="s">
        <v>720</v>
      </c>
      <c r="F2811" s="18" t="s">
        <v>105</v>
      </c>
      <c r="G2811" s="18" t="s">
        <v>48</v>
      </c>
      <c r="H2811" s="24">
        <v>14090</v>
      </c>
      <c r="I2811" s="24">
        <f>T_reg.root.SK[[#This Row],[Volume, kg]]/1000</f>
        <v>14.09</v>
      </c>
      <c r="J2811" s="25">
        <v>0.23949999999999999</v>
      </c>
      <c r="K2811" s="25">
        <f t="shared" si="43"/>
        <v>3374.5549999999998</v>
      </c>
      <c r="L2811" s="25">
        <v>3.35</v>
      </c>
      <c r="M2811" s="24">
        <v>47201.5</v>
      </c>
      <c r="N2811" s="25">
        <f>IFERROR(T_reg.root.SK[[#This Row],[Price]]/T_reg.root.SK[[#This Row],[Starch content]],"")</f>
        <v>13.987473903966597</v>
      </c>
    </row>
    <row r="2812" spans="1:14">
      <c r="A2812" s="21">
        <v>2024</v>
      </c>
      <c r="B2812" s="21" t="s">
        <v>21</v>
      </c>
      <c r="C2812" s="21" t="s">
        <v>1145</v>
      </c>
      <c r="D2812" s="21" t="s">
        <v>35</v>
      </c>
      <c r="E2812" s="18" t="s">
        <v>315</v>
      </c>
      <c r="F2812" s="18" t="s">
        <v>105</v>
      </c>
      <c r="G2812" s="18" t="s">
        <v>48</v>
      </c>
      <c r="H2812" s="24">
        <v>86620</v>
      </c>
      <c r="I2812" s="24">
        <f>T_reg.root.SK[[#This Row],[Volume, kg]]/1000</f>
        <v>86.62</v>
      </c>
      <c r="J2812" s="25">
        <v>0.19570000000000001</v>
      </c>
      <c r="K2812" s="25">
        <f t="shared" si="43"/>
        <v>16951.534</v>
      </c>
      <c r="L2812" s="25">
        <v>2.92</v>
      </c>
      <c r="M2812" s="24">
        <v>252566.5</v>
      </c>
      <c r="N2812" s="25">
        <f>IFERROR(T_reg.root.SK[[#This Row],[Price]]/T_reg.root.SK[[#This Row],[Starch content]],"")</f>
        <v>14.92079713847726</v>
      </c>
    </row>
    <row r="2813" spans="1:14">
      <c r="A2813" s="21">
        <v>2024</v>
      </c>
      <c r="B2813" s="21" t="s">
        <v>21</v>
      </c>
      <c r="C2813" s="21" t="s">
        <v>1145</v>
      </c>
      <c r="D2813" s="21" t="s">
        <v>35</v>
      </c>
      <c r="E2813" s="18" t="s">
        <v>150</v>
      </c>
      <c r="F2813" s="18" t="s">
        <v>105</v>
      </c>
      <c r="G2813" s="18" t="s">
        <v>48</v>
      </c>
      <c r="H2813" s="24">
        <v>110420</v>
      </c>
      <c r="I2813" s="24">
        <f>T_reg.root.SK[[#This Row],[Volume, kg]]/1000</f>
        <v>110.42</v>
      </c>
      <c r="J2813" s="25">
        <v>0.2147</v>
      </c>
      <c r="K2813" s="25">
        <f t="shared" si="43"/>
        <v>23707.173999999999</v>
      </c>
      <c r="L2813" s="25">
        <v>3.14</v>
      </c>
      <c r="M2813" s="24">
        <v>346683</v>
      </c>
      <c r="N2813" s="25">
        <f>IFERROR(T_reg.root.SK[[#This Row],[Price]]/T_reg.root.SK[[#This Row],[Starch content]],"")</f>
        <v>14.625058220773173</v>
      </c>
    </row>
    <row r="2814" spans="1:14">
      <c r="A2814" s="21">
        <v>2024</v>
      </c>
      <c r="B2814" s="21" t="s">
        <v>21</v>
      </c>
      <c r="C2814" s="21" t="s">
        <v>1145</v>
      </c>
      <c r="D2814" s="21" t="s">
        <v>35</v>
      </c>
      <c r="E2814" s="18" t="s">
        <v>151</v>
      </c>
      <c r="F2814" s="18" t="s">
        <v>105</v>
      </c>
      <c r="G2814" s="18" t="s">
        <v>48</v>
      </c>
      <c r="H2814" s="24">
        <v>517350</v>
      </c>
      <c r="I2814" s="24">
        <f>T_reg.root.SK[[#This Row],[Volume, kg]]/1000</f>
        <v>517.35</v>
      </c>
      <c r="J2814" s="25">
        <v>0.22620000000000001</v>
      </c>
      <c r="K2814" s="25">
        <f t="shared" si="43"/>
        <v>117024.57</v>
      </c>
      <c r="L2814" s="25">
        <v>3.14</v>
      </c>
      <c r="M2814" s="24">
        <v>1622093.5</v>
      </c>
      <c r="N2814" s="25">
        <f>IFERROR(T_reg.root.SK[[#This Row],[Price]]/T_reg.root.SK[[#This Row],[Starch content]],"")</f>
        <v>13.881520778072503</v>
      </c>
    </row>
    <row r="2815" spans="1:14">
      <c r="A2815" s="21">
        <v>2024</v>
      </c>
      <c r="B2815" s="21" t="s">
        <v>21</v>
      </c>
      <c r="C2815" s="21" t="s">
        <v>1145</v>
      </c>
      <c r="D2815" s="21" t="s">
        <v>35</v>
      </c>
      <c r="E2815" s="18" t="s">
        <v>152</v>
      </c>
      <c r="F2815" s="18" t="s">
        <v>105</v>
      </c>
      <c r="G2815" s="18" t="s">
        <v>48</v>
      </c>
      <c r="H2815" s="24">
        <v>61510</v>
      </c>
      <c r="I2815" s="24">
        <f>T_reg.root.SK[[#This Row],[Volume, kg]]/1000</f>
        <v>61.51</v>
      </c>
      <c r="J2815" s="25">
        <v>0.21379999999999999</v>
      </c>
      <c r="K2815" s="25">
        <f t="shared" si="43"/>
        <v>13150.838</v>
      </c>
      <c r="L2815" s="25">
        <v>3.05</v>
      </c>
      <c r="M2815" s="24">
        <v>187520</v>
      </c>
      <c r="N2815" s="25">
        <f>IFERROR(T_reg.root.SK[[#This Row],[Price]]/T_reg.root.SK[[#This Row],[Starch content]],"")</f>
        <v>14.265668849391956</v>
      </c>
    </row>
    <row r="2816" spans="1:14">
      <c r="A2816" s="21">
        <v>2024</v>
      </c>
      <c r="B2816" s="21" t="s">
        <v>21</v>
      </c>
      <c r="C2816" s="21" t="s">
        <v>1145</v>
      </c>
      <c r="D2816" s="21" t="s">
        <v>35</v>
      </c>
      <c r="E2816" s="18" t="s">
        <v>317</v>
      </c>
      <c r="F2816" s="18" t="s">
        <v>105</v>
      </c>
      <c r="G2816" s="18" t="s">
        <v>48</v>
      </c>
      <c r="H2816" s="24">
        <v>15110</v>
      </c>
      <c r="I2816" s="24">
        <f>T_reg.root.SK[[#This Row],[Volume, kg]]/1000</f>
        <v>15.11</v>
      </c>
      <c r="J2816" s="25">
        <v>0.21590000000000001</v>
      </c>
      <c r="K2816" s="25">
        <f t="shared" si="43"/>
        <v>3262.2490000000003</v>
      </c>
      <c r="L2816" s="25">
        <v>3.03</v>
      </c>
      <c r="M2816" s="24">
        <v>45853.5</v>
      </c>
      <c r="N2816" s="25">
        <f>IFERROR(T_reg.root.SK[[#This Row],[Price]]/T_reg.root.SK[[#This Row],[Starch content]],"")</f>
        <v>14.034275127373784</v>
      </c>
    </row>
    <row r="2817" spans="1:14">
      <c r="A2817" s="21">
        <v>2024</v>
      </c>
      <c r="B2817" s="21" t="s">
        <v>21</v>
      </c>
      <c r="C2817" s="21" t="s">
        <v>1145</v>
      </c>
      <c r="D2817" s="21" t="s">
        <v>35</v>
      </c>
      <c r="E2817" s="18" t="s">
        <v>153</v>
      </c>
      <c r="F2817" s="18" t="s">
        <v>105</v>
      </c>
      <c r="G2817" s="18" t="s">
        <v>48</v>
      </c>
      <c r="H2817" s="24">
        <v>8040</v>
      </c>
      <c r="I2817" s="24">
        <f>T_reg.root.SK[[#This Row],[Volume, kg]]/1000</f>
        <v>8.0399999999999991</v>
      </c>
      <c r="J2817" s="25">
        <v>0.23960000000000001</v>
      </c>
      <c r="K2817" s="25">
        <f t="shared" si="43"/>
        <v>1926.384</v>
      </c>
      <c r="L2817" s="25">
        <v>3.23</v>
      </c>
      <c r="M2817" s="24">
        <v>25964</v>
      </c>
      <c r="N2817" s="25">
        <f>IFERROR(T_reg.root.SK[[#This Row],[Price]]/T_reg.root.SK[[#This Row],[Starch content]],"")</f>
        <v>13.480801335559265</v>
      </c>
    </row>
    <row r="2818" spans="1:14">
      <c r="A2818" s="21">
        <v>2024</v>
      </c>
      <c r="B2818" s="21" t="s">
        <v>21</v>
      </c>
      <c r="C2818" s="21" t="s">
        <v>1145</v>
      </c>
      <c r="D2818" s="21" t="s">
        <v>35</v>
      </c>
      <c r="E2818" s="18" t="s">
        <v>154</v>
      </c>
      <c r="F2818" s="18" t="s">
        <v>105</v>
      </c>
      <c r="G2818" s="18" t="s">
        <v>48</v>
      </c>
      <c r="H2818" s="24">
        <v>36960</v>
      </c>
      <c r="I2818" s="24">
        <f>T_reg.root.SK[[#This Row],[Volume, kg]]/1000</f>
        <v>36.96</v>
      </c>
      <c r="J2818" s="25">
        <v>0.20499999999999999</v>
      </c>
      <c r="K2818" s="25">
        <f t="shared" si="43"/>
        <v>7576.7999999999993</v>
      </c>
      <c r="L2818" s="25">
        <v>3.06</v>
      </c>
      <c r="M2818" s="24">
        <v>112960.5</v>
      </c>
      <c r="N2818" s="25">
        <f>IFERROR(T_reg.root.SK[[#This Row],[Price]]/T_reg.root.SK[[#This Row],[Starch content]],"")</f>
        <v>14.926829268292684</v>
      </c>
    </row>
    <row r="2819" spans="1:14">
      <c r="A2819" s="21">
        <v>2024</v>
      </c>
      <c r="B2819" s="21" t="s">
        <v>21</v>
      </c>
      <c r="C2819" s="21" t="s">
        <v>1145</v>
      </c>
      <c r="D2819" s="21" t="s">
        <v>35</v>
      </c>
      <c r="E2819" s="18" t="s">
        <v>155</v>
      </c>
      <c r="F2819" s="18" t="s">
        <v>105</v>
      </c>
      <c r="G2819" s="18" t="s">
        <v>48</v>
      </c>
      <c r="H2819" s="24">
        <v>23180</v>
      </c>
      <c r="I2819" s="24">
        <f>T_reg.root.SK[[#This Row],[Volume, kg]]/1000</f>
        <v>23.18</v>
      </c>
      <c r="J2819" s="25">
        <v>0.2419</v>
      </c>
      <c r="K2819" s="25">
        <f t="shared" ref="K2819:K2882" si="44">H2819*J2819</f>
        <v>5607.2420000000002</v>
      </c>
      <c r="L2819" s="25">
        <v>3.28</v>
      </c>
      <c r="M2819" s="24">
        <v>76119</v>
      </c>
      <c r="N2819" s="25">
        <f>IFERROR(T_reg.root.SK[[#This Row],[Price]]/T_reg.root.SK[[#This Row],[Starch content]],"")</f>
        <v>13.559322033898304</v>
      </c>
    </row>
    <row r="2820" spans="1:14">
      <c r="A2820" s="21">
        <v>2024</v>
      </c>
      <c r="B2820" s="21" t="s">
        <v>21</v>
      </c>
      <c r="C2820" s="21" t="s">
        <v>1145</v>
      </c>
      <c r="D2820" s="21" t="s">
        <v>35</v>
      </c>
      <c r="E2820" s="18" t="s">
        <v>158</v>
      </c>
      <c r="F2820" s="18" t="s">
        <v>105</v>
      </c>
      <c r="G2820" s="18" t="s">
        <v>48</v>
      </c>
      <c r="H2820" s="24">
        <v>15750</v>
      </c>
      <c r="I2820" s="24">
        <f>T_reg.root.SK[[#This Row],[Volume, kg]]/1000</f>
        <v>15.75</v>
      </c>
      <c r="J2820" s="25">
        <v>0.1797</v>
      </c>
      <c r="K2820" s="25">
        <f t="shared" si="44"/>
        <v>2830.2750000000001</v>
      </c>
      <c r="L2820" s="25">
        <v>2.77</v>
      </c>
      <c r="M2820" s="24">
        <v>43669.5</v>
      </c>
      <c r="N2820" s="25">
        <f>IFERROR(T_reg.root.SK[[#This Row],[Price]]/T_reg.root.SK[[#This Row],[Starch content]],"")</f>
        <v>15.414579855314413</v>
      </c>
    </row>
    <row r="2821" spans="1:14">
      <c r="A2821" s="21">
        <v>2024</v>
      </c>
      <c r="B2821" s="21" t="s">
        <v>21</v>
      </c>
      <c r="C2821" s="21" t="s">
        <v>1145</v>
      </c>
      <c r="D2821" s="21" t="s">
        <v>35</v>
      </c>
      <c r="E2821" s="18" t="s">
        <v>159</v>
      </c>
      <c r="F2821" s="18" t="s">
        <v>105</v>
      </c>
      <c r="G2821" s="18" t="s">
        <v>48</v>
      </c>
      <c r="H2821" s="24">
        <v>166970</v>
      </c>
      <c r="I2821" s="24">
        <f>T_reg.root.SK[[#This Row],[Volume, kg]]/1000</f>
        <v>166.97</v>
      </c>
      <c r="J2821" s="25">
        <v>0.21940000000000001</v>
      </c>
      <c r="K2821" s="25">
        <f t="shared" si="44"/>
        <v>36633.218000000001</v>
      </c>
      <c r="L2821" s="25">
        <v>3.14</v>
      </c>
      <c r="M2821" s="24">
        <v>524506.5</v>
      </c>
      <c r="N2821" s="25">
        <f>IFERROR(T_reg.root.SK[[#This Row],[Price]]/T_reg.root.SK[[#This Row],[Starch content]],"")</f>
        <v>14.311759343664539</v>
      </c>
    </row>
    <row r="2822" spans="1:14">
      <c r="A2822" s="21">
        <v>2024</v>
      </c>
      <c r="B2822" s="21" t="s">
        <v>21</v>
      </c>
      <c r="C2822" s="21" t="s">
        <v>1145</v>
      </c>
      <c r="D2822" s="21" t="s">
        <v>35</v>
      </c>
      <c r="E2822" s="18" t="s">
        <v>255</v>
      </c>
      <c r="F2822" s="18" t="s">
        <v>105</v>
      </c>
      <c r="G2822" s="18" t="s">
        <v>48</v>
      </c>
      <c r="H2822" s="24">
        <v>33830</v>
      </c>
      <c r="I2822" s="24">
        <f>T_reg.root.SK[[#This Row],[Volume, kg]]/1000</f>
        <v>33.83</v>
      </c>
      <c r="J2822" s="25">
        <v>0.23420000000000002</v>
      </c>
      <c r="K2822" s="25">
        <f t="shared" si="44"/>
        <v>7922.9860000000008</v>
      </c>
      <c r="L2822" s="25">
        <v>3.13</v>
      </c>
      <c r="M2822" s="24">
        <v>106054.5</v>
      </c>
      <c r="N2822" s="25">
        <f>IFERROR(T_reg.root.SK[[#This Row],[Price]]/T_reg.root.SK[[#This Row],[Starch content]],"")</f>
        <v>13.364645602049528</v>
      </c>
    </row>
    <row r="2823" spans="1:14">
      <c r="A2823" s="21">
        <v>2024</v>
      </c>
      <c r="B2823" s="21" t="s">
        <v>21</v>
      </c>
      <c r="C2823" s="21" t="s">
        <v>1145</v>
      </c>
      <c r="D2823" s="21" t="s">
        <v>35</v>
      </c>
      <c r="E2823" s="18" t="s">
        <v>721</v>
      </c>
      <c r="F2823" s="18" t="s">
        <v>105</v>
      </c>
      <c r="G2823" s="18" t="s">
        <v>48</v>
      </c>
      <c r="H2823" s="24">
        <v>63950</v>
      </c>
      <c r="I2823" s="24">
        <f>T_reg.root.SK[[#This Row],[Volume, kg]]/1000</f>
        <v>63.95</v>
      </c>
      <c r="J2823" s="25">
        <v>0.183</v>
      </c>
      <c r="K2823" s="25">
        <f t="shared" si="44"/>
        <v>11702.85</v>
      </c>
      <c r="L2823" s="25">
        <v>2.87</v>
      </c>
      <c r="M2823" s="24">
        <v>183419</v>
      </c>
      <c r="N2823" s="25">
        <f>IFERROR(T_reg.root.SK[[#This Row],[Price]]/T_reg.root.SK[[#This Row],[Starch content]],"")</f>
        <v>15.683060109289618</v>
      </c>
    </row>
    <row r="2824" spans="1:14">
      <c r="A2824" s="21">
        <v>2024</v>
      </c>
      <c r="B2824" s="21" t="s">
        <v>21</v>
      </c>
      <c r="C2824" s="21" t="s">
        <v>1145</v>
      </c>
      <c r="D2824" s="21" t="s">
        <v>35</v>
      </c>
      <c r="E2824" s="18" t="s">
        <v>161</v>
      </c>
      <c r="F2824" s="18" t="s">
        <v>105</v>
      </c>
      <c r="G2824" s="18" t="s">
        <v>48</v>
      </c>
      <c r="H2824" s="24">
        <v>95290</v>
      </c>
      <c r="I2824" s="24">
        <f>T_reg.root.SK[[#This Row],[Volume, kg]]/1000</f>
        <v>95.29</v>
      </c>
      <c r="J2824" s="25">
        <v>0.23300000000000001</v>
      </c>
      <c r="K2824" s="25">
        <f t="shared" si="44"/>
        <v>22202.57</v>
      </c>
      <c r="L2824" s="25">
        <v>3.23</v>
      </c>
      <c r="M2824" s="24">
        <v>307412</v>
      </c>
      <c r="N2824" s="25">
        <f>IFERROR(T_reg.root.SK[[#This Row],[Price]]/T_reg.root.SK[[#This Row],[Starch content]],"")</f>
        <v>13.862660944206008</v>
      </c>
    </row>
    <row r="2825" spans="1:14">
      <c r="A2825" s="21">
        <v>2024</v>
      </c>
      <c r="B2825" s="21" t="s">
        <v>21</v>
      </c>
      <c r="C2825" s="21" t="s">
        <v>1145</v>
      </c>
      <c r="D2825" s="21" t="s">
        <v>35</v>
      </c>
      <c r="E2825" s="18" t="s">
        <v>162</v>
      </c>
      <c r="F2825" s="18" t="s">
        <v>105</v>
      </c>
      <c r="G2825" s="18" t="s">
        <v>48</v>
      </c>
      <c r="H2825" s="24">
        <v>99230</v>
      </c>
      <c r="I2825" s="24">
        <f>T_reg.root.SK[[#This Row],[Volume, kg]]/1000</f>
        <v>99.23</v>
      </c>
      <c r="J2825" s="25">
        <v>0.2278</v>
      </c>
      <c r="K2825" s="25">
        <f t="shared" si="44"/>
        <v>22604.594000000001</v>
      </c>
      <c r="L2825" s="25">
        <v>3.23</v>
      </c>
      <c r="M2825" s="24">
        <v>320185.5</v>
      </c>
      <c r="N2825" s="25">
        <f>IFERROR(T_reg.root.SK[[#This Row],[Price]]/T_reg.root.SK[[#This Row],[Starch content]],"")</f>
        <v>14.17910447761194</v>
      </c>
    </row>
    <row r="2826" spans="1:14">
      <c r="A2826" s="21">
        <v>2024</v>
      </c>
      <c r="B2826" s="21" t="s">
        <v>21</v>
      </c>
      <c r="C2826" s="21" t="s">
        <v>1145</v>
      </c>
      <c r="D2826" s="21" t="s">
        <v>35</v>
      </c>
      <c r="E2826" s="18" t="s">
        <v>163</v>
      </c>
      <c r="F2826" s="18" t="s">
        <v>105</v>
      </c>
      <c r="G2826" s="18" t="s">
        <v>48</v>
      </c>
      <c r="H2826" s="24">
        <v>151980</v>
      </c>
      <c r="I2826" s="24">
        <f>T_reg.root.SK[[#This Row],[Volume, kg]]/1000</f>
        <v>151.97999999999999</v>
      </c>
      <c r="J2826" s="25">
        <v>0.1938</v>
      </c>
      <c r="K2826" s="25">
        <f t="shared" si="44"/>
        <v>29453.723999999998</v>
      </c>
      <c r="L2826" s="25">
        <v>2.88</v>
      </c>
      <c r="M2826" s="24">
        <v>437002</v>
      </c>
      <c r="N2826" s="25">
        <f>IFERROR(T_reg.root.SK[[#This Row],[Price]]/T_reg.root.SK[[#This Row],[Starch content]],"")</f>
        <v>14.860681114551083</v>
      </c>
    </row>
    <row r="2827" spans="1:14">
      <c r="A2827" s="21">
        <v>2024</v>
      </c>
      <c r="B2827" s="21" t="s">
        <v>21</v>
      </c>
      <c r="C2827" s="21" t="s">
        <v>1145</v>
      </c>
      <c r="D2827" s="21" t="s">
        <v>35</v>
      </c>
      <c r="E2827" s="18" t="s">
        <v>164</v>
      </c>
      <c r="F2827" s="18" t="s">
        <v>105</v>
      </c>
      <c r="G2827" s="18" t="s">
        <v>48</v>
      </c>
      <c r="H2827" s="24">
        <v>36950</v>
      </c>
      <c r="I2827" s="24">
        <f>T_reg.root.SK[[#This Row],[Volume, kg]]/1000</f>
        <v>36.950000000000003</v>
      </c>
      <c r="J2827" s="25">
        <v>0.21199999999999999</v>
      </c>
      <c r="K2827" s="25">
        <f t="shared" si="44"/>
        <v>7833.4</v>
      </c>
      <c r="L2827" s="25">
        <v>3.14</v>
      </c>
      <c r="M2827" s="24">
        <v>116022</v>
      </c>
      <c r="N2827" s="25">
        <f>IFERROR(T_reg.root.SK[[#This Row],[Price]]/T_reg.root.SK[[#This Row],[Starch content]],"")</f>
        <v>14.811320754716983</v>
      </c>
    </row>
    <row r="2828" spans="1:14">
      <c r="A2828" s="21">
        <v>2024</v>
      </c>
      <c r="B2828" s="21" t="s">
        <v>21</v>
      </c>
      <c r="C2828" s="21" t="s">
        <v>1145</v>
      </c>
      <c r="D2828" s="21" t="s">
        <v>35</v>
      </c>
      <c r="E2828" s="18" t="s">
        <v>166</v>
      </c>
      <c r="F2828" s="18" t="s">
        <v>105</v>
      </c>
      <c r="G2828" s="18" t="s">
        <v>48</v>
      </c>
      <c r="H2828" s="24">
        <v>13260</v>
      </c>
      <c r="I2828" s="24">
        <f>T_reg.root.SK[[#This Row],[Volume, kg]]/1000</f>
        <v>13.26</v>
      </c>
      <c r="J2828" s="25">
        <v>0.19920000000000002</v>
      </c>
      <c r="K2828" s="25">
        <f t="shared" si="44"/>
        <v>2641.3920000000003</v>
      </c>
      <c r="L2828" s="25">
        <v>2.9</v>
      </c>
      <c r="M2828" s="24">
        <v>38492.5</v>
      </c>
      <c r="N2828" s="25">
        <f>IFERROR(T_reg.root.SK[[#This Row],[Price]]/T_reg.root.SK[[#This Row],[Starch content]],"")</f>
        <v>14.558232931726906</v>
      </c>
    </row>
    <row r="2829" spans="1:14">
      <c r="A2829" s="21">
        <v>2024</v>
      </c>
      <c r="B2829" s="21" t="s">
        <v>21</v>
      </c>
      <c r="C2829" s="21" t="s">
        <v>1145</v>
      </c>
      <c r="D2829" s="21" t="s">
        <v>35</v>
      </c>
      <c r="E2829" s="18" t="s">
        <v>256</v>
      </c>
      <c r="F2829" s="18" t="s">
        <v>105</v>
      </c>
      <c r="G2829" s="18" t="s">
        <v>48</v>
      </c>
      <c r="H2829" s="24">
        <v>20180</v>
      </c>
      <c r="I2829" s="24">
        <f>T_reg.root.SK[[#This Row],[Volume, kg]]/1000</f>
        <v>20.18</v>
      </c>
      <c r="J2829" s="25">
        <v>0.16269999999999998</v>
      </c>
      <c r="K2829" s="25">
        <f t="shared" si="44"/>
        <v>3283.2859999999996</v>
      </c>
      <c r="L2829" s="25">
        <v>2.65</v>
      </c>
      <c r="M2829" s="24">
        <v>53426</v>
      </c>
      <c r="N2829" s="25">
        <f>IFERROR(T_reg.root.SK[[#This Row],[Price]]/T_reg.root.SK[[#This Row],[Starch content]],"")</f>
        <v>16.287645974185619</v>
      </c>
    </row>
    <row r="2830" spans="1:14">
      <c r="A2830" s="21">
        <v>2024</v>
      </c>
      <c r="B2830" s="21" t="s">
        <v>21</v>
      </c>
      <c r="C2830" s="21" t="s">
        <v>1145</v>
      </c>
      <c r="D2830" s="21" t="s">
        <v>35</v>
      </c>
      <c r="E2830" s="18" t="s">
        <v>739</v>
      </c>
      <c r="F2830" s="18" t="s">
        <v>105</v>
      </c>
      <c r="G2830" s="18" t="s">
        <v>48</v>
      </c>
      <c r="H2830" s="24">
        <v>105280</v>
      </c>
      <c r="I2830" s="24">
        <f>T_reg.root.SK[[#This Row],[Volume, kg]]/1000</f>
        <v>105.28</v>
      </c>
      <c r="J2830" s="25">
        <v>0.21899999999999997</v>
      </c>
      <c r="K2830" s="25">
        <f t="shared" si="44"/>
        <v>23056.319999999996</v>
      </c>
      <c r="L2830" s="25">
        <v>3.08</v>
      </c>
      <c r="M2830" s="24">
        <v>323997.5</v>
      </c>
      <c r="N2830" s="25">
        <f>IFERROR(T_reg.root.SK[[#This Row],[Price]]/T_reg.root.SK[[#This Row],[Starch content]],"")</f>
        <v>14.063926940639272</v>
      </c>
    </row>
    <row r="2831" spans="1:14">
      <c r="A2831" s="21">
        <v>2024</v>
      </c>
      <c r="B2831" s="21" t="s">
        <v>21</v>
      </c>
      <c r="C2831" s="21" t="s">
        <v>1145</v>
      </c>
      <c r="D2831" s="21" t="s">
        <v>35</v>
      </c>
      <c r="E2831" s="18" t="s">
        <v>722</v>
      </c>
      <c r="F2831" s="18" t="s">
        <v>105</v>
      </c>
      <c r="G2831" s="18" t="s">
        <v>48</v>
      </c>
      <c r="H2831" s="24">
        <v>6350</v>
      </c>
      <c r="I2831" s="24">
        <f>T_reg.root.SK[[#This Row],[Volume, kg]]/1000</f>
        <v>6.35</v>
      </c>
      <c r="J2831" s="25">
        <v>0.153</v>
      </c>
      <c r="K2831" s="25">
        <f t="shared" si="44"/>
        <v>971.55</v>
      </c>
      <c r="L2831" s="25">
        <v>2.6</v>
      </c>
      <c r="M2831" s="24">
        <v>16510</v>
      </c>
      <c r="N2831" s="25">
        <f>IFERROR(T_reg.root.SK[[#This Row],[Price]]/T_reg.root.SK[[#This Row],[Starch content]],"")</f>
        <v>16.993464052287582</v>
      </c>
    </row>
    <row r="2832" spans="1:14">
      <c r="A2832" s="21">
        <v>2024</v>
      </c>
      <c r="B2832" s="21" t="s">
        <v>21</v>
      </c>
      <c r="C2832" s="21" t="s">
        <v>1145</v>
      </c>
      <c r="D2832" s="21" t="s">
        <v>35</v>
      </c>
      <c r="E2832" s="18" t="s">
        <v>322</v>
      </c>
      <c r="F2832" s="18" t="s">
        <v>105</v>
      </c>
      <c r="G2832" s="18" t="s">
        <v>48</v>
      </c>
      <c r="H2832" s="24">
        <v>87500</v>
      </c>
      <c r="I2832" s="24">
        <f>T_reg.root.SK[[#This Row],[Volume, kg]]/1000</f>
        <v>87.5</v>
      </c>
      <c r="J2832" s="25">
        <v>0.2334</v>
      </c>
      <c r="K2832" s="25">
        <f t="shared" si="44"/>
        <v>20422.5</v>
      </c>
      <c r="L2832" s="25">
        <v>3.16</v>
      </c>
      <c r="M2832" s="24">
        <v>276900.5</v>
      </c>
      <c r="N2832" s="25">
        <f>IFERROR(T_reg.root.SK[[#This Row],[Price]]/T_reg.root.SK[[#This Row],[Starch content]],"")</f>
        <v>13.538988860325622</v>
      </c>
    </row>
    <row r="2833" spans="1:14">
      <c r="A2833" s="21">
        <v>2024</v>
      </c>
      <c r="B2833" s="21" t="s">
        <v>21</v>
      </c>
      <c r="C2833" s="21" t="s">
        <v>1145</v>
      </c>
      <c r="D2833" s="21" t="s">
        <v>35</v>
      </c>
      <c r="E2833" s="18" t="s">
        <v>323</v>
      </c>
      <c r="F2833" s="18" t="s">
        <v>105</v>
      </c>
      <c r="G2833" s="18" t="s">
        <v>48</v>
      </c>
      <c r="H2833" s="24">
        <v>40970</v>
      </c>
      <c r="I2833" s="24">
        <f>T_reg.root.SK[[#This Row],[Volume, kg]]/1000</f>
        <v>40.97</v>
      </c>
      <c r="J2833" s="25">
        <v>0.24780000000000002</v>
      </c>
      <c r="K2833" s="25">
        <f t="shared" si="44"/>
        <v>10152.366</v>
      </c>
      <c r="L2833" s="25">
        <v>3.32</v>
      </c>
      <c r="M2833" s="24">
        <v>136076</v>
      </c>
      <c r="N2833" s="25">
        <f>IFERROR(T_reg.root.SK[[#This Row],[Price]]/T_reg.root.SK[[#This Row],[Starch content]],"")</f>
        <v>13.397901533494752</v>
      </c>
    </row>
    <row r="2834" spans="1:14">
      <c r="A2834" s="21">
        <v>2024</v>
      </c>
      <c r="B2834" s="21" t="s">
        <v>21</v>
      </c>
      <c r="C2834" s="21" t="s">
        <v>1145</v>
      </c>
      <c r="D2834" s="21" t="s">
        <v>35</v>
      </c>
      <c r="E2834" s="18" t="s">
        <v>506</v>
      </c>
      <c r="F2834" s="18" t="s">
        <v>105</v>
      </c>
      <c r="G2834" s="18" t="s">
        <v>48</v>
      </c>
      <c r="H2834" s="24">
        <v>3460</v>
      </c>
      <c r="I2834" s="24">
        <f>T_reg.root.SK[[#This Row],[Volume, kg]]/1000</f>
        <v>3.46</v>
      </c>
      <c r="J2834" s="25">
        <v>0.17949999999999999</v>
      </c>
      <c r="K2834" s="25">
        <f t="shared" si="44"/>
        <v>621.06999999999994</v>
      </c>
      <c r="L2834" s="25">
        <v>2.85</v>
      </c>
      <c r="M2834" s="24">
        <v>9861</v>
      </c>
      <c r="N2834" s="25">
        <f>IFERROR(T_reg.root.SK[[#This Row],[Price]]/T_reg.root.SK[[#This Row],[Starch content]],"")</f>
        <v>15.877437325905294</v>
      </c>
    </row>
    <row r="2835" spans="1:14">
      <c r="A2835" s="21">
        <v>2024</v>
      </c>
      <c r="B2835" s="21" t="s">
        <v>21</v>
      </c>
      <c r="C2835" s="21" t="s">
        <v>1145</v>
      </c>
      <c r="D2835" s="21" t="s">
        <v>35</v>
      </c>
      <c r="E2835" s="18" t="s">
        <v>325</v>
      </c>
      <c r="F2835" s="18" t="s">
        <v>105</v>
      </c>
      <c r="G2835" s="18" t="s">
        <v>48</v>
      </c>
      <c r="H2835" s="24">
        <v>8740</v>
      </c>
      <c r="I2835" s="24">
        <f>T_reg.root.SK[[#This Row],[Volume, kg]]/1000</f>
        <v>8.74</v>
      </c>
      <c r="J2835" s="25">
        <v>0.2</v>
      </c>
      <c r="K2835" s="25">
        <f t="shared" si="44"/>
        <v>1748</v>
      </c>
      <c r="L2835" s="25">
        <v>2.95</v>
      </c>
      <c r="M2835" s="24">
        <v>25783</v>
      </c>
      <c r="N2835" s="25">
        <f>IFERROR(T_reg.root.SK[[#This Row],[Price]]/T_reg.root.SK[[#This Row],[Starch content]],"")</f>
        <v>14.75</v>
      </c>
    </row>
    <row r="2836" spans="1:14">
      <c r="A2836" s="21">
        <v>2024</v>
      </c>
      <c r="B2836" s="21" t="s">
        <v>21</v>
      </c>
      <c r="C2836" s="21" t="s">
        <v>1145</v>
      </c>
      <c r="D2836" s="21" t="s">
        <v>35</v>
      </c>
      <c r="E2836" s="18" t="s">
        <v>326</v>
      </c>
      <c r="F2836" s="18" t="s">
        <v>105</v>
      </c>
      <c r="G2836" s="18" t="s">
        <v>48</v>
      </c>
      <c r="H2836" s="24">
        <v>17670</v>
      </c>
      <c r="I2836" s="24">
        <f>T_reg.root.SK[[#This Row],[Volume, kg]]/1000</f>
        <v>17.670000000000002</v>
      </c>
      <c r="J2836" s="25">
        <v>0.16620000000000001</v>
      </c>
      <c r="K2836" s="25">
        <f t="shared" si="44"/>
        <v>2936.7540000000004</v>
      </c>
      <c r="L2836" s="25">
        <v>2.71</v>
      </c>
      <c r="M2836" s="24">
        <v>47798.5</v>
      </c>
      <c r="N2836" s="25">
        <f>IFERROR(T_reg.root.SK[[#This Row],[Price]]/T_reg.root.SK[[#This Row],[Starch content]],"")</f>
        <v>16.305655836341757</v>
      </c>
    </row>
    <row r="2837" spans="1:14">
      <c r="A2837" s="21">
        <v>2024</v>
      </c>
      <c r="B2837" s="21" t="s">
        <v>21</v>
      </c>
      <c r="C2837" s="21" t="s">
        <v>1145</v>
      </c>
      <c r="D2837" s="21" t="s">
        <v>35</v>
      </c>
      <c r="E2837" s="18" t="s">
        <v>507</v>
      </c>
      <c r="F2837" s="18" t="s">
        <v>105</v>
      </c>
      <c r="G2837" s="18" t="s">
        <v>48</v>
      </c>
      <c r="H2837" s="24">
        <v>103590</v>
      </c>
      <c r="I2837" s="24">
        <f>T_reg.root.SK[[#This Row],[Volume, kg]]/1000</f>
        <v>103.59</v>
      </c>
      <c r="J2837" s="25">
        <v>0.25009999999999999</v>
      </c>
      <c r="K2837" s="25">
        <f t="shared" si="44"/>
        <v>25907.859</v>
      </c>
      <c r="L2837" s="25">
        <v>3.28</v>
      </c>
      <c r="M2837" s="24">
        <v>339790</v>
      </c>
      <c r="N2837" s="25">
        <f>IFERROR(T_reg.root.SK[[#This Row],[Price]]/T_reg.root.SK[[#This Row],[Starch content]],"")</f>
        <v>13.114754098360656</v>
      </c>
    </row>
    <row r="2838" spans="1:14">
      <c r="A2838" s="21">
        <v>2024</v>
      </c>
      <c r="B2838" s="21" t="s">
        <v>21</v>
      </c>
      <c r="C2838" s="21" t="s">
        <v>1145</v>
      </c>
      <c r="D2838" s="21" t="s">
        <v>35</v>
      </c>
      <c r="E2838" s="18" t="s">
        <v>176</v>
      </c>
      <c r="F2838" s="18" t="s">
        <v>105</v>
      </c>
      <c r="G2838" s="18" t="s">
        <v>48</v>
      </c>
      <c r="H2838" s="24">
        <v>59150</v>
      </c>
      <c r="I2838" s="24">
        <f>T_reg.root.SK[[#This Row],[Volume, kg]]/1000</f>
        <v>59.15</v>
      </c>
      <c r="J2838" s="25">
        <v>0.21719999999999998</v>
      </c>
      <c r="K2838" s="25">
        <f t="shared" si="44"/>
        <v>12847.38</v>
      </c>
      <c r="L2838" s="25">
        <v>3.17</v>
      </c>
      <c r="M2838" s="24">
        <v>187705</v>
      </c>
      <c r="N2838" s="25">
        <f>IFERROR(T_reg.root.SK[[#This Row],[Price]]/T_reg.root.SK[[#This Row],[Starch content]],"")</f>
        <v>14.594843462246779</v>
      </c>
    </row>
    <row r="2839" spans="1:14">
      <c r="A2839" s="21">
        <v>2024</v>
      </c>
      <c r="B2839" s="21" t="s">
        <v>21</v>
      </c>
      <c r="C2839" s="21" t="s">
        <v>1145</v>
      </c>
      <c r="D2839" s="21" t="s">
        <v>35</v>
      </c>
      <c r="E2839" s="18" t="s">
        <v>178</v>
      </c>
      <c r="F2839" s="18" t="s">
        <v>105</v>
      </c>
      <c r="G2839" s="18" t="s">
        <v>48</v>
      </c>
      <c r="H2839" s="24">
        <v>121510</v>
      </c>
      <c r="I2839" s="24">
        <f>T_reg.root.SK[[#This Row],[Volume, kg]]/1000</f>
        <v>121.51</v>
      </c>
      <c r="J2839" s="25">
        <v>0.20039999999999999</v>
      </c>
      <c r="K2839" s="25">
        <f t="shared" si="44"/>
        <v>24350.603999999999</v>
      </c>
      <c r="L2839" s="25">
        <v>2.99</v>
      </c>
      <c r="M2839" s="24">
        <v>363192</v>
      </c>
      <c r="N2839" s="25">
        <f>IFERROR(T_reg.root.SK[[#This Row],[Price]]/T_reg.root.SK[[#This Row],[Starch content]],"")</f>
        <v>14.920159680638724</v>
      </c>
    </row>
    <row r="2840" spans="1:14">
      <c r="A2840" s="21">
        <v>2024</v>
      </c>
      <c r="B2840" s="21" t="s">
        <v>21</v>
      </c>
      <c r="C2840" s="21" t="s">
        <v>1145</v>
      </c>
      <c r="D2840" s="21" t="s">
        <v>35</v>
      </c>
      <c r="E2840" s="18" t="s">
        <v>605</v>
      </c>
      <c r="F2840" s="18" t="s">
        <v>105</v>
      </c>
      <c r="G2840" s="18" t="s">
        <v>48</v>
      </c>
      <c r="H2840" s="24">
        <v>96710</v>
      </c>
      <c r="I2840" s="24">
        <f>T_reg.root.SK[[#This Row],[Volume, kg]]/1000</f>
        <v>96.71</v>
      </c>
      <c r="J2840" s="25">
        <v>0.20910000000000001</v>
      </c>
      <c r="K2840" s="25">
        <f t="shared" si="44"/>
        <v>20222.061000000002</v>
      </c>
      <c r="L2840" s="25">
        <v>3.01</v>
      </c>
      <c r="M2840" s="24">
        <v>291105</v>
      </c>
      <c r="N2840" s="25">
        <f>IFERROR(T_reg.root.SK[[#This Row],[Price]]/T_reg.root.SK[[#This Row],[Starch content]],"")</f>
        <v>14.395026303204206</v>
      </c>
    </row>
    <row r="2841" spans="1:14">
      <c r="A2841" s="21">
        <v>2024</v>
      </c>
      <c r="B2841" s="21" t="s">
        <v>21</v>
      </c>
      <c r="C2841" s="21" t="s">
        <v>1145</v>
      </c>
      <c r="D2841" s="21" t="s">
        <v>35</v>
      </c>
      <c r="E2841" s="18" t="s">
        <v>259</v>
      </c>
      <c r="F2841" s="18" t="s">
        <v>105</v>
      </c>
      <c r="G2841" s="18" t="s">
        <v>48</v>
      </c>
      <c r="H2841" s="24">
        <v>16920</v>
      </c>
      <c r="I2841" s="24">
        <f>T_reg.root.SK[[#This Row],[Volume, kg]]/1000</f>
        <v>16.920000000000002</v>
      </c>
      <c r="J2841" s="25">
        <v>0.1807</v>
      </c>
      <c r="K2841" s="25">
        <f t="shared" si="44"/>
        <v>3057.444</v>
      </c>
      <c r="L2841" s="25">
        <v>2.77</v>
      </c>
      <c r="M2841" s="24">
        <v>46946</v>
      </c>
      <c r="N2841" s="25">
        <f>IFERROR(T_reg.root.SK[[#This Row],[Price]]/T_reg.root.SK[[#This Row],[Starch content]],"")</f>
        <v>15.329275041505257</v>
      </c>
    </row>
    <row r="2842" spans="1:14">
      <c r="A2842" s="21">
        <v>2024</v>
      </c>
      <c r="B2842" s="21" t="s">
        <v>21</v>
      </c>
      <c r="C2842" s="21" t="s">
        <v>1145</v>
      </c>
      <c r="D2842" s="21" t="s">
        <v>35</v>
      </c>
      <c r="E2842" s="18" t="s">
        <v>181</v>
      </c>
      <c r="F2842" s="18" t="s">
        <v>105</v>
      </c>
      <c r="G2842" s="18" t="s">
        <v>48</v>
      </c>
      <c r="H2842" s="24">
        <v>193750</v>
      </c>
      <c r="I2842" s="24">
        <f>T_reg.root.SK[[#This Row],[Volume, kg]]/1000</f>
        <v>193.75</v>
      </c>
      <c r="J2842" s="25">
        <v>0.20309999999999997</v>
      </c>
      <c r="K2842" s="25">
        <f t="shared" si="44"/>
        <v>39350.624999999993</v>
      </c>
      <c r="L2842" s="25">
        <v>3.01</v>
      </c>
      <c r="M2842" s="24">
        <v>582724</v>
      </c>
      <c r="N2842" s="25">
        <f>IFERROR(T_reg.root.SK[[#This Row],[Price]]/T_reg.root.SK[[#This Row],[Starch content]],"")</f>
        <v>14.820285573609061</v>
      </c>
    </row>
    <row r="2843" spans="1:14">
      <c r="A2843" s="21">
        <v>2024</v>
      </c>
      <c r="B2843" s="21" t="s">
        <v>21</v>
      </c>
      <c r="C2843" s="21" t="s">
        <v>1145</v>
      </c>
      <c r="D2843" s="21" t="s">
        <v>35</v>
      </c>
      <c r="E2843" s="18" t="s">
        <v>182</v>
      </c>
      <c r="F2843" s="18" t="s">
        <v>105</v>
      </c>
      <c r="G2843" s="18" t="s">
        <v>48</v>
      </c>
      <c r="H2843" s="24">
        <v>54000</v>
      </c>
      <c r="I2843" s="24">
        <f>T_reg.root.SK[[#This Row],[Volume, kg]]/1000</f>
        <v>54</v>
      </c>
      <c r="J2843" s="25">
        <v>0.21210000000000001</v>
      </c>
      <c r="K2843" s="25">
        <f t="shared" si="44"/>
        <v>11453.400000000001</v>
      </c>
      <c r="L2843" s="25">
        <v>3.03</v>
      </c>
      <c r="M2843" s="24">
        <v>163684.5</v>
      </c>
      <c r="N2843" s="25">
        <f>IFERROR(T_reg.root.SK[[#This Row],[Price]]/T_reg.root.SK[[#This Row],[Starch content]],"")</f>
        <v>14.285714285714285</v>
      </c>
    </row>
    <row r="2844" spans="1:14">
      <c r="A2844" s="21">
        <v>2024</v>
      </c>
      <c r="B2844" s="21" t="s">
        <v>21</v>
      </c>
      <c r="C2844" s="21" t="s">
        <v>1145</v>
      </c>
      <c r="D2844" s="21" t="s">
        <v>35</v>
      </c>
      <c r="E2844" s="18" t="s">
        <v>740</v>
      </c>
      <c r="F2844" s="18" t="s">
        <v>105</v>
      </c>
      <c r="G2844" s="18" t="s">
        <v>48</v>
      </c>
      <c r="H2844" s="24">
        <v>139540</v>
      </c>
      <c r="I2844" s="24">
        <f>T_reg.root.SK[[#This Row],[Volume, kg]]/1000</f>
        <v>139.54</v>
      </c>
      <c r="J2844" s="25">
        <v>0.2152</v>
      </c>
      <c r="K2844" s="25">
        <f t="shared" si="44"/>
        <v>30029.008000000002</v>
      </c>
      <c r="L2844" s="25">
        <v>3.02</v>
      </c>
      <c r="M2844" s="24">
        <v>421709</v>
      </c>
      <c r="N2844" s="25">
        <f>IFERROR(T_reg.root.SK[[#This Row],[Price]]/T_reg.root.SK[[#This Row],[Starch content]],"")</f>
        <v>14.033457249070631</v>
      </c>
    </row>
    <row r="2845" spans="1:14">
      <c r="A2845" s="21">
        <v>2024</v>
      </c>
      <c r="B2845" s="21" t="s">
        <v>21</v>
      </c>
      <c r="C2845" s="21" t="s">
        <v>1145</v>
      </c>
      <c r="D2845" s="21" t="s">
        <v>35</v>
      </c>
      <c r="E2845" s="18" t="s">
        <v>741</v>
      </c>
      <c r="F2845" s="18" t="s">
        <v>105</v>
      </c>
      <c r="G2845" s="18" t="s">
        <v>48</v>
      </c>
      <c r="H2845" s="24">
        <v>23010</v>
      </c>
      <c r="I2845" s="24">
        <f>T_reg.root.SK[[#This Row],[Volume, kg]]/1000</f>
        <v>23.01</v>
      </c>
      <c r="J2845" s="25">
        <v>0.25619999999999998</v>
      </c>
      <c r="K2845" s="25">
        <f t="shared" si="44"/>
        <v>5895.1619999999994</v>
      </c>
      <c r="L2845" s="25">
        <v>3.4</v>
      </c>
      <c r="M2845" s="24">
        <v>78324.5</v>
      </c>
      <c r="N2845" s="25">
        <f>IFERROR(T_reg.root.SK[[#This Row],[Price]]/T_reg.root.SK[[#This Row],[Starch content]],"")</f>
        <v>13.27088212334114</v>
      </c>
    </row>
    <row r="2846" spans="1:14">
      <c r="A2846" s="21">
        <v>2024</v>
      </c>
      <c r="B2846" s="21" t="s">
        <v>21</v>
      </c>
      <c r="C2846" s="21" t="s">
        <v>1145</v>
      </c>
      <c r="D2846" s="21" t="s">
        <v>35</v>
      </c>
      <c r="E2846" s="18" t="s">
        <v>640</v>
      </c>
      <c r="F2846" s="18" t="s">
        <v>105</v>
      </c>
      <c r="G2846" s="18" t="s">
        <v>48</v>
      </c>
      <c r="H2846" s="24">
        <v>41200</v>
      </c>
      <c r="I2846" s="24">
        <f>T_reg.root.SK[[#This Row],[Volume, kg]]/1000</f>
        <v>41.2</v>
      </c>
      <c r="J2846" s="25">
        <v>0.22030000000000002</v>
      </c>
      <c r="K2846" s="25">
        <f t="shared" si="44"/>
        <v>9076.36</v>
      </c>
      <c r="L2846" s="25">
        <v>3.18</v>
      </c>
      <c r="M2846" s="24">
        <v>131216.5</v>
      </c>
      <c r="N2846" s="25">
        <f>IFERROR(T_reg.root.SK[[#This Row],[Price]]/T_reg.root.SK[[#This Row],[Starch content]],"")</f>
        <v>14.434861552428506</v>
      </c>
    </row>
    <row r="2847" spans="1:14">
      <c r="A2847" s="21">
        <v>2024</v>
      </c>
      <c r="B2847" s="21" t="s">
        <v>21</v>
      </c>
      <c r="C2847" s="21" t="s">
        <v>1145</v>
      </c>
      <c r="D2847" s="21" t="s">
        <v>35</v>
      </c>
      <c r="E2847" s="18" t="s">
        <v>641</v>
      </c>
      <c r="F2847" s="18" t="s">
        <v>105</v>
      </c>
      <c r="G2847" s="18" t="s">
        <v>48</v>
      </c>
      <c r="H2847" s="24">
        <v>52990</v>
      </c>
      <c r="I2847" s="24">
        <f>T_reg.root.SK[[#This Row],[Volume, kg]]/1000</f>
        <v>52.99</v>
      </c>
      <c r="J2847" s="25">
        <v>0.21530000000000002</v>
      </c>
      <c r="K2847" s="25">
        <f t="shared" si="44"/>
        <v>11408.747000000001</v>
      </c>
      <c r="L2847" s="25">
        <v>3.07</v>
      </c>
      <c r="M2847" s="24">
        <v>162489.5</v>
      </c>
      <c r="N2847" s="25">
        <f>IFERROR(T_reg.root.SK[[#This Row],[Price]]/T_reg.root.SK[[#This Row],[Starch content]],"")</f>
        <v>14.259173246632603</v>
      </c>
    </row>
    <row r="2848" spans="1:14">
      <c r="A2848" s="21">
        <v>2024</v>
      </c>
      <c r="B2848" s="21" t="s">
        <v>21</v>
      </c>
      <c r="C2848" s="21" t="s">
        <v>1145</v>
      </c>
      <c r="D2848" s="21" t="s">
        <v>35</v>
      </c>
      <c r="E2848" s="18" t="s">
        <v>183</v>
      </c>
      <c r="F2848" s="18" t="s">
        <v>105</v>
      </c>
      <c r="G2848" s="18" t="s">
        <v>48</v>
      </c>
      <c r="H2848" s="24">
        <v>131150</v>
      </c>
      <c r="I2848" s="24">
        <f>T_reg.root.SK[[#This Row],[Volume, kg]]/1000</f>
        <v>131.15</v>
      </c>
      <c r="J2848" s="25">
        <v>0.19769999999999999</v>
      </c>
      <c r="K2848" s="25">
        <f t="shared" si="44"/>
        <v>25928.355</v>
      </c>
      <c r="L2848" s="25">
        <v>3.01</v>
      </c>
      <c r="M2848" s="24">
        <v>394718.5</v>
      </c>
      <c r="N2848" s="25">
        <f>IFERROR(T_reg.root.SK[[#This Row],[Price]]/T_reg.root.SK[[#This Row],[Starch content]],"")</f>
        <v>15.2250885179565</v>
      </c>
    </row>
    <row r="2849" spans="1:14">
      <c r="A2849" s="21">
        <v>2024</v>
      </c>
      <c r="B2849" s="21" t="s">
        <v>21</v>
      </c>
      <c r="C2849" s="21" t="s">
        <v>1145</v>
      </c>
      <c r="D2849" s="21" t="s">
        <v>35</v>
      </c>
      <c r="E2849" s="18" t="s">
        <v>579</v>
      </c>
      <c r="F2849" s="18" t="s">
        <v>187</v>
      </c>
      <c r="G2849" s="18" t="s">
        <v>48</v>
      </c>
      <c r="H2849" s="24">
        <v>124910</v>
      </c>
      <c r="I2849" s="24">
        <f>T_reg.root.SK[[#This Row],[Volume, kg]]/1000</f>
        <v>124.91</v>
      </c>
      <c r="J2849" s="25">
        <v>0.21739999999999998</v>
      </c>
      <c r="K2849" s="25">
        <f t="shared" si="44"/>
        <v>27155.433999999997</v>
      </c>
      <c r="L2849" s="25">
        <v>3.19</v>
      </c>
      <c r="M2849" s="24">
        <v>399076.5</v>
      </c>
      <c r="N2849" s="25">
        <f>IFERROR(T_reg.root.SK[[#This Row],[Price]]/T_reg.root.SK[[#This Row],[Starch content]],"")</f>
        <v>14.673413063477462</v>
      </c>
    </row>
    <row r="2850" spans="1:14">
      <c r="A2850" s="21">
        <v>2024</v>
      </c>
      <c r="B2850" s="21" t="s">
        <v>21</v>
      </c>
      <c r="C2850" s="21" t="s">
        <v>1145</v>
      </c>
      <c r="D2850" s="21" t="s">
        <v>35</v>
      </c>
      <c r="E2850" s="18" t="s">
        <v>186</v>
      </c>
      <c r="F2850" s="18" t="s">
        <v>187</v>
      </c>
      <c r="G2850" s="18" t="s">
        <v>48</v>
      </c>
      <c r="H2850" s="24">
        <v>52230</v>
      </c>
      <c r="I2850" s="24">
        <f>T_reg.root.SK[[#This Row],[Volume, kg]]/1000</f>
        <v>52.23</v>
      </c>
      <c r="J2850" s="25">
        <v>0.20449999999999999</v>
      </c>
      <c r="K2850" s="25">
        <f t="shared" si="44"/>
        <v>10681.035</v>
      </c>
      <c r="L2850" s="25">
        <v>3.05</v>
      </c>
      <c r="M2850" s="24">
        <v>159259.5</v>
      </c>
      <c r="N2850" s="25">
        <f>IFERROR(T_reg.root.SK[[#This Row],[Price]]/T_reg.root.SK[[#This Row],[Starch content]],"")</f>
        <v>14.91442542787286</v>
      </c>
    </row>
    <row r="2851" spans="1:14">
      <c r="A2851" s="21">
        <v>2024</v>
      </c>
      <c r="B2851" s="21" t="s">
        <v>21</v>
      </c>
      <c r="C2851" s="21" t="s">
        <v>1145</v>
      </c>
      <c r="D2851" s="21" t="s">
        <v>35</v>
      </c>
      <c r="E2851" s="18" t="s">
        <v>514</v>
      </c>
      <c r="F2851" s="18" t="s">
        <v>187</v>
      </c>
      <c r="G2851" s="18" t="s">
        <v>48</v>
      </c>
      <c r="H2851" s="24">
        <v>23970</v>
      </c>
      <c r="I2851" s="24">
        <f>T_reg.root.SK[[#This Row],[Volume, kg]]/1000</f>
        <v>23.97</v>
      </c>
      <c r="J2851" s="25">
        <v>0.17530000000000001</v>
      </c>
      <c r="K2851" s="25">
        <f t="shared" si="44"/>
        <v>4201.9410000000007</v>
      </c>
      <c r="L2851" s="25">
        <v>2.85</v>
      </c>
      <c r="M2851" s="24">
        <v>68275</v>
      </c>
      <c r="N2851" s="25">
        <f>IFERROR(T_reg.root.SK[[#This Row],[Price]]/T_reg.root.SK[[#This Row],[Starch content]],"")</f>
        <v>16.257843696520251</v>
      </c>
    </row>
    <row r="2852" spans="1:14">
      <c r="A2852" s="21">
        <v>2024</v>
      </c>
      <c r="B2852" s="21" t="s">
        <v>21</v>
      </c>
      <c r="C2852" s="21" t="s">
        <v>1145</v>
      </c>
      <c r="D2852" s="21" t="s">
        <v>35</v>
      </c>
      <c r="E2852" s="18" t="s">
        <v>701</v>
      </c>
      <c r="F2852" s="18" t="s">
        <v>187</v>
      </c>
      <c r="G2852" s="18" t="s">
        <v>48</v>
      </c>
      <c r="H2852" s="24">
        <v>95850</v>
      </c>
      <c r="I2852" s="24">
        <f>T_reg.root.SK[[#This Row],[Volume, kg]]/1000</f>
        <v>95.85</v>
      </c>
      <c r="J2852" s="25">
        <v>0.19070000000000001</v>
      </c>
      <c r="K2852" s="25">
        <f t="shared" si="44"/>
        <v>18278.595000000001</v>
      </c>
      <c r="L2852" s="25">
        <v>2.94</v>
      </c>
      <c r="M2852" s="24">
        <v>281362</v>
      </c>
      <c r="N2852" s="25">
        <f>IFERROR(T_reg.root.SK[[#This Row],[Price]]/T_reg.root.SK[[#This Row],[Starch content]],"")</f>
        <v>15.416885159937072</v>
      </c>
    </row>
    <row r="2853" spans="1:14">
      <c r="A2853" s="21">
        <v>2024</v>
      </c>
      <c r="B2853" s="21" t="s">
        <v>21</v>
      </c>
      <c r="C2853" s="21" t="s">
        <v>1145</v>
      </c>
      <c r="D2853" s="21" t="s">
        <v>35</v>
      </c>
      <c r="E2853" s="18" t="s">
        <v>262</v>
      </c>
      <c r="F2853" s="18" t="s">
        <v>187</v>
      </c>
      <c r="G2853" s="18" t="s">
        <v>48</v>
      </c>
      <c r="H2853" s="24">
        <v>74480</v>
      </c>
      <c r="I2853" s="24">
        <f>T_reg.root.SK[[#This Row],[Volume, kg]]/1000</f>
        <v>74.48</v>
      </c>
      <c r="J2853" s="25">
        <v>0.22170000000000001</v>
      </c>
      <c r="K2853" s="25">
        <f t="shared" si="44"/>
        <v>16512.216</v>
      </c>
      <c r="L2853" s="25">
        <v>3.12</v>
      </c>
      <c r="M2853" s="24">
        <v>232214</v>
      </c>
      <c r="N2853" s="25">
        <f>IFERROR(T_reg.root.SK[[#This Row],[Price]]/T_reg.root.SK[[#This Row],[Starch content]],"")</f>
        <v>14.073071718538566</v>
      </c>
    </row>
    <row r="2854" spans="1:14">
      <c r="A2854" s="21">
        <v>2024</v>
      </c>
      <c r="B2854" s="21" t="s">
        <v>21</v>
      </c>
      <c r="C2854" s="21" t="s">
        <v>1145</v>
      </c>
      <c r="D2854" s="21" t="s">
        <v>35</v>
      </c>
      <c r="E2854" s="18" t="s">
        <v>194</v>
      </c>
      <c r="F2854" s="18" t="s">
        <v>187</v>
      </c>
      <c r="G2854" s="18" t="s">
        <v>48</v>
      </c>
      <c r="H2854" s="24">
        <v>25980</v>
      </c>
      <c r="I2854" s="24">
        <f>T_reg.root.SK[[#This Row],[Volume, kg]]/1000</f>
        <v>25.98</v>
      </c>
      <c r="J2854" s="25">
        <v>0.26649999999999996</v>
      </c>
      <c r="K2854" s="25">
        <f t="shared" si="44"/>
        <v>6923.6699999999992</v>
      </c>
      <c r="L2854" s="25">
        <v>3.3</v>
      </c>
      <c r="M2854" s="24">
        <v>85734</v>
      </c>
      <c r="N2854" s="25">
        <f>IFERROR(T_reg.root.SK[[#This Row],[Price]]/T_reg.root.SK[[#This Row],[Starch content]],"")</f>
        <v>12.382739212007506</v>
      </c>
    </row>
    <row r="2855" spans="1:14">
      <c r="A2855" s="21">
        <v>2024</v>
      </c>
      <c r="B2855" s="21" t="s">
        <v>21</v>
      </c>
      <c r="C2855" s="21" t="s">
        <v>1145</v>
      </c>
      <c r="D2855" s="21" t="s">
        <v>35</v>
      </c>
      <c r="E2855" s="18" t="s">
        <v>195</v>
      </c>
      <c r="F2855" s="18" t="s">
        <v>187</v>
      </c>
      <c r="G2855" s="18" t="s">
        <v>48</v>
      </c>
      <c r="H2855" s="24">
        <v>13800</v>
      </c>
      <c r="I2855" s="24">
        <f>T_reg.root.SK[[#This Row],[Volume, kg]]/1000</f>
        <v>13.8</v>
      </c>
      <c r="J2855" s="25">
        <v>0.1532</v>
      </c>
      <c r="K2855" s="25">
        <f t="shared" si="44"/>
        <v>2114.16</v>
      </c>
      <c r="L2855" s="25">
        <v>2.88</v>
      </c>
      <c r="M2855" s="24">
        <v>39696</v>
      </c>
      <c r="N2855" s="25">
        <f>IFERROR(T_reg.root.SK[[#This Row],[Price]]/T_reg.root.SK[[#This Row],[Starch content]],"")</f>
        <v>18.798955613577021</v>
      </c>
    </row>
    <row r="2856" spans="1:14">
      <c r="A2856" s="21">
        <v>2024</v>
      </c>
      <c r="B2856" s="21" t="s">
        <v>21</v>
      </c>
      <c r="C2856" s="21" t="s">
        <v>1145</v>
      </c>
      <c r="D2856" s="21" t="s">
        <v>35</v>
      </c>
      <c r="E2856" s="18" t="s">
        <v>516</v>
      </c>
      <c r="F2856" s="18" t="s">
        <v>187</v>
      </c>
      <c r="G2856" s="18" t="s">
        <v>48</v>
      </c>
      <c r="H2856" s="24">
        <v>166130</v>
      </c>
      <c r="I2856" s="24">
        <f>T_reg.root.SK[[#This Row],[Volume, kg]]/1000</f>
        <v>166.13</v>
      </c>
      <c r="J2856" s="25">
        <v>0.19889999999999999</v>
      </c>
      <c r="K2856" s="25">
        <f t="shared" si="44"/>
        <v>33043.256999999998</v>
      </c>
      <c r="L2856" s="25">
        <v>3.01</v>
      </c>
      <c r="M2856" s="24">
        <v>499829.5</v>
      </c>
      <c r="N2856" s="25">
        <f>IFERROR(T_reg.root.SK[[#This Row],[Price]]/T_reg.root.SK[[#This Row],[Starch content]],"")</f>
        <v>15.133232780291603</v>
      </c>
    </row>
    <row r="2857" spans="1:14">
      <c r="A2857" s="21">
        <v>2024</v>
      </c>
      <c r="B2857" s="21" t="s">
        <v>21</v>
      </c>
      <c r="C2857" s="21" t="s">
        <v>1145</v>
      </c>
      <c r="D2857" s="21" t="s">
        <v>35</v>
      </c>
      <c r="E2857" s="18" t="s">
        <v>521</v>
      </c>
      <c r="F2857" s="18" t="s">
        <v>187</v>
      </c>
      <c r="G2857" s="18" t="s">
        <v>48</v>
      </c>
      <c r="H2857" s="24">
        <v>13150</v>
      </c>
      <c r="I2857" s="24">
        <f>T_reg.root.SK[[#This Row],[Volume, kg]]/1000</f>
        <v>13.15</v>
      </c>
      <c r="J2857" s="25">
        <v>0.18329999999999999</v>
      </c>
      <c r="K2857" s="25">
        <f t="shared" si="44"/>
        <v>2410.395</v>
      </c>
      <c r="L2857" s="25">
        <v>2.9</v>
      </c>
      <c r="M2857" s="24">
        <v>38135</v>
      </c>
      <c r="N2857" s="25">
        <f>IFERROR(T_reg.root.SK[[#This Row],[Price]]/T_reg.root.SK[[#This Row],[Starch content]],"")</f>
        <v>15.821058374249864</v>
      </c>
    </row>
    <row r="2858" spans="1:14">
      <c r="A2858" s="21">
        <v>2024</v>
      </c>
      <c r="B2858" s="21" t="s">
        <v>21</v>
      </c>
      <c r="C2858" s="21" t="s">
        <v>1145</v>
      </c>
      <c r="D2858" s="21" t="s">
        <v>35</v>
      </c>
      <c r="E2858" s="18" t="s">
        <v>264</v>
      </c>
      <c r="F2858" s="18" t="s">
        <v>187</v>
      </c>
      <c r="G2858" s="18" t="s">
        <v>48</v>
      </c>
      <c r="H2858" s="24">
        <v>22300</v>
      </c>
      <c r="I2858" s="24">
        <f>T_reg.root.SK[[#This Row],[Volume, kg]]/1000</f>
        <v>22.3</v>
      </c>
      <c r="J2858" s="25">
        <v>0.17980000000000002</v>
      </c>
      <c r="K2858" s="25">
        <f t="shared" si="44"/>
        <v>4009.5400000000004</v>
      </c>
      <c r="L2858" s="25">
        <v>2.98</v>
      </c>
      <c r="M2858" s="24">
        <v>66529</v>
      </c>
      <c r="N2858" s="25">
        <f>IFERROR(T_reg.root.SK[[#This Row],[Price]]/T_reg.root.SK[[#This Row],[Starch content]],"")</f>
        <v>16.573971078976641</v>
      </c>
    </row>
    <row r="2859" spans="1:14">
      <c r="A2859" s="21">
        <v>2024</v>
      </c>
      <c r="B2859" s="21" t="s">
        <v>21</v>
      </c>
      <c r="C2859" s="21" t="s">
        <v>1145</v>
      </c>
      <c r="D2859" s="21" t="s">
        <v>35</v>
      </c>
      <c r="E2859" s="18" t="s">
        <v>196</v>
      </c>
      <c r="F2859" s="18" t="s">
        <v>187</v>
      </c>
      <c r="G2859" s="18" t="s">
        <v>48</v>
      </c>
      <c r="H2859" s="24">
        <v>38800</v>
      </c>
      <c r="I2859" s="24">
        <f>T_reg.root.SK[[#This Row],[Volume, kg]]/1000</f>
        <v>38.799999999999997</v>
      </c>
      <c r="J2859" s="25">
        <v>0.19399999999999998</v>
      </c>
      <c r="K2859" s="25">
        <f t="shared" si="44"/>
        <v>7527.1999999999989</v>
      </c>
      <c r="L2859" s="25">
        <v>2.95</v>
      </c>
      <c r="M2859" s="24">
        <v>114382.5</v>
      </c>
      <c r="N2859" s="25">
        <f>IFERROR(T_reg.root.SK[[#This Row],[Price]]/T_reg.root.SK[[#This Row],[Starch content]],"")</f>
        <v>15.206185567010312</v>
      </c>
    </row>
    <row r="2860" spans="1:14">
      <c r="A2860" s="21">
        <v>2024</v>
      </c>
      <c r="B2860" s="21" t="s">
        <v>21</v>
      </c>
      <c r="C2860" s="21" t="s">
        <v>1145</v>
      </c>
      <c r="D2860" s="21" t="s">
        <v>35</v>
      </c>
      <c r="E2860" s="18" t="s">
        <v>407</v>
      </c>
      <c r="F2860" s="18" t="s">
        <v>187</v>
      </c>
      <c r="G2860" s="18" t="s">
        <v>48</v>
      </c>
      <c r="H2860" s="24">
        <v>64170</v>
      </c>
      <c r="I2860" s="24">
        <f>T_reg.root.SK[[#This Row],[Volume, kg]]/1000</f>
        <v>64.17</v>
      </c>
      <c r="J2860" s="25">
        <v>0.24890000000000001</v>
      </c>
      <c r="K2860" s="25">
        <f t="shared" si="44"/>
        <v>15971.913</v>
      </c>
      <c r="L2860" s="25">
        <v>3.19</v>
      </c>
      <c r="M2860" s="24">
        <v>204550.5</v>
      </c>
      <c r="N2860" s="25">
        <f>IFERROR(T_reg.root.SK[[#This Row],[Price]]/T_reg.root.SK[[#This Row],[Starch content]],"")</f>
        <v>12.816392125351546</v>
      </c>
    </row>
    <row r="2861" spans="1:14">
      <c r="A2861" s="21">
        <v>2024</v>
      </c>
      <c r="B2861" s="21" t="s">
        <v>21</v>
      </c>
      <c r="C2861" s="21" t="s">
        <v>1145</v>
      </c>
      <c r="D2861" s="21" t="s">
        <v>35</v>
      </c>
      <c r="E2861" s="18" t="s">
        <v>198</v>
      </c>
      <c r="F2861" s="18" t="s">
        <v>187</v>
      </c>
      <c r="G2861" s="18" t="s">
        <v>48</v>
      </c>
      <c r="H2861" s="24">
        <v>89790</v>
      </c>
      <c r="I2861" s="24">
        <f>T_reg.root.SK[[#This Row],[Volume, kg]]/1000</f>
        <v>89.79</v>
      </c>
      <c r="J2861" s="25">
        <v>0.20559999999999998</v>
      </c>
      <c r="K2861" s="25">
        <f t="shared" si="44"/>
        <v>18460.823999999997</v>
      </c>
      <c r="L2861" s="25">
        <v>3.02</v>
      </c>
      <c r="M2861" s="24">
        <v>270858</v>
      </c>
      <c r="N2861" s="25">
        <f>IFERROR(T_reg.root.SK[[#This Row],[Price]]/T_reg.root.SK[[#This Row],[Starch content]],"")</f>
        <v>14.688715953307394</v>
      </c>
    </row>
    <row r="2862" spans="1:14">
      <c r="A2862" s="21">
        <v>2024</v>
      </c>
      <c r="B2862" s="21" t="s">
        <v>21</v>
      </c>
      <c r="C2862" s="21" t="s">
        <v>1145</v>
      </c>
      <c r="D2862" s="21" t="s">
        <v>35</v>
      </c>
      <c r="E2862" s="18" t="s">
        <v>199</v>
      </c>
      <c r="F2862" s="18" t="s">
        <v>187</v>
      </c>
      <c r="G2862" s="18" t="s">
        <v>48</v>
      </c>
      <c r="H2862" s="24">
        <v>40040</v>
      </c>
      <c r="I2862" s="24">
        <f>T_reg.root.SK[[#This Row],[Volume, kg]]/1000</f>
        <v>40.04</v>
      </c>
      <c r="J2862" s="25">
        <v>0.2006</v>
      </c>
      <c r="K2862" s="25">
        <f t="shared" si="44"/>
        <v>8032.0240000000003</v>
      </c>
      <c r="L2862" s="25">
        <v>3</v>
      </c>
      <c r="M2862" s="24">
        <v>120149</v>
      </c>
      <c r="N2862" s="25">
        <f>IFERROR(T_reg.root.SK[[#This Row],[Price]]/T_reg.root.SK[[#This Row],[Starch content]],"")</f>
        <v>14.955134596211366</v>
      </c>
    </row>
    <row r="2863" spans="1:14">
      <c r="A2863" s="21">
        <v>2024</v>
      </c>
      <c r="B2863" s="21" t="s">
        <v>21</v>
      </c>
      <c r="C2863" s="21" t="s">
        <v>1145</v>
      </c>
      <c r="D2863" s="21" t="s">
        <v>35</v>
      </c>
      <c r="E2863" s="18" t="s">
        <v>200</v>
      </c>
      <c r="F2863" s="18" t="s">
        <v>187</v>
      </c>
      <c r="G2863" s="18" t="s">
        <v>48</v>
      </c>
      <c r="H2863" s="24">
        <v>38140</v>
      </c>
      <c r="I2863" s="24">
        <f>T_reg.root.SK[[#This Row],[Volume, kg]]/1000</f>
        <v>38.14</v>
      </c>
      <c r="J2863" s="25">
        <v>0.2072</v>
      </c>
      <c r="K2863" s="25">
        <f t="shared" si="44"/>
        <v>7902.6080000000002</v>
      </c>
      <c r="L2863" s="25">
        <v>3.03</v>
      </c>
      <c r="M2863" s="24">
        <v>115568.5</v>
      </c>
      <c r="N2863" s="25">
        <f>IFERROR(T_reg.root.SK[[#This Row],[Price]]/T_reg.root.SK[[#This Row],[Starch content]],"")</f>
        <v>14.623552123552123</v>
      </c>
    </row>
    <row r="2864" spans="1:14">
      <c r="A2864" s="21">
        <v>2024</v>
      </c>
      <c r="B2864" s="21" t="s">
        <v>21</v>
      </c>
      <c r="C2864" s="21" t="s">
        <v>1145</v>
      </c>
      <c r="D2864" s="21" t="s">
        <v>35</v>
      </c>
      <c r="E2864" s="18" t="s">
        <v>201</v>
      </c>
      <c r="F2864" s="18" t="s">
        <v>187</v>
      </c>
      <c r="G2864" s="18" t="s">
        <v>48</v>
      </c>
      <c r="H2864" s="24">
        <v>24730</v>
      </c>
      <c r="I2864" s="24">
        <f>T_reg.root.SK[[#This Row],[Volume, kg]]/1000</f>
        <v>24.73</v>
      </c>
      <c r="J2864" s="25">
        <v>0.2361</v>
      </c>
      <c r="K2864" s="25">
        <f t="shared" si="44"/>
        <v>5838.7529999999997</v>
      </c>
      <c r="L2864" s="25">
        <v>3.37</v>
      </c>
      <c r="M2864" s="24">
        <v>83414.5</v>
      </c>
      <c r="N2864" s="25">
        <f>IFERROR(T_reg.root.SK[[#This Row],[Price]]/T_reg.root.SK[[#This Row],[Starch content]],"")</f>
        <v>14.273612875900042</v>
      </c>
    </row>
    <row r="2865" spans="1:14">
      <c r="A2865" s="21">
        <v>2024</v>
      </c>
      <c r="B2865" s="21" t="s">
        <v>21</v>
      </c>
      <c r="C2865" s="21" t="s">
        <v>1145</v>
      </c>
      <c r="D2865" s="21" t="s">
        <v>35</v>
      </c>
      <c r="E2865" s="18" t="s">
        <v>742</v>
      </c>
      <c r="F2865" s="18" t="s">
        <v>187</v>
      </c>
      <c r="G2865" s="18" t="s">
        <v>48</v>
      </c>
      <c r="H2865" s="24">
        <v>50970</v>
      </c>
      <c r="I2865" s="24">
        <f>T_reg.root.SK[[#This Row],[Volume, kg]]/1000</f>
        <v>50.97</v>
      </c>
      <c r="J2865" s="25">
        <v>0.2412</v>
      </c>
      <c r="K2865" s="25">
        <f t="shared" si="44"/>
        <v>12293.964</v>
      </c>
      <c r="L2865" s="25">
        <v>3.4</v>
      </c>
      <c r="M2865" s="24">
        <v>173249</v>
      </c>
      <c r="N2865" s="25">
        <f>IFERROR(T_reg.root.SK[[#This Row],[Price]]/T_reg.root.SK[[#This Row],[Starch content]],"")</f>
        <v>14.096185737976782</v>
      </c>
    </row>
    <row r="2866" spans="1:14">
      <c r="A2866" s="21">
        <v>2024</v>
      </c>
      <c r="B2866" s="21" t="s">
        <v>21</v>
      </c>
      <c r="C2866" s="21" t="s">
        <v>1145</v>
      </c>
      <c r="D2866" s="21" t="s">
        <v>35</v>
      </c>
      <c r="E2866" s="18" t="s">
        <v>527</v>
      </c>
      <c r="F2866" s="18" t="s">
        <v>187</v>
      </c>
      <c r="G2866" s="18" t="s">
        <v>48</v>
      </c>
      <c r="H2866" s="24">
        <v>7970</v>
      </c>
      <c r="I2866" s="24">
        <f>T_reg.root.SK[[#This Row],[Volume, kg]]/1000</f>
        <v>7.97</v>
      </c>
      <c r="J2866" s="25">
        <v>0.1515</v>
      </c>
      <c r="K2866" s="25">
        <f t="shared" si="44"/>
        <v>1207.4549999999999</v>
      </c>
      <c r="L2866" s="25">
        <v>2.7</v>
      </c>
      <c r="M2866" s="24">
        <v>21519</v>
      </c>
      <c r="N2866" s="25">
        <f>IFERROR(T_reg.root.SK[[#This Row],[Price]]/T_reg.root.SK[[#This Row],[Starch content]],"")</f>
        <v>17.821782178217823</v>
      </c>
    </row>
    <row r="2867" spans="1:14">
      <c r="A2867" s="21">
        <v>2024</v>
      </c>
      <c r="B2867" s="21" t="s">
        <v>21</v>
      </c>
      <c r="C2867" s="21" t="s">
        <v>1145</v>
      </c>
      <c r="D2867" s="21" t="s">
        <v>35</v>
      </c>
      <c r="E2867" s="18" t="s">
        <v>702</v>
      </c>
      <c r="F2867" s="18" t="s">
        <v>187</v>
      </c>
      <c r="G2867" s="18" t="s">
        <v>48</v>
      </c>
      <c r="H2867" s="24">
        <v>39360</v>
      </c>
      <c r="I2867" s="24">
        <f>T_reg.root.SK[[#This Row],[Volume, kg]]/1000</f>
        <v>39.36</v>
      </c>
      <c r="J2867" s="25">
        <v>0.25679999999999997</v>
      </c>
      <c r="K2867" s="25">
        <f t="shared" si="44"/>
        <v>10107.647999999999</v>
      </c>
      <c r="L2867" s="25">
        <v>3.43</v>
      </c>
      <c r="M2867" s="24">
        <v>135201.5</v>
      </c>
      <c r="N2867" s="25">
        <f>IFERROR(T_reg.root.SK[[#This Row],[Price]]/T_reg.root.SK[[#This Row],[Starch content]],"")</f>
        <v>13.356697819314643</v>
      </c>
    </row>
    <row r="2868" spans="1:14">
      <c r="A2868" s="21">
        <v>2024</v>
      </c>
      <c r="B2868" s="21" t="s">
        <v>21</v>
      </c>
      <c r="C2868" s="21" t="s">
        <v>1145</v>
      </c>
      <c r="D2868" s="21" t="s">
        <v>35</v>
      </c>
      <c r="E2868" s="18" t="s">
        <v>332</v>
      </c>
      <c r="F2868" s="18" t="s">
        <v>187</v>
      </c>
      <c r="G2868" s="18" t="s">
        <v>48</v>
      </c>
      <c r="H2868" s="24">
        <v>43670</v>
      </c>
      <c r="I2868" s="24">
        <f>T_reg.root.SK[[#This Row],[Volume, kg]]/1000</f>
        <v>43.67</v>
      </c>
      <c r="J2868" s="25">
        <v>0.25170000000000003</v>
      </c>
      <c r="K2868" s="25">
        <f t="shared" si="44"/>
        <v>10991.739000000001</v>
      </c>
      <c r="L2868" s="25">
        <v>3.42</v>
      </c>
      <c r="M2868" s="24">
        <v>149412</v>
      </c>
      <c r="N2868" s="25">
        <f>IFERROR(T_reg.root.SK[[#This Row],[Price]]/T_reg.root.SK[[#This Row],[Starch content]],"")</f>
        <v>13.587604290822405</v>
      </c>
    </row>
    <row r="2869" spans="1:14">
      <c r="A2869" s="21">
        <v>2024</v>
      </c>
      <c r="B2869" s="21" t="s">
        <v>21</v>
      </c>
      <c r="C2869" s="21" t="s">
        <v>1145</v>
      </c>
      <c r="D2869" s="21" t="s">
        <v>35</v>
      </c>
      <c r="E2869" s="18" t="s">
        <v>265</v>
      </c>
      <c r="F2869" s="18" t="s">
        <v>187</v>
      </c>
      <c r="G2869" s="18" t="s">
        <v>48</v>
      </c>
      <c r="H2869" s="24">
        <v>41720</v>
      </c>
      <c r="I2869" s="24">
        <f>T_reg.root.SK[[#This Row],[Volume, kg]]/1000</f>
        <v>41.72</v>
      </c>
      <c r="J2869" s="25">
        <v>0.2366</v>
      </c>
      <c r="K2869" s="25">
        <f t="shared" si="44"/>
        <v>9870.9519999999993</v>
      </c>
      <c r="L2869" s="25">
        <v>3.23</v>
      </c>
      <c r="M2869" s="24">
        <v>134702.5</v>
      </c>
      <c r="N2869" s="25">
        <f>IFERROR(T_reg.root.SK[[#This Row],[Price]]/T_reg.root.SK[[#This Row],[Starch content]],"")</f>
        <v>13.651732882502113</v>
      </c>
    </row>
    <row r="2870" spans="1:14">
      <c r="A2870" s="21">
        <v>2024</v>
      </c>
      <c r="B2870" s="21" t="s">
        <v>21</v>
      </c>
      <c r="C2870" s="21" t="s">
        <v>1145</v>
      </c>
      <c r="D2870" s="21" t="s">
        <v>35</v>
      </c>
      <c r="E2870" s="18" t="s">
        <v>267</v>
      </c>
      <c r="F2870" s="18" t="s">
        <v>187</v>
      </c>
      <c r="G2870" s="18" t="s">
        <v>48</v>
      </c>
      <c r="H2870" s="24">
        <v>15990</v>
      </c>
      <c r="I2870" s="24">
        <f>T_reg.root.SK[[#This Row],[Volume, kg]]/1000</f>
        <v>15.99</v>
      </c>
      <c r="J2870" s="25">
        <v>0.215</v>
      </c>
      <c r="K2870" s="25">
        <f t="shared" si="44"/>
        <v>3437.85</v>
      </c>
      <c r="L2870" s="25">
        <v>3.07</v>
      </c>
      <c r="M2870" s="24">
        <v>49144</v>
      </c>
      <c r="N2870" s="25">
        <f>IFERROR(T_reg.root.SK[[#This Row],[Price]]/T_reg.root.SK[[#This Row],[Starch content]],"")</f>
        <v>14.279069767441859</v>
      </c>
    </row>
    <row r="2871" spans="1:14">
      <c r="A2871" s="21">
        <v>2024</v>
      </c>
      <c r="B2871" s="21" t="s">
        <v>21</v>
      </c>
      <c r="C2871" s="21" t="s">
        <v>1145</v>
      </c>
      <c r="D2871" s="21" t="s">
        <v>35</v>
      </c>
      <c r="E2871" s="18" t="s">
        <v>688</v>
      </c>
      <c r="F2871" s="18" t="s">
        <v>187</v>
      </c>
      <c r="G2871" s="18" t="s">
        <v>48</v>
      </c>
      <c r="H2871" s="24">
        <v>24780</v>
      </c>
      <c r="I2871" s="24">
        <f>T_reg.root.SK[[#This Row],[Volume, kg]]/1000</f>
        <v>24.78</v>
      </c>
      <c r="J2871" s="25">
        <v>0.1696</v>
      </c>
      <c r="K2871" s="25">
        <f t="shared" si="44"/>
        <v>4202.6880000000001</v>
      </c>
      <c r="L2871" s="25">
        <v>2.86</v>
      </c>
      <c r="M2871" s="24">
        <v>70863.5</v>
      </c>
      <c r="N2871" s="25">
        <f>IFERROR(T_reg.root.SK[[#This Row],[Price]]/T_reg.root.SK[[#This Row],[Starch content]],"")</f>
        <v>16.863207547169811</v>
      </c>
    </row>
    <row r="2872" spans="1:14">
      <c r="A2872" s="21">
        <v>2024</v>
      </c>
      <c r="B2872" s="21" t="s">
        <v>21</v>
      </c>
      <c r="C2872" s="21" t="s">
        <v>1145</v>
      </c>
      <c r="D2872" s="21" t="s">
        <v>35</v>
      </c>
      <c r="E2872" s="18" t="s">
        <v>208</v>
      </c>
      <c r="F2872" s="18" t="s">
        <v>187</v>
      </c>
      <c r="G2872" s="18" t="s">
        <v>48</v>
      </c>
      <c r="H2872" s="24">
        <v>18710</v>
      </c>
      <c r="I2872" s="24">
        <f>T_reg.root.SK[[#This Row],[Volume, kg]]/1000</f>
        <v>18.71</v>
      </c>
      <c r="J2872" s="25">
        <v>0.20149999999999998</v>
      </c>
      <c r="K2872" s="25">
        <f t="shared" si="44"/>
        <v>3770.0649999999996</v>
      </c>
      <c r="L2872" s="25">
        <v>2.95</v>
      </c>
      <c r="M2872" s="24">
        <v>55189</v>
      </c>
      <c r="N2872" s="25">
        <f>IFERROR(T_reg.root.SK[[#This Row],[Price]]/T_reg.root.SK[[#This Row],[Starch content]],"")</f>
        <v>14.640198511166256</v>
      </c>
    </row>
    <row r="2873" spans="1:14">
      <c r="A2873" s="21">
        <v>2024</v>
      </c>
      <c r="B2873" s="21" t="s">
        <v>21</v>
      </c>
      <c r="C2873" s="21" t="s">
        <v>1145</v>
      </c>
      <c r="D2873" s="21" t="s">
        <v>35</v>
      </c>
      <c r="E2873" s="18" t="s">
        <v>209</v>
      </c>
      <c r="F2873" s="18" t="s">
        <v>187</v>
      </c>
      <c r="G2873" s="18" t="s">
        <v>48</v>
      </c>
      <c r="H2873" s="24">
        <v>9110</v>
      </c>
      <c r="I2873" s="24">
        <f>T_reg.root.SK[[#This Row],[Volume, kg]]/1000</f>
        <v>9.11</v>
      </c>
      <c r="J2873" s="25">
        <v>0.2515</v>
      </c>
      <c r="K2873" s="25">
        <f t="shared" si="44"/>
        <v>2291.165</v>
      </c>
      <c r="L2873" s="25">
        <v>3.25</v>
      </c>
      <c r="M2873" s="24">
        <v>29607.5</v>
      </c>
      <c r="N2873" s="25">
        <f>IFERROR(T_reg.root.SK[[#This Row],[Price]]/T_reg.root.SK[[#This Row],[Starch content]],"")</f>
        <v>12.922465208747514</v>
      </c>
    </row>
    <row r="2874" spans="1:14">
      <c r="A2874" s="21">
        <v>2024</v>
      </c>
      <c r="B2874" s="21" t="s">
        <v>21</v>
      </c>
      <c r="C2874" s="21" t="s">
        <v>1145</v>
      </c>
      <c r="D2874" s="21" t="s">
        <v>35</v>
      </c>
      <c r="E2874" s="18" t="s">
        <v>689</v>
      </c>
      <c r="F2874" s="18" t="s">
        <v>187</v>
      </c>
      <c r="G2874" s="18" t="s">
        <v>48</v>
      </c>
      <c r="H2874" s="24">
        <v>125820</v>
      </c>
      <c r="I2874" s="24">
        <f>T_reg.root.SK[[#This Row],[Volume, kg]]/1000</f>
        <v>125.82</v>
      </c>
      <c r="J2874" s="25">
        <v>0.2175</v>
      </c>
      <c r="K2874" s="25">
        <f t="shared" si="44"/>
        <v>27365.85</v>
      </c>
      <c r="L2874" s="25">
        <v>3.04</v>
      </c>
      <c r="M2874" s="24">
        <v>382684.5</v>
      </c>
      <c r="N2874" s="25">
        <f>IFERROR(T_reg.root.SK[[#This Row],[Price]]/T_reg.root.SK[[#This Row],[Starch content]],"")</f>
        <v>13.977011494252874</v>
      </c>
    </row>
    <row r="2875" spans="1:14">
      <c r="A2875" s="21">
        <v>2024</v>
      </c>
      <c r="B2875" s="21" t="s">
        <v>21</v>
      </c>
      <c r="C2875" s="21" t="s">
        <v>1145</v>
      </c>
      <c r="D2875" s="21" t="s">
        <v>35</v>
      </c>
      <c r="E2875" s="18" t="s">
        <v>210</v>
      </c>
      <c r="F2875" s="18" t="s">
        <v>187</v>
      </c>
      <c r="G2875" s="18" t="s">
        <v>48</v>
      </c>
      <c r="H2875" s="24">
        <v>39720</v>
      </c>
      <c r="I2875" s="24">
        <f>T_reg.root.SK[[#This Row],[Volume, kg]]/1000</f>
        <v>39.72</v>
      </c>
      <c r="J2875" s="25">
        <v>0.22940000000000002</v>
      </c>
      <c r="K2875" s="25">
        <f t="shared" si="44"/>
        <v>9111.768</v>
      </c>
      <c r="L2875" s="25">
        <v>3.05</v>
      </c>
      <c r="M2875" s="24">
        <v>121175.5</v>
      </c>
      <c r="N2875" s="25">
        <f>IFERROR(T_reg.root.SK[[#This Row],[Price]]/T_reg.root.SK[[#This Row],[Starch content]],"")</f>
        <v>13.295553618134262</v>
      </c>
    </row>
    <row r="2876" spans="1:14">
      <c r="A2876" s="21">
        <v>2024</v>
      </c>
      <c r="B2876" s="21" t="s">
        <v>21</v>
      </c>
      <c r="C2876" s="21" t="s">
        <v>1145</v>
      </c>
      <c r="D2876" s="21" t="s">
        <v>35</v>
      </c>
      <c r="E2876" s="18" t="s">
        <v>743</v>
      </c>
      <c r="F2876" s="18" t="s">
        <v>187</v>
      </c>
      <c r="G2876" s="18" t="s">
        <v>48</v>
      </c>
      <c r="H2876" s="24">
        <v>43210</v>
      </c>
      <c r="I2876" s="24">
        <f>T_reg.root.SK[[#This Row],[Volume, kg]]/1000</f>
        <v>43.21</v>
      </c>
      <c r="J2876" s="25">
        <v>0.20989999999999998</v>
      </c>
      <c r="K2876" s="25">
        <f t="shared" si="44"/>
        <v>9069.7789999999986</v>
      </c>
      <c r="L2876" s="25">
        <v>3.11</v>
      </c>
      <c r="M2876" s="24">
        <v>134413</v>
      </c>
      <c r="N2876" s="25">
        <f>IFERROR(T_reg.root.SK[[#This Row],[Price]]/T_reg.root.SK[[#This Row],[Starch content]],"")</f>
        <v>14.816579323487376</v>
      </c>
    </row>
    <row r="2877" spans="1:14">
      <c r="A2877" s="21">
        <v>2024</v>
      </c>
      <c r="B2877" s="21" t="s">
        <v>21</v>
      </c>
      <c r="C2877" s="21" t="s">
        <v>1145</v>
      </c>
      <c r="D2877" s="21" t="s">
        <v>35</v>
      </c>
      <c r="E2877" s="18" t="s">
        <v>211</v>
      </c>
      <c r="F2877" s="18" t="s">
        <v>187</v>
      </c>
      <c r="G2877" s="18" t="s">
        <v>48</v>
      </c>
      <c r="H2877" s="24">
        <v>32260</v>
      </c>
      <c r="I2877" s="24">
        <f>T_reg.root.SK[[#This Row],[Volume, kg]]/1000</f>
        <v>32.26</v>
      </c>
      <c r="J2877" s="25">
        <v>0.18640000000000001</v>
      </c>
      <c r="K2877" s="25">
        <f t="shared" si="44"/>
        <v>6013.2640000000001</v>
      </c>
      <c r="L2877" s="25">
        <v>3.11</v>
      </c>
      <c r="M2877" s="24">
        <v>100332</v>
      </c>
      <c r="N2877" s="25">
        <f>IFERROR(T_reg.root.SK[[#This Row],[Price]]/T_reg.root.SK[[#This Row],[Starch content]],"")</f>
        <v>16.684549356223176</v>
      </c>
    </row>
    <row r="2878" spans="1:14">
      <c r="A2878" s="21">
        <v>2024</v>
      </c>
      <c r="B2878" s="21" t="s">
        <v>21</v>
      </c>
      <c r="C2878" s="21" t="s">
        <v>1145</v>
      </c>
      <c r="D2878" s="21" t="s">
        <v>35</v>
      </c>
      <c r="E2878" s="18" t="s">
        <v>213</v>
      </c>
      <c r="F2878" s="18" t="s">
        <v>187</v>
      </c>
      <c r="G2878" s="18" t="s">
        <v>48</v>
      </c>
      <c r="H2878" s="24">
        <v>21170</v>
      </c>
      <c r="I2878" s="24">
        <f>T_reg.root.SK[[#This Row],[Volume, kg]]/1000</f>
        <v>21.17</v>
      </c>
      <c r="J2878" s="25">
        <v>0.26440000000000002</v>
      </c>
      <c r="K2878" s="25">
        <f t="shared" si="44"/>
        <v>5597.3480000000009</v>
      </c>
      <c r="L2878" s="25">
        <v>3.5</v>
      </c>
      <c r="M2878" s="24">
        <v>74066.5</v>
      </c>
      <c r="N2878" s="25">
        <f>IFERROR(T_reg.root.SK[[#This Row],[Price]]/T_reg.root.SK[[#This Row],[Starch content]],"")</f>
        <v>13.237518910741301</v>
      </c>
    </row>
    <row r="2879" spans="1:14">
      <c r="A2879" s="21">
        <v>2024</v>
      </c>
      <c r="B2879" s="21" t="s">
        <v>21</v>
      </c>
      <c r="C2879" s="21" t="s">
        <v>1145</v>
      </c>
      <c r="D2879" s="21" t="s">
        <v>35</v>
      </c>
      <c r="E2879" s="18" t="s">
        <v>408</v>
      </c>
      <c r="F2879" s="18" t="s">
        <v>187</v>
      </c>
      <c r="G2879" s="18" t="s">
        <v>48</v>
      </c>
      <c r="H2879" s="24">
        <v>65980</v>
      </c>
      <c r="I2879" s="24">
        <f>T_reg.root.SK[[#This Row],[Volume, kg]]/1000</f>
        <v>65.98</v>
      </c>
      <c r="J2879" s="25">
        <v>0.22390000000000002</v>
      </c>
      <c r="K2879" s="25">
        <f t="shared" si="44"/>
        <v>14772.922</v>
      </c>
      <c r="L2879" s="25">
        <v>3.32</v>
      </c>
      <c r="M2879" s="24">
        <v>219107.5</v>
      </c>
      <c r="N2879" s="25">
        <f>IFERROR(T_reg.root.SK[[#This Row],[Price]]/T_reg.root.SK[[#This Row],[Starch content]],"")</f>
        <v>14.82804823581956</v>
      </c>
    </row>
    <row r="2880" spans="1:14">
      <c r="A2880" s="21">
        <v>2024</v>
      </c>
      <c r="B2880" s="21" t="s">
        <v>21</v>
      </c>
      <c r="C2880" s="21" t="s">
        <v>1145</v>
      </c>
      <c r="D2880" s="21" t="s">
        <v>35</v>
      </c>
      <c r="E2880" s="18" t="s">
        <v>538</v>
      </c>
      <c r="F2880" s="18" t="s">
        <v>187</v>
      </c>
      <c r="G2880" s="18" t="s">
        <v>48</v>
      </c>
      <c r="H2880" s="24">
        <v>33260</v>
      </c>
      <c r="I2880" s="24">
        <f>T_reg.root.SK[[#This Row],[Volume, kg]]/1000</f>
        <v>33.26</v>
      </c>
      <c r="J2880" s="25">
        <v>0.2041</v>
      </c>
      <c r="K2880" s="25">
        <f t="shared" si="44"/>
        <v>6788.366</v>
      </c>
      <c r="L2880" s="25">
        <v>3.03</v>
      </c>
      <c r="M2880" s="24">
        <v>100673</v>
      </c>
      <c r="N2880" s="25">
        <f>IFERROR(T_reg.root.SK[[#This Row],[Price]]/T_reg.root.SK[[#This Row],[Starch content]],"")</f>
        <v>14.845663890249876</v>
      </c>
    </row>
    <row r="2881" spans="1:14">
      <c r="A2881" s="21">
        <v>2024</v>
      </c>
      <c r="B2881" s="21" t="s">
        <v>21</v>
      </c>
      <c r="C2881" s="21" t="s">
        <v>1145</v>
      </c>
      <c r="D2881" s="21" t="s">
        <v>35</v>
      </c>
      <c r="E2881" s="18" t="s">
        <v>691</v>
      </c>
      <c r="F2881" s="18" t="s">
        <v>187</v>
      </c>
      <c r="G2881" s="18" t="s">
        <v>48</v>
      </c>
      <c r="H2881" s="24">
        <v>18960</v>
      </c>
      <c r="I2881" s="24">
        <f>T_reg.root.SK[[#This Row],[Volume, kg]]/1000</f>
        <v>18.96</v>
      </c>
      <c r="J2881" s="25">
        <v>0.2646</v>
      </c>
      <c r="K2881" s="25">
        <f t="shared" si="44"/>
        <v>5016.8159999999998</v>
      </c>
      <c r="L2881" s="25">
        <v>3.22</v>
      </c>
      <c r="M2881" s="24">
        <v>61135</v>
      </c>
      <c r="N2881" s="25">
        <f>IFERROR(T_reg.root.SK[[#This Row],[Price]]/T_reg.root.SK[[#This Row],[Starch content]],"")</f>
        <v>12.169312169312169</v>
      </c>
    </row>
    <row r="2882" spans="1:14">
      <c r="A2882" s="21">
        <v>2024</v>
      </c>
      <c r="B2882" s="21" t="s">
        <v>21</v>
      </c>
      <c r="C2882" s="21" t="s">
        <v>1145</v>
      </c>
      <c r="D2882" s="21" t="s">
        <v>35</v>
      </c>
      <c r="E2882" s="18" t="s">
        <v>542</v>
      </c>
      <c r="F2882" s="18" t="s">
        <v>187</v>
      </c>
      <c r="G2882" s="18" t="s">
        <v>48</v>
      </c>
      <c r="H2882" s="24">
        <v>131940</v>
      </c>
      <c r="I2882" s="24">
        <f>T_reg.root.SK[[#This Row],[Volume, kg]]/1000</f>
        <v>131.94</v>
      </c>
      <c r="J2882" s="25">
        <v>0.22390000000000002</v>
      </c>
      <c r="K2882" s="25">
        <f t="shared" si="44"/>
        <v>29541.366000000002</v>
      </c>
      <c r="L2882" s="25">
        <v>3.2</v>
      </c>
      <c r="M2882" s="24">
        <v>421849.5</v>
      </c>
      <c r="N2882" s="25">
        <f>IFERROR(T_reg.root.SK[[#This Row],[Price]]/T_reg.root.SK[[#This Row],[Starch content]],"")</f>
        <v>14.292094685127289</v>
      </c>
    </row>
    <row r="2883" spans="1:14">
      <c r="A2883" s="21">
        <v>2024</v>
      </c>
      <c r="B2883" s="21" t="s">
        <v>21</v>
      </c>
      <c r="C2883" s="21" t="s">
        <v>1145</v>
      </c>
      <c r="D2883" s="21" t="s">
        <v>35</v>
      </c>
      <c r="E2883" s="18" t="s">
        <v>335</v>
      </c>
      <c r="F2883" s="18" t="s">
        <v>187</v>
      </c>
      <c r="G2883" s="18" t="s">
        <v>48</v>
      </c>
      <c r="H2883" s="24">
        <v>30280</v>
      </c>
      <c r="I2883" s="24">
        <f>T_reg.root.SK[[#This Row],[Volume, kg]]/1000</f>
        <v>30.28</v>
      </c>
      <c r="J2883" s="25">
        <v>0.26090000000000002</v>
      </c>
      <c r="K2883" s="25">
        <f t="shared" ref="K2883:K2946" si="45">H2883*J2883</f>
        <v>7900.0520000000006</v>
      </c>
      <c r="L2883" s="25">
        <v>3.28</v>
      </c>
      <c r="M2883" s="24">
        <v>99169.5</v>
      </c>
      <c r="N2883" s="25">
        <f>IFERROR(T_reg.root.SK[[#This Row],[Price]]/T_reg.root.SK[[#This Row],[Starch content]],"")</f>
        <v>12.571866615561516</v>
      </c>
    </row>
    <row r="2884" spans="1:14">
      <c r="A2884" s="21">
        <v>2024</v>
      </c>
      <c r="B2884" s="21" t="s">
        <v>21</v>
      </c>
      <c r="C2884" s="21" t="s">
        <v>1145</v>
      </c>
      <c r="D2884" s="21" t="s">
        <v>35</v>
      </c>
      <c r="E2884" s="18" t="s">
        <v>216</v>
      </c>
      <c r="F2884" s="18" t="s">
        <v>187</v>
      </c>
      <c r="G2884" s="18" t="s">
        <v>48</v>
      </c>
      <c r="H2884" s="24">
        <v>60320</v>
      </c>
      <c r="I2884" s="24">
        <f>T_reg.root.SK[[#This Row],[Volume, kg]]/1000</f>
        <v>60.32</v>
      </c>
      <c r="J2884" s="25">
        <v>0.17800000000000002</v>
      </c>
      <c r="K2884" s="25">
        <f t="shared" si="45"/>
        <v>10736.960000000001</v>
      </c>
      <c r="L2884" s="25">
        <v>2.9</v>
      </c>
      <c r="M2884" s="24">
        <v>174994.5</v>
      </c>
      <c r="N2884" s="25">
        <f>IFERROR(T_reg.root.SK[[#This Row],[Price]]/T_reg.root.SK[[#This Row],[Starch content]],"")</f>
        <v>16.292134831460672</v>
      </c>
    </row>
    <row r="2885" spans="1:14">
      <c r="A2885" s="21">
        <v>2024</v>
      </c>
      <c r="B2885" s="21" t="s">
        <v>21</v>
      </c>
      <c r="C2885" s="21" t="s">
        <v>1145</v>
      </c>
      <c r="D2885" s="21" t="s">
        <v>35</v>
      </c>
      <c r="E2885" s="18" t="s">
        <v>270</v>
      </c>
      <c r="F2885" s="18" t="s">
        <v>187</v>
      </c>
      <c r="G2885" s="18" t="s">
        <v>48</v>
      </c>
      <c r="H2885" s="24">
        <v>9720</v>
      </c>
      <c r="I2885" s="24">
        <f>T_reg.root.SK[[#This Row],[Volume, kg]]/1000</f>
        <v>9.7200000000000006</v>
      </c>
      <c r="J2885" s="25">
        <v>0.20899999999999999</v>
      </c>
      <c r="K2885" s="25">
        <f t="shared" si="45"/>
        <v>2031.48</v>
      </c>
      <c r="L2885" s="25">
        <v>3</v>
      </c>
      <c r="M2885" s="24">
        <v>29160</v>
      </c>
      <c r="N2885" s="25">
        <f>IFERROR(T_reg.root.SK[[#This Row],[Price]]/T_reg.root.SK[[#This Row],[Starch content]],"")</f>
        <v>14.354066985645934</v>
      </c>
    </row>
    <row r="2886" spans="1:14">
      <c r="A2886" s="21">
        <v>2024</v>
      </c>
      <c r="B2886" s="21" t="s">
        <v>22</v>
      </c>
      <c r="C2886" s="21" t="s">
        <v>1145</v>
      </c>
      <c r="D2886" s="21" t="s">
        <v>35</v>
      </c>
      <c r="E2886" s="18" t="s">
        <v>728</v>
      </c>
      <c r="F2886" s="18" t="s">
        <v>37</v>
      </c>
      <c r="G2886" s="18" t="s">
        <v>38</v>
      </c>
      <c r="H2886" s="24">
        <v>71230</v>
      </c>
      <c r="I2886" s="24">
        <f>T_reg.root.SK[[#This Row],[Volume, kg]]/1000</f>
        <v>71.23</v>
      </c>
      <c r="J2886" s="25">
        <v>0.18109999999999998</v>
      </c>
      <c r="K2886" s="25">
        <f t="shared" si="45"/>
        <v>12899.752999999999</v>
      </c>
      <c r="L2886" s="25">
        <v>2.96</v>
      </c>
      <c r="M2886" s="24">
        <v>210493</v>
      </c>
      <c r="N2886" s="25">
        <f>IFERROR(T_reg.root.SK[[#This Row],[Price]]/T_reg.root.SK[[#This Row],[Starch content]],"")</f>
        <v>16.344561016013255</v>
      </c>
    </row>
    <row r="2887" spans="1:14">
      <c r="A2887" s="21">
        <v>2024</v>
      </c>
      <c r="B2887" s="21" t="s">
        <v>22</v>
      </c>
      <c r="C2887" s="21" t="s">
        <v>1145</v>
      </c>
      <c r="D2887" s="21" t="s">
        <v>35</v>
      </c>
      <c r="E2887" s="18" t="s">
        <v>651</v>
      </c>
      <c r="F2887" s="18" t="s">
        <v>37</v>
      </c>
      <c r="G2887" s="18" t="s">
        <v>38</v>
      </c>
      <c r="H2887" s="24">
        <v>126610</v>
      </c>
      <c r="I2887" s="24">
        <f>T_reg.root.SK[[#This Row],[Volume, kg]]/1000</f>
        <v>126.61</v>
      </c>
      <c r="J2887" s="25">
        <v>0.21390000000000001</v>
      </c>
      <c r="K2887" s="25">
        <f t="shared" si="45"/>
        <v>27081.879000000001</v>
      </c>
      <c r="L2887" s="25">
        <v>3.07</v>
      </c>
      <c r="M2887" s="24">
        <v>388660.5</v>
      </c>
      <c r="N2887" s="25">
        <f>IFERROR(T_reg.root.SK[[#This Row],[Price]]/T_reg.root.SK[[#This Row],[Starch content]],"")</f>
        <v>14.352501168770452</v>
      </c>
    </row>
    <row r="2888" spans="1:14">
      <c r="A2888" s="21">
        <v>2024</v>
      </c>
      <c r="B2888" s="21" t="s">
        <v>22</v>
      </c>
      <c r="C2888" s="21" t="s">
        <v>1145</v>
      </c>
      <c r="D2888" s="21" t="s">
        <v>35</v>
      </c>
      <c r="E2888" s="18" t="s">
        <v>457</v>
      </c>
      <c r="F2888" s="18" t="s">
        <v>47</v>
      </c>
      <c r="G2888" s="18" t="s">
        <v>48</v>
      </c>
      <c r="H2888" s="24">
        <v>30440</v>
      </c>
      <c r="I2888" s="24">
        <f>T_reg.root.SK[[#This Row],[Volume, kg]]/1000</f>
        <v>30.44</v>
      </c>
      <c r="J2888" s="25">
        <v>0.19899999999999998</v>
      </c>
      <c r="K2888" s="25">
        <f t="shared" si="45"/>
        <v>6057.5599999999995</v>
      </c>
      <c r="L2888" s="25">
        <v>2.95</v>
      </c>
      <c r="M2888" s="24">
        <v>89746.5</v>
      </c>
      <c r="N2888" s="25">
        <f>IFERROR(T_reg.root.SK[[#This Row],[Price]]/T_reg.root.SK[[#This Row],[Starch content]],"")</f>
        <v>14.824120603015077</v>
      </c>
    </row>
    <row r="2889" spans="1:14">
      <c r="A2889" s="21">
        <v>2024</v>
      </c>
      <c r="B2889" s="21" t="s">
        <v>22</v>
      </c>
      <c r="C2889" s="21" t="s">
        <v>1145</v>
      </c>
      <c r="D2889" s="21" t="s">
        <v>35</v>
      </c>
      <c r="E2889" s="18" t="s">
        <v>78</v>
      </c>
      <c r="F2889" s="18" t="s">
        <v>47</v>
      </c>
      <c r="G2889" s="18" t="s">
        <v>48</v>
      </c>
      <c r="H2889" s="24">
        <v>44240</v>
      </c>
      <c r="I2889" s="24">
        <f>T_reg.root.SK[[#This Row],[Volume, kg]]/1000</f>
        <v>44.24</v>
      </c>
      <c r="J2889" s="25">
        <v>0.23469999999999999</v>
      </c>
      <c r="K2889" s="25">
        <f t="shared" si="45"/>
        <v>10383.127999999999</v>
      </c>
      <c r="L2889" s="25">
        <v>3.07</v>
      </c>
      <c r="M2889" s="24">
        <v>135897.5</v>
      </c>
      <c r="N2889" s="25">
        <f>IFERROR(T_reg.root.SK[[#This Row],[Price]]/T_reg.root.SK[[#This Row],[Starch content]],"")</f>
        <v>13.080528334043459</v>
      </c>
    </row>
    <row r="2890" spans="1:14">
      <c r="A2890" s="21">
        <v>2024</v>
      </c>
      <c r="B2890" s="21" t="s">
        <v>22</v>
      </c>
      <c r="C2890" s="21" t="s">
        <v>1145</v>
      </c>
      <c r="D2890" s="21" t="s">
        <v>35</v>
      </c>
      <c r="E2890" s="18" t="s">
        <v>53</v>
      </c>
      <c r="F2890" s="18" t="s">
        <v>47</v>
      </c>
      <c r="G2890" s="18" t="s">
        <v>48</v>
      </c>
      <c r="H2890" s="24">
        <v>8780</v>
      </c>
      <c r="I2890" s="24">
        <f>T_reg.root.SK[[#This Row],[Volume, kg]]/1000</f>
        <v>8.7799999999999994</v>
      </c>
      <c r="J2890" s="25">
        <v>0.20350000000000001</v>
      </c>
      <c r="K2890" s="25">
        <f t="shared" si="45"/>
        <v>1786.73</v>
      </c>
      <c r="L2890" s="25">
        <v>3</v>
      </c>
      <c r="M2890" s="24">
        <v>26340</v>
      </c>
      <c r="N2890" s="25">
        <f>IFERROR(T_reg.root.SK[[#This Row],[Price]]/T_reg.root.SK[[#This Row],[Starch content]],"")</f>
        <v>14.74201474201474</v>
      </c>
    </row>
    <row r="2891" spans="1:14">
      <c r="A2891" s="21">
        <v>2024</v>
      </c>
      <c r="B2891" s="21" t="s">
        <v>22</v>
      </c>
      <c r="C2891" s="21" t="s">
        <v>1145</v>
      </c>
      <c r="D2891" s="21" t="s">
        <v>35</v>
      </c>
      <c r="E2891" s="18" t="s">
        <v>744</v>
      </c>
      <c r="F2891" s="18" t="s">
        <v>47</v>
      </c>
      <c r="G2891" s="18" t="s">
        <v>48</v>
      </c>
      <c r="H2891" s="24">
        <v>11520</v>
      </c>
      <c r="I2891" s="24">
        <f>T_reg.root.SK[[#This Row],[Volume, kg]]/1000</f>
        <v>11.52</v>
      </c>
      <c r="J2891" s="25">
        <v>0.16079999999999997</v>
      </c>
      <c r="K2891" s="25">
        <f t="shared" si="45"/>
        <v>1852.4159999999997</v>
      </c>
      <c r="L2891" s="25">
        <v>2.65</v>
      </c>
      <c r="M2891" s="24">
        <v>30480</v>
      </c>
      <c r="N2891" s="25">
        <f>IFERROR(T_reg.root.SK[[#This Row],[Price]]/T_reg.root.SK[[#This Row],[Starch content]],"")</f>
        <v>16.480099502487565</v>
      </c>
    </row>
    <row r="2892" spans="1:14">
      <c r="A2892" s="21">
        <v>2024</v>
      </c>
      <c r="B2892" s="21" t="s">
        <v>22</v>
      </c>
      <c r="C2892" s="21" t="s">
        <v>1145</v>
      </c>
      <c r="D2892" s="21" t="s">
        <v>35</v>
      </c>
      <c r="E2892" s="18" t="s">
        <v>58</v>
      </c>
      <c r="F2892" s="18" t="s">
        <v>47</v>
      </c>
      <c r="G2892" s="18" t="s">
        <v>48</v>
      </c>
      <c r="H2892" s="24">
        <v>77140</v>
      </c>
      <c r="I2892" s="24">
        <f>T_reg.root.SK[[#This Row],[Volume, kg]]/1000</f>
        <v>77.14</v>
      </c>
      <c r="J2892" s="25">
        <v>0.17809999999999998</v>
      </c>
      <c r="K2892" s="25">
        <f t="shared" si="45"/>
        <v>13738.633999999998</v>
      </c>
      <c r="L2892" s="25">
        <v>2.84</v>
      </c>
      <c r="M2892" s="24">
        <v>219170.5</v>
      </c>
      <c r="N2892" s="25">
        <f>IFERROR(T_reg.root.SK[[#This Row],[Price]]/T_reg.root.SK[[#This Row],[Starch content]],"")</f>
        <v>15.946097697922516</v>
      </c>
    </row>
    <row r="2893" spans="1:14">
      <c r="A2893" s="21">
        <v>2024</v>
      </c>
      <c r="B2893" s="21" t="s">
        <v>22</v>
      </c>
      <c r="C2893" s="21" t="s">
        <v>1145</v>
      </c>
      <c r="D2893" s="21" t="s">
        <v>35</v>
      </c>
      <c r="E2893" s="18" t="s">
        <v>60</v>
      </c>
      <c r="F2893" s="18" t="s">
        <v>47</v>
      </c>
      <c r="G2893" s="18" t="s">
        <v>48</v>
      </c>
      <c r="H2893" s="24">
        <v>12080</v>
      </c>
      <c r="I2893" s="24">
        <f>T_reg.root.SK[[#This Row],[Volume, kg]]/1000</f>
        <v>12.08</v>
      </c>
      <c r="J2893" s="25">
        <v>0.16500000000000001</v>
      </c>
      <c r="K2893" s="25">
        <f t="shared" si="45"/>
        <v>1993.2</v>
      </c>
      <c r="L2893" s="25">
        <v>2.73</v>
      </c>
      <c r="M2893" s="24">
        <v>32923.5</v>
      </c>
      <c r="N2893" s="25">
        <f>IFERROR(T_reg.root.SK[[#This Row],[Price]]/T_reg.root.SK[[#This Row],[Starch content]],"")</f>
        <v>16.545454545454543</v>
      </c>
    </row>
    <row r="2894" spans="1:14">
      <c r="A2894" s="21">
        <v>2024</v>
      </c>
      <c r="B2894" s="21" t="s">
        <v>22</v>
      </c>
      <c r="C2894" s="21" t="s">
        <v>1145</v>
      </c>
      <c r="D2894" s="21" t="s">
        <v>35</v>
      </c>
      <c r="E2894" s="18" t="s">
        <v>224</v>
      </c>
      <c r="F2894" s="18" t="s">
        <v>47</v>
      </c>
      <c r="G2894" s="18" t="s">
        <v>48</v>
      </c>
      <c r="H2894" s="24">
        <v>19770</v>
      </c>
      <c r="I2894" s="24">
        <f>T_reg.root.SK[[#This Row],[Volume, kg]]/1000</f>
        <v>19.77</v>
      </c>
      <c r="J2894" s="25">
        <v>0.18179999999999999</v>
      </c>
      <c r="K2894" s="25">
        <f t="shared" si="45"/>
        <v>3594.1859999999997</v>
      </c>
      <c r="L2894" s="25">
        <v>2.8</v>
      </c>
      <c r="M2894" s="24">
        <v>55389.5</v>
      </c>
      <c r="N2894" s="25">
        <f>IFERROR(T_reg.root.SK[[#This Row],[Price]]/T_reg.root.SK[[#This Row],[Starch content]],"")</f>
        <v>15.401540154015402</v>
      </c>
    </row>
    <row r="2895" spans="1:14">
      <c r="A2895" s="21">
        <v>2024</v>
      </c>
      <c r="B2895" s="21" t="s">
        <v>22</v>
      </c>
      <c r="C2895" s="21" t="s">
        <v>1145</v>
      </c>
      <c r="D2895" s="21" t="s">
        <v>35</v>
      </c>
      <c r="E2895" s="18" t="s">
        <v>468</v>
      </c>
      <c r="F2895" s="18" t="s">
        <v>47</v>
      </c>
      <c r="G2895" s="18" t="s">
        <v>48</v>
      </c>
      <c r="H2895" s="24">
        <v>19010</v>
      </c>
      <c r="I2895" s="24">
        <f>T_reg.root.SK[[#This Row],[Volume, kg]]/1000</f>
        <v>19.010000000000002</v>
      </c>
      <c r="J2895" s="25">
        <v>0.19059999999999999</v>
      </c>
      <c r="K2895" s="25">
        <f t="shared" si="45"/>
        <v>3623.306</v>
      </c>
      <c r="L2895" s="25">
        <v>2.85</v>
      </c>
      <c r="M2895" s="24">
        <v>54178.5</v>
      </c>
      <c r="N2895" s="25">
        <f>IFERROR(T_reg.root.SK[[#This Row],[Price]]/T_reg.root.SK[[#This Row],[Starch content]],"")</f>
        <v>14.952780692549844</v>
      </c>
    </row>
    <row r="2896" spans="1:14">
      <c r="A2896" s="21">
        <v>2024</v>
      </c>
      <c r="B2896" s="21" t="s">
        <v>22</v>
      </c>
      <c r="C2896" s="21" t="s">
        <v>1145</v>
      </c>
      <c r="D2896" s="21" t="s">
        <v>35</v>
      </c>
      <c r="E2896" s="18" t="s">
        <v>340</v>
      </c>
      <c r="F2896" s="18" t="s">
        <v>47</v>
      </c>
      <c r="G2896" s="18" t="s">
        <v>48</v>
      </c>
      <c r="H2896" s="24">
        <v>53990</v>
      </c>
      <c r="I2896" s="24">
        <f>T_reg.root.SK[[#This Row],[Volume, kg]]/1000</f>
        <v>53.99</v>
      </c>
      <c r="J2896" s="25">
        <v>0.19329999999999997</v>
      </c>
      <c r="K2896" s="25">
        <f t="shared" si="45"/>
        <v>10436.266999999998</v>
      </c>
      <c r="L2896" s="25">
        <v>2.91</v>
      </c>
      <c r="M2896" s="24">
        <v>156954.5</v>
      </c>
      <c r="N2896" s="25">
        <f>IFERROR(T_reg.root.SK[[#This Row],[Price]]/T_reg.root.SK[[#This Row],[Starch content]],"")</f>
        <v>15.054319710294882</v>
      </c>
    </row>
    <row r="2897" spans="1:14">
      <c r="A2897" s="21">
        <v>2024</v>
      </c>
      <c r="B2897" s="21" t="s">
        <v>22</v>
      </c>
      <c r="C2897" s="21" t="s">
        <v>1145</v>
      </c>
      <c r="D2897" s="21" t="s">
        <v>35</v>
      </c>
      <c r="E2897" s="18" t="s">
        <v>380</v>
      </c>
      <c r="F2897" s="18" t="s">
        <v>47</v>
      </c>
      <c r="G2897" s="18" t="s">
        <v>48</v>
      </c>
      <c r="H2897" s="24">
        <v>6530</v>
      </c>
      <c r="I2897" s="24">
        <f>T_reg.root.SK[[#This Row],[Volume, kg]]/1000</f>
        <v>6.53</v>
      </c>
      <c r="J2897" s="25">
        <v>0.20800000000000002</v>
      </c>
      <c r="K2897" s="25">
        <f t="shared" si="45"/>
        <v>1358.24</v>
      </c>
      <c r="L2897" s="25">
        <v>2.95</v>
      </c>
      <c r="M2897" s="24">
        <v>19263.5</v>
      </c>
      <c r="N2897" s="25">
        <f>IFERROR(T_reg.root.SK[[#This Row],[Price]]/T_reg.root.SK[[#This Row],[Starch content]],"")</f>
        <v>14.182692307692307</v>
      </c>
    </row>
    <row r="2898" spans="1:14">
      <c r="A2898" s="21">
        <v>2024</v>
      </c>
      <c r="B2898" s="21" t="s">
        <v>22</v>
      </c>
      <c r="C2898" s="21" t="s">
        <v>1145</v>
      </c>
      <c r="D2898" s="21" t="s">
        <v>35</v>
      </c>
      <c r="E2898" s="18" t="s">
        <v>341</v>
      </c>
      <c r="F2898" s="18" t="s">
        <v>47</v>
      </c>
      <c r="G2898" s="18" t="s">
        <v>48</v>
      </c>
      <c r="H2898" s="24">
        <v>23940</v>
      </c>
      <c r="I2898" s="24">
        <f>T_reg.root.SK[[#This Row],[Volume, kg]]/1000</f>
        <v>23.94</v>
      </c>
      <c r="J2898" s="25">
        <v>0.17249999999999999</v>
      </c>
      <c r="K2898" s="25">
        <f t="shared" si="45"/>
        <v>4129.6499999999996</v>
      </c>
      <c r="L2898" s="25">
        <v>2.84</v>
      </c>
      <c r="M2898" s="24">
        <v>68107</v>
      </c>
      <c r="N2898" s="25">
        <f>IFERROR(T_reg.root.SK[[#This Row],[Price]]/T_reg.root.SK[[#This Row],[Starch content]],"")</f>
        <v>16.463768115942031</v>
      </c>
    </row>
    <row r="2899" spans="1:14">
      <c r="A2899" s="21">
        <v>2024</v>
      </c>
      <c r="B2899" s="21" t="s">
        <v>22</v>
      </c>
      <c r="C2899" s="21" t="s">
        <v>1145</v>
      </c>
      <c r="D2899" s="21" t="s">
        <v>35</v>
      </c>
      <c r="E2899" s="18" t="s">
        <v>69</v>
      </c>
      <c r="F2899" s="18" t="s">
        <v>47</v>
      </c>
      <c r="G2899" s="18" t="s">
        <v>48</v>
      </c>
      <c r="H2899" s="24">
        <v>113660</v>
      </c>
      <c r="I2899" s="24">
        <f>T_reg.root.SK[[#This Row],[Volume, kg]]/1000</f>
        <v>113.66</v>
      </c>
      <c r="J2899" s="25">
        <v>0.20309999999999997</v>
      </c>
      <c r="K2899" s="25">
        <f t="shared" si="45"/>
        <v>23084.345999999998</v>
      </c>
      <c r="L2899" s="25">
        <v>2.94</v>
      </c>
      <c r="M2899" s="24">
        <v>334339</v>
      </c>
      <c r="N2899" s="25">
        <f>IFERROR(T_reg.root.SK[[#This Row],[Price]]/T_reg.root.SK[[#This Row],[Starch content]],"")</f>
        <v>14.475627769571641</v>
      </c>
    </row>
    <row r="2900" spans="1:14">
      <c r="A2900" s="21">
        <v>2024</v>
      </c>
      <c r="B2900" s="21" t="s">
        <v>22</v>
      </c>
      <c r="C2900" s="21" t="s">
        <v>1145</v>
      </c>
      <c r="D2900" s="21" t="s">
        <v>35</v>
      </c>
      <c r="E2900" s="18" t="s">
        <v>549</v>
      </c>
      <c r="F2900" s="18" t="s">
        <v>47</v>
      </c>
      <c r="G2900" s="18" t="s">
        <v>48</v>
      </c>
      <c r="H2900" s="24">
        <v>2670</v>
      </c>
      <c r="I2900" s="24">
        <f>T_reg.root.SK[[#This Row],[Volume, kg]]/1000</f>
        <v>2.67</v>
      </c>
      <c r="J2900" s="25">
        <v>0.17899999999999999</v>
      </c>
      <c r="K2900" s="25">
        <f t="shared" si="45"/>
        <v>477.93</v>
      </c>
      <c r="L2900" s="25">
        <v>2.6</v>
      </c>
      <c r="M2900" s="24">
        <v>6942</v>
      </c>
      <c r="N2900" s="25">
        <f>IFERROR(T_reg.root.SK[[#This Row],[Price]]/T_reg.root.SK[[#This Row],[Starch content]],"")</f>
        <v>14.52513966480447</v>
      </c>
    </row>
    <row r="2901" spans="1:14">
      <c r="A2901" s="21">
        <v>2024</v>
      </c>
      <c r="B2901" s="21" t="s">
        <v>22</v>
      </c>
      <c r="C2901" s="21" t="s">
        <v>1145</v>
      </c>
      <c r="D2901" s="21" t="s">
        <v>35</v>
      </c>
      <c r="E2901" s="18" t="s">
        <v>472</v>
      </c>
      <c r="F2901" s="18" t="s">
        <v>47</v>
      </c>
      <c r="G2901" s="18" t="s">
        <v>48</v>
      </c>
      <c r="H2901" s="24">
        <v>20930</v>
      </c>
      <c r="I2901" s="24">
        <f>T_reg.root.SK[[#This Row],[Volume, kg]]/1000</f>
        <v>20.93</v>
      </c>
      <c r="J2901" s="25">
        <v>0.18890000000000001</v>
      </c>
      <c r="K2901" s="25">
        <f t="shared" si="45"/>
        <v>3953.6770000000001</v>
      </c>
      <c r="L2901" s="25">
        <v>2.83</v>
      </c>
      <c r="M2901" s="24">
        <v>59236.5</v>
      </c>
      <c r="N2901" s="25">
        <f>IFERROR(T_reg.root.SK[[#This Row],[Price]]/T_reg.root.SK[[#This Row],[Starch content]],"")</f>
        <v>14.981471678136579</v>
      </c>
    </row>
    <row r="2902" spans="1:14">
      <c r="A2902" s="21">
        <v>2024</v>
      </c>
      <c r="B2902" s="21" t="s">
        <v>22</v>
      </c>
      <c r="C2902" s="21" t="s">
        <v>1145</v>
      </c>
      <c r="D2902" s="21" t="s">
        <v>35</v>
      </c>
      <c r="E2902" s="18" t="s">
        <v>73</v>
      </c>
      <c r="F2902" s="18" t="s">
        <v>47</v>
      </c>
      <c r="G2902" s="18" t="s">
        <v>48</v>
      </c>
      <c r="H2902" s="24">
        <v>0</v>
      </c>
      <c r="I2902" s="24">
        <f>T_reg.root.SK[[#This Row],[Volume, kg]]/1000</f>
        <v>0</v>
      </c>
      <c r="J2902" s="25">
        <v>0</v>
      </c>
      <c r="K2902" s="25">
        <f t="shared" si="45"/>
        <v>0</v>
      </c>
      <c r="L2902" s="25">
        <v>0</v>
      </c>
      <c r="M2902" s="24">
        <v>0</v>
      </c>
      <c r="N2902" s="25" t="str">
        <f>IFERROR(T_reg.root.SK[[#This Row],[Price]]/T_reg.root.SK[[#This Row],[Starch content]],"")</f>
        <v/>
      </c>
    </row>
    <row r="2903" spans="1:14">
      <c r="A2903" s="21">
        <v>2024</v>
      </c>
      <c r="B2903" s="21" t="s">
        <v>22</v>
      </c>
      <c r="C2903" s="21" t="s">
        <v>1145</v>
      </c>
      <c r="D2903" s="21" t="s">
        <v>35</v>
      </c>
      <c r="E2903" s="18" t="s">
        <v>382</v>
      </c>
      <c r="F2903" s="18" t="s">
        <v>47</v>
      </c>
      <c r="G2903" s="18" t="s">
        <v>48</v>
      </c>
      <c r="H2903" s="24">
        <v>7660</v>
      </c>
      <c r="I2903" s="24">
        <f>T_reg.root.SK[[#This Row],[Volume, kg]]/1000</f>
        <v>7.66</v>
      </c>
      <c r="J2903" s="25">
        <v>0.1764</v>
      </c>
      <c r="K2903" s="25">
        <f t="shared" si="45"/>
        <v>1351.2239999999999</v>
      </c>
      <c r="L2903" s="25">
        <v>2.88</v>
      </c>
      <c r="M2903" s="24">
        <v>22048</v>
      </c>
      <c r="N2903" s="25">
        <f>IFERROR(T_reg.root.SK[[#This Row],[Price]]/T_reg.root.SK[[#This Row],[Starch content]],"")</f>
        <v>16.326530612244898</v>
      </c>
    </row>
    <row r="2904" spans="1:14">
      <c r="A2904" s="21">
        <v>2024</v>
      </c>
      <c r="B2904" s="21" t="s">
        <v>22</v>
      </c>
      <c r="C2904" s="21" t="s">
        <v>1145</v>
      </c>
      <c r="D2904" s="21" t="s">
        <v>35</v>
      </c>
      <c r="E2904" s="18" t="s">
        <v>76</v>
      </c>
      <c r="F2904" s="18" t="s">
        <v>47</v>
      </c>
      <c r="G2904" s="18" t="s">
        <v>48</v>
      </c>
      <c r="H2904" s="24">
        <v>18450</v>
      </c>
      <c r="I2904" s="24">
        <f>T_reg.root.SK[[#This Row],[Volume, kg]]/1000</f>
        <v>18.45</v>
      </c>
      <c r="J2904" s="25">
        <v>0.20010000000000003</v>
      </c>
      <c r="K2904" s="25">
        <f t="shared" si="45"/>
        <v>3691.8450000000007</v>
      </c>
      <c r="L2904" s="25">
        <v>3</v>
      </c>
      <c r="M2904" s="24">
        <v>55350</v>
      </c>
      <c r="N2904" s="25">
        <f>IFERROR(T_reg.root.SK[[#This Row],[Price]]/T_reg.root.SK[[#This Row],[Starch content]],"")</f>
        <v>14.992503748125936</v>
      </c>
    </row>
    <row r="2905" spans="1:14">
      <c r="A2905" s="21">
        <v>2024</v>
      </c>
      <c r="B2905" s="21" t="s">
        <v>22</v>
      </c>
      <c r="C2905" s="21" t="s">
        <v>1145</v>
      </c>
      <c r="D2905" s="21" t="s">
        <v>35</v>
      </c>
      <c r="E2905" s="18" t="s">
        <v>77</v>
      </c>
      <c r="F2905" s="18" t="s">
        <v>47</v>
      </c>
      <c r="G2905" s="18" t="s">
        <v>48</v>
      </c>
      <c r="H2905" s="24">
        <v>33030</v>
      </c>
      <c r="I2905" s="24">
        <f>T_reg.root.SK[[#This Row],[Volume, kg]]/1000</f>
        <v>33.03</v>
      </c>
      <c r="J2905" s="25">
        <v>0.17430000000000001</v>
      </c>
      <c r="K2905" s="25">
        <f t="shared" si="45"/>
        <v>5757.1289999999999</v>
      </c>
      <c r="L2905" s="25">
        <v>2.79</v>
      </c>
      <c r="M2905" s="24">
        <v>92025.5</v>
      </c>
      <c r="N2905" s="25">
        <f>IFERROR(T_reg.root.SK[[#This Row],[Price]]/T_reg.root.SK[[#This Row],[Starch content]],"")</f>
        <v>16.006884681583475</v>
      </c>
    </row>
    <row r="2906" spans="1:14">
      <c r="A2906" s="21">
        <v>2024</v>
      </c>
      <c r="B2906" s="21" t="s">
        <v>22</v>
      </c>
      <c r="C2906" s="21" t="s">
        <v>1145</v>
      </c>
      <c r="D2906" s="21" t="s">
        <v>35</v>
      </c>
      <c r="E2906" s="18" t="s">
        <v>383</v>
      </c>
      <c r="F2906" s="18" t="s">
        <v>47</v>
      </c>
      <c r="G2906" s="18" t="s">
        <v>48</v>
      </c>
      <c r="H2906" s="24">
        <v>5870</v>
      </c>
      <c r="I2906" s="24">
        <f>T_reg.root.SK[[#This Row],[Volume, kg]]/1000</f>
        <v>5.87</v>
      </c>
      <c r="J2906" s="25">
        <v>0.14499999999999999</v>
      </c>
      <c r="K2906" s="25">
        <f t="shared" si="45"/>
        <v>851.15</v>
      </c>
      <c r="L2906" s="25">
        <v>2.5499999999999998</v>
      </c>
      <c r="M2906" s="24">
        <v>14968.5</v>
      </c>
      <c r="N2906" s="25">
        <f>IFERROR(T_reg.root.SK[[#This Row],[Price]]/T_reg.root.SK[[#This Row],[Starch content]],"")</f>
        <v>17.586206896551722</v>
      </c>
    </row>
    <row r="2907" spans="1:14">
      <c r="A2907" s="21">
        <v>2024</v>
      </c>
      <c r="B2907" s="21" t="s">
        <v>22</v>
      </c>
      <c r="C2907" s="21" t="s">
        <v>1145</v>
      </c>
      <c r="D2907" s="21" t="s">
        <v>39</v>
      </c>
      <c r="E2907" s="18" t="s">
        <v>85</v>
      </c>
      <c r="F2907" s="18" t="s">
        <v>86</v>
      </c>
      <c r="G2907" s="18" t="s">
        <v>87</v>
      </c>
      <c r="H2907" s="24">
        <v>5827400</v>
      </c>
      <c r="I2907" s="24">
        <f>T_reg.root.SK[[#This Row],[Volume, kg]]/1000</f>
        <v>5827.4</v>
      </c>
      <c r="J2907" s="25">
        <v>0.17420000000000002</v>
      </c>
      <c r="K2907" s="25">
        <f t="shared" si="45"/>
        <v>1015133.0800000001</v>
      </c>
      <c r="L2907" s="25">
        <v>2.79</v>
      </c>
      <c r="M2907" s="24">
        <v>16276742</v>
      </c>
      <c r="N2907" s="25">
        <f>IFERROR(T_reg.root.SK[[#This Row],[Price]]/T_reg.root.SK[[#This Row],[Starch content]],"")</f>
        <v>16.016073478760045</v>
      </c>
    </row>
    <row r="2908" spans="1:14">
      <c r="A2908" s="21">
        <v>2024</v>
      </c>
      <c r="B2908" s="21" t="s">
        <v>22</v>
      </c>
      <c r="C2908" s="21" t="s">
        <v>1145</v>
      </c>
      <c r="D2908" s="21" t="s">
        <v>35</v>
      </c>
      <c r="E2908" s="18" t="s">
        <v>745</v>
      </c>
      <c r="F2908" s="18" t="s">
        <v>746</v>
      </c>
      <c r="G2908" s="18" t="s">
        <v>747</v>
      </c>
      <c r="H2908" s="24">
        <v>27090</v>
      </c>
      <c r="I2908" s="24">
        <f>T_reg.root.SK[[#This Row],[Volume, kg]]/1000</f>
        <v>27.09</v>
      </c>
      <c r="J2908" s="25">
        <v>0.2266</v>
      </c>
      <c r="K2908" s="25">
        <f t="shared" si="45"/>
        <v>6138.5940000000001</v>
      </c>
      <c r="L2908" s="25">
        <v>3.15</v>
      </c>
      <c r="M2908" s="24">
        <v>85468.5</v>
      </c>
      <c r="N2908" s="25">
        <f>IFERROR(T_reg.root.SK[[#This Row],[Price]]/T_reg.root.SK[[#This Row],[Starch content]],"")</f>
        <v>13.901147396293027</v>
      </c>
    </row>
    <row r="2909" spans="1:14">
      <c r="A2909" s="21">
        <v>2024</v>
      </c>
      <c r="B2909" s="21" t="s">
        <v>22</v>
      </c>
      <c r="C2909" s="21" t="s">
        <v>1145</v>
      </c>
      <c r="D2909" s="21" t="s">
        <v>39</v>
      </c>
      <c r="E2909" s="18" t="s">
        <v>88</v>
      </c>
      <c r="F2909" s="18" t="s">
        <v>89</v>
      </c>
      <c r="G2909" s="18" t="s">
        <v>90</v>
      </c>
      <c r="H2909" s="24">
        <v>3757520</v>
      </c>
      <c r="I2909" s="24">
        <f>T_reg.root.SK[[#This Row],[Volume, kg]]/1000</f>
        <v>3757.52</v>
      </c>
      <c r="J2909" s="25">
        <v>0.17929999999999999</v>
      </c>
      <c r="K2909" s="25">
        <f t="shared" si="45"/>
        <v>673723.33599999989</v>
      </c>
      <c r="L2909" s="25">
        <v>2.81</v>
      </c>
      <c r="M2909" s="24">
        <v>10541506</v>
      </c>
      <c r="N2909" s="25">
        <f>IFERROR(T_reg.root.SK[[#This Row],[Price]]/T_reg.root.SK[[#This Row],[Starch content]],"")</f>
        <v>15.672058003346349</v>
      </c>
    </row>
    <row r="2910" spans="1:14">
      <c r="A2910" s="21">
        <v>2024</v>
      </c>
      <c r="B2910" s="21" t="s">
        <v>22</v>
      </c>
      <c r="C2910" s="21" t="s">
        <v>1145</v>
      </c>
      <c r="D2910" s="21" t="s">
        <v>35</v>
      </c>
      <c r="E2910" s="18" t="s">
        <v>748</v>
      </c>
      <c r="F2910" s="18" t="s">
        <v>89</v>
      </c>
      <c r="G2910" s="18" t="s">
        <v>90</v>
      </c>
      <c r="H2910" s="24">
        <v>12350</v>
      </c>
      <c r="I2910" s="24">
        <f>T_reg.root.SK[[#This Row],[Volume, kg]]/1000</f>
        <v>12.35</v>
      </c>
      <c r="J2910" s="25">
        <v>0.152</v>
      </c>
      <c r="K2910" s="25">
        <f t="shared" si="45"/>
        <v>1877.2</v>
      </c>
      <c r="L2910" s="25">
        <v>2.8</v>
      </c>
      <c r="M2910" s="24">
        <v>34580</v>
      </c>
      <c r="N2910" s="25">
        <f>IFERROR(T_reg.root.SK[[#This Row],[Price]]/T_reg.root.SK[[#This Row],[Starch content]],"")</f>
        <v>18.421052631578945</v>
      </c>
    </row>
    <row r="2911" spans="1:14">
      <c r="A2911" s="21">
        <v>2024</v>
      </c>
      <c r="B2911" s="21" t="s">
        <v>22</v>
      </c>
      <c r="C2911" s="21" t="s">
        <v>1145</v>
      </c>
      <c r="D2911" s="21" t="s">
        <v>35</v>
      </c>
      <c r="E2911" s="18" t="s">
        <v>749</v>
      </c>
      <c r="F2911" s="18" t="s">
        <v>92</v>
      </c>
      <c r="G2911" s="18" t="s">
        <v>48</v>
      </c>
      <c r="H2911" s="24">
        <v>8160</v>
      </c>
      <c r="I2911" s="24">
        <f>T_reg.root.SK[[#This Row],[Volume, kg]]/1000</f>
        <v>8.16</v>
      </c>
      <c r="J2911" s="25">
        <v>0.18100000000000002</v>
      </c>
      <c r="K2911" s="25">
        <f t="shared" si="45"/>
        <v>1476.9600000000003</v>
      </c>
      <c r="L2911" s="25">
        <v>2.5</v>
      </c>
      <c r="M2911" s="24">
        <v>20400</v>
      </c>
      <c r="N2911" s="25">
        <f>IFERROR(T_reg.root.SK[[#This Row],[Price]]/T_reg.root.SK[[#This Row],[Starch content]],"")</f>
        <v>13.812154696132595</v>
      </c>
    </row>
    <row r="2912" spans="1:14">
      <c r="A2912" s="21">
        <v>2024</v>
      </c>
      <c r="B2912" s="21" t="s">
        <v>22</v>
      </c>
      <c r="C2912" s="21" t="s">
        <v>1145</v>
      </c>
      <c r="D2912" s="21" t="s">
        <v>35</v>
      </c>
      <c r="E2912" s="18" t="s">
        <v>91</v>
      </c>
      <c r="F2912" s="18" t="s">
        <v>92</v>
      </c>
      <c r="G2912" s="18" t="s">
        <v>48</v>
      </c>
      <c r="H2912" s="24">
        <v>9660</v>
      </c>
      <c r="I2912" s="24">
        <f>T_reg.root.SK[[#This Row],[Volume, kg]]/1000</f>
        <v>9.66</v>
      </c>
      <c r="J2912" s="25">
        <v>0.184</v>
      </c>
      <c r="K2912" s="25">
        <f t="shared" si="45"/>
        <v>1777.44</v>
      </c>
      <c r="L2912" s="25">
        <v>2.9</v>
      </c>
      <c r="M2912" s="24">
        <v>28014</v>
      </c>
      <c r="N2912" s="25">
        <f>IFERROR(T_reg.root.SK[[#This Row],[Price]]/T_reg.root.SK[[#This Row],[Starch content]],"")</f>
        <v>15.760869565217391</v>
      </c>
    </row>
    <row r="2913" spans="1:14">
      <c r="A2913" s="21">
        <v>2024</v>
      </c>
      <c r="B2913" s="21" t="s">
        <v>22</v>
      </c>
      <c r="C2913" s="21" t="s">
        <v>1145</v>
      </c>
      <c r="D2913" s="21" t="s">
        <v>35</v>
      </c>
      <c r="E2913" s="18" t="s">
        <v>390</v>
      </c>
      <c r="F2913" s="18" t="s">
        <v>92</v>
      </c>
      <c r="G2913" s="18" t="s">
        <v>48</v>
      </c>
      <c r="H2913" s="24">
        <v>69060</v>
      </c>
      <c r="I2913" s="24">
        <f>T_reg.root.SK[[#This Row],[Volume, kg]]/1000</f>
        <v>69.06</v>
      </c>
      <c r="J2913" s="25">
        <v>0.16469999999999999</v>
      </c>
      <c r="K2913" s="25">
        <f t="shared" si="45"/>
        <v>11374.181999999999</v>
      </c>
      <c r="L2913" s="25">
        <v>2.75</v>
      </c>
      <c r="M2913" s="24">
        <v>189830</v>
      </c>
      <c r="N2913" s="25">
        <f>IFERROR(T_reg.root.SK[[#This Row],[Price]]/T_reg.root.SK[[#This Row],[Starch content]],"")</f>
        <v>16.697024893746207</v>
      </c>
    </row>
    <row r="2914" spans="1:14">
      <c r="A2914" s="21">
        <v>2024</v>
      </c>
      <c r="B2914" s="21" t="s">
        <v>22</v>
      </c>
      <c r="C2914" s="21" t="s">
        <v>1145</v>
      </c>
      <c r="D2914" s="21" t="s">
        <v>39</v>
      </c>
      <c r="E2914" s="18" t="s">
        <v>552</v>
      </c>
      <c r="F2914" s="18" t="s">
        <v>95</v>
      </c>
      <c r="G2914" s="18" t="s">
        <v>48</v>
      </c>
      <c r="H2914" s="24">
        <v>6485400</v>
      </c>
      <c r="I2914" s="24">
        <f>T_reg.root.SK[[#This Row],[Volume, kg]]/1000</f>
        <v>6485.4</v>
      </c>
      <c r="J2914" s="25">
        <v>0.18719999999999998</v>
      </c>
      <c r="K2914" s="25">
        <f t="shared" si="45"/>
        <v>1214066.8799999999</v>
      </c>
      <c r="L2914" s="25">
        <v>2.87</v>
      </c>
      <c r="M2914" s="24">
        <v>18624419.5</v>
      </c>
      <c r="N2914" s="25">
        <f>IFERROR(T_reg.root.SK[[#This Row],[Price]]/T_reg.root.SK[[#This Row],[Starch content]],"")</f>
        <v>15.331196581196584</v>
      </c>
    </row>
    <row r="2915" spans="1:14">
      <c r="A2915" s="21">
        <v>2024</v>
      </c>
      <c r="B2915" s="21" t="s">
        <v>22</v>
      </c>
      <c r="C2915" s="21" t="s">
        <v>1145</v>
      </c>
      <c r="D2915" s="21" t="s">
        <v>35</v>
      </c>
      <c r="E2915" s="18" t="s">
        <v>681</v>
      </c>
      <c r="F2915" s="18" t="s">
        <v>95</v>
      </c>
      <c r="G2915" s="18" t="s">
        <v>48</v>
      </c>
      <c r="H2915" s="24">
        <v>61340</v>
      </c>
      <c r="I2915" s="24">
        <f>T_reg.root.SK[[#This Row],[Volume, kg]]/1000</f>
        <v>61.34</v>
      </c>
      <c r="J2915" s="25">
        <v>0.21609999999999999</v>
      </c>
      <c r="K2915" s="25">
        <f t="shared" si="45"/>
        <v>13255.573999999999</v>
      </c>
      <c r="L2915" s="25">
        <v>3.03</v>
      </c>
      <c r="M2915" s="24">
        <v>185608.5</v>
      </c>
      <c r="N2915" s="25">
        <f>IFERROR(T_reg.root.SK[[#This Row],[Price]]/T_reg.root.SK[[#This Row],[Starch content]],"")</f>
        <v>14.021286441462285</v>
      </c>
    </row>
    <row r="2916" spans="1:14">
      <c r="A2916" s="21">
        <v>2024</v>
      </c>
      <c r="B2916" s="21" t="s">
        <v>22</v>
      </c>
      <c r="C2916" s="21" t="s">
        <v>1145</v>
      </c>
      <c r="D2916" s="21" t="s">
        <v>35</v>
      </c>
      <c r="E2916" s="18" t="s">
        <v>750</v>
      </c>
      <c r="F2916" s="18" t="s">
        <v>95</v>
      </c>
      <c r="G2916" s="18" t="s">
        <v>48</v>
      </c>
      <c r="H2916" s="24">
        <v>27770</v>
      </c>
      <c r="I2916" s="24">
        <f>T_reg.root.SK[[#This Row],[Volume, kg]]/1000</f>
        <v>27.77</v>
      </c>
      <c r="J2916" s="25">
        <v>0.21379999999999999</v>
      </c>
      <c r="K2916" s="25">
        <f t="shared" si="45"/>
        <v>5937.2259999999997</v>
      </c>
      <c r="L2916" s="25">
        <v>3.05</v>
      </c>
      <c r="M2916" s="24">
        <v>84822</v>
      </c>
      <c r="N2916" s="25">
        <f>IFERROR(T_reg.root.SK[[#This Row],[Price]]/T_reg.root.SK[[#This Row],[Starch content]],"")</f>
        <v>14.265668849391956</v>
      </c>
    </row>
    <row r="2917" spans="1:14">
      <c r="A2917" s="21">
        <v>2024</v>
      </c>
      <c r="B2917" s="21" t="s">
        <v>22</v>
      </c>
      <c r="C2917" s="21" t="s">
        <v>1145</v>
      </c>
      <c r="D2917" s="21" t="s">
        <v>35</v>
      </c>
      <c r="E2917" s="18" t="s">
        <v>732</v>
      </c>
      <c r="F2917" s="18" t="s">
        <v>95</v>
      </c>
      <c r="G2917" s="18" t="s">
        <v>48</v>
      </c>
      <c r="H2917" s="24">
        <v>38760</v>
      </c>
      <c r="I2917" s="24">
        <f>T_reg.root.SK[[#This Row],[Volume, kg]]/1000</f>
        <v>38.76</v>
      </c>
      <c r="J2917" s="25">
        <v>0.23050000000000001</v>
      </c>
      <c r="K2917" s="25">
        <f t="shared" si="45"/>
        <v>8934.18</v>
      </c>
      <c r="L2917" s="25">
        <v>3</v>
      </c>
      <c r="M2917" s="24">
        <v>116303.5</v>
      </c>
      <c r="N2917" s="25">
        <f>IFERROR(T_reg.root.SK[[#This Row],[Price]]/T_reg.root.SK[[#This Row],[Starch content]],"")</f>
        <v>13.015184381778742</v>
      </c>
    </row>
    <row r="2918" spans="1:14">
      <c r="A2918" s="21">
        <v>2024</v>
      </c>
      <c r="B2918" s="21" t="s">
        <v>22</v>
      </c>
      <c r="C2918" s="21" t="s">
        <v>1145</v>
      </c>
      <c r="D2918" s="21" t="s">
        <v>39</v>
      </c>
      <c r="E2918" s="18" t="s">
        <v>98</v>
      </c>
      <c r="F2918" s="18" t="s">
        <v>99</v>
      </c>
      <c r="G2918" s="18" t="s">
        <v>42</v>
      </c>
      <c r="H2918" s="24">
        <v>4864310</v>
      </c>
      <c r="I2918" s="24">
        <f>T_reg.root.SK[[#This Row],[Volume, kg]]/1000</f>
        <v>4864.3100000000004</v>
      </c>
      <c r="J2918" s="25">
        <v>0.18289999999999998</v>
      </c>
      <c r="K2918" s="25">
        <f t="shared" si="45"/>
        <v>889682.29899999988</v>
      </c>
      <c r="L2918" s="25">
        <v>2.84</v>
      </c>
      <c r="M2918" s="24">
        <v>13815709.5</v>
      </c>
      <c r="N2918" s="25">
        <f>IFERROR(T_reg.root.SK[[#This Row],[Price]]/T_reg.root.SK[[#This Row],[Starch content]],"")</f>
        <v>15.527610716238383</v>
      </c>
    </row>
    <row r="2919" spans="1:14">
      <c r="A2919" s="21">
        <v>2024</v>
      </c>
      <c r="B2919" s="21" t="s">
        <v>22</v>
      </c>
      <c r="C2919" s="21" t="s">
        <v>1145</v>
      </c>
      <c r="D2919" s="21" t="s">
        <v>39</v>
      </c>
      <c r="E2919" s="18" t="s">
        <v>346</v>
      </c>
      <c r="F2919" s="18" t="s">
        <v>99</v>
      </c>
      <c r="G2919" s="18" t="s">
        <v>42</v>
      </c>
      <c r="H2919" s="24">
        <v>6699490</v>
      </c>
      <c r="I2919" s="24">
        <f>T_reg.root.SK[[#This Row],[Volume, kg]]/1000</f>
        <v>6699.49</v>
      </c>
      <c r="J2919" s="25">
        <v>0.18359999999999999</v>
      </c>
      <c r="K2919" s="25">
        <f t="shared" si="45"/>
        <v>1230026.3639999998</v>
      </c>
      <c r="L2919" s="25">
        <v>2.83</v>
      </c>
      <c r="M2919" s="24">
        <v>18983190.5</v>
      </c>
      <c r="N2919" s="25">
        <f>IFERROR(T_reg.root.SK[[#This Row],[Price]]/T_reg.root.SK[[#This Row],[Starch content]],"")</f>
        <v>15.413943355119827</v>
      </c>
    </row>
    <row r="2920" spans="1:14">
      <c r="A2920" s="21">
        <v>2024</v>
      </c>
      <c r="B2920" s="21" t="s">
        <v>22</v>
      </c>
      <c r="C2920" s="21" t="s">
        <v>1145</v>
      </c>
      <c r="D2920" s="21" t="s">
        <v>35</v>
      </c>
      <c r="E2920" s="18" t="s">
        <v>280</v>
      </c>
      <c r="F2920" s="18" t="s">
        <v>281</v>
      </c>
      <c r="G2920" s="18" t="s">
        <v>38</v>
      </c>
      <c r="H2920" s="24">
        <v>59510</v>
      </c>
      <c r="I2920" s="24">
        <f>T_reg.root.SK[[#This Row],[Volume, kg]]/1000</f>
        <v>59.51</v>
      </c>
      <c r="J2920" s="25">
        <v>0.23350000000000001</v>
      </c>
      <c r="K2920" s="25">
        <f t="shared" si="45"/>
        <v>13895.585000000001</v>
      </c>
      <c r="L2920" s="25">
        <v>3.11</v>
      </c>
      <c r="M2920" s="24">
        <v>184954.5</v>
      </c>
      <c r="N2920" s="25">
        <f>IFERROR(T_reg.root.SK[[#This Row],[Price]]/T_reg.root.SK[[#This Row],[Starch content]],"")</f>
        <v>13.319057815845824</v>
      </c>
    </row>
    <row r="2921" spans="1:14">
      <c r="A2921" s="21">
        <v>2024</v>
      </c>
      <c r="B2921" s="21" t="s">
        <v>22</v>
      </c>
      <c r="C2921" s="21" t="s">
        <v>1145</v>
      </c>
      <c r="D2921" s="21" t="s">
        <v>39</v>
      </c>
      <c r="E2921" s="18" t="s">
        <v>101</v>
      </c>
      <c r="F2921" s="18" t="s">
        <v>102</v>
      </c>
      <c r="G2921" s="18" t="s">
        <v>103</v>
      </c>
      <c r="H2921" s="24">
        <v>2226010</v>
      </c>
      <c r="I2921" s="24">
        <f>T_reg.root.SK[[#This Row],[Volume, kg]]/1000</f>
        <v>2226.0100000000002</v>
      </c>
      <c r="J2921" s="25">
        <v>0.17739999999999997</v>
      </c>
      <c r="K2921" s="25">
        <f t="shared" si="45"/>
        <v>394894.17399999994</v>
      </c>
      <c r="L2921" s="25">
        <v>2.83</v>
      </c>
      <c r="M2921" s="24">
        <v>6309609.5</v>
      </c>
      <c r="N2921" s="25">
        <f>IFERROR(T_reg.root.SK[[#This Row],[Price]]/T_reg.root.SK[[#This Row],[Starch content]],"")</f>
        <v>15.952649379932359</v>
      </c>
    </row>
    <row r="2922" spans="1:14">
      <c r="A2922" s="21">
        <v>2024</v>
      </c>
      <c r="B2922" s="21" t="s">
        <v>22</v>
      </c>
      <c r="C2922" s="21" t="s">
        <v>1145</v>
      </c>
      <c r="D2922" s="21" t="s">
        <v>39</v>
      </c>
      <c r="E2922" s="18" t="s">
        <v>284</v>
      </c>
      <c r="F2922" s="18" t="s">
        <v>285</v>
      </c>
      <c r="G2922" s="18" t="s">
        <v>286</v>
      </c>
      <c r="H2922" s="24">
        <v>3268780</v>
      </c>
      <c r="I2922" s="24">
        <f>T_reg.root.SK[[#This Row],[Volume, kg]]/1000</f>
        <v>3268.78</v>
      </c>
      <c r="J2922" s="25">
        <v>0.17739999999999997</v>
      </c>
      <c r="K2922" s="25">
        <f t="shared" si="45"/>
        <v>579881.57199999993</v>
      </c>
      <c r="L2922" s="25">
        <v>2.85</v>
      </c>
      <c r="M2922" s="24">
        <v>9331411</v>
      </c>
      <c r="N2922" s="25">
        <f>IFERROR(T_reg.root.SK[[#This Row],[Price]]/T_reg.root.SK[[#This Row],[Starch content]],"")</f>
        <v>16.065388951521989</v>
      </c>
    </row>
    <row r="2923" spans="1:14">
      <c r="A2923" s="21">
        <v>2024</v>
      </c>
      <c r="B2923" s="21" t="s">
        <v>22</v>
      </c>
      <c r="C2923" s="21" t="s">
        <v>1145</v>
      </c>
      <c r="D2923" s="21" t="s">
        <v>35</v>
      </c>
      <c r="E2923" s="18" t="s">
        <v>480</v>
      </c>
      <c r="F2923" s="18" t="s">
        <v>105</v>
      </c>
      <c r="G2923" s="18" t="s">
        <v>48</v>
      </c>
      <c r="H2923" s="24">
        <v>237420</v>
      </c>
      <c r="I2923" s="24">
        <f>T_reg.root.SK[[#This Row],[Volume, kg]]/1000</f>
        <v>237.42</v>
      </c>
      <c r="J2923" s="25">
        <v>0.1794</v>
      </c>
      <c r="K2923" s="25">
        <f t="shared" si="45"/>
        <v>42593.148000000001</v>
      </c>
      <c r="L2923" s="25">
        <v>2.85</v>
      </c>
      <c r="M2923" s="24">
        <v>676297</v>
      </c>
      <c r="N2923" s="25">
        <f>IFERROR(T_reg.root.SK[[#This Row],[Price]]/T_reg.root.SK[[#This Row],[Starch content]],"")</f>
        <v>15.88628762541806</v>
      </c>
    </row>
    <row r="2924" spans="1:14">
      <c r="A2924" s="21">
        <v>2024</v>
      </c>
      <c r="B2924" s="21" t="s">
        <v>22</v>
      </c>
      <c r="C2924" s="21" t="s">
        <v>1145</v>
      </c>
      <c r="D2924" s="21" t="s">
        <v>35</v>
      </c>
      <c r="E2924" s="18" t="s">
        <v>104</v>
      </c>
      <c r="F2924" s="18" t="s">
        <v>105</v>
      </c>
      <c r="G2924" s="18" t="s">
        <v>48</v>
      </c>
      <c r="H2924" s="24">
        <v>5230</v>
      </c>
      <c r="I2924" s="24">
        <f>T_reg.root.SK[[#This Row],[Volume, kg]]/1000</f>
        <v>5.23</v>
      </c>
      <c r="J2924" s="25">
        <v>0.188</v>
      </c>
      <c r="K2924" s="25">
        <f t="shared" si="45"/>
        <v>983.24</v>
      </c>
      <c r="L2924" s="25">
        <v>2.5</v>
      </c>
      <c r="M2924" s="24">
        <v>13075</v>
      </c>
      <c r="N2924" s="25">
        <f>IFERROR(T_reg.root.SK[[#This Row],[Price]]/T_reg.root.SK[[#This Row],[Starch content]],"")</f>
        <v>13.297872340425531</v>
      </c>
    </row>
    <row r="2925" spans="1:14">
      <c r="A2925" s="21">
        <v>2024</v>
      </c>
      <c r="B2925" s="21" t="s">
        <v>22</v>
      </c>
      <c r="C2925" s="21" t="s">
        <v>1145</v>
      </c>
      <c r="D2925" s="21" t="s">
        <v>35</v>
      </c>
      <c r="E2925" s="18" t="s">
        <v>697</v>
      </c>
      <c r="F2925" s="18" t="s">
        <v>105</v>
      </c>
      <c r="G2925" s="18" t="s">
        <v>48</v>
      </c>
      <c r="H2925" s="24">
        <v>18870</v>
      </c>
      <c r="I2925" s="24">
        <f>T_reg.root.SK[[#This Row],[Volume, kg]]/1000</f>
        <v>18.87</v>
      </c>
      <c r="J2925" s="25">
        <v>0.21600000000000003</v>
      </c>
      <c r="K2925" s="25">
        <f t="shared" si="45"/>
        <v>4075.9200000000005</v>
      </c>
      <c r="L2925" s="25">
        <v>2.94</v>
      </c>
      <c r="M2925" s="24">
        <v>55467</v>
      </c>
      <c r="N2925" s="25">
        <f>IFERROR(T_reg.root.SK[[#This Row],[Price]]/T_reg.root.SK[[#This Row],[Starch content]],"")</f>
        <v>13.611111111111109</v>
      </c>
    </row>
    <row r="2926" spans="1:14">
      <c r="A2926" s="21">
        <v>2024</v>
      </c>
      <c r="B2926" s="21" t="s">
        <v>22</v>
      </c>
      <c r="C2926" s="21" t="s">
        <v>1145</v>
      </c>
      <c r="D2926" s="21" t="s">
        <v>35</v>
      </c>
      <c r="E2926" s="18" t="s">
        <v>481</v>
      </c>
      <c r="F2926" s="18" t="s">
        <v>105</v>
      </c>
      <c r="G2926" s="18" t="s">
        <v>48</v>
      </c>
      <c r="H2926" s="24">
        <v>8300</v>
      </c>
      <c r="I2926" s="24">
        <f>T_reg.root.SK[[#This Row],[Volume, kg]]/1000</f>
        <v>8.3000000000000007</v>
      </c>
      <c r="J2926" s="25">
        <v>0.192</v>
      </c>
      <c r="K2926" s="25">
        <f t="shared" si="45"/>
        <v>1593.6000000000001</v>
      </c>
      <c r="L2926" s="25">
        <v>2.8</v>
      </c>
      <c r="M2926" s="24">
        <v>23240</v>
      </c>
      <c r="N2926" s="25">
        <f>IFERROR(T_reg.root.SK[[#This Row],[Price]]/T_reg.root.SK[[#This Row],[Starch content]],"")</f>
        <v>14.583333333333332</v>
      </c>
    </row>
    <row r="2927" spans="1:14">
      <c r="A2927" s="21">
        <v>2024</v>
      </c>
      <c r="B2927" s="21" t="s">
        <v>22</v>
      </c>
      <c r="C2927" s="21" t="s">
        <v>1145</v>
      </c>
      <c r="D2927" s="21" t="s">
        <v>35</v>
      </c>
      <c r="E2927" s="18" t="s">
        <v>349</v>
      </c>
      <c r="F2927" s="18" t="s">
        <v>105</v>
      </c>
      <c r="G2927" s="18" t="s">
        <v>48</v>
      </c>
      <c r="H2927" s="24">
        <v>39420</v>
      </c>
      <c r="I2927" s="24">
        <f>T_reg.root.SK[[#This Row],[Volume, kg]]/1000</f>
        <v>39.42</v>
      </c>
      <c r="J2927" s="25">
        <v>0.21929999999999999</v>
      </c>
      <c r="K2927" s="25">
        <f t="shared" si="45"/>
        <v>8644.8060000000005</v>
      </c>
      <c r="L2927" s="25">
        <v>2.7</v>
      </c>
      <c r="M2927" s="24">
        <v>106399</v>
      </c>
      <c r="N2927" s="25">
        <f>IFERROR(T_reg.root.SK[[#This Row],[Price]]/T_reg.root.SK[[#This Row],[Starch content]],"")</f>
        <v>12.311901504787963</v>
      </c>
    </row>
    <row r="2928" spans="1:14">
      <c r="A2928" s="21">
        <v>2024</v>
      </c>
      <c r="B2928" s="21" t="s">
        <v>22</v>
      </c>
      <c r="C2928" s="21" t="s">
        <v>1145</v>
      </c>
      <c r="D2928" s="21" t="s">
        <v>35</v>
      </c>
      <c r="E2928" s="18" t="s">
        <v>289</v>
      </c>
      <c r="F2928" s="18" t="s">
        <v>105</v>
      </c>
      <c r="G2928" s="18" t="s">
        <v>48</v>
      </c>
      <c r="H2928" s="24">
        <v>80030</v>
      </c>
      <c r="I2928" s="24">
        <f>T_reg.root.SK[[#This Row],[Volume, kg]]/1000</f>
        <v>80.03</v>
      </c>
      <c r="J2928" s="25">
        <v>0.18479999999999999</v>
      </c>
      <c r="K2928" s="25">
        <f t="shared" si="45"/>
        <v>14789.544</v>
      </c>
      <c r="L2928" s="25">
        <v>2.86</v>
      </c>
      <c r="M2928" s="24">
        <v>229138</v>
      </c>
      <c r="N2928" s="25">
        <f>IFERROR(T_reg.root.SK[[#This Row],[Price]]/T_reg.root.SK[[#This Row],[Starch content]],"")</f>
        <v>15.476190476190476</v>
      </c>
    </row>
    <row r="2929" spans="1:14">
      <c r="A2929" s="21">
        <v>2024</v>
      </c>
      <c r="B2929" s="21" t="s">
        <v>22</v>
      </c>
      <c r="C2929" s="21" t="s">
        <v>1145</v>
      </c>
      <c r="D2929" s="21" t="s">
        <v>35</v>
      </c>
      <c r="E2929" s="18" t="s">
        <v>108</v>
      </c>
      <c r="F2929" s="18" t="s">
        <v>105</v>
      </c>
      <c r="G2929" s="18" t="s">
        <v>48</v>
      </c>
      <c r="H2929" s="24">
        <v>79160</v>
      </c>
      <c r="I2929" s="24">
        <f>T_reg.root.SK[[#This Row],[Volume, kg]]/1000</f>
        <v>79.16</v>
      </c>
      <c r="J2929" s="25">
        <v>0.18350000000000002</v>
      </c>
      <c r="K2929" s="25">
        <f t="shared" si="45"/>
        <v>14525.860000000002</v>
      </c>
      <c r="L2929" s="25">
        <v>2.84</v>
      </c>
      <c r="M2929" s="24">
        <v>224637.5</v>
      </c>
      <c r="N2929" s="25">
        <f>IFERROR(T_reg.root.SK[[#This Row],[Price]]/T_reg.root.SK[[#This Row],[Starch content]],"")</f>
        <v>15.476839237057218</v>
      </c>
    </row>
    <row r="2930" spans="1:14">
      <c r="A2930" s="21">
        <v>2024</v>
      </c>
      <c r="B2930" s="21" t="s">
        <v>22</v>
      </c>
      <c r="C2930" s="21" t="s">
        <v>1145</v>
      </c>
      <c r="D2930" s="21" t="s">
        <v>35</v>
      </c>
      <c r="E2930" s="18" t="s">
        <v>713</v>
      </c>
      <c r="F2930" s="18" t="s">
        <v>105</v>
      </c>
      <c r="G2930" s="18" t="s">
        <v>48</v>
      </c>
      <c r="H2930" s="24">
        <v>29700</v>
      </c>
      <c r="I2930" s="24">
        <f>T_reg.root.SK[[#This Row],[Volume, kg]]/1000</f>
        <v>29.7</v>
      </c>
      <c r="J2930" s="25">
        <v>0.19839999999999999</v>
      </c>
      <c r="K2930" s="25">
        <f t="shared" si="45"/>
        <v>5892.48</v>
      </c>
      <c r="L2930" s="25">
        <v>2.63</v>
      </c>
      <c r="M2930" s="24">
        <v>77998</v>
      </c>
      <c r="N2930" s="25">
        <f>IFERROR(T_reg.root.SK[[#This Row],[Price]]/T_reg.root.SK[[#This Row],[Starch content]],"")</f>
        <v>13.256048387096774</v>
      </c>
    </row>
    <row r="2931" spans="1:14">
      <c r="A2931" s="21">
        <v>2024</v>
      </c>
      <c r="B2931" s="21" t="s">
        <v>22</v>
      </c>
      <c r="C2931" s="21" t="s">
        <v>1145</v>
      </c>
      <c r="D2931" s="21" t="s">
        <v>35</v>
      </c>
      <c r="E2931" s="18" t="s">
        <v>109</v>
      </c>
      <c r="F2931" s="18" t="s">
        <v>105</v>
      </c>
      <c r="G2931" s="18" t="s">
        <v>48</v>
      </c>
      <c r="H2931" s="24">
        <v>8470</v>
      </c>
      <c r="I2931" s="24">
        <f>T_reg.root.SK[[#This Row],[Volume, kg]]/1000</f>
        <v>8.4700000000000006</v>
      </c>
      <c r="J2931" s="25">
        <v>0.18429999999999999</v>
      </c>
      <c r="K2931" s="25">
        <f t="shared" si="45"/>
        <v>1561.021</v>
      </c>
      <c r="L2931" s="25">
        <v>2.75</v>
      </c>
      <c r="M2931" s="24">
        <v>23292.5</v>
      </c>
      <c r="N2931" s="25">
        <f>IFERROR(T_reg.root.SK[[#This Row],[Price]]/T_reg.root.SK[[#This Row],[Starch content]],"")</f>
        <v>14.921323928377646</v>
      </c>
    </row>
    <row r="2932" spans="1:14">
      <c r="A2932" s="21">
        <v>2024</v>
      </c>
      <c r="B2932" s="21" t="s">
        <v>22</v>
      </c>
      <c r="C2932" s="21" t="s">
        <v>1145</v>
      </c>
      <c r="D2932" s="21" t="s">
        <v>35</v>
      </c>
      <c r="E2932" s="18" t="s">
        <v>292</v>
      </c>
      <c r="F2932" s="18" t="s">
        <v>105</v>
      </c>
      <c r="G2932" s="18" t="s">
        <v>48</v>
      </c>
      <c r="H2932" s="24">
        <v>78580</v>
      </c>
      <c r="I2932" s="24">
        <f>T_reg.root.SK[[#This Row],[Volume, kg]]/1000</f>
        <v>78.58</v>
      </c>
      <c r="J2932" s="25">
        <v>0.17749999999999999</v>
      </c>
      <c r="K2932" s="25">
        <f t="shared" si="45"/>
        <v>13947.949999999999</v>
      </c>
      <c r="L2932" s="25">
        <v>2.76</v>
      </c>
      <c r="M2932" s="24">
        <v>217224</v>
      </c>
      <c r="N2932" s="25">
        <f>IFERROR(T_reg.root.SK[[#This Row],[Price]]/T_reg.root.SK[[#This Row],[Starch content]],"")</f>
        <v>15.549295774647886</v>
      </c>
    </row>
    <row r="2933" spans="1:14">
      <c r="A2933" s="21">
        <v>2024</v>
      </c>
      <c r="B2933" s="21" t="s">
        <v>22</v>
      </c>
      <c r="C2933" s="21" t="s">
        <v>1145</v>
      </c>
      <c r="D2933" s="21" t="s">
        <v>35</v>
      </c>
      <c r="E2933" s="18" t="s">
        <v>350</v>
      </c>
      <c r="F2933" s="18" t="s">
        <v>105</v>
      </c>
      <c r="G2933" s="18" t="s">
        <v>48</v>
      </c>
      <c r="H2933" s="24">
        <v>65480</v>
      </c>
      <c r="I2933" s="24">
        <f>T_reg.root.SK[[#This Row],[Volume, kg]]/1000</f>
        <v>65.48</v>
      </c>
      <c r="J2933" s="25">
        <v>0.21760000000000002</v>
      </c>
      <c r="K2933" s="25">
        <f t="shared" si="45"/>
        <v>14248.448</v>
      </c>
      <c r="L2933" s="25">
        <v>2.94</v>
      </c>
      <c r="M2933" s="24">
        <v>192191</v>
      </c>
      <c r="N2933" s="25">
        <f>IFERROR(T_reg.root.SK[[#This Row],[Price]]/T_reg.root.SK[[#This Row],[Starch content]],"")</f>
        <v>13.511029411764705</v>
      </c>
    </row>
    <row r="2934" spans="1:14">
      <c r="A2934" s="21">
        <v>2024</v>
      </c>
      <c r="B2934" s="21" t="s">
        <v>22</v>
      </c>
      <c r="C2934" s="21" t="s">
        <v>1145</v>
      </c>
      <c r="D2934" s="21" t="s">
        <v>35</v>
      </c>
      <c r="E2934" s="18" t="s">
        <v>293</v>
      </c>
      <c r="F2934" s="18" t="s">
        <v>105</v>
      </c>
      <c r="G2934" s="18" t="s">
        <v>48</v>
      </c>
      <c r="H2934" s="24">
        <v>9030</v>
      </c>
      <c r="I2934" s="24">
        <f>T_reg.root.SK[[#This Row],[Volume, kg]]/1000</f>
        <v>9.0299999999999994</v>
      </c>
      <c r="J2934" s="25">
        <v>0.14849999999999999</v>
      </c>
      <c r="K2934" s="25">
        <f t="shared" si="45"/>
        <v>1340.9549999999999</v>
      </c>
      <c r="L2934" s="25">
        <v>2.6</v>
      </c>
      <c r="M2934" s="24">
        <v>23478</v>
      </c>
      <c r="N2934" s="25">
        <f>IFERROR(T_reg.root.SK[[#This Row],[Price]]/T_reg.root.SK[[#This Row],[Starch content]],"")</f>
        <v>17.508417508417509</v>
      </c>
    </row>
    <row r="2935" spans="1:14">
      <c r="A2935" s="21">
        <v>2024</v>
      </c>
      <c r="B2935" s="21" t="s">
        <v>22</v>
      </c>
      <c r="C2935" s="21" t="s">
        <v>1145</v>
      </c>
      <c r="D2935" s="21" t="s">
        <v>35</v>
      </c>
      <c r="E2935" s="18" t="s">
        <v>751</v>
      </c>
      <c r="F2935" s="18" t="s">
        <v>105</v>
      </c>
      <c r="G2935" s="18" t="s">
        <v>48</v>
      </c>
      <c r="H2935" s="24">
        <v>182760</v>
      </c>
      <c r="I2935" s="24">
        <f>T_reg.root.SK[[#This Row],[Volume, kg]]/1000</f>
        <v>182.76</v>
      </c>
      <c r="J2935" s="25">
        <v>0.17010000000000003</v>
      </c>
      <c r="K2935" s="25">
        <f t="shared" si="45"/>
        <v>31087.476000000006</v>
      </c>
      <c r="L2935" s="25">
        <v>2.65</v>
      </c>
      <c r="M2935" s="24">
        <v>484253</v>
      </c>
      <c r="N2935" s="25">
        <f>IFERROR(T_reg.root.SK[[#This Row],[Price]]/T_reg.root.SK[[#This Row],[Starch content]],"")</f>
        <v>15.579071134626687</v>
      </c>
    </row>
    <row r="2936" spans="1:14">
      <c r="A2936" s="21">
        <v>2024</v>
      </c>
      <c r="B2936" s="21" t="s">
        <v>22</v>
      </c>
      <c r="C2936" s="21" t="s">
        <v>1145</v>
      </c>
      <c r="D2936" s="21" t="s">
        <v>35</v>
      </c>
      <c r="E2936" s="18" t="s">
        <v>734</v>
      </c>
      <c r="F2936" s="18" t="s">
        <v>105</v>
      </c>
      <c r="G2936" s="18" t="s">
        <v>48</v>
      </c>
      <c r="H2936" s="24">
        <v>61600</v>
      </c>
      <c r="I2936" s="24">
        <f>T_reg.root.SK[[#This Row],[Volume, kg]]/1000</f>
        <v>61.6</v>
      </c>
      <c r="J2936" s="25">
        <v>0.21210000000000001</v>
      </c>
      <c r="K2936" s="25">
        <f t="shared" si="45"/>
        <v>13065.36</v>
      </c>
      <c r="L2936" s="25">
        <v>2.97</v>
      </c>
      <c r="M2936" s="24">
        <v>182964</v>
      </c>
      <c r="N2936" s="25">
        <f>IFERROR(T_reg.root.SK[[#This Row],[Price]]/T_reg.root.SK[[#This Row],[Starch content]],"")</f>
        <v>14.002828854314004</v>
      </c>
    </row>
    <row r="2937" spans="1:14">
      <c r="A2937" s="21">
        <v>2024</v>
      </c>
      <c r="B2937" s="21" t="s">
        <v>22</v>
      </c>
      <c r="C2937" s="21" t="s">
        <v>1145</v>
      </c>
      <c r="D2937" s="21" t="s">
        <v>35</v>
      </c>
      <c r="E2937" s="18" t="s">
        <v>483</v>
      </c>
      <c r="F2937" s="18" t="s">
        <v>105</v>
      </c>
      <c r="G2937" s="18" t="s">
        <v>48</v>
      </c>
      <c r="H2937" s="24">
        <v>8760</v>
      </c>
      <c r="I2937" s="24">
        <f>T_reg.root.SK[[#This Row],[Volume, kg]]/1000</f>
        <v>8.76</v>
      </c>
      <c r="J2937" s="25">
        <v>0.16949999999999998</v>
      </c>
      <c r="K2937" s="25">
        <f t="shared" si="45"/>
        <v>1484.82</v>
      </c>
      <c r="L2937" s="25">
        <v>2.8</v>
      </c>
      <c r="M2937" s="24">
        <v>24528</v>
      </c>
      <c r="N2937" s="25">
        <f>IFERROR(T_reg.root.SK[[#This Row],[Price]]/T_reg.root.SK[[#This Row],[Starch content]],"")</f>
        <v>16.519174041297937</v>
      </c>
    </row>
    <row r="2938" spans="1:14">
      <c r="A2938" s="21">
        <v>2024</v>
      </c>
      <c r="B2938" s="21" t="s">
        <v>22</v>
      </c>
      <c r="C2938" s="21" t="s">
        <v>1145</v>
      </c>
      <c r="D2938" s="21" t="s">
        <v>35</v>
      </c>
      <c r="E2938" s="18" t="s">
        <v>752</v>
      </c>
      <c r="F2938" s="18" t="s">
        <v>105</v>
      </c>
      <c r="G2938" s="18" t="s">
        <v>48</v>
      </c>
      <c r="H2938" s="24">
        <v>4980</v>
      </c>
      <c r="I2938" s="24">
        <f>T_reg.root.SK[[#This Row],[Volume, kg]]/1000</f>
        <v>4.9800000000000004</v>
      </c>
      <c r="J2938" s="25">
        <v>0.14249999999999999</v>
      </c>
      <c r="K2938" s="25">
        <f t="shared" si="45"/>
        <v>709.65</v>
      </c>
      <c r="L2938" s="25">
        <v>2.65</v>
      </c>
      <c r="M2938" s="24">
        <v>13197</v>
      </c>
      <c r="N2938" s="25">
        <f>IFERROR(T_reg.root.SK[[#This Row],[Price]]/T_reg.root.SK[[#This Row],[Starch content]],"")</f>
        <v>18.596491228070178</v>
      </c>
    </row>
    <row r="2939" spans="1:14">
      <c r="A2939" s="21">
        <v>2024</v>
      </c>
      <c r="B2939" s="21" t="s">
        <v>22</v>
      </c>
      <c r="C2939" s="21" t="s">
        <v>1145</v>
      </c>
      <c r="D2939" s="21" t="s">
        <v>35</v>
      </c>
      <c r="E2939" s="18" t="s">
        <v>115</v>
      </c>
      <c r="F2939" s="18" t="s">
        <v>105</v>
      </c>
      <c r="G2939" s="18" t="s">
        <v>48</v>
      </c>
      <c r="H2939" s="24">
        <v>137620</v>
      </c>
      <c r="I2939" s="24">
        <f>T_reg.root.SK[[#This Row],[Volume, kg]]/1000</f>
        <v>137.62</v>
      </c>
      <c r="J2939" s="25">
        <v>0.2009</v>
      </c>
      <c r="K2939" s="25">
        <f t="shared" si="45"/>
        <v>27647.858</v>
      </c>
      <c r="L2939" s="25">
        <v>2.91</v>
      </c>
      <c r="M2939" s="24">
        <v>399823</v>
      </c>
      <c r="N2939" s="25">
        <f>IFERROR(T_reg.root.SK[[#This Row],[Price]]/T_reg.root.SK[[#This Row],[Starch content]],"")</f>
        <v>14.484818317570932</v>
      </c>
    </row>
    <row r="2940" spans="1:14">
      <c r="A2940" s="21">
        <v>2024</v>
      </c>
      <c r="B2940" s="21" t="s">
        <v>22</v>
      </c>
      <c r="C2940" s="21" t="s">
        <v>1145</v>
      </c>
      <c r="D2940" s="21" t="s">
        <v>35</v>
      </c>
      <c r="E2940" s="18" t="s">
        <v>116</v>
      </c>
      <c r="F2940" s="18" t="s">
        <v>105</v>
      </c>
      <c r="G2940" s="18" t="s">
        <v>48</v>
      </c>
      <c r="H2940" s="24">
        <v>5440</v>
      </c>
      <c r="I2940" s="24">
        <f>T_reg.root.SK[[#This Row],[Volume, kg]]/1000</f>
        <v>5.44</v>
      </c>
      <c r="J2940" s="25">
        <v>0.217</v>
      </c>
      <c r="K2940" s="25">
        <f t="shared" si="45"/>
        <v>1180.48</v>
      </c>
      <c r="L2940" s="25">
        <v>2.95</v>
      </c>
      <c r="M2940" s="24">
        <v>16048</v>
      </c>
      <c r="N2940" s="25">
        <f>IFERROR(T_reg.root.SK[[#This Row],[Price]]/T_reg.root.SK[[#This Row],[Starch content]],"")</f>
        <v>13.59447004608295</v>
      </c>
    </row>
    <row r="2941" spans="1:14">
      <c r="A2941" s="21">
        <v>2024</v>
      </c>
      <c r="B2941" s="21" t="s">
        <v>22</v>
      </c>
      <c r="C2941" s="21" t="s">
        <v>1145</v>
      </c>
      <c r="D2941" s="21" t="s">
        <v>35</v>
      </c>
      <c r="E2941" s="18" t="s">
        <v>296</v>
      </c>
      <c r="F2941" s="18" t="s">
        <v>105</v>
      </c>
      <c r="G2941" s="18" t="s">
        <v>48</v>
      </c>
      <c r="H2941" s="24">
        <v>13720</v>
      </c>
      <c r="I2941" s="24">
        <f>T_reg.root.SK[[#This Row],[Volume, kg]]/1000</f>
        <v>13.72</v>
      </c>
      <c r="J2941" s="25">
        <v>0.1741</v>
      </c>
      <c r="K2941" s="25">
        <f t="shared" si="45"/>
        <v>2388.652</v>
      </c>
      <c r="L2941" s="25">
        <v>2.83</v>
      </c>
      <c r="M2941" s="24">
        <v>38809.5</v>
      </c>
      <c r="N2941" s="25">
        <f>IFERROR(T_reg.root.SK[[#This Row],[Price]]/T_reg.root.SK[[#This Row],[Starch content]],"")</f>
        <v>16.255025847214245</v>
      </c>
    </row>
    <row r="2942" spans="1:14">
      <c r="A2942" s="21">
        <v>2024</v>
      </c>
      <c r="B2942" s="21" t="s">
        <v>22</v>
      </c>
      <c r="C2942" s="21" t="s">
        <v>1145</v>
      </c>
      <c r="D2942" s="21" t="s">
        <v>35</v>
      </c>
      <c r="E2942" s="18" t="s">
        <v>753</v>
      </c>
      <c r="F2942" s="18" t="s">
        <v>105</v>
      </c>
      <c r="G2942" s="18" t="s">
        <v>48</v>
      </c>
      <c r="H2942" s="24">
        <v>9180</v>
      </c>
      <c r="I2942" s="24">
        <f>T_reg.root.SK[[#This Row],[Volume, kg]]/1000</f>
        <v>9.18</v>
      </c>
      <c r="J2942" s="25">
        <v>0.14180000000000001</v>
      </c>
      <c r="K2942" s="25">
        <f t="shared" si="45"/>
        <v>1301.7240000000002</v>
      </c>
      <c r="L2942" s="25">
        <v>2.67</v>
      </c>
      <c r="M2942" s="24">
        <v>24531.5</v>
      </c>
      <c r="N2942" s="25">
        <f>IFERROR(T_reg.root.SK[[#This Row],[Price]]/T_reg.root.SK[[#This Row],[Starch content]],"")</f>
        <v>18.829337094499294</v>
      </c>
    </row>
    <row r="2943" spans="1:14">
      <c r="A2943" s="21">
        <v>2024</v>
      </c>
      <c r="B2943" s="21" t="s">
        <v>22</v>
      </c>
      <c r="C2943" s="21" t="s">
        <v>1145</v>
      </c>
      <c r="D2943" s="21" t="s">
        <v>35</v>
      </c>
      <c r="E2943" s="18" t="s">
        <v>118</v>
      </c>
      <c r="F2943" s="18" t="s">
        <v>105</v>
      </c>
      <c r="G2943" s="18" t="s">
        <v>48</v>
      </c>
      <c r="H2943" s="24">
        <v>187370</v>
      </c>
      <c r="I2943" s="24">
        <f>T_reg.root.SK[[#This Row],[Volume, kg]]/1000</f>
        <v>187.37</v>
      </c>
      <c r="J2943" s="25">
        <v>0.2014</v>
      </c>
      <c r="K2943" s="25">
        <f t="shared" si="45"/>
        <v>37736.317999999999</v>
      </c>
      <c r="L2943" s="25">
        <v>2.84</v>
      </c>
      <c r="M2943" s="24">
        <v>531409.5</v>
      </c>
      <c r="N2943" s="25">
        <f>IFERROR(T_reg.root.SK[[#This Row],[Price]]/T_reg.root.SK[[#This Row],[Starch content]],"")</f>
        <v>14.101290963257199</v>
      </c>
    </row>
    <row r="2944" spans="1:14">
      <c r="A2944" s="21">
        <v>2024</v>
      </c>
      <c r="B2944" s="21" t="s">
        <v>22</v>
      </c>
      <c r="C2944" s="21" t="s">
        <v>1145</v>
      </c>
      <c r="D2944" s="21" t="s">
        <v>35</v>
      </c>
      <c r="E2944" s="18" t="s">
        <v>119</v>
      </c>
      <c r="F2944" s="18" t="s">
        <v>105</v>
      </c>
      <c r="G2944" s="18" t="s">
        <v>48</v>
      </c>
      <c r="H2944" s="24">
        <v>39000</v>
      </c>
      <c r="I2944" s="24">
        <f>T_reg.root.SK[[#This Row],[Volume, kg]]/1000</f>
        <v>39</v>
      </c>
      <c r="J2944" s="25">
        <v>0.18170000000000003</v>
      </c>
      <c r="K2944" s="25">
        <f t="shared" si="45"/>
        <v>7086.3000000000011</v>
      </c>
      <c r="L2944" s="25">
        <v>2.86</v>
      </c>
      <c r="M2944" s="24">
        <v>111576.5</v>
      </c>
      <c r="N2944" s="25">
        <f>IFERROR(T_reg.root.SK[[#This Row],[Price]]/T_reg.root.SK[[#This Row],[Starch content]],"")</f>
        <v>15.740231150247658</v>
      </c>
    </row>
    <row r="2945" spans="1:14">
      <c r="A2945" s="21">
        <v>2024</v>
      </c>
      <c r="B2945" s="21" t="s">
        <v>22</v>
      </c>
      <c r="C2945" s="21" t="s">
        <v>1145</v>
      </c>
      <c r="D2945" s="21" t="s">
        <v>35</v>
      </c>
      <c r="E2945" s="18" t="s">
        <v>122</v>
      </c>
      <c r="F2945" s="18" t="s">
        <v>105</v>
      </c>
      <c r="G2945" s="18" t="s">
        <v>48</v>
      </c>
      <c r="H2945" s="24">
        <v>12260</v>
      </c>
      <c r="I2945" s="24">
        <f>T_reg.root.SK[[#This Row],[Volume, kg]]/1000</f>
        <v>12.26</v>
      </c>
      <c r="J2945" s="25">
        <v>0.21359999999999998</v>
      </c>
      <c r="K2945" s="25">
        <f t="shared" si="45"/>
        <v>2618.7359999999999</v>
      </c>
      <c r="L2945" s="25">
        <v>2.94</v>
      </c>
      <c r="M2945" s="24">
        <v>36007.5</v>
      </c>
      <c r="N2945" s="25">
        <f>IFERROR(T_reg.root.SK[[#This Row],[Price]]/T_reg.root.SK[[#This Row],[Starch content]],"")</f>
        <v>13.764044943820226</v>
      </c>
    </row>
    <row r="2946" spans="1:14">
      <c r="A2946" s="21">
        <v>2024</v>
      </c>
      <c r="B2946" s="21" t="s">
        <v>22</v>
      </c>
      <c r="C2946" s="21" t="s">
        <v>1145</v>
      </c>
      <c r="D2946" s="21" t="s">
        <v>35</v>
      </c>
      <c r="E2946" s="18" t="s">
        <v>123</v>
      </c>
      <c r="F2946" s="18" t="s">
        <v>105</v>
      </c>
      <c r="G2946" s="18" t="s">
        <v>48</v>
      </c>
      <c r="H2946" s="24">
        <v>64850</v>
      </c>
      <c r="I2946" s="24">
        <f>T_reg.root.SK[[#This Row],[Volume, kg]]/1000</f>
        <v>64.849999999999994</v>
      </c>
      <c r="J2946" s="25">
        <v>0.21109999999999998</v>
      </c>
      <c r="K2946" s="25">
        <f t="shared" si="45"/>
        <v>13689.834999999999</v>
      </c>
      <c r="L2946" s="25">
        <v>2.94</v>
      </c>
      <c r="M2946" s="24">
        <v>190442</v>
      </c>
      <c r="N2946" s="25">
        <f>IFERROR(T_reg.root.SK[[#This Row],[Price]]/T_reg.root.SK[[#This Row],[Starch content]],"")</f>
        <v>13.927048792041687</v>
      </c>
    </row>
    <row r="2947" spans="1:14">
      <c r="A2947" s="21">
        <v>2024</v>
      </c>
      <c r="B2947" s="21" t="s">
        <v>22</v>
      </c>
      <c r="C2947" s="21" t="s">
        <v>1145</v>
      </c>
      <c r="D2947" s="21" t="s">
        <v>35</v>
      </c>
      <c r="E2947" s="18" t="s">
        <v>735</v>
      </c>
      <c r="F2947" s="18" t="s">
        <v>105</v>
      </c>
      <c r="G2947" s="18" t="s">
        <v>48</v>
      </c>
      <c r="H2947" s="24">
        <v>36480</v>
      </c>
      <c r="I2947" s="24">
        <f>T_reg.root.SK[[#This Row],[Volume, kg]]/1000</f>
        <v>36.479999999999997</v>
      </c>
      <c r="J2947" s="25">
        <v>0.1991</v>
      </c>
      <c r="K2947" s="25">
        <f t="shared" ref="K2947:K3010" si="46">H2947*J2947</f>
        <v>7263.1679999999997</v>
      </c>
      <c r="L2947" s="25">
        <v>2.83</v>
      </c>
      <c r="M2947" s="24">
        <v>103274</v>
      </c>
      <c r="N2947" s="25">
        <f>IFERROR(T_reg.root.SK[[#This Row],[Price]]/T_reg.root.SK[[#This Row],[Starch content]],"")</f>
        <v>14.213962832747363</v>
      </c>
    </row>
    <row r="2948" spans="1:14">
      <c r="A2948" s="21">
        <v>2024</v>
      </c>
      <c r="B2948" s="21" t="s">
        <v>22</v>
      </c>
      <c r="C2948" s="21" t="s">
        <v>1145</v>
      </c>
      <c r="D2948" s="21" t="s">
        <v>35</v>
      </c>
      <c r="E2948" s="18" t="s">
        <v>239</v>
      </c>
      <c r="F2948" s="18" t="s">
        <v>105</v>
      </c>
      <c r="G2948" s="18" t="s">
        <v>48</v>
      </c>
      <c r="H2948" s="24">
        <v>4360</v>
      </c>
      <c r="I2948" s="24">
        <f>T_reg.root.SK[[#This Row],[Volume, kg]]/1000</f>
        <v>4.3600000000000003</v>
      </c>
      <c r="J2948" s="25">
        <v>0.19149999999999998</v>
      </c>
      <c r="K2948" s="25">
        <f t="shared" si="46"/>
        <v>834.93999999999994</v>
      </c>
      <c r="L2948" s="25">
        <v>2.5</v>
      </c>
      <c r="M2948" s="24">
        <v>10900</v>
      </c>
      <c r="N2948" s="25">
        <f>IFERROR(T_reg.root.SK[[#This Row],[Price]]/T_reg.root.SK[[#This Row],[Starch content]],"")</f>
        <v>13.054830287206268</v>
      </c>
    </row>
    <row r="2949" spans="1:14">
      <c r="A2949" s="21">
        <v>2024</v>
      </c>
      <c r="B2949" s="21" t="s">
        <v>22</v>
      </c>
      <c r="C2949" s="21" t="s">
        <v>1145</v>
      </c>
      <c r="D2949" s="21" t="s">
        <v>35</v>
      </c>
      <c r="E2949" s="18" t="s">
        <v>124</v>
      </c>
      <c r="F2949" s="18" t="s">
        <v>105</v>
      </c>
      <c r="G2949" s="18" t="s">
        <v>48</v>
      </c>
      <c r="H2949" s="24">
        <v>23140</v>
      </c>
      <c r="I2949" s="24">
        <f>T_reg.root.SK[[#This Row],[Volume, kg]]/1000</f>
        <v>23.14</v>
      </c>
      <c r="J2949" s="25">
        <v>0.2009</v>
      </c>
      <c r="K2949" s="25">
        <f t="shared" si="46"/>
        <v>4648.826</v>
      </c>
      <c r="L2949" s="25">
        <v>2.95</v>
      </c>
      <c r="M2949" s="24">
        <v>68148</v>
      </c>
      <c r="N2949" s="25">
        <f>IFERROR(T_reg.root.SK[[#This Row],[Price]]/T_reg.root.SK[[#This Row],[Starch content]],"")</f>
        <v>14.683922349427577</v>
      </c>
    </row>
    <row r="2950" spans="1:14">
      <c r="A2950" s="21">
        <v>2024</v>
      </c>
      <c r="B2950" s="21" t="s">
        <v>22</v>
      </c>
      <c r="C2950" s="21" t="s">
        <v>1145</v>
      </c>
      <c r="D2950" s="21" t="s">
        <v>35</v>
      </c>
      <c r="E2950" s="18" t="s">
        <v>563</v>
      </c>
      <c r="F2950" s="18" t="s">
        <v>105</v>
      </c>
      <c r="G2950" s="18" t="s">
        <v>48</v>
      </c>
      <c r="H2950" s="24">
        <v>8660</v>
      </c>
      <c r="I2950" s="24">
        <f>T_reg.root.SK[[#This Row],[Volume, kg]]/1000</f>
        <v>8.66</v>
      </c>
      <c r="J2950" s="25">
        <v>0.2235</v>
      </c>
      <c r="K2950" s="25">
        <f t="shared" si="46"/>
        <v>1935.51</v>
      </c>
      <c r="L2950" s="25">
        <v>2.95</v>
      </c>
      <c r="M2950" s="24">
        <v>25547</v>
      </c>
      <c r="N2950" s="25">
        <f>IFERROR(T_reg.root.SK[[#This Row],[Price]]/T_reg.root.SK[[#This Row],[Starch content]],"")</f>
        <v>13.199105145413871</v>
      </c>
    </row>
    <row r="2951" spans="1:14">
      <c r="A2951" s="21">
        <v>2024</v>
      </c>
      <c r="B2951" s="21" t="s">
        <v>22</v>
      </c>
      <c r="C2951" s="21" t="s">
        <v>1145</v>
      </c>
      <c r="D2951" s="21" t="s">
        <v>35</v>
      </c>
      <c r="E2951" s="18" t="s">
        <v>487</v>
      </c>
      <c r="F2951" s="18" t="s">
        <v>105</v>
      </c>
      <c r="G2951" s="18" t="s">
        <v>48</v>
      </c>
      <c r="H2951" s="24">
        <v>18200</v>
      </c>
      <c r="I2951" s="24">
        <f>T_reg.root.SK[[#This Row],[Volume, kg]]/1000</f>
        <v>18.2</v>
      </c>
      <c r="J2951" s="25">
        <v>0.21629999999999999</v>
      </c>
      <c r="K2951" s="25">
        <f t="shared" si="46"/>
        <v>3936.66</v>
      </c>
      <c r="L2951" s="25">
        <v>3.02</v>
      </c>
      <c r="M2951" s="24">
        <v>55026</v>
      </c>
      <c r="N2951" s="25">
        <f>IFERROR(T_reg.root.SK[[#This Row],[Price]]/T_reg.root.SK[[#This Row],[Starch content]],"")</f>
        <v>13.96208969024503</v>
      </c>
    </row>
    <row r="2952" spans="1:14">
      <c r="A2952" s="21">
        <v>2024</v>
      </c>
      <c r="B2952" s="21" t="s">
        <v>22</v>
      </c>
      <c r="C2952" s="21" t="s">
        <v>1145</v>
      </c>
      <c r="D2952" s="21" t="s">
        <v>35</v>
      </c>
      <c r="E2952" s="18" t="s">
        <v>125</v>
      </c>
      <c r="F2952" s="18" t="s">
        <v>105</v>
      </c>
      <c r="G2952" s="18" t="s">
        <v>48</v>
      </c>
      <c r="H2952" s="24">
        <v>11120</v>
      </c>
      <c r="I2952" s="24">
        <f>T_reg.root.SK[[#This Row],[Volume, kg]]/1000</f>
        <v>11.12</v>
      </c>
      <c r="J2952" s="25">
        <v>0.17190000000000003</v>
      </c>
      <c r="K2952" s="25">
        <f t="shared" si="46"/>
        <v>1911.5280000000002</v>
      </c>
      <c r="L2952" s="25">
        <v>2.42</v>
      </c>
      <c r="M2952" s="24">
        <v>26962</v>
      </c>
      <c r="N2952" s="25">
        <f>IFERROR(T_reg.root.SK[[#This Row],[Price]]/T_reg.root.SK[[#This Row],[Starch content]],"")</f>
        <v>14.077952297847583</v>
      </c>
    </row>
    <row r="2953" spans="1:14">
      <c r="A2953" s="21">
        <v>2024</v>
      </c>
      <c r="B2953" s="21" t="s">
        <v>22</v>
      </c>
      <c r="C2953" s="21" t="s">
        <v>1145</v>
      </c>
      <c r="D2953" s="21" t="s">
        <v>35</v>
      </c>
      <c r="E2953" s="18" t="s">
        <v>736</v>
      </c>
      <c r="F2953" s="18" t="s">
        <v>105</v>
      </c>
      <c r="G2953" s="18" t="s">
        <v>48</v>
      </c>
      <c r="H2953" s="24">
        <v>84240</v>
      </c>
      <c r="I2953" s="24">
        <f>T_reg.root.SK[[#This Row],[Volume, kg]]/1000</f>
        <v>84.24</v>
      </c>
      <c r="J2953" s="25">
        <v>0.21760000000000002</v>
      </c>
      <c r="K2953" s="25">
        <f t="shared" si="46"/>
        <v>18330.624</v>
      </c>
      <c r="L2953" s="25">
        <v>3.04</v>
      </c>
      <c r="M2953" s="24">
        <v>255869</v>
      </c>
      <c r="N2953" s="25">
        <f>IFERROR(T_reg.root.SK[[#This Row],[Price]]/T_reg.root.SK[[#This Row],[Starch content]],"")</f>
        <v>13.970588235294116</v>
      </c>
    </row>
    <row r="2954" spans="1:14">
      <c r="A2954" s="21">
        <v>2024</v>
      </c>
      <c r="B2954" s="21" t="s">
        <v>22</v>
      </c>
      <c r="C2954" s="21" t="s">
        <v>1145</v>
      </c>
      <c r="D2954" s="21" t="s">
        <v>35</v>
      </c>
      <c r="E2954" s="18" t="s">
        <v>635</v>
      </c>
      <c r="F2954" s="18" t="s">
        <v>105</v>
      </c>
      <c r="G2954" s="18" t="s">
        <v>48</v>
      </c>
      <c r="H2954" s="24">
        <v>14490</v>
      </c>
      <c r="I2954" s="24">
        <f>T_reg.root.SK[[#This Row],[Volume, kg]]/1000</f>
        <v>14.49</v>
      </c>
      <c r="J2954" s="25">
        <v>0.1575</v>
      </c>
      <c r="K2954" s="25">
        <f t="shared" si="46"/>
        <v>2282.1750000000002</v>
      </c>
      <c r="L2954" s="25">
        <v>2.75</v>
      </c>
      <c r="M2954" s="24">
        <v>39847.5</v>
      </c>
      <c r="N2954" s="25">
        <f>IFERROR(T_reg.root.SK[[#This Row],[Price]]/T_reg.root.SK[[#This Row],[Starch content]],"")</f>
        <v>17.460317460317459</v>
      </c>
    </row>
    <row r="2955" spans="1:14">
      <c r="A2955" s="21">
        <v>2024</v>
      </c>
      <c r="B2955" s="21" t="s">
        <v>22</v>
      </c>
      <c r="C2955" s="21" t="s">
        <v>1145</v>
      </c>
      <c r="D2955" s="21" t="s">
        <v>35</v>
      </c>
      <c r="E2955" s="18" t="s">
        <v>602</v>
      </c>
      <c r="F2955" s="18" t="s">
        <v>105</v>
      </c>
      <c r="G2955" s="18" t="s">
        <v>48</v>
      </c>
      <c r="H2955" s="24">
        <v>18060</v>
      </c>
      <c r="I2955" s="24">
        <f>T_reg.root.SK[[#This Row],[Volume, kg]]/1000</f>
        <v>18.059999999999999</v>
      </c>
      <c r="J2955" s="25">
        <v>0.1376</v>
      </c>
      <c r="K2955" s="25">
        <f t="shared" si="46"/>
        <v>2485.056</v>
      </c>
      <c r="L2955" s="25">
        <v>2.65</v>
      </c>
      <c r="M2955" s="24">
        <v>47816</v>
      </c>
      <c r="N2955" s="25">
        <f>IFERROR(T_reg.root.SK[[#This Row],[Price]]/T_reg.root.SK[[#This Row],[Starch content]],"")</f>
        <v>19.258720930232556</v>
      </c>
    </row>
    <row r="2956" spans="1:14">
      <c r="A2956" s="21">
        <v>2024</v>
      </c>
      <c r="B2956" s="21" t="s">
        <v>22</v>
      </c>
      <c r="C2956" s="21" t="s">
        <v>1145</v>
      </c>
      <c r="D2956" s="21" t="s">
        <v>35</v>
      </c>
      <c r="E2956" s="18" t="s">
        <v>131</v>
      </c>
      <c r="F2956" s="18" t="s">
        <v>105</v>
      </c>
      <c r="G2956" s="18" t="s">
        <v>48</v>
      </c>
      <c r="H2956" s="24">
        <v>3650</v>
      </c>
      <c r="I2956" s="24">
        <f>T_reg.root.SK[[#This Row],[Volume, kg]]/1000</f>
        <v>3.65</v>
      </c>
      <c r="J2956" s="25">
        <v>0.14649999999999999</v>
      </c>
      <c r="K2956" s="25">
        <f t="shared" si="46"/>
        <v>534.72500000000002</v>
      </c>
      <c r="L2956" s="25">
        <v>2.7</v>
      </c>
      <c r="M2956" s="24">
        <v>9855</v>
      </c>
      <c r="N2956" s="25">
        <f>IFERROR(T_reg.root.SK[[#This Row],[Price]]/T_reg.root.SK[[#This Row],[Starch content]],"")</f>
        <v>18.430034129692835</v>
      </c>
    </row>
    <row r="2957" spans="1:14">
      <c r="A2957" s="21">
        <v>2024</v>
      </c>
      <c r="B2957" s="21" t="s">
        <v>22</v>
      </c>
      <c r="C2957" s="21" t="s">
        <v>1145</v>
      </c>
      <c r="D2957" s="21" t="s">
        <v>35</v>
      </c>
      <c r="E2957" s="18" t="s">
        <v>754</v>
      </c>
      <c r="F2957" s="18" t="s">
        <v>105</v>
      </c>
      <c r="G2957" s="18" t="s">
        <v>48</v>
      </c>
      <c r="H2957" s="24">
        <v>4500</v>
      </c>
      <c r="I2957" s="24">
        <f>T_reg.root.SK[[#This Row],[Volume, kg]]/1000</f>
        <v>4.5</v>
      </c>
      <c r="J2957" s="25">
        <v>0.14449999999999999</v>
      </c>
      <c r="K2957" s="25">
        <f t="shared" si="46"/>
        <v>650.25</v>
      </c>
      <c r="L2957" s="25">
        <v>2.5499999999999998</v>
      </c>
      <c r="M2957" s="24">
        <v>11475</v>
      </c>
      <c r="N2957" s="25">
        <f>IFERROR(T_reg.root.SK[[#This Row],[Price]]/T_reg.root.SK[[#This Row],[Starch content]],"")</f>
        <v>17.647058823529413</v>
      </c>
    </row>
    <row r="2958" spans="1:14">
      <c r="A2958" s="21">
        <v>2024</v>
      </c>
      <c r="B2958" s="21" t="s">
        <v>22</v>
      </c>
      <c r="C2958" s="21" t="s">
        <v>1145</v>
      </c>
      <c r="D2958" s="21" t="s">
        <v>35</v>
      </c>
      <c r="E2958" s="18" t="s">
        <v>755</v>
      </c>
      <c r="F2958" s="18" t="s">
        <v>105</v>
      </c>
      <c r="G2958" s="18" t="s">
        <v>48</v>
      </c>
      <c r="H2958" s="24">
        <v>4390</v>
      </c>
      <c r="I2958" s="24">
        <f>T_reg.root.SK[[#This Row],[Volume, kg]]/1000</f>
        <v>4.3899999999999997</v>
      </c>
      <c r="J2958" s="25">
        <v>0.20250000000000001</v>
      </c>
      <c r="K2958" s="25">
        <f t="shared" si="46"/>
        <v>888.97500000000002</v>
      </c>
      <c r="L2958" s="25">
        <v>2.75</v>
      </c>
      <c r="M2958" s="24">
        <v>12072.5</v>
      </c>
      <c r="N2958" s="25">
        <f>IFERROR(T_reg.root.SK[[#This Row],[Price]]/T_reg.root.SK[[#This Row],[Starch content]],"")</f>
        <v>13.580246913580247</v>
      </c>
    </row>
    <row r="2959" spans="1:14">
      <c r="A2959" s="21">
        <v>2024</v>
      </c>
      <c r="B2959" s="21" t="s">
        <v>22</v>
      </c>
      <c r="C2959" s="21" t="s">
        <v>1145</v>
      </c>
      <c r="D2959" s="21" t="s">
        <v>35</v>
      </c>
      <c r="E2959" s="18" t="s">
        <v>737</v>
      </c>
      <c r="F2959" s="18" t="s">
        <v>105</v>
      </c>
      <c r="G2959" s="18" t="s">
        <v>48</v>
      </c>
      <c r="H2959" s="24">
        <v>23290</v>
      </c>
      <c r="I2959" s="24">
        <f>T_reg.root.SK[[#This Row],[Volume, kg]]/1000</f>
        <v>23.29</v>
      </c>
      <c r="J2959" s="25">
        <v>0.2145</v>
      </c>
      <c r="K2959" s="25">
        <f t="shared" si="46"/>
        <v>4995.7049999999999</v>
      </c>
      <c r="L2959" s="25">
        <v>2.91</v>
      </c>
      <c r="M2959" s="24">
        <v>67847</v>
      </c>
      <c r="N2959" s="25">
        <f>IFERROR(T_reg.root.SK[[#This Row],[Price]]/T_reg.root.SK[[#This Row],[Starch content]],"")</f>
        <v>13.566433566433567</v>
      </c>
    </row>
    <row r="2960" spans="1:14">
      <c r="A2960" s="21">
        <v>2024</v>
      </c>
      <c r="B2960" s="21" t="s">
        <v>22</v>
      </c>
      <c r="C2960" s="21" t="s">
        <v>1145</v>
      </c>
      <c r="D2960" s="21" t="s">
        <v>35</v>
      </c>
      <c r="E2960" s="18" t="s">
        <v>301</v>
      </c>
      <c r="F2960" s="18" t="s">
        <v>105</v>
      </c>
      <c r="G2960" s="18" t="s">
        <v>48</v>
      </c>
      <c r="H2960" s="24">
        <v>44050</v>
      </c>
      <c r="I2960" s="24">
        <f>T_reg.root.SK[[#This Row],[Volume, kg]]/1000</f>
        <v>44.05</v>
      </c>
      <c r="J2960" s="25">
        <v>0.17510000000000001</v>
      </c>
      <c r="K2960" s="25">
        <f t="shared" si="46"/>
        <v>7713.1550000000007</v>
      </c>
      <c r="L2960" s="25">
        <v>2.82</v>
      </c>
      <c r="M2960" s="24">
        <v>124172.5</v>
      </c>
      <c r="N2960" s="25">
        <f>IFERROR(T_reg.root.SK[[#This Row],[Price]]/T_reg.root.SK[[#This Row],[Starch content]],"")</f>
        <v>16.105082809822957</v>
      </c>
    </row>
    <row r="2961" spans="1:14">
      <c r="A2961" s="21">
        <v>2024</v>
      </c>
      <c r="B2961" s="21" t="s">
        <v>22</v>
      </c>
      <c r="C2961" s="21" t="s">
        <v>1145</v>
      </c>
      <c r="D2961" s="21" t="s">
        <v>35</v>
      </c>
      <c r="E2961" s="18" t="s">
        <v>493</v>
      </c>
      <c r="F2961" s="18" t="s">
        <v>105</v>
      </c>
      <c r="G2961" s="18" t="s">
        <v>48</v>
      </c>
      <c r="H2961" s="24">
        <v>12390</v>
      </c>
      <c r="I2961" s="24">
        <f>T_reg.root.SK[[#This Row],[Volume, kg]]/1000</f>
        <v>12.39</v>
      </c>
      <c r="J2961" s="25">
        <v>0.15</v>
      </c>
      <c r="K2961" s="25">
        <f t="shared" si="46"/>
        <v>1858.5</v>
      </c>
      <c r="L2961" s="25">
        <v>2.7</v>
      </c>
      <c r="M2961" s="24">
        <v>33453</v>
      </c>
      <c r="N2961" s="25">
        <f>IFERROR(T_reg.root.SK[[#This Row],[Price]]/T_reg.root.SK[[#This Row],[Starch content]],"")</f>
        <v>18.000000000000004</v>
      </c>
    </row>
    <row r="2962" spans="1:14">
      <c r="A2962" s="21">
        <v>2024</v>
      </c>
      <c r="B2962" s="21" t="s">
        <v>22</v>
      </c>
      <c r="C2962" s="21" t="s">
        <v>1145</v>
      </c>
      <c r="D2962" s="21" t="s">
        <v>35</v>
      </c>
      <c r="E2962" s="18" t="s">
        <v>138</v>
      </c>
      <c r="F2962" s="18" t="s">
        <v>105</v>
      </c>
      <c r="G2962" s="18" t="s">
        <v>48</v>
      </c>
      <c r="H2962" s="24">
        <v>20230</v>
      </c>
      <c r="I2962" s="24">
        <f>T_reg.root.SK[[#This Row],[Volume, kg]]/1000</f>
        <v>20.23</v>
      </c>
      <c r="J2962" s="25">
        <v>0.25259999999999999</v>
      </c>
      <c r="K2962" s="25">
        <f t="shared" si="46"/>
        <v>5110.098</v>
      </c>
      <c r="L2962" s="25">
        <v>3.13</v>
      </c>
      <c r="M2962" s="24">
        <v>63273.5</v>
      </c>
      <c r="N2962" s="25">
        <f>IFERROR(T_reg.root.SK[[#This Row],[Price]]/T_reg.root.SK[[#This Row],[Starch content]],"")</f>
        <v>12.39113222486144</v>
      </c>
    </row>
    <row r="2963" spans="1:14">
      <c r="A2963" s="21">
        <v>2024</v>
      </c>
      <c r="B2963" s="21" t="s">
        <v>22</v>
      </c>
      <c r="C2963" s="21" t="s">
        <v>1145</v>
      </c>
      <c r="D2963" s="21" t="s">
        <v>35</v>
      </c>
      <c r="E2963" s="18" t="s">
        <v>304</v>
      </c>
      <c r="F2963" s="18" t="s">
        <v>105</v>
      </c>
      <c r="G2963" s="18" t="s">
        <v>48</v>
      </c>
      <c r="H2963" s="24">
        <v>21170</v>
      </c>
      <c r="I2963" s="24">
        <f>T_reg.root.SK[[#This Row],[Volume, kg]]/1000</f>
        <v>21.17</v>
      </c>
      <c r="J2963" s="25">
        <v>0.20499999999999999</v>
      </c>
      <c r="K2963" s="25">
        <f t="shared" si="46"/>
        <v>4339.8499999999995</v>
      </c>
      <c r="L2963" s="25">
        <v>2.89</v>
      </c>
      <c r="M2963" s="24">
        <v>61173.5</v>
      </c>
      <c r="N2963" s="25">
        <f>IFERROR(T_reg.root.SK[[#This Row],[Price]]/T_reg.root.SK[[#This Row],[Starch content]],"")</f>
        <v>14.097560975609758</v>
      </c>
    </row>
    <row r="2964" spans="1:14">
      <c r="A2964" s="21">
        <v>2024</v>
      </c>
      <c r="B2964" s="21" t="s">
        <v>22</v>
      </c>
      <c r="C2964" s="21" t="s">
        <v>1145</v>
      </c>
      <c r="D2964" s="21" t="s">
        <v>35</v>
      </c>
      <c r="E2964" s="18" t="s">
        <v>306</v>
      </c>
      <c r="F2964" s="18" t="s">
        <v>105</v>
      </c>
      <c r="G2964" s="18" t="s">
        <v>48</v>
      </c>
      <c r="H2964" s="24">
        <v>30700</v>
      </c>
      <c r="I2964" s="24">
        <f>T_reg.root.SK[[#This Row],[Volume, kg]]/1000</f>
        <v>30.7</v>
      </c>
      <c r="J2964" s="25">
        <v>0.17800000000000002</v>
      </c>
      <c r="K2964" s="25">
        <f t="shared" si="46"/>
        <v>5464.6</v>
      </c>
      <c r="L2964" s="25">
        <v>2.75</v>
      </c>
      <c r="M2964" s="24">
        <v>84425</v>
      </c>
      <c r="N2964" s="25">
        <f>IFERROR(T_reg.root.SK[[#This Row],[Price]]/T_reg.root.SK[[#This Row],[Starch content]],"")</f>
        <v>15.449438202247189</v>
      </c>
    </row>
    <row r="2965" spans="1:14">
      <c r="A2965" s="21">
        <v>2024</v>
      </c>
      <c r="B2965" s="21" t="s">
        <v>22</v>
      </c>
      <c r="C2965" s="21" t="s">
        <v>1145</v>
      </c>
      <c r="D2965" s="21" t="s">
        <v>35</v>
      </c>
      <c r="E2965" s="18" t="s">
        <v>308</v>
      </c>
      <c r="F2965" s="18" t="s">
        <v>105</v>
      </c>
      <c r="G2965" s="18" t="s">
        <v>48</v>
      </c>
      <c r="H2965" s="24">
        <v>10220</v>
      </c>
      <c r="I2965" s="24">
        <f>T_reg.root.SK[[#This Row],[Volume, kg]]/1000</f>
        <v>10.220000000000001</v>
      </c>
      <c r="J2965" s="25">
        <v>0.15310000000000001</v>
      </c>
      <c r="K2965" s="25">
        <f t="shared" si="46"/>
        <v>1564.6820000000002</v>
      </c>
      <c r="L2965" s="25">
        <v>2.4300000000000002</v>
      </c>
      <c r="M2965" s="24">
        <v>24822.5</v>
      </c>
      <c r="N2965" s="25">
        <f>IFERROR(T_reg.root.SK[[#This Row],[Price]]/T_reg.root.SK[[#This Row],[Starch content]],"")</f>
        <v>15.871979098628348</v>
      </c>
    </row>
    <row r="2966" spans="1:14">
      <c r="A2966" s="21">
        <v>2024</v>
      </c>
      <c r="B2966" s="21" t="s">
        <v>22</v>
      </c>
      <c r="C2966" s="21" t="s">
        <v>1145</v>
      </c>
      <c r="D2966" s="21" t="s">
        <v>35</v>
      </c>
      <c r="E2966" s="18" t="s">
        <v>244</v>
      </c>
      <c r="F2966" s="18" t="s">
        <v>105</v>
      </c>
      <c r="G2966" s="18" t="s">
        <v>48</v>
      </c>
      <c r="H2966" s="24">
        <v>19820</v>
      </c>
      <c r="I2966" s="24">
        <f>T_reg.root.SK[[#This Row],[Volume, kg]]/1000</f>
        <v>19.82</v>
      </c>
      <c r="J2966" s="25">
        <v>0.1643</v>
      </c>
      <c r="K2966" s="25">
        <f t="shared" si="46"/>
        <v>3256.4259999999999</v>
      </c>
      <c r="L2966" s="25">
        <v>2.4900000000000002</v>
      </c>
      <c r="M2966" s="24">
        <v>49289</v>
      </c>
      <c r="N2966" s="25">
        <f>IFERROR(T_reg.root.SK[[#This Row],[Price]]/T_reg.root.SK[[#This Row],[Starch content]],"")</f>
        <v>15.155203895313452</v>
      </c>
    </row>
    <row r="2967" spans="1:14">
      <c r="A2967" s="21">
        <v>2024</v>
      </c>
      <c r="B2967" s="21" t="s">
        <v>22</v>
      </c>
      <c r="C2967" s="21" t="s">
        <v>1145</v>
      </c>
      <c r="D2967" s="21" t="s">
        <v>35</v>
      </c>
      <c r="E2967" s="18" t="s">
        <v>756</v>
      </c>
      <c r="F2967" s="18" t="s">
        <v>105</v>
      </c>
      <c r="G2967" s="18" t="s">
        <v>48</v>
      </c>
      <c r="H2967" s="24">
        <v>31530</v>
      </c>
      <c r="I2967" s="24">
        <f>T_reg.root.SK[[#This Row],[Volume, kg]]/1000</f>
        <v>31.53</v>
      </c>
      <c r="J2967" s="25">
        <v>0.18090000000000001</v>
      </c>
      <c r="K2967" s="25">
        <f t="shared" si="46"/>
        <v>5703.777</v>
      </c>
      <c r="L2967" s="25">
        <v>2.72</v>
      </c>
      <c r="M2967" s="24">
        <v>85824</v>
      </c>
      <c r="N2967" s="25">
        <f>IFERROR(T_reg.root.SK[[#This Row],[Price]]/T_reg.root.SK[[#This Row],[Starch content]],"")</f>
        <v>15.035931453841902</v>
      </c>
    </row>
    <row r="2968" spans="1:14">
      <c r="A2968" s="21">
        <v>2024</v>
      </c>
      <c r="B2968" s="21" t="s">
        <v>22</v>
      </c>
      <c r="C2968" s="21" t="s">
        <v>1145</v>
      </c>
      <c r="D2968" s="21" t="s">
        <v>35</v>
      </c>
      <c r="E2968" s="18" t="s">
        <v>405</v>
      </c>
      <c r="F2968" s="18" t="s">
        <v>105</v>
      </c>
      <c r="G2968" s="18" t="s">
        <v>48</v>
      </c>
      <c r="H2968" s="24">
        <v>59930</v>
      </c>
      <c r="I2968" s="24">
        <f>T_reg.root.SK[[#This Row],[Volume, kg]]/1000</f>
        <v>59.93</v>
      </c>
      <c r="J2968" s="25">
        <v>0.18809999999999999</v>
      </c>
      <c r="K2968" s="25">
        <f t="shared" si="46"/>
        <v>11272.832999999999</v>
      </c>
      <c r="L2968" s="25">
        <v>2.85</v>
      </c>
      <c r="M2968" s="24">
        <v>170815.5</v>
      </c>
      <c r="N2968" s="25">
        <f>IFERROR(T_reg.root.SK[[#This Row],[Price]]/T_reg.root.SK[[#This Row],[Starch content]],"")</f>
        <v>15.151515151515152</v>
      </c>
    </row>
    <row r="2969" spans="1:14">
      <c r="A2969" s="21">
        <v>2024</v>
      </c>
      <c r="B2969" s="21" t="s">
        <v>22</v>
      </c>
      <c r="C2969" s="21" t="s">
        <v>1145</v>
      </c>
      <c r="D2969" s="21" t="s">
        <v>35</v>
      </c>
      <c r="E2969" s="18" t="s">
        <v>738</v>
      </c>
      <c r="F2969" s="18" t="s">
        <v>105</v>
      </c>
      <c r="G2969" s="18" t="s">
        <v>48</v>
      </c>
      <c r="H2969" s="24">
        <v>6190</v>
      </c>
      <c r="I2969" s="24">
        <f>T_reg.root.SK[[#This Row],[Volume, kg]]/1000</f>
        <v>6.19</v>
      </c>
      <c r="J2969" s="25">
        <v>0.20300000000000001</v>
      </c>
      <c r="K2969" s="25">
        <f t="shared" si="46"/>
        <v>1256.5700000000002</v>
      </c>
      <c r="L2969" s="25">
        <v>2.65</v>
      </c>
      <c r="M2969" s="24">
        <v>16403.5</v>
      </c>
      <c r="N2969" s="25">
        <f>IFERROR(T_reg.root.SK[[#This Row],[Price]]/T_reg.root.SK[[#This Row],[Starch content]],"")</f>
        <v>13.054187192118226</v>
      </c>
    </row>
    <row r="2970" spans="1:14">
      <c r="A2970" s="21">
        <v>2024</v>
      </c>
      <c r="B2970" s="21" t="s">
        <v>22</v>
      </c>
      <c r="C2970" s="21" t="s">
        <v>1145</v>
      </c>
      <c r="D2970" s="21" t="s">
        <v>35</v>
      </c>
      <c r="E2970" s="18" t="s">
        <v>310</v>
      </c>
      <c r="F2970" s="18" t="s">
        <v>105</v>
      </c>
      <c r="G2970" s="18" t="s">
        <v>48</v>
      </c>
      <c r="H2970" s="24">
        <v>34480</v>
      </c>
      <c r="I2970" s="24">
        <f>T_reg.root.SK[[#This Row],[Volume, kg]]/1000</f>
        <v>34.479999999999997</v>
      </c>
      <c r="J2970" s="25">
        <v>0.25619999999999998</v>
      </c>
      <c r="K2970" s="25">
        <f t="shared" si="46"/>
        <v>8833.7759999999998</v>
      </c>
      <c r="L2970" s="25">
        <v>3.13</v>
      </c>
      <c r="M2970" s="24">
        <v>107911</v>
      </c>
      <c r="N2970" s="25">
        <f>IFERROR(T_reg.root.SK[[#This Row],[Price]]/T_reg.root.SK[[#This Row],[Starch content]],"")</f>
        <v>12.217017954722873</v>
      </c>
    </row>
    <row r="2971" spans="1:14">
      <c r="A2971" s="21">
        <v>2024</v>
      </c>
      <c r="B2971" s="21" t="s">
        <v>22</v>
      </c>
      <c r="C2971" s="21" t="s">
        <v>1145</v>
      </c>
      <c r="D2971" s="21" t="s">
        <v>35</v>
      </c>
      <c r="E2971" s="18" t="s">
        <v>248</v>
      </c>
      <c r="F2971" s="18" t="s">
        <v>105</v>
      </c>
      <c r="G2971" s="18" t="s">
        <v>48</v>
      </c>
      <c r="H2971" s="24">
        <v>12590</v>
      </c>
      <c r="I2971" s="24">
        <f>T_reg.root.SK[[#This Row],[Volume, kg]]/1000</f>
        <v>12.59</v>
      </c>
      <c r="J2971" s="25">
        <v>0.20440000000000003</v>
      </c>
      <c r="K2971" s="25">
        <f t="shared" si="46"/>
        <v>2573.3960000000002</v>
      </c>
      <c r="L2971" s="25">
        <v>2.74</v>
      </c>
      <c r="M2971" s="24">
        <v>34501</v>
      </c>
      <c r="N2971" s="25">
        <f>IFERROR(T_reg.root.SK[[#This Row],[Price]]/T_reg.root.SK[[#This Row],[Starch content]],"")</f>
        <v>13.405088062622308</v>
      </c>
    </row>
    <row r="2972" spans="1:14">
      <c r="A2972" s="21">
        <v>2024</v>
      </c>
      <c r="B2972" s="21" t="s">
        <v>22</v>
      </c>
      <c r="C2972" s="21" t="s">
        <v>1145</v>
      </c>
      <c r="D2972" s="21" t="s">
        <v>35</v>
      </c>
      <c r="E2972" s="18" t="s">
        <v>143</v>
      </c>
      <c r="F2972" s="18" t="s">
        <v>105</v>
      </c>
      <c r="G2972" s="18" t="s">
        <v>48</v>
      </c>
      <c r="H2972" s="24">
        <v>13300</v>
      </c>
      <c r="I2972" s="24">
        <f>T_reg.root.SK[[#This Row],[Volume, kg]]/1000</f>
        <v>13.3</v>
      </c>
      <c r="J2972" s="25">
        <v>0.154</v>
      </c>
      <c r="K2972" s="25">
        <f t="shared" si="46"/>
        <v>2048.1999999999998</v>
      </c>
      <c r="L2972" s="25">
        <v>2.5299999999999998</v>
      </c>
      <c r="M2972" s="24">
        <v>33624</v>
      </c>
      <c r="N2972" s="25">
        <f>IFERROR(T_reg.root.SK[[#This Row],[Price]]/T_reg.root.SK[[#This Row],[Starch content]],"")</f>
        <v>16.428571428571427</v>
      </c>
    </row>
    <row r="2973" spans="1:14">
      <c r="A2973" s="21">
        <v>2024</v>
      </c>
      <c r="B2973" s="21" t="s">
        <v>22</v>
      </c>
      <c r="C2973" s="21" t="s">
        <v>1145</v>
      </c>
      <c r="D2973" s="21" t="s">
        <v>35</v>
      </c>
      <c r="E2973" s="18" t="s">
        <v>311</v>
      </c>
      <c r="F2973" s="18" t="s">
        <v>105</v>
      </c>
      <c r="G2973" s="18" t="s">
        <v>48</v>
      </c>
      <c r="H2973" s="24">
        <v>166310</v>
      </c>
      <c r="I2973" s="24">
        <f>T_reg.root.SK[[#This Row],[Volume, kg]]/1000</f>
        <v>166.31</v>
      </c>
      <c r="J2973" s="25">
        <v>0.19320000000000001</v>
      </c>
      <c r="K2973" s="25">
        <f t="shared" si="46"/>
        <v>32131.092000000001</v>
      </c>
      <c r="L2973" s="25">
        <v>2.88</v>
      </c>
      <c r="M2973" s="24">
        <v>479156</v>
      </c>
      <c r="N2973" s="25">
        <f>IFERROR(T_reg.root.SK[[#This Row],[Price]]/T_reg.root.SK[[#This Row],[Starch content]],"")</f>
        <v>14.906832298136644</v>
      </c>
    </row>
    <row r="2974" spans="1:14">
      <c r="A2974" s="21">
        <v>2024</v>
      </c>
      <c r="B2974" s="21" t="s">
        <v>22</v>
      </c>
      <c r="C2974" s="21" t="s">
        <v>1145</v>
      </c>
      <c r="D2974" s="21" t="s">
        <v>35</v>
      </c>
      <c r="E2974" s="18" t="s">
        <v>146</v>
      </c>
      <c r="F2974" s="18" t="s">
        <v>105</v>
      </c>
      <c r="G2974" s="18" t="s">
        <v>48</v>
      </c>
      <c r="H2974" s="24">
        <v>289370</v>
      </c>
      <c r="I2974" s="24">
        <f>T_reg.root.SK[[#This Row],[Volume, kg]]/1000</f>
        <v>289.37</v>
      </c>
      <c r="J2974" s="25">
        <v>0.2102</v>
      </c>
      <c r="K2974" s="25">
        <f t="shared" si="46"/>
        <v>60825.574000000001</v>
      </c>
      <c r="L2974" s="25">
        <v>2.93</v>
      </c>
      <c r="M2974" s="24">
        <v>849282.5</v>
      </c>
      <c r="N2974" s="25">
        <f>IFERROR(T_reg.root.SK[[#This Row],[Price]]/T_reg.root.SK[[#This Row],[Starch content]],"")</f>
        <v>13.939105613701237</v>
      </c>
    </row>
    <row r="2975" spans="1:14">
      <c r="A2975" s="21">
        <v>2024</v>
      </c>
      <c r="B2975" s="21" t="s">
        <v>22</v>
      </c>
      <c r="C2975" s="21" t="s">
        <v>1145</v>
      </c>
      <c r="D2975" s="21" t="s">
        <v>35</v>
      </c>
      <c r="E2975" s="18" t="s">
        <v>250</v>
      </c>
      <c r="F2975" s="18" t="s">
        <v>105</v>
      </c>
      <c r="G2975" s="18" t="s">
        <v>48</v>
      </c>
      <c r="H2975" s="24">
        <v>25680</v>
      </c>
      <c r="I2975" s="24">
        <f>T_reg.root.SK[[#This Row],[Volume, kg]]/1000</f>
        <v>25.68</v>
      </c>
      <c r="J2975" s="25">
        <v>0.18579999999999999</v>
      </c>
      <c r="K2975" s="25">
        <f t="shared" si="46"/>
        <v>4771.3440000000001</v>
      </c>
      <c r="L2975" s="25">
        <v>2.7</v>
      </c>
      <c r="M2975" s="24">
        <v>69248</v>
      </c>
      <c r="N2975" s="25">
        <f>IFERROR(T_reg.root.SK[[#This Row],[Price]]/T_reg.root.SK[[#This Row],[Starch content]],"")</f>
        <v>14.531754574811627</v>
      </c>
    </row>
    <row r="2976" spans="1:14">
      <c r="A2976" s="21">
        <v>2024</v>
      </c>
      <c r="B2976" s="21" t="s">
        <v>22</v>
      </c>
      <c r="C2976" s="21" t="s">
        <v>1145</v>
      </c>
      <c r="D2976" s="21" t="s">
        <v>35</v>
      </c>
      <c r="E2976" s="18" t="s">
        <v>618</v>
      </c>
      <c r="F2976" s="18" t="s">
        <v>105</v>
      </c>
      <c r="G2976" s="18" t="s">
        <v>48</v>
      </c>
      <c r="H2976" s="24">
        <v>8100</v>
      </c>
      <c r="I2976" s="24">
        <f>T_reg.root.SK[[#This Row],[Volume, kg]]/1000</f>
        <v>8.1</v>
      </c>
      <c r="J2976" s="25">
        <v>0.19399999999999998</v>
      </c>
      <c r="K2976" s="25">
        <f t="shared" si="46"/>
        <v>1571.3999999999999</v>
      </c>
      <c r="L2976" s="25">
        <v>2.8</v>
      </c>
      <c r="M2976" s="24">
        <v>22680</v>
      </c>
      <c r="N2976" s="25">
        <f>IFERROR(T_reg.root.SK[[#This Row],[Price]]/T_reg.root.SK[[#This Row],[Starch content]],"")</f>
        <v>14.43298969072165</v>
      </c>
    </row>
    <row r="2977" spans="1:14">
      <c r="A2977" s="21">
        <v>2024</v>
      </c>
      <c r="B2977" s="21" t="s">
        <v>22</v>
      </c>
      <c r="C2977" s="21" t="s">
        <v>1145</v>
      </c>
      <c r="D2977" s="21" t="s">
        <v>35</v>
      </c>
      <c r="E2977" s="18" t="s">
        <v>148</v>
      </c>
      <c r="F2977" s="18" t="s">
        <v>105</v>
      </c>
      <c r="G2977" s="18" t="s">
        <v>48</v>
      </c>
      <c r="H2977" s="24">
        <v>62300</v>
      </c>
      <c r="I2977" s="24">
        <f>T_reg.root.SK[[#This Row],[Volume, kg]]/1000</f>
        <v>62.3</v>
      </c>
      <c r="J2977" s="25">
        <v>0.19870000000000002</v>
      </c>
      <c r="K2977" s="25">
        <f t="shared" si="46"/>
        <v>12379.01</v>
      </c>
      <c r="L2977" s="25">
        <v>2.9</v>
      </c>
      <c r="M2977" s="24">
        <v>180590.5</v>
      </c>
      <c r="N2977" s="25">
        <f>IFERROR(T_reg.root.SK[[#This Row],[Price]]/T_reg.root.SK[[#This Row],[Starch content]],"")</f>
        <v>14.594866633115247</v>
      </c>
    </row>
    <row r="2978" spans="1:14">
      <c r="A2978" s="21">
        <v>2024</v>
      </c>
      <c r="B2978" s="21" t="s">
        <v>22</v>
      </c>
      <c r="C2978" s="21" t="s">
        <v>1145</v>
      </c>
      <c r="D2978" s="21" t="s">
        <v>35</v>
      </c>
      <c r="E2978" s="18" t="s">
        <v>253</v>
      </c>
      <c r="F2978" s="18" t="s">
        <v>105</v>
      </c>
      <c r="G2978" s="18" t="s">
        <v>48</v>
      </c>
      <c r="H2978" s="24">
        <v>40470</v>
      </c>
      <c r="I2978" s="24">
        <f>T_reg.root.SK[[#This Row],[Volume, kg]]/1000</f>
        <v>40.47</v>
      </c>
      <c r="J2978" s="25">
        <v>0.1565</v>
      </c>
      <c r="K2978" s="25">
        <f t="shared" si="46"/>
        <v>6333.5550000000003</v>
      </c>
      <c r="L2978" s="25">
        <v>2.59</v>
      </c>
      <c r="M2978" s="24">
        <v>104738.5</v>
      </c>
      <c r="N2978" s="25">
        <f>IFERROR(T_reg.root.SK[[#This Row],[Price]]/T_reg.root.SK[[#This Row],[Starch content]],"")</f>
        <v>16.549520766773163</v>
      </c>
    </row>
    <row r="2979" spans="1:14">
      <c r="A2979" s="21">
        <v>2024</v>
      </c>
      <c r="B2979" s="21" t="s">
        <v>22</v>
      </c>
      <c r="C2979" s="21" t="s">
        <v>1145</v>
      </c>
      <c r="D2979" s="21" t="s">
        <v>35</v>
      </c>
      <c r="E2979" s="18" t="s">
        <v>315</v>
      </c>
      <c r="F2979" s="18" t="s">
        <v>105</v>
      </c>
      <c r="G2979" s="18" t="s">
        <v>48</v>
      </c>
      <c r="H2979" s="24">
        <v>16400</v>
      </c>
      <c r="I2979" s="24">
        <f>T_reg.root.SK[[#This Row],[Volume, kg]]/1000</f>
        <v>16.399999999999999</v>
      </c>
      <c r="J2979" s="25">
        <v>0.1721</v>
      </c>
      <c r="K2979" s="25">
        <f t="shared" si="46"/>
        <v>2822.44</v>
      </c>
      <c r="L2979" s="25">
        <v>2.7</v>
      </c>
      <c r="M2979" s="24">
        <v>44210</v>
      </c>
      <c r="N2979" s="25">
        <f>IFERROR(T_reg.root.SK[[#This Row],[Price]]/T_reg.root.SK[[#This Row],[Starch content]],"")</f>
        <v>15.68855316676351</v>
      </c>
    </row>
    <row r="2980" spans="1:14">
      <c r="A2980" s="21">
        <v>2024</v>
      </c>
      <c r="B2980" s="21" t="s">
        <v>22</v>
      </c>
      <c r="C2980" s="21" t="s">
        <v>1145</v>
      </c>
      <c r="D2980" s="21" t="s">
        <v>35</v>
      </c>
      <c r="E2980" s="18" t="s">
        <v>687</v>
      </c>
      <c r="F2980" s="18" t="s">
        <v>105</v>
      </c>
      <c r="G2980" s="18" t="s">
        <v>48</v>
      </c>
      <c r="H2980" s="24">
        <v>1550</v>
      </c>
      <c r="I2980" s="24">
        <f>T_reg.root.SK[[#This Row],[Volume, kg]]/1000</f>
        <v>1.55</v>
      </c>
      <c r="J2980" s="25">
        <v>0.17100000000000001</v>
      </c>
      <c r="K2980" s="25">
        <f t="shared" si="46"/>
        <v>265.05</v>
      </c>
      <c r="L2980" s="25">
        <v>2.6</v>
      </c>
      <c r="M2980" s="24">
        <v>4030</v>
      </c>
      <c r="N2980" s="25">
        <f>IFERROR(T_reg.root.SK[[#This Row],[Price]]/T_reg.root.SK[[#This Row],[Starch content]],"")</f>
        <v>15.204678362573098</v>
      </c>
    </row>
    <row r="2981" spans="1:14">
      <c r="A2981" s="21">
        <v>2024</v>
      </c>
      <c r="B2981" s="21" t="s">
        <v>22</v>
      </c>
      <c r="C2981" s="21" t="s">
        <v>1145</v>
      </c>
      <c r="D2981" s="21" t="s">
        <v>35</v>
      </c>
      <c r="E2981" s="18" t="s">
        <v>150</v>
      </c>
      <c r="F2981" s="18" t="s">
        <v>105</v>
      </c>
      <c r="G2981" s="18" t="s">
        <v>48</v>
      </c>
      <c r="H2981" s="24">
        <v>117080</v>
      </c>
      <c r="I2981" s="24">
        <f>T_reg.root.SK[[#This Row],[Volume, kg]]/1000</f>
        <v>117.08</v>
      </c>
      <c r="J2981" s="25">
        <v>0.20440000000000003</v>
      </c>
      <c r="K2981" s="25">
        <f t="shared" si="46"/>
        <v>23931.152000000002</v>
      </c>
      <c r="L2981" s="25">
        <v>2.92</v>
      </c>
      <c r="M2981" s="24">
        <v>342240.5</v>
      </c>
      <c r="N2981" s="25">
        <f>IFERROR(T_reg.root.SK[[#This Row],[Price]]/T_reg.root.SK[[#This Row],[Starch content]],"")</f>
        <v>14.285714285714283</v>
      </c>
    </row>
    <row r="2982" spans="1:14">
      <c r="A2982" s="21">
        <v>2024</v>
      </c>
      <c r="B2982" s="21" t="s">
        <v>22</v>
      </c>
      <c r="C2982" s="21" t="s">
        <v>1145</v>
      </c>
      <c r="D2982" s="21" t="s">
        <v>35</v>
      </c>
      <c r="E2982" s="18" t="s">
        <v>151</v>
      </c>
      <c r="F2982" s="18" t="s">
        <v>105</v>
      </c>
      <c r="G2982" s="18" t="s">
        <v>48</v>
      </c>
      <c r="H2982" s="24">
        <v>194970</v>
      </c>
      <c r="I2982" s="24">
        <f>T_reg.root.SK[[#This Row],[Volume, kg]]/1000</f>
        <v>194.97</v>
      </c>
      <c r="J2982" s="25">
        <v>0.1825</v>
      </c>
      <c r="K2982" s="25">
        <f t="shared" si="46"/>
        <v>35582.025000000001</v>
      </c>
      <c r="L2982" s="25">
        <v>2.84</v>
      </c>
      <c r="M2982" s="24">
        <v>554194.5</v>
      </c>
      <c r="N2982" s="25">
        <f>IFERROR(T_reg.root.SK[[#This Row],[Price]]/T_reg.root.SK[[#This Row],[Starch content]],"")</f>
        <v>15.561643835616438</v>
      </c>
    </row>
    <row r="2983" spans="1:14">
      <c r="A2983" s="21">
        <v>2024</v>
      </c>
      <c r="B2983" s="21" t="s">
        <v>22</v>
      </c>
      <c r="C2983" s="21" t="s">
        <v>1145</v>
      </c>
      <c r="D2983" s="21" t="s">
        <v>35</v>
      </c>
      <c r="E2983" s="18" t="s">
        <v>152</v>
      </c>
      <c r="F2983" s="18" t="s">
        <v>105</v>
      </c>
      <c r="G2983" s="18" t="s">
        <v>48</v>
      </c>
      <c r="H2983" s="24">
        <v>22260</v>
      </c>
      <c r="I2983" s="24">
        <f>T_reg.root.SK[[#This Row],[Volume, kg]]/1000</f>
        <v>22.26</v>
      </c>
      <c r="J2983" s="25">
        <v>0.1666</v>
      </c>
      <c r="K2983" s="25">
        <f t="shared" si="46"/>
        <v>3708.5160000000001</v>
      </c>
      <c r="L2983" s="25">
        <v>2.75</v>
      </c>
      <c r="M2983" s="24">
        <v>61189.5</v>
      </c>
      <c r="N2983" s="25">
        <f>IFERROR(T_reg.root.SK[[#This Row],[Price]]/T_reg.root.SK[[#This Row],[Starch content]],"")</f>
        <v>16.506602641056421</v>
      </c>
    </row>
    <row r="2984" spans="1:14">
      <c r="A2984" s="21">
        <v>2024</v>
      </c>
      <c r="B2984" s="21" t="s">
        <v>22</v>
      </c>
      <c r="C2984" s="21" t="s">
        <v>1145</v>
      </c>
      <c r="D2984" s="21" t="s">
        <v>35</v>
      </c>
      <c r="E2984" s="18" t="s">
        <v>153</v>
      </c>
      <c r="F2984" s="18" t="s">
        <v>105</v>
      </c>
      <c r="G2984" s="18" t="s">
        <v>48</v>
      </c>
      <c r="H2984" s="24">
        <v>20580</v>
      </c>
      <c r="I2984" s="24">
        <f>T_reg.root.SK[[#This Row],[Volume, kg]]/1000</f>
        <v>20.58</v>
      </c>
      <c r="J2984" s="25">
        <v>0.21840000000000001</v>
      </c>
      <c r="K2984" s="25">
        <f t="shared" si="46"/>
        <v>4494.6720000000005</v>
      </c>
      <c r="L2984" s="25">
        <v>3.05</v>
      </c>
      <c r="M2984" s="24">
        <v>62859</v>
      </c>
      <c r="N2984" s="25">
        <f>IFERROR(T_reg.root.SK[[#This Row],[Price]]/T_reg.root.SK[[#This Row],[Starch content]],"")</f>
        <v>13.965201465201464</v>
      </c>
    </row>
    <row r="2985" spans="1:14">
      <c r="A2985" s="21">
        <v>2024</v>
      </c>
      <c r="B2985" s="21" t="s">
        <v>22</v>
      </c>
      <c r="C2985" s="21" t="s">
        <v>1145</v>
      </c>
      <c r="D2985" s="21" t="s">
        <v>35</v>
      </c>
      <c r="E2985" s="18" t="s">
        <v>154</v>
      </c>
      <c r="F2985" s="18" t="s">
        <v>105</v>
      </c>
      <c r="G2985" s="18" t="s">
        <v>48</v>
      </c>
      <c r="H2985" s="24">
        <v>6430</v>
      </c>
      <c r="I2985" s="24">
        <f>T_reg.root.SK[[#This Row],[Volume, kg]]/1000</f>
        <v>6.43</v>
      </c>
      <c r="J2985" s="25">
        <v>0.1555</v>
      </c>
      <c r="K2985" s="25">
        <f t="shared" si="46"/>
        <v>999.86500000000001</v>
      </c>
      <c r="L2985" s="25">
        <v>2.65</v>
      </c>
      <c r="M2985" s="24">
        <v>17039.5</v>
      </c>
      <c r="N2985" s="25">
        <f>IFERROR(T_reg.root.SK[[#This Row],[Price]]/T_reg.root.SK[[#This Row],[Starch content]],"")</f>
        <v>17.041800643086816</v>
      </c>
    </row>
    <row r="2986" spans="1:14">
      <c r="A2986" s="21">
        <v>2024</v>
      </c>
      <c r="B2986" s="21" t="s">
        <v>22</v>
      </c>
      <c r="C2986" s="21" t="s">
        <v>1145</v>
      </c>
      <c r="D2986" s="21" t="s">
        <v>35</v>
      </c>
      <c r="E2986" s="18" t="s">
        <v>155</v>
      </c>
      <c r="F2986" s="18" t="s">
        <v>105</v>
      </c>
      <c r="G2986" s="18" t="s">
        <v>48</v>
      </c>
      <c r="H2986" s="24">
        <v>14820</v>
      </c>
      <c r="I2986" s="24">
        <f>T_reg.root.SK[[#This Row],[Volume, kg]]/1000</f>
        <v>14.82</v>
      </c>
      <c r="J2986" s="25">
        <v>0.18789999999999998</v>
      </c>
      <c r="K2986" s="25">
        <f t="shared" si="46"/>
        <v>2784.6779999999999</v>
      </c>
      <c r="L2986" s="25">
        <v>2.83</v>
      </c>
      <c r="M2986" s="24">
        <v>41907.5</v>
      </c>
      <c r="N2986" s="25">
        <f>IFERROR(T_reg.root.SK[[#This Row],[Price]]/T_reg.root.SK[[#This Row],[Starch content]],"")</f>
        <v>15.061202767429485</v>
      </c>
    </row>
    <row r="2987" spans="1:14">
      <c r="A2987" s="21">
        <v>2024</v>
      </c>
      <c r="B2987" s="21" t="s">
        <v>22</v>
      </c>
      <c r="C2987" s="21" t="s">
        <v>1145</v>
      </c>
      <c r="D2987" s="21" t="s">
        <v>35</v>
      </c>
      <c r="E2987" s="18" t="s">
        <v>366</v>
      </c>
      <c r="F2987" s="18" t="s">
        <v>105</v>
      </c>
      <c r="G2987" s="18" t="s">
        <v>48</v>
      </c>
      <c r="H2987" s="24">
        <v>9230</v>
      </c>
      <c r="I2987" s="24">
        <f>T_reg.root.SK[[#This Row],[Volume, kg]]/1000</f>
        <v>9.23</v>
      </c>
      <c r="J2987" s="25">
        <v>0.17129999999999998</v>
      </c>
      <c r="K2987" s="25">
        <f t="shared" si="46"/>
        <v>1581.0989999999997</v>
      </c>
      <c r="L2987" s="25">
        <v>2.81</v>
      </c>
      <c r="M2987" s="24">
        <v>25961.5</v>
      </c>
      <c r="N2987" s="25">
        <f>IFERROR(T_reg.root.SK[[#This Row],[Price]]/T_reg.root.SK[[#This Row],[Starch content]],"")</f>
        <v>16.403969643899593</v>
      </c>
    </row>
    <row r="2988" spans="1:14">
      <c r="A2988" s="21">
        <v>2024</v>
      </c>
      <c r="B2988" s="21" t="s">
        <v>22</v>
      </c>
      <c r="C2988" s="21" t="s">
        <v>1145</v>
      </c>
      <c r="D2988" s="21" t="s">
        <v>35</v>
      </c>
      <c r="E2988" s="18" t="s">
        <v>158</v>
      </c>
      <c r="F2988" s="18" t="s">
        <v>105</v>
      </c>
      <c r="G2988" s="18" t="s">
        <v>48</v>
      </c>
      <c r="H2988" s="24">
        <v>17630</v>
      </c>
      <c r="I2988" s="24">
        <f>T_reg.root.SK[[#This Row],[Volume, kg]]/1000</f>
        <v>17.63</v>
      </c>
      <c r="J2988" s="25">
        <v>0.16620000000000001</v>
      </c>
      <c r="K2988" s="25">
        <f t="shared" si="46"/>
        <v>2930.1060000000002</v>
      </c>
      <c r="L2988" s="25">
        <v>2.58</v>
      </c>
      <c r="M2988" s="24">
        <v>45486</v>
      </c>
      <c r="N2988" s="25">
        <f>IFERROR(T_reg.root.SK[[#This Row],[Price]]/T_reg.root.SK[[#This Row],[Starch content]],"")</f>
        <v>15.523465703971118</v>
      </c>
    </row>
    <row r="2989" spans="1:14">
      <c r="A2989" s="21">
        <v>2024</v>
      </c>
      <c r="B2989" s="21" t="s">
        <v>22</v>
      </c>
      <c r="C2989" s="21" t="s">
        <v>1145</v>
      </c>
      <c r="D2989" s="21" t="s">
        <v>35</v>
      </c>
      <c r="E2989" s="18" t="s">
        <v>159</v>
      </c>
      <c r="F2989" s="18" t="s">
        <v>105</v>
      </c>
      <c r="G2989" s="18" t="s">
        <v>48</v>
      </c>
      <c r="H2989" s="24">
        <v>141580</v>
      </c>
      <c r="I2989" s="24">
        <f>T_reg.root.SK[[#This Row],[Volume, kg]]/1000</f>
        <v>141.58000000000001</v>
      </c>
      <c r="J2989" s="25">
        <v>0.17910000000000001</v>
      </c>
      <c r="K2989" s="25">
        <f t="shared" si="46"/>
        <v>25356.978000000003</v>
      </c>
      <c r="L2989" s="25">
        <v>2.79</v>
      </c>
      <c r="M2989" s="24">
        <v>394332.5</v>
      </c>
      <c r="N2989" s="25">
        <f>IFERROR(T_reg.root.SK[[#This Row],[Price]]/T_reg.root.SK[[#This Row],[Starch content]],"")</f>
        <v>15.57788944723618</v>
      </c>
    </row>
    <row r="2990" spans="1:14">
      <c r="A2990" s="21">
        <v>2024</v>
      </c>
      <c r="B2990" s="21" t="s">
        <v>22</v>
      </c>
      <c r="C2990" s="21" t="s">
        <v>1145</v>
      </c>
      <c r="D2990" s="21" t="s">
        <v>35</v>
      </c>
      <c r="E2990" s="18" t="s">
        <v>161</v>
      </c>
      <c r="F2990" s="18" t="s">
        <v>105</v>
      </c>
      <c r="G2990" s="18" t="s">
        <v>48</v>
      </c>
      <c r="H2990" s="24">
        <v>16260</v>
      </c>
      <c r="I2990" s="24">
        <f>T_reg.root.SK[[#This Row],[Volume, kg]]/1000</f>
        <v>16.260000000000002</v>
      </c>
      <c r="J2990" s="25">
        <v>0.2281</v>
      </c>
      <c r="K2990" s="25">
        <f t="shared" si="46"/>
        <v>3708.9059999999999</v>
      </c>
      <c r="L2990" s="25">
        <v>2.98</v>
      </c>
      <c r="M2990" s="24">
        <v>48462.5</v>
      </c>
      <c r="N2990" s="25">
        <f>IFERROR(T_reg.root.SK[[#This Row],[Price]]/T_reg.root.SK[[#This Row],[Starch content]],"")</f>
        <v>13.064445418676019</v>
      </c>
    </row>
    <row r="2991" spans="1:14">
      <c r="A2991" s="21">
        <v>2024</v>
      </c>
      <c r="B2991" s="21" t="s">
        <v>22</v>
      </c>
      <c r="C2991" s="21" t="s">
        <v>1145</v>
      </c>
      <c r="D2991" s="21" t="s">
        <v>35</v>
      </c>
      <c r="E2991" s="18" t="s">
        <v>162</v>
      </c>
      <c r="F2991" s="18" t="s">
        <v>105</v>
      </c>
      <c r="G2991" s="18" t="s">
        <v>48</v>
      </c>
      <c r="H2991" s="24">
        <v>313450</v>
      </c>
      <c r="I2991" s="24">
        <f>T_reg.root.SK[[#This Row],[Volume, kg]]/1000</f>
        <v>313.45</v>
      </c>
      <c r="J2991" s="25">
        <v>0.19109999999999999</v>
      </c>
      <c r="K2991" s="25">
        <f t="shared" si="46"/>
        <v>59900.294999999998</v>
      </c>
      <c r="L2991" s="25">
        <v>2.84</v>
      </c>
      <c r="M2991" s="24">
        <v>888776</v>
      </c>
      <c r="N2991" s="25">
        <f>IFERROR(T_reg.root.SK[[#This Row],[Price]]/T_reg.root.SK[[#This Row],[Starch content]],"")</f>
        <v>14.861329147043433</v>
      </c>
    </row>
    <row r="2992" spans="1:14">
      <c r="A2992" s="21">
        <v>2024</v>
      </c>
      <c r="B2992" s="21" t="s">
        <v>22</v>
      </c>
      <c r="C2992" s="21" t="s">
        <v>1145</v>
      </c>
      <c r="D2992" s="21" t="s">
        <v>35</v>
      </c>
      <c r="E2992" s="18" t="s">
        <v>163</v>
      </c>
      <c r="F2992" s="18" t="s">
        <v>105</v>
      </c>
      <c r="G2992" s="18" t="s">
        <v>48</v>
      </c>
      <c r="H2992" s="24">
        <v>206290</v>
      </c>
      <c r="I2992" s="24">
        <f>T_reg.root.SK[[#This Row],[Volume, kg]]/1000</f>
        <v>206.29</v>
      </c>
      <c r="J2992" s="25">
        <v>0.19219999999999998</v>
      </c>
      <c r="K2992" s="25">
        <f t="shared" si="46"/>
        <v>39648.937999999995</v>
      </c>
      <c r="L2992" s="25">
        <v>2.83</v>
      </c>
      <c r="M2992" s="24">
        <v>583797.5</v>
      </c>
      <c r="N2992" s="25">
        <f>IFERROR(T_reg.root.SK[[#This Row],[Price]]/T_reg.root.SK[[#This Row],[Starch content]],"")</f>
        <v>14.724245577523416</v>
      </c>
    </row>
    <row r="2993" spans="1:14">
      <c r="A2993" s="21">
        <v>2024</v>
      </c>
      <c r="B2993" s="21" t="s">
        <v>22</v>
      </c>
      <c r="C2993" s="21" t="s">
        <v>1145</v>
      </c>
      <c r="D2993" s="21" t="s">
        <v>35</v>
      </c>
      <c r="E2993" s="18" t="s">
        <v>164</v>
      </c>
      <c r="F2993" s="18" t="s">
        <v>105</v>
      </c>
      <c r="G2993" s="18" t="s">
        <v>48</v>
      </c>
      <c r="H2993" s="24">
        <v>80560</v>
      </c>
      <c r="I2993" s="24">
        <f>T_reg.root.SK[[#This Row],[Volume, kg]]/1000</f>
        <v>80.56</v>
      </c>
      <c r="J2993" s="25">
        <v>0.193</v>
      </c>
      <c r="K2993" s="25">
        <f t="shared" si="46"/>
        <v>15548.08</v>
      </c>
      <c r="L2993" s="25">
        <v>2.92</v>
      </c>
      <c r="M2993" s="24">
        <v>235293</v>
      </c>
      <c r="N2993" s="25">
        <f>IFERROR(T_reg.root.SK[[#This Row],[Price]]/T_reg.root.SK[[#This Row],[Starch content]],"")</f>
        <v>15.129533678756475</v>
      </c>
    </row>
    <row r="2994" spans="1:14">
      <c r="A2994" s="21">
        <v>2024</v>
      </c>
      <c r="B2994" s="21" t="s">
        <v>22</v>
      </c>
      <c r="C2994" s="21" t="s">
        <v>1145</v>
      </c>
      <c r="D2994" s="21" t="s">
        <v>35</v>
      </c>
      <c r="E2994" s="18" t="s">
        <v>256</v>
      </c>
      <c r="F2994" s="18" t="s">
        <v>105</v>
      </c>
      <c r="G2994" s="18" t="s">
        <v>48</v>
      </c>
      <c r="H2994" s="24">
        <v>22990</v>
      </c>
      <c r="I2994" s="24">
        <f>T_reg.root.SK[[#This Row],[Volume, kg]]/1000</f>
        <v>22.99</v>
      </c>
      <c r="J2994" s="25">
        <v>0.1724</v>
      </c>
      <c r="K2994" s="25">
        <f t="shared" si="46"/>
        <v>3963.4760000000001</v>
      </c>
      <c r="L2994" s="25">
        <v>2.71</v>
      </c>
      <c r="M2994" s="24">
        <v>62357.5</v>
      </c>
      <c r="N2994" s="25">
        <f>IFERROR(T_reg.root.SK[[#This Row],[Price]]/T_reg.root.SK[[#This Row],[Starch content]],"")</f>
        <v>15.719257540603248</v>
      </c>
    </row>
    <row r="2995" spans="1:14">
      <c r="A2995" s="21">
        <v>2024</v>
      </c>
      <c r="B2995" s="21" t="s">
        <v>22</v>
      </c>
      <c r="C2995" s="21" t="s">
        <v>1145</v>
      </c>
      <c r="D2995" s="21" t="s">
        <v>35</v>
      </c>
      <c r="E2995" s="18" t="s">
        <v>171</v>
      </c>
      <c r="F2995" s="18" t="s">
        <v>105</v>
      </c>
      <c r="G2995" s="18" t="s">
        <v>48</v>
      </c>
      <c r="H2995" s="24">
        <v>34590</v>
      </c>
      <c r="I2995" s="24">
        <f>T_reg.root.SK[[#This Row],[Volume, kg]]/1000</f>
        <v>34.590000000000003</v>
      </c>
      <c r="J2995" s="25">
        <v>0.20030000000000001</v>
      </c>
      <c r="K2995" s="25">
        <f t="shared" si="46"/>
        <v>6928.3770000000004</v>
      </c>
      <c r="L2995" s="25">
        <v>2.67</v>
      </c>
      <c r="M2995" s="24">
        <v>92495</v>
      </c>
      <c r="N2995" s="25">
        <f>IFERROR(T_reg.root.SK[[#This Row],[Price]]/T_reg.root.SK[[#This Row],[Starch content]],"")</f>
        <v>13.330004992511233</v>
      </c>
    </row>
    <row r="2996" spans="1:14">
      <c r="A2996" s="21">
        <v>2024</v>
      </c>
      <c r="B2996" s="21" t="s">
        <v>22</v>
      </c>
      <c r="C2996" s="21" t="s">
        <v>1145</v>
      </c>
      <c r="D2996" s="21" t="s">
        <v>35</v>
      </c>
      <c r="E2996" s="18" t="s">
        <v>722</v>
      </c>
      <c r="F2996" s="18" t="s">
        <v>105</v>
      </c>
      <c r="G2996" s="18" t="s">
        <v>48</v>
      </c>
      <c r="H2996" s="24">
        <v>12910</v>
      </c>
      <c r="I2996" s="24">
        <f>T_reg.root.SK[[#This Row],[Volume, kg]]/1000</f>
        <v>12.91</v>
      </c>
      <c r="J2996" s="25">
        <v>0.16690000000000002</v>
      </c>
      <c r="K2996" s="25">
        <f t="shared" si="46"/>
        <v>2154.6790000000001</v>
      </c>
      <c r="L2996" s="25">
        <v>2.67</v>
      </c>
      <c r="M2996" s="24">
        <v>34526</v>
      </c>
      <c r="N2996" s="25">
        <f>IFERROR(T_reg.root.SK[[#This Row],[Price]]/T_reg.root.SK[[#This Row],[Starch content]],"")</f>
        <v>15.997603355302575</v>
      </c>
    </row>
    <row r="2997" spans="1:14">
      <c r="A2997" s="21">
        <v>2024</v>
      </c>
      <c r="B2997" s="21" t="s">
        <v>22</v>
      </c>
      <c r="C2997" s="21" t="s">
        <v>1145</v>
      </c>
      <c r="D2997" s="21" t="s">
        <v>35</v>
      </c>
      <c r="E2997" s="18" t="s">
        <v>368</v>
      </c>
      <c r="F2997" s="18" t="s">
        <v>105</v>
      </c>
      <c r="G2997" s="18" t="s">
        <v>48</v>
      </c>
      <c r="H2997" s="24">
        <v>11350</v>
      </c>
      <c r="I2997" s="24">
        <f>T_reg.root.SK[[#This Row],[Volume, kg]]/1000</f>
        <v>11.35</v>
      </c>
      <c r="J2997" s="25">
        <v>0.16949999999999998</v>
      </c>
      <c r="K2997" s="25">
        <f t="shared" si="46"/>
        <v>1923.8249999999998</v>
      </c>
      <c r="L2997" s="25">
        <v>2.8</v>
      </c>
      <c r="M2997" s="24">
        <v>31821.5</v>
      </c>
      <c r="N2997" s="25">
        <f>IFERROR(T_reg.root.SK[[#This Row],[Price]]/T_reg.root.SK[[#This Row],[Starch content]],"")</f>
        <v>16.519174041297937</v>
      </c>
    </row>
    <row r="2998" spans="1:14">
      <c r="A2998" s="21">
        <v>2024</v>
      </c>
      <c r="B2998" s="21" t="s">
        <v>22</v>
      </c>
      <c r="C2998" s="21" t="s">
        <v>1145</v>
      </c>
      <c r="D2998" s="21" t="s">
        <v>35</v>
      </c>
      <c r="E2998" s="18" t="s">
        <v>321</v>
      </c>
      <c r="F2998" s="18" t="s">
        <v>105</v>
      </c>
      <c r="G2998" s="18" t="s">
        <v>48</v>
      </c>
      <c r="H2998" s="24">
        <v>8360</v>
      </c>
      <c r="I2998" s="24">
        <f>T_reg.root.SK[[#This Row],[Volume, kg]]/1000</f>
        <v>8.36</v>
      </c>
      <c r="J2998" s="25">
        <v>0.20699999999999999</v>
      </c>
      <c r="K2998" s="25">
        <f t="shared" si="46"/>
        <v>1730.52</v>
      </c>
      <c r="L2998" s="25">
        <v>2.88</v>
      </c>
      <c r="M2998" s="24">
        <v>24060</v>
      </c>
      <c r="N2998" s="25">
        <f>IFERROR(T_reg.root.SK[[#This Row],[Price]]/T_reg.root.SK[[#This Row],[Starch content]],"")</f>
        <v>13.913043478260869</v>
      </c>
    </row>
    <row r="2999" spans="1:14">
      <c r="A2999" s="21">
        <v>2024</v>
      </c>
      <c r="B2999" s="21" t="s">
        <v>22</v>
      </c>
      <c r="C2999" s="21" t="s">
        <v>1145</v>
      </c>
      <c r="D2999" s="21" t="s">
        <v>35</v>
      </c>
      <c r="E2999" s="18" t="s">
        <v>322</v>
      </c>
      <c r="F2999" s="18" t="s">
        <v>105</v>
      </c>
      <c r="G2999" s="18" t="s">
        <v>48</v>
      </c>
      <c r="H2999" s="24">
        <v>182000</v>
      </c>
      <c r="I2999" s="24">
        <f>T_reg.root.SK[[#This Row],[Volume, kg]]/1000</f>
        <v>182</v>
      </c>
      <c r="J2999" s="25">
        <v>0.1888</v>
      </c>
      <c r="K2999" s="25">
        <f t="shared" si="46"/>
        <v>34361.599999999999</v>
      </c>
      <c r="L2999" s="25">
        <v>2.84</v>
      </c>
      <c r="M2999" s="24">
        <v>516248</v>
      </c>
      <c r="N2999" s="25">
        <f>IFERROR(T_reg.root.SK[[#This Row],[Price]]/T_reg.root.SK[[#This Row],[Starch content]],"")</f>
        <v>15.042372881355933</v>
      </c>
    </row>
    <row r="3000" spans="1:14">
      <c r="A3000" s="21">
        <v>2024</v>
      </c>
      <c r="B3000" s="21" t="s">
        <v>22</v>
      </c>
      <c r="C3000" s="21" t="s">
        <v>1145</v>
      </c>
      <c r="D3000" s="21" t="s">
        <v>35</v>
      </c>
      <c r="E3000" s="18" t="s">
        <v>173</v>
      </c>
      <c r="F3000" s="18" t="s">
        <v>105</v>
      </c>
      <c r="G3000" s="18" t="s">
        <v>48</v>
      </c>
      <c r="H3000" s="24">
        <v>12740</v>
      </c>
      <c r="I3000" s="24">
        <f>T_reg.root.SK[[#This Row],[Volume, kg]]/1000</f>
        <v>12.74</v>
      </c>
      <c r="J3000" s="25">
        <v>0.1643</v>
      </c>
      <c r="K3000" s="25">
        <f t="shared" si="46"/>
        <v>2093.1820000000002</v>
      </c>
      <c r="L3000" s="25">
        <v>2.67</v>
      </c>
      <c r="M3000" s="24">
        <v>34059.5</v>
      </c>
      <c r="N3000" s="25">
        <f>IFERROR(T_reg.root.SK[[#This Row],[Price]]/T_reg.root.SK[[#This Row],[Starch content]],"")</f>
        <v>16.250760803408397</v>
      </c>
    </row>
    <row r="3001" spans="1:14">
      <c r="A3001" s="21">
        <v>2024</v>
      </c>
      <c r="B3001" s="21" t="s">
        <v>22</v>
      </c>
      <c r="C3001" s="21" t="s">
        <v>1145</v>
      </c>
      <c r="D3001" s="21" t="s">
        <v>35</v>
      </c>
      <c r="E3001" s="18" t="s">
        <v>506</v>
      </c>
      <c r="F3001" s="18" t="s">
        <v>105</v>
      </c>
      <c r="G3001" s="18" t="s">
        <v>48</v>
      </c>
      <c r="H3001" s="24">
        <v>22790</v>
      </c>
      <c r="I3001" s="24">
        <f>T_reg.root.SK[[#This Row],[Volume, kg]]/1000</f>
        <v>22.79</v>
      </c>
      <c r="J3001" s="25">
        <v>0.18609999999999999</v>
      </c>
      <c r="K3001" s="25">
        <f t="shared" si="46"/>
        <v>4241.2190000000001</v>
      </c>
      <c r="L3001" s="25">
        <v>2.5499999999999998</v>
      </c>
      <c r="M3001" s="24">
        <v>58203.5</v>
      </c>
      <c r="N3001" s="25">
        <f>IFERROR(T_reg.root.SK[[#This Row],[Price]]/T_reg.root.SK[[#This Row],[Starch content]],"")</f>
        <v>13.702310585706609</v>
      </c>
    </row>
    <row r="3002" spans="1:14">
      <c r="A3002" s="21">
        <v>2024</v>
      </c>
      <c r="B3002" s="21" t="s">
        <v>22</v>
      </c>
      <c r="C3002" s="21" t="s">
        <v>1145</v>
      </c>
      <c r="D3002" s="21" t="s">
        <v>35</v>
      </c>
      <c r="E3002" s="18" t="s">
        <v>325</v>
      </c>
      <c r="F3002" s="18" t="s">
        <v>105</v>
      </c>
      <c r="G3002" s="18" t="s">
        <v>48</v>
      </c>
      <c r="H3002" s="24">
        <v>6980</v>
      </c>
      <c r="I3002" s="24">
        <f>T_reg.root.SK[[#This Row],[Volume, kg]]/1000</f>
        <v>6.98</v>
      </c>
      <c r="J3002" s="25">
        <v>0.20399999999999999</v>
      </c>
      <c r="K3002" s="25">
        <f t="shared" si="46"/>
        <v>1423.9199999999998</v>
      </c>
      <c r="L3002" s="25">
        <v>2.5499999999999998</v>
      </c>
      <c r="M3002" s="24">
        <v>17799</v>
      </c>
      <c r="N3002" s="25">
        <f>IFERROR(T_reg.root.SK[[#This Row],[Price]]/T_reg.root.SK[[#This Row],[Starch content]],"")</f>
        <v>12.5</v>
      </c>
    </row>
    <row r="3003" spans="1:14">
      <c r="A3003" s="21">
        <v>2024</v>
      </c>
      <c r="B3003" s="21" t="s">
        <v>22</v>
      </c>
      <c r="C3003" s="21" t="s">
        <v>1145</v>
      </c>
      <c r="D3003" s="21" t="s">
        <v>35</v>
      </c>
      <c r="E3003" s="18" t="s">
        <v>326</v>
      </c>
      <c r="F3003" s="18" t="s">
        <v>105</v>
      </c>
      <c r="G3003" s="18" t="s">
        <v>48</v>
      </c>
      <c r="H3003" s="24">
        <v>43360</v>
      </c>
      <c r="I3003" s="24">
        <f>T_reg.root.SK[[#This Row],[Volume, kg]]/1000</f>
        <v>43.36</v>
      </c>
      <c r="J3003" s="25">
        <v>0.1673</v>
      </c>
      <c r="K3003" s="25">
        <f t="shared" si="46"/>
        <v>7254.1280000000006</v>
      </c>
      <c r="L3003" s="25">
        <v>2.68</v>
      </c>
      <c r="M3003" s="24">
        <v>116309.5</v>
      </c>
      <c r="N3003" s="25">
        <f>IFERROR(T_reg.root.SK[[#This Row],[Price]]/T_reg.root.SK[[#This Row],[Starch content]],"")</f>
        <v>16.019127316198446</v>
      </c>
    </row>
    <row r="3004" spans="1:14">
      <c r="A3004" s="21">
        <v>2024</v>
      </c>
      <c r="B3004" s="21" t="s">
        <v>22</v>
      </c>
      <c r="C3004" s="21" t="s">
        <v>1145</v>
      </c>
      <c r="D3004" s="21" t="s">
        <v>35</v>
      </c>
      <c r="E3004" s="18" t="s">
        <v>174</v>
      </c>
      <c r="F3004" s="18" t="s">
        <v>105</v>
      </c>
      <c r="G3004" s="18" t="s">
        <v>48</v>
      </c>
      <c r="H3004" s="24">
        <v>20140</v>
      </c>
      <c r="I3004" s="24">
        <f>T_reg.root.SK[[#This Row],[Volume, kg]]/1000</f>
        <v>20.14</v>
      </c>
      <c r="J3004" s="25">
        <v>0.1598</v>
      </c>
      <c r="K3004" s="25">
        <f t="shared" si="46"/>
        <v>3218.3719999999998</v>
      </c>
      <c r="L3004" s="25">
        <v>2.64</v>
      </c>
      <c r="M3004" s="24">
        <v>53121</v>
      </c>
      <c r="N3004" s="25">
        <f>IFERROR(T_reg.root.SK[[#This Row],[Price]]/T_reg.root.SK[[#This Row],[Starch content]],"")</f>
        <v>16.520650813516898</v>
      </c>
    </row>
    <row r="3005" spans="1:14">
      <c r="A3005" s="21">
        <v>2024</v>
      </c>
      <c r="B3005" s="21" t="s">
        <v>22</v>
      </c>
      <c r="C3005" s="21" t="s">
        <v>1145</v>
      </c>
      <c r="D3005" s="21" t="s">
        <v>35</v>
      </c>
      <c r="E3005" s="18" t="s">
        <v>176</v>
      </c>
      <c r="F3005" s="18" t="s">
        <v>105</v>
      </c>
      <c r="G3005" s="18" t="s">
        <v>48</v>
      </c>
      <c r="H3005" s="24">
        <v>26370</v>
      </c>
      <c r="I3005" s="24">
        <f>T_reg.root.SK[[#This Row],[Volume, kg]]/1000</f>
        <v>26.37</v>
      </c>
      <c r="J3005" s="25">
        <v>0.16670000000000001</v>
      </c>
      <c r="K3005" s="25">
        <f t="shared" si="46"/>
        <v>4395.8790000000008</v>
      </c>
      <c r="L3005" s="25">
        <v>2.71</v>
      </c>
      <c r="M3005" s="24">
        <v>71339</v>
      </c>
      <c r="N3005" s="25">
        <f>IFERROR(T_reg.root.SK[[#This Row],[Price]]/T_reg.root.SK[[#This Row],[Starch content]],"")</f>
        <v>16.256748650269945</v>
      </c>
    </row>
    <row r="3006" spans="1:14">
      <c r="A3006" s="21">
        <v>2024</v>
      </c>
      <c r="B3006" s="21" t="s">
        <v>22</v>
      </c>
      <c r="C3006" s="21" t="s">
        <v>1145</v>
      </c>
      <c r="D3006" s="21" t="s">
        <v>35</v>
      </c>
      <c r="E3006" s="18" t="s">
        <v>178</v>
      </c>
      <c r="F3006" s="18" t="s">
        <v>105</v>
      </c>
      <c r="G3006" s="18" t="s">
        <v>48</v>
      </c>
      <c r="H3006" s="24">
        <v>41370</v>
      </c>
      <c r="I3006" s="24">
        <f>T_reg.root.SK[[#This Row],[Volume, kg]]/1000</f>
        <v>41.37</v>
      </c>
      <c r="J3006" s="25">
        <v>0.1646</v>
      </c>
      <c r="K3006" s="25">
        <f t="shared" si="46"/>
        <v>6809.5019999999995</v>
      </c>
      <c r="L3006" s="25">
        <v>2.62</v>
      </c>
      <c r="M3006" s="24">
        <v>108560</v>
      </c>
      <c r="N3006" s="25">
        <f>IFERROR(T_reg.root.SK[[#This Row],[Price]]/T_reg.root.SK[[#This Row],[Starch content]],"")</f>
        <v>15.917375455650062</v>
      </c>
    </row>
    <row r="3007" spans="1:14">
      <c r="A3007" s="21">
        <v>2024</v>
      </c>
      <c r="B3007" s="21" t="s">
        <v>22</v>
      </c>
      <c r="C3007" s="21" t="s">
        <v>1145</v>
      </c>
      <c r="D3007" s="21" t="s">
        <v>35</v>
      </c>
      <c r="E3007" s="18" t="s">
        <v>605</v>
      </c>
      <c r="F3007" s="18" t="s">
        <v>105</v>
      </c>
      <c r="G3007" s="18" t="s">
        <v>48</v>
      </c>
      <c r="H3007" s="24">
        <v>155870</v>
      </c>
      <c r="I3007" s="24">
        <f>T_reg.root.SK[[#This Row],[Volume, kg]]/1000</f>
        <v>155.87</v>
      </c>
      <c r="J3007" s="25">
        <v>0.17219999999999999</v>
      </c>
      <c r="K3007" s="25">
        <f t="shared" si="46"/>
        <v>26840.813999999998</v>
      </c>
      <c r="L3007" s="25">
        <v>2.66</v>
      </c>
      <c r="M3007" s="24">
        <v>413937.5</v>
      </c>
      <c r="N3007" s="25">
        <f>IFERROR(T_reg.root.SK[[#This Row],[Price]]/T_reg.root.SK[[#This Row],[Starch content]],"")</f>
        <v>15.447154471544717</v>
      </c>
    </row>
    <row r="3008" spans="1:14">
      <c r="A3008" s="21">
        <v>2024</v>
      </c>
      <c r="B3008" s="21" t="s">
        <v>22</v>
      </c>
      <c r="C3008" s="21" t="s">
        <v>1145</v>
      </c>
      <c r="D3008" s="21" t="s">
        <v>35</v>
      </c>
      <c r="E3008" s="18" t="s">
        <v>259</v>
      </c>
      <c r="F3008" s="18" t="s">
        <v>105</v>
      </c>
      <c r="G3008" s="18" t="s">
        <v>48</v>
      </c>
      <c r="H3008" s="24">
        <v>28200</v>
      </c>
      <c r="I3008" s="24">
        <f>T_reg.root.SK[[#This Row],[Volume, kg]]/1000</f>
        <v>28.2</v>
      </c>
      <c r="J3008" s="25">
        <v>0.16010000000000002</v>
      </c>
      <c r="K3008" s="25">
        <f t="shared" si="46"/>
        <v>4514.8200000000006</v>
      </c>
      <c r="L3008" s="25">
        <v>2.66</v>
      </c>
      <c r="M3008" s="24">
        <v>75115</v>
      </c>
      <c r="N3008" s="25">
        <f>IFERROR(T_reg.root.SK[[#This Row],[Price]]/T_reg.root.SK[[#This Row],[Starch content]],"")</f>
        <v>16.614615865084321</v>
      </c>
    </row>
    <row r="3009" spans="1:14">
      <c r="A3009" s="21">
        <v>2024</v>
      </c>
      <c r="B3009" s="21" t="s">
        <v>22</v>
      </c>
      <c r="C3009" s="21" t="s">
        <v>1145</v>
      </c>
      <c r="D3009" s="21" t="s">
        <v>35</v>
      </c>
      <c r="E3009" s="18" t="s">
        <v>179</v>
      </c>
      <c r="F3009" s="18" t="s">
        <v>105</v>
      </c>
      <c r="G3009" s="18" t="s">
        <v>48</v>
      </c>
      <c r="H3009" s="24">
        <v>7360</v>
      </c>
      <c r="I3009" s="24">
        <f>T_reg.root.SK[[#This Row],[Volume, kg]]/1000</f>
        <v>7.36</v>
      </c>
      <c r="J3009" s="25">
        <v>0.13869999999999999</v>
      </c>
      <c r="K3009" s="25">
        <f t="shared" si="46"/>
        <v>1020.8319999999999</v>
      </c>
      <c r="L3009" s="25">
        <v>2.4500000000000002</v>
      </c>
      <c r="M3009" s="24">
        <v>18032</v>
      </c>
      <c r="N3009" s="25">
        <f>IFERROR(T_reg.root.SK[[#This Row],[Price]]/T_reg.root.SK[[#This Row],[Starch content]],"")</f>
        <v>17.664023071377077</v>
      </c>
    </row>
    <row r="3010" spans="1:14">
      <c r="A3010" s="21">
        <v>2024</v>
      </c>
      <c r="B3010" s="21" t="s">
        <v>22</v>
      </c>
      <c r="C3010" s="21" t="s">
        <v>1145</v>
      </c>
      <c r="D3010" s="21" t="s">
        <v>35</v>
      </c>
      <c r="E3010" s="18" t="s">
        <v>181</v>
      </c>
      <c r="F3010" s="18" t="s">
        <v>105</v>
      </c>
      <c r="G3010" s="18" t="s">
        <v>48</v>
      </c>
      <c r="H3010" s="24">
        <v>179940</v>
      </c>
      <c r="I3010" s="24">
        <f>T_reg.root.SK[[#This Row],[Volume, kg]]/1000</f>
        <v>179.94</v>
      </c>
      <c r="J3010" s="25">
        <v>0.1885</v>
      </c>
      <c r="K3010" s="25">
        <f t="shared" si="46"/>
        <v>33918.69</v>
      </c>
      <c r="L3010" s="25">
        <v>2.81</v>
      </c>
      <c r="M3010" s="24">
        <v>505201.5</v>
      </c>
      <c r="N3010" s="25">
        <f>IFERROR(T_reg.root.SK[[#This Row],[Price]]/T_reg.root.SK[[#This Row],[Starch content]],"")</f>
        <v>14.907161803713528</v>
      </c>
    </row>
    <row r="3011" spans="1:14">
      <c r="A3011" s="21">
        <v>2024</v>
      </c>
      <c r="B3011" s="21" t="s">
        <v>22</v>
      </c>
      <c r="C3011" s="21" t="s">
        <v>1145</v>
      </c>
      <c r="D3011" s="21" t="s">
        <v>35</v>
      </c>
      <c r="E3011" s="18" t="s">
        <v>182</v>
      </c>
      <c r="F3011" s="18" t="s">
        <v>105</v>
      </c>
      <c r="G3011" s="18" t="s">
        <v>48</v>
      </c>
      <c r="H3011" s="24">
        <v>14180</v>
      </c>
      <c r="I3011" s="24">
        <f>T_reg.root.SK[[#This Row],[Volume, kg]]/1000</f>
        <v>14.18</v>
      </c>
      <c r="J3011" s="25">
        <v>0.19219999999999998</v>
      </c>
      <c r="K3011" s="25">
        <f t="shared" ref="K3011:K3074" si="47">H3011*J3011</f>
        <v>2725.3959999999997</v>
      </c>
      <c r="L3011" s="25">
        <v>2.88</v>
      </c>
      <c r="M3011" s="24">
        <v>40889</v>
      </c>
      <c r="N3011" s="25">
        <f>IFERROR(T_reg.root.SK[[#This Row],[Price]]/T_reg.root.SK[[#This Row],[Starch content]],"")</f>
        <v>14.984391259105101</v>
      </c>
    </row>
    <row r="3012" spans="1:14">
      <c r="A3012" s="21">
        <v>2024</v>
      </c>
      <c r="B3012" s="21" t="s">
        <v>22</v>
      </c>
      <c r="C3012" s="21" t="s">
        <v>1145</v>
      </c>
      <c r="D3012" s="21" t="s">
        <v>35</v>
      </c>
      <c r="E3012" s="18" t="s">
        <v>740</v>
      </c>
      <c r="F3012" s="18" t="s">
        <v>105</v>
      </c>
      <c r="G3012" s="18" t="s">
        <v>48</v>
      </c>
      <c r="H3012" s="24">
        <v>13700</v>
      </c>
      <c r="I3012" s="24">
        <f>T_reg.root.SK[[#This Row],[Volume, kg]]/1000</f>
        <v>13.7</v>
      </c>
      <c r="J3012" s="25">
        <v>0.247</v>
      </c>
      <c r="K3012" s="25">
        <f t="shared" si="47"/>
        <v>3383.9</v>
      </c>
      <c r="L3012" s="25">
        <v>3.1</v>
      </c>
      <c r="M3012" s="24">
        <v>42470</v>
      </c>
      <c r="N3012" s="25">
        <f>IFERROR(T_reg.root.SK[[#This Row],[Price]]/T_reg.root.SK[[#This Row],[Starch content]],"")</f>
        <v>12.550607287449393</v>
      </c>
    </row>
    <row r="3013" spans="1:14">
      <c r="A3013" s="21">
        <v>2024</v>
      </c>
      <c r="B3013" s="21" t="s">
        <v>22</v>
      </c>
      <c r="C3013" s="21" t="s">
        <v>1145</v>
      </c>
      <c r="D3013" s="21" t="s">
        <v>35</v>
      </c>
      <c r="E3013" s="18" t="s">
        <v>757</v>
      </c>
      <c r="F3013" s="18" t="s">
        <v>105</v>
      </c>
      <c r="G3013" s="18" t="s">
        <v>48</v>
      </c>
      <c r="H3013" s="24">
        <v>56360</v>
      </c>
      <c r="I3013" s="24">
        <f>T_reg.root.SK[[#This Row],[Volume, kg]]/1000</f>
        <v>56.36</v>
      </c>
      <c r="J3013" s="25">
        <v>0.19039999999999999</v>
      </c>
      <c r="K3013" s="25">
        <f t="shared" si="47"/>
        <v>10730.944</v>
      </c>
      <c r="L3013" s="25">
        <v>2.88</v>
      </c>
      <c r="M3013" s="24">
        <v>162218.5</v>
      </c>
      <c r="N3013" s="25">
        <f>IFERROR(T_reg.root.SK[[#This Row],[Price]]/T_reg.root.SK[[#This Row],[Starch content]],"")</f>
        <v>15.126050420168069</v>
      </c>
    </row>
    <row r="3014" spans="1:14">
      <c r="A3014" s="21">
        <v>2024</v>
      </c>
      <c r="B3014" s="21" t="s">
        <v>22</v>
      </c>
      <c r="C3014" s="21" t="s">
        <v>1145</v>
      </c>
      <c r="D3014" s="21" t="s">
        <v>35</v>
      </c>
      <c r="E3014" s="18" t="s">
        <v>741</v>
      </c>
      <c r="F3014" s="18" t="s">
        <v>105</v>
      </c>
      <c r="G3014" s="18" t="s">
        <v>48</v>
      </c>
      <c r="H3014" s="24">
        <v>17980</v>
      </c>
      <c r="I3014" s="24">
        <f>T_reg.root.SK[[#This Row],[Volume, kg]]/1000</f>
        <v>17.98</v>
      </c>
      <c r="J3014" s="25">
        <v>0.21199999999999999</v>
      </c>
      <c r="K3014" s="25">
        <f t="shared" si="47"/>
        <v>3811.7599999999998</v>
      </c>
      <c r="L3014" s="25">
        <v>3</v>
      </c>
      <c r="M3014" s="24">
        <v>53938.5</v>
      </c>
      <c r="N3014" s="25">
        <f>IFERROR(T_reg.root.SK[[#This Row],[Price]]/T_reg.root.SK[[#This Row],[Starch content]],"")</f>
        <v>14.150943396226415</v>
      </c>
    </row>
    <row r="3015" spans="1:14">
      <c r="A3015" s="21">
        <v>2024</v>
      </c>
      <c r="B3015" s="21" t="s">
        <v>22</v>
      </c>
      <c r="C3015" s="21" t="s">
        <v>1145</v>
      </c>
      <c r="D3015" s="21" t="s">
        <v>35</v>
      </c>
      <c r="E3015" s="18" t="s">
        <v>640</v>
      </c>
      <c r="F3015" s="18" t="s">
        <v>105</v>
      </c>
      <c r="G3015" s="18" t="s">
        <v>48</v>
      </c>
      <c r="H3015" s="24">
        <v>34180</v>
      </c>
      <c r="I3015" s="24">
        <f>T_reg.root.SK[[#This Row],[Volume, kg]]/1000</f>
        <v>34.18</v>
      </c>
      <c r="J3015" s="25">
        <v>0.19719999999999999</v>
      </c>
      <c r="K3015" s="25">
        <f t="shared" si="47"/>
        <v>6740.2959999999994</v>
      </c>
      <c r="L3015" s="25">
        <v>2.78</v>
      </c>
      <c r="M3015" s="24">
        <v>95173.5</v>
      </c>
      <c r="N3015" s="25">
        <f>IFERROR(T_reg.root.SK[[#This Row],[Price]]/T_reg.root.SK[[#This Row],[Starch content]],"")</f>
        <v>14.0973630831643</v>
      </c>
    </row>
    <row r="3016" spans="1:14">
      <c r="A3016" s="21">
        <v>2024</v>
      </c>
      <c r="B3016" s="21" t="s">
        <v>22</v>
      </c>
      <c r="C3016" s="21" t="s">
        <v>1145</v>
      </c>
      <c r="D3016" s="21" t="s">
        <v>35</v>
      </c>
      <c r="E3016" s="18" t="s">
        <v>183</v>
      </c>
      <c r="F3016" s="18" t="s">
        <v>105</v>
      </c>
      <c r="G3016" s="18" t="s">
        <v>48</v>
      </c>
      <c r="H3016" s="24">
        <v>20000</v>
      </c>
      <c r="I3016" s="24">
        <f>T_reg.root.SK[[#This Row],[Volume, kg]]/1000</f>
        <v>20</v>
      </c>
      <c r="J3016" s="25">
        <v>0.21129999999999999</v>
      </c>
      <c r="K3016" s="25">
        <f t="shared" si="47"/>
        <v>4226</v>
      </c>
      <c r="L3016" s="25">
        <v>2.89</v>
      </c>
      <c r="M3016" s="24">
        <v>57881.5</v>
      </c>
      <c r="N3016" s="25">
        <f>IFERROR(T_reg.root.SK[[#This Row],[Price]]/T_reg.root.SK[[#This Row],[Starch content]],"")</f>
        <v>13.677236157122575</v>
      </c>
    </row>
    <row r="3017" spans="1:14">
      <c r="A3017" s="21">
        <v>2024</v>
      </c>
      <c r="B3017" s="21" t="s">
        <v>22</v>
      </c>
      <c r="C3017" s="21" t="s">
        <v>1145</v>
      </c>
      <c r="D3017" s="21" t="s">
        <v>35</v>
      </c>
      <c r="E3017" s="18" t="s">
        <v>330</v>
      </c>
      <c r="F3017" s="18" t="s">
        <v>187</v>
      </c>
      <c r="G3017" s="18" t="s">
        <v>48</v>
      </c>
      <c r="H3017" s="24">
        <v>145350</v>
      </c>
      <c r="I3017" s="24">
        <f>T_reg.root.SK[[#This Row],[Volume, kg]]/1000</f>
        <v>145.35</v>
      </c>
      <c r="J3017" s="25">
        <v>0.16020000000000001</v>
      </c>
      <c r="K3017" s="25">
        <f t="shared" si="47"/>
        <v>23285.07</v>
      </c>
      <c r="L3017" s="25">
        <v>2.64</v>
      </c>
      <c r="M3017" s="24">
        <v>384194</v>
      </c>
      <c r="N3017" s="25">
        <f>IFERROR(T_reg.root.SK[[#This Row],[Price]]/T_reg.root.SK[[#This Row],[Starch content]],"")</f>
        <v>16.479400749063672</v>
      </c>
    </row>
    <row r="3018" spans="1:14">
      <c r="A3018" s="21">
        <v>2024</v>
      </c>
      <c r="B3018" s="21" t="s">
        <v>22</v>
      </c>
      <c r="C3018" s="21" t="s">
        <v>1145</v>
      </c>
      <c r="D3018" s="21" t="s">
        <v>35</v>
      </c>
      <c r="E3018" s="18" t="s">
        <v>579</v>
      </c>
      <c r="F3018" s="18" t="s">
        <v>187</v>
      </c>
      <c r="G3018" s="18" t="s">
        <v>48</v>
      </c>
      <c r="H3018" s="24">
        <v>40080</v>
      </c>
      <c r="I3018" s="24">
        <f>T_reg.root.SK[[#This Row],[Volume, kg]]/1000</f>
        <v>40.08</v>
      </c>
      <c r="J3018" s="25">
        <v>0.1724</v>
      </c>
      <c r="K3018" s="25">
        <f t="shared" si="47"/>
        <v>6909.7919999999995</v>
      </c>
      <c r="L3018" s="25">
        <v>2.81</v>
      </c>
      <c r="M3018" s="24">
        <v>112763.5</v>
      </c>
      <c r="N3018" s="25">
        <f>IFERROR(T_reg.root.SK[[#This Row],[Price]]/T_reg.root.SK[[#This Row],[Starch content]],"")</f>
        <v>16.299303944315547</v>
      </c>
    </row>
    <row r="3019" spans="1:14">
      <c r="A3019" s="21">
        <v>2024</v>
      </c>
      <c r="B3019" s="21" t="s">
        <v>22</v>
      </c>
      <c r="C3019" s="21" t="s">
        <v>1145</v>
      </c>
      <c r="D3019" s="21" t="s">
        <v>35</v>
      </c>
      <c r="E3019" s="18" t="s">
        <v>606</v>
      </c>
      <c r="F3019" s="18" t="s">
        <v>187</v>
      </c>
      <c r="G3019" s="18" t="s">
        <v>48</v>
      </c>
      <c r="H3019" s="24">
        <v>26360</v>
      </c>
      <c r="I3019" s="24">
        <f>T_reg.root.SK[[#This Row],[Volume, kg]]/1000</f>
        <v>26.36</v>
      </c>
      <c r="J3019" s="25">
        <v>0.19489999999999999</v>
      </c>
      <c r="K3019" s="25">
        <f t="shared" si="47"/>
        <v>5137.5639999999994</v>
      </c>
      <c r="L3019" s="25">
        <v>2.92</v>
      </c>
      <c r="M3019" s="24">
        <v>76854</v>
      </c>
      <c r="N3019" s="25">
        <f>IFERROR(T_reg.root.SK[[#This Row],[Price]]/T_reg.root.SK[[#This Row],[Starch content]],"")</f>
        <v>14.982042072857876</v>
      </c>
    </row>
    <row r="3020" spans="1:14">
      <c r="A3020" s="21">
        <v>2024</v>
      </c>
      <c r="B3020" s="21" t="s">
        <v>22</v>
      </c>
      <c r="C3020" s="21" t="s">
        <v>1145</v>
      </c>
      <c r="D3020" s="21" t="s">
        <v>35</v>
      </c>
      <c r="E3020" s="18" t="s">
        <v>580</v>
      </c>
      <c r="F3020" s="18" t="s">
        <v>187</v>
      </c>
      <c r="G3020" s="18" t="s">
        <v>48</v>
      </c>
      <c r="H3020" s="24">
        <v>64110</v>
      </c>
      <c r="I3020" s="24">
        <f>T_reg.root.SK[[#This Row],[Volume, kg]]/1000</f>
        <v>64.11</v>
      </c>
      <c r="J3020" s="25">
        <v>0.18690000000000001</v>
      </c>
      <c r="K3020" s="25">
        <f t="shared" si="47"/>
        <v>11982.159000000001</v>
      </c>
      <c r="L3020" s="25">
        <v>2.7</v>
      </c>
      <c r="M3020" s="24">
        <v>173063</v>
      </c>
      <c r="N3020" s="25">
        <f>IFERROR(T_reg.root.SK[[#This Row],[Price]]/T_reg.root.SK[[#This Row],[Starch content]],"")</f>
        <v>14.446227929373997</v>
      </c>
    </row>
    <row r="3021" spans="1:14">
      <c r="A3021" s="21">
        <v>2024</v>
      </c>
      <c r="B3021" s="21" t="s">
        <v>22</v>
      </c>
      <c r="C3021" s="21" t="s">
        <v>1145</v>
      </c>
      <c r="D3021" s="21" t="s">
        <v>35</v>
      </c>
      <c r="E3021" s="18" t="s">
        <v>370</v>
      </c>
      <c r="F3021" s="18" t="s">
        <v>187</v>
      </c>
      <c r="G3021" s="18" t="s">
        <v>48</v>
      </c>
      <c r="H3021" s="24">
        <v>8390</v>
      </c>
      <c r="I3021" s="24">
        <f>T_reg.root.SK[[#This Row],[Volume, kg]]/1000</f>
        <v>8.39</v>
      </c>
      <c r="J3021" s="25">
        <v>0.13200000000000001</v>
      </c>
      <c r="K3021" s="25">
        <f t="shared" si="47"/>
        <v>1107.48</v>
      </c>
      <c r="L3021" s="25">
        <v>2.35</v>
      </c>
      <c r="M3021" s="24">
        <v>19716.5</v>
      </c>
      <c r="N3021" s="25">
        <f>IFERROR(T_reg.root.SK[[#This Row],[Price]]/T_reg.root.SK[[#This Row],[Starch content]],"")</f>
        <v>17.803030303030305</v>
      </c>
    </row>
    <row r="3022" spans="1:14">
      <c r="A3022" s="21">
        <v>2024</v>
      </c>
      <c r="B3022" s="21" t="s">
        <v>22</v>
      </c>
      <c r="C3022" s="21" t="s">
        <v>1145</v>
      </c>
      <c r="D3022" s="21" t="s">
        <v>35</v>
      </c>
      <c r="E3022" s="18" t="s">
        <v>581</v>
      </c>
      <c r="F3022" s="18" t="s">
        <v>187</v>
      </c>
      <c r="G3022" s="18" t="s">
        <v>48</v>
      </c>
      <c r="H3022" s="24">
        <v>194380</v>
      </c>
      <c r="I3022" s="24">
        <f>T_reg.root.SK[[#This Row],[Volume, kg]]/1000</f>
        <v>194.38</v>
      </c>
      <c r="J3022" s="25">
        <v>0.18030000000000002</v>
      </c>
      <c r="K3022" s="25">
        <f t="shared" si="47"/>
        <v>35046.714</v>
      </c>
      <c r="L3022" s="25">
        <v>2.78</v>
      </c>
      <c r="M3022" s="24">
        <v>539940.5</v>
      </c>
      <c r="N3022" s="25">
        <f>IFERROR(T_reg.root.SK[[#This Row],[Price]]/T_reg.root.SK[[#This Row],[Starch content]],"")</f>
        <v>15.418746533555183</v>
      </c>
    </row>
    <row r="3023" spans="1:14">
      <c r="A3023" s="21">
        <v>2024</v>
      </c>
      <c r="B3023" s="21" t="s">
        <v>22</v>
      </c>
      <c r="C3023" s="21" t="s">
        <v>1145</v>
      </c>
      <c r="D3023" s="21" t="s">
        <v>35</v>
      </c>
      <c r="E3023" s="18" t="s">
        <v>758</v>
      </c>
      <c r="F3023" s="18" t="s">
        <v>187</v>
      </c>
      <c r="G3023" s="18" t="s">
        <v>48</v>
      </c>
      <c r="H3023" s="24">
        <v>5660</v>
      </c>
      <c r="I3023" s="24">
        <f>T_reg.root.SK[[#This Row],[Volume, kg]]/1000</f>
        <v>5.66</v>
      </c>
      <c r="J3023" s="25">
        <v>0.22899999999999998</v>
      </c>
      <c r="K3023" s="25">
        <f t="shared" si="47"/>
        <v>1296.1399999999999</v>
      </c>
      <c r="L3023" s="25">
        <v>3.05</v>
      </c>
      <c r="M3023" s="24">
        <v>17263</v>
      </c>
      <c r="N3023" s="25">
        <f>IFERROR(T_reg.root.SK[[#This Row],[Price]]/T_reg.root.SK[[#This Row],[Starch content]],"")</f>
        <v>13.318777292576419</v>
      </c>
    </row>
    <row r="3024" spans="1:14">
      <c r="A3024" s="21">
        <v>2024</v>
      </c>
      <c r="B3024" s="21" t="s">
        <v>22</v>
      </c>
      <c r="C3024" s="21" t="s">
        <v>1145</v>
      </c>
      <c r="D3024" s="21" t="s">
        <v>35</v>
      </c>
      <c r="E3024" s="18" t="s">
        <v>192</v>
      </c>
      <c r="F3024" s="18" t="s">
        <v>187</v>
      </c>
      <c r="G3024" s="18" t="s">
        <v>48</v>
      </c>
      <c r="H3024" s="24">
        <v>8420</v>
      </c>
      <c r="I3024" s="24">
        <f>T_reg.root.SK[[#This Row],[Volume, kg]]/1000</f>
        <v>8.42</v>
      </c>
      <c r="J3024" s="25">
        <v>0.20449999999999999</v>
      </c>
      <c r="K3024" s="25">
        <f t="shared" si="47"/>
        <v>1721.8899999999999</v>
      </c>
      <c r="L3024" s="25">
        <v>3</v>
      </c>
      <c r="M3024" s="24">
        <v>25260</v>
      </c>
      <c r="N3024" s="25">
        <f>IFERROR(T_reg.root.SK[[#This Row],[Price]]/T_reg.root.SK[[#This Row],[Starch content]],"")</f>
        <v>14.669926650366749</v>
      </c>
    </row>
    <row r="3025" spans="1:14">
      <c r="A3025" s="21">
        <v>2024</v>
      </c>
      <c r="B3025" s="21" t="s">
        <v>22</v>
      </c>
      <c r="C3025" s="21" t="s">
        <v>1145</v>
      </c>
      <c r="D3025" s="21" t="s">
        <v>35</v>
      </c>
      <c r="E3025" s="18" t="s">
        <v>513</v>
      </c>
      <c r="F3025" s="18" t="s">
        <v>187</v>
      </c>
      <c r="G3025" s="18" t="s">
        <v>48</v>
      </c>
      <c r="H3025" s="24">
        <v>45930</v>
      </c>
      <c r="I3025" s="24">
        <f>T_reg.root.SK[[#This Row],[Volume, kg]]/1000</f>
        <v>45.93</v>
      </c>
      <c r="J3025" s="25">
        <v>0.24539999999999998</v>
      </c>
      <c r="K3025" s="25">
        <f t="shared" si="47"/>
        <v>11271.222</v>
      </c>
      <c r="L3025" s="25">
        <v>3.14</v>
      </c>
      <c r="M3025" s="24">
        <v>144155</v>
      </c>
      <c r="N3025" s="25">
        <f>IFERROR(T_reg.root.SK[[#This Row],[Price]]/T_reg.root.SK[[#This Row],[Starch content]],"")</f>
        <v>12.795436022819887</v>
      </c>
    </row>
    <row r="3026" spans="1:14">
      <c r="A3026" s="21">
        <v>2024</v>
      </c>
      <c r="B3026" s="21" t="s">
        <v>22</v>
      </c>
      <c r="C3026" s="21" t="s">
        <v>1145</v>
      </c>
      <c r="D3026" s="21" t="s">
        <v>35</v>
      </c>
      <c r="E3026" s="18" t="s">
        <v>193</v>
      </c>
      <c r="F3026" s="18" t="s">
        <v>187</v>
      </c>
      <c r="G3026" s="18" t="s">
        <v>48</v>
      </c>
      <c r="H3026" s="24">
        <v>31770</v>
      </c>
      <c r="I3026" s="24">
        <f>T_reg.root.SK[[#This Row],[Volume, kg]]/1000</f>
        <v>31.77</v>
      </c>
      <c r="J3026" s="25">
        <v>0.21149999999999999</v>
      </c>
      <c r="K3026" s="25">
        <f t="shared" si="47"/>
        <v>6719.3549999999996</v>
      </c>
      <c r="L3026" s="25">
        <v>3.06</v>
      </c>
      <c r="M3026" s="24">
        <v>97270.5</v>
      </c>
      <c r="N3026" s="25">
        <f>IFERROR(T_reg.root.SK[[#This Row],[Price]]/T_reg.root.SK[[#This Row],[Starch content]],"")</f>
        <v>14.468085106382979</v>
      </c>
    </row>
    <row r="3027" spans="1:14">
      <c r="A3027" s="21">
        <v>2024</v>
      </c>
      <c r="B3027" s="21" t="s">
        <v>22</v>
      </c>
      <c r="C3027" s="21" t="s">
        <v>1145</v>
      </c>
      <c r="D3027" s="21" t="s">
        <v>35</v>
      </c>
      <c r="E3027" s="18" t="s">
        <v>586</v>
      </c>
      <c r="F3027" s="18" t="s">
        <v>187</v>
      </c>
      <c r="G3027" s="18" t="s">
        <v>48</v>
      </c>
      <c r="H3027" s="24">
        <v>23190</v>
      </c>
      <c r="I3027" s="24">
        <f>T_reg.root.SK[[#This Row],[Volume, kg]]/1000</f>
        <v>23.19</v>
      </c>
      <c r="J3027" s="25">
        <v>0.18629999999999999</v>
      </c>
      <c r="K3027" s="25">
        <f t="shared" si="47"/>
        <v>4320.2969999999996</v>
      </c>
      <c r="L3027" s="25">
        <v>2.83</v>
      </c>
      <c r="M3027" s="24">
        <v>65636.5</v>
      </c>
      <c r="N3027" s="25">
        <f>IFERROR(T_reg.root.SK[[#This Row],[Price]]/T_reg.root.SK[[#This Row],[Starch content]],"")</f>
        <v>15.190552871712294</v>
      </c>
    </row>
    <row r="3028" spans="1:14">
      <c r="A3028" s="21">
        <v>2024</v>
      </c>
      <c r="B3028" s="21" t="s">
        <v>22</v>
      </c>
      <c r="C3028" s="21" t="s">
        <v>1145</v>
      </c>
      <c r="D3028" s="21" t="s">
        <v>35</v>
      </c>
      <c r="E3028" s="18" t="s">
        <v>262</v>
      </c>
      <c r="F3028" s="18" t="s">
        <v>187</v>
      </c>
      <c r="G3028" s="18" t="s">
        <v>48</v>
      </c>
      <c r="H3028" s="24">
        <v>50310</v>
      </c>
      <c r="I3028" s="24">
        <f>T_reg.root.SK[[#This Row],[Volume, kg]]/1000</f>
        <v>50.31</v>
      </c>
      <c r="J3028" s="25">
        <v>0.19079999999999997</v>
      </c>
      <c r="K3028" s="25">
        <f t="shared" si="47"/>
        <v>9599.1479999999992</v>
      </c>
      <c r="L3028" s="25">
        <v>2.89</v>
      </c>
      <c r="M3028" s="24">
        <v>145393</v>
      </c>
      <c r="N3028" s="25">
        <f>IFERROR(T_reg.root.SK[[#This Row],[Price]]/T_reg.root.SK[[#This Row],[Starch content]],"")</f>
        <v>15.146750524109018</v>
      </c>
    </row>
    <row r="3029" spans="1:14">
      <c r="A3029" s="21">
        <v>2024</v>
      </c>
      <c r="B3029" s="21" t="s">
        <v>22</v>
      </c>
      <c r="C3029" s="21" t="s">
        <v>1145</v>
      </c>
      <c r="D3029" s="21" t="s">
        <v>35</v>
      </c>
      <c r="E3029" s="18" t="s">
        <v>621</v>
      </c>
      <c r="F3029" s="18" t="s">
        <v>187</v>
      </c>
      <c r="G3029" s="18" t="s">
        <v>48</v>
      </c>
      <c r="H3029" s="24">
        <v>21900</v>
      </c>
      <c r="I3029" s="24">
        <f>T_reg.root.SK[[#This Row],[Volume, kg]]/1000</f>
        <v>21.9</v>
      </c>
      <c r="J3029" s="25">
        <v>0.1628</v>
      </c>
      <c r="K3029" s="25">
        <f t="shared" si="47"/>
        <v>3565.32</v>
      </c>
      <c r="L3029" s="25">
        <v>2.59</v>
      </c>
      <c r="M3029" s="24">
        <v>56637</v>
      </c>
      <c r="N3029" s="25">
        <f>IFERROR(T_reg.root.SK[[#This Row],[Price]]/T_reg.root.SK[[#This Row],[Starch content]],"")</f>
        <v>15.909090909090908</v>
      </c>
    </row>
    <row r="3030" spans="1:14">
      <c r="A3030" s="21">
        <v>2024</v>
      </c>
      <c r="B3030" s="21" t="s">
        <v>22</v>
      </c>
      <c r="C3030" s="21" t="s">
        <v>1145</v>
      </c>
      <c r="D3030" s="21" t="s">
        <v>35</v>
      </c>
      <c r="E3030" s="18" t="s">
        <v>194</v>
      </c>
      <c r="F3030" s="18" t="s">
        <v>187</v>
      </c>
      <c r="G3030" s="18" t="s">
        <v>48</v>
      </c>
      <c r="H3030" s="24">
        <v>6030</v>
      </c>
      <c r="I3030" s="24">
        <f>T_reg.root.SK[[#This Row],[Volume, kg]]/1000</f>
        <v>6.03</v>
      </c>
      <c r="J3030" s="25">
        <v>0.158</v>
      </c>
      <c r="K3030" s="25">
        <f t="shared" si="47"/>
        <v>952.74</v>
      </c>
      <c r="L3030" s="25">
        <v>2.5</v>
      </c>
      <c r="M3030" s="24">
        <v>15075</v>
      </c>
      <c r="N3030" s="25">
        <f>IFERROR(T_reg.root.SK[[#This Row],[Price]]/T_reg.root.SK[[#This Row],[Starch content]],"")</f>
        <v>15.822784810126581</v>
      </c>
    </row>
    <row r="3031" spans="1:14">
      <c r="A3031" s="21">
        <v>2024</v>
      </c>
      <c r="B3031" s="21" t="s">
        <v>22</v>
      </c>
      <c r="C3031" s="21" t="s">
        <v>1145</v>
      </c>
      <c r="D3031" s="21" t="s">
        <v>35</v>
      </c>
      <c r="E3031" s="18" t="s">
        <v>195</v>
      </c>
      <c r="F3031" s="18" t="s">
        <v>187</v>
      </c>
      <c r="G3031" s="18" t="s">
        <v>48</v>
      </c>
      <c r="H3031" s="24">
        <v>0</v>
      </c>
      <c r="I3031" s="24">
        <f>T_reg.root.SK[[#This Row],[Volume, kg]]/1000</f>
        <v>0</v>
      </c>
      <c r="J3031" s="25">
        <v>0</v>
      </c>
      <c r="K3031" s="25">
        <f t="shared" si="47"/>
        <v>0</v>
      </c>
      <c r="L3031" s="25">
        <v>0</v>
      </c>
      <c r="M3031" s="24">
        <v>0</v>
      </c>
      <c r="N3031" s="25" t="str">
        <f>IFERROR(T_reg.root.SK[[#This Row],[Price]]/T_reg.root.SK[[#This Row],[Starch content]],"")</f>
        <v/>
      </c>
    </row>
    <row r="3032" spans="1:14">
      <c r="A3032" s="21">
        <v>2024</v>
      </c>
      <c r="B3032" s="21" t="s">
        <v>22</v>
      </c>
      <c r="C3032" s="21" t="s">
        <v>1145</v>
      </c>
      <c r="D3032" s="21" t="s">
        <v>35</v>
      </c>
      <c r="E3032" s="18" t="s">
        <v>516</v>
      </c>
      <c r="F3032" s="18" t="s">
        <v>187</v>
      </c>
      <c r="G3032" s="18" t="s">
        <v>48</v>
      </c>
      <c r="H3032" s="24">
        <v>0</v>
      </c>
      <c r="I3032" s="24">
        <f>T_reg.root.SK[[#This Row],[Volume, kg]]/1000</f>
        <v>0</v>
      </c>
      <c r="J3032" s="25">
        <v>0</v>
      </c>
      <c r="K3032" s="25">
        <f t="shared" si="47"/>
        <v>0</v>
      </c>
      <c r="L3032" s="25">
        <v>0</v>
      </c>
      <c r="M3032" s="24">
        <v>0</v>
      </c>
      <c r="N3032" s="25" t="str">
        <f>IFERROR(T_reg.root.SK[[#This Row],[Price]]/T_reg.root.SK[[#This Row],[Starch content]],"")</f>
        <v/>
      </c>
    </row>
    <row r="3033" spans="1:14">
      <c r="A3033" s="21">
        <v>2024</v>
      </c>
      <c r="B3033" s="21" t="s">
        <v>22</v>
      </c>
      <c r="C3033" s="21" t="s">
        <v>1145</v>
      </c>
      <c r="D3033" s="21" t="s">
        <v>35</v>
      </c>
      <c r="E3033" s="18" t="s">
        <v>590</v>
      </c>
      <c r="F3033" s="18" t="s">
        <v>187</v>
      </c>
      <c r="G3033" s="18" t="s">
        <v>48</v>
      </c>
      <c r="H3033" s="24">
        <v>10150</v>
      </c>
      <c r="I3033" s="24">
        <f>T_reg.root.SK[[#This Row],[Volume, kg]]/1000</f>
        <v>10.15</v>
      </c>
      <c r="J3033" s="25">
        <v>0.18100000000000002</v>
      </c>
      <c r="K3033" s="25">
        <f t="shared" si="47"/>
        <v>1837.1500000000003</v>
      </c>
      <c r="L3033" s="25">
        <v>2.8</v>
      </c>
      <c r="M3033" s="24">
        <v>28420</v>
      </c>
      <c r="N3033" s="25">
        <f>IFERROR(T_reg.root.SK[[#This Row],[Price]]/T_reg.root.SK[[#This Row],[Starch content]],"")</f>
        <v>15.469613259668506</v>
      </c>
    </row>
    <row r="3034" spans="1:14">
      <c r="A3034" s="21">
        <v>2024</v>
      </c>
      <c r="B3034" s="21" t="s">
        <v>22</v>
      </c>
      <c r="C3034" s="21" t="s">
        <v>1145</v>
      </c>
      <c r="D3034" s="21" t="s">
        <v>35</v>
      </c>
      <c r="E3034" s="18" t="s">
        <v>521</v>
      </c>
      <c r="F3034" s="18" t="s">
        <v>187</v>
      </c>
      <c r="G3034" s="18" t="s">
        <v>48</v>
      </c>
      <c r="H3034" s="24">
        <v>33360</v>
      </c>
      <c r="I3034" s="24">
        <f>T_reg.root.SK[[#This Row],[Volume, kg]]/1000</f>
        <v>33.36</v>
      </c>
      <c r="J3034" s="25">
        <v>0.1784</v>
      </c>
      <c r="K3034" s="25">
        <f t="shared" si="47"/>
        <v>5951.424</v>
      </c>
      <c r="L3034" s="25">
        <v>2.79</v>
      </c>
      <c r="M3034" s="24">
        <v>93013.5</v>
      </c>
      <c r="N3034" s="25">
        <f>IFERROR(T_reg.root.SK[[#This Row],[Price]]/T_reg.root.SK[[#This Row],[Starch content]],"")</f>
        <v>15.639013452914797</v>
      </c>
    </row>
    <row r="3035" spans="1:14">
      <c r="A3035" s="21">
        <v>2024</v>
      </c>
      <c r="B3035" s="21" t="s">
        <v>22</v>
      </c>
      <c r="C3035" s="21" t="s">
        <v>1145</v>
      </c>
      <c r="D3035" s="21" t="s">
        <v>35</v>
      </c>
      <c r="E3035" s="18" t="s">
        <v>264</v>
      </c>
      <c r="F3035" s="18" t="s">
        <v>187</v>
      </c>
      <c r="G3035" s="18" t="s">
        <v>48</v>
      </c>
      <c r="H3035" s="24">
        <v>0</v>
      </c>
      <c r="I3035" s="24">
        <f>T_reg.root.SK[[#This Row],[Volume, kg]]/1000</f>
        <v>0</v>
      </c>
      <c r="J3035" s="25">
        <v>0</v>
      </c>
      <c r="K3035" s="25">
        <f t="shared" si="47"/>
        <v>0</v>
      </c>
      <c r="L3035" s="25">
        <v>0</v>
      </c>
      <c r="M3035" s="24">
        <v>0</v>
      </c>
      <c r="N3035" s="25" t="str">
        <f>IFERROR(T_reg.root.SK[[#This Row],[Price]]/T_reg.root.SK[[#This Row],[Starch content]],"")</f>
        <v/>
      </c>
    </row>
    <row r="3036" spans="1:14">
      <c r="A3036" s="21">
        <v>2024</v>
      </c>
      <c r="B3036" s="21" t="s">
        <v>22</v>
      </c>
      <c r="C3036" s="21" t="s">
        <v>1145</v>
      </c>
      <c r="D3036" s="21" t="s">
        <v>35</v>
      </c>
      <c r="E3036" s="18" t="s">
        <v>196</v>
      </c>
      <c r="F3036" s="18" t="s">
        <v>187</v>
      </c>
      <c r="G3036" s="18" t="s">
        <v>48</v>
      </c>
      <c r="H3036" s="24">
        <v>31260</v>
      </c>
      <c r="I3036" s="24">
        <f>T_reg.root.SK[[#This Row],[Volume, kg]]/1000</f>
        <v>31.26</v>
      </c>
      <c r="J3036" s="25">
        <v>0.18129999999999999</v>
      </c>
      <c r="K3036" s="25">
        <f t="shared" si="47"/>
        <v>5667.4380000000001</v>
      </c>
      <c r="L3036" s="25">
        <v>2.63</v>
      </c>
      <c r="M3036" s="24">
        <v>82136.5</v>
      </c>
      <c r="N3036" s="25">
        <f>IFERROR(T_reg.root.SK[[#This Row],[Price]]/T_reg.root.SK[[#This Row],[Starch content]],"")</f>
        <v>14.50634307777165</v>
      </c>
    </row>
    <row r="3037" spans="1:14">
      <c r="A3037" s="21">
        <v>2024</v>
      </c>
      <c r="B3037" s="21" t="s">
        <v>22</v>
      </c>
      <c r="C3037" s="21" t="s">
        <v>1145</v>
      </c>
      <c r="D3037" s="21" t="s">
        <v>35</v>
      </c>
      <c r="E3037" s="18" t="s">
        <v>197</v>
      </c>
      <c r="F3037" s="18" t="s">
        <v>187</v>
      </c>
      <c r="G3037" s="18" t="s">
        <v>48</v>
      </c>
      <c r="H3037" s="24">
        <v>0</v>
      </c>
      <c r="I3037" s="24">
        <f>T_reg.root.SK[[#This Row],[Volume, kg]]/1000</f>
        <v>0</v>
      </c>
      <c r="J3037" s="25">
        <v>0</v>
      </c>
      <c r="K3037" s="25">
        <f t="shared" si="47"/>
        <v>0</v>
      </c>
      <c r="L3037" s="25">
        <v>0</v>
      </c>
      <c r="M3037" s="24">
        <v>0</v>
      </c>
      <c r="N3037" s="25" t="str">
        <f>IFERROR(T_reg.root.SK[[#This Row],[Price]]/T_reg.root.SK[[#This Row],[Starch content]],"")</f>
        <v/>
      </c>
    </row>
    <row r="3038" spans="1:14">
      <c r="A3038" s="21">
        <v>2024</v>
      </c>
      <c r="B3038" s="21" t="s">
        <v>22</v>
      </c>
      <c r="C3038" s="21" t="s">
        <v>1145</v>
      </c>
      <c r="D3038" s="21" t="s">
        <v>35</v>
      </c>
      <c r="E3038" s="18" t="s">
        <v>407</v>
      </c>
      <c r="F3038" s="18" t="s">
        <v>187</v>
      </c>
      <c r="G3038" s="18" t="s">
        <v>48</v>
      </c>
      <c r="H3038" s="24">
        <v>16110</v>
      </c>
      <c r="I3038" s="24">
        <f>T_reg.root.SK[[#This Row],[Volume, kg]]/1000</f>
        <v>16.11</v>
      </c>
      <c r="J3038" s="25">
        <v>0.26200000000000001</v>
      </c>
      <c r="K3038" s="25">
        <f t="shared" si="47"/>
        <v>4220.8200000000006</v>
      </c>
      <c r="L3038" s="25">
        <v>3.22</v>
      </c>
      <c r="M3038" s="24">
        <v>51927</v>
      </c>
      <c r="N3038" s="25">
        <f>IFERROR(T_reg.root.SK[[#This Row],[Price]]/T_reg.root.SK[[#This Row],[Starch content]],"")</f>
        <v>12.290076335877863</v>
      </c>
    </row>
    <row r="3039" spans="1:14">
      <c r="A3039" s="21">
        <v>2024</v>
      </c>
      <c r="B3039" s="21" t="s">
        <v>22</v>
      </c>
      <c r="C3039" s="21" t="s">
        <v>1145</v>
      </c>
      <c r="D3039" s="21" t="s">
        <v>35</v>
      </c>
      <c r="E3039" s="18" t="s">
        <v>525</v>
      </c>
      <c r="F3039" s="18" t="s">
        <v>187</v>
      </c>
      <c r="G3039" s="18" t="s">
        <v>48</v>
      </c>
      <c r="H3039" s="24">
        <v>10300</v>
      </c>
      <c r="I3039" s="24">
        <f>T_reg.root.SK[[#This Row],[Volume, kg]]/1000</f>
        <v>10.3</v>
      </c>
      <c r="J3039" s="25">
        <v>0.214</v>
      </c>
      <c r="K3039" s="25">
        <f t="shared" si="47"/>
        <v>2204.1999999999998</v>
      </c>
      <c r="L3039" s="25">
        <v>3.05</v>
      </c>
      <c r="M3039" s="24">
        <v>31415</v>
      </c>
      <c r="N3039" s="25">
        <f>IFERROR(T_reg.root.SK[[#This Row],[Price]]/T_reg.root.SK[[#This Row],[Starch content]],"")</f>
        <v>14.252336448598131</v>
      </c>
    </row>
    <row r="3040" spans="1:14">
      <c r="A3040" s="21">
        <v>2024</v>
      </c>
      <c r="B3040" s="21" t="s">
        <v>22</v>
      </c>
      <c r="C3040" s="21" t="s">
        <v>1145</v>
      </c>
      <c r="D3040" s="21" t="s">
        <v>35</v>
      </c>
      <c r="E3040" s="18" t="s">
        <v>198</v>
      </c>
      <c r="F3040" s="18" t="s">
        <v>187</v>
      </c>
      <c r="G3040" s="18" t="s">
        <v>48</v>
      </c>
      <c r="H3040" s="24">
        <v>78130</v>
      </c>
      <c r="I3040" s="24">
        <f>T_reg.root.SK[[#This Row],[Volume, kg]]/1000</f>
        <v>78.13</v>
      </c>
      <c r="J3040" s="25">
        <v>0.16639999999999999</v>
      </c>
      <c r="K3040" s="25">
        <f t="shared" si="47"/>
        <v>13000.831999999999</v>
      </c>
      <c r="L3040" s="25">
        <v>2.77</v>
      </c>
      <c r="M3040" s="24">
        <v>216757</v>
      </c>
      <c r="N3040" s="25">
        <f>IFERROR(T_reg.root.SK[[#This Row],[Price]]/T_reg.root.SK[[#This Row],[Starch content]],"")</f>
        <v>16.646634615384617</v>
      </c>
    </row>
    <row r="3041" spans="1:14">
      <c r="A3041" s="21">
        <v>2024</v>
      </c>
      <c r="B3041" s="21" t="s">
        <v>22</v>
      </c>
      <c r="C3041" s="21" t="s">
        <v>1145</v>
      </c>
      <c r="D3041" s="21" t="s">
        <v>35</v>
      </c>
      <c r="E3041" s="18" t="s">
        <v>199</v>
      </c>
      <c r="F3041" s="18" t="s">
        <v>187</v>
      </c>
      <c r="G3041" s="18" t="s">
        <v>48</v>
      </c>
      <c r="H3041" s="24">
        <v>77170</v>
      </c>
      <c r="I3041" s="24">
        <f>T_reg.root.SK[[#This Row],[Volume, kg]]/1000</f>
        <v>77.17</v>
      </c>
      <c r="J3041" s="25">
        <v>0.16670000000000001</v>
      </c>
      <c r="K3041" s="25">
        <f t="shared" si="47"/>
        <v>12864.239000000001</v>
      </c>
      <c r="L3041" s="25">
        <v>2.78</v>
      </c>
      <c r="M3041" s="24">
        <v>214315.5</v>
      </c>
      <c r="N3041" s="25">
        <f>IFERROR(T_reg.root.SK[[#This Row],[Price]]/T_reg.root.SK[[#This Row],[Starch content]],"")</f>
        <v>16.676664667066586</v>
      </c>
    </row>
    <row r="3042" spans="1:14">
      <c r="A3042" s="21">
        <v>2024</v>
      </c>
      <c r="B3042" s="21" t="s">
        <v>22</v>
      </c>
      <c r="C3042" s="21" t="s">
        <v>1145</v>
      </c>
      <c r="D3042" s="21" t="s">
        <v>35</v>
      </c>
      <c r="E3042" s="18" t="s">
        <v>200</v>
      </c>
      <c r="F3042" s="18" t="s">
        <v>187</v>
      </c>
      <c r="G3042" s="18" t="s">
        <v>48</v>
      </c>
      <c r="H3042" s="24">
        <v>40960</v>
      </c>
      <c r="I3042" s="24">
        <f>T_reg.root.SK[[#This Row],[Volume, kg]]/1000</f>
        <v>40.96</v>
      </c>
      <c r="J3042" s="25">
        <v>0.1804</v>
      </c>
      <c r="K3042" s="25">
        <f t="shared" si="47"/>
        <v>7389.1840000000002</v>
      </c>
      <c r="L3042" s="25">
        <v>2.91</v>
      </c>
      <c r="M3042" s="24">
        <v>119126.5</v>
      </c>
      <c r="N3042" s="25">
        <f>IFERROR(T_reg.root.SK[[#This Row],[Price]]/T_reg.root.SK[[#This Row],[Starch content]],"")</f>
        <v>16.130820399113084</v>
      </c>
    </row>
    <row r="3043" spans="1:14">
      <c r="A3043" s="21">
        <v>2024</v>
      </c>
      <c r="B3043" s="21" t="s">
        <v>22</v>
      </c>
      <c r="C3043" s="21" t="s">
        <v>1145</v>
      </c>
      <c r="D3043" s="21" t="s">
        <v>35</v>
      </c>
      <c r="E3043" s="18" t="s">
        <v>702</v>
      </c>
      <c r="F3043" s="18" t="s">
        <v>187</v>
      </c>
      <c r="G3043" s="18" t="s">
        <v>48</v>
      </c>
      <c r="H3043" s="24">
        <v>57500</v>
      </c>
      <c r="I3043" s="24">
        <f>T_reg.root.SK[[#This Row],[Volume, kg]]/1000</f>
        <v>57.5</v>
      </c>
      <c r="J3043" s="25">
        <v>0.1681</v>
      </c>
      <c r="K3043" s="25">
        <f t="shared" si="47"/>
        <v>9665.75</v>
      </c>
      <c r="L3043" s="25">
        <v>2.84</v>
      </c>
      <c r="M3043" s="24">
        <v>163353.5</v>
      </c>
      <c r="N3043" s="25">
        <f>IFERROR(T_reg.root.SK[[#This Row],[Price]]/T_reg.root.SK[[#This Row],[Starch content]],"")</f>
        <v>16.894705532421177</v>
      </c>
    </row>
    <row r="3044" spans="1:14">
      <c r="A3044" s="21">
        <v>2024</v>
      </c>
      <c r="B3044" s="21" t="s">
        <v>22</v>
      </c>
      <c r="C3044" s="21" t="s">
        <v>1145</v>
      </c>
      <c r="D3044" s="21" t="s">
        <v>35</v>
      </c>
      <c r="E3044" s="18" t="s">
        <v>332</v>
      </c>
      <c r="F3044" s="18" t="s">
        <v>187</v>
      </c>
      <c r="G3044" s="18" t="s">
        <v>48</v>
      </c>
      <c r="H3044" s="24">
        <v>25910</v>
      </c>
      <c r="I3044" s="24">
        <f>T_reg.root.SK[[#This Row],[Volume, kg]]/1000</f>
        <v>25.91</v>
      </c>
      <c r="J3044" s="25">
        <v>0.16339999999999999</v>
      </c>
      <c r="K3044" s="25">
        <f t="shared" si="47"/>
        <v>4233.6939999999995</v>
      </c>
      <c r="L3044" s="25">
        <v>2.4500000000000002</v>
      </c>
      <c r="M3044" s="24">
        <v>63479.5</v>
      </c>
      <c r="N3044" s="25">
        <f>IFERROR(T_reg.root.SK[[#This Row],[Price]]/T_reg.root.SK[[#This Row],[Starch content]],"")</f>
        <v>14.99388004895961</v>
      </c>
    </row>
    <row r="3045" spans="1:14">
      <c r="A3045" s="21">
        <v>2024</v>
      </c>
      <c r="B3045" s="21" t="s">
        <v>22</v>
      </c>
      <c r="C3045" s="21" t="s">
        <v>1145</v>
      </c>
      <c r="D3045" s="21" t="s">
        <v>35</v>
      </c>
      <c r="E3045" s="18" t="s">
        <v>202</v>
      </c>
      <c r="F3045" s="18" t="s">
        <v>187</v>
      </c>
      <c r="G3045" s="18" t="s">
        <v>48</v>
      </c>
      <c r="H3045" s="24">
        <v>57440</v>
      </c>
      <c r="I3045" s="24">
        <f>T_reg.root.SK[[#This Row],[Volume, kg]]/1000</f>
        <v>57.44</v>
      </c>
      <c r="J3045" s="25">
        <v>0.16200000000000001</v>
      </c>
      <c r="K3045" s="25">
        <f t="shared" si="47"/>
        <v>9305.2800000000007</v>
      </c>
      <c r="L3045" s="25">
        <v>2.5299999999999998</v>
      </c>
      <c r="M3045" s="24">
        <v>145426.5</v>
      </c>
      <c r="N3045" s="25">
        <f>IFERROR(T_reg.root.SK[[#This Row],[Price]]/T_reg.root.SK[[#This Row],[Starch content]],"")</f>
        <v>15.617283950617283</v>
      </c>
    </row>
    <row r="3046" spans="1:14">
      <c r="A3046" s="21">
        <v>2024</v>
      </c>
      <c r="B3046" s="21" t="s">
        <v>22</v>
      </c>
      <c r="C3046" s="21" t="s">
        <v>1145</v>
      </c>
      <c r="D3046" s="21" t="s">
        <v>35</v>
      </c>
      <c r="E3046" s="18" t="s">
        <v>204</v>
      </c>
      <c r="F3046" s="18" t="s">
        <v>187</v>
      </c>
      <c r="G3046" s="18" t="s">
        <v>48</v>
      </c>
      <c r="H3046" s="24">
        <v>19270</v>
      </c>
      <c r="I3046" s="24">
        <f>T_reg.root.SK[[#This Row],[Volume, kg]]/1000</f>
        <v>19.27</v>
      </c>
      <c r="J3046" s="25">
        <v>0.1704</v>
      </c>
      <c r="K3046" s="25">
        <f t="shared" si="47"/>
        <v>3283.6079999999997</v>
      </c>
      <c r="L3046" s="25">
        <v>2.78</v>
      </c>
      <c r="M3046" s="24">
        <v>53500.5</v>
      </c>
      <c r="N3046" s="25">
        <f>IFERROR(T_reg.root.SK[[#This Row],[Price]]/T_reg.root.SK[[#This Row],[Starch content]],"")</f>
        <v>16.314553990610328</v>
      </c>
    </row>
    <row r="3047" spans="1:14">
      <c r="A3047" s="21">
        <v>2024</v>
      </c>
      <c r="B3047" s="21" t="s">
        <v>22</v>
      </c>
      <c r="C3047" s="21" t="s">
        <v>1145</v>
      </c>
      <c r="D3047" s="21" t="s">
        <v>35</v>
      </c>
      <c r="E3047" s="18" t="s">
        <v>759</v>
      </c>
      <c r="F3047" s="18" t="s">
        <v>187</v>
      </c>
      <c r="G3047" s="18" t="s">
        <v>48</v>
      </c>
      <c r="H3047" s="24">
        <v>5890</v>
      </c>
      <c r="I3047" s="24">
        <f>T_reg.root.SK[[#This Row],[Volume, kg]]/1000</f>
        <v>5.89</v>
      </c>
      <c r="J3047" s="25">
        <v>0.16</v>
      </c>
      <c r="K3047" s="25">
        <f t="shared" si="47"/>
        <v>942.4</v>
      </c>
      <c r="L3047" s="25">
        <v>2.7</v>
      </c>
      <c r="M3047" s="24">
        <v>15903</v>
      </c>
      <c r="N3047" s="25">
        <f>IFERROR(T_reg.root.SK[[#This Row],[Price]]/T_reg.root.SK[[#This Row],[Starch content]],"")</f>
        <v>16.875</v>
      </c>
    </row>
    <row r="3048" spans="1:14">
      <c r="A3048" s="21">
        <v>2024</v>
      </c>
      <c r="B3048" s="21" t="s">
        <v>22</v>
      </c>
      <c r="C3048" s="21" t="s">
        <v>1145</v>
      </c>
      <c r="D3048" s="21" t="s">
        <v>35</v>
      </c>
      <c r="E3048" s="18" t="s">
        <v>210</v>
      </c>
      <c r="F3048" s="18" t="s">
        <v>187</v>
      </c>
      <c r="G3048" s="18" t="s">
        <v>48</v>
      </c>
      <c r="H3048" s="24">
        <v>63350</v>
      </c>
      <c r="I3048" s="24">
        <f>T_reg.root.SK[[#This Row],[Volume, kg]]/1000</f>
        <v>63.35</v>
      </c>
      <c r="J3048" s="25">
        <v>0.1946</v>
      </c>
      <c r="K3048" s="25">
        <f t="shared" si="47"/>
        <v>12327.91</v>
      </c>
      <c r="L3048" s="25">
        <v>2.87</v>
      </c>
      <c r="M3048" s="24">
        <v>181688</v>
      </c>
      <c r="N3048" s="25">
        <f>IFERROR(T_reg.root.SK[[#This Row],[Price]]/T_reg.root.SK[[#This Row],[Starch content]],"")</f>
        <v>14.748201438848922</v>
      </c>
    </row>
    <row r="3049" spans="1:14">
      <c r="A3049" s="21">
        <v>2024</v>
      </c>
      <c r="B3049" s="21" t="s">
        <v>22</v>
      </c>
      <c r="C3049" s="21" t="s">
        <v>1145</v>
      </c>
      <c r="D3049" s="21" t="s">
        <v>35</v>
      </c>
      <c r="E3049" s="18" t="s">
        <v>597</v>
      </c>
      <c r="F3049" s="18" t="s">
        <v>187</v>
      </c>
      <c r="G3049" s="18" t="s">
        <v>48</v>
      </c>
      <c r="H3049" s="24">
        <v>0</v>
      </c>
      <c r="I3049" s="24">
        <f>T_reg.root.SK[[#This Row],[Volume, kg]]/1000</f>
        <v>0</v>
      </c>
      <c r="J3049" s="25">
        <v>0</v>
      </c>
      <c r="K3049" s="25">
        <f t="shared" si="47"/>
        <v>0</v>
      </c>
      <c r="L3049" s="25">
        <v>0</v>
      </c>
      <c r="M3049" s="24">
        <v>0</v>
      </c>
      <c r="N3049" s="25" t="str">
        <f>IFERROR(T_reg.root.SK[[#This Row],[Price]]/T_reg.root.SK[[#This Row],[Starch content]],"")</f>
        <v/>
      </c>
    </row>
    <row r="3050" spans="1:14">
      <c r="A3050" s="21">
        <v>2024</v>
      </c>
      <c r="B3050" s="21" t="s">
        <v>22</v>
      </c>
      <c r="C3050" s="21" t="s">
        <v>1145</v>
      </c>
      <c r="D3050" s="21" t="s">
        <v>35</v>
      </c>
      <c r="E3050" s="18" t="s">
        <v>211</v>
      </c>
      <c r="F3050" s="18" t="s">
        <v>187</v>
      </c>
      <c r="G3050" s="18" t="s">
        <v>48</v>
      </c>
      <c r="H3050" s="24">
        <v>129430</v>
      </c>
      <c r="I3050" s="24">
        <f>T_reg.root.SK[[#This Row],[Volume, kg]]/1000</f>
        <v>129.43</v>
      </c>
      <c r="J3050" s="25">
        <v>0.1449</v>
      </c>
      <c r="K3050" s="25">
        <f t="shared" si="47"/>
        <v>18754.406999999999</v>
      </c>
      <c r="L3050" s="25">
        <v>2.62</v>
      </c>
      <c r="M3050" s="24">
        <v>338828.5</v>
      </c>
      <c r="N3050" s="25">
        <f>IFERROR(T_reg.root.SK[[#This Row],[Price]]/T_reg.root.SK[[#This Row],[Starch content]],"")</f>
        <v>18.08143547273982</v>
      </c>
    </row>
    <row r="3051" spans="1:14">
      <c r="A3051" s="21">
        <v>2024</v>
      </c>
      <c r="B3051" s="21" t="s">
        <v>22</v>
      </c>
      <c r="C3051" s="21" t="s">
        <v>1145</v>
      </c>
      <c r="D3051" s="21" t="s">
        <v>35</v>
      </c>
      <c r="E3051" s="18" t="s">
        <v>613</v>
      </c>
      <c r="F3051" s="18" t="s">
        <v>187</v>
      </c>
      <c r="G3051" s="18" t="s">
        <v>48</v>
      </c>
      <c r="H3051" s="24">
        <v>2660</v>
      </c>
      <c r="I3051" s="24">
        <f>T_reg.root.SK[[#This Row],[Volume, kg]]/1000</f>
        <v>2.66</v>
      </c>
      <c r="J3051" s="25">
        <v>0.13699999999999998</v>
      </c>
      <c r="K3051" s="25">
        <f t="shared" si="47"/>
        <v>364.41999999999996</v>
      </c>
      <c r="L3051" s="25">
        <v>2.2999999999999998</v>
      </c>
      <c r="M3051" s="24">
        <v>6118</v>
      </c>
      <c r="N3051" s="25">
        <f>IFERROR(T_reg.root.SK[[#This Row],[Price]]/T_reg.root.SK[[#This Row],[Starch content]],"")</f>
        <v>16.788321167883211</v>
      </c>
    </row>
    <row r="3052" spans="1:14">
      <c r="A3052" s="21">
        <v>2024</v>
      </c>
      <c r="B3052" s="21" t="s">
        <v>22</v>
      </c>
      <c r="C3052" s="21" t="s">
        <v>1145</v>
      </c>
      <c r="D3052" s="21" t="s">
        <v>35</v>
      </c>
      <c r="E3052" s="18" t="s">
        <v>408</v>
      </c>
      <c r="F3052" s="18" t="s">
        <v>187</v>
      </c>
      <c r="G3052" s="18" t="s">
        <v>48</v>
      </c>
      <c r="H3052" s="24">
        <v>42440</v>
      </c>
      <c r="I3052" s="24">
        <f>T_reg.root.SK[[#This Row],[Volume, kg]]/1000</f>
        <v>42.44</v>
      </c>
      <c r="J3052" s="25">
        <v>0.15460000000000002</v>
      </c>
      <c r="K3052" s="25">
        <f t="shared" si="47"/>
        <v>6561.2240000000011</v>
      </c>
      <c r="L3052" s="25">
        <v>2.64</v>
      </c>
      <c r="M3052" s="24">
        <v>111966</v>
      </c>
      <c r="N3052" s="25">
        <f>IFERROR(T_reg.root.SK[[#This Row],[Price]]/T_reg.root.SK[[#This Row],[Starch content]],"")</f>
        <v>17.076326002587322</v>
      </c>
    </row>
    <row r="3053" spans="1:14">
      <c r="A3053" s="21">
        <v>2024</v>
      </c>
      <c r="B3053" s="21" t="s">
        <v>22</v>
      </c>
      <c r="C3053" s="21" t="s">
        <v>1145</v>
      </c>
      <c r="D3053" s="21" t="s">
        <v>35</v>
      </c>
      <c r="E3053" s="18" t="s">
        <v>536</v>
      </c>
      <c r="F3053" s="18" t="s">
        <v>187</v>
      </c>
      <c r="G3053" s="18" t="s">
        <v>48</v>
      </c>
      <c r="H3053" s="24">
        <v>0</v>
      </c>
      <c r="I3053" s="24">
        <f>T_reg.root.SK[[#This Row],[Volume, kg]]/1000</f>
        <v>0</v>
      </c>
      <c r="J3053" s="25">
        <v>0</v>
      </c>
      <c r="K3053" s="25">
        <f t="shared" si="47"/>
        <v>0</v>
      </c>
      <c r="L3053" s="25">
        <v>0</v>
      </c>
      <c r="M3053" s="24">
        <v>0</v>
      </c>
      <c r="N3053" s="25" t="str">
        <f>IFERROR(T_reg.root.SK[[#This Row],[Price]]/T_reg.root.SK[[#This Row],[Starch content]],"")</f>
        <v/>
      </c>
    </row>
    <row r="3054" spans="1:14">
      <c r="A3054" s="21">
        <v>2024</v>
      </c>
      <c r="B3054" s="21" t="s">
        <v>22</v>
      </c>
      <c r="C3054" s="21" t="s">
        <v>1145</v>
      </c>
      <c r="D3054" s="21" t="s">
        <v>35</v>
      </c>
      <c r="E3054" s="18" t="s">
        <v>269</v>
      </c>
      <c r="F3054" s="18" t="s">
        <v>187</v>
      </c>
      <c r="G3054" s="18" t="s">
        <v>48</v>
      </c>
      <c r="H3054" s="24">
        <v>91690</v>
      </c>
      <c r="I3054" s="24">
        <f>T_reg.root.SK[[#This Row],[Volume, kg]]/1000</f>
        <v>91.69</v>
      </c>
      <c r="J3054" s="25">
        <v>0.14380000000000001</v>
      </c>
      <c r="K3054" s="25">
        <f t="shared" si="47"/>
        <v>13185.022000000001</v>
      </c>
      <c r="L3054" s="25">
        <v>2.63</v>
      </c>
      <c r="M3054" s="24">
        <v>240943.5</v>
      </c>
      <c r="N3054" s="25">
        <f>IFERROR(T_reg.root.SK[[#This Row],[Price]]/T_reg.root.SK[[#This Row],[Starch content]],"")</f>
        <v>18.289290681502084</v>
      </c>
    </row>
    <row r="3055" spans="1:14">
      <c r="A3055" s="21">
        <v>2024</v>
      </c>
      <c r="B3055" s="21" t="s">
        <v>22</v>
      </c>
      <c r="C3055" s="21" t="s">
        <v>1145</v>
      </c>
      <c r="D3055" s="21" t="s">
        <v>35</v>
      </c>
      <c r="E3055" s="18" t="s">
        <v>214</v>
      </c>
      <c r="F3055" s="18" t="s">
        <v>187</v>
      </c>
      <c r="G3055" s="18" t="s">
        <v>48</v>
      </c>
      <c r="H3055" s="24">
        <v>0</v>
      </c>
      <c r="I3055" s="24">
        <f>T_reg.root.SK[[#This Row],[Volume, kg]]/1000</f>
        <v>0</v>
      </c>
      <c r="J3055" s="25">
        <v>0</v>
      </c>
      <c r="K3055" s="25">
        <f t="shared" si="47"/>
        <v>0</v>
      </c>
      <c r="L3055" s="25">
        <v>0</v>
      </c>
      <c r="M3055" s="24">
        <v>0</v>
      </c>
      <c r="N3055" s="25" t="str">
        <f>IFERROR(T_reg.root.SK[[#This Row],[Price]]/T_reg.root.SK[[#This Row],[Starch content]],"")</f>
        <v/>
      </c>
    </row>
    <row r="3056" spans="1:14">
      <c r="A3056" s="21">
        <v>2024</v>
      </c>
      <c r="B3056" s="21" t="s">
        <v>22</v>
      </c>
      <c r="C3056" s="21" t="s">
        <v>1145</v>
      </c>
      <c r="D3056" s="21" t="s">
        <v>35</v>
      </c>
      <c r="E3056" s="18" t="s">
        <v>623</v>
      </c>
      <c r="F3056" s="18" t="s">
        <v>187</v>
      </c>
      <c r="G3056" s="18" t="s">
        <v>48</v>
      </c>
      <c r="H3056" s="24">
        <v>9740</v>
      </c>
      <c r="I3056" s="24">
        <f>T_reg.root.SK[[#This Row],[Volume, kg]]/1000</f>
        <v>9.74</v>
      </c>
      <c r="J3056" s="25">
        <v>0.214</v>
      </c>
      <c r="K3056" s="25">
        <f t="shared" si="47"/>
        <v>2084.36</v>
      </c>
      <c r="L3056" s="25">
        <v>3.05</v>
      </c>
      <c r="M3056" s="24">
        <v>29707</v>
      </c>
      <c r="N3056" s="25">
        <f>IFERROR(T_reg.root.SK[[#This Row],[Price]]/T_reg.root.SK[[#This Row],[Starch content]],"")</f>
        <v>14.252336448598131</v>
      </c>
    </row>
    <row r="3057" spans="1:14">
      <c r="A3057" s="21">
        <v>2024</v>
      </c>
      <c r="B3057" s="21" t="s">
        <v>22</v>
      </c>
      <c r="C3057" s="21" t="s">
        <v>1145</v>
      </c>
      <c r="D3057" s="21" t="s">
        <v>35</v>
      </c>
      <c r="E3057" s="18" t="s">
        <v>691</v>
      </c>
      <c r="F3057" s="18" t="s">
        <v>187</v>
      </c>
      <c r="G3057" s="18" t="s">
        <v>48</v>
      </c>
      <c r="H3057" s="24">
        <v>26370</v>
      </c>
      <c r="I3057" s="24">
        <f>T_reg.root.SK[[#This Row],[Volume, kg]]/1000</f>
        <v>26.37</v>
      </c>
      <c r="J3057" s="25">
        <v>0.26170000000000004</v>
      </c>
      <c r="K3057" s="25">
        <f t="shared" si="47"/>
        <v>6901.0290000000014</v>
      </c>
      <c r="L3057" s="25">
        <v>3.22</v>
      </c>
      <c r="M3057" s="24">
        <v>84898.5</v>
      </c>
      <c r="N3057" s="25">
        <f>IFERROR(T_reg.root.SK[[#This Row],[Price]]/T_reg.root.SK[[#This Row],[Starch content]],"")</f>
        <v>12.304165074512799</v>
      </c>
    </row>
    <row r="3058" spans="1:14">
      <c r="A3058" s="21">
        <v>2024</v>
      </c>
      <c r="B3058" s="21" t="s">
        <v>22</v>
      </c>
      <c r="C3058" s="21" t="s">
        <v>1145</v>
      </c>
      <c r="D3058" s="21" t="s">
        <v>35</v>
      </c>
      <c r="E3058" s="18" t="s">
        <v>760</v>
      </c>
      <c r="F3058" s="18" t="s">
        <v>187</v>
      </c>
      <c r="G3058" s="18" t="s">
        <v>48</v>
      </c>
      <c r="H3058" s="24">
        <v>23750</v>
      </c>
      <c r="I3058" s="24">
        <f>T_reg.root.SK[[#This Row],[Volume, kg]]/1000</f>
        <v>23.75</v>
      </c>
      <c r="J3058" s="25">
        <v>0.16879999999999998</v>
      </c>
      <c r="K3058" s="25">
        <f t="shared" si="47"/>
        <v>4008.9999999999995</v>
      </c>
      <c r="L3058" s="25">
        <v>2.86</v>
      </c>
      <c r="M3058" s="24">
        <v>67809.5</v>
      </c>
      <c r="N3058" s="25">
        <f>IFERROR(T_reg.root.SK[[#This Row],[Price]]/T_reg.root.SK[[#This Row],[Starch content]],"")</f>
        <v>16.94312796208531</v>
      </c>
    </row>
    <row r="3059" spans="1:14">
      <c r="A3059" s="21">
        <v>2024</v>
      </c>
      <c r="B3059" s="21" t="s">
        <v>22</v>
      </c>
      <c r="C3059" s="21" t="s">
        <v>1145</v>
      </c>
      <c r="D3059" s="21" t="s">
        <v>35</v>
      </c>
      <c r="E3059" s="18" t="s">
        <v>542</v>
      </c>
      <c r="F3059" s="18" t="s">
        <v>187</v>
      </c>
      <c r="G3059" s="18" t="s">
        <v>48</v>
      </c>
      <c r="H3059" s="24">
        <v>29880</v>
      </c>
      <c r="I3059" s="24">
        <f>T_reg.root.SK[[#This Row],[Volume, kg]]/1000</f>
        <v>29.88</v>
      </c>
      <c r="J3059" s="25">
        <v>0.21299999999999999</v>
      </c>
      <c r="K3059" s="25">
        <f t="shared" si="47"/>
        <v>6364.44</v>
      </c>
      <c r="L3059" s="25">
        <v>2.97</v>
      </c>
      <c r="M3059" s="24">
        <v>88757.5</v>
      </c>
      <c r="N3059" s="25">
        <f>IFERROR(T_reg.root.SK[[#This Row],[Price]]/T_reg.root.SK[[#This Row],[Starch content]],"")</f>
        <v>13.943661971830988</v>
      </c>
    </row>
    <row r="3060" spans="1:14">
      <c r="A3060" s="21">
        <v>2024</v>
      </c>
      <c r="B3060" s="21" t="s">
        <v>22</v>
      </c>
      <c r="C3060" s="21" t="s">
        <v>1145</v>
      </c>
      <c r="D3060" s="21" t="s">
        <v>35</v>
      </c>
      <c r="E3060" s="18" t="s">
        <v>216</v>
      </c>
      <c r="F3060" s="18" t="s">
        <v>187</v>
      </c>
      <c r="G3060" s="18" t="s">
        <v>48</v>
      </c>
      <c r="H3060" s="24">
        <v>27310</v>
      </c>
      <c r="I3060" s="24">
        <f>T_reg.root.SK[[#This Row],[Volume, kg]]/1000</f>
        <v>27.31</v>
      </c>
      <c r="J3060" s="25">
        <v>0.24879999999999999</v>
      </c>
      <c r="K3060" s="25">
        <f t="shared" si="47"/>
        <v>6794.7280000000001</v>
      </c>
      <c r="L3060" s="25">
        <v>3.25</v>
      </c>
      <c r="M3060" s="24">
        <v>88757.5</v>
      </c>
      <c r="N3060" s="25">
        <f>IFERROR(T_reg.root.SK[[#This Row],[Price]]/T_reg.root.SK[[#This Row],[Starch content]],"")</f>
        <v>13.062700964630226</v>
      </c>
    </row>
    <row r="3061" spans="1:14">
      <c r="A3061" s="21">
        <v>2024</v>
      </c>
      <c r="B3061" s="21" t="s">
        <v>22</v>
      </c>
      <c r="C3061" s="21" t="s">
        <v>1145</v>
      </c>
      <c r="D3061" s="21" t="s">
        <v>35</v>
      </c>
      <c r="E3061" s="18" t="s">
        <v>270</v>
      </c>
      <c r="F3061" s="18" t="s">
        <v>187</v>
      </c>
      <c r="G3061" s="18" t="s">
        <v>48</v>
      </c>
      <c r="H3061" s="24">
        <v>5290</v>
      </c>
      <c r="I3061" s="24">
        <f>T_reg.root.SK[[#This Row],[Volume, kg]]/1000</f>
        <v>5.29</v>
      </c>
      <c r="J3061" s="25">
        <v>0.18109999999999998</v>
      </c>
      <c r="K3061" s="25">
        <f t="shared" si="47"/>
        <v>958.01899999999989</v>
      </c>
      <c r="L3061" s="25">
        <v>2.91</v>
      </c>
      <c r="M3061" s="24">
        <v>15378</v>
      </c>
      <c r="N3061" s="25">
        <f>IFERROR(T_reg.root.SK[[#This Row],[Price]]/T_reg.root.SK[[#This Row],[Starch content]],"")</f>
        <v>16.06847045831033</v>
      </c>
    </row>
    <row r="3062" spans="1:14">
      <c r="A3062" s="21">
        <v>2024</v>
      </c>
      <c r="B3062" s="21" t="s">
        <v>22</v>
      </c>
      <c r="C3062" s="21" t="s">
        <v>1145</v>
      </c>
      <c r="D3062" s="21" t="s">
        <v>35</v>
      </c>
      <c r="E3062" s="18" t="s">
        <v>543</v>
      </c>
      <c r="F3062" s="18" t="s">
        <v>187</v>
      </c>
      <c r="G3062" s="18" t="s">
        <v>48</v>
      </c>
      <c r="H3062" s="24">
        <v>8850</v>
      </c>
      <c r="I3062" s="24">
        <f>T_reg.root.SK[[#This Row],[Volume, kg]]/1000</f>
        <v>8.85</v>
      </c>
      <c r="J3062" s="25">
        <v>0.14449999999999999</v>
      </c>
      <c r="K3062" s="25">
        <f t="shared" si="47"/>
        <v>1278.8249999999998</v>
      </c>
      <c r="L3062" s="25">
        <v>2.5</v>
      </c>
      <c r="M3062" s="24">
        <v>22131</v>
      </c>
      <c r="N3062" s="25">
        <f>IFERROR(T_reg.root.SK[[#This Row],[Price]]/T_reg.root.SK[[#This Row],[Starch content]],"")</f>
        <v>17.301038062283737</v>
      </c>
    </row>
    <row r="3063" spans="1:14">
      <c r="A3063" s="21">
        <v>2024</v>
      </c>
      <c r="B3063" s="21" t="s">
        <v>22</v>
      </c>
      <c r="C3063" s="21" t="s">
        <v>1145</v>
      </c>
      <c r="D3063" s="21" t="s">
        <v>35</v>
      </c>
      <c r="E3063" s="18" t="s">
        <v>761</v>
      </c>
      <c r="F3063" s="18" t="s">
        <v>187</v>
      </c>
      <c r="G3063" s="18" t="s">
        <v>48</v>
      </c>
      <c r="H3063" s="24">
        <v>98970</v>
      </c>
      <c r="I3063" s="24">
        <f>T_reg.root.SK[[#This Row],[Volume, kg]]/1000</f>
        <v>98.97</v>
      </c>
      <c r="J3063" s="25">
        <v>0.18109999999999998</v>
      </c>
      <c r="K3063" s="25">
        <f t="shared" si="47"/>
        <v>17923.466999999997</v>
      </c>
      <c r="L3063" s="25">
        <v>2.9</v>
      </c>
      <c r="M3063" s="24">
        <v>286596.5</v>
      </c>
      <c r="N3063" s="25">
        <f>IFERROR(T_reg.root.SK[[#This Row],[Price]]/T_reg.root.SK[[#This Row],[Starch content]],"")</f>
        <v>16.013252346769743</v>
      </c>
    </row>
    <row r="3064" spans="1:14">
      <c r="A3064" s="21">
        <v>2024</v>
      </c>
      <c r="B3064" s="21" t="s">
        <v>22</v>
      </c>
      <c r="C3064" s="21" t="s">
        <v>1145</v>
      </c>
      <c r="D3064" s="21" t="s">
        <v>35</v>
      </c>
      <c r="E3064" s="18" t="s">
        <v>410</v>
      </c>
      <c r="F3064" s="18" t="s">
        <v>187</v>
      </c>
      <c r="G3064" s="18" t="s">
        <v>48</v>
      </c>
      <c r="H3064" s="24">
        <v>19090</v>
      </c>
      <c r="I3064" s="24">
        <f>T_reg.root.SK[[#This Row],[Volume, kg]]/1000</f>
        <v>19.09</v>
      </c>
      <c r="J3064" s="25">
        <v>0.17030000000000001</v>
      </c>
      <c r="K3064" s="25">
        <f t="shared" si="47"/>
        <v>3251.027</v>
      </c>
      <c r="L3064" s="25">
        <v>2.52</v>
      </c>
      <c r="M3064" s="24">
        <v>48149.5</v>
      </c>
      <c r="N3064" s="25">
        <f>IFERROR(T_reg.root.SK[[#This Row],[Price]]/T_reg.root.SK[[#This Row],[Starch content]],"")</f>
        <v>14.797416324133881</v>
      </c>
    </row>
    <row r="3065" spans="1:14">
      <c r="A3065" s="21">
        <v>2024</v>
      </c>
      <c r="B3065" s="21" t="s">
        <v>23</v>
      </c>
      <c r="C3065" s="21" t="s">
        <v>1145</v>
      </c>
      <c r="D3065" s="21" t="s">
        <v>35</v>
      </c>
      <c r="E3065" s="18" t="s">
        <v>728</v>
      </c>
      <c r="F3065" s="18" t="s">
        <v>37</v>
      </c>
      <c r="G3065" s="18" t="s">
        <v>38</v>
      </c>
      <c r="H3065" s="24">
        <v>66010</v>
      </c>
      <c r="I3065" s="24">
        <f>T_reg.root.SK[[#This Row],[Volume, kg]]/1000</f>
        <v>66.010000000000005</v>
      </c>
      <c r="J3065" s="25">
        <v>0.16789999999999999</v>
      </c>
      <c r="K3065" s="25">
        <f t="shared" si="47"/>
        <v>11083.079</v>
      </c>
      <c r="L3065" s="25">
        <v>2.4500000000000002</v>
      </c>
      <c r="M3065" s="24">
        <v>161531</v>
      </c>
      <c r="N3065" s="25">
        <f>IFERROR(T_reg.root.SK[[#This Row],[Price]]/T_reg.root.SK[[#This Row],[Starch content]],"")</f>
        <v>14.59201905896367</v>
      </c>
    </row>
    <row r="3066" spans="1:14">
      <c r="A3066" s="21">
        <v>2024</v>
      </c>
      <c r="B3066" s="21" t="s">
        <v>23</v>
      </c>
      <c r="C3066" s="21" t="s">
        <v>1145</v>
      </c>
      <c r="D3066" s="21" t="s">
        <v>35</v>
      </c>
      <c r="E3066" s="18" t="s">
        <v>762</v>
      </c>
      <c r="F3066" s="18" t="s">
        <v>37</v>
      </c>
      <c r="G3066" s="18" t="s">
        <v>38</v>
      </c>
      <c r="H3066" s="24">
        <v>96590</v>
      </c>
      <c r="I3066" s="24">
        <f>T_reg.root.SK[[#This Row],[Volume, kg]]/1000</f>
        <v>96.59</v>
      </c>
      <c r="J3066" s="25">
        <v>0.15490000000000001</v>
      </c>
      <c r="K3066" s="25">
        <f t="shared" si="47"/>
        <v>14961.791000000001</v>
      </c>
      <c r="L3066" s="25">
        <v>2.39</v>
      </c>
      <c r="M3066" s="24">
        <v>230514</v>
      </c>
      <c r="N3066" s="25">
        <f>IFERROR(T_reg.root.SK[[#This Row],[Price]]/T_reg.root.SK[[#This Row],[Starch content]],"")</f>
        <v>15.429309231762428</v>
      </c>
    </row>
    <row r="3067" spans="1:14">
      <c r="A3067" s="21">
        <v>2024</v>
      </c>
      <c r="B3067" s="21" t="s">
        <v>23</v>
      </c>
      <c r="C3067" s="21" t="s">
        <v>1145</v>
      </c>
      <c r="D3067" s="21" t="s">
        <v>35</v>
      </c>
      <c r="E3067" s="18" t="s">
        <v>763</v>
      </c>
      <c r="F3067" s="18" t="s">
        <v>219</v>
      </c>
      <c r="G3067" s="18" t="s">
        <v>220</v>
      </c>
      <c r="H3067" s="24">
        <v>0</v>
      </c>
      <c r="I3067" s="24">
        <f>T_reg.root.SK[[#This Row],[Volume, kg]]/1000</f>
        <v>0</v>
      </c>
      <c r="J3067" s="25">
        <v>0</v>
      </c>
      <c r="K3067" s="25">
        <f t="shared" si="47"/>
        <v>0</v>
      </c>
      <c r="L3067" s="25">
        <v>0</v>
      </c>
      <c r="M3067" s="24">
        <v>0</v>
      </c>
      <c r="N3067" s="25" t="str">
        <f>IFERROR(T_reg.root.SK[[#This Row],[Price]]/T_reg.root.SK[[#This Row],[Starch content]],"")</f>
        <v/>
      </c>
    </row>
    <row r="3068" spans="1:14">
      <c r="A3068" s="21">
        <v>2024</v>
      </c>
      <c r="B3068" s="21" t="s">
        <v>23</v>
      </c>
      <c r="C3068" s="21" t="s">
        <v>1145</v>
      </c>
      <c r="D3068" s="21" t="s">
        <v>35</v>
      </c>
      <c r="E3068" s="18" t="s">
        <v>457</v>
      </c>
      <c r="F3068" s="18" t="s">
        <v>47</v>
      </c>
      <c r="G3068" s="18" t="s">
        <v>48</v>
      </c>
      <c r="H3068" s="24">
        <v>54890</v>
      </c>
      <c r="I3068" s="24">
        <f>T_reg.root.SK[[#This Row],[Volume, kg]]/1000</f>
        <v>54.89</v>
      </c>
      <c r="J3068" s="25">
        <v>0.1938</v>
      </c>
      <c r="K3068" s="25">
        <f t="shared" si="47"/>
        <v>10637.682000000001</v>
      </c>
      <c r="L3068" s="25">
        <v>2.5299999999999998</v>
      </c>
      <c r="M3068" s="24">
        <v>138697.5</v>
      </c>
      <c r="N3068" s="25">
        <f>IFERROR(T_reg.root.SK[[#This Row],[Price]]/T_reg.root.SK[[#This Row],[Starch content]],"")</f>
        <v>13.0546955624355</v>
      </c>
    </row>
    <row r="3069" spans="1:14">
      <c r="A3069" s="21">
        <v>2024</v>
      </c>
      <c r="B3069" s="21" t="s">
        <v>23</v>
      </c>
      <c r="C3069" s="21" t="s">
        <v>1145</v>
      </c>
      <c r="D3069" s="21" t="s">
        <v>35</v>
      </c>
      <c r="E3069" s="18" t="s">
        <v>546</v>
      </c>
      <c r="F3069" s="18" t="s">
        <v>47</v>
      </c>
      <c r="G3069" s="18" t="s">
        <v>48</v>
      </c>
      <c r="H3069" s="24">
        <v>5170</v>
      </c>
      <c r="I3069" s="24">
        <f>T_reg.root.SK[[#This Row],[Volume, kg]]/1000</f>
        <v>5.17</v>
      </c>
      <c r="J3069" s="25">
        <v>0.19450000000000001</v>
      </c>
      <c r="K3069" s="25">
        <f t="shared" si="47"/>
        <v>1005.5650000000001</v>
      </c>
      <c r="L3069" s="25">
        <v>2.5</v>
      </c>
      <c r="M3069" s="24">
        <v>12925</v>
      </c>
      <c r="N3069" s="25">
        <f>IFERROR(T_reg.root.SK[[#This Row],[Price]]/T_reg.root.SK[[#This Row],[Starch content]],"")</f>
        <v>12.853470437017995</v>
      </c>
    </row>
    <row r="3070" spans="1:14">
      <c r="A3070" s="21">
        <v>2024</v>
      </c>
      <c r="B3070" s="21" t="s">
        <v>23</v>
      </c>
      <c r="C3070" s="21" t="s">
        <v>1145</v>
      </c>
      <c r="D3070" s="21" t="s">
        <v>35</v>
      </c>
      <c r="E3070" s="18" t="s">
        <v>46</v>
      </c>
      <c r="F3070" s="18" t="s">
        <v>47</v>
      </c>
      <c r="G3070" s="18" t="s">
        <v>48</v>
      </c>
      <c r="H3070" s="24">
        <v>10180</v>
      </c>
      <c r="I3070" s="24">
        <f>T_reg.root.SK[[#This Row],[Volume, kg]]/1000</f>
        <v>10.18</v>
      </c>
      <c r="J3070" s="25">
        <v>0.21600000000000003</v>
      </c>
      <c r="K3070" s="25">
        <f t="shared" si="47"/>
        <v>2198.88</v>
      </c>
      <c r="L3070" s="25">
        <v>2.7</v>
      </c>
      <c r="M3070" s="24">
        <v>27486</v>
      </c>
      <c r="N3070" s="25">
        <f>IFERROR(T_reg.root.SK[[#This Row],[Price]]/T_reg.root.SK[[#This Row],[Starch content]],"")</f>
        <v>12.5</v>
      </c>
    </row>
    <row r="3071" spans="1:14">
      <c r="A3071" s="21">
        <v>2024</v>
      </c>
      <c r="B3071" s="21" t="s">
        <v>23</v>
      </c>
      <c r="C3071" s="21" t="s">
        <v>1145</v>
      </c>
      <c r="D3071" s="21" t="s">
        <v>35</v>
      </c>
      <c r="E3071" s="18" t="s">
        <v>50</v>
      </c>
      <c r="F3071" s="18" t="s">
        <v>47</v>
      </c>
      <c r="G3071" s="18" t="s">
        <v>48</v>
      </c>
      <c r="H3071" s="24">
        <v>29110</v>
      </c>
      <c r="I3071" s="24">
        <f>T_reg.root.SK[[#This Row],[Volume, kg]]/1000</f>
        <v>29.11</v>
      </c>
      <c r="J3071" s="25">
        <v>0.19219999999999998</v>
      </c>
      <c r="K3071" s="25">
        <f t="shared" si="47"/>
        <v>5594.9419999999991</v>
      </c>
      <c r="L3071" s="25">
        <v>2.5499999999999998</v>
      </c>
      <c r="M3071" s="24">
        <v>74180.5</v>
      </c>
      <c r="N3071" s="25">
        <f>IFERROR(T_reg.root.SK[[#This Row],[Price]]/T_reg.root.SK[[#This Row],[Starch content]],"")</f>
        <v>13.267429760665973</v>
      </c>
    </row>
    <row r="3072" spans="1:14">
      <c r="A3072" s="21">
        <v>2024</v>
      </c>
      <c r="B3072" s="21" t="s">
        <v>23</v>
      </c>
      <c r="C3072" s="21" t="s">
        <v>1145</v>
      </c>
      <c r="D3072" s="21" t="s">
        <v>35</v>
      </c>
      <c r="E3072" s="18" t="s">
        <v>51</v>
      </c>
      <c r="F3072" s="18" t="s">
        <v>47</v>
      </c>
      <c r="G3072" s="18" t="s">
        <v>48</v>
      </c>
      <c r="H3072" s="24">
        <v>4840</v>
      </c>
      <c r="I3072" s="24">
        <f>T_reg.root.SK[[#This Row],[Volume, kg]]/1000</f>
        <v>4.84</v>
      </c>
      <c r="J3072" s="25">
        <v>0.16800000000000001</v>
      </c>
      <c r="K3072" s="25">
        <f t="shared" si="47"/>
        <v>813.12</v>
      </c>
      <c r="L3072" s="25">
        <v>2.4</v>
      </c>
      <c r="M3072" s="24">
        <v>11616</v>
      </c>
      <c r="N3072" s="25">
        <f>IFERROR(T_reg.root.SK[[#This Row],[Price]]/T_reg.root.SK[[#This Row],[Starch content]],"")</f>
        <v>14.285714285714285</v>
      </c>
    </row>
    <row r="3073" spans="1:14">
      <c r="A3073" s="21">
        <v>2024</v>
      </c>
      <c r="B3073" s="21" t="s">
        <v>23</v>
      </c>
      <c r="C3073" s="21" t="s">
        <v>1145</v>
      </c>
      <c r="D3073" s="21" t="s">
        <v>35</v>
      </c>
      <c r="E3073" s="18" t="s">
        <v>642</v>
      </c>
      <c r="F3073" s="18" t="s">
        <v>47</v>
      </c>
      <c r="G3073" s="18" t="s">
        <v>48</v>
      </c>
      <c r="H3073" s="24">
        <v>5740</v>
      </c>
      <c r="I3073" s="24">
        <f>T_reg.root.SK[[#This Row],[Volume, kg]]/1000</f>
        <v>5.74</v>
      </c>
      <c r="J3073" s="25">
        <v>0.19399999999999998</v>
      </c>
      <c r="K3073" s="25">
        <f t="shared" si="47"/>
        <v>1113.56</v>
      </c>
      <c r="L3073" s="25">
        <v>2.5499999999999998</v>
      </c>
      <c r="M3073" s="24">
        <v>14637</v>
      </c>
      <c r="N3073" s="25">
        <f>IFERROR(T_reg.root.SK[[#This Row],[Price]]/T_reg.root.SK[[#This Row],[Starch content]],"")</f>
        <v>13.144329896907218</v>
      </c>
    </row>
    <row r="3074" spans="1:14">
      <c r="A3074" s="21">
        <v>2024</v>
      </c>
      <c r="B3074" s="21" t="s">
        <v>23</v>
      </c>
      <c r="C3074" s="21" t="s">
        <v>1145</v>
      </c>
      <c r="D3074" s="21" t="s">
        <v>35</v>
      </c>
      <c r="E3074" s="18" t="s">
        <v>654</v>
      </c>
      <c r="F3074" s="18" t="s">
        <v>47</v>
      </c>
      <c r="G3074" s="18" t="s">
        <v>48</v>
      </c>
      <c r="H3074" s="24">
        <v>29220</v>
      </c>
      <c r="I3074" s="24">
        <f>T_reg.root.SK[[#This Row],[Volume, kg]]/1000</f>
        <v>29.22</v>
      </c>
      <c r="J3074" s="25">
        <v>0.1661</v>
      </c>
      <c r="K3074" s="25">
        <f t="shared" si="47"/>
        <v>4853.442</v>
      </c>
      <c r="L3074" s="25">
        <v>2.41</v>
      </c>
      <c r="M3074" s="24">
        <v>70498.5</v>
      </c>
      <c r="N3074" s="25">
        <f>IFERROR(T_reg.root.SK[[#This Row],[Price]]/T_reg.root.SK[[#This Row],[Starch content]],"")</f>
        <v>14.509331727874775</v>
      </c>
    </row>
    <row r="3075" spans="1:14">
      <c r="A3075" s="21">
        <v>2024</v>
      </c>
      <c r="B3075" s="21" t="s">
        <v>23</v>
      </c>
      <c r="C3075" s="21" t="s">
        <v>1145</v>
      </c>
      <c r="D3075" s="21" t="s">
        <v>35</v>
      </c>
      <c r="E3075" s="18" t="s">
        <v>78</v>
      </c>
      <c r="F3075" s="18" t="s">
        <v>47</v>
      </c>
      <c r="G3075" s="18" t="s">
        <v>48</v>
      </c>
      <c r="H3075" s="24">
        <v>61510</v>
      </c>
      <c r="I3075" s="24">
        <f>T_reg.root.SK[[#This Row],[Volume, kg]]/1000</f>
        <v>61.51</v>
      </c>
      <c r="J3075" s="25">
        <v>0.16089999999999999</v>
      </c>
      <c r="K3075" s="25">
        <f t="shared" ref="K3075:K3138" si="48">H3075*J3075</f>
        <v>9896.9589999999989</v>
      </c>
      <c r="L3075" s="25">
        <v>2.38</v>
      </c>
      <c r="M3075" s="24">
        <v>146270.5</v>
      </c>
      <c r="N3075" s="25">
        <f>IFERROR(T_reg.root.SK[[#This Row],[Price]]/T_reg.root.SK[[#This Row],[Starch content]],"")</f>
        <v>14.791796146674955</v>
      </c>
    </row>
    <row r="3076" spans="1:14">
      <c r="A3076" s="21">
        <v>2024</v>
      </c>
      <c r="B3076" s="21" t="s">
        <v>23</v>
      </c>
      <c r="C3076" s="21" t="s">
        <v>1145</v>
      </c>
      <c r="D3076" s="21" t="s">
        <v>35</v>
      </c>
      <c r="E3076" s="18" t="s">
        <v>53</v>
      </c>
      <c r="F3076" s="18" t="s">
        <v>47</v>
      </c>
      <c r="G3076" s="18" t="s">
        <v>48</v>
      </c>
      <c r="H3076" s="24">
        <v>16550</v>
      </c>
      <c r="I3076" s="24">
        <f>T_reg.root.SK[[#This Row],[Volume, kg]]/1000</f>
        <v>16.55</v>
      </c>
      <c r="J3076" s="25">
        <v>0.16949999999999998</v>
      </c>
      <c r="K3076" s="25">
        <f t="shared" si="48"/>
        <v>2805.2249999999999</v>
      </c>
      <c r="L3076" s="25">
        <v>2.4</v>
      </c>
      <c r="M3076" s="24">
        <v>39720</v>
      </c>
      <c r="N3076" s="25">
        <f>IFERROR(T_reg.root.SK[[#This Row],[Price]]/T_reg.root.SK[[#This Row],[Starch content]],"")</f>
        <v>14.159292035398231</v>
      </c>
    </row>
    <row r="3077" spans="1:14">
      <c r="A3077" s="21">
        <v>2024</v>
      </c>
      <c r="B3077" s="21" t="s">
        <v>23</v>
      </c>
      <c r="C3077" s="21" t="s">
        <v>1145</v>
      </c>
      <c r="D3077" s="21" t="s">
        <v>35</v>
      </c>
      <c r="E3077" s="18" t="s">
        <v>460</v>
      </c>
      <c r="F3077" s="18" t="s">
        <v>47</v>
      </c>
      <c r="G3077" s="18" t="s">
        <v>48</v>
      </c>
      <c r="H3077" s="24">
        <v>26920</v>
      </c>
      <c r="I3077" s="24">
        <f>T_reg.root.SK[[#This Row],[Volume, kg]]/1000</f>
        <v>26.92</v>
      </c>
      <c r="J3077" s="25">
        <v>0.187</v>
      </c>
      <c r="K3077" s="25">
        <f t="shared" si="48"/>
        <v>5034.04</v>
      </c>
      <c r="L3077" s="25">
        <v>2.5299999999999998</v>
      </c>
      <c r="M3077" s="24">
        <v>68241.5</v>
      </c>
      <c r="N3077" s="25">
        <f>IFERROR(T_reg.root.SK[[#This Row],[Price]]/T_reg.root.SK[[#This Row],[Starch content]],"")</f>
        <v>13.52941176470588</v>
      </c>
    </row>
    <row r="3078" spans="1:14">
      <c r="A3078" s="21">
        <v>2024</v>
      </c>
      <c r="B3078" s="21" t="s">
        <v>23</v>
      </c>
      <c r="C3078" s="21" t="s">
        <v>1145</v>
      </c>
      <c r="D3078" s="21" t="s">
        <v>35</v>
      </c>
      <c r="E3078" s="18" t="s">
        <v>461</v>
      </c>
      <c r="F3078" s="18" t="s">
        <v>47</v>
      </c>
      <c r="G3078" s="18" t="s">
        <v>48</v>
      </c>
      <c r="H3078" s="24">
        <v>19230</v>
      </c>
      <c r="I3078" s="24">
        <f>T_reg.root.SK[[#This Row],[Volume, kg]]/1000</f>
        <v>19.23</v>
      </c>
      <c r="J3078" s="25">
        <v>0.20920000000000002</v>
      </c>
      <c r="K3078" s="25">
        <f t="shared" si="48"/>
        <v>4022.9160000000006</v>
      </c>
      <c r="L3078" s="25">
        <v>2.66</v>
      </c>
      <c r="M3078" s="24">
        <v>51060.5</v>
      </c>
      <c r="N3078" s="25">
        <f>IFERROR(T_reg.root.SK[[#This Row],[Price]]/T_reg.root.SK[[#This Row],[Starch content]],"")</f>
        <v>12.7151051625239</v>
      </c>
    </row>
    <row r="3079" spans="1:14">
      <c r="A3079" s="21">
        <v>2024</v>
      </c>
      <c r="B3079" s="21" t="s">
        <v>23</v>
      </c>
      <c r="C3079" s="21" t="s">
        <v>1145</v>
      </c>
      <c r="D3079" s="21" t="s">
        <v>35</v>
      </c>
      <c r="E3079" s="18" t="s">
        <v>744</v>
      </c>
      <c r="F3079" s="18" t="s">
        <v>47</v>
      </c>
      <c r="G3079" s="18" t="s">
        <v>48</v>
      </c>
      <c r="H3079" s="24">
        <v>7910</v>
      </c>
      <c r="I3079" s="24">
        <f>T_reg.root.SK[[#This Row],[Volume, kg]]/1000</f>
        <v>7.91</v>
      </c>
      <c r="J3079" s="25">
        <v>0.1709</v>
      </c>
      <c r="K3079" s="25">
        <f t="shared" si="48"/>
        <v>1351.819</v>
      </c>
      <c r="L3079" s="25">
        <v>2.44</v>
      </c>
      <c r="M3079" s="24">
        <v>19272.5</v>
      </c>
      <c r="N3079" s="25">
        <f>IFERROR(T_reg.root.SK[[#This Row],[Price]]/T_reg.root.SK[[#This Row],[Starch content]],"")</f>
        <v>14.277355178466939</v>
      </c>
    </row>
    <row r="3080" spans="1:14">
      <c r="A3080" s="21">
        <v>2024</v>
      </c>
      <c r="B3080" s="21" t="s">
        <v>23</v>
      </c>
      <c r="C3080" s="21" t="s">
        <v>1145</v>
      </c>
      <c r="D3080" s="21" t="s">
        <v>35</v>
      </c>
      <c r="E3080" s="18" t="s">
        <v>462</v>
      </c>
      <c r="F3080" s="18" t="s">
        <v>47</v>
      </c>
      <c r="G3080" s="18" t="s">
        <v>48</v>
      </c>
      <c r="H3080" s="24">
        <v>18090</v>
      </c>
      <c r="I3080" s="24">
        <f>T_reg.root.SK[[#This Row],[Volume, kg]]/1000</f>
        <v>18.09</v>
      </c>
      <c r="J3080" s="25">
        <v>0.18820000000000001</v>
      </c>
      <c r="K3080" s="25">
        <f t="shared" si="48"/>
        <v>3404.538</v>
      </c>
      <c r="L3080" s="25">
        <v>2.54</v>
      </c>
      <c r="M3080" s="24">
        <v>45900</v>
      </c>
      <c r="N3080" s="25">
        <f>IFERROR(T_reg.root.SK[[#This Row],[Price]]/T_reg.root.SK[[#This Row],[Starch content]],"")</f>
        <v>13.496280552603613</v>
      </c>
    </row>
    <row r="3081" spans="1:14">
      <c r="A3081" s="21">
        <v>2024</v>
      </c>
      <c r="B3081" s="21" t="s">
        <v>23</v>
      </c>
      <c r="C3081" s="21" t="s">
        <v>1145</v>
      </c>
      <c r="D3081" s="21" t="s">
        <v>35</v>
      </c>
      <c r="E3081" s="18" t="s">
        <v>625</v>
      </c>
      <c r="F3081" s="18" t="s">
        <v>47</v>
      </c>
      <c r="G3081" s="18" t="s">
        <v>48</v>
      </c>
      <c r="H3081" s="24">
        <v>5830</v>
      </c>
      <c r="I3081" s="24">
        <f>T_reg.root.SK[[#This Row],[Volume, kg]]/1000</f>
        <v>5.83</v>
      </c>
      <c r="J3081" s="25">
        <v>0.156</v>
      </c>
      <c r="K3081" s="25">
        <f t="shared" si="48"/>
        <v>909.48</v>
      </c>
      <c r="L3081" s="25">
        <v>2.35</v>
      </c>
      <c r="M3081" s="24">
        <v>13700.5</v>
      </c>
      <c r="N3081" s="25">
        <f>IFERROR(T_reg.root.SK[[#This Row],[Price]]/T_reg.root.SK[[#This Row],[Starch content]],"")</f>
        <v>15.064102564102564</v>
      </c>
    </row>
    <row r="3082" spans="1:14">
      <c r="A3082" s="21">
        <v>2024</v>
      </c>
      <c r="B3082" s="21" t="s">
        <v>23</v>
      </c>
      <c r="C3082" s="21" t="s">
        <v>1145</v>
      </c>
      <c r="D3082" s="21" t="s">
        <v>35</v>
      </c>
      <c r="E3082" s="18" t="s">
        <v>57</v>
      </c>
      <c r="F3082" s="18" t="s">
        <v>47</v>
      </c>
      <c r="G3082" s="18" t="s">
        <v>48</v>
      </c>
      <c r="H3082" s="24">
        <v>12120</v>
      </c>
      <c r="I3082" s="24">
        <f>T_reg.root.SK[[#This Row],[Volume, kg]]/1000</f>
        <v>12.12</v>
      </c>
      <c r="J3082" s="25">
        <v>0.1663</v>
      </c>
      <c r="K3082" s="25">
        <f t="shared" si="48"/>
        <v>2015.556</v>
      </c>
      <c r="L3082" s="25">
        <v>2.4</v>
      </c>
      <c r="M3082" s="24">
        <v>29106</v>
      </c>
      <c r="N3082" s="25">
        <f>IFERROR(T_reg.root.SK[[#This Row],[Price]]/T_reg.root.SK[[#This Row],[Starch content]],"")</f>
        <v>14.431749849669272</v>
      </c>
    </row>
    <row r="3083" spans="1:14">
      <c r="A3083" s="21">
        <v>2024</v>
      </c>
      <c r="B3083" s="21" t="s">
        <v>23</v>
      </c>
      <c r="C3083" s="21" t="s">
        <v>1145</v>
      </c>
      <c r="D3083" s="21" t="s">
        <v>35</v>
      </c>
      <c r="E3083" s="18" t="s">
        <v>729</v>
      </c>
      <c r="F3083" s="18" t="s">
        <v>47</v>
      </c>
      <c r="G3083" s="18" t="s">
        <v>48</v>
      </c>
      <c r="H3083" s="24">
        <v>0</v>
      </c>
      <c r="I3083" s="24">
        <f>T_reg.root.SK[[#This Row],[Volume, kg]]/1000</f>
        <v>0</v>
      </c>
      <c r="J3083" s="25">
        <v>0</v>
      </c>
      <c r="K3083" s="25">
        <f t="shared" si="48"/>
        <v>0</v>
      </c>
      <c r="L3083" s="25">
        <v>0</v>
      </c>
      <c r="M3083" s="24">
        <v>0</v>
      </c>
      <c r="N3083" s="25" t="str">
        <f>IFERROR(T_reg.root.SK[[#This Row],[Price]]/T_reg.root.SK[[#This Row],[Starch content]],"")</f>
        <v/>
      </c>
    </row>
    <row r="3084" spans="1:14">
      <c r="A3084" s="21">
        <v>2024</v>
      </c>
      <c r="B3084" s="21" t="s">
        <v>23</v>
      </c>
      <c r="C3084" s="21" t="s">
        <v>1145</v>
      </c>
      <c r="D3084" s="21" t="s">
        <v>35</v>
      </c>
      <c r="E3084" s="18" t="s">
        <v>465</v>
      </c>
      <c r="F3084" s="18" t="s">
        <v>47</v>
      </c>
      <c r="G3084" s="18" t="s">
        <v>48</v>
      </c>
      <c r="H3084" s="24">
        <v>8080</v>
      </c>
      <c r="I3084" s="24">
        <f>T_reg.root.SK[[#This Row],[Volume, kg]]/1000</f>
        <v>8.08</v>
      </c>
      <c r="J3084" s="25">
        <v>0.1565</v>
      </c>
      <c r="K3084" s="25">
        <f t="shared" si="48"/>
        <v>1264.52</v>
      </c>
      <c r="L3084" s="25">
        <v>2.35</v>
      </c>
      <c r="M3084" s="24">
        <v>18988</v>
      </c>
      <c r="N3084" s="25">
        <f>IFERROR(T_reg.root.SK[[#This Row],[Price]]/T_reg.root.SK[[#This Row],[Starch content]],"")</f>
        <v>15.015974440894569</v>
      </c>
    </row>
    <row r="3085" spans="1:14">
      <c r="A3085" s="21">
        <v>2024</v>
      </c>
      <c r="B3085" s="21" t="s">
        <v>23</v>
      </c>
      <c r="C3085" s="21" t="s">
        <v>1145</v>
      </c>
      <c r="D3085" s="21" t="s">
        <v>35</v>
      </c>
      <c r="E3085" s="18" t="s">
        <v>58</v>
      </c>
      <c r="F3085" s="18" t="s">
        <v>47</v>
      </c>
      <c r="G3085" s="18" t="s">
        <v>48</v>
      </c>
      <c r="H3085" s="24">
        <v>18530</v>
      </c>
      <c r="I3085" s="24">
        <f>T_reg.root.SK[[#This Row],[Volume, kg]]/1000</f>
        <v>18.53</v>
      </c>
      <c r="J3085" s="25">
        <v>0.17030000000000001</v>
      </c>
      <c r="K3085" s="25">
        <f t="shared" si="48"/>
        <v>3155.6590000000001</v>
      </c>
      <c r="L3085" s="25">
        <v>2.46</v>
      </c>
      <c r="M3085" s="24">
        <v>45542</v>
      </c>
      <c r="N3085" s="25">
        <f>IFERROR(T_reg.root.SK[[#This Row],[Price]]/T_reg.root.SK[[#This Row],[Starch content]],"")</f>
        <v>14.445096887844979</v>
      </c>
    </row>
    <row r="3086" spans="1:14">
      <c r="A3086" s="21">
        <v>2024</v>
      </c>
      <c r="B3086" s="21" t="s">
        <v>23</v>
      </c>
      <c r="C3086" s="21" t="s">
        <v>1145</v>
      </c>
      <c r="D3086" s="21" t="s">
        <v>35</v>
      </c>
      <c r="E3086" s="18" t="s">
        <v>337</v>
      </c>
      <c r="F3086" s="18" t="s">
        <v>47</v>
      </c>
      <c r="G3086" s="18" t="s">
        <v>48</v>
      </c>
      <c r="H3086" s="24">
        <v>6430</v>
      </c>
      <c r="I3086" s="24">
        <f>T_reg.root.SK[[#This Row],[Volume, kg]]/1000</f>
        <v>6.43</v>
      </c>
      <c r="J3086" s="25">
        <v>0.155</v>
      </c>
      <c r="K3086" s="25">
        <f t="shared" si="48"/>
        <v>996.65</v>
      </c>
      <c r="L3086" s="25">
        <v>2.35</v>
      </c>
      <c r="M3086" s="24">
        <v>15110.5</v>
      </c>
      <c r="N3086" s="25">
        <f>IFERROR(T_reg.root.SK[[#This Row],[Price]]/T_reg.root.SK[[#This Row],[Starch content]],"")</f>
        <v>15.161290322580646</v>
      </c>
    </row>
    <row r="3087" spans="1:14">
      <c r="A3087" s="21">
        <v>2024</v>
      </c>
      <c r="B3087" s="21" t="s">
        <v>23</v>
      </c>
      <c r="C3087" s="21" t="s">
        <v>1145</v>
      </c>
      <c r="D3087" s="21" t="s">
        <v>35</v>
      </c>
      <c r="E3087" s="18" t="s">
        <v>338</v>
      </c>
      <c r="F3087" s="18" t="s">
        <v>47</v>
      </c>
      <c r="G3087" s="18" t="s">
        <v>48</v>
      </c>
      <c r="H3087" s="24">
        <v>0</v>
      </c>
      <c r="I3087" s="24">
        <f>T_reg.root.SK[[#This Row],[Volume, kg]]/1000</f>
        <v>0</v>
      </c>
      <c r="J3087" s="25">
        <v>0</v>
      </c>
      <c r="K3087" s="25">
        <f t="shared" si="48"/>
        <v>0</v>
      </c>
      <c r="L3087" s="25">
        <v>0</v>
      </c>
      <c r="M3087" s="24">
        <v>0</v>
      </c>
      <c r="N3087" s="25" t="str">
        <f>IFERROR(T_reg.root.SK[[#This Row],[Price]]/T_reg.root.SK[[#This Row],[Starch content]],"")</f>
        <v/>
      </c>
    </row>
    <row r="3088" spans="1:14">
      <c r="A3088" s="21">
        <v>2024</v>
      </c>
      <c r="B3088" s="21" t="s">
        <v>23</v>
      </c>
      <c r="C3088" s="21" t="s">
        <v>1145</v>
      </c>
      <c r="D3088" s="21" t="s">
        <v>35</v>
      </c>
      <c r="E3088" s="18" t="s">
        <v>764</v>
      </c>
      <c r="F3088" s="18" t="s">
        <v>47</v>
      </c>
      <c r="G3088" s="18" t="s">
        <v>48</v>
      </c>
      <c r="H3088" s="24">
        <v>63170</v>
      </c>
      <c r="I3088" s="24">
        <f>T_reg.root.SK[[#This Row],[Volume, kg]]/1000</f>
        <v>63.17</v>
      </c>
      <c r="J3088" s="25">
        <v>0.15410000000000001</v>
      </c>
      <c r="K3088" s="25">
        <f t="shared" si="48"/>
        <v>9734.4970000000012</v>
      </c>
      <c r="L3088" s="25">
        <v>2.36</v>
      </c>
      <c r="M3088" s="24">
        <v>148917.5</v>
      </c>
      <c r="N3088" s="25">
        <f>IFERROR(T_reg.root.SK[[#This Row],[Price]]/T_reg.root.SK[[#This Row],[Starch content]],"")</f>
        <v>15.314730694354314</v>
      </c>
    </row>
    <row r="3089" spans="1:14">
      <c r="A3089" s="21">
        <v>2024</v>
      </c>
      <c r="B3089" s="21" t="s">
        <v>23</v>
      </c>
      <c r="C3089" s="21" t="s">
        <v>1145</v>
      </c>
      <c r="D3089" s="21" t="s">
        <v>35</v>
      </c>
      <c r="E3089" s="18" t="s">
        <v>468</v>
      </c>
      <c r="F3089" s="18" t="s">
        <v>47</v>
      </c>
      <c r="G3089" s="18" t="s">
        <v>48</v>
      </c>
      <c r="H3089" s="24">
        <v>39620</v>
      </c>
      <c r="I3089" s="24">
        <f>T_reg.root.SK[[#This Row],[Volume, kg]]/1000</f>
        <v>39.619999999999997</v>
      </c>
      <c r="J3089" s="25">
        <v>0.1489</v>
      </c>
      <c r="K3089" s="25">
        <f t="shared" si="48"/>
        <v>5899.4180000000006</v>
      </c>
      <c r="L3089" s="25">
        <v>2.31</v>
      </c>
      <c r="M3089" s="24">
        <v>91520</v>
      </c>
      <c r="N3089" s="25">
        <f>IFERROR(T_reg.root.SK[[#This Row],[Price]]/T_reg.root.SK[[#This Row],[Starch content]],"")</f>
        <v>15.513767629281396</v>
      </c>
    </row>
    <row r="3090" spans="1:14">
      <c r="A3090" s="21">
        <v>2024</v>
      </c>
      <c r="B3090" s="21" t="s">
        <v>23</v>
      </c>
      <c r="C3090" s="21" t="s">
        <v>1145</v>
      </c>
      <c r="D3090" s="21" t="s">
        <v>35</v>
      </c>
      <c r="E3090" s="18" t="s">
        <v>692</v>
      </c>
      <c r="F3090" s="18" t="s">
        <v>47</v>
      </c>
      <c r="G3090" s="18" t="s">
        <v>48</v>
      </c>
      <c r="H3090" s="24">
        <v>7530</v>
      </c>
      <c r="I3090" s="24">
        <f>T_reg.root.SK[[#This Row],[Volume, kg]]/1000</f>
        <v>7.53</v>
      </c>
      <c r="J3090" s="25">
        <v>0.19149999999999998</v>
      </c>
      <c r="K3090" s="25">
        <f t="shared" si="48"/>
        <v>1441.9949999999999</v>
      </c>
      <c r="L3090" s="25">
        <v>2.5499999999999998</v>
      </c>
      <c r="M3090" s="24">
        <v>19201.5</v>
      </c>
      <c r="N3090" s="25">
        <f>IFERROR(T_reg.root.SK[[#This Row],[Price]]/T_reg.root.SK[[#This Row],[Starch content]],"")</f>
        <v>13.315926892950392</v>
      </c>
    </row>
    <row r="3091" spans="1:14">
      <c r="A3091" s="21">
        <v>2024</v>
      </c>
      <c r="B3091" s="21" t="s">
        <v>23</v>
      </c>
      <c r="C3091" s="21" t="s">
        <v>1145</v>
      </c>
      <c r="D3091" s="21" t="s">
        <v>35</v>
      </c>
      <c r="E3091" s="18" t="s">
        <v>676</v>
      </c>
      <c r="F3091" s="18" t="s">
        <v>47</v>
      </c>
      <c r="G3091" s="18" t="s">
        <v>48</v>
      </c>
      <c r="H3091" s="24">
        <v>9620</v>
      </c>
      <c r="I3091" s="24">
        <f>T_reg.root.SK[[#This Row],[Volume, kg]]/1000</f>
        <v>9.6199999999999992</v>
      </c>
      <c r="J3091" s="25">
        <v>0.23199999999999998</v>
      </c>
      <c r="K3091" s="25">
        <f t="shared" si="48"/>
        <v>2231.8399999999997</v>
      </c>
      <c r="L3091" s="25">
        <v>2.7</v>
      </c>
      <c r="M3091" s="24">
        <v>25974</v>
      </c>
      <c r="N3091" s="25">
        <f>IFERROR(T_reg.root.SK[[#This Row],[Price]]/T_reg.root.SK[[#This Row],[Starch content]],"")</f>
        <v>11.63793103448276</v>
      </c>
    </row>
    <row r="3092" spans="1:14">
      <c r="A3092" s="21">
        <v>2024</v>
      </c>
      <c r="B3092" s="21" t="s">
        <v>23</v>
      </c>
      <c r="C3092" s="21" t="s">
        <v>1145</v>
      </c>
      <c r="D3092" s="21" t="s">
        <v>35</v>
      </c>
      <c r="E3092" s="18" t="s">
        <v>660</v>
      </c>
      <c r="F3092" s="18" t="s">
        <v>47</v>
      </c>
      <c r="G3092" s="18" t="s">
        <v>48</v>
      </c>
      <c r="H3092" s="24">
        <v>5930</v>
      </c>
      <c r="I3092" s="24">
        <f>T_reg.root.SK[[#This Row],[Volume, kg]]/1000</f>
        <v>5.93</v>
      </c>
      <c r="J3092" s="25">
        <v>0.192</v>
      </c>
      <c r="K3092" s="25">
        <f t="shared" si="48"/>
        <v>1138.56</v>
      </c>
      <c r="L3092" s="25">
        <v>2.5</v>
      </c>
      <c r="M3092" s="24">
        <v>14825</v>
      </c>
      <c r="N3092" s="25">
        <f>IFERROR(T_reg.root.SK[[#This Row],[Price]]/T_reg.root.SK[[#This Row],[Starch content]],"")</f>
        <v>13.020833333333334</v>
      </c>
    </row>
    <row r="3093" spans="1:14">
      <c r="A3093" s="21">
        <v>2024</v>
      </c>
      <c r="B3093" s="21" t="s">
        <v>23</v>
      </c>
      <c r="C3093" s="21" t="s">
        <v>1145</v>
      </c>
      <c r="D3093" s="21" t="s">
        <v>35</v>
      </c>
      <c r="E3093" s="18" t="s">
        <v>66</v>
      </c>
      <c r="F3093" s="18" t="s">
        <v>47</v>
      </c>
      <c r="G3093" s="18" t="s">
        <v>48</v>
      </c>
      <c r="H3093" s="24">
        <v>71300</v>
      </c>
      <c r="I3093" s="24">
        <f>T_reg.root.SK[[#This Row],[Volume, kg]]/1000</f>
        <v>71.3</v>
      </c>
      <c r="J3093" s="25">
        <v>0.16039999999999999</v>
      </c>
      <c r="K3093" s="25">
        <f t="shared" si="48"/>
        <v>11436.519999999999</v>
      </c>
      <c r="L3093" s="25">
        <v>2.4</v>
      </c>
      <c r="M3093" s="24">
        <v>171444</v>
      </c>
      <c r="N3093" s="25">
        <f>IFERROR(T_reg.root.SK[[#This Row],[Price]]/T_reg.root.SK[[#This Row],[Starch content]],"")</f>
        <v>14.962593516209477</v>
      </c>
    </row>
    <row r="3094" spans="1:14">
      <c r="A3094" s="21">
        <v>2024</v>
      </c>
      <c r="B3094" s="21" t="s">
        <v>23</v>
      </c>
      <c r="C3094" s="21" t="s">
        <v>1145</v>
      </c>
      <c r="D3094" s="21" t="s">
        <v>35</v>
      </c>
      <c r="E3094" s="18" t="s">
        <v>380</v>
      </c>
      <c r="F3094" s="18" t="s">
        <v>47</v>
      </c>
      <c r="G3094" s="18" t="s">
        <v>48</v>
      </c>
      <c r="H3094" s="24">
        <v>32090</v>
      </c>
      <c r="I3094" s="24">
        <f>T_reg.root.SK[[#This Row],[Volume, kg]]/1000</f>
        <v>32.090000000000003</v>
      </c>
      <c r="J3094" s="25">
        <v>0.16870000000000002</v>
      </c>
      <c r="K3094" s="25">
        <f t="shared" si="48"/>
        <v>5413.5830000000005</v>
      </c>
      <c r="L3094" s="25">
        <v>2.42</v>
      </c>
      <c r="M3094" s="24">
        <v>77777.5</v>
      </c>
      <c r="N3094" s="25">
        <f>IFERROR(T_reg.root.SK[[#This Row],[Price]]/T_reg.root.SK[[#This Row],[Starch content]],"")</f>
        <v>14.344991108476584</v>
      </c>
    </row>
    <row r="3095" spans="1:14">
      <c r="A3095" s="21">
        <v>2024</v>
      </c>
      <c r="B3095" s="21" t="s">
        <v>23</v>
      </c>
      <c r="C3095" s="21" t="s">
        <v>1145</v>
      </c>
      <c r="D3095" s="21" t="s">
        <v>35</v>
      </c>
      <c r="E3095" s="18" t="s">
        <v>341</v>
      </c>
      <c r="F3095" s="18" t="s">
        <v>47</v>
      </c>
      <c r="G3095" s="18" t="s">
        <v>48</v>
      </c>
      <c r="H3095" s="24">
        <v>25610</v>
      </c>
      <c r="I3095" s="24">
        <f>T_reg.root.SK[[#This Row],[Volume, kg]]/1000</f>
        <v>25.61</v>
      </c>
      <c r="J3095" s="25">
        <v>0.18289999999999998</v>
      </c>
      <c r="K3095" s="25">
        <f t="shared" si="48"/>
        <v>4684.0689999999995</v>
      </c>
      <c r="L3095" s="25">
        <v>2.46</v>
      </c>
      <c r="M3095" s="24">
        <v>63121.5</v>
      </c>
      <c r="N3095" s="25">
        <f>IFERROR(T_reg.root.SK[[#This Row],[Price]]/T_reg.root.SK[[#This Row],[Starch content]],"")</f>
        <v>13.44997266265719</v>
      </c>
    </row>
    <row r="3096" spans="1:14">
      <c r="A3096" s="21">
        <v>2024</v>
      </c>
      <c r="B3096" s="21" t="s">
        <v>23</v>
      </c>
      <c r="C3096" s="21" t="s">
        <v>1145</v>
      </c>
      <c r="D3096" s="21" t="s">
        <v>35</v>
      </c>
      <c r="E3096" s="18" t="s">
        <v>470</v>
      </c>
      <c r="F3096" s="18" t="s">
        <v>47</v>
      </c>
      <c r="G3096" s="18" t="s">
        <v>48</v>
      </c>
      <c r="H3096" s="24">
        <v>48140</v>
      </c>
      <c r="I3096" s="24">
        <f>T_reg.root.SK[[#This Row],[Volume, kg]]/1000</f>
        <v>48.14</v>
      </c>
      <c r="J3096" s="25">
        <v>0.1953</v>
      </c>
      <c r="K3096" s="25">
        <f t="shared" si="48"/>
        <v>9401.7420000000002</v>
      </c>
      <c r="L3096" s="25">
        <v>2.56</v>
      </c>
      <c r="M3096" s="24">
        <v>123188.5</v>
      </c>
      <c r="N3096" s="25">
        <f>IFERROR(T_reg.root.SK[[#This Row],[Price]]/T_reg.root.SK[[#This Row],[Starch content]],"")</f>
        <v>13.108038914490528</v>
      </c>
    </row>
    <row r="3097" spans="1:14">
      <c r="A3097" s="21">
        <v>2024</v>
      </c>
      <c r="B3097" s="21" t="s">
        <v>23</v>
      </c>
      <c r="C3097" s="21" t="s">
        <v>1145</v>
      </c>
      <c r="D3097" s="21" t="s">
        <v>35</v>
      </c>
      <c r="E3097" s="18" t="s">
        <v>69</v>
      </c>
      <c r="F3097" s="18" t="s">
        <v>47</v>
      </c>
      <c r="G3097" s="18" t="s">
        <v>48</v>
      </c>
      <c r="H3097" s="24">
        <v>6040</v>
      </c>
      <c r="I3097" s="24">
        <f>T_reg.root.SK[[#This Row],[Volume, kg]]/1000</f>
        <v>6.04</v>
      </c>
      <c r="J3097" s="25">
        <v>0.1865</v>
      </c>
      <c r="K3097" s="25">
        <f t="shared" si="48"/>
        <v>1126.46</v>
      </c>
      <c r="L3097" s="25">
        <v>2.5499999999999998</v>
      </c>
      <c r="M3097" s="24">
        <v>15402</v>
      </c>
      <c r="N3097" s="25">
        <f>IFERROR(T_reg.root.SK[[#This Row],[Price]]/T_reg.root.SK[[#This Row],[Starch content]],"")</f>
        <v>13.672922252010723</v>
      </c>
    </row>
    <row r="3098" spans="1:14">
      <c r="A3098" s="21">
        <v>2024</v>
      </c>
      <c r="B3098" s="21" t="s">
        <v>23</v>
      </c>
      <c r="C3098" s="21" t="s">
        <v>1145</v>
      </c>
      <c r="D3098" s="21" t="s">
        <v>35</v>
      </c>
      <c r="E3098" s="18" t="s">
        <v>549</v>
      </c>
      <c r="F3098" s="18" t="s">
        <v>47</v>
      </c>
      <c r="G3098" s="18" t="s">
        <v>48</v>
      </c>
      <c r="H3098" s="24">
        <v>12060</v>
      </c>
      <c r="I3098" s="24">
        <f>T_reg.root.SK[[#This Row],[Volume, kg]]/1000</f>
        <v>12.06</v>
      </c>
      <c r="J3098" s="25">
        <v>0.18440000000000001</v>
      </c>
      <c r="K3098" s="25">
        <f t="shared" si="48"/>
        <v>2223.864</v>
      </c>
      <c r="L3098" s="25">
        <v>2.4900000000000002</v>
      </c>
      <c r="M3098" s="24">
        <v>29971</v>
      </c>
      <c r="N3098" s="25">
        <f>IFERROR(T_reg.root.SK[[#This Row],[Price]]/T_reg.root.SK[[#This Row],[Starch content]],"")</f>
        <v>13.503253796095445</v>
      </c>
    </row>
    <row r="3099" spans="1:14">
      <c r="A3099" s="21">
        <v>2024</v>
      </c>
      <c r="B3099" s="21" t="s">
        <v>23</v>
      </c>
      <c r="C3099" s="21" t="s">
        <v>1145</v>
      </c>
      <c r="D3099" s="21" t="s">
        <v>35</v>
      </c>
      <c r="E3099" s="18" t="s">
        <v>72</v>
      </c>
      <c r="F3099" s="18" t="s">
        <v>47</v>
      </c>
      <c r="G3099" s="18" t="s">
        <v>48</v>
      </c>
      <c r="H3099" s="24">
        <v>17260</v>
      </c>
      <c r="I3099" s="24">
        <f>T_reg.root.SK[[#This Row],[Volume, kg]]/1000</f>
        <v>17.260000000000002</v>
      </c>
      <c r="J3099" s="25">
        <v>0.1618</v>
      </c>
      <c r="K3099" s="25">
        <f t="shared" si="48"/>
        <v>2792.6680000000001</v>
      </c>
      <c r="L3099" s="25">
        <v>2.4</v>
      </c>
      <c r="M3099" s="24">
        <v>41373</v>
      </c>
      <c r="N3099" s="25">
        <f>IFERROR(T_reg.root.SK[[#This Row],[Price]]/T_reg.root.SK[[#This Row],[Starch content]],"")</f>
        <v>14.833127317676142</v>
      </c>
    </row>
    <row r="3100" spans="1:14">
      <c r="A3100" s="21">
        <v>2024</v>
      </c>
      <c r="B3100" s="21" t="s">
        <v>23</v>
      </c>
      <c r="C3100" s="21" t="s">
        <v>1145</v>
      </c>
      <c r="D3100" s="21" t="s">
        <v>35</v>
      </c>
      <c r="E3100" s="18" t="s">
        <v>472</v>
      </c>
      <c r="F3100" s="18" t="s">
        <v>47</v>
      </c>
      <c r="G3100" s="18" t="s">
        <v>48</v>
      </c>
      <c r="H3100" s="24">
        <v>39160</v>
      </c>
      <c r="I3100" s="24">
        <f>T_reg.root.SK[[#This Row],[Volume, kg]]/1000</f>
        <v>39.159999999999997</v>
      </c>
      <c r="J3100" s="25">
        <v>0.19089999999999999</v>
      </c>
      <c r="K3100" s="25">
        <f t="shared" si="48"/>
        <v>7475.6439999999993</v>
      </c>
      <c r="L3100" s="25">
        <v>2.5099999999999998</v>
      </c>
      <c r="M3100" s="24">
        <v>98194.5</v>
      </c>
      <c r="N3100" s="25">
        <f>IFERROR(T_reg.root.SK[[#This Row],[Price]]/T_reg.root.SK[[#This Row],[Starch content]],"")</f>
        <v>13.148245154531168</v>
      </c>
    </row>
    <row r="3101" spans="1:14">
      <c r="A3101" s="21">
        <v>2024</v>
      </c>
      <c r="B3101" s="21" t="s">
        <v>23</v>
      </c>
      <c r="C3101" s="21" t="s">
        <v>1145</v>
      </c>
      <c r="D3101" s="21" t="s">
        <v>35</v>
      </c>
      <c r="E3101" s="18" t="s">
        <v>73</v>
      </c>
      <c r="F3101" s="18" t="s">
        <v>47</v>
      </c>
      <c r="G3101" s="18" t="s">
        <v>48</v>
      </c>
      <c r="H3101" s="24">
        <v>24980</v>
      </c>
      <c r="I3101" s="24">
        <f>T_reg.root.SK[[#This Row],[Volume, kg]]/1000</f>
        <v>24.98</v>
      </c>
      <c r="J3101" s="25">
        <v>0.1857</v>
      </c>
      <c r="K3101" s="25">
        <f t="shared" si="48"/>
        <v>4638.7860000000001</v>
      </c>
      <c r="L3101" s="25">
        <v>2.5099999999999998</v>
      </c>
      <c r="M3101" s="24">
        <v>62673</v>
      </c>
      <c r="N3101" s="25">
        <f>IFERROR(T_reg.root.SK[[#This Row],[Price]]/T_reg.root.SK[[#This Row],[Starch content]],"")</f>
        <v>13.51642434033387</v>
      </c>
    </row>
    <row r="3102" spans="1:14">
      <c r="A3102" s="21">
        <v>2024</v>
      </c>
      <c r="B3102" s="21" t="s">
        <v>23</v>
      </c>
      <c r="C3102" s="21" t="s">
        <v>1145</v>
      </c>
      <c r="D3102" s="21" t="s">
        <v>35</v>
      </c>
      <c r="E3102" s="18" t="s">
        <v>76</v>
      </c>
      <c r="F3102" s="18" t="s">
        <v>47</v>
      </c>
      <c r="G3102" s="18" t="s">
        <v>48</v>
      </c>
      <c r="H3102" s="24">
        <v>20200</v>
      </c>
      <c r="I3102" s="24">
        <f>T_reg.root.SK[[#This Row],[Volume, kg]]/1000</f>
        <v>20.2</v>
      </c>
      <c r="J3102" s="25">
        <v>0.16760000000000003</v>
      </c>
      <c r="K3102" s="25">
        <f t="shared" si="48"/>
        <v>3385.5200000000004</v>
      </c>
      <c r="L3102" s="25">
        <v>2.44</v>
      </c>
      <c r="M3102" s="24">
        <v>49268</v>
      </c>
      <c r="N3102" s="25">
        <f>IFERROR(T_reg.root.SK[[#This Row],[Price]]/T_reg.root.SK[[#This Row],[Starch content]],"")</f>
        <v>14.558472553699282</v>
      </c>
    </row>
    <row r="3103" spans="1:14">
      <c r="A3103" s="21">
        <v>2024</v>
      </c>
      <c r="B3103" s="21" t="s">
        <v>23</v>
      </c>
      <c r="C3103" s="21" t="s">
        <v>1145</v>
      </c>
      <c r="D3103" s="21" t="s">
        <v>35</v>
      </c>
      <c r="E3103" s="18" t="s">
        <v>765</v>
      </c>
      <c r="F3103" s="18" t="s">
        <v>47</v>
      </c>
      <c r="G3103" s="18" t="s">
        <v>48</v>
      </c>
      <c r="H3103" s="24">
        <v>9930</v>
      </c>
      <c r="I3103" s="24">
        <f>T_reg.root.SK[[#This Row],[Volume, kg]]/1000</f>
        <v>9.93</v>
      </c>
      <c r="J3103" s="25">
        <v>0.22550000000000001</v>
      </c>
      <c r="K3103" s="25">
        <f t="shared" si="48"/>
        <v>2239.2150000000001</v>
      </c>
      <c r="L3103" s="25">
        <v>2.7</v>
      </c>
      <c r="M3103" s="24">
        <v>26811</v>
      </c>
      <c r="N3103" s="25">
        <f>IFERROR(T_reg.root.SK[[#This Row],[Price]]/T_reg.root.SK[[#This Row],[Starch content]],"")</f>
        <v>11.97339246119734</v>
      </c>
    </row>
    <row r="3104" spans="1:14">
      <c r="A3104" s="21">
        <v>2024</v>
      </c>
      <c r="B3104" s="21" t="s">
        <v>23</v>
      </c>
      <c r="C3104" s="21" t="s">
        <v>1145</v>
      </c>
      <c r="D3104" s="21" t="s">
        <v>35</v>
      </c>
      <c r="E3104" s="18" t="s">
        <v>475</v>
      </c>
      <c r="F3104" s="18" t="s">
        <v>47</v>
      </c>
      <c r="G3104" s="18" t="s">
        <v>48</v>
      </c>
      <c r="H3104" s="24">
        <v>24520</v>
      </c>
      <c r="I3104" s="24">
        <f>T_reg.root.SK[[#This Row],[Volume, kg]]/1000</f>
        <v>24.52</v>
      </c>
      <c r="J3104" s="25">
        <v>0.16420000000000001</v>
      </c>
      <c r="K3104" s="25">
        <f t="shared" si="48"/>
        <v>4026.1840000000002</v>
      </c>
      <c r="L3104" s="25">
        <v>2.37</v>
      </c>
      <c r="M3104" s="24">
        <v>58148</v>
      </c>
      <c r="N3104" s="25">
        <f>IFERROR(T_reg.root.SK[[#This Row],[Price]]/T_reg.root.SK[[#This Row],[Starch content]],"")</f>
        <v>14.433617539585871</v>
      </c>
    </row>
    <row r="3105" spans="1:14">
      <c r="A3105" s="21">
        <v>2024</v>
      </c>
      <c r="B3105" s="21" t="s">
        <v>23</v>
      </c>
      <c r="C3105" s="21" t="s">
        <v>1145</v>
      </c>
      <c r="D3105" s="21" t="s">
        <v>35</v>
      </c>
      <c r="E3105" s="18" t="s">
        <v>77</v>
      </c>
      <c r="F3105" s="18" t="s">
        <v>47</v>
      </c>
      <c r="G3105" s="18" t="s">
        <v>48</v>
      </c>
      <c r="H3105" s="24">
        <v>75860</v>
      </c>
      <c r="I3105" s="24">
        <f>T_reg.root.SK[[#This Row],[Volume, kg]]/1000</f>
        <v>75.86</v>
      </c>
      <c r="J3105" s="25">
        <v>0.19640000000000002</v>
      </c>
      <c r="K3105" s="25">
        <f t="shared" si="48"/>
        <v>14898.904000000002</v>
      </c>
      <c r="L3105" s="25">
        <v>2.5499999999999998</v>
      </c>
      <c r="M3105" s="24">
        <v>193245.5</v>
      </c>
      <c r="N3105" s="25">
        <f>IFERROR(T_reg.root.SK[[#This Row],[Price]]/T_reg.root.SK[[#This Row],[Starch content]],"")</f>
        <v>12.983706720977594</v>
      </c>
    </row>
    <row r="3106" spans="1:14">
      <c r="A3106" s="21">
        <v>2024</v>
      </c>
      <c r="B3106" s="21" t="s">
        <v>23</v>
      </c>
      <c r="C3106" s="21" t="s">
        <v>1145</v>
      </c>
      <c r="D3106" s="21" t="s">
        <v>35</v>
      </c>
      <c r="E3106" s="18" t="s">
        <v>476</v>
      </c>
      <c r="F3106" s="18" t="s">
        <v>47</v>
      </c>
      <c r="G3106" s="18" t="s">
        <v>48</v>
      </c>
      <c r="H3106" s="24">
        <v>2720</v>
      </c>
      <c r="I3106" s="24">
        <f>T_reg.root.SK[[#This Row],[Volume, kg]]/1000</f>
        <v>2.72</v>
      </c>
      <c r="J3106" s="25">
        <v>0.18049999999999999</v>
      </c>
      <c r="K3106" s="25">
        <f t="shared" si="48"/>
        <v>490.96</v>
      </c>
      <c r="L3106" s="25">
        <v>2.4500000000000002</v>
      </c>
      <c r="M3106" s="24">
        <v>6664</v>
      </c>
      <c r="N3106" s="25">
        <f>IFERROR(T_reg.root.SK[[#This Row],[Price]]/T_reg.root.SK[[#This Row],[Starch content]],"")</f>
        <v>13.573407202216067</v>
      </c>
    </row>
    <row r="3107" spans="1:14">
      <c r="A3107" s="21">
        <v>2024</v>
      </c>
      <c r="B3107" s="21" t="s">
        <v>23</v>
      </c>
      <c r="C3107" s="21" t="s">
        <v>1145</v>
      </c>
      <c r="D3107" s="21" t="s">
        <v>35</v>
      </c>
      <c r="E3107" s="18" t="s">
        <v>694</v>
      </c>
      <c r="F3107" s="18" t="s">
        <v>47</v>
      </c>
      <c r="G3107" s="18" t="s">
        <v>48</v>
      </c>
      <c r="H3107" s="24">
        <v>10580</v>
      </c>
      <c r="I3107" s="24">
        <f>T_reg.root.SK[[#This Row],[Volume, kg]]/1000</f>
        <v>10.58</v>
      </c>
      <c r="J3107" s="25">
        <v>0.2535</v>
      </c>
      <c r="K3107" s="25">
        <f t="shared" si="48"/>
        <v>2682.03</v>
      </c>
      <c r="L3107" s="25">
        <v>2.85</v>
      </c>
      <c r="M3107" s="24">
        <v>30153</v>
      </c>
      <c r="N3107" s="25">
        <f>IFERROR(T_reg.root.SK[[#This Row],[Price]]/T_reg.root.SK[[#This Row],[Starch content]],"")</f>
        <v>11.242603550295858</v>
      </c>
    </row>
    <row r="3108" spans="1:14">
      <c r="A3108" s="21">
        <v>2024</v>
      </c>
      <c r="B3108" s="21" t="s">
        <v>23</v>
      </c>
      <c r="C3108" s="21" t="s">
        <v>1145</v>
      </c>
      <c r="D3108" s="21" t="s">
        <v>35</v>
      </c>
      <c r="E3108" s="18" t="s">
        <v>383</v>
      </c>
      <c r="F3108" s="18" t="s">
        <v>47</v>
      </c>
      <c r="G3108" s="18" t="s">
        <v>48</v>
      </c>
      <c r="H3108" s="24">
        <v>57650</v>
      </c>
      <c r="I3108" s="24">
        <f>T_reg.root.SK[[#This Row],[Volume, kg]]/1000</f>
        <v>57.65</v>
      </c>
      <c r="J3108" s="25">
        <v>0.17780000000000001</v>
      </c>
      <c r="K3108" s="25">
        <f t="shared" si="48"/>
        <v>10250.17</v>
      </c>
      <c r="L3108" s="25">
        <v>2.4500000000000002</v>
      </c>
      <c r="M3108" s="24">
        <v>141073</v>
      </c>
      <c r="N3108" s="25">
        <f>IFERROR(T_reg.root.SK[[#This Row],[Price]]/T_reg.root.SK[[#This Row],[Starch content]],"")</f>
        <v>13.779527559055119</v>
      </c>
    </row>
    <row r="3109" spans="1:14">
      <c r="A3109" s="21">
        <v>2024</v>
      </c>
      <c r="B3109" s="21" t="s">
        <v>23</v>
      </c>
      <c r="C3109" s="21" t="s">
        <v>1145</v>
      </c>
      <c r="D3109" s="21" t="s">
        <v>35</v>
      </c>
      <c r="E3109" s="18" t="s">
        <v>477</v>
      </c>
      <c r="F3109" s="18" t="s">
        <v>83</v>
      </c>
      <c r="G3109" s="18" t="s">
        <v>48</v>
      </c>
      <c r="H3109" s="24">
        <v>8830</v>
      </c>
      <c r="I3109" s="24">
        <f>T_reg.root.SK[[#This Row],[Volume, kg]]/1000</f>
        <v>8.83</v>
      </c>
      <c r="J3109" s="25">
        <v>0.14699999999999999</v>
      </c>
      <c r="K3109" s="25">
        <f t="shared" si="48"/>
        <v>1298.01</v>
      </c>
      <c r="L3109" s="25">
        <v>2.35</v>
      </c>
      <c r="M3109" s="24">
        <v>20750.5</v>
      </c>
      <c r="N3109" s="25">
        <f>IFERROR(T_reg.root.SK[[#This Row],[Price]]/T_reg.root.SK[[#This Row],[Starch content]],"")</f>
        <v>15.986394557823131</v>
      </c>
    </row>
    <row r="3110" spans="1:14">
      <c r="A3110" s="21">
        <v>2024</v>
      </c>
      <c r="B3110" s="21" t="s">
        <v>23</v>
      </c>
      <c r="C3110" s="21" t="s">
        <v>1145</v>
      </c>
      <c r="D3110" s="21" t="s">
        <v>39</v>
      </c>
      <c r="E3110" s="18" t="s">
        <v>85</v>
      </c>
      <c r="F3110" s="18" t="s">
        <v>86</v>
      </c>
      <c r="G3110" s="18" t="s">
        <v>87</v>
      </c>
      <c r="H3110" s="24">
        <v>5769220</v>
      </c>
      <c r="I3110" s="24">
        <f>T_reg.root.SK[[#This Row],[Volume, kg]]/1000</f>
        <v>5769.22</v>
      </c>
      <c r="J3110" s="25">
        <v>0.16420000000000001</v>
      </c>
      <c r="K3110" s="25">
        <f t="shared" si="48"/>
        <v>947305.92400000012</v>
      </c>
      <c r="L3110" s="25">
        <v>2.38</v>
      </c>
      <c r="M3110" s="24">
        <v>13704506.5</v>
      </c>
      <c r="N3110" s="25">
        <f>IFERROR(T_reg.root.SK[[#This Row],[Price]]/T_reg.root.SK[[#This Row],[Starch content]],"")</f>
        <v>14.494518879415345</v>
      </c>
    </row>
    <row r="3111" spans="1:14">
      <c r="A3111" s="21">
        <v>2024</v>
      </c>
      <c r="B3111" s="21" t="s">
        <v>23</v>
      </c>
      <c r="C3111" s="21" t="s">
        <v>1145</v>
      </c>
      <c r="D3111" s="21" t="s">
        <v>39</v>
      </c>
      <c r="E3111" s="18" t="s">
        <v>88</v>
      </c>
      <c r="F3111" s="18" t="s">
        <v>89</v>
      </c>
      <c r="G3111" s="18" t="s">
        <v>90</v>
      </c>
      <c r="H3111" s="24">
        <v>3309080</v>
      </c>
      <c r="I3111" s="24">
        <f>T_reg.root.SK[[#This Row],[Volume, kg]]/1000</f>
        <v>3309.08</v>
      </c>
      <c r="J3111" s="25">
        <v>0.1585</v>
      </c>
      <c r="K3111" s="25">
        <f t="shared" si="48"/>
        <v>524489.18000000005</v>
      </c>
      <c r="L3111" s="25">
        <v>2.34</v>
      </c>
      <c r="M3111" s="24">
        <v>7739093</v>
      </c>
      <c r="N3111" s="25">
        <f>IFERROR(T_reg.root.SK[[#This Row],[Price]]/T_reg.root.SK[[#This Row],[Starch content]],"")</f>
        <v>14.76340694006309</v>
      </c>
    </row>
    <row r="3112" spans="1:14">
      <c r="A3112" s="21">
        <v>2024</v>
      </c>
      <c r="B3112" s="21" t="s">
        <v>23</v>
      </c>
      <c r="C3112" s="21" t="s">
        <v>1145</v>
      </c>
      <c r="D3112" s="21" t="s">
        <v>35</v>
      </c>
      <c r="E3112" s="18" t="s">
        <v>748</v>
      </c>
      <c r="F3112" s="18" t="s">
        <v>89</v>
      </c>
      <c r="G3112" s="18" t="s">
        <v>90</v>
      </c>
      <c r="H3112" s="24">
        <v>174530</v>
      </c>
      <c r="I3112" s="24">
        <f>T_reg.root.SK[[#This Row],[Volume, kg]]/1000</f>
        <v>174.53</v>
      </c>
      <c r="J3112" s="25">
        <v>0.1734</v>
      </c>
      <c r="K3112" s="25">
        <f t="shared" si="48"/>
        <v>30263.502</v>
      </c>
      <c r="L3112" s="25">
        <v>2.5</v>
      </c>
      <c r="M3112" s="24">
        <v>436838</v>
      </c>
      <c r="N3112" s="25">
        <f>IFERROR(T_reg.root.SK[[#This Row],[Price]]/T_reg.root.SK[[#This Row],[Starch content]],"")</f>
        <v>14.417531718569782</v>
      </c>
    </row>
    <row r="3113" spans="1:14">
      <c r="A3113" s="21">
        <v>2024</v>
      </c>
      <c r="B3113" s="21" t="s">
        <v>23</v>
      </c>
      <c r="C3113" s="21" t="s">
        <v>1145</v>
      </c>
      <c r="D3113" s="21" t="s">
        <v>35</v>
      </c>
      <c r="E3113" s="18" t="s">
        <v>749</v>
      </c>
      <c r="F3113" s="18" t="s">
        <v>92</v>
      </c>
      <c r="G3113" s="18" t="s">
        <v>48</v>
      </c>
      <c r="H3113" s="24">
        <v>16660</v>
      </c>
      <c r="I3113" s="24">
        <f>T_reg.root.SK[[#This Row],[Volume, kg]]/1000</f>
        <v>16.66</v>
      </c>
      <c r="J3113" s="25">
        <v>0.16059999999999999</v>
      </c>
      <c r="K3113" s="25">
        <f t="shared" si="48"/>
        <v>2675.596</v>
      </c>
      <c r="L3113" s="25">
        <v>2.36</v>
      </c>
      <c r="M3113" s="24">
        <v>39392</v>
      </c>
      <c r="N3113" s="25">
        <f>IFERROR(T_reg.root.SK[[#This Row],[Price]]/T_reg.root.SK[[#This Row],[Starch content]],"")</f>
        <v>14.694894146948942</v>
      </c>
    </row>
    <row r="3114" spans="1:14">
      <c r="A3114" s="21">
        <v>2024</v>
      </c>
      <c r="B3114" s="21" t="s">
        <v>23</v>
      </c>
      <c r="C3114" s="21" t="s">
        <v>1145</v>
      </c>
      <c r="D3114" s="21" t="s">
        <v>35</v>
      </c>
      <c r="E3114" s="18" t="s">
        <v>229</v>
      </c>
      <c r="F3114" s="18" t="s">
        <v>92</v>
      </c>
      <c r="G3114" s="18" t="s">
        <v>48</v>
      </c>
      <c r="H3114" s="24">
        <v>17880</v>
      </c>
      <c r="I3114" s="24">
        <f>T_reg.root.SK[[#This Row],[Volume, kg]]/1000</f>
        <v>17.88</v>
      </c>
      <c r="J3114" s="25">
        <v>0.17649999999999999</v>
      </c>
      <c r="K3114" s="25">
        <f t="shared" si="48"/>
        <v>3155.8199999999997</v>
      </c>
      <c r="L3114" s="25">
        <v>2.4700000000000002</v>
      </c>
      <c r="M3114" s="24">
        <v>44085</v>
      </c>
      <c r="N3114" s="25">
        <f>IFERROR(T_reg.root.SK[[#This Row],[Price]]/T_reg.root.SK[[#This Row],[Starch content]],"")</f>
        <v>13.994334277620398</v>
      </c>
    </row>
    <row r="3115" spans="1:14">
      <c r="A3115" s="21">
        <v>2024</v>
      </c>
      <c r="B3115" s="21" t="s">
        <v>23</v>
      </c>
      <c r="C3115" s="21" t="s">
        <v>1145</v>
      </c>
      <c r="D3115" s="21" t="s">
        <v>35</v>
      </c>
      <c r="E3115" s="18" t="s">
        <v>390</v>
      </c>
      <c r="F3115" s="18" t="s">
        <v>92</v>
      </c>
      <c r="G3115" s="18" t="s">
        <v>48</v>
      </c>
      <c r="H3115" s="24">
        <v>60550</v>
      </c>
      <c r="I3115" s="24">
        <f>T_reg.root.SK[[#This Row],[Volume, kg]]/1000</f>
        <v>60.55</v>
      </c>
      <c r="J3115" s="25">
        <v>0.1953</v>
      </c>
      <c r="K3115" s="25">
        <f t="shared" si="48"/>
        <v>11825.415000000001</v>
      </c>
      <c r="L3115" s="25">
        <v>2.58</v>
      </c>
      <c r="M3115" s="24">
        <v>156055</v>
      </c>
      <c r="N3115" s="25">
        <f>IFERROR(T_reg.root.SK[[#This Row],[Price]]/T_reg.root.SK[[#This Row],[Starch content]],"")</f>
        <v>13.210445468509985</v>
      </c>
    </row>
    <row r="3116" spans="1:14">
      <c r="A3116" s="21">
        <v>2024</v>
      </c>
      <c r="B3116" s="21" t="s">
        <v>23</v>
      </c>
      <c r="C3116" s="21" t="s">
        <v>1145</v>
      </c>
      <c r="D3116" s="21" t="s">
        <v>35</v>
      </c>
      <c r="E3116" s="18" t="s">
        <v>93</v>
      </c>
      <c r="F3116" s="18" t="s">
        <v>92</v>
      </c>
      <c r="G3116" s="18" t="s">
        <v>48</v>
      </c>
      <c r="H3116" s="24">
        <v>0</v>
      </c>
      <c r="I3116" s="24">
        <f>T_reg.root.SK[[#This Row],[Volume, kg]]/1000</f>
        <v>0</v>
      </c>
      <c r="J3116" s="25">
        <v>0</v>
      </c>
      <c r="K3116" s="25">
        <f t="shared" si="48"/>
        <v>0</v>
      </c>
      <c r="L3116" s="25">
        <v>0</v>
      </c>
      <c r="M3116" s="24">
        <v>0</v>
      </c>
      <c r="N3116" s="25" t="str">
        <f>IFERROR(T_reg.root.SK[[#This Row],[Price]]/T_reg.root.SK[[#This Row],[Starch content]],"")</f>
        <v/>
      </c>
    </row>
    <row r="3117" spans="1:14">
      <c r="A3117" s="21">
        <v>2024</v>
      </c>
      <c r="B3117" s="21" t="s">
        <v>23</v>
      </c>
      <c r="C3117" s="21" t="s">
        <v>1145</v>
      </c>
      <c r="D3117" s="21" t="s">
        <v>39</v>
      </c>
      <c r="E3117" s="18" t="s">
        <v>552</v>
      </c>
      <c r="F3117" s="18" t="s">
        <v>95</v>
      </c>
      <c r="G3117" s="18" t="s">
        <v>48</v>
      </c>
      <c r="H3117" s="24">
        <v>4043690</v>
      </c>
      <c r="I3117" s="24">
        <f>T_reg.root.SK[[#This Row],[Volume, kg]]/1000</f>
        <v>4043.69</v>
      </c>
      <c r="J3117" s="25">
        <v>0.16210000000000002</v>
      </c>
      <c r="K3117" s="25">
        <f t="shared" si="48"/>
        <v>655482.14900000009</v>
      </c>
      <c r="L3117" s="25">
        <v>2.34</v>
      </c>
      <c r="M3117" s="24">
        <v>9464904</v>
      </c>
      <c r="N3117" s="25">
        <f>IFERROR(T_reg.root.SK[[#This Row],[Price]]/T_reg.root.SK[[#This Row],[Starch content]],"")</f>
        <v>14.435533621221465</v>
      </c>
    </row>
    <row r="3118" spans="1:14">
      <c r="A3118" s="21">
        <v>2024</v>
      </c>
      <c r="B3118" s="21" t="s">
        <v>23</v>
      </c>
      <c r="C3118" s="21" t="s">
        <v>1145</v>
      </c>
      <c r="D3118" s="21" t="s">
        <v>35</v>
      </c>
      <c r="E3118" s="18" t="s">
        <v>681</v>
      </c>
      <c r="F3118" s="18" t="s">
        <v>95</v>
      </c>
      <c r="G3118" s="18" t="s">
        <v>48</v>
      </c>
      <c r="H3118" s="24">
        <v>154480</v>
      </c>
      <c r="I3118" s="24">
        <f>T_reg.root.SK[[#This Row],[Volume, kg]]/1000</f>
        <v>154.47999999999999</v>
      </c>
      <c r="J3118" s="25">
        <v>0.19170000000000001</v>
      </c>
      <c r="K3118" s="25">
        <f t="shared" si="48"/>
        <v>29613.816000000003</v>
      </c>
      <c r="L3118" s="25">
        <v>2.52</v>
      </c>
      <c r="M3118" s="24">
        <v>389966.5</v>
      </c>
      <c r="N3118" s="25">
        <f>IFERROR(T_reg.root.SK[[#This Row],[Price]]/T_reg.root.SK[[#This Row],[Starch content]],"")</f>
        <v>13.145539906103286</v>
      </c>
    </row>
    <row r="3119" spans="1:14">
      <c r="A3119" s="21">
        <v>2024</v>
      </c>
      <c r="B3119" s="21" t="s">
        <v>23</v>
      </c>
      <c r="C3119" s="21" t="s">
        <v>1145</v>
      </c>
      <c r="D3119" s="21" t="s">
        <v>35</v>
      </c>
      <c r="E3119" s="18" t="s">
        <v>766</v>
      </c>
      <c r="F3119" s="18" t="s">
        <v>95</v>
      </c>
      <c r="G3119" s="18" t="s">
        <v>48</v>
      </c>
      <c r="H3119" s="24">
        <v>19350</v>
      </c>
      <c r="I3119" s="24">
        <f>T_reg.root.SK[[#This Row],[Volume, kg]]/1000</f>
        <v>19.350000000000001</v>
      </c>
      <c r="J3119" s="25">
        <v>0.1459</v>
      </c>
      <c r="K3119" s="25">
        <f t="shared" si="48"/>
        <v>2823.165</v>
      </c>
      <c r="L3119" s="25">
        <v>2.27</v>
      </c>
      <c r="M3119" s="24">
        <v>43934.5</v>
      </c>
      <c r="N3119" s="25">
        <f>IFERROR(T_reg.root.SK[[#This Row],[Price]]/T_reg.root.SK[[#This Row],[Starch content]],"")</f>
        <v>15.558601782042494</v>
      </c>
    </row>
    <row r="3120" spans="1:14">
      <c r="A3120" s="21">
        <v>2024</v>
      </c>
      <c r="B3120" s="21" t="s">
        <v>23</v>
      </c>
      <c r="C3120" s="21" t="s">
        <v>1145</v>
      </c>
      <c r="D3120" s="21" t="s">
        <v>39</v>
      </c>
      <c r="E3120" s="18" t="s">
        <v>98</v>
      </c>
      <c r="F3120" s="18" t="s">
        <v>99</v>
      </c>
      <c r="G3120" s="18" t="s">
        <v>42</v>
      </c>
      <c r="H3120" s="24">
        <v>7435190</v>
      </c>
      <c r="I3120" s="24">
        <f>T_reg.root.SK[[#This Row],[Volume, kg]]/1000</f>
        <v>7435.19</v>
      </c>
      <c r="J3120" s="25">
        <v>0.16260000000000002</v>
      </c>
      <c r="K3120" s="25">
        <f t="shared" si="48"/>
        <v>1208961.8940000001</v>
      </c>
      <c r="L3120" s="25">
        <v>2.37</v>
      </c>
      <c r="M3120" s="24">
        <v>17617650.5</v>
      </c>
      <c r="N3120" s="25">
        <f>IFERROR(T_reg.root.SK[[#This Row],[Price]]/T_reg.root.SK[[#This Row],[Starch content]],"")</f>
        <v>14.575645756457563</v>
      </c>
    </row>
    <row r="3121" spans="1:14">
      <c r="A3121" s="21">
        <v>2024</v>
      </c>
      <c r="B3121" s="21" t="s">
        <v>23</v>
      </c>
      <c r="C3121" s="21" t="s">
        <v>1145</v>
      </c>
      <c r="D3121" s="21" t="s">
        <v>39</v>
      </c>
      <c r="E3121" s="18" t="s">
        <v>346</v>
      </c>
      <c r="F3121" s="18" t="s">
        <v>99</v>
      </c>
      <c r="G3121" s="18" t="s">
        <v>42</v>
      </c>
      <c r="H3121" s="24">
        <v>5672700</v>
      </c>
      <c r="I3121" s="24">
        <f>T_reg.root.SK[[#This Row],[Volume, kg]]/1000</f>
        <v>5672.7</v>
      </c>
      <c r="J3121" s="25">
        <v>0.15529999999999999</v>
      </c>
      <c r="K3121" s="25">
        <f t="shared" si="48"/>
        <v>880970.30999999994</v>
      </c>
      <c r="L3121" s="25">
        <v>2.33</v>
      </c>
      <c r="M3121" s="24">
        <v>13207973</v>
      </c>
      <c r="N3121" s="25">
        <f>IFERROR(T_reg.root.SK[[#This Row],[Price]]/T_reg.root.SK[[#This Row],[Starch content]],"")</f>
        <v>15.003219575016098</v>
      </c>
    </row>
    <row r="3122" spans="1:14">
      <c r="A3122" s="21">
        <v>2024</v>
      </c>
      <c r="B3122" s="21" t="s">
        <v>23</v>
      </c>
      <c r="C3122" s="21" t="s">
        <v>1145</v>
      </c>
      <c r="D3122" s="21" t="s">
        <v>39</v>
      </c>
      <c r="E3122" s="18" t="s">
        <v>101</v>
      </c>
      <c r="F3122" s="18" t="s">
        <v>102</v>
      </c>
      <c r="G3122" s="18" t="s">
        <v>103</v>
      </c>
      <c r="H3122" s="24">
        <v>3704270</v>
      </c>
      <c r="I3122" s="24">
        <f>T_reg.root.SK[[#This Row],[Volume, kg]]/1000</f>
        <v>3704.27</v>
      </c>
      <c r="J3122" s="25">
        <v>0.16309999999999999</v>
      </c>
      <c r="K3122" s="25">
        <f t="shared" si="48"/>
        <v>604166.43700000003</v>
      </c>
      <c r="L3122" s="25">
        <v>2.36</v>
      </c>
      <c r="M3122" s="24">
        <v>8724323</v>
      </c>
      <c r="N3122" s="25">
        <f>IFERROR(T_reg.root.SK[[#This Row],[Price]]/T_reg.root.SK[[#This Row],[Starch content]],"")</f>
        <v>14.469650521152667</v>
      </c>
    </row>
    <row r="3123" spans="1:14">
      <c r="A3123" s="21">
        <v>2024</v>
      </c>
      <c r="B3123" s="21" t="s">
        <v>23</v>
      </c>
      <c r="C3123" s="21" t="s">
        <v>1145</v>
      </c>
      <c r="D3123" s="21" t="s">
        <v>39</v>
      </c>
      <c r="E3123" s="18" t="s">
        <v>284</v>
      </c>
      <c r="F3123" s="18" t="s">
        <v>285</v>
      </c>
      <c r="G3123" s="18" t="s">
        <v>286</v>
      </c>
      <c r="H3123" s="24">
        <v>877780</v>
      </c>
      <c r="I3123" s="24">
        <f>T_reg.root.SK[[#This Row],[Volume, kg]]/1000</f>
        <v>877.78</v>
      </c>
      <c r="J3123" s="25">
        <v>0.15939999999999999</v>
      </c>
      <c r="K3123" s="25">
        <f t="shared" si="48"/>
        <v>139918.13199999998</v>
      </c>
      <c r="L3123" s="25">
        <v>2.34</v>
      </c>
      <c r="M3123" s="24">
        <v>2054882.5</v>
      </c>
      <c r="N3123" s="25">
        <f>IFERROR(T_reg.root.SK[[#This Row],[Price]]/T_reg.root.SK[[#This Row],[Starch content]],"")</f>
        <v>14.680050188205772</v>
      </c>
    </row>
    <row r="3124" spans="1:14">
      <c r="A3124" s="21">
        <v>2024</v>
      </c>
      <c r="B3124" s="21" t="s">
        <v>23</v>
      </c>
      <c r="C3124" s="21" t="s">
        <v>1145</v>
      </c>
      <c r="D3124" s="21" t="s">
        <v>35</v>
      </c>
      <c r="E3124" s="18" t="s">
        <v>287</v>
      </c>
      <c r="F3124" s="18" t="s">
        <v>105</v>
      </c>
      <c r="G3124" s="18" t="s">
        <v>48</v>
      </c>
      <c r="H3124" s="24">
        <v>14100</v>
      </c>
      <c r="I3124" s="24">
        <f>T_reg.root.SK[[#This Row],[Volume, kg]]/1000</f>
        <v>14.1</v>
      </c>
      <c r="J3124" s="25">
        <v>0.23559999999999998</v>
      </c>
      <c r="K3124" s="25">
        <f t="shared" si="48"/>
        <v>3321.9599999999996</v>
      </c>
      <c r="L3124" s="25">
        <v>2.72</v>
      </c>
      <c r="M3124" s="24">
        <v>38389.5</v>
      </c>
      <c r="N3124" s="25">
        <f>IFERROR(T_reg.root.SK[[#This Row],[Price]]/T_reg.root.SK[[#This Row],[Starch content]],"")</f>
        <v>11.544991511035656</v>
      </c>
    </row>
    <row r="3125" spans="1:14">
      <c r="A3125" s="21">
        <v>2024</v>
      </c>
      <c r="B3125" s="21" t="s">
        <v>23</v>
      </c>
      <c r="C3125" s="21" t="s">
        <v>1145</v>
      </c>
      <c r="D3125" s="21" t="s">
        <v>35</v>
      </c>
      <c r="E3125" s="18" t="s">
        <v>684</v>
      </c>
      <c r="F3125" s="18" t="s">
        <v>105</v>
      </c>
      <c r="G3125" s="18" t="s">
        <v>48</v>
      </c>
      <c r="H3125" s="24">
        <v>22610</v>
      </c>
      <c r="I3125" s="24">
        <f>T_reg.root.SK[[#This Row],[Volume, kg]]/1000</f>
        <v>22.61</v>
      </c>
      <c r="J3125" s="25">
        <v>0.1943</v>
      </c>
      <c r="K3125" s="25">
        <f t="shared" si="48"/>
        <v>4393.1229999999996</v>
      </c>
      <c r="L3125" s="25">
        <v>2.5299999999999998</v>
      </c>
      <c r="M3125" s="24">
        <v>57232.5</v>
      </c>
      <c r="N3125" s="25">
        <f>IFERROR(T_reg.root.SK[[#This Row],[Price]]/T_reg.root.SK[[#This Row],[Starch content]],"")</f>
        <v>13.021101389603704</v>
      </c>
    </row>
    <row r="3126" spans="1:14">
      <c r="A3126" s="21">
        <v>2024</v>
      </c>
      <c r="B3126" s="21" t="s">
        <v>23</v>
      </c>
      <c r="C3126" s="21" t="s">
        <v>1145</v>
      </c>
      <c r="D3126" s="21" t="s">
        <v>35</v>
      </c>
      <c r="E3126" s="18" t="s">
        <v>104</v>
      </c>
      <c r="F3126" s="18" t="s">
        <v>105</v>
      </c>
      <c r="G3126" s="18" t="s">
        <v>48</v>
      </c>
      <c r="H3126" s="24">
        <v>81300</v>
      </c>
      <c r="I3126" s="24">
        <f>T_reg.root.SK[[#This Row],[Volume, kg]]/1000</f>
        <v>81.3</v>
      </c>
      <c r="J3126" s="25">
        <v>0.20829999999999999</v>
      </c>
      <c r="K3126" s="25">
        <f t="shared" si="48"/>
        <v>16934.789999999997</v>
      </c>
      <c r="L3126" s="25">
        <v>2.57</v>
      </c>
      <c r="M3126" s="24">
        <v>208614.5</v>
      </c>
      <c r="N3126" s="25">
        <f>IFERROR(T_reg.root.SK[[#This Row],[Price]]/T_reg.root.SK[[#This Row],[Starch content]],"")</f>
        <v>12.337974075852136</v>
      </c>
    </row>
    <row r="3127" spans="1:14">
      <c r="A3127" s="21">
        <v>2024</v>
      </c>
      <c r="B3127" s="21" t="s">
        <v>23</v>
      </c>
      <c r="C3127" s="21" t="s">
        <v>1145</v>
      </c>
      <c r="D3127" s="21" t="s">
        <v>35</v>
      </c>
      <c r="E3127" s="18" t="s">
        <v>733</v>
      </c>
      <c r="F3127" s="18" t="s">
        <v>105</v>
      </c>
      <c r="G3127" s="18" t="s">
        <v>48</v>
      </c>
      <c r="H3127" s="24">
        <v>54330</v>
      </c>
      <c r="I3127" s="24">
        <f>T_reg.root.SK[[#This Row],[Volume, kg]]/1000</f>
        <v>54.33</v>
      </c>
      <c r="J3127" s="25">
        <v>0.18309999999999998</v>
      </c>
      <c r="K3127" s="25">
        <f t="shared" si="48"/>
        <v>9947.8229999999985</v>
      </c>
      <c r="L3127" s="25">
        <v>2.41</v>
      </c>
      <c r="M3127" s="24">
        <v>131140</v>
      </c>
      <c r="N3127" s="25">
        <f>IFERROR(T_reg.root.SK[[#This Row],[Price]]/T_reg.root.SK[[#This Row],[Starch content]],"")</f>
        <v>13.162206444565813</v>
      </c>
    </row>
    <row r="3128" spans="1:14">
      <c r="A3128" s="21">
        <v>2024</v>
      </c>
      <c r="B3128" s="21" t="s">
        <v>23</v>
      </c>
      <c r="C3128" s="21" t="s">
        <v>1145</v>
      </c>
      <c r="D3128" s="21" t="s">
        <v>35</v>
      </c>
      <c r="E3128" s="18" t="s">
        <v>481</v>
      </c>
      <c r="F3128" s="18" t="s">
        <v>105</v>
      </c>
      <c r="G3128" s="18" t="s">
        <v>48</v>
      </c>
      <c r="H3128" s="24">
        <v>67460</v>
      </c>
      <c r="I3128" s="24">
        <f>T_reg.root.SK[[#This Row],[Volume, kg]]/1000</f>
        <v>67.459999999999994</v>
      </c>
      <c r="J3128" s="25">
        <v>0.19940000000000002</v>
      </c>
      <c r="K3128" s="25">
        <f t="shared" si="48"/>
        <v>13451.524000000001</v>
      </c>
      <c r="L3128" s="25">
        <v>2.5</v>
      </c>
      <c r="M3128" s="24">
        <v>168966.5</v>
      </c>
      <c r="N3128" s="25">
        <f>IFERROR(T_reg.root.SK[[#This Row],[Price]]/T_reg.root.SK[[#This Row],[Starch content]],"")</f>
        <v>12.537612838515546</v>
      </c>
    </row>
    <row r="3129" spans="1:14">
      <c r="A3129" s="21">
        <v>2024</v>
      </c>
      <c r="B3129" s="21" t="s">
        <v>23</v>
      </c>
      <c r="C3129" s="21" t="s">
        <v>1145</v>
      </c>
      <c r="D3129" s="21" t="s">
        <v>35</v>
      </c>
      <c r="E3129" s="18" t="s">
        <v>349</v>
      </c>
      <c r="F3129" s="18" t="s">
        <v>105</v>
      </c>
      <c r="G3129" s="18" t="s">
        <v>48</v>
      </c>
      <c r="H3129" s="24">
        <v>97430</v>
      </c>
      <c r="I3129" s="24">
        <f>T_reg.root.SK[[#This Row],[Volume, kg]]/1000</f>
        <v>97.43</v>
      </c>
      <c r="J3129" s="25">
        <v>0.22750000000000001</v>
      </c>
      <c r="K3129" s="25">
        <f t="shared" si="48"/>
        <v>22165.325000000001</v>
      </c>
      <c r="L3129" s="25">
        <v>2.67</v>
      </c>
      <c r="M3129" s="24">
        <v>260412.5</v>
      </c>
      <c r="N3129" s="25">
        <f>IFERROR(T_reg.root.SK[[#This Row],[Price]]/T_reg.root.SK[[#This Row],[Starch content]],"")</f>
        <v>11.736263736263735</v>
      </c>
    </row>
    <row r="3130" spans="1:14">
      <c r="A3130" s="21">
        <v>2024</v>
      </c>
      <c r="B3130" s="21" t="s">
        <v>23</v>
      </c>
      <c r="C3130" s="21" t="s">
        <v>1145</v>
      </c>
      <c r="D3130" s="21" t="s">
        <v>35</v>
      </c>
      <c r="E3130" s="18" t="s">
        <v>289</v>
      </c>
      <c r="F3130" s="18" t="s">
        <v>105</v>
      </c>
      <c r="G3130" s="18" t="s">
        <v>48</v>
      </c>
      <c r="H3130" s="24">
        <v>0</v>
      </c>
      <c r="I3130" s="24">
        <f>T_reg.root.SK[[#This Row],[Volume, kg]]/1000</f>
        <v>0</v>
      </c>
      <c r="J3130" s="25">
        <v>0</v>
      </c>
      <c r="K3130" s="25">
        <f t="shared" si="48"/>
        <v>0</v>
      </c>
      <c r="L3130" s="25">
        <v>0</v>
      </c>
      <c r="M3130" s="24">
        <v>0</v>
      </c>
      <c r="N3130" s="25" t="str">
        <f>IFERROR(T_reg.root.SK[[#This Row],[Price]]/T_reg.root.SK[[#This Row],[Starch content]],"")</f>
        <v/>
      </c>
    </row>
    <row r="3131" spans="1:14">
      <c r="A3131" s="21">
        <v>2024</v>
      </c>
      <c r="B3131" s="21" t="s">
        <v>23</v>
      </c>
      <c r="C3131" s="21" t="s">
        <v>1145</v>
      </c>
      <c r="D3131" s="21" t="s">
        <v>35</v>
      </c>
      <c r="E3131" s="18" t="s">
        <v>108</v>
      </c>
      <c r="F3131" s="18" t="s">
        <v>105</v>
      </c>
      <c r="G3131" s="18" t="s">
        <v>48</v>
      </c>
      <c r="H3131" s="24">
        <v>152380</v>
      </c>
      <c r="I3131" s="24">
        <f>T_reg.root.SK[[#This Row],[Volume, kg]]/1000</f>
        <v>152.38</v>
      </c>
      <c r="J3131" s="25">
        <v>0.15710000000000002</v>
      </c>
      <c r="K3131" s="25">
        <f t="shared" si="48"/>
        <v>23938.898000000001</v>
      </c>
      <c r="L3131" s="25">
        <v>2.33</v>
      </c>
      <c r="M3131" s="24">
        <v>354560</v>
      </c>
      <c r="N3131" s="25">
        <f>IFERROR(T_reg.root.SK[[#This Row],[Price]]/T_reg.root.SK[[#This Row],[Starch content]],"")</f>
        <v>14.831317632081475</v>
      </c>
    </row>
    <row r="3132" spans="1:14">
      <c r="A3132" s="21">
        <v>2024</v>
      </c>
      <c r="B3132" s="21" t="s">
        <v>23</v>
      </c>
      <c r="C3132" s="21" t="s">
        <v>1145</v>
      </c>
      <c r="D3132" s="21" t="s">
        <v>35</v>
      </c>
      <c r="E3132" s="18" t="s">
        <v>713</v>
      </c>
      <c r="F3132" s="18" t="s">
        <v>105</v>
      </c>
      <c r="G3132" s="18" t="s">
        <v>48</v>
      </c>
      <c r="H3132" s="24">
        <v>172210</v>
      </c>
      <c r="I3132" s="24">
        <f>T_reg.root.SK[[#This Row],[Volume, kg]]/1000</f>
        <v>172.21</v>
      </c>
      <c r="J3132" s="25">
        <v>0.19140000000000001</v>
      </c>
      <c r="K3132" s="25">
        <f t="shared" si="48"/>
        <v>32960.994000000006</v>
      </c>
      <c r="L3132" s="25">
        <v>2.5</v>
      </c>
      <c r="M3132" s="24">
        <v>430437.5</v>
      </c>
      <c r="N3132" s="25">
        <f>IFERROR(T_reg.root.SK[[#This Row],[Price]]/T_reg.root.SK[[#This Row],[Starch content]],"")</f>
        <v>13.061650992685474</v>
      </c>
    </row>
    <row r="3133" spans="1:14">
      <c r="A3133" s="21">
        <v>2024</v>
      </c>
      <c r="B3133" s="21" t="s">
        <v>23</v>
      </c>
      <c r="C3133" s="21" t="s">
        <v>1145</v>
      </c>
      <c r="D3133" s="21" t="s">
        <v>35</v>
      </c>
      <c r="E3133" s="18" t="s">
        <v>630</v>
      </c>
      <c r="F3133" s="18" t="s">
        <v>105</v>
      </c>
      <c r="G3133" s="18" t="s">
        <v>48</v>
      </c>
      <c r="H3133" s="24">
        <v>40030</v>
      </c>
      <c r="I3133" s="24">
        <f>T_reg.root.SK[[#This Row],[Volume, kg]]/1000</f>
        <v>40.03</v>
      </c>
      <c r="J3133" s="25">
        <v>0.22489999999999999</v>
      </c>
      <c r="K3133" s="25">
        <f t="shared" si="48"/>
        <v>9002.7469999999994</v>
      </c>
      <c r="L3133" s="25">
        <v>2.64</v>
      </c>
      <c r="M3133" s="24">
        <v>105586</v>
      </c>
      <c r="N3133" s="25">
        <f>IFERROR(T_reg.root.SK[[#This Row],[Price]]/T_reg.root.SK[[#This Row],[Starch content]],"")</f>
        <v>11.738550466874168</v>
      </c>
    </row>
    <row r="3134" spans="1:14">
      <c r="A3134" s="21">
        <v>2024</v>
      </c>
      <c r="B3134" s="21" t="s">
        <v>23</v>
      </c>
      <c r="C3134" s="21" t="s">
        <v>1145</v>
      </c>
      <c r="D3134" s="21" t="s">
        <v>35</v>
      </c>
      <c r="E3134" s="18" t="s">
        <v>292</v>
      </c>
      <c r="F3134" s="18" t="s">
        <v>105</v>
      </c>
      <c r="G3134" s="18" t="s">
        <v>48</v>
      </c>
      <c r="H3134" s="24">
        <v>9600</v>
      </c>
      <c r="I3134" s="24">
        <f>T_reg.root.SK[[#This Row],[Volume, kg]]/1000</f>
        <v>9.6</v>
      </c>
      <c r="J3134" s="25">
        <v>0.13170000000000001</v>
      </c>
      <c r="K3134" s="25">
        <f t="shared" si="48"/>
        <v>1264.3200000000002</v>
      </c>
      <c r="L3134" s="25">
        <v>2.15</v>
      </c>
      <c r="M3134" s="24">
        <v>20640</v>
      </c>
      <c r="N3134" s="25">
        <f>IFERROR(T_reg.root.SK[[#This Row],[Price]]/T_reg.root.SK[[#This Row],[Starch content]],"")</f>
        <v>16.32498101746393</v>
      </c>
    </row>
    <row r="3135" spans="1:14">
      <c r="A3135" s="21">
        <v>2024</v>
      </c>
      <c r="B3135" s="21" t="s">
        <v>23</v>
      </c>
      <c r="C3135" s="21" t="s">
        <v>1145</v>
      </c>
      <c r="D3135" s="21" t="s">
        <v>35</v>
      </c>
      <c r="E3135" s="18" t="s">
        <v>350</v>
      </c>
      <c r="F3135" s="18" t="s">
        <v>105</v>
      </c>
      <c r="G3135" s="18" t="s">
        <v>48</v>
      </c>
      <c r="H3135" s="24">
        <v>1900</v>
      </c>
      <c r="I3135" s="24">
        <f>T_reg.root.SK[[#This Row],[Volume, kg]]/1000</f>
        <v>1.9</v>
      </c>
      <c r="J3135" s="25">
        <v>0.23</v>
      </c>
      <c r="K3135" s="25">
        <f t="shared" si="48"/>
        <v>437</v>
      </c>
      <c r="L3135" s="25">
        <v>2.7</v>
      </c>
      <c r="M3135" s="24">
        <v>5130</v>
      </c>
      <c r="N3135" s="25">
        <f>IFERROR(T_reg.root.SK[[#This Row],[Price]]/T_reg.root.SK[[#This Row],[Starch content]],"")</f>
        <v>11.739130434782609</v>
      </c>
    </row>
    <row r="3136" spans="1:14">
      <c r="A3136" s="21">
        <v>2024</v>
      </c>
      <c r="B3136" s="21" t="s">
        <v>23</v>
      </c>
      <c r="C3136" s="21" t="s">
        <v>1145</v>
      </c>
      <c r="D3136" s="21" t="s">
        <v>35</v>
      </c>
      <c r="E3136" s="18" t="s">
        <v>110</v>
      </c>
      <c r="F3136" s="18" t="s">
        <v>105</v>
      </c>
      <c r="G3136" s="18" t="s">
        <v>48</v>
      </c>
      <c r="H3136" s="24">
        <v>9850</v>
      </c>
      <c r="I3136" s="24">
        <f>T_reg.root.SK[[#This Row],[Volume, kg]]/1000</f>
        <v>9.85</v>
      </c>
      <c r="J3136" s="25">
        <v>0.14800000000000002</v>
      </c>
      <c r="K3136" s="25">
        <f t="shared" si="48"/>
        <v>1457.8000000000002</v>
      </c>
      <c r="L3136" s="25">
        <v>2.2400000000000002</v>
      </c>
      <c r="M3136" s="24">
        <v>22037</v>
      </c>
      <c r="N3136" s="25">
        <f>IFERROR(T_reg.root.SK[[#This Row],[Price]]/T_reg.root.SK[[#This Row],[Starch content]],"")</f>
        <v>15.135135135135135</v>
      </c>
    </row>
    <row r="3137" spans="1:14">
      <c r="A3137" s="21">
        <v>2024</v>
      </c>
      <c r="B3137" s="21" t="s">
        <v>23</v>
      </c>
      <c r="C3137" s="21" t="s">
        <v>1145</v>
      </c>
      <c r="D3137" s="21" t="s">
        <v>35</v>
      </c>
      <c r="E3137" s="18" t="s">
        <v>751</v>
      </c>
      <c r="F3137" s="18" t="s">
        <v>105</v>
      </c>
      <c r="G3137" s="18" t="s">
        <v>48</v>
      </c>
      <c r="H3137" s="24">
        <v>157530</v>
      </c>
      <c r="I3137" s="24">
        <f>T_reg.root.SK[[#This Row],[Volume, kg]]/1000</f>
        <v>157.53</v>
      </c>
      <c r="J3137" s="25">
        <v>0.1754</v>
      </c>
      <c r="K3137" s="25">
        <f t="shared" si="48"/>
        <v>27630.761999999999</v>
      </c>
      <c r="L3137" s="25">
        <v>2.41</v>
      </c>
      <c r="M3137" s="24">
        <v>379080.5</v>
      </c>
      <c r="N3137" s="25">
        <f>IFERROR(T_reg.root.SK[[#This Row],[Price]]/T_reg.root.SK[[#This Row],[Starch content]],"")</f>
        <v>13.740022805017105</v>
      </c>
    </row>
    <row r="3138" spans="1:14">
      <c r="A3138" s="21">
        <v>2024</v>
      </c>
      <c r="B3138" s="21" t="s">
        <v>23</v>
      </c>
      <c r="C3138" s="21" t="s">
        <v>1145</v>
      </c>
      <c r="D3138" s="21" t="s">
        <v>35</v>
      </c>
      <c r="E3138" s="18" t="s">
        <v>734</v>
      </c>
      <c r="F3138" s="18" t="s">
        <v>105</v>
      </c>
      <c r="G3138" s="18" t="s">
        <v>48</v>
      </c>
      <c r="H3138" s="24">
        <v>114080</v>
      </c>
      <c r="I3138" s="24">
        <f>T_reg.root.SK[[#This Row],[Volume, kg]]/1000</f>
        <v>114.08</v>
      </c>
      <c r="J3138" s="25">
        <v>0.19260000000000002</v>
      </c>
      <c r="K3138" s="25">
        <f t="shared" si="48"/>
        <v>21971.808000000001</v>
      </c>
      <c r="L3138" s="25">
        <v>2.4900000000000002</v>
      </c>
      <c r="M3138" s="24">
        <v>284053.5</v>
      </c>
      <c r="N3138" s="25">
        <f>IFERROR(T_reg.root.SK[[#This Row],[Price]]/T_reg.root.SK[[#This Row],[Starch content]],"")</f>
        <v>12.92834890965732</v>
      </c>
    </row>
    <row r="3139" spans="1:14">
      <c r="A3139" s="21">
        <v>2024</v>
      </c>
      <c r="B3139" s="21" t="s">
        <v>23</v>
      </c>
      <c r="C3139" s="21" t="s">
        <v>1145</v>
      </c>
      <c r="D3139" s="21" t="s">
        <v>35</v>
      </c>
      <c r="E3139" s="18" t="s">
        <v>112</v>
      </c>
      <c r="F3139" s="18" t="s">
        <v>105</v>
      </c>
      <c r="G3139" s="18" t="s">
        <v>48</v>
      </c>
      <c r="H3139" s="24">
        <v>66720</v>
      </c>
      <c r="I3139" s="24">
        <f>T_reg.root.SK[[#This Row],[Volume, kg]]/1000</f>
        <v>66.72</v>
      </c>
      <c r="J3139" s="25">
        <v>0.16690000000000002</v>
      </c>
      <c r="K3139" s="25">
        <f t="shared" ref="K3139:K3202" si="49">H3139*J3139</f>
        <v>11135.568000000001</v>
      </c>
      <c r="L3139" s="25">
        <v>2.35</v>
      </c>
      <c r="M3139" s="24">
        <v>156801.5</v>
      </c>
      <c r="N3139" s="25">
        <f>IFERROR(T_reg.root.SK[[#This Row],[Price]]/T_reg.root.SK[[#This Row],[Starch content]],"")</f>
        <v>14.080287597363689</v>
      </c>
    </row>
    <row r="3140" spans="1:14">
      <c r="A3140" s="21">
        <v>2024</v>
      </c>
      <c r="B3140" s="21" t="s">
        <v>23</v>
      </c>
      <c r="C3140" s="21" t="s">
        <v>1145</v>
      </c>
      <c r="D3140" s="21" t="s">
        <v>35</v>
      </c>
      <c r="E3140" s="18" t="s">
        <v>482</v>
      </c>
      <c r="F3140" s="18" t="s">
        <v>105</v>
      </c>
      <c r="G3140" s="18" t="s">
        <v>48</v>
      </c>
      <c r="H3140" s="24">
        <v>7350</v>
      </c>
      <c r="I3140" s="24">
        <f>T_reg.root.SK[[#This Row],[Volume, kg]]/1000</f>
        <v>7.35</v>
      </c>
      <c r="J3140" s="25">
        <v>0.1759</v>
      </c>
      <c r="K3140" s="25">
        <f t="shared" si="49"/>
        <v>1292.865</v>
      </c>
      <c r="L3140" s="25">
        <v>2.4300000000000002</v>
      </c>
      <c r="M3140" s="24">
        <v>17894</v>
      </c>
      <c r="N3140" s="25">
        <f>IFERROR(T_reg.root.SK[[#This Row],[Price]]/T_reg.root.SK[[#This Row],[Starch content]],"")</f>
        <v>13.814667424673111</v>
      </c>
    </row>
    <row r="3141" spans="1:14">
      <c r="A3141" s="21">
        <v>2024</v>
      </c>
      <c r="B3141" s="21" t="s">
        <v>23</v>
      </c>
      <c r="C3141" s="21" t="s">
        <v>1145</v>
      </c>
      <c r="D3141" s="21" t="s">
        <v>35</v>
      </c>
      <c r="E3141" s="18" t="s">
        <v>767</v>
      </c>
      <c r="F3141" s="18" t="s">
        <v>105</v>
      </c>
      <c r="G3141" s="18" t="s">
        <v>48</v>
      </c>
      <c r="H3141" s="24">
        <v>8260</v>
      </c>
      <c r="I3141" s="24">
        <f>T_reg.root.SK[[#This Row],[Volume, kg]]/1000</f>
        <v>8.26</v>
      </c>
      <c r="J3141" s="25">
        <v>0.21299999999999999</v>
      </c>
      <c r="K3141" s="25">
        <f t="shared" si="49"/>
        <v>1759.3799999999999</v>
      </c>
      <c r="L3141" s="25">
        <v>2.5499999999999998</v>
      </c>
      <c r="M3141" s="24">
        <v>21063</v>
      </c>
      <c r="N3141" s="25">
        <f>IFERROR(T_reg.root.SK[[#This Row],[Price]]/T_reg.root.SK[[#This Row],[Starch content]],"")</f>
        <v>11.971830985915492</v>
      </c>
    </row>
    <row r="3142" spans="1:14">
      <c r="A3142" s="21">
        <v>2024</v>
      </c>
      <c r="B3142" s="21" t="s">
        <v>23</v>
      </c>
      <c r="C3142" s="21" t="s">
        <v>1145</v>
      </c>
      <c r="D3142" s="21" t="s">
        <v>35</v>
      </c>
      <c r="E3142" s="18" t="s">
        <v>234</v>
      </c>
      <c r="F3142" s="18" t="s">
        <v>105</v>
      </c>
      <c r="G3142" s="18" t="s">
        <v>48</v>
      </c>
      <c r="H3142" s="24">
        <v>36720</v>
      </c>
      <c r="I3142" s="24">
        <f>T_reg.root.SK[[#This Row],[Volume, kg]]/1000</f>
        <v>36.72</v>
      </c>
      <c r="J3142" s="25">
        <v>0.18659999999999999</v>
      </c>
      <c r="K3142" s="25">
        <f t="shared" si="49"/>
        <v>6851.9519999999993</v>
      </c>
      <c r="L3142" s="25">
        <v>2.48</v>
      </c>
      <c r="M3142" s="24">
        <v>91155.5</v>
      </c>
      <c r="N3142" s="25">
        <f>IFERROR(T_reg.root.SK[[#This Row],[Price]]/T_reg.root.SK[[#This Row],[Starch content]],"")</f>
        <v>13.290460878885318</v>
      </c>
    </row>
    <row r="3143" spans="1:14">
      <c r="A3143" s="21">
        <v>2024</v>
      </c>
      <c r="B3143" s="21" t="s">
        <v>23</v>
      </c>
      <c r="C3143" s="21" t="s">
        <v>1145</v>
      </c>
      <c r="D3143" s="21" t="s">
        <v>35</v>
      </c>
      <c r="E3143" s="18" t="s">
        <v>768</v>
      </c>
      <c r="F3143" s="18" t="s">
        <v>105</v>
      </c>
      <c r="G3143" s="18" t="s">
        <v>48</v>
      </c>
      <c r="H3143" s="24">
        <v>16280</v>
      </c>
      <c r="I3143" s="24">
        <f>T_reg.root.SK[[#This Row],[Volume, kg]]/1000</f>
        <v>16.28</v>
      </c>
      <c r="J3143" s="25">
        <v>0.2137</v>
      </c>
      <c r="K3143" s="25">
        <f t="shared" si="49"/>
        <v>3479.0360000000001</v>
      </c>
      <c r="L3143" s="25">
        <v>2.57</v>
      </c>
      <c r="M3143" s="24">
        <v>41862.5</v>
      </c>
      <c r="N3143" s="25">
        <f>IFERROR(T_reg.root.SK[[#This Row],[Price]]/T_reg.root.SK[[#This Row],[Starch content]],"")</f>
        <v>12.026204960224613</v>
      </c>
    </row>
    <row r="3144" spans="1:14">
      <c r="A3144" s="21">
        <v>2024</v>
      </c>
      <c r="B3144" s="21" t="s">
        <v>23</v>
      </c>
      <c r="C3144" s="21" t="s">
        <v>1145</v>
      </c>
      <c r="D3144" s="21" t="s">
        <v>35</v>
      </c>
      <c r="E3144" s="18" t="s">
        <v>666</v>
      </c>
      <c r="F3144" s="18" t="s">
        <v>105</v>
      </c>
      <c r="G3144" s="18" t="s">
        <v>48</v>
      </c>
      <c r="H3144" s="24">
        <v>0</v>
      </c>
      <c r="I3144" s="24">
        <f>T_reg.root.SK[[#This Row],[Volume, kg]]/1000</f>
        <v>0</v>
      </c>
      <c r="J3144" s="25">
        <v>0</v>
      </c>
      <c r="K3144" s="25">
        <f t="shared" si="49"/>
        <v>0</v>
      </c>
      <c r="L3144" s="25">
        <v>0</v>
      </c>
      <c r="M3144" s="24">
        <v>0</v>
      </c>
      <c r="N3144" s="25" t="str">
        <f>IFERROR(T_reg.root.SK[[#This Row],[Price]]/T_reg.root.SK[[#This Row],[Starch content]],"")</f>
        <v/>
      </c>
    </row>
    <row r="3145" spans="1:14">
      <c r="A3145" s="21">
        <v>2024</v>
      </c>
      <c r="B3145" s="21" t="s">
        <v>23</v>
      </c>
      <c r="C3145" s="21" t="s">
        <v>1145</v>
      </c>
      <c r="D3145" s="21" t="s">
        <v>35</v>
      </c>
      <c r="E3145" s="18" t="s">
        <v>557</v>
      </c>
      <c r="F3145" s="18" t="s">
        <v>105</v>
      </c>
      <c r="G3145" s="18" t="s">
        <v>48</v>
      </c>
      <c r="H3145" s="24">
        <v>8500</v>
      </c>
      <c r="I3145" s="24">
        <f>T_reg.root.SK[[#This Row],[Volume, kg]]/1000</f>
        <v>8.5</v>
      </c>
      <c r="J3145" s="25">
        <v>0.22399999999999998</v>
      </c>
      <c r="K3145" s="25">
        <f t="shared" si="49"/>
        <v>1903.9999999999998</v>
      </c>
      <c r="L3145" s="25">
        <v>2.65</v>
      </c>
      <c r="M3145" s="24">
        <v>22525</v>
      </c>
      <c r="N3145" s="25">
        <f>IFERROR(T_reg.root.SK[[#This Row],[Price]]/T_reg.root.SK[[#This Row],[Starch content]],"")</f>
        <v>11.830357142857144</v>
      </c>
    </row>
    <row r="3146" spans="1:14">
      <c r="A3146" s="21">
        <v>2024</v>
      </c>
      <c r="B3146" s="21" t="s">
        <v>23</v>
      </c>
      <c r="C3146" s="21" t="s">
        <v>1145</v>
      </c>
      <c r="D3146" s="21" t="s">
        <v>35</v>
      </c>
      <c r="E3146" s="18" t="s">
        <v>559</v>
      </c>
      <c r="F3146" s="18" t="s">
        <v>105</v>
      </c>
      <c r="G3146" s="18" t="s">
        <v>48</v>
      </c>
      <c r="H3146" s="24">
        <v>52250</v>
      </c>
      <c r="I3146" s="24">
        <f>T_reg.root.SK[[#This Row],[Volume, kg]]/1000</f>
        <v>52.25</v>
      </c>
      <c r="J3146" s="25">
        <v>0.1981</v>
      </c>
      <c r="K3146" s="25">
        <f t="shared" si="49"/>
        <v>10350.725</v>
      </c>
      <c r="L3146" s="25">
        <v>2.5099999999999998</v>
      </c>
      <c r="M3146" s="24">
        <v>131159.5</v>
      </c>
      <c r="N3146" s="25">
        <f>IFERROR(T_reg.root.SK[[#This Row],[Price]]/T_reg.root.SK[[#This Row],[Starch content]],"")</f>
        <v>12.670368500757192</v>
      </c>
    </row>
    <row r="3147" spans="1:14">
      <c r="A3147" s="21">
        <v>2024</v>
      </c>
      <c r="B3147" s="21" t="s">
        <v>23</v>
      </c>
      <c r="C3147" s="21" t="s">
        <v>1145</v>
      </c>
      <c r="D3147" s="21" t="s">
        <v>35</v>
      </c>
      <c r="E3147" s="18" t="s">
        <v>560</v>
      </c>
      <c r="F3147" s="18" t="s">
        <v>105</v>
      </c>
      <c r="G3147" s="18" t="s">
        <v>48</v>
      </c>
      <c r="H3147" s="24">
        <v>25410</v>
      </c>
      <c r="I3147" s="24">
        <f>T_reg.root.SK[[#This Row],[Volume, kg]]/1000</f>
        <v>25.41</v>
      </c>
      <c r="J3147" s="25">
        <v>0.17780000000000001</v>
      </c>
      <c r="K3147" s="25">
        <f t="shared" si="49"/>
        <v>4517.8980000000001</v>
      </c>
      <c r="L3147" s="25">
        <v>2.4300000000000002</v>
      </c>
      <c r="M3147" s="24">
        <v>61659</v>
      </c>
      <c r="N3147" s="25">
        <f>IFERROR(T_reg.root.SK[[#This Row],[Price]]/T_reg.root.SK[[#This Row],[Starch content]],"")</f>
        <v>13.667041619797525</v>
      </c>
    </row>
    <row r="3148" spans="1:14">
      <c r="A3148" s="21">
        <v>2024</v>
      </c>
      <c r="B3148" s="21" t="s">
        <v>23</v>
      </c>
      <c r="C3148" s="21" t="s">
        <v>1145</v>
      </c>
      <c r="D3148" s="21" t="s">
        <v>35</v>
      </c>
      <c r="E3148" s="18" t="s">
        <v>236</v>
      </c>
      <c r="F3148" s="18" t="s">
        <v>105</v>
      </c>
      <c r="G3148" s="18" t="s">
        <v>48</v>
      </c>
      <c r="H3148" s="24">
        <v>34930</v>
      </c>
      <c r="I3148" s="24">
        <f>T_reg.root.SK[[#This Row],[Volume, kg]]/1000</f>
        <v>34.93</v>
      </c>
      <c r="J3148" s="25">
        <v>0.19140000000000001</v>
      </c>
      <c r="K3148" s="25">
        <f t="shared" si="49"/>
        <v>6685.6020000000008</v>
      </c>
      <c r="L3148" s="25">
        <v>2.46</v>
      </c>
      <c r="M3148" s="24">
        <v>86096.5</v>
      </c>
      <c r="N3148" s="25">
        <f>IFERROR(T_reg.root.SK[[#This Row],[Price]]/T_reg.root.SK[[#This Row],[Starch content]],"")</f>
        <v>12.852664576802507</v>
      </c>
    </row>
    <row r="3149" spans="1:14">
      <c r="A3149" s="21">
        <v>2024</v>
      </c>
      <c r="B3149" s="21" t="s">
        <v>23</v>
      </c>
      <c r="C3149" s="21" t="s">
        <v>1145</v>
      </c>
      <c r="D3149" s="21" t="s">
        <v>35</v>
      </c>
      <c r="E3149" s="18" t="s">
        <v>115</v>
      </c>
      <c r="F3149" s="18" t="s">
        <v>105</v>
      </c>
      <c r="G3149" s="18" t="s">
        <v>48</v>
      </c>
      <c r="H3149" s="24">
        <v>16020</v>
      </c>
      <c r="I3149" s="24">
        <f>T_reg.root.SK[[#This Row],[Volume, kg]]/1000</f>
        <v>16.02</v>
      </c>
      <c r="J3149" s="25">
        <v>0.245</v>
      </c>
      <c r="K3149" s="25">
        <f t="shared" si="49"/>
        <v>3924.9</v>
      </c>
      <c r="L3149" s="25">
        <v>2.8</v>
      </c>
      <c r="M3149" s="24">
        <v>44856</v>
      </c>
      <c r="N3149" s="25">
        <f>IFERROR(T_reg.root.SK[[#This Row],[Price]]/T_reg.root.SK[[#This Row],[Starch content]],"")</f>
        <v>11.428571428571429</v>
      </c>
    </row>
    <row r="3150" spans="1:14">
      <c r="A3150" s="21">
        <v>2024</v>
      </c>
      <c r="B3150" s="21" t="s">
        <v>23</v>
      </c>
      <c r="C3150" s="21" t="s">
        <v>1145</v>
      </c>
      <c r="D3150" s="21" t="s">
        <v>35</v>
      </c>
      <c r="E3150" s="18" t="s">
        <v>116</v>
      </c>
      <c r="F3150" s="18" t="s">
        <v>105</v>
      </c>
      <c r="G3150" s="18" t="s">
        <v>48</v>
      </c>
      <c r="H3150" s="24">
        <v>14200</v>
      </c>
      <c r="I3150" s="24">
        <f>T_reg.root.SK[[#This Row],[Volume, kg]]/1000</f>
        <v>14.2</v>
      </c>
      <c r="J3150" s="25">
        <v>0.26890000000000003</v>
      </c>
      <c r="K3150" s="25">
        <f t="shared" si="49"/>
        <v>3818.3800000000006</v>
      </c>
      <c r="L3150" s="25">
        <v>2.86</v>
      </c>
      <c r="M3150" s="24">
        <v>40662</v>
      </c>
      <c r="N3150" s="25">
        <f>IFERROR(T_reg.root.SK[[#This Row],[Price]]/T_reg.root.SK[[#This Row],[Starch content]],"")</f>
        <v>10.635924135366306</v>
      </c>
    </row>
    <row r="3151" spans="1:14">
      <c r="A3151" s="21">
        <v>2024</v>
      </c>
      <c r="B3151" s="21" t="s">
        <v>23</v>
      </c>
      <c r="C3151" s="21" t="s">
        <v>1145</v>
      </c>
      <c r="D3151" s="21" t="s">
        <v>35</v>
      </c>
      <c r="E3151" s="18" t="s">
        <v>296</v>
      </c>
      <c r="F3151" s="18" t="s">
        <v>105</v>
      </c>
      <c r="G3151" s="18" t="s">
        <v>48</v>
      </c>
      <c r="H3151" s="24">
        <v>65180</v>
      </c>
      <c r="I3151" s="24">
        <f>T_reg.root.SK[[#This Row],[Volume, kg]]/1000</f>
        <v>65.180000000000007</v>
      </c>
      <c r="J3151" s="25">
        <v>0.1699</v>
      </c>
      <c r="K3151" s="25">
        <f t="shared" si="49"/>
        <v>11074.082</v>
      </c>
      <c r="L3151" s="25">
        <v>2.36</v>
      </c>
      <c r="M3151" s="24">
        <v>153796.5</v>
      </c>
      <c r="N3151" s="25">
        <f>IFERROR(T_reg.root.SK[[#This Row],[Price]]/T_reg.root.SK[[#This Row],[Starch content]],"")</f>
        <v>13.8905238375515</v>
      </c>
    </row>
    <row r="3152" spans="1:14">
      <c r="A3152" s="21">
        <v>2024</v>
      </c>
      <c r="B3152" s="21" t="s">
        <v>23</v>
      </c>
      <c r="C3152" s="21" t="s">
        <v>1145</v>
      </c>
      <c r="D3152" s="21" t="s">
        <v>35</v>
      </c>
      <c r="E3152" s="18" t="s">
        <v>753</v>
      </c>
      <c r="F3152" s="18" t="s">
        <v>105</v>
      </c>
      <c r="G3152" s="18" t="s">
        <v>48</v>
      </c>
      <c r="H3152" s="24">
        <v>17740</v>
      </c>
      <c r="I3152" s="24">
        <f>T_reg.root.SK[[#This Row],[Volume, kg]]/1000</f>
        <v>17.739999999999998</v>
      </c>
      <c r="J3152" s="25">
        <v>0.1331</v>
      </c>
      <c r="K3152" s="25">
        <f t="shared" si="49"/>
        <v>2361.194</v>
      </c>
      <c r="L3152" s="25">
        <v>2.15</v>
      </c>
      <c r="M3152" s="24">
        <v>38141</v>
      </c>
      <c r="N3152" s="25">
        <f>IFERROR(T_reg.root.SK[[#This Row],[Price]]/T_reg.root.SK[[#This Row],[Starch content]],"")</f>
        <v>16.153268219383921</v>
      </c>
    </row>
    <row r="3153" spans="1:14">
      <c r="A3153" s="21">
        <v>2024</v>
      </c>
      <c r="B3153" s="21" t="s">
        <v>23</v>
      </c>
      <c r="C3153" s="21" t="s">
        <v>1145</v>
      </c>
      <c r="D3153" s="21" t="s">
        <v>35</v>
      </c>
      <c r="E3153" s="18" t="s">
        <v>117</v>
      </c>
      <c r="F3153" s="18" t="s">
        <v>105</v>
      </c>
      <c r="G3153" s="18" t="s">
        <v>48</v>
      </c>
      <c r="H3153" s="24">
        <v>7490</v>
      </c>
      <c r="I3153" s="24">
        <f>T_reg.root.SK[[#This Row],[Volume, kg]]/1000</f>
        <v>7.49</v>
      </c>
      <c r="J3153" s="25">
        <v>0.2445</v>
      </c>
      <c r="K3153" s="25">
        <f t="shared" si="49"/>
        <v>1831.3050000000001</v>
      </c>
      <c r="L3153" s="25">
        <v>2.75</v>
      </c>
      <c r="M3153" s="24">
        <v>20597.5</v>
      </c>
      <c r="N3153" s="25">
        <f>IFERROR(T_reg.root.SK[[#This Row],[Price]]/T_reg.root.SK[[#This Row],[Starch content]],"")</f>
        <v>11.247443762781186</v>
      </c>
    </row>
    <row r="3154" spans="1:14">
      <c r="A3154" s="21">
        <v>2024</v>
      </c>
      <c r="B3154" s="21" t="s">
        <v>23</v>
      </c>
      <c r="C3154" s="21" t="s">
        <v>1145</v>
      </c>
      <c r="D3154" s="21" t="s">
        <v>35</v>
      </c>
      <c r="E3154" s="18" t="s">
        <v>297</v>
      </c>
      <c r="F3154" s="18" t="s">
        <v>105</v>
      </c>
      <c r="G3154" s="18" t="s">
        <v>48</v>
      </c>
      <c r="H3154" s="24">
        <v>18040</v>
      </c>
      <c r="I3154" s="24">
        <f>T_reg.root.SK[[#This Row],[Volume, kg]]/1000</f>
        <v>18.04</v>
      </c>
      <c r="J3154" s="25">
        <v>0.1784</v>
      </c>
      <c r="K3154" s="25">
        <f t="shared" si="49"/>
        <v>3218.3360000000002</v>
      </c>
      <c r="L3154" s="25">
        <v>2.42</v>
      </c>
      <c r="M3154" s="24">
        <v>43581</v>
      </c>
      <c r="N3154" s="25">
        <f>IFERROR(T_reg.root.SK[[#This Row],[Price]]/T_reg.root.SK[[#This Row],[Starch content]],"")</f>
        <v>13.565022421524663</v>
      </c>
    </row>
    <row r="3155" spans="1:14">
      <c r="A3155" s="21">
        <v>2024</v>
      </c>
      <c r="B3155" s="21" t="s">
        <v>23</v>
      </c>
      <c r="C3155" s="21" t="s">
        <v>1145</v>
      </c>
      <c r="D3155" s="21" t="s">
        <v>35</v>
      </c>
      <c r="E3155" s="18" t="s">
        <v>769</v>
      </c>
      <c r="F3155" s="18" t="s">
        <v>105</v>
      </c>
      <c r="G3155" s="18" t="s">
        <v>48</v>
      </c>
      <c r="H3155" s="24">
        <v>8360</v>
      </c>
      <c r="I3155" s="24">
        <f>T_reg.root.SK[[#This Row],[Volume, kg]]/1000</f>
        <v>8.36</v>
      </c>
      <c r="J3155" s="25">
        <v>0.1855</v>
      </c>
      <c r="K3155" s="25">
        <f t="shared" si="49"/>
        <v>1550.78</v>
      </c>
      <c r="L3155" s="25">
        <v>2.4500000000000002</v>
      </c>
      <c r="M3155" s="24">
        <v>20482</v>
      </c>
      <c r="N3155" s="25">
        <f>IFERROR(T_reg.root.SK[[#This Row],[Price]]/T_reg.root.SK[[#This Row],[Starch content]],"")</f>
        <v>13.207547169811322</v>
      </c>
    </row>
    <row r="3156" spans="1:14">
      <c r="A3156" s="21">
        <v>2024</v>
      </c>
      <c r="B3156" s="21" t="s">
        <v>23</v>
      </c>
      <c r="C3156" s="21" t="s">
        <v>1145</v>
      </c>
      <c r="D3156" s="21" t="s">
        <v>35</v>
      </c>
      <c r="E3156" s="18" t="s">
        <v>118</v>
      </c>
      <c r="F3156" s="18" t="s">
        <v>105</v>
      </c>
      <c r="G3156" s="18" t="s">
        <v>48</v>
      </c>
      <c r="H3156" s="24">
        <v>225080</v>
      </c>
      <c r="I3156" s="24">
        <f>T_reg.root.SK[[#This Row],[Volume, kg]]/1000</f>
        <v>225.08</v>
      </c>
      <c r="J3156" s="25">
        <v>0.188</v>
      </c>
      <c r="K3156" s="25">
        <f t="shared" si="49"/>
        <v>42315.040000000001</v>
      </c>
      <c r="L3156" s="25">
        <v>2.4700000000000002</v>
      </c>
      <c r="M3156" s="24">
        <v>556637.5</v>
      </c>
      <c r="N3156" s="25">
        <f>IFERROR(T_reg.root.SK[[#This Row],[Price]]/T_reg.root.SK[[#This Row],[Starch content]],"")</f>
        <v>13.138297872340427</v>
      </c>
    </row>
    <row r="3157" spans="1:14">
      <c r="A3157" s="21">
        <v>2024</v>
      </c>
      <c r="B3157" s="21" t="s">
        <v>23</v>
      </c>
      <c r="C3157" s="21" t="s">
        <v>1145</v>
      </c>
      <c r="D3157" s="21" t="s">
        <v>35</v>
      </c>
      <c r="E3157" s="18" t="s">
        <v>485</v>
      </c>
      <c r="F3157" s="18" t="s">
        <v>105</v>
      </c>
      <c r="G3157" s="18" t="s">
        <v>48</v>
      </c>
      <c r="H3157" s="24">
        <v>50780</v>
      </c>
      <c r="I3157" s="24">
        <f>T_reg.root.SK[[#This Row],[Volume, kg]]/1000</f>
        <v>50.78</v>
      </c>
      <c r="J3157" s="25">
        <v>0.21289999999999998</v>
      </c>
      <c r="K3157" s="25">
        <f t="shared" si="49"/>
        <v>10811.061999999998</v>
      </c>
      <c r="L3157" s="25">
        <v>2.62</v>
      </c>
      <c r="M3157" s="24">
        <v>132953</v>
      </c>
      <c r="N3157" s="25">
        <f>IFERROR(T_reg.root.SK[[#This Row],[Price]]/T_reg.root.SK[[#This Row],[Starch content]],"")</f>
        <v>12.306247064349462</v>
      </c>
    </row>
    <row r="3158" spans="1:14">
      <c r="A3158" s="21">
        <v>2024</v>
      </c>
      <c r="B3158" s="21" t="s">
        <v>23</v>
      </c>
      <c r="C3158" s="21" t="s">
        <v>1145</v>
      </c>
      <c r="D3158" s="21" t="s">
        <v>35</v>
      </c>
      <c r="E3158" s="18" t="s">
        <v>120</v>
      </c>
      <c r="F3158" s="18" t="s">
        <v>105</v>
      </c>
      <c r="G3158" s="18" t="s">
        <v>48</v>
      </c>
      <c r="H3158" s="24">
        <v>0</v>
      </c>
      <c r="I3158" s="24">
        <f>T_reg.root.SK[[#This Row],[Volume, kg]]/1000</f>
        <v>0</v>
      </c>
      <c r="J3158" s="25">
        <v>0</v>
      </c>
      <c r="K3158" s="25">
        <f t="shared" si="49"/>
        <v>0</v>
      </c>
      <c r="L3158" s="25">
        <v>0</v>
      </c>
      <c r="M3158" s="24">
        <v>0</v>
      </c>
      <c r="N3158" s="25" t="str">
        <f>IFERROR(T_reg.root.SK[[#This Row],[Price]]/T_reg.root.SK[[#This Row],[Starch content]],"")</f>
        <v/>
      </c>
    </row>
    <row r="3159" spans="1:14">
      <c r="A3159" s="21">
        <v>2024</v>
      </c>
      <c r="B3159" s="21" t="s">
        <v>23</v>
      </c>
      <c r="C3159" s="21" t="s">
        <v>1145</v>
      </c>
      <c r="D3159" s="21" t="s">
        <v>35</v>
      </c>
      <c r="E3159" s="18" t="s">
        <v>121</v>
      </c>
      <c r="F3159" s="18" t="s">
        <v>105</v>
      </c>
      <c r="G3159" s="18" t="s">
        <v>48</v>
      </c>
      <c r="H3159" s="24">
        <v>135390</v>
      </c>
      <c r="I3159" s="24">
        <f>T_reg.root.SK[[#This Row],[Volume, kg]]/1000</f>
        <v>135.38999999999999</v>
      </c>
      <c r="J3159" s="25">
        <v>0.1971</v>
      </c>
      <c r="K3159" s="25">
        <f t="shared" si="49"/>
        <v>26685.368999999999</v>
      </c>
      <c r="L3159" s="25">
        <v>2.5099999999999998</v>
      </c>
      <c r="M3159" s="24">
        <v>339391.5</v>
      </c>
      <c r="N3159" s="25">
        <f>IFERROR(T_reg.root.SK[[#This Row],[Price]]/T_reg.root.SK[[#This Row],[Starch content]],"")</f>
        <v>12.734652460679857</v>
      </c>
    </row>
    <row r="3160" spans="1:14">
      <c r="A3160" s="21">
        <v>2024</v>
      </c>
      <c r="B3160" s="21" t="s">
        <v>23</v>
      </c>
      <c r="C3160" s="21" t="s">
        <v>1145</v>
      </c>
      <c r="D3160" s="21" t="s">
        <v>35</v>
      </c>
      <c r="E3160" s="18" t="s">
        <v>122</v>
      </c>
      <c r="F3160" s="18" t="s">
        <v>105</v>
      </c>
      <c r="G3160" s="18" t="s">
        <v>48</v>
      </c>
      <c r="H3160" s="24">
        <v>74340</v>
      </c>
      <c r="I3160" s="24">
        <f>T_reg.root.SK[[#This Row],[Volume, kg]]/1000</f>
        <v>74.34</v>
      </c>
      <c r="J3160" s="25">
        <v>0.16329999999999997</v>
      </c>
      <c r="K3160" s="25">
        <f t="shared" si="49"/>
        <v>12139.721999999998</v>
      </c>
      <c r="L3160" s="25">
        <v>2.35</v>
      </c>
      <c r="M3160" s="24">
        <v>174366.5</v>
      </c>
      <c r="N3160" s="25">
        <f>IFERROR(T_reg.root.SK[[#This Row],[Price]]/T_reg.root.SK[[#This Row],[Starch content]],"")</f>
        <v>14.390691977954688</v>
      </c>
    </row>
    <row r="3161" spans="1:14">
      <c r="A3161" s="21">
        <v>2024</v>
      </c>
      <c r="B3161" s="21" t="s">
        <v>23</v>
      </c>
      <c r="C3161" s="21" t="s">
        <v>1145</v>
      </c>
      <c r="D3161" s="21" t="s">
        <v>35</v>
      </c>
      <c r="E3161" s="18" t="s">
        <v>562</v>
      </c>
      <c r="F3161" s="18" t="s">
        <v>105</v>
      </c>
      <c r="G3161" s="18" t="s">
        <v>48</v>
      </c>
      <c r="H3161" s="24">
        <v>2870</v>
      </c>
      <c r="I3161" s="24">
        <f>T_reg.root.SK[[#This Row],[Volume, kg]]/1000</f>
        <v>2.87</v>
      </c>
      <c r="J3161" s="25">
        <v>0.17699999999999999</v>
      </c>
      <c r="K3161" s="25">
        <f t="shared" si="49"/>
        <v>507.98999999999995</v>
      </c>
      <c r="L3161" s="25">
        <v>2.4500000000000002</v>
      </c>
      <c r="M3161" s="24">
        <v>7031.5</v>
      </c>
      <c r="N3161" s="25">
        <f>IFERROR(T_reg.root.SK[[#This Row],[Price]]/T_reg.root.SK[[#This Row],[Starch content]],"")</f>
        <v>13.841807909604521</v>
      </c>
    </row>
    <row r="3162" spans="1:14">
      <c r="A3162" s="21">
        <v>2024</v>
      </c>
      <c r="B3162" s="21" t="s">
        <v>23</v>
      </c>
      <c r="C3162" s="21" t="s">
        <v>1145</v>
      </c>
      <c r="D3162" s="21" t="s">
        <v>35</v>
      </c>
      <c r="E3162" s="18" t="s">
        <v>123</v>
      </c>
      <c r="F3162" s="18" t="s">
        <v>105</v>
      </c>
      <c r="G3162" s="18" t="s">
        <v>48</v>
      </c>
      <c r="H3162" s="24">
        <v>5170</v>
      </c>
      <c r="I3162" s="24">
        <f>T_reg.root.SK[[#This Row],[Volume, kg]]/1000</f>
        <v>5.17</v>
      </c>
      <c r="J3162" s="25">
        <v>0.17249999999999999</v>
      </c>
      <c r="K3162" s="25">
        <f t="shared" si="49"/>
        <v>891.82499999999993</v>
      </c>
      <c r="L3162" s="25">
        <v>2.35</v>
      </c>
      <c r="M3162" s="24">
        <v>12149.5</v>
      </c>
      <c r="N3162" s="25">
        <f>IFERROR(T_reg.root.SK[[#This Row],[Price]]/T_reg.root.SK[[#This Row],[Starch content]],"")</f>
        <v>13.623188405797103</v>
      </c>
    </row>
    <row r="3163" spans="1:14">
      <c r="A3163" s="21">
        <v>2024</v>
      </c>
      <c r="B3163" s="21" t="s">
        <v>23</v>
      </c>
      <c r="C3163" s="21" t="s">
        <v>1145</v>
      </c>
      <c r="D3163" s="21" t="s">
        <v>35</v>
      </c>
      <c r="E3163" s="18" t="s">
        <v>124</v>
      </c>
      <c r="F3163" s="18" t="s">
        <v>105</v>
      </c>
      <c r="G3163" s="18" t="s">
        <v>48</v>
      </c>
      <c r="H3163" s="24">
        <v>122710</v>
      </c>
      <c r="I3163" s="24">
        <f>T_reg.root.SK[[#This Row],[Volume, kg]]/1000</f>
        <v>122.71</v>
      </c>
      <c r="J3163" s="25">
        <v>0.18100000000000002</v>
      </c>
      <c r="K3163" s="25">
        <f t="shared" si="49"/>
        <v>22210.510000000002</v>
      </c>
      <c r="L3163" s="25">
        <v>2.44</v>
      </c>
      <c r="M3163" s="24">
        <v>299934.5</v>
      </c>
      <c r="N3163" s="25">
        <f>IFERROR(T_reg.root.SK[[#This Row],[Price]]/T_reg.root.SK[[#This Row],[Starch content]],"")</f>
        <v>13.480662983425413</v>
      </c>
    </row>
    <row r="3164" spans="1:14">
      <c r="A3164" s="21">
        <v>2024</v>
      </c>
      <c r="B3164" s="21" t="s">
        <v>23</v>
      </c>
      <c r="C3164" s="21" t="s">
        <v>1145</v>
      </c>
      <c r="D3164" s="21" t="s">
        <v>35</v>
      </c>
      <c r="E3164" s="18" t="s">
        <v>404</v>
      </c>
      <c r="F3164" s="18" t="s">
        <v>105</v>
      </c>
      <c r="G3164" s="18" t="s">
        <v>48</v>
      </c>
      <c r="H3164" s="24">
        <v>59790</v>
      </c>
      <c r="I3164" s="24">
        <f>T_reg.root.SK[[#This Row],[Volume, kg]]/1000</f>
        <v>59.79</v>
      </c>
      <c r="J3164" s="25">
        <v>0.18030000000000002</v>
      </c>
      <c r="K3164" s="25">
        <f t="shared" si="49"/>
        <v>10780.137000000001</v>
      </c>
      <c r="L3164" s="25">
        <v>2.4300000000000002</v>
      </c>
      <c r="M3164" s="24">
        <v>145349.5</v>
      </c>
      <c r="N3164" s="25">
        <f>IFERROR(T_reg.root.SK[[#This Row],[Price]]/T_reg.root.SK[[#This Row],[Starch content]],"")</f>
        <v>13.477537437603994</v>
      </c>
    </row>
    <row r="3165" spans="1:14">
      <c r="A3165" s="21">
        <v>2024</v>
      </c>
      <c r="B3165" s="21" t="s">
        <v>23</v>
      </c>
      <c r="C3165" s="21" t="s">
        <v>1145</v>
      </c>
      <c r="D3165" s="21" t="s">
        <v>35</v>
      </c>
      <c r="E3165" s="18" t="s">
        <v>616</v>
      </c>
      <c r="F3165" s="18" t="s">
        <v>105</v>
      </c>
      <c r="G3165" s="18" t="s">
        <v>48</v>
      </c>
      <c r="H3165" s="24">
        <v>13720</v>
      </c>
      <c r="I3165" s="24">
        <f>T_reg.root.SK[[#This Row],[Volume, kg]]/1000</f>
        <v>13.72</v>
      </c>
      <c r="J3165" s="25">
        <v>0.23129999999999998</v>
      </c>
      <c r="K3165" s="25">
        <f t="shared" si="49"/>
        <v>3173.4359999999997</v>
      </c>
      <c r="L3165" s="25">
        <v>2.7</v>
      </c>
      <c r="M3165" s="24">
        <v>37044</v>
      </c>
      <c r="N3165" s="25">
        <f>IFERROR(T_reg.root.SK[[#This Row],[Price]]/T_reg.root.SK[[#This Row],[Starch content]],"")</f>
        <v>11.673151750972764</v>
      </c>
    </row>
    <row r="3166" spans="1:14">
      <c r="A3166" s="21">
        <v>2024</v>
      </c>
      <c r="B3166" s="21" t="s">
        <v>23</v>
      </c>
      <c r="C3166" s="21" t="s">
        <v>1145</v>
      </c>
      <c r="D3166" s="21" t="s">
        <v>35</v>
      </c>
      <c r="E3166" s="18" t="s">
        <v>486</v>
      </c>
      <c r="F3166" s="18" t="s">
        <v>105</v>
      </c>
      <c r="G3166" s="18" t="s">
        <v>48</v>
      </c>
      <c r="H3166" s="24">
        <v>24510</v>
      </c>
      <c r="I3166" s="24">
        <f>T_reg.root.SK[[#This Row],[Volume, kg]]/1000</f>
        <v>24.51</v>
      </c>
      <c r="J3166" s="25">
        <v>0.16829999999999998</v>
      </c>
      <c r="K3166" s="25">
        <f t="shared" si="49"/>
        <v>4125.0329999999994</v>
      </c>
      <c r="L3166" s="25">
        <v>2.33</v>
      </c>
      <c r="M3166" s="24">
        <v>57046.5</v>
      </c>
      <c r="N3166" s="25">
        <f>IFERROR(T_reg.root.SK[[#This Row],[Price]]/T_reg.root.SK[[#This Row],[Starch content]],"")</f>
        <v>13.844325609031493</v>
      </c>
    </row>
    <row r="3167" spans="1:14">
      <c r="A3167" s="21">
        <v>2024</v>
      </c>
      <c r="B3167" s="21" t="s">
        <v>23</v>
      </c>
      <c r="C3167" s="21" t="s">
        <v>1145</v>
      </c>
      <c r="D3167" s="21" t="s">
        <v>35</v>
      </c>
      <c r="E3167" s="18" t="s">
        <v>487</v>
      </c>
      <c r="F3167" s="18" t="s">
        <v>105</v>
      </c>
      <c r="G3167" s="18" t="s">
        <v>48</v>
      </c>
      <c r="H3167" s="24">
        <v>99110</v>
      </c>
      <c r="I3167" s="24">
        <f>T_reg.root.SK[[#This Row],[Volume, kg]]/1000</f>
        <v>99.11</v>
      </c>
      <c r="J3167" s="25">
        <v>0.22059999999999999</v>
      </c>
      <c r="K3167" s="25">
        <f t="shared" si="49"/>
        <v>21863.665999999997</v>
      </c>
      <c r="L3167" s="25">
        <v>2.63</v>
      </c>
      <c r="M3167" s="24">
        <v>260447</v>
      </c>
      <c r="N3167" s="25">
        <f>IFERROR(T_reg.root.SK[[#This Row],[Price]]/T_reg.root.SK[[#This Row],[Starch content]],"")</f>
        <v>11.922030825022665</v>
      </c>
    </row>
    <row r="3168" spans="1:14">
      <c r="A3168" s="21">
        <v>2024</v>
      </c>
      <c r="B3168" s="21" t="s">
        <v>23</v>
      </c>
      <c r="C3168" s="21" t="s">
        <v>1145</v>
      </c>
      <c r="D3168" s="21" t="s">
        <v>35</v>
      </c>
      <c r="E3168" s="18" t="s">
        <v>716</v>
      </c>
      <c r="F3168" s="18" t="s">
        <v>105</v>
      </c>
      <c r="G3168" s="18" t="s">
        <v>48</v>
      </c>
      <c r="H3168" s="24">
        <v>7320</v>
      </c>
      <c r="I3168" s="24">
        <f>T_reg.root.SK[[#This Row],[Volume, kg]]/1000</f>
        <v>7.32</v>
      </c>
      <c r="J3168" s="25">
        <v>0.18030000000000002</v>
      </c>
      <c r="K3168" s="25">
        <f t="shared" si="49"/>
        <v>1319.796</v>
      </c>
      <c r="L3168" s="25">
        <v>2.4</v>
      </c>
      <c r="M3168" s="24">
        <v>17538</v>
      </c>
      <c r="N3168" s="25">
        <f>IFERROR(T_reg.root.SK[[#This Row],[Price]]/T_reg.root.SK[[#This Row],[Starch content]],"")</f>
        <v>13.311148086522461</v>
      </c>
    </row>
    <row r="3169" spans="1:14">
      <c r="A3169" s="21">
        <v>2024</v>
      </c>
      <c r="B3169" s="21" t="s">
        <v>23</v>
      </c>
      <c r="C3169" s="21" t="s">
        <v>1145</v>
      </c>
      <c r="D3169" s="21" t="s">
        <v>35</v>
      </c>
      <c r="E3169" s="18" t="s">
        <v>736</v>
      </c>
      <c r="F3169" s="18" t="s">
        <v>105</v>
      </c>
      <c r="G3169" s="18" t="s">
        <v>48</v>
      </c>
      <c r="H3169" s="24">
        <v>0</v>
      </c>
      <c r="I3169" s="24">
        <f>T_reg.root.SK[[#This Row],[Volume, kg]]/1000</f>
        <v>0</v>
      </c>
      <c r="J3169" s="25">
        <v>0</v>
      </c>
      <c r="K3169" s="25">
        <f t="shared" si="49"/>
        <v>0</v>
      </c>
      <c r="L3169" s="25">
        <v>0</v>
      </c>
      <c r="M3169" s="24">
        <v>0</v>
      </c>
      <c r="N3169" s="25" t="str">
        <f>IFERROR(T_reg.root.SK[[#This Row],[Price]]/T_reg.root.SK[[#This Row],[Starch content]],"")</f>
        <v/>
      </c>
    </row>
    <row r="3170" spans="1:14">
      <c r="A3170" s="21">
        <v>2024</v>
      </c>
      <c r="B3170" s="21" t="s">
        <v>23</v>
      </c>
      <c r="C3170" s="21" t="s">
        <v>1145</v>
      </c>
      <c r="D3170" s="21" t="s">
        <v>35</v>
      </c>
      <c r="E3170" s="18" t="s">
        <v>126</v>
      </c>
      <c r="F3170" s="18" t="s">
        <v>105</v>
      </c>
      <c r="G3170" s="18" t="s">
        <v>48</v>
      </c>
      <c r="H3170" s="24">
        <v>9160</v>
      </c>
      <c r="I3170" s="24">
        <f>T_reg.root.SK[[#This Row],[Volume, kg]]/1000</f>
        <v>9.16</v>
      </c>
      <c r="J3170" s="25">
        <v>0.14849999999999999</v>
      </c>
      <c r="K3170" s="25">
        <f t="shared" si="49"/>
        <v>1360.26</v>
      </c>
      <c r="L3170" s="25">
        <v>2.25</v>
      </c>
      <c r="M3170" s="24">
        <v>20610</v>
      </c>
      <c r="N3170" s="25">
        <f>IFERROR(T_reg.root.SK[[#This Row],[Price]]/T_reg.root.SK[[#This Row],[Starch content]],"")</f>
        <v>15.151515151515152</v>
      </c>
    </row>
    <row r="3171" spans="1:14">
      <c r="A3171" s="21">
        <v>2024</v>
      </c>
      <c r="B3171" s="21" t="s">
        <v>23</v>
      </c>
      <c r="C3171" s="21" t="s">
        <v>1145</v>
      </c>
      <c r="D3171" s="21" t="s">
        <v>35</v>
      </c>
      <c r="E3171" s="18" t="s">
        <v>770</v>
      </c>
      <c r="F3171" s="18" t="s">
        <v>105</v>
      </c>
      <c r="G3171" s="18" t="s">
        <v>48</v>
      </c>
      <c r="H3171" s="24">
        <v>2440</v>
      </c>
      <c r="I3171" s="24">
        <f>T_reg.root.SK[[#This Row],[Volume, kg]]/1000</f>
        <v>2.44</v>
      </c>
      <c r="J3171" s="25">
        <v>0.19699999999999998</v>
      </c>
      <c r="K3171" s="25">
        <f t="shared" si="49"/>
        <v>480.67999999999995</v>
      </c>
      <c r="L3171" s="25">
        <v>2.5499999999999998</v>
      </c>
      <c r="M3171" s="24">
        <v>6222</v>
      </c>
      <c r="N3171" s="25">
        <f>IFERROR(T_reg.root.SK[[#This Row],[Price]]/T_reg.root.SK[[#This Row],[Starch content]],"")</f>
        <v>12.944162436548224</v>
      </c>
    </row>
    <row r="3172" spans="1:14">
      <c r="A3172" s="21">
        <v>2024</v>
      </c>
      <c r="B3172" s="21" t="s">
        <v>23</v>
      </c>
      <c r="C3172" s="21" t="s">
        <v>1145</v>
      </c>
      <c r="D3172" s="21" t="s">
        <v>35</v>
      </c>
      <c r="E3172" s="18" t="s">
        <v>489</v>
      </c>
      <c r="F3172" s="18" t="s">
        <v>105</v>
      </c>
      <c r="G3172" s="18" t="s">
        <v>48</v>
      </c>
      <c r="H3172" s="24">
        <v>78630</v>
      </c>
      <c r="I3172" s="24">
        <f>T_reg.root.SK[[#This Row],[Volume, kg]]/1000</f>
        <v>78.63</v>
      </c>
      <c r="J3172" s="25">
        <v>0.20809999999999998</v>
      </c>
      <c r="K3172" s="25">
        <f t="shared" si="49"/>
        <v>16362.902999999998</v>
      </c>
      <c r="L3172" s="25">
        <v>2.5499999999999998</v>
      </c>
      <c r="M3172" s="24">
        <v>200480.5</v>
      </c>
      <c r="N3172" s="25">
        <f>IFERROR(T_reg.root.SK[[#This Row],[Price]]/T_reg.root.SK[[#This Row],[Starch content]],"")</f>
        <v>12.253724171071601</v>
      </c>
    </row>
    <row r="3173" spans="1:14">
      <c r="A3173" s="21">
        <v>2024</v>
      </c>
      <c r="B3173" s="21" t="s">
        <v>23</v>
      </c>
      <c r="C3173" s="21" t="s">
        <v>1145</v>
      </c>
      <c r="D3173" s="21" t="s">
        <v>35</v>
      </c>
      <c r="E3173" s="18" t="s">
        <v>755</v>
      </c>
      <c r="F3173" s="18" t="s">
        <v>105</v>
      </c>
      <c r="G3173" s="18" t="s">
        <v>48</v>
      </c>
      <c r="H3173" s="24">
        <v>8400</v>
      </c>
      <c r="I3173" s="24">
        <f>T_reg.root.SK[[#This Row],[Volume, kg]]/1000</f>
        <v>8.4</v>
      </c>
      <c r="J3173" s="25">
        <v>0.19850000000000001</v>
      </c>
      <c r="K3173" s="25">
        <f t="shared" si="49"/>
        <v>1667.4</v>
      </c>
      <c r="L3173" s="25">
        <v>2.5</v>
      </c>
      <c r="M3173" s="24">
        <v>21000</v>
      </c>
      <c r="N3173" s="25">
        <f>IFERROR(T_reg.root.SK[[#This Row],[Price]]/T_reg.root.SK[[#This Row],[Starch content]],"")</f>
        <v>12.594458438287154</v>
      </c>
    </row>
    <row r="3174" spans="1:14">
      <c r="A3174" s="21">
        <v>2024</v>
      </c>
      <c r="B3174" s="21" t="s">
        <v>23</v>
      </c>
      <c r="C3174" s="21" t="s">
        <v>1145</v>
      </c>
      <c r="D3174" s="21" t="s">
        <v>35</v>
      </c>
      <c r="E3174" s="18" t="s">
        <v>492</v>
      </c>
      <c r="F3174" s="18" t="s">
        <v>105</v>
      </c>
      <c r="G3174" s="18" t="s">
        <v>48</v>
      </c>
      <c r="H3174" s="24">
        <v>89520</v>
      </c>
      <c r="I3174" s="24">
        <f>T_reg.root.SK[[#This Row],[Volume, kg]]/1000</f>
        <v>89.52</v>
      </c>
      <c r="J3174" s="25">
        <v>0.20449999999999999</v>
      </c>
      <c r="K3174" s="25">
        <f t="shared" si="49"/>
        <v>18306.84</v>
      </c>
      <c r="L3174" s="25">
        <v>2.5299999999999998</v>
      </c>
      <c r="M3174" s="24">
        <v>226597</v>
      </c>
      <c r="N3174" s="25">
        <f>IFERROR(T_reg.root.SK[[#This Row],[Price]]/T_reg.root.SK[[#This Row],[Starch content]],"")</f>
        <v>12.37163814180929</v>
      </c>
    </row>
    <row r="3175" spans="1:14">
      <c r="A3175" s="21">
        <v>2024</v>
      </c>
      <c r="B3175" s="21" t="s">
        <v>23</v>
      </c>
      <c r="C3175" s="21" t="s">
        <v>1145</v>
      </c>
      <c r="D3175" s="21" t="s">
        <v>35</v>
      </c>
      <c r="E3175" s="18" t="s">
        <v>682</v>
      </c>
      <c r="F3175" s="18" t="s">
        <v>105</v>
      </c>
      <c r="G3175" s="18" t="s">
        <v>48</v>
      </c>
      <c r="H3175" s="24">
        <v>9500</v>
      </c>
      <c r="I3175" s="24">
        <f>T_reg.root.SK[[#This Row],[Volume, kg]]/1000</f>
        <v>9.5</v>
      </c>
      <c r="J3175" s="25">
        <v>0.2009</v>
      </c>
      <c r="K3175" s="25">
        <f t="shared" si="49"/>
        <v>1908.55</v>
      </c>
      <c r="L3175" s="25">
        <v>2.56</v>
      </c>
      <c r="M3175" s="24">
        <v>24335</v>
      </c>
      <c r="N3175" s="25">
        <f>IFERROR(T_reg.root.SK[[#This Row],[Price]]/T_reg.root.SK[[#This Row],[Starch content]],"")</f>
        <v>12.742658038825287</v>
      </c>
    </row>
    <row r="3176" spans="1:14">
      <c r="A3176" s="21">
        <v>2024</v>
      </c>
      <c r="B3176" s="21" t="s">
        <v>23</v>
      </c>
      <c r="C3176" s="21" t="s">
        <v>1145</v>
      </c>
      <c r="D3176" s="21" t="s">
        <v>35</v>
      </c>
      <c r="E3176" s="18" t="s">
        <v>136</v>
      </c>
      <c r="F3176" s="18" t="s">
        <v>105</v>
      </c>
      <c r="G3176" s="18" t="s">
        <v>48</v>
      </c>
      <c r="H3176" s="24">
        <v>6630</v>
      </c>
      <c r="I3176" s="24">
        <f>T_reg.root.SK[[#This Row],[Volume, kg]]/1000</f>
        <v>6.63</v>
      </c>
      <c r="J3176" s="25">
        <v>0.21299999999999999</v>
      </c>
      <c r="K3176" s="25">
        <f t="shared" si="49"/>
        <v>1412.19</v>
      </c>
      <c r="L3176" s="25">
        <v>2.6</v>
      </c>
      <c r="M3176" s="24">
        <v>17238</v>
      </c>
      <c r="N3176" s="25">
        <f>IFERROR(T_reg.root.SK[[#This Row],[Price]]/T_reg.root.SK[[#This Row],[Starch content]],"")</f>
        <v>12.206572769953052</v>
      </c>
    </row>
    <row r="3177" spans="1:14">
      <c r="A3177" s="21">
        <v>2024</v>
      </c>
      <c r="B3177" s="21" t="s">
        <v>23</v>
      </c>
      <c r="C3177" s="21" t="s">
        <v>1145</v>
      </c>
      <c r="D3177" s="21" t="s">
        <v>35</v>
      </c>
      <c r="E3177" s="18" t="s">
        <v>493</v>
      </c>
      <c r="F3177" s="18" t="s">
        <v>105</v>
      </c>
      <c r="G3177" s="18" t="s">
        <v>48</v>
      </c>
      <c r="H3177" s="24">
        <v>25540</v>
      </c>
      <c r="I3177" s="24">
        <f>T_reg.root.SK[[#This Row],[Volume, kg]]/1000</f>
        <v>25.54</v>
      </c>
      <c r="J3177" s="25">
        <v>0.1532</v>
      </c>
      <c r="K3177" s="25">
        <f t="shared" si="49"/>
        <v>3912.7280000000001</v>
      </c>
      <c r="L3177" s="25">
        <v>2.31</v>
      </c>
      <c r="M3177" s="24">
        <v>58912</v>
      </c>
      <c r="N3177" s="25">
        <f>IFERROR(T_reg.root.SK[[#This Row],[Price]]/T_reg.root.SK[[#This Row],[Starch content]],"")</f>
        <v>15.078328981723237</v>
      </c>
    </row>
    <row r="3178" spans="1:14">
      <c r="A3178" s="21">
        <v>2024</v>
      </c>
      <c r="B3178" s="21" t="s">
        <v>23</v>
      </c>
      <c r="C3178" s="21" t="s">
        <v>1145</v>
      </c>
      <c r="D3178" s="21" t="s">
        <v>35</v>
      </c>
      <c r="E3178" s="18" t="s">
        <v>242</v>
      </c>
      <c r="F3178" s="18" t="s">
        <v>105</v>
      </c>
      <c r="G3178" s="18" t="s">
        <v>48</v>
      </c>
      <c r="H3178" s="24">
        <v>22860</v>
      </c>
      <c r="I3178" s="24">
        <f>T_reg.root.SK[[#This Row],[Volume, kg]]/1000</f>
        <v>22.86</v>
      </c>
      <c r="J3178" s="25">
        <v>0.16879999999999998</v>
      </c>
      <c r="K3178" s="25">
        <f t="shared" si="49"/>
        <v>3858.7679999999996</v>
      </c>
      <c r="L3178" s="25">
        <v>2.35</v>
      </c>
      <c r="M3178" s="24">
        <v>53810.5</v>
      </c>
      <c r="N3178" s="25">
        <f>IFERROR(T_reg.root.SK[[#This Row],[Price]]/T_reg.root.SK[[#This Row],[Starch content]],"")</f>
        <v>13.9218009478673</v>
      </c>
    </row>
    <row r="3179" spans="1:14">
      <c r="A3179" s="21">
        <v>2024</v>
      </c>
      <c r="B3179" s="21" t="s">
        <v>23</v>
      </c>
      <c r="C3179" s="21" t="s">
        <v>1145</v>
      </c>
      <c r="D3179" s="21" t="s">
        <v>35</v>
      </c>
      <c r="E3179" s="18" t="s">
        <v>138</v>
      </c>
      <c r="F3179" s="18" t="s">
        <v>105</v>
      </c>
      <c r="G3179" s="18" t="s">
        <v>48</v>
      </c>
      <c r="H3179" s="24">
        <v>11790</v>
      </c>
      <c r="I3179" s="24">
        <f>T_reg.root.SK[[#This Row],[Volume, kg]]/1000</f>
        <v>11.79</v>
      </c>
      <c r="J3179" s="25">
        <v>0.18629999999999999</v>
      </c>
      <c r="K3179" s="25">
        <f t="shared" si="49"/>
        <v>2196.4769999999999</v>
      </c>
      <c r="L3179" s="25">
        <v>2.4300000000000002</v>
      </c>
      <c r="M3179" s="24">
        <v>28665</v>
      </c>
      <c r="N3179" s="25">
        <f>IFERROR(T_reg.root.SK[[#This Row],[Price]]/T_reg.root.SK[[#This Row],[Starch content]],"")</f>
        <v>13.043478260869566</v>
      </c>
    </row>
    <row r="3180" spans="1:14">
      <c r="A3180" s="21">
        <v>2024</v>
      </c>
      <c r="B3180" s="21" t="s">
        <v>23</v>
      </c>
      <c r="C3180" s="21" t="s">
        <v>1145</v>
      </c>
      <c r="D3180" s="21" t="s">
        <v>35</v>
      </c>
      <c r="E3180" s="18" t="s">
        <v>719</v>
      </c>
      <c r="F3180" s="18" t="s">
        <v>105</v>
      </c>
      <c r="G3180" s="18" t="s">
        <v>48</v>
      </c>
      <c r="H3180" s="24">
        <v>16000</v>
      </c>
      <c r="I3180" s="24">
        <f>T_reg.root.SK[[#This Row],[Volume, kg]]/1000</f>
        <v>16</v>
      </c>
      <c r="J3180" s="25">
        <v>0.18640000000000001</v>
      </c>
      <c r="K3180" s="25">
        <f t="shared" si="49"/>
        <v>2982.4</v>
      </c>
      <c r="L3180" s="25">
        <v>2.48</v>
      </c>
      <c r="M3180" s="24">
        <v>39632.5</v>
      </c>
      <c r="N3180" s="25">
        <f>IFERROR(T_reg.root.SK[[#This Row],[Price]]/T_reg.root.SK[[#This Row],[Starch content]],"")</f>
        <v>13.304721030042918</v>
      </c>
    </row>
    <row r="3181" spans="1:14">
      <c r="A3181" s="21">
        <v>2024</v>
      </c>
      <c r="B3181" s="21" t="s">
        <v>23</v>
      </c>
      <c r="C3181" s="21" t="s">
        <v>1145</v>
      </c>
      <c r="D3181" s="21" t="s">
        <v>35</v>
      </c>
      <c r="E3181" s="18" t="s">
        <v>495</v>
      </c>
      <c r="F3181" s="18" t="s">
        <v>105</v>
      </c>
      <c r="G3181" s="18" t="s">
        <v>48</v>
      </c>
      <c r="H3181" s="24">
        <v>3850</v>
      </c>
      <c r="I3181" s="24">
        <f>T_reg.root.SK[[#This Row],[Volume, kg]]/1000</f>
        <v>3.85</v>
      </c>
      <c r="J3181" s="25">
        <v>0.20699999999999999</v>
      </c>
      <c r="K3181" s="25">
        <f t="shared" si="49"/>
        <v>796.94999999999993</v>
      </c>
      <c r="L3181" s="25">
        <v>2.5499999999999998</v>
      </c>
      <c r="M3181" s="24">
        <v>9817.5</v>
      </c>
      <c r="N3181" s="25">
        <f>IFERROR(T_reg.root.SK[[#This Row],[Price]]/T_reg.root.SK[[#This Row],[Starch content]],"")</f>
        <v>12.318840579710145</v>
      </c>
    </row>
    <row r="3182" spans="1:14">
      <c r="A3182" s="21">
        <v>2024</v>
      </c>
      <c r="B3182" s="21" t="s">
        <v>23</v>
      </c>
      <c r="C3182" s="21" t="s">
        <v>1145</v>
      </c>
      <c r="D3182" s="21" t="s">
        <v>35</v>
      </c>
      <c r="E3182" s="18" t="s">
        <v>307</v>
      </c>
      <c r="F3182" s="18" t="s">
        <v>105</v>
      </c>
      <c r="G3182" s="18" t="s">
        <v>48</v>
      </c>
      <c r="H3182" s="24">
        <v>39020</v>
      </c>
      <c r="I3182" s="24">
        <f>T_reg.root.SK[[#This Row],[Volume, kg]]/1000</f>
        <v>39.020000000000003</v>
      </c>
      <c r="J3182" s="25">
        <v>0.1739</v>
      </c>
      <c r="K3182" s="25">
        <f t="shared" si="49"/>
        <v>6785.5779999999995</v>
      </c>
      <c r="L3182" s="25">
        <v>2.41</v>
      </c>
      <c r="M3182" s="24">
        <v>94070.5</v>
      </c>
      <c r="N3182" s="25">
        <f>IFERROR(T_reg.root.SK[[#This Row],[Price]]/T_reg.root.SK[[#This Row],[Starch content]],"")</f>
        <v>13.858539390454284</v>
      </c>
    </row>
    <row r="3183" spans="1:14">
      <c r="A3183" s="21">
        <v>2024</v>
      </c>
      <c r="B3183" s="21" t="s">
        <v>23</v>
      </c>
      <c r="C3183" s="21" t="s">
        <v>1145</v>
      </c>
      <c r="D3183" s="21" t="s">
        <v>35</v>
      </c>
      <c r="E3183" s="18" t="s">
        <v>308</v>
      </c>
      <c r="F3183" s="18" t="s">
        <v>105</v>
      </c>
      <c r="G3183" s="18" t="s">
        <v>48</v>
      </c>
      <c r="H3183" s="24">
        <v>4210</v>
      </c>
      <c r="I3183" s="24">
        <f>T_reg.root.SK[[#This Row],[Volume, kg]]/1000</f>
        <v>4.21</v>
      </c>
      <c r="J3183" s="25">
        <v>0.1865</v>
      </c>
      <c r="K3183" s="25">
        <f t="shared" si="49"/>
        <v>785.16499999999996</v>
      </c>
      <c r="L3183" s="25">
        <v>2.4500000000000002</v>
      </c>
      <c r="M3183" s="24">
        <v>10314.5</v>
      </c>
      <c r="N3183" s="25">
        <f>IFERROR(T_reg.root.SK[[#This Row],[Price]]/T_reg.root.SK[[#This Row],[Starch content]],"")</f>
        <v>13.136729222520108</v>
      </c>
    </row>
    <row r="3184" spans="1:14">
      <c r="A3184" s="21">
        <v>2024</v>
      </c>
      <c r="B3184" s="21" t="s">
        <v>23</v>
      </c>
      <c r="C3184" s="21" t="s">
        <v>1145</v>
      </c>
      <c r="D3184" s="21" t="s">
        <v>35</v>
      </c>
      <c r="E3184" s="18" t="s">
        <v>244</v>
      </c>
      <c r="F3184" s="18" t="s">
        <v>105</v>
      </c>
      <c r="G3184" s="18" t="s">
        <v>48</v>
      </c>
      <c r="H3184" s="24">
        <v>4930</v>
      </c>
      <c r="I3184" s="24">
        <f>T_reg.root.SK[[#This Row],[Volume, kg]]/1000</f>
        <v>4.93</v>
      </c>
      <c r="J3184" s="25">
        <v>0.1515</v>
      </c>
      <c r="K3184" s="25">
        <f t="shared" si="49"/>
        <v>746.89499999999998</v>
      </c>
      <c r="L3184" s="25">
        <v>2.2999999999999998</v>
      </c>
      <c r="M3184" s="24">
        <v>11339</v>
      </c>
      <c r="N3184" s="25">
        <f>IFERROR(T_reg.root.SK[[#This Row],[Price]]/T_reg.root.SK[[#This Row],[Starch content]],"")</f>
        <v>15.181518151815181</v>
      </c>
    </row>
    <row r="3185" spans="1:14">
      <c r="A3185" s="21">
        <v>2024</v>
      </c>
      <c r="B3185" s="21" t="s">
        <v>23</v>
      </c>
      <c r="C3185" s="21" t="s">
        <v>1145</v>
      </c>
      <c r="D3185" s="21" t="s">
        <v>35</v>
      </c>
      <c r="E3185" s="18" t="s">
        <v>756</v>
      </c>
      <c r="F3185" s="18" t="s">
        <v>105</v>
      </c>
      <c r="G3185" s="18" t="s">
        <v>48</v>
      </c>
      <c r="H3185" s="24">
        <v>78010</v>
      </c>
      <c r="I3185" s="24">
        <f>T_reg.root.SK[[#This Row],[Volume, kg]]/1000</f>
        <v>78.010000000000005</v>
      </c>
      <c r="J3185" s="25">
        <v>0.19800000000000001</v>
      </c>
      <c r="K3185" s="25">
        <f t="shared" si="49"/>
        <v>15445.980000000001</v>
      </c>
      <c r="L3185" s="25">
        <v>2.5299999999999998</v>
      </c>
      <c r="M3185" s="24">
        <v>197041</v>
      </c>
      <c r="N3185" s="25">
        <f>IFERROR(T_reg.root.SK[[#This Row],[Price]]/T_reg.root.SK[[#This Row],[Starch content]],"")</f>
        <v>12.777777777777777</v>
      </c>
    </row>
    <row r="3186" spans="1:14">
      <c r="A3186" s="21">
        <v>2024</v>
      </c>
      <c r="B3186" s="21" t="s">
        <v>23</v>
      </c>
      <c r="C3186" s="21" t="s">
        <v>1145</v>
      </c>
      <c r="D3186" s="21" t="s">
        <v>35</v>
      </c>
      <c r="E3186" s="18" t="s">
        <v>309</v>
      </c>
      <c r="F3186" s="18" t="s">
        <v>105</v>
      </c>
      <c r="G3186" s="18" t="s">
        <v>48</v>
      </c>
      <c r="H3186" s="24">
        <v>34210</v>
      </c>
      <c r="I3186" s="24">
        <f>T_reg.root.SK[[#This Row],[Volume, kg]]/1000</f>
        <v>34.21</v>
      </c>
      <c r="J3186" s="25">
        <v>0.1681</v>
      </c>
      <c r="K3186" s="25">
        <f t="shared" si="49"/>
        <v>5750.701</v>
      </c>
      <c r="L3186" s="25">
        <v>2.37</v>
      </c>
      <c r="M3186" s="24">
        <v>80919.5</v>
      </c>
      <c r="N3186" s="25">
        <f>IFERROR(T_reg.root.SK[[#This Row],[Price]]/T_reg.root.SK[[#This Row],[Starch content]],"")</f>
        <v>14.098750743604997</v>
      </c>
    </row>
    <row r="3187" spans="1:14">
      <c r="A3187" s="21">
        <v>2024</v>
      </c>
      <c r="B3187" s="21" t="s">
        <v>23</v>
      </c>
      <c r="C3187" s="21" t="s">
        <v>1145</v>
      </c>
      <c r="D3187" s="21" t="s">
        <v>35</v>
      </c>
      <c r="E3187" s="18" t="s">
        <v>496</v>
      </c>
      <c r="F3187" s="18" t="s">
        <v>105</v>
      </c>
      <c r="G3187" s="18" t="s">
        <v>48</v>
      </c>
      <c r="H3187" s="24">
        <v>4510</v>
      </c>
      <c r="I3187" s="24">
        <f>T_reg.root.SK[[#This Row],[Volume, kg]]/1000</f>
        <v>4.51</v>
      </c>
      <c r="J3187" s="25">
        <v>0.2</v>
      </c>
      <c r="K3187" s="25">
        <f t="shared" si="49"/>
        <v>902</v>
      </c>
      <c r="L3187" s="25">
        <v>2.5499999999999998</v>
      </c>
      <c r="M3187" s="24">
        <v>11500.5</v>
      </c>
      <c r="N3187" s="25">
        <f>IFERROR(T_reg.root.SK[[#This Row],[Price]]/T_reg.root.SK[[#This Row],[Starch content]],"")</f>
        <v>12.749999999999998</v>
      </c>
    </row>
    <row r="3188" spans="1:14">
      <c r="A3188" s="21">
        <v>2024</v>
      </c>
      <c r="B3188" s="21" t="s">
        <v>23</v>
      </c>
      <c r="C3188" s="21" t="s">
        <v>1145</v>
      </c>
      <c r="D3188" s="21" t="s">
        <v>35</v>
      </c>
      <c r="E3188" s="18" t="s">
        <v>738</v>
      </c>
      <c r="F3188" s="18" t="s">
        <v>105</v>
      </c>
      <c r="G3188" s="18" t="s">
        <v>48</v>
      </c>
      <c r="H3188" s="24">
        <v>12470</v>
      </c>
      <c r="I3188" s="24">
        <f>T_reg.root.SK[[#This Row],[Volume, kg]]/1000</f>
        <v>12.47</v>
      </c>
      <c r="J3188" s="25">
        <v>0.23960000000000001</v>
      </c>
      <c r="K3188" s="25">
        <f t="shared" si="49"/>
        <v>2987.8119999999999</v>
      </c>
      <c r="L3188" s="25">
        <v>2.7</v>
      </c>
      <c r="M3188" s="24">
        <v>33669</v>
      </c>
      <c r="N3188" s="25">
        <f>IFERROR(T_reg.root.SK[[#This Row],[Price]]/T_reg.root.SK[[#This Row],[Starch content]],"")</f>
        <v>11.268781302170284</v>
      </c>
    </row>
    <row r="3189" spans="1:14">
      <c r="A3189" s="21">
        <v>2024</v>
      </c>
      <c r="B3189" s="21" t="s">
        <v>23</v>
      </c>
      <c r="C3189" s="21" t="s">
        <v>1145</v>
      </c>
      <c r="D3189" s="21" t="s">
        <v>35</v>
      </c>
      <c r="E3189" s="18" t="s">
        <v>568</v>
      </c>
      <c r="F3189" s="18" t="s">
        <v>105</v>
      </c>
      <c r="G3189" s="18" t="s">
        <v>48</v>
      </c>
      <c r="H3189" s="24">
        <v>6970</v>
      </c>
      <c r="I3189" s="24">
        <f>T_reg.root.SK[[#This Row],[Volume, kg]]/1000</f>
        <v>6.97</v>
      </c>
      <c r="J3189" s="25">
        <v>0.24399999999999999</v>
      </c>
      <c r="K3189" s="25">
        <f t="shared" si="49"/>
        <v>1700.68</v>
      </c>
      <c r="L3189" s="25">
        <v>2.7</v>
      </c>
      <c r="M3189" s="24">
        <v>18819</v>
      </c>
      <c r="N3189" s="25">
        <f>IFERROR(T_reg.root.SK[[#This Row],[Price]]/T_reg.root.SK[[#This Row],[Starch content]],"")</f>
        <v>11.065573770491804</v>
      </c>
    </row>
    <row r="3190" spans="1:14">
      <c r="A3190" s="21">
        <v>2024</v>
      </c>
      <c r="B3190" s="21" t="s">
        <v>23</v>
      </c>
      <c r="C3190" s="21" t="s">
        <v>1145</v>
      </c>
      <c r="D3190" s="21" t="s">
        <v>35</v>
      </c>
      <c r="E3190" s="18" t="s">
        <v>310</v>
      </c>
      <c r="F3190" s="18" t="s">
        <v>105</v>
      </c>
      <c r="G3190" s="18" t="s">
        <v>48</v>
      </c>
      <c r="H3190" s="24">
        <v>59400</v>
      </c>
      <c r="I3190" s="24">
        <f>T_reg.root.SK[[#This Row],[Volume, kg]]/1000</f>
        <v>59.4</v>
      </c>
      <c r="J3190" s="25">
        <v>0.2238</v>
      </c>
      <c r="K3190" s="25">
        <f t="shared" si="49"/>
        <v>13293.72</v>
      </c>
      <c r="L3190" s="25">
        <v>2.67</v>
      </c>
      <c r="M3190" s="24">
        <v>158473</v>
      </c>
      <c r="N3190" s="25">
        <f>IFERROR(T_reg.root.SK[[#This Row],[Price]]/T_reg.root.SK[[#This Row],[Starch content]],"")</f>
        <v>11.930294906166219</v>
      </c>
    </row>
    <row r="3191" spans="1:14">
      <c r="A3191" s="21">
        <v>2024</v>
      </c>
      <c r="B3191" s="21" t="s">
        <v>23</v>
      </c>
      <c r="C3191" s="21" t="s">
        <v>1145</v>
      </c>
      <c r="D3191" s="21" t="s">
        <v>35</v>
      </c>
      <c r="E3191" s="18" t="s">
        <v>248</v>
      </c>
      <c r="F3191" s="18" t="s">
        <v>105</v>
      </c>
      <c r="G3191" s="18" t="s">
        <v>48</v>
      </c>
      <c r="H3191" s="24">
        <v>48410</v>
      </c>
      <c r="I3191" s="24">
        <f>T_reg.root.SK[[#This Row],[Volume, kg]]/1000</f>
        <v>48.41</v>
      </c>
      <c r="J3191" s="25">
        <v>0.20329999999999998</v>
      </c>
      <c r="K3191" s="25">
        <f t="shared" si="49"/>
        <v>9841.7529999999988</v>
      </c>
      <c r="L3191" s="25">
        <v>2.56</v>
      </c>
      <c r="M3191" s="24">
        <v>124127.5</v>
      </c>
      <c r="N3191" s="25">
        <f>IFERROR(T_reg.root.SK[[#This Row],[Price]]/T_reg.root.SK[[#This Row],[Starch content]],"")</f>
        <v>12.592228234136746</v>
      </c>
    </row>
    <row r="3192" spans="1:14">
      <c r="A3192" s="21">
        <v>2024</v>
      </c>
      <c r="B3192" s="21" t="s">
        <v>23</v>
      </c>
      <c r="C3192" s="21" t="s">
        <v>1145</v>
      </c>
      <c r="D3192" s="21" t="s">
        <v>35</v>
      </c>
      <c r="E3192" s="18" t="s">
        <v>143</v>
      </c>
      <c r="F3192" s="18" t="s">
        <v>105</v>
      </c>
      <c r="G3192" s="18" t="s">
        <v>48</v>
      </c>
      <c r="H3192" s="24">
        <v>32940</v>
      </c>
      <c r="I3192" s="24">
        <f>T_reg.root.SK[[#This Row],[Volume, kg]]/1000</f>
        <v>32.94</v>
      </c>
      <c r="J3192" s="25">
        <v>0.16930000000000001</v>
      </c>
      <c r="K3192" s="25">
        <f t="shared" si="49"/>
        <v>5576.7420000000002</v>
      </c>
      <c r="L3192" s="25">
        <v>2.39</v>
      </c>
      <c r="M3192" s="24">
        <v>78688</v>
      </c>
      <c r="N3192" s="25">
        <f>IFERROR(T_reg.root.SK[[#This Row],[Price]]/T_reg.root.SK[[#This Row],[Starch content]],"")</f>
        <v>14.116952155936207</v>
      </c>
    </row>
    <row r="3193" spans="1:14">
      <c r="A3193" s="21">
        <v>2024</v>
      </c>
      <c r="B3193" s="21" t="s">
        <v>23</v>
      </c>
      <c r="C3193" s="21" t="s">
        <v>1145</v>
      </c>
      <c r="D3193" s="21" t="s">
        <v>35</v>
      </c>
      <c r="E3193" s="18" t="s">
        <v>311</v>
      </c>
      <c r="F3193" s="18" t="s">
        <v>105</v>
      </c>
      <c r="G3193" s="18" t="s">
        <v>48</v>
      </c>
      <c r="H3193" s="24">
        <v>12670</v>
      </c>
      <c r="I3193" s="24">
        <f>T_reg.root.SK[[#This Row],[Volume, kg]]/1000</f>
        <v>12.67</v>
      </c>
      <c r="J3193" s="25">
        <v>0.15179999999999999</v>
      </c>
      <c r="K3193" s="25">
        <f t="shared" si="49"/>
        <v>1923.3059999999998</v>
      </c>
      <c r="L3193" s="25">
        <v>2.3199999999999998</v>
      </c>
      <c r="M3193" s="24">
        <v>29371.5</v>
      </c>
      <c r="N3193" s="25">
        <f>IFERROR(T_reg.root.SK[[#This Row],[Price]]/T_reg.root.SK[[#This Row],[Starch content]],"")</f>
        <v>15.2832674571805</v>
      </c>
    </row>
    <row r="3194" spans="1:14">
      <c r="A3194" s="21">
        <v>2024</v>
      </c>
      <c r="B3194" s="21" t="s">
        <v>23</v>
      </c>
      <c r="C3194" s="21" t="s">
        <v>1145</v>
      </c>
      <c r="D3194" s="21" t="s">
        <v>35</v>
      </c>
      <c r="E3194" s="18" t="s">
        <v>646</v>
      </c>
      <c r="F3194" s="18" t="s">
        <v>105</v>
      </c>
      <c r="G3194" s="18" t="s">
        <v>48</v>
      </c>
      <c r="H3194" s="24">
        <v>36730</v>
      </c>
      <c r="I3194" s="24">
        <f>T_reg.root.SK[[#This Row],[Volume, kg]]/1000</f>
        <v>36.729999999999997</v>
      </c>
      <c r="J3194" s="25">
        <v>0.21299999999999999</v>
      </c>
      <c r="K3194" s="25">
        <f t="shared" si="49"/>
        <v>7823.49</v>
      </c>
      <c r="L3194" s="25">
        <v>2.61</v>
      </c>
      <c r="M3194" s="24">
        <v>95842.5</v>
      </c>
      <c r="N3194" s="25">
        <f>IFERROR(T_reg.root.SK[[#This Row],[Price]]/T_reg.root.SK[[#This Row],[Starch content]],"")</f>
        <v>12.253521126760564</v>
      </c>
    </row>
    <row r="3195" spans="1:14">
      <c r="A3195" s="21">
        <v>2024</v>
      </c>
      <c r="B3195" s="21" t="s">
        <v>23</v>
      </c>
      <c r="C3195" s="21" t="s">
        <v>1145</v>
      </c>
      <c r="D3195" s="21" t="s">
        <v>35</v>
      </c>
      <c r="E3195" s="18" t="s">
        <v>312</v>
      </c>
      <c r="F3195" s="18" t="s">
        <v>105</v>
      </c>
      <c r="G3195" s="18" t="s">
        <v>48</v>
      </c>
      <c r="H3195" s="24">
        <v>22860</v>
      </c>
      <c r="I3195" s="24">
        <f>T_reg.root.SK[[#This Row],[Volume, kg]]/1000</f>
        <v>22.86</v>
      </c>
      <c r="J3195" s="25">
        <v>0.21309999999999998</v>
      </c>
      <c r="K3195" s="25">
        <f t="shared" si="49"/>
        <v>4871.4659999999994</v>
      </c>
      <c r="L3195" s="25">
        <v>2.57</v>
      </c>
      <c r="M3195" s="24">
        <v>58659</v>
      </c>
      <c r="N3195" s="25">
        <f>IFERROR(T_reg.root.SK[[#This Row],[Price]]/T_reg.root.SK[[#This Row],[Starch content]],"")</f>
        <v>12.060065696855936</v>
      </c>
    </row>
    <row r="3196" spans="1:14">
      <c r="A3196" s="21">
        <v>2024</v>
      </c>
      <c r="B3196" s="21" t="s">
        <v>23</v>
      </c>
      <c r="C3196" s="21" t="s">
        <v>1145</v>
      </c>
      <c r="D3196" s="21" t="s">
        <v>35</v>
      </c>
      <c r="E3196" s="18" t="s">
        <v>144</v>
      </c>
      <c r="F3196" s="18" t="s">
        <v>105</v>
      </c>
      <c r="G3196" s="18" t="s">
        <v>48</v>
      </c>
      <c r="H3196" s="24">
        <v>43240</v>
      </c>
      <c r="I3196" s="24">
        <f>T_reg.root.SK[[#This Row],[Volume, kg]]/1000</f>
        <v>43.24</v>
      </c>
      <c r="J3196" s="25">
        <v>0.19339999999999999</v>
      </c>
      <c r="K3196" s="25">
        <f t="shared" si="49"/>
        <v>8362.616</v>
      </c>
      <c r="L3196" s="25">
        <v>2.5</v>
      </c>
      <c r="M3196" s="24">
        <v>108205</v>
      </c>
      <c r="N3196" s="25">
        <f>IFERROR(T_reg.root.SK[[#This Row],[Price]]/T_reg.root.SK[[#This Row],[Starch content]],"")</f>
        <v>12.926577042399174</v>
      </c>
    </row>
    <row r="3197" spans="1:14">
      <c r="A3197" s="21">
        <v>2024</v>
      </c>
      <c r="B3197" s="21" t="s">
        <v>23</v>
      </c>
      <c r="C3197" s="21" t="s">
        <v>1145</v>
      </c>
      <c r="D3197" s="21" t="s">
        <v>35</v>
      </c>
      <c r="E3197" s="18" t="s">
        <v>146</v>
      </c>
      <c r="F3197" s="18" t="s">
        <v>105</v>
      </c>
      <c r="G3197" s="18" t="s">
        <v>48</v>
      </c>
      <c r="H3197" s="24">
        <v>237780</v>
      </c>
      <c r="I3197" s="24">
        <f>T_reg.root.SK[[#This Row],[Volume, kg]]/1000</f>
        <v>237.78</v>
      </c>
      <c r="J3197" s="25">
        <v>0.19339999999999999</v>
      </c>
      <c r="K3197" s="25">
        <f t="shared" si="49"/>
        <v>45986.651999999995</v>
      </c>
      <c r="L3197" s="25">
        <v>2.48</v>
      </c>
      <c r="M3197" s="24">
        <v>590191.5</v>
      </c>
      <c r="N3197" s="25">
        <f>IFERROR(T_reg.root.SK[[#This Row],[Price]]/T_reg.root.SK[[#This Row],[Starch content]],"")</f>
        <v>12.82316442605998</v>
      </c>
    </row>
    <row r="3198" spans="1:14">
      <c r="A3198" s="21">
        <v>2024</v>
      </c>
      <c r="B3198" s="21" t="s">
        <v>23</v>
      </c>
      <c r="C3198" s="21" t="s">
        <v>1145</v>
      </c>
      <c r="D3198" s="21" t="s">
        <v>35</v>
      </c>
      <c r="E3198" s="18" t="s">
        <v>250</v>
      </c>
      <c r="F3198" s="18" t="s">
        <v>105</v>
      </c>
      <c r="G3198" s="18" t="s">
        <v>48</v>
      </c>
      <c r="H3198" s="24">
        <v>24000</v>
      </c>
      <c r="I3198" s="24">
        <f>T_reg.root.SK[[#This Row],[Volume, kg]]/1000</f>
        <v>24</v>
      </c>
      <c r="J3198" s="25">
        <v>0.21309999999999998</v>
      </c>
      <c r="K3198" s="25">
        <f t="shared" si="49"/>
        <v>5114.3999999999996</v>
      </c>
      <c r="L3198" s="25">
        <v>2.56</v>
      </c>
      <c r="M3198" s="24">
        <v>61553</v>
      </c>
      <c r="N3198" s="25">
        <f>IFERROR(T_reg.root.SK[[#This Row],[Price]]/T_reg.root.SK[[#This Row],[Starch content]],"")</f>
        <v>12.013139371187238</v>
      </c>
    </row>
    <row r="3199" spans="1:14">
      <c r="A3199" s="21">
        <v>2024</v>
      </c>
      <c r="B3199" s="21" t="s">
        <v>23</v>
      </c>
      <c r="C3199" s="21" t="s">
        <v>1145</v>
      </c>
      <c r="D3199" s="21" t="s">
        <v>35</v>
      </c>
      <c r="E3199" s="18" t="s">
        <v>251</v>
      </c>
      <c r="F3199" s="18" t="s">
        <v>105</v>
      </c>
      <c r="G3199" s="18" t="s">
        <v>48</v>
      </c>
      <c r="H3199" s="24">
        <v>20110</v>
      </c>
      <c r="I3199" s="24">
        <f>T_reg.root.SK[[#This Row],[Volume, kg]]/1000</f>
        <v>20.11</v>
      </c>
      <c r="J3199" s="25">
        <v>0.21249999999999999</v>
      </c>
      <c r="K3199" s="25">
        <f t="shared" si="49"/>
        <v>4273.375</v>
      </c>
      <c r="L3199" s="25">
        <v>2.56</v>
      </c>
      <c r="M3199" s="24">
        <v>51471</v>
      </c>
      <c r="N3199" s="25">
        <f>IFERROR(T_reg.root.SK[[#This Row],[Price]]/T_reg.root.SK[[#This Row],[Starch content]],"")</f>
        <v>12.047058823529412</v>
      </c>
    </row>
    <row r="3200" spans="1:14">
      <c r="A3200" s="21">
        <v>2024</v>
      </c>
      <c r="B3200" s="21" t="s">
        <v>23</v>
      </c>
      <c r="C3200" s="21" t="s">
        <v>1145</v>
      </c>
      <c r="D3200" s="21" t="s">
        <v>35</v>
      </c>
      <c r="E3200" s="18" t="s">
        <v>148</v>
      </c>
      <c r="F3200" s="18" t="s">
        <v>105</v>
      </c>
      <c r="G3200" s="18" t="s">
        <v>48</v>
      </c>
      <c r="H3200" s="24">
        <v>32890</v>
      </c>
      <c r="I3200" s="24">
        <f>T_reg.root.SK[[#This Row],[Volume, kg]]/1000</f>
        <v>32.89</v>
      </c>
      <c r="J3200" s="25">
        <v>0.1588</v>
      </c>
      <c r="K3200" s="25">
        <f t="shared" si="49"/>
        <v>5222.9319999999998</v>
      </c>
      <c r="L3200" s="25">
        <v>2.3199999999999998</v>
      </c>
      <c r="M3200" s="24">
        <v>76368.5</v>
      </c>
      <c r="N3200" s="25">
        <f>IFERROR(T_reg.root.SK[[#This Row],[Price]]/T_reg.root.SK[[#This Row],[Starch content]],"")</f>
        <v>14.609571788413097</v>
      </c>
    </row>
    <row r="3201" spans="1:14">
      <c r="A3201" s="21">
        <v>2024</v>
      </c>
      <c r="B3201" s="21" t="s">
        <v>23</v>
      </c>
      <c r="C3201" s="21" t="s">
        <v>1145</v>
      </c>
      <c r="D3201" s="21" t="s">
        <v>35</v>
      </c>
      <c r="E3201" s="18" t="s">
        <v>604</v>
      </c>
      <c r="F3201" s="18" t="s">
        <v>105</v>
      </c>
      <c r="G3201" s="18" t="s">
        <v>48</v>
      </c>
      <c r="H3201" s="24">
        <v>11650</v>
      </c>
      <c r="I3201" s="24">
        <f>T_reg.root.SK[[#This Row],[Volume, kg]]/1000</f>
        <v>11.65</v>
      </c>
      <c r="J3201" s="25">
        <v>0.1938</v>
      </c>
      <c r="K3201" s="25">
        <f t="shared" si="49"/>
        <v>2257.77</v>
      </c>
      <c r="L3201" s="25">
        <v>2.5</v>
      </c>
      <c r="M3201" s="24">
        <v>29142.5</v>
      </c>
      <c r="N3201" s="25">
        <f>IFERROR(T_reg.root.SK[[#This Row],[Price]]/T_reg.root.SK[[#This Row],[Starch content]],"")</f>
        <v>12.899896800825593</v>
      </c>
    </row>
    <row r="3202" spans="1:14">
      <c r="A3202" s="21">
        <v>2024</v>
      </c>
      <c r="B3202" s="21" t="s">
        <v>23</v>
      </c>
      <c r="C3202" s="21" t="s">
        <v>1145</v>
      </c>
      <c r="D3202" s="21" t="s">
        <v>35</v>
      </c>
      <c r="E3202" s="18" t="s">
        <v>149</v>
      </c>
      <c r="F3202" s="18" t="s">
        <v>105</v>
      </c>
      <c r="G3202" s="18" t="s">
        <v>48</v>
      </c>
      <c r="H3202" s="24">
        <v>22300</v>
      </c>
      <c r="I3202" s="24">
        <f>T_reg.root.SK[[#This Row],[Volume, kg]]/1000</f>
        <v>22.3</v>
      </c>
      <c r="J3202" s="25">
        <v>0.2</v>
      </c>
      <c r="K3202" s="25">
        <f t="shared" si="49"/>
        <v>4460</v>
      </c>
      <c r="L3202" s="25">
        <v>2.5499999999999998</v>
      </c>
      <c r="M3202" s="24">
        <v>56799.5</v>
      </c>
      <c r="N3202" s="25">
        <f>IFERROR(T_reg.root.SK[[#This Row],[Price]]/T_reg.root.SK[[#This Row],[Starch content]],"")</f>
        <v>12.749999999999998</v>
      </c>
    </row>
    <row r="3203" spans="1:14">
      <c r="A3203" s="21">
        <v>2024</v>
      </c>
      <c r="B3203" s="21" t="s">
        <v>23</v>
      </c>
      <c r="C3203" s="21" t="s">
        <v>1145</v>
      </c>
      <c r="D3203" s="21" t="s">
        <v>35</v>
      </c>
      <c r="E3203" s="18" t="s">
        <v>253</v>
      </c>
      <c r="F3203" s="18" t="s">
        <v>105</v>
      </c>
      <c r="G3203" s="18" t="s">
        <v>48</v>
      </c>
      <c r="H3203" s="24">
        <v>14700</v>
      </c>
      <c r="I3203" s="24">
        <f>T_reg.root.SK[[#This Row],[Volume, kg]]/1000</f>
        <v>14.7</v>
      </c>
      <c r="J3203" s="25">
        <v>0.16839999999999999</v>
      </c>
      <c r="K3203" s="25">
        <f t="shared" ref="K3203:K3266" si="50">H3203*J3203</f>
        <v>2475.48</v>
      </c>
      <c r="L3203" s="25">
        <v>2.38</v>
      </c>
      <c r="M3203" s="24">
        <v>34975.5</v>
      </c>
      <c r="N3203" s="25">
        <f>IFERROR(T_reg.root.SK[[#This Row],[Price]]/T_reg.root.SK[[#This Row],[Starch content]],"")</f>
        <v>14.133016627078385</v>
      </c>
    </row>
    <row r="3204" spans="1:14">
      <c r="A3204" s="21">
        <v>2024</v>
      </c>
      <c r="B3204" s="21" t="s">
        <v>23</v>
      </c>
      <c r="C3204" s="21" t="s">
        <v>1145</v>
      </c>
      <c r="D3204" s="21" t="s">
        <v>35</v>
      </c>
      <c r="E3204" s="18" t="s">
        <v>314</v>
      </c>
      <c r="F3204" s="18" t="s">
        <v>105</v>
      </c>
      <c r="G3204" s="18" t="s">
        <v>48</v>
      </c>
      <c r="H3204" s="24">
        <v>4520</v>
      </c>
      <c r="I3204" s="24">
        <f>T_reg.root.SK[[#This Row],[Volume, kg]]/1000</f>
        <v>4.5199999999999996</v>
      </c>
      <c r="J3204" s="25">
        <v>0.1825</v>
      </c>
      <c r="K3204" s="25">
        <f t="shared" si="50"/>
        <v>824.9</v>
      </c>
      <c r="L3204" s="25">
        <v>2.4500000000000002</v>
      </c>
      <c r="M3204" s="24">
        <v>11074</v>
      </c>
      <c r="N3204" s="25">
        <f>IFERROR(T_reg.root.SK[[#This Row],[Price]]/T_reg.root.SK[[#This Row],[Starch content]],"")</f>
        <v>13.424657534246577</v>
      </c>
    </row>
    <row r="3205" spans="1:14">
      <c r="A3205" s="21">
        <v>2024</v>
      </c>
      <c r="B3205" s="21" t="s">
        <v>23</v>
      </c>
      <c r="C3205" s="21" t="s">
        <v>1145</v>
      </c>
      <c r="D3205" s="21" t="s">
        <v>35</v>
      </c>
      <c r="E3205" s="18" t="s">
        <v>500</v>
      </c>
      <c r="F3205" s="18" t="s">
        <v>105</v>
      </c>
      <c r="G3205" s="18" t="s">
        <v>48</v>
      </c>
      <c r="H3205" s="24">
        <v>5140</v>
      </c>
      <c r="I3205" s="24">
        <f>T_reg.root.SK[[#This Row],[Volume, kg]]/1000</f>
        <v>5.14</v>
      </c>
      <c r="J3205" s="25">
        <v>0.18899999999999997</v>
      </c>
      <c r="K3205" s="25">
        <f t="shared" si="50"/>
        <v>971.45999999999981</v>
      </c>
      <c r="L3205" s="25">
        <v>2.4500000000000002</v>
      </c>
      <c r="M3205" s="24">
        <v>12593</v>
      </c>
      <c r="N3205" s="25">
        <f>IFERROR(T_reg.root.SK[[#This Row],[Price]]/T_reg.root.SK[[#This Row],[Starch content]],"")</f>
        <v>12.962962962962965</v>
      </c>
    </row>
    <row r="3206" spans="1:14">
      <c r="A3206" s="21">
        <v>2024</v>
      </c>
      <c r="B3206" s="21" t="s">
        <v>23</v>
      </c>
      <c r="C3206" s="21" t="s">
        <v>1145</v>
      </c>
      <c r="D3206" s="21" t="s">
        <v>35</v>
      </c>
      <c r="E3206" s="18" t="s">
        <v>150</v>
      </c>
      <c r="F3206" s="18" t="s">
        <v>105</v>
      </c>
      <c r="G3206" s="18" t="s">
        <v>48</v>
      </c>
      <c r="H3206" s="24">
        <v>31800</v>
      </c>
      <c r="I3206" s="24">
        <f>T_reg.root.SK[[#This Row],[Volume, kg]]/1000</f>
        <v>31.8</v>
      </c>
      <c r="J3206" s="25">
        <v>0.15620000000000001</v>
      </c>
      <c r="K3206" s="25">
        <f t="shared" si="50"/>
        <v>4967.16</v>
      </c>
      <c r="L3206" s="25">
        <v>2.2999999999999998</v>
      </c>
      <c r="M3206" s="24">
        <v>73063</v>
      </c>
      <c r="N3206" s="25">
        <f>IFERROR(T_reg.root.SK[[#This Row],[Price]]/T_reg.root.SK[[#This Row],[Starch content]],"")</f>
        <v>14.724711907810498</v>
      </c>
    </row>
    <row r="3207" spans="1:14">
      <c r="A3207" s="21">
        <v>2024</v>
      </c>
      <c r="B3207" s="21" t="s">
        <v>23</v>
      </c>
      <c r="C3207" s="21" t="s">
        <v>1145</v>
      </c>
      <c r="D3207" s="21" t="s">
        <v>35</v>
      </c>
      <c r="E3207" s="18" t="s">
        <v>151</v>
      </c>
      <c r="F3207" s="18" t="s">
        <v>105</v>
      </c>
      <c r="G3207" s="18" t="s">
        <v>48</v>
      </c>
      <c r="H3207" s="24">
        <v>161380</v>
      </c>
      <c r="I3207" s="24">
        <f>T_reg.root.SK[[#This Row],[Volume, kg]]/1000</f>
        <v>161.38</v>
      </c>
      <c r="J3207" s="25">
        <v>0.19420000000000001</v>
      </c>
      <c r="K3207" s="25">
        <f t="shared" si="50"/>
        <v>31339.996000000003</v>
      </c>
      <c r="L3207" s="25">
        <v>2.5</v>
      </c>
      <c r="M3207" s="24">
        <v>402955</v>
      </c>
      <c r="N3207" s="25">
        <f>IFERROR(T_reg.root.SK[[#This Row],[Price]]/T_reg.root.SK[[#This Row],[Starch content]],"")</f>
        <v>12.873326467559217</v>
      </c>
    </row>
    <row r="3208" spans="1:14">
      <c r="A3208" s="21">
        <v>2024</v>
      </c>
      <c r="B3208" s="21" t="s">
        <v>23</v>
      </c>
      <c r="C3208" s="21" t="s">
        <v>1145</v>
      </c>
      <c r="D3208" s="21" t="s">
        <v>35</v>
      </c>
      <c r="E3208" s="18" t="s">
        <v>316</v>
      </c>
      <c r="F3208" s="18" t="s">
        <v>105</v>
      </c>
      <c r="G3208" s="18" t="s">
        <v>48</v>
      </c>
      <c r="H3208" s="24">
        <v>33390</v>
      </c>
      <c r="I3208" s="24">
        <f>T_reg.root.SK[[#This Row],[Volume, kg]]/1000</f>
        <v>33.39</v>
      </c>
      <c r="J3208" s="25">
        <v>0.1754</v>
      </c>
      <c r="K3208" s="25">
        <f t="shared" si="50"/>
        <v>5856.6059999999998</v>
      </c>
      <c r="L3208" s="25">
        <v>2.37</v>
      </c>
      <c r="M3208" s="24">
        <v>79285</v>
      </c>
      <c r="N3208" s="25">
        <f>IFERROR(T_reg.root.SK[[#This Row],[Price]]/T_reg.root.SK[[#This Row],[Starch content]],"")</f>
        <v>13.511972633979475</v>
      </c>
    </row>
    <row r="3209" spans="1:14">
      <c r="A3209" s="21">
        <v>2024</v>
      </c>
      <c r="B3209" s="21" t="s">
        <v>23</v>
      </c>
      <c r="C3209" s="21" t="s">
        <v>1145</v>
      </c>
      <c r="D3209" s="21" t="s">
        <v>35</v>
      </c>
      <c r="E3209" s="18" t="s">
        <v>152</v>
      </c>
      <c r="F3209" s="18" t="s">
        <v>105</v>
      </c>
      <c r="G3209" s="18" t="s">
        <v>48</v>
      </c>
      <c r="H3209" s="24">
        <v>4310</v>
      </c>
      <c r="I3209" s="24">
        <f>T_reg.root.SK[[#This Row],[Volume, kg]]/1000</f>
        <v>4.3099999999999996</v>
      </c>
      <c r="J3209" s="25">
        <v>0.17050000000000001</v>
      </c>
      <c r="K3209" s="25">
        <f t="shared" si="50"/>
        <v>734.85500000000002</v>
      </c>
      <c r="L3209" s="25">
        <v>2.35</v>
      </c>
      <c r="M3209" s="24">
        <v>10128.5</v>
      </c>
      <c r="N3209" s="25">
        <f>IFERROR(T_reg.root.SK[[#This Row],[Price]]/T_reg.root.SK[[#This Row],[Starch content]],"")</f>
        <v>13.782991202346041</v>
      </c>
    </row>
    <row r="3210" spans="1:14">
      <c r="A3210" s="21">
        <v>2024</v>
      </c>
      <c r="B3210" s="21" t="s">
        <v>23</v>
      </c>
      <c r="C3210" s="21" t="s">
        <v>1145</v>
      </c>
      <c r="D3210" s="21" t="s">
        <v>35</v>
      </c>
      <c r="E3210" s="18" t="s">
        <v>153</v>
      </c>
      <c r="F3210" s="18" t="s">
        <v>105</v>
      </c>
      <c r="G3210" s="18" t="s">
        <v>48</v>
      </c>
      <c r="H3210" s="24">
        <v>16080</v>
      </c>
      <c r="I3210" s="24">
        <f>T_reg.root.SK[[#This Row],[Volume, kg]]/1000</f>
        <v>16.079999999999998</v>
      </c>
      <c r="J3210" s="25">
        <v>0.2072</v>
      </c>
      <c r="K3210" s="25">
        <f t="shared" si="50"/>
        <v>3331.7759999999998</v>
      </c>
      <c r="L3210" s="25">
        <v>2.57</v>
      </c>
      <c r="M3210" s="24">
        <v>41370.5</v>
      </c>
      <c r="N3210" s="25">
        <f>IFERROR(T_reg.root.SK[[#This Row],[Price]]/T_reg.root.SK[[#This Row],[Starch content]],"")</f>
        <v>12.403474903474903</v>
      </c>
    </row>
    <row r="3211" spans="1:14">
      <c r="A3211" s="21">
        <v>2024</v>
      </c>
      <c r="B3211" s="21" t="s">
        <v>23</v>
      </c>
      <c r="C3211" s="21" t="s">
        <v>1145</v>
      </c>
      <c r="D3211" s="21" t="s">
        <v>35</v>
      </c>
      <c r="E3211" s="18" t="s">
        <v>155</v>
      </c>
      <c r="F3211" s="18" t="s">
        <v>105</v>
      </c>
      <c r="G3211" s="18" t="s">
        <v>48</v>
      </c>
      <c r="H3211" s="24">
        <v>7990</v>
      </c>
      <c r="I3211" s="24">
        <f>T_reg.root.SK[[#This Row],[Volume, kg]]/1000</f>
        <v>7.99</v>
      </c>
      <c r="J3211" s="25">
        <v>0.1943</v>
      </c>
      <c r="K3211" s="25">
        <f t="shared" si="50"/>
        <v>1552.4570000000001</v>
      </c>
      <c r="L3211" s="25">
        <v>2.48</v>
      </c>
      <c r="M3211" s="24">
        <v>19817.5</v>
      </c>
      <c r="N3211" s="25">
        <f>IFERROR(T_reg.root.SK[[#This Row],[Price]]/T_reg.root.SK[[#This Row],[Starch content]],"")</f>
        <v>12.76376737004632</v>
      </c>
    </row>
    <row r="3212" spans="1:14">
      <c r="A3212" s="21">
        <v>2024</v>
      </c>
      <c r="B3212" s="21" t="s">
        <v>23</v>
      </c>
      <c r="C3212" s="21" t="s">
        <v>1145</v>
      </c>
      <c r="D3212" s="21" t="s">
        <v>35</v>
      </c>
      <c r="E3212" s="18" t="s">
        <v>158</v>
      </c>
      <c r="F3212" s="18" t="s">
        <v>105</v>
      </c>
      <c r="G3212" s="18" t="s">
        <v>48</v>
      </c>
      <c r="H3212" s="24">
        <v>0</v>
      </c>
      <c r="I3212" s="24">
        <f>T_reg.root.SK[[#This Row],[Volume, kg]]/1000</f>
        <v>0</v>
      </c>
      <c r="J3212" s="25">
        <v>0</v>
      </c>
      <c r="K3212" s="25">
        <f t="shared" si="50"/>
        <v>0</v>
      </c>
      <c r="L3212" s="25">
        <v>0</v>
      </c>
      <c r="M3212" s="24">
        <v>0</v>
      </c>
      <c r="N3212" s="25" t="str">
        <f>IFERROR(T_reg.root.SK[[#This Row],[Price]]/T_reg.root.SK[[#This Row],[Starch content]],"")</f>
        <v/>
      </c>
    </row>
    <row r="3213" spans="1:14">
      <c r="A3213" s="21">
        <v>2024</v>
      </c>
      <c r="B3213" s="21" t="s">
        <v>23</v>
      </c>
      <c r="C3213" s="21" t="s">
        <v>1145</v>
      </c>
      <c r="D3213" s="21" t="s">
        <v>35</v>
      </c>
      <c r="E3213" s="18" t="s">
        <v>159</v>
      </c>
      <c r="F3213" s="18" t="s">
        <v>105</v>
      </c>
      <c r="G3213" s="18" t="s">
        <v>48</v>
      </c>
      <c r="H3213" s="24">
        <v>192320</v>
      </c>
      <c r="I3213" s="24">
        <f>T_reg.root.SK[[#This Row],[Volume, kg]]/1000</f>
        <v>192.32</v>
      </c>
      <c r="J3213" s="25">
        <v>0.18899999999999997</v>
      </c>
      <c r="K3213" s="25">
        <f t="shared" si="50"/>
        <v>36348.479999999996</v>
      </c>
      <c r="L3213" s="25">
        <v>2.46</v>
      </c>
      <c r="M3213" s="24">
        <v>473757.5</v>
      </c>
      <c r="N3213" s="25">
        <f>IFERROR(T_reg.root.SK[[#This Row],[Price]]/T_reg.root.SK[[#This Row],[Starch content]],"")</f>
        <v>13.015873015873018</v>
      </c>
    </row>
    <row r="3214" spans="1:14">
      <c r="A3214" s="21">
        <v>2024</v>
      </c>
      <c r="B3214" s="21" t="s">
        <v>23</v>
      </c>
      <c r="C3214" s="21" t="s">
        <v>1145</v>
      </c>
      <c r="D3214" s="21" t="s">
        <v>35</v>
      </c>
      <c r="E3214" s="18" t="s">
        <v>160</v>
      </c>
      <c r="F3214" s="18" t="s">
        <v>105</v>
      </c>
      <c r="G3214" s="18" t="s">
        <v>48</v>
      </c>
      <c r="H3214" s="24">
        <v>1680</v>
      </c>
      <c r="I3214" s="24">
        <f>T_reg.root.SK[[#This Row],[Volume, kg]]/1000</f>
        <v>1.68</v>
      </c>
      <c r="J3214" s="25">
        <v>0.17249999999999999</v>
      </c>
      <c r="K3214" s="25">
        <f t="shared" si="50"/>
        <v>289.79999999999995</v>
      </c>
      <c r="L3214" s="25">
        <v>2.4</v>
      </c>
      <c r="M3214" s="24">
        <v>4032</v>
      </c>
      <c r="N3214" s="25">
        <f>IFERROR(T_reg.root.SK[[#This Row],[Price]]/T_reg.root.SK[[#This Row],[Starch content]],"")</f>
        <v>13.913043478260871</v>
      </c>
    </row>
    <row r="3215" spans="1:14">
      <c r="A3215" s="21">
        <v>2024</v>
      </c>
      <c r="B3215" s="21" t="s">
        <v>23</v>
      </c>
      <c r="C3215" s="21" t="s">
        <v>1145</v>
      </c>
      <c r="D3215" s="21" t="s">
        <v>35</v>
      </c>
      <c r="E3215" s="18" t="s">
        <v>161</v>
      </c>
      <c r="F3215" s="18" t="s">
        <v>105</v>
      </c>
      <c r="G3215" s="18" t="s">
        <v>48</v>
      </c>
      <c r="H3215" s="24">
        <v>0</v>
      </c>
      <c r="I3215" s="24">
        <f>T_reg.root.SK[[#This Row],[Volume, kg]]/1000</f>
        <v>0</v>
      </c>
      <c r="J3215" s="25">
        <v>0</v>
      </c>
      <c r="K3215" s="25">
        <f t="shared" si="50"/>
        <v>0</v>
      </c>
      <c r="L3215" s="25">
        <v>0</v>
      </c>
      <c r="M3215" s="24">
        <v>0</v>
      </c>
      <c r="N3215" s="25" t="str">
        <f>IFERROR(T_reg.root.SK[[#This Row],[Price]]/T_reg.root.SK[[#This Row],[Starch content]],"")</f>
        <v/>
      </c>
    </row>
    <row r="3216" spans="1:14">
      <c r="A3216" s="21">
        <v>2024</v>
      </c>
      <c r="B3216" s="21" t="s">
        <v>23</v>
      </c>
      <c r="C3216" s="21" t="s">
        <v>1145</v>
      </c>
      <c r="D3216" s="21" t="s">
        <v>35</v>
      </c>
      <c r="E3216" s="18" t="s">
        <v>162</v>
      </c>
      <c r="F3216" s="18" t="s">
        <v>105</v>
      </c>
      <c r="G3216" s="18" t="s">
        <v>48</v>
      </c>
      <c r="H3216" s="24">
        <v>37360</v>
      </c>
      <c r="I3216" s="24">
        <f>T_reg.root.SK[[#This Row],[Volume, kg]]/1000</f>
        <v>37.36</v>
      </c>
      <c r="J3216" s="25">
        <v>0.1573</v>
      </c>
      <c r="K3216" s="25">
        <f t="shared" si="50"/>
        <v>5876.7280000000001</v>
      </c>
      <c r="L3216" s="25">
        <v>2.3199999999999998</v>
      </c>
      <c r="M3216" s="24">
        <v>86540</v>
      </c>
      <c r="N3216" s="25">
        <f>IFERROR(T_reg.root.SK[[#This Row],[Price]]/T_reg.root.SK[[#This Row],[Starch content]],"")</f>
        <v>14.748887476160203</v>
      </c>
    </row>
    <row r="3217" spans="1:14">
      <c r="A3217" s="21">
        <v>2024</v>
      </c>
      <c r="B3217" s="21" t="s">
        <v>23</v>
      </c>
      <c r="C3217" s="21" t="s">
        <v>1145</v>
      </c>
      <c r="D3217" s="21" t="s">
        <v>35</v>
      </c>
      <c r="E3217" s="18" t="s">
        <v>164</v>
      </c>
      <c r="F3217" s="18" t="s">
        <v>105</v>
      </c>
      <c r="G3217" s="18" t="s">
        <v>48</v>
      </c>
      <c r="H3217" s="24">
        <v>49960</v>
      </c>
      <c r="I3217" s="24">
        <f>T_reg.root.SK[[#This Row],[Volume, kg]]/1000</f>
        <v>49.96</v>
      </c>
      <c r="J3217" s="25">
        <v>0.16879999999999998</v>
      </c>
      <c r="K3217" s="25">
        <f t="shared" si="50"/>
        <v>8433.2479999999996</v>
      </c>
      <c r="L3217" s="25">
        <v>2.4</v>
      </c>
      <c r="M3217" s="24">
        <v>119899</v>
      </c>
      <c r="N3217" s="25">
        <f>IFERROR(T_reg.root.SK[[#This Row],[Price]]/T_reg.root.SK[[#This Row],[Starch content]],"")</f>
        <v>14.218009478672988</v>
      </c>
    </row>
    <row r="3218" spans="1:14">
      <c r="A3218" s="21">
        <v>2024</v>
      </c>
      <c r="B3218" s="21" t="s">
        <v>23</v>
      </c>
      <c r="C3218" s="21" t="s">
        <v>1145</v>
      </c>
      <c r="D3218" s="21" t="s">
        <v>35</v>
      </c>
      <c r="E3218" s="18" t="s">
        <v>171</v>
      </c>
      <c r="F3218" s="18" t="s">
        <v>105</v>
      </c>
      <c r="G3218" s="18" t="s">
        <v>48</v>
      </c>
      <c r="H3218" s="24">
        <v>54240</v>
      </c>
      <c r="I3218" s="24">
        <f>T_reg.root.SK[[#This Row],[Volume, kg]]/1000</f>
        <v>54.24</v>
      </c>
      <c r="J3218" s="25">
        <v>0.1953</v>
      </c>
      <c r="K3218" s="25">
        <f t="shared" si="50"/>
        <v>10593.072</v>
      </c>
      <c r="L3218" s="25">
        <v>2.5</v>
      </c>
      <c r="M3218" s="24">
        <v>135847</v>
      </c>
      <c r="N3218" s="25">
        <f>IFERROR(T_reg.root.SK[[#This Row],[Price]]/T_reg.root.SK[[#This Row],[Starch content]],"")</f>
        <v>12.800819252432156</v>
      </c>
    </row>
    <row r="3219" spans="1:14">
      <c r="A3219" s="21">
        <v>2024</v>
      </c>
      <c r="B3219" s="21" t="s">
        <v>23</v>
      </c>
      <c r="C3219" s="21" t="s">
        <v>1145</v>
      </c>
      <c r="D3219" s="21" t="s">
        <v>35</v>
      </c>
      <c r="E3219" s="18" t="s">
        <v>722</v>
      </c>
      <c r="F3219" s="18" t="s">
        <v>105</v>
      </c>
      <c r="G3219" s="18" t="s">
        <v>48</v>
      </c>
      <c r="H3219" s="24">
        <v>9090</v>
      </c>
      <c r="I3219" s="24">
        <f>T_reg.root.SK[[#This Row],[Volume, kg]]/1000</f>
        <v>9.09</v>
      </c>
      <c r="J3219" s="25">
        <v>0.1716</v>
      </c>
      <c r="K3219" s="25">
        <f t="shared" si="50"/>
        <v>1559.8440000000001</v>
      </c>
      <c r="L3219" s="25">
        <v>2.36</v>
      </c>
      <c r="M3219" s="24">
        <v>21447</v>
      </c>
      <c r="N3219" s="25">
        <f>IFERROR(T_reg.root.SK[[#This Row],[Price]]/T_reg.root.SK[[#This Row],[Starch content]],"")</f>
        <v>13.752913752913752</v>
      </c>
    </row>
    <row r="3220" spans="1:14">
      <c r="A3220" s="21">
        <v>2024</v>
      </c>
      <c r="B3220" s="21" t="s">
        <v>23</v>
      </c>
      <c r="C3220" s="21" t="s">
        <v>1145</v>
      </c>
      <c r="D3220" s="21" t="s">
        <v>35</v>
      </c>
      <c r="E3220" s="18" t="s">
        <v>322</v>
      </c>
      <c r="F3220" s="18" t="s">
        <v>105</v>
      </c>
      <c r="G3220" s="18" t="s">
        <v>48</v>
      </c>
      <c r="H3220" s="24">
        <v>102970</v>
      </c>
      <c r="I3220" s="24">
        <f>T_reg.root.SK[[#This Row],[Volume, kg]]/1000</f>
        <v>102.97</v>
      </c>
      <c r="J3220" s="25">
        <v>0.15</v>
      </c>
      <c r="K3220" s="25">
        <f t="shared" si="50"/>
        <v>15445.5</v>
      </c>
      <c r="L3220" s="25">
        <v>2.2599999999999998</v>
      </c>
      <c r="M3220" s="24">
        <v>232688</v>
      </c>
      <c r="N3220" s="25">
        <f>IFERROR(T_reg.root.SK[[#This Row],[Price]]/T_reg.root.SK[[#This Row],[Starch content]],"")</f>
        <v>15.066666666666666</v>
      </c>
    </row>
    <row r="3221" spans="1:14">
      <c r="A3221" s="21">
        <v>2024</v>
      </c>
      <c r="B3221" s="21" t="s">
        <v>23</v>
      </c>
      <c r="C3221" s="21" t="s">
        <v>1145</v>
      </c>
      <c r="D3221" s="21" t="s">
        <v>35</v>
      </c>
      <c r="E3221" s="18" t="s">
        <v>173</v>
      </c>
      <c r="F3221" s="18" t="s">
        <v>105</v>
      </c>
      <c r="G3221" s="18" t="s">
        <v>48</v>
      </c>
      <c r="H3221" s="24">
        <v>3120</v>
      </c>
      <c r="I3221" s="24">
        <f>T_reg.root.SK[[#This Row],[Volume, kg]]/1000</f>
        <v>3.12</v>
      </c>
      <c r="J3221" s="25">
        <v>0.19500000000000001</v>
      </c>
      <c r="K3221" s="25">
        <f t="shared" si="50"/>
        <v>608.4</v>
      </c>
      <c r="L3221" s="25">
        <v>2.5</v>
      </c>
      <c r="M3221" s="24">
        <v>7800</v>
      </c>
      <c r="N3221" s="25">
        <f>IFERROR(T_reg.root.SK[[#This Row],[Price]]/T_reg.root.SK[[#This Row],[Starch content]],"")</f>
        <v>12.820512820512819</v>
      </c>
    </row>
    <row r="3222" spans="1:14">
      <c r="A3222" s="21">
        <v>2024</v>
      </c>
      <c r="B3222" s="21" t="s">
        <v>23</v>
      </c>
      <c r="C3222" s="21" t="s">
        <v>1145</v>
      </c>
      <c r="D3222" s="21" t="s">
        <v>35</v>
      </c>
      <c r="E3222" s="18" t="s">
        <v>506</v>
      </c>
      <c r="F3222" s="18" t="s">
        <v>105</v>
      </c>
      <c r="G3222" s="18" t="s">
        <v>48</v>
      </c>
      <c r="H3222" s="24">
        <v>77120</v>
      </c>
      <c r="I3222" s="24">
        <f>T_reg.root.SK[[#This Row],[Volume, kg]]/1000</f>
        <v>77.12</v>
      </c>
      <c r="J3222" s="25">
        <v>0.20329999999999998</v>
      </c>
      <c r="K3222" s="25">
        <f t="shared" si="50"/>
        <v>15678.495999999999</v>
      </c>
      <c r="L3222" s="25">
        <v>2.5499999999999998</v>
      </c>
      <c r="M3222" s="24">
        <v>196292</v>
      </c>
      <c r="N3222" s="25">
        <f>IFERROR(T_reg.root.SK[[#This Row],[Price]]/T_reg.root.SK[[#This Row],[Starch content]],"")</f>
        <v>12.543039842597148</v>
      </c>
    </row>
    <row r="3223" spans="1:14">
      <c r="A3223" s="21">
        <v>2024</v>
      </c>
      <c r="B3223" s="21" t="s">
        <v>23</v>
      </c>
      <c r="C3223" s="21" t="s">
        <v>1145</v>
      </c>
      <c r="D3223" s="21" t="s">
        <v>35</v>
      </c>
      <c r="E3223" s="18" t="s">
        <v>771</v>
      </c>
      <c r="F3223" s="18" t="s">
        <v>105</v>
      </c>
      <c r="G3223" s="18" t="s">
        <v>48</v>
      </c>
      <c r="H3223" s="24">
        <v>40230</v>
      </c>
      <c r="I3223" s="24">
        <f>T_reg.root.SK[[#This Row],[Volume, kg]]/1000</f>
        <v>40.229999999999997</v>
      </c>
      <c r="J3223" s="25">
        <v>0.18770000000000001</v>
      </c>
      <c r="K3223" s="25">
        <f t="shared" si="50"/>
        <v>7551.1710000000003</v>
      </c>
      <c r="L3223" s="25">
        <v>2.44</v>
      </c>
      <c r="M3223" s="24">
        <v>98165</v>
      </c>
      <c r="N3223" s="25">
        <f>IFERROR(T_reg.root.SK[[#This Row],[Price]]/T_reg.root.SK[[#This Row],[Starch content]],"")</f>
        <v>12.999467234949387</v>
      </c>
    </row>
    <row r="3224" spans="1:14">
      <c r="A3224" s="21">
        <v>2024</v>
      </c>
      <c r="B3224" s="21" t="s">
        <v>23</v>
      </c>
      <c r="C3224" s="21" t="s">
        <v>1145</v>
      </c>
      <c r="D3224" s="21" t="s">
        <v>35</v>
      </c>
      <c r="E3224" s="18" t="s">
        <v>507</v>
      </c>
      <c r="F3224" s="18" t="s">
        <v>105</v>
      </c>
      <c r="G3224" s="18" t="s">
        <v>48</v>
      </c>
      <c r="H3224" s="24">
        <v>21300</v>
      </c>
      <c r="I3224" s="24">
        <f>T_reg.root.SK[[#This Row],[Volume, kg]]/1000</f>
        <v>21.3</v>
      </c>
      <c r="J3224" s="25">
        <v>0.21679999999999999</v>
      </c>
      <c r="K3224" s="25">
        <f t="shared" si="50"/>
        <v>4617.84</v>
      </c>
      <c r="L3224" s="25">
        <v>2.57</v>
      </c>
      <c r="M3224" s="24">
        <v>54764</v>
      </c>
      <c r="N3224" s="25">
        <f>IFERROR(T_reg.root.SK[[#This Row],[Price]]/T_reg.root.SK[[#This Row],[Starch content]],"")</f>
        <v>11.854243542435425</v>
      </c>
    </row>
    <row r="3225" spans="1:14">
      <c r="A3225" s="21">
        <v>2024</v>
      </c>
      <c r="B3225" s="21" t="s">
        <v>23</v>
      </c>
      <c r="C3225" s="21" t="s">
        <v>1145</v>
      </c>
      <c r="D3225" s="21" t="s">
        <v>35</v>
      </c>
      <c r="E3225" s="18" t="s">
        <v>174</v>
      </c>
      <c r="F3225" s="18" t="s">
        <v>105</v>
      </c>
      <c r="G3225" s="18" t="s">
        <v>48</v>
      </c>
      <c r="H3225" s="24">
        <v>9510</v>
      </c>
      <c r="I3225" s="24">
        <f>T_reg.root.SK[[#This Row],[Volume, kg]]/1000</f>
        <v>9.51</v>
      </c>
      <c r="J3225" s="25">
        <v>0.14599999999999999</v>
      </c>
      <c r="K3225" s="25">
        <f t="shared" si="50"/>
        <v>1388.4599999999998</v>
      </c>
      <c r="L3225" s="25">
        <v>2.25</v>
      </c>
      <c r="M3225" s="24">
        <v>21397.5</v>
      </c>
      <c r="N3225" s="25">
        <f>IFERROR(T_reg.root.SK[[#This Row],[Price]]/T_reg.root.SK[[#This Row],[Starch content]],"")</f>
        <v>15.41095890410959</v>
      </c>
    </row>
    <row r="3226" spans="1:14">
      <c r="A3226" s="21">
        <v>2024</v>
      </c>
      <c r="B3226" s="21" t="s">
        <v>23</v>
      </c>
      <c r="C3226" s="21" t="s">
        <v>1145</v>
      </c>
      <c r="D3226" s="21" t="s">
        <v>35</v>
      </c>
      <c r="E3226" s="18" t="s">
        <v>327</v>
      </c>
      <c r="F3226" s="18" t="s">
        <v>105</v>
      </c>
      <c r="G3226" s="18" t="s">
        <v>48</v>
      </c>
      <c r="H3226" s="24">
        <v>17750</v>
      </c>
      <c r="I3226" s="24">
        <f>T_reg.root.SK[[#This Row],[Volume, kg]]/1000</f>
        <v>17.75</v>
      </c>
      <c r="J3226" s="25">
        <v>0.20600000000000002</v>
      </c>
      <c r="K3226" s="25">
        <f t="shared" si="50"/>
        <v>3656.5000000000005</v>
      </c>
      <c r="L3226" s="25">
        <v>2.58</v>
      </c>
      <c r="M3226" s="24">
        <v>45866.5</v>
      </c>
      <c r="N3226" s="25">
        <f>IFERROR(T_reg.root.SK[[#This Row],[Price]]/T_reg.root.SK[[#This Row],[Starch content]],"")</f>
        <v>12.524271844660193</v>
      </c>
    </row>
    <row r="3227" spans="1:14">
      <c r="A3227" s="21">
        <v>2024</v>
      </c>
      <c r="B3227" s="21" t="s">
        <v>23</v>
      </c>
      <c r="C3227" s="21" t="s">
        <v>1145</v>
      </c>
      <c r="D3227" s="21" t="s">
        <v>35</v>
      </c>
      <c r="E3227" s="18" t="s">
        <v>576</v>
      </c>
      <c r="F3227" s="18" t="s">
        <v>105</v>
      </c>
      <c r="G3227" s="18" t="s">
        <v>48</v>
      </c>
      <c r="H3227" s="24">
        <v>33440</v>
      </c>
      <c r="I3227" s="24">
        <f>T_reg.root.SK[[#This Row],[Volume, kg]]/1000</f>
        <v>33.44</v>
      </c>
      <c r="J3227" s="25">
        <v>0.16620000000000001</v>
      </c>
      <c r="K3227" s="25">
        <f t="shared" si="50"/>
        <v>5557.7280000000001</v>
      </c>
      <c r="L3227" s="25">
        <v>2.37</v>
      </c>
      <c r="M3227" s="24">
        <v>79135</v>
      </c>
      <c r="N3227" s="25">
        <f>IFERROR(T_reg.root.SK[[#This Row],[Price]]/T_reg.root.SK[[#This Row],[Starch content]],"")</f>
        <v>14.259927797833935</v>
      </c>
    </row>
    <row r="3228" spans="1:14">
      <c r="A3228" s="21">
        <v>2024</v>
      </c>
      <c r="B3228" s="21" t="s">
        <v>23</v>
      </c>
      <c r="C3228" s="21" t="s">
        <v>1145</v>
      </c>
      <c r="D3228" s="21" t="s">
        <v>35</v>
      </c>
      <c r="E3228" s="18" t="s">
        <v>176</v>
      </c>
      <c r="F3228" s="18" t="s">
        <v>105</v>
      </c>
      <c r="G3228" s="18" t="s">
        <v>48</v>
      </c>
      <c r="H3228" s="24">
        <v>23820</v>
      </c>
      <c r="I3228" s="24">
        <f>T_reg.root.SK[[#This Row],[Volume, kg]]/1000</f>
        <v>23.82</v>
      </c>
      <c r="J3228" s="25">
        <v>0.1721</v>
      </c>
      <c r="K3228" s="25">
        <f t="shared" si="50"/>
        <v>4099.4220000000005</v>
      </c>
      <c r="L3228" s="25">
        <v>2.39</v>
      </c>
      <c r="M3228" s="24">
        <v>57037.5</v>
      </c>
      <c r="N3228" s="25">
        <f>IFERROR(T_reg.root.SK[[#This Row],[Price]]/T_reg.root.SK[[#This Row],[Starch content]],"")</f>
        <v>13.887274840209182</v>
      </c>
    </row>
    <row r="3229" spans="1:14">
      <c r="A3229" s="21">
        <v>2024</v>
      </c>
      <c r="B3229" s="21" t="s">
        <v>23</v>
      </c>
      <c r="C3229" s="21" t="s">
        <v>1145</v>
      </c>
      <c r="D3229" s="21" t="s">
        <v>35</v>
      </c>
      <c r="E3229" s="18" t="s">
        <v>177</v>
      </c>
      <c r="F3229" s="18" t="s">
        <v>105</v>
      </c>
      <c r="G3229" s="18" t="s">
        <v>48</v>
      </c>
      <c r="H3229" s="24">
        <v>38930</v>
      </c>
      <c r="I3229" s="24">
        <f>T_reg.root.SK[[#This Row],[Volume, kg]]/1000</f>
        <v>38.93</v>
      </c>
      <c r="J3229" s="25">
        <v>0.19980000000000001</v>
      </c>
      <c r="K3229" s="25">
        <f t="shared" si="50"/>
        <v>7778.2139999999999</v>
      </c>
      <c r="L3229" s="25">
        <v>2.5</v>
      </c>
      <c r="M3229" s="24">
        <v>97336</v>
      </c>
      <c r="N3229" s="25">
        <f>IFERROR(T_reg.root.SK[[#This Row],[Price]]/T_reg.root.SK[[#This Row],[Starch content]],"")</f>
        <v>12.512512512512512</v>
      </c>
    </row>
    <row r="3230" spans="1:14">
      <c r="A3230" s="21">
        <v>2024</v>
      </c>
      <c r="B3230" s="21" t="s">
        <v>23</v>
      </c>
      <c r="C3230" s="21" t="s">
        <v>1145</v>
      </c>
      <c r="D3230" s="21" t="s">
        <v>35</v>
      </c>
      <c r="E3230" s="18" t="s">
        <v>178</v>
      </c>
      <c r="F3230" s="18" t="s">
        <v>105</v>
      </c>
      <c r="G3230" s="18" t="s">
        <v>48</v>
      </c>
      <c r="H3230" s="24">
        <v>42430</v>
      </c>
      <c r="I3230" s="24">
        <f>T_reg.root.SK[[#This Row],[Volume, kg]]/1000</f>
        <v>42.43</v>
      </c>
      <c r="J3230" s="25">
        <v>0.13869999999999999</v>
      </c>
      <c r="K3230" s="25">
        <f t="shared" si="50"/>
        <v>5885.0409999999993</v>
      </c>
      <c r="L3230" s="25">
        <v>2.2400000000000002</v>
      </c>
      <c r="M3230" s="24">
        <v>95046</v>
      </c>
      <c r="N3230" s="25">
        <f>IFERROR(T_reg.root.SK[[#This Row],[Price]]/T_reg.root.SK[[#This Row],[Starch content]],"")</f>
        <v>16.149963950973326</v>
      </c>
    </row>
    <row r="3231" spans="1:14">
      <c r="A3231" s="21">
        <v>2024</v>
      </c>
      <c r="B3231" s="21" t="s">
        <v>23</v>
      </c>
      <c r="C3231" s="21" t="s">
        <v>1145</v>
      </c>
      <c r="D3231" s="21" t="s">
        <v>35</v>
      </c>
      <c r="E3231" s="18" t="s">
        <v>605</v>
      </c>
      <c r="F3231" s="18" t="s">
        <v>105</v>
      </c>
      <c r="G3231" s="18" t="s">
        <v>48</v>
      </c>
      <c r="H3231" s="24">
        <v>205660</v>
      </c>
      <c r="I3231" s="24">
        <f>T_reg.root.SK[[#This Row],[Volume, kg]]/1000</f>
        <v>205.66</v>
      </c>
      <c r="J3231" s="25">
        <v>0.18690000000000001</v>
      </c>
      <c r="K3231" s="25">
        <f t="shared" si="50"/>
        <v>38437.853999999999</v>
      </c>
      <c r="L3231" s="25">
        <v>2.4700000000000002</v>
      </c>
      <c r="M3231" s="24">
        <v>507316.5</v>
      </c>
      <c r="N3231" s="25">
        <f>IFERROR(T_reg.root.SK[[#This Row],[Price]]/T_reg.root.SK[[#This Row],[Starch content]],"")</f>
        <v>13.215623327982879</v>
      </c>
    </row>
    <row r="3232" spans="1:14">
      <c r="A3232" s="21">
        <v>2024</v>
      </c>
      <c r="B3232" s="21" t="s">
        <v>23</v>
      </c>
      <c r="C3232" s="21" t="s">
        <v>1145</v>
      </c>
      <c r="D3232" s="21" t="s">
        <v>35</v>
      </c>
      <c r="E3232" s="18" t="s">
        <v>329</v>
      </c>
      <c r="F3232" s="18" t="s">
        <v>105</v>
      </c>
      <c r="G3232" s="18" t="s">
        <v>48</v>
      </c>
      <c r="H3232" s="24">
        <v>3520</v>
      </c>
      <c r="I3232" s="24">
        <f>T_reg.root.SK[[#This Row],[Volume, kg]]/1000</f>
        <v>3.52</v>
      </c>
      <c r="J3232" s="25">
        <v>0.1905</v>
      </c>
      <c r="K3232" s="25">
        <f t="shared" si="50"/>
        <v>670.56000000000006</v>
      </c>
      <c r="L3232" s="25">
        <v>2.4500000000000002</v>
      </c>
      <c r="M3232" s="24">
        <v>8624</v>
      </c>
      <c r="N3232" s="25">
        <f>IFERROR(T_reg.root.SK[[#This Row],[Price]]/T_reg.root.SK[[#This Row],[Starch content]],"")</f>
        <v>12.860892388451445</v>
      </c>
    </row>
    <row r="3233" spans="1:14">
      <c r="A3233" s="21">
        <v>2024</v>
      </c>
      <c r="B3233" s="21" t="s">
        <v>23</v>
      </c>
      <c r="C3233" s="21" t="s">
        <v>1145</v>
      </c>
      <c r="D3233" s="21" t="s">
        <v>35</v>
      </c>
      <c r="E3233" s="18" t="s">
        <v>179</v>
      </c>
      <c r="F3233" s="18" t="s">
        <v>105</v>
      </c>
      <c r="G3233" s="18" t="s">
        <v>48</v>
      </c>
      <c r="H3233" s="24">
        <v>29920</v>
      </c>
      <c r="I3233" s="24">
        <f>T_reg.root.SK[[#This Row],[Volume, kg]]/1000</f>
        <v>29.92</v>
      </c>
      <c r="J3233" s="25">
        <v>0.17319999999999999</v>
      </c>
      <c r="K3233" s="25">
        <f t="shared" si="50"/>
        <v>5182.1440000000002</v>
      </c>
      <c r="L3233" s="25">
        <v>2.36</v>
      </c>
      <c r="M3233" s="24">
        <v>70692</v>
      </c>
      <c r="N3233" s="25">
        <f>IFERROR(T_reg.root.SK[[#This Row],[Price]]/T_reg.root.SK[[#This Row],[Starch content]],"")</f>
        <v>13.625866050808314</v>
      </c>
    </row>
    <row r="3234" spans="1:14">
      <c r="A3234" s="21">
        <v>2024</v>
      </c>
      <c r="B3234" s="21" t="s">
        <v>23</v>
      </c>
      <c r="C3234" s="21" t="s">
        <v>1145</v>
      </c>
      <c r="D3234" s="21" t="s">
        <v>35</v>
      </c>
      <c r="E3234" s="18" t="s">
        <v>181</v>
      </c>
      <c r="F3234" s="18" t="s">
        <v>105</v>
      </c>
      <c r="G3234" s="18" t="s">
        <v>48</v>
      </c>
      <c r="H3234" s="24">
        <v>151050</v>
      </c>
      <c r="I3234" s="24">
        <f>T_reg.root.SK[[#This Row],[Volume, kg]]/1000</f>
        <v>151.05000000000001</v>
      </c>
      <c r="J3234" s="25">
        <v>0.1721</v>
      </c>
      <c r="K3234" s="25">
        <f t="shared" si="50"/>
        <v>25995.705000000002</v>
      </c>
      <c r="L3234" s="25">
        <v>2.39</v>
      </c>
      <c r="M3234" s="24">
        <v>360255.5</v>
      </c>
      <c r="N3234" s="25">
        <f>IFERROR(T_reg.root.SK[[#This Row],[Price]]/T_reg.root.SK[[#This Row],[Starch content]],"")</f>
        <v>13.887274840209182</v>
      </c>
    </row>
    <row r="3235" spans="1:14">
      <c r="A3235" s="21">
        <v>2024</v>
      </c>
      <c r="B3235" s="21" t="s">
        <v>23</v>
      </c>
      <c r="C3235" s="21" t="s">
        <v>1145</v>
      </c>
      <c r="D3235" s="21" t="s">
        <v>35</v>
      </c>
      <c r="E3235" s="18" t="s">
        <v>740</v>
      </c>
      <c r="F3235" s="18" t="s">
        <v>105</v>
      </c>
      <c r="G3235" s="18" t="s">
        <v>48</v>
      </c>
      <c r="H3235" s="24">
        <v>240560</v>
      </c>
      <c r="I3235" s="24">
        <f>T_reg.root.SK[[#This Row],[Volume, kg]]/1000</f>
        <v>240.56</v>
      </c>
      <c r="J3235" s="25">
        <v>0.16269999999999998</v>
      </c>
      <c r="K3235" s="25">
        <f t="shared" si="50"/>
        <v>39139.111999999994</v>
      </c>
      <c r="L3235" s="25">
        <v>2.34</v>
      </c>
      <c r="M3235" s="24">
        <v>561993</v>
      </c>
      <c r="N3235" s="25">
        <f>IFERROR(T_reg.root.SK[[#This Row],[Price]]/T_reg.root.SK[[#This Row],[Starch content]],"")</f>
        <v>14.382298709280885</v>
      </c>
    </row>
    <row r="3236" spans="1:14">
      <c r="A3236" s="21">
        <v>2024</v>
      </c>
      <c r="B3236" s="21" t="s">
        <v>23</v>
      </c>
      <c r="C3236" s="21" t="s">
        <v>1145</v>
      </c>
      <c r="D3236" s="21" t="s">
        <v>35</v>
      </c>
      <c r="E3236" s="18" t="s">
        <v>757</v>
      </c>
      <c r="F3236" s="18" t="s">
        <v>105</v>
      </c>
      <c r="G3236" s="18" t="s">
        <v>48</v>
      </c>
      <c r="H3236" s="24">
        <v>13860</v>
      </c>
      <c r="I3236" s="24">
        <f>T_reg.root.SK[[#This Row],[Volume, kg]]/1000</f>
        <v>13.86</v>
      </c>
      <c r="J3236" s="25">
        <v>0.2487</v>
      </c>
      <c r="K3236" s="25">
        <f t="shared" si="50"/>
        <v>3446.982</v>
      </c>
      <c r="L3236" s="25">
        <v>2.8</v>
      </c>
      <c r="M3236" s="24">
        <v>38808</v>
      </c>
      <c r="N3236" s="25">
        <f>IFERROR(T_reg.root.SK[[#This Row],[Price]]/T_reg.root.SK[[#This Row],[Starch content]],"")</f>
        <v>11.258544431041415</v>
      </c>
    </row>
    <row r="3237" spans="1:14">
      <c r="A3237" s="21">
        <v>2024</v>
      </c>
      <c r="B3237" s="21" t="s">
        <v>23</v>
      </c>
      <c r="C3237" s="21" t="s">
        <v>1145</v>
      </c>
      <c r="D3237" s="21" t="s">
        <v>35</v>
      </c>
      <c r="E3237" s="18" t="s">
        <v>772</v>
      </c>
      <c r="F3237" s="18" t="s">
        <v>105</v>
      </c>
      <c r="G3237" s="18" t="s">
        <v>48</v>
      </c>
      <c r="H3237" s="24">
        <v>7080</v>
      </c>
      <c r="I3237" s="24">
        <f>T_reg.root.SK[[#This Row],[Volume, kg]]/1000</f>
        <v>7.08</v>
      </c>
      <c r="J3237" s="25">
        <v>0.21600000000000003</v>
      </c>
      <c r="K3237" s="25">
        <f t="shared" si="50"/>
        <v>1529.2800000000002</v>
      </c>
      <c r="L3237" s="25">
        <v>2.6</v>
      </c>
      <c r="M3237" s="24">
        <v>18408</v>
      </c>
      <c r="N3237" s="25">
        <f>IFERROR(T_reg.root.SK[[#This Row],[Price]]/T_reg.root.SK[[#This Row],[Starch content]],"")</f>
        <v>12.037037037037036</v>
      </c>
    </row>
    <row r="3238" spans="1:14">
      <c r="A3238" s="21">
        <v>2024</v>
      </c>
      <c r="B3238" s="21" t="s">
        <v>23</v>
      </c>
      <c r="C3238" s="21" t="s">
        <v>1145</v>
      </c>
      <c r="D3238" s="21" t="s">
        <v>35</v>
      </c>
      <c r="E3238" s="18" t="s">
        <v>640</v>
      </c>
      <c r="F3238" s="18" t="s">
        <v>105</v>
      </c>
      <c r="G3238" s="18" t="s">
        <v>48</v>
      </c>
      <c r="H3238" s="24">
        <v>15540</v>
      </c>
      <c r="I3238" s="24">
        <f>T_reg.root.SK[[#This Row],[Volume, kg]]/1000</f>
        <v>15.54</v>
      </c>
      <c r="J3238" s="25">
        <v>0.1804</v>
      </c>
      <c r="K3238" s="25">
        <f t="shared" si="50"/>
        <v>2803.4160000000002</v>
      </c>
      <c r="L3238" s="25">
        <v>2.39</v>
      </c>
      <c r="M3238" s="24">
        <v>37173</v>
      </c>
      <c r="N3238" s="25">
        <f>IFERROR(T_reg.root.SK[[#This Row],[Price]]/T_reg.root.SK[[#This Row],[Starch content]],"")</f>
        <v>13.248337028824833</v>
      </c>
    </row>
    <row r="3239" spans="1:14">
      <c r="A3239" s="21">
        <v>2024</v>
      </c>
      <c r="B3239" s="21" t="s">
        <v>23</v>
      </c>
      <c r="C3239" s="21" t="s">
        <v>1145</v>
      </c>
      <c r="D3239" s="21" t="s">
        <v>35</v>
      </c>
      <c r="E3239" s="18" t="s">
        <v>773</v>
      </c>
      <c r="F3239" s="18" t="s">
        <v>105</v>
      </c>
      <c r="G3239" s="18" t="s">
        <v>48</v>
      </c>
      <c r="H3239" s="24">
        <v>14530</v>
      </c>
      <c r="I3239" s="24">
        <f>T_reg.root.SK[[#This Row],[Volume, kg]]/1000</f>
        <v>14.53</v>
      </c>
      <c r="J3239" s="25">
        <v>0.1754</v>
      </c>
      <c r="K3239" s="25">
        <f t="shared" si="50"/>
        <v>2548.5619999999999</v>
      </c>
      <c r="L3239" s="25">
        <v>2.42</v>
      </c>
      <c r="M3239" s="24">
        <v>35152.5</v>
      </c>
      <c r="N3239" s="25">
        <f>IFERROR(T_reg.root.SK[[#This Row],[Price]]/T_reg.root.SK[[#This Row],[Starch content]],"")</f>
        <v>13.797035347776511</v>
      </c>
    </row>
    <row r="3240" spans="1:14">
      <c r="A3240" s="21">
        <v>2024</v>
      </c>
      <c r="B3240" s="21" t="s">
        <v>23</v>
      </c>
      <c r="C3240" s="21" t="s">
        <v>1145</v>
      </c>
      <c r="D3240" s="21" t="s">
        <v>35</v>
      </c>
      <c r="E3240" s="18" t="s">
        <v>774</v>
      </c>
      <c r="F3240" s="18" t="s">
        <v>105</v>
      </c>
      <c r="G3240" s="18" t="s">
        <v>48</v>
      </c>
      <c r="H3240" s="24">
        <v>24450</v>
      </c>
      <c r="I3240" s="24">
        <f>T_reg.root.SK[[#This Row],[Volume, kg]]/1000</f>
        <v>24.45</v>
      </c>
      <c r="J3240" s="25">
        <v>0.21820000000000001</v>
      </c>
      <c r="K3240" s="25">
        <f t="shared" si="50"/>
        <v>5334.99</v>
      </c>
      <c r="L3240" s="25">
        <v>2.63</v>
      </c>
      <c r="M3240" s="24">
        <v>64259.5</v>
      </c>
      <c r="N3240" s="25">
        <f>IFERROR(T_reg.root.SK[[#This Row],[Price]]/T_reg.root.SK[[#This Row],[Starch content]],"")</f>
        <v>12.053162236480292</v>
      </c>
    </row>
    <row r="3241" spans="1:14">
      <c r="A3241" s="21">
        <v>2024</v>
      </c>
      <c r="B3241" s="21" t="s">
        <v>23</v>
      </c>
      <c r="C3241" s="21" t="s">
        <v>1145</v>
      </c>
      <c r="D3241" s="21" t="s">
        <v>35</v>
      </c>
      <c r="E3241" s="18" t="s">
        <v>183</v>
      </c>
      <c r="F3241" s="18" t="s">
        <v>105</v>
      </c>
      <c r="G3241" s="18" t="s">
        <v>48</v>
      </c>
      <c r="H3241" s="24">
        <v>51400</v>
      </c>
      <c r="I3241" s="24">
        <f>T_reg.root.SK[[#This Row],[Volume, kg]]/1000</f>
        <v>51.4</v>
      </c>
      <c r="J3241" s="25">
        <v>0.19120000000000001</v>
      </c>
      <c r="K3241" s="25">
        <f t="shared" si="50"/>
        <v>9827.68</v>
      </c>
      <c r="L3241" s="25">
        <v>2.4700000000000002</v>
      </c>
      <c r="M3241" s="24">
        <v>126713.5</v>
      </c>
      <c r="N3241" s="25">
        <f>IFERROR(T_reg.root.SK[[#This Row],[Price]]/T_reg.root.SK[[#This Row],[Starch content]],"")</f>
        <v>12.918410041841005</v>
      </c>
    </row>
    <row r="3242" spans="1:14">
      <c r="A3242" s="21">
        <v>2024</v>
      </c>
      <c r="B3242" s="21" t="s">
        <v>23</v>
      </c>
      <c r="C3242" s="21" t="s">
        <v>1145</v>
      </c>
      <c r="D3242" s="21" t="s">
        <v>35</v>
      </c>
      <c r="E3242" s="18" t="s">
        <v>775</v>
      </c>
      <c r="F3242" s="18" t="s">
        <v>187</v>
      </c>
      <c r="G3242" s="18" t="s">
        <v>48</v>
      </c>
      <c r="H3242" s="24">
        <v>20710</v>
      </c>
      <c r="I3242" s="24">
        <f>T_reg.root.SK[[#This Row],[Volume, kg]]/1000</f>
        <v>20.71</v>
      </c>
      <c r="J3242" s="25">
        <v>0.15279999999999999</v>
      </c>
      <c r="K3242" s="25">
        <f t="shared" si="50"/>
        <v>3164.4879999999998</v>
      </c>
      <c r="L3242" s="25">
        <v>2.34</v>
      </c>
      <c r="M3242" s="24">
        <v>48421</v>
      </c>
      <c r="N3242" s="25">
        <f>IFERROR(T_reg.root.SK[[#This Row],[Price]]/T_reg.root.SK[[#This Row],[Starch content]],"")</f>
        <v>15.31413612565445</v>
      </c>
    </row>
    <row r="3243" spans="1:14">
      <c r="A3243" s="21">
        <v>2024</v>
      </c>
      <c r="B3243" s="21" t="s">
        <v>23</v>
      </c>
      <c r="C3243" s="21" t="s">
        <v>1145</v>
      </c>
      <c r="D3243" s="21" t="s">
        <v>35</v>
      </c>
      <c r="E3243" s="18" t="s">
        <v>186</v>
      </c>
      <c r="F3243" s="18" t="s">
        <v>187</v>
      </c>
      <c r="G3243" s="18" t="s">
        <v>48</v>
      </c>
      <c r="H3243" s="24">
        <v>9740</v>
      </c>
      <c r="I3243" s="24">
        <f>T_reg.root.SK[[#This Row],[Volume, kg]]/1000</f>
        <v>9.74</v>
      </c>
      <c r="J3243" s="25">
        <v>0.22500000000000001</v>
      </c>
      <c r="K3243" s="25">
        <f t="shared" si="50"/>
        <v>2191.5</v>
      </c>
      <c r="L3243" s="25">
        <v>2.75</v>
      </c>
      <c r="M3243" s="24">
        <v>26785</v>
      </c>
      <c r="N3243" s="25">
        <f>IFERROR(T_reg.root.SK[[#This Row],[Price]]/T_reg.root.SK[[#This Row],[Starch content]],"")</f>
        <v>12.222222222222221</v>
      </c>
    </row>
    <row r="3244" spans="1:14">
      <c r="A3244" s="21">
        <v>2024</v>
      </c>
      <c r="B3244" s="21" t="s">
        <v>23</v>
      </c>
      <c r="C3244" s="21" t="s">
        <v>1145</v>
      </c>
      <c r="D3244" s="21" t="s">
        <v>35</v>
      </c>
      <c r="E3244" s="18" t="s">
        <v>190</v>
      </c>
      <c r="F3244" s="18" t="s">
        <v>187</v>
      </c>
      <c r="G3244" s="18" t="s">
        <v>48</v>
      </c>
      <c r="H3244" s="24">
        <v>22160</v>
      </c>
      <c r="I3244" s="24">
        <f>T_reg.root.SK[[#This Row],[Volume, kg]]/1000</f>
        <v>22.16</v>
      </c>
      <c r="J3244" s="25">
        <v>0.2243</v>
      </c>
      <c r="K3244" s="25">
        <f t="shared" si="50"/>
        <v>4970.4880000000003</v>
      </c>
      <c r="L3244" s="25">
        <v>2.67</v>
      </c>
      <c r="M3244" s="24">
        <v>59127</v>
      </c>
      <c r="N3244" s="25">
        <f>IFERROR(T_reg.root.SK[[#This Row],[Price]]/T_reg.root.SK[[#This Row],[Starch content]],"")</f>
        <v>11.903700401248328</v>
      </c>
    </row>
    <row r="3245" spans="1:14">
      <c r="A3245" s="21">
        <v>2024</v>
      </c>
      <c r="B3245" s="21" t="s">
        <v>23</v>
      </c>
      <c r="C3245" s="21" t="s">
        <v>1145</v>
      </c>
      <c r="D3245" s="21" t="s">
        <v>35</v>
      </c>
      <c r="E3245" s="18" t="s">
        <v>191</v>
      </c>
      <c r="F3245" s="18" t="s">
        <v>187</v>
      </c>
      <c r="G3245" s="18" t="s">
        <v>48</v>
      </c>
      <c r="H3245" s="24">
        <v>15150</v>
      </c>
      <c r="I3245" s="24">
        <f>T_reg.root.SK[[#This Row],[Volume, kg]]/1000</f>
        <v>15.15</v>
      </c>
      <c r="J3245" s="25">
        <v>0.21719999999999998</v>
      </c>
      <c r="K3245" s="25">
        <f t="shared" si="50"/>
        <v>3290.5799999999995</v>
      </c>
      <c r="L3245" s="25">
        <v>2.68</v>
      </c>
      <c r="M3245" s="24">
        <v>40657.5</v>
      </c>
      <c r="N3245" s="25">
        <f>IFERROR(T_reg.root.SK[[#This Row],[Price]]/T_reg.root.SK[[#This Row],[Starch content]],"")</f>
        <v>12.338858195211788</v>
      </c>
    </row>
    <row r="3246" spans="1:14">
      <c r="A3246" s="21">
        <v>2024</v>
      </c>
      <c r="B3246" s="21" t="s">
        <v>23</v>
      </c>
      <c r="C3246" s="21" t="s">
        <v>1145</v>
      </c>
      <c r="D3246" s="21" t="s">
        <v>35</v>
      </c>
      <c r="E3246" s="18" t="s">
        <v>580</v>
      </c>
      <c r="F3246" s="18" t="s">
        <v>187</v>
      </c>
      <c r="G3246" s="18" t="s">
        <v>48</v>
      </c>
      <c r="H3246" s="24">
        <v>27300</v>
      </c>
      <c r="I3246" s="24">
        <f>T_reg.root.SK[[#This Row],[Volume, kg]]/1000</f>
        <v>27.3</v>
      </c>
      <c r="J3246" s="25">
        <v>0.21079999999999999</v>
      </c>
      <c r="K3246" s="25">
        <f t="shared" si="50"/>
        <v>5754.8399999999992</v>
      </c>
      <c r="L3246" s="25">
        <v>2.67</v>
      </c>
      <c r="M3246" s="24">
        <v>72938</v>
      </c>
      <c r="N3246" s="25">
        <f>IFERROR(T_reg.root.SK[[#This Row],[Price]]/T_reg.root.SK[[#This Row],[Starch content]],"")</f>
        <v>12.666034155597723</v>
      </c>
    </row>
    <row r="3247" spans="1:14">
      <c r="A3247" s="21">
        <v>2024</v>
      </c>
      <c r="B3247" s="21" t="s">
        <v>23</v>
      </c>
      <c r="C3247" s="21" t="s">
        <v>1145</v>
      </c>
      <c r="D3247" s="21" t="s">
        <v>35</v>
      </c>
      <c r="E3247" s="18" t="s">
        <v>370</v>
      </c>
      <c r="F3247" s="18" t="s">
        <v>187</v>
      </c>
      <c r="G3247" s="18" t="s">
        <v>48</v>
      </c>
      <c r="H3247" s="24">
        <v>0</v>
      </c>
      <c r="I3247" s="24">
        <f>T_reg.root.SK[[#This Row],[Volume, kg]]/1000</f>
        <v>0</v>
      </c>
      <c r="J3247" s="25">
        <v>0</v>
      </c>
      <c r="K3247" s="25">
        <f t="shared" si="50"/>
        <v>0</v>
      </c>
      <c r="L3247" s="25">
        <v>0</v>
      </c>
      <c r="M3247" s="24">
        <v>0</v>
      </c>
      <c r="N3247" s="25" t="str">
        <f>IFERROR(T_reg.root.SK[[#This Row],[Price]]/T_reg.root.SK[[#This Row],[Starch content]],"")</f>
        <v/>
      </c>
    </row>
    <row r="3248" spans="1:14">
      <c r="A3248" s="21">
        <v>2024</v>
      </c>
      <c r="B3248" s="21" t="s">
        <v>23</v>
      </c>
      <c r="C3248" s="21" t="s">
        <v>1145</v>
      </c>
      <c r="D3248" s="21" t="s">
        <v>35</v>
      </c>
      <c r="E3248" s="18" t="s">
        <v>581</v>
      </c>
      <c r="F3248" s="18" t="s">
        <v>187</v>
      </c>
      <c r="G3248" s="18" t="s">
        <v>48</v>
      </c>
      <c r="H3248" s="24">
        <v>89610</v>
      </c>
      <c r="I3248" s="24">
        <f>T_reg.root.SK[[#This Row],[Volume, kg]]/1000</f>
        <v>89.61</v>
      </c>
      <c r="J3248" s="25">
        <v>0.17309999999999998</v>
      </c>
      <c r="K3248" s="25">
        <f t="shared" si="50"/>
        <v>15511.490999999998</v>
      </c>
      <c r="L3248" s="25">
        <v>2.4700000000000002</v>
      </c>
      <c r="M3248" s="24">
        <v>221258</v>
      </c>
      <c r="N3248" s="25">
        <f>IFERROR(T_reg.root.SK[[#This Row],[Price]]/T_reg.root.SK[[#This Row],[Starch content]],"")</f>
        <v>14.269208549971118</v>
      </c>
    </row>
    <row r="3249" spans="1:14">
      <c r="A3249" s="21">
        <v>2024</v>
      </c>
      <c r="B3249" s="21" t="s">
        <v>23</v>
      </c>
      <c r="C3249" s="21" t="s">
        <v>1145</v>
      </c>
      <c r="D3249" s="21" t="s">
        <v>35</v>
      </c>
      <c r="E3249" s="18" t="s">
        <v>582</v>
      </c>
      <c r="F3249" s="18" t="s">
        <v>187</v>
      </c>
      <c r="G3249" s="18" t="s">
        <v>48</v>
      </c>
      <c r="H3249" s="24">
        <v>49030</v>
      </c>
      <c r="I3249" s="24">
        <f>T_reg.root.SK[[#This Row],[Volume, kg]]/1000</f>
        <v>49.03</v>
      </c>
      <c r="J3249" s="25">
        <v>0.16800000000000001</v>
      </c>
      <c r="K3249" s="25">
        <f t="shared" si="50"/>
        <v>8237.0400000000009</v>
      </c>
      <c r="L3249" s="25">
        <v>2.42</v>
      </c>
      <c r="M3249" s="24">
        <v>118701</v>
      </c>
      <c r="N3249" s="25">
        <f>IFERROR(T_reg.root.SK[[#This Row],[Price]]/T_reg.root.SK[[#This Row],[Starch content]],"")</f>
        <v>14.404761904761903</v>
      </c>
    </row>
    <row r="3250" spans="1:14">
      <c r="A3250" s="21">
        <v>2024</v>
      </c>
      <c r="B3250" s="21" t="s">
        <v>23</v>
      </c>
      <c r="C3250" s="21" t="s">
        <v>1145</v>
      </c>
      <c r="D3250" s="21" t="s">
        <v>35</v>
      </c>
      <c r="E3250" s="18" t="s">
        <v>758</v>
      </c>
      <c r="F3250" s="18" t="s">
        <v>187</v>
      </c>
      <c r="G3250" s="18" t="s">
        <v>48</v>
      </c>
      <c r="H3250" s="24">
        <v>35040</v>
      </c>
      <c r="I3250" s="24">
        <f>T_reg.root.SK[[#This Row],[Volume, kg]]/1000</f>
        <v>35.04</v>
      </c>
      <c r="J3250" s="25">
        <v>0.16109999999999999</v>
      </c>
      <c r="K3250" s="25">
        <f t="shared" si="50"/>
        <v>5644.9439999999995</v>
      </c>
      <c r="L3250" s="25">
        <v>2.34</v>
      </c>
      <c r="M3250" s="24">
        <v>81993</v>
      </c>
      <c r="N3250" s="25">
        <f>IFERROR(T_reg.root.SK[[#This Row],[Price]]/T_reg.root.SK[[#This Row],[Starch content]],"")</f>
        <v>14.525139664804469</v>
      </c>
    </row>
    <row r="3251" spans="1:14">
      <c r="A3251" s="21">
        <v>2024</v>
      </c>
      <c r="B3251" s="21" t="s">
        <v>23</v>
      </c>
      <c r="C3251" s="21" t="s">
        <v>1145</v>
      </c>
      <c r="D3251" s="21" t="s">
        <v>35</v>
      </c>
      <c r="E3251" s="18" t="s">
        <v>512</v>
      </c>
      <c r="F3251" s="18" t="s">
        <v>187</v>
      </c>
      <c r="G3251" s="18" t="s">
        <v>48</v>
      </c>
      <c r="H3251" s="24">
        <v>194400</v>
      </c>
      <c r="I3251" s="24">
        <f>T_reg.root.SK[[#This Row],[Volume, kg]]/1000</f>
        <v>194.4</v>
      </c>
      <c r="J3251" s="25">
        <v>0.17780000000000001</v>
      </c>
      <c r="K3251" s="25">
        <f t="shared" si="50"/>
        <v>34564.32</v>
      </c>
      <c r="L3251" s="25">
        <v>2.46</v>
      </c>
      <c r="M3251" s="24">
        <v>478178.5</v>
      </c>
      <c r="N3251" s="25">
        <f>IFERROR(T_reg.root.SK[[#This Row],[Price]]/T_reg.root.SK[[#This Row],[Starch content]],"")</f>
        <v>13.835770528683913</v>
      </c>
    </row>
    <row r="3252" spans="1:14">
      <c r="A3252" s="21">
        <v>2024</v>
      </c>
      <c r="B3252" s="21" t="s">
        <v>23</v>
      </c>
      <c r="C3252" s="21" t="s">
        <v>1145</v>
      </c>
      <c r="D3252" s="21" t="s">
        <v>35</v>
      </c>
      <c r="E3252" s="18" t="s">
        <v>608</v>
      </c>
      <c r="F3252" s="18" t="s">
        <v>187</v>
      </c>
      <c r="G3252" s="18" t="s">
        <v>48</v>
      </c>
      <c r="H3252" s="24">
        <v>15150</v>
      </c>
      <c r="I3252" s="24">
        <f>T_reg.root.SK[[#This Row],[Volume, kg]]/1000</f>
        <v>15.15</v>
      </c>
      <c r="J3252" s="25">
        <v>0.2089</v>
      </c>
      <c r="K3252" s="25">
        <f t="shared" si="50"/>
        <v>3164.835</v>
      </c>
      <c r="L3252" s="25">
        <v>2.58</v>
      </c>
      <c r="M3252" s="24">
        <v>39055.5</v>
      </c>
      <c r="N3252" s="25">
        <f>IFERROR(T_reg.root.SK[[#This Row],[Price]]/T_reg.root.SK[[#This Row],[Starch content]],"")</f>
        <v>12.350406893250359</v>
      </c>
    </row>
    <row r="3253" spans="1:14">
      <c r="A3253" s="21">
        <v>2024</v>
      </c>
      <c r="B3253" s="21" t="s">
        <v>23</v>
      </c>
      <c r="C3253" s="21" t="s">
        <v>1145</v>
      </c>
      <c r="D3253" s="21" t="s">
        <v>35</v>
      </c>
      <c r="E3253" s="18" t="s">
        <v>776</v>
      </c>
      <c r="F3253" s="18" t="s">
        <v>187</v>
      </c>
      <c r="G3253" s="18" t="s">
        <v>48</v>
      </c>
      <c r="H3253" s="24">
        <v>12770</v>
      </c>
      <c r="I3253" s="24">
        <f>T_reg.root.SK[[#This Row],[Volume, kg]]/1000</f>
        <v>12.77</v>
      </c>
      <c r="J3253" s="25">
        <v>0.1913</v>
      </c>
      <c r="K3253" s="25">
        <f t="shared" si="50"/>
        <v>2442.9009999999998</v>
      </c>
      <c r="L3253" s="25">
        <v>2.5</v>
      </c>
      <c r="M3253" s="24">
        <v>31925</v>
      </c>
      <c r="N3253" s="25">
        <f>IFERROR(T_reg.root.SK[[#This Row],[Price]]/T_reg.root.SK[[#This Row],[Starch content]],"")</f>
        <v>13.068478829064297</v>
      </c>
    </row>
    <row r="3254" spans="1:14">
      <c r="A3254" s="21">
        <v>2024</v>
      </c>
      <c r="B3254" s="21" t="s">
        <v>23</v>
      </c>
      <c r="C3254" s="21" t="s">
        <v>1145</v>
      </c>
      <c r="D3254" s="21" t="s">
        <v>35</v>
      </c>
      <c r="E3254" s="18" t="s">
        <v>585</v>
      </c>
      <c r="F3254" s="18" t="s">
        <v>187</v>
      </c>
      <c r="G3254" s="18" t="s">
        <v>48</v>
      </c>
      <c r="H3254" s="24">
        <v>13000</v>
      </c>
      <c r="I3254" s="24">
        <f>T_reg.root.SK[[#This Row],[Volume, kg]]/1000</f>
        <v>13</v>
      </c>
      <c r="J3254" s="25">
        <v>0.18909999999999999</v>
      </c>
      <c r="K3254" s="25">
        <f t="shared" si="50"/>
        <v>2458.2999999999997</v>
      </c>
      <c r="L3254" s="25">
        <v>2.5499999999999998</v>
      </c>
      <c r="M3254" s="24">
        <v>33150</v>
      </c>
      <c r="N3254" s="25">
        <f>IFERROR(T_reg.root.SK[[#This Row],[Price]]/T_reg.root.SK[[#This Row],[Starch content]],"")</f>
        <v>13.48492860920148</v>
      </c>
    </row>
    <row r="3255" spans="1:14">
      <c r="A3255" s="21">
        <v>2024</v>
      </c>
      <c r="B3255" s="21" t="s">
        <v>23</v>
      </c>
      <c r="C3255" s="21" t="s">
        <v>1145</v>
      </c>
      <c r="D3255" s="21" t="s">
        <v>35</v>
      </c>
      <c r="E3255" s="18" t="s">
        <v>262</v>
      </c>
      <c r="F3255" s="18" t="s">
        <v>187</v>
      </c>
      <c r="G3255" s="18" t="s">
        <v>48</v>
      </c>
      <c r="H3255" s="24">
        <v>169950</v>
      </c>
      <c r="I3255" s="24">
        <f>T_reg.root.SK[[#This Row],[Volume, kg]]/1000</f>
        <v>169.95</v>
      </c>
      <c r="J3255" s="25">
        <v>0.1641</v>
      </c>
      <c r="K3255" s="25">
        <f t="shared" si="50"/>
        <v>27888.794999999998</v>
      </c>
      <c r="L3255" s="25">
        <v>2.4</v>
      </c>
      <c r="M3255" s="24">
        <v>408315</v>
      </c>
      <c r="N3255" s="25">
        <f>IFERROR(T_reg.root.SK[[#This Row],[Price]]/T_reg.root.SK[[#This Row],[Starch content]],"")</f>
        <v>14.625228519195613</v>
      </c>
    </row>
    <row r="3256" spans="1:14">
      <c r="A3256" s="21">
        <v>2024</v>
      </c>
      <c r="B3256" s="21" t="s">
        <v>23</v>
      </c>
      <c r="C3256" s="21" t="s">
        <v>1145</v>
      </c>
      <c r="D3256" s="21" t="s">
        <v>35</v>
      </c>
      <c r="E3256" s="18" t="s">
        <v>621</v>
      </c>
      <c r="F3256" s="18" t="s">
        <v>187</v>
      </c>
      <c r="G3256" s="18" t="s">
        <v>48</v>
      </c>
      <c r="H3256" s="24">
        <v>11690</v>
      </c>
      <c r="I3256" s="24">
        <f>T_reg.root.SK[[#This Row],[Volume, kg]]/1000</f>
        <v>11.69</v>
      </c>
      <c r="J3256" s="25">
        <v>0.16449999999999998</v>
      </c>
      <c r="K3256" s="25">
        <f t="shared" si="50"/>
        <v>1923.0049999999997</v>
      </c>
      <c r="L3256" s="25">
        <v>2.38</v>
      </c>
      <c r="M3256" s="24">
        <v>27833</v>
      </c>
      <c r="N3256" s="25">
        <f>IFERROR(T_reg.root.SK[[#This Row],[Price]]/T_reg.root.SK[[#This Row],[Starch content]],"")</f>
        <v>14.468085106382979</v>
      </c>
    </row>
    <row r="3257" spans="1:14">
      <c r="A3257" s="21">
        <v>2024</v>
      </c>
      <c r="B3257" s="21" t="s">
        <v>23</v>
      </c>
      <c r="C3257" s="21" t="s">
        <v>1145</v>
      </c>
      <c r="D3257" s="21" t="s">
        <v>35</v>
      </c>
      <c r="E3257" s="18" t="s">
        <v>194</v>
      </c>
      <c r="F3257" s="18" t="s">
        <v>187</v>
      </c>
      <c r="G3257" s="18" t="s">
        <v>48</v>
      </c>
      <c r="H3257" s="24">
        <v>21910</v>
      </c>
      <c r="I3257" s="24">
        <f>T_reg.root.SK[[#This Row],[Volume, kg]]/1000</f>
        <v>21.91</v>
      </c>
      <c r="J3257" s="25">
        <v>0.2089</v>
      </c>
      <c r="K3257" s="25">
        <f t="shared" si="50"/>
        <v>4576.9989999999998</v>
      </c>
      <c r="L3257" s="25">
        <v>2.61</v>
      </c>
      <c r="M3257" s="24">
        <v>57079.5</v>
      </c>
      <c r="N3257" s="25">
        <f>IFERROR(T_reg.root.SK[[#This Row],[Price]]/T_reg.root.SK[[#This Row],[Starch content]],"")</f>
        <v>12.494016275730013</v>
      </c>
    </row>
    <row r="3258" spans="1:14">
      <c r="A3258" s="21">
        <v>2024</v>
      </c>
      <c r="B3258" s="21" t="s">
        <v>23</v>
      </c>
      <c r="C3258" s="21" t="s">
        <v>1145</v>
      </c>
      <c r="D3258" s="21" t="s">
        <v>35</v>
      </c>
      <c r="E3258" s="18" t="s">
        <v>263</v>
      </c>
      <c r="F3258" s="18" t="s">
        <v>187</v>
      </c>
      <c r="G3258" s="18" t="s">
        <v>48</v>
      </c>
      <c r="H3258" s="24">
        <v>15490</v>
      </c>
      <c r="I3258" s="24">
        <f>T_reg.root.SK[[#This Row],[Volume, kg]]/1000</f>
        <v>15.49</v>
      </c>
      <c r="J3258" s="25">
        <v>0.20149999999999998</v>
      </c>
      <c r="K3258" s="25">
        <f t="shared" si="50"/>
        <v>3121.2349999999997</v>
      </c>
      <c r="L3258" s="25">
        <v>2.62</v>
      </c>
      <c r="M3258" s="24">
        <v>40531.5</v>
      </c>
      <c r="N3258" s="25">
        <f>IFERROR(T_reg.root.SK[[#This Row],[Price]]/T_reg.root.SK[[#This Row],[Starch content]],"")</f>
        <v>13.002481389578165</v>
      </c>
    </row>
    <row r="3259" spans="1:14">
      <c r="A3259" s="21">
        <v>2024</v>
      </c>
      <c r="B3259" s="21" t="s">
        <v>23</v>
      </c>
      <c r="C3259" s="21" t="s">
        <v>1145</v>
      </c>
      <c r="D3259" s="21" t="s">
        <v>35</v>
      </c>
      <c r="E3259" s="18" t="s">
        <v>587</v>
      </c>
      <c r="F3259" s="18" t="s">
        <v>187</v>
      </c>
      <c r="G3259" s="18" t="s">
        <v>48</v>
      </c>
      <c r="H3259" s="24">
        <v>0</v>
      </c>
      <c r="I3259" s="24">
        <f>T_reg.root.SK[[#This Row],[Volume, kg]]/1000</f>
        <v>0</v>
      </c>
      <c r="J3259" s="25">
        <v>0</v>
      </c>
      <c r="K3259" s="25">
        <f t="shared" si="50"/>
        <v>0</v>
      </c>
      <c r="L3259" s="25">
        <v>0</v>
      </c>
      <c r="M3259" s="24">
        <v>0</v>
      </c>
      <c r="N3259" s="25" t="str">
        <f>IFERROR(T_reg.root.SK[[#This Row],[Price]]/T_reg.root.SK[[#This Row],[Starch content]],"")</f>
        <v/>
      </c>
    </row>
    <row r="3260" spans="1:14">
      <c r="A3260" s="21">
        <v>2024</v>
      </c>
      <c r="B3260" s="21" t="s">
        <v>23</v>
      </c>
      <c r="C3260" s="21" t="s">
        <v>1145</v>
      </c>
      <c r="D3260" s="21" t="s">
        <v>35</v>
      </c>
      <c r="E3260" s="18" t="s">
        <v>516</v>
      </c>
      <c r="F3260" s="18" t="s">
        <v>187</v>
      </c>
      <c r="G3260" s="18" t="s">
        <v>48</v>
      </c>
      <c r="H3260" s="24">
        <v>65610</v>
      </c>
      <c r="I3260" s="24">
        <f>T_reg.root.SK[[#This Row],[Volume, kg]]/1000</f>
        <v>65.61</v>
      </c>
      <c r="J3260" s="25">
        <v>0.1946</v>
      </c>
      <c r="K3260" s="25">
        <f t="shared" si="50"/>
        <v>12767.706</v>
      </c>
      <c r="L3260" s="25">
        <v>2.5299999999999998</v>
      </c>
      <c r="M3260" s="24">
        <v>165972</v>
      </c>
      <c r="N3260" s="25">
        <f>IFERROR(T_reg.root.SK[[#This Row],[Price]]/T_reg.root.SK[[#This Row],[Starch content]],"")</f>
        <v>13.001027749229188</v>
      </c>
    </row>
    <row r="3261" spans="1:14">
      <c r="A3261" s="21">
        <v>2024</v>
      </c>
      <c r="B3261" s="21" t="s">
        <v>23</v>
      </c>
      <c r="C3261" s="21" t="s">
        <v>1145</v>
      </c>
      <c r="D3261" s="21" t="s">
        <v>35</v>
      </c>
      <c r="E3261" s="18" t="s">
        <v>671</v>
      </c>
      <c r="F3261" s="18" t="s">
        <v>187</v>
      </c>
      <c r="G3261" s="18" t="s">
        <v>48</v>
      </c>
      <c r="H3261" s="24">
        <v>1490</v>
      </c>
      <c r="I3261" s="24">
        <f>T_reg.root.SK[[#This Row],[Volume, kg]]/1000</f>
        <v>1.49</v>
      </c>
      <c r="J3261" s="25">
        <v>0.23</v>
      </c>
      <c r="K3261" s="25">
        <f t="shared" si="50"/>
        <v>342.7</v>
      </c>
      <c r="L3261" s="25">
        <v>2.7</v>
      </c>
      <c r="M3261" s="24">
        <v>4023</v>
      </c>
      <c r="N3261" s="25">
        <f>IFERROR(T_reg.root.SK[[#This Row],[Price]]/T_reg.root.SK[[#This Row],[Starch content]],"")</f>
        <v>11.739130434782609</v>
      </c>
    </row>
    <row r="3262" spans="1:14">
      <c r="A3262" s="21">
        <v>2024</v>
      </c>
      <c r="B3262" s="21" t="s">
        <v>23</v>
      </c>
      <c r="C3262" s="21" t="s">
        <v>1145</v>
      </c>
      <c r="D3262" s="21" t="s">
        <v>35</v>
      </c>
      <c r="E3262" s="18" t="s">
        <v>520</v>
      </c>
      <c r="F3262" s="18" t="s">
        <v>187</v>
      </c>
      <c r="G3262" s="18" t="s">
        <v>48</v>
      </c>
      <c r="H3262" s="24">
        <v>67610</v>
      </c>
      <c r="I3262" s="24">
        <f>T_reg.root.SK[[#This Row],[Volume, kg]]/1000</f>
        <v>67.61</v>
      </c>
      <c r="J3262" s="25">
        <v>0.17010000000000003</v>
      </c>
      <c r="K3262" s="25">
        <f t="shared" si="50"/>
        <v>11500.461000000001</v>
      </c>
      <c r="L3262" s="25">
        <v>2.4300000000000002</v>
      </c>
      <c r="M3262" s="24">
        <v>164221.5</v>
      </c>
      <c r="N3262" s="25">
        <f>IFERROR(T_reg.root.SK[[#This Row],[Price]]/T_reg.root.SK[[#This Row],[Starch content]],"")</f>
        <v>14.285714285714285</v>
      </c>
    </row>
    <row r="3263" spans="1:14">
      <c r="A3263" s="21">
        <v>2024</v>
      </c>
      <c r="B3263" s="21" t="s">
        <v>23</v>
      </c>
      <c r="C3263" s="21" t="s">
        <v>1145</v>
      </c>
      <c r="D3263" s="21" t="s">
        <v>35</v>
      </c>
      <c r="E3263" s="18" t="s">
        <v>521</v>
      </c>
      <c r="F3263" s="18" t="s">
        <v>187</v>
      </c>
      <c r="G3263" s="18" t="s">
        <v>48</v>
      </c>
      <c r="H3263" s="24">
        <v>32540</v>
      </c>
      <c r="I3263" s="24">
        <f>T_reg.root.SK[[#This Row],[Volume, kg]]/1000</f>
        <v>32.54</v>
      </c>
      <c r="J3263" s="25">
        <v>0.1787</v>
      </c>
      <c r="K3263" s="25">
        <f t="shared" si="50"/>
        <v>5814.8980000000001</v>
      </c>
      <c r="L3263" s="25">
        <v>2.5</v>
      </c>
      <c r="M3263" s="24">
        <v>81356</v>
      </c>
      <c r="N3263" s="25">
        <f>IFERROR(T_reg.root.SK[[#This Row],[Price]]/T_reg.root.SK[[#This Row],[Starch content]],"")</f>
        <v>13.989927252378287</v>
      </c>
    </row>
    <row r="3264" spans="1:14">
      <c r="A3264" s="21">
        <v>2024</v>
      </c>
      <c r="B3264" s="21" t="s">
        <v>23</v>
      </c>
      <c r="C3264" s="21" t="s">
        <v>1145</v>
      </c>
      <c r="D3264" s="21" t="s">
        <v>35</v>
      </c>
      <c r="E3264" s="18" t="s">
        <v>264</v>
      </c>
      <c r="F3264" s="18" t="s">
        <v>187</v>
      </c>
      <c r="G3264" s="18" t="s">
        <v>48</v>
      </c>
      <c r="H3264" s="24">
        <v>0</v>
      </c>
      <c r="I3264" s="24">
        <f>T_reg.root.SK[[#This Row],[Volume, kg]]/1000</f>
        <v>0</v>
      </c>
      <c r="J3264" s="25">
        <v>0</v>
      </c>
      <c r="K3264" s="25">
        <f t="shared" si="50"/>
        <v>0</v>
      </c>
      <c r="L3264" s="25">
        <v>0</v>
      </c>
      <c r="M3264" s="24">
        <v>0</v>
      </c>
      <c r="N3264" s="25" t="str">
        <f>IFERROR(T_reg.root.SK[[#This Row],[Price]]/T_reg.root.SK[[#This Row],[Starch content]],"")</f>
        <v/>
      </c>
    </row>
    <row r="3265" spans="1:14">
      <c r="A3265" s="21">
        <v>2024</v>
      </c>
      <c r="B3265" s="21" t="s">
        <v>23</v>
      </c>
      <c r="C3265" s="21" t="s">
        <v>1145</v>
      </c>
      <c r="D3265" s="21" t="s">
        <v>35</v>
      </c>
      <c r="E3265" s="18" t="s">
        <v>523</v>
      </c>
      <c r="F3265" s="18" t="s">
        <v>187</v>
      </c>
      <c r="G3265" s="18" t="s">
        <v>48</v>
      </c>
      <c r="H3265" s="24">
        <v>9920</v>
      </c>
      <c r="I3265" s="24">
        <f>T_reg.root.SK[[#This Row],[Volume, kg]]/1000</f>
        <v>9.92</v>
      </c>
      <c r="J3265" s="25">
        <v>0.16800000000000001</v>
      </c>
      <c r="K3265" s="25">
        <f t="shared" si="50"/>
        <v>1666.5600000000002</v>
      </c>
      <c r="L3265" s="25">
        <v>2.4500000000000002</v>
      </c>
      <c r="M3265" s="24">
        <v>24304</v>
      </c>
      <c r="N3265" s="25">
        <f>IFERROR(T_reg.root.SK[[#This Row],[Price]]/T_reg.root.SK[[#This Row],[Starch content]],"")</f>
        <v>14.583333333333334</v>
      </c>
    </row>
    <row r="3266" spans="1:14">
      <c r="A3266" s="21">
        <v>2024</v>
      </c>
      <c r="B3266" s="21" t="s">
        <v>23</v>
      </c>
      <c r="C3266" s="21" t="s">
        <v>1145</v>
      </c>
      <c r="D3266" s="21" t="s">
        <v>35</v>
      </c>
      <c r="E3266" s="18" t="s">
        <v>196</v>
      </c>
      <c r="F3266" s="18" t="s">
        <v>187</v>
      </c>
      <c r="G3266" s="18" t="s">
        <v>48</v>
      </c>
      <c r="H3266" s="24">
        <v>23610</v>
      </c>
      <c r="I3266" s="24">
        <f>T_reg.root.SK[[#This Row],[Volume, kg]]/1000</f>
        <v>23.61</v>
      </c>
      <c r="J3266" s="25">
        <v>0.1865</v>
      </c>
      <c r="K3266" s="25">
        <f t="shared" si="50"/>
        <v>4403.2650000000003</v>
      </c>
      <c r="L3266" s="25">
        <v>2.5</v>
      </c>
      <c r="M3266" s="24">
        <v>58919.5</v>
      </c>
      <c r="N3266" s="25">
        <f>IFERROR(T_reg.root.SK[[#This Row],[Price]]/T_reg.root.SK[[#This Row],[Starch content]],"")</f>
        <v>13.404825737265416</v>
      </c>
    </row>
    <row r="3267" spans="1:14">
      <c r="A3267" s="21">
        <v>2024</v>
      </c>
      <c r="B3267" s="21" t="s">
        <v>23</v>
      </c>
      <c r="C3267" s="21" t="s">
        <v>1145</v>
      </c>
      <c r="D3267" s="21" t="s">
        <v>35</v>
      </c>
      <c r="E3267" s="18" t="s">
        <v>610</v>
      </c>
      <c r="F3267" s="18" t="s">
        <v>187</v>
      </c>
      <c r="G3267" s="18" t="s">
        <v>48</v>
      </c>
      <c r="H3267" s="24">
        <v>14320</v>
      </c>
      <c r="I3267" s="24">
        <f>T_reg.root.SK[[#This Row],[Volume, kg]]/1000</f>
        <v>14.32</v>
      </c>
      <c r="J3267" s="25">
        <v>0.18909999999999999</v>
      </c>
      <c r="K3267" s="25">
        <f t="shared" ref="K3267:K3330" si="51">H3267*J3267</f>
        <v>2707.9119999999998</v>
      </c>
      <c r="L3267" s="25">
        <v>2.5299999999999998</v>
      </c>
      <c r="M3267" s="24">
        <v>36176</v>
      </c>
      <c r="N3267" s="25">
        <f>IFERROR(T_reg.root.SK[[#This Row],[Price]]/T_reg.root.SK[[#This Row],[Starch content]],"")</f>
        <v>13.379164463246958</v>
      </c>
    </row>
    <row r="3268" spans="1:14">
      <c r="A3268" s="21">
        <v>2024</v>
      </c>
      <c r="B3268" s="21" t="s">
        <v>23</v>
      </c>
      <c r="C3268" s="21" t="s">
        <v>1145</v>
      </c>
      <c r="D3268" s="21" t="s">
        <v>35</v>
      </c>
      <c r="E3268" s="18" t="s">
        <v>197</v>
      </c>
      <c r="F3268" s="18" t="s">
        <v>187</v>
      </c>
      <c r="G3268" s="18" t="s">
        <v>48</v>
      </c>
      <c r="H3268" s="24">
        <v>9060</v>
      </c>
      <c r="I3268" s="24">
        <f>T_reg.root.SK[[#This Row],[Volume, kg]]/1000</f>
        <v>9.06</v>
      </c>
      <c r="J3268" s="25">
        <v>0.13900000000000001</v>
      </c>
      <c r="K3268" s="25">
        <f t="shared" si="51"/>
        <v>1259.3400000000001</v>
      </c>
      <c r="L3268" s="25">
        <v>2.2999999999999998</v>
      </c>
      <c r="M3268" s="24">
        <v>20838</v>
      </c>
      <c r="N3268" s="25">
        <f>IFERROR(T_reg.root.SK[[#This Row],[Price]]/T_reg.root.SK[[#This Row],[Starch content]],"")</f>
        <v>16.546762589928054</v>
      </c>
    </row>
    <row r="3269" spans="1:14">
      <c r="A3269" s="21">
        <v>2024</v>
      </c>
      <c r="B3269" s="21" t="s">
        <v>23</v>
      </c>
      <c r="C3269" s="21" t="s">
        <v>1145</v>
      </c>
      <c r="D3269" s="21" t="s">
        <v>35</v>
      </c>
      <c r="E3269" s="18" t="s">
        <v>650</v>
      </c>
      <c r="F3269" s="18" t="s">
        <v>187</v>
      </c>
      <c r="G3269" s="18" t="s">
        <v>48</v>
      </c>
      <c r="H3269" s="24">
        <v>39000</v>
      </c>
      <c r="I3269" s="24">
        <f>T_reg.root.SK[[#This Row],[Volume, kg]]/1000</f>
        <v>39</v>
      </c>
      <c r="J3269" s="25">
        <v>0.1789</v>
      </c>
      <c r="K3269" s="25">
        <f t="shared" si="51"/>
        <v>6977.1</v>
      </c>
      <c r="L3269" s="25">
        <v>2.4500000000000002</v>
      </c>
      <c r="M3269" s="24">
        <v>95650</v>
      </c>
      <c r="N3269" s="25">
        <f>IFERROR(T_reg.root.SK[[#This Row],[Price]]/T_reg.root.SK[[#This Row],[Starch content]],"")</f>
        <v>13.69480156512018</v>
      </c>
    </row>
    <row r="3270" spans="1:14">
      <c r="A3270" s="21">
        <v>2024</v>
      </c>
      <c r="B3270" s="21" t="s">
        <v>23</v>
      </c>
      <c r="C3270" s="21" t="s">
        <v>1145</v>
      </c>
      <c r="D3270" s="21" t="s">
        <v>35</v>
      </c>
      <c r="E3270" s="18" t="s">
        <v>524</v>
      </c>
      <c r="F3270" s="18" t="s">
        <v>187</v>
      </c>
      <c r="G3270" s="18" t="s">
        <v>48</v>
      </c>
      <c r="H3270" s="24">
        <v>36790</v>
      </c>
      <c r="I3270" s="24">
        <f>T_reg.root.SK[[#This Row],[Volume, kg]]/1000</f>
        <v>36.79</v>
      </c>
      <c r="J3270" s="25">
        <v>0.20319999999999999</v>
      </c>
      <c r="K3270" s="25">
        <f t="shared" si="51"/>
        <v>7475.7280000000001</v>
      </c>
      <c r="L3270" s="25">
        <v>2.56</v>
      </c>
      <c r="M3270" s="24">
        <v>94251</v>
      </c>
      <c r="N3270" s="25">
        <f>IFERROR(T_reg.root.SK[[#This Row],[Price]]/T_reg.root.SK[[#This Row],[Starch content]],"")</f>
        <v>12.598425196850394</v>
      </c>
    </row>
    <row r="3271" spans="1:14">
      <c r="A3271" s="21">
        <v>2024</v>
      </c>
      <c r="B3271" s="21" t="s">
        <v>23</v>
      </c>
      <c r="C3271" s="21" t="s">
        <v>1145</v>
      </c>
      <c r="D3271" s="21" t="s">
        <v>35</v>
      </c>
      <c r="E3271" s="18" t="s">
        <v>525</v>
      </c>
      <c r="F3271" s="18" t="s">
        <v>187</v>
      </c>
      <c r="G3271" s="18" t="s">
        <v>48</v>
      </c>
      <c r="H3271" s="24">
        <v>92170</v>
      </c>
      <c r="I3271" s="24">
        <f>T_reg.root.SK[[#This Row],[Volume, kg]]/1000</f>
        <v>92.17</v>
      </c>
      <c r="J3271" s="25">
        <v>0.1888</v>
      </c>
      <c r="K3271" s="25">
        <f t="shared" si="51"/>
        <v>17401.696</v>
      </c>
      <c r="L3271" s="25">
        <v>2.52</v>
      </c>
      <c r="M3271" s="24">
        <v>232033</v>
      </c>
      <c r="N3271" s="25">
        <f>IFERROR(T_reg.root.SK[[#This Row],[Price]]/T_reg.root.SK[[#This Row],[Starch content]],"")</f>
        <v>13.347457627118644</v>
      </c>
    </row>
    <row r="3272" spans="1:14">
      <c r="A3272" s="21">
        <v>2024</v>
      </c>
      <c r="B3272" s="21" t="s">
        <v>23</v>
      </c>
      <c r="C3272" s="21" t="s">
        <v>1145</v>
      </c>
      <c r="D3272" s="21" t="s">
        <v>35</v>
      </c>
      <c r="E3272" s="18" t="s">
        <v>591</v>
      </c>
      <c r="F3272" s="18" t="s">
        <v>187</v>
      </c>
      <c r="G3272" s="18" t="s">
        <v>48</v>
      </c>
      <c r="H3272" s="24">
        <v>4170</v>
      </c>
      <c r="I3272" s="24">
        <f>T_reg.root.SK[[#This Row],[Volume, kg]]/1000</f>
        <v>4.17</v>
      </c>
      <c r="J3272" s="25">
        <v>0.25</v>
      </c>
      <c r="K3272" s="25">
        <f t="shared" si="51"/>
        <v>1042.5</v>
      </c>
      <c r="L3272" s="25">
        <v>2.85</v>
      </c>
      <c r="M3272" s="24">
        <v>11884.5</v>
      </c>
      <c r="N3272" s="25">
        <f>IFERROR(T_reg.root.SK[[#This Row],[Price]]/T_reg.root.SK[[#This Row],[Starch content]],"")</f>
        <v>11.4</v>
      </c>
    </row>
    <row r="3273" spans="1:14">
      <c r="A3273" s="21">
        <v>2024</v>
      </c>
      <c r="B3273" s="21" t="s">
        <v>23</v>
      </c>
      <c r="C3273" s="21" t="s">
        <v>1145</v>
      </c>
      <c r="D3273" s="21" t="s">
        <v>35</v>
      </c>
      <c r="E3273" s="18" t="s">
        <v>199</v>
      </c>
      <c r="F3273" s="18" t="s">
        <v>187</v>
      </c>
      <c r="G3273" s="18" t="s">
        <v>48</v>
      </c>
      <c r="H3273" s="24">
        <v>43510</v>
      </c>
      <c r="I3273" s="24">
        <f>T_reg.root.SK[[#This Row],[Volume, kg]]/1000</f>
        <v>43.51</v>
      </c>
      <c r="J3273" s="25">
        <v>0.15010000000000001</v>
      </c>
      <c r="K3273" s="25">
        <f t="shared" si="51"/>
        <v>6530.8510000000006</v>
      </c>
      <c r="L3273" s="25">
        <v>2.2999999999999998</v>
      </c>
      <c r="M3273" s="24">
        <v>100243</v>
      </c>
      <c r="N3273" s="25">
        <f>IFERROR(T_reg.root.SK[[#This Row],[Price]]/T_reg.root.SK[[#This Row],[Starch content]],"")</f>
        <v>15.323117921385741</v>
      </c>
    </row>
    <row r="3274" spans="1:14">
      <c r="A3274" s="21">
        <v>2024</v>
      </c>
      <c r="B3274" s="21" t="s">
        <v>23</v>
      </c>
      <c r="C3274" s="21" t="s">
        <v>1145</v>
      </c>
      <c r="D3274" s="21" t="s">
        <v>35</v>
      </c>
      <c r="E3274" s="18" t="s">
        <v>526</v>
      </c>
      <c r="F3274" s="18" t="s">
        <v>187</v>
      </c>
      <c r="G3274" s="18" t="s">
        <v>48</v>
      </c>
      <c r="H3274" s="24">
        <v>78280</v>
      </c>
      <c r="I3274" s="24">
        <f>T_reg.root.SK[[#This Row],[Volume, kg]]/1000</f>
        <v>78.28</v>
      </c>
      <c r="J3274" s="25">
        <v>0.20559999999999998</v>
      </c>
      <c r="K3274" s="25">
        <f t="shared" si="51"/>
        <v>16094.367999999999</v>
      </c>
      <c r="L3274" s="25">
        <v>2.59</v>
      </c>
      <c r="M3274" s="24">
        <v>202623.5</v>
      </c>
      <c r="N3274" s="25">
        <f>IFERROR(T_reg.root.SK[[#This Row],[Price]]/T_reg.root.SK[[#This Row],[Starch content]],"")</f>
        <v>12.597276264591441</v>
      </c>
    </row>
    <row r="3275" spans="1:14">
      <c r="A3275" s="21">
        <v>2024</v>
      </c>
      <c r="B3275" s="21" t="s">
        <v>23</v>
      </c>
      <c r="C3275" s="21" t="s">
        <v>1145</v>
      </c>
      <c r="D3275" s="21" t="s">
        <v>35</v>
      </c>
      <c r="E3275" s="18" t="s">
        <v>201</v>
      </c>
      <c r="F3275" s="18" t="s">
        <v>187</v>
      </c>
      <c r="G3275" s="18" t="s">
        <v>48</v>
      </c>
      <c r="H3275" s="24">
        <v>44830</v>
      </c>
      <c r="I3275" s="24">
        <f>T_reg.root.SK[[#This Row],[Volume, kg]]/1000</f>
        <v>44.83</v>
      </c>
      <c r="J3275" s="25">
        <v>0.20329999999999998</v>
      </c>
      <c r="K3275" s="25">
        <f t="shared" si="51"/>
        <v>9113.9389999999985</v>
      </c>
      <c r="L3275" s="25">
        <v>2.58</v>
      </c>
      <c r="M3275" s="24">
        <v>115798</v>
      </c>
      <c r="N3275" s="25">
        <f>IFERROR(T_reg.root.SK[[#This Row],[Price]]/T_reg.root.SK[[#This Row],[Starch content]],"")</f>
        <v>12.690605017215939</v>
      </c>
    </row>
    <row r="3276" spans="1:14">
      <c r="A3276" s="21">
        <v>2024</v>
      </c>
      <c r="B3276" s="21" t="s">
        <v>23</v>
      </c>
      <c r="C3276" s="21" t="s">
        <v>1145</v>
      </c>
      <c r="D3276" s="21" t="s">
        <v>35</v>
      </c>
      <c r="E3276" s="18" t="s">
        <v>202</v>
      </c>
      <c r="F3276" s="18" t="s">
        <v>187</v>
      </c>
      <c r="G3276" s="18" t="s">
        <v>48</v>
      </c>
      <c r="H3276" s="24">
        <v>32720</v>
      </c>
      <c r="I3276" s="24">
        <f>T_reg.root.SK[[#This Row],[Volume, kg]]/1000</f>
        <v>32.72</v>
      </c>
      <c r="J3276" s="25">
        <v>0.16039999999999999</v>
      </c>
      <c r="K3276" s="25">
        <f t="shared" si="51"/>
        <v>5248.2879999999996</v>
      </c>
      <c r="L3276" s="25">
        <v>2.34</v>
      </c>
      <c r="M3276" s="24">
        <v>76520.5</v>
      </c>
      <c r="N3276" s="25">
        <f>IFERROR(T_reg.root.SK[[#This Row],[Price]]/T_reg.root.SK[[#This Row],[Starch content]],"")</f>
        <v>14.58852867830424</v>
      </c>
    </row>
    <row r="3277" spans="1:14">
      <c r="A3277" s="21">
        <v>2024</v>
      </c>
      <c r="B3277" s="21" t="s">
        <v>23</v>
      </c>
      <c r="C3277" s="21" t="s">
        <v>1145</v>
      </c>
      <c r="D3277" s="21" t="s">
        <v>35</v>
      </c>
      <c r="E3277" s="18" t="s">
        <v>203</v>
      </c>
      <c r="F3277" s="18" t="s">
        <v>187</v>
      </c>
      <c r="G3277" s="18" t="s">
        <v>48</v>
      </c>
      <c r="H3277" s="24">
        <v>9740</v>
      </c>
      <c r="I3277" s="24">
        <f>T_reg.root.SK[[#This Row],[Volume, kg]]/1000</f>
        <v>9.74</v>
      </c>
      <c r="J3277" s="25">
        <v>0.21350000000000002</v>
      </c>
      <c r="K3277" s="25">
        <f t="shared" si="51"/>
        <v>2079.4900000000002</v>
      </c>
      <c r="L3277" s="25">
        <v>2.65</v>
      </c>
      <c r="M3277" s="24">
        <v>25811</v>
      </c>
      <c r="N3277" s="25">
        <f>IFERROR(T_reg.root.SK[[#This Row],[Price]]/T_reg.root.SK[[#This Row],[Starch content]],"")</f>
        <v>12.412177985948476</v>
      </c>
    </row>
    <row r="3278" spans="1:14">
      <c r="A3278" s="21">
        <v>2024</v>
      </c>
      <c r="B3278" s="21" t="s">
        <v>23</v>
      </c>
      <c r="C3278" s="21" t="s">
        <v>1145</v>
      </c>
      <c r="D3278" s="21" t="s">
        <v>35</v>
      </c>
      <c r="E3278" s="18" t="s">
        <v>777</v>
      </c>
      <c r="F3278" s="18" t="s">
        <v>187</v>
      </c>
      <c r="G3278" s="18" t="s">
        <v>48</v>
      </c>
      <c r="H3278" s="24">
        <v>39760</v>
      </c>
      <c r="I3278" s="24">
        <f>T_reg.root.SK[[#This Row],[Volume, kg]]/1000</f>
        <v>39.76</v>
      </c>
      <c r="J3278" s="25">
        <v>0.18840000000000001</v>
      </c>
      <c r="K3278" s="25">
        <f t="shared" si="51"/>
        <v>7490.7840000000006</v>
      </c>
      <c r="L3278" s="25">
        <v>2.4900000000000002</v>
      </c>
      <c r="M3278" s="24">
        <v>98833.5</v>
      </c>
      <c r="N3278" s="25">
        <f>IFERROR(T_reg.root.SK[[#This Row],[Price]]/T_reg.root.SK[[#This Row],[Starch content]],"")</f>
        <v>13.216560509554141</v>
      </c>
    </row>
    <row r="3279" spans="1:14">
      <c r="A3279" s="21">
        <v>2024</v>
      </c>
      <c r="B3279" s="21" t="s">
        <v>23</v>
      </c>
      <c r="C3279" s="21" t="s">
        <v>1145</v>
      </c>
      <c r="D3279" s="21" t="s">
        <v>35</v>
      </c>
      <c r="E3279" s="18" t="s">
        <v>205</v>
      </c>
      <c r="F3279" s="18" t="s">
        <v>187</v>
      </c>
      <c r="G3279" s="18" t="s">
        <v>48</v>
      </c>
      <c r="H3279" s="24">
        <v>29390</v>
      </c>
      <c r="I3279" s="24">
        <f>T_reg.root.SK[[#This Row],[Volume, kg]]/1000</f>
        <v>29.39</v>
      </c>
      <c r="J3279" s="25">
        <v>0.16820000000000002</v>
      </c>
      <c r="K3279" s="25">
        <f t="shared" si="51"/>
        <v>4943.3980000000001</v>
      </c>
      <c r="L3279" s="25">
        <v>2.4300000000000002</v>
      </c>
      <c r="M3279" s="24">
        <v>71489</v>
      </c>
      <c r="N3279" s="25">
        <f>IFERROR(T_reg.root.SK[[#This Row],[Price]]/T_reg.root.SK[[#This Row],[Starch content]],"")</f>
        <v>14.447086801426872</v>
      </c>
    </row>
    <row r="3280" spans="1:14">
      <c r="A3280" s="21">
        <v>2024</v>
      </c>
      <c r="B3280" s="21" t="s">
        <v>23</v>
      </c>
      <c r="C3280" s="21" t="s">
        <v>1145</v>
      </c>
      <c r="D3280" s="21" t="s">
        <v>35</v>
      </c>
      <c r="E3280" s="18" t="s">
        <v>530</v>
      </c>
      <c r="F3280" s="18" t="s">
        <v>187</v>
      </c>
      <c r="G3280" s="18" t="s">
        <v>48</v>
      </c>
      <c r="H3280" s="24">
        <v>9510</v>
      </c>
      <c r="I3280" s="24">
        <f>T_reg.root.SK[[#This Row],[Volume, kg]]/1000</f>
        <v>9.51</v>
      </c>
      <c r="J3280" s="25">
        <v>0.14699999999999999</v>
      </c>
      <c r="K3280" s="25">
        <f t="shared" si="51"/>
        <v>1397.97</v>
      </c>
      <c r="L3280" s="25">
        <v>2.2999999999999998</v>
      </c>
      <c r="M3280" s="24">
        <v>21873</v>
      </c>
      <c r="N3280" s="25">
        <f>IFERROR(T_reg.root.SK[[#This Row],[Price]]/T_reg.root.SK[[#This Row],[Starch content]],"")</f>
        <v>15.646258503401361</v>
      </c>
    </row>
    <row r="3281" spans="1:14">
      <c r="A3281" s="21">
        <v>2024</v>
      </c>
      <c r="B3281" s="21" t="s">
        <v>23</v>
      </c>
      <c r="C3281" s="21" t="s">
        <v>1145</v>
      </c>
      <c r="D3281" s="21" t="s">
        <v>35</v>
      </c>
      <c r="E3281" s="18" t="s">
        <v>594</v>
      </c>
      <c r="F3281" s="18" t="s">
        <v>187</v>
      </c>
      <c r="G3281" s="18" t="s">
        <v>48</v>
      </c>
      <c r="H3281" s="24">
        <v>14900</v>
      </c>
      <c r="I3281" s="24">
        <f>T_reg.root.SK[[#This Row],[Volume, kg]]/1000</f>
        <v>14.9</v>
      </c>
      <c r="J3281" s="25">
        <v>0.16449999999999998</v>
      </c>
      <c r="K3281" s="25">
        <f t="shared" si="51"/>
        <v>2451.0499999999997</v>
      </c>
      <c r="L3281" s="25">
        <v>2.38</v>
      </c>
      <c r="M3281" s="24">
        <v>35443.5</v>
      </c>
      <c r="N3281" s="25">
        <f>IFERROR(T_reg.root.SK[[#This Row],[Price]]/T_reg.root.SK[[#This Row],[Starch content]],"")</f>
        <v>14.468085106382979</v>
      </c>
    </row>
    <row r="3282" spans="1:14">
      <c r="A3282" s="21">
        <v>2024</v>
      </c>
      <c r="B3282" s="21" t="s">
        <v>23</v>
      </c>
      <c r="C3282" s="21" t="s">
        <v>1145</v>
      </c>
      <c r="D3282" s="21" t="s">
        <v>35</v>
      </c>
      <c r="E3282" s="18" t="s">
        <v>266</v>
      </c>
      <c r="F3282" s="18" t="s">
        <v>187</v>
      </c>
      <c r="G3282" s="18" t="s">
        <v>48</v>
      </c>
      <c r="H3282" s="24">
        <v>72840</v>
      </c>
      <c r="I3282" s="24">
        <f>T_reg.root.SK[[#This Row],[Volume, kg]]/1000</f>
        <v>72.84</v>
      </c>
      <c r="J3282" s="25">
        <v>0.16570000000000001</v>
      </c>
      <c r="K3282" s="25">
        <f t="shared" si="51"/>
        <v>12069.588000000002</v>
      </c>
      <c r="L3282" s="25">
        <v>2.38</v>
      </c>
      <c r="M3282" s="24">
        <v>173668.5</v>
      </c>
      <c r="N3282" s="25">
        <f>IFERROR(T_reg.root.SK[[#This Row],[Price]]/T_reg.root.SK[[#This Row],[Starch content]],"")</f>
        <v>14.363307181653589</v>
      </c>
    </row>
    <row r="3283" spans="1:14">
      <c r="A3283" s="21">
        <v>2024</v>
      </c>
      <c r="B3283" s="21" t="s">
        <v>23</v>
      </c>
      <c r="C3283" s="21" t="s">
        <v>1145</v>
      </c>
      <c r="D3283" s="21" t="s">
        <v>35</v>
      </c>
      <c r="E3283" s="18" t="s">
        <v>778</v>
      </c>
      <c r="F3283" s="18" t="s">
        <v>187</v>
      </c>
      <c r="G3283" s="18" t="s">
        <v>48</v>
      </c>
      <c r="H3283" s="24">
        <v>29770</v>
      </c>
      <c r="I3283" s="24">
        <f>T_reg.root.SK[[#This Row],[Volume, kg]]/1000</f>
        <v>29.77</v>
      </c>
      <c r="J3283" s="25">
        <v>0.16170000000000001</v>
      </c>
      <c r="K3283" s="25">
        <f t="shared" si="51"/>
        <v>4813.8090000000002</v>
      </c>
      <c r="L3283" s="25">
        <v>2.36</v>
      </c>
      <c r="M3283" s="24">
        <v>70376.5</v>
      </c>
      <c r="N3283" s="25">
        <f>IFERROR(T_reg.root.SK[[#This Row],[Price]]/T_reg.root.SK[[#This Row],[Starch content]],"")</f>
        <v>14.594928880643165</v>
      </c>
    </row>
    <row r="3284" spans="1:14">
      <c r="A3284" s="21">
        <v>2024</v>
      </c>
      <c r="B3284" s="21" t="s">
        <v>23</v>
      </c>
      <c r="C3284" s="21" t="s">
        <v>1145</v>
      </c>
      <c r="D3284" s="21" t="s">
        <v>35</v>
      </c>
      <c r="E3284" s="18" t="s">
        <v>206</v>
      </c>
      <c r="F3284" s="18" t="s">
        <v>187</v>
      </c>
      <c r="G3284" s="18" t="s">
        <v>48</v>
      </c>
      <c r="H3284" s="24">
        <v>9120</v>
      </c>
      <c r="I3284" s="24">
        <f>T_reg.root.SK[[#This Row],[Volume, kg]]/1000</f>
        <v>9.1199999999999992</v>
      </c>
      <c r="J3284" s="25">
        <v>0.192</v>
      </c>
      <c r="K3284" s="25">
        <f t="shared" si="51"/>
        <v>1751.04</v>
      </c>
      <c r="L3284" s="25">
        <v>2.5</v>
      </c>
      <c r="M3284" s="24">
        <v>22800</v>
      </c>
      <c r="N3284" s="25">
        <f>IFERROR(T_reg.root.SK[[#This Row],[Price]]/T_reg.root.SK[[#This Row],[Starch content]],"")</f>
        <v>13.020833333333334</v>
      </c>
    </row>
    <row r="3285" spans="1:14">
      <c r="A3285" s="21">
        <v>2024</v>
      </c>
      <c r="B3285" s="21" t="s">
        <v>23</v>
      </c>
      <c r="C3285" s="21" t="s">
        <v>1145</v>
      </c>
      <c r="D3285" s="21" t="s">
        <v>35</v>
      </c>
      <c r="E3285" s="18" t="s">
        <v>268</v>
      </c>
      <c r="F3285" s="18" t="s">
        <v>187</v>
      </c>
      <c r="G3285" s="18" t="s">
        <v>48</v>
      </c>
      <c r="H3285" s="24">
        <v>30410</v>
      </c>
      <c r="I3285" s="24">
        <f>T_reg.root.SK[[#This Row],[Volume, kg]]/1000</f>
        <v>30.41</v>
      </c>
      <c r="J3285" s="25">
        <v>0.18260000000000001</v>
      </c>
      <c r="K3285" s="25">
        <f t="shared" si="51"/>
        <v>5552.866</v>
      </c>
      <c r="L3285" s="25">
        <v>2.48</v>
      </c>
      <c r="M3285" s="24">
        <v>75311.5</v>
      </c>
      <c r="N3285" s="25">
        <f>IFERROR(T_reg.root.SK[[#This Row],[Price]]/T_reg.root.SK[[#This Row],[Starch content]],"")</f>
        <v>13.581599123767797</v>
      </c>
    </row>
    <row r="3286" spans="1:14">
      <c r="A3286" s="21">
        <v>2024</v>
      </c>
      <c r="B3286" s="21" t="s">
        <v>23</v>
      </c>
      <c r="C3286" s="21" t="s">
        <v>1145</v>
      </c>
      <c r="D3286" s="21" t="s">
        <v>35</v>
      </c>
      <c r="E3286" s="18" t="s">
        <v>595</v>
      </c>
      <c r="F3286" s="18" t="s">
        <v>187</v>
      </c>
      <c r="G3286" s="18" t="s">
        <v>48</v>
      </c>
      <c r="H3286" s="24">
        <v>4660</v>
      </c>
      <c r="I3286" s="24">
        <f>T_reg.root.SK[[#This Row],[Volume, kg]]/1000</f>
        <v>4.66</v>
      </c>
      <c r="J3286" s="25">
        <v>0.188</v>
      </c>
      <c r="K3286" s="25">
        <f t="shared" si="51"/>
        <v>876.08</v>
      </c>
      <c r="L3286" s="25">
        <v>2.5499999999999998</v>
      </c>
      <c r="M3286" s="24">
        <v>11883</v>
      </c>
      <c r="N3286" s="25">
        <f>IFERROR(T_reg.root.SK[[#This Row],[Price]]/T_reg.root.SK[[#This Row],[Starch content]],"")</f>
        <v>13.563829787234042</v>
      </c>
    </row>
    <row r="3287" spans="1:14">
      <c r="A3287" s="21">
        <v>2024</v>
      </c>
      <c r="B3287" s="21" t="s">
        <v>23</v>
      </c>
      <c r="C3287" s="21" t="s">
        <v>1145</v>
      </c>
      <c r="D3287" s="21" t="s">
        <v>35</v>
      </c>
      <c r="E3287" s="18" t="s">
        <v>208</v>
      </c>
      <c r="F3287" s="18" t="s">
        <v>187</v>
      </c>
      <c r="G3287" s="18" t="s">
        <v>48</v>
      </c>
      <c r="H3287" s="24">
        <v>30470</v>
      </c>
      <c r="I3287" s="24">
        <f>T_reg.root.SK[[#This Row],[Volume, kg]]/1000</f>
        <v>30.47</v>
      </c>
      <c r="J3287" s="25">
        <v>0.1822</v>
      </c>
      <c r="K3287" s="25">
        <f t="shared" si="51"/>
        <v>5551.634</v>
      </c>
      <c r="L3287" s="25">
        <v>2.4500000000000002</v>
      </c>
      <c r="M3287" s="24">
        <v>74553.5</v>
      </c>
      <c r="N3287" s="25">
        <f>IFERROR(T_reg.root.SK[[#This Row],[Price]]/T_reg.root.SK[[#This Row],[Starch content]],"")</f>
        <v>13.446761800219539</v>
      </c>
    </row>
    <row r="3288" spans="1:14">
      <c r="A3288" s="21">
        <v>2024</v>
      </c>
      <c r="B3288" s="21" t="s">
        <v>23</v>
      </c>
      <c r="C3288" s="21" t="s">
        <v>1145</v>
      </c>
      <c r="D3288" s="21" t="s">
        <v>35</v>
      </c>
      <c r="E3288" s="18" t="s">
        <v>534</v>
      </c>
      <c r="F3288" s="18" t="s">
        <v>187</v>
      </c>
      <c r="G3288" s="18" t="s">
        <v>48</v>
      </c>
      <c r="H3288" s="24">
        <v>15500</v>
      </c>
      <c r="I3288" s="24">
        <f>T_reg.root.SK[[#This Row],[Volume, kg]]/1000</f>
        <v>15.5</v>
      </c>
      <c r="J3288" s="25">
        <v>0.16109999999999999</v>
      </c>
      <c r="K3288" s="25">
        <f t="shared" si="51"/>
        <v>2497.0499999999997</v>
      </c>
      <c r="L3288" s="25">
        <v>2.35</v>
      </c>
      <c r="M3288" s="24">
        <v>36425</v>
      </c>
      <c r="N3288" s="25">
        <f>IFERROR(T_reg.root.SK[[#This Row],[Price]]/T_reg.root.SK[[#This Row],[Starch content]],"")</f>
        <v>14.587212911235259</v>
      </c>
    </row>
    <row r="3289" spans="1:14">
      <c r="A3289" s="21">
        <v>2024</v>
      </c>
      <c r="B3289" s="21" t="s">
        <v>23</v>
      </c>
      <c r="C3289" s="21" t="s">
        <v>1145</v>
      </c>
      <c r="D3289" s="21" t="s">
        <v>35</v>
      </c>
      <c r="E3289" s="18" t="s">
        <v>689</v>
      </c>
      <c r="F3289" s="18" t="s">
        <v>187</v>
      </c>
      <c r="G3289" s="18" t="s">
        <v>48</v>
      </c>
      <c r="H3289" s="24">
        <v>55550</v>
      </c>
      <c r="I3289" s="24">
        <f>T_reg.root.SK[[#This Row],[Volume, kg]]/1000</f>
        <v>55.55</v>
      </c>
      <c r="J3289" s="25">
        <v>0.19070000000000001</v>
      </c>
      <c r="K3289" s="25">
        <f t="shared" si="51"/>
        <v>10593.385</v>
      </c>
      <c r="L3289" s="25">
        <v>2.56</v>
      </c>
      <c r="M3289" s="24">
        <v>142236.5</v>
      </c>
      <c r="N3289" s="25">
        <f>IFERROR(T_reg.root.SK[[#This Row],[Price]]/T_reg.root.SK[[#This Row],[Starch content]],"")</f>
        <v>13.424226533822758</v>
      </c>
    </row>
    <row r="3290" spans="1:14">
      <c r="A3290" s="21">
        <v>2024</v>
      </c>
      <c r="B3290" s="21" t="s">
        <v>23</v>
      </c>
      <c r="C3290" s="21" t="s">
        <v>1145</v>
      </c>
      <c r="D3290" s="21" t="s">
        <v>35</v>
      </c>
      <c r="E3290" s="18" t="s">
        <v>704</v>
      </c>
      <c r="F3290" s="18" t="s">
        <v>187</v>
      </c>
      <c r="G3290" s="18" t="s">
        <v>48</v>
      </c>
      <c r="H3290" s="24">
        <v>45060</v>
      </c>
      <c r="I3290" s="24">
        <f>T_reg.root.SK[[#This Row],[Volume, kg]]/1000</f>
        <v>45.06</v>
      </c>
      <c r="J3290" s="25">
        <v>0.17510000000000001</v>
      </c>
      <c r="K3290" s="25">
        <f t="shared" si="51"/>
        <v>7890.0060000000003</v>
      </c>
      <c r="L3290" s="25">
        <v>2.4300000000000002</v>
      </c>
      <c r="M3290" s="24">
        <v>109619</v>
      </c>
      <c r="N3290" s="25">
        <f>IFERROR(T_reg.root.SK[[#This Row],[Price]]/T_reg.root.SK[[#This Row],[Starch content]],"")</f>
        <v>13.877784123358081</v>
      </c>
    </row>
    <row r="3291" spans="1:14">
      <c r="A3291" s="21">
        <v>2024</v>
      </c>
      <c r="B3291" s="21" t="s">
        <v>23</v>
      </c>
      <c r="C3291" s="21" t="s">
        <v>1145</v>
      </c>
      <c r="D3291" s="21" t="s">
        <v>35</v>
      </c>
      <c r="E3291" s="18" t="s">
        <v>333</v>
      </c>
      <c r="F3291" s="18" t="s">
        <v>187</v>
      </c>
      <c r="G3291" s="18" t="s">
        <v>48</v>
      </c>
      <c r="H3291" s="24">
        <v>29160</v>
      </c>
      <c r="I3291" s="24">
        <f>T_reg.root.SK[[#This Row],[Volume, kg]]/1000</f>
        <v>29.16</v>
      </c>
      <c r="J3291" s="25">
        <v>0.17100000000000001</v>
      </c>
      <c r="K3291" s="25">
        <f t="shared" si="51"/>
        <v>4986.3600000000006</v>
      </c>
      <c r="L3291" s="25">
        <v>2.44</v>
      </c>
      <c r="M3291" s="24">
        <v>71111</v>
      </c>
      <c r="N3291" s="25">
        <f>IFERROR(T_reg.root.SK[[#This Row],[Price]]/T_reg.root.SK[[#This Row],[Starch content]],"")</f>
        <v>14.269005847953215</v>
      </c>
    </row>
    <row r="3292" spans="1:14">
      <c r="A3292" s="21">
        <v>2024</v>
      </c>
      <c r="B3292" s="21" t="s">
        <v>23</v>
      </c>
      <c r="C3292" s="21" t="s">
        <v>1145</v>
      </c>
      <c r="D3292" s="21" t="s">
        <v>35</v>
      </c>
      <c r="E3292" s="18" t="s">
        <v>211</v>
      </c>
      <c r="F3292" s="18" t="s">
        <v>187</v>
      </c>
      <c r="G3292" s="18" t="s">
        <v>48</v>
      </c>
      <c r="H3292" s="24">
        <v>366050</v>
      </c>
      <c r="I3292" s="24">
        <f>T_reg.root.SK[[#This Row],[Volume, kg]]/1000</f>
        <v>366.05</v>
      </c>
      <c r="J3292" s="25">
        <v>0.17800000000000002</v>
      </c>
      <c r="K3292" s="25">
        <f t="shared" si="51"/>
        <v>65156.900000000009</v>
      </c>
      <c r="L3292" s="25">
        <v>2.4700000000000002</v>
      </c>
      <c r="M3292" s="24">
        <v>903297</v>
      </c>
      <c r="N3292" s="25">
        <f>IFERROR(T_reg.root.SK[[#This Row],[Price]]/T_reg.root.SK[[#This Row],[Starch content]],"")</f>
        <v>13.876404494382022</v>
      </c>
    </row>
    <row r="3293" spans="1:14">
      <c r="A3293" s="21">
        <v>2024</v>
      </c>
      <c r="B3293" s="21" t="s">
        <v>23</v>
      </c>
      <c r="C3293" s="21" t="s">
        <v>1145</v>
      </c>
      <c r="D3293" s="21" t="s">
        <v>35</v>
      </c>
      <c r="E3293" s="18" t="s">
        <v>672</v>
      </c>
      <c r="F3293" s="18" t="s">
        <v>187</v>
      </c>
      <c r="G3293" s="18" t="s">
        <v>48</v>
      </c>
      <c r="H3293" s="24">
        <v>10080</v>
      </c>
      <c r="I3293" s="24">
        <f>T_reg.root.SK[[#This Row],[Volume, kg]]/1000</f>
        <v>10.08</v>
      </c>
      <c r="J3293" s="25">
        <v>0.1424</v>
      </c>
      <c r="K3293" s="25">
        <f t="shared" si="51"/>
        <v>1435.3920000000001</v>
      </c>
      <c r="L3293" s="25">
        <v>2.3199999999999998</v>
      </c>
      <c r="M3293" s="24">
        <v>23407</v>
      </c>
      <c r="N3293" s="25">
        <f>IFERROR(T_reg.root.SK[[#This Row],[Price]]/T_reg.root.SK[[#This Row],[Starch content]],"")</f>
        <v>16.292134831460672</v>
      </c>
    </row>
    <row r="3294" spans="1:14">
      <c r="A3294" s="21">
        <v>2024</v>
      </c>
      <c r="B3294" s="21" t="s">
        <v>23</v>
      </c>
      <c r="C3294" s="21" t="s">
        <v>1145</v>
      </c>
      <c r="D3294" s="21" t="s">
        <v>35</v>
      </c>
      <c r="E3294" s="18" t="s">
        <v>613</v>
      </c>
      <c r="F3294" s="18" t="s">
        <v>187</v>
      </c>
      <c r="G3294" s="18" t="s">
        <v>48</v>
      </c>
      <c r="H3294" s="24">
        <v>19300</v>
      </c>
      <c r="I3294" s="24">
        <f>T_reg.root.SK[[#This Row],[Volume, kg]]/1000</f>
        <v>19.3</v>
      </c>
      <c r="J3294" s="25">
        <v>0.18489999999999998</v>
      </c>
      <c r="K3294" s="25">
        <f t="shared" si="51"/>
        <v>3568.5699999999997</v>
      </c>
      <c r="L3294" s="25">
        <v>2.5099999999999998</v>
      </c>
      <c r="M3294" s="24">
        <v>48396</v>
      </c>
      <c r="N3294" s="25">
        <f>IFERROR(T_reg.root.SK[[#This Row],[Price]]/T_reg.root.SK[[#This Row],[Starch content]],"")</f>
        <v>13.574905354245539</v>
      </c>
    </row>
    <row r="3295" spans="1:14">
      <c r="A3295" s="21">
        <v>2024</v>
      </c>
      <c r="B3295" s="21" t="s">
        <v>23</v>
      </c>
      <c r="C3295" s="21" t="s">
        <v>1145</v>
      </c>
      <c r="D3295" s="21" t="s">
        <v>35</v>
      </c>
      <c r="E3295" s="18" t="s">
        <v>535</v>
      </c>
      <c r="F3295" s="18" t="s">
        <v>187</v>
      </c>
      <c r="G3295" s="18" t="s">
        <v>48</v>
      </c>
      <c r="H3295" s="24">
        <v>96450</v>
      </c>
      <c r="I3295" s="24">
        <f>T_reg.root.SK[[#This Row],[Volume, kg]]/1000</f>
        <v>96.45</v>
      </c>
      <c r="J3295" s="25">
        <v>0.18539999999999998</v>
      </c>
      <c r="K3295" s="25">
        <f t="shared" si="51"/>
        <v>17881.829999999998</v>
      </c>
      <c r="L3295" s="25">
        <v>2.4900000000000002</v>
      </c>
      <c r="M3295" s="24">
        <v>240561.5</v>
      </c>
      <c r="N3295" s="25">
        <f>IFERROR(T_reg.root.SK[[#This Row],[Price]]/T_reg.root.SK[[#This Row],[Starch content]],"")</f>
        <v>13.430420711974113</v>
      </c>
    </row>
    <row r="3296" spans="1:14">
      <c r="A3296" s="21">
        <v>2024</v>
      </c>
      <c r="B3296" s="21" t="s">
        <v>23</v>
      </c>
      <c r="C3296" s="21" t="s">
        <v>1145</v>
      </c>
      <c r="D3296" s="21" t="s">
        <v>35</v>
      </c>
      <c r="E3296" s="18" t="s">
        <v>536</v>
      </c>
      <c r="F3296" s="18" t="s">
        <v>187</v>
      </c>
      <c r="G3296" s="18" t="s">
        <v>48</v>
      </c>
      <c r="H3296" s="24">
        <v>15430</v>
      </c>
      <c r="I3296" s="24">
        <f>T_reg.root.SK[[#This Row],[Volume, kg]]/1000</f>
        <v>15.43</v>
      </c>
      <c r="J3296" s="25">
        <v>0.19089999999999999</v>
      </c>
      <c r="K3296" s="25">
        <f t="shared" si="51"/>
        <v>2945.587</v>
      </c>
      <c r="L3296" s="25">
        <v>2.58</v>
      </c>
      <c r="M3296" s="24">
        <v>39798.5</v>
      </c>
      <c r="N3296" s="25">
        <f>IFERROR(T_reg.root.SK[[#This Row],[Price]]/T_reg.root.SK[[#This Row],[Starch content]],"")</f>
        <v>13.514929282346779</v>
      </c>
    </row>
    <row r="3297" spans="1:14">
      <c r="A3297" s="21">
        <v>2024</v>
      </c>
      <c r="B3297" s="21" t="s">
        <v>23</v>
      </c>
      <c r="C3297" s="21" t="s">
        <v>1145</v>
      </c>
      <c r="D3297" s="21" t="s">
        <v>35</v>
      </c>
      <c r="E3297" s="18" t="s">
        <v>538</v>
      </c>
      <c r="F3297" s="18" t="s">
        <v>187</v>
      </c>
      <c r="G3297" s="18" t="s">
        <v>48</v>
      </c>
      <c r="H3297" s="24">
        <v>26980</v>
      </c>
      <c r="I3297" s="24">
        <f>T_reg.root.SK[[#This Row],[Volume, kg]]/1000</f>
        <v>26.98</v>
      </c>
      <c r="J3297" s="25">
        <v>0.23010000000000003</v>
      </c>
      <c r="K3297" s="25">
        <f t="shared" si="51"/>
        <v>6208.0980000000009</v>
      </c>
      <c r="L3297" s="25">
        <v>2.71</v>
      </c>
      <c r="M3297" s="24">
        <v>73048.5</v>
      </c>
      <c r="N3297" s="25">
        <f>IFERROR(T_reg.root.SK[[#This Row],[Price]]/T_reg.root.SK[[#This Row],[Starch content]],"")</f>
        <v>11.777488048674488</v>
      </c>
    </row>
    <row r="3298" spans="1:14">
      <c r="A3298" s="21">
        <v>2024</v>
      </c>
      <c r="B3298" s="21" t="s">
        <v>23</v>
      </c>
      <c r="C3298" s="21" t="s">
        <v>1145</v>
      </c>
      <c r="D3298" s="21" t="s">
        <v>35</v>
      </c>
      <c r="E3298" s="18" t="s">
        <v>214</v>
      </c>
      <c r="F3298" s="18" t="s">
        <v>187</v>
      </c>
      <c r="G3298" s="18" t="s">
        <v>48</v>
      </c>
      <c r="H3298" s="24">
        <v>6460</v>
      </c>
      <c r="I3298" s="24">
        <f>T_reg.root.SK[[#This Row],[Volume, kg]]/1000</f>
        <v>6.46</v>
      </c>
      <c r="J3298" s="25">
        <v>0.185</v>
      </c>
      <c r="K3298" s="25">
        <f t="shared" si="51"/>
        <v>1195.0999999999999</v>
      </c>
      <c r="L3298" s="25">
        <v>2.5499999999999998</v>
      </c>
      <c r="M3298" s="24">
        <v>16473</v>
      </c>
      <c r="N3298" s="25">
        <f>IFERROR(T_reg.root.SK[[#This Row],[Price]]/T_reg.root.SK[[#This Row],[Starch content]],"")</f>
        <v>13.783783783783782</v>
      </c>
    </row>
    <row r="3299" spans="1:14">
      <c r="A3299" s="21">
        <v>2024</v>
      </c>
      <c r="B3299" s="21" t="s">
        <v>23</v>
      </c>
      <c r="C3299" s="21" t="s">
        <v>1145</v>
      </c>
      <c r="D3299" s="21" t="s">
        <v>35</v>
      </c>
      <c r="E3299" s="18" t="s">
        <v>541</v>
      </c>
      <c r="F3299" s="18" t="s">
        <v>187</v>
      </c>
      <c r="G3299" s="18" t="s">
        <v>48</v>
      </c>
      <c r="H3299" s="24">
        <v>33500</v>
      </c>
      <c r="I3299" s="24">
        <f>T_reg.root.SK[[#This Row],[Volume, kg]]/1000</f>
        <v>33.5</v>
      </c>
      <c r="J3299" s="25">
        <v>0.14150000000000001</v>
      </c>
      <c r="K3299" s="25">
        <f t="shared" si="51"/>
        <v>4740.2500000000009</v>
      </c>
      <c r="L3299" s="25">
        <v>2.2999999999999998</v>
      </c>
      <c r="M3299" s="24">
        <v>77050</v>
      </c>
      <c r="N3299" s="25">
        <f>IFERROR(T_reg.root.SK[[#This Row],[Price]]/T_reg.root.SK[[#This Row],[Starch content]],"")</f>
        <v>16.25441696113074</v>
      </c>
    </row>
    <row r="3300" spans="1:14">
      <c r="A3300" s="21">
        <v>2024</v>
      </c>
      <c r="B3300" s="21" t="s">
        <v>23</v>
      </c>
      <c r="C3300" s="21" t="s">
        <v>1145</v>
      </c>
      <c r="D3300" s="21" t="s">
        <v>35</v>
      </c>
      <c r="E3300" s="18" t="s">
        <v>691</v>
      </c>
      <c r="F3300" s="18" t="s">
        <v>187</v>
      </c>
      <c r="G3300" s="18" t="s">
        <v>48</v>
      </c>
      <c r="H3300" s="24">
        <v>7540</v>
      </c>
      <c r="I3300" s="24">
        <f>T_reg.root.SK[[#This Row],[Volume, kg]]/1000</f>
        <v>7.54</v>
      </c>
      <c r="J3300" s="25">
        <v>0.19850000000000001</v>
      </c>
      <c r="K3300" s="25">
        <f t="shared" si="51"/>
        <v>1496.69</v>
      </c>
      <c r="L3300" s="25">
        <v>2.6</v>
      </c>
      <c r="M3300" s="24">
        <v>19604</v>
      </c>
      <c r="N3300" s="25">
        <f>IFERROR(T_reg.root.SK[[#This Row],[Price]]/T_reg.root.SK[[#This Row],[Starch content]],"")</f>
        <v>13.09823677581864</v>
      </c>
    </row>
    <row r="3301" spans="1:14">
      <c r="A3301" s="21">
        <v>2024</v>
      </c>
      <c r="B3301" s="21" t="s">
        <v>23</v>
      </c>
      <c r="C3301" s="21" t="s">
        <v>1145</v>
      </c>
      <c r="D3301" s="21" t="s">
        <v>35</v>
      </c>
      <c r="E3301" s="18" t="s">
        <v>760</v>
      </c>
      <c r="F3301" s="18" t="s">
        <v>187</v>
      </c>
      <c r="G3301" s="18" t="s">
        <v>48</v>
      </c>
      <c r="H3301" s="24">
        <v>62840</v>
      </c>
      <c r="I3301" s="24">
        <f>T_reg.root.SK[[#This Row],[Volume, kg]]/1000</f>
        <v>62.84</v>
      </c>
      <c r="J3301" s="25">
        <v>0.1628</v>
      </c>
      <c r="K3301" s="25">
        <f t="shared" si="51"/>
        <v>10230.352000000001</v>
      </c>
      <c r="L3301" s="25">
        <v>2.42</v>
      </c>
      <c r="M3301" s="24">
        <v>152380</v>
      </c>
      <c r="N3301" s="25">
        <f>IFERROR(T_reg.root.SK[[#This Row],[Price]]/T_reg.root.SK[[#This Row],[Starch content]],"")</f>
        <v>14.864864864864865</v>
      </c>
    </row>
    <row r="3302" spans="1:14">
      <c r="A3302" s="21">
        <v>2024</v>
      </c>
      <c r="B3302" s="21" t="s">
        <v>23</v>
      </c>
      <c r="C3302" s="21" t="s">
        <v>1145</v>
      </c>
      <c r="D3302" s="21" t="s">
        <v>35</v>
      </c>
      <c r="E3302" s="18" t="s">
        <v>215</v>
      </c>
      <c r="F3302" s="18" t="s">
        <v>187</v>
      </c>
      <c r="G3302" s="18" t="s">
        <v>48</v>
      </c>
      <c r="H3302" s="24">
        <v>12160</v>
      </c>
      <c r="I3302" s="24">
        <f>T_reg.root.SK[[#This Row],[Volume, kg]]/1000</f>
        <v>12.16</v>
      </c>
      <c r="J3302" s="25">
        <v>0.15659999999999999</v>
      </c>
      <c r="K3302" s="25">
        <f t="shared" si="51"/>
        <v>1904.2559999999999</v>
      </c>
      <c r="L3302" s="25">
        <v>2.38</v>
      </c>
      <c r="M3302" s="24">
        <v>28886</v>
      </c>
      <c r="N3302" s="25">
        <f>IFERROR(T_reg.root.SK[[#This Row],[Price]]/T_reg.root.SK[[#This Row],[Starch content]],"")</f>
        <v>15.197956577266922</v>
      </c>
    </row>
    <row r="3303" spans="1:14">
      <c r="A3303" s="21">
        <v>2024</v>
      </c>
      <c r="B3303" s="21" t="s">
        <v>23</v>
      </c>
      <c r="C3303" s="21" t="s">
        <v>1145</v>
      </c>
      <c r="D3303" s="21" t="s">
        <v>35</v>
      </c>
      <c r="E3303" s="18" t="s">
        <v>542</v>
      </c>
      <c r="F3303" s="18" t="s">
        <v>187</v>
      </c>
      <c r="G3303" s="18" t="s">
        <v>48</v>
      </c>
      <c r="H3303" s="24">
        <v>10160</v>
      </c>
      <c r="I3303" s="24">
        <f>T_reg.root.SK[[#This Row],[Volume, kg]]/1000</f>
        <v>10.16</v>
      </c>
      <c r="J3303" s="25">
        <v>0.19649999999999998</v>
      </c>
      <c r="K3303" s="25">
        <f t="shared" si="51"/>
        <v>1996.4399999999998</v>
      </c>
      <c r="L3303" s="25">
        <v>2.6</v>
      </c>
      <c r="M3303" s="24">
        <v>26416</v>
      </c>
      <c r="N3303" s="25">
        <f>IFERROR(T_reg.root.SK[[#This Row],[Price]]/T_reg.root.SK[[#This Row],[Starch content]],"")</f>
        <v>13.231552162849875</v>
      </c>
    </row>
    <row r="3304" spans="1:14">
      <c r="A3304" s="21">
        <v>2024</v>
      </c>
      <c r="B3304" s="21" t="s">
        <v>23</v>
      </c>
      <c r="C3304" s="21" t="s">
        <v>1145</v>
      </c>
      <c r="D3304" s="21" t="s">
        <v>35</v>
      </c>
      <c r="E3304" s="18" t="s">
        <v>335</v>
      </c>
      <c r="F3304" s="18" t="s">
        <v>187</v>
      </c>
      <c r="G3304" s="18" t="s">
        <v>48</v>
      </c>
      <c r="H3304" s="24">
        <v>74090</v>
      </c>
      <c r="I3304" s="24">
        <f>T_reg.root.SK[[#This Row],[Volume, kg]]/1000</f>
        <v>74.09</v>
      </c>
      <c r="J3304" s="25">
        <v>0.2046</v>
      </c>
      <c r="K3304" s="25">
        <f t="shared" si="51"/>
        <v>15158.814</v>
      </c>
      <c r="L3304" s="25">
        <v>2.59</v>
      </c>
      <c r="M3304" s="24">
        <v>192103</v>
      </c>
      <c r="N3304" s="25">
        <f>IFERROR(T_reg.root.SK[[#This Row],[Price]]/T_reg.root.SK[[#This Row],[Starch content]],"")</f>
        <v>12.658846529814271</v>
      </c>
    </row>
    <row r="3305" spans="1:14">
      <c r="A3305" s="21">
        <v>2024</v>
      </c>
      <c r="B3305" s="21" t="s">
        <v>23</v>
      </c>
      <c r="C3305" s="21" t="s">
        <v>1145</v>
      </c>
      <c r="D3305" s="21" t="s">
        <v>35</v>
      </c>
      <c r="E3305" s="18" t="s">
        <v>216</v>
      </c>
      <c r="F3305" s="18" t="s">
        <v>187</v>
      </c>
      <c r="G3305" s="18" t="s">
        <v>48</v>
      </c>
      <c r="H3305" s="24">
        <v>0</v>
      </c>
      <c r="I3305" s="24">
        <f>T_reg.root.SK[[#This Row],[Volume, kg]]/1000</f>
        <v>0</v>
      </c>
      <c r="J3305" s="25">
        <v>0</v>
      </c>
      <c r="K3305" s="25">
        <f t="shared" si="51"/>
        <v>0</v>
      </c>
      <c r="L3305" s="25">
        <v>0</v>
      </c>
      <c r="M3305" s="24">
        <v>0</v>
      </c>
      <c r="N3305" s="25" t="str">
        <f>IFERROR(T_reg.root.SK[[#This Row],[Price]]/T_reg.root.SK[[#This Row],[Starch content]],"")</f>
        <v/>
      </c>
    </row>
    <row r="3306" spans="1:14">
      <c r="A3306" s="21">
        <v>2024</v>
      </c>
      <c r="B3306" s="21" t="s">
        <v>23</v>
      </c>
      <c r="C3306" s="21" t="s">
        <v>1145</v>
      </c>
      <c r="D3306" s="21" t="s">
        <v>35</v>
      </c>
      <c r="E3306" s="18" t="s">
        <v>543</v>
      </c>
      <c r="F3306" s="18" t="s">
        <v>187</v>
      </c>
      <c r="G3306" s="18" t="s">
        <v>48</v>
      </c>
      <c r="H3306" s="24">
        <v>77820</v>
      </c>
      <c r="I3306" s="24">
        <f>T_reg.root.SK[[#This Row],[Volume, kg]]/1000</f>
        <v>77.819999999999993</v>
      </c>
      <c r="J3306" s="25">
        <v>0.18579999999999999</v>
      </c>
      <c r="K3306" s="25">
        <f t="shared" si="51"/>
        <v>14458.956</v>
      </c>
      <c r="L3306" s="25">
        <v>2.5</v>
      </c>
      <c r="M3306" s="24">
        <v>194644.5</v>
      </c>
      <c r="N3306" s="25">
        <f>IFERROR(T_reg.root.SK[[#This Row],[Price]]/T_reg.root.SK[[#This Row],[Starch content]],"")</f>
        <v>13.455328310010765</v>
      </c>
    </row>
    <row r="3307" spans="1:14">
      <c r="A3307" s="21">
        <v>2024</v>
      </c>
      <c r="B3307" s="21" t="s">
        <v>23</v>
      </c>
      <c r="C3307" s="21" t="s">
        <v>1145</v>
      </c>
      <c r="D3307" s="21" t="s">
        <v>35</v>
      </c>
      <c r="E3307" s="18" t="s">
        <v>761</v>
      </c>
      <c r="F3307" s="18" t="s">
        <v>187</v>
      </c>
      <c r="G3307" s="18" t="s">
        <v>48</v>
      </c>
      <c r="H3307" s="24">
        <v>31470</v>
      </c>
      <c r="I3307" s="24">
        <f>T_reg.root.SK[[#This Row],[Volume, kg]]/1000</f>
        <v>31.47</v>
      </c>
      <c r="J3307" s="25">
        <v>0.17929999999999999</v>
      </c>
      <c r="K3307" s="25">
        <f t="shared" si="51"/>
        <v>5642.5709999999999</v>
      </c>
      <c r="L3307" s="25">
        <v>2.46</v>
      </c>
      <c r="M3307" s="24">
        <v>77471.5</v>
      </c>
      <c r="N3307" s="25">
        <f>IFERROR(T_reg.root.SK[[#This Row],[Price]]/T_reg.root.SK[[#This Row],[Starch content]],"")</f>
        <v>13.720022308979365</v>
      </c>
    </row>
    <row r="3308" spans="1:14">
      <c r="A3308" s="21">
        <v>2024</v>
      </c>
      <c r="B3308" s="21" t="s">
        <v>23</v>
      </c>
      <c r="C3308" s="21" t="s">
        <v>1145</v>
      </c>
      <c r="D3308" s="21" t="s">
        <v>35</v>
      </c>
      <c r="E3308" s="18" t="s">
        <v>410</v>
      </c>
      <c r="F3308" s="18" t="s">
        <v>187</v>
      </c>
      <c r="G3308" s="18" t="s">
        <v>48</v>
      </c>
      <c r="H3308" s="24">
        <v>166340</v>
      </c>
      <c r="I3308" s="24">
        <f>T_reg.root.SK[[#This Row],[Volume, kg]]/1000</f>
        <v>166.34</v>
      </c>
      <c r="J3308" s="25">
        <v>0.1812</v>
      </c>
      <c r="K3308" s="25">
        <f t="shared" si="51"/>
        <v>30140.808000000001</v>
      </c>
      <c r="L3308" s="25">
        <v>2.48</v>
      </c>
      <c r="M3308" s="24">
        <v>412347.5</v>
      </c>
      <c r="N3308" s="25">
        <f>IFERROR(T_reg.root.SK[[#This Row],[Price]]/T_reg.root.SK[[#This Row],[Starch content]],"")</f>
        <v>13.686534216335541</v>
      </c>
    </row>
    <row r="3309" spans="1:14">
      <c r="A3309" s="21">
        <v>2024</v>
      </c>
      <c r="B3309" s="21" t="s">
        <v>23</v>
      </c>
      <c r="C3309" s="21" t="s">
        <v>1145</v>
      </c>
      <c r="D3309" s="21" t="s">
        <v>35</v>
      </c>
      <c r="E3309" s="18" t="s">
        <v>705</v>
      </c>
      <c r="F3309" s="18" t="s">
        <v>187</v>
      </c>
      <c r="G3309" s="18" t="s">
        <v>48</v>
      </c>
      <c r="H3309" s="24">
        <v>52180</v>
      </c>
      <c r="I3309" s="24">
        <f>T_reg.root.SK[[#This Row],[Volume, kg]]/1000</f>
        <v>52.18</v>
      </c>
      <c r="J3309" s="25">
        <v>0.16820000000000002</v>
      </c>
      <c r="K3309" s="25">
        <f t="shared" si="51"/>
        <v>8776.6760000000013</v>
      </c>
      <c r="L3309" s="25">
        <v>2.4</v>
      </c>
      <c r="M3309" s="24">
        <v>125422</v>
      </c>
      <c r="N3309" s="25">
        <f>IFERROR(T_reg.root.SK[[#This Row],[Price]]/T_reg.root.SK[[#This Row],[Starch content]],"")</f>
        <v>14.268727705112958</v>
      </c>
    </row>
    <row r="3310" spans="1:14">
      <c r="A3310" s="21">
        <v>2024</v>
      </c>
      <c r="B3310" s="21" t="s">
        <v>23</v>
      </c>
      <c r="C3310" s="21" t="s">
        <v>1145</v>
      </c>
      <c r="D3310" s="21" t="s">
        <v>35</v>
      </c>
      <c r="E3310" s="18" t="s">
        <v>706</v>
      </c>
      <c r="F3310" s="18" t="s">
        <v>187</v>
      </c>
      <c r="G3310" s="18" t="s">
        <v>48</v>
      </c>
      <c r="H3310" s="24">
        <v>0</v>
      </c>
      <c r="I3310" s="24">
        <f>T_reg.root.SK[[#This Row],[Volume, kg]]/1000</f>
        <v>0</v>
      </c>
      <c r="J3310" s="25">
        <v>0</v>
      </c>
      <c r="K3310" s="25">
        <f t="shared" si="51"/>
        <v>0</v>
      </c>
      <c r="L3310" s="25">
        <v>0</v>
      </c>
      <c r="M3310" s="24">
        <v>0</v>
      </c>
      <c r="N3310" s="25" t="str">
        <f>IFERROR(T_reg.root.SK[[#This Row],[Price]]/T_reg.root.SK[[#This Row],[Starch content]],"")</f>
        <v/>
      </c>
    </row>
    <row r="3311" spans="1:14">
      <c r="A3311" s="21">
        <v>2024</v>
      </c>
      <c r="B3311" s="21" t="s">
        <v>23</v>
      </c>
      <c r="C3311" s="21" t="s">
        <v>1145</v>
      </c>
      <c r="D3311" s="21" t="s">
        <v>35</v>
      </c>
      <c r="E3311" s="18" t="s">
        <v>217</v>
      </c>
      <c r="F3311" s="18" t="s">
        <v>187</v>
      </c>
      <c r="G3311" s="18" t="s">
        <v>48</v>
      </c>
      <c r="H3311" s="24">
        <v>19110</v>
      </c>
      <c r="I3311" s="24">
        <f>T_reg.root.SK[[#This Row],[Volume, kg]]/1000</f>
        <v>19.11</v>
      </c>
      <c r="J3311" s="25">
        <v>0.18870000000000001</v>
      </c>
      <c r="K3311" s="25">
        <f t="shared" si="51"/>
        <v>3606.0570000000002</v>
      </c>
      <c r="L3311" s="25">
        <v>2.5</v>
      </c>
      <c r="M3311" s="24">
        <v>47699</v>
      </c>
      <c r="N3311" s="25">
        <f>IFERROR(T_reg.root.SK[[#This Row],[Price]]/T_reg.root.SK[[#This Row],[Starch content]],"")</f>
        <v>13.248542660307367</v>
      </c>
    </row>
    <row r="3312" spans="1:14">
      <c r="A3312" s="21">
        <v>2024</v>
      </c>
      <c r="B3312" s="21" t="s">
        <v>23</v>
      </c>
      <c r="C3312" s="21" t="s">
        <v>1145</v>
      </c>
      <c r="D3312" s="21" t="s">
        <v>35</v>
      </c>
      <c r="E3312" s="18" t="s">
        <v>779</v>
      </c>
      <c r="F3312" s="18" t="s">
        <v>780</v>
      </c>
      <c r="G3312" s="18" t="s">
        <v>48</v>
      </c>
      <c r="H3312" s="24">
        <v>0</v>
      </c>
      <c r="I3312" s="24">
        <f>T_reg.root.SK[[#This Row],[Volume, kg]]/1000</f>
        <v>0</v>
      </c>
      <c r="J3312" s="25">
        <v>0</v>
      </c>
      <c r="K3312" s="25">
        <f t="shared" si="51"/>
        <v>0</v>
      </c>
      <c r="L3312" s="25">
        <v>0</v>
      </c>
      <c r="M3312" s="24">
        <v>0</v>
      </c>
      <c r="N3312" s="25" t="str">
        <f>IFERROR(T_reg.root.SK[[#This Row],[Price]]/T_reg.root.SK[[#This Row],[Starch content]],"")</f>
        <v/>
      </c>
    </row>
    <row r="3313" spans="1:14">
      <c r="A3313" s="21">
        <v>2024</v>
      </c>
      <c r="B3313" s="21" t="s">
        <v>24</v>
      </c>
      <c r="C3313" s="21" t="s">
        <v>1145</v>
      </c>
      <c r="D3313" s="21" t="s">
        <v>35</v>
      </c>
      <c r="E3313" s="18" t="s">
        <v>762</v>
      </c>
      <c r="F3313" s="18" t="s">
        <v>37</v>
      </c>
      <c r="G3313" s="18" t="s">
        <v>38</v>
      </c>
      <c r="H3313" s="24">
        <v>38780</v>
      </c>
      <c r="I3313" s="24">
        <f>T_reg.root.SK[[#This Row],[Volume, kg]]/1000</f>
        <v>38.78</v>
      </c>
      <c r="J3313" s="25">
        <v>0.14369999999999999</v>
      </c>
      <c r="K3313" s="25">
        <f t="shared" si="51"/>
        <v>5572.6859999999997</v>
      </c>
      <c r="L3313" s="25">
        <v>2.37</v>
      </c>
      <c r="M3313" s="24">
        <v>91944</v>
      </c>
      <c r="N3313" s="25">
        <f>IFERROR(T_reg.root.SK[[#This Row],[Price]]/T_reg.root.SK[[#This Row],[Starch content]],"")</f>
        <v>16.492693110647181</v>
      </c>
    </row>
    <row r="3314" spans="1:14">
      <c r="A3314" s="21">
        <v>2024</v>
      </c>
      <c r="B3314" s="21" t="s">
        <v>24</v>
      </c>
      <c r="C3314" s="21" t="s">
        <v>1145</v>
      </c>
      <c r="D3314" s="21" t="s">
        <v>35</v>
      </c>
      <c r="E3314" s="18" t="s">
        <v>707</v>
      </c>
      <c r="F3314" s="18" t="s">
        <v>37</v>
      </c>
      <c r="G3314" s="18" t="s">
        <v>38</v>
      </c>
      <c r="H3314" s="24">
        <v>17230</v>
      </c>
      <c r="I3314" s="24">
        <f>T_reg.root.SK[[#This Row],[Volume, kg]]/1000</f>
        <v>17.23</v>
      </c>
      <c r="J3314" s="25">
        <v>0.13750000000000001</v>
      </c>
      <c r="K3314" s="25">
        <f t="shared" si="51"/>
        <v>2369.125</v>
      </c>
      <c r="L3314" s="25">
        <v>2.35</v>
      </c>
      <c r="M3314" s="24">
        <v>40490.5</v>
      </c>
      <c r="N3314" s="25">
        <f>IFERROR(T_reg.root.SK[[#This Row],[Price]]/T_reg.root.SK[[#This Row],[Starch content]],"")</f>
        <v>17.09090909090909</v>
      </c>
    </row>
    <row r="3315" spans="1:14">
      <c r="A3315" s="21">
        <v>2024</v>
      </c>
      <c r="B3315" s="21" t="s">
        <v>24</v>
      </c>
      <c r="C3315" s="21" t="s">
        <v>1145</v>
      </c>
      <c r="D3315" s="21" t="s">
        <v>35</v>
      </c>
      <c r="E3315" s="18" t="s">
        <v>651</v>
      </c>
      <c r="F3315" s="18" t="s">
        <v>37</v>
      </c>
      <c r="G3315" s="18" t="s">
        <v>38</v>
      </c>
      <c r="H3315" s="24">
        <v>11370</v>
      </c>
      <c r="I3315" s="24">
        <f>T_reg.root.SK[[#This Row],[Volume, kg]]/1000</f>
        <v>11.37</v>
      </c>
      <c r="J3315" s="25">
        <v>0.14550000000000002</v>
      </c>
      <c r="K3315" s="25">
        <f t="shared" si="51"/>
        <v>1654.3350000000003</v>
      </c>
      <c r="L3315" s="25">
        <v>2.4</v>
      </c>
      <c r="M3315" s="24">
        <v>27288</v>
      </c>
      <c r="N3315" s="25">
        <f>IFERROR(T_reg.root.SK[[#This Row],[Price]]/T_reg.root.SK[[#This Row],[Starch content]],"")</f>
        <v>16.494845360824741</v>
      </c>
    </row>
    <row r="3316" spans="1:14">
      <c r="A3316" s="21">
        <v>2024</v>
      </c>
      <c r="B3316" s="21" t="s">
        <v>24</v>
      </c>
      <c r="C3316" s="21" t="s">
        <v>1145</v>
      </c>
      <c r="D3316" s="21" t="s">
        <v>35</v>
      </c>
      <c r="E3316" s="18" t="s">
        <v>781</v>
      </c>
      <c r="F3316" s="18" t="s">
        <v>653</v>
      </c>
      <c r="G3316" s="18" t="s">
        <v>48</v>
      </c>
      <c r="H3316" s="24">
        <v>32750</v>
      </c>
      <c r="I3316" s="24">
        <f>T_reg.root.SK[[#This Row],[Volume, kg]]/1000</f>
        <v>32.75</v>
      </c>
      <c r="J3316" s="25">
        <v>0.1754</v>
      </c>
      <c r="K3316" s="25">
        <f t="shared" si="51"/>
        <v>5744.35</v>
      </c>
      <c r="L3316" s="25">
        <v>2.4300000000000002</v>
      </c>
      <c r="M3316" s="24">
        <v>79607.5</v>
      </c>
      <c r="N3316" s="25">
        <f>IFERROR(T_reg.root.SK[[#This Row],[Price]]/T_reg.root.SK[[#This Row],[Starch content]],"")</f>
        <v>13.854047890535918</v>
      </c>
    </row>
    <row r="3317" spans="1:14">
      <c r="A3317" s="21">
        <v>2024</v>
      </c>
      <c r="B3317" s="21" t="s">
        <v>24</v>
      </c>
      <c r="C3317" s="21" t="s">
        <v>1145</v>
      </c>
      <c r="D3317" s="21" t="s">
        <v>35</v>
      </c>
      <c r="E3317" s="18" t="s">
        <v>614</v>
      </c>
      <c r="F3317" s="18" t="s">
        <v>219</v>
      </c>
      <c r="G3317" s="18" t="s">
        <v>220</v>
      </c>
      <c r="H3317" s="24">
        <v>0</v>
      </c>
      <c r="I3317" s="24">
        <f>T_reg.root.SK[[#This Row],[Volume, kg]]/1000</f>
        <v>0</v>
      </c>
      <c r="J3317" s="25">
        <v>0</v>
      </c>
      <c r="K3317" s="25">
        <f t="shared" si="51"/>
        <v>0</v>
      </c>
      <c r="L3317" s="25">
        <v>0</v>
      </c>
      <c r="M3317" s="24">
        <v>0</v>
      </c>
      <c r="N3317" s="25" t="str">
        <f>IFERROR(T_reg.root.SK[[#This Row],[Price]]/T_reg.root.SK[[#This Row],[Starch content]],"")</f>
        <v/>
      </c>
    </row>
    <row r="3318" spans="1:14">
      <c r="A3318" s="21">
        <v>2024</v>
      </c>
      <c r="B3318" s="21" t="s">
        <v>24</v>
      </c>
      <c r="C3318" s="21" t="s">
        <v>1145</v>
      </c>
      <c r="D3318" s="21" t="s">
        <v>35</v>
      </c>
      <c r="E3318" s="18" t="s">
        <v>598</v>
      </c>
      <c r="F3318" s="18" t="s">
        <v>219</v>
      </c>
      <c r="G3318" s="18" t="s">
        <v>220</v>
      </c>
      <c r="H3318" s="24">
        <v>32350</v>
      </c>
      <c r="I3318" s="24">
        <f>T_reg.root.SK[[#This Row],[Volume, kg]]/1000</f>
        <v>32.35</v>
      </c>
      <c r="J3318" s="25">
        <v>0.19870000000000002</v>
      </c>
      <c r="K3318" s="25">
        <f t="shared" si="51"/>
        <v>6427.9450000000006</v>
      </c>
      <c r="L3318" s="25">
        <v>2.57</v>
      </c>
      <c r="M3318" s="24">
        <v>83068.5</v>
      </c>
      <c r="N3318" s="25">
        <f>IFERROR(T_reg.root.SK[[#This Row],[Price]]/T_reg.root.SK[[#This Row],[Starch content]],"")</f>
        <v>12.934071464519374</v>
      </c>
    </row>
    <row r="3319" spans="1:14">
      <c r="A3319" s="21">
        <v>2024</v>
      </c>
      <c r="B3319" s="21" t="s">
        <v>24</v>
      </c>
      <c r="C3319" s="21" t="s">
        <v>1145</v>
      </c>
      <c r="D3319" s="21" t="s">
        <v>39</v>
      </c>
      <c r="E3319" s="18" t="s">
        <v>782</v>
      </c>
      <c r="F3319" s="18" t="s">
        <v>783</v>
      </c>
      <c r="G3319" s="18" t="s">
        <v>87</v>
      </c>
      <c r="H3319" s="24">
        <v>133030</v>
      </c>
      <c r="I3319" s="24">
        <f>T_reg.root.SK[[#This Row],[Volume, kg]]/1000</f>
        <v>133.03</v>
      </c>
      <c r="J3319" s="25">
        <v>0.20219999999999999</v>
      </c>
      <c r="K3319" s="25">
        <f t="shared" si="51"/>
        <v>26898.665999999997</v>
      </c>
      <c r="L3319" s="25">
        <v>2.62</v>
      </c>
      <c r="M3319" s="24">
        <v>347975.5</v>
      </c>
      <c r="N3319" s="25">
        <f>IFERROR(T_reg.root.SK[[#This Row],[Price]]/T_reg.root.SK[[#This Row],[Starch content]],"")</f>
        <v>12.957467853610288</v>
      </c>
    </row>
    <row r="3320" spans="1:14">
      <c r="A3320" s="21">
        <v>2024</v>
      </c>
      <c r="B3320" s="21" t="s">
        <v>24</v>
      </c>
      <c r="C3320" s="21" t="s">
        <v>1145</v>
      </c>
      <c r="D3320" s="21" t="s">
        <v>35</v>
      </c>
      <c r="E3320" s="18" t="s">
        <v>457</v>
      </c>
      <c r="F3320" s="18" t="s">
        <v>47</v>
      </c>
      <c r="G3320" s="18" t="s">
        <v>48</v>
      </c>
      <c r="H3320" s="24">
        <v>39350</v>
      </c>
      <c r="I3320" s="24">
        <f>T_reg.root.SK[[#This Row],[Volume, kg]]/1000</f>
        <v>39.35</v>
      </c>
      <c r="J3320" s="25">
        <v>0.1585</v>
      </c>
      <c r="K3320" s="25">
        <f t="shared" si="51"/>
        <v>6236.9750000000004</v>
      </c>
      <c r="L3320" s="25">
        <v>2.42</v>
      </c>
      <c r="M3320" s="24">
        <v>95263.5</v>
      </c>
      <c r="N3320" s="25">
        <f>IFERROR(T_reg.root.SK[[#This Row],[Price]]/T_reg.root.SK[[#This Row],[Starch content]],"")</f>
        <v>15.268138801261829</v>
      </c>
    </row>
    <row r="3321" spans="1:14">
      <c r="A3321" s="21">
        <v>2024</v>
      </c>
      <c r="B3321" s="21" t="s">
        <v>24</v>
      </c>
      <c r="C3321" s="21" t="s">
        <v>1145</v>
      </c>
      <c r="D3321" s="21" t="s">
        <v>35</v>
      </c>
      <c r="E3321" s="18" t="s">
        <v>784</v>
      </c>
      <c r="F3321" s="18" t="s">
        <v>47</v>
      </c>
      <c r="G3321" s="18" t="s">
        <v>48</v>
      </c>
      <c r="H3321" s="24">
        <v>2920</v>
      </c>
      <c r="I3321" s="24">
        <f>T_reg.root.SK[[#This Row],[Volume, kg]]/1000</f>
        <v>2.92</v>
      </c>
      <c r="J3321" s="25">
        <v>0.23499999999999999</v>
      </c>
      <c r="K3321" s="25">
        <f t="shared" si="51"/>
        <v>686.19999999999993</v>
      </c>
      <c r="L3321" s="25">
        <v>2.7</v>
      </c>
      <c r="M3321" s="24">
        <v>7884</v>
      </c>
      <c r="N3321" s="25">
        <f>IFERROR(T_reg.root.SK[[#This Row],[Price]]/T_reg.root.SK[[#This Row],[Starch content]],"")</f>
        <v>11.489361702127662</v>
      </c>
    </row>
    <row r="3322" spans="1:14">
      <c r="A3322" s="21">
        <v>2024</v>
      </c>
      <c r="B3322" s="21" t="s">
        <v>24</v>
      </c>
      <c r="C3322" s="21" t="s">
        <v>1145</v>
      </c>
      <c r="D3322" s="21" t="s">
        <v>35</v>
      </c>
      <c r="E3322" s="18" t="s">
        <v>546</v>
      </c>
      <c r="F3322" s="18" t="s">
        <v>47</v>
      </c>
      <c r="G3322" s="18" t="s">
        <v>48</v>
      </c>
      <c r="H3322" s="24">
        <v>45800</v>
      </c>
      <c r="I3322" s="24">
        <f>T_reg.root.SK[[#This Row],[Volume, kg]]/1000</f>
        <v>45.8</v>
      </c>
      <c r="J3322" s="25">
        <v>0.17800000000000002</v>
      </c>
      <c r="K3322" s="25">
        <f t="shared" si="51"/>
        <v>8152.4000000000005</v>
      </c>
      <c r="L3322" s="25">
        <v>2.52</v>
      </c>
      <c r="M3322" s="24">
        <v>115557.5</v>
      </c>
      <c r="N3322" s="25">
        <f>IFERROR(T_reg.root.SK[[#This Row],[Price]]/T_reg.root.SK[[#This Row],[Starch content]],"")</f>
        <v>14.157303370786515</v>
      </c>
    </row>
    <row r="3323" spans="1:14">
      <c r="A3323" s="21">
        <v>2024</v>
      </c>
      <c r="B3323" s="21" t="s">
        <v>24</v>
      </c>
      <c r="C3323" s="21" t="s">
        <v>1145</v>
      </c>
      <c r="D3323" s="21" t="s">
        <v>35</v>
      </c>
      <c r="E3323" s="18" t="s">
        <v>46</v>
      </c>
      <c r="F3323" s="18" t="s">
        <v>47</v>
      </c>
      <c r="G3323" s="18" t="s">
        <v>48</v>
      </c>
      <c r="H3323" s="24">
        <v>22300</v>
      </c>
      <c r="I3323" s="24">
        <f>T_reg.root.SK[[#This Row],[Volume, kg]]/1000</f>
        <v>22.3</v>
      </c>
      <c r="J3323" s="25">
        <v>0.16949999999999998</v>
      </c>
      <c r="K3323" s="25">
        <f t="shared" si="51"/>
        <v>3779.8499999999995</v>
      </c>
      <c r="L3323" s="25">
        <v>2.5</v>
      </c>
      <c r="M3323" s="24">
        <v>55656</v>
      </c>
      <c r="N3323" s="25">
        <f>IFERROR(T_reg.root.SK[[#This Row],[Price]]/T_reg.root.SK[[#This Row],[Starch content]],"")</f>
        <v>14.749262536873157</v>
      </c>
    </row>
    <row r="3324" spans="1:14">
      <c r="A3324" s="21">
        <v>2024</v>
      </c>
      <c r="B3324" s="21" t="s">
        <v>24</v>
      </c>
      <c r="C3324" s="21" t="s">
        <v>1145</v>
      </c>
      <c r="D3324" s="21" t="s">
        <v>35</v>
      </c>
      <c r="E3324" s="18" t="s">
        <v>50</v>
      </c>
      <c r="F3324" s="18" t="s">
        <v>47</v>
      </c>
      <c r="G3324" s="18" t="s">
        <v>48</v>
      </c>
      <c r="H3324" s="24">
        <v>11920</v>
      </c>
      <c r="I3324" s="24">
        <f>T_reg.root.SK[[#This Row],[Volume, kg]]/1000</f>
        <v>11.92</v>
      </c>
      <c r="J3324" s="25">
        <v>0.17269999999999999</v>
      </c>
      <c r="K3324" s="25">
        <f t="shared" si="51"/>
        <v>2058.5839999999998</v>
      </c>
      <c r="L3324" s="25">
        <v>2.5099999999999998</v>
      </c>
      <c r="M3324" s="24">
        <v>29922</v>
      </c>
      <c r="N3324" s="25">
        <f>IFERROR(T_reg.root.SK[[#This Row],[Price]]/T_reg.root.SK[[#This Row],[Starch content]],"")</f>
        <v>14.533873769542559</v>
      </c>
    </row>
    <row r="3325" spans="1:14">
      <c r="A3325" s="21">
        <v>2024</v>
      </c>
      <c r="B3325" s="21" t="s">
        <v>24</v>
      </c>
      <c r="C3325" s="21" t="s">
        <v>1145</v>
      </c>
      <c r="D3325" s="21" t="s">
        <v>35</v>
      </c>
      <c r="E3325" s="18" t="s">
        <v>642</v>
      </c>
      <c r="F3325" s="18" t="s">
        <v>47</v>
      </c>
      <c r="G3325" s="18" t="s">
        <v>48</v>
      </c>
      <c r="H3325" s="24">
        <v>11190</v>
      </c>
      <c r="I3325" s="24">
        <f>T_reg.root.SK[[#This Row],[Volume, kg]]/1000</f>
        <v>11.19</v>
      </c>
      <c r="J3325" s="25">
        <v>0.18420000000000003</v>
      </c>
      <c r="K3325" s="25">
        <f t="shared" si="51"/>
        <v>2061.1980000000003</v>
      </c>
      <c r="L3325" s="25">
        <v>2.52</v>
      </c>
      <c r="M3325" s="24">
        <v>28173</v>
      </c>
      <c r="N3325" s="25">
        <f>IFERROR(T_reg.root.SK[[#This Row],[Price]]/T_reg.root.SK[[#This Row],[Starch content]],"")</f>
        <v>13.680781758957652</v>
      </c>
    </row>
    <row r="3326" spans="1:14">
      <c r="A3326" s="21">
        <v>2024</v>
      </c>
      <c r="B3326" s="21" t="s">
        <v>24</v>
      </c>
      <c r="C3326" s="21" t="s">
        <v>1145</v>
      </c>
      <c r="D3326" s="21" t="s">
        <v>35</v>
      </c>
      <c r="E3326" s="18" t="s">
        <v>78</v>
      </c>
      <c r="F3326" s="18" t="s">
        <v>47</v>
      </c>
      <c r="G3326" s="18" t="s">
        <v>48</v>
      </c>
      <c r="H3326" s="24">
        <v>67440</v>
      </c>
      <c r="I3326" s="24">
        <f>T_reg.root.SK[[#This Row],[Volume, kg]]/1000</f>
        <v>67.44</v>
      </c>
      <c r="J3326" s="25">
        <v>0.16309999999999999</v>
      </c>
      <c r="K3326" s="25">
        <f t="shared" si="51"/>
        <v>10999.464</v>
      </c>
      <c r="L3326" s="25">
        <v>2.42</v>
      </c>
      <c r="M3326" s="24">
        <v>163325</v>
      </c>
      <c r="N3326" s="25">
        <f>IFERROR(T_reg.root.SK[[#This Row],[Price]]/T_reg.root.SK[[#This Row],[Starch content]],"")</f>
        <v>14.837522992029429</v>
      </c>
    </row>
    <row r="3327" spans="1:14">
      <c r="A3327" s="21">
        <v>2024</v>
      </c>
      <c r="B3327" s="21" t="s">
        <v>24</v>
      </c>
      <c r="C3327" s="21" t="s">
        <v>1145</v>
      </c>
      <c r="D3327" s="21" t="s">
        <v>35</v>
      </c>
      <c r="E3327" s="18" t="s">
        <v>459</v>
      </c>
      <c r="F3327" s="18" t="s">
        <v>47</v>
      </c>
      <c r="G3327" s="18" t="s">
        <v>48</v>
      </c>
      <c r="H3327" s="24">
        <v>3600</v>
      </c>
      <c r="I3327" s="24">
        <f>T_reg.root.SK[[#This Row],[Volume, kg]]/1000</f>
        <v>3.6</v>
      </c>
      <c r="J3327" s="25">
        <v>0.215</v>
      </c>
      <c r="K3327" s="25">
        <f t="shared" si="51"/>
        <v>774</v>
      </c>
      <c r="L3327" s="25">
        <v>2.6</v>
      </c>
      <c r="M3327" s="24">
        <v>9360</v>
      </c>
      <c r="N3327" s="25">
        <f>IFERROR(T_reg.root.SK[[#This Row],[Price]]/T_reg.root.SK[[#This Row],[Starch content]],"")</f>
        <v>12.093023255813954</v>
      </c>
    </row>
    <row r="3328" spans="1:14">
      <c r="A3328" s="21">
        <v>2024</v>
      </c>
      <c r="B3328" s="21" t="s">
        <v>24</v>
      </c>
      <c r="C3328" s="21" t="s">
        <v>1145</v>
      </c>
      <c r="D3328" s="21" t="s">
        <v>35</v>
      </c>
      <c r="E3328" s="18" t="s">
        <v>54</v>
      </c>
      <c r="F3328" s="18" t="s">
        <v>47</v>
      </c>
      <c r="G3328" s="18" t="s">
        <v>48</v>
      </c>
      <c r="H3328" s="24">
        <v>10140</v>
      </c>
      <c r="I3328" s="24">
        <f>T_reg.root.SK[[#This Row],[Volume, kg]]/1000</f>
        <v>10.14</v>
      </c>
      <c r="J3328" s="25">
        <v>0.19829999999999998</v>
      </c>
      <c r="K3328" s="25">
        <f t="shared" si="51"/>
        <v>2010.7619999999997</v>
      </c>
      <c r="L3328" s="25">
        <v>2.62</v>
      </c>
      <c r="M3328" s="24">
        <v>26534</v>
      </c>
      <c r="N3328" s="25">
        <f>IFERROR(T_reg.root.SK[[#This Row],[Price]]/T_reg.root.SK[[#This Row],[Starch content]],"")</f>
        <v>13.212304589006559</v>
      </c>
    </row>
    <row r="3329" spans="1:14">
      <c r="A3329" s="21">
        <v>2024</v>
      </c>
      <c r="B3329" s="21" t="s">
        <v>24</v>
      </c>
      <c r="C3329" s="21" t="s">
        <v>1145</v>
      </c>
      <c r="D3329" s="21" t="s">
        <v>35</v>
      </c>
      <c r="E3329" s="18" t="s">
        <v>462</v>
      </c>
      <c r="F3329" s="18" t="s">
        <v>47</v>
      </c>
      <c r="G3329" s="18" t="s">
        <v>48</v>
      </c>
      <c r="H3329" s="24">
        <v>9180</v>
      </c>
      <c r="I3329" s="24">
        <f>T_reg.root.SK[[#This Row],[Volume, kg]]/1000</f>
        <v>9.18</v>
      </c>
      <c r="J3329" s="25">
        <v>0.193</v>
      </c>
      <c r="K3329" s="25">
        <f t="shared" si="51"/>
        <v>1771.74</v>
      </c>
      <c r="L3329" s="25">
        <v>2.5499999999999998</v>
      </c>
      <c r="M3329" s="24">
        <v>23409</v>
      </c>
      <c r="N3329" s="25">
        <f>IFERROR(T_reg.root.SK[[#This Row],[Price]]/T_reg.root.SK[[#This Row],[Starch content]],"")</f>
        <v>13.212435233160621</v>
      </c>
    </row>
    <row r="3330" spans="1:14">
      <c r="A3330" s="21">
        <v>2024</v>
      </c>
      <c r="B3330" s="21" t="s">
        <v>24</v>
      </c>
      <c r="C3330" s="21" t="s">
        <v>1145</v>
      </c>
      <c r="D3330" s="21" t="s">
        <v>35</v>
      </c>
      <c r="E3330" s="18" t="s">
        <v>785</v>
      </c>
      <c r="F3330" s="18" t="s">
        <v>47</v>
      </c>
      <c r="G3330" s="18" t="s">
        <v>48</v>
      </c>
      <c r="H3330" s="24">
        <v>25480</v>
      </c>
      <c r="I3330" s="24">
        <f>T_reg.root.SK[[#This Row],[Volume, kg]]/1000</f>
        <v>25.48</v>
      </c>
      <c r="J3330" s="25">
        <v>0.19140000000000001</v>
      </c>
      <c r="K3330" s="25">
        <f t="shared" si="51"/>
        <v>4876.8720000000003</v>
      </c>
      <c r="L3330" s="25">
        <v>2.56</v>
      </c>
      <c r="M3330" s="24">
        <v>65351</v>
      </c>
      <c r="N3330" s="25">
        <f>IFERROR(T_reg.root.SK[[#This Row],[Price]]/T_reg.root.SK[[#This Row],[Starch content]],"")</f>
        <v>13.375130616509926</v>
      </c>
    </row>
    <row r="3331" spans="1:14">
      <c r="A3331" s="21">
        <v>2024</v>
      </c>
      <c r="B3331" s="21" t="s">
        <v>24</v>
      </c>
      <c r="C3331" s="21" t="s">
        <v>1145</v>
      </c>
      <c r="D3331" s="21" t="s">
        <v>35</v>
      </c>
      <c r="E3331" s="18" t="s">
        <v>379</v>
      </c>
      <c r="F3331" s="18" t="s">
        <v>47</v>
      </c>
      <c r="G3331" s="18" t="s">
        <v>48</v>
      </c>
      <c r="H3331" s="24">
        <v>17490</v>
      </c>
      <c r="I3331" s="24">
        <f>T_reg.root.SK[[#This Row],[Volume, kg]]/1000</f>
        <v>17.489999999999998</v>
      </c>
      <c r="J3331" s="25">
        <v>0.2132</v>
      </c>
      <c r="K3331" s="25">
        <f t="shared" ref="K3331:K3394" si="52">H3331*J3331</f>
        <v>3728.8679999999999</v>
      </c>
      <c r="L3331" s="25">
        <v>2.66</v>
      </c>
      <c r="M3331" s="24">
        <v>46533</v>
      </c>
      <c r="N3331" s="25">
        <f>IFERROR(T_reg.root.SK[[#This Row],[Price]]/T_reg.root.SK[[#This Row],[Starch content]],"")</f>
        <v>12.476547842401501</v>
      </c>
    </row>
    <row r="3332" spans="1:14">
      <c r="A3332" s="21">
        <v>2024</v>
      </c>
      <c r="B3332" s="21" t="s">
        <v>24</v>
      </c>
      <c r="C3332" s="21" t="s">
        <v>1145</v>
      </c>
      <c r="D3332" s="21" t="s">
        <v>35</v>
      </c>
      <c r="E3332" s="18" t="s">
        <v>465</v>
      </c>
      <c r="F3332" s="18" t="s">
        <v>47</v>
      </c>
      <c r="G3332" s="18" t="s">
        <v>48</v>
      </c>
      <c r="H3332" s="24">
        <v>5870</v>
      </c>
      <c r="I3332" s="24">
        <f>T_reg.root.SK[[#This Row],[Volume, kg]]/1000</f>
        <v>5.87</v>
      </c>
      <c r="J3332" s="25">
        <v>0.20300000000000001</v>
      </c>
      <c r="K3332" s="25">
        <f t="shared" si="52"/>
        <v>1191.6100000000001</v>
      </c>
      <c r="L3332" s="25">
        <v>2.6</v>
      </c>
      <c r="M3332" s="24">
        <v>15262</v>
      </c>
      <c r="N3332" s="25">
        <f>IFERROR(T_reg.root.SK[[#This Row],[Price]]/T_reg.root.SK[[#This Row],[Starch content]],"")</f>
        <v>12.807881773399014</v>
      </c>
    </row>
    <row r="3333" spans="1:14">
      <c r="A3333" s="21">
        <v>2024</v>
      </c>
      <c r="B3333" s="21" t="s">
        <v>24</v>
      </c>
      <c r="C3333" s="21" t="s">
        <v>1145</v>
      </c>
      <c r="D3333" s="21" t="s">
        <v>35</v>
      </c>
      <c r="E3333" s="18" t="s">
        <v>337</v>
      </c>
      <c r="F3333" s="18" t="s">
        <v>47</v>
      </c>
      <c r="G3333" s="18" t="s">
        <v>48</v>
      </c>
      <c r="H3333" s="24">
        <v>3850</v>
      </c>
      <c r="I3333" s="24">
        <f>T_reg.root.SK[[#This Row],[Volume, kg]]/1000</f>
        <v>3.85</v>
      </c>
      <c r="J3333" s="25">
        <v>0.20899999999999999</v>
      </c>
      <c r="K3333" s="25">
        <f t="shared" si="52"/>
        <v>804.65</v>
      </c>
      <c r="L3333" s="25">
        <v>2.7</v>
      </c>
      <c r="M3333" s="24">
        <v>10395</v>
      </c>
      <c r="N3333" s="25">
        <f>IFERROR(T_reg.root.SK[[#This Row],[Price]]/T_reg.root.SK[[#This Row],[Starch content]],"")</f>
        <v>12.918660287081341</v>
      </c>
    </row>
    <row r="3334" spans="1:14">
      <c r="A3334" s="21">
        <v>2024</v>
      </c>
      <c r="B3334" s="21" t="s">
        <v>24</v>
      </c>
      <c r="C3334" s="21" t="s">
        <v>1145</v>
      </c>
      <c r="D3334" s="21" t="s">
        <v>35</v>
      </c>
      <c r="E3334" s="18" t="s">
        <v>643</v>
      </c>
      <c r="F3334" s="18" t="s">
        <v>47</v>
      </c>
      <c r="G3334" s="18" t="s">
        <v>48</v>
      </c>
      <c r="H3334" s="24">
        <v>9050</v>
      </c>
      <c r="I3334" s="24">
        <f>T_reg.root.SK[[#This Row],[Volume, kg]]/1000</f>
        <v>9.0500000000000007</v>
      </c>
      <c r="J3334" s="25">
        <v>0.20649999999999999</v>
      </c>
      <c r="K3334" s="25">
        <f t="shared" si="52"/>
        <v>1868.8249999999998</v>
      </c>
      <c r="L3334" s="25">
        <v>2.65</v>
      </c>
      <c r="M3334" s="24">
        <v>23982.5</v>
      </c>
      <c r="N3334" s="25">
        <f>IFERROR(T_reg.root.SK[[#This Row],[Price]]/T_reg.root.SK[[#This Row],[Starch content]],"")</f>
        <v>12.832929782082324</v>
      </c>
    </row>
    <row r="3335" spans="1:14">
      <c r="A3335" s="21">
        <v>2024</v>
      </c>
      <c r="B3335" s="21" t="s">
        <v>24</v>
      </c>
      <c r="C3335" s="21" t="s">
        <v>1145</v>
      </c>
      <c r="D3335" s="21" t="s">
        <v>35</v>
      </c>
      <c r="E3335" s="18" t="s">
        <v>548</v>
      </c>
      <c r="F3335" s="18" t="s">
        <v>47</v>
      </c>
      <c r="G3335" s="18" t="s">
        <v>48</v>
      </c>
      <c r="H3335" s="24">
        <v>7630</v>
      </c>
      <c r="I3335" s="24">
        <f>T_reg.root.SK[[#This Row],[Volume, kg]]/1000</f>
        <v>7.63</v>
      </c>
      <c r="J3335" s="25">
        <v>0.1542</v>
      </c>
      <c r="K3335" s="25">
        <f t="shared" si="52"/>
        <v>1176.546</v>
      </c>
      <c r="L3335" s="25">
        <v>2.36</v>
      </c>
      <c r="M3335" s="24">
        <v>18004</v>
      </c>
      <c r="N3335" s="25">
        <f>IFERROR(T_reg.root.SK[[#This Row],[Price]]/T_reg.root.SK[[#This Row],[Starch content]],"")</f>
        <v>15.30479896238651</v>
      </c>
    </row>
    <row r="3336" spans="1:14">
      <c r="A3336" s="21">
        <v>2024</v>
      </c>
      <c r="B3336" s="21" t="s">
        <v>24</v>
      </c>
      <c r="C3336" s="21" t="s">
        <v>1145</v>
      </c>
      <c r="D3336" s="21" t="s">
        <v>35</v>
      </c>
      <c r="E3336" s="18" t="s">
        <v>467</v>
      </c>
      <c r="F3336" s="18" t="s">
        <v>47</v>
      </c>
      <c r="G3336" s="18" t="s">
        <v>48</v>
      </c>
      <c r="H3336" s="24">
        <v>19520</v>
      </c>
      <c r="I3336" s="24">
        <f>T_reg.root.SK[[#This Row],[Volume, kg]]/1000</f>
        <v>19.52</v>
      </c>
      <c r="J3336" s="25">
        <v>0.2009</v>
      </c>
      <c r="K3336" s="25">
        <f t="shared" si="52"/>
        <v>3921.5679999999998</v>
      </c>
      <c r="L3336" s="25">
        <v>2.4700000000000002</v>
      </c>
      <c r="M3336" s="24">
        <v>48249</v>
      </c>
      <c r="N3336" s="25">
        <f>IFERROR(T_reg.root.SK[[#This Row],[Price]]/T_reg.root.SK[[#This Row],[Starch content]],"")</f>
        <v>12.294673967147837</v>
      </c>
    </row>
    <row r="3337" spans="1:14">
      <c r="A3337" s="21">
        <v>2024</v>
      </c>
      <c r="B3337" s="21" t="s">
        <v>24</v>
      </c>
      <c r="C3337" s="21" t="s">
        <v>1145</v>
      </c>
      <c r="D3337" s="21" t="s">
        <v>35</v>
      </c>
      <c r="E3337" s="18" t="s">
        <v>786</v>
      </c>
      <c r="F3337" s="18" t="s">
        <v>47</v>
      </c>
      <c r="G3337" s="18" t="s">
        <v>48</v>
      </c>
      <c r="H3337" s="24">
        <v>34210</v>
      </c>
      <c r="I3337" s="24">
        <f>T_reg.root.SK[[#This Row],[Volume, kg]]/1000</f>
        <v>34.21</v>
      </c>
      <c r="J3337" s="25">
        <v>0.16980000000000001</v>
      </c>
      <c r="K3337" s="25">
        <f t="shared" si="52"/>
        <v>5808.8580000000002</v>
      </c>
      <c r="L3337" s="25">
        <v>2.5099999999999998</v>
      </c>
      <c r="M3337" s="24">
        <v>85798</v>
      </c>
      <c r="N3337" s="25">
        <f>IFERROR(T_reg.root.SK[[#This Row],[Price]]/T_reg.root.SK[[#This Row],[Starch content]],"")</f>
        <v>14.782096584216724</v>
      </c>
    </row>
    <row r="3338" spans="1:14">
      <c r="A3338" s="21">
        <v>2024</v>
      </c>
      <c r="B3338" s="21" t="s">
        <v>24</v>
      </c>
      <c r="C3338" s="21" t="s">
        <v>1145</v>
      </c>
      <c r="D3338" s="21" t="s">
        <v>35</v>
      </c>
      <c r="E3338" s="18" t="s">
        <v>468</v>
      </c>
      <c r="F3338" s="18" t="s">
        <v>47</v>
      </c>
      <c r="G3338" s="18" t="s">
        <v>48</v>
      </c>
      <c r="H3338" s="24">
        <v>22550</v>
      </c>
      <c r="I3338" s="24">
        <f>T_reg.root.SK[[#This Row],[Volume, kg]]/1000</f>
        <v>22.55</v>
      </c>
      <c r="J3338" s="25">
        <v>0.18179999999999999</v>
      </c>
      <c r="K3338" s="25">
        <f t="shared" si="52"/>
        <v>4099.59</v>
      </c>
      <c r="L3338" s="25">
        <v>2.56</v>
      </c>
      <c r="M3338" s="24">
        <v>57686</v>
      </c>
      <c r="N3338" s="25">
        <f>IFERROR(T_reg.root.SK[[#This Row],[Price]]/T_reg.root.SK[[#This Row],[Starch content]],"")</f>
        <v>14.081408140814082</v>
      </c>
    </row>
    <row r="3339" spans="1:14">
      <c r="A3339" s="21">
        <v>2024</v>
      </c>
      <c r="B3339" s="21" t="s">
        <v>24</v>
      </c>
      <c r="C3339" s="21" t="s">
        <v>1145</v>
      </c>
      <c r="D3339" s="21" t="s">
        <v>35</v>
      </c>
      <c r="E3339" s="18" t="s">
        <v>62</v>
      </c>
      <c r="F3339" s="18" t="s">
        <v>47</v>
      </c>
      <c r="G3339" s="18" t="s">
        <v>48</v>
      </c>
      <c r="H3339" s="24">
        <v>41490</v>
      </c>
      <c r="I3339" s="24">
        <f>T_reg.root.SK[[#This Row],[Volume, kg]]/1000</f>
        <v>41.49</v>
      </c>
      <c r="J3339" s="25">
        <v>0.1714</v>
      </c>
      <c r="K3339" s="25">
        <f t="shared" si="52"/>
        <v>7111.3859999999995</v>
      </c>
      <c r="L3339" s="25">
        <v>2.41</v>
      </c>
      <c r="M3339" s="24">
        <v>99986.5</v>
      </c>
      <c r="N3339" s="25">
        <f>IFERROR(T_reg.root.SK[[#This Row],[Price]]/T_reg.root.SK[[#This Row],[Starch content]],"")</f>
        <v>14.060676779463245</v>
      </c>
    </row>
    <row r="3340" spans="1:14">
      <c r="A3340" s="21">
        <v>2024</v>
      </c>
      <c r="B3340" s="21" t="s">
        <v>24</v>
      </c>
      <c r="C3340" s="21" t="s">
        <v>1145</v>
      </c>
      <c r="D3340" s="21" t="s">
        <v>35</v>
      </c>
      <c r="E3340" s="18" t="s">
        <v>63</v>
      </c>
      <c r="F3340" s="18" t="s">
        <v>47</v>
      </c>
      <c r="G3340" s="18" t="s">
        <v>48</v>
      </c>
      <c r="H3340" s="24">
        <v>39740</v>
      </c>
      <c r="I3340" s="24">
        <f>T_reg.root.SK[[#This Row],[Volume, kg]]/1000</f>
        <v>39.74</v>
      </c>
      <c r="J3340" s="25">
        <v>0.19769999999999999</v>
      </c>
      <c r="K3340" s="25">
        <f t="shared" si="52"/>
        <v>7856.597999999999</v>
      </c>
      <c r="L3340" s="25">
        <v>2.64</v>
      </c>
      <c r="M3340" s="24">
        <v>104729</v>
      </c>
      <c r="N3340" s="25">
        <f>IFERROR(T_reg.root.SK[[#This Row],[Price]]/T_reg.root.SK[[#This Row],[Starch content]],"")</f>
        <v>13.353566009104705</v>
      </c>
    </row>
    <row r="3341" spans="1:14">
      <c r="A3341" s="21">
        <v>2024</v>
      </c>
      <c r="B3341" s="21" t="s">
        <v>24</v>
      </c>
      <c r="C3341" s="21" t="s">
        <v>1145</v>
      </c>
      <c r="D3341" s="21" t="s">
        <v>35</v>
      </c>
      <c r="E3341" s="18" t="s">
        <v>469</v>
      </c>
      <c r="F3341" s="18" t="s">
        <v>47</v>
      </c>
      <c r="G3341" s="18" t="s">
        <v>48</v>
      </c>
      <c r="H3341" s="24">
        <v>9140</v>
      </c>
      <c r="I3341" s="24">
        <f>T_reg.root.SK[[#This Row],[Volume, kg]]/1000</f>
        <v>9.14</v>
      </c>
      <c r="J3341" s="25">
        <v>0.14499999999999999</v>
      </c>
      <c r="K3341" s="25">
        <f t="shared" si="52"/>
        <v>1325.3</v>
      </c>
      <c r="L3341" s="25">
        <v>2.4</v>
      </c>
      <c r="M3341" s="24">
        <v>21936</v>
      </c>
      <c r="N3341" s="25">
        <f>IFERROR(T_reg.root.SK[[#This Row],[Price]]/T_reg.root.SK[[#This Row],[Starch content]],"")</f>
        <v>16.551724137931036</v>
      </c>
    </row>
    <row r="3342" spans="1:14">
      <c r="A3342" s="21">
        <v>2024</v>
      </c>
      <c r="B3342" s="21" t="s">
        <v>24</v>
      </c>
      <c r="C3342" s="21" t="s">
        <v>1145</v>
      </c>
      <c r="D3342" s="21" t="s">
        <v>35</v>
      </c>
      <c r="E3342" s="18" t="s">
        <v>730</v>
      </c>
      <c r="F3342" s="18" t="s">
        <v>47</v>
      </c>
      <c r="G3342" s="18" t="s">
        <v>48</v>
      </c>
      <c r="H3342" s="24">
        <v>0</v>
      </c>
      <c r="I3342" s="24">
        <f>T_reg.root.SK[[#This Row],[Volume, kg]]/1000</f>
        <v>0</v>
      </c>
      <c r="J3342" s="25">
        <v>0</v>
      </c>
      <c r="K3342" s="25">
        <f t="shared" si="52"/>
        <v>0</v>
      </c>
      <c r="L3342" s="25">
        <v>0</v>
      </c>
      <c r="M3342" s="24">
        <v>0</v>
      </c>
      <c r="N3342" s="25" t="str">
        <f>IFERROR(T_reg.root.SK[[#This Row],[Price]]/T_reg.root.SK[[#This Row],[Starch content]],"")</f>
        <v/>
      </c>
    </row>
    <row r="3343" spans="1:14">
      <c r="A3343" s="21">
        <v>2024</v>
      </c>
      <c r="B3343" s="21" t="s">
        <v>24</v>
      </c>
      <c r="C3343" s="21" t="s">
        <v>1145</v>
      </c>
      <c r="D3343" s="21" t="s">
        <v>35</v>
      </c>
      <c r="E3343" s="18" t="s">
        <v>66</v>
      </c>
      <c r="F3343" s="18" t="s">
        <v>47</v>
      </c>
      <c r="G3343" s="18" t="s">
        <v>48</v>
      </c>
      <c r="H3343" s="24">
        <v>16920</v>
      </c>
      <c r="I3343" s="24">
        <f>T_reg.root.SK[[#This Row],[Volume, kg]]/1000</f>
        <v>16.920000000000002</v>
      </c>
      <c r="J3343" s="25">
        <v>0.18350000000000002</v>
      </c>
      <c r="K3343" s="25">
        <f t="shared" si="52"/>
        <v>3104.8200000000006</v>
      </c>
      <c r="L3343" s="25">
        <v>2.5</v>
      </c>
      <c r="M3343" s="24">
        <v>42300</v>
      </c>
      <c r="N3343" s="25">
        <f>IFERROR(T_reg.root.SK[[#This Row],[Price]]/T_reg.root.SK[[#This Row],[Starch content]],"")</f>
        <v>13.623978201634875</v>
      </c>
    </row>
    <row r="3344" spans="1:14">
      <c r="A3344" s="21">
        <v>2024</v>
      </c>
      <c r="B3344" s="21" t="s">
        <v>24</v>
      </c>
      <c r="C3344" s="21" t="s">
        <v>1145</v>
      </c>
      <c r="D3344" s="21" t="s">
        <v>35</v>
      </c>
      <c r="E3344" s="18" t="s">
        <v>341</v>
      </c>
      <c r="F3344" s="18" t="s">
        <v>47</v>
      </c>
      <c r="G3344" s="18" t="s">
        <v>48</v>
      </c>
      <c r="H3344" s="24">
        <v>25020</v>
      </c>
      <c r="I3344" s="24">
        <f>T_reg.root.SK[[#This Row],[Volume, kg]]/1000</f>
        <v>25.02</v>
      </c>
      <c r="J3344" s="25">
        <v>0.2039</v>
      </c>
      <c r="K3344" s="25">
        <f t="shared" si="52"/>
        <v>5101.5779999999995</v>
      </c>
      <c r="L3344" s="25">
        <v>2.63</v>
      </c>
      <c r="M3344" s="24">
        <v>65912</v>
      </c>
      <c r="N3344" s="25">
        <f>IFERROR(T_reg.root.SK[[#This Row],[Price]]/T_reg.root.SK[[#This Row],[Starch content]],"")</f>
        <v>12.898479646885727</v>
      </c>
    </row>
    <row r="3345" spans="1:14">
      <c r="A3345" s="21">
        <v>2024</v>
      </c>
      <c r="B3345" s="21" t="s">
        <v>24</v>
      </c>
      <c r="C3345" s="21" t="s">
        <v>1145</v>
      </c>
      <c r="D3345" s="21" t="s">
        <v>35</v>
      </c>
      <c r="E3345" s="18" t="s">
        <v>470</v>
      </c>
      <c r="F3345" s="18" t="s">
        <v>47</v>
      </c>
      <c r="G3345" s="18" t="s">
        <v>48</v>
      </c>
      <c r="H3345" s="24">
        <v>22680</v>
      </c>
      <c r="I3345" s="24">
        <f>T_reg.root.SK[[#This Row],[Volume, kg]]/1000</f>
        <v>22.68</v>
      </c>
      <c r="J3345" s="25">
        <v>0.18190000000000001</v>
      </c>
      <c r="K3345" s="25">
        <f t="shared" si="52"/>
        <v>4125.4920000000002</v>
      </c>
      <c r="L3345" s="25">
        <v>2.5</v>
      </c>
      <c r="M3345" s="24">
        <v>56700</v>
      </c>
      <c r="N3345" s="25">
        <f>IFERROR(T_reg.root.SK[[#This Row],[Price]]/T_reg.root.SK[[#This Row],[Starch content]],"")</f>
        <v>13.743815283122593</v>
      </c>
    </row>
    <row r="3346" spans="1:14">
      <c r="A3346" s="21">
        <v>2024</v>
      </c>
      <c r="B3346" s="21" t="s">
        <v>24</v>
      </c>
      <c r="C3346" s="21" t="s">
        <v>1145</v>
      </c>
      <c r="D3346" s="21" t="s">
        <v>35</v>
      </c>
      <c r="E3346" s="18" t="s">
        <v>471</v>
      </c>
      <c r="F3346" s="18" t="s">
        <v>47</v>
      </c>
      <c r="G3346" s="18" t="s">
        <v>48</v>
      </c>
      <c r="H3346" s="24">
        <v>17780</v>
      </c>
      <c r="I3346" s="24">
        <f>T_reg.root.SK[[#This Row],[Volume, kg]]/1000</f>
        <v>17.78</v>
      </c>
      <c r="J3346" s="25">
        <v>0.20739999999999997</v>
      </c>
      <c r="K3346" s="25">
        <f t="shared" si="52"/>
        <v>3687.5719999999997</v>
      </c>
      <c r="L3346" s="25">
        <v>2.65</v>
      </c>
      <c r="M3346" s="24">
        <v>47117</v>
      </c>
      <c r="N3346" s="25">
        <f>IFERROR(T_reg.root.SK[[#This Row],[Price]]/T_reg.root.SK[[#This Row],[Starch content]],"")</f>
        <v>12.777242044358728</v>
      </c>
    </row>
    <row r="3347" spans="1:14">
      <c r="A3347" s="21">
        <v>2024</v>
      </c>
      <c r="B3347" s="21" t="s">
        <v>24</v>
      </c>
      <c r="C3347" s="21" t="s">
        <v>1145</v>
      </c>
      <c r="D3347" s="21" t="s">
        <v>35</v>
      </c>
      <c r="E3347" s="18" t="s">
        <v>69</v>
      </c>
      <c r="F3347" s="18" t="s">
        <v>47</v>
      </c>
      <c r="G3347" s="18" t="s">
        <v>48</v>
      </c>
      <c r="H3347" s="24">
        <v>25950</v>
      </c>
      <c r="I3347" s="24">
        <f>T_reg.root.SK[[#This Row],[Volume, kg]]/1000</f>
        <v>25.95</v>
      </c>
      <c r="J3347" s="25">
        <v>0.1686</v>
      </c>
      <c r="K3347" s="25">
        <f t="shared" si="52"/>
        <v>4375.17</v>
      </c>
      <c r="L3347" s="25">
        <v>2.4900000000000002</v>
      </c>
      <c r="M3347" s="24">
        <v>64663</v>
      </c>
      <c r="N3347" s="25">
        <f>IFERROR(T_reg.root.SK[[#This Row],[Price]]/T_reg.root.SK[[#This Row],[Starch content]],"")</f>
        <v>14.768683274021354</v>
      </c>
    </row>
    <row r="3348" spans="1:14">
      <c r="A3348" s="21">
        <v>2024</v>
      </c>
      <c r="B3348" s="21" t="s">
        <v>24</v>
      </c>
      <c r="C3348" s="21" t="s">
        <v>1145</v>
      </c>
      <c r="D3348" s="21" t="s">
        <v>35</v>
      </c>
      <c r="E3348" s="18" t="s">
        <v>70</v>
      </c>
      <c r="F3348" s="18" t="s">
        <v>47</v>
      </c>
      <c r="G3348" s="18" t="s">
        <v>48</v>
      </c>
      <c r="H3348" s="24">
        <v>65320</v>
      </c>
      <c r="I3348" s="24">
        <f>T_reg.root.SK[[#This Row],[Volume, kg]]/1000</f>
        <v>65.319999999999993</v>
      </c>
      <c r="J3348" s="25">
        <v>0.18390000000000001</v>
      </c>
      <c r="K3348" s="25">
        <f t="shared" si="52"/>
        <v>12012.348</v>
      </c>
      <c r="L3348" s="25">
        <v>2.56</v>
      </c>
      <c r="M3348" s="24">
        <v>166893.5</v>
      </c>
      <c r="N3348" s="25">
        <f>IFERROR(T_reg.root.SK[[#This Row],[Price]]/T_reg.root.SK[[#This Row],[Starch content]],"")</f>
        <v>13.920609026644916</v>
      </c>
    </row>
    <row r="3349" spans="1:14">
      <c r="A3349" s="21">
        <v>2024</v>
      </c>
      <c r="B3349" s="21" t="s">
        <v>24</v>
      </c>
      <c r="C3349" s="21" t="s">
        <v>1145</v>
      </c>
      <c r="D3349" s="21" t="s">
        <v>35</v>
      </c>
      <c r="E3349" s="18" t="s">
        <v>787</v>
      </c>
      <c r="F3349" s="18" t="s">
        <v>47</v>
      </c>
      <c r="G3349" s="18" t="s">
        <v>48</v>
      </c>
      <c r="H3349" s="24">
        <v>0</v>
      </c>
      <c r="I3349" s="24">
        <f>T_reg.root.SK[[#This Row],[Volume, kg]]/1000</f>
        <v>0</v>
      </c>
      <c r="J3349" s="25">
        <v>0</v>
      </c>
      <c r="K3349" s="25">
        <f t="shared" si="52"/>
        <v>0</v>
      </c>
      <c r="L3349" s="25">
        <v>0</v>
      </c>
      <c r="M3349" s="24">
        <v>0</v>
      </c>
      <c r="N3349" s="25" t="str">
        <f>IFERROR(T_reg.root.SK[[#This Row],[Price]]/T_reg.root.SK[[#This Row],[Starch content]],"")</f>
        <v/>
      </c>
    </row>
    <row r="3350" spans="1:14">
      <c r="A3350" s="21">
        <v>2024</v>
      </c>
      <c r="B3350" s="21" t="s">
        <v>24</v>
      </c>
      <c r="C3350" s="21" t="s">
        <v>1145</v>
      </c>
      <c r="D3350" s="21" t="s">
        <v>35</v>
      </c>
      <c r="E3350" s="18" t="s">
        <v>549</v>
      </c>
      <c r="F3350" s="18" t="s">
        <v>47</v>
      </c>
      <c r="G3350" s="18" t="s">
        <v>48</v>
      </c>
      <c r="H3350" s="24">
        <v>6860</v>
      </c>
      <c r="I3350" s="24">
        <f>T_reg.root.SK[[#This Row],[Volume, kg]]/1000</f>
        <v>6.86</v>
      </c>
      <c r="J3350" s="25">
        <v>0.21050000000000002</v>
      </c>
      <c r="K3350" s="25">
        <f t="shared" si="52"/>
        <v>1444.0300000000002</v>
      </c>
      <c r="L3350" s="25">
        <v>2.5</v>
      </c>
      <c r="M3350" s="24">
        <v>17150</v>
      </c>
      <c r="N3350" s="25">
        <f>IFERROR(T_reg.root.SK[[#This Row],[Price]]/T_reg.root.SK[[#This Row],[Starch content]],"")</f>
        <v>11.87648456057007</v>
      </c>
    </row>
    <row r="3351" spans="1:14">
      <c r="A3351" s="21">
        <v>2024</v>
      </c>
      <c r="B3351" s="21" t="s">
        <v>24</v>
      </c>
      <c r="C3351" s="21" t="s">
        <v>1145</v>
      </c>
      <c r="D3351" s="21" t="s">
        <v>35</v>
      </c>
      <c r="E3351" s="18" t="s">
        <v>472</v>
      </c>
      <c r="F3351" s="18" t="s">
        <v>47</v>
      </c>
      <c r="G3351" s="18" t="s">
        <v>48</v>
      </c>
      <c r="H3351" s="24">
        <v>15320</v>
      </c>
      <c r="I3351" s="24">
        <f>T_reg.root.SK[[#This Row],[Volume, kg]]/1000</f>
        <v>15.32</v>
      </c>
      <c r="J3351" s="25">
        <v>0.18340000000000001</v>
      </c>
      <c r="K3351" s="25">
        <f t="shared" si="52"/>
        <v>2809.6880000000001</v>
      </c>
      <c r="L3351" s="25">
        <v>2.52</v>
      </c>
      <c r="M3351" s="24">
        <v>38662.5</v>
      </c>
      <c r="N3351" s="25">
        <f>IFERROR(T_reg.root.SK[[#This Row],[Price]]/T_reg.root.SK[[#This Row],[Starch content]],"")</f>
        <v>13.740458015267174</v>
      </c>
    </row>
    <row r="3352" spans="1:14">
      <c r="A3352" s="21">
        <v>2024</v>
      </c>
      <c r="B3352" s="21" t="s">
        <v>24</v>
      </c>
      <c r="C3352" s="21" t="s">
        <v>1145</v>
      </c>
      <c r="D3352" s="21" t="s">
        <v>35</v>
      </c>
      <c r="E3352" s="18" t="s">
        <v>73</v>
      </c>
      <c r="F3352" s="18" t="s">
        <v>47</v>
      </c>
      <c r="G3352" s="18" t="s">
        <v>48</v>
      </c>
      <c r="H3352" s="24">
        <v>3200</v>
      </c>
      <c r="I3352" s="24">
        <f>T_reg.root.SK[[#This Row],[Volume, kg]]/1000</f>
        <v>3.2</v>
      </c>
      <c r="J3352" s="25">
        <v>0.21149999999999999</v>
      </c>
      <c r="K3352" s="25">
        <f t="shared" si="52"/>
        <v>676.8</v>
      </c>
      <c r="L3352" s="25">
        <v>2.7</v>
      </c>
      <c r="M3352" s="24">
        <v>8640</v>
      </c>
      <c r="N3352" s="25">
        <f>IFERROR(T_reg.root.SK[[#This Row],[Price]]/T_reg.root.SK[[#This Row],[Starch content]],"")</f>
        <v>12.765957446808512</v>
      </c>
    </row>
    <row r="3353" spans="1:14">
      <c r="A3353" s="21">
        <v>2024</v>
      </c>
      <c r="B3353" s="21" t="s">
        <v>24</v>
      </c>
      <c r="C3353" s="21" t="s">
        <v>1145</v>
      </c>
      <c r="D3353" s="21" t="s">
        <v>35</v>
      </c>
      <c r="E3353" s="18" t="s">
        <v>473</v>
      </c>
      <c r="F3353" s="18" t="s">
        <v>47</v>
      </c>
      <c r="G3353" s="18" t="s">
        <v>48</v>
      </c>
      <c r="H3353" s="24">
        <v>70820</v>
      </c>
      <c r="I3353" s="24">
        <f>T_reg.root.SK[[#This Row],[Volume, kg]]/1000</f>
        <v>70.819999999999993</v>
      </c>
      <c r="J3353" s="25">
        <v>0.18600000000000003</v>
      </c>
      <c r="K3353" s="25">
        <f t="shared" si="52"/>
        <v>13172.520000000002</v>
      </c>
      <c r="L3353" s="25">
        <v>2.56</v>
      </c>
      <c r="M3353" s="24">
        <v>180959</v>
      </c>
      <c r="N3353" s="25">
        <f>IFERROR(T_reg.root.SK[[#This Row],[Price]]/T_reg.root.SK[[#This Row],[Starch content]],"")</f>
        <v>13.763440860215052</v>
      </c>
    </row>
    <row r="3354" spans="1:14">
      <c r="A3354" s="21">
        <v>2024</v>
      </c>
      <c r="B3354" s="21" t="s">
        <v>24</v>
      </c>
      <c r="C3354" s="21" t="s">
        <v>1145</v>
      </c>
      <c r="D3354" s="21" t="s">
        <v>35</v>
      </c>
      <c r="E3354" s="18" t="s">
        <v>75</v>
      </c>
      <c r="F3354" s="18" t="s">
        <v>47</v>
      </c>
      <c r="G3354" s="18" t="s">
        <v>48</v>
      </c>
      <c r="H3354" s="24">
        <v>27210</v>
      </c>
      <c r="I3354" s="24">
        <f>T_reg.root.SK[[#This Row],[Volume, kg]]/1000</f>
        <v>27.21</v>
      </c>
      <c r="J3354" s="25">
        <v>0.15390000000000001</v>
      </c>
      <c r="K3354" s="25">
        <f t="shared" si="52"/>
        <v>4187.6190000000006</v>
      </c>
      <c r="L3354" s="25">
        <v>2.38</v>
      </c>
      <c r="M3354" s="24">
        <v>64650.5</v>
      </c>
      <c r="N3354" s="25">
        <f>IFERROR(T_reg.root.SK[[#This Row],[Price]]/T_reg.root.SK[[#This Row],[Starch content]],"")</f>
        <v>15.464587394411954</v>
      </c>
    </row>
    <row r="3355" spans="1:14">
      <c r="A3355" s="21">
        <v>2024</v>
      </c>
      <c r="B3355" s="21" t="s">
        <v>24</v>
      </c>
      <c r="C3355" s="21" t="s">
        <v>1145</v>
      </c>
      <c r="D3355" s="21" t="s">
        <v>35</v>
      </c>
      <c r="E3355" s="18" t="s">
        <v>76</v>
      </c>
      <c r="F3355" s="18" t="s">
        <v>47</v>
      </c>
      <c r="G3355" s="18" t="s">
        <v>48</v>
      </c>
      <c r="H3355" s="24">
        <v>9650</v>
      </c>
      <c r="I3355" s="24">
        <f>T_reg.root.SK[[#This Row],[Volume, kg]]/1000</f>
        <v>9.65</v>
      </c>
      <c r="J3355" s="25">
        <v>0.17100000000000001</v>
      </c>
      <c r="K3355" s="25">
        <f t="shared" si="52"/>
        <v>1650.15</v>
      </c>
      <c r="L3355" s="25">
        <v>2.5</v>
      </c>
      <c r="M3355" s="24">
        <v>24125</v>
      </c>
      <c r="N3355" s="25">
        <f>IFERROR(T_reg.root.SK[[#This Row],[Price]]/T_reg.root.SK[[#This Row],[Starch content]],"")</f>
        <v>14.619883040935671</v>
      </c>
    </row>
    <row r="3356" spans="1:14">
      <c r="A3356" s="21">
        <v>2024</v>
      </c>
      <c r="B3356" s="21" t="s">
        <v>24</v>
      </c>
      <c r="C3356" s="21" t="s">
        <v>1145</v>
      </c>
      <c r="D3356" s="21" t="s">
        <v>35</v>
      </c>
      <c r="E3356" s="18" t="s">
        <v>77</v>
      </c>
      <c r="F3356" s="18" t="s">
        <v>47</v>
      </c>
      <c r="G3356" s="18" t="s">
        <v>48</v>
      </c>
      <c r="H3356" s="24">
        <v>56410</v>
      </c>
      <c r="I3356" s="24">
        <f>T_reg.root.SK[[#This Row],[Volume, kg]]/1000</f>
        <v>56.41</v>
      </c>
      <c r="J3356" s="25">
        <v>0.18629999999999999</v>
      </c>
      <c r="K3356" s="25">
        <f t="shared" si="52"/>
        <v>10509.182999999999</v>
      </c>
      <c r="L3356" s="25">
        <v>2.5299999999999998</v>
      </c>
      <c r="M3356" s="24">
        <v>142742.5</v>
      </c>
      <c r="N3356" s="25">
        <f>IFERROR(T_reg.root.SK[[#This Row],[Price]]/T_reg.root.SK[[#This Row],[Starch content]],"")</f>
        <v>13.580246913580247</v>
      </c>
    </row>
    <row r="3357" spans="1:14">
      <c r="A3357" s="21">
        <v>2024</v>
      </c>
      <c r="B3357" s="21" t="s">
        <v>24</v>
      </c>
      <c r="C3357" s="21" t="s">
        <v>1145</v>
      </c>
      <c r="D3357" s="21" t="s">
        <v>35</v>
      </c>
      <c r="E3357" s="18" t="s">
        <v>693</v>
      </c>
      <c r="F3357" s="18" t="s">
        <v>47</v>
      </c>
      <c r="G3357" s="18" t="s">
        <v>48</v>
      </c>
      <c r="H3357" s="24">
        <v>11140</v>
      </c>
      <c r="I3357" s="24">
        <f>T_reg.root.SK[[#This Row],[Volume, kg]]/1000</f>
        <v>11.14</v>
      </c>
      <c r="J3357" s="25">
        <v>0.16269999999999998</v>
      </c>
      <c r="K3357" s="25">
        <f t="shared" si="52"/>
        <v>1812.4779999999998</v>
      </c>
      <c r="L3357" s="25">
        <v>2.4500000000000002</v>
      </c>
      <c r="M3357" s="24">
        <v>27293</v>
      </c>
      <c r="N3357" s="25">
        <f>IFERROR(T_reg.root.SK[[#This Row],[Price]]/T_reg.root.SK[[#This Row],[Starch content]],"")</f>
        <v>15.058389674247083</v>
      </c>
    </row>
    <row r="3358" spans="1:14">
      <c r="A3358" s="21">
        <v>2024</v>
      </c>
      <c r="B3358" s="21" t="s">
        <v>24</v>
      </c>
      <c r="C3358" s="21" t="s">
        <v>1145</v>
      </c>
      <c r="D3358" s="21" t="s">
        <v>35</v>
      </c>
      <c r="E3358" s="18" t="s">
        <v>383</v>
      </c>
      <c r="F3358" s="18" t="s">
        <v>47</v>
      </c>
      <c r="G3358" s="18" t="s">
        <v>48</v>
      </c>
      <c r="H3358" s="24">
        <v>104460</v>
      </c>
      <c r="I3358" s="24">
        <f>T_reg.root.SK[[#This Row],[Volume, kg]]/1000</f>
        <v>104.46</v>
      </c>
      <c r="J3358" s="25">
        <v>0.16949999999999998</v>
      </c>
      <c r="K3358" s="25">
        <f t="shared" si="52"/>
        <v>17705.969999999998</v>
      </c>
      <c r="L3358" s="25">
        <v>2.46</v>
      </c>
      <c r="M3358" s="24">
        <v>256904</v>
      </c>
      <c r="N3358" s="25">
        <f>IFERROR(T_reg.root.SK[[#This Row],[Price]]/T_reg.root.SK[[#This Row],[Starch content]],"")</f>
        <v>14.513274336283187</v>
      </c>
    </row>
    <row r="3359" spans="1:14">
      <c r="A3359" s="21">
        <v>2024</v>
      </c>
      <c r="B3359" s="21" t="s">
        <v>24</v>
      </c>
      <c r="C3359" s="21" t="s">
        <v>1145</v>
      </c>
      <c r="D3359" s="21" t="s">
        <v>35</v>
      </c>
      <c r="E3359" s="18" t="s">
        <v>82</v>
      </c>
      <c r="F3359" s="18" t="s">
        <v>83</v>
      </c>
      <c r="G3359" s="18" t="s">
        <v>48</v>
      </c>
      <c r="H3359" s="24">
        <v>8260</v>
      </c>
      <c r="I3359" s="24">
        <f>T_reg.root.SK[[#This Row],[Volume, kg]]/1000</f>
        <v>8.26</v>
      </c>
      <c r="J3359" s="25">
        <v>0.14249999999999999</v>
      </c>
      <c r="K3359" s="25">
        <f t="shared" si="52"/>
        <v>1177.05</v>
      </c>
      <c r="L3359" s="25">
        <v>2.2999999999999998</v>
      </c>
      <c r="M3359" s="24">
        <v>18998</v>
      </c>
      <c r="N3359" s="25">
        <f>IFERROR(T_reg.root.SK[[#This Row],[Price]]/T_reg.root.SK[[#This Row],[Starch content]],"")</f>
        <v>16.140350877192983</v>
      </c>
    </row>
    <row r="3360" spans="1:14">
      <c r="A3360" s="21">
        <v>2024</v>
      </c>
      <c r="B3360" s="21" t="s">
        <v>24</v>
      </c>
      <c r="C3360" s="21" t="s">
        <v>1145</v>
      </c>
      <c r="D3360" s="21" t="s">
        <v>35</v>
      </c>
      <c r="E3360" s="18" t="s">
        <v>477</v>
      </c>
      <c r="F3360" s="18" t="s">
        <v>83</v>
      </c>
      <c r="G3360" s="18" t="s">
        <v>48</v>
      </c>
      <c r="H3360" s="24">
        <v>4870</v>
      </c>
      <c r="I3360" s="24">
        <f>T_reg.root.SK[[#This Row],[Volume, kg]]/1000</f>
        <v>4.87</v>
      </c>
      <c r="J3360" s="25">
        <v>0.17749999999999999</v>
      </c>
      <c r="K3360" s="25">
        <f t="shared" si="52"/>
        <v>864.42499999999995</v>
      </c>
      <c r="L3360" s="25">
        <v>2.5499999999999998</v>
      </c>
      <c r="M3360" s="24">
        <v>12418.5</v>
      </c>
      <c r="N3360" s="25">
        <f>IFERROR(T_reg.root.SK[[#This Row],[Price]]/T_reg.root.SK[[#This Row],[Starch content]],"")</f>
        <v>14.366197183098592</v>
      </c>
    </row>
    <row r="3361" spans="1:14">
      <c r="A3361" s="21">
        <v>2024</v>
      </c>
      <c r="B3361" s="21" t="s">
        <v>24</v>
      </c>
      <c r="C3361" s="21" t="s">
        <v>1145</v>
      </c>
      <c r="D3361" s="21" t="s">
        <v>39</v>
      </c>
      <c r="E3361" s="18" t="s">
        <v>85</v>
      </c>
      <c r="F3361" s="18" t="s">
        <v>86</v>
      </c>
      <c r="G3361" s="18" t="s">
        <v>87</v>
      </c>
      <c r="H3361" s="24">
        <v>4111540</v>
      </c>
      <c r="I3361" s="24">
        <f>T_reg.root.SK[[#This Row],[Volume, kg]]/1000</f>
        <v>4111.54</v>
      </c>
      <c r="J3361" s="25">
        <v>0.187</v>
      </c>
      <c r="K3361" s="25">
        <f t="shared" si="52"/>
        <v>768857.98</v>
      </c>
      <c r="L3361" s="25">
        <v>2.56</v>
      </c>
      <c r="M3361" s="24">
        <v>10532115.5</v>
      </c>
      <c r="N3361" s="25">
        <f>IFERROR(T_reg.root.SK[[#This Row],[Price]]/T_reg.root.SK[[#This Row],[Starch content]],"")</f>
        <v>13.689839572192513</v>
      </c>
    </row>
    <row r="3362" spans="1:14">
      <c r="A3362" s="21">
        <v>2024</v>
      </c>
      <c r="B3362" s="21" t="s">
        <v>24</v>
      </c>
      <c r="C3362" s="21" t="s">
        <v>1145</v>
      </c>
      <c r="D3362" s="21" t="s">
        <v>35</v>
      </c>
      <c r="E3362" s="18" t="s">
        <v>745</v>
      </c>
      <c r="F3362" s="18" t="s">
        <v>746</v>
      </c>
      <c r="G3362" s="18" t="s">
        <v>747</v>
      </c>
      <c r="H3362" s="24">
        <v>44880</v>
      </c>
      <c r="I3362" s="24">
        <f>T_reg.root.SK[[#This Row],[Volume, kg]]/1000</f>
        <v>44.88</v>
      </c>
      <c r="J3362" s="25">
        <v>0.1734</v>
      </c>
      <c r="K3362" s="25">
        <f t="shared" si="52"/>
        <v>7782.192</v>
      </c>
      <c r="L3362" s="25">
        <v>2.57</v>
      </c>
      <c r="M3362" s="24">
        <v>115268.5</v>
      </c>
      <c r="N3362" s="25">
        <f>IFERROR(T_reg.root.SK[[#This Row],[Price]]/T_reg.root.SK[[#This Row],[Starch content]],"")</f>
        <v>14.821222606689734</v>
      </c>
    </row>
    <row r="3363" spans="1:14">
      <c r="A3363" s="21">
        <v>2024</v>
      </c>
      <c r="B3363" s="21" t="s">
        <v>24</v>
      </c>
      <c r="C3363" s="21" t="s">
        <v>1145</v>
      </c>
      <c r="D3363" s="21" t="s">
        <v>39</v>
      </c>
      <c r="E3363" s="18" t="s">
        <v>88</v>
      </c>
      <c r="F3363" s="18" t="s">
        <v>89</v>
      </c>
      <c r="G3363" s="18" t="s">
        <v>90</v>
      </c>
      <c r="H3363" s="24">
        <v>4417580</v>
      </c>
      <c r="I3363" s="24">
        <f>T_reg.root.SK[[#This Row],[Volume, kg]]/1000</f>
        <v>4417.58</v>
      </c>
      <c r="J3363" s="25">
        <v>0.1807</v>
      </c>
      <c r="K3363" s="25">
        <f t="shared" si="52"/>
        <v>798256.70600000001</v>
      </c>
      <c r="L3363" s="25">
        <v>2.5299999999999998</v>
      </c>
      <c r="M3363" s="24">
        <v>11173264.5</v>
      </c>
      <c r="N3363" s="25">
        <f>IFERROR(T_reg.root.SK[[#This Row],[Price]]/T_reg.root.SK[[#This Row],[Starch content]],"")</f>
        <v>14.001106806862202</v>
      </c>
    </row>
    <row r="3364" spans="1:14">
      <c r="A3364" s="21">
        <v>2024</v>
      </c>
      <c r="B3364" s="21" t="s">
        <v>24</v>
      </c>
      <c r="C3364" s="21" t="s">
        <v>1145</v>
      </c>
      <c r="D3364" s="21" t="s">
        <v>35</v>
      </c>
      <c r="E3364" s="18" t="s">
        <v>748</v>
      </c>
      <c r="F3364" s="18" t="s">
        <v>89</v>
      </c>
      <c r="G3364" s="18" t="s">
        <v>90</v>
      </c>
      <c r="H3364" s="24">
        <v>100490</v>
      </c>
      <c r="I3364" s="24">
        <f>T_reg.root.SK[[#This Row],[Volume, kg]]/1000</f>
        <v>100.49</v>
      </c>
      <c r="J3364" s="25">
        <v>0.17730000000000001</v>
      </c>
      <c r="K3364" s="25">
        <f t="shared" si="52"/>
        <v>17816.877</v>
      </c>
      <c r="L3364" s="25">
        <v>2.5099999999999998</v>
      </c>
      <c r="M3364" s="24">
        <v>252309</v>
      </c>
      <c r="N3364" s="25">
        <f>IFERROR(T_reg.root.SK[[#This Row],[Price]]/T_reg.root.SK[[#This Row],[Starch content]],"")</f>
        <v>14.156796390298926</v>
      </c>
    </row>
    <row r="3365" spans="1:14">
      <c r="A3365" s="21">
        <v>2024</v>
      </c>
      <c r="B3365" s="21" t="s">
        <v>24</v>
      </c>
      <c r="C3365" s="21" t="s">
        <v>1145</v>
      </c>
      <c r="D3365" s="21" t="s">
        <v>35</v>
      </c>
      <c r="E3365" s="18" t="s">
        <v>229</v>
      </c>
      <c r="F3365" s="18" t="s">
        <v>92</v>
      </c>
      <c r="G3365" s="18" t="s">
        <v>48</v>
      </c>
      <c r="H3365" s="24">
        <v>16700</v>
      </c>
      <c r="I3365" s="24">
        <f>T_reg.root.SK[[#This Row],[Volume, kg]]/1000</f>
        <v>16.7</v>
      </c>
      <c r="J3365" s="25">
        <v>0.17100000000000001</v>
      </c>
      <c r="K3365" s="25">
        <f t="shared" si="52"/>
        <v>2855.7000000000003</v>
      </c>
      <c r="L3365" s="25">
        <v>2.48</v>
      </c>
      <c r="M3365" s="24">
        <v>41438.5</v>
      </c>
      <c r="N3365" s="25">
        <f>IFERROR(T_reg.root.SK[[#This Row],[Price]]/T_reg.root.SK[[#This Row],[Starch content]],"")</f>
        <v>14.502923976608185</v>
      </c>
    </row>
    <row r="3366" spans="1:14">
      <c r="A3366" s="21">
        <v>2024</v>
      </c>
      <c r="B3366" s="21" t="s">
        <v>24</v>
      </c>
      <c r="C3366" s="21" t="s">
        <v>1145</v>
      </c>
      <c r="D3366" s="21" t="s">
        <v>35</v>
      </c>
      <c r="E3366" s="18" t="s">
        <v>91</v>
      </c>
      <c r="F3366" s="18" t="s">
        <v>92</v>
      </c>
      <c r="G3366" s="18" t="s">
        <v>48</v>
      </c>
      <c r="H3366" s="24">
        <v>67840</v>
      </c>
      <c r="I3366" s="24">
        <f>T_reg.root.SK[[#This Row],[Volume, kg]]/1000</f>
        <v>67.84</v>
      </c>
      <c r="J3366" s="25">
        <v>0.15689999999999998</v>
      </c>
      <c r="K3366" s="25">
        <f t="shared" si="52"/>
        <v>10644.096</v>
      </c>
      <c r="L3366" s="25">
        <v>2.4</v>
      </c>
      <c r="M3366" s="24">
        <v>162885</v>
      </c>
      <c r="N3366" s="25">
        <f>IFERROR(T_reg.root.SK[[#This Row],[Price]]/T_reg.root.SK[[#This Row],[Starch content]],"")</f>
        <v>15.296367112810708</v>
      </c>
    </row>
    <row r="3367" spans="1:14">
      <c r="A3367" s="21">
        <v>2024</v>
      </c>
      <c r="B3367" s="21" t="s">
        <v>24</v>
      </c>
      <c r="C3367" s="21" t="s">
        <v>1145</v>
      </c>
      <c r="D3367" s="21" t="s">
        <v>35</v>
      </c>
      <c r="E3367" s="18" t="s">
        <v>93</v>
      </c>
      <c r="F3367" s="18" t="s">
        <v>92</v>
      </c>
      <c r="G3367" s="18" t="s">
        <v>48</v>
      </c>
      <c r="H3367" s="24">
        <v>112100</v>
      </c>
      <c r="I3367" s="24">
        <f>T_reg.root.SK[[#This Row],[Volume, kg]]/1000</f>
        <v>112.1</v>
      </c>
      <c r="J3367" s="25">
        <v>0.15529999999999999</v>
      </c>
      <c r="K3367" s="25">
        <f t="shared" si="52"/>
        <v>17409.13</v>
      </c>
      <c r="L3367" s="25">
        <v>2.4</v>
      </c>
      <c r="M3367" s="24">
        <v>268697</v>
      </c>
      <c r="N3367" s="25">
        <f>IFERROR(T_reg.root.SK[[#This Row],[Price]]/T_reg.root.SK[[#This Row],[Starch content]],"")</f>
        <v>15.4539600772698</v>
      </c>
    </row>
    <row r="3368" spans="1:14">
      <c r="A3368" s="21">
        <v>2024</v>
      </c>
      <c r="B3368" s="21" t="s">
        <v>24</v>
      </c>
      <c r="C3368" s="21" t="s">
        <v>1145</v>
      </c>
      <c r="D3368" s="21" t="s">
        <v>39</v>
      </c>
      <c r="E3368" s="18" t="s">
        <v>552</v>
      </c>
      <c r="F3368" s="18" t="s">
        <v>95</v>
      </c>
      <c r="G3368" s="18" t="s">
        <v>48</v>
      </c>
      <c r="H3368" s="24">
        <v>7292150</v>
      </c>
      <c r="I3368" s="24">
        <f>T_reg.root.SK[[#This Row],[Volume, kg]]/1000</f>
        <v>7292.15</v>
      </c>
      <c r="J3368" s="25">
        <v>0.17679999999999998</v>
      </c>
      <c r="K3368" s="25">
        <f t="shared" si="52"/>
        <v>1289252.1199999999</v>
      </c>
      <c r="L3368" s="25">
        <v>2.5</v>
      </c>
      <c r="M3368" s="24">
        <v>18254382</v>
      </c>
      <c r="N3368" s="25">
        <f>IFERROR(T_reg.root.SK[[#This Row],[Price]]/T_reg.root.SK[[#This Row],[Starch content]],"")</f>
        <v>14.140271493212671</v>
      </c>
    </row>
    <row r="3369" spans="1:14">
      <c r="A3369" s="21">
        <v>2024</v>
      </c>
      <c r="B3369" s="21" t="s">
        <v>24</v>
      </c>
      <c r="C3369" s="21" t="s">
        <v>1145</v>
      </c>
      <c r="D3369" s="21" t="s">
        <v>35</v>
      </c>
      <c r="E3369" s="18" t="s">
        <v>681</v>
      </c>
      <c r="F3369" s="18" t="s">
        <v>95</v>
      </c>
      <c r="G3369" s="18" t="s">
        <v>48</v>
      </c>
      <c r="H3369" s="24">
        <v>328160</v>
      </c>
      <c r="I3369" s="24">
        <f>T_reg.root.SK[[#This Row],[Volume, kg]]/1000</f>
        <v>328.16</v>
      </c>
      <c r="J3369" s="25">
        <v>0.19260000000000002</v>
      </c>
      <c r="K3369" s="25">
        <f t="shared" si="52"/>
        <v>63203.616000000009</v>
      </c>
      <c r="L3369" s="25">
        <v>2.59</v>
      </c>
      <c r="M3369" s="24">
        <v>849230.5</v>
      </c>
      <c r="N3369" s="25">
        <f>IFERROR(T_reg.root.SK[[#This Row],[Price]]/T_reg.root.SK[[#This Row],[Starch content]],"")</f>
        <v>13.447559709241951</v>
      </c>
    </row>
    <row r="3370" spans="1:14">
      <c r="A3370" s="21">
        <v>2024</v>
      </c>
      <c r="B3370" s="21" t="s">
        <v>24</v>
      </c>
      <c r="C3370" s="21" t="s">
        <v>1145</v>
      </c>
      <c r="D3370" s="21" t="s">
        <v>35</v>
      </c>
      <c r="E3370" s="18" t="s">
        <v>663</v>
      </c>
      <c r="F3370" s="18" t="s">
        <v>95</v>
      </c>
      <c r="G3370" s="18" t="s">
        <v>48</v>
      </c>
      <c r="H3370" s="24">
        <v>30430</v>
      </c>
      <c r="I3370" s="24">
        <f>T_reg.root.SK[[#This Row],[Volume, kg]]/1000</f>
        <v>30.43</v>
      </c>
      <c r="J3370" s="25">
        <v>0.20800000000000002</v>
      </c>
      <c r="K3370" s="25">
        <f t="shared" si="52"/>
        <v>6329.4400000000005</v>
      </c>
      <c r="L3370" s="25">
        <v>2.64</v>
      </c>
      <c r="M3370" s="24">
        <v>80217</v>
      </c>
      <c r="N3370" s="25">
        <f>IFERROR(T_reg.root.SK[[#This Row],[Price]]/T_reg.root.SK[[#This Row],[Starch content]],"")</f>
        <v>12.692307692307692</v>
      </c>
    </row>
    <row r="3371" spans="1:14">
      <c r="A3371" s="21">
        <v>2024</v>
      </c>
      <c r="B3371" s="21" t="s">
        <v>24</v>
      </c>
      <c r="C3371" s="21" t="s">
        <v>1145</v>
      </c>
      <c r="D3371" s="21" t="s">
        <v>35</v>
      </c>
      <c r="E3371" s="18" t="s">
        <v>627</v>
      </c>
      <c r="F3371" s="18" t="s">
        <v>628</v>
      </c>
      <c r="G3371" s="18" t="s">
        <v>48</v>
      </c>
      <c r="H3371" s="24">
        <v>7910</v>
      </c>
      <c r="I3371" s="24">
        <f>T_reg.root.SK[[#This Row],[Volume, kg]]/1000</f>
        <v>7.91</v>
      </c>
      <c r="J3371" s="25">
        <v>0.16649999999999998</v>
      </c>
      <c r="K3371" s="25">
        <f t="shared" si="52"/>
        <v>1317.0149999999999</v>
      </c>
      <c r="L3371" s="25">
        <v>2.4500000000000002</v>
      </c>
      <c r="M3371" s="24">
        <v>19379.5</v>
      </c>
      <c r="N3371" s="25">
        <f>IFERROR(T_reg.root.SK[[#This Row],[Price]]/T_reg.root.SK[[#This Row],[Starch content]],"")</f>
        <v>14.714714714714717</v>
      </c>
    </row>
    <row r="3372" spans="1:14">
      <c r="A3372" s="21">
        <v>2024</v>
      </c>
      <c r="B3372" s="21" t="s">
        <v>24</v>
      </c>
      <c r="C3372" s="21" t="s">
        <v>1145</v>
      </c>
      <c r="D3372" s="21" t="s">
        <v>39</v>
      </c>
      <c r="E3372" s="18" t="s">
        <v>98</v>
      </c>
      <c r="F3372" s="18" t="s">
        <v>99</v>
      </c>
      <c r="G3372" s="18" t="s">
        <v>42</v>
      </c>
      <c r="H3372" s="24">
        <v>8022430</v>
      </c>
      <c r="I3372" s="24">
        <f>T_reg.root.SK[[#This Row],[Volume, kg]]/1000</f>
        <v>8022.43</v>
      </c>
      <c r="J3372" s="25">
        <v>0.1804</v>
      </c>
      <c r="K3372" s="25">
        <f t="shared" si="52"/>
        <v>1447246.372</v>
      </c>
      <c r="L3372" s="25">
        <v>2.5499999999999998</v>
      </c>
      <c r="M3372" s="24">
        <v>20436848</v>
      </c>
      <c r="N3372" s="25">
        <f>IFERROR(T_reg.root.SK[[#This Row],[Price]]/T_reg.root.SK[[#This Row],[Starch content]],"")</f>
        <v>14.135254988913523</v>
      </c>
    </row>
    <row r="3373" spans="1:14">
      <c r="A3373" s="21">
        <v>2024</v>
      </c>
      <c r="B3373" s="21" t="s">
        <v>24</v>
      </c>
      <c r="C3373" s="21" t="s">
        <v>1145</v>
      </c>
      <c r="D3373" s="21" t="s">
        <v>39</v>
      </c>
      <c r="E3373" s="18" t="s">
        <v>346</v>
      </c>
      <c r="F3373" s="18" t="s">
        <v>99</v>
      </c>
      <c r="G3373" s="18" t="s">
        <v>42</v>
      </c>
      <c r="H3373" s="24">
        <v>4271290</v>
      </c>
      <c r="I3373" s="24">
        <f>T_reg.root.SK[[#This Row],[Volume, kg]]/1000</f>
        <v>4271.29</v>
      </c>
      <c r="J3373" s="25">
        <v>0.17499999999999999</v>
      </c>
      <c r="K3373" s="25">
        <f t="shared" si="52"/>
        <v>747475.75</v>
      </c>
      <c r="L3373" s="25">
        <v>2.5</v>
      </c>
      <c r="M3373" s="24">
        <v>10684059.5</v>
      </c>
      <c r="N3373" s="25">
        <f>IFERROR(T_reg.root.SK[[#This Row],[Price]]/T_reg.root.SK[[#This Row],[Starch content]],"")</f>
        <v>14.285714285714286</v>
      </c>
    </row>
    <row r="3374" spans="1:14">
      <c r="A3374" s="21">
        <v>2024</v>
      </c>
      <c r="B3374" s="21" t="s">
        <v>24</v>
      </c>
      <c r="C3374" s="21" t="s">
        <v>1145</v>
      </c>
      <c r="D3374" s="21" t="s">
        <v>39</v>
      </c>
      <c r="E3374" s="18" t="s">
        <v>101</v>
      </c>
      <c r="F3374" s="18" t="s">
        <v>102</v>
      </c>
      <c r="G3374" s="18" t="s">
        <v>103</v>
      </c>
      <c r="H3374" s="24">
        <v>3191170</v>
      </c>
      <c r="I3374" s="24">
        <f>T_reg.root.SK[[#This Row],[Volume, kg]]/1000</f>
        <v>3191.17</v>
      </c>
      <c r="J3374" s="25">
        <v>0.17760000000000001</v>
      </c>
      <c r="K3374" s="25">
        <f t="shared" si="52"/>
        <v>566751.79200000002</v>
      </c>
      <c r="L3374" s="25">
        <v>2.54</v>
      </c>
      <c r="M3374" s="24">
        <v>8092275.5</v>
      </c>
      <c r="N3374" s="25">
        <f>IFERROR(T_reg.root.SK[[#This Row],[Price]]/T_reg.root.SK[[#This Row],[Starch content]],"")</f>
        <v>14.301801801801801</v>
      </c>
    </row>
    <row r="3375" spans="1:14">
      <c r="A3375" s="21">
        <v>2024</v>
      </c>
      <c r="B3375" s="21" t="s">
        <v>24</v>
      </c>
      <c r="C3375" s="21" t="s">
        <v>1145</v>
      </c>
      <c r="D3375" s="21" t="s">
        <v>39</v>
      </c>
      <c r="E3375" s="18" t="s">
        <v>284</v>
      </c>
      <c r="F3375" s="18" t="s">
        <v>285</v>
      </c>
      <c r="G3375" s="18" t="s">
        <v>286</v>
      </c>
      <c r="H3375" s="24">
        <v>1668410</v>
      </c>
      <c r="I3375" s="24">
        <f>T_reg.root.SK[[#This Row],[Volume, kg]]/1000</f>
        <v>1668.41</v>
      </c>
      <c r="J3375" s="25">
        <v>0.16930000000000001</v>
      </c>
      <c r="K3375" s="25">
        <f t="shared" si="52"/>
        <v>282461.81300000002</v>
      </c>
      <c r="L3375" s="25">
        <v>2.5099999999999998</v>
      </c>
      <c r="M3375" s="24">
        <v>4183207.5</v>
      </c>
      <c r="N3375" s="25">
        <f>IFERROR(T_reg.root.SK[[#This Row],[Price]]/T_reg.root.SK[[#This Row],[Starch content]],"")</f>
        <v>14.825753101004134</v>
      </c>
    </row>
    <row r="3376" spans="1:14">
      <c r="A3376" s="21">
        <v>2024</v>
      </c>
      <c r="B3376" s="21" t="s">
        <v>24</v>
      </c>
      <c r="C3376" s="21" t="s">
        <v>1145</v>
      </c>
      <c r="D3376" s="21" t="s">
        <v>35</v>
      </c>
      <c r="E3376" s="18" t="s">
        <v>185</v>
      </c>
      <c r="F3376" s="18" t="s">
        <v>105</v>
      </c>
      <c r="G3376" s="18" t="s">
        <v>48</v>
      </c>
      <c r="H3376" s="24">
        <v>24900</v>
      </c>
      <c r="I3376" s="24">
        <f>T_reg.root.SK[[#This Row],[Volume, kg]]/1000</f>
        <v>24.9</v>
      </c>
      <c r="J3376" s="25">
        <v>0.18590000000000001</v>
      </c>
      <c r="K3376" s="25">
        <f t="shared" si="52"/>
        <v>4628.91</v>
      </c>
      <c r="L3376" s="25">
        <v>2.4900000000000002</v>
      </c>
      <c r="M3376" s="24">
        <v>61877</v>
      </c>
      <c r="N3376" s="25">
        <f>IFERROR(T_reg.root.SK[[#This Row],[Price]]/T_reg.root.SK[[#This Row],[Starch content]],"")</f>
        <v>13.394298009682625</v>
      </c>
    </row>
    <row r="3377" spans="1:14">
      <c r="A3377" s="21">
        <v>2024</v>
      </c>
      <c r="B3377" s="21" t="s">
        <v>24</v>
      </c>
      <c r="C3377" s="21" t="s">
        <v>1145</v>
      </c>
      <c r="D3377" s="21" t="s">
        <v>35</v>
      </c>
      <c r="E3377" s="18" t="s">
        <v>480</v>
      </c>
      <c r="F3377" s="18" t="s">
        <v>105</v>
      </c>
      <c r="G3377" s="18" t="s">
        <v>48</v>
      </c>
      <c r="H3377" s="24">
        <v>9890</v>
      </c>
      <c r="I3377" s="24">
        <f>T_reg.root.SK[[#This Row],[Volume, kg]]/1000</f>
        <v>9.89</v>
      </c>
      <c r="J3377" s="25">
        <v>0.17499999999999999</v>
      </c>
      <c r="K3377" s="25">
        <f t="shared" si="52"/>
        <v>1730.75</v>
      </c>
      <c r="L3377" s="25">
        <v>2.5</v>
      </c>
      <c r="M3377" s="24">
        <v>24725</v>
      </c>
      <c r="N3377" s="25">
        <f>IFERROR(T_reg.root.SK[[#This Row],[Price]]/T_reg.root.SK[[#This Row],[Starch content]],"")</f>
        <v>14.285714285714286</v>
      </c>
    </row>
    <row r="3378" spans="1:14">
      <c r="A3378" s="21">
        <v>2024</v>
      </c>
      <c r="B3378" s="21" t="s">
        <v>24</v>
      </c>
      <c r="C3378" s="21" t="s">
        <v>1145</v>
      </c>
      <c r="D3378" s="21" t="s">
        <v>35</v>
      </c>
      <c r="E3378" s="18" t="s">
        <v>684</v>
      </c>
      <c r="F3378" s="18" t="s">
        <v>105</v>
      </c>
      <c r="G3378" s="18" t="s">
        <v>48</v>
      </c>
      <c r="H3378" s="24">
        <v>6540</v>
      </c>
      <c r="I3378" s="24">
        <f>T_reg.root.SK[[#This Row],[Volume, kg]]/1000</f>
        <v>6.54</v>
      </c>
      <c r="J3378" s="25">
        <v>0.17300000000000001</v>
      </c>
      <c r="K3378" s="25">
        <f t="shared" si="52"/>
        <v>1131.42</v>
      </c>
      <c r="L3378" s="25">
        <v>2.4</v>
      </c>
      <c r="M3378" s="24">
        <v>15696</v>
      </c>
      <c r="N3378" s="25">
        <f>IFERROR(T_reg.root.SK[[#This Row],[Price]]/T_reg.root.SK[[#This Row],[Starch content]],"")</f>
        <v>13.872832369942195</v>
      </c>
    </row>
    <row r="3379" spans="1:14">
      <c r="A3379" s="21">
        <v>2024</v>
      </c>
      <c r="B3379" s="21" t="s">
        <v>24</v>
      </c>
      <c r="C3379" s="21" t="s">
        <v>1145</v>
      </c>
      <c r="D3379" s="21" t="s">
        <v>35</v>
      </c>
      <c r="E3379" s="18" t="s">
        <v>104</v>
      </c>
      <c r="F3379" s="18" t="s">
        <v>105</v>
      </c>
      <c r="G3379" s="18" t="s">
        <v>48</v>
      </c>
      <c r="H3379" s="24">
        <v>72450</v>
      </c>
      <c r="I3379" s="24">
        <f>T_reg.root.SK[[#This Row],[Volume, kg]]/1000</f>
        <v>72.45</v>
      </c>
      <c r="J3379" s="25">
        <v>0.20569999999999999</v>
      </c>
      <c r="K3379" s="25">
        <f t="shared" si="52"/>
        <v>14902.965</v>
      </c>
      <c r="L3379" s="25">
        <v>2.58</v>
      </c>
      <c r="M3379" s="24">
        <v>186659</v>
      </c>
      <c r="N3379" s="25">
        <f>IFERROR(T_reg.root.SK[[#This Row],[Price]]/T_reg.root.SK[[#This Row],[Starch content]],"")</f>
        <v>12.542537676227516</v>
      </c>
    </row>
    <row r="3380" spans="1:14">
      <c r="A3380" s="21">
        <v>2024</v>
      </c>
      <c r="B3380" s="21" t="s">
        <v>24</v>
      </c>
      <c r="C3380" s="21" t="s">
        <v>1145</v>
      </c>
      <c r="D3380" s="21" t="s">
        <v>35</v>
      </c>
      <c r="E3380" s="18" t="s">
        <v>733</v>
      </c>
      <c r="F3380" s="18" t="s">
        <v>105</v>
      </c>
      <c r="G3380" s="18" t="s">
        <v>48</v>
      </c>
      <c r="H3380" s="24">
        <v>83340</v>
      </c>
      <c r="I3380" s="24">
        <f>T_reg.root.SK[[#This Row],[Volume, kg]]/1000</f>
        <v>83.34</v>
      </c>
      <c r="J3380" s="25">
        <v>0.21660000000000001</v>
      </c>
      <c r="K3380" s="25">
        <f t="shared" si="52"/>
        <v>18051.444</v>
      </c>
      <c r="L3380" s="25">
        <v>2.68</v>
      </c>
      <c r="M3380" s="24">
        <v>223703</v>
      </c>
      <c r="N3380" s="25">
        <f>IFERROR(T_reg.root.SK[[#This Row],[Price]]/T_reg.root.SK[[#This Row],[Starch content]],"")</f>
        <v>12.3730378578024</v>
      </c>
    </row>
    <row r="3381" spans="1:14">
      <c r="A3381" s="21">
        <v>2024</v>
      </c>
      <c r="B3381" s="21" t="s">
        <v>24</v>
      </c>
      <c r="C3381" s="21" t="s">
        <v>1145</v>
      </c>
      <c r="D3381" s="21" t="s">
        <v>35</v>
      </c>
      <c r="E3381" s="18" t="s">
        <v>288</v>
      </c>
      <c r="F3381" s="18" t="s">
        <v>105</v>
      </c>
      <c r="G3381" s="18" t="s">
        <v>48</v>
      </c>
      <c r="H3381" s="24">
        <v>11660</v>
      </c>
      <c r="I3381" s="24">
        <f>T_reg.root.SK[[#This Row],[Volume, kg]]/1000</f>
        <v>11.66</v>
      </c>
      <c r="J3381" s="25">
        <v>0.1812</v>
      </c>
      <c r="K3381" s="25">
        <f t="shared" si="52"/>
        <v>2112.7919999999999</v>
      </c>
      <c r="L3381" s="25">
        <v>2.4700000000000002</v>
      </c>
      <c r="M3381" s="24">
        <v>28838.5</v>
      </c>
      <c r="N3381" s="25">
        <f>IFERROR(T_reg.root.SK[[#This Row],[Price]]/T_reg.root.SK[[#This Row],[Starch content]],"")</f>
        <v>13.631346578366447</v>
      </c>
    </row>
    <row r="3382" spans="1:14">
      <c r="A3382" s="21">
        <v>2024</v>
      </c>
      <c r="B3382" s="21" t="s">
        <v>24</v>
      </c>
      <c r="C3382" s="21" t="s">
        <v>1145</v>
      </c>
      <c r="D3382" s="21" t="s">
        <v>35</v>
      </c>
      <c r="E3382" s="18" t="s">
        <v>481</v>
      </c>
      <c r="F3382" s="18" t="s">
        <v>105</v>
      </c>
      <c r="G3382" s="18" t="s">
        <v>48</v>
      </c>
      <c r="H3382" s="24">
        <v>15110</v>
      </c>
      <c r="I3382" s="24">
        <f>T_reg.root.SK[[#This Row],[Volume, kg]]/1000</f>
        <v>15.11</v>
      </c>
      <c r="J3382" s="25">
        <v>0.184</v>
      </c>
      <c r="K3382" s="25">
        <f t="shared" si="52"/>
        <v>2780.24</v>
      </c>
      <c r="L3382" s="25">
        <v>2.52</v>
      </c>
      <c r="M3382" s="24">
        <v>38062.5</v>
      </c>
      <c r="N3382" s="25">
        <f>IFERROR(T_reg.root.SK[[#This Row],[Price]]/T_reg.root.SK[[#This Row],[Starch content]],"")</f>
        <v>13.695652173913043</v>
      </c>
    </row>
    <row r="3383" spans="1:14">
      <c r="A3383" s="21">
        <v>2024</v>
      </c>
      <c r="B3383" s="21" t="s">
        <v>24</v>
      </c>
      <c r="C3383" s="21" t="s">
        <v>1145</v>
      </c>
      <c r="D3383" s="21" t="s">
        <v>35</v>
      </c>
      <c r="E3383" s="18" t="s">
        <v>289</v>
      </c>
      <c r="F3383" s="18" t="s">
        <v>105</v>
      </c>
      <c r="G3383" s="18" t="s">
        <v>48</v>
      </c>
      <c r="H3383" s="24">
        <v>24380</v>
      </c>
      <c r="I3383" s="24">
        <f>T_reg.root.SK[[#This Row],[Volume, kg]]/1000</f>
        <v>24.38</v>
      </c>
      <c r="J3383" s="25">
        <v>0.15490000000000001</v>
      </c>
      <c r="K3383" s="25">
        <f t="shared" si="52"/>
        <v>3776.4620000000004</v>
      </c>
      <c r="L3383" s="25">
        <v>2.34</v>
      </c>
      <c r="M3383" s="24">
        <v>57103.5</v>
      </c>
      <c r="N3383" s="25">
        <f>IFERROR(T_reg.root.SK[[#This Row],[Price]]/T_reg.root.SK[[#This Row],[Starch content]],"")</f>
        <v>15.10652033570045</v>
      </c>
    </row>
    <row r="3384" spans="1:14">
      <c r="A3384" s="21">
        <v>2024</v>
      </c>
      <c r="B3384" s="21" t="s">
        <v>24</v>
      </c>
      <c r="C3384" s="21" t="s">
        <v>1145</v>
      </c>
      <c r="D3384" s="21" t="s">
        <v>35</v>
      </c>
      <c r="E3384" s="18" t="s">
        <v>108</v>
      </c>
      <c r="F3384" s="18" t="s">
        <v>105</v>
      </c>
      <c r="G3384" s="18" t="s">
        <v>48</v>
      </c>
      <c r="H3384" s="24">
        <v>10960</v>
      </c>
      <c r="I3384" s="24">
        <f>T_reg.root.SK[[#This Row],[Volume, kg]]/1000</f>
        <v>10.96</v>
      </c>
      <c r="J3384" s="25">
        <v>0.22190000000000001</v>
      </c>
      <c r="K3384" s="25">
        <f t="shared" si="52"/>
        <v>2432.0240000000003</v>
      </c>
      <c r="L3384" s="25">
        <v>2.71</v>
      </c>
      <c r="M3384" s="24">
        <v>29677</v>
      </c>
      <c r="N3384" s="25">
        <f>IFERROR(T_reg.root.SK[[#This Row],[Price]]/T_reg.root.SK[[#This Row],[Starch content]],"")</f>
        <v>12.212708427219468</v>
      </c>
    </row>
    <row r="3385" spans="1:14">
      <c r="A3385" s="21">
        <v>2024</v>
      </c>
      <c r="B3385" s="21" t="s">
        <v>24</v>
      </c>
      <c r="C3385" s="21" t="s">
        <v>1145</v>
      </c>
      <c r="D3385" s="21" t="s">
        <v>35</v>
      </c>
      <c r="E3385" s="18" t="s">
        <v>401</v>
      </c>
      <c r="F3385" s="18" t="s">
        <v>105</v>
      </c>
      <c r="G3385" s="18" t="s">
        <v>48</v>
      </c>
      <c r="H3385" s="24">
        <v>35520</v>
      </c>
      <c r="I3385" s="24">
        <f>T_reg.root.SK[[#This Row],[Volume, kg]]/1000</f>
        <v>35.520000000000003</v>
      </c>
      <c r="J3385" s="25">
        <v>0.15390000000000001</v>
      </c>
      <c r="K3385" s="25">
        <f t="shared" si="52"/>
        <v>5466.5280000000002</v>
      </c>
      <c r="L3385" s="25">
        <v>2.37</v>
      </c>
      <c r="M3385" s="24">
        <v>84290</v>
      </c>
      <c r="N3385" s="25">
        <f>IFERROR(T_reg.root.SK[[#This Row],[Price]]/T_reg.root.SK[[#This Row],[Starch content]],"")</f>
        <v>15.399610136452241</v>
      </c>
    </row>
    <row r="3386" spans="1:14">
      <c r="A3386" s="21">
        <v>2024</v>
      </c>
      <c r="B3386" s="21" t="s">
        <v>24</v>
      </c>
      <c r="C3386" s="21" t="s">
        <v>1145</v>
      </c>
      <c r="D3386" s="21" t="s">
        <v>35</v>
      </c>
      <c r="E3386" s="18" t="s">
        <v>713</v>
      </c>
      <c r="F3386" s="18" t="s">
        <v>105</v>
      </c>
      <c r="G3386" s="18" t="s">
        <v>48</v>
      </c>
      <c r="H3386" s="24">
        <v>116180</v>
      </c>
      <c r="I3386" s="24">
        <f>T_reg.root.SK[[#This Row],[Volume, kg]]/1000</f>
        <v>116.18</v>
      </c>
      <c r="J3386" s="25">
        <v>0.21859999999999999</v>
      </c>
      <c r="K3386" s="25">
        <f t="shared" si="52"/>
        <v>25396.948</v>
      </c>
      <c r="L3386" s="25">
        <v>2.64</v>
      </c>
      <c r="M3386" s="24">
        <v>306731.5</v>
      </c>
      <c r="N3386" s="25">
        <f>IFERROR(T_reg.root.SK[[#This Row],[Price]]/T_reg.root.SK[[#This Row],[Starch content]],"")</f>
        <v>12.076852698993596</v>
      </c>
    </row>
    <row r="3387" spans="1:14">
      <c r="A3387" s="21">
        <v>2024</v>
      </c>
      <c r="B3387" s="21" t="s">
        <v>24</v>
      </c>
      <c r="C3387" s="21" t="s">
        <v>1145</v>
      </c>
      <c r="D3387" s="21" t="s">
        <v>35</v>
      </c>
      <c r="E3387" s="18" t="s">
        <v>291</v>
      </c>
      <c r="F3387" s="18" t="s">
        <v>105</v>
      </c>
      <c r="G3387" s="18" t="s">
        <v>48</v>
      </c>
      <c r="H3387" s="24">
        <v>22010</v>
      </c>
      <c r="I3387" s="24">
        <f>T_reg.root.SK[[#This Row],[Volume, kg]]/1000</f>
        <v>22.01</v>
      </c>
      <c r="J3387" s="25">
        <v>0.2457</v>
      </c>
      <c r="K3387" s="25">
        <f t="shared" si="52"/>
        <v>5407.857</v>
      </c>
      <c r="L3387" s="25">
        <v>2.83</v>
      </c>
      <c r="M3387" s="24">
        <v>62313</v>
      </c>
      <c r="N3387" s="25">
        <f>IFERROR(T_reg.root.SK[[#This Row],[Price]]/T_reg.root.SK[[#This Row],[Starch content]],"")</f>
        <v>11.518111518111517</v>
      </c>
    </row>
    <row r="3388" spans="1:14">
      <c r="A3388" s="21">
        <v>2024</v>
      </c>
      <c r="B3388" s="21" t="s">
        <v>24</v>
      </c>
      <c r="C3388" s="21" t="s">
        <v>1145</v>
      </c>
      <c r="D3388" s="21" t="s">
        <v>35</v>
      </c>
      <c r="E3388" s="18" t="s">
        <v>631</v>
      </c>
      <c r="F3388" s="18" t="s">
        <v>105</v>
      </c>
      <c r="G3388" s="18" t="s">
        <v>48</v>
      </c>
      <c r="H3388" s="24">
        <v>15420</v>
      </c>
      <c r="I3388" s="24">
        <f>T_reg.root.SK[[#This Row],[Volume, kg]]/1000</f>
        <v>15.42</v>
      </c>
      <c r="J3388" s="25">
        <v>0.19879999999999998</v>
      </c>
      <c r="K3388" s="25">
        <f t="shared" si="52"/>
        <v>3065.4959999999996</v>
      </c>
      <c r="L3388" s="25">
        <v>2.52</v>
      </c>
      <c r="M3388" s="24">
        <v>38838.5</v>
      </c>
      <c r="N3388" s="25">
        <f>IFERROR(T_reg.root.SK[[#This Row],[Price]]/T_reg.root.SK[[#This Row],[Starch content]],"")</f>
        <v>12.67605633802817</v>
      </c>
    </row>
    <row r="3389" spans="1:14">
      <c r="A3389" s="21">
        <v>2024</v>
      </c>
      <c r="B3389" s="21" t="s">
        <v>24</v>
      </c>
      <c r="C3389" s="21" t="s">
        <v>1145</v>
      </c>
      <c r="D3389" s="21" t="s">
        <v>35</v>
      </c>
      <c r="E3389" s="18" t="s">
        <v>350</v>
      </c>
      <c r="F3389" s="18" t="s">
        <v>105</v>
      </c>
      <c r="G3389" s="18" t="s">
        <v>48</v>
      </c>
      <c r="H3389" s="24">
        <v>45470</v>
      </c>
      <c r="I3389" s="24">
        <f>T_reg.root.SK[[#This Row],[Volume, kg]]/1000</f>
        <v>45.47</v>
      </c>
      <c r="J3389" s="25">
        <v>0.22440000000000002</v>
      </c>
      <c r="K3389" s="25">
        <f t="shared" si="52"/>
        <v>10203.468000000001</v>
      </c>
      <c r="L3389" s="25">
        <v>2.64</v>
      </c>
      <c r="M3389" s="24">
        <v>120153.5</v>
      </c>
      <c r="N3389" s="25">
        <f>IFERROR(T_reg.root.SK[[#This Row],[Price]]/T_reg.root.SK[[#This Row],[Starch content]],"")</f>
        <v>11.76470588235294</v>
      </c>
    </row>
    <row r="3390" spans="1:14">
      <c r="A3390" s="21">
        <v>2024</v>
      </c>
      <c r="B3390" s="21" t="s">
        <v>24</v>
      </c>
      <c r="C3390" s="21" t="s">
        <v>1145</v>
      </c>
      <c r="D3390" s="21" t="s">
        <v>35</v>
      </c>
      <c r="E3390" s="18" t="s">
        <v>293</v>
      </c>
      <c r="F3390" s="18" t="s">
        <v>105</v>
      </c>
      <c r="G3390" s="18" t="s">
        <v>48</v>
      </c>
      <c r="H3390" s="24">
        <v>33290</v>
      </c>
      <c r="I3390" s="24">
        <f>T_reg.root.SK[[#This Row],[Volume, kg]]/1000</f>
        <v>33.29</v>
      </c>
      <c r="J3390" s="25">
        <v>0.23050000000000001</v>
      </c>
      <c r="K3390" s="25">
        <f t="shared" si="52"/>
        <v>7673.3450000000003</v>
      </c>
      <c r="L3390" s="25">
        <v>2.65</v>
      </c>
      <c r="M3390" s="24">
        <v>88255</v>
      </c>
      <c r="N3390" s="25">
        <f>IFERROR(T_reg.root.SK[[#This Row],[Price]]/T_reg.root.SK[[#This Row],[Starch content]],"")</f>
        <v>11.496746203904554</v>
      </c>
    </row>
    <row r="3391" spans="1:14">
      <c r="A3391" s="21">
        <v>2024</v>
      </c>
      <c r="B3391" s="21" t="s">
        <v>24</v>
      </c>
      <c r="C3391" s="21" t="s">
        <v>1145</v>
      </c>
      <c r="D3391" s="21" t="s">
        <v>35</v>
      </c>
      <c r="E3391" s="18" t="s">
        <v>110</v>
      </c>
      <c r="F3391" s="18" t="s">
        <v>105</v>
      </c>
      <c r="G3391" s="18" t="s">
        <v>48</v>
      </c>
      <c r="H3391" s="24">
        <v>118040</v>
      </c>
      <c r="I3391" s="24">
        <f>T_reg.root.SK[[#This Row],[Volume, kg]]/1000</f>
        <v>118.04</v>
      </c>
      <c r="J3391" s="25">
        <v>0.1966</v>
      </c>
      <c r="K3391" s="25">
        <f t="shared" si="52"/>
        <v>23206.664000000001</v>
      </c>
      <c r="L3391" s="25">
        <v>2.5299999999999998</v>
      </c>
      <c r="M3391" s="24">
        <v>298541</v>
      </c>
      <c r="N3391" s="25">
        <f>IFERROR(T_reg.root.SK[[#This Row],[Price]]/T_reg.root.SK[[#This Row],[Starch content]],"")</f>
        <v>12.868769074262461</v>
      </c>
    </row>
    <row r="3392" spans="1:14">
      <c r="A3392" s="21">
        <v>2024</v>
      </c>
      <c r="B3392" s="21" t="s">
        <v>24</v>
      </c>
      <c r="C3392" s="21" t="s">
        <v>1145</v>
      </c>
      <c r="D3392" s="21" t="s">
        <v>35</v>
      </c>
      <c r="E3392" s="18" t="s">
        <v>295</v>
      </c>
      <c r="F3392" s="18" t="s">
        <v>105</v>
      </c>
      <c r="G3392" s="18" t="s">
        <v>48</v>
      </c>
      <c r="H3392" s="24">
        <v>4350</v>
      </c>
      <c r="I3392" s="24">
        <f>T_reg.root.SK[[#This Row],[Volume, kg]]/1000</f>
        <v>4.3499999999999996</v>
      </c>
      <c r="J3392" s="25">
        <v>0.20300000000000001</v>
      </c>
      <c r="K3392" s="25">
        <f t="shared" si="52"/>
        <v>883.05000000000007</v>
      </c>
      <c r="L3392" s="25">
        <v>2.6</v>
      </c>
      <c r="M3392" s="24">
        <v>11310</v>
      </c>
      <c r="N3392" s="25">
        <f>IFERROR(T_reg.root.SK[[#This Row],[Price]]/T_reg.root.SK[[#This Row],[Starch content]],"")</f>
        <v>12.807881773399014</v>
      </c>
    </row>
    <row r="3393" spans="1:14">
      <c r="A3393" s="21">
        <v>2024</v>
      </c>
      <c r="B3393" s="21" t="s">
        <v>24</v>
      </c>
      <c r="C3393" s="21" t="s">
        <v>1145</v>
      </c>
      <c r="D3393" s="21" t="s">
        <v>35</v>
      </c>
      <c r="E3393" s="18" t="s">
        <v>112</v>
      </c>
      <c r="F3393" s="18" t="s">
        <v>105</v>
      </c>
      <c r="G3393" s="18" t="s">
        <v>48</v>
      </c>
      <c r="H3393" s="24">
        <v>6870</v>
      </c>
      <c r="I3393" s="24">
        <f>T_reg.root.SK[[#This Row],[Volume, kg]]/1000</f>
        <v>6.87</v>
      </c>
      <c r="J3393" s="25">
        <v>0.16289999999999999</v>
      </c>
      <c r="K3393" s="25">
        <f t="shared" si="52"/>
        <v>1119.1229999999998</v>
      </c>
      <c r="L3393" s="25">
        <v>2.37</v>
      </c>
      <c r="M3393" s="24">
        <v>16248.5</v>
      </c>
      <c r="N3393" s="25">
        <f>IFERROR(T_reg.root.SK[[#This Row],[Price]]/T_reg.root.SK[[#This Row],[Starch content]],"")</f>
        <v>14.548802946593003</v>
      </c>
    </row>
    <row r="3394" spans="1:14">
      <c r="A3394" s="21">
        <v>2024</v>
      </c>
      <c r="B3394" s="21" t="s">
        <v>24</v>
      </c>
      <c r="C3394" s="21" t="s">
        <v>1145</v>
      </c>
      <c r="D3394" s="21" t="s">
        <v>35</v>
      </c>
      <c r="E3394" s="18" t="s">
        <v>665</v>
      </c>
      <c r="F3394" s="18" t="s">
        <v>105</v>
      </c>
      <c r="G3394" s="18" t="s">
        <v>48</v>
      </c>
      <c r="H3394" s="24">
        <v>8740</v>
      </c>
      <c r="I3394" s="24">
        <f>T_reg.root.SK[[#This Row],[Volume, kg]]/1000</f>
        <v>8.74</v>
      </c>
      <c r="J3394" s="25">
        <v>0.17600000000000002</v>
      </c>
      <c r="K3394" s="25">
        <f t="shared" si="52"/>
        <v>1538.2400000000002</v>
      </c>
      <c r="L3394" s="25">
        <v>2.4500000000000002</v>
      </c>
      <c r="M3394" s="24">
        <v>21413</v>
      </c>
      <c r="N3394" s="25">
        <f>IFERROR(T_reg.root.SK[[#This Row],[Price]]/T_reg.root.SK[[#This Row],[Starch content]],"")</f>
        <v>13.920454545454545</v>
      </c>
    </row>
    <row r="3395" spans="1:14">
      <c r="A3395" s="21">
        <v>2024</v>
      </c>
      <c r="B3395" s="21" t="s">
        <v>24</v>
      </c>
      <c r="C3395" s="21" t="s">
        <v>1145</v>
      </c>
      <c r="D3395" s="21" t="s">
        <v>35</v>
      </c>
      <c r="E3395" s="18" t="s">
        <v>482</v>
      </c>
      <c r="F3395" s="18" t="s">
        <v>105</v>
      </c>
      <c r="G3395" s="18" t="s">
        <v>48</v>
      </c>
      <c r="H3395" s="24">
        <v>55130</v>
      </c>
      <c r="I3395" s="24">
        <f>T_reg.root.SK[[#This Row],[Volume, kg]]/1000</f>
        <v>55.13</v>
      </c>
      <c r="J3395" s="25">
        <v>0.1913</v>
      </c>
      <c r="K3395" s="25">
        <f t="shared" ref="K3395:K3458" si="53">H3395*J3395</f>
        <v>10546.369000000001</v>
      </c>
      <c r="L3395" s="25">
        <v>2.5499999999999998</v>
      </c>
      <c r="M3395" s="24">
        <v>140620</v>
      </c>
      <c r="N3395" s="25">
        <f>IFERROR(T_reg.root.SK[[#This Row],[Price]]/T_reg.root.SK[[#This Row],[Starch content]],"")</f>
        <v>13.329848405645581</v>
      </c>
    </row>
    <row r="3396" spans="1:14">
      <c r="A3396" s="21">
        <v>2024</v>
      </c>
      <c r="B3396" s="21" t="s">
        <v>24</v>
      </c>
      <c r="C3396" s="21" t="s">
        <v>1145</v>
      </c>
      <c r="D3396" s="21" t="s">
        <v>35</v>
      </c>
      <c r="E3396" s="18" t="s">
        <v>234</v>
      </c>
      <c r="F3396" s="18" t="s">
        <v>105</v>
      </c>
      <c r="G3396" s="18" t="s">
        <v>48</v>
      </c>
      <c r="H3396" s="24">
        <v>15380</v>
      </c>
      <c r="I3396" s="24">
        <f>T_reg.root.SK[[#This Row],[Volume, kg]]/1000</f>
        <v>15.38</v>
      </c>
      <c r="J3396" s="25">
        <v>0.17319999999999999</v>
      </c>
      <c r="K3396" s="25">
        <f t="shared" si="53"/>
        <v>2663.8159999999998</v>
      </c>
      <c r="L3396" s="25">
        <v>2.48</v>
      </c>
      <c r="M3396" s="24">
        <v>38193</v>
      </c>
      <c r="N3396" s="25">
        <f>IFERROR(T_reg.root.SK[[#This Row],[Price]]/T_reg.root.SK[[#This Row],[Starch content]],"")</f>
        <v>14.318706697459584</v>
      </c>
    </row>
    <row r="3397" spans="1:14">
      <c r="A3397" s="21">
        <v>2024</v>
      </c>
      <c r="B3397" s="21" t="s">
        <v>24</v>
      </c>
      <c r="C3397" s="21" t="s">
        <v>1145</v>
      </c>
      <c r="D3397" s="21" t="s">
        <v>35</v>
      </c>
      <c r="E3397" s="18" t="s">
        <v>402</v>
      </c>
      <c r="F3397" s="18" t="s">
        <v>105</v>
      </c>
      <c r="G3397" s="18" t="s">
        <v>48</v>
      </c>
      <c r="H3397" s="24">
        <v>2830</v>
      </c>
      <c r="I3397" s="24">
        <f>T_reg.root.SK[[#This Row],[Volume, kg]]/1000</f>
        <v>2.83</v>
      </c>
      <c r="J3397" s="25">
        <v>0.185</v>
      </c>
      <c r="K3397" s="25">
        <f t="shared" si="53"/>
        <v>523.54999999999995</v>
      </c>
      <c r="L3397" s="25">
        <v>2.5499999999999998</v>
      </c>
      <c r="M3397" s="24">
        <v>7216.5</v>
      </c>
      <c r="N3397" s="25">
        <f>IFERROR(T_reg.root.SK[[#This Row],[Price]]/T_reg.root.SK[[#This Row],[Starch content]],"")</f>
        <v>13.783783783783782</v>
      </c>
    </row>
    <row r="3398" spans="1:14">
      <c r="A3398" s="21">
        <v>2024</v>
      </c>
      <c r="B3398" s="21" t="s">
        <v>24</v>
      </c>
      <c r="C3398" s="21" t="s">
        <v>1145</v>
      </c>
      <c r="D3398" s="21" t="s">
        <v>35</v>
      </c>
      <c r="E3398" s="18" t="s">
        <v>768</v>
      </c>
      <c r="F3398" s="18" t="s">
        <v>105</v>
      </c>
      <c r="G3398" s="18" t="s">
        <v>48</v>
      </c>
      <c r="H3398" s="24">
        <v>37450</v>
      </c>
      <c r="I3398" s="24">
        <f>T_reg.root.SK[[#This Row],[Volume, kg]]/1000</f>
        <v>37.450000000000003</v>
      </c>
      <c r="J3398" s="25">
        <v>0.18890000000000001</v>
      </c>
      <c r="K3398" s="25">
        <f t="shared" si="53"/>
        <v>7074.3050000000003</v>
      </c>
      <c r="L3398" s="25">
        <v>2.42</v>
      </c>
      <c r="M3398" s="24">
        <v>90487</v>
      </c>
      <c r="N3398" s="25">
        <f>IFERROR(T_reg.root.SK[[#This Row],[Price]]/T_reg.root.SK[[#This Row],[Starch content]],"")</f>
        <v>12.811011116993116</v>
      </c>
    </row>
    <row r="3399" spans="1:14">
      <c r="A3399" s="21">
        <v>2024</v>
      </c>
      <c r="B3399" s="21" t="s">
        <v>24</v>
      </c>
      <c r="C3399" s="21" t="s">
        <v>1145</v>
      </c>
      <c r="D3399" s="21" t="s">
        <v>35</v>
      </c>
      <c r="E3399" s="18" t="s">
        <v>666</v>
      </c>
      <c r="F3399" s="18" t="s">
        <v>105</v>
      </c>
      <c r="G3399" s="18" t="s">
        <v>48</v>
      </c>
      <c r="H3399" s="24">
        <v>4540</v>
      </c>
      <c r="I3399" s="24">
        <f>T_reg.root.SK[[#This Row],[Volume, kg]]/1000</f>
        <v>4.54</v>
      </c>
      <c r="J3399" s="25">
        <v>0.20149999999999998</v>
      </c>
      <c r="K3399" s="25">
        <f t="shared" si="53"/>
        <v>914.81</v>
      </c>
      <c r="L3399" s="25">
        <v>2.5499999999999998</v>
      </c>
      <c r="M3399" s="24">
        <v>11577</v>
      </c>
      <c r="N3399" s="25">
        <f>IFERROR(T_reg.root.SK[[#This Row],[Price]]/T_reg.root.SK[[#This Row],[Starch content]],"")</f>
        <v>12.655086848635236</v>
      </c>
    </row>
    <row r="3400" spans="1:14">
      <c r="A3400" s="21">
        <v>2024</v>
      </c>
      <c r="B3400" s="21" t="s">
        <v>24</v>
      </c>
      <c r="C3400" s="21" t="s">
        <v>1145</v>
      </c>
      <c r="D3400" s="21" t="s">
        <v>35</v>
      </c>
      <c r="E3400" s="18" t="s">
        <v>557</v>
      </c>
      <c r="F3400" s="18" t="s">
        <v>105</v>
      </c>
      <c r="G3400" s="18" t="s">
        <v>48</v>
      </c>
      <c r="H3400" s="24">
        <v>34860</v>
      </c>
      <c r="I3400" s="24">
        <f>T_reg.root.SK[[#This Row],[Volume, kg]]/1000</f>
        <v>34.86</v>
      </c>
      <c r="J3400" s="25">
        <v>0.2268</v>
      </c>
      <c r="K3400" s="25">
        <f t="shared" si="53"/>
        <v>7906.2480000000005</v>
      </c>
      <c r="L3400" s="25">
        <v>2.71</v>
      </c>
      <c r="M3400" s="24">
        <v>94393</v>
      </c>
      <c r="N3400" s="25">
        <f>IFERROR(T_reg.root.SK[[#This Row],[Price]]/T_reg.root.SK[[#This Row],[Starch content]],"")</f>
        <v>11.948853615520282</v>
      </c>
    </row>
    <row r="3401" spans="1:14">
      <c r="A3401" s="21">
        <v>2024</v>
      </c>
      <c r="B3401" s="21" t="s">
        <v>24</v>
      </c>
      <c r="C3401" s="21" t="s">
        <v>1145</v>
      </c>
      <c r="D3401" s="21" t="s">
        <v>35</v>
      </c>
      <c r="E3401" s="18" t="s">
        <v>483</v>
      </c>
      <c r="F3401" s="18" t="s">
        <v>105</v>
      </c>
      <c r="G3401" s="18" t="s">
        <v>48</v>
      </c>
      <c r="H3401" s="24">
        <v>9530</v>
      </c>
      <c r="I3401" s="24">
        <f>T_reg.root.SK[[#This Row],[Volume, kg]]/1000</f>
        <v>9.5299999999999994</v>
      </c>
      <c r="J3401" s="25">
        <v>0.22010000000000002</v>
      </c>
      <c r="K3401" s="25">
        <f t="shared" si="53"/>
        <v>2097.5530000000003</v>
      </c>
      <c r="L3401" s="25">
        <v>2.7</v>
      </c>
      <c r="M3401" s="24">
        <v>25692.5</v>
      </c>
      <c r="N3401" s="25">
        <f>IFERROR(T_reg.root.SK[[#This Row],[Price]]/T_reg.root.SK[[#This Row],[Starch content]],"")</f>
        <v>12.26715129486597</v>
      </c>
    </row>
    <row r="3402" spans="1:14">
      <c r="A3402" s="21">
        <v>2024</v>
      </c>
      <c r="B3402" s="21" t="s">
        <v>24</v>
      </c>
      <c r="C3402" s="21" t="s">
        <v>1145</v>
      </c>
      <c r="D3402" s="21" t="s">
        <v>35</v>
      </c>
      <c r="E3402" s="18" t="s">
        <v>558</v>
      </c>
      <c r="F3402" s="18" t="s">
        <v>105</v>
      </c>
      <c r="G3402" s="18" t="s">
        <v>48</v>
      </c>
      <c r="H3402" s="24">
        <v>14120</v>
      </c>
      <c r="I3402" s="24">
        <f>T_reg.root.SK[[#This Row],[Volume, kg]]/1000</f>
        <v>14.12</v>
      </c>
      <c r="J3402" s="25">
        <v>0.18780000000000002</v>
      </c>
      <c r="K3402" s="25">
        <f t="shared" si="53"/>
        <v>2651.7360000000003</v>
      </c>
      <c r="L3402" s="25">
        <v>2.5299999999999998</v>
      </c>
      <c r="M3402" s="24">
        <v>35675</v>
      </c>
      <c r="N3402" s="25">
        <f>IFERROR(T_reg.root.SK[[#This Row],[Price]]/T_reg.root.SK[[#This Row],[Starch content]],"")</f>
        <v>13.471778487752927</v>
      </c>
    </row>
    <row r="3403" spans="1:14">
      <c r="A3403" s="21">
        <v>2024</v>
      </c>
      <c r="B3403" s="21" t="s">
        <v>24</v>
      </c>
      <c r="C3403" s="21" t="s">
        <v>1145</v>
      </c>
      <c r="D3403" s="21" t="s">
        <v>35</v>
      </c>
      <c r="E3403" s="18" t="s">
        <v>600</v>
      </c>
      <c r="F3403" s="18" t="s">
        <v>105</v>
      </c>
      <c r="G3403" s="18" t="s">
        <v>48</v>
      </c>
      <c r="H3403" s="24">
        <v>20680</v>
      </c>
      <c r="I3403" s="24">
        <f>T_reg.root.SK[[#This Row],[Volume, kg]]/1000</f>
        <v>20.68</v>
      </c>
      <c r="J3403" s="25">
        <v>0.2243</v>
      </c>
      <c r="K3403" s="25">
        <f t="shared" si="53"/>
        <v>4638.5240000000003</v>
      </c>
      <c r="L3403" s="25">
        <v>2.62</v>
      </c>
      <c r="M3403" s="24">
        <v>54247</v>
      </c>
      <c r="N3403" s="25">
        <f>IFERROR(T_reg.root.SK[[#This Row],[Price]]/T_reg.root.SK[[#This Row],[Starch content]],"")</f>
        <v>11.680784663397237</v>
      </c>
    </row>
    <row r="3404" spans="1:14">
      <c r="A3404" s="21">
        <v>2024</v>
      </c>
      <c r="B3404" s="21" t="s">
        <v>24</v>
      </c>
      <c r="C3404" s="21" t="s">
        <v>1145</v>
      </c>
      <c r="D3404" s="21" t="s">
        <v>35</v>
      </c>
      <c r="E3404" s="18" t="s">
        <v>559</v>
      </c>
      <c r="F3404" s="18" t="s">
        <v>105</v>
      </c>
      <c r="G3404" s="18" t="s">
        <v>48</v>
      </c>
      <c r="H3404" s="24">
        <v>47150</v>
      </c>
      <c r="I3404" s="24">
        <f>T_reg.root.SK[[#This Row],[Volume, kg]]/1000</f>
        <v>47.15</v>
      </c>
      <c r="J3404" s="25">
        <v>0.1699</v>
      </c>
      <c r="K3404" s="25">
        <f t="shared" si="53"/>
        <v>8010.7849999999999</v>
      </c>
      <c r="L3404" s="25">
        <v>2.4</v>
      </c>
      <c r="M3404" s="24">
        <v>113289.5</v>
      </c>
      <c r="N3404" s="25">
        <f>IFERROR(T_reg.root.SK[[#This Row],[Price]]/T_reg.root.SK[[#This Row],[Starch content]],"")</f>
        <v>14.125956444967628</v>
      </c>
    </row>
    <row r="3405" spans="1:14">
      <c r="A3405" s="21">
        <v>2024</v>
      </c>
      <c r="B3405" s="21" t="s">
        <v>24</v>
      </c>
      <c r="C3405" s="21" t="s">
        <v>1145</v>
      </c>
      <c r="D3405" s="21" t="s">
        <v>35</v>
      </c>
      <c r="E3405" s="18" t="s">
        <v>560</v>
      </c>
      <c r="F3405" s="18" t="s">
        <v>105</v>
      </c>
      <c r="G3405" s="18" t="s">
        <v>48</v>
      </c>
      <c r="H3405" s="24">
        <v>75430</v>
      </c>
      <c r="I3405" s="24">
        <f>T_reg.root.SK[[#This Row],[Volume, kg]]/1000</f>
        <v>75.430000000000007</v>
      </c>
      <c r="J3405" s="25">
        <v>0.18859999999999999</v>
      </c>
      <c r="K3405" s="25">
        <f t="shared" si="53"/>
        <v>14226.098</v>
      </c>
      <c r="L3405" s="25">
        <v>2.54</v>
      </c>
      <c r="M3405" s="24">
        <v>191591</v>
      </c>
      <c r="N3405" s="25">
        <f>IFERROR(T_reg.root.SK[[#This Row],[Price]]/T_reg.root.SK[[#This Row],[Starch content]],"")</f>
        <v>13.467656415694593</v>
      </c>
    </row>
    <row r="3406" spans="1:14">
      <c r="A3406" s="21">
        <v>2024</v>
      </c>
      <c r="B3406" s="21" t="s">
        <v>24</v>
      </c>
      <c r="C3406" s="21" t="s">
        <v>1145</v>
      </c>
      <c r="D3406" s="21" t="s">
        <v>35</v>
      </c>
      <c r="E3406" s="18" t="s">
        <v>236</v>
      </c>
      <c r="F3406" s="18" t="s">
        <v>105</v>
      </c>
      <c r="G3406" s="18" t="s">
        <v>48</v>
      </c>
      <c r="H3406" s="24">
        <v>5530</v>
      </c>
      <c r="I3406" s="24">
        <f>T_reg.root.SK[[#This Row],[Volume, kg]]/1000</f>
        <v>5.53</v>
      </c>
      <c r="J3406" s="25">
        <v>0.1545</v>
      </c>
      <c r="K3406" s="25">
        <f t="shared" si="53"/>
        <v>854.38499999999999</v>
      </c>
      <c r="L3406" s="25">
        <v>2.2999999999999998</v>
      </c>
      <c r="M3406" s="24">
        <v>12719</v>
      </c>
      <c r="N3406" s="25">
        <f>IFERROR(T_reg.root.SK[[#This Row],[Price]]/T_reg.root.SK[[#This Row],[Starch content]],"")</f>
        <v>14.886731391585759</v>
      </c>
    </row>
    <row r="3407" spans="1:14">
      <c r="A3407" s="21">
        <v>2024</v>
      </c>
      <c r="B3407" s="21" t="s">
        <v>24</v>
      </c>
      <c r="C3407" s="21" t="s">
        <v>1145</v>
      </c>
      <c r="D3407" s="21" t="s">
        <v>35</v>
      </c>
      <c r="E3407" s="18" t="s">
        <v>296</v>
      </c>
      <c r="F3407" s="18" t="s">
        <v>105</v>
      </c>
      <c r="G3407" s="18" t="s">
        <v>48</v>
      </c>
      <c r="H3407" s="24">
        <v>87110</v>
      </c>
      <c r="I3407" s="24">
        <f>T_reg.root.SK[[#This Row],[Volume, kg]]/1000</f>
        <v>87.11</v>
      </c>
      <c r="J3407" s="25">
        <v>0.17379999999999998</v>
      </c>
      <c r="K3407" s="25">
        <f t="shared" si="53"/>
        <v>15139.717999999999</v>
      </c>
      <c r="L3407" s="25">
        <v>2.4500000000000002</v>
      </c>
      <c r="M3407" s="24">
        <v>213552</v>
      </c>
      <c r="N3407" s="25">
        <f>IFERROR(T_reg.root.SK[[#This Row],[Price]]/T_reg.root.SK[[#This Row],[Starch content]],"")</f>
        <v>14.096662830840048</v>
      </c>
    </row>
    <row r="3408" spans="1:14">
      <c r="A3408" s="21">
        <v>2024</v>
      </c>
      <c r="B3408" s="21" t="s">
        <v>24</v>
      </c>
      <c r="C3408" s="21" t="s">
        <v>1145</v>
      </c>
      <c r="D3408" s="21" t="s">
        <v>35</v>
      </c>
      <c r="E3408" s="18" t="s">
        <v>788</v>
      </c>
      <c r="F3408" s="18" t="s">
        <v>105</v>
      </c>
      <c r="G3408" s="18" t="s">
        <v>48</v>
      </c>
      <c r="H3408" s="24">
        <v>2990</v>
      </c>
      <c r="I3408" s="24">
        <f>T_reg.root.SK[[#This Row],[Volume, kg]]/1000</f>
        <v>2.99</v>
      </c>
      <c r="J3408" s="25">
        <v>0.13400000000000001</v>
      </c>
      <c r="K3408" s="25">
        <f t="shared" si="53"/>
        <v>400.66</v>
      </c>
      <c r="L3408" s="25">
        <v>2.2000000000000002</v>
      </c>
      <c r="M3408" s="24">
        <v>6578</v>
      </c>
      <c r="N3408" s="25">
        <f>IFERROR(T_reg.root.SK[[#This Row],[Price]]/T_reg.root.SK[[#This Row],[Starch content]],"")</f>
        <v>16.417910447761194</v>
      </c>
    </row>
    <row r="3409" spans="1:14">
      <c r="A3409" s="21">
        <v>2024</v>
      </c>
      <c r="B3409" s="21" t="s">
        <v>24</v>
      </c>
      <c r="C3409" s="21" t="s">
        <v>1145</v>
      </c>
      <c r="D3409" s="21" t="s">
        <v>35</v>
      </c>
      <c r="E3409" s="18" t="s">
        <v>118</v>
      </c>
      <c r="F3409" s="18" t="s">
        <v>105</v>
      </c>
      <c r="G3409" s="18" t="s">
        <v>48</v>
      </c>
      <c r="H3409" s="24">
        <v>316520</v>
      </c>
      <c r="I3409" s="24">
        <f>T_reg.root.SK[[#This Row],[Volume, kg]]/1000</f>
        <v>316.52</v>
      </c>
      <c r="J3409" s="25">
        <v>0.19579999999999997</v>
      </c>
      <c r="K3409" s="25">
        <f t="shared" si="53"/>
        <v>61974.615999999995</v>
      </c>
      <c r="L3409" s="25">
        <v>2.54</v>
      </c>
      <c r="M3409" s="24">
        <v>803139</v>
      </c>
      <c r="N3409" s="25">
        <f>IFERROR(T_reg.root.SK[[#This Row],[Price]]/T_reg.root.SK[[#This Row],[Starch content]],"")</f>
        <v>12.972420837589379</v>
      </c>
    </row>
    <row r="3410" spans="1:14">
      <c r="A3410" s="21">
        <v>2024</v>
      </c>
      <c r="B3410" s="21" t="s">
        <v>24</v>
      </c>
      <c r="C3410" s="21" t="s">
        <v>1145</v>
      </c>
      <c r="D3410" s="21" t="s">
        <v>35</v>
      </c>
      <c r="E3410" s="18" t="s">
        <v>119</v>
      </c>
      <c r="F3410" s="18" t="s">
        <v>105</v>
      </c>
      <c r="G3410" s="18" t="s">
        <v>48</v>
      </c>
      <c r="H3410" s="24">
        <v>69460</v>
      </c>
      <c r="I3410" s="24">
        <f>T_reg.root.SK[[#This Row],[Volume, kg]]/1000</f>
        <v>69.459999999999994</v>
      </c>
      <c r="J3410" s="25">
        <v>0.221</v>
      </c>
      <c r="K3410" s="25">
        <f t="shared" si="53"/>
        <v>15350.66</v>
      </c>
      <c r="L3410" s="25">
        <v>2.68</v>
      </c>
      <c r="M3410" s="24">
        <v>186152</v>
      </c>
      <c r="N3410" s="25">
        <f>IFERROR(T_reg.root.SK[[#This Row],[Price]]/T_reg.root.SK[[#This Row],[Starch content]],"")</f>
        <v>12.126696832579187</v>
      </c>
    </row>
    <row r="3411" spans="1:14">
      <c r="A3411" s="21">
        <v>2024</v>
      </c>
      <c r="B3411" s="21" t="s">
        <v>24</v>
      </c>
      <c r="C3411" s="21" t="s">
        <v>1145</v>
      </c>
      <c r="D3411" s="21" t="s">
        <v>35</v>
      </c>
      <c r="E3411" s="18" t="s">
        <v>485</v>
      </c>
      <c r="F3411" s="18" t="s">
        <v>105</v>
      </c>
      <c r="G3411" s="18" t="s">
        <v>48</v>
      </c>
      <c r="H3411" s="24">
        <v>29200</v>
      </c>
      <c r="I3411" s="24">
        <f>T_reg.root.SK[[#This Row],[Volume, kg]]/1000</f>
        <v>29.2</v>
      </c>
      <c r="J3411" s="25">
        <v>0.1956</v>
      </c>
      <c r="K3411" s="25">
        <f t="shared" si="53"/>
        <v>5711.5199999999995</v>
      </c>
      <c r="L3411" s="25">
        <v>2.54</v>
      </c>
      <c r="M3411" s="24">
        <v>74037.5</v>
      </c>
      <c r="N3411" s="25">
        <f>IFERROR(T_reg.root.SK[[#This Row],[Price]]/T_reg.root.SK[[#This Row],[Starch content]],"")</f>
        <v>12.985685071574643</v>
      </c>
    </row>
    <row r="3412" spans="1:14">
      <c r="A3412" s="21">
        <v>2024</v>
      </c>
      <c r="B3412" s="21" t="s">
        <v>24</v>
      </c>
      <c r="C3412" s="21" t="s">
        <v>1145</v>
      </c>
      <c r="D3412" s="21" t="s">
        <v>35</v>
      </c>
      <c r="E3412" s="18" t="s">
        <v>120</v>
      </c>
      <c r="F3412" s="18" t="s">
        <v>105</v>
      </c>
      <c r="G3412" s="18" t="s">
        <v>48</v>
      </c>
      <c r="H3412" s="24">
        <v>3890</v>
      </c>
      <c r="I3412" s="24">
        <f>T_reg.root.SK[[#This Row],[Volume, kg]]/1000</f>
        <v>3.89</v>
      </c>
      <c r="J3412" s="25">
        <v>0.182</v>
      </c>
      <c r="K3412" s="25">
        <f t="shared" si="53"/>
        <v>707.98</v>
      </c>
      <c r="L3412" s="25">
        <v>2.5</v>
      </c>
      <c r="M3412" s="24">
        <v>9725</v>
      </c>
      <c r="N3412" s="25">
        <f>IFERROR(T_reg.root.SK[[#This Row],[Price]]/T_reg.root.SK[[#This Row],[Starch content]],"")</f>
        <v>13.736263736263737</v>
      </c>
    </row>
    <row r="3413" spans="1:14">
      <c r="A3413" s="21">
        <v>2024</v>
      </c>
      <c r="B3413" s="21" t="s">
        <v>24</v>
      </c>
      <c r="C3413" s="21" t="s">
        <v>1145</v>
      </c>
      <c r="D3413" s="21" t="s">
        <v>35</v>
      </c>
      <c r="E3413" s="18" t="s">
        <v>121</v>
      </c>
      <c r="F3413" s="18" t="s">
        <v>105</v>
      </c>
      <c r="G3413" s="18" t="s">
        <v>48</v>
      </c>
      <c r="H3413" s="24">
        <v>21740</v>
      </c>
      <c r="I3413" s="24">
        <f>T_reg.root.SK[[#This Row],[Volume, kg]]/1000</f>
        <v>21.74</v>
      </c>
      <c r="J3413" s="25">
        <v>0.19</v>
      </c>
      <c r="K3413" s="25">
        <f t="shared" si="53"/>
        <v>4130.6000000000004</v>
      </c>
      <c r="L3413" s="25">
        <v>2.4700000000000002</v>
      </c>
      <c r="M3413" s="24">
        <v>53755</v>
      </c>
      <c r="N3413" s="25">
        <f>IFERROR(T_reg.root.SK[[#This Row],[Price]]/T_reg.root.SK[[#This Row],[Starch content]],"")</f>
        <v>13</v>
      </c>
    </row>
    <row r="3414" spans="1:14">
      <c r="A3414" s="21">
        <v>2024</v>
      </c>
      <c r="B3414" s="21" t="s">
        <v>24</v>
      </c>
      <c r="C3414" s="21" t="s">
        <v>1145</v>
      </c>
      <c r="D3414" s="21" t="s">
        <v>35</v>
      </c>
      <c r="E3414" s="18" t="s">
        <v>122</v>
      </c>
      <c r="F3414" s="18" t="s">
        <v>105</v>
      </c>
      <c r="G3414" s="18" t="s">
        <v>48</v>
      </c>
      <c r="H3414" s="24">
        <v>75270</v>
      </c>
      <c r="I3414" s="24">
        <f>T_reg.root.SK[[#This Row],[Volume, kg]]/1000</f>
        <v>75.27</v>
      </c>
      <c r="J3414" s="25">
        <v>0.185</v>
      </c>
      <c r="K3414" s="25">
        <f t="shared" si="53"/>
        <v>13924.95</v>
      </c>
      <c r="L3414" s="25">
        <v>2.5</v>
      </c>
      <c r="M3414" s="24">
        <v>188468.5</v>
      </c>
      <c r="N3414" s="25">
        <f>IFERROR(T_reg.root.SK[[#This Row],[Price]]/T_reg.root.SK[[#This Row],[Starch content]],"")</f>
        <v>13.513513513513514</v>
      </c>
    </row>
    <row r="3415" spans="1:14">
      <c r="A3415" s="21">
        <v>2024</v>
      </c>
      <c r="B3415" s="21" t="s">
        <v>24</v>
      </c>
      <c r="C3415" s="21" t="s">
        <v>1145</v>
      </c>
      <c r="D3415" s="21" t="s">
        <v>35</v>
      </c>
      <c r="E3415" s="18" t="s">
        <v>562</v>
      </c>
      <c r="F3415" s="18" t="s">
        <v>105</v>
      </c>
      <c r="G3415" s="18" t="s">
        <v>48</v>
      </c>
      <c r="H3415" s="24">
        <v>72080</v>
      </c>
      <c r="I3415" s="24">
        <f>T_reg.root.SK[[#This Row],[Volume, kg]]/1000</f>
        <v>72.08</v>
      </c>
      <c r="J3415" s="25">
        <v>0.19949999999999998</v>
      </c>
      <c r="K3415" s="25">
        <f t="shared" si="53"/>
        <v>14379.96</v>
      </c>
      <c r="L3415" s="25">
        <v>2.6</v>
      </c>
      <c r="M3415" s="24">
        <v>187382</v>
      </c>
      <c r="N3415" s="25">
        <f>IFERROR(T_reg.root.SK[[#This Row],[Price]]/T_reg.root.SK[[#This Row],[Starch content]],"")</f>
        <v>13.032581453634087</v>
      </c>
    </row>
    <row r="3416" spans="1:14">
      <c r="A3416" s="21">
        <v>2024</v>
      </c>
      <c r="B3416" s="21" t="s">
        <v>24</v>
      </c>
      <c r="C3416" s="21" t="s">
        <v>1145</v>
      </c>
      <c r="D3416" s="21" t="s">
        <v>35</v>
      </c>
      <c r="E3416" s="18" t="s">
        <v>735</v>
      </c>
      <c r="F3416" s="18" t="s">
        <v>105</v>
      </c>
      <c r="G3416" s="18" t="s">
        <v>48</v>
      </c>
      <c r="H3416" s="24">
        <v>6710</v>
      </c>
      <c r="I3416" s="24">
        <f>T_reg.root.SK[[#This Row],[Volume, kg]]/1000</f>
        <v>6.71</v>
      </c>
      <c r="J3416" s="25">
        <v>0.155</v>
      </c>
      <c r="K3416" s="25">
        <f t="shared" si="53"/>
        <v>1040.05</v>
      </c>
      <c r="L3416" s="25">
        <v>2.4</v>
      </c>
      <c r="M3416" s="24">
        <v>16104</v>
      </c>
      <c r="N3416" s="25">
        <f>IFERROR(T_reg.root.SK[[#This Row],[Price]]/T_reg.root.SK[[#This Row],[Starch content]],"")</f>
        <v>15.483870967741934</v>
      </c>
    </row>
    <row r="3417" spans="1:14">
      <c r="A3417" s="21">
        <v>2024</v>
      </c>
      <c r="B3417" s="21" t="s">
        <v>24</v>
      </c>
      <c r="C3417" s="21" t="s">
        <v>1145</v>
      </c>
      <c r="D3417" s="21" t="s">
        <v>35</v>
      </c>
      <c r="E3417" s="18" t="s">
        <v>124</v>
      </c>
      <c r="F3417" s="18" t="s">
        <v>105</v>
      </c>
      <c r="G3417" s="18" t="s">
        <v>48</v>
      </c>
      <c r="H3417" s="24">
        <v>146430</v>
      </c>
      <c r="I3417" s="24">
        <f>T_reg.root.SK[[#This Row],[Volume, kg]]/1000</f>
        <v>146.43</v>
      </c>
      <c r="J3417" s="25">
        <v>0.18710000000000002</v>
      </c>
      <c r="K3417" s="25">
        <f t="shared" si="53"/>
        <v>27397.053000000004</v>
      </c>
      <c r="L3417" s="25">
        <v>2.5099999999999998</v>
      </c>
      <c r="M3417" s="24">
        <v>367689</v>
      </c>
      <c r="N3417" s="25">
        <f>IFERROR(T_reg.root.SK[[#This Row],[Price]]/T_reg.root.SK[[#This Row],[Starch content]],"")</f>
        <v>13.415285943345802</v>
      </c>
    </row>
    <row r="3418" spans="1:14">
      <c r="A3418" s="21">
        <v>2024</v>
      </c>
      <c r="B3418" s="21" t="s">
        <v>24</v>
      </c>
      <c r="C3418" s="21" t="s">
        <v>1145</v>
      </c>
      <c r="D3418" s="21" t="s">
        <v>35</v>
      </c>
      <c r="E3418" s="18" t="s">
        <v>404</v>
      </c>
      <c r="F3418" s="18" t="s">
        <v>105</v>
      </c>
      <c r="G3418" s="18" t="s">
        <v>48</v>
      </c>
      <c r="H3418" s="24">
        <v>14500</v>
      </c>
      <c r="I3418" s="24">
        <f>T_reg.root.SK[[#This Row],[Volume, kg]]/1000</f>
        <v>14.5</v>
      </c>
      <c r="J3418" s="25">
        <v>0.19870000000000002</v>
      </c>
      <c r="K3418" s="25">
        <f t="shared" si="53"/>
        <v>2881.15</v>
      </c>
      <c r="L3418" s="25">
        <v>2.56</v>
      </c>
      <c r="M3418" s="24">
        <v>37069</v>
      </c>
      <c r="N3418" s="25">
        <f>IFERROR(T_reg.root.SK[[#This Row],[Price]]/T_reg.root.SK[[#This Row],[Starch content]],"")</f>
        <v>12.883744338198289</v>
      </c>
    </row>
    <row r="3419" spans="1:14">
      <c r="A3419" s="21">
        <v>2024</v>
      </c>
      <c r="B3419" s="21" t="s">
        <v>24</v>
      </c>
      <c r="C3419" s="21" t="s">
        <v>1145</v>
      </c>
      <c r="D3419" s="21" t="s">
        <v>35</v>
      </c>
      <c r="E3419" s="18" t="s">
        <v>616</v>
      </c>
      <c r="F3419" s="18" t="s">
        <v>105</v>
      </c>
      <c r="G3419" s="18" t="s">
        <v>48</v>
      </c>
      <c r="H3419" s="24">
        <v>32660</v>
      </c>
      <c r="I3419" s="24">
        <f>T_reg.root.SK[[#This Row],[Volume, kg]]/1000</f>
        <v>32.659999999999997</v>
      </c>
      <c r="J3419" s="25">
        <v>0.22260000000000002</v>
      </c>
      <c r="K3419" s="25">
        <f t="shared" si="53"/>
        <v>7270.1160000000009</v>
      </c>
      <c r="L3419" s="25">
        <v>2.66</v>
      </c>
      <c r="M3419" s="24">
        <v>86785.5</v>
      </c>
      <c r="N3419" s="25">
        <f>IFERROR(T_reg.root.SK[[#This Row],[Price]]/T_reg.root.SK[[#This Row],[Starch content]],"")</f>
        <v>11.949685534591195</v>
      </c>
    </row>
    <row r="3420" spans="1:14">
      <c r="A3420" s="21">
        <v>2024</v>
      </c>
      <c r="B3420" s="21" t="s">
        <v>24</v>
      </c>
      <c r="C3420" s="21" t="s">
        <v>1145</v>
      </c>
      <c r="D3420" s="21" t="s">
        <v>35</v>
      </c>
      <c r="E3420" s="18" t="s">
        <v>486</v>
      </c>
      <c r="F3420" s="18" t="s">
        <v>105</v>
      </c>
      <c r="G3420" s="18" t="s">
        <v>48</v>
      </c>
      <c r="H3420" s="24">
        <v>67090</v>
      </c>
      <c r="I3420" s="24">
        <f>T_reg.root.SK[[#This Row],[Volume, kg]]/1000</f>
        <v>67.09</v>
      </c>
      <c r="J3420" s="25">
        <v>0.2235</v>
      </c>
      <c r="K3420" s="25">
        <f t="shared" si="53"/>
        <v>14994.615</v>
      </c>
      <c r="L3420" s="25">
        <v>2.7</v>
      </c>
      <c r="M3420" s="24">
        <v>180817</v>
      </c>
      <c r="N3420" s="25">
        <f>IFERROR(T_reg.root.SK[[#This Row],[Price]]/T_reg.root.SK[[#This Row],[Starch content]],"")</f>
        <v>12.080536912751679</v>
      </c>
    </row>
    <row r="3421" spans="1:14">
      <c r="A3421" s="21">
        <v>2024</v>
      </c>
      <c r="B3421" s="21" t="s">
        <v>24</v>
      </c>
      <c r="C3421" s="21" t="s">
        <v>1145</v>
      </c>
      <c r="D3421" s="21" t="s">
        <v>35</v>
      </c>
      <c r="E3421" s="18" t="s">
        <v>125</v>
      </c>
      <c r="F3421" s="18" t="s">
        <v>105</v>
      </c>
      <c r="G3421" s="18" t="s">
        <v>48</v>
      </c>
      <c r="H3421" s="24">
        <v>150950</v>
      </c>
      <c r="I3421" s="24">
        <f>T_reg.root.SK[[#This Row],[Volume, kg]]/1000</f>
        <v>150.94999999999999</v>
      </c>
      <c r="J3421" s="25">
        <v>0.19059999999999999</v>
      </c>
      <c r="K3421" s="25">
        <f t="shared" si="53"/>
        <v>28771.07</v>
      </c>
      <c r="L3421" s="25">
        <v>2.5299999999999998</v>
      </c>
      <c r="M3421" s="24">
        <v>381341.5</v>
      </c>
      <c r="N3421" s="25">
        <f>IFERROR(T_reg.root.SK[[#This Row],[Price]]/T_reg.root.SK[[#This Row],[Starch content]],"")</f>
        <v>13.273871983210913</v>
      </c>
    </row>
    <row r="3422" spans="1:14">
      <c r="A3422" s="21">
        <v>2024</v>
      </c>
      <c r="B3422" s="21" t="s">
        <v>24</v>
      </c>
      <c r="C3422" s="21" t="s">
        <v>1145</v>
      </c>
      <c r="D3422" s="21" t="s">
        <v>35</v>
      </c>
      <c r="E3422" s="18" t="s">
        <v>716</v>
      </c>
      <c r="F3422" s="18" t="s">
        <v>105</v>
      </c>
      <c r="G3422" s="18" t="s">
        <v>48</v>
      </c>
      <c r="H3422" s="24">
        <v>68440</v>
      </c>
      <c r="I3422" s="24">
        <f>T_reg.root.SK[[#This Row],[Volume, kg]]/1000</f>
        <v>68.44</v>
      </c>
      <c r="J3422" s="25">
        <v>0.1699</v>
      </c>
      <c r="K3422" s="25">
        <f t="shared" si="53"/>
        <v>11627.956</v>
      </c>
      <c r="L3422" s="25">
        <v>2.44</v>
      </c>
      <c r="M3422" s="24">
        <v>166993</v>
      </c>
      <c r="N3422" s="25">
        <f>IFERROR(T_reg.root.SK[[#This Row],[Price]]/T_reg.root.SK[[#This Row],[Starch content]],"")</f>
        <v>14.361389052383755</v>
      </c>
    </row>
    <row r="3423" spans="1:14">
      <c r="A3423" s="21">
        <v>2024</v>
      </c>
      <c r="B3423" s="21" t="s">
        <v>24</v>
      </c>
      <c r="C3423" s="21" t="s">
        <v>1145</v>
      </c>
      <c r="D3423" s="21" t="s">
        <v>35</v>
      </c>
      <c r="E3423" s="18" t="s">
        <v>240</v>
      </c>
      <c r="F3423" s="18" t="s">
        <v>105</v>
      </c>
      <c r="G3423" s="18" t="s">
        <v>48</v>
      </c>
      <c r="H3423" s="24">
        <v>12800</v>
      </c>
      <c r="I3423" s="24">
        <f>T_reg.root.SK[[#This Row],[Volume, kg]]/1000</f>
        <v>12.8</v>
      </c>
      <c r="J3423" s="25">
        <v>0.1986</v>
      </c>
      <c r="K3423" s="25">
        <f t="shared" si="53"/>
        <v>2542.08</v>
      </c>
      <c r="L3423" s="25">
        <v>2.58</v>
      </c>
      <c r="M3423" s="24">
        <v>32968.5</v>
      </c>
      <c r="N3423" s="25">
        <f>IFERROR(T_reg.root.SK[[#This Row],[Price]]/T_reg.root.SK[[#This Row],[Starch content]],"")</f>
        <v>12.990936555891238</v>
      </c>
    </row>
    <row r="3424" spans="1:14">
      <c r="A3424" s="21">
        <v>2024</v>
      </c>
      <c r="B3424" s="21" t="s">
        <v>24</v>
      </c>
      <c r="C3424" s="21" t="s">
        <v>1145</v>
      </c>
      <c r="D3424" s="21" t="s">
        <v>35</v>
      </c>
      <c r="E3424" s="18" t="s">
        <v>736</v>
      </c>
      <c r="F3424" s="18" t="s">
        <v>105</v>
      </c>
      <c r="G3424" s="18" t="s">
        <v>48</v>
      </c>
      <c r="H3424" s="24">
        <v>144570</v>
      </c>
      <c r="I3424" s="24">
        <f>T_reg.root.SK[[#This Row],[Volume, kg]]/1000</f>
        <v>144.57</v>
      </c>
      <c r="J3424" s="25">
        <v>0.20980000000000001</v>
      </c>
      <c r="K3424" s="25">
        <f t="shared" si="53"/>
        <v>30330.786000000004</v>
      </c>
      <c r="L3424" s="25">
        <v>2.62</v>
      </c>
      <c r="M3424" s="24">
        <v>379151</v>
      </c>
      <c r="N3424" s="25">
        <f>IFERROR(T_reg.root.SK[[#This Row],[Price]]/T_reg.root.SK[[#This Row],[Starch content]],"")</f>
        <v>12.488083889418494</v>
      </c>
    </row>
    <row r="3425" spans="1:14">
      <c r="A3425" s="21">
        <v>2024</v>
      </c>
      <c r="B3425" s="21" t="s">
        <v>24</v>
      </c>
      <c r="C3425" s="21" t="s">
        <v>1145</v>
      </c>
      <c r="D3425" s="21" t="s">
        <v>35</v>
      </c>
      <c r="E3425" s="18" t="s">
        <v>601</v>
      </c>
      <c r="F3425" s="18" t="s">
        <v>105</v>
      </c>
      <c r="G3425" s="18" t="s">
        <v>48</v>
      </c>
      <c r="H3425" s="24">
        <v>19940</v>
      </c>
      <c r="I3425" s="24">
        <f>T_reg.root.SK[[#This Row],[Volume, kg]]/1000</f>
        <v>19.940000000000001</v>
      </c>
      <c r="J3425" s="25">
        <v>0.17920000000000003</v>
      </c>
      <c r="K3425" s="25">
        <f t="shared" si="53"/>
        <v>3573.2480000000005</v>
      </c>
      <c r="L3425" s="25">
        <v>2.5</v>
      </c>
      <c r="M3425" s="24">
        <v>49830</v>
      </c>
      <c r="N3425" s="25">
        <f>IFERROR(T_reg.root.SK[[#This Row],[Price]]/T_reg.root.SK[[#This Row],[Starch content]],"")</f>
        <v>13.950892857142856</v>
      </c>
    </row>
    <row r="3426" spans="1:14">
      <c r="A3426" s="21">
        <v>2024</v>
      </c>
      <c r="B3426" s="21" t="s">
        <v>24</v>
      </c>
      <c r="C3426" s="21" t="s">
        <v>1145</v>
      </c>
      <c r="D3426" s="21" t="s">
        <v>35</v>
      </c>
      <c r="E3426" s="18" t="s">
        <v>126</v>
      </c>
      <c r="F3426" s="18" t="s">
        <v>105</v>
      </c>
      <c r="G3426" s="18" t="s">
        <v>48</v>
      </c>
      <c r="H3426" s="24">
        <v>5570</v>
      </c>
      <c r="I3426" s="24">
        <f>T_reg.root.SK[[#This Row],[Volume, kg]]/1000</f>
        <v>5.57</v>
      </c>
      <c r="J3426" s="25">
        <v>0.15659999999999999</v>
      </c>
      <c r="K3426" s="25">
        <f t="shared" si="53"/>
        <v>872.26199999999994</v>
      </c>
      <c r="L3426" s="25">
        <v>2.35</v>
      </c>
      <c r="M3426" s="24">
        <v>13100</v>
      </c>
      <c r="N3426" s="25">
        <f>IFERROR(T_reg.root.SK[[#This Row],[Price]]/T_reg.root.SK[[#This Row],[Starch content]],"")</f>
        <v>15.006385696040869</v>
      </c>
    </row>
    <row r="3427" spans="1:14">
      <c r="A3427" s="21">
        <v>2024</v>
      </c>
      <c r="B3427" s="21" t="s">
        <v>24</v>
      </c>
      <c r="C3427" s="21" t="s">
        <v>1145</v>
      </c>
      <c r="D3427" s="21" t="s">
        <v>35</v>
      </c>
      <c r="E3427" s="18" t="s">
        <v>127</v>
      </c>
      <c r="F3427" s="18" t="s">
        <v>105</v>
      </c>
      <c r="G3427" s="18" t="s">
        <v>48</v>
      </c>
      <c r="H3427" s="24">
        <v>21940</v>
      </c>
      <c r="I3427" s="24">
        <f>T_reg.root.SK[[#This Row],[Volume, kg]]/1000</f>
        <v>21.94</v>
      </c>
      <c r="J3427" s="25">
        <v>0.17710000000000001</v>
      </c>
      <c r="K3427" s="25">
        <f t="shared" si="53"/>
        <v>3885.5740000000001</v>
      </c>
      <c r="L3427" s="25">
        <v>2.4500000000000002</v>
      </c>
      <c r="M3427" s="24">
        <v>53828</v>
      </c>
      <c r="N3427" s="25">
        <f>IFERROR(T_reg.root.SK[[#This Row],[Price]]/T_reg.root.SK[[#This Row],[Starch content]],"")</f>
        <v>13.83399209486166</v>
      </c>
    </row>
    <row r="3428" spans="1:14">
      <c r="A3428" s="21">
        <v>2024</v>
      </c>
      <c r="B3428" s="21" t="s">
        <v>24</v>
      </c>
      <c r="C3428" s="21" t="s">
        <v>1145</v>
      </c>
      <c r="D3428" s="21" t="s">
        <v>35</v>
      </c>
      <c r="E3428" s="18" t="s">
        <v>602</v>
      </c>
      <c r="F3428" s="18" t="s">
        <v>105</v>
      </c>
      <c r="G3428" s="18" t="s">
        <v>48</v>
      </c>
      <c r="H3428" s="24">
        <v>5970</v>
      </c>
      <c r="I3428" s="24">
        <f>T_reg.root.SK[[#This Row],[Volume, kg]]/1000</f>
        <v>5.97</v>
      </c>
      <c r="J3428" s="25">
        <v>0.16350000000000001</v>
      </c>
      <c r="K3428" s="25">
        <f t="shared" si="53"/>
        <v>976.09500000000003</v>
      </c>
      <c r="L3428" s="25">
        <v>2.4</v>
      </c>
      <c r="M3428" s="24">
        <v>14328</v>
      </c>
      <c r="N3428" s="25">
        <f>IFERROR(T_reg.root.SK[[#This Row],[Price]]/T_reg.root.SK[[#This Row],[Starch content]],"")</f>
        <v>14.678899082568806</v>
      </c>
    </row>
    <row r="3429" spans="1:14">
      <c r="A3429" s="21">
        <v>2024</v>
      </c>
      <c r="B3429" s="21" t="s">
        <v>24</v>
      </c>
      <c r="C3429" s="21" t="s">
        <v>1145</v>
      </c>
      <c r="D3429" s="21" t="s">
        <v>35</v>
      </c>
      <c r="E3429" s="18" t="s">
        <v>488</v>
      </c>
      <c r="F3429" s="18" t="s">
        <v>105</v>
      </c>
      <c r="G3429" s="18" t="s">
        <v>48</v>
      </c>
      <c r="H3429" s="24">
        <v>6400</v>
      </c>
      <c r="I3429" s="24">
        <f>T_reg.root.SK[[#This Row],[Volume, kg]]/1000</f>
        <v>6.4</v>
      </c>
      <c r="J3429" s="25">
        <v>0.22500000000000001</v>
      </c>
      <c r="K3429" s="25">
        <f t="shared" si="53"/>
        <v>1440</v>
      </c>
      <c r="L3429" s="25">
        <v>2.7</v>
      </c>
      <c r="M3429" s="24">
        <v>17280</v>
      </c>
      <c r="N3429" s="25">
        <f>IFERROR(T_reg.root.SK[[#This Row],[Price]]/T_reg.root.SK[[#This Row],[Starch content]],"")</f>
        <v>12</v>
      </c>
    </row>
    <row r="3430" spans="1:14">
      <c r="A3430" s="21">
        <v>2024</v>
      </c>
      <c r="B3430" s="21" t="s">
        <v>24</v>
      </c>
      <c r="C3430" s="21" t="s">
        <v>1145</v>
      </c>
      <c r="D3430" s="21" t="s">
        <v>35</v>
      </c>
      <c r="E3430" s="18" t="s">
        <v>129</v>
      </c>
      <c r="F3430" s="18" t="s">
        <v>105</v>
      </c>
      <c r="G3430" s="18" t="s">
        <v>48</v>
      </c>
      <c r="H3430" s="24">
        <v>37950</v>
      </c>
      <c r="I3430" s="24">
        <f>T_reg.root.SK[[#This Row],[Volume, kg]]/1000</f>
        <v>37.950000000000003</v>
      </c>
      <c r="J3430" s="25">
        <v>0.2072</v>
      </c>
      <c r="K3430" s="25">
        <f t="shared" si="53"/>
        <v>7863.24</v>
      </c>
      <c r="L3430" s="25">
        <v>2.54</v>
      </c>
      <c r="M3430" s="24">
        <v>96523</v>
      </c>
      <c r="N3430" s="25">
        <f>IFERROR(T_reg.root.SK[[#This Row],[Price]]/T_reg.root.SK[[#This Row],[Starch content]],"")</f>
        <v>12.258687258687258</v>
      </c>
    </row>
    <row r="3431" spans="1:14">
      <c r="A3431" s="21">
        <v>2024</v>
      </c>
      <c r="B3431" s="21" t="s">
        <v>24</v>
      </c>
      <c r="C3431" s="21" t="s">
        <v>1145</v>
      </c>
      <c r="D3431" s="21" t="s">
        <v>35</v>
      </c>
      <c r="E3431" s="18" t="s">
        <v>131</v>
      </c>
      <c r="F3431" s="18" t="s">
        <v>105</v>
      </c>
      <c r="G3431" s="18" t="s">
        <v>48</v>
      </c>
      <c r="H3431" s="24">
        <v>29600</v>
      </c>
      <c r="I3431" s="24">
        <f>T_reg.root.SK[[#This Row],[Volume, kg]]/1000</f>
        <v>29.6</v>
      </c>
      <c r="J3431" s="25">
        <v>0.1888</v>
      </c>
      <c r="K3431" s="25">
        <f t="shared" si="53"/>
        <v>5588.48</v>
      </c>
      <c r="L3431" s="25">
        <v>2.5</v>
      </c>
      <c r="M3431" s="24">
        <v>74067.5</v>
      </c>
      <c r="N3431" s="25">
        <f>IFERROR(T_reg.root.SK[[#This Row],[Price]]/T_reg.root.SK[[#This Row],[Starch content]],"")</f>
        <v>13.241525423728813</v>
      </c>
    </row>
    <row r="3432" spans="1:14">
      <c r="A3432" s="21">
        <v>2024</v>
      </c>
      <c r="B3432" s="21" t="s">
        <v>24</v>
      </c>
      <c r="C3432" s="21" t="s">
        <v>1145</v>
      </c>
      <c r="D3432" s="21" t="s">
        <v>35</v>
      </c>
      <c r="E3432" s="18" t="s">
        <v>565</v>
      </c>
      <c r="F3432" s="18" t="s">
        <v>105</v>
      </c>
      <c r="G3432" s="18" t="s">
        <v>48</v>
      </c>
      <c r="H3432" s="24">
        <v>13860</v>
      </c>
      <c r="I3432" s="24">
        <f>T_reg.root.SK[[#This Row],[Volume, kg]]/1000</f>
        <v>13.86</v>
      </c>
      <c r="J3432" s="25">
        <v>0.18989999999999999</v>
      </c>
      <c r="K3432" s="25">
        <f t="shared" si="53"/>
        <v>2632.0139999999997</v>
      </c>
      <c r="L3432" s="25">
        <v>2.54</v>
      </c>
      <c r="M3432" s="24">
        <v>35167</v>
      </c>
      <c r="N3432" s="25">
        <f>IFERROR(T_reg.root.SK[[#This Row],[Price]]/T_reg.root.SK[[#This Row],[Starch content]],"")</f>
        <v>13.375460768825699</v>
      </c>
    </row>
    <row r="3433" spans="1:14">
      <c r="A3433" s="21">
        <v>2024</v>
      </c>
      <c r="B3433" s="21" t="s">
        <v>24</v>
      </c>
      <c r="C3433" s="21" t="s">
        <v>1145</v>
      </c>
      <c r="D3433" s="21" t="s">
        <v>35</v>
      </c>
      <c r="E3433" s="18" t="s">
        <v>133</v>
      </c>
      <c r="F3433" s="18" t="s">
        <v>105</v>
      </c>
      <c r="G3433" s="18" t="s">
        <v>48</v>
      </c>
      <c r="H3433" s="24">
        <v>42250</v>
      </c>
      <c r="I3433" s="24">
        <f>T_reg.root.SK[[#This Row],[Volume, kg]]/1000</f>
        <v>42.25</v>
      </c>
      <c r="J3433" s="25">
        <v>0.16579999999999998</v>
      </c>
      <c r="K3433" s="25">
        <f t="shared" si="53"/>
        <v>7005.0499999999993</v>
      </c>
      <c r="L3433" s="25">
        <v>2.38</v>
      </c>
      <c r="M3433" s="24">
        <v>100523.5</v>
      </c>
      <c r="N3433" s="25">
        <f>IFERROR(T_reg.root.SK[[#This Row],[Price]]/T_reg.root.SK[[#This Row],[Starch content]],"")</f>
        <v>14.354644149577807</v>
      </c>
    </row>
    <row r="3434" spans="1:14">
      <c r="A3434" s="21">
        <v>2024</v>
      </c>
      <c r="B3434" s="21" t="s">
        <v>24</v>
      </c>
      <c r="C3434" s="21" t="s">
        <v>1145</v>
      </c>
      <c r="D3434" s="21" t="s">
        <v>35</v>
      </c>
      <c r="E3434" s="18" t="s">
        <v>301</v>
      </c>
      <c r="F3434" s="18" t="s">
        <v>105</v>
      </c>
      <c r="G3434" s="18" t="s">
        <v>48</v>
      </c>
      <c r="H3434" s="24">
        <v>3860</v>
      </c>
      <c r="I3434" s="24">
        <f>T_reg.root.SK[[#This Row],[Volume, kg]]/1000</f>
        <v>3.86</v>
      </c>
      <c r="J3434" s="25">
        <v>0.17530000000000001</v>
      </c>
      <c r="K3434" s="25">
        <f t="shared" si="53"/>
        <v>676.65800000000002</v>
      </c>
      <c r="L3434" s="25">
        <v>2.42</v>
      </c>
      <c r="M3434" s="24">
        <v>9345.5</v>
      </c>
      <c r="N3434" s="25">
        <f>IFERROR(T_reg.root.SK[[#This Row],[Price]]/T_reg.root.SK[[#This Row],[Starch content]],"")</f>
        <v>13.804905875641756</v>
      </c>
    </row>
    <row r="3435" spans="1:14">
      <c r="A3435" s="21">
        <v>2024</v>
      </c>
      <c r="B3435" s="21" t="s">
        <v>24</v>
      </c>
      <c r="C3435" s="21" t="s">
        <v>1145</v>
      </c>
      <c r="D3435" s="21" t="s">
        <v>35</v>
      </c>
      <c r="E3435" s="18" t="s">
        <v>134</v>
      </c>
      <c r="F3435" s="18" t="s">
        <v>105</v>
      </c>
      <c r="G3435" s="18" t="s">
        <v>48</v>
      </c>
      <c r="H3435" s="24">
        <v>67990</v>
      </c>
      <c r="I3435" s="24">
        <f>T_reg.root.SK[[#This Row],[Volume, kg]]/1000</f>
        <v>67.989999999999995</v>
      </c>
      <c r="J3435" s="25">
        <v>0.19420000000000001</v>
      </c>
      <c r="K3435" s="25">
        <f t="shared" si="53"/>
        <v>13203.658000000001</v>
      </c>
      <c r="L3435" s="25">
        <v>2.5499999999999998</v>
      </c>
      <c r="M3435" s="24">
        <v>173625</v>
      </c>
      <c r="N3435" s="25">
        <f>IFERROR(T_reg.root.SK[[#This Row],[Price]]/T_reg.root.SK[[#This Row],[Starch content]],"")</f>
        <v>13.130792996910399</v>
      </c>
    </row>
    <row r="3436" spans="1:14">
      <c r="A3436" s="21">
        <v>2024</v>
      </c>
      <c r="B3436" s="21" t="s">
        <v>24</v>
      </c>
      <c r="C3436" s="21" t="s">
        <v>1145</v>
      </c>
      <c r="D3436" s="21" t="s">
        <v>35</v>
      </c>
      <c r="E3436" s="18" t="s">
        <v>636</v>
      </c>
      <c r="F3436" s="18" t="s">
        <v>105</v>
      </c>
      <c r="G3436" s="18" t="s">
        <v>48</v>
      </c>
      <c r="H3436" s="24">
        <v>9270</v>
      </c>
      <c r="I3436" s="24">
        <f>T_reg.root.SK[[#This Row],[Volume, kg]]/1000</f>
        <v>9.27</v>
      </c>
      <c r="J3436" s="25">
        <v>0.17800000000000002</v>
      </c>
      <c r="K3436" s="25">
        <f t="shared" si="53"/>
        <v>1650.0600000000002</v>
      </c>
      <c r="L3436" s="25">
        <v>2.4500000000000002</v>
      </c>
      <c r="M3436" s="24">
        <v>22711.5</v>
      </c>
      <c r="N3436" s="25">
        <f>IFERROR(T_reg.root.SK[[#This Row],[Price]]/T_reg.root.SK[[#This Row],[Starch content]],"")</f>
        <v>13.764044943820224</v>
      </c>
    </row>
    <row r="3437" spans="1:14">
      <c r="A3437" s="21">
        <v>2024</v>
      </c>
      <c r="B3437" s="21" t="s">
        <v>24</v>
      </c>
      <c r="C3437" s="21" t="s">
        <v>1145</v>
      </c>
      <c r="D3437" s="21" t="s">
        <v>35</v>
      </c>
      <c r="E3437" s="18" t="s">
        <v>136</v>
      </c>
      <c r="F3437" s="18" t="s">
        <v>105</v>
      </c>
      <c r="G3437" s="18" t="s">
        <v>48</v>
      </c>
      <c r="H3437" s="24">
        <v>56570</v>
      </c>
      <c r="I3437" s="24">
        <f>T_reg.root.SK[[#This Row],[Volume, kg]]/1000</f>
        <v>56.57</v>
      </c>
      <c r="J3437" s="25">
        <v>0.21899999999999997</v>
      </c>
      <c r="K3437" s="25">
        <f t="shared" si="53"/>
        <v>12388.829999999998</v>
      </c>
      <c r="L3437" s="25">
        <v>2.69</v>
      </c>
      <c r="M3437" s="24">
        <v>152273</v>
      </c>
      <c r="N3437" s="25">
        <f>IFERROR(T_reg.root.SK[[#This Row],[Price]]/T_reg.root.SK[[#This Row],[Starch content]],"")</f>
        <v>12.283105022831052</v>
      </c>
    </row>
    <row r="3438" spans="1:14">
      <c r="A3438" s="21">
        <v>2024</v>
      </c>
      <c r="B3438" s="21" t="s">
        <v>24</v>
      </c>
      <c r="C3438" s="21" t="s">
        <v>1145</v>
      </c>
      <c r="D3438" s="21" t="s">
        <v>35</v>
      </c>
      <c r="E3438" s="18" t="s">
        <v>493</v>
      </c>
      <c r="F3438" s="18" t="s">
        <v>105</v>
      </c>
      <c r="G3438" s="18" t="s">
        <v>48</v>
      </c>
      <c r="H3438" s="24">
        <v>8510</v>
      </c>
      <c r="I3438" s="24">
        <f>T_reg.root.SK[[#This Row],[Volume, kg]]/1000</f>
        <v>8.51</v>
      </c>
      <c r="J3438" s="25">
        <v>0.13250000000000001</v>
      </c>
      <c r="K3438" s="25">
        <f t="shared" si="53"/>
        <v>1127.575</v>
      </c>
      <c r="L3438" s="25">
        <v>2.2000000000000002</v>
      </c>
      <c r="M3438" s="24">
        <v>18722</v>
      </c>
      <c r="N3438" s="25">
        <f>IFERROR(T_reg.root.SK[[#This Row],[Price]]/T_reg.root.SK[[#This Row],[Starch content]],"")</f>
        <v>16.60377358490566</v>
      </c>
    </row>
    <row r="3439" spans="1:14">
      <c r="A3439" s="21">
        <v>2024</v>
      </c>
      <c r="B3439" s="21" t="s">
        <v>24</v>
      </c>
      <c r="C3439" s="21" t="s">
        <v>1145</v>
      </c>
      <c r="D3439" s="21" t="s">
        <v>35</v>
      </c>
      <c r="E3439" s="18" t="s">
        <v>242</v>
      </c>
      <c r="F3439" s="18" t="s">
        <v>105</v>
      </c>
      <c r="G3439" s="18" t="s">
        <v>48</v>
      </c>
      <c r="H3439" s="24">
        <v>2130</v>
      </c>
      <c r="I3439" s="24">
        <f>T_reg.root.SK[[#This Row],[Volume, kg]]/1000</f>
        <v>2.13</v>
      </c>
      <c r="J3439" s="25">
        <v>0.19699999999999998</v>
      </c>
      <c r="K3439" s="25">
        <f t="shared" si="53"/>
        <v>419.60999999999996</v>
      </c>
      <c r="L3439" s="25">
        <v>2.4500000000000002</v>
      </c>
      <c r="M3439" s="24">
        <v>5218.5</v>
      </c>
      <c r="N3439" s="25">
        <f>IFERROR(T_reg.root.SK[[#This Row],[Price]]/T_reg.root.SK[[#This Row],[Starch content]],"")</f>
        <v>12.436548223350256</v>
      </c>
    </row>
    <row r="3440" spans="1:14">
      <c r="A3440" s="21">
        <v>2024</v>
      </c>
      <c r="B3440" s="21" t="s">
        <v>24</v>
      </c>
      <c r="C3440" s="21" t="s">
        <v>1145</v>
      </c>
      <c r="D3440" s="21" t="s">
        <v>35</v>
      </c>
      <c r="E3440" s="18" t="s">
        <v>138</v>
      </c>
      <c r="F3440" s="18" t="s">
        <v>105</v>
      </c>
      <c r="G3440" s="18" t="s">
        <v>48</v>
      </c>
      <c r="H3440" s="24">
        <v>15690</v>
      </c>
      <c r="I3440" s="24">
        <f>T_reg.root.SK[[#This Row],[Volume, kg]]/1000</f>
        <v>15.69</v>
      </c>
      <c r="J3440" s="25">
        <v>0.21640000000000001</v>
      </c>
      <c r="K3440" s="25">
        <f t="shared" si="53"/>
        <v>3395.3160000000003</v>
      </c>
      <c r="L3440" s="25">
        <v>2.59</v>
      </c>
      <c r="M3440" s="24">
        <v>40699.5</v>
      </c>
      <c r="N3440" s="25">
        <f>IFERROR(T_reg.root.SK[[#This Row],[Price]]/T_reg.root.SK[[#This Row],[Starch content]],"")</f>
        <v>11.968576709796672</v>
      </c>
    </row>
    <row r="3441" spans="1:14">
      <c r="A3441" s="21">
        <v>2024</v>
      </c>
      <c r="B3441" s="21" t="s">
        <v>24</v>
      </c>
      <c r="C3441" s="21" t="s">
        <v>1145</v>
      </c>
      <c r="D3441" s="21" t="s">
        <v>35</v>
      </c>
      <c r="E3441" s="18" t="s">
        <v>304</v>
      </c>
      <c r="F3441" s="18" t="s">
        <v>105</v>
      </c>
      <c r="G3441" s="18" t="s">
        <v>48</v>
      </c>
      <c r="H3441" s="24">
        <v>24380</v>
      </c>
      <c r="I3441" s="24">
        <f>T_reg.root.SK[[#This Row],[Volume, kg]]/1000</f>
        <v>24.38</v>
      </c>
      <c r="J3441" s="25">
        <v>0.16339999999999999</v>
      </c>
      <c r="K3441" s="25">
        <f t="shared" si="53"/>
        <v>3983.6919999999996</v>
      </c>
      <c r="L3441" s="25">
        <v>2.38</v>
      </c>
      <c r="M3441" s="24">
        <v>58052</v>
      </c>
      <c r="N3441" s="25">
        <f>IFERROR(T_reg.root.SK[[#This Row],[Price]]/T_reg.root.SK[[#This Row],[Starch content]],"")</f>
        <v>14.565483476132192</v>
      </c>
    </row>
    <row r="3442" spans="1:14">
      <c r="A3442" s="21">
        <v>2024</v>
      </c>
      <c r="B3442" s="21" t="s">
        <v>24</v>
      </c>
      <c r="C3442" s="21" t="s">
        <v>1145</v>
      </c>
      <c r="D3442" s="21" t="s">
        <v>35</v>
      </c>
      <c r="E3442" s="18" t="s">
        <v>495</v>
      </c>
      <c r="F3442" s="18" t="s">
        <v>105</v>
      </c>
      <c r="G3442" s="18" t="s">
        <v>48</v>
      </c>
      <c r="H3442" s="24">
        <v>9750</v>
      </c>
      <c r="I3442" s="24">
        <f>T_reg.root.SK[[#This Row],[Volume, kg]]/1000</f>
        <v>9.75</v>
      </c>
      <c r="J3442" s="25">
        <v>0.19440000000000002</v>
      </c>
      <c r="K3442" s="25">
        <f t="shared" si="53"/>
        <v>1895.4</v>
      </c>
      <c r="L3442" s="25">
        <v>2.58</v>
      </c>
      <c r="M3442" s="24">
        <v>25179.5</v>
      </c>
      <c r="N3442" s="25">
        <f>IFERROR(T_reg.root.SK[[#This Row],[Price]]/T_reg.root.SK[[#This Row],[Starch content]],"")</f>
        <v>13.271604938271604</v>
      </c>
    </row>
    <row r="3443" spans="1:14">
      <c r="A3443" s="21">
        <v>2024</v>
      </c>
      <c r="B3443" s="21" t="s">
        <v>24</v>
      </c>
      <c r="C3443" s="21" t="s">
        <v>1145</v>
      </c>
      <c r="D3443" s="21" t="s">
        <v>35</v>
      </c>
      <c r="E3443" s="18" t="s">
        <v>567</v>
      </c>
      <c r="F3443" s="18" t="s">
        <v>105</v>
      </c>
      <c r="G3443" s="18" t="s">
        <v>48</v>
      </c>
      <c r="H3443" s="24">
        <v>9420</v>
      </c>
      <c r="I3443" s="24">
        <f>T_reg.root.SK[[#This Row],[Volume, kg]]/1000</f>
        <v>9.42</v>
      </c>
      <c r="J3443" s="25">
        <v>0.14300000000000002</v>
      </c>
      <c r="K3443" s="25">
        <f t="shared" si="53"/>
        <v>1347.0600000000002</v>
      </c>
      <c r="L3443" s="25">
        <v>2.2799999999999998</v>
      </c>
      <c r="M3443" s="24">
        <v>21455</v>
      </c>
      <c r="N3443" s="25">
        <f>IFERROR(T_reg.root.SK[[#This Row],[Price]]/T_reg.root.SK[[#This Row],[Starch content]],"")</f>
        <v>15.944055944055942</v>
      </c>
    </row>
    <row r="3444" spans="1:14">
      <c r="A3444" s="21">
        <v>2024</v>
      </c>
      <c r="B3444" s="21" t="s">
        <v>24</v>
      </c>
      <c r="C3444" s="21" t="s">
        <v>1145</v>
      </c>
      <c r="D3444" s="21" t="s">
        <v>35</v>
      </c>
      <c r="E3444" s="18" t="s">
        <v>307</v>
      </c>
      <c r="F3444" s="18" t="s">
        <v>105</v>
      </c>
      <c r="G3444" s="18" t="s">
        <v>48</v>
      </c>
      <c r="H3444" s="24">
        <v>28300</v>
      </c>
      <c r="I3444" s="24">
        <f>T_reg.root.SK[[#This Row],[Volume, kg]]/1000</f>
        <v>28.3</v>
      </c>
      <c r="J3444" s="25">
        <v>0.16339999999999999</v>
      </c>
      <c r="K3444" s="25">
        <f t="shared" si="53"/>
        <v>4624.2199999999993</v>
      </c>
      <c r="L3444" s="25">
        <v>2.37</v>
      </c>
      <c r="M3444" s="24">
        <v>67100</v>
      </c>
      <c r="N3444" s="25">
        <f>IFERROR(T_reg.root.SK[[#This Row],[Price]]/T_reg.root.SK[[#This Row],[Starch content]],"")</f>
        <v>14.504283965728275</v>
      </c>
    </row>
    <row r="3445" spans="1:14">
      <c r="A3445" s="21">
        <v>2024</v>
      </c>
      <c r="B3445" s="21" t="s">
        <v>24</v>
      </c>
      <c r="C3445" s="21" t="s">
        <v>1145</v>
      </c>
      <c r="D3445" s="21" t="s">
        <v>35</v>
      </c>
      <c r="E3445" s="18" t="s">
        <v>308</v>
      </c>
      <c r="F3445" s="18" t="s">
        <v>105</v>
      </c>
      <c r="G3445" s="18" t="s">
        <v>48</v>
      </c>
      <c r="H3445" s="24">
        <v>60840</v>
      </c>
      <c r="I3445" s="24">
        <f>T_reg.root.SK[[#This Row],[Volume, kg]]/1000</f>
        <v>60.84</v>
      </c>
      <c r="J3445" s="25">
        <v>0.1996</v>
      </c>
      <c r="K3445" s="25">
        <f t="shared" si="53"/>
        <v>12143.664000000001</v>
      </c>
      <c r="L3445" s="25">
        <v>2.59</v>
      </c>
      <c r="M3445" s="24">
        <v>157862</v>
      </c>
      <c r="N3445" s="25">
        <f>IFERROR(T_reg.root.SK[[#This Row],[Price]]/T_reg.root.SK[[#This Row],[Starch content]],"")</f>
        <v>12.975951903807614</v>
      </c>
    </row>
    <row r="3446" spans="1:14">
      <c r="A3446" s="21">
        <v>2024</v>
      </c>
      <c r="B3446" s="21" t="s">
        <v>24</v>
      </c>
      <c r="C3446" s="21" t="s">
        <v>1145</v>
      </c>
      <c r="D3446" s="21" t="s">
        <v>35</v>
      </c>
      <c r="E3446" s="18" t="s">
        <v>244</v>
      </c>
      <c r="F3446" s="18" t="s">
        <v>105</v>
      </c>
      <c r="G3446" s="18" t="s">
        <v>48</v>
      </c>
      <c r="H3446" s="24">
        <v>70210</v>
      </c>
      <c r="I3446" s="24">
        <f>T_reg.root.SK[[#This Row],[Volume, kg]]/1000</f>
        <v>70.209999999999994</v>
      </c>
      <c r="J3446" s="25">
        <v>0.19010000000000002</v>
      </c>
      <c r="K3446" s="25">
        <f t="shared" si="53"/>
        <v>13346.921000000002</v>
      </c>
      <c r="L3446" s="25">
        <v>2.56</v>
      </c>
      <c r="M3446" s="24">
        <v>179451</v>
      </c>
      <c r="N3446" s="25">
        <f>IFERROR(T_reg.root.SK[[#This Row],[Price]]/T_reg.root.SK[[#This Row],[Starch content]],"")</f>
        <v>13.466596528143082</v>
      </c>
    </row>
    <row r="3447" spans="1:14">
      <c r="A3447" s="21">
        <v>2024</v>
      </c>
      <c r="B3447" s="21" t="s">
        <v>24</v>
      </c>
      <c r="C3447" s="21" t="s">
        <v>1145</v>
      </c>
      <c r="D3447" s="21" t="s">
        <v>35</v>
      </c>
      <c r="E3447" s="18" t="s">
        <v>637</v>
      </c>
      <c r="F3447" s="18" t="s">
        <v>105</v>
      </c>
      <c r="G3447" s="18" t="s">
        <v>48</v>
      </c>
      <c r="H3447" s="24">
        <v>23750</v>
      </c>
      <c r="I3447" s="24">
        <f>T_reg.root.SK[[#This Row],[Volume, kg]]/1000</f>
        <v>23.75</v>
      </c>
      <c r="J3447" s="25">
        <v>0.21190000000000001</v>
      </c>
      <c r="K3447" s="25">
        <f t="shared" si="53"/>
        <v>5032.625</v>
      </c>
      <c r="L3447" s="25">
        <v>2.67</v>
      </c>
      <c r="M3447" s="24">
        <v>63399</v>
      </c>
      <c r="N3447" s="25">
        <f>IFERROR(T_reg.root.SK[[#This Row],[Price]]/T_reg.root.SK[[#This Row],[Starch content]],"")</f>
        <v>12.600283152430391</v>
      </c>
    </row>
    <row r="3448" spans="1:14">
      <c r="A3448" s="21">
        <v>2024</v>
      </c>
      <c r="B3448" s="21" t="s">
        <v>24</v>
      </c>
      <c r="C3448" s="21" t="s">
        <v>1145</v>
      </c>
      <c r="D3448" s="21" t="s">
        <v>35</v>
      </c>
      <c r="E3448" s="18" t="s">
        <v>756</v>
      </c>
      <c r="F3448" s="18" t="s">
        <v>105</v>
      </c>
      <c r="G3448" s="18" t="s">
        <v>48</v>
      </c>
      <c r="H3448" s="24">
        <v>13420</v>
      </c>
      <c r="I3448" s="24">
        <f>T_reg.root.SK[[#This Row],[Volume, kg]]/1000</f>
        <v>13.42</v>
      </c>
      <c r="J3448" s="25">
        <v>0.14760000000000001</v>
      </c>
      <c r="K3448" s="25">
        <f t="shared" si="53"/>
        <v>1980.7920000000001</v>
      </c>
      <c r="L3448" s="25">
        <v>2.31</v>
      </c>
      <c r="M3448" s="24">
        <v>31066</v>
      </c>
      <c r="N3448" s="25">
        <f>IFERROR(T_reg.root.SK[[#This Row],[Price]]/T_reg.root.SK[[#This Row],[Starch content]],"")</f>
        <v>15.650406504065041</v>
      </c>
    </row>
    <row r="3449" spans="1:14">
      <c r="A3449" s="21">
        <v>2024</v>
      </c>
      <c r="B3449" s="21" t="s">
        <v>24</v>
      </c>
      <c r="C3449" s="21" t="s">
        <v>1145</v>
      </c>
      <c r="D3449" s="21" t="s">
        <v>35</v>
      </c>
      <c r="E3449" s="18" t="s">
        <v>309</v>
      </c>
      <c r="F3449" s="18" t="s">
        <v>105</v>
      </c>
      <c r="G3449" s="18" t="s">
        <v>48</v>
      </c>
      <c r="H3449" s="24">
        <v>34360</v>
      </c>
      <c r="I3449" s="24">
        <f>T_reg.root.SK[[#This Row],[Volume, kg]]/1000</f>
        <v>34.36</v>
      </c>
      <c r="J3449" s="25">
        <v>0.20030000000000001</v>
      </c>
      <c r="K3449" s="25">
        <f t="shared" si="53"/>
        <v>6882.308</v>
      </c>
      <c r="L3449" s="25">
        <v>2.5</v>
      </c>
      <c r="M3449" s="24">
        <v>86069.5</v>
      </c>
      <c r="N3449" s="25">
        <f>IFERROR(T_reg.root.SK[[#This Row],[Price]]/T_reg.root.SK[[#This Row],[Starch content]],"")</f>
        <v>12.481278082875686</v>
      </c>
    </row>
    <row r="3450" spans="1:14">
      <c r="A3450" s="21">
        <v>2024</v>
      </c>
      <c r="B3450" s="21" t="s">
        <v>24</v>
      </c>
      <c r="C3450" s="21" t="s">
        <v>1145</v>
      </c>
      <c r="D3450" s="21" t="s">
        <v>35</v>
      </c>
      <c r="E3450" s="18" t="s">
        <v>568</v>
      </c>
      <c r="F3450" s="18" t="s">
        <v>105</v>
      </c>
      <c r="G3450" s="18" t="s">
        <v>48</v>
      </c>
      <c r="H3450" s="24">
        <v>40100</v>
      </c>
      <c r="I3450" s="24">
        <f>T_reg.root.SK[[#This Row],[Volume, kg]]/1000</f>
        <v>40.1</v>
      </c>
      <c r="J3450" s="25">
        <v>0.19409999999999999</v>
      </c>
      <c r="K3450" s="25">
        <f t="shared" si="53"/>
        <v>7783.41</v>
      </c>
      <c r="L3450" s="25">
        <v>2.46</v>
      </c>
      <c r="M3450" s="24">
        <v>98614.5</v>
      </c>
      <c r="N3450" s="25">
        <f>IFERROR(T_reg.root.SK[[#This Row],[Price]]/T_reg.root.SK[[#This Row],[Starch content]],"")</f>
        <v>12.673879443585781</v>
      </c>
    </row>
    <row r="3451" spans="1:14">
      <c r="A3451" s="21">
        <v>2024</v>
      </c>
      <c r="B3451" s="21" t="s">
        <v>24</v>
      </c>
      <c r="C3451" s="21" t="s">
        <v>1145</v>
      </c>
      <c r="D3451" s="21" t="s">
        <v>35</v>
      </c>
      <c r="E3451" s="18" t="s">
        <v>310</v>
      </c>
      <c r="F3451" s="18" t="s">
        <v>105</v>
      </c>
      <c r="G3451" s="18" t="s">
        <v>48</v>
      </c>
      <c r="H3451" s="24">
        <v>22880</v>
      </c>
      <c r="I3451" s="24">
        <f>T_reg.root.SK[[#This Row],[Volume, kg]]/1000</f>
        <v>22.88</v>
      </c>
      <c r="J3451" s="25">
        <v>0.19850000000000001</v>
      </c>
      <c r="K3451" s="25">
        <f t="shared" si="53"/>
        <v>4541.68</v>
      </c>
      <c r="L3451" s="25">
        <v>2.61</v>
      </c>
      <c r="M3451" s="24">
        <v>59620</v>
      </c>
      <c r="N3451" s="25">
        <f>IFERROR(T_reg.root.SK[[#This Row],[Price]]/T_reg.root.SK[[#This Row],[Starch content]],"")</f>
        <v>13.148614609571787</v>
      </c>
    </row>
    <row r="3452" spans="1:14">
      <c r="A3452" s="21">
        <v>2024</v>
      </c>
      <c r="B3452" s="21" t="s">
        <v>24</v>
      </c>
      <c r="C3452" s="21" t="s">
        <v>1145</v>
      </c>
      <c r="D3452" s="21" t="s">
        <v>35</v>
      </c>
      <c r="E3452" s="18" t="s">
        <v>248</v>
      </c>
      <c r="F3452" s="18" t="s">
        <v>105</v>
      </c>
      <c r="G3452" s="18" t="s">
        <v>48</v>
      </c>
      <c r="H3452" s="24">
        <v>20610</v>
      </c>
      <c r="I3452" s="24">
        <f>T_reg.root.SK[[#This Row],[Volume, kg]]/1000</f>
        <v>20.61</v>
      </c>
      <c r="J3452" s="25">
        <v>0.191</v>
      </c>
      <c r="K3452" s="25">
        <f t="shared" si="53"/>
        <v>3936.51</v>
      </c>
      <c r="L3452" s="25">
        <v>2.54</v>
      </c>
      <c r="M3452" s="24">
        <v>52436.5</v>
      </c>
      <c r="N3452" s="25">
        <f>IFERROR(T_reg.root.SK[[#This Row],[Price]]/T_reg.root.SK[[#This Row],[Starch content]],"")</f>
        <v>13.298429319371728</v>
      </c>
    </row>
    <row r="3453" spans="1:14">
      <c r="A3453" s="21">
        <v>2024</v>
      </c>
      <c r="B3453" s="21" t="s">
        <v>24</v>
      </c>
      <c r="C3453" s="21" t="s">
        <v>1145</v>
      </c>
      <c r="D3453" s="21" t="s">
        <v>35</v>
      </c>
      <c r="E3453" s="18" t="s">
        <v>143</v>
      </c>
      <c r="F3453" s="18" t="s">
        <v>105</v>
      </c>
      <c r="G3453" s="18" t="s">
        <v>48</v>
      </c>
      <c r="H3453" s="24">
        <v>44190</v>
      </c>
      <c r="I3453" s="24">
        <f>T_reg.root.SK[[#This Row],[Volume, kg]]/1000</f>
        <v>44.19</v>
      </c>
      <c r="J3453" s="25">
        <v>0.16420000000000001</v>
      </c>
      <c r="K3453" s="25">
        <f t="shared" si="53"/>
        <v>7255.9980000000005</v>
      </c>
      <c r="L3453" s="25">
        <v>2.39</v>
      </c>
      <c r="M3453" s="24">
        <v>105447</v>
      </c>
      <c r="N3453" s="25">
        <f>IFERROR(T_reg.root.SK[[#This Row],[Price]]/T_reg.root.SK[[#This Row],[Starch content]],"")</f>
        <v>14.555420219244823</v>
      </c>
    </row>
    <row r="3454" spans="1:14">
      <c r="A3454" s="21">
        <v>2024</v>
      </c>
      <c r="B3454" s="21" t="s">
        <v>24</v>
      </c>
      <c r="C3454" s="21" t="s">
        <v>1145</v>
      </c>
      <c r="D3454" s="21" t="s">
        <v>35</v>
      </c>
      <c r="E3454" s="18" t="s">
        <v>311</v>
      </c>
      <c r="F3454" s="18" t="s">
        <v>105</v>
      </c>
      <c r="G3454" s="18" t="s">
        <v>48</v>
      </c>
      <c r="H3454" s="24">
        <v>5290</v>
      </c>
      <c r="I3454" s="24">
        <f>T_reg.root.SK[[#This Row],[Volume, kg]]/1000</f>
        <v>5.29</v>
      </c>
      <c r="J3454" s="25">
        <v>0.21100000000000002</v>
      </c>
      <c r="K3454" s="25">
        <f t="shared" si="53"/>
        <v>1116.19</v>
      </c>
      <c r="L3454" s="25">
        <v>2.5</v>
      </c>
      <c r="M3454" s="24">
        <v>13225</v>
      </c>
      <c r="N3454" s="25">
        <f>IFERROR(T_reg.root.SK[[#This Row],[Price]]/T_reg.root.SK[[#This Row],[Starch content]],"")</f>
        <v>11.848341232227487</v>
      </c>
    </row>
    <row r="3455" spans="1:14">
      <c r="A3455" s="21">
        <v>2024</v>
      </c>
      <c r="B3455" s="21" t="s">
        <v>24</v>
      </c>
      <c r="C3455" s="21" t="s">
        <v>1145</v>
      </c>
      <c r="D3455" s="21" t="s">
        <v>35</v>
      </c>
      <c r="E3455" s="18" t="s">
        <v>144</v>
      </c>
      <c r="F3455" s="18" t="s">
        <v>105</v>
      </c>
      <c r="G3455" s="18" t="s">
        <v>48</v>
      </c>
      <c r="H3455" s="24">
        <v>28040</v>
      </c>
      <c r="I3455" s="24">
        <f>T_reg.root.SK[[#This Row],[Volume, kg]]/1000</f>
        <v>28.04</v>
      </c>
      <c r="J3455" s="25">
        <v>0.20629999999999998</v>
      </c>
      <c r="K3455" s="25">
        <f t="shared" si="53"/>
        <v>5784.6519999999991</v>
      </c>
      <c r="L3455" s="25">
        <v>2.58</v>
      </c>
      <c r="M3455" s="24">
        <v>72207</v>
      </c>
      <c r="N3455" s="25">
        <f>IFERROR(T_reg.root.SK[[#This Row],[Price]]/T_reg.root.SK[[#This Row],[Starch content]],"")</f>
        <v>12.506059137178868</v>
      </c>
    </row>
    <row r="3456" spans="1:14">
      <c r="A3456" s="21">
        <v>2024</v>
      </c>
      <c r="B3456" s="21" t="s">
        <v>24</v>
      </c>
      <c r="C3456" s="21" t="s">
        <v>1145</v>
      </c>
      <c r="D3456" s="21" t="s">
        <v>35</v>
      </c>
      <c r="E3456" s="18" t="s">
        <v>146</v>
      </c>
      <c r="F3456" s="18" t="s">
        <v>105</v>
      </c>
      <c r="G3456" s="18" t="s">
        <v>48</v>
      </c>
      <c r="H3456" s="24">
        <v>159200</v>
      </c>
      <c r="I3456" s="24">
        <f>T_reg.root.SK[[#This Row],[Volume, kg]]/1000</f>
        <v>159.19999999999999</v>
      </c>
      <c r="J3456" s="25">
        <v>0.18460000000000001</v>
      </c>
      <c r="K3456" s="25">
        <f t="shared" si="53"/>
        <v>29388.320000000003</v>
      </c>
      <c r="L3456" s="25">
        <v>2.4900000000000002</v>
      </c>
      <c r="M3456" s="24">
        <v>395856</v>
      </c>
      <c r="N3456" s="25">
        <f>IFERROR(T_reg.root.SK[[#This Row],[Price]]/T_reg.root.SK[[#This Row],[Starch content]],"")</f>
        <v>13.488624052004333</v>
      </c>
    </row>
    <row r="3457" spans="1:14">
      <c r="A3457" s="21">
        <v>2024</v>
      </c>
      <c r="B3457" s="21" t="s">
        <v>24</v>
      </c>
      <c r="C3457" s="21" t="s">
        <v>1145</v>
      </c>
      <c r="D3457" s="21" t="s">
        <v>35</v>
      </c>
      <c r="E3457" s="18" t="s">
        <v>249</v>
      </c>
      <c r="F3457" s="18" t="s">
        <v>105</v>
      </c>
      <c r="G3457" s="18" t="s">
        <v>48</v>
      </c>
      <c r="H3457" s="24">
        <v>27530</v>
      </c>
      <c r="I3457" s="24">
        <f>T_reg.root.SK[[#This Row],[Volume, kg]]/1000</f>
        <v>27.53</v>
      </c>
      <c r="J3457" s="25">
        <v>0.15770000000000001</v>
      </c>
      <c r="K3457" s="25">
        <f t="shared" si="53"/>
        <v>4341.4809999999998</v>
      </c>
      <c r="L3457" s="25">
        <v>2.39</v>
      </c>
      <c r="M3457" s="24">
        <v>65758.5</v>
      </c>
      <c r="N3457" s="25">
        <f>IFERROR(T_reg.root.SK[[#This Row],[Price]]/T_reg.root.SK[[#This Row],[Starch content]],"")</f>
        <v>15.155358275206087</v>
      </c>
    </row>
    <row r="3458" spans="1:14">
      <c r="A3458" s="21">
        <v>2024</v>
      </c>
      <c r="B3458" s="21" t="s">
        <v>24</v>
      </c>
      <c r="C3458" s="21" t="s">
        <v>1145</v>
      </c>
      <c r="D3458" s="21" t="s">
        <v>35</v>
      </c>
      <c r="E3458" s="18" t="s">
        <v>250</v>
      </c>
      <c r="F3458" s="18" t="s">
        <v>105</v>
      </c>
      <c r="G3458" s="18" t="s">
        <v>48</v>
      </c>
      <c r="H3458" s="24">
        <v>26220</v>
      </c>
      <c r="I3458" s="24">
        <f>T_reg.root.SK[[#This Row],[Volume, kg]]/1000</f>
        <v>26.22</v>
      </c>
      <c r="J3458" s="25">
        <v>0.1923</v>
      </c>
      <c r="K3458" s="25">
        <f t="shared" si="53"/>
        <v>5042.1059999999998</v>
      </c>
      <c r="L3458" s="25">
        <v>2.46</v>
      </c>
      <c r="M3458" s="24">
        <v>64423.5</v>
      </c>
      <c r="N3458" s="25">
        <f>IFERROR(T_reg.root.SK[[#This Row],[Price]]/T_reg.root.SK[[#This Row],[Starch content]],"")</f>
        <v>12.792511700468019</v>
      </c>
    </row>
    <row r="3459" spans="1:14">
      <c r="A3459" s="21">
        <v>2024</v>
      </c>
      <c r="B3459" s="21" t="s">
        <v>24</v>
      </c>
      <c r="C3459" s="21" t="s">
        <v>1145</v>
      </c>
      <c r="D3459" s="21" t="s">
        <v>35</v>
      </c>
      <c r="E3459" s="18" t="s">
        <v>668</v>
      </c>
      <c r="F3459" s="18" t="s">
        <v>105</v>
      </c>
      <c r="G3459" s="18" t="s">
        <v>48</v>
      </c>
      <c r="H3459" s="24">
        <v>45240</v>
      </c>
      <c r="I3459" s="24">
        <f>T_reg.root.SK[[#This Row],[Volume, kg]]/1000</f>
        <v>45.24</v>
      </c>
      <c r="J3459" s="25">
        <v>0.18129999999999999</v>
      </c>
      <c r="K3459" s="25">
        <f t="shared" ref="K3459:K3522" si="54">H3459*J3459</f>
        <v>8202.0119999999988</v>
      </c>
      <c r="L3459" s="25">
        <v>2.4900000000000002</v>
      </c>
      <c r="M3459" s="24">
        <v>112457.5</v>
      </c>
      <c r="N3459" s="25">
        <f>IFERROR(T_reg.root.SK[[#This Row],[Price]]/T_reg.root.SK[[#This Row],[Starch content]],"")</f>
        <v>13.734142305570879</v>
      </c>
    </row>
    <row r="3460" spans="1:14">
      <c r="A3460" s="21">
        <v>2024</v>
      </c>
      <c r="B3460" s="21" t="s">
        <v>24</v>
      </c>
      <c r="C3460" s="21" t="s">
        <v>1145</v>
      </c>
      <c r="D3460" s="21" t="s">
        <v>35</v>
      </c>
      <c r="E3460" s="18" t="s">
        <v>789</v>
      </c>
      <c r="F3460" s="18" t="s">
        <v>105</v>
      </c>
      <c r="G3460" s="18" t="s">
        <v>48</v>
      </c>
      <c r="H3460" s="24">
        <v>4990</v>
      </c>
      <c r="I3460" s="24">
        <f>T_reg.root.SK[[#This Row],[Volume, kg]]/1000</f>
        <v>4.99</v>
      </c>
      <c r="J3460" s="25">
        <v>0.1895</v>
      </c>
      <c r="K3460" s="25">
        <f t="shared" si="54"/>
        <v>945.60500000000002</v>
      </c>
      <c r="L3460" s="25">
        <v>2.35</v>
      </c>
      <c r="M3460" s="24">
        <v>11726.5</v>
      </c>
      <c r="N3460" s="25">
        <f>IFERROR(T_reg.root.SK[[#This Row],[Price]]/T_reg.root.SK[[#This Row],[Starch content]],"")</f>
        <v>12.401055408970977</v>
      </c>
    </row>
    <row r="3461" spans="1:14">
      <c r="A3461" s="21">
        <v>2024</v>
      </c>
      <c r="B3461" s="21" t="s">
        <v>24</v>
      </c>
      <c r="C3461" s="21" t="s">
        <v>1145</v>
      </c>
      <c r="D3461" s="21" t="s">
        <v>35</v>
      </c>
      <c r="E3461" s="18" t="s">
        <v>147</v>
      </c>
      <c r="F3461" s="18" t="s">
        <v>105</v>
      </c>
      <c r="G3461" s="18" t="s">
        <v>48</v>
      </c>
      <c r="H3461" s="24">
        <v>12880</v>
      </c>
      <c r="I3461" s="24">
        <f>T_reg.root.SK[[#This Row],[Volume, kg]]/1000</f>
        <v>12.88</v>
      </c>
      <c r="J3461" s="25">
        <v>0.23449999999999999</v>
      </c>
      <c r="K3461" s="25">
        <f t="shared" si="54"/>
        <v>3020.3599999999997</v>
      </c>
      <c r="L3461" s="25">
        <v>2.6</v>
      </c>
      <c r="M3461" s="24">
        <v>33488</v>
      </c>
      <c r="N3461" s="25">
        <f>IFERROR(T_reg.root.SK[[#This Row],[Price]]/T_reg.root.SK[[#This Row],[Starch content]],"")</f>
        <v>11.087420042643924</v>
      </c>
    </row>
    <row r="3462" spans="1:14">
      <c r="A3462" s="21">
        <v>2024</v>
      </c>
      <c r="B3462" s="21" t="s">
        <v>24</v>
      </c>
      <c r="C3462" s="21" t="s">
        <v>1145</v>
      </c>
      <c r="D3462" s="21" t="s">
        <v>35</v>
      </c>
      <c r="E3462" s="18" t="s">
        <v>362</v>
      </c>
      <c r="F3462" s="18" t="s">
        <v>105</v>
      </c>
      <c r="G3462" s="18" t="s">
        <v>48</v>
      </c>
      <c r="H3462" s="24">
        <v>4810</v>
      </c>
      <c r="I3462" s="24">
        <f>T_reg.root.SK[[#This Row],[Volume, kg]]/1000</f>
        <v>4.8099999999999996</v>
      </c>
      <c r="J3462" s="25">
        <v>0.2195</v>
      </c>
      <c r="K3462" s="25">
        <f t="shared" si="54"/>
        <v>1055.7950000000001</v>
      </c>
      <c r="L3462" s="25">
        <v>2.7</v>
      </c>
      <c r="M3462" s="24">
        <v>12987</v>
      </c>
      <c r="N3462" s="25">
        <f>IFERROR(T_reg.root.SK[[#This Row],[Price]]/T_reg.root.SK[[#This Row],[Starch content]],"")</f>
        <v>12.300683371298406</v>
      </c>
    </row>
    <row r="3463" spans="1:14">
      <c r="A3463" s="21">
        <v>2024</v>
      </c>
      <c r="B3463" s="21" t="s">
        <v>24</v>
      </c>
      <c r="C3463" s="21" t="s">
        <v>1145</v>
      </c>
      <c r="D3463" s="21" t="s">
        <v>35</v>
      </c>
      <c r="E3463" s="18" t="s">
        <v>251</v>
      </c>
      <c r="F3463" s="18" t="s">
        <v>105</v>
      </c>
      <c r="G3463" s="18" t="s">
        <v>48</v>
      </c>
      <c r="H3463" s="24">
        <v>8170</v>
      </c>
      <c r="I3463" s="24">
        <f>T_reg.root.SK[[#This Row],[Volume, kg]]/1000</f>
        <v>8.17</v>
      </c>
      <c r="J3463" s="25">
        <v>0.152</v>
      </c>
      <c r="K3463" s="25">
        <f t="shared" si="54"/>
        <v>1241.8399999999999</v>
      </c>
      <c r="L3463" s="25">
        <v>2.35</v>
      </c>
      <c r="M3463" s="24">
        <v>19199.5</v>
      </c>
      <c r="N3463" s="25">
        <f>IFERROR(T_reg.root.SK[[#This Row],[Price]]/T_reg.root.SK[[#This Row],[Starch content]],"")</f>
        <v>15.460526315789474</v>
      </c>
    </row>
    <row r="3464" spans="1:14">
      <c r="A3464" s="21">
        <v>2024</v>
      </c>
      <c r="B3464" s="21" t="s">
        <v>24</v>
      </c>
      <c r="C3464" s="21" t="s">
        <v>1145</v>
      </c>
      <c r="D3464" s="21" t="s">
        <v>35</v>
      </c>
      <c r="E3464" s="18" t="s">
        <v>148</v>
      </c>
      <c r="F3464" s="18" t="s">
        <v>105</v>
      </c>
      <c r="G3464" s="18" t="s">
        <v>48</v>
      </c>
      <c r="H3464" s="24">
        <v>62630</v>
      </c>
      <c r="I3464" s="24">
        <f>T_reg.root.SK[[#This Row],[Volume, kg]]/1000</f>
        <v>62.63</v>
      </c>
      <c r="J3464" s="25">
        <v>0.17559999999999998</v>
      </c>
      <c r="K3464" s="25">
        <f t="shared" si="54"/>
        <v>10997.828</v>
      </c>
      <c r="L3464" s="25">
        <v>2.44</v>
      </c>
      <c r="M3464" s="24">
        <v>152551</v>
      </c>
      <c r="N3464" s="25">
        <f>IFERROR(T_reg.root.SK[[#This Row],[Price]]/T_reg.root.SK[[#This Row],[Starch content]],"")</f>
        <v>13.895216400911163</v>
      </c>
    </row>
    <row r="3465" spans="1:14">
      <c r="A3465" s="21">
        <v>2024</v>
      </c>
      <c r="B3465" s="21" t="s">
        <v>24</v>
      </c>
      <c r="C3465" s="21" t="s">
        <v>1145</v>
      </c>
      <c r="D3465" s="21" t="s">
        <v>35</v>
      </c>
      <c r="E3465" s="18" t="s">
        <v>790</v>
      </c>
      <c r="F3465" s="18" t="s">
        <v>105</v>
      </c>
      <c r="G3465" s="18" t="s">
        <v>48</v>
      </c>
      <c r="H3465" s="24">
        <v>0</v>
      </c>
      <c r="I3465" s="24">
        <f>T_reg.root.SK[[#This Row],[Volume, kg]]/1000</f>
        <v>0</v>
      </c>
      <c r="J3465" s="25">
        <v>0</v>
      </c>
      <c r="K3465" s="25">
        <f t="shared" si="54"/>
        <v>0</v>
      </c>
      <c r="L3465" s="25">
        <v>0</v>
      </c>
      <c r="M3465" s="24">
        <v>0</v>
      </c>
      <c r="N3465" s="25" t="str">
        <f>IFERROR(T_reg.root.SK[[#This Row],[Price]]/T_reg.root.SK[[#This Row],[Starch content]],"")</f>
        <v/>
      </c>
    </row>
    <row r="3466" spans="1:14">
      <c r="A3466" s="21">
        <v>2024</v>
      </c>
      <c r="B3466" s="21" t="s">
        <v>24</v>
      </c>
      <c r="C3466" s="21" t="s">
        <v>1145</v>
      </c>
      <c r="D3466" s="21" t="s">
        <v>35</v>
      </c>
      <c r="E3466" s="18" t="s">
        <v>604</v>
      </c>
      <c r="F3466" s="18" t="s">
        <v>105</v>
      </c>
      <c r="G3466" s="18" t="s">
        <v>48</v>
      </c>
      <c r="H3466" s="24">
        <v>2080</v>
      </c>
      <c r="I3466" s="24">
        <f>T_reg.root.SK[[#This Row],[Volume, kg]]/1000</f>
        <v>2.08</v>
      </c>
      <c r="J3466" s="25">
        <v>0.19500000000000001</v>
      </c>
      <c r="K3466" s="25">
        <f t="shared" si="54"/>
        <v>405.6</v>
      </c>
      <c r="L3466" s="25">
        <v>2.5499999999999998</v>
      </c>
      <c r="M3466" s="24">
        <v>5304</v>
      </c>
      <c r="N3466" s="25">
        <f>IFERROR(T_reg.root.SK[[#This Row],[Price]]/T_reg.root.SK[[#This Row],[Starch content]],"")</f>
        <v>13.076923076923075</v>
      </c>
    </row>
    <row r="3467" spans="1:14">
      <c r="A3467" s="21">
        <v>2024</v>
      </c>
      <c r="B3467" s="21" t="s">
        <v>24</v>
      </c>
      <c r="C3467" s="21" t="s">
        <v>1145</v>
      </c>
      <c r="D3467" s="21" t="s">
        <v>35</v>
      </c>
      <c r="E3467" s="18" t="s">
        <v>314</v>
      </c>
      <c r="F3467" s="18" t="s">
        <v>105</v>
      </c>
      <c r="G3467" s="18" t="s">
        <v>48</v>
      </c>
      <c r="H3467" s="24">
        <v>97600</v>
      </c>
      <c r="I3467" s="24">
        <f>T_reg.root.SK[[#This Row],[Volume, kg]]/1000</f>
        <v>97.6</v>
      </c>
      <c r="J3467" s="25">
        <v>0.1852</v>
      </c>
      <c r="K3467" s="25">
        <f t="shared" si="54"/>
        <v>18075.52</v>
      </c>
      <c r="L3467" s="25">
        <v>2.4900000000000002</v>
      </c>
      <c r="M3467" s="24">
        <v>243464.5</v>
      </c>
      <c r="N3467" s="25">
        <f>IFERROR(T_reg.root.SK[[#This Row],[Price]]/T_reg.root.SK[[#This Row],[Starch content]],"")</f>
        <v>13.444924406047518</v>
      </c>
    </row>
    <row r="3468" spans="1:14">
      <c r="A3468" s="21">
        <v>2024</v>
      </c>
      <c r="B3468" s="21" t="s">
        <v>24</v>
      </c>
      <c r="C3468" s="21" t="s">
        <v>1145</v>
      </c>
      <c r="D3468" s="21" t="s">
        <v>35</v>
      </c>
      <c r="E3468" s="18" t="s">
        <v>500</v>
      </c>
      <c r="F3468" s="18" t="s">
        <v>105</v>
      </c>
      <c r="G3468" s="18" t="s">
        <v>48</v>
      </c>
      <c r="H3468" s="24">
        <v>86150</v>
      </c>
      <c r="I3468" s="24">
        <f>T_reg.root.SK[[#This Row],[Volume, kg]]/1000</f>
        <v>86.15</v>
      </c>
      <c r="J3468" s="25">
        <v>0.20379999999999998</v>
      </c>
      <c r="K3468" s="25">
        <f t="shared" si="54"/>
        <v>17557.37</v>
      </c>
      <c r="L3468" s="25">
        <v>2.5499999999999998</v>
      </c>
      <c r="M3468" s="24">
        <v>219830.5</v>
      </c>
      <c r="N3468" s="25">
        <f>IFERROR(T_reg.root.SK[[#This Row],[Price]]/T_reg.root.SK[[#This Row],[Starch content]],"")</f>
        <v>12.512266928361139</v>
      </c>
    </row>
    <row r="3469" spans="1:14">
      <c r="A3469" s="21">
        <v>2024</v>
      </c>
      <c r="B3469" s="21" t="s">
        <v>24</v>
      </c>
      <c r="C3469" s="21" t="s">
        <v>1145</v>
      </c>
      <c r="D3469" s="21" t="s">
        <v>35</v>
      </c>
      <c r="E3469" s="18" t="s">
        <v>687</v>
      </c>
      <c r="F3469" s="18" t="s">
        <v>105</v>
      </c>
      <c r="G3469" s="18" t="s">
        <v>48</v>
      </c>
      <c r="H3469" s="24">
        <v>21620</v>
      </c>
      <c r="I3469" s="24">
        <f>T_reg.root.SK[[#This Row],[Volume, kg]]/1000</f>
        <v>21.62</v>
      </c>
      <c r="J3469" s="25">
        <v>0.15060000000000001</v>
      </c>
      <c r="K3469" s="25">
        <f t="shared" si="54"/>
        <v>3255.9720000000002</v>
      </c>
      <c r="L3469" s="25">
        <v>2.3199999999999998</v>
      </c>
      <c r="M3469" s="24">
        <v>50071</v>
      </c>
      <c r="N3469" s="25">
        <f>IFERROR(T_reg.root.SK[[#This Row],[Price]]/T_reg.root.SK[[#This Row],[Starch content]],"")</f>
        <v>15.405046480743689</v>
      </c>
    </row>
    <row r="3470" spans="1:14">
      <c r="A3470" s="21">
        <v>2024</v>
      </c>
      <c r="B3470" s="21" t="s">
        <v>24</v>
      </c>
      <c r="C3470" s="21" t="s">
        <v>1145</v>
      </c>
      <c r="D3470" s="21" t="s">
        <v>35</v>
      </c>
      <c r="E3470" s="18" t="s">
        <v>150</v>
      </c>
      <c r="F3470" s="18" t="s">
        <v>105</v>
      </c>
      <c r="G3470" s="18" t="s">
        <v>48</v>
      </c>
      <c r="H3470" s="24">
        <v>23840</v>
      </c>
      <c r="I3470" s="24">
        <f>T_reg.root.SK[[#This Row],[Volume, kg]]/1000</f>
        <v>23.84</v>
      </c>
      <c r="J3470" s="25">
        <v>0.2205</v>
      </c>
      <c r="K3470" s="25">
        <f t="shared" si="54"/>
        <v>5256.72</v>
      </c>
      <c r="L3470" s="25">
        <v>2.62</v>
      </c>
      <c r="M3470" s="24">
        <v>62527</v>
      </c>
      <c r="N3470" s="25">
        <f>IFERROR(T_reg.root.SK[[#This Row],[Price]]/T_reg.root.SK[[#This Row],[Starch content]],"")</f>
        <v>11.882086167800454</v>
      </c>
    </row>
    <row r="3471" spans="1:14">
      <c r="A3471" s="21">
        <v>2024</v>
      </c>
      <c r="B3471" s="21" t="s">
        <v>24</v>
      </c>
      <c r="C3471" s="21" t="s">
        <v>1145</v>
      </c>
      <c r="D3471" s="21" t="s">
        <v>35</v>
      </c>
      <c r="E3471" s="18" t="s">
        <v>570</v>
      </c>
      <c r="F3471" s="18" t="s">
        <v>105</v>
      </c>
      <c r="G3471" s="18" t="s">
        <v>48</v>
      </c>
      <c r="H3471" s="24">
        <v>15720</v>
      </c>
      <c r="I3471" s="24">
        <f>T_reg.root.SK[[#This Row],[Volume, kg]]/1000</f>
        <v>15.72</v>
      </c>
      <c r="J3471" s="25">
        <v>0.16879999999999998</v>
      </c>
      <c r="K3471" s="25">
        <f t="shared" si="54"/>
        <v>2653.5359999999996</v>
      </c>
      <c r="L3471" s="25">
        <v>2.44</v>
      </c>
      <c r="M3471" s="24">
        <v>38358</v>
      </c>
      <c r="N3471" s="25">
        <f>IFERROR(T_reg.root.SK[[#This Row],[Price]]/T_reg.root.SK[[#This Row],[Starch content]],"")</f>
        <v>14.454976303317537</v>
      </c>
    </row>
    <row r="3472" spans="1:14">
      <c r="A3472" s="21">
        <v>2024</v>
      </c>
      <c r="B3472" s="21" t="s">
        <v>24</v>
      </c>
      <c r="C3472" s="21" t="s">
        <v>1145</v>
      </c>
      <c r="D3472" s="21" t="s">
        <v>35</v>
      </c>
      <c r="E3472" s="18" t="s">
        <v>151</v>
      </c>
      <c r="F3472" s="18" t="s">
        <v>105</v>
      </c>
      <c r="G3472" s="18" t="s">
        <v>48</v>
      </c>
      <c r="H3472" s="24">
        <v>224480</v>
      </c>
      <c r="I3472" s="24">
        <f>T_reg.root.SK[[#This Row],[Volume, kg]]/1000</f>
        <v>224.48</v>
      </c>
      <c r="J3472" s="25">
        <v>0.19579999999999997</v>
      </c>
      <c r="K3472" s="25">
        <f t="shared" si="54"/>
        <v>43953.183999999994</v>
      </c>
      <c r="L3472" s="25">
        <v>2.5499999999999998</v>
      </c>
      <c r="M3472" s="24">
        <v>572697</v>
      </c>
      <c r="N3472" s="25">
        <f>IFERROR(T_reg.root.SK[[#This Row],[Price]]/T_reg.root.SK[[#This Row],[Starch content]],"")</f>
        <v>13.023493360572013</v>
      </c>
    </row>
    <row r="3473" spans="1:14">
      <c r="A3473" s="21">
        <v>2024</v>
      </c>
      <c r="B3473" s="21" t="s">
        <v>24</v>
      </c>
      <c r="C3473" s="21" t="s">
        <v>1145</v>
      </c>
      <c r="D3473" s="21" t="s">
        <v>35</v>
      </c>
      <c r="E3473" s="18" t="s">
        <v>316</v>
      </c>
      <c r="F3473" s="18" t="s">
        <v>105</v>
      </c>
      <c r="G3473" s="18" t="s">
        <v>48</v>
      </c>
      <c r="H3473" s="24">
        <v>12980</v>
      </c>
      <c r="I3473" s="24">
        <f>T_reg.root.SK[[#This Row],[Volume, kg]]/1000</f>
        <v>12.98</v>
      </c>
      <c r="J3473" s="25">
        <v>0.22570000000000001</v>
      </c>
      <c r="K3473" s="25">
        <f t="shared" si="54"/>
        <v>2929.5860000000002</v>
      </c>
      <c r="L3473" s="25">
        <v>2.57</v>
      </c>
      <c r="M3473" s="24">
        <v>33332</v>
      </c>
      <c r="N3473" s="25">
        <f>IFERROR(T_reg.root.SK[[#This Row],[Price]]/T_reg.root.SK[[#This Row],[Starch content]],"")</f>
        <v>11.386796632698271</v>
      </c>
    </row>
    <row r="3474" spans="1:14">
      <c r="A3474" s="21">
        <v>2024</v>
      </c>
      <c r="B3474" s="21" t="s">
        <v>24</v>
      </c>
      <c r="C3474" s="21" t="s">
        <v>1145</v>
      </c>
      <c r="D3474" s="21" t="s">
        <v>35</v>
      </c>
      <c r="E3474" s="18" t="s">
        <v>669</v>
      </c>
      <c r="F3474" s="18" t="s">
        <v>105</v>
      </c>
      <c r="G3474" s="18" t="s">
        <v>48</v>
      </c>
      <c r="H3474" s="24">
        <v>14870</v>
      </c>
      <c r="I3474" s="24">
        <f>T_reg.root.SK[[#This Row],[Volume, kg]]/1000</f>
        <v>14.87</v>
      </c>
      <c r="J3474" s="25">
        <v>0.21309999999999998</v>
      </c>
      <c r="K3474" s="25">
        <f t="shared" si="54"/>
        <v>3168.7969999999996</v>
      </c>
      <c r="L3474" s="25">
        <v>2.62</v>
      </c>
      <c r="M3474" s="24">
        <v>38886</v>
      </c>
      <c r="N3474" s="25">
        <f>IFERROR(T_reg.root.SK[[#This Row],[Price]]/T_reg.root.SK[[#This Row],[Starch content]],"")</f>
        <v>12.294697325199438</v>
      </c>
    </row>
    <row r="3475" spans="1:14">
      <c r="A3475" s="21">
        <v>2024</v>
      </c>
      <c r="B3475" s="21" t="s">
        <v>24</v>
      </c>
      <c r="C3475" s="21" t="s">
        <v>1145</v>
      </c>
      <c r="D3475" s="21" t="s">
        <v>35</v>
      </c>
      <c r="E3475" s="18" t="s">
        <v>152</v>
      </c>
      <c r="F3475" s="18" t="s">
        <v>105</v>
      </c>
      <c r="G3475" s="18" t="s">
        <v>48</v>
      </c>
      <c r="H3475" s="24">
        <v>44990</v>
      </c>
      <c r="I3475" s="24">
        <f>T_reg.root.SK[[#This Row],[Volume, kg]]/1000</f>
        <v>44.99</v>
      </c>
      <c r="J3475" s="25">
        <v>0.16940000000000002</v>
      </c>
      <c r="K3475" s="25">
        <f t="shared" si="54"/>
        <v>7621.3060000000014</v>
      </c>
      <c r="L3475" s="25">
        <v>2.42</v>
      </c>
      <c r="M3475" s="24">
        <v>108745</v>
      </c>
      <c r="N3475" s="25">
        <f>IFERROR(T_reg.root.SK[[#This Row],[Price]]/T_reg.root.SK[[#This Row],[Starch content]],"")</f>
        <v>14.285714285714283</v>
      </c>
    </row>
    <row r="3476" spans="1:14">
      <c r="A3476" s="21">
        <v>2024</v>
      </c>
      <c r="B3476" s="21" t="s">
        <v>24</v>
      </c>
      <c r="C3476" s="21" t="s">
        <v>1145</v>
      </c>
      <c r="D3476" s="21" t="s">
        <v>35</v>
      </c>
      <c r="E3476" s="18" t="s">
        <v>254</v>
      </c>
      <c r="F3476" s="18" t="s">
        <v>105</v>
      </c>
      <c r="G3476" s="18" t="s">
        <v>48</v>
      </c>
      <c r="H3476" s="24">
        <v>10810</v>
      </c>
      <c r="I3476" s="24">
        <f>T_reg.root.SK[[#This Row],[Volume, kg]]/1000</f>
        <v>10.81</v>
      </c>
      <c r="J3476" s="25">
        <v>0.18</v>
      </c>
      <c r="K3476" s="25">
        <f t="shared" si="54"/>
        <v>1945.8</v>
      </c>
      <c r="L3476" s="25">
        <v>2.5</v>
      </c>
      <c r="M3476" s="24">
        <v>27042</v>
      </c>
      <c r="N3476" s="25">
        <f>IFERROR(T_reg.root.SK[[#This Row],[Price]]/T_reg.root.SK[[#This Row],[Starch content]],"")</f>
        <v>13.888888888888889</v>
      </c>
    </row>
    <row r="3477" spans="1:14">
      <c r="A3477" s="21">
        <v>2024</v>
      </c>
      <c r="B3477" s="21" t="s">
        <v>24</v>
      </c>
      <c r="C3477" s="21" t="s">
        <v>1145</v>
      </c>
      <c r="D3477" s="21" t="s">
        <v>35</v>
      </c>
      <c r="E3477" s="18" t="s">
        <v>154</v>
      </c>
      <c r="F3477" s="18" t="s">
        <v>105</v>
      </c>
      <c r="G3477" s="18" t="s">
        <v>48</v>
      </c>
      <c r="H3477" s="24">
        <v>5090</v>
      </c>
      <c r="I3477" s="24">
        <f>T_reg.root.SK[[#This Row],[Volume, kg]]/1000</f>
        <v>5.09</v>
      </c>
      <c r="J3477" s="25">
        <v>0.19750000000000001</v>
      </c>
      <c r="K3477" s="25">
        <f t="shared" si="54"/>
        <v>1005.2750000000001</v>
      </c>
      <c r="L3477" s="25">
        <v>2.6</v>
      </c>
      <c r="M3477" s="24">
        <v>13234</v>
      </c>
      <c r="N3477" s="25">
        <f>IFERROR(T_reg.root.SK[[#This Row],[Price]]/T_reg.root.SK[[#This Row],[Starch content]],"")</f>
        <v>13.164556962025316</v>
      </c>
    </row>
    <row r="3478" spans="1:14">
      <c r="A3478" s="21">
        <v>2024</v>
      </c>
      <c r="B3478" s="21" t="s">
        <v>24</v>
      </c>
      <c r="C3478" s="21" t="s">
        <v>1145</v>
      </c>
      <c r="D3478" s="21" t="s">
        <v>35</v>
      </c>
      <c r="E3478" s="18" t="s">
        <v>155</v>
      </c>
      <c r="F3478" s="18" t="s">
        <v>105</v>
      </c>
      <c r="G3478" s="18" t="s">
        <v>48</v>
      </c>
      <c r="H3478" s="24">
        <v>5970</v>
      </c>
      <c r="I3478" s="24">
        <f>T_reg.root.SK[[#This Row],[Volume, kg]]/1000</f>
        <v>5.97</v>
      </c>
      <c r="J3478" s="25">
        <v>0.1527</v>
      </c>
      <c r="K3478" s="25">
        <f t="shared" si="54"/>
        <v>911.61900000000003</v>
      </c>
      <c r="L3478" s="25">
        <v>2.27</v>
      </c>
      <c r="M3478" s="24">
        <v>13567.5</v>
      </c>
      <c r="N3478" s="25">
        <f>IFERROR(T_reg.root.SK[[#This Row],[Price]]/T_reg.root.SK[[#This Row],[Starch content]],"")</f>
        <v>14.865749836280289</v>
      </c>
    </row>
    <row r="3479" spans="1:14">
      <c r="A3479" s="21">
        <v>2024</v>
      </c>
      <c r="B3479" s="21" t="s">
        <v>24</v>
      </c>
      <c r="C3479" s="21" t="s">
        <v>1145</v>
      </c>
      <c r="D3479" s="21" t="s">
        <v>35</v>
      </c>
      <c r="E3479" s="18" t="s">
        <v>156</v>
      </c>
      <c r="F3479" s="18" t="s">
        <v>105</v>
      </c>
      <c r="G3479" s="18" t="s">
        <v>48</v>
      </c>
      <c r="H3479" s="24">
        <v>2610</v>
      </c>
      <c r="I3479" s="24">
        <f>T_reg.root.SK[[#This Row],[Volume, kg]]/1000</f>
        <v>2.61</v>
      </c>
      <c r="J3479" s="25">
        <v>0.19149999999999998</v>
      </c>
      <c r="K3479" s="25">
        <f t="shared" si="54"/>
        <v>499.81499999999994</v>
      </c>
      <c r="L3479" s="25">
        <v>2.5499999999999998</v>
      </c>
      <c r="M3479" s="24">
        <v>6655.5</v>
      </c>
      <c r="N3479" s="25">
        <f>IFERROR(T_reg.root.SK[[#This Row],[Price]]/T_reg.root.SK[[#This Row],[Starch content]],"")</f>
        <v>13.315926892950392</v>
      </c>
    </row>
    <row r="3480" spans="1:14">
      <c r="A3480" s="21">
        <v>2024</v>
      </c>
      <c r="B3480" s="21" t="s">
        <v>24</v>
      </c>
      <c r="C3480" s="21" t="s">
        <v>1145</v>
      </c>
      <c r="D3480" s="21" t="s">
        <v>35</v>
      </c>
      <c r="E3480" s="18" t="s">
        <v>159</v>
      </c>
      <c r="F3480" s="18" t="s">
        <v>105</v>
      </c>
      <c r="G3480" s="18" t="s">
        <v>48</v>
      </c>
      <c r="H3480" s="24">
        <v>199300</v>
      </c>
      <c r="I3480" s="24">
        <f>T_reg.root.SK[[#This Row],[Volume, kg]]/1000</f>
        <v>199.3</v>
      </c>
      <c r="J3480" s="25">
        <v>0.17469999999999999</v>
      </c>
      <c r="K3480" s="25">
        <f t="shared" si="54"/>
        <v>34817.71</v>
      </c>
      <c r="L3480" s="25">
        <v>2.4500000000000002</v>
      </c>
      <c r="M3480" s="24">
        <v>487642.5</v>
      </c>
      <c r="N3480" s="25">
        <f>IFERROR(T_reg.root.SK[[#This Row],[Price]]/T_reg.root.SK[[#This Row],[Starch content]],"")</f>
        <v>14.024041213508873</v>
      </c>
    </row>
    <row r="3481" spans="1:14">
      <c r="A3481" s="21">
        <v>2024</v>
      </c>
      <c r="B3481" s="21" t="s">
        <v>24</v>
      </c>
      <c r="C3481" s="21" t="s">
        <v>1145</v>
      </c>
      <c r="D3481" s="21" t="s">
        <v>35</v>
      </c>
      <c r="E3481" s="18" t="s">
        <v>255</v>
      </c>
      <c r="F3481" s="18" t="s">
        <v>105</v>
      </c>
      <c r="G3481" s="18" t="s">
        <v>48</v>
      </c>
      <c r="H3481" s="24">
        <v>33540</v>
      </c>
      <c r="I3481" s="24">
        <f>T_reg.root.SK[[#This Row],[Volume, kg]]/1000</f>
        <v>33.54</v>
      </c>
      <c r="J3481" s="25">
        <v>0.1978</v>
      </c>
      <c r="K3481" s="25">
        <f t="shared" si="54"/>
        <v>6634.2120000000004</v>
      </c>
      <c r="L3481" s="25">
        <v>2.5099999999999998</v>
      </c>
      <c r="M3481" s="24">
        <v>84065</v>
      </c>
      <c r="N3481" s="25">
        <f>IFERROR(T_reg.root.SK[[#This Row],[Price]]/T_reg.root.SK[[#This Row],[Starch content]],"")</f>
        <v>12.689585439838218</v>
      </c>
    </row>
    <row r="3482" spans="1:14">
      <c r="A3482" s="21">
        <v>2024</v>
      </c>
      <c r="B3482" s="21" t="s">
        <v>24</v>
      </c>
      <c r="C3482" s="21" t="s">
        <v>1145</v>
      </c>
      <c r="D3482" s="21" t="s">
        <v>35</v>
      </c>
      <c r="E3482" s="18" t="s">
        <v>160</v>
      </c>
      <c r="F3482" s="18" t="s">
        <v>105</v>
      </c>
      <c r="G3482" s="18" t="s">
        <v>48</v>
      </c>
      <c r="H3482" s="24">
        <v>12530</v>
      </c>
      <c r="I3482" s="24">
        <f>T_reg.root.SK[[#This Row],[Volume, kg]]/1000</f>
        <v>12.53</v>
      </c>
      <c r="J3482" s="25">
        <v>0.18809999999999999</v>
      </c>
      <c r="K3482" s="25">
        <f t="shared" si="54"/>
        <v>2356.893</v>
      </c>
      <c r="L3482" s="25">
        <v>2.5299999999999998</v>
      </c>
      <c r="M3482" s="24">
        <v>31703.5</v>
      </c>
      <c r="N3482" s="25">
        <f>IFERROR(T_reg.root.SK[[#This Row],[Price]]/T_reg.root.SK[[#This Row],[Starch content]],"")</f>
        <v>13.450292397660819</v>
      </c>
    </row>
    <row r="3483" spans="1:14">
      <c r="A3483" s="21">
        <v>2024</v>
      </c>
      <c r="B3483" s="21" t="s">
        <v>24</v>
      </c>
      <c r="C3483" s="21" t="s">
        <v>1145</v>
      </c>
      <c r="D3483" s="21" t="s">
        <v>35</v>
      </c>
      <c r="E3483" s="18" t="s">
        <v>721</v>
      </c>
      <c r="F3483" s="18" t="s">
        <v>105</v>
      </c>
      <c r="G3483" s="18" t="s">
        <v>48</v>
      </c>
      <c r="H3483" s="24">
        <v>22540</v>
      </c>
      <c r="I3483" s="24">
        <f>T_reg.root.SK[[#This Row],[Volume, kg]]/1000</f>
        <v>22.54</v>
      </c>
      <c r="J3483" s="25">
        <v>0.19039999999999999</v>
      </c>
      <c r="K3483" s="25">
        <f t="shared" si="54"/>
        <v>4291.616</v>
      </c>
      <c r="L3483" s="25">
        <v>2.5499999999999998</v>
      </c>
      <c r="M3483" s="24">
        <v>57440.5</v>
      </c>
      <c r="N3483" s="25">
        <f>IFERROR(T_reg.root.SK[[#This Row],[Price]]/T_reg.root.SK[[#This Row],[Starch content]],"")</f>
        <v>13.392857142857142</v>
      </c>
    </row>
    <row r="3484" spans="1:14">
      <c r="A3484" s="21">
        <v>2024</v>
      </c>
      <c r="B3484" s="21" t="s">
        <v>24</v>
      </c>
      <c r="C3484" s="21" t="s">
        <v>1145</v>
      </c>
      <c r="D3484" s="21" t="s">
        <v>35</v>
      </c>
      <c r="E3484" s="18" t="s">
        <v>161</v>
      </c>
      <c r="F3484" s="18" t="s">
        <v>105</v>
      </c>
      <c r="G3484" s="18" t="s">
        <v>48</v>
      </c>
      <c r="H3484" s="24">
        <v>44850</v>
      </c>
      <c r="I3484" s="24">
        <f>T_reg.root.SK[[#This Row],[Volume, kg]]/1000</f>
        <v>44.85</v>
      </c>
      <c r="J3484" s="25">
        <v>0.20710000000000001</v>
      </c>
      <c r="K3484" s="25">
        <f t="shared" si="54"/>
        <v>9288.4349999999995</v>
      </c>
      <c r="L3484" s="25">
        <v>2.5299999999999998</v>
      </c>
      <c r="M3484" s="24">
        <v>113597</v>
      </c>
      <c r="N3484" s="25">
        <f>IFERROR(T_reg.root.SK[[#This Row],[Price]]/T_reg.root.SK[[#This Row],[Starch content]],"")</f>
        <v>12.216320618058907</v>
      </c>
    </row>
    <row r="3485" spans="1:14">
      <c r="A3485" s="21">
        <v>2024</v>
      </c>
      <c r="B3485" s="21" t="s">
        <v>24</v>
      </c>
      <c r="C3485" s="21" t="s">
        <v>1145</v>
      </c>
      <c r="D3485" s="21" t="s">
        <v>35</v>
      </c>
      <c r="E3485" s="18" t="s">
        <v>162</v>
      </c>
      <c r="F3485" s="18" t="s">
        <v>105</v>
      </c>
      <c r="G3485" s="18" t="s">
        <v>48</v>
      </c>
      <c r="H3485" s="24">
        <v>49470</v>
      </c>
      <c r="I3485" s="24">
        <f>T_reg.root.SK[[#This Row],[Volume, kg]]/1000</f>
        <v>49.47</v>
      </c>
      <c r="J3485" s="25">
        <v>0.1757</v>
      </c>
      <c r="K3485" s="25">
        <f t="shared" si="54"/>
        <v>8691.878999999999</v>
      </c>
      <c r="L3485" s="25">
        <v>2.48</v>
      </c>
      <c r="M3485" s="24">
        <v>122455.5</v>
      </c>
      <c r="N3485" s="25">
        <f>IFERROR(T_reg.root.SK[[#This Row],[Price]]/T_reg.root.SK[[#This Row],[Starch content]],"")</f>
        <v>14.114968696642004</v>
      </c>
    </row>
    <row r="3486" spans="1:14">
      <c r="A3486" s="21">
        <v>2024</v>
      </c>
      <c r="B3486" s="21" t="s">
        <v>24</v>
      </c>
      <c r="C3486" s="21" t="s">
        <v>1145</v>
      </c>
      <c r="D3486" s="21" t="s">
        <v>35</v>
      </c>
      <c r="E3486" s="18" t="s">
        <v>163</v>
      </c>
      <c r="F3486" s="18" t="s">
        <v>105</v>
      </c>
      <c r="G3486" s="18" t="s">
        <v>48</v>
      </c>
      <c r="H3486" s="24">
        <v>39960</v>
      </c>
      <c r="I3486" s="24">
        <f>T_reg.root.SK[[#This Row],[Volume, kg]]/1000</f>
        <v>39.96</v>
      </c>
      <c r="J3486" s="25">
        <v>0.22450000000000001</v>
      </c>
      <c r="K3486" s="25">
        <f t="shared" si="54"/>
        <v>8971.02</v>
      </c>
      <c r="L3486" s="25">
        <v>2.72</v>
      </c>
      <c r="M3486" s="24">
        <v>108659.5</v>
      </c>
      <c r="N3486" s="25">
        <f>IFERROR(T_reg.root.SK[[#This Row],[Price]]/T_reg.root.SK[[#This Row],[Starch content]],"")</f>
        <v>12.115812917594655</v>
      </c>
    </row>
    <row r="3487" spans="1:14">
      <c r="A3487" s="21">
        <v>2024</v>
      </c>
      <c r="B3487" s="21" t="s">
        <v>24</v>
      </c>
      <c r="C3487" s="21" t="s">
        <v>1145</v>
      </c>
      <c r="D3487" s="21" t="s">
        <v>35</v>
      </c>
      <c r="E3487" s="18" t="s">
        <v>165</v>
      </c>
      <c r="F3487" s="18" t="s">
        <v>105</v>
      </c>
      <c r="G3487" s="18" t="s">
        <v>48</v>
      </c>
      <c r="H3487" s="24">
        <v>8360</v>
      </c>
      <c r="I3487" s="24">
        <f>T_reg.root.SK[[#This Row],[Volume, kg]]/1000</f>
        <v>8.36</v>
      </c>
      <c r="J3487" s="25">
        <v>0.16750000000000001</v>
      </c>
      <c r="K3487" s="25">
        <f t="shared" si="54"/>
        <v>1400.3000000000002</v>
      </c>
      <c r="L3487" s="25">
        <v>2.4</v>
      </c>
      <c r="M3487" s="24">
        <v>20088.5</v>
      </c>
      <c r="N3487" s="25">
        <f>IFERROR(T_reg.root.SK[[#This Row],[Price]]/T_reg.root.SK[[#This Row],[Starch content]],"")</f>
        <v>14.328358208955223</v>
      </c>
    </row>
    <row r="3488" spans="1:14">
      <c r="A3488" s="21">
        <v>2024</v>
      </c>
      <c r="B3488" s="21" t="s">
        <v>24</v>
      </c>
      <c r="C3488" s="21" t="s">
        <v>1145</v>
      </c>
      <c r="D3488" s="21" t="s">
        <v>35</v>
      </c>
      <c r="E3488" s="18" t="s">
        <v>573</v>
      </c>
      <c r="F3488" s="18" t="s">
        <v>105</v>
      </c>
      <c r="G3488" s="18" t="s">
        <v>48</v>
      </c>
      <c r="H3488" s="24">
        <v>25820</v>
      </c>
      <c r="I3488" s="24">
        <f>T_reg.root.SK[[#This Row],[Volume, kg]]/1000</f>
        <v>25.82</v>
      </c>
      <c r="J3488" s="25">
        <v>0.19980000000000001</v>
      </c>
      <c r="K3488" s="25">
        <f t="shared" si="54"/>
        <v>5158.8360000000002</v>
      </c>
      <c r="L3488" s="25">
        <v>2.4500000000000002</v>
      </c>
      <c r="M3488" s="24">
        <v>63159.5</v>
      </c>
      <c r="N3488" s="25">
        <f>IFERROR(T_reg.root.SK[[#This Row],[Price]]/T_reg.root.SK[[#This Row],[Starch content]],"")</f>
        <v>12.262262262262263</v>
      </c>
    </row>
    <row r="3489" spans="1:14">
      <c r="A3489" s="21">
        <v>2024</v>
      </c>
      <c r="B3489" s="21" t="s">
        <v>24</v>
      </c>
      <c r="C3489" s="21" t="s">
        <v>1145</v>
      </c>
      <c r="D3489" s="21" t="s">
        <v>35</v>
      </c>
      <c r="E3489" s="18" t="s">
        <v>670</v>
      </c>
      <c r="F3489" s="18" t="s">
        <v>105</v>
      </c>
      <c r="G3489" s="18" t="s">
        <v>48</v>
      </c>
      <c r="H3489" s="24">
        <v>61390</v>
      </c>
      <c r="I3489" s="24">
        <f>T_reg.root.SK[[#This Row],[Volume, kg]]/1000</f>
        <v>61.39</v>
      </c>
      <c r="J3489" s="25">
        <v>0.1613</v>
      </c>
      <c r="K3489" s="25">
        <f t="shared" si="54"/>
        <v>9902.2070000000003</v>
      </c>
      <c r="L3489" s="25">
        <v>2.38</v>
      </c>
      <c r="M3489" s="24">
        <v>146404</v>
      </c>
      <c r="N3489" s="25">
        <f>IFERROR(T_reg.root.SK[[#This Row],[Price]]/T_reg.root.SK[[#This Row],[Starch content]],"")</f>
        <v>14.755114693118413</v>
      </c>
    </row>
    <row r="3490" spans="1:14">
      <c r="A3490" s="21">
        <v>2024</v>
      </c>
      <c r="B3490" s="21" t="s">
        <v>24</v>
      </c>
      <c r="C3490" s="21" t="s">
        <v>1145</v>
      </c>
      <c r="D3490" s="21" t="s">
        <v>35</v>
      </c>
      <c r="E3490" s="18" t="s">
        <v>739</v>
      </c>
      <c r="F3490" s="18" t="s">
        <v>105</v>
      </c>
      <c r="G3490" s="18" t="s">
        <v>48</v>
      </c>
      <c r="H3490" s="24">
        <v>19090</v>
      </c>
      <c r="I3490" s="24">
        <f>T_reg.root.SK[[#This Row],[Volume, kg]]/1000</f>
        <v>19.09</v>
      </c>
      <c r="J3490" s="25">
        <v>0.184</v>
      </c>
      <c r="K3490" s="25">
        <f t="shared" si="54"/>
        <v>3512.56</v>
      </c>
      <c r="L3490" s="25">
        <v>2.5099999999999998</v>
      </c>
      <c r="M3490" s="24">
        <v>48003</v>
      </c>
      <c r="N3490" s="25">
        <f>IFERROR(T_reg.root.SK[[#This Row],[Price]]/T_reg.root.SK[[#This Row],[Starch content]],"")</f>
        <v>13.641304347826086</v>
      </c>
    </row>
    <row r="3491" spans="1:14">
      <c r="A3491" s="21">
        <v>2024</v>
      </c>
      <c r="B3491" s="21" t="s">
        <v>24</v>
      </c>
      <c r="C3491" s="21" t="s">
        <v>1145</v>
      </c>
      <c r="D3491" s="21" t="s">
        <v>35</v>
      </c>
      <c r="E3491" s="18" t="s">
        <v>170</v>
      </c>
      <c r="F3491" s="18" t="s">
        <v>105</v>
      </c>
      <c r="G3491" s="18" t="s">
        <v>48</v>
      </c>
      <c r="H3491" s="24">
        <v>18010</v>
      </c>
      <c r="I3491" s="24">
        <f>T_reg.root.SK[[#This Row],[Volume, kg]]/1000</f>
        <v>18.010000000000002</v>
      </c>
      <c r="J3491" s="25">
        <v>0.1663</v>
      </c>
      <c r="K3491" s="25">
        <f t="shared" si="54"/>
        <v>2995.0630000000001</v>
      </c>
      <c r="L3491" s="25">
        <v>2.4300000000000002</v>
      </c>
      <c r="M3491" s="24">
        <v>43740.5</v>
      </c>
      <c r="N3491" s="25">
        <f>IFERROR(T_reg.root.SK[[#This Row],[Price]]/T_reg.root.SK[[#This Row],[Starch content]],"")</f>
        <v>14.61214672279014</v>
      </c>
    </row>
    <row r="3492" spans="1:14">
      <c r="A3492" s="21">
        <v>2024</v>
      </c>
      <c r="B3492" s="21" t="s">
        <v>24</v>
      </c>
      <c r="C3492" s="21" t="s">
        <v>1145</v>
      </c>
      <c r="D3492" s="21" t="s">
        <v>35</v>
      </c>
      <c r="E3492" s="18" t="s">
        <v>171</v>
      </c>
      <c r="F3492" s="18" t="s">
        <v>105</v>
      </c>
      <c r="G3492" s="18" t="s">
        <v>48</v>
      </c>
      <c r="H3492" s="24">
        <v>13230</v>
      </c>
      <c r="I3492" s="24">
        <f>T_reg.root.SK[[#This Row],[Volume, kg]]/1000</f>
        <v>13.23</v>
      </c>
      <c r="J3492" s="25">
        <v>0.2034</v>
      </c>
      <c r="K3492" s="25">
        <f t="shared" si="54"/>
        <v>2690.982</v>
      </c>
      <c r="L3492" s="25">
        <v>2.46</v>
      </c>
      <c r="M3492" s="24">
        <v>32610</v>
      </c>
      <c r="N3492" s="25">
        <f>IFERROR(T_reg.root.SK[[#This Row],[Price]]/T_reg.root.SK[[#This Row],[Starch content]],"")</f>
        <v>12.094395280235988</v>
      </c>
    </row>
    <row r="3493" spans="1:14">
      <c r="A3493" s="21">
        <v>2024</v>
      </c>
      <c r="B3493" s="21" t="s">
        <v>24</v>
      </c>
      <c r="C3493" s="21" t="s">
        <v>1145</v>
      </c>
      <c r="D3493" s="21" t="s">
        <v>35</v>
      </c>
      <c r="E3493" s="18" t="s">
        <v>722</v>
      </c>
      <c r="F3493" s="18" t="s">
        <v>105</v>
      </c>
      <c r="G3493" s="18" t="s">
        <v>48</v>
      </c>
      <c r="H3493" s="24">
        <v>3000</v>
      </c>
      <c r="I3493" s="24">
        <f>T_reg.root.SK[[#This Row],[Volume, kg]]/1000</f>
        <v>3</v>
      </c>
      <c r="J3493" s="25">
        <v>0.22649999999999998</v>
      </c>
      <c r="K3493" s="25">
        <f t="shared" si="54"/>
        <v>679.49999999999989</v>
      </c>
      <c r="L3493" s="25">
        <v>2.7</v>
      </c>
      <c r="M3493" s="24">
        <v>8100</v>
      </c>
      <c r="N3493" s="25">
        <f>IFERROR(T_reg.root.SK[[#This Row],[Price]]/T_reg.root.SK[[#This Row],[Starch content]],"")</f>
        <v>11.920529801324506</v>
      </c>
    </row>
    <row r="3494" spans="1:14">
      <c r="A3494" s="21">
        <v>2024</v>
      </c>
      <c r="B3494" s="21" t="s">
        <v>24</v>
      </c>
      <c r="C3494" s="21" t="s">
        <v>1145</v>
      </c>
      <c r="D3494" s="21" t="s">
        <v>35</v>
      </c>
      <c r="E3494" s="18" t="s">
        <v>321</v>
      </c>
      <c r="F3494" s="18" t="s">
        <v>105</v>
      </c>
      <c r="G3494" s="18" t="s">
        <v>48</v>
      </c>
      <c r="H3494" s="24">
        <v>29320</v>
      </c>
      <c r="I3494" s="24">
        <f>T_reg.root.SK[[#This Row],[Volume, kg]]/1000</f>
        <v>29.32</v>
      </c>
      <c r="J3494" s="25">
        <v>0.15029999999999999</v>
      </c>
      <c r="K3494" s="25">
        <f t="shared" si="54"/>
        <v>4406.7959999999994</v>
      </c>
      <c r="L3494" s="25">
        <v>2.33</v>
      </c>
      <c r="M3494" s="24">
        <v>68232</v>
      </c>
      <c r="N3494" s="25">
        <f>IFERROR(T_reg.root.SK[[#This Row],[Price]]/T_reg.root.SK[[#This Row],[Starch content]],"")</f>
        <v>15.502328675981373</v>
      </c>
    </row>
    <row r="3495" spans="1:14">
      <c r="A3495" s="21">
        <v>2024</v>
      </c>
      <c r="B3495" s="21" t="s">
        <v>24</v>
      </c>
      <c r="C3495" s="21" t="s">
        <v>1145</v>
      </c>
      <c r="D3495" s="21" t="s">
        <v>35</v>
      </c>
      <c r="E3495" s="18" t="s">
        <v>173</v>
      </c>
      <c r="F3495" s="18" t="s">
        <v>105</v>
      </c>
      <c r="G3495" s="18" t="s">
        <v>48</v>
      </c>
      <c r="H3495" s="24">
        <v>1570</v>
      </c>
      <c r="I3495" s="24">
        <f>T_reg.root.SK[[#This Row],[Volume, kg]]/1000</f>
        <v>1.57</v>
      </c>
      <c r="J3495" s="25">
        <v>0.22800000000000001</v>
      </c>
      <c r="K3495" s="25">
        <f t="shared" si="54"/>
        <v>357.96000000000004</v>
      </c>
      <c r="L3495" s="25">
        <v>2.75</v>
      </c>
      <c r="M3495" s="24">
        <v>4317.5</v>
      </c>
      <c r="N3495" s="25">
        <f>IFERROR(T_reg.root.SK[[#This Row],[Price]]/T_reg.root.SK[[#This Row],[Starch content]],"")</f>
        <v>12.06140350877193</v>
      </c>
    </row>
    <row r="3496" spans="1:14">
      <c r="A3496" s="21">
        <v>2024</v>
      </c>
      <c r="B3496" s="21" t="s">
        <v>24</v>
      </c>
      <c r="C3496" s="21" t="s">
        <v>1145</v>
      </c>
      <c r="D3496" s="21" t="s">
        <v>35</v>
      </c>
      <c r="E3496" s="18" t="s">
        <v>506</v>
      </c>
      <c r="F3496" s="18" t="s">
        <v>105</v>
      </c>
      <c r="G3496" s="18" t="s">
        <v>48</v>
      </c>
      <c r="H3496" s="24">
        <v>2410</v>
      </c>
      <c r="I3496" s="24">
        <f>T_reg.root.SK[[#This Row],[Volume, kg]]/1000</f>
        <v>2.41</v>
      </c>
      <c r="J3496" s="25">
        <v>0.19450000000000001</v>
      </c>
      <c r="K3496" s="25">
        <f t="shared" si="54"/>
        <v>468.745</v>
      </c>
      <c r="L3496" s="25">
        <v>2.5</v>
      </c>
      <c r="M3496" s="24">
        <v>6025</v>
      </c>
      <c r="N3496" s="25">
        <f>IFERROR(T_reg.root.SK[[#This Row],[Price]]/T_reg.root.SK[[#This Row],[Starch content]],"")</f>
        <v>12.853470437017995</v>
      </c>
    </row>
    <row r="3497" spans="1:14">
      <c r="A3497" s="21">
        <v>2024</v>
      </c>
      <c r="B3497" s="21" t="s">
        <v>24</v>
      </c>
      <c r="C3497" s="21" t="s">
        <v>1145</v>
      </c>
      <c r="D3497" s="21" t="s">
        <v>35</v>
      </c>
      <c r="E3497" s="18" t="s">
        <v>791</v>
      </c>
      <c r="F3497" s="18" t="s">
        <v>105</v>
      </c>
      <c r="G3497" s="18" t="s">
        <v>48</v>
      </c>
      <c r="H3497" s="24">
        <v>7370</v>
      </c>
      <c r="I3497" s="24">
        <f>T_reg.root.SK[[#This Row],[Volume, kg]]/1000</f>
        <v>7.37</v>
      </c>
      <c r="J3497" s="25">
        <v>0.188</v>
      </c>
      <c r="K3497" s="25">
        <f t="shared" si="54"/>
        <v>1385.56</v>
      </c>
      <c r="L3497" s="25">
        <v>2.4</v>
      </c>
      <c r="M3497" s="24">
        <v>17688</v>
      </c>
      <c r="N3497" s="25">
        <f>IFERROR(T_reg.root.SK[[#This Row],[Price]]/T_reg.root.SK[[#This Row],[Starch content]],"")</f>
        <v>12.76595744680851</v>
      </c>
    </row>
    <row r="3498" spans="1:14">
      <c r="A3498" s="21">
        <v>2024</v>
      </c>
      <c r="B3498" s="21" t="s">
        <v>24</v>
      </c>
      <c r="C3498" s="21" t="s">
        <v>1145</v>
      </c>
      <c r="D3498" s="21" t="s">
        <v>35</v>
      </c>
      <c r="E3498" s="18" t="s">
        <v>792</v>
      </c>
      <c r="F3498" s="18" t="s">
        <v>105</v>
      </c>
      <c r="G3498" s="18" t="s">
        <v>48</v>
      </c>
      <c r="H3498" s="24">
        <v>81550</v>
      </c>
      <c r="I3498" s="24">
        <f>T_reg.root.SK[[#This Row],[Volume, kg]]/1000</f>
        <v>81.55</v>
      </c>
      <c r="J3498" s="25">
        <v>0.2011</v>
      </c>
      <c r="K3498" s="25">
        <f t="shared" si="54"/>
        <v>16399.705000000002</v>
      </c>
      <c r="L3498" s="25">
        <v>2.61</v>
      </c>
      <c r="M3498" s="24">
        <v>212624</v>
      </c>
      <c r="N3498" s="25">
        <f>IFERROR(T_reg.root.SK[[#This Row],[Price]]/T_reg.root.SK[[#This Row],[Starch content]],"")</f>
        <v>12.978617603182496</v>
      </c>
    </row>
    <row r="3499" spans="1:14">
      <c r="A3499" s="21">
        <v>2024</v>
      </c>
      <c r="B3499" s="21" t="s">
        <v>24</v>
      </c>
      <c r="C3499" s="21" t="s">
        <v>1145</v>
      </c>
      <c r="D3499" s="21" t="s">
        <v>35</v>
      </c>
      <c r="E3499" s="18" t="s">
        <v>771</v>
      </c>
      <c r="F3499" s="18" t="s">
        <v>105</v>
      </c>
      <c r="G3499" s="18" t="s">
        <v>48</v>
      </c>
      <c r="H3499" s="24">
        <v>30890</v>
      </c>
      <c r="I3499" s="24">
        <f>T_reg.root.SK[[#This Row],[Volume, kg]]/1000</f>
        <v>30.89</v>
      </c>
      <c r="J3499" s="25">
        <v>0.1996</v>
      </c>
      <c r="K3499" s="25">
        <f t="shared" si="54"/>
        <v>6165.6440000000002</v>
      </c>
      <c r="L3499" s="25">
        <v>2.58</v>
      </c>
      <c r="M3499" s="24">
        <v>79768</v>
      </c>
      <c r="N3499" s="25">
        <f>IFERROR(T_reg.root.SK[[#This Row],[Price]]/T_reg.root.SK[[#This Row],[Starch content]],"")</f>
        <v>12.925851703406813</v>
      </c>
    </row>
    <row r="3500" spans="1:14">
      <c r="A3500" s="21">
        <v>2024</v>
      </c>
      <c r="B3500" s="21" t="s">
        <v>24</v>
      </c>
      <c r="C3500" s="21" t="s">
        <v>1145</v>
      </c>
      <c r="D3500" s="21" t="s">
        <v>35</v>
      </c>
      <c r="E3500" s="18" t="s">
        <v>326</v>
      </c>
      <c r="F3500" s="18" t="s">
        <v>105</v>
      </c>
      <c r="G3500" s="18" t="s">
        <v>48</v>
      </c>
      <c r="H3500" s="24">
        <v>50130</v>
      </c>
      <c r="I3500" s="24">
        <f>T_reg.root.SK[[#This Row],[Volume, kg]]/1000</f>
        <v>50.13</v>
      </c>
      <c r="J3500" s="25">
        <v>0.16649999999999998</v>
      </c>
      <c r="K3500" s="25">
        <f t="shared" si="54"/>
        <v>8346.6449999999986</v>
      </c>
      <c r="L3500" s="25">
        <v>2.39</v>
      </c>
      <c r="M3500" s="24">
        <v>119613.5</v>
      </c>
      <c r="N3500" s="25">
        <f>IFERROR(T_reg.root.SK[[#This Row],[Price]]/T_reg.root.SK[[#This Row],[Starch content]],"")</f>
        <v>14.354354354354356</v>
      </c>
    </row>
    <row r="3501" spans="1:14">
      <c r="A3501" s="21">
        <v>2024</v>
      </c>
      <c r="B3501" s="21" t="s">
        <v>24</v>
      </c>
      <c r="C3501" s="21" t="s">
        <v>1145</v>
      </c>
      <c r="D3501" s="21" t="s">
        <v>35</v>
      </c>
      <c r="E3501" s="18" t="s">
        <v>174</v>
      </c>
      <c r="F3501" s="18" t="s">
        <v>105</v>
      </c>
      <c r="G3501" s="18" t="s">
        <v>48</v>
      </c>
      <c r="H3501" s="24">
        <v>155700</v>
      </c>
      <c r="I3501" s="24">
        <f>T_reg.root.SK[[#This Row],[Volume, kg]]/1000</f>
        <v>155.69999999999999</v>
      </c>
      <c r="J3501" s="25">
        <v>0.19500000000000001</v>
      </c>
      <c r="K3501" s="25">
        <f t="shared" si="54"/>
        <v>30361.5</v>
      </c>
      <c r="L3501" s="25">
        <v>2.54</v>
      </c>
      <c r="M3501" s="24">
        <v>395857.5</v>
      </c>
      <c r="N3501" s="25">
        <f>IFERROR(T_reg.root.SK[[#This Row],[Price]]/T_reg.root.SK[[#This Row],[Starch content]],"")</f>
        <v>13.025641025641026</v>
      </c>
    </row>
    <row r="3502" spans="1:14">
      <c r="A3502" s="21">
        <v>2024</v>
      </c>
      <c r="B3502" s="21" t="s">
        <v>24</v>
      </c>
      <c r="C3502" s="21" t="s">
        <v>1145</v>
      </c>
      <c r="D3502" s="21" t="s">
        <v>35</v>
      </c>
      <c r="E3502" s="18" t="s">
        <v>175</v>
      </c>
      <c r="F3502" s="18" t="s">
        <v>105</v>
      </c>
      <c r="G3502" s="18" t="s">
        <v>48</v>
      </c>
      <c r="H3502" s="24">
        <v>19690</v>
      </c>
      <c r="I3502" s="24">
        <f>T_reg.root.SK[[#This Row],[Volume, kg]]/1000</f>
        <v>19.690000000000001</v>
      </c>
      <c r="J3502" s="25">
        <v>0.19640000000000002</v>
      </c>
      <c r="K3502" s="25">
        <f t="shared" si="54"/>
        <v>3867.1160000000004</v>
      </c>
      <c r="L3502" s="25">
        <v>2.5</v>
      </c>
      <c r="M3502" s="24">
        <v>49259.5</v>
      </c>
      <c r="N3502" s="25">
        <f>IFERROR(T_reg.root.SK[[#This Row],[Price]]/T_reg.root.SK[[#This Row],[Starch content]],"")</f>
        <v>12.729124236252545</v>
      </c>
    </row>
    <row r="3503" spans="1:14">
      <c r="A3503" s="21">
        <v>2024</v>
      </c>
      <c r="B3503" s="21" t="s">
        <v>24</v>
      </c>
      <c r="C3503" s="21" t="s">
        <v>1145</v>
      </c>
      <c r="D3503" s="21" t="s">
        <v>35</v>
      </c>
      <c r="E3503" s="18" t="s">
        <v>176</v>
      </c>
      <c r="F3503" s="18" t="s">
        <v>105</v>
      </c>
      <c r="G3503" s="18" t="s">
        <v>48</v>
      </c>
      <c r="H3503" s="24">
        <v>12290</v>
      </c>
      <c r="I3503" s="24">
        <f>T_reg.root.SK[[#This Row],[Volume, kg]]/1000</f>
        <v>12.29</v>
      </c>
      <c r="J3503" s="25">
        <v>0.20329999999999998</v>
      </c>
      <c r="K3503" s="25">
        <f t="shared" si="54"/>
        <v>2498.5569999999998</v>
      </c>
      <c r="L3503" s="25">
        <v>2.4700000000000002</v>
      </c>
      <c r="M3503" s="24">
        <v>30365</v>
      </c>
      <c r="N3503" s="25">
        <f>IFERROR(T_reg.root.SK[[#This Row],[Price]]/T_reg.root.SK[[#This Row],[Starch content]],"")</f>
        <v>12.149532710280376</v>
      </c>
    </row>
    <row r="3504" spans="1:14">
      <c r="A3504" s="21">
        <v>2024</v>
      </c>
      <c r="B3504" s="21" t="s">
        <v>24</v>
      </c>
      <c r="C3504" s="21" t="s">
        <v>1145</v>
      </c>
      <c r="D3504" s="21" t="s">
        <v>35</v>
      </c>
      <c r="E3504" s="18" t="s">
        <v>605</v>
      </c>
      <c r="F3504" s="18" t="s">
        <v>105</v>
      </c>
      <c r="G3504" s="18" t="s">
        <v>48</v>
      </c>
      <c r="H3504" s="24">
        <v>153650</v>
      </c>
      <c r="I3504" s="24">
        <f>T_reg.root.SK[[#This Row],[Volume, kg]]/1000</f>
        <v>153.65</v>
      </c>
      <c r="J3504" s="25">
        <v>0.18760000000000002</v>
      </c>
      <c r="K3504" s="25">
        <f t="shared" si="54"/>
        <v>28824.74</v>
      </c>
      <c r="L3504" s="25">
        <v>2.4700000000000002</v>
      </c>
      <c r="M3504" s="24">
        <v>379794.5</v>
      </c>
      <c r="N3504" s="25">
        <f>IFERROR(T_reg.root.SK[[#This Row],[Price]]/T_reg.root.SK[[#This Row],[Starch content]],"")</f>
        <v>13.166311300639659</v>
      </c>
    </row>
    <row r="3505" spans="1:14">
      <c r="A3505" s="21">
        <v>2024</v>
      </c>
      <c r="B3505" s="21" t="s">
        <v>24</v>
      </c>
      <c r="C3505" s="21" t="s">
        <v>1145</v>
      </c>
      <c r="D3505" s="21" t="s">
        <v>35</v>
      </c>
      <c r="E3505" s="18" t="s">
        <v>328</v>
      </c>
      <c r="F3505" s="18" t="s">
        <v>105</v>
      </c>
      <c r="G3505" s="18" t="s">
        <v>48</v>
      </c>
      <c r="H3505" s="24">
        <v>0</v>
      </c>
      <c r="I3505" s="24">
        <f>T_reg.root.SK[[#This Row],[Volume, kg]]/1000</f>
        <v>0</v>
      </c>
      <c r="J3505" s="25">
        <v>0</v>
      </c>
      <c r="K3505" s="25">
        <f t="shared" si="54"/>
        <v>0</v>
      </c>
      <c r="L3505" s="25">
        <v>0</v>
      </c>
      <c r="M3505" s="24">
        <v>0</v>
      </c>
      <c r="N3505" s="25" t="str">
        <f>IFERROR(T_reg.root.SK[[#This Row],[Price]]/T_reg.root.SK[[#This Row],[Starch content]],"")</f>
        <v/>
      </c>
    </row>
    <row r="3506" spans="1:14">
      <c r="A3506" s="21">
        <v>2024</v>
      </c>
      <c r="B3506" s="21" t="s">
        <v>24</v>
      </c>
      <c r="C3506" s="21" t="s">
        <v>1145</v>
      </c>
      <c r="D3506" s="21" t="s">
        <v>35</v>
      </c>
      <c r="E3506" s="18" t="s">
        <v>181</v>
      </c>
      <c r="F3506" s="18" t="s">
        <v>105</v>
      </c>
      <c r="G3506" s="18" t="s">
        <v>48</v>
      </c>
      <c r="H3506" s="24">
        <v>137200</v>
      </c>
      <c r="I3506" s="24">
        <f>T_reg.root.SK[[#This Row],[Volume, kg]]/1000</f>
        <v>137.19999999999999</v>
      </c>
      <c r="J3506" s="25">
        <v>0.18059999999999998</v>
      </c>
      <c r="K3506" s="25">
        <f t="shared" si="54"/>
        <v>24778.319999999996</v>
      </c>
      <c r="L3506" s="25">
        <v>2.46</v>
      </c>
      <c r="M3506" s="24">
        <v>337290</v>
      </c>
      <c r="N3506" s="25">
        <f>IFERROR(T_reg.root.SK[[#This Row],[Price]]/T_reg.root.SK[[#This Row],[Starch content]],"")</f>
        <v>13.621262458471762</v>
      </c>
    </row>
    <row r="3507" spans="1:14">
      <c r="A3507" s="21">
        <v>2024</v>
      </c>
      <c r="B3507" s="21" t="s">
        <v>24</v>
      </c>
      <c r="C3507" s="21" t="s">
        <v>1145</v>
      </c>
      <c r="D3507" s="21" t="s">
        <v>35</v>
      </c>
      <c r="E3507" s="18" t="s">
        <v>740</v>
      </c>
      <c r="F3507" s="18" t="s">
        <v>105</v>
      </c>
      <c r="G3507" s="18" t="s">
        <v>48</v>
      </c>
      <c r="H3507" s="24">
        <v>18370</v>
      </c>
      <c r="I3507" s="24">
        <f>T_reg.root.SK[[#This Row],[Volume, kg]]/1000</f>
        <v>18.37</v>
      </c>
      <c r="J3507" s="25">
        <v>0.21579999999999999</v>
      </c>
      <c r="K3507" s="25">
        <f t="shared" si="54"/>
        <v>3964.2459999999996</v>
      </c>
      <c r="L3507" s="25">
        <v>2.68</v>
      </c>
      <c r="M3507" s="24">
        <v>49239.5</v>
      </c>
      <c r="N3507" s="25">
        <f>IFERROR(T_reg.root.SK[[#This Row],[Price]]/T_reg.root.SK[[#This Row],[Starch content]],"")</f>
        <v>12.41890639481001</v>
      </c>
    </row>
    <row r="3508" spans="1:14">
      <c r="A3508" s="21">
        <v>2024</v>
      </c>
      <c r="B3508" s="21" t="s">
        <v>24</v>
      </c>
      <c r="C3508" s="21" t="s">
        <v>1145</v>
      </c>
      <c r="D3508" s="21" t="s">
        <v>35</v>
      </c>
      <c r="E3508" s="18" t="s">
        <v>757</v>
      </c>
      <c r="F3508" s="18" t="s">
        <v>105</v>
      </c>
      <c r="G3508" s="18" t="s">
        <v>48</v>
      </c>
      <c r="H3508" s="24">
        <v>23710</v>
      </c>
      <c r="I3508" s="24">
        <f>T_reg.root.SK[[#This Row],[Volume, kg]]/1000</f>
        <v>23.71</v>
      </c>
      <c r="J3508" s="25">
        <v>0.18539999999999998</v>
      </c>
      <c r="K3508" s="25">
        <f t="shared" si="54"/>
        <v>4395.8339999999998</v>
      </c>
      <c r="L3508" s="25">
        <v>2.4</v>
      </c>
      <c r="M3508" s="24">
        <v>56857.5</v>
      </c>
      <c r="N3508" s="25">
        <f>IFERROR(T_reg.root.SK[[#This Row],[Price]]/T_reg.root.SK[[#This Row],[Starch content]],"")</f>
        <v>12.944983818770227</v>
      </c>
    </row>
    <row r="3509" spans="1:14">
      <c r="A3509" s="21">
        <v>2024</v>
      </c>
      <c r="B3509" s="21" t="s">
        <v>24</v>
      </c>
      <c r="C3509" s="21" t="s">
        <v>1145</v>
      </c>
      <c r="D3509" s="21" t="s">
        <v>35</v>
      </c>
      <c r="E3509" s="18" t="s">
        <v>741</v>
      </c>
      <c r="F3509" s="18" t="s">
        <v>105</v>
      </c>
      <c r="G3509" s="18" t="s">
        <v>48</v>
      </c>
      <c r="H3509" s="24">
        <v>8100</v>
      </c>
      <c r="I3509" s="24">
        <f>T_reg.root.SK[[#This Row],[Volume, kg]]/1000</f>
        <v>8.1</v>
      </c>
      <c r="J3509" s="25">
        <v>0.187</v>
      </c>
      <c r="K3509" s="25">
        <f t="shared" si="54"/>
        <v>1514.7</v>
      </c>
      <c r="L3509" s="25">
        <v>2.4</v>
      </c>
      <c r="M3509" s="24">
        <v>19400</v>
      </c>
      <c r="N3509" s="25">
        <f>IFERROR(T_reg.root.SK[[#This Row],[Price]]/T_reg.root.SK[[#This Row],[Starch content]],"")</f>
        <v>12.834224598930481</v>
      </c>
    </row>
    <row r="3510" spans="1:14">
      <c r="A3510" s="21">
        <v>2024</v>
      </c>
      <c r="B3510" s="21" t="s">
        <v>24</v>
      </c>
      <c r="C3510" s="21" t="s">
        <v>1145</v>
      </c>
      <c r="D3510" s="21" t="s">
        <v>35</v>
      </c>
      <c r="E3510" s="18" t="s">
        <v>793</v>
      </c>
      <c r="F3510" s="18" t="s">
        <v>105</v>
      </c>
      <c r="G3510" s="18" t="s">
        <v>48</v>
      </c>
      <c r="H3510" s="24">
        <v>6620</v>
      </c>
      <c r="I3510" s="24">
        <f>T_reg.root.SK[[#This Row],[Volume, kg]]/1000</f>
        <v>6.62</v>
      </c>
      <c r="J3510" s="25">
        <v>0.215</v>
      </c>
      <c r="K3510" s="25">
        <f t="shared" si="54"/>
        <v>1423.3</v>
      </c>
      <c r="L3510" s="25">
        <v>2.65</v>
      </c>
      <c r="M3510" s="24">
        <v>17543</v>
      </c>
      <c r="N3510" s="25">
        <f>IFERROR(T_reg.root.SK[[#This Row],[Price]]/T_reg.root.SK[[#This Row],[Starch content]],"")</f>
        <v>12.325581395348838</v>
      </c>
    </row>
    <row r="3511" spans="1:14">
      <c r="A3511" s="21">
        <v>2024</v>
      </c>
      <c r="B3511" s="21" t="s">
        <v>24</v>
      </c>
      <c r="C3511" s="21" t="s">
        <v>1145</v>
      </c>
      <c r="D3511" s="21" t="s">
        <v>35</v>
      </c>
      <c r="E3511" s="18" t="s">
        <v>772</v>
      </c>
      <c r="F3511" s="18" t="s">
        <v>105</v>
      </c>
      <c r="G3511" s="18" t="s">
        <v>48</v>
      </c>
      <c r="H3511" s="24">
        <v>38440</v>
      </c>
      <c r="I3511" s="24">
        <f>T_reg.root.SK[[#This Row],[Volume, kg]]/1000</f>
        <v>38.44</v>
      </c>
      <c r="J3511" s="25">
        <v>0.2253</v>
      </c>
      <c r="K3511" s="25">
        <f t="shared" si="54"/>
        <v>8660.5319999999992</v>
      </c>
      <c r="L3511" s="25">
        <v>2.73</v>
      </c>
      <c r="M3511" s="24">
        <v>104792</v>
      </c>
      <c r="N3511" s="25">
        <f>IFERROR(T_reg.root.SK[[#This Row],[Price]]/T_reg.root.SK[[#This Row],[Starch content]],"")</f>
        <v>12.117177097203728</v>
      </c>
    </row>
    <row r="3512" spans="1:14">
      <c r="A3512" s="21">
        <v>2024</v>
      </c>
      <c r="B3512" s="21" t="s">
        <v>24</v>
      </c>
      <c r="C3512" s="21" t="s">
        <v>1145</v>
      </c>
      <c r="D3512" s="21" t="s">
        <v>35</v>
      </c>
      <c r="E3512" s="18" t="s">
        <v>640</v>
      </c>
      <c r="F3512" s="18" t="s">
        <v>105</v>
      </c>
      <c r="G3512" s="18" t="s">
        <v>48</v>
      </c>
      <c r="H3512" s="24">
        <v>37560</v>
      </c>
      <c r="I3512" s="24">
        <f>T_reg.root.SK[[#This Row],[Volume, kg]]/1000</f>
        <v>37.56</v>
      </c>
      <c r="J3512" s="25">
        <v>0.19949999999999998</v>
      </c>
      <c r="K3512" s="25">
        <f t="shared" si="54"/>
        <v>7493.2199999999993</v>
      </c>
      <c r="L3512" s="25">
        <v>2.58</v>
      </c>
      <c r="M3512" s="24">
        <v>97067.5</v>
      </c>
      <c r="N3512" s="25">
        <f>IFERROR(T_reg.root.SK[[#This Row],[Price]]/T_reg.root.SK[[#This Row],[Starch content]],"")</f>
        <v>12.93233082706767</v>
      </c>
    </row>
    <row r="3513" spans="1:14">
      <c r="A3513" s="21">
        <v>2024</v>
      </c>
      <c r="B3513" s="21" t="s">
        <v>24</v>
      </c>
      <c r="C3513" s="21" t="s">
        <v>1145</v>
      </c>
      <c r="D3513" s="21" t="s">
        <v>35</v>
      </c>
      <c r="E3513" s="18" t="s">
        <v>641</v>
      </c>
      <c r="F3513" s="18" t="s">
        <v>105</v>
      </c>
      <c r="G3513" s="18" t="s">
        <v>48</v>
      </c>
      <c r="H3513" s="24">
        <v>12990</v>
      </c>
      <c r="I3513" s="24">
        <f>T_reg.root.SK[[#This Row],[Volume, kg]]/1000</f>
        <v>12.99</v>
      </c>
      <c r="J3513" s="25">
        <v>0.15539999999999998</v>
      </c>
      <c r="K3513" s="25">
        <f t="shared" si="54"/>
        <v>2018.6459999999997</v>
      </c>
      <c r="L3513" s="25">
        <v>2.33</v>
      </c>
      <c r="M3513" s="24">
        <v>30329.5</v>
      </c>
      <c r="N3513" s="25">
        <f>IFERROR(T_reg.root.SK[[#This Row],[Price]]/T_reg.root.SK[[#This Row],[Starch content]],"")</f>
        <v>14.993564993564995</v>
      </c>
    </row>
    <row r="3514" spans="1:14">
      <c r="A3514" s="21">
        <v>2024</v>
      </c>
      <c r="B3514" s="21" t="s">
        <v>24</v>
      </c>
      <c r="C3514" s="21" t="s">
        <v>1145</v>
      </c>
      <c r="D3514" s="21" t="s">
        <v>35</v>
      </c>
      <c r="E3514" s="18" t="s">
        <v>774</v>
      </c>
      <c r="F3514" s="18" t="s">
        <v>105</v>
      </c>
      <c r="G3514" s="18" t="s">
        <v>48</v>
      </c>
      <c r="H3514" s="24">
        <v>40630</v>
      </c>
      <c r="I3514" s="24">
        <f>T_reg.root.SK[[#This Row],[Volume, kg]]/1000</f>
        <v>40.630000000000003</v>
      </c>
      <c r="J3514" s="25">
        <v>0.222</v>
      </c>
      <c r="K3514" s="25">
        <f t="shared" si="54"/>
        <v>9019.86</v>
      </c>
      <c r="L3514" s="25">
        <v>2.66</v>
      </c>
      <c r="M3514" s="24">
        <v>108263.5</v>
      </c>
      <c r="N3514" s="25">
        <f>IFERROR(T_reg.root.SK[[#This Row],[Price]]/T_reg.root.SK[[#This Row],[Starch content]],"")</f>
        <v>11.981981981981983</v>
      </c>
    </row>
    <row r="3515" spans="1:14">
      <c r="A3515" s="21">
        <v>2024</v>
      </c>
      <c r="B3515" s="21" t="s">
        <v>24</v>
      </c>
      <c r="C3515" s="21" t="s">
        <v>1145</v>
      </c>
      <c r="D3515" s="21" t="s">
        <v>35</v>
      </c>
      <c r="E3515" s="18" t="s">
        <v>183</v>
      </c>
      <c r="F3515" s="18" t="s">
        <v>105</v>
      </c>
      <c r="G3515" s="18" t="s">
        <v>48</v>
      </c>
      <c r="H3515" s="24">
        <v>197810</v>
      </c>
      <c r="I3515" s="24">
        <f>T_reg.root.SK[[#This Row],[Volume, kg]]/1000</f>
        <v>197.81</v>
      </c>
      <c r="J3515" s="25">
        <v>0.21280000000000002</v>
      </c>
      <c r="K3515" s="25">
        <f t="shared" si="54"/>
        <v>42093.968000000001</v>
      </c>
      <c r="L3515" s="25">
        <v>2.61</v>
      </c>
      <c r="M3515" s="24">
        <v>516746.5</v>
      </c>
      <c r="N3515" s="25">
        <f>IFERROR(T_reg.root.SK[[#This Row],[Price]]/T_reg.root.SK[[#This Row],[Starch content]],"")</f>
        <v>12.26503759398496</v>
      </c>
    </row>
    <row r="3516" spans="1:14">
      <c r="A3516" s="21">
        <v>2024</v>
      </c>
      <c r="B3516" s="21" t="s">
        <v>24</v>
      </c>
      <c r="C3516" s="21" t="s">
        <v>1145</v>
      </c>
      <c r="D3516" s="21" t="s">
        <v>35</v>
      </c>
      <c r="E3516" s="18" t="s">
        <v>330</v>
      </c>
      <c r="F3516" s="18" t="s">
        <v>187</v>
      </c>
      <c r="G3516" s="18" t="s">
        <v>48</v>
      </c>
      <c r="H3516" s="24">
        <v>18380</v>
      </c>
      <c r="I3516" s="24">
        <f>T_reg.root.SK[[#This Row],[Volume, kg]]/1000</f>
        <v>18.38</v>
      </c>
      <c r="J3516" s="25">
        <v>0.16570000000000001</v>
      </c>
      <c r="K3516" s="25">
        <f t="shared" si="54"/>
        <v>3045.5660000000003</v>
      </c>
      <c r="L3516" s="25">
        <v>2.5</v>
      </c>
      <c r="M3516" s="24">
        <v>45903</v>
      </c>
      <c r="N3516" s="25">
        <f>IFERROR(T_reg.root.SK[[#This Row],[Price]]/T_reg.root.SK[[#This Row],[Starch content]],"")</f>
        <v>15.087507543753771</v>
      </c>
    </row>
    <row r="3517" spans="1:14">
      <c r="A3517" s="21">
        <v>2024</v>
      </c>
      <c r="B3517" s="21" t="s">
        <v>24</v>
      </c>
      <c r="C3517" s="21" t="s">
        <v>1145</v>
      </c>
      <c r="D3517" s="21" t="s">
        <v>35</v>
      </c>
      <c r="E3517" s="18" t="s">
        <v>579</v>
      </c>
      <c r="F3517" s="18" t="s">
        <v>187</v>
      </c>
      <c r="G3517" s="18" t="s">
        <v>48</v>
      </c>
      <c r="H3517" s="24">
        <v>72280</v>
      </c>
      <c r="I3517" s="24">
        <f>T_reg.root.SK[[#This Row],[Volume, kg]]/1000</f>
        <v>72.28</v>
      </c>
      <c r="J3517" s="25">
        <v>0.15820000000000001</v>
      </c>
      <c r="K3517" s="25">
        <f t="shared" si="54"/>
        <v>11434.696</v>
      </c>
      <c r="L3517" s="25">
        <v>2.4300000000000002</v>
      </c>
      <c r="M3517" s="24">
        <v>175934.5</v>
      </c>
      <c r="N3517" s="25">
        <f>IFERROR(T_reg.root.SK[[#This Row],[Price]]/T_reg.root.SK[[#This Row],[Starch content]],"")</f>
        <v>15.360303413400759</v>
      </c>
    </row>
    <row r="3518" spans="1:14">
      <c r="A3518" s="21">
        <v>2024</v>
      </c>
      <c r="B3518" s="21" t="s">
        <v>24</v>
      </c>
      <c r="C3518" s="21" t="s">
        <v>1145</v>
      </c>
      <c r="D3518" s="21" t="s">
        <v>35</v>
      </c>
      <c r="E3518" s="18" t="s">
        <v>775</v>
      </c>
      <c r="F3518" s="18" t="s">
        <v>187</v>
      </c>
      <c r="G3518" s="18" t="s">
        <v>48</v>
      </c>
      <c r="H3518" s="24">
        <v>21240</v>
      </c>
      <c r="I3518" s="24">
        <f>T_reg.root.SK[[#This Row],[Volume, kg]]/1000</f>
        <v>21.24</v>
      </c>
      <c r="J3518" s="25">
        <v>0.15939999999999999</v>
      </c>
      <c r="K3518" s="25">
        <f t="shared" si="54"/>
        <v>3385.6559999999995</v>
      </c>
      <c r="L3518" s="25">
        <v>2.4</v>
      </c>
      <c r="M3518" s="24">
        <v>50981</v>
      </c>
      <c r="N3518" s="25">
        <f>IFERROR(T_reg.root.SK[[#This Row],[Price]]/T_reg.root.SK[[#This Row],[Starch content]],"")</f>
        <v>15.0564617314931</v>
      </c>
    </row>
    <row r="3519" spans="1:14">
      <c r="A3519" s="21">
        <v>2024</v>
      </c>
      <c r="B3519" s="21" t="s">
        <v>24</v>
      </c>
      <c r="C3519" s="21" t="s">
        <v>1145</v>
      </c>
      <c r="D3519" s="21" t="s">
        <v>35</v>
      </c>
      <c r="E3519" s="18" t="s">
        <v>186</v>
      </c>
      <c r="F3519" s="18" t="s">
        <v>187</v>
      </c>
      <c r="G3519" s="18" t="s">
        <v>48</v>
      </c>
      <c r="H3519" s="24">
        <v>65080</v>
      </c>
      <c r="I3519" s="24">
        <f>T_reg.root.SK[[#This Row],[Volume, kg]]/1000</f>
        <v>65.08</v>
      </c>
      <c r="J3519" s="25">
        <v>0.17249999999999999</v>
      </c>
      <c r="K3519" s="25">
        <f t="shared" si="54"/>
        <v>11226.3</v>
      </c>
      <c r="L3519" s="25">
        <v>2.4700000000000002</v>
      </c>
      <c r="M3519" s="24">
        <v>161014</v>
      </c>
      <c r="N3519" s="25">
        <f>IFERROR(T_reg.root.SK[[#This Row],[Price]]/T_reg.root.SK[[#This Row],[Starch content]],"")</f>
        <v>14.318840579710146</v>
      </c>
    </row>
    <row r="3520" spans="1:14">
      <c r="A3520" s="21">
        <v>2024</v>
      </c>
      <c r="B3520" s="21" t="s">
        <v>24</v>
      </c>
      <c r="C3520" s="21" t="s">
        <v>1145</v>
      </c>
      <c r="D3520" s="21" t="s">
        <v>35</v>
      </c>
      <c r="E3520" s="18" t="s">
        <v>188</v>
      </c>
      <c r="F3520" s="18" t="s">
        <v>187</v>
      </c>
      <c r="G3520" s="18" t="s">
        <v>48</v>
      </c>
      <c r="H3520" s="24">
        <v>32290</v>
      </c>
      <c r="I3520" s="24">
        <f>T_reg.root.SK[[#This Row],[Volume, kg]]/1000</f>
        <v>32.29</v>
      </c>
      <c r="J3520" s="25">
        <v>0.21199999999999999</v>
      </c>
      <c r="K3520" s="25">
        <f t="shared" si="54"/>
        <v>6845.48</v>
      </c>
      <c r="L3520" s="25">
        <v>2.71</v>
      </c>
      <c r="M3520" s="24">
        <v>87524.5</v>
      </c>
      <c r="N3520" s="25">
        <f>IFERROR(T_reg.root.SK[[#This Row],[Price]]/T_reg.root.SK[[#This Row],[Starch content]],"")</f>
        <v>12.783018867924529</v>
      </c>
    </row>
    <row r="3521" spans="1:14">
      <c r="A3521" s="21">
        <v>2024</v>
      </c>
      <c r="B3521" s="21" t="s">
        <v>24</v>
      </c>
      <c r="C3521" s="21" t="s">
        <v>1145</v>
      </c>
      <c r="D3521" s="21" t="s">
        <v>35</v>
      </c>
      <c r="E3521" s="18" t="s">
        <v>606</v>
      </c>
      <c r="F3521" s="18" t="s">
        <v>187</v>
      </c>
      <c r="G3521" s="18" t="s">
        <v>48</v>
      </c>
      <c r="H3521" s="24">
        <v>44090</v>
      </c>
      <c r="I3521" s="24">
        <f>T_reg.root.SK[[#This Row],[Volume, kg]]/1000</f>
        <v>44.09</v>
      </c>
      <c r="J3521" s="25">
        <v>0.185</v>
      </c>
      <c r="K3521" s="25">
        <f t="shared" si="54"/>
        <v>8156.65</v>
      </c>
      <c r="L3521" s="25">
        <v>2.56</v>
      </c>
      <c r="M3521" s="24">
        <v>112875</v>
      </c>
      <c r="N3521" s="25">
        <f>IFERROR(T_reg.root.SK[[#This Row],[Price]]/T_reg.root.SK[[#This Row],[Starch content]],"")</f>
        <v>13.837837837837839</v>
      </c>
    </row>
    <row r="3522" spans="1:14">
      <c r="A3522" s="21">
        <v>2024</v>
      </c>
      <c r="B3522" s="21" t="s">
        <v>24</v>
      </c>
      <c r="C3522" s="21" t="s">
        <v>1145</v>
      </c>
      <c r="D3522" s="21" t="s">
        <v>35</v>
      </c>
      <c r="E3522" s="18" t="s">
        <v>190</v>
      </c>
      <c r="F3522" s="18" t="s">
        <v>187</v>
      </c>
      <c r="G3522" s="18" t="s">
        <v>48</v>
      </c>
      <c r="H3522" s="24">
        <v>32180</v>
      </c>
      <c r="I3522" s="24">
        <f>T_reg.root.SK[[#This Row],[Volume, kg]]/1000</f>
        <v>32.18</v>
      </c>
      <c r="J3522" s="25">
        <v>0.1968</v>
      </c>
      <c r="K3522" s="25">
        <f t="shared" si="54"/>
        <v>6333.0240000000003</v>
      </c>
      <c r="L3522" s="25">
        <v>2.6</v>
      </c>
      <c r="M3522" s="24">
        <v>83661.5</v>
      </c>
      <c r="N3522" s="25">
        <f>IFERROR(T_reg.root.SK[[#This Row],[Price]]/T_reg.root.SK[[#This Row],[Starch content]],"")</f>
        <v>13.211382113821138</v>
      </c>
    </row>
    <row r="3523" spans="1:14">
      <c r="A3523" s="21">
        <v>2024</v>
      </c>
      <c r="B3523" s="21" t="s">
        <v>24</v>
      </c>
      <c r="C3523" s="21" t="s">
        <v>1145</v>
      </c>
      <c r="D3523" s="21" t="s">
        <v>35</v>
      </c>
      <c r="E3523" s="18" t="s">
        <v>510</v>
      </c>
      <c r="F3523" s="18" t="s">
        <v>187</v>
      </c>
      <c r="G3523" s="18" t="s">
        <v>48</v>
      </c>
      <c r="H3523" s="24">
        <v>18520</v>
      </c>
      <c r="I3523" s="24">
        <f>T_reg.root.SK[[#This Row],[Volume, kg]]/1000</f>
        <v>18.52</v>
      </c>
      <c r="J3523" s="25">
        <v>0.1457</v>
      </c>
      <c r="K3523" s="25">
        <f t="shared" ref="K3523:K3586" si="55">H3523*J3523</f>
        <v>2698.364</v>
      </c>
      <c r="L3523" s="25">
        <v>2.38</v>
      </c>
      <c r="M3523" s="24">
        <v>44038.5</v>
      </c>
      <c r="N3523" s="25">
        <f>IFERROR(T_reg.root.SK[[#This Row],[Price]]/T_reg.root.SK[[#This Row],[Starch content]],"")</f>
        <v>16.334934797529169</v>
      </c>
    </row>
    <row r="3524" spans="1:14">
      <c r="A3524" s="21">
        <v>2024</v>
      </c>
      <c r="B3524" s="21" t="s">
        <v>24</v>
      </c>
      <c r="C3524" s="21" t="s">
        <v>1145</v>
      </c>
      <c r="D3524" s="21" t="s">
        <v>35</v>
      </c>
      <c r="E3524" s="18" t="s">
        <v>580</v>
      </c>
      <c r="F3524" s="18" t="s">
        <v>187</v>
      </c>
      <c r="G3524" s="18" t="s">
        <v>48</v>
      </c>
      <c r="H3524" s="24">
        <v>29100</v>
      </c>
      <c r="I3524" s="24">
        <f>T_reg.root.SK[[#This Row],[Volume, kg]]/1000</f>
        <v>29.1</v>
      </c>
      <c r="J3524" s="25">
        <v>0.13849999999999998</v>
      </c>
      <c r="K3524" s="25">
        <f t="shared" si="55"/>
        <v>4030.3499999999995</v>
      </c>
      <c r="L3524" s="25">
        <v>2.31</v>
      </c>
      <c r="M3524" s="24">
        <v>67352</v>
      </c>
      <c r="N3524" s="25">
        <f>IFERROR(T_reg.root.SK[[#This Row],[Price]]/T_reg.root.SK[[#This Row],[Starch content]],"")</f>
        <v>16.678700361010833</v>
      </c>
    </row>
    <row r="3525" spans="1:14">
      <c r="A3525" s="21">
        <v>2024</v>
      </c>
      <c r="B3525" s="21" t="s">
        <v>24</v>
      </c>
      <c r="C3525" s="21" t="s">
        <v>1145</v>
      </c>
      <c r="D3525" s="21" t="s">
        <v>35</v>
      </c>
      <c r="E3525" s="18" t="s">
        <v>370</v>
      </c>
      <c r="F3525" s="18" t="s">
        <v>187</v>
      </c>
      <c r="G3525" s="18" t="s">
        <v>48</v>
      </c>
      <c r="H3525" s="24">
        <v>119440</v>
      </c>
      <c r="I3525" s="24">
        <f>T_reg.root.SK[[#This Row],[Volume, kg]]/1000</f>
        <v>119.44</v>
      </c>
      <c r="J3525" s="25">
        <v>0.17460000000000001</v>
      </c>
      <c r="K3525" s="25">
        <f t="shared" si="55"/>
        <v>20854.224000000002</v>
      </c>
      <c r="L3525" s="25">
        <v>2.5099999999999998</v>
      </c>
      <c r="M3525" s="24">
        <v>299337.5</v>
      </c>
      <c r="N3525" s="25">
        <f>IFERROR(T_reg.root.SK[[#This Row],[Price]]/T_reg.root.SK[[#This Row],[Starch content]],"")</f>
        <v>14.375715922107673</v>
      </c>
    </row>
    <row r="3526" spans="1:14">
      <c r="A3526" s="21">
        <v>2024</v>
      </c>
      <c r="B3526" s="21" t="s">
        <v>24</v>
      </c>
      <c r="C3526" s="21" t="s">
        <v>1145</v>
      </c>
      <c r="D3526" s="21" t="s">
        <v>35</v>
      </c>
      <c r="E3526" s="18" t="s">
        <v>581</v>
      </c>
      <c r="F3526" s="18" t="s">
        <v>187</v>
      </c>
      <c r="G3526" s="18" t="s">
        <v>48</v>
      </c>
      <c r="H3526" s="24">
        <v>83740</v>
      </c>
      <c r="I3526" s="24">
        <f>T_reg.root.SK[[#This Row],[Volume, kg]]/1000</f>
        <v>83.74</v>
      </c>
      <c r="J3526" s="25">
        <v>0.15759999999999999</v>
      </c>
      <c r="K3526" s="25">
        <f t="shared" si="55"/>
        <v>13197.423999999999</v>
      </c>
      <c r="L3526" s="25">
        <v>2.36</v>
      </c>
      <c r="M3526" s="24">
        <v>197542</v>
      </c>
      <c r="N3526" s="25">
        <f>IFERROR(T_reg.root.SK[[#This Row],[Price]]/T_reg.root.SK[[#This Row],[Starch content]],"")</f>
        <v>14.974619289340101</v>
      </c>
    </row>
    <row r="3527" spans="1:14">
      <c r="A3527" s="21">
        <v>2024</v>
      </c>
      <c r="B3527" s="21" t="s">
        <v>24</v>
      </c>
      <c r="C3527" s="21" t="s">
        <v>1145</v>
      </c>
      <c r="D3527" s="21" t="s">
        <v>35</v>
      </c>
      <c r="E3527" s="18" t="s">
        <v>582</v>
      </c>
      <c r="F3527" s="18" t="s">
        <v>187</v>
      </c>
      <c r="G3527" s="18" t="s">
        <v>48</v>
      </c>
      <c r="H3527" s="24">
        <v>74990</v>
      </c>
      <c r="I3527" s="24">
        <f>T_reg.root.SK[[#This Row],[Volume, kg]]/1000</f>
        <v>74.989999999999995</v>
      </c>
      <c r="J3527" s="25">
        <v>0.16289999999999999</v>
      </c>
      <c r="K3527" s="25">
        <f t="shared" si="55"/>
        <v>12215.870999999999</v>
      </c>
      <c r="L3527" s="25">
        <v>2.44</v>
      </c>
      <c r="M3527" s="24">
        <v>183343</v>
      </c>
      <c r="N3527" s="25">
        <f>IFERROR(T_reg.root.SK[[#This Row],[Price]]/T_reg.root.SK[[#This Row],[Starch content]],"")</f>
        <v>14.978514426028239</v>
      </c>
    </row>
    <row r="3528" spans="1:14">
      <c r="A3528" s="21">
        <v>2024</v>
      </c>
      <c r="B3528" s="21" t="s">
        <v>24</v>
      </c>
      <c r="C3528" s="21" t="s">
        <v>1145</v>
      </c>
      <c r="D3528" s="21" t="s">
        <v>35</v>
      </c>
      <c r="E3528" s="18" t="s">
        <v>794</v>
      </c>
      <c r="F3528" s="18" t="s">
        <v>187</v>
      </c>
      <c r="G3528" s="18" t="s">
        <v>48</v>
      </c>
      <c r="H3528" s="24">
        <v>0</v>
      </c>
      <c r="I3528" s="24">
        <f>T_reg.root.SK[[#This Row],[Volume, kg]]/1000</f>
        <v>0</v>
      </c>
      <c r="J3528" s="25">
        <v>0</v>
      </c>
      <c r="K3528" s="25">
        <f t="shared" si="55"/>
        <v>0</v>
      </c>
      <c r="L3528" s="25">
        <v>0</v>
      </c>
      <c r="M3528" s="24">
        <v>0</v>
      </c>
      <c r="N3528" s="25" t="str">
        <f>IFERROR(T_reg.root.SK[[#This Row],[Price]]/T_reg.root.SK[[#This Row],[Starch content]],"")</f>
        <v/>
      </c>
    </row>
    <row r="3529" spans="1:14">
      <c r="A3529" s="21">
        <v>2024</v>
      </c>
      <c r="B3529" s="21" t="s">
        <v>24</v>
      </c>
      <c r="C3529" s="21" t="s">
        <v>1145</v>
      </c>
      <c r="D3529" s="21" t="s">
        <v>35</v>
      </c>
      <c r="E3529" s="18" t="s">
        <v>512</v>
      </c>
      <c r="F3529" s="18" t="s">
        <v>187</v>
      </c>
      <c r="G3529" s="18" t="s">
        <v>48</v>
      </c>
      <c r="H3529" s="24">
        <v>71930</v>
      </c>
      <c r="I3529" s="24">
        <f>T_reg.root.SK[[#This Row],[Volume, kg]]/1000</f>
        <v>71.930000000000007</v>
      </c>
      <c r="J3529" s="25">
        <v>0.15390000000000001</v>
      </c>
      <c r="K3529" s="25">
        <f t="shared" si="55"/>
        <v>11070.027</v>
      </c>
      <c r="L3529" s="25">
        <v>2.39</v>
      </c>
      <c r="M3529" s="24">
        <v>172070</v>
      </c>
      <c r="N3529" s="25">
        <f>IFERROR(T_reg.root.SK[[#This Row],[Price]]/T_reg.root.SK[[#This Row],[Starch content]],"")</f>
        <v>15.52956465237167</v>
      </c>
    </row>
    <row r="3530" spans="1:14">
      <c r="A3530" s="21">
        <v>2024</v>
      </c>
      <c r="B3530" s="21" t="s">
        <v>24</v>
      </c>
      <c r="C3530" s="21" t="s">
        <v>1145</v>
      </c>
      <c r="D3530" s="21" t="s">
        <v>35</v>
      </c>
      <c r="E3530" s="18" t="s">
        <v>583</v>
      </c>
      <c r="F3530" s="18" t="s">
        <v>187</v>
      </c>
      <c r="G3530" s="18" t="s">
        <v>48</v>
      </c>
      <c r="H3530" s="24">
        <v>52700</v>
      </c>
      <c r="I3530" s="24">
        <f>T_reg.root.SK[[#This Row],[Volume, kg]]/1000</f>
        <v>52.7</v>
      </c>
      <c r="J3530" s="25">
        <v>0.16940000000000002</v>
      </c>
      <c r="K3530" s="25">
        <f t="shared" si="55"/>
        <v>8927.380000000001</v>
      </c>
      <c r="L3530" s="25">
        <v>2.4500000000000002</v>
      </c>
      <c r="M3530" s="24">
        <v>129103</v>
      </c>
      <c r="N3530" s="25">
        <f>IFERROR(T_reg.root.SK[[#This Row],[Price]]/T_reg.root.SK[[#This Row],[Starch content]],"")</f>
        <v>14.46280991735537</v>
      </c>
    </row>
    <row r="3531" spans="1:14">
      <c r="A3531" s="21">
        <v>2024</v>
      </c>
      <c r="B3531" s="21" t="s">
        <v>24</v>
      </c>
      <c r="C3531" s="21" t="s">
        <v>1145</v>
      </c>
      <c r="D3531" s="21" t="s">
        <v>35</v>
      </c>
      <c r="E3531" s="18" t="s">
        <v>261</v>
      </c>
      <c r="F3531" s="18" t="s">
        <v>187</v>
      </c>
      <c r="G3531" s="18" t="s">
        <v>48</v>
      </c>
      <c r="H3531" s="24">
        <v>158040</v>
      </c>
      <c r="I3531" s="24">
        <f>T_reg.root.SK[[#This Row],[Volume, kg]]/1000</f>
        <v>158.04</v>
      </c>
      <c r="J3531" s="25">
        <v>0.1852</v>
      </c>
      <c r="K3531" s="25">
        <f t="shared" si="55"/>
        <v>29269.008000000002</v>
      </c>
      <c r="L3531" s="25">
        <v>2.5499999999999998</v>
      </c>
      <c r="M3531" s="24">
        <v>403699.5</v>
      </c>
      <c r="N3531" s="25">
        <f>IFERROR(T_reg.root.SK[[#This Row],[Price]]/T_reg.root.SK[[#This Row],[Starch content]],"")</f>
        <v>13.76889848812095</v>
      </c>
    </row>
    <row r="3532" spans="1:14">
      <c r="A3532" s="21">
        <v>2024</v>
      </c>
      <c r="B3532" s="21" t="s">
        <v>24</v>
      </c>
      <c r="C3532" s="21" t="s">
        <v>1145</v>
      </c>
      <c r="D3532" s="21" t="s">
        <v>35</v>
      </c>
      <c r="E3532" s="18" t="s">
        <v>513</v>
      </c>
      <c r="F3532" s="18" t="s">
        <v>187</v>
      </c>
      <c r="G3532" s="18" t="s">
        <v>48</v>
      </c>
      <c r="H3532" s="24">
        <v>48250</v>
      </c>
      <c r="I3532" s="24">
        <f>T_reg.root.SK[[#This Row],[Volume, kg]]/1000</f>
        <v>48.25</v>
      </c>
      <c r="J3532" s="25">
        <v>0.16159999999999999</v>
      </c>
      <c r="K3532" s="25">
        <f t="shared" si="55"/>
        <v>7797.2</v>
      </c>
      <c r="L3532" s="25">
        <v>2.42</v>
      </c>
      <c r="M3532" s="24">
        <v>116855</v>
      </c>
      <c r="N3532" s="25">
        <f>IFERROR(T_reg.root.SK[[#This Row],[Price]]/T_reg.root.SK[[#This Row],[Starch content]],"")</f>
        <v>14.975247524752476</v>
      </c>
    </row>
    <row r="3533" spans="1:14">
      <c r="A3533" s="21">
        <v>2024</v>
      </c>
      <c r="B3533" s="21" t="s">
        <v>24</v>
      </c>
      <c r="C3533" s="21" t="s">
        <v>1145</v>
      </c>
      <c r="D3533" s="21" t="s">
        <v>35</v>
      </c>
      <c r="E3533" s="18" t="s">
        <v>193</v>
      </c>
      <c r="F3533" s="18" t="s">
        <v>187</v>
      </c>
      <c r="G3533" s="18" t="s">
        <v>48</v>
      </c>
      <c r="H3533" s="24">
        <v>4600</v>
      </c>
      <c r="I3533" s="24">
        <f>T_reg.root.SK[[#This Row],[Volume, kg]]/1000</f>
        <v>4.5999999999999996</v>
      </c>
      <c r="J3533" s="25">
        <v>0.1305</v>
      </c>
      <c r="K3533" s="25">
        <f t="shared" si="55"/>
        <v>600.30000000000007</v>
      </c>
      <c r="L3533" s="25">
        <v>2.2999999999999998</v>
      </c>
      <c r="M3533" s="24">
        <v>10580</v>
      </c>
      <c r="N3533" s="25">
        <f>IFERROR(T_reg.root.SK[[#This Row],[Price]]/T_reg.root.SK[[#This Row],[Starch content]],"")</f>
        <v>17.624521072796934</v>
      </c>
    </row>
    <row r="3534" spans="1:14">
      <c r="A3534" s="21">
        <v>2024</v>
      </c>
      <c r="B3534" s="21" t="s">
        <v>24</v>
      </c>
      <c r="C3534" s="21" t="s">
        <v>1145</v>
      </c>
      <c r="D3534" s="21" t="s">
        <v>35</v>
      </c>
      <c r="E3534" s="18" t="s">
        <v>262</v>
      </c>
      <c r="F3534" s="18" t="s">
        <v>187</v>
      </c>
      <c r="G3534" s="18" t="s">
        <v>48</v>
      </c>
      <c r="H3534" s="24">
        <v>10060</v>
      </c>
      <c r="I3534" s="24">
        <f>T_reg.root.SK[[#This Row],[Volume, kg]]/1000</f>
        <v>10.06</v>
      </c>
      <c r="J3534" s="25">
        <v>0.20300000000000001</v>
      </c>
      <c r="K3534" s="25">
        <f t="shared" si="55"/>
        <v>2042.18</v>
      </c>
      <c r="L3534" s="25">
        <v>2.6</v>
      </c>
      <c r="M3534" s="24">
        <v>26156</v>
      </c>
      <c r="N3534" s="25">
        <f>IFERROR(T_reg.root.SK[[#This Row],[Price]]/T_reg.root.SK[[#This Row],[Starch content]],"")</f>
        <v>12.807881773399014</v>
      </c>
    </row>
    <row r="3535" spans="1:14">
      <c r="A3535" s="21">
        <v>2024</v>
      </c>
      <c r="B3535" s="21" t="s">
        <v>24</v>
      </c>
      <c r="C3535" s="21" t="s">
        <v>1145</v>
      </c>
      <c r="D3535" s="21" t="s">
        <v>35</v>
      </c>
      <c r="E3535" s="18" t="s">
        <v>621</v>
      </c>
      <c r="F3535" s="18" t="s">
        <v>187</v>
      </c>
      <c r="G3535" s="18" t="s">
        <v>48</v>
      </c>
      <c r="H3535" s="24">
        <v>22560</v>
      </c>
      <c r="I3535" s="24">
        <f>T_reg.root.SK[[#This Row],[Volume, kg]]/1000</f>
        <v>22.56</v>
      </c>
      <c r="J3535" s="25">
        <v>0.16739999999999999</v>
      </c>
      <c r="K3535" s="25">
        <f t="shared" si="55"/>
        <v>3776.5439999999999</v>
      </c>
      <c r="L3535" s="25">
        <v>2.37</v>
      </c>
      <c r="M3535" s="24">
        <v>53426</v>
      </c>
      <c r="N3535" s="25">
        <f>IFERROR(T_reg.root.SK[[#This Row],[Price]]/T_reg.root.SK[[#This Row],[Starch content]],"")</f>
        <v>14.157706093189965</v>
      </c>
    </row>
    <row r="3536" spans="1:14">
      <c r="A3536" s="21">
        <v>2024</v>
      </c>
      <c r="B3536" s="21" t="s">
        <v>24</v>
      </c>
      <c r="C3536" s="21" t="s">
        <v>1145</v>
      </c>
      <c r="D3536" s="21" t="s">
        <v>35</v>
      </c>
      <c r="E3536" s="18" t="s">
        <v>515</v>
      </c>
      <c r="F3536" s="18" t="s">
        <v>187</v>
      </c>
      <c r="G3536" s="18" t="s">
        <v>48</v>
      </c>
      <c r="H3536" s="24">
        <v>9080</v>
      </c>
      <c r="I3536" s="24">
        <f>T_reg.root.SK[[#This Row],[Volume, kg]]/1000</f>
        <v>9.08</v>
      </c>
      <c r="J3536" s="25">
        <v>0.14800000000000002</v>
      </c>
      <c r="K3536" s="25">
        <f t="shared" si="55"/>
        <v>1343.8400000000001</v>
      </c>
      <c r="L3536" s="25">
        <v>2.25</v>
      </c>
      <c r="M3536" s="24">
        <v>20430</v>
      </c>
      <c r="N3536" s="25">
        <f>IFERROR(T_reg.root.SK[[#This Row],[Price]]/T_reg.root.SK[[#This Row],[Starch content]],"")</f>
        <v>15.2027027027027</v>
      </c>
    </row>
    <row r="3537" spans="1:14">
      <c r="A3537" s="21">
        <v>2024</v>
      </c>
      <c r="B3537" s="21" t="s">
        <v>24</v>
      </c>
      <c r="C3537" s="21" t="s">
        <v>1145</v>
      </c>
      <c r="D3537" s="21" t="s">
        <v>35</v>
      </c>
      <c r="E3537" s="18" t="s">
        <v>194</v>
      </c>
      <c r="F3537" s="18" t="s">
        <v>187</v>
      </c>
      <c r="G3537" s="18" t="s">
        <v>48</v>
      </c>
      <c r="H3537" s="24">
        <v>13200</v>
      </c>
      <c r="I3537" s="24">
        <f>T_reg.root.SK[[#This Row],[Volume, kg]]/1000</f>
        <v>13.2</v>
      </c>
      <c r="J3537" s="25">
        <v>0.1966</v>
      </c>
      <c r="K3537" s="25">
        <f t="shared" si="55"/>
        <v>2595.12</v>
      </c>
      <c r="L3537" s="25">
        <v>2.63</v>
      </c>
      <c r="M3537" s="24">
        <v>34694.5</v>
      </c>
      <c r="N3537" s="25">
        <f>IFERROR(T_reg.root.SK[[#This Row],[Price]]/T_reg.root.SK[[#This Row],[Starch content]],"")</f>
        <v>13.377416073245168</v>
      </c>
    </row>
    <row r="3538" spans="1:14">
      <c r="A3538" s="21">
        <v>2024</v>
      </c>
      <c r="B3538" s="21" t="s">
        <v>24</v>
      </c>
      <c r="C3538" s="21" t="s">
        <v>1145</v>
      </c>
      <c r="D3538" s="21" t="s">
        <v>35</v>
      </c>
      <c r="E3538" s="18" t="s">
        <v>263</v>
      </c>
      <c r="F3538" s="18" t="s">
        <v>187</v>
      </c>
      <c r="G3538" s="18" t="s">
        <v>48</v>
      </c>
      <c r="H3538" s="24">
        <v>24800</v>
      </c>
      <c r="I3538" s="24">
        <f>T_reg.root.SK[[#This Row],[Volume, kg]]/1000</f>
        <v>24.8</v>
      </c>
      <c r="J3538" s="25">
        <v>0.21739999999999998</v>
      </c>
      <c r="K3538" s="25">
        <f t="shared" si="55"/>
        <v>5391.5199999999995</v>
      </c>
      <c r="L3538" s="25">
        <v>2.73</v>
      </c>
      <c r="M3538" s="24">
        <v>67810</v>
      </c>
      <c r="N3538" s="25">
        <f>IFERROR(T_reg.root.SK[[#This Row],[Price]]/T_reg.root.SK[[#This Row],[Starch content]],"")</f>
        <v>12.557497700091997</v>
      </c>
    </row>
    <row r="3539" spans="1:14">
      <c r="A3539" s="21">
        <v>2024</v>
      </c>
      <c r="B3539" s="21" t="s">
        <v>24</v>
      </c>
      <c r="C3539" s="21" t="s">
        <v>1145</v>
      </c>
      <c r="D3539" s="21" t="s">
        <v>35</v>
      </c>
      <c r="E3539" s="18" t="s">
        <v>587</v>
      </c>
      <c r="F3539" s="18" t="s">
        <v>187</v>
      </c>
      <c r="G3539" s="18" t="s">
        <v>48</v>
      </c>
      <c r="H3539" s="24">
        <v>12660</v>
      </c>
      <c r="I3539" s="24">
        <f>T_reg.root.SK[[#This Row],[Volume, kg]]/1000</f>
        <v>12.66</v>
      </c>
      <c r="J3539" s="25">
        <v>0.19570000000000001</v>
      </c>
      <c r="K3539" s="25">
        <f t="shared" si="55"/>
        <v>2477.5620000000004</v>
      </c>
      <c r="L3539" s="25">
        <v>2.61</v>
      </c>
      <c r="M3539" s="24">
        <v>33030.5</v>
      </c>
      <c r="N3539" s="25">
        <f>IFERROR(T_reg.root.SK[[#This Row],[Price]]/T_reg.root.SK[[#This Row],[Starch content]],"")</f>
        <v>13.336739908022482</v>
      </c>
    </row>
    <row r="3540" spans="1:14">
      <c r="A3540" s="21">
        <v>2024</v>
      </c>
      <c r="B3540" s="21" t="s">
        <v>24</v>
      </c>
      <c r="C3540" s="21" t="s">
        <v>1145</v>
      </c>
      <c r="D3540" s="21" t="s">
        <v>35</v>
      </c>
      <c r="E3540" s="18" t="s">
        <v>195</v>
      </c>
      <c r="F3540" s="18" t="s">
        <v>187</v>
      </c>
      <c r="G3540" s="18" t="s">
        <v>48</v>
      </c>
      <c r="H3540" s="24">
        <v>8470</v>
      </c>
      <c r="I3540" s="24">
        <f>T_reg.root.SK[[#This Row],[Volume, kg]]/1000</f>
        <v>8.4700000000000006</v>
      </c>
      <c r="J3540" s="25">
        <v>0.1575</v>
      </c>
      <c r="K3540" s="25">
        <f t="shared" si="55"/>
        <v>1334.0250000000001</v>
      </c>
      <c r="L3540" s="25">
        <v>2.4500000000000002</v>
      </c>
      <c r="M3540" s="24">
        <v>20751.5</v>
      </c>
      <c r="N3540" s="25">
        <f>IFERROR(T_reg.root.SK[[#This Row],[Price]]/T_reg.root.SK[[#This Row],[Starch content]],"")</f>
        <v>15.555555555555557</v>
      </c>
    </row>
    <row r="3541" spans="1:14">
      <c r="A3541" s="21">
        <v>2024</v>
      </c>
      <c r="B3541" s="21" t="s">
        <v>24</v>
      </c>
      <c r="C3541" s="21" t="s">
        <v>1145</v>
      </c>
      <c r="D3541" s="21" t="s">
        <v>35</v>
      </c>
      <c r="E3541" s="18" t="s">
        <v>516</v>
      </c>
      <c r="F3541" s="18" t="s">
        <v>187</v>
      </c>
      <c r="G3541" s="18" t="s">
        <v>48</v>
      </c>
      <c r="H3541" s="24">
        <v>35550</v>
      </c>
      <c r="I3541" s="24">
        <f>T_reg.root.SK[[#This Row],[Volume, kg]]/1000</f>
        <v>35.549999999999997</v>
      </c>
      <c r="J3541" s="25">
        <v>0.16550000000000001</v>
      </c>
      <c r="K3541" s="25">
        <f t="shared" si="55"/>
        <v>5883.5250000000005</v>
      </c>
      <c r="L3541" s="25">
        <v>2.37</v>
      </c>
      <c r="M3541" s="24">
        <v>84399.5</v>
      </c>
      <c r="N3541" s="25">
        <f>IFERROR(T_reg.root.SK[[#This Row],[Price]]/T_reg.root.SK[[#This Row],[Starch content]],"")</f>
        <v>14.320241691842901</v>
      </c>
    </row>
    <row r="3542" spans="1:14">
      <c r="A3542" s="21">
        <v>2024</v>
      </c>
      <c r="B3542" s="21" t="s">
        <v>24</v>
      </c>
      <c r="C3542" s="21" t="s">
        <v>1145</v>
      </c>
      <c r="D3542" s="21" t="s">
        <v>35</v>
      </c>
      <c r="E3542" s="18" t="s">
        <v>517</v>
      </c>
      <c r="F3542" s="18" t="s">
        <v>187</v>
      </c>
      <c r="G3542" s="18" t="s">
        <v>48</v>
      </c>
      <c r="H3542" s="24">
        <v>5540</v>
      </c>
      <c r="I3542" s="24">
        <f>T_reg.root.SK[[#This Row],[Volume, kg]]/1000</f>
        <v>5.54</v>
      </c>
      <c r="J3542" s="25">
        <v>0.13900000000000001</v>
      </c>
      <c r="K3542" s="25">
        <f t="shared" si="55"/>
        <v>770.06000000000006</v>
      </c>
      <c r="L3542" s="25">
        <v>2.35</v>
      </c>
      <c r="M3542" s="24">
        <v>13019</v>
      </c>
      <c r="N3542" s="25">
        <f>IFERROR(T_reg.root.SK[[#This Row],[Price]]/T_reg.root.SK[[#This Row],[Starch content]],"")</f>
        <v>16.906474820143885</v>
      </c>
    </row>
    <row r="3543" spans="1:14">
      <c r="A3543" s="21">
        <v>2024</v>
      </c>
      <c r="B3543" s="21" t="s">
        <v>24</v>
      </c>
      <c r="C3543" s="21" t="s">
        <v>1145</v>
      </c>
      <c r="D3543" s="21" t="s">
        <v>35</v>
      </c>
      <c r="E3543" s="18" t="s">
        <v>331</v>
      </c>
      <c r="F3543" s="18" t="s">
        <v>187</v>
      </c>
      <c r="G3543" s="18" t="s">
        <v>48</v>
      </c>
      <c r="H3543" s="24">
        <v>5890</v>
      </c>
      <c r="I3543" s="24">
        <f>T_reg.root.SK[[#This Row],[Volume, kg]]/1000</f>
        <v>5.89</v>
      </c>
      <c r="J3543" s="25">
        <v>0.18</v>
      </c>
      <c r="K3543" s="25">
        <f t="shared" si="55"/>
        <v>1060.2</v>
      </c>
      <c r="L3543" s="25">
        <v>2.5499999999999998</v>
      </c>
      <c r="M3543" s="24">
        <v>15019.5</v>
      </c>
      <c r="N3543" s="25">
        <f>IFERROR(T_reg.root.SK[[#This Row],[Price]]/T_reg.root.SK[[#This Row],[Starch content]],"")</f>
        <v>14.166666666666666</v>
      </c>
    </row>
    <row r="3544" spans="1:14">
      <c r="A3544" s="21">
        <v>2024</v>
      </c>
      <c r="B3544" s="21" t="s">
        <v>24</v>
      </c>
      <c r="C3544" s="21" t="s">
        <v>1145</v>
      </c>
      <c r="D3544" s="21" t="s">
        <v>35</v>
      </c>
      <c r="E3544" s="18" t="s">
        <v>589</v>
      </c>
      <c r="F3544" s="18" t="s">
        <v>187</v>
      </c>
      <c r="G3544" s="18" t="s">
        <v>48</v>
      </c>
      <c r="H3544" s="24">
        <v>95220</v>
      </c>
      <c r="I3544" s="24">
        <f>T_reg.root.SK[[#This Row],[Volume, kg]]/1000</f>
        <v>95.22</v>
      </c>
      <c r="J3544" s="25">
        <v>0.18809999999999999</v>
      </c>
      <c r="K3544" s="25">
        <f t="shared" si="55"/>
        <v>17910.881999999998</v>
      </c>
      <c r="L3544" s="25">
        <v>2.56</v>
      </c>
      <c r="M3544" s="24">
        <v>243944.5</v>
      </c>
      <c r="N3544" s="25">
        <f>IFERROR(T_reg.root.SK[[#This Row],[Price]]/T_reg.root.SK[[#This Row],[Starch content]],"")</f>
        <v>13.609782030834664</v>
      </c>
    </row>
    <row r="3545" spans="1:14">
      <c r="A3545" s="21">
        <v>2024</v>
      </c>
      <c r="B3545" s="21" t="s">
        <v>24</v>
      </c>
      <c r="C3545" s="21" t="s">
        <v>1145</v>
      </c>
      <c r="D3545" s="21" t="s">
        <v>35</v>
      </c>
      <c r="E3545" s="18" t="s">
        <v>724</v>
      </c>
      <c r="F3545" s="18" t="s">
        <v>187</v>
      </c>
      <c r="G3545" s="18" t="s">
        <v>48</v>
      </c>
      <c r="H3545" s="24">
        <v>14310</v>
      </c>
      <c r="I3545" s="24">
        <f>T_reg.root.SK[[#This Row],[Volume, kg]]/1000</f>
        <v>14.31</v>
      </c>
      <c r="J3545" s="25">
        <v>0.18410000000000001</v>
      </c>
      <c r="K3545" s="25">
        <f t="shared" si="55"/>
        <v>2634.471</v>
      </c>
      <c r="L3545" s="25">
        <v>2.59</v>
      </c>
      <c r="M3545" s="24">
        <v>37002</v>
      </c>
      <c r="N3545" s="25">
        <f>IFERROR(T_reg.root.SK[[#This Row],[Price]]/T_reg.root.SK[[#This Row],[Starch content]],"")</f>
        <v>14.068441064638781</v>
      </c>
    </row>
    <row r="3546" spans="1:14">
      <c r="A3546" s="21">
        <v>2024</v>
      </c>
      <c r="B3546" s="21" t="s">
        <v>24</v>
      </c>
      <c r="C3546" s="21" t="s">
        <v>1145</v>
      </c>
      <c r="D3546" s="21" t="s">
        <v>35</v>
      </c>
      <c r="E3546" s="18" t="s">
        <v>520</v>
      </c>
      <c r="F3546" s="18" t="s">
        <v>187</v>
      </c>
      <c r="G3546" s="18" t="s">
        <v>48</v>
      </c>
      <c r="H3546" s="24">
        <v>4900</v>
      </c>
      <c r="I3546" s="24">
        <f>T_reg.root.SK[[#This Row],[Volume, kg]]/1000</f>
        <v>4.9000000000000004</v>
      </c>
      <c r="J3546" s="25">
        <v>0.1595</v>
      </c>
      <c r="K3546" s="25">
        <f t="shared" si="55"/>
        <v>781.55000000000007</v>
      </c>
      <c r="L3546" s="25">
        <v>2.4</v>
      </c>
      <c r="M3546" s="24">
        <v>11760</v>
      </c>
      <c r="N3546" s="25">
        <f>IFERROR(T_reg.root.SK[[#This Row],[Price]]/T_reg.root.SK[[#This Row],[Starch content]],"")</f>
        <v>15.047021943573666</v>
      </c>
    </row>
    <row r="3547" spans="1:14">
      <c r="A3547" s="21">
        <v>2024</v>
      </c>
      <c r="B3547" s="21" t="s">
        <v>24</v>
      </c>
      <c r="C3547" s="21" t="s">
        <v>1145</v>
      </c>
      <c r="D3547" s="21" t="s">
        <v>35</v>
      </c>
      <c r="E3547" s="18" t="s">
        <v>795</v>
      </c>
      <c r="F3547" s="18" t="s">
        <v>187</v>
      </c>
      <c r="G3547" s="18" t="s">
        <v>48</v>
      </c>
      <c r="H3547" s="24">
        <v>9880</v>
      </c>
      <c r="I3547" s="24">
        <f>T_reg.root.SK[[#This Row],[Volume, kg]]/1000</f>
        <v>9.8800000000000008</v>
      </c>
      <c r="J3547" s="25">
        <v>0.1885</v>
      </c>
      <c r="K3547" s="25">
        <f t="shared" si="55"/>
        <v>1862.38</v>
      </c>
      <c r="L3547" s="25">
        <v>2.6</v>
      </c>
      <c r="M3547" s="24">
        <v>25688</v>
      </c>
      <c r="N3547" s="25">
        <f>IFERROR(T_reg.root.SK[[#This Row],[Price]]/T_reg.root.SK[[#This Row],[Starch content]],"")</f>
        <v>13.793103448275863</v>
      </c>
    </row>
    <row r="3548" spans="1:14">
      <c r="A3548" s="21">
        <v>2024</v>
      </c>
      <c r="B3548" s="21" t="s">
        <v>24</v>
      </c>
      <c r="C3548" s="21" t="s">
        <v>1145</v>
      </c>
      <c r="D3548" s="21" t="s">
        <v>35</v>
      </c>
      <c r="E3548" s="18" t="s">
        <v>521</v>
      </c>
      <c r="F3548" s="18" t="s">
        <v>187</v>
      </c>
      <c r="G3548" s="18" t="s">
        <v>48</v>
      </c>
      <c r="H3548" s="24">
        <v>89530</v>
      </c>
      <c r="I3548" s="24">
        <f>T_reg.root.SK[[#This Row],[Volume, kg]]/1000</f>
        <v>89.53</v>
      </c>
      <c r="J3548" s="25">
        <v>0.17420000000000002</v>
      </c>
      <c r="K3548" s="25">
        <f t="shared" si="55"/>
        <v>15596.126000000002</v>
      </c>
      <c r="L3548" s="25">
        <v>2.4900000000000002</v>
      </c>
      <c r="M3548" s="24">
        <v>222816</v>
      </c>
      <c r="N3548" s="25">
        <f>IFERROR(T_reg.root.SK[[#This Row],[Price]]/T_reg.root.SK[[#This Row],[Starch content]],"")</f>
        <v>14.293915040183697</v>
      </c>
    </row>
    <row r="3549" spans="1:14">
      <c r="A3549" s="21">
        <v>2024</v>
      </c>
      <c r="B3549" s="21" t="s">
        <v>24</v>
      </c>
      <c r="C3549" s="21" t="s">
        <v>1145</v>
      </c>
      <c r="D3549" s="21" t="s">
        <v>35</v>
      </c>
      <c r="E3549" s="18" t="s">
        <v>264</v>
      </c>
      <c r="F3549" s="18" t="s">
        <v>187</v>
      </c>
      <c r="G3549" s="18" t="s">
        <v>48</v>
      </c>
      <c r="H3549" s="24">
        <v>53200</v>
      </c>
      <c r="I3549" s="24">
        <f>T_reg.root.SK[[#This Row],[Volume, kg]]/1000</f>
        <v>53.2</v>
      </c>
      <c r="J3549" s="25">
        <v>0.1648</v>
      </c>
      <c r="K3549" s="25">
        <f t="shared" si="55"/>
        <v>8767.36</v>
      </c>
      <c r="L3549" s="25">
        <v>2.39</v>
      </c>
      <c r="M3549" s="24">
        <v>126916.5</v>
      </c>
      <c r="N3549" s="25">
        <f>IFERROR(T_reg.root.SK[[#This Row],[Price]]/T_reg.root.SK[[#This Row],[Starch content]],"")</f>
        <v>14.50242718446602</v>
      </c>
    </row>
    <row r="3550" spans="1:14">
      <c r="A3550" s="21">
        <v>2024</v>
      </c>
      <c r="B3550" s="21" t="s">
        <v>24</v>
      </c>
      <c r="C3550" s="21" t="s">
        <v>1145</v>
      </c>
      <c r="D3550" s="21" t="s">
        <v>35</v>
      </c>
      <c r="E3550" s="18" t="s">
        <v>522</v>
      </c>
      <c r="F3550" s="18" t="s">
        <v>187</v>
      </c>
      <c r="G3550" s="18" t="s">
        <v>48</v>
      </c>
      <c r="H3550" s="24">
        <v>9210</v>
      </c>
      <c r="I3550" s="24">
        <f>T_reg.root.SK[[#This Row],[Volume, kg]]/1000</f>
        <v>9.2100000000000009</v>
      </c>
      <c r="J3550" s="25">
        <v>0.17050000000000001</v>
      </c>
      <c r="K3550" s="25">
        <f t="shared" si="55"/>
        <v>1570.3050000000001</v>
      </c>
      <c r="L3550" s="25">
        <v>2.5</v>
      </c>
      <c r="M3550" s="24">
        <v>23025</v>
      </c>
      <c r="N3550" s="25">
        <f>IFERROR(T_reg.root.SK[[#This Row],[Price]]/T_reg.root.SK[[#This Row],[Starch content]],"")</f>
        <v>14.662756598240469</v>
      </c>
    </row>
    <row r="3551" spans="1:14">
      <c r="A3551" s="21">
        <v>2024</v>
      </c>
      <c r="B3551" s="21" t="s">
        <v>24</v>
      </c>
      <c r="C3551" s="21" t="s">
        <v>1145</v>
      </c>
      <c r="D3551" s="21" t="s">
        <v>35</v>
      </c>
      <c r="E3551" s="18" t="s">
        <v>523</v>
      </c>
      <c r="F3551" s="18" t="s">
        <v>187</v>
      </c>
      <c r="G3551" s="18" t="s">
        <v>48</v>
      </c>
      <c r="H3551" s="24">
        <v>32780</v>
      </c>
      <c r="I3551" s="24">
        <f>T_reg.root.SK[[#This Row],[Volume, kg]]/1000</f>
        <v>32.78</v>
      </c>
      <c r="J3551" s="25">
        <v>0.18440000000000001</v>
      </c>
      <c r="K3551" s="25">
        <f t="shared" si="55"/>
        <v>6044.6320000000005</v>
      </c>
      <c r="L3551" s="25">
        <v>2.52</v>
      </c>
      <c r="M3551" s="24">
        <v>82552</v>
      </c>
      <c r="N3551" s="25">
        <f>IFERROR(T_reg.root.SK[[#This Row],[Price]]/T_reg.root.SK[[#This Row],[Starch content]],"")</f>
        <v>13.665943600867678</v>
      </c>
    </row>
    <row r="3552" spans="1:14">
      <c r="A3552" s="21">
        <v>2024</v>
      </c>
      <c r="B3552" s="21" t="s">
        <v>24</v>
      </c>
      <c r="C3552" s="21" t="s">
        <v>1145</v>
      </c>
      <c r="D3552" s="21" t="s">
        <v>35</v>
      </c>
      <c r="E3552" s="18" t="s">
        <v>610</v>
      </c>
      <c r="F3552" s="18" t="s">
        <v>187</v>
      </c>
      <c r="G3552" s="18" t="s">
        <v>48</v>
      </c>
      <c r="H3552" s="24">
        <v>3020</v>
      </c>
      <c r="I3552" s="24">
        <f>T_reg.root.SK[[#This Row],[Volume, kg]]/1000</f>
        <v>3.02</v>
      </c>
      <c r="J3552" s="25">
        <v>0.22149999999999997</v>
      </c>
      <c r="K3552" s="25">
        <f t="shared" si="55"/>
        <v>668.93</v>
      </c>
      <c r="L3552" s="25">
        <v>2.73</v>
      </c>
      <c r="M3552" s="24">
        <v>8247.5</v>
      </c>
      <c r="N3552" s="25">
        <f>IFERROR(T_reg.root.SK[[#This Row],[Price]]/T_reg.root.SK[[#This Row],[Starch content]],"")</f>
        <v>12.325056433408578</v>
      </c>
    </row>
    <row r="3553" spans="1:14">
      <c r="A3553" s="21">
        <v>2024</v>
      </c>
      <c r="B3553" s="21" t="s">
        <v>24</v>
      </c>
      <c r="C3553" s="21" t="s">
        <v>1145</v>
      </c>
      <c r="D3553" s="21" t="s">
        <v>35</v>
      </c>
      <c r="E3553" s="18" t="s">
        <v>650</v>
      </c>
      <c r="F3553" s="18" t="s">
        <v>187</v>
      </c>
      <c r="G3553" s="18" t="s">
        <v>48</v>
      </c>
      <c r="H3553" s="24">
        <v>44560</v>
      </c>
      <c r="I3553" s="24">
        <f>T_reg.root.SK[[#This Row],[Volume, kg]]/1000</f>
        <v>44.56</v>
      </c>
      <c r="J3553" s="25">
        <v>0.18100000000000002</v>
      </c>
      <c r="K3553" s="25">
        <f t="shared" si="55"/>
        <v>8065.3600000000006</v>
      </c>
      <c r="L3553" s="25">
        <v>2.44</v>
      </c>
      <c r="M3553" s="24">
        <v>108776</v>
      </c>
      <c r="N3553" s="25">
        <f>IFERROR(T_reg.root.SK[[#This Row],[Price]]/T_reg.root.SK[[#This Row],[Starch content]],"")</f>
        <v>13.480662983425413</v>
      </c>
    </row>
    <row r="3554" spans="1:14">
      <c r="A3554" s="21">
        <v>2024</v>
      </c>
      <c r="B3554" s="21" t="s">
        <v>24</v>
      </c>
      <c r="C3554" s="21" t="s">
        <v>1145</v>
      </c>
      <c r="D3554" s="21" t="s">
        <v>35</v>
      </c>
      <c r="E3554" s="18" t="s">
        <v>525</v>
      </c>
      <c r="F3554" s="18" t="s">
        <v>187</v>
      </c>
      <c r="G3554" s="18" t="s">
        <v>48</v>
      </c>
      <c r="H3554" s="24">
        <v>54120</v>
      </c>
      <c r="I3554" s="24">
        <f>T_reg.root.SK[[#This Row],[Volume, kg]]/1000</f>
        <v>54.12</v>
      </c>
      <c r="J3554" s="25">
        <v>0.1837</v>
      </c>
      <c r="K3554" s="25">
        <f t="shared" si="55"/>
        <v>9941.844000000001</v>
      </c>
      <c r="L3554" s="25">
        <v>2.54</v>
      </c>
      <c r="M3554" s="24">
        <v>137517</v>
      </c>
      <c r="N3554" s="25">
        <f>IFERROR(T_reg.root.SK[[#This Row],[Price]]/T_reg.root.SK[[#This Row],[Starch content]],"")</f>
        <v>13.826891671203049</v>
      </c>
    </row>
    <row r="3555" spans="1:14">
      <c r="A3555" s="21">
        <v>2024</v>
      </c>
      <c r="B3555" s="21" t="s">
        <v>24</v>
      </c>
      <c r="C3555" s="21" t="s">
        <v>1145</v>
      </c>
      <c r="D3555" s="21" t="s">
        <v>35</v>
      </c>
      <c r="E3555" s="18" t="s">
        <v>591</v>
      </c>
      <c r="F3555" s="18" t="s">
        <v>187</v>
      </c>
      <c r="G3555" s="18" t="s">
        <v>48</v>
      </c>
      <c r="H3555" s="24">
        <v>4930</v>
      </c>
      <c r="I3555" s="24">
        <f>T_reg.root.SK[[#This Row],[Volume, kg]]/1000</f>
        <v>4.93</v>
      </c>
      <c r="J3555" s="25">
        <v>0.22450000000000001</v>
      </c>
      <c r="K3555" s="25">
        <f t="shared" si="55"/>
        <v>1106.7850000000001</v>
      </c>
      <c r="L3555" s="25">
        <v>2.75</v>
      </c>
      <c r="M3555" s="24">
        <v>13557.5</v>
      </c>
      <c r="N3555" s="25">
        <f>IFERROR(T_reg.root.SK[[#This Row],[Price]]/T_reg.root.SK[[#This Row],[Starch content]],"")</f>
        <v>12.249443207126948</v>
      </c>
    </row>
    <row r="3556" spans="1:14">
      <c r="A3556" s="21">
        <v>2024</v>
      </c>
      <c r="B3556" s="21" t="s">
        <v>24</v>
      </c>
      <c r="C3556" s="21" t="s">
        <v>1145</v>
      </c>
      <c r="D3556" s="21" t="s">
        <v>35</v>
      </c>
      <c r="E3556" s="18" t="s">
        <v>725</v>
      </c>
      <c r="F3556" s="18" t="s">
        <v>187</v>
      </c>
      <c r="G3556" s="18" t="s">
        <v>48</v>
      </c>
      <c r="H3556" s="24">
        <v>12660</v>
      </c>
      <c r="I3556" s="24">
        <f>T_reg.root.SK[[#This Row],[Volume, kg]]/1000</f>
        <v>12.66</v>
      </c>
      <c r="J3556" s="25">
        <v>0.1452</v>
      </c>
      <c r="K3556" s="25">
        <f t="shared" si="55"/>
        <v>1838.232</v>
      </c>
      <c r="L3556" s="25">
        <v>2.35</v>
      </c>
      <c r="M3556" s="24">
        <v>29721</v>
      </c>
      <c r="N3556" s="25">
        <f>IFERROR(T_reg.root.SK[[#This Row],[Price]]/T_reg.root.SK[[#This Row],[Starch content]],"")</f>
        <v>16.184573002754821</v>
      </c>
    </row>
    <row r="3557" spans="1:14">
      <c r="A3557" s="21">
        <v>2024</v>
      </c>
      <c r="B3557" s="21" t="s">
        <v>24</v>
      </c>
      <c r="C3557" s="21" t="s">
        <v>1145</v>
      </c>
      <c r="D3557" s="21" t="s">
        <v>35</v>
      </c>
      <c r="E3557" s="18" t="s">
        <v>372</v>
      </c>
      <c r="F3557" s="18" t="s">
        <v>187</v>
      </c>
      <c r="G3557" s="18" t="s">
        <v>48</v>
      </c>
      <c r="H3557" s="24">
        <v>37010</v>
      </c>
      <c r="I3557" s="24">
        <f>T_reg.root.SK[[#This Row],[Volume, kg]]/1000</f>
        <v>37.01</v>
      </c>
      <c r="J3557" s="25">
        <v>0.1804</v>
      </c>
      <c r="K3557" s="25">
        <f t="shared" si="55"/>
        <v>6676.6040000000003</v>
      </c>
      <c r="L3557" s="25">
        <v>2.52</v>
      </c>
      <c r="M3557" s="24">
        <v>93129.5</v>
      </c>
      <c r="N3557" s="25">
        <f>IFERROR(T_reg.root.SK[[#This Row],[Price]]/T_reg.root.SK[[#This Row],[Starch content]],"")</f>
        <v>13.968957871396896</v>
      </c>
    </row>
    <row r="3558" spans="1:14">
      <c r="A3558" s="21">
        <v>2024</v>
      </c>
      <c r="B3558" s="21" t="s">
        <v>24</v>
      </c>
      <c r="C3558" s="21" t="s">
        <v>1145</v>
      </c>
      <c r="D3558" s="21" t="s">
        <v>35</v>
      </c>
      <c r="E3558" s="18" t="s">
        <v>611</v>
      </c>
      <c r="F3558" s="18" t="s">
        <v>187</v>
      </c>
      <c r="G3558" s="18" t="s">
        <v>48</v>
      </c>
      <c r="H3558" s="24">
        <v>50940</v>
      </c>
      <c r="I3558" s="24">
        <f>T_reg.root.SK[[#This Row],[Volume, kg]]/1000</f>
        <v>50.94</v>
      </c>
      <c r="J3558" s="25">
        <v>0.16839999999999999</v>
      </c>
      <c r="K3558" s="25">
        <f t="shared" si="55"/>
        <v>8578.2960000000003</v>
      </c>
      <c r="L3558" s="25">
        <v>2.46</v>
      </c>
      <c r="M3558" s="24">
        <v>125189.5</v>
      </c>
      <c r="N3558" s="25">
        <f>IFERROR(T_reg.root.SK[[#This Row],[Price]]/T_reg.root.SK[[#This Row],[Starch content]],"")</f>
        <v>14.608076009501188</v>
      </c>
    </row>
    <row r="3559" spans="1:14">
      <c r="A3559" s="21">
        <v>2024</v>
      </c>
      <c r="B3559" s="21" t="s">
        <v>24</v>
      </c>
      <c r="C3559" s="21" t="s">
        <v>1145</v>
      </c>
      <c r="D3559" s="21" t="s">
        <v>35</v>
      </c>
      <c r="E3559" s="18" t="s">
        <v>199</v>
      </c>
      <c r="F3559" s="18" t="s">
        <v>187</v>
      </c>
      <c r="G3559" s="18" t="s">
        <v>48</v>
      </c>
      <c r="H3559" s="24">
        <v>164740</v>
      </c>
      <c r="I3559" s="24">
        <f>T_reg.root.SK[[#This Row],[Volume, kg]]/1000</f>
        <v>164.74</v>
      </c>
      <c r="J3559" s="25">
        <v>0.182</v>
      </c>
      <c r="K3559" s="25">
        <f t="shared" si="55"/>
        <v>29982.68</v>
      </c>
      <c r="L3559" s="25">
        <v>2.54</v>
      </c>
      <c r="M3559" s="24">
        <v>418914</v>
      </c>
      <c r="N3559" s="25">
        <f>IFERROR(T_reg.root.SK[[#This Row],[Price]]/T_reg.root.SK[[#This Row],[Starch content]],"")</f>
        <v>13.956043956043956</v>
      </c>
    </row>
    <row r="3560" spans="1:14">
      <c r="A3560" s="21">
        <v>2024</v>
      </c>
      <c r="B3560" s="21" t="s">
        <v>24</v>
      </c>
      <c r="C3560" s="21" t="s">
        <v>1145</v>
      </c>
      <c r="D3560" s="21" t="s">
        <v>35</v>
      </c>
      <c r="E3560" s="18" t="s">
        <v>526</v>
      </c>
      <c r="F3560" s="18" t="s">
        <v>187</v>
      </c>
      <c r="G3560" s="18" t="s">
        <v>48</v>
      </c>
      <c r="H3560" s="24">
        <v>9380</v>
      </c>
      <c r="I3560" s="24">
        <f>T_reg.root.SK[[#This Row],[Volume, kg]]/1000</f>
        <v>9.3800000000000008</v>
      </c>
      <c r="J3560" s="25">
        <v>0.1537</v>
      </c>
      <c r="K3560" s="25">
        <f t="shared" si="55"/>
        <v>1441.7060000000001</v>
      </c>
      <c r="L3560" s="25">
        <v>2.35</v>
      </c>
      <c r="M3560" s="24">
        <v>22043</v>
      </c>
      <c r="N3560" s="25">
        <f>IFERROR(T_reg.root.SK[[#This Row],[Price]]/T_reg.root.SK[[#This Row],[Starch content]],"")</f>
        <v>15.289525048796357</v>
      </c>
    </row>
    <row r="3561" spans="1:14">
      <c r="A3561" s="21">
        <v>2024</v>
      </c>
      <c r="B3561" s="21" t="s">
        <v>24</v>
      </c>
      <c r="C3561" s="21" t="s">
        <v>1145</v>
      </c>
      <c r="D3561" s="21" t="s">
        <v>35</v>
      </c>
      <c r="E3561" s="18" t="s">
        <v>200</v>
      </c>
      <c r="F3561" s="18" t="s">
        <v>187</v>
      </c>
      <c r="G3561" s="18" t="s">
        <v>48</v>
      </c>
      <c r="H3561" s="24">
        <v>24960</v>
      </c>
      <c r="I3561" s="24">
        <f>T_reg.root.SK[[#This Row],[Volume, kg]]/1000</f>
        <v>24.96</v>
      </c>
      <c r="J3561" s="25">
        <v>0.18140000000000001</v>
      </c>
      <c r="K3561" s="25">
        <f t="shared" si="55"/>
        <v>4527.7440000000006</v>
      </c>
      <c r="L3561" s="25">
        <v>2.52</v>
      </c>
      <c r="M3561" s="24">
        <v>62791.5</v>
      </c>
      <c r="N3561" s="25">
        <f>IFERROR(T_reg.root.SK[[#This Row],[Price]]/T_reg.root.SK[[#This Row],[Starch content]],"")</f>
        <v>13.891951488423373</v>
      </c>
    </row>
    <row r="3562" spans="1:14">
      <c r="A3562" s="21">
        <v>2024</v>
      </c>
      <c r="B3562" s="21" t="s">
        <v>24</v>
      </c>
      <c r="C3562" s="21" t="s">
        <v>1145</v>
      </c>
      <c r="D3562" s="21" t="s">
        <v>35</v>
      </c>
      <c r="E3562" s="18" t="s">
        <v>201</v>
      </c>
      <c r="F3562" s="18" t="s">
        <v>187</v>
      </c>
      <c r="G3562" s="18" t="s">
        <v>48</v>
      </c>
      <c r="H3562" s="24">
        <v>74150</v>
      </c>
      <c r="I3562" s="24">
        <f>T_reg.root.SK[[#This Row],[Volume, kg]]/1000</f>
        <v>74.150000000000006</v>
      </c>
      <c r="J3562" s="25">
        <v>0.17879999999999999</v>
      </c>
      <c r="K3562" s="25">
        <f t="shared" si="55"/>
        <v>13258.019999999999</v>
      </c>
      <c r="L3562" s="25">
        <v>2.5299999999999998</v>
      </c>
      <c r="M3562" s="24">
        <v>187771</v>
      </c>
      <c r="N3562" s="25">
        <f>IFERROR(T_reg.root.SK[[#This Row],[Price]]/T_reg.root.SK[[#This Row],[Starch content]],"")</f>
        <v>14.149888143176733</v>
      </c>
    </row>
    <row r="3563" spans="1:14">
      <c r="A3563" s="21">
        <v>2024</v>
      </c>
      <c r="B3563" s="21" t="s">
        <v>24</v>
      </c>
      <c r="C3563" s="21" t="s">
        <v>1145</v>
      </c>
      <c r="D3563" s="21" t="s">
        <v>35</v>
      </c>
      <c r="E3563" s="18" t="s">
        <v>527</v>
      </c>
      <c r="F3563" s="18" t="s">
        <v>187</v>
      </c>
      <c r="G3563" s="18" t="s">
        <v>48</v>
      </c>
      <c r="H3563" s="24">
        <v>11900</v>
      </c>
      <c r="I3563" s="24">
        <f>T_reg.root.SK[[#This Row],[Volume, kg]]/1000</f>
        <v>11.9</v>
      </c>
      <c r="J3563" s="25">
        <v>0.16300000000000001</v>
      </c>
      <c r="K3563" s="25">
        <f t="shared" si="55"/>
        <v>1939.7</v>
      </c>
      <c r="L3563" s="25">
        <v>2.4300000000000002</v>
      </c>
      <c r="M3563" s="24">
        <v>28882</v>
      </c>
      <c r="N3563" s="25">
        <f>IFERROR(T_reg.root.SK[[#This Row],[Price]]/T_reg.root.SK[[#This Row],[Starch content]],"")</f>
        <v>14.907975460122699</v>
      </c>
    </row>
    <row r="3564" spans="1:14">
      <c r="A3564" s="21">
        <v>2024</v>
      </c>
      <c r="B3564" s="21" t="s">
        <v>24</v>
      </c>
      <c r="C3564" s="21" t="s">
        <v>1145</v>
      </c>
      <c r="D3564" s="21" t="s">
        <v>35</v>
      </c>
      <c r="E3564" s="18" t="s">
        <v>332</v>
      </c>
      <c r="F3564" s="18" t="s">
        <v>187</v>
      </c>
      <c r="G3564" s="18" t="s">
        <v>48</v>
      </c>
      <c r="H3564" s="24">
        <v>9560</v>
      </c>
      <c r="I3564" s="24">
        <f>T_reg.root.SK[[#This Row],[Volume, kg]]/1000</f>
        <v>9.56</v>
      </c>
      <c r="J3564" s="25">
        <v>0.18909999999999999</v>
      </c>
      <c r="K3564" s="25">
        <f t="shared" si="55"/>
        <v>1807.7959999999998</v>
      </c>
      <c r="L3564" s="25">
        <v>2.57</v>
      </c>
      <c r="M3564" s="24">
        <v>24564.5</v>
      </c>
      <c r="N3564" s="25">
        <f>IFERROR(T_reg.root.SK[[#This Row],[Price]]/T_reg.root.SK[[#This Row],[Starch content]],"")</f>
        <v>13.590692755156002</v>
      </c>
    </row>
    <row r="3565" spans="1:14">
      <c r="A3565" s="21">
        <v>2024</v>
      </c>
      <c r="B3565" s="21" t="s">
        <v>24</v>
      </c>
      <c r="C3565" s="21" t="s">
        <v>1145</v>
      </c>
      <c r="D3565" s="21" t="s">
        <v>35</v>
      </c>
      <c r="E3565" s="18" t="s">
        <v>593</v>
      </c>
      <c r="F3565" s="18" t="s">
        <v>187</v>
      </c>
      <c r="G3565" s="18" t="s">
        <v>48</v>
      </c>
      <c r="H3565" s="24">
        <v>126990</v>
      </c>
      <c r="I3565" s="24">
        <f>T_reg.root.SK[[#This Row],[Volume, kg]]/1000</f>
        <v>126.99</v>
      </c>
      <c r="J3565" s="25">
        <v>0.15310000000000001</v>
      </c>
      <c r="K3565" s="25">
        <f t="shared" si="55"/>
        <v>19442.169000000002</v>
      </c>
      <c r="L3565" s="25">
        <v>2.39</v>
      </c>
      <c r="M3565" s="24">
        <v>303022</v>
      </c>
      <c r="N3565" s="25">
        <f>IFERROR(T_reg.root.SK[[#This Row],[Price]]/T_reg.root.SK[[#This Row],[Starch content]],"")</f>
        <v>15.610711952971913</v>
      </c>
    </row>
    <row r="3566" spans="1:14">
      <c r="A3566" s="21">
        <v>2024</v>
      </c>
      <c r="B3566" s="21" t="s">
        <v>24</v>
      </c>
      <c r="C3566" s="21" t="s">
        <v>1145</v>
      </c>
      <c r="D3566" s="21" t="s">
        <v>35</v>
      </c>
      <c r="E3566" s="18" t="s">
        <v>777</v>
      </c>
      <c r="F3566" s="18" t="s">
        <v>187</v>
      </c>
      <c r="G3566" s="18" t="s">
        <v>48</v>
      </c>
      <c r="H3566" s="24">
        <v>14330</v>
      </c>
      <c r="I3566" s="24">
        <f>T_reg.root.SK[[#This Row],[Volume, kg]]/1000</f>
        <v>14.33</v>
      </c>
      <c r="J3566" s="25">
        <v>0.152</v>
      </c>
      <c r="K3566" s="25">
        <f t="shared" si="55"/>
        <v>2178.16</v>
      </c>
      <c r="L3566" s="25">
        <v>2.42</v>
      </c>
      <c r="M3566" s="24">
        <v>34611.5</v>
      </c>
      <c r="N3566" s="25">
        <f>IFERROR(T_reg.root.SK[[#This Row],[Price]]/T_reg.root.SK[[#This Row],[Starch content]],"")</f>
        <v>15.921052631578947</v>
      </c>
    </row>
    <row r="3567" spans="1:14">
      <c r="A3567" s="21">
        <v>2024</v>
      </c>
      <c r="B3567" s="21" t="s">
        <v>24</v>
      </c>
      <c r="C3567" s="21" t="s">
        <v>1145</v>
      </c>
      <c r="D3567" s="21" t="s">
        <v>35</v>
      </c>
      <c r="E3567" s="18" t="s">
        <v>204</v>
      </c>
      <c r="F3567" s="18" t="s">
        <v>187</v>
      </c>
      <c r="G3567" s="18" t="s">
        <v>48</v>
      </c>
      <c r="H3567" s="24">
        <v>21460</v>
      </c>
      <c r="I3567" s="24">
        <f>T_reg.root.SK[[#This Row],[Volume, kg]]/1000</f>
        <v>21.46</v>
      </c>
      <c r="J3567" s="25">
        <v>0.19289999999999999</v>
      </c>
      <c r="K3567" s="25">
        <f t="shared" si="55"/>
        <v>4139.634</v>
      </c>
      <c r="L3567" s="25">
        <v>2.58</v>
      </c>
      <c r="M3567" s="24">
        <v>55353.5</v>
      </c>
      <c r="N3567" s="25">
        <f>IFERROR(T_reg.root.SK[[#This Row],[Price]]/T_reg.root.SK[[#This Row],[Starch content]],"")</f>
        <v>13.374805598755833</v>
      </c>
    </row>
    <row r="3568" spans="1:14">
      <c r="A3568" s="21">
        <v>2024</v>
      </c>
      <c r="B3568" s="21" t="s">
        <v>24</v>
      </c>
      <c r="C3568" s="21" t="s">
        <v>1145</v>
      </c>
      <c r="D3568" s="21" t="s">
        <v>35</v>
      </c>
      <c r="E3568" s="18" t="s">
        <v>205</v>
      </c>
      <c r="F3568" s="18" t="s">
        <v>187</v>
      </c>
      <c r="G3568" s="18" t="s">
        <v>48</v>
      </c>
      <c r="H3568" s="24">
        <v>0</v>
      </c>
      <c r="I3568" s="24">
        <f>T_reg.root.SK[[#This Row],[Volume, kg]]/1000</f>
        <v>0</v>
      </c>
      <c r="J3568" s="25">
        <v>0</v>
      </c>
      <c r="K3568" s="25">
        <f t="shared" si="55"/>
        <v>0</v>
      </c>
      <c r="L3568" s="25">
        <v>0</v>
      </c>
      <c r="M3568" s="24">
        <v>0</v>
      </c>
      <c r="N3568" s="25" t="str">
        <f>IFERROR(T_reg.root.SK[[#This Row],[Price]]/T_reg.root.SK[[#This Row],[Starch content]],"")</f>
        <v/>
      </c>
    </row>
    <row r="3569" spans="1:14">
      <c r="A3569" s="21">
        <v>2024</v>
      </c>
      <c r="B3569" s="21" t="s">
        <v>24</v>
      </c>
      <c r="C3569" s="21" t="s">
        <v>1145</v>
      </c>
      <c r="D3569" s="21" t="s">
        <v>35</v>
      </c>
      <c r="E3569" s="18" t="s">
        <v>530</v>
      </c>
      <c r="F3569" s="18" t="s">
        <v>187</v>
      </c>
      <c r="G3569" s="18" t="s">
        <v>48</v>
      </c>
      <c r="H3569" s="24">
        <v>21550</v>
      </c>
      <c r="I3569" s="24">
        <f>T_reg.root.SK[[#This Row],[Volume, kg]]/1000</f>
        <v>21.55</v>
      </c>
      <c r="J3569" s="25">
        <v>0.14599999999999999</v>
      </c>
      <c r="K3569" s="25">
        <f t="shared" si="55"/>
        <v>3146.2999999999997</v>
      </c>
      <c r="L3569" s="25">
        <v>2.3199999999999998</v>
      </c>
      <c r="M3569" s="24">
        <v>49956.5</v>
      </c>
      <c r="N3569" s="25">
        <f>IFERROR(T_reg.root.SK[[#This Row],[Price]]/T_reg.root.SK[[#This Row],[Starch content]],"")</f>
        <v>15.890410958904109</v>
      </c>
    </row>
    <row r="3570" spans="1:14">
      <c r="A3570" s="21">
        <v>2024</v>
      </c>
      <c r="B3570" s="21" t="s">
        <v>24</v>
      </c>
      <c r="C3570" s="21" t="s">
        <v>1145</v>
      </c>
      <c r="D3570" s="21" t="s">
        <v>35</v>
      </c>
      <c r="E3570" s="18" t="s">
        <v>266</v>
      </c>
      <c r="F3570" s="18" t="s">
        <v>187</v>
      </c>
      <c r="G3570" s="18" t="s">
        <v>48</v>
      </c>
      <c r="H3570" s="24">
        <v>37890</v>
      </c>
      <c r="I3570" s="24">
        <f>T_reg.root.SK[[#This Row],[Volume, kg]]/1000</f>
        <v>37.89</v>
      </c>
      <c r="J3570" s="25">
        <v>0.1736</v>
      </c>
      <c r="K3570" s="25">
        <f t="shared" si="55"/>
        <v>6577.7039999999997</v>
      </c>
      <c r="L3570" s="25">
        <v>2.5</v>
      </c>
      <c r="M3570" s="24">
        <v>94640.5</v>
      </c>
      <c r="N3570" s="25">
        <f>IFERROR(T_reg.root.SK[[#This Row],[Price]]/T_reg.root.SK[[#This Row],[Starch content]],"")</f>
        <v>14.400921658986174</v>
      </c>
    </row>
    <row r="3571" spans="1:14">
      <c r="A3571" s="21">
        <v>2024</v>
      </c>
      <c r="B3571" s="21" t="s">
        <v>24</v>
      </c>
      <c r="C3571" s="21" t="s">
        <v>1145</v>
      </c>
      <c r="D3571" s="21" t="s">
        <v>35</v>
      </c>
      <c r="E3571" s="18" t="s">
        <v>778</v>
      </c>
      <c r="F3571" s="18" t="s">
        <v>187</v>
      </c>
      <c r="G3571" s="18" t="s">
        <v>48</v>
      </c>
      <c r="H3571" s="24">
        <v>18240</v>
      </c>
      <c r="I3571" s="24">
        <f>T_reg.root.SK[[#This Row],[Volume, kg]]/1000</f>
        <v>18.239999999999998</v>
      </c>
      <c r="J3571" s="25">
        <v>0.16200000000000001</v>
      </c>
      <c r="K3571" s="25">
        <f t="shared" si="55"/>
        <v>2954.88</v>
      </c>
      <c r="L3571" s="25">
        <v>2.4500000000000002</v>
      </c>
      <c r="M3571" s="24">
        <v>44763</v>
      </c>
      <c r="N3571" s="25">
        <f>IFERROR(T_reg.root.SK[[#This Row],[Price]]/T_reg.root.SK[[#This Row],[Starch content]],"")</f>
        <v>15.123456790123457</v>
      </c>
    </row>
    <row r="3572" spans="1:14">
      <c r="A3572" s="21">
        <v>2024</v>
      </c>
      <c r="B3572" s="21" t="s">
        <v>24</v>
      </c>
      <c r="C3572" s="21" t="s">
        <v>1145</v>
      </c>
      <c r="D3572" s="21" t="s">
        <v>35</v>
      </c>
      <c r="E3572" s="18" t="s">
        <v>703</v>
      </c>
      <c r="F3572" s="18" t="s">
        <v>187</v>
      </c>
      <c r="G3572" s="18" t="s">
        <v>48</v>
      </c>
      <c r="H3572" s="24">
        <v>6720</v>
      </c>
      <c r="I3572" s="24">
        <f>T_reg.root.SK[[#This Row],[Volume, kg]]/1000</f>
        <v>6.72</v>
      </c>
      <c r="J3572" s="25">
        <v>0.17149999999999999</v>
      </c>
      <c r="K3572" s="25">
        <f t="shared" si="55"/>
        <v>1152.48</v>
      </c>
      <c r="L3572" s="25">
        <v>2.35</v>
      </c>
      <c r="M3572" s="24">
        <v>15792</v>
      </c>
      <c r="N3572" s="25">
        <f>IFERROR(T_reg.root.SK[[#This Row],[Price]]/T_reg.root.SK[[#This Row],[Starch content]],"")</f>
        <v>13.702623906705542</v>
      </c>
    </row>
    <row r="3573" spans="1:14">
      <c r="A3573" s="21">
        <v>2024</v>
      </c>
      <c r="B3573" s="21" t="s">
        <v>24</v>
      </c>
      <c r="C3573" s="21" t="s">
        <v>1145</v>
      </c>
      <c r="D3573" s="21" t="s">
        <v>35</v>
      </c>
      <c r="E3573" s="18" t="s">
        <v>796</v>
      </c>
      <c r="F3573" s="18" t="s">
        <v>187</v>
      </c>
      <c r="G3573" s="18" t="s">
        <v>48</v>
      </c>
      <c r="H3573" s="24">
        <v>55830</v>
      </c>
      <c r="I3573" s="24">
        <f>T_reg.root.SK[[#This Row],[Volume, kg]]/1000</f>
        <v>55.83</v>
      </c>
      <c r="J3573" s="25">
        <v>0.18429999999999999</v>
      </c>
      <c r="K3573" s="25">
        <f t="shared" si="55"/>
        <v>10289.468999999999</v>
      </c>
      <c r="L3573" s="25">
        <v>2.5299999999999998</v>
      </c>
      <c r="M3573" s="24">
        <v>141182.5</v>
      </c>
      <c r="N3573" s="25">
        <f>IFERROR(T_reg.root.SK[[#This Row],[Price]]/T_reg.root.SK[[#This Row],[Starch content]],"")</f>
        <v>13.727618014107433</v>
      </c>
    </row>
    <row r="3574" spans="1:14">
      <c r="A3574" s="21">
        <v>2024</v>
      </c>
      <c r="B3574" s="21" t="s">
        <v>24</v>
      </c>
      <c r="C3574" s="21" t="s">
        <v>1145</v>
      </c>
      <c r="D3574" s="21" t="s">
        <v>35</v>
      </c>
      <c r="E3574" s="18" t="s">
        <v>206</v>
      </c>
      <c r="F3574" s="18" t="s">
        <v>187</v>
      </c>
      <c r="G3574" s="18" t="s">
        <v>48</v>
      </c>
      <c r="H3574" s="24">
        <v>87220</v>
      </c>
      <c r="I3574" s="24">
        <f>T_reg.root.SK[[#This Row],[Volume, kg]]/1000</f>
        <v>87.22</v>
      </c>
      <c r="J3574" s="25">
        <v>0.17550000000000002</v>
      </c>
      <c r="K3574" s="25">
        <f t="shared" si="55"/>
        <v>15307.11</v>
      </c>
      <c r="L3574" s="25">
        <v>2.4700000000000002</v>
      </c>
      <c r="M3574" s="24">
        <v>215363.5</v>
      </c>
      <c r="N3574" s="25">
        <f>IFERROR(T_reg.root.SK[[#This Row],[Price]]/T_reg.root.SK[[#This Row],[Starch content]],"")</f>
        <v>14.074074074074074</v>
      </c>
    </row>
    <row r="3575" spans="1:14">
      <c r="A3575" s="21">
        <v>2024</v>
      </c>
      <c r="B3575" s="21" t="s">
        <v>24</v>
      </c>
      <c r="C3575" s="21" t="s">
        <v>1145</v>
      </c>
      <c r="D3575" s="21" t="s">
        <v>35</v>
      </c>
      <c r="E3575" s="18" t="s">
        <v>267</v>
      </c>
      <c r="F3575" s="18" t="s">
        <v>187</v>
      </c>
      <c r="G3575" s="18" t="s">
        <v>48</v>
      </c>
      <c r="H3575" s="24">
        <v>34980</v>
      </c>
      <c r="I3575" s="24">
        <f>T_reg.root.SK[[#This Row],[Volume, kg]]/1000</f>
        <v>34.979999999999997</v>
      </c>
      <c r="J3575" s="25">
        <v>0.15720000000000001</v>
      </c>
      <c r="K3575" s="25">
        <f t="shared" si="55"/>
        <v>5498.8560000000007</v>
      </c>
      <c r="L3575" s="25">
        <v>2.39</v>
      </c>
      <c r="M3575" s="24">
        <v>83522.5</v>
      </c>
      <c r="N3575" s="25">
        <f>IFERROR(T_reg.root.SK[[#This Row],[Price]]/T_reg.root.SK[[#This Row],[Starch content]],"")</f>
        <v>15.203562340966922</v>
      </c>
    </row>
    <row r="3576" spans="1:14">
      <c r="A3576" s="21">
        <v>2024</v>
      </c>
      <c r="B3576" s="21" t="s">
        <v>24</v>
      </c>
      <c r="C3576" s="21" t="s">
        <v>1145</v>
      </c>
      <c r="D3576" s="21" t="s">
        <v>35</v>
      </c>
      <c r="E3576" s="18" t="s">
        <v>688</v>
      </c>
      <c r="F3576" s="18" t="s">
        <v>187</v>
      </c>
      <c r="G3576" s="18" t="s">
        <v>48</v>
      </c>
      <c r="H3576" s="24">
        <v>17870</v>
      </c>
      <c r="I3576" s="24">
        <f>T_reg.root.SK[[#This Row],[Volume, kg]]/1000</f>
        <v>17.87</v>
      </c>
      <c r="J3576" s="25">
        <v>0.19850000000000001</v>
      </c>
      <c r="K3576" s="25">
        <f t="shared" si="55"/>
        <v>3547.1950000000002</v>
      </c>
      <c r="L3576" s="25">
        <v>2.59</v>
      </c>
      <c r="M3576" s="24">
        <v>46353</v>
      </c>
      <c r="N3576" s="25">
        <f>IFERROR(T_reg.root.SK[[#This Row],[Price]]/T_reg.root.SK[[#This Row],[Starch content]],"")</f>
        <v>13.04785894206549</v>
      </c>
    </row>
    <row r="3577" spans="1:14">
      <c r="A3577" s="21">
        <v>2024</v>
      </c>
      <c r="B3577" s="21" t="s">
        <v>24</v>
      </c>
      <c r="C3577" s="21" t="s">
        <v>1145</v>
      </c>
      <c r="D3577" s="21" t="s">
        <v>35</v>
      </c>
      <c r="E3577" s="18" t="s">
        <v>268</v>
      </c>
      <c r="F3577" s="18" t="s">
        <v>187</v>
      </c>
      <c r="G3577" s="18" t="s">
        <v>48</v>
      </c>
      <c r="H3577" s="24">
        <v>38960</v>
      </c>
      <c r="I3577" s="24">
        <f>T_reg.root.SK[[#This Row],[Volume, kg]]/1000</f>
        <v>38.96</v>
      </c>
      <c r="J3577" s="25">
        <v>0.19750000000000001</v>
      </c>
      <c r="K3577" s="25">
        <f t="shared" si="55"/>
        <v>7694.6</v>
      </c>
      <c r="L3577" s="25">
        <v>2.5</v>
      </c>
      <c r="M3577" s="24">
        <v>97321.5</v>
      </c>
      <c r="N3577" s="25">
        <f>IFERROR(T_reg.root.SK[[#This Row],[Price]]/T_reg.root.SK[[#This Row],[Starch content]],"")</f>
        <v>12.658227848101266</v>
      </c>
    </row>
    <row r="3578" spans="1:14">
      <c r="A3578" s="21">
        <v>2024</v>
      </c>
      <c r="B3578" s="21" t="s">
        <v>24</v>
      </c>
      <c r="C3578" s="21" t="s">
        <v>1145</v>
      </c>
      <c r="D3578" s="21" t="s">
        <v>35</v>
      </c>
      <c r="E3578" s="18" t="s">
        <v>208</v>
      </c>
      <c r="F3578" s="18" t="s">
        <v>187</v>
      </c>
      <c r="G3578" s="18" t="s">
        <v>48</v>
      </c>
      <c r="H3578" s="24">
        <v>23640</v>
      </c>
      <c r="I3578" s="24">
        <f>T_reg.root.SK[[#This Row],[Volume, kg]]/1000</f>
        <v>23.64</v>
      </c>
      <c r="J3578" s="25">
        <v>0.192</v>
      </c>
      <c r="K3578" s="25">
        <f t="shared" si="55"/>
        <v>4538.88</v>
      </c>
      <c r="L3578" s="25">
        <v>2.5499999999999998</v>
      </c>
      <c r="M3578" s="24">
        <v>60294.5</v>
      </c>
      <c r="N3578" s="25">
        <f>IFERROR(T_reg.root.SK[[#This Row],[Price]]/T_reg.root.SK[[#This Row],[Starch content]],"")</f>
        <v>13.281249999999998</v>
      </c>
    </row>
    <row r="3579" spans="1:14">
      <c r="A3579" s="21">
        <v>2024</v>
      </c>
      <c r="B3579" s="21" t="s">
        <v>24</v>
      </c>
      <c r="C3579" s="21" t="s">
        <v>1145</v>
      </c>
      <c r="D3579" s="21" t="s">
        <v>35</v>
      </c>
      <c r="E3579" s="18" t="s">
        <v>534</v>
      </c>
      <c r="F3579" s="18" t="s">
        <v>187</v>
      </c>
      <c r="G3579" s="18" t="s">
        <v>48</v>
      </c>
      <c r="H3579" s="24">
        <v>46070</v>
      </c>
      <c r="I3579" s="24">
        <f>T_reg.root.SK[[#This Row],[Volume, kg]]/1000</f>
        <v>46.07</v>
      </c>
      <c r="J3579" s="25">
        <v>0.17679999999999998</v>
      </c>
      <c r="K3579" s="25">
        <f t="shared" si="55"/>
        <v>8145.1759999999995</v>
      </c>
      <c r="L3579" s="25">
        <v>2.52</v>
      </c>
      <c r="M3579" s="24">
        <v>116307</v>
      </c>
      <c r="N3579" s="25">
        <f>IFERROR(T_reg.root.SK[[#This Row],[Price]]/T_reg.root.SK[[#This Row],[Starch content]],"")</f>
        <v>14.253393665158372</v>
      </c>
    </row>
    <row r="3580" spans="1:14">
      <c r="A3580" s="21">
        <v>2024</v>
      </c>
      <c r="B3580" s="21" t="s">
        <v>24</v>
      </c>
      <c r="C3580" s="21" t="s">
        <v>1145</v>
      </c>
      <c r="D3580" s="21" t="s">
        <v>35</v>
      </c>
      <c r="E3580" s="18" t="s">
        <v>210</v>
      </c>
      <c r="F3580" s="18" t="s">
        <v>187</v>
      </c>
      <c r="G3580" s="18" t="s">
        <v>48</v>
      </c>
      <c r="H3580" s="24">
        <v>22240</v>
      </c>
      <c r="I3580" s="24">
        <f>T_reg.root.SK[[#This Row],[Volume, kg]]/1000</f>
        <v>22.24</v>
      </c>
      <c r="J3580" s="25">
        <v>0.16190000000000002</v>
      </c>
      <c r="K3580" s="25">
        <f t="shared" si="55"/>
        <v>3600.6560000000004</v>
      </c>
      <c r="L3580" s="25">
        <v>2.42</v>
      </c>
      <c r="M3580" s="24">
        <v>53755</v>
      </c>
      <c r="N3580" s="25">
        <f>IFERROR(T_reg.root.SK[[#This Row],[Price]]/T_reg.root.SK[[#This Row],[Starch content]],"")</f>
        <v>14.947498455836934</v>
      </c>
    </row>
    <row r="3581" spans="1:14">
      <c r="A3581" s="21">
        <v>2024</v>
      </c>
      <c r="B3581" s="21" t="s">
        <v>24</v>
      </c>
      <c r="C3581" s="21" t="s">
        <v>1145</v>
      </c>
      <c r="D3581" s="21" t="s">
        <v>35</v>
      </c>
      <c r="E3581" s="18" t="s">
        <v>333</v>
      </c>
      <c r="F3581" s="18" t="s">
        <v>187</v>
      </c>
      <c r="G3581" s="18" t="s">
        <v>48</v>
      </c>
      <c r="H3581" s="24">
        <v>91990</v>
      </c>
      <c r="I3581" s="24">
        <f>T_reg.root.SK[[#This Row],[Volume, kg]]/1000</f>
        <v>91.99</v>
      </c>
      <c r="J3581" s="25">
        <v>0.16639999999999999</v>
      </c>
      <c r="K3581" s="25">
        <f t="shared" si="55"/>
        <v>15307.135999999999</v>
      </c>
      <c r="L3581" s="25">
        <v>2.4</v>
      </c>
      <c r="M3581" s="24">
        <v>221080.5</v>
      </c>
      <c r="N3581" s="25">
        <f>IFERROR(T_reg.root.SK[[#This Row],[Price]]/T_reg.root.SK[[#This Row],[Starch content]],"")</f>
        <v>14.423076923076923</v>
      </c>
    </row>
    <row r="3582" spans="1:14">
      <c r="A3582" s="21">
        <v>2024</v>
      </c>
      <c r="B3582" s="21" t="s">
        <v>24</v>
      </c>
      <c r="C3582" s="21" t="s">
        <v>1145</v>
      </c>
      <c r="D3582" s="21" t="s">
        <v>35</v>
      </c>
      <c r="E3582" s="18" t="s">
        <v>211</v>
      </c>
      <c r="F3582" s="18" t="s">
        <v>187</v>
      </c>
      <c r="G3582" s="18" t="s">
        <v>48</v>
      </c>
      <c r="H3582" s="24">
        <v>344460</v>
      </c>
      <c r="I3582" s="24">
        <f>T_reg.root.SK[[#This Row],[Volume, kg]]/1000</f>
        <v>344.46</v>
      </c>
      <c r="J3582" s="25">
        <v>0.1759</v>
      </c>
      <c r="K3582" s="25">
        <f t="shared" si="55"/>
        <v>60590.514000000003</v>
      </c>
      <c r="L3582" s="25">
        <v>2.4700000000000002</v>
      </c>
      <c r="M3582" s="24">
        <v>850812.5</v>
      </c>
      <c r="N3582" s="25">
        <f>IFERROR(T_reg.root.SK[[#This Row],[Price]]/T_reg.root.SK[[#This Row],[Starch content]],"")</f>
        <v>14.04206935758954</v>
      </c>
    </row>
    <row r="3583" spans="1:14">
      <c r="A3583" s="21">
        <v>2024</v>
      </c>
      <c r="B3583" s="21" t="s">
        <v>24</v>
      </c>
      <c r="C3583" s="21" t="s">
        <v>1145</v>
      </c>
      <c r="D3583" s="21" t="s">
        <v>35</v>
      </c>
      <c r="E3583" s="18" t="s">
        <v>212</v>
      </c>
      <c r="F3583" s="18" t="s">
        <v>187</v>
      </c>
      <c r="G3583" s="18" t="s">
        <v>48</v>
      </c>
      <c r="H3583" s="24">
        <v>33110</v>
      </c>
      <c r="I3583" s="24">
        <f>T_reg.root.SK[[#This Row],[Volume, kg]]/1000</f>
        <v>33.11</v>
      </c>
      <c r="J3583" s="25">
        <v>0.18600000000000003</v>
      </c>
      <c r="K3583" s="25">
        <f t="shared" si="55"/>
        <v>6158.4600000000009</v>
      </c>
      <c r="L3583" s="25">
        <v>2.5299999999999998</v>
      </c>
      <c r="M3583" s="24">
        <v>83720.5</v>
      </c>
      <c r="N3583" s="25">
        <f>IFERROR(T_reg.root.SK[[#This Row],[Price]]/T_reg.root.SK[[#This Row],[Starch content]],"")</f>
        <v>13.602150537634406</v>
      </c>
    </row>
    <row r="3584" spans="1:14">
      <c r="A3584" s="21">
        <v>2024</v>
      </c>
      <c r="B3584" s="21" t="s">
        <v>24</v>
      </c>
      <c r="C3584" s="21" t="s">
        <v>1145</v>
      </c>
      <c r="D3584" s="21" t="s">
        <v>35</v>
      </c>
      <c r="E3584" s="18" t="s">
        <v>672</v>
      </c>
      <c r="F3584" s="18" t="s">
        <v>187</v>
      </c>
      <c r="G3584" s="18" t="s">
        <v>48</v>
      </c>
      <c r="H3584" s="24">
        <v>16680</v>
      </c>
      <c r="I3584" s="24">
        <f>T_reg.root.SK[[#This Row],[Volume, kg]]/1000</f>
        <v>16.68</v>
      </c>
      <c r="J3584" s="25">
        <v>0.16269999999999998</v>
      </c>
      <c r="K3584" s="25">
        <f t="shared" si="55"/>
        <v>2713.8359999999998</v>
      </c>
      <c r="L3584" s="25">
        <v>2.4300000000000002</v>
      </c>
      <c r="M3584" s="24">
        <v>40608</v>
      </c>
      <c r="N3584" s="25">
        <f>IFERROR(T_reg.root.SK[[#This Row],[Price]]/T_reg.root.SK[[#This Row],[Starch content]],"")</f>
        <v>14.93546404425323</v>
      </c>
    </row>
    <row r="3585" spans="1:14">
      <c r="A3585" s="21">
        <v>2024</v>
      </c>
      <c r="B3585" s="21" t="s">
        <v>24</v>
      </c>
      <c r="C3585" s="21" t="s">
        <v>1145</v>
      </c>
      <c r="D3585" s="21" t="s">
        <v>35</v>
      </c>
      <c r="E3585" s="18" t="s">
        <v>613</v>
      </c>
      <c r="F3585" s="18" t="s">
        <v>187</v>
      </c>
      <c r="G3585" s="18" t="s">
        <v>48</v>
      </c>
      <c r="H3585" s="24">
        <v>35560</v>
      </c>
      <c r="I3585" s="24">
        <f>T_reg.root.SK[[#This Row],[Volume, kg]]/1000</f>
        <v>35.56</v>
      </c>
      <c r="J3585" s="25">
        <v>0.20370000000000002</v>
      </c>
      <c r="K3585" s="25">
        <f t="shared" si="55"/>
        <v>7243.572000000001</v>
      </c>
      <c r="L3585" s="25">
        <v>2.56</v>
      </c>
      <c r="M3585" s="24">
        <v>91151</v>
      </c>
      <c r="N3585" s="25">
        <f>IFERROR(T_reg.root.SK[[#This Row],[Price]]/T_reg.root.SK[[#This Row],[Starch content]],"")</f>
        <v>12.567501227295041</v>
      </c>
    </row>
    <row r="3586" spans="1:14">
      <c r="A3586" s="21">
        <v>2024</v>
      </c>
      <c r="B3586" s="21" t="s">
        <v>24</v>
      </c>
      <c r="C3586" s="21" t="s">
        <v>1145</v>
      </c>
      <c r="D3586" s="21" t="s">
        <v>35</v>
      </c>
      <c r="E3586" s="18" t="s">
        <v>213</v>
      </c>
      <c r="F3586" s="18" t="s">
        <v>187</v>
      </c>
      <c r="G3586" s="18" t="s">
        <v>48</v>
      </c>
      <c r="H3586" s="24">
        <v>43000</v>
      </c>
      <c r="I3586" s="24">
        <f>T_reg.root.SK[[#This Row],[Volume, kg]]/1000</f>
        <v>43</v>
      </c>
      <c r="J3586" s="25">
        <v>0.17610000000000001</v>
      </c>
      <c r="K3586" s="25">
        <f t="shared" si="55"/>
        <v>7572.3</v>
      </c>
      <c r="L3586" s="25">
        <v>2.4700000000000002</v>
      </c>
      <c r="M3586" s="24">
        <v>106105</v>
      </c>
      <c r="N3586" s="25">
        <f>IFERROR(T_reg.root.SK[[#This Row],[Price]]/T_reg.root.SK[[#This Row],[Starch content]],"")</f>
        <v>14.026121521862578</v>
      </c>
    </row>
    <row r="3587" spans="1:14">
      <c r="A3587" s="21">
        <v>2024</v>
      </c>
      <c r="B3587" s="21" t="s">
        <v>24</v>
      </c>
      <c r="C3587" s="21" t="s">
        <v>1145</v>
      </c>
      <c r="D3587" s="21" t="s">
        <v>35</v>
      </c>
      <c r="E3587" s="18" t="s">
        <v>535</v>
      </c>
      <c r="F3587" s="18" t="s">
        <v>187</v>
      </c>
      <c r="G3587" s="18" t="s">
        <v>48</v>
      </c>
      <c r="H3587" s="24">
        <v>41530</v>
      </c>
      <c r="I3587" s="24">
        <f>T_reg.root.SK[[#This Row],[Volume, kg]]/1000</f>
        <v>41.53</v>
      </c>
      <c r="J3587" s="25">
        <v>0.20039999999999999</v>
      </c>
      <c r="K3587" s="25">
        <f t="shared" ref="K3587:K3650" si="56">H3587*J3587</f>
        <v>8322.6119999999992</v>
      </c>
      <c r="L3587" s="25">
        <v>2.64</v>
      </c>
      <c r="M3587" s="24">
        <v>109608</v>
      </c>
      <c r="N3587" s="25">
        <f>IFERROR(T_reg.root.SK[[#This Row],[Price]]/T_reg.root.SK[[#This Row],[Starch content]],"")</f>
        <v>13.17365269461078</v>
      </c>
    </row>
    <row r="3588" spans="1:14">
      <c r="A3588" s="21">
        <v>2024</v>
      </c>
      <c r="B3588" s="21" t="s">
        <v>24</v>
      </c>
      <c r="C3588" s="21" t="s">
        <v>1145</v>
      </c>
      <c r="D3588" s="21" t="s">
        <v>35</v>
      </c>
      <c r="E3588" s="18" t="s">
        <v>408</v>
      </c>
      <c r="F3588" s="18" t="s">
        <v>187</v>
      </c>
      <c r="G3588" s="18" t="s">
        <v>48</v>
      </c>
      <c r="H3588" s="24">
        <v>51750</v>
      </c>
      <c r="I3588" s="24">
        <f>T_reg.root.SK[[#This Row],[Volume, kg]]/1000</f>
        <v>51.75</v>
      </c>
      <c r="J3588" s="25">
        <v>0.1573</v>
      </c>
      <c r="K3588" s="25">
        <f t="shared" si="56"/>
        <v>8140.2749999999996</v>
      </c>
      <c r="L3588" s="25">
        <v>2.4</v>
      </c>
      <c r="M3588" s="24">
        <v>124256</v>
      </c>
      <c r="N3588" s="25">
        <f>IFERROR(T_reg.root.SK[[#This Row],[Price]]/T_reg.root.SK[[#This Row],[Starch content]],"")</f>
        <v>15.257469802924348</v>
      </c>
    </row>
    <row r="3589" spans="1:14">
      <c r="A3589" s="21">
        <v>2024</v>
      </c>
      <c r="B3589" s="21" t="s">
        <v>24</v>
      </c>
      <c r="C3589" s="21" t="s">
        <v>1145</v>
      </c>
      <c r="D3589" s="21" t="s">
        <v>35</v>
      </c>
      <c r="E3589" s="18" t="s">
        <v>536</v>
      </c>
      <c r="F3589" s="18" t="s">
        <v>187</v>
      </c>
      <c r="G3589" s="18" t="s">
        <v>48</v>
      </c>
      <c r="H3589" s="24">
        <v>115320</v>
      </c>
      <c r="I3589" s="24">
        <f>T_reg.root.SK[[#This Row],[Volume, kg]]/1000</f>
        <v>115.32</v>
      </c>
      <c r="J3589" s="25">
        <v>0.1696</v>
      </c>
      <c r="K3589" s="25">
        <f t="shared" si="56"/>
        <v>19558.272000000001</v>
      </c>
      <c r="L3589" s="25">
        <v>2.48</v>
      </c>
      <c r="M3589" s="24">
        <v>286038.5</v>
      </c>
      <c r="N3589" s="25">
        <f>IFERROR(T_reg.root.SK[[#This Row],[Price]]/T_reg.root.SK[[#This Row],[Starch content]],"")</f>
        <v>14.622641509433961</v>
      </c>
    </row>
    <row r="3590" spans="1:14">
      <c r="A3590" s="21">
        <v>2024</v>
      </c>
      <c r="B3590" s="21" t="s">
        <v>24</v>
      </c>
      <c r="C3590" s="21" t="s">
        <v>1145</v>
      </c>
      <c r="D3590" s="21" t="s">
        <v>35</v>
      </c>
      <c r="E3590" s="18" t="s">
        <v>537</v>
      </c>
      <c r="F3590" s="18" t="s">
        <v>187</v>
      </c>
      <c r="G3590" s="18" t="s">
        <v>48</v>
      </c>
      <c r="H3590" s="24">
        <v>20220</v>
      </c>
      <c r="I3590" s="24">
        <f>T_reg.root.SK[[#This Row],[Volume, kg]]/1000</f>
        <v>20.22</v>
      </c>
      <c r="J3590" s="25">
        <v>0.15380000000000002</v>
      </c>
      <c r="K3590" s="25">
        <f t="shared" si="56"/>
        <v>3109.8360000000002</v>
      </c>
      <c r="L3590" s="25">
        <v>2.4</v>
      </c>
      <c r="M3590" s="24">
        <v>48528</v>
      </c>
      <c r="N3590" s="25">
        <f>IFERROR(T_reg.root.SK[[#This Row],[Price]]/T_reg.root.SK[[#This Row],[Starch content]],"")</f>
        <v>15.604681404421324</v>
      </c>
    </row>
    <row r="3591" spans="1:14">
      <c r="A3591" s="21">
        <v>2024</v>
      </c>
      <c r="B3591" s="21" t="s">
        <v>24</v>
      </c>
      <c r="C3591" s="21" t="s">
        <v>1145</v>
      </c>
      <c r="D3591" s="21" t="s">
        <v>35</v>
      </c>
      <c r="E3591" s="18" t="s">
        <v>269</v>
      </c>
      <c r="F3591" s="18" t="s">
        <v>187</v>
      </c>
      <c r="G3591" s="18" t="s">
        <v>48</v>
      </c>
      <c r="H3591" s="24">
        <v>45090</v>
      </c>
      <c r="I3591" s="24">
        <f>T_reg.root.SK[[#This Row],[Volume, kg]]/1000</f>
        <v>45.09</v>
      </c>
      <c r="J3591" s="25">
        <v>0.15890000000000001</v>
      </c>
      <c r="K3591" s="25">
        <f t="shared" si="56"/>
        <v>7164.8010000000004</v>
      </c>
      <c r="L3591" s="25">
        <v>2.41</v>
      </c>
      <c r="M3591" s="24">
        <v>108636.5</v>
      </c>
      <c r="N3591" s="25">
        <f>IFERROR(T_reg.root.SK[[#This Row],[Price]]/T_reg.root.SK[[#This Row],[Starch content]],"")</f>
        <v>15.166771554436751</v>
      </c>
    </row>
    <row r="3592" spans="1:14">
      <c r="A3592" s="21">
        <v>2024</v>
      </c>
      <c r="B3592" s="21" t="s">
        <v>24</v>
      </c>
      <c r="C3592" s="21" t="s">
        <v>1145</v>
      </c>
      <c r="D3592" s="21" t="s">
        <v>35</v>
      </c>
      <c r="E3592" s="18" t="s">
        <v>539</v>
      </c>
      <c r="F3592" s="18" t="s">
        <v>187</v>
      </c>
      <c r="G3592" s="18" t="s">
        <v>48</v>
      </c>
      <c r="H3592" s="24">
        <v>32460</v>
      </c>
      <c r="I3592" s="24">
        <f>T_reg.root.SK[[#This Row],[Volume, kg]]/1000</f>
        <v>32.46</v>
      </c>
      <c r="J3592" s="25">
        <v>0.1883</v>
      </c>
      <c r="K3592" s="25">
        <f t="shared" si="56"/>
        <v>6112.2179999999998</v>
      </c>
      <c r="L3592" s="25">
        <v>2.5499999999999998</v>
      </c>
      <c r="M3592" s="24">
        <v>82665.5</v>
      </c>
      <c r="N3592" s="25">
        <f>IFERROR(T_reg.root.SK[[#This Row],[Price]]/T_reg.root.SK[[#This Row],[Starch content]],"")</f>
        <v>13.542219861922463</v>
      </c>
    </row>
    <row r="3593" spans="1:14">
      <c r="A3593" s="21">
        <v>2024</v>
      </c>
      <c r="B3593" s="21" t="s">
        <v>24</v>
      </c>
      <c r="C3593" s="21" t="s">
        <v>1145</v>
      </c>
      <c r="D3593" s="21" t="s">
        <v>35</v>
      </c>
      <c r="E3593" s="18" t="s">
        <v>214</v>
      </c>
      <c r="F3593" s="18" t="s">
        <v>187</v>
      </c>
      <c r="G3593" s="18" t="s">
        <v>48</v>
      </c>
      <c r="H3593" s="24">
        <v>11320</v>
      </c>
      <c r="I3593" s="24">
        <f>T_reg.root.SK[[#This Row],[Volume, kg]]/1000</f>
        <v>11.32</v>
      </c>
      <c r="J3593" s="25">
        <v>0.23010000000000003</v>
      </c>
      <c r="K3593" s="25">
        <f t="shared" si="56"/>
        <v>2604.7320000000004</v>
      </c>
      <c r="L3593" s="25">
        <v>2.68</v>
      </c>
      <c r="M3593" s="24">
        <v>30347.5</v>
      </c>
      <c r="N3593" s="25">
        <f>IFERROR(T_reg.root.SK[[#This Row],[Price]]/T_reg.root.SK[[#This Row],[Starch content]],"")</f>
        <v>11.647109952194697</v>
      </c>
    </row>
    <row r="3594" spans="1:14">
      <c r="A3594" s="21">
        <v>2024</v>
      </c>
      <c r="B3594" s="21" t="s">
        <v>24</v>
      </c>
      <c r="C3594" s="21" t="s">
        <v>1145</v>
      </c>
      <c r="D3594" s="21" t="s">
        <v>35</v>
      </c>
      <c r="E3594" s="18" t="s">
        <v>540</v>
      </c>
      <c r="F3594" s="18" t="s">
        <v>187</v>
      </c>
      <c r="G3594" s="18" t="s">
        <v>48</v>
      </c>
      <c r="H3594" s="24">
        <v>0</v>
      </c>
      <c r="I3594" s="24">
        <f>T_reg.root.SK[[#This Row],[Volume, kg]]/1000</f>
        <v>0</v>
      </c>
      <c r="J3594" s="25">
        <v>0</v>
      </c>
      <c r="K3594" s="25">
        <f t="shared" si="56"/>
        <v>0</v>
      </c>
      <c r="L3594" s="25">
        <v>0</v>
      </c>
      <c r="M3594" s="24">
        <v>0</v>
      </c>
      <c r="N3594" s="25" t="str">
        <f>IFERROR(T_reg.root.SK[[#This Row],[Price]]/T_reg.root.SK[[#This Row],[Starch content]],"")</f>
        <v/>
      </c>
    </row>
    <row r="3595" spans="1:14">
      <c r="A3595" s="21">
        <v>2024</v>
      </c>
      <c r="B3595" s="21" t="s">
        <v>24</v>
      </c>
      <c r="C3595" s="21" t="s">
        <v>1145</v>
      </c>
      <c r="D3595" s="21" t="s">
        <v>35</v>
      </c>
      <c r="E3595" s="18" t="s">
        <v>541</v>
      </c>
      <c r="F3595" s="18" t="s">
        <v>187</v>
      </c>
      <c r="G3595" s="18" t="s">
        <v>48</v>
      </c>
      <c r="H3595" s="24">
        <v>61970</v>
      </c>
      <c r="I3595" s="24">
        <f>T_reg.root.SK[[#This Row],[Volume, kg]]/1000</f>
        <v>61.97</v>
      </c>
      <c r="J3595" s="25">
        <v>0.18049999999999999</v>
      </c>
      <c r="K3595" s="25">
        <f t="shared" si="56"/>
        <v>11185.584999999999</v>
      </c>
      <c r="L3595" s="25">
        <v>2.52</v>
      </c>
      <c r="M3595" s="24">
        <v>156270.5</v>
      </c>
      <c r="N3595" s="25">
        <f>IFERROR(T_reg.root.SK[[#This Row],[Price]]/T_reg.root.SK[[#This Row],[Starch content]],"")</f>
        <v>13.961218836565097</v>
      </c>
    </row>
    <row r="3596" spans="1:14">
      <c r="A3596" s="21">
        <v>2024</v>
      </c>
      <c r="B3596" s="21" t="s">
        <v>24</v>
      </c>
      <c r="C3596" s="21" t="s">
        <v>1145</v>
      </c>
      <c r="D3596" s="21" t="s">
        <v>35</v>
      </c>
      <c r="E3596" s="18" t="s">
        <v>691</v>
      </c>
      <c r="F3596" s="18" t="s">
        <v>187</v>
      </c>
      <c r="G3596" s="18" t="s">
        <v>48</v>
      </c>
      <c r="H3596" s="24">
        <v>4740</v>
      </c>
      <c r="I3596" s="24">
        <f>T_reg.root.SK[[#This Row],[Volume, kg]]/1000</f>
        <v>4.74</v>
      </c>
      <c r="J3596" s="25">
        <v>0.192</v>
      </c>
      <c r="K3596" s="25">
        <f t="shared" si="56"/>
        <v>910.08</v>
      </c>
      <c r="L3596" s="25">
        <v>2.4500000000000002</v>
      </c>
      <c r="M3596" s="24">
        <v>11613</v>
      </c>
      <c r="N3596" s="25">
        <f>IFERROR(T_reg.root.SK[[#This Row],[Price]]/T_reg.root.SK[[#This Row],[Starch content]],"")</f>
        <v>12.760416666666668</v>
      </c>
    </row>
    <row r="3597" spans="1:14">
      <c r="A3597" s="21">
        <v>2024</v>
      </c>
      <c r="B3597" s="21" t="s">
        <v>24</v>
      </c>
      <c r="C3597" s="21" t="s">
        <v>1145</v>
      </c>
      <c r="D3597" s="21" t="s">
        <v>35</v>
      </c>
      <c r="E3597" s="18" t="s">
        <v>215</v>
      </c>
      <c r="F3597" s="18" t="s">
        <v>187</v>
      </c>
      <c r="G3597" s="18" t="s">
        <v>48</v>
      </c>
      <c r="H3597" s="24">
        <v>32020</v>
      </c>
      <c r="I3597" s="24">
        <f>T_reg.root.SK[[#This Row],[Volume, kg]]/1000</f>
        <v>32.020000000000003</v>
      </c>
      <c r="J3597" s="25">
        <v>0.18989999999999999</v>
      </c>
      <c r="K3597" s="25">
        <f t="shared" si="56"/>
        <v>6080.598</v>
      </c>
      <c r="L3597" s="25">
        <v>2.59</v>
      </c>
      <c r="M3597" s="24">
        <v>82937</v>
      </c>
      <c r="N3597" s="25">
        <f>IFERROR(T_reg.root.SK[[#This Row],[Price]]/T_reg.root.SK[[#This Row],[Starch content]],"")</f>
        <v>13.638757240652975</v>
      </c>
    </row>
    <row r="3598" spans="1:14">
      <c r="A3598" s="21">
        <v>2024</v>
      </c>
      <c r="B3598" s="21" t="s">
        <v>24</v>
      </c>
      <c r="C3598" s="21" t="s">
        <v>1145</v>
      </c>
      <c r="D3598" s="21" t="s">
        <v>35</v>
      </c>
      <c r="E3598" s="18" t="s">
        <v>542</v>
      </c>
      <c r="F3598" s="18" t="s">
        <v>187</v>
      </c>
      <c r="G3598" s="18" t="s">
        <v>48</v>
      </c>
      <c r="H3598" s="24">
        <v>162790</v>
      </c>
      <c r="I3598" s="24">
        <f>T_reg.root.SK[[#This Row],[Volume, kg]]/1000</f>
        <v>162.79</v>
      </c>
      <c r="J3598" s="25">
        <v>0.1787</v>
      </c>
      <c r="K3598" s="25">
        <f t="shared" si="56"/>
        <v>29090.573</v>
      </c>
      <c r="L3598" s="25">
        <v>2.54</v>
      </c>
      <c r="M3598" s="24">
        <v>414209</v>
      </c>
      <c r="N3598" s="25">
        <f>IFERROR(T_reg.root.SK[[#This Row],[Price]]/T_reg.root.SK[[#This Row],[Starch content]],"")</f>
        <v>14.213766088416341</v>
      </c>
    </row>
    <row r="3599" spans="1:14">
      <c r="A3599" s="21">
        <v>2024</v>
      </c>
      <c r="B3599" s="21" t="s">
        <v>24</v>
      </c>
      <c r="C3599" s="21" t="s">
        <v>1145</v>
      </c>
      <c r="D3599" s="21" t="s">
        <v>35</v>
      </c>
      <c r="E3599" s="18" t="s">
        <v>335</v>
      </c>
      <c r="F3599" s="18" t="s">
        <v>187</v>
      </c>
      <c r="G3599" s="18" t="s">
        <v>48</v>
      </c>
      <c r="H3599" s="24">
        <v>41890</v>
      </c>
      <c r="I3599" s="24">
        <f>T_reg.root.SK[[#This Row],[Volume, kg]]/1000</f>
        <v>41.89</v>
      </c>
      <c r="J3599" s="25">
        <v>0.2051</v>
      </c>
      <c r="K3599" s="25">
        <f t="shared" si="56"/>
        <v>8591.639000000001</v>
      </c>
      <c r="L3599" s="25">
        <v>2.64</v>
      </c>
      <c r="M3599" s="24">
        <v>110662</v>
      </c>
      <c r="N3599" s="25">
        <f>IFERROR(T_reg.root.SK[[#This Row],[Price]]/T_reg.root.SK[[#This Row],[Starch content]],"")</f>
        <v>12.8717698683569</v>
      </c>
    </row>
    <row r="3600" spans="1:14">
      <c r="A3600" s="21">
        <v>2024</v>
      </c>
      <c r="B3600" s="21" t="s">
        <v>24</v>
      </c>
      <c r="C3600" s="21" t="s">
        <v>1145</v>
      </c>
      <c r="D3600" s="21" t="s">
        <v>35</v>
      </c>
      <c r="E3600" s="18" t="s">
        <v>216</v>
      </c>
      <c r="F3600" s="18" t="s">
        <v>187</v>
      </c>
      <c r="G3600" s="18" t="s">
        <v>48</v>
      </c>
      <c r="H3600" s="24">
        <v>148440</v>
      </c>
      <c r="I3600" s="24">
        <f>T_reg.root.SK[[#This Row],[Volume, kg]]/1000</f>
        <v>148.44</v>
      </c>
      <c r="J3600" s="25">
        <v>0.17809999999999998</v>
      </c>
      <c r="K3600" s="25">
        <f t="shared" si="56"/>
        <v>26437.163999999997</v>
      </c>
      <c r="L3600" s="25">
        <v>2.52</v>
      </c>
      <c r="M3600" s="24">
        <v>374691</v>
      </c>
      <c r="N3600" s="25">
        <f>IFERROR(T_reg.root.SK[[#This Row],[Price]]/T_reg.root.SK[[#This Row],[Starch content]],"")</f>
        <v>14.149354295339698</v>
      </c>
    </row>
    <row r="3601" spans="1:14">
      <c r="A3601" s="21">
        <v>2024</v>
      </c>
      <c r="B3601" s="21" t="s">
        <v>24</v>
      </c>
      <c r="C3601" s="21" t="s">
        <v>1145</v>
      </c>
      <c r="D3601" s="21" t="s">
        <v>35</v>
      </c>
      <c r="E3601" s="18" t="s">
        <v>409</v>
      </c>
      <c r="F3601" s="18" t="s">
        <v>187</v>
      </c>
      <c r="G3601" s="18" t="s">
        <v>48</v>
      </c>
      <c r="H3601" s="24">
        <v>41400</v>
      </c>
      <c r="I3601" s="24">
        <f>T_reg.root.SK[[#This Row],[Volume, kg]]/1000</f>
        <v>41.4</v>
      </c>
      <c r="J3601" s="25">
        <v>0.15970000000000001</v>
      </c>
      <c r="K3601" s="25">
        <f t="shared" si="56"/>
        <v>6611.58</v>
      </c>
      <c r="L3601" s="25">
        <v>2.44</v>
      </c>
      <c r="M3601" s="24">
        <v>100836</v>
      </c>
      <c r="N3601" s="25">
        <f>IFERROR(T_reg.root.SK[[#This Row],[Price]]/T_reg.root.SK[[#This Row],[Starch content]],"")</f>
        <v>15.278647463994989</v>
      </c>
    </row>
    <row r="3602" spans="1:14">
      <c r="A3602" s="21">
        <v>2024</v>
      </c>
      <c r="B3602" s="21" t="s">
        <v>24</v>
      </c>
      <c r="C3602" s="21" t="s">
        <v>1145</v>
      </c>
      <c r="D3602" s="21" t="s">
        <v>35</v>
      </c>
      <c r="E3602" s="18" t="s">
        <v>270</v>
      </c>
      <c r="F3602" s="18" t="s">
        <v>187</v>
      </c>
      <c r="G3602" s="18" t="s">
        <v>48</v>
      </c>
      <c r="H3602" s="24">
        <v>9110</v>
      </c>
      <c r="I3602" s="24">
        <f>T_reg.root.SK[[#This Row],[Volume, kg]]/1000</f>
        <v>9.11</v>
      </c>
      <c r="J3602" s="25">
        <v>0.1925</v>
      </c>
      <c r="K3602" s="25">
        <f t="shared" si="56"/>
        <v>1753.675</v>
      </c>
      <c r="L3602" s="25">
        <v>2.5499999999999998</v>
      </c>
      <c r="M3602" s="24">
        <v>23230.5</v>
      </c>
      <c r="N3602" s="25">
        <f>IFERROR(T_reg.root.SK[[#This Row],[Price]]/T_reg.root.SK[[#This Row],[Starch content]],"")</f>
        <v>13.246753246753245</v>
      </c>
    </row>
    <row r="3603" spans="1:14">
      <c r="A3603" s="21">
        <v>2024</v>
      </c>
      <c r="B3603" s="21" t="s">
        <v>24</v>
      </c>
      <c r="C3603" s="21" t="s">
        <v>1145</v>
      </c>
      <c r="D3603" s="21" t="s">
        <v>35</v>
      </c>
      <c r="E3603" s="18" t="s">
        <v>543</v>
      </c>
      <c r="F3603" s="18" t="s">
        <v>187</v>
      </c>
      <c r="G3603" s="18" t="s">
        <v>48</v>
      </c>
      <c r="H3603" s="24">
        <v>16500</v>
      </c>
      <c r="I3603" s="24">
        <f>T_reg.root.SK[[#This Row],[Volume, kg]]/1000</f>
        <v>16.5</v>
      </c>
      <c r="J3603" s="25">
        <v>0.18079999999999999</v>
      </c>
      <c r="K3603" s="25">
        <f t="shared" si="56"/>
        <v>2983.2</v>
      </c>
      <c r="L3603" s="25">
        <v>2.5099999999999998</v>
      </c>
      <c r="M3603" s="24">
        <v>41417</v>
      </c>
      <c r="N3603" s="25">
        <f>IFERROR(T_reg.root.SK[[#This Row],[Price]]/T_reg.root.SK[[#This Row],[Starch content]],"")</f>
        <v>13.882743362831858</v>
      </c>
    </row>
    <row r="3604" spans="1:14">
      <c r="A3604" s="21">
        <v>2024</v>
      </c>
      <c r="B3604" s="21" t="s">
        <v>24</v>
      </c>
      <c r="C3604" s="21" t="s">
        <v>1145</v>
      </c>
      <c r="D3604" s="21" t="s">
        <v>35</v>
      </c>
      <c r="E3604" s="18" t="s">
        <v>761</v>
      </c>
      <c r="F3604" s="18" t="s">
        <v>187</v>
      </c>
      <c r="G3604" s="18" t="s">
        <v>48</v>
      </c>
      <c r="H3604" s="24">
        <v>177600</v>
      </c>
      <c r="I3604" s="24">
        <f>T_reg.root.SK[[#This Row],[Volume, kg]]/1000</f>
        <v>177.6</v>
      </c>
      <c r="J3604" s="25">
        <v>0.1802</v>
      </c>
      <c r="K3604" s="25">
        <f t="shared" si="56"/>
        <v>32003.52</v>
      </c>
      <c r="L3604" s="25">
        <v>2.5099999999999998</v>
      </c>
      <c r="M3604" s="24">
        <v>445369</v>
      </c>
      <c r="N3604" s="25">
        <f>IFERROR(T_reg.root.SK[[#This Row],[Price]]/T_reg.root.SK[[#This Row],[Starch content]],"")</f>
        <v>13.92896781354051</v>
      </c>
    </row>
    <row r="3605" spans="1:14">
      <c r="A3605" s="21">
        <v>2024</v>
      </c>
      <c r="B3605" s="21" t="s">
        <v>24</v>
      </c>
      <c r="C3605" s="21" t="s">
        <v>1145</v>
      </c>
      <c r="D3605" s="21" t="s">
        <v>35</v>
      </c>
      <c r="E3605" s="18" t="s">
        <v>410</v>
      </c>
      <c r="F3605" s="18" t="s">
        <v>187</v>
      </c>
      <c r="G3605" s="18" t="s">
        <v>48</v>
      </c>
      <c r="H3605" s="24">
        <v>111380</v>
      </c>
      <c r="I3605" s="24">
        <f>T_reg.root.SK[[#This Row],[Volume, kg]]/1000</f>
        <v>111.38</v>
      </c>
      <c r="J3605" s="25">
        <v>0.16800000000000001</v>
      </c>
      <c r="K3605" s="25">
        <f t="shared" si="56"/>
        <v>18711.84</v>
      </c>
      <c r="L3605" s="25">
        <v>2.4500000000000002</v>
      </c>
      <c r="M3605" s="24">
        <v>273210</v>
      </c>
      <c r="N3605" s="25">
        <f>IFERROR(T_reg.root.SK[[#This Row],[Price]]/T_reg.root.SK[[#This Row],[Starch content]],"")</f>
        <v>14.583333333333334</v>
      </c>
    </row>
    <row r="3606" spans="1:14">
      <c r="A3606" s="21">
        <v>2024</v>
      </c>
      <c r="B3606" s="21" t="s">
        <v>24</v>
      </c>
      <c r="C3606" s="21" t="s">
        <v>1145</v>
      </c>
      <c r="D3606" s="21" t="s">
        <v>35</v>
      </c>
      <c r="E3606" s="18" t="s">
        <v>779</v>
      </c>
      <c r="F3606" s="18" t="s">
        <v>780</v>
      </c>
      <c r="G3606" s="18" t="s">
        <v>48</v>
      </c>
      <c r="H3606" s="24">
        <v>10600</v>
      </c>
      <c r="I3606" s="24">
        <f>T_reg.root.SK[[#This Row],[Volume, kg]]/1000</f>
        <v>10.6</v>
      </c>
      <c r="J3606" s="25">
        <v>0.13699999999999998</v>
      </c>
      <c r="K3606" s="25">
        <f t="shared" si="56"/>
        <v>1452.1999999999998</v>
      </c>
      <c r="L3606" s="25">
        <v>2.15</v>
      </c>
      <c r="M3606" s="24">
        <v>22790</v>
      </c>
      <c r="N3606" s="25">
        <f>IFERROR(T_reg.root.SK[[#This Row],[Price]]/T_reg.root.SK[[#This Row],[Starch content]],"")</f>
        <v>15.693430656934307</v>
      </c>
    </row>
    <row r="3607" spans="1:14">
      <c r="A3607" s="21">
        <v>2024</v>
      </c>
      <c r="B3607" s="21" t="s">
        <v>25</v>
      </c>
      <c r="C3607" s="21" t="s">
        <v>1145</v>
      </c>
      <c r="D3607" s="21" t="s">
        <v>39</v>
      </c>
      <c r="E3607" s="18" t="s">
        <v>797</v>
      </c>
      <c r="F3607" s="18" t="s">
        <v>798</v>
      </c>
      <c r="G3607" s="18" t="s">
        <v>799</v>
      </c>
      <c r="H3607" s="24">
        <v>41580</v>
      </c>
      <c r="I3607" s="24">
        <f>T_reg.root.SK[[#This Row],[Volume, kg]]/1000</f>
        <v>41.58</v>
      </c>
      <c r="J3607" s="25">
        <v>0.1883</v>
      </c>
      <c r="K3607" s="25">
        <f t="shared" si="56"/>
        <v>7829.5140000000001</v>
      </c>
      <c r="L3607" s="25">
        <v>2.7</v>
      </c>
      <c r="M3607" s="24">
        <v>112266</v>
      </c>
      <c r="N3607" s="25">
        <f>IFERROR(T_reg.root.SK[[#This Row],[Price]]/T_reg.root.SK[[#This Row],[Starch content]],"")</f>
        <v>14.338821030270847</v>
      </c>
    </row>
    <row r="3608" spans="1:14">
      <c r="A3608" s="21">
        <v>2024</v>
      </c>
      <c r="B3608" s="21" t="s">
        <v>25</v>
      </c>
      <c r="C3608" s="21" t="s">
        <v>1145</v>
      </c>
      <c r="D3608" s="21" t="s">
        <v>35</v>
      </c>
      <c r="E3608" s="18" t="s">
        <v>614</v>
      </c>
      <c r="F3608" s="18" t="s">
        <v>219</v>
      </c>
      <c r="G3608" s="18" t="s">
        <v>220</v>
      </c>
      <c r="H3608" s="24">
        <v>40630</v>
      </c>
      <c r="I3608" s="24">
        <f>T_reg.root.SK[[#This Row],[Volume, kg]]/1000</f>
        <v>40.630000000000003</v>
      </c>
      <c r="J3608" s="25">
        <v>0.2162</v>
      </c>
      <c r="K3608" s="25">
        <f t="shared" si="56"/>
        <v>8784.2060000000001</v>
      </c>
      <c r="L3608" s="25">
        <v>2.75</v>
      </c>
      <c r="M3608" s="24">
        <v>111863.5</v>
      </c>
      <c r="N3608" s="25">
        <f>IFERROR(T_reg.root.SK[[#This Row],[Price]]/T_reg.root.SK[[#This Row],[Starch content]],"")</f>
        <v>12.719703977798334</v>
      </c>
    </row>
    <row r="3609" spans="1:14">
      <c r="A3609" s="21">
        <v>2024</v>
      </c>
      <c r="B3609" s="21" t="s">
        <v>25</v>
      </c>
      <c r="C3609" s="21" t="s">
        <v>1145</v>
      </c>
      <c r="D3609" s="21" t="s">
        <v>35</v>
      </c>
      <c r="E3609" s="18" t="s">
        <v>455</v>
      </c>
      <c r="F3609" s="18" t="s">
        <v>219</v>
      </c>
      <c r="G3609" s="18" t="s">
        <v>220</v>
      </c>
      <c r="H3609" s="24">
        <v>47320</v>
      </c>
      <c r="I3609" s="24">
        <f>T_reg.root.SK[[#This Row],[Volume, kg]]/1000</f>
        <v>47.32</v>
      </c>
      <c r="J3609" s="25">
        <v>0.23430000000000001</v>
      </c>
      <c r="K3609" s="25">
        <f t="shared" si="56"/>
        <v>11087.076000000001</v>
      </c>
      <c r="L3609" s="25">
        <v>2.87</v>
      </c>
      <c r="M3609" s="24">
        <v>135682</v>
      </c>
      <c r="N3609" s="25">
        <f>IFERROR(T_reg.root.SK[[#This Row],[Price]]/T_reg.root.SK[[#This Row],[Starch content]],"")</f>
        <v>12.249253094323517</v>
      </c>
    </row>
    <row r="3610" spans="1:14">
      <c r="A3610" s="21">
        <v>2024</v>
      </c>
      <c r="B3610" s="21" t="s">
        <v>25</v>
      </c>
      <c r="C3610" s="21" t="s">
        <v>1145</v>
      </c>
      <c r="D3610" s="21" t="s">
        <v>35</v>
      </c>
      <c r="E3610" s="18" t="s">
        <v>544</v>
      </c>
      <c r="F3610" s="18" t="s">
        <v>219</v>
      </c>
      <c r="G3610" s="18" t="s">
        <v>220</v>
      </c>
      <c r="H3610" s="24">
        <v>10880</v>
      </c>
      <c r="I3610" s="24">
        <f>T_reg.root.SK[[#This Row],[Volume, kg]]/1000</f>
        <v>10.88</v>
      </c>
      <c r="J3610" s="25">
        <v>0.22800000000000001</v>
      </c>
      <c r="K3610" s="25">
        <f t="shared" si="56"/>
        <v>2480.64</v>
      </c>
      <c r="L3610" s="25">
        <v>2.85</v>
      </c>
      <c r="M3610" s="24">
        <v>31008</v>
      </c>
      <c r="N3610" s="25">
        <f>IFERROR(T_reg.root.SK[[#This Row],[Price]]/T_reg.root.SK[[#This Row],[Starch content]],"")</f>
        <v>12.5</v>
      </c>
    </row>
    <row r="3611" spans="1:14">
      <c r="A3611" s="21">
        <v>2024</v>
      </c>
      <c r="B3611" s="21" t="s">
        <v>25</v>
      </c>
      <c r="C3611" s="21" t="s">
        <v>1145</v>
      </c>
      <c r="D3611" s="21" t="s">
        <v>35</v>
      </c>
      <c r="E3611" s="18" t="s">
        <v>598</v>
      </c>
      <c r="F3611" s="18" t="s">
        <v>219</v>
      </c>
      <c r="G3611" s="18" t="s">
        <v>220</v>
      </c>
      <c r="H3611" s="24">
        <v>122390</v>
      </c>
      <c r="I3611" s="24">
        <f>T_reg.root.SK[[#This Row],[Volume, kg]]/1000</f>
        <v>122.39</v>
      </c>
      <c r="J3611" s="25">
        <v>0.19829999999999998</v>
      </c>
      <c r="K3611" s="25">
        <f t="shared" si="56"/>
        <v>24269.936999999998</v>
      </c>
      <c r="L3611" s="25">
        <v>2.69</v>
      </c>
      <c r="M3611" s="24">
        <v>328757</v>
      </c>
      <c r="N3611" s="25">
        <f>IFERROR(T_reg.root.SK[[#This Row],[Price]]/T_reg.root.SK[[#This Row],[Starch content]],"")</f>
        <v>13.565305093292992</v>
      </c>
    </row>
    <row r="3612" spans="1:14">
      <c r="A3612" s="21">
        <v>2024</v>
      </c>
      <c r="B3612" s="21" t="s">
        <v>25</v>
      </c>
      <c r="C3612" s="21" t="s">
        <v>1145</v>
      </c>
      <c r="D3612" s="21" t="s">
        <v>35</v>
      </c>
      <c r="E3612" s="18" t="s">
        <v>456</v>
      </c>
      <c r="F3612" s="18" t="s">
        <v>219</v>
      </c>
      <c r="G3612" s="18" t="s">
        <v>220</v>
      </c>
      <c r="H3612" s="24">
        <v>122170</v>
      </c>
      <c r="I3612" s="24">
        <f>T_reg.root.SK[[#This Row],[Volume, kg]]/1000</f>
        <v>122.17</v>
      </c>
      <c r="J3612" s="25">
        <v>0.23260000000000003</v>
      </c>
      <c r="K3612" s="25">
        <f t="shared" si="56"/>
        <v>28416.742000000002</v>
      </c>
      <c r="L3612" s="25">
        <v>2.86</v>
      </c>
      <c r="M3612" s="24">
        <v>349922.5</v>
      </c>
      <c r="N3612" s="25">
        <f>IFERROR(T_reg.root.SK[[#This Row],[Price]]/T_reg.root.SK[[#This Row],[Starch content]],"")</f>
        <v>12.295786758383489</v>
      </c>
    </row>
    <row r="3613" spans="1:14">
      <c r="A3613" s="21">
        <v>2024</v>
      </c>
      <c r="B3613" s="21" t="s">
        <v>25</v>
      </c>
      <c r="C3613" s="21" t="s">
        <v>1145</v>
      </c>
      <c r="D3613" s="21" t="s">
        <v>39</v>
      </c>
      <c r="E3613" s="18" t="s">
        <v>782</v>
      </c>
      <c r="F3613" s="18" t="s">
        <v>783</v>
      </c>
      <c r="G3613" s="18" t="s">
        <v>87</v>
      </c>
      <c r="H3613" s="24">
        <v>1241050</v>
      </c>
      <c r="I3613" s="24">
        <f>T_reg.root.SK[[#This Row],[Volume, kg]]/1000</f>
        <v>1241.05</v>
      </c>
      <c r="J3613" s="25">
        <v>0.21710000000000002</v>
      </c>
      <c r="K3613" s="25">
        <f t="shared" si="56"/>
        <v>269431.95500000002</v>
      </c>
      <c r="L3613" s="25">
        <v>2.76</v>
      </c>
      <c r="M3613" s="24">
        <v>3431038.5</v>
      </c>
      <c r="N3613" s="25">
        <f>IFERROR(T_reg.root.SK[[#This Row],[Price]]/T_reg.root.SK[[#This Row],[Starch content]],"")</f>
        <v>12.713035467526483</v>
      </c>
    </row>
    <row r="3614" spans="1:14">
      <c r="A3614" s="21">
        <v>2024</v>
      </c>
      <c r="B3614" s="21" t="s">
        <v>25</v>
      </c>
      <c r="C3614" s="21" t="s">
        <v>1145</v>
      </c>
      <c r="D3614" s="21" t="s">
        <v>35</v>
      </c>
      <c r="E3614" s="18" t="s">
        <v>457</v>
      </c>
      <c r="F3614" s="18" t="s">
        <v>47</v>
      </c>
      <c r="G3614" s="18" t="s">
        <v>48</v>
      </c>
      <c r="H3614" s="24">
        <v>17330</v>
      </c>
      <c r="I3614" s="24">
        <f>T_reg.root.SK[[#This Row],[Volume, kg]]/1000</f>
        <v>17.329999999999998</v>
      </c>
      <c r="J3614" s="25">
        <v>0.2324</v>
      </c>
      <c r="K3614" s="25">
        <f t="shared" si="56"/>
        <v>4027.4919999999997</v>
      </c>
      <c r="L3614" s="25">
        <v>2.74</v>
      </c>
      <c r="M3614" s="24">
        <v>47554.5</v>
      </c>
      <c r="N3614" s="25">
        <f>IFERROR(T_reg.root.SK[[#This Row],[Price]]/T_reg.root.SK[[#This Row],[Starch content]],"")</f>
        <v>11.79001721170396</v>
      </c>
    </row>
    <row r="3615" spans="1:14">
      <c r="A3615" s="21">
        <v>2024</v>
      </c>
      <c r="B3615" s="21" t="s">
        <v>25</v>
      </c>
      <c r="C3615" s="21" t="s">
        <v>1145</v>
      </c>
      <c r="D3615" s="21" t="s">
        <v>35</v>
      </c>
      <c r="E3615" s="18" t="s">
        <v>546</v>
      </c>
      <c r="F3615" s="18" t="s">
        <v>47</v>
      </c>
      <c r="G3615" s="18" t="s">
        <v>48</v>
      </c>
      <c r="H3615" s="24">
        <v>53120</v>
      </c>
      <c r="I3615" s="24">
        <f>T_reg.root.SK[[#This Row],[Volume, kg]]/1000</f>
        <v>53.12</v>
      </c>
      <c r="J3615" s="25">
        <v>0.19320000000000001</v>
      </c>
      <c r="K3615" s="25">
        <f t="shared" si="56"/>
        <v>10262.784000000001</v>
      </c>
      <c r="L3615" s="25">
        <v>2.63</v>
      </c>
      <c r="M3615" s="24">
        <v>139617</v>
      </c>
      <c r="N3615" s="25">
        <f>IFERROR(T_reg.root.SK[[#This Row],[Price]]/T_reg.root.SK[[#This Row],[Starch content]],"")</f>
        <v>13.612836438923393</v>
      </c>
    </row>
    <row r="3616" spans="1:14">
      <c r="A3616" s="21">
        <v>2024</v>
      </c>
      <c r="B3616" s="21" t="s">
        <v>25</v>
      </c>
      <c r="C3616" s="21" t="s">
        <v>1145</v>
      </c>
      <c r="D3616" s="21" t="s">
        <v>35</v>
      </c>
      <c r="E3616" s="18" t="s">
        <v>336</v>
      </c>
      <c r="F3616" s="18" t="s">
        <v>47</v>
      </c>
      <c r="G3616" s="18" t="s">
        <v>48</v>
      </c>
      <c r="H3616" s="24">
        <v>2270</v>
      </c>
      <c r="I3616" s="24">
        <f>T_reg.root.SK[[#This Row],[Volume, kg]]/1000</f>
        <v>2.27</v>
      </c>
      <c r="J3616" s="25">
        <v>0.24249999999999999</v>
      </c>
      <c r="K3616" s="25">
        <f t="shared" si="56"/>
        <v>550.47500000000002</v>
      </c>
      <c r="L3616" s="25">
        <v>2.85</v>
      </c>
      <c r="M3616" s="24">
        <v>6469.5</v>
      </c>
      <c r="N3616" s="25">
        <f>IFERROR(T_reg.root.SK[[#This Row],[Price]]/T_reg.root.SK[[#This Row],[Starch content]],"")</f>
        <v>11.75257731958763</v>
      </c>
    </row>
    <row r="3617" spans="1:14">
      <c r="A3617" s="21">
        <v>2024</v>
      </c>
      <c r="B3617" s="21" t="s">
        <v>25</v>
      </c>
      <c r="C3617" s="21" t="s">
        <v>1145</v>
      </c>
      <c r="D3617" s="21" t="s">
        <v>35</v>
      </c>
      <c r="E3617" s="18" t="s">
        <v>78</v>
      </c>
      <c r="F3617" s="18" t="s">
        <v>47</v>
      </c>
      <c r="G3617" s="18" t="s">
        <v>48</v>
      </c>
      <c r="H3617" s="24">
        <v>31590</v>
      </c>
      <c r="I3617" s="24">
        <f>T_reg.root.SK[[#This Row],[Volume, kg]]/1000</f>
        <v>31.59</v>
      </c>
      <c r="J3617" s="25">
        <v>0.2296</v>
      </c>
      <c r="K3617" s="25">
        <f t="shared" si="56"/>
        <v>7253.0640000000003</v>
      </c>
      <c r="L3617" s="25">
        <v>2.75</v>
      </c>
      <c r="M3617" s="24">
        <v>87016.5</v>
      </c>
      <c r="N3617" s="25">
        <f>IFERROR(T_reg.root.SK[[#This Row],[Price]]/T_reg.root.SK[[#This Row],[Starch content]],"")</f>
        <v>11.977351916376307</v>
      </c>
    </row>
    <row r="3618" spans="1:14">
      <c r="A3618" s="21">
        <v>2024</v>
      </c>
      <c r="B3618" s="21" t="s">
        <v>25</v>
      </c>
      <c r="C3618" s="21" t="s">
        <v>1145</v>
      </c>
      <c r="D3618" s="21" t="s">
        <v>35</v>
      </c>
      <c r="E3618" s="18" t="s">
        <v>624</v>
      </c>
      <c r="F3618" s="18" t="s">
        <v>47</v>
      </c>
      <c r="G3618" s="18" t="s">
        <v>48</v>
      </c>
      <c r="H3618" s="24">
        <v>19920</v>
      </c>
      <c r="I3618" s="24">
        <f>T_reg.root.SK[[#This Row],[Volume, kg]]/1000</f>
        <v>19.920000000000002</v>
      </c>
      <c r="J3618" s="25">
        <v>0.23920000000000002</v>
      </c>
      <c r="K3618" s="25">
        <f t="shared" si="56"/>
        <v>4764.8640000000005</v>
      </c>
      <c r="L3618" s="25">
        <v>2.84</v>
      </c>
      <c r="M3618" s="24">
        <v>56669.5</v>
      </c>
      <c r="N3618" s="25">
        <f>IFERROR(T_reg.root.SK[[#This Row],[Price]]/T_reg.root.SK[[#This Row],[Starch content]],"")</f>
        <v>11.872909698996654</v>
      </c>
    </row>
    <row r="3619" spans="1:14">
      <c r="A3619" s="21">
        <v>2024</v>
      </c>
      <c r="B3619" s="21" t="s">
        <v>25</v>
      </c>
      <c r="C3619" s="21" t="s">
        <v>1145</v>
      </c>
      <c r="D3619" s="21" t="s">
        <v>35</v>
      </c>
      <c r="E3619" s="18" t="s">
        <v>459</v>
      </c>
      <c r="F3619" s="18" t="s">
        <v>47</v>
      </c>
      <c r="G3619" s="18" t="s">
        <v>48</v>
      </c>
      <c r="H3619" s="24">
        <v>7260</v>
      </c>
      <c r="I3619" s="24">
        <f>T_reg.root.SK[[#This Row],[Volume, kg]]/1000</f>
        <v>7.26</v>
      </c>
      <c r="J3619" s="25">
        <v>0.254</v>
      </c>
      <c r="K3619" s="25">
        <f t="shared" si="56"/>
        <v>1844.04</v>
      </c>
      <c r="L3619" s="25">
        <v>2.9</v>
      </c>
      <c r="M3619" s="24">
        <v>21054</v>
      </c>
      <c r="N3619" s="25">
        <f>IFERROR(T_reg.root.SK[[#This Row],[Price]]/T_reg.root.SK[[#This Row],[Starch content]],"")</f>
        <v>11.417322834645669</v>
      </c>
    </row>
    <row r="3620" spans="1:14">
      <c r="A3620" s="21">
        <v>2024</v>
      </c>
      <c r="B3620" s="21" t="s">
        <v>25</v>
      </c>
      <c r="C3620" s="21" t="s">
        <v>1145</v>
      </c>
      <c r="D3620" s="21" t="s">
        <v>35</v>
      </c>
      <c r="E3620" s="18" t="s">
        <v>56</v>
      </c>
      <c r="F3620" s="18" t="s">
        <v>47</v>
      </c>
      <c r="G3620" s="18" t="s">
        <v>48</v>
      </c>
      <c r="H3620" s="24">
        <v>9500</v>
      </c>
      <c r="I3620" s="24">
        <f>T_reg.root.SK[[#This Row],[Volume, kg]]/1000</f>
        <v>9.5</v>
      </c>
      <c r="J3620" s="25">
        <v>0.25800000000000001</v>
      </c>
      <c r="K3620" s="25">
        <f t="shared" si="56"/>
        <v>2451</v>
      </c>
      <c r="L3620" s="25">
        <v>2.95</v>
      </c>
      <c r="M3620" s="24">
        <v>28025</v>
      </c>
      <c r="N3620" s="25">
        <f>IFERROR(T_reg.root.SK[[#This Row],[Price]]/T_reg.root.SK[[#This Row],[Starch content]],"")</f>
        <v>11.434108527131784</v>
      </c>
    </row>
    <row r="3621" spans="1:14">
      <c r="A3621" s="21">
        <v>2024</v>
      </c>
      <c r="B3621" s="21" t="s">
        <v>25</v>
      </c>
      <c r="C3621" s="21" t="s">
        <v>1145</v>
      </c>
      <c r="D3621" s="21" t="s">
        <v>35</v>
      </c>
      <c r="E3621" s="18" t="s">
        <v>462</v>
      </c>
      <c r="F3621" s="18" t="s">
        <v>47</v>
      </c>
      <c r="G3621" s="18" t="s">
        <v>48</v>
      </c>
      <c r="H3621" s="24">
        <v>23580</v>
      </c>
      <c r="I3621" s="24">
        <f>T_reg.root.SK[[#This Row],[Volume, kg]]/1000</f>
        <v>23.58</v>
      </c>
      <c r="J3621" s="25">
        <v>0.1895</v>
      </c>
      <c r="K3621" s="25">
        <f t="shared" si="56"/>
        <v>4468.41</v>
      </c>
      <c r="L3621" s="25">
        <v>2.61</v>
      </c>
      <c r="M3621" s="24">
        <v>61569</v>
      </c>
      <c r="N3621" s="25">
        <f>IFERROR(T_reg.root.SK[[#This Row],[Price]]/T_reg.root.SK[[#This Row],[Starch content]],"")</f>
        <v>13.773087071240104</v>
      </c>
    </row>
    <row r="3622" spans="1:14">
      <c r="A3622" s="21">
        <v>2024</v>
      </c>
      <c r="B3622" s="21" t="s">
        <v>25</v>
      </c>
      <c r="C3622" s="21" t="s">
        <v>1145</v>
      </c>
      <c r="D3622" s="21" t="s">
        <v>35</v>
      </c>
      <c r="E3622" s="18" t="s">
        <v>463</v>
      </c>
      <c r="F3622" s="18" t="s">
        <v>47</v>
      </c>
      <c r="G3622" s="18" t="s">
        <v>48</v>
      </c>
      <c r="H3622" s="24">
        <v>122070</v>
      </c>
      <c r="I3622" s="24">
        <f>T_reg.root.SK[[#This Row],[Volume, kg]]/1000</f>
        <v>122.07</v>
      </c>
      <c r="J3622" s="25">
        <v>0.2054</v>
      </c>
      <c r="K3622" s="25">
        <f t="shared" si="56"/>
        <v>25073.178</v>
      </c>
      <c r="L3622" s="25">
        <v>2.67</v>
      </c>
      <c r="M3622" s="24">
        <v>326356</v>
      </c>
      <c r="N3622" s="25">
        <f>IFERROR(T_reg.root.SK[[#This Row],[Price]]/T_reg.root.SK[[#This Row],[Starch content]],"")</f>
        <v>12.99902629016553</v>
      </c>
    </row>
    <row r="3623" spans="1:14">
      <c r="A3623" s="21">
        <v>2024</v>
      </c>
      <c r="B3623" s="21" t="s">
        <v>25</v>
      </c>
      <c r="C3623" s="21" t="s">
        <v>1145</v>
      </c>
      <c r="D3623" s="21" t="s">
        <v>35</v>
      </c>
      <c r="E3623" s="18" t="s">
        <v>785</v>
      </c>
      <c r="F3623" s="18" t="s">
        <v>47</v>
      </c>
      <c r="G3623" s="18" t="s">
        <v>48</v>
      </c>
      <c r="H3623" s="24">
        <v>24930</v>
      </c>
      <c r="I3623" s="24">
        <f>T_reg.root.SK[[#This Row],[Volume, kg]]/1000</f>
        <v>24.93</v>
      </c>
      <c r="J3623" s="25">
        <v>0.24760000000000001</v>
      </c>
      <c r="K3623" s="25">
        <f t="shared" si="56"/>
        <v>6172.6680000000006</v>
      </c>
      <c r="L3623" s="25">
        <v>2.9</v>
      </c>
      <c r="M3623" s="24">
        <v>72180</v>
      </c>
      <c r="N3623" s="25">
        <f>IFERROR(T_reg.root.SK[[#This Row],[Price]]/T_reg.root.SK[[#This Row],[Starch content]],"")</f>
        <v>11.7124394184168</v>
      </c>
    </row>
    <row r="3624" spans="1:14">
      <c r="A3624" s="21">
        <v>2024</v>
      </c>
      <c r="B3624" s="21" t="s">
        <v>25</v>
      </c>
      <c r="C3624" s="21" t="s">
        <v>1145</v>
      </c>
      <c r="D3624" s="21" t="s">
        <v>35</v>
      </c>
      <c r="E3624" s="18" t="s">
        <v>625</v>
      </c>
      <c r="F3624" s="18" t="s">
        <v>47</v>
      </c>
      <c r="G3624" s="18" t="s">
        <v>48</v>
      </c>
      <c r="H3624" s="24">
        <v>6650</v>
      </c>
      <c r="I3624" s="24">
        <f>T_reg.root.SK[[#This Row],[Volume, kg]]/1000</f>
        <v>6.65</v>
      </c>
      <c r="J3624" s="25">
        <v>0.17050000000000001</v>
      </c>
      <c r="K3624" s="25">
        <f t="shared" si="56"/>
        <v>1133.825</v>
      </c>
      <c r="L3624" s="25">
        <v>2.35</v>
      </c>
      <c r="M3624" s="24">
        <v>15627.5</v>
      </c>
      <c r="N3624" s="25">
        <f>IFERROR(T_reg.root.SK[[#This Row],[Price]]/T_reg.root.SK[[#This Row],[Starch content]],"")</f>
        <v>13.782991202346041</v>
      </c>
    </row>
    <row r="3625" spans="1:14">
      <c r="A3625" s="21">
        <v>2024</v>
      </c>
      <c r="B3625" s="21" t="s">
        <v>25</v>
      </c>
      <c r="C3625" s="21" t="s">
        <v>1145</v>
      </c>
      <c r="D3625" s="21" t="s">
        <v>35</v>
      </c>
      <c r="E3625" s="18" t="s">
        <v>57</v>
      </c>
      <c r="F3625" s="18" t="s">
        <v>47</v>
      </c>
      <c r="G3625" s="18" t="s">
        <v>48</v>
      </c>
      <c r="H3625" s="24">
        <v>82270</v>
      </c>
      <c r="I3625" s="24">
        <f>T_reg.root.SK[[#This Row],[Volume, kg]]/1000</f>
        <v>82.27</v>
      </c>
      <c r="J3625" s="25">
        <v>0.21590000000000001</v>
      </c>
      <c r="K3625" s="25">
        <f t="shared" si="56"/>
        <v>17762.093000000001</v>
      </c>
      <c r="L3625" s="25">
        <v>2.74</v>
      </c>
      <c r="M3625" s="24">
        <v>225123</v>
      </c>
      <c r="N3625" s="25">
        <f>IFERROR(T_reg.root.SK[[#This Row],[Price]]/T_reg.root.SK[[#This Row],[Starch content]],"")</f>
        <v>12.691060676238999</v>
      </c>
    </row>
    <row r="3626" spans="1:14">
      <c r="A3626" s="21">
        <v>2024</v>
      </c>
      <c r="B3626" s="21" t="s">
        <v>25</v>
      </c>
      <c r="C3626" s="21" t="s">
        <v>1145</v>
      </c>
      <c r="D3626" s="21" t="s">
        <v>35</v>
      </c>
      <c r="E3626" s="18" t="s">
        <v>379</v>
      </c>
      <c r="F3626" s="18" t="s">
        <v>47</v>
      </c>
      <c r="G3626" s="18" t="s">
        <v>48</v>
      </c>
      <c r="H3626" s="24">
        <v>12680</v>
      </c>
      <c r="I3626" s="24">
        <f>T_reg.root.SK[[#This Row],[Volume, kg]]/1000</f>
        <v>12.68</v>
      </c>
      <c r="J3626" s="25">
        <v>0.2445</v>
      </c>
      <c r="K3626" s="25">
        <f t="shared" si="56"/>
        <v>3100.2599999999998</v>
      </c>
      <c r="L3626" s="25">
        <v>2.89</v>
      </c>
      <c r="M3626" s="24">
        <v>36617.5</v>
      </c>
      <c r="N3626" s="25">
        <f>IFERROR(T_reg.root.SK[[#This Row],[Price]]/T_reg.root.SK[[#This Row],[Starch content]],"")</f>
        <v>11.820040899795503</v>
      </c>
    </row>
    <row r="3627" spans="1:14">
      <c r="A3627" s="21">
        <v>2024</v>
      </c>
      <c r="B3627" s="21" t="s">
        <v>25</v>
      </c>
      <c r="C3627" s="21" t="s">
        <v>1145</v>
      </c>
      <c r="D3627" s="21" t="s">
        <v>35</v>
      </c>
      <c r="E3627" s="18" t="s">
        <v>465</v>
      </c>
      <c r="F3627" s="18" t="s">
        <v>47</v>
      </c>
      <c r="G3627" s="18" t="s">
        <v>48</v>
      </c>
      <c r="H3627" s="24">
        <v>10840</v>
      </c>
      <c r="I3627" s="24">
        <f>T_reg.root.SK[[#This Row],[Volume, kg]]/1000</f>
        <v>10.84</v>
      </c>
      <c r="J3627" s="25">
        <v>0.24100000000000002</v>
      </c>
      <c r="K3627" s="25">
        <f t="shared" si="56"/>
        <v>2612.44</v>
      </c>
      <c r="L3627" s="25">
        <v>2.85</v>
      </c>
      <c r="M3627" s="24">
        <v>30894</v>
      </c>
      <c r="N3627" s="25">
        <f>IFERROR(T_reg.root.SK[[#This Row],[Price]]/T_reg.root.SK[[#This Row],[Starch content]],"")</f>
        <v>11.825726141078837</v>
      </c>
    </row>
    <row r="3628" spans="1:14">
      <c r="A3628" s="21">
        <v>2024</v>
      </c>
      <c r="B3628" s="21" t="s">
        <v>25</v>
      </c>
      <c r="C3628" s="21" t="s">
        <v>1145</v>
      </c>
      <c r="D3628" s="21" t="s">
        <v>35</v>
      </c>
      <c r="E3628" s="18" t="s">
        <v>548</v>
      </c>
      <c r="F3628" s="18" t="s">
        <v>47</v>
      </c>
      <c r="G3628" s="18" t="s">
        <v>48</v>
      </c>
      <c r="H3628" s="24">
        <v>94850</v>
      </c>
      <c r="I3628" s="24">
        <f>T_reg.root.SK[[#This Row],[Volume, kg]]/1000</f>
        <v>94.85</v>
      </c>
      <c r="J3628" s="25">
        <v>0.2165</v>
      </c>
      <c r="K3628" s="25">
        <f t="shared" si="56"/>
        <v>20535.025000000001</v>
      </c>
      <c r="L3628" s="25">
        <v>2.73</v>
      </c>
      <c r="M3628" s="24">
        <v>259295</v>
      </c>
      <c r="N3628" s="25">
        <f>IFERROR(T_reg.root.SK[[#This Row],[Price]]/T_reg.root.SK[[#This Row],[Starch content]],"")</f>
        <v>12.609699769053117</v>
      </c>
    </row>
    <row r="3629" spans="1:14">
      <c r="A3629" s="21">
        <v>2024</v>
      </c>
      <c r="B3629" s="21" t="s">
        <v>25</v>
      </c>
      <c r="C3629" s="21" t="s">
        <v>1145</v>
      </c>
      <c r="D3629" s="21" t="s">
        <v>35</v>
      </c>
      <c r="E3629" s="18" t="s">
        <v>467</v>
      </c>
      <c r="F3629" s="18" t="s">
        <v>47</v>
      </c>
      <c r="G3629" s="18" t="s">
        <v>48</v>
      </c>
      <c r="H3629" s="24">
        <v>57830</v>
      </c>
      <c r="I3629" s="24">
        <f>T_reg.root.SK[[#This Row],[Volume, kg]]/1000</f>
        <v>57.83</v>
      </c>
      <c r="J3629" s="25">
        <v>0.22399999999999998</v>
      </c>
      <c r="K3629" s="25">
        <f t="shared" si="56"/>
        <v>12953.919999999998</v>
      </c>
      <c r="L3629" s="25">
        <v>2.77</v>
      </c>
      <c r="M3629" s="24">
        <v>159975</v>
      </c>
      <c r="N3629" s="25">
        <f>IFERROR(T_reg.root.SK[[#This Row],[Price]]/T_reg.root.SK[[#This Row],[Starch content]],"")</f>
        <v>12.366071428571431</v>
      </c>
    </row>
    <row r="3630" spans="1:14">
      <c r="A3630" s="21">
        <v>2024</v>
      </c>
      <c r="B3630" s="21" t="s">
        <v>25</v>
      </c>
      <c r="C3630" s="21" t="s">
        <v>1145</v>
      </c>
      <c r="D3630" s="21" t="s">
        <v>35</v>
      </c>
      <c r="E3630" s="18" t="s">
        <v>673</v>
      </c>
      <c r="F3630" s="18" t="s">
        <v>47</v>
      </c>
      <c r="G3630" s="18" t="s">
        <v>48</v>
      </c>
      <c r="H3630" s="24">
        <v>12950</v>
      </c>
      <c r="I3630" s="24">
        <f>T_reg.root.SK[[#This Row],[Volume, kg]]/1000</f>
        <v>12.95</v>
      </c>
      <c r="J3630" s="25">
        <v>0.23920000000000002</v>
      </c>
      <c r="K3630" s="25">
        <f t="shared" si="56"/>
        <v>3097.6400000000003</v>
      </c>
      <c r="L3630" s="25">
        <v>2.86</v>
      </c>
      <c r="M3630" s="24">
        <v>36997</v>
      </c>
      <c r="N3630" s="25">
        <f>IFERROR(T_reg.root.SK[[#This Row],[Price]]/T_reg.root.SK[[#This Row],[Starch content]],"")</f>
        <v>11.956521739130434</v>
      </c>
    </row>
    <row r="3631" spans="1:14">
      <c r="A3631" s="21">
        <v>2024</v>
      </c>
      <c r="B3631" s="21" t="s">
        <v>25</v>
      </c>
      <c r="C3631" s="21" t="s">
        <v>1145</v>
      </c>
      <c r="D3631" s="21" t="s">
        <v>35</v>
      </c>
      <c r="E3631" s="18" t="s">
        <v>658</v>
      </c>
      <c r="F3631" s="18" t="s">
        <v>47</v>
      </c>
      <c r="G3631" s="18" t="s">
        <v>48</v>
      </c>
      <c r="H3631" s="24">
        <v>10560</v>
      </c>
      <c r="I3631" s="24">
        <f>T_reg.root.SK[[#This Row],[Volume, kg]]/1000</f>
        <v>10.56</v>
      </c>
      <c r="J3631" s="25">
        <v>0.20499999999999999</v>
      </c>
      <c r="K3631" s="25">
        <f t="shared" si="56"/>
        <v>2164.7999999999997</v>
      </c>
      <c r="L3631" s="25">
        <v>2.7</v>
      </c>
      <c r="M3631" s="24">
        <v>28512</v>
      </c>
      <c r="N3631" s="25">
        <f>IFERROR(T_reg.root.SK[[#This Row],[Price]]/T_reg.root.SK[[#This Row],[Starch content]],"")</f>
        <v>13.170731707317074</v>
      </c>
    </row>
    <row r="3632" spans="1:14">
      <c r="A3632" s="21">
        <v>2024</v>
      </c>
      <c r="B3632" s="21" t="s">
        <v>25</v>
      </c>
      <c r="C3632" s="21" t="s">
        <v>1145</v>
      </c>
      <c r="D3632" s="21" t="s">
        <v>35</v>
      </c>
      <c r="E3632" s="18" t="s">
        <v>340</v>
      </c>
      <c r="F3632" s="18" t="s">
        <v>47</v>
      </c>
      <c r="G3632" s="18" t="s">
        <v>48</v>
      </c>
      <c r="H3632" s="24">
        <v>1510</v>
      </c>
      <c r="I3632" s="24">
        <f>T_reg.root.SK[[#This Row],[Volume, kg]]/1000</f>
        <v>1.51</v>
      </c>
      <c r="J3632" s="25">
        <v>0.214</v>
      </c>
      <c r="K3632" s="25">
        <f t="shared" si="56"/>
        <v>323.14</v>
      </c>
      <c r="L3632" s="25">
        <v>2.6</v>
      </c>
      <c r="M3632" s="24">
        <v>3926</v>
      </c>
      <c r="N3632" s="25">
        <f>IFERROR(T_reg.root.SK[[#This Row],[Price]]/T_reg.root.SK[[#This Row],[Starch content]],"")</f>
        <v>12.149532710280374</v>
      </c>
    </row>
    <row r="3633" spans="1:14">
      <c r="A3633" s="21">
        <v>2024</v>
      </c>
      <c r="B3633" s="21" t="s">
        <v>25</v>
      </c>
      <c r="C3633" s="21" t="s">
        <v>1145</v>
      </c>
      <c r="D3633" s="21" t="s">
        <v>35</v>
      </c>
      <c r="E3633" s="18" t="s">
        <v>676</v>
      </c>
      <c r="F3633" s="18" t="s">
        <v>47</v>
      </c>
      <c r="G3633" s="18" t="s">
        <v>48</v>
      </c>
      <c r="H3633" s="24">
        <v>17170</v>
      </c>
      <c r="I3633" s="24">
        <f>T_reg.root.SK[[#This Row],[Volume, kg]]/1000</f>
        <v>17.170000000000002</v>
      </c>
      <c r="J3633" s="25">
        <v>0.2014</v>
      </c>
      <c r="K3633" s="25">
        <f t="shared" si="56"/>
        <v>3458.038</v>
      </c>
      <c r="L3633" s="25">
        <v>2.67</v>
      </c>
      <c r="M3633" s="24">
        <v>45915.5</v>
      </c>
      <c r="N3633" s="25">
        <f>IFERROR(T_reg.root.SK[[#This Row],[Price]]/T_reg.root.SK[[#This Row],[Starch content]],"")</f>
        <v>13.257199602780537</v>
      </c>
    </row>
    <row r="3634" spans="1:14">
      <c r="A3634" s="21">
        <v>2024</v>
      </c>
      <c r="B3634" s="21" t="s">
        <v>25</v>
      </c>
      <c r="C3634" s="21" t="s">
        <v>1145</v>
      </c>
      <c r="D3634" s="21" t="s">
        <v>35</v>
      </c>
      <c r="E3634" s="18" t="s">
        <v>66</v>
      </c>
      <c r="F3634" s="18" t="s">
        <v>47</v>
      </c>
      <c r="G3634" s="18" t="s">
        <v>48</v>
      </c>
      <c r="H3634" s="24">
        <v>8070</v>
      </c>
      <c r="I3634" s="24">
        <f>T_reg.root.SK[[#This Row],[Volume, kg]]/1000</f>
        <v>8.07</v>
      </c>
      <c r="J3634" s="25">
        <v>0.2155</v>
      </c>
      <c r="K3634" s="25">
        <f t="shared" si="56"/>
        <v>1739.085</v>
      </c>
      <c r="L3634" s="25">
        <v>2.75</v>
      </c>
      <c r="M3634" s="24">
        <v>22202.5</v>
      </c>
      <c r="N3634" s="25">
        <f>IFERROR(T_reg.root.SK[[#This Row],[Price]]/T_reg.root.SK[[#This Row],[Starch content]],"")</f>
        <v>12.761020881670534</v>
      </c>
    </row>
    <row r="3635" spans="1:14">
      <c r="A3635" s="21">
        <v>2024</v>
      </c>
      <c r="B3635" s="21" t="s">
        <v>25</v>
      </c>
      <c r="C3635" s="21" t="s">
        <v>1145</v>
      </c>
      <c r="D3635" s="21" t="s">
        <v>35</v>
      </c>
      <c r="E3635" s="18" t="s">
        <v>470</v>
      </c>
      <c r="F3635" s="18" t="s">
        <v>47</v>
      </c>
      <c r="G3635" s="18" t="s">
        <v>48</v>
      </c>
      <c r="H3635" s="24">
        <v>38770</v>
      </c>
      <c r="I3635" s="24">
        <f>T_reg.root.SK[[#This Row],[Volume, kg]]/1000</f>
        <v>38.770000000000003</v>
      </c>
      <c r="J3635" s="25">
        <v>0.20899999999999999</v>
      </c>
      <c r="K3635" s="25">
        <f t="shared" si="56"/>
        <v>8102.9299999999994</v>
      </c>
      <c r="L3635" s="25">
        <v>2.69</v>
      </c>
      <c r="M3635" s="24">
        <v>104265.5</v>
      </c>
      <c r="N3635" s="25">
        <f>IFERROR(T_reg.root.SK[[#This Row],[Price]]/T_reg.root.SK[[#This Row],[Starch content]],"")</f>
        <v>12.870813397129186</v>
      </c>
    </row>
    <row r="3636" spans="1:14">
      <c r="A3636" s="21">
        <v>2024</v>
      </c>
      <c r="B3636" s="21" t="s">
        <v>25</v>
      </c>
      <c r="C3636" s="21" t="s">
        <v>1145</v>
      </c>
      <c r="D3636" s="21" t="s">
        <v>35</v>
      </c>
      <c r="E3636" s="18" t="s">
        <v>69</v>
      </c>
      <c r="F3636" s="18" t="s">
        <v>47</v>
      </c>
      <c r="G3636" s="18" t="s">
        <v>48</v>
      </c>
      <c r="H3636" s="24">
        <v>47600</v>
      </c>
      <c r="I3636" s="24">
        <f>T_reg.root.SK[[#This Row],[Volume, kg]]/1000</f>
        <v>47.6</v>
      </c>
      <c r="J3636" s="25">
        <v>0.21079999999999999</v>
      </c>
      <c r="K3636" s="25">
        <f t="shared" si="56"/>
        <v>10034.08</v>
      </c>
      <c r="L3636" s="25">
        <v>2.7</v>
      </c>
      <c r="M3636" s="24">
        <v>128740</v>
      </c>
      <c r="N3636" s="25">
        <f>IFERROR(T_reg.root.SK[[#This Row],[Price]]/T_reg.root.SK[[#This Row],[Starch content]],"")</f>
        <v>12.808349146110059</v>
      </c>
    </row>
    <row r="3637" spans="1:14">
      <c r="A3637" s="21">
        <v>2024</v>
      </c>
      <c r="B3637" s="21" t="s">
        <v>25</v>
      </c>
      <c r="C3637" s="21" t="s">
        <v>1145</v>
      </c>
      <c r="D3637" s="21" t="s">
        <v>35</v>
      </c>
      <c r="E3637" s="18" t="s">
        <v>70</v>
      </c>
      <c r="F3637" s="18" t="s">
        <v>47</v>
      </c>
      <c r="G3637" s="18" t="s">
        <v>48</v>
      </c>
      <c r="H3637" s="24">
        <v>26670</v>
      </c>
      <c r="I3637" s="24">
        <f>T_reg.root.SK[[#This Row],[Volume, kg]]/1000</f>
        <v>26.67</v>
      </c>
      <c r="J3637" s="25">
        <v>0.2082</v>
      </c>
      <c r="K3637" s="25">
        <f t="shared" si="56"/>
        <v>5552.6939999999995</v>
      </c>
      <c r="L3637" s="25">
        <v>2.7</v>
      </c>
      <c r="M3637" s="24">
        <v>71957.5</v>
      </c>
      <c r="N3637" s="25">
        <f>IFERROR(T_reg.root.SK[[#This Row],[Price]]/T_reg.root.SK[[#This Row],[Starch content]],"")</f>
        <v>12.968299711815563</v>
      </c>
    </row>
    <row r="3638" spans="1:14">
      <c r="A3638" s="21">
        <v>2024</v>
      </c>
      <c r="B3638" s="21" t="s">
        <v>25</v>
      </c>
      <c r="C3638" s="21" t="s">
        <v>1145</v>
      </c>
      <c r="D3638" s="21" t="s">
        <v>35</v>
      </c>
      <c r="E3638" s="18" t="s">
        <v>73</v>
      </c>
      <c r="F3638" s="18" t="s">
        <v>47</v>
      </c>
      <c r="G3638" s="18" t="s">
        <v>48</v>
      </c>
      <c r="H3638" s="24">
        <v>11510</v>
      </c>
      <c r="I3638" s="24">
        <f>T_reg.root.SK[[#This Row],[Volume, kg]]/1000</f>
        <v>11.51</v>
      </c>
      <c r="J3638" s="25">
        <v>0.18030000000000002</v>
      </c>
      <c r="K3638" s="25">
        <f t="shared" si="56"/>
        <v>2075.2530000000002</v>
      </c>
      <c r="L3638" s="25">
        <v>2.5</v>
      </c>
      <c r="M3638" s="24">
        <v>28718.5</v>
      </c>
      <c r="N3638" s="25">
        <f>IFERROR(T_reg.root.SK[[#This Row],[Price]]/T_reg.root.SK[[#This Row],[Starch content]],"")</f>
        <v>13.86577925679423</v>
      </c>
    </row>
    <row r="3639" spans="1:14">
      <c r="A3639" s="21">
        <v>2024</v>
      </c>
      <c r="B3639" s="21" t="s">
        <v>25</v>
      </c>
      <c r="C3639" s="21" t="s">
        <v>1145</v>
      </c>
      <c r="D3639" s="21" t="s">
        <v>35</v>
      </c>
      <c r="E3639" s="18" t="s">
        <v>473</v>
      </c>
      <c r="F3639" s="18" t="s">
        <v>47</v>
      </c>
      <c r="G3639" s="18" t="s">
        <v>48</v>
      </c>
      <c r="H3639" s="24">
        <v>54370</v>
      </c>
      <c r="I3639" s="24">
        <f>T_reg.root.SK[[#This Row],[Volume, kg]]/1000</f>
        <v>54.37</v>
      </c>
      <c r="J3639" s="25">
        <v>0.23749999999999999</v>
      </c>
      <c r="K3639" s="25">
        <f t="shared" si="56"/>
        <v>12912.875</v>
      </c>
      <c r="L3639" s="25">
        <v>2.84</v>
      </c>
      <c r="M3639" s="24">
        <v>154396</v>
      </c>
      <c r="N3639" s="25">
        <f>IFERROR(T_reg.root.SK[[#This Row],[Price]]/T_reg.root.SK[[#This Row],[Starch content]],"")</f>
        <v>11.957894736842105</v>
      </c>
    </row>
    <row r="3640" spans="1:14">
      <c r="A3640" s="21">
        <v>2024</v>
      </c>
      <c r="B3640" s="21" t="s">
        <v>25</v>
      </c>
      <c r="C3640" s="21" t="s">
        <v>1145</v>
      </c>
      <c r="D3640" s="21" t="s">
        <v>35</v>
      </c>
      <c r="E3640" s="18" t="s">
        <v>474</v>
      </c>
      <c r="F3640" s="18" t="s">
        <v>47</v>
      </c>
      <c r="G3640" s="18" t="s">
        <v>48</v>
      </c>
      <c r="H3640" s="24">
        <v>7710</v>
      </c>
      <c r="I3640" s="24">
        <f>T_reg.root.SK[[#This Row],[Volume, kg]]/1000</f>
        <v>7.71</v>
      </c>
      <c r="J3640" s="25">
        <v>0.22450000000000001</v>
      </c>
      <c r="K3640" s="25">
        <f t="shared" si="56"/>
        <v>1730.895</v>
      </c>
      <c r="L3640" s="25">
        <v>2.75</v>
      </c>
      <c r="M3640" s="24">
        <v>21202.5</v>
      </c>
      <c r="N3640" s="25">
        <f>IFERROR(T_reg.root.SK[[#This Row],[Price]]/T_reg.root.SK[[#This Row],[Starch content]],"")</f>
        <v>12.249443207126948</v>
      </c>
    </row>
    <row r="3641" spans="1:14">
      <c r="A3641" s="21">
        <v>2024</v>
      </c>
      <c r="B3641" s="21" t="s">
        <v>25</v>
      </c>
      <c r="C3641" s="21" t="s">
        <v>1145</v>
      </c>
      <c r="D3641" s="21" t="s">
        <v>35</v>
      </c>
      <c r="E3641" s="18" t="s">
        <v>76</v>
      </c>
      <c r="F3641" s="18" t="s">
        <v>47</v>
      </c>
      <c r="G3641" s="18" t="s">
        <v>48</v>
      </c>
      <c r="H3641" s="24">
        <v>17710</v>
      </c>
      <c r="I3641" s="24">
        <f>T_reg.root.SK[[#This Row],[Volume, kg]]/1000</f>
        <v>17.71</v>
      </c>
      <c r="J3641" s="25">
        <v>0.23769999999999999</v>
      </c>
      <c r="K3641" s="25">
        <f t="shared" si="56"/>
        <v>4209.6669999999995</v>
      </c>
      <c r="L3641" s="25">
        <v>2.77</v>
      </c>
      <c r="M3641" s="24">
        <v>49111.5</v>
      </c>
      <c r="N3641" s="25">
        <f>IFERROR(T_reg.root.SK[[#This Row],[Price]]/T_reg.root.SK[[#This Row],[Starch content]],"")</f>
        <v>11.653344551956248</v>
      </c>
    </row>
    <row r="3642" spans="1:14">
      <c r="A3642" s="21">
        <v>2024</v>
      </c>
      <c r="B3642" s="21" t="s">
        <v>25</v>
      </c>
      <c r="C3642" s="21" t="s">
        <v>1145</v>
      </c>
      <c r="D3642" s="21" t="s">
        <v>35</v>
      </c>
      <c r="E3642" s="18" t="s">
        <v>77</v>
      </c>
      <c r="F3642" s="18" t="s">
        <v>47</v>
      </c>
      <c r="G3642" s="18" t="s">
        <v>48</v>
      </c>
      <c r="H3642" s="24">
        <v>61540</v>
      </c>
      <c r="I3642" s="24">
        <f>T_reg.root.SK[[#This Row],[Volume, kg]]/1000</f>
        <v>61.54</v>
      </c>
      <c r="J3642" s="25">
        <v>0.21479999999999999</v>
      </c>
      <c r="K3642" s="25">
        <f t="shared" si="56"/>
        <v>13218.791999999999</v>
      </c>
      <c r="L3642" s="25">
        <v>2.73</v>
      </c>
      <c r="M3642" s="24">
        <v>168101</v>
      </c>
      <c r="N3642" s="25">
        <f>IFERROR(T_reg.root.SK[[#This Row],[Price]]/T_reg.root.SK[[#This Row],[Starch content]],"")</f>
        <v>12.709497206703912</v>
      </c>
    </row>
    <row r="3643" spans="1:14">
      <c r="A3643" s="21">
        <v>2024</v>
      </c>
      <c r="B3643" s="21" t="s">
        <v>25</v>
      </c>
      <c r="C3643" s="21" t="s">
        <v>1145</v>
      </c>
      <c r="D3643" s="21" t="s">
        <v>35</v>
      </c>
      <c r="E3643" s="18" t="s">
        <v>383</v>
      </c>
      <c r="F3643" s="18" t="s">
        <v>47</v>
      </c>
      <c r="G3643" s="18" t="s">
        <v>48</v>
      </c>
      <c r="H3643" s="24">
        <v>7410</v>
      </c>
      <c r="I3643" s="24">
        <f>T_reg.root.SK[[#This Row],[Volume, kg]]/1000</f>
        <v>7.41</v>
      </c>
      <c r="J3643" s="25">
        <v>0.24050000000000002</v>
      </c>
      <c r="K3643" s="25">
        <f t="shared" si="56"/>
        <v>1782.1050000000002</v>
      </c>
      <c r="L3643" s="25">
        <v>2.85</v>
      </c>
      <c r="M3643" s="24">
        <v>21118.5</v>
      </c>
      <c r="N3643" s="25">
        <f>IFERROR(T_reg.root.SK[[#This Row],[Price]]/T_reg.root.SK[[#This Row],[Starch content]],"")</f>
        <v>11.850311850311849</v>
      </c>
    </row>
    <row r="3644" spans="1:14">
      <c r="A3644" s="21">
        <v>2024</v>
      </c>
      <c r="B3644" s="21" t="s">
        <v>25</v>
      </c>
      <c r="C3644" s="21" t="s">
        <v>1145</v>
      </c>
      <c r="D3644" s="21" t="s">
        <v>39</v>
      </c>
      <c r="E3644" s="18" t="s">
        <v>85</v>
      </c>
      <c r="F3644" s="18" t="s">
        <v>86</v>
      </c>
      <c r="G3644" s="18" t="s">
        <v>87</v>
      </c>
      <c r="H3644" s="24">
        <v>5831560</v>
      </c>
      <c r="I3644" s="24">
        <f>T_reg.root.SK[[#This Row],[Volume, kg]]/1000</f>
        <v>5831.56</v>
      </c>
      <c r="J3644" s="25">
        <v>0.2243</v>
      </c>
      <c r="K3644" s="25">
        <f t="shared" si="56"/>
        <v>1308018.9080000001</v>
      </c>
      <c r="L3644" s="25">
        <v>2.8</v>
      </c>
      <c r="M3644" s="24">
        <v>16355714.5</v>
      </c>
      <c r="N3644" s="25">
        <f>IFERROR(T_reg.root.SK[[#This Row],[Price]]/T_reg.root.SK[[#This Row],[Starch content]],"")</f>
        <v>12.483281319661167</v>
      </c>
    </row>
    <row r="3645" spans="1:14">
      <c r="A3645" s="21">
        <v>2024</v>
      </c>
      <c r="B3645" s="21" t="s">
        <v>25</v>
      </c>
      <c r="C3645" s="21" t="s">
        <v>1145</v>
      </c>
      <c r="D3645" s="21" t="s">
        <v>39</v>
      </c>
      <c r="E3645" s="18" t="s">
        <v>88</v>
      </c>
      <c r="F3645" s="18" t="s">
        <v>89</v>
      </c>
      <c r="G3645" s="18" t="s">
        <v>90</v>
      </c>
      <c r="H3645" s="24">
        <v>4885510</v>
      </c>
      <c r="I3645" s="24">
        <f>T_reg.root.SK[[#This Row],[Volume, kg]]/1000</f>
        <v>4885.51</v>
      </c>
      <c r="J3645" s="25">
        <v>0.21559999999999999</v>
      </c>
      <c r="K3645" s="25">
        <f t="shared" si="56"/>
        <v>1053315.956</v>
      </c>
      <c r="L3645" s="25">
        <v>2.74</v>
      </c>
      <c r="M3645" s="24">
        <v>13369647</v>
      </c>
      <c r="N3645" s="25">
        <f>IFERROR(T_reg.root.SK[[#This Row],[Price]]/T_reg.root.SK[[#This Row],[Starch content]],"")</f>
        <v>12.708719851576996</v>
      </c>
    </row>
    <row r="3646" spans="1:14">
      <c r="A3646" s="21">
        <v>2024</v>
      </c>
      <c r="B3646" s="21" t="s">
        <v>25</v>
      </c>
      <c r="C3646" s="21" t="s">
        <v>1145</v>
      </c>
      <c r="D3646" s="21" t="s">
        <v>35</v>
      </c>
      <c r="E3646" s="18" t="s">
        <v>748</v>
      </c>
      <c r="F3646" s="18" t="s">
        <v>89</v>
      </c>
      <c r="G3646" s="18" t="s">
        <v>90</v>
      </c>
      <c r="H3646" s="24">
        <v>137220</v>
      </c>
      <c r="I3646" s="24">
        <f>T_reg.root.SK[[#This Row],[Volume, kg]]/1000</f>
        <v>137.22</v>
      </c>
      <c r="J3646" s="25">
        <v>0.20629999999999998</v>
      </c>
      <c r="K3646" s="25">
        <f t="shared" si="56"/>
        <v>28308.485999999997</v>
      </c>
      <c r="L3646" s="25">
        <v>2.71</v>
      </c>
      <c r="M3646" s="24">
        <v>372489.5</v>
      </c>
      <c r="N3646" s="25">
        <f>IFERROR(T_reg.root.SK[[#This Row],[Price]]/T_reg.root.SK[[#This Row],[Starch content]],"")</f>
        <v>13.136209403780903</v>
      </c>
    </row>
    <row r="3647" spans="1:14">
      <c r="A3647" s="21">
        <v>2024</v>
      </c>
      <c r="B3647" s="21" t="s">
        <v>25</v>
      </c>
      <c r="C3647" s="21" t="s">
        <v>1145</v>
      </c>
      <c r="D3647" s="21" t="s">
        <v>35</v>
      </c>
      <c r="E3647" s="18" t="s">
        <v>275</v>
      </c>
      <c r="F3647" s="18" t="s">
        <v>92</v>
      </c>
      <c r="G3647" s="18" t="s">
        <v>48</v>
      </c>
      <c r="H3647" s="24">
        <v>10710</v>
      </c>
      <c r="I3647" s="24">
        <f>T_reg.root.SK[[#This Row],[Volume, kg]]/1000</f>
        <v>10.71</v>
      </c>
      <c r="J3647" s="25">
        <v>0.13800000000000001</v>
      </c>
      <c r="K3647" s="25">
        <f t="shared" si="56"/>
        <v>1477.98</v>
      </c>
      <c r="L3647" s="25">
        <v>2.35</v>
      </c>
      <c r="M3647" s="24">
        <v>25168.5</v>
      </c>
      <c r="N3647" s="25">
        <f>IFERROR(T_reg.root.SK[[#This Row],[Price]]/T_reg.root.SK[[#This Row],[Starch content]],"")</f>
        <v>17.028985507246375</v>
      </c>
    </row>
    <row r="3648" spans="1:14">
      <c r="A3648" s="21">
        <v>2024</v>
      </c>
      <c r="B3648" s="21" t="s">
        <v>25</v>
      </c>
      <c r="C3648" s="21" t="s">
        <v>1145</v>
      </c>
      <c r="D3648" s="21" t="s">
        <v>35</v>
      </c>
      <c r="E3648" s="18" t="s">
        <v>91</v>
      </c>
      <c r="F3648" s="18" t="s">
        <v>92</v>
      </c>
      <c r="G3648" s="18" t="s">
        <v>48</v>
      </c>
      <c r="H3648" s="24">
        <v>44020</v>
      </c>
      <c r="I3648" s="24">
        <f>T_reg.root.SK[[#This Row],[Volume, kg]]/1000</f>
        <v>44.02</v>
      </c>
      <c r="J3648" s="25">
        <v>0.17800000000000002</v>
      </c>
      <c r="K3648" s="25">
        <f t="shared" si="56"/>
        <v>7835.56</v>
      </c>
      <c r="L3648" s="25">
        <v>2.54</v>
      </c>
      <c r="M3648" s="24">
        <v>111952</v>
      </c>
      <c r="N3648" s="25">
        <f>IFERROR(T_reg.root.SK[[#This Row],[Price]]/T_reg.root.SK[[#This Row],[Starch content]],"")</f>
        <v>14.269662921348313</v>
      </c>
    </row>
    <row r="3649" spans="1:14">
      <c r="A3649" s="21">
        <v>2024</v>
      </c>
      <c r="B3649" s="21" t="s">
        <v>25</v>
      </c>
      <c r="C3649" s="21" t="s">
        <v>1145</v>
      </c>
      <c r="D3649" s="21" t="s">
        <v>39</v>
      </c>
      <c r="E3649" s="18" t="s">
        <v>552</v>
      </c>
      <c r="F3649" s="18" t="s">
        <v>95</v>
      </c>
      <c r="G3649" s="18" t="s">
        <v>48</v>
      </c>
      <c r="H3649" s="24">
        <v>4154900</v>
      </c>
      <c r="I3649" s="24">
        <f>T_reg.root.SK[[#This Row],[Volume, kg]]/1000</f>
        <v>4154.8999999999996</v>
      </c>
      <c r="J3649" s="25">
        <v>0.2024</v>
      </c>
      <c r="K3649" s="25">
        <f t="shared" si="56"/>
        <v>840951.76</v>
      </c>
      <c r="L3649" s="25">
        <v>2.66</v>
      </c>
      <c r="M3649" s="24">
        <v>11066386</v>
      </c>
      <c r="N3649" s="25">
        <f>IFERROR(T_reg.root.SK[[#This Row],[Price]]/T_reg.root.SK[[#This Row],[Starch content]],"")</f>
        <v>13.142292490118578</v>
      </c>
    </row>
    <row r="3650" spans="1:14">
      <c r="A3650" s="21">
        <v>2024</v>
      </c>
      <c r="B3650" s="21" t="s">
        <v>25</v>
      </c>
      <c r="C3650" s="21" t="s">
        <v>1145</v>
      </c>
      <c r="D3650" s="21" t="s">
        <v>35</v>
      </c>
      <c r="E3650" s="18" t="s">
        <v>681</v>
      </c>
      <c r="F3650" s="18" t="s">
        <v>95</v>
      </c>
      <c r="G3650" s="18" t="s">
        <v>48</v>
      </c>
      <c r="H3650" s="24">
        <v>278050</v>
      </c>
      <c r="I3650" s="24">
        <f>T_reg.root.SK[[#This Row],[Volume, kg]]/1000</f>
        <v>278.05</v>
      </c>
      <c r="J3650" s="25">
        <v>0.22940000000000002</v>
      </c>
      <c r="K3650" s="25">
        <f t="shared" si="56"/>
        <v>63784.670000000006</v>
      </c>
      <c r="L3650" s="25">
        <v>2.75</v>
      </c>
      <c r="M3650" s="24">
        <v>764835.5</v>
      </c>
      <c r="N3650" s="25">
        <f>IFERROR(T_reg.root.SK[[#This Row],[Price]]/T_reg.root.SK[[#This Row],[Starch content]],"")</f>
        <v>11.98779424585876</v>
      </c>
    </row>
    <row r="3651" spans="1:14">
      <c r="A3651" s="21">
        <v>2024</v>
      </c>
      <c r="B3651" s="21" t="s">
        <v>25</v>
      </c>
      <c r="C3651" s="21" t="s">
        <v>1145</v>
      </c>
      <c r="D3651" s="21" t="s">
        <v>35</v>
      </c>
      <c r="E3651" s="18" t="s">
        <v>750</v>
      </c>
      <c r="F3651" s="18" t="s">
        <v>95</v>
      </c>
      <c r="G3651" s="18" t="s">
        <v>48</v>
      </c>
      <c r="H3651" s="24">
        <v>4280</v>
      </c>
      <c r="I3651" s="24">
        <f>T_reg.root.SK[[#This Row],[Volume, kg]]/1000</f>
        <v>4.28</v>
      </c>
      <c r="J3651" s="25">
        <v>0.2205</v>
      </c>
      <c r="K3651" s="25">
        <f t="shared" ref="K3651:K3714" si="57">H3651*J3651</f>
        <v>943.74</v>
      </c>
      <c r="L3651" s="25">
        <v>2.75</v>
      </c>
      <c r="M3651" s="24">
        <v>11770</v>
      </c>
      <c r="N3651" s="25">
        <f>IFERROR(T_reg.root.SK[[#This Row],[Price]]/T_reg.root.SK[[#This Row],[Starch content]],"")</f>
        <v>12.471655328798185</v>
      </c>
    </row>
    <row r="3652" spans="1:14">
      <c r="A3652" s="21">
        <v>2024</v>
      </c>
      <c r="B3652" s="21" t="s">
        <v>25</v>
      </c>
      <c r="C3652" s="21" t="s">
        <v>1145</v>
      </c>
      <c r="D3652" s="21" t="s">
        <v>39</v>
      </c>
      <c r="E3652" s="18" t="s">
        <v>98</v>
      </c>
      <c r="F3652" s="18" t="s">
        <v>99</v>
      </c>
      <c r="G3652" s="18" t="s">
        <v>42</v>
      </c>
      <c r="H3652" s="24">
        <v>11043680</v>
      </c>
      <c r="I3652" s="24">
        <f>T_reg.root.SK[[#This Row],[Volume, kg]]/1000</f>
        <v>11043.68</v>
      </c>
      <c r="J3652" s="25">
        <v>0.21</v>
      </c>
      <c r="K3652" s="25">
        <f t="shared" si="57"/>
        <v>2319172.7999999998</v>
      </c>
      <c r="L3652" s="25">
        <v>2.72</v>
      </c>
      <c r="M3652" s="24">
        <v>30022865</v>
      </c>
      <c r="N3652" s="25">
        <f>IFERROR(T_reg.root.SK[[#This Row],[Price]]/T_reg.root.SK[[#This Row],[Starch content]],"")</f>
        <v>12.952380952380954</v>
      </c>
    </row>
    <row r="3653" spans="1:14">
      <c r="A3653" s="21">
        <v>2024</v>
      </c>
      <c r="B3653" s="21" t="s">
        <v>25</v>
      </c>
      <c r="C3653" s="21" t="s">
        <v>1145</v>
      </c>
      <c r="D3653" s="21" t="s">
        <v>39</v>
      </c>
      <c r="E3653" s="18" t="s">
        <v>346</v>
      </c>
      <c r="F3653" s="18" t="s">
        <v>99</v>
      </c>
      <c r="G3653" s="18" t="s">
        <v>42</v>
      </c>
      <c r="H3653" s="24">
        <v>4103840</v>
      </c>
      <c r="I3653" s="24">
        <f>T_reg.root.SK[[#This Row],[Volume, kg]]/1000</f>
        <v>4103.84</v>
      </c>
      <c r="J3653" s="25">
        <v>0.20739999999999997</v>
      </c>
      <c r="K3653" s="25">
        <f t="shared" si="57"/>
        <v>851136.41599999985</v>
      </c>
      <c r="L3653" s="25">
        <v>2.71</v>
      </c>
      <c r="M3653" s="24">
        <v>11111214.5</v>
      </c>
      <c r="N3653" s="25">
        <f>IFERROR(T_reg.root.SK[[#This Row],[Price]]/T_reg.root.SK[[#This Row],[Starch content]],"")</f>
        <v>13.066538090646096</v>
      </c>
    </row>
    <row r="3654" spans="1:14">
      <c r="A3654" s="21">
        <v>2024</v>
      </c>
      <c r="B3654" s="21" t="s">
        <v>25</v>
      </c>
      <c r="C3654" s="21" t="s">
        <v>1145</v>
      </c>
      <c r="D3654" s="21" t="s">
        <v>39</v>
      </c>
      <c r="E3654" s="18" t="s">
        <v>101</v>
      </c>
      <c r="F3654" s="18" t="s">
        <v>102</v>
      </c>
      <c r="G3654" s="18" t="s">
        <v>103</v>
      </c>
      <c r="H3654" s="24">
        <v>1784350</v>
      </c>
      <c r="I3654" s="24">
        <f>T_reg.root.SK[[#This Row],[Volume, kg]]/1000</f>
        <v>1784.35</v>
      </c>
      <c r="J3654" s="25">
        <v>0.20670000000000002</v>
      </c>
      <c r="K3654" s="25">
        <f t="shared" si="57"/>
        <v>368825.14500000002</v>
      </c>
      <c r="L3654" s="25">
        <v>2.7</v>
      </c>
      <c r="M3654" s="24">
        <v>4814653.5</v>
      </c>
      <c r="N3654" s="25">
        <f>IFERROR(T_reg.root.SK[[#This Row],[Price]]/T_reg.root.SK[[#This Row],[Starch content]],"")</f>
        <v>13.062409288824382</v>
      </c>
    </row>
    <row r="3655" spans="1:14">
      <c r="A3655" s="21">
        <v>2024</v>
      </c>
      <c r="B3655" s="21" t="s">
        <v>25</v>
      </c>
      <c r="C3655" s="21" t="s">
        <v>1145</v>
      </c>
      <c r="D3655" s="21" t="s">
        <v>35</v>
      </c>
      <c r="E3655" s="18" t="s">
        <v>615</v>
      </c>
      <c r="F3655" s="18" t="s">
        <v>283</v>
      </c>
      <c r="G3655" s="18" t="s">
        <v>48</v>
      </c>
      <c r="H3655" s="24">
        <v>30550</v>
      </c>
      <c r="I3655" s="24">
        <f>T_reg.root.SK[[#This Row],[Volume, kg]]/1000</f>
        <v>30.55</v>
      </c>
      <c r="J3655" s="25">
        <v>0.25969999999999999</v>
      </c>
      <c r="K3655" s="25">
        <f t="shared" si="57"/>
        <v>7933.835</v>
      </c>
      <c r="L3655" s="25">
        <v>2.89</v>
      </c>
      <c r="M3655" s="24">
        <v>88245</v>
      </c>
      <c r="N3655" s="25">
        <f>IFERROR(T_reg.root.SK[[#This Row],[Price]]/T_reg.root.SK[[#This Row],[Starch content]],"")</f>
        <v>11.128224874855604</v>
      </c>
    </row>
    <row r="3656" spans="1:14">
      <c r="A3656" s="21">
        <v>2024</v>
      </c>
      <c r="B3656" s="21" t="s">
        <v>25</v>
      </c>
      <c r="C3656" s="21" t="s">
        <v>1145</v>
      </c>
      <c r="D3656" s="21" t="s">
        <v>35</v>
      </c>
      <c r="E3656" s="18" t="s">
        <v>555</v>
      </c>
      <c r="F3656" s="18" t="s">
        <v>283</v>
      </c>
      <c r="G3656" s="18" t="s">
        <v>48</v>
      </c>
      <c r="H3656" s="24">
        <v>6980</v>
      </c>
      <c r="I3656" s="24">
        <f>T_reg.root.SK[[#This Row],[Volume, kg]]/1000</f>
        <v>6.98</v>
      </c>
      <c r="J3656" s="25">
        <v>0.26899999999999996</v>
      </c>
      <c r="K3656" s="25">
        <f t="shared" si="57"/>
        <v>1877.6199999999997</v>
      </c>
      <c r="L3656" s="25">
        <v>2.95</v>
      </c>
      <c r="M3656" s="24">
        <v>20591</v>
      </c>
      <c r="N3656" s="25">
        <f>IFERROR(T_reg.root.SK[[#This Row],[Price]]/T_reg.root.SK[[#This Row],[Starch content]],"")</f>
        <v>10.966542750929371</v>
      </c>
    </row>
    <row r="3657" spans="1:14">
      <c r="A3657" s="21">
        <v>2024</v>
      </c>
      <c r="B3657" s="21" t="s">
        <v>25</v>
      </c>
      <c r="C3657" s="21" t="s">
        <v>1145</v>
      </c>
      <c r="D3657" s="21" t="s">
        <v>39</v>
      </c>
      <c r="E3657" s="18" t="s">
        <v>284</v>
      </c>
      <c r="F3657" s="18" t="s">
        <v>285</v>
      </c>
      <c r="G3657" s="18" t="s">
        <v>286</v>
      </c>
      <c r="H3657" s="24">
        <v>1518790</v>
      </c>
      <c r="I3657" s="24">
        <f>T_reg.root.SK[[#This Row],[Volume, kg]]/1000</f>
        <v>1518.79</v>
      </c>
      <c r="J3657" s="25">
        <v>0.22539999999999999</v>
      </c>
      <c r="K3657" s="25">
        <f t="shared" si="57"/>
        <v>342335.266</v>
      </c>
      <c r="L3657" s="25">
        <v>2.83</v>
      </c>
      <c r="M3657" s="24">
        <v>4298018.5</v>
      </c>
      <c r="N3657" s="25">
        <f>IFERROR(T_reg.root.SK[[#This Row],[Price]]/T_reg.root.SK[[#This Row],[Starch content]],"")</f>
        <v>12.555456965394855</v>
      </c>
    </row>
    <row r="3658" spans="1:14">
      <c r="A3658" s="21">
        <v>2024</v>
      </c>
      <c r="B3658" s="21" t="s">
        <v>25</v>
      </c>
      <c r="C3658" s="21" t="s">
        <v>1145</v>
      </c>
      <c r="D3658" s="21" t="s">
        <v>35</v>
      </c>
      <c r="E3658" s="18" t="s">
        <v>800</v>
      </c>
      <c r="F3658" s="18" t="s">
        <v>801</v>
      </c>
      <c r="G3658" s="18" t="s">
        <v>90</v>
      </c>
      <c r="H3658" s="24">
        <v>21930</v>
      </c>
      <c r="I3658" s="24">
        <f>T_reg.root.SK[[#This Row],[Volume, kg]]/1000</f>
        <v>21.93</v>
      </c>
      <c r="J3658" s="25">
        <v>0.2132</v>
      </c>
      <c r="K3658" s="25">
        <f t="shared" si="57"/>
        <v>4675.4759999999997</v>
      </c>
      <c r="L3658" s="25">
        <v>2.77</v>
      </c>
      <c r="M3658" s="24">
        <v>60774.5</v>
      </c>
      <c r="N3658" s="25">
        <f>IFERROR(T_reg.root.SK[[#This Row],[Price]]/T_reg.root.SK[[#This Row],[Starch content]],"")</f>
        <v>12.992495309568481</v>
      </c>
    </row>
    <row r="3659" spans="1:14">
      <c r="A3659" s="21">
        <v>2024</v>
      </c>
      <c r="B3659" s="21" t="s">
        <v>25</v>
      </c>
      <c r="C3659" s="21" t="s">
        <v>1145</v>
      </c>
      <c r="D3659" s="21" t="s">
        <v>35</v>
      </c>
      <c r="E3659" s="18" t="s">
        <v>185</v>
      </c>
      <c r="F3659" s="18" t="s">
        <v>105</v>
      </c>
      <c r="G3659" s="18" t="s">
        <v>48</v>
      </c>
      <c r="H3659" s="24">
        <v>10420</v>
      </c>
      <c r="I3659" s="24">
        <f>T_reg.root.SK[[#This Row],[Volume, kg]]/1000</f>
        <v>10.42</v>
      </c>
      <c r="J3659" s="25">
        <v>0.20749999999999999</v>
      </c>
      <c r="K3659" s="25">
        <f t="shared" si="57"/>
        <v>2162.15</v>
      </c>
      <c r="L3659" s="25">
        <v>2.5499999999999998</v>
      </c>
      <c r="M3659" s="24">
        <v>26571</v>
      </c>
      <c r="N3659" s="25">
        <f>IFERROR(T_reg.root.SK[[#This Row],[Price]]/T_reg.root.SK[[#This Row],[Starch content]],"")</f>
        <v>12.289156626506024</v>
      </c>
    </row>
    <row r="3660" spans="1:14">
      <c r="A3660" s="21">
        <v>2024</v>
      </c>
      <c r="B3660" s="21" t="s">
        <v>25</v>
      </c>
      <c r="C3660" s="21" t="s">
        <v>1145</v>
      </c>
      <c r="D3660" s="21" t="s">
        <v>35</v>
      </c>
      <c r="E3660" s="18" t="s">
        <v>480</v>
      </c>
      <c r="F3660" s="18" t="s">
        <v>105</v>
      </c>
      <c r="G3660" s="18" t="s">
        <v>48</v>
      </c>
      <c r="H3660" s="24">
        <v>920</v>
      </c>
      <c r="I3660" s="24">
        <f>T_reg.root.SK[[#This Row],[Volume, kg]]/1000</f>
        <v>0.92</v>
      </c>
      <c r="J3660" s="25">
        <v>0.1925</v>
      </c>
      <c r="K3660" s="25">
        <f t="shared" si="57"/>
        <v>177.1</v>
      </c>
      <c r="L3660" s="25">
        <v>2.5499999999999998</v>
      </c>
      <c r="M3660" s="24">
        <v>2346</v>
      </c>
      <c r="N3660" s="25">
        <f>IFERROR(T_reg.root.SK[[#This Row],[Price]]/T_reg.root.SK[[#This Row],[Starch content]],"")</f>
        <v>13.246753246753245</v>
      </c>
    </row>
    <row r="3661" spans="1:14">
      <c r="A3661" s="21">
        <v>2024</v>
      </c>
      <c r="B3661" s="21" t="s">
        <v>25</v>
      </c>
      <c r="C3661" s="21" t="s">
        <v>1145</v>
      </c>
      <c r="D3661" s="21" t="s">
        <v>35</v>
      </c>
      <c r="E3661" s="18" t="s">
        <v>733</v>
      </c>
      <c r="F3661" s="18" t="s">
        <v>105</v>
      </c>
      <c r="G3661" s="18" t="s">
        <v>48</v>
      </c>
      <c r="H3661" s="24">
        <v>18680</v>
      </c>
      <c r="I3661" s="24">
        <f>T_reg.root.SK[[#This Row],[Volume, kg]]/1000</f>
        <v>18.68</v>
      </c>
      <c r="J3661" s="25">
        <v>0.19879999999999998</v>
      </c>
      <c r="K3661" s="25">
        <f t="shared" si="57"/>
        <v>3713.5839999999994</v>
      </c>
      <c r="L3661" s="25">
        <v>2.59</v>
      </c>
      <c r="M3661" s="24">
        <v>48436</v>
      </c>
      <c r="N3661" s="25">
        <f>IFERROR(T_reg.root.SK[[#This Row],[Price]]/T_reg.root.SK[[#This Row],[Starch content]],"")</f>
        <v>13.028169014084508</v>
      </c>
    </row>
    <row r="3662" spans="1:14">
      <c r="A3662" s="21">
        <v>2024</v>
      </c>
      <c r="B3662" s="21" t="s">
        <v>25</v>
      </c>
      <c r="C3662" s="21" t="s">
        <v>1145</v>
      </c>
      <c r="D3662" s="21" t="s">
        <v>35</v>
      </c>
      <c r="E3662" s="18" t="s">
        <v>288</v>
      </c>
      <c r="F3662" s="18" t="s">
        <v>105</v>
      </c>
      <c r="G3662" s="18" t="s">
        <v>48</v>
      </c>
      <c r="H3662" s="24">
        <v>50740</v>
      </c>
      <c r="I3662" s="24">
        <f>T_reg.root.SK[[#This Row],[Volume, kg]]/1000</f>
        <v>50.74</v>
      </c>
      <c r="J3662" s="25">
        <v>0.24239999999999998</v>
      </c>
      <c r="K3662" s="25">
        <f t="shared" si="57"/>
        <v>12299.375999999998</v>
      </c>
      <c r="L3662" s="25">
        <v>2.78</v>
      </c>
      <c r="M3662" s="24">
        <v>141133.5</v>
      </c>
      <c r="N3662" s="25">
        <f>IFERROR(T_reg.root.SK[[#This Row],[Price]]/T_reg.root.SK[[#This Row],[Starch content]],"")</f>
        <v>11.46864686468647</v>
      </c>
    </row>
    <row r="3663" spans="1:14">
      <c r="A3663" s="21">
        <v>2024</v>
      </c>
      <c r="B3663" s="21" t="s">
        <v>25</v>
      </c>
      <c r="C3663" s="21" t="s">
        <v>1145</v>
      </c>
      <c r="D3663" s="21" t="s">
        <v>35</v>
      </c>
      <c r="E3663" s="18" t="s">
        <v>802</v>
      </c>
      <c r="F3663" s="18" t="s">
        <v>105</v>
      </c>
      <c r="G3663" s="18" t="s">
        <v>48</v>
      </c>
      <c r="H3663" s="24">
        <v>6150</v>
      </c>
      <c r="I3663" s="24">
        <f>T_reg.root.SK[[#This Row],[Volume, kg]]/1000</f>
        <v>6.15</v>
      </c>
      <c r="J3663" s="25">
        <v>0.22500000000000001</v>
      </c>
      <c r="K3663" s="25">
        <f t="shared" si="57"/>
        <v>1383.75</v>
      </c>
      <c r="L3663" s="25">
        <v>2.75</v>
      </c>
      <c r="M3663" s="24">
        <v>16912.5</v>
      </c>
      <c r="N3663" s="25">
        <f>IFERROR(T_reg.root.SK[[#This Row],[Price]]/T_reg.root.SK[[#This Row],[Starch content]],"")</f>
        <v>12.222222222222221</v>
      </c>
    </row>
    <row r="3664" spans="1:14">
      <c r="A3664" s="21">
        <v>2024</v>
      </c>
      <c r="B3664" s="21" t="s">
        <v>25</v>
      </c>
      <c r="C3664" s="21" t="s">
        <v>1145</v>
      </c>
      <c r="D3664" s="21" t="s">
        <v>35</v>
      </c>
      <c r="E3664" s="18" t="s">
        <v>289</v>
      </c>
      <c r="F3664" s="18" t="s">
        <v>105</v>
      </c>
      <c r="G3664" s="18" t="s">
        <v>48</v>
      </c>
      <c r="H3664" s="24">
        <v>60110</v>
      </c>
      <c r="I3664" s="24">
        <f>T_reg.root.SK[[#This Row],[Volume, kg]]/1000</f>
        <v>60.11</v>
      </c>
      <c r="J3664" s="25">
        <v>0.26319999999999999</v>
      </c>
      <c r="K3664" s="25">
        <f t="shared" si="57"/>
        <v>15820.951999999999</v>
      </c>
      <c r="L3664" s="25">
        <v>2.91</v>
      </c>
      <c r="M3664" s="24">
        <v>174720</v>
      </c>
      <c r="N3664" s="25">
        <f>IFERROR(T_reg.root.SK[[#This Row],[Price]]/T_reg.root.SK[[#This Row],[Starch content]],"")</f>
        <v>11.056231003039514</v>
      </c>
    </row>
    <row r="3665" spans="1:14">
      <c r="A3665" s="21">
        <v>2024</v>
      </c>
      <c r="B3665" s="21" t="s">
        <v>25</v>
      </c>
      <c r="C3665" s="21" t="s">
        <v>1145</v>
      </c>
      <c r="D3665" s="21" t="s">
        <v>35</v>
      </c>
      <c r="E3665" s="18" t="s">
        <v>713</v>
      </c>
      <c r="F3665" s="18" t="s">
        <v>105</v>
      </c>
      <c r="G3665" s="18" t="s">
        <v>48</v>
      </c>
      <c r="H3665" s="24">
        <v>86710</v>
      </c>
      <c r="I3665" s="24">
        <f>T_reg.root.SK[[#This Row],[Volume, kg]]/1000</f>
        <v>86.71</v>
      </c>
      <c r="J3665" s="25">
        <v>0.2079</v>
      </c>
      <c r="K3665" s="25">
        <f t="shared" si="57"/>
        <v>18027.009000000002</v>
      </c>
      <c r="L3665" s="25">
        <v>2.62</v>
      </c>
      <c r="M3665" s="24">
        <v>227275.5</v>
      </c>
      <c r="N3665" s="25">
        <f>IFERROR(T_reg.root.SK[[#This Row],[Price]]/T_reg.root.SK[[#This Row],[Starch content]],"")</f>
        <v>12.602212602212603</v>
      </c>
    </row>
    <row r="3666" spans="1:14">
      <c r="A3666" s="21">
        <v>2024</v>
      </c>
      <c r="B3666" s="21" t="s">
        <v>25</v>
      </c>
      <c r="C3666" s="21" t="s">
        <v>1145</v>
      </c>
      <c r="D3666" s="21" t="s">
        <v>35</v>
      </c>
      <c r="E3666" s="18" t="s">
        <v>630</v>
      </c>
      <c r="F3666" s="18" t="s">
        <v>105</v>
      </c>
      <c r="G3666" s="18" t="s">
        <v>48</v>
      </c>
      <c r="H3666" s="24">
        <v>12370</v>
      </c>
      <c r="I3666" s="24">
        <f>T_reg.root.SK[[#This Row],[Volume, kg]]/1000</f>
        <v>12.37</v>
      </c>
      <c r="J3666" s="25">
        <v>0.28550000000000003</v>
      </c>
      <c r="K3666" s="25">
        <f t="shared" si="57"/>
        <v>3531.6350000000002</v>
      </c>
      <c r="L3666" s="25">
        <v>3.05</v>
      </c>
      <c r="M3666" s="24">
        <v>37728.5</v>
      </c>
      <c r="N3666" s="25">
        <f>IFERROR(T_reg.root.SK[[#This Row],[Price]]/T_reg.root.SK[[#This Row],[Starch content]],"")</f>
        <v>10.683012259194394</v>
      </c>
    </row>
    <row r="3667" spans="1:14">
      <c r="A3667" s="21">
        <v>2024</v>
      </c>
      <c r="B3667" s="21" t="s">
        <v>25</v>
      </c>
      <c r="C3667" s="21" t="s">
        <v>1145</v>
      </c>
      <c r="D3667" s="21" t="s">
        <v>35</v>
      </c>
      <c r="E3667" s="18" t="s">
        <v>109</v>
      </c>
      <c r="F3667" s="18" t="s">
        <v>105</v>
      </c>
      <c r="G3667" s="18" t="s">
        <v>48</v>
      </c>
      <c r="H3667" s="24">
        <v>17340</v>
      </c>
      <c r="I3667" s="24">
        <f>T_reg.root.SK[[#This Row],[Volume, kg]]/1000</f>
        <v>17.34</v>
      </c>
      <c r="J3667" s="25">
        <v>0.26989999999999997</v>
      </c>
      <c r="K3667" s="25">
        <f t="shared" si="57"/>
        <v>4680.0659999999998</v>
      </c>
      <c r="L3667" s="25">
        <v>2.95</v>
      </c>
      <c r="M3667" s="24">
        <v>51153</v>
      </c>
      <c r="N3667" s="25">
        <f>IFERROR(T_reg.root.SK[[#This Row],[Price]]/T_reg.root.SK[[#This Row],[Starch content]],"")</f>
        <v>10.929974064468324</v>
      </c>
    </row>
    <row r="3668" spans="1:14">
      <c r="A3668" s="21">
        <v>2024</v>
      </c>
      <c r="B3668" s="21" t="s">
        <v>25</v>
      </c>
      <c r="C3668" s="21" t="s">
        <v>1145</v>
      </c>
      <c r="D3668" s="21" t="s">
        <v>35</v>
      </c>
      <c r="E3668" s="18" t="s">
        <v>350</v>
      </c>
      <c r="F3668" s="18" t="s">
        <v>105</v>
      </c>
      <c r="G3668" s="18" t="s">
        <v>48</v>
      </c>
      <c r="H3668" s="24">
        <v>20820</v>
      </c>
      <c r="I3668" s="24">
        <f>T_reg.root.SK[[#This Row],[Volume, kg]]/1000</f>
        <v>20.82</v>
      </c>
      <c r="J3668" s="25">
        <v>0.23879999999999998</v>
      </c>
      <c r="K3668" s="25">
        <f t="shared" si="57"/>
        <v>4971.8159999999998</v>
      </c>
      <c r="L3668" s="25">
        <v>2.8</v>
      </c>
      <c r="M3668" s="24">
        <v>58296</v>
      </c>
      <c r="N3668" s="25">
        <f>IFERROR(T_reg.root.SK[[#This Row],[Price]]/T_reg.root.SK[[#This Row],[Starch content]],"")</f>
        <v>11.725293132328309</v>
      </c>
    </row>
    <row r="3669" spans="1:14">
      <c r="A3669" s="21">
        <v>2024</v>
      </c>
      <c r="B3669" s="21" t="s">
        <v>25</v>
      </c>
      <c r="C3669" s="21" t="s">
        <v>1145</v>
      </c>
      <c r="D3669" s="21" t="s">
        <v>35</v>
      </c>
      <c r="E3669" s="18" t="s">
        <v>110</v>
      </c>
      <c r="F3669" s="18" t="s">
        <v>105</v>
      </c>
      <c r="G3669" s="18" t="s">
        <v>48</v>
      </c>
      <c r="H3669" s="24">
        <v>63590</v>
      </c>
      <c r="I3669" s="24">
        <f>T_reg.root.SK[[#This Row],[Volume, kg]]/1000</f>
        <v>63.59</v>
      </c>
      <c r="J3669" s="25">
        <v>0.20879999999999999</v>
      </c>
      <c r="K3669" s="25">
        <f t="shared" si="57"/>
        <v>13277.591999999999</v>
      </c>
      <c r="L3669" s="25">
        <v>2.63</v>
      </c>
      <c r="M3669" s="24">
        <v>167173.5</v>
      </c>
      <c r="N3669" s="25">
        <f>IFERROR(T_reg.root.SK[[#This Row],[Price]]/T_reg.root.SK[[#This Row],[Starch content]],"")</f>
        <v>12.595785440613026</v>
      </c>
    </row>
    <row r="3670" spans="1:14">
      <c r="A3670" s="21">
        <v>2024</v>
      </c>
      <c r="B3670" s="21" t="s">
        <v>25</v>
      </c>
      <c r="C3670" s="21" t="s">
        <v>1145</v>
      </c>
      <c r="D3670" s="21" t="s">
        <v>35</v>
      </c>
      <c r="E3670" s="18" t="s">
        <v>352</v>
      </c>
      <c r="F3670" s="18" t="s">
        <v>105</v>
      </c>
      <c r="G3670" s="18" t="s">
        <v>48</v>
      </c>
      <c r="H3670" s="24">
        <v>5830</v>
      </c>
      <c r="I3670" s="24">
        <f>T_reg.root.SK[[#This Row],[Volume, kg]]/1000</f>
        <v>5.83</v>
      </c>
      <c r="J3670" s="25">
        <v>0.218</v>
      </c>
      <c r="K3670" s="25">
        <f t="shared" si="57"/>
        <v>1270.94</v>
      </c>
      <c r="L3670" s="25">
        <v>2.7</v>
      </c>
      <c r="M3670" s="24">
        <v>15741</v>
      </c>
      <c r="N3670" s="25">
        <f>IFERROR(T_reg.root.SK[[#This Row],[Price]]/T_reg.root.SK[[#This Row],[Starch content]],"")</f>
        <v>12.385321100917432</v>
      </c>
    </row>
    <row r="3671" spans="1:14">
      <c r="A3671" s="21">
        <v>2024</v>
      </c>
      <c r="B3671" s="21" t="s">
        <v>25</v>
      </c>
      <c r="C3671" s="21" t="s">
        <v>1145</v>
      </c>
      <c r="D3671" s="21" t="s">
        <v>35</v>
      </c>
      <c r="E3671" s="18" t="s">
        <v>295</v>
      </c>
      <c r="F3671" s="18" t="s">
        <v>105</v>
      </c>
      <c r="G3671" s="18" t="s">
        <v>48</v>
      </c>
      <c r="H3671" s="24">
        <v>12380</v>
      </c>
      <c r="I3671" s="24">
        <f>T_reg.root.SK[[#This Row],[Volume, kg]]/1000</f>
        <v>12.38</v>
      </c>
      <c r="J3671" s="25">
        <v>0.20190000000000002</v>
      </c>
      <c r="K3671" s="25">
        <f t="shared" si="57"/>
        <v>2499.5220000000004</v>
      </c>
      <c r="L3671" s="25">
        <v>2.6</v>
      </c>
      <c r="M3671" s="24">
        <v>32188</v>
      </c>
      <c r="N3671" s="25">
        <f>IFERROR(T_reg.root.SK[[#This Row],[Price]]/T_reg.root.SK[[#This Row],[Starch content]],"")</f>
        <v>12.877662209014362</v>
      </c>
    </row>
    <row r="3672" spans="1:14">
      <c r="A3672" s="21">
        <v>2024</v>
      </c>
      <c r="B3672" s="21" t="s">
        <v>25</v>
      </c>
      <c r="C3672" s="21" t="s">
        <v>1145</v>
      </c>
      <c r="D3672" s="21" t="s">
        <v>35</v>
      </c>
      <c r="E3672" s="18" t="s">
        <v>112</v>
      </c>
      <c r="F3672" s="18" t="s">
        <v>105</v>
      </c>
      <c r="G3672" s="18" t="s">
        <v>48</v>
      </c>
      <c r="H3672" s="24">
        <v>20580</v>
      </c>
      <c r="I3672" s="24">
        <f>T_reg.root.SK[[#This Row],[Volume, kg]]/1000</f>
        <v>20.58</v>
      </c>
      <c r="J3672" s="25">
        <v>0.20679999999999998</v>
      </c>
      <c r="K3672" s="25">
        <f t="shared" si="57"/>
        <v>4255.9439999999995</v>
      </c>
      <c r="L3672" s="25">
        <v>2.63</v>
      </c>
      <c r="M3672" s="24">
        <v>54024.5</v>
      </c>
      <c r="N3672" s="25">
        <f>IFERROR(T_reg.root.SK[[#This Row],[Price]]/T_reg.root.SK[[#This Row],[Starch content]],"")</f>
        <v>12.717601547388782</v>
      </c>
    </row>
    <row r="3673" spans="1:14">
      <c r="A3673" s="21">
        <v>2024</v>
      </c>
      <c r="B3673" s="21" t="s">
        <v>25</v>
      </c>
      <c r="C3673" s="21" t="s">
        <v>1145</v>
      </c>
      <c r="D3673" s="21" t="s">
        <v>35</v>
      </c>
      <c r="E3673" s="18" t="s">
        <v>803</v>
      </c>
      <c r="F3673" s="18" t="s">
        <v>105</v>
      </c>
      <c r="G3673" s="18" t="s">
        <v>48</v>
      </c>
      <c r="H3673" s="24">
        <v>17300</v>
      </c>
      <c r="I3673" s="24">
        <f>T_reg.root.SK[[#This Row],[Volume, kg]]/1000</f>
        <v>17.3</v>
      </c>
      <c r="J3673" s="25">
        <v>0.2036</v>
      </c>
      <c r="K3673" s="25">
        <f t="shared" si="57"/>
        <v>3522.28</v>
      </c>
      <c r="L3673" s="25">
        <v>2.61</v>
      </c>
      <c r="M3673" s="24">
        <v>45204</v>
      </c>
      <c r="N3673" s="25">
        <f>IFERROR(T_reg.root.SK[[#This Row],[Price]]/T_reg.root.SK[[#This Row],[Starch content]],"")</f>
        <v>12.819253438113948</v>
      </c>
    </row>
    <row r="3674" spans="1:14">
      <c r="A3674" s="21">
        <v>2024</v>
      </c>
      <c r="B3674" s="21" t="s">
        <v>25</v>
      </c>
      <c r="C3674" s="21" t="s">
        <v>1145</v>
      </c>
      <c r="D3674" s="21" t="s">
        <v>35</v>
      </c>
      <c r="E3674" s="18" t="s">
        <v>767</v>
      </c>
      <c r="F3674" s="18" t="s">
        <v>105</v>
      </c>
      <c r="G3674" s="18" t="s">
        <v>48</v>
      </c>
      <c r="H3674" s="24">
        <v>6360</v>
      </c>
      <c r="I3674" s="24">
        <f>T_reg.root.SK[[#This Row],[Volume, kg]]/1000</f>
        <v>6.36</v>
      </c>
      <c r="J3674" s="25">
        <v>0.26850000000000002</v>
      </c>
      <c r="K3674" s="25">
        <f t="shared" si="57"/>
        <v>1707.66</v>
      </c>
      <c r="L3674" s="25">
        <v>2.95</v>
      </c>
      <c r="M3674" s="24">
        <v>18762</v>
      </c>
      <c r="N3674" s="25">
        <f>IFERROR(T_reg.root.SK[[#This Row],[Price]]/T_reg.root.SK[[#This Row],[Starch content]],"")</f>
        <v>10.986964618249534</v>
      </c>
    </row>
    <row r="3675" spans="1:14">
      <c r="A3675" s="21">
        <v>2024</v>
      </c>
      <c r="B3675" s="21" t="s">
        <v>25</v>
      </c>
      <c r="C3675" s="21" t="s">
        <v>1145</v>
      </c>
      <c r="D3675" s="21" t="s">
        <v>35</v>
      </c>
      <c r="E3675" s="18" t="s">
        <v>234</v>
      </c>
      <c r="F3675" s="18" t="s">
        <v>105</v>
      </c>
      <c r="G3675" s="18" t="s">
        <v>48</v>
      </c>
      <c r="H3675" s="24">
        <v>27720</v>
      </c>
      <c r="I3675" s="24">
        <f>T_reg.root.SK[[#This Row],[Volume, kg]]/1000</f>
        <v>27.72</v>
      </c>
      <c r="J3675" s="25">
        <v>0.22059999999999999</v>
      </c>
      <c r="K3675" s="25">
        <f t="shared" si="57"/>
        <v>6115.0320000000002</v>
      </c>
      <c r="L3675" s="25">
        <v>2.7</v>
      </c>
      <c r="M3675" s="24">
        <v>74899.5</v>
      </c>
      <c r="N3675" s="25">
        <f>IFERROR(T_reg.root.SK[[#This Row],[Price]]/T_reg.root.SK[[#This Row],[Starch content]],"")</f>
        <v>12.239347234814145</v>
      </c>
    </row>
    <row r="3676" spans="1:14">
      <c r="A3676" s="21">
        <v>2024</v>
      </c>
      <c r="B3676" s="21" t="s">
        <v>25</v>
      </c>
      <c r="C3676" s="21" t="s">
        <v>1145</v>
      </c>
      <c r="D3676" s="21" t="s">
        <v>35</v>
      </c>
      <c r="E3676" s="18" t="s">
        <v>768</v>
      </c>
      <c r="F3676" s="18" t="s">
        <v>105</v>
      </c>
      <c r="G3676" s="18" t="s">
        <v>48</v>
      </c>
      <c r="H3676" s="24">
        <v>3350</v>
      </c>
      <c r="I3676" s="24">
        <f>T_reg.root.SK[[#This Row],[Volume, kg]]/1000</f>
        <v>3.35</v>
      </c>
      <c r="J3676" s="25">
        <v>0.23449999999999999</v>
      </c>
      <c r="K3676" s="25">
        <f t="shared" si="57"/>
        <v>785.57499999999993</v>
      </c>
      <c r="L3676" s="25">
        <v>2.75</v>
      </c>
      <c r="M3676" s="24">
        <v>9212.5</v>
      </c>
      <c r="N3676" s="25">
        <f>IFERROR(T_reg.root.SK[[#This Row],[Price]]/T_reg.root.SK[[#This Row],[Starch content]],"")</f>
        <v>11.727078891257996</v>
      </c>
    </row>
    <row r="3677" spans="1:14">
      <c r="A3677" s="21">
        <v>2024</v>
      </c>
      <c r="B3677" s="21" t="s">
        <v>25</v>
      </c>
      <c r="C3677" s="21" t="s">
        <v>1145</v>
      </c>
      <c r="D3677" s="21" t="s">
        <v>35</v>
      </c>
      <c r="E3677" s="18" t="s">
        <v>666</v>
      </c>
      <c r="F3677" s="18" t="s">
        <v>105</v>
      </c>
      <c r="G3677" s="18" t="s">
        <v>48</v>
      </c>
      <c r="H3677" s="24">
        <v>6900</v>
      </c>
      <c r="I3677" s="24">
        <f>T_reg.root.SK[[#This Row],[Volume, kg]]/1000</f>
        <v>6.9</v>
      </c>
      <c r="J3677" s="25">
        <v>0.26350000000000001</v>
      </c>
      <c r="K3677" s="25">
        <f t="shared" si="57"/>
        <v>1818.15</v>
      </c>
      <c r="L3677" s="25">
        <v>2.9</v>
      </c>
      <c r="M3677" s="24">
        <v>20010</v>
      </c>
      <c r="N3677" s="25">
        <f>IFERROR(T_reg.root.SK[[#This Row],[Price]]/T_reg.root.SK[[#This Row],[Starch content]],"")</f>
        <v>11.005692599620492</v>
      </c>
    </row>
    <row r="3678" spans="1:14">
      <c r="A3678" s="21">
        <v>2024</v>
      </c>
      <c r="B3678" s="21" t="s">
        <v>25</v>
      </c>
      <c r="C3678" s="21" t="s">
        <v>1145</v>
      </c>
      <c r="D3678" s="21" t="s">
        <v>35</v>
      </c>
      <c r="E3678" s="18" t="s">
        <v>698</v>
      </c>
      <c r="F3678" s="18" t="s">
        <v>105</v>
      </c>
      <c r="G3678" s="18" t="s">
        <v>48</v>
      </c>
      <c r="H3678" s="24">
        <v>11970</v>
      </c>
      <c r="I3678" s="24">
        <f>T_reg.root.SK[[#This Row],[Volume, kg]]/1000</f>
        <v>11.97</v>
      </c>
      <c r="J3678" s="25">
        <v>0.21280000000000002</v>
      </c>
      <c r="K3678" s="25">
        <f t="shared" si="57"/>
        <v>2547.2160000000003</v>
      </c>
      <c r="L3678" s="25">
        <v>2.66</v>
      </c>
      <c r="M3678" s="24">
        <v>31804.5</v>
      </c>
      <c r="N3678" s="25">
        <f>IFERROR(T_reg.root.SK[[#This Row],[Price]]/T_reg.root.SK[[#This Row],[Starch content]],"")</f>
        <v>12.5</v>
      </c>
    </row>
    <row r="3679" spans="1:14">
      <c r="A3679" s="21">
        <v>2024</v>
      </c>
      <c r="B3679" s="21" t="s">
        <v>25</v>
      </c>
      <c r="C3679" s="21" t="s">
        <v>1145</v>
      </c>
      <c r="D3679" s="21" t="s">
        <v>35</v>
      </c>
      <c r="E3679" s="18" t="s">
        <v>600</v>
      </c>
      <c r="F3679" s="18" t="s">
        <v>105</v>
      </c>
      <c r="G3679" s="18" t="s">
        <v>48</v>
      </c>
      <c r="H3679" s="24">
        <v>12500</v>
      </c>
      <c r="I3679" s="24">
        <f>T_reg.root.SK[[#This Row],[Volume, kg]]/1000</f>
        <v>12.5</v>
      </c>
      <c r="J3679" s="25">
        <v>0.17829999999999999</v>
      </c>
      <c r="K3679" s="25">
        <f t="shared" si="57"/>
        <v>2228.75</v>
      </c>
      <c r="L3679" s="25">
        <v>2.5099999999999998</v>
      </c>
      <c r="M3679" s="24">
        <v>31377</v>
      </c>
      <c r="N3679" s="25">
        <f>IFERROR(T_reg.root.SK[[#This Row],[Price]]/T_reg.root.SK[[#This Row],[Starch content]],"")</f>
        <v>14.077397644419518</v>
      </c>
    </row>
    <row r="3680" spans="1:14">
      <c r="A3680" s="21">
        <v>2024</v>
      </c>
      <c r="B3680" s="21" t="s">
        <v>25</v>
      </c>
      <c r="C3680" s="21" t="s">
        <v>1145</v>
      </c>
      <c r="D3680" s="21" t="s">
        <v>35</v>
      </c>
      <c r="E3680" s="18" t="s">
        <v>685</v>
      </c>
      <c r="F3680" s="18" t="s">
        <v>105</v>
      </c>
      <c r="G3680" s="18" t="s">
        <v>48</v>
      </c>
      <c r="H3680" s="24">
        <v>29760</v>
      </c>
      <c r="I3680" s="24">
        <f>T_reg.root.SK[[#This Row],[Volume, kg]]/1000</f>
        <v>29.76</v>
      </c>
      <c r="J3680" s="25">
        <v>0.17579999999999998</v>
      </c>
      <c r="K3680" s="25">
        <f t="shared" si="57"/>
        <v>5231.8079999999991</v>
      </c>
      <c r="L3680" s="25">
        <v>2.4900000000000002</v>
      </c>
      <c r="M3680" s="24">
        <v>74127</v>
      </c>
      <c r="N3680" s="25">
        <f>IFERROR(T_reg.root.SK[[#This Row],[Price]]/T_reg.root.SK[[#This Row],[Starch content]],"")</f>
        <v>14.163822525597272</v>
      </c>
    </row>
    <row r="3681" spans="1:14">
      <c r="A3681" s="21">
        <v>2024</v>
      </c>
      <c r="B3681" s="21" t="s">
        <v>25</v>
      </c>
      <c r="C3681" s="21" t="s">
        <v>1145</v>
      </c>
      <c r="D3681" s="21" t="s">
        <v>35</v>
      </c>
      <c r="E3681" s="18" t="s">
        <v>804</v>
      </c>
      <c r="F3681" s="18" t="s">
        <v>105</v>
      </c>
      <c r="G3681" s="18" t="s">
        <v>48</v>
      </c>
      <c r="H3681" s="24">
        <v>7390</v>
      </c>
      <c r="I3681" s="24">
        <f>T_reg.root.SK[[#This Row],[Volume, kg]]/1000</f>
        <v>7.39</v>
      </c>
      <c r="J3681" s="25">
        <v>0.2263</v>
      </c>
      <c r="K3681" s="25">
        <f t="shared" si="57"/>
        <v>1672.357</v>
      </c>
      <c r="L3681" s="25">
        <v>2.75</v>
      </c>
      <c r="M3681" s="24">
        <v>20322.5</v>
      </c>
      <c r="N3681" s="25">
        <f>IFERROR(T_reg.root.SK[[#This Row],[Price]]/T_reg.root.SK[[#This Row],[Starch content]],"")</f>
        <v>12.152010605391073</v>
      </c>
    </row>
    <row r="3682" spans="1:14">
      <c r="A3682" s="21">
        <v>2024</v>
      </c>
      <c r="B3682" s="21" t="s">
        <v>25</v>
      </c>
      <c r="C3682" s="21" t="s">
        <v>1145</v>
      </c>
      <c r="D3682" s="21" t="s">
        <v>35</v>
      </c>
      <c r="E3682" s="18" t="s">
        <v>560</v>
      </c>
      <c r="F3682" s="18" t="s">
        <v>105</v>
      </c>
      <c r="G3682" s="18" t="s">
        <v>48</v>
      </c>
      <c r="H3682" s="24">
        <v>14630</v>
      </c>
      <c r="I3682" s="24">
        <f>T_reg.root.SK[[#This Row],[Volume, kg]]/1000</f>
        <v>14.63</v>
      </c>
      <c r="J3682" s="25">
        <v>0.22210000000000002</v>
      </c>
      <c r="K3682" s="25">
        <f t="shared" si="57"/>
        <v>3249.3230000000003</v>
      </c>
      <c r="L3682" s="25">
        <v>2.57</v>
      </c>
      <c r="M3682" s="24">
        <v>37571</v>
      </c>
      <c r="N3682" s="25">
        <f>IFERROR(T_reg.root.SK[[#This Row],[Price]]/T_reg.root.SK[[#This Row],[Starch content]],"")</f>
        <v>11.571364250337684</v>
      </c>
    </row>
    <row r="3683" spans="1:14">
      <c r="A3683" s="21">
        <v>2024</v>
      </c>
      <c r="B3683" s="21" t="s">
        <v>25</v>
      </c>
      <c r="C3683" s="21" t="s">
        <v>1145</v>
      </c>
      <c r="D3683" s="21" t="s">
        <v>35</v>
      </c>
      <c r="E3683" s="18" t="s">
        <v>116</v>
      </c>
      <c r="F3683" s="18" t="s">
        <v>105</v>
      </c>
      <c r="G3683" s="18" t="s">
        <v>48</v>
      </c>
      <c r="H3683" s="24">
        <v>19450</v>
      </c>
      <c r="I3683" s="24">
        <f>T_reg.root.SK[[#This Row],[Volume, kg]]/1000</f>
        <v>19.45</v>
      </c>
      <c r="J3683" s="25">
        <v>0.19440000000000002</v>
      </c>
      <c r="K3683" s="25">
        <f t="shared" si="57"/>
        <v>3781.0800000000004</v>
      </c>
      <c r="L3683" s="25">
        <v>2.5499999999999998</v>
      </c>
      <c r="M3683" s="24">
        <v>49618.5</v>
      </c>
      <c r="N3683" s="25">
        <f>IFERROR(T_reg.root.SK[[#This Row],[Price]]/T_reg.root.SK[[#This Row],[Starch content]],"")</f>
        <v>13.117283950617281</v>
      </c>
    </row>
    <row r="3684" spans="1:14">
      <c r="A3684" s="21">
        <v>2024</v>
      </c>
      <c r="B3684" s="21" t="s">
        <v>25</v>
      </c>
      <c r="C3684" s="21" t="s">
        <v>1145</v>
      </c>
      <c r="D3684" s="21" t="s">
        <v>35</v>
      </c>
      <c r="E3684" s="18" t="s">
        <v>296</v>
      </c>
      <c r="F3684" s="18" t="s">
        <v>105</v>
      </c>
      <c r="G3684" s="18" t="s">
        <v>48</v>
      </c>
      <c r="H3684" s="24">
        <v>133830</v>
      </c>
      <c r="I3684" s="24">
        <f>T_reg.root.SK[[#This Row],[Volume, kg]]/1000</f>
        <v>133.83000000000001</v>
      </c>
      <c r="J3684" s="25">
        <v>0.22109999999999999</v>
      </c>
      <c r="K3684" s="25">
        <f t="shared" si="57"/>
        <v>29589.812999999998</v>
      </c>
      <c r="L3684" s="25">
        <v>2.71</v>
      </c>
      <c r="M3684" s="24">
        <v>362839</v>
      </c>
      <c r="N3684" s="25">
        <f>IFERROR(T_reg.root.SK[[#This Row],[Price]]/T_reg.root.SK[[#This Row],[Starch content]],"")</f>
        <v>12.256897331524197</v>
      </c>
    </row>
    <row r="3685" spans="1:14">
      <c r="A3685" s="21">
        <v>2024</v>
      </c>
      <c r="B3685" s="21" t="s">
        <v>25</v>
      </c>
      <c r="C3685" s="21" t="s">
        <v>1145</v>
      </c>
      <c r="D3685" s="21" t="s">
        <v>35</v>
      </c>
      <c r="E3685" s="18" t="s">
        <v>805</v>
      </c>
      <c r="F3685" s="18" t="s">
        <v>105</v>
      </c>
      <c r="G3685" s="18" t="s">
        <v>48</v>
      </c>
      <c r="H3685" s="24">
        <v>43580</v>
      </c>
      <c r="I3685" s="24">
        <f>T_reg.root.SK[[#This Row],[Volume, kg]]/1000</f>
        <v>43.58</v>
      </c>
      <c r="J3685" s="25">
        <v>0.24829999999999999</v>
      </c>
      <c r="K3685" s="25">
        <f t="shared" si="57"/>
        <v>10820.913999999999</v>
      </c>
      <c r="L3685" s="25">
        <v>2.84</v>
      </c>
      <c r="M3685" s="24">
        <v>123971</v>
      </c>
      <c r="N3685" s="25">
        <f>IFERROR(T_reg.root.SK[[#This Row],[Price]]/T_reg.root.SK[[#This Row],[Starch content]],"")</f>
        <v>11.43777688280306</v>
      </c>
    </row>
    <row r="3686" spans="1:14">
      <c r="A3686" s="21">
        <v>2024</v>
      </c>
      <c r="B3686" s="21" t="s">
        <v>25</v>
      </c>
      <c r="C3686" s="21" t="s">
        <v>1145</v>
      </c>
      <c r="D3686" s="21" t="s">
        <v>35</v>
      </c>
      <c r="E3686" s="18" t="s">
        <v>118</v>
      </c>
      <c r="F3686" s="18" t="s">
        <v>105</v>
      </c>
      <c r="G3686" s="18" t="s">
        <v>48</v>
      </c>
      <c r="H3686" s="24">
        <v>195930</v>
      </c>
      <c r="I3686" s="24">
        <f>T_reg.root.SK[[#This Row],[Volume, kg]]/1000</f>
        <v>195.93</v>
      </c>
      <c r="J3686" s="25">
        <v>0.2324</v>
      </c>
      <c r="K3686" s="25">
        <f t="shared" si="57"/>
        <v>45534.131999999998</v>
      </c>
      <c r="L3686" s="25">
        <v>2.75</v>
      </c>
      <c r="M3686" s="24">
        <v>538684</v>
      </c>
      <c r="N3686" s="25">
        <f>IFERROR(T_reg.root.SK[[#This Row],[Price]]/T_reg.root.SK[[#This Row],[Starch content]],"")</f>
        <v>11.833046471600689</v>
      </c>
    </row>
    <row r="3687" spans="1:14">
      <c r="A3687" s="21">
        <v>2024</v>
      </c>
      <c r="B3687" s="21" t="s">
        <v>25</v>
      </c>
      <c r="C3687" s="21" t="s">
        <v>1145</v>
      </c>
      <c r="D3687" s="21" t="s">
        <v>35</v>
      </c>
      <c r="E3687" s="18" t="s">
        <v>121</v>
      </c>
      <c r="F3687" s="18" t="s">
        <v>105</v>
      </c>
      <c r="G3687" s="18" t="s">
        <v>48</v>
      </c>
      <c r="H3687" s="24">
        <v>13980</v>
      </c>
      <c r="I3687" s="24">
        <f>T_reg.root.SK[[#This Row],[Volume, kg]]/1000</f>
        <v>13.98</v>
      </c>
      <c r="J3687" s="25">
        <v>0.23089999999999999</v>
      </c>
      <c r="K3687" s="25">
        <f t="shared" si="57"/>
        <v>3227.982</v>
      </c>
      <c r="L3687" s="25">
        <v>2.75</v>
      </c>
      <c r="M3687" s="24">
        <v>38445</v>
      </c>
      <c r="N3687" s="25">
        <f>IFERROR(T_reg.root.SK[[#This Row],[Price]]/T_reg.root.SK[[#This Row],[Starch content]],"")</f>
        <v>11.909917713295799</v>
      </c>
    </row>
    <row r="3688" spans="1:14">
      <c r="A3688" s="21">
        <v>2024</v>
      </c>
      <c r="B3688" s="21" t="s">
        <v>25</v>
      </c>
      <c r="C3688" s="21" t="s">
        <v>1145</v>
      </c>
      <c r="D3688" s="21" t="s">
        <v>35</v>
      </c>
      <c r="E3688" s="18" t="s">
        <v>122</v>
      </c>
      <c r="F3688" s="18" t="s">
        <v>105</v>
      </c>
      <c r="G3688" s="18" t="s">
        <v>48</v>
      </c>
      <c r="H3688" s="24">
        <v>21730</v>
      </c>
      <c r="I3688" s="24">
        <f>T_reg.root.SK[[#This Row],[Volume, kg]]/1000</f>
        <v>21.73</v>
      </c>
      <c r="J3688" s="25">
        <v>0.19620000000000001</v>
      </c>
      <c r="K3688" s="25">
        <f t="shared" si="57"/>
        <v>4263.4260000000004</v>
      </c>
      <c r="L3688" s="25">
        <v>2.58</v>
      </c>
      <c r="M3688" s="24">
        <v>55998</v>
      </c>
      <c r="N3688" s="25">
        <f>IFERROR(T_reg.root.SK[[#This Row],[Price]]/T_reg.root.SK[[#This Row],[Starch content]],"")</f>
        <v>13.149847094801222</v>
      </c>
    </row>
    <row r="3689" spans="1:14">
      <c r="A3689" s="21">
        <v>2024</v>
      </c>
      <c r="B3689" s="21" t="s">
        <v>25</v>
      </c>
      <c r="C3689" s="21" t="s">
        <v>1145</v>
      </c>
      <c r="D3689" s="21" t="s">
        <v>35</v>
      </c>
      <c r="E3689" s="18" t="s">
        <v>123</v>
      </c>
      <c r="F3689" s="18" t="s">
        <v>105</v>
      </c>
      <c r="G3689" s="18" t="s">
        <v>48</v>
      </c>
      <c r="H3689" s="24">
        <v>31210</v>
      </c>
      <c r="I3689" s="24">
        <f>T_reg.root.SK[[#This Row],[Volume, kg]]/1000</f>
        <v>31.21</v>
      </c>
      <c r="J3689" s="25">
        <v>0.24410000000000001</v>
      </c>
      <c r="K3689" s="25">
        <f t="shared" si="57"/>
        <v>7618.3610000000008</v>
      </c>
      <c r="L3689" s="25">
        <v>2.82</v>
      </c>
      <c r="M3689" s="24">
        <v>87860.5</v>
      </c>
      <c r="N3689" s="25">
        <f>IFERROR(T_reg.root.SK[[#This Row],[Price]]/T_reg.root.SK[[#This Row],[Starch content]],"")</f>
        <v>11.552642359688651</v>
      </c>
    </row>
    <row r="3690" spans="1:14">
      <c r="A3690" s="21">
        <v>2024</v>
      </c>
      <c r="B3690" s="21" t="s">
        <v>25</v>
      </c>
      <c r="C3690" s="21" t="s">
        <v>1145</v>
      </c>
      <c r="D3690" s="21" t="s">
        <v>35</v>
      </c>
      <c r="E3690" s="18" t="s">
        <v>806</v>
      </c>
      <c r="F3690" s="18" t="s">
        <v>105</v>
      </c>
      <c r="G3690" s="18" t="s">
        <v>48</v>
      </c>
      <c r="H3690" s="24">
        <v>12010</v>
      </c>
      <c r="I3690" s="24">
        <f>T_reg.root.SK[[#This Row],[Volume, kg]]/1000</f>
        <v>12.01</v>
      </c>
      <c r="J3690" s="25">
        <v>0.21899999999999997</v>
      </c>
      <c r="K3690" s="25">
        <f t="shared" si="57"/>
        <v>2630.1899999999996</v>
      </c>
      <c r="L3690" s="25">
        <v>2.7</v>
      </c>
      <c r="M3690" s="24">
        <v>32427</v>
      </c>
      <c r="N3690" s="25">
        <f>IFERROR(T_reg.root.SK[[#This Row],[Price]]/T_reg.root.SK[[#This Row],[Starch content]],"")</f>
        <v>12.328767123287674</v>
      </c>
    </row>
    <row r="3691" spans="1:14">
      <c r="A3691" s="21">
        <v>2024</v>
      </c>
      <c r="B3691" s="21" t="s">
        <v>25</v>
      </c>
      <c r="C3691" s="21" t="s">
        <v>1145</v>
      </c>
      <c r="D3691" s="21" t="s">
        <v>35</v>
      </c>
      <c r="E3691" s="18" t="s">
        <v>355</v>
      </c>
      <c r="F3691" s="18" t="s">
        <v>105</v>
      </c>
      <c r="G3691" s="18" t="s">
        <v>48</v>
      </c>
      <c r="H3691" s="24">
        <v>40740</v>
      </c>
      <c r="I3691" s="24">
        <f>T_reg.root.SK[[#This Row],[Volume, kg]]/1000</f>
        <v>40.74</v>
      </c>
      <c r="J3691" s="25">
        <v>0.23190000000000002</v>
      </c>
      <c r="K3691" s="25">
        <f t="shared" si="57"/>
        <v>9447.6060000000016</v>
      </c>
      <c r="L3691" s="25">
        <v>2.76</v>
      </c>
      <c r="M3691" s="24">
        <v>112576</v>
      </c>
      <c r="N3691" s="25">
        <f>IFERROR(T_reg.root.SK[[#This Row],[Price]]/T_reg.root.SK[[#This Row],[Starch content]],"")</f>
        <v>11.901681759379041</v>
      </c>
    </row>
    <row r="3692" spans="1:14">
      <c r="A3692" s="21">
        <v>2024</v>
      </c>
      <c r="B3692" s="21" t="s">
        <v>25</v>
      </c>
      <c r="C3692" s="21" t="s">
        <v>1145</v>
      </c>
      <c r="D3692" s="21" t="s">
        <v>35</v>
      </c>
      <c r="E3692" s="18" t="s">
        <v>124</v>
      </c>
      <c r="F3692" s="18" t="s">
        <v>105</v>
      </c>
      <c r="G3692" s="18" t="s">
        <v>48</v>
      </c>
      <c r="H3692" s="24">
        <v>133450</v>
      </c>
      <c r="I3692" s="24">
        <f>T_reg.root.SK[[#This Row],[Volume, kg]]/1000</f>
        <v>133.44999999999999</v>
      </c>
      <c r="J3692" s="25">
        <v>0.2351</v>
      </c>
      <c r="K3692" s="25">
        <f t="shared" si="57"/>
        <v>31374.095000000001</v>
      </c>
      <c r="L3692" s="25">
        <v>2.77</v>
      </c>
      <c r="M3692" s="24">
        <v>370255</v>
      </c>
      <c r="N3692" s="25">
        <f>IFERROR(T_reg.root.SK[[#This Row],[Price]]/T_reg.root.SK[[#This Row],[Starch content]],"")</f>
        <v>11.782220331773713</v>
      </c>
    </row>
    <row r="3693" spans="1:14">
      <c r="A3693" s="21">
        <v>2024</v>
      </c>
      <c r="B3693" s="21" t="s">
        <v>25</v>
      </c>
      <c r="C3693" s="21" t="s">
        <v>1145</v>
      </c>
      <c r="D3693" s="21" t="s">
        <v>35</v>
      </c>
      <c r="E3693" s="18" t="s">
        <v>616</v>
      </c>
      <c r="F3693" s="18" t="s">
        <v>105</v>
      </c>
      <c r="G3693" s="18" t="s">
        <v>48</v>
      </c>
      <c r="H3693" s="24">
        <v>7960</v>
      </c>
      <c r="I3693" s="24">
        <f>T_reg.root.SK[[#This Row],[Volume, kg]]/1000</f>
        <v>7.96</v>
      </c>
      <c r="J3693" s="25">
        <v>0.23550000000000001</v>
      </c>
      <c r="K3693" s="25">
        <f t="shared" si="57"/>
        <v>1874.5800000000002</v>
      </c>
      <c r="L3693" s="25">
        <v>2.8</v>
      </c>
      <c r="M3693" s="24">
        <v>22288</v>
      </c>
      <c r="N3693" s="25">
        <f>IFERROR(T_reg.root.SK[[#This Row],[Price]]/T_reg.root.SK[[#This Row],[Starch content]],"")</f>
        <v>11.889596602972398</v>
      </c>
    </row>
    <row r="3694" spans="1:14">
      <c r="A3694" s="21">
        <v>2024</v>
      </c>
      <c r="B3694" s="21" t="s">
        <v>25</v>
      </c>
      <c r="C3694" s="21" t="s">
        <v>1145</v>
      </c>
      <c r="D3694" s="21" t="s">
        <v>35</v>
      </c>
      <c r="E3694" s="18" t="s">
        <v>486</v>
      </c>
      <c r="F3694" s="18" t="s">
        <v>105</v>
      </c>
      <c r="G3694" s="18" t="s">
        <v>48</v>
      </c>
      <c r="H3694" s="24">
        <v>21180</v>
      </c>
      <c r="I3694" s="24">
        <f>T_reg.root.SK[[#This Row],[Volume, kg]]/1000</f>
        <v>21.18</v>
      </c>
      <c r="J3694" s="25">
        <v>0.18340000000000001</v>
      </c>
      <c r="K3694" s="25">
        <f t="shared" si="57"/>
        <v>3884.4120000000003</v>
      </c>
      <c r="L3694" s="25">
        <v>2.52</v>
      </c>
      <c r="M3694" s="24">
        <v>53321.5</v>
      </c>
      <c r="N3694" s="25">
        <f>IFERROR(T_reg.root.SK[[#This Row],[Price]]/T_reg.root.SK[[#This Row],[Starch content]],"")</f>
        <v>13.740458015267174</v>
      </c>
    </row>
    <row r="3695" spans="1:14">
      <c r="A3695" s="21">
        <v>2024</v>
      </c>
      <c r="B3695" s="21" t="s">
        <v>25</v>
      </c>
      <c r="C3695" s="21" t="s">
        <v>1145</v>
      </c>
      <c r="D3695" s="21" t="s">
        <v>35</v>
      </c>
      <c r="E3695" s="18" t="s">
        <v>125</v>
      </c>
      <c r="F3695" s="18" t="s">
        <v>105</v>
      </c>
      <c r="G3695" s="18" t="s">
        <v>48</v>
      </c>
      <c r="H3695" s="24">
        <v>66780</v>
      </c>
      <c r="I3695" s="24">
        <f>T_reg.root.SK[[#This Row],[Volume, kg]]/1000</f>
        <v>66.78</v>
      </c>
      <c r="J3695" s="25">
        <v>0.2445</v>
      </c>
      <c r="K3695" s="25">
        <f t="shared" si="57"/>
        <v>16327.71</v>
      </c>
      <c r="L3695" s="25">
        <v>2.82</v>
      </c>
      <c r="M3695" s="24">
        <v>188390</v>
      </c>
      <c r="N3695" s="25">
        <f>IFERROR(T_reg.root.SK[[#This Row],[Price]]/T_reg.root.SK[[#This Row],[Starch content]],"")</f>
        <v>11.533742331288343</v>
      </c>
    </row>
    <row r="3696" spans="1:14">
      <c r="A3696" s="21">
        <v>2024</v>
      </c>
      <c r="B3696" s="21" t="s">
        <v>25</v>
      </c>
      <c r="C3696" s="21" t="s">
        <v>1145</v>
      </c>
      <c r="D3696" s="21" t="s">
        <v>35</v>
      </c>
      <c r="E3696" s="18" t="s">
        <v>716</v>
      </c>
      <c r="F3696" s="18" t="s">
        <v>105</v>
      </c>
      <c r="G3696" s="18" t="s">
        <v>48</v>
      </c>
      <c r="H3696" s="24">
        <v>31700</v>
      </c>
      <c r="I3696" s="24">
        <f>T_reg.root.SK[[#This Row],[Volume, kg]]/1000</f>
        <v>31.7</v>
      </c>
      <c r="J3696" s="25">
        <v>0.18679999999999999</v>
      </c>
      <c r="K3696" s="25">
        <f t="shared" si="57"/>
        <v>5921.5599999999995</v>
      </c>
      <c r="L3696" s="25">
        <v>2.5299999999999998</v>
      </c>
      <c r="M3696" s="24">
        <v>80065</v>
      </c>
      <c r="N3696" s="25">
        <f>IFERROR(T_reg.root.SK[[#This Row],[Price]]/T_reg.root.SK[[#This Row],[Starch content]],"")</f>
        <v>13.54389721627409</v>
      </c>
    </row>
    <row r="3697" spans="1:14">
      <c r="A3697" s="21">
        <v>2024</v>
      </c>
      <c r="B3697" s="21" t="s">
        <v>25</v>
      </c>
      <c r="C3697" s="21" t="s">
        <v>1145</v>
      </c>
      <c r="D3697" s="21" t="s">
        <v>35</v>
      </c>
      <c r="E3697" s="18" t="s">
        <v>240</v>
      </c>
      <c r="F3697" s="18" t="s">
        <v>105</v>
      </c>
      <c r="G3697" s="18" t="s">
        <v>48</v>
      </c>
      <c r="H3697" s="24">
        <v>4520</v>
      </c>
      <c r="I3697" s="24">
        <f>T_reg.root.SK[[#This Row],[Volume, kg]]/1000</f>
        <v>4.5199999999999996</v>
      </c>
      <c r="J3697" s="25">
        <v>0.25900000000000001</v>
      </c>
      <c r="K3697" s="25">
        <f t="shared" si="57"/>
        <v>1170.68</v>
      </c>
      <c r="L3697" s="25">
        <v>2.9</v>
      </c>
      <c r="M3697" s="24">
        <v>13108</v>
      </c>
      <c r="N3697" s="25">
        <f>IFERROR(T_reg.root.SK[[#This Row],[Price]]/T_reg.root.SK[[#This Row],[Starch content]],"")</f>
        <v>11.196911196911197</v>
      </c>
    </row>
    <row r="3698" spans="1:14">
      <c r="A3698" s="21">
        <v>2024</v>
      </c>
      <c r="B3698" s="21" t="s">
        <v>25</v>
      </c>
      <c r="C3698" s="21" t="s">
        <v>1145</v>
      </c>
      <c r="D3698" s="21" t="s">
        <v>35</v>
      </c>
      <c r="E3698" s="18" t="s">
        <v>736</v>
      </c>
      <c r="F3698" s="18" t="s">
        <v>105</v>
      </c>
      <c r="G3698" s="18" t="s">
        <v>48</v>
      </c>
      <c r="H3698" s="24">
        <v>24220</v>
      </c>
      <c r="I3698" s="24">
        <f>T_reg.root.SK[[#This Row],[Volume, kg]]/1000</f>
        <v>24.22</v>
      </c>
      <c r="J3698" s="25">
        <v>0.21149999999999999</v>
      </c>
      <c r="K3698" s="25">
        <f t="shared" si="57"/>
        <v>5122.53</v>
      </c>
      <c r="L3698" s="25">
        <v>2.5</v>
      </c>
      <c r="M3698" s="24">
        <v>60660</v>
      </c>
      <c r="N3698" s="25">
        <f>IFERROR(T_reg.root.SK[[#This Row],[Price]]/T_reg.root.SK[[#This Row],[Starch content]],"")</f>
        <v>11.82033096926714</v>
      </c>
    </row>
    <row r="3699" spans="1:14">
      <c r="A3699" s="21">
        <v>2024</v>
      </c>
      <c r="B3699" s="21" t="s">
        <v>25</v>
      </c>
      <c r="C3699" s="21" t="s">
        <v>1145</v>
      </c>
      <c r="D3699" s="21" t="s">
        <v>35</v>
      </c>
      <c r="E3699" s="18" t="s">
        <v>126</v>
      </c>
      <c r="F3699" s="18" t="s">
        <v>105</v>
      </c>
      <c r="G3699" s="18" t="s">
        <v>48</v>
      </c>
      <c r="H3699" s="24">
        <v>1390</v>
      </c>
      <c r="I3699" s="24">
        <f>T_reg.root.SK[[#This Row],[Volume, kg]]/1000</f>
        <v>1.39</v>
      </c>
      <c r="J3699" s="25">
        <v>0.14349999999999999</v>
      </c>
      <c r="K3699" s="25">
        <f t="shared" si="57"/>
        <v>199.46499999999997</v>
      </c>
      <c r="L3699" s="25">
        <v>2.2999999999999998</v>
      </c>
      <c r="M3699" s="24">
        <v>3197</v>
      </c>
      <c r="N3699" s="25">
        <f>IFERROR(T_reg.root.SK[[#This Row],[Price]]/T_reg.root.SK[[#This Row],[Starch content]],"")</f>
        <v>16.027874564459932</v>
      </c>
    </row>
    <row r="3700" spans="1:14">
      <c r="A3700" s="21">
        <v>2024</v>
      </c>
      <c r="B3700" s="21" t="s">
        <v>25</v>
      </c>
      <c r="C3700" s="21" t="s">
        <v>1145</v>
      </c>
      <c r="D3700" s="21" t="s">
        <v>35</v>
      </c>
      <c r="E3700" s="18" t="s">
        <v>635</v>
      </c>
      <c r="F3700" s="18" t="s">
        <v>105</v>
      </c>
      <c r="G3700" s="18" t="s">
        <v>48</v>
      </c>
      <c r="H3700" s="24">
        <v>29350</v>
      </c>
      <c r="I3700" s="24">
        <f>T_reg.root.SK[[#This Row],[Volume, kg]]/1000</f>
        <v>29.35</v>
      </c>
      <c r="J3700" s="25">
        <v>0.23989999999999997</v>
      </c>
      <c r="K3700" s="25">
        <f t="shared" si="57"/>
        <v>7041.0649999999996</v>
      </c>
      <c r="L3700" s="25">
        <v>2.8</v>
      </c>
      <c r="M3700" s="24">
        <v>82230.5</v>
      </c>
      <c r="N3700" s="25">
        <f>IFERROR(T_reg.root.SK[[#This Row],[Price]]/T_reg.root.SK[[#This Row],[Starch content]],"")</f>
        <v>11.671529804085036</v>
      </c>
    </row>
    <row r="3701" spans="1:14">
      <c r="A3701" s="21">
        <v>2024</v>
      </c>
      <c r="B3701" s="21" t="s">
        <v>25</v>
      </c>
      <c r="C3701" s="21" t="s">
        <v>1145</v>
      </c>
      <c r="D3701" s="21" t="s">
        <v>35</v>
      </c>
      <c r="E3701" s="18" t="s">
        <v>129</v>
      </c>
      <c r="F3701" s="18" t="s">
        <v>105</v>
      </c>
      <c r="G3701" s="18" t="s">
        <v>48</v>
      </c>
      <c r="H3701" s="24">
        <v>26940</v>
      </c>
      <c r="I3701" s="24">
        <f>T_reg.root.SK[[#This Row],[Volume, kg]]/1000</f>
        <v>26.94</v>
      </c>
      <c r="J3701" s="25">
        <v>0.2097</v>
      </c>
      <c r="K3701" s="25">
        <f t="shared" si="57"/>
        <v>5649.3180000000002</v>
      </c>
      <c r="L3701" s="25">
        <v>2.61</v>
      </c>
      <c r="M3701" s="24">
        <v>70284</v>
      </c>
      <c r="N3701" s="25">
        <f>IFERROR(T_reg.root.SK[[#This Row],[Price]]/T_reg.root.SK[[#This Row],[Starch content]],"")</f>
        <v>12.446351931330472</v>
      </c>
    </row>
    <row r="3702" spans="1:14">
      <c r="A3702" s="21">
        <v>2024</v>
      </c>
      <c r="B3702" s="21" t="s">
        <v>25</v>
      </c>
      <c r="C3702" s="21" t="s">
        <v>1145</v>
      </c>
      <c r="D3702" s="21" t="s">
        <v>35</v>
      </c>
      <c r="E3702" s="18" t="s">
        <v>131</v>
      </c>
      <c r="F3702" s="18" t="s">
        <v>105</v>
      </c>
      <c r="G3702" s="18" t="s">
        <v>48</v>
      </c>
      <c r="H3702" s="24">
        <v>10150</v>
      </c>
      <c r="I3702" s="24">
        <f>T_reg.root.SK[[#This Row],[Volume, kg]]/1000</f>
        <v>10.15</v>
      </c>
      <c r="J3702" s="25">
        <v>0.21440000000000001</v>
      </c>
      <c r="K3702" s="25">
        <f t="shared" si="57"/>
        <v>2176.16</v>
      </c>
      <c r="L3702" s="25">
        <v>2.52</v>
      </c>
      <c r="M3702" s="24">
        <v>25614.5</v>
      </c>
      <c r="N3702" s="25">
        <f>IFERROR(T_reg.root.SK[[#This Row],[Price]]/T_reg.root.SK[[#This Row],[Starch content]],"")</f>
        <v>11.753731343283581</v>
      </c>
    </row>
    <row r="3703" spans="1:14">
      <c r="A3703" s="21">
        <v>2024</v>
      </c>
      <c r="B3703" s="21" t="s">
        <v>25</v>
      </c>
      <c r="C3703" s="21" t="s">
        <v>1145</v>
      </c>
      <c r="D3703" s="21" t="s">
        <v>35</v>
      </c>
      <c r="E3703" s="18" t="s">
        <v>490</v>
      </c>
      <c r="F3703" s="18" t="s">
        <v>105</v>
      </c>
      <c r="G3703" s="18" t="s">
        <v>48</v>
      </c>
      <c r="H3703" s="24">
        <v>24080</v>
      </c>
      <c r="I3703" s="24">
        <f>T_reg.root.SK[[#This Row],[Volume, kg]]/1000</f>
        <v>24.08</v>
      </c>
      <c r="J3703" s="25">
        <v>0.23670000000000002</v>
      </c>
      <c r="K3703" s="25">
        <f t="shared" si="57"/>
        <v>5699.7360000000008</v>
      </c>
      <c r="L3703" s="25">
        <v>2.79</v>
      </c>
      <c r="M3703" s="24">
        <v>67082</v>
      </c>
      <c r="N3703" s="25">
        <f>IFERROR(T_reg.root.SK[[#This Row],[Price]]/T_reg.root.SK[[#This Row],[Starch content]],"")</f>
        <v>11.787072243346007</v>
      </c>
    </row>
    <row r="3704" spans="1:14">
      <c r="A3704" s="21">
        <v>2024</v>
      </c>
      <c r="B3704" s="21" t="s">
        <v>25</v>
      </c>
      <c r="C3704" s="21" t="s">
        <v>1145</v>
      </c>
      <c r="D3704" s="21" t="s">
        <v>35</v>
      </c>
      <c r="E3704" s="18" t="s">
        <v>807</v>
      </c>
      <c r="F3704" s="18" t="s">
        <v>105</v>
      </c>
      <c r="G3704" s="18" t="s">
        <v>48</v>
      </c>
      <c r="H3704" s="24">
        <v>47440</v>
      </c>
      <c r="I3704" s="24">
        <f>T_reg.root.SK[[#This Row],[Volume, kg]]/1000</f>
        <v>47.44</v>
      </c>
      <c r="J3704" s="25">
        <v>0.26239999999999997</v>
      </c>
      <c r="K3704" s="25">
        <f t="shared" si="57"/>
        <v>12448.255999999998</v>
      </c>
      <c r="L3704" s="25">
        <v>2.91</v>
      </c>
      <c r="M3704" s="24">
        <v>138255</v>
      </c>
      <c r="N3704" s="25">
        <f>IFERROR(T_reg.root.SK[[#This Row],[Price]]/T_reg.root.SK[[#This Row],[Starch content]],"")</f>
        <v>11.089939024390246</v>
      </c>
    </row>
    <row r="3705" spans="1:14">
      <c r="A3705" s="21">
        <v>2024</v>
      </c>
      <c r="B3705" s="21" t="s">
        <v>25</v>
      </c>
      <c r="C3705" s="21" t="s">
        <v>1145</v>
      </c>
      <c r="D3705" s="21" t="s">
        <v>35</v>
      </c>
      <c r="E3705" s="18" t="s">
        <v>301</v>
      </c>
      <c r="F3705" s="18" t="s">
        <v>105</v>
      </c>
      <c r="G3705" s="18" t="s">
        <v>48</v>
      </c>
      <c r="H3705" s="24">
        <v>7370</v>
      </c>
      <c r="I3705" s="24">
        <f>T_reg.root.SK[[#This Row],[Volume, kg]]/1000</f>
        <v>7.37</v>
      </c>
      <c r="J3705" s="25">
        <v>0.252</v>
      </c>
      <c r="K3705" s="25">
        <f t="shared" si="57"/>
        <v>1857.24</v>
      </c>
      <c r="L3705" s="25">
        <v>2.7</v>
      </c>
      <c r="M3705" s="24">
        <v>19899</v>
      </c>
      <c r="N3705" s="25">
        <f>IFERROR(T_reg.root.SK[[#This Row],[Price]]/T_reg.root.SK[[#This Row],[Starch content]],"")</f>
        <v>10.714285714285715</v>
      </c>
    </row>
    <row r="3706" spans="1:14">
      <c r="A3706" s="21">
        <v>2024</v>
      </c>
      <c r="B3706" s="21" t="s">
        <v>25</v>
      </c>
      <c r="C3706" s="21" t="s">
        <v>1145</v>
      </c>
      <c r="D3706" s="21" t="s">
        <v>35</v>
      </c>
      <c r="E3706" s="18" t="s">
        <v>134</v>
      </c>
      <c r="F3706" s="18" t="s">
        <v>105</v>
      </c>
      <c r="G3706" s="18" t="s">
        <v>48</v>
      </c>
      <c r="H3706" s="24">
        <v>23100</v>
      </c>
      <c r="I3706" s="24">
        <f>T_reg.root.SK[[#This Row],[Volume, kg]]/1000</f>
        <v>23.1</v>
      </c>
      <c r="J3706" s="25">
        <v>0.23230000000000001</v>
      </c>
      <c r="K3706" s="25">
        <f t="shared" si="57"/>
        <v>5366.13</v>
      </c>
      <c r="L3706" s="25">
        <v>2.77</v>
      </c>
      <c r="M3706" s="24">
        <v>64047.5</v>
      </c>
      <c r="N3706" s="25">
        <f>IFERROR(T_reg.root.SK[[#This Row],[Price]]/T_reg.root.SK[[#This Row],[Starch content]],"")</f>
        <v>11.924235901851054</v>
      </c>
    </row>
    <row r="3707" spans="1:14">
      <c r="A3707" s="21">
        <v>2024</v>
      </c>
      <c r="B3707" s="21" t="s">
        <v>25</v>
      </c>
      <c r="C3707" s="21" t="s">
        <v>1145</v>
      </c>
      <c r="D3707" s="21" t="s">
        <v>35</v>
      </c>
      <c r="E3707" s="18" t="s">
        <v>808</v>
      </c>
      <c r="F3707" s="18" t="s">
        <v>105</v>
      </c>
      <c r="G3707" s="18" t="s">
        <v>48</v>
      </c>
      <c r="H3707" s="24">
        <v>15580</v>
      </c>
      <c r="I3707" s="24">
        <f>T_reg.root.SK[[#This Row],[Volume, kg]]/1000</f>
        <v>15.58</v>
      </c>
      <c r="J3707" s="25">
        <v>0.2104</v>
      </c>
      <c r="K3707" s="25">
        <f t="shared" si="57"/>
        <v>3278.0320000000002</v>
      </c>
      <c r="L3707" s="25">
        <v>2.64</v>
      </c>
      <c r="M3707" s="24">
        <v>41109</v>
      </c>
      <c r="N3707" s="25">
        <f>IFERROR(T_reg.root.SK[[#This Row],[Price]]/T_reg.root.SK[[#This Row],[Starch content]],"")</f>
        <v>12.547528517110267</v>
      </c>
    </row>
    <row r="3708" spans="1:14">
      <c r="A3708" s="21">
        <v>2024</v>
      </c>
      <c r="B3708" s="21" t="s">
        <v>25</v>
      </c>
      <c r="C3708" s="21" t="s">
        <v>1145</v>
      </c>
      <c r="D3708" s="21" t="s">
        <v>35</v>
      </c>
      <c r="E3708" s="18" t="s">
        <v>809</v>
      </c>
      <c r="F3708" s="18" t="s">
        <v>105</v>
      </c>
      <c r="G3708" s="18" t="s">
        <v>48</v>
      </c>
      <c r="H3708" s="24">
        <v>29840</v>
      </c>
      <c r="I3708" s="24">
        <f>T_reg.root.SK[[#This Row],[Volume, kg]]/1000</f>
        <v>29.84</v>
      </c>
      <c r="J3708" s="25">
        <v>0.25329999999999997</v>
      </c>
      <c r="K3708" s="25">
        <f t="shared" si="57"/>
        <v>7558.4719999999988</v>
      </c>
      <c r="L3708" s="25">
        <v>2.87</v>
      </c>
      <c r="M3708" s="24">
        <v>85575.5</v>
      </c>
      <c r="N3708" s="25">
        <f>IFERROR(T_reg.root.SK[[#This Row],[Price]]/T_reg.root.SK[[#This Row],[Starch content]],"")</f>
        <v>11.330438215554681</v>
      </c>
    </row>
    <row r="3709" spans="1:14">
      <c r="A3709" s="21">
        <v>2024</v>
      </c>
      <c r="B3709" s="21" t="s">
        <v>25</v>
      </c>
      <c r="C3709" s="21" t="s">
        <v>1145</v>
      </c>
      <c r="D3709" s="21" t="s">
        <v>35</v>
      </c>
      <c r="E3709" s="18" t="s">
        <v>136</v>
      </c>
      <c r="F3709" s="18" t="s">
        <v>105</v>
      </c>
      <c r="G3709" s="18" t="s">
        <v>48</v>
      </c>
      <c r="H3709" s="24">
        <v>78880</v>
      </c>
      <c r="I3709" s="24">
        <f>T_reg.root.SK[[#This Row],[Volume, kg]]/1000</f>
        <v>78.88</v>
      </c>
      <c r="J3709" s="25">
        <v>0.24249999999999999</v>
      </c>
      <c r="K3709" s="25">
        <f t="shared" si="57"/>
        <v>19128.399999999998</v>
      </c>
      <c r="L3709" s="25">
        <v>2.81</v>
      </c>
      <c r="M3709" s="24">
        <v>221561</v>
      </c>
      <c r="N3709" s="25">
        <f>IFERROR(T_reg.root.SK[[#This Row],[Price]]/T_reg.root.SK[[#This Row],[Starch content]],"")</f>
        <v>11.587628865979381</v>
      </c>
    </row>
    <row r="3710" spans="1:14">
      <c r="A3710" s="21">
        <v>2024</v>
      </c>
      <c r="B3710" s="21" t="s">
        <v>25</v>
      </c>
      <c r="C3710" s="21" t="s">
        <v>1145</v>
      </c>
      <c r="D3710" s="21" t="s">
        <v>35</v>
      </c>
      <c r="E3710" s="18" t="s">
        <v>493</v>
      </c>
      <c r="F3710" s="18" t="s">
        <v>105</v>
      </c>
      <c r="G3710" s="18" t="s">
        <v>48</v>
      </c>
      <c r="H3710" s="24">
        <v>36380</v>
      </c>
      <c r="I3710" s="24">
        <f>T_reg.root.SK[[#This Row],[Volume, kg]]/1000</f>
        <v>36.380000000000003</v>
      </c>
      <c r="J3710" s="25">
        <v>0.17079999999999998</v>
      </c>
      <c r="K3710" s="25">
        <f t="shared" si="57"/>
        <v>6213.7039999999988</v>
      </c>
      <c r="L3710" s="25">
        <v>2.46</v>
      </c>
      <c r="M3710" s="24">
        <v>89371</v>
      </c>
      <c r="N3710" s="25">
        <f>IFERROR(T_reg.root.SK[[#This Row],[Price]]/T_reg.root.SK[[#This Row],[Starch content]],"")</f>
        <v>14.40281030444965</v>
      </c>
    </row>
    <row r="3711" spans="1:14">
      <c r="A3711" s="21">
        <v>2024</v>
      </c>
      <c r="B3711" s="21" t="s">
        <v>25</v>
      </c>
      <c r="C3711" s="21" t="s">
        <v>1145</v>
      </c>
      <c r="D3711" s="21" t="s">
        <v>35</v>
      </c>
      <c r="E3711" s="18" t="s">
        <v>810</v>
      </c>
      <c r="F3711" s="18" t="s">
        <v>105</v>
      </c>
      <c r="G3711" s="18" t="s">
        <v>48</v>
      </c>
      <c r="H3711" s="24">
        <v>3370</v>
      </c>
      <c r="I3711" s="24">
        <f>T_reg.root.SK[[#This Row],[Volume, kg]]/1000</f>
        <v>3.37</v>
      </c>
      <c r="J3711" s="25">
        <v>0.1595</v>
      </c>
      <c r="K3711" s="25">
        <f t="shared" si="57"/>
        <v>537.51499999999999</v>
      </c>
      <c r="L3711" s="25">
        <v>2.4</v>
      </c>
      <c r="M3711" s="24">
        <v>8088</v>
      </c>
      <c r="N3711" s="25">
        <f>IFERROR(T_reg.root.SK[[#This Row],[Price]]/T_reg.root.SK[[#This Row],[Starch content]],"")</f>
        <v>15.047021943573666</v>
      </c>
    </row>
    <row r="3712" spans="1:14">
      <c r="A3712" s="21">
        <v>2024</v>
      </c>
      <c r="B3712" s="21" t="s">
        <v>25</v>
      </c>
      <c r="C3712" s="21" t="s">
        <v>1145</v>
      </c>
      <c r="D3712" s="21" t="s">
        <v>35</v>
      </c>
      <c r="E3712" s="18" t="s">
        <v>138</v>
      </c>
      <c r="F3712" s="18" t="s">
        <v>105</v>
      </c>
      <c r="G3712" s="18" t="s">
        <v>48</v>
      </c>
      <c r="H3712" s="24">
        <v>27910</v>
      </c>
      <c r="I3712" s="24">
        <f>T_reg.root.SK[[#This Row],[Volume, kg]]/1000</f>
        <v>27.91</v>
      </c>
      <c r="J3712" s="25">
        <v>0.23100000000000001</v>
      </c>
      <c r="K3712" s="25">
        <f t="shared" si="57"/>
        <v>6447.21</v>
      </c>
      <c r="L3712" s="25">
        <v>2.69</v>
      </c>
      <c r="M3712" s="24">
        <v>75118</v>
      </c>
      <c r="N3712" s="25">
        <f>IFERROR(T_reg.root.SK[[#This Row],[Price]]/T_reg.root.SK[[#This Row],[Starch content]],"")</f>
        <v>11.645021645021645</v>
      </c>
    </row>
    <row r="3713" spans="1:14">
      <c r="A3713" s="21">
        <v>2024</v>
      </c>
      <c r="B3713" s="21" t="s">
        <v>25</v>
      </c>
      <c r="C3713" s="21" t="s">
        <v>1145</v>
      </c>
      <c r="D3713" s="21" t="s">
        <v>35</v>
      </c>
      <c r="E3713" s="18" t="s">
        <v>718</v>
      </c>
      <c r="F3713" s="18" t="s">
        <v>105</v>
      </c>
      <c r="G3713" s="18" t="s">
        <v>48</v>
      </c>
      <c r="H3713" s="24">
        <v>5480</v>
      </c>
      <c r="I3713" s="24">
        <f>T_reg.root.SK[[#This Row],[Volume, kg]]/1000</f>
        <v>5.48</v>
      </c>
      <c r="J3713" s="25">
        <v>0.19899999999999998</v>
      </c>
      <c r="K3713" s="25">
        <f t="shared" si="57"/>
        <v>1090.52</v>
      </c>
      <c r="L3713" s="25">
        <v>2.6</v>
      </c>
      <c r="M3713" s="24">
        <v>14248</v>
      </c>
      <c r="N3713" s="25">
        <f>IFERROR(T_reg.root.SK[[#This Row],[Price]]/T_reg.root.SK[[#This Row],[Starch content]],"")</f>
        <v>13.065326633165832</v>
      </c>
    </row>
    <row r="3714" spans="1:14">
      <c r="A3714" s="21">
        <v>2024</v>
      </c>
      <c r="B3714" s="21" t="s">
        <v>25</v>
      </c>
      <c r="C3714" s="21" t="s">
        <v>1145</v>
      </c>
      <c r="D3714" s="21" t="s">
        <v>35</v>
      </c>
      <c r="E3714" s="18" t="s">
        <v>719</v>
      </c>
      <c r="F3714" s="18" t="s">
        <v>105</v>
      </c>
      <c r="G3714" s="18" t="s">
        <v>48</v>
      </c>
      <c r="H3714" s="24">
        <v>22650</v>
      </c>
      <c r="I3714" s="24">
        <f>T_reg.root.SK[[#This Row],[Volume, kg]]/1000</f>
        <v>22.65</v>
      </c>
      <c r="J3714" s="25">
        <v>0.22510000000000002</v>
      </c>
      <c r="K3714" s="25">
        <f t="shared" si="57"/>
        <v>5098.5150000000003</v>
      </c>
      <c r="L3714" s="25">
        <v>2.73</v>
      </c>
      <c r="M3714" s="24">
        <v>61936.5</v>
      </c>
      <c r="N3714" s="25">
        <f>IFERROR(T_reg.root.SK[[#This Row],[Price]]/T_reg.root.SK[[#This Row],[Starch content]],"")</f>
        <v>12.127943136383829</v>
      </c>
    </row>
    <row r="3715" spans="1:14">
      <c r="A3715" s="21">
        <v>2024</v>
      </c>
      <c r="B3715" s="21" t="s">
        <v>25</v>
      </c>
      <c r="C3715" s="21" t="s">
        <v>1145</v>
      </c>
      <c r="D3715" s="21" t="s">
        <v>35</v>
      </c>
      <c r="E3715" s="18" t="s">
        <v>244</v>
      </c>
      <c r="F3715" s="18" t="s">
        <v>105</v>
      </c>
      <c r="G3715" s="18" t="s">
        <v>48</v>
      </c>
      <c r="H3715" s="24">
        <v>25360</v>
      </c>
      <c r="I3715" s="24">
        <f>T_reg.root.SK[[#This Row],[Volume, kg]]/1000</f>
        <v>25.36</v>
      </c>
      <c r="J3715" s="25">
        <v>0.23550000000000001</v>
      </c>
      <c r="K3715" s="25">
        <f t="shared" ref="K3715:K3778" si="58">H3715*J3715</f>
        <v>5972.2800000000007</v>
      </c>
      <c r="L3715" s="25">
        <v>2.73</v>
      </c>
      <c r="M3715" s="24">
        <v>69247</v>
      </c>
      <c r="N3715" s="25">
        <f>IFERROR(T_reg.root.SK[[#This Row],[Price]]/T_reg.root.SK[[#This Row],[Starch content]],"")</f>
        <v>11.592356687898087</v>
      </c>
    </row>
    <row r="3716" spans="1:14">
      <c r="A3716" s="21">
        <v>2024</v>
      </c>
      <c r="B3716" s="21" t="s">
        <v>25</v>
      </c>
      <c r="C3716" s="21" t="s">
        <v>1145</v>
      </c>
      <c r="D3716" s="21" t="s">
        <v>35</v>
      </c>
      <c r="E3716" s="18" t="s">
        <v>756</v>
      </c>
      <c r="F3716" s="18" t="s">
        <v>105</v>
      </c>
      <c r="G3716" s="18" t="s">
        <v>48</v>
      </c>
      <c r="H3716" s="24">
        <v>15590</v>
      </c>
      <c r="I3716" s="24">
        <f>T_reg.root.SK[[#This Row],[Volume, kg]]/1000</f>
        <v>15.59</v>
      </c>
      <c r="J3716" s="25">
        <v>0.19969999999999999</v>
      </c>
      <c r="K3716" s="25">
        <f t="shared" si="58"/>
        <v>3113.3229999999999</v>
      </c>
      <c r="L3716" s="25">
        <v>2.6</v>
      </c>
      <c r="M3716" s="24">
        <v>40534</v>
      </c>
      <c r="N3716" s="25">
        <f>IFERROR(T_reg.root.SK[[#This Row],[Price]]/T_reg.root.SK[[#This Row],[Starch content]],"")</f>
        <v>13.019529293940913</v>
      </c>
    </row>
    <row r="3717" spans="1:14">
      <c r="A3717" s="21">
        <v>2024</v>
      </c>
      <c r="B3717" s="21" t="s">
        <v>25</v>
      </c>
      <c r="C3717" s="21" t="s">
        <v>1145</v>
      </c>
      <c r="D3717" s="21" t="s">
        <v>35</v>
      </c>
      <c r="E3717" s="18" t="s">
        <v>497</v>
      </c>
      <c r="F3717" s="18" t="s">
        <v>105</v>
      </c>
      <c r="G3717" s="18" t="s">
        <v>48</v>
      </c>
      <c r="H3717" s="24">
        <v>14120</v>
      </c>
      <c r="I3717" s="24">
        <f>T_reg.root.SK[[#This Row],[Volume, kg]]/1000</f>
        <v>14.12</v>
      </c>
      <c r="J3717" s="25">
        <v>0.26340000000000002</v>
      </c>
      <c r="K3717" s="25">
        <f t="shared" si="58"/>
        <v>3719.2080000000005</v>
      </c>
      <c r="L3717" s="25">
        <v>2.93</v>
      </c>
      <c r="M3717" s="24">
        <v>41336</v>
      </c>
      <c r="N3717" s="25">
        <f>IFERROR(T_reg.root.SK[[#This Row],[Price]]/T_reg.root.SK[[#This Row],[Starch content]],"")</f>
        <v>11.123766135155657</v>
      </c>
    </row>
    <row r="3718" spans="1:14">
      <c r="A3718" s="21">
        <v>2024</v>
      </c>
      <c r="B3718" s="21" t="s">
        <v>25</v>
      </c>
      <c r="C3718" s="21" t="s">
        <v>1145</v>
      </c>
      <c r="D3718" s="21" t="s">
        <v>35</v>
      </c>
      <c r="E3718" s="18" t="s">
        <v>568</v>
      </c>
      <c r="F3718" s="18" t="s">
        <v>105</v>
      </c>
      <c r="G3718" s="18" t="s">
        <v>48</v>
      </c>
      <c r="H3718" s="24">
        <v>31290</v>
      </c>
      <c r="I3718" s="24">
        <f>T_reg.root.SK[[#This Row],[Volume, kg]]/1000</f>
        <v>31.29</v>
      </c>
      <c r="J3718" s="25">
        <v>0.2626</v>
      </c>
      <c r="K3718" s="25">
        <f t="shared" si="58"/>
        <v>8216.7540000000008</v>
      </c>
      <c r="L3718" s="25">
        <v>2.92</v>
      </c>
      <c r="M3718" s="24">
        <v>91438</v>
      </c>
      <c r="N3718" s="25">
        <f>IFERROR(T_reg.root.SK[[#This Row],[Price]]/T_reg.root.SK[[#This Row],[Starch content]],"")</f>
        <v>11.119573495811119</v>
      </c>
    </row>
    <row r="3719" spans="1:14">
      <c r="A3719" s="21">
        <v>2024</v>
      </c>
      <c r="B3719" s="21" t="s">
        <v>25</v>
      </c>
      <c r="C3719" s="21" t="s">
        <v>1145</v>
      </c>
      <c r="D3719" s="21" t="s">
        <v>35</v>
      </c>
      <c r="E3719" s="18" t="s">
        <v>143</v>
      </c>
      <c r="F3719" s="18" t="s">
        <v>105</v>
      </c>
      <c r="G3719" s="18" t="s">
        <v>48</v>
      </c>
      <c r="H3719" s="24">
        <v>23520</v>
      </c>
      <c r="I3719" s="24">
        <f>T_reg.root.SK[[#This Row],[Volume, kg]]/1000</f>
        <v>23.52</v>
      </c>
      <c r="J3719" s="25">
        <v>0.23600000000000002</v>
      </c>
      <c r="K3719" s="25">
        <f t="shared" si="58"/>
        <v>5550.72</v>
      </c>
      <c r="L3719" s="25">
        <v>2.78</v>
      </c>
      <c r="M3719" s="24">
        <v>65377.5</v>
      </c>
      <c r="N3719" s="25">
        <f>IFERROR(T_reg.root.SK[[#This Row],[Price]]/T_reg.root.SK[[#This Row],[Starch content]],"")</f>
        <v>11.77966101694915</v>
      </c>
    </row>
    <row r="3720" spans="1:14">
      <c r="A3720" s="21">
        <v>2024</v>
      </c>
      <c r="B3720" s="21" t="s">
        <v>25</v>
      </c>
      <c r="C3720" s="21" t="s">
        <v>1145</v>
      </c>
      <c r="D3720" s="21" t="s">
        <v>35</v>
      </c>
      <c r="E3720" s="18" t="s">
        <v>311</v>
      </c>
      <c r="F3720" s="18" t="s">
        <v>105</v>
      </c>
      <c r="G3720" s="18" t="s">
        <v>48</v>
      </c>
      <c r="H3720" s="24">
        <v>12770</v>
      </c>
      <c r="I3720" s="24">
        <f>T_reg.root.SK[[#This Row],[Volume, kg]]/1000</f>
        <v>12.77</v>
      </c>
      <c r="J3720" s="25">
        <v>0.2041</v>
      </c>
      <c r="K3720" s="25">
        <f t="shared" si="58"/>
        <v>2606.357</v>
      </c>
      <c r="L3720" s="25">
        <v>2.63</v>
      </c>
      <c r="M3720" s="24">
        <v>33578</v>
      </c>
      <c r="N3720" s="25">
        <f>IFERROR(T_reg.root.SK[[#This Row],[Price]]/T_reg.root.SK[[#This Row],[Starch content]],"")</f>
        <v>12.885840274375305</v>
      </c>
    </row>
    <row r="3721" spans="1:14">
      <c r="A3721" s="21">
        <v>2024</v>
      </c>
      <c r="B3721" s="21" t="s">
        <v>25</v>
      </c>
      <c r="C3721" s="21" t="s">
        <v>1145</v>
      </c>
      <c r="D3721" s="21" t="s">
        <v>35</v>
      </c>
      <c r="E3721" s="18" t="s">
        <v>646</v>
      </c>
      <c r="F3721" s="18" t="s">
        <v>105</v>
      </c>
      <c r="G3721" s="18" t="s">
        <v>48</v>
      </c>
      <c r="H3721" s="24">
        <v>21120</v>
      </c>
      <c r="I3721" s="24">
        <f>T_reg.root.SK[[#This Row],[Volume, kg]]/1000</f>
        <v>21.12</v>
      </c>
      <c r="J3721" s="25">
        <v>0.2437</v>
      </c>
      <c r="K3721" s="25">
        <f t="shared" si="58"/>
        <v>5146.9440000000004</v>
      </c>
      <c r="L3721" s="25">
        <v>2.83</v>
      </c>
      <c r="M3721" s="24">
        <v>59772</v>
      </c>
      <c r="N3721" s="25">
        <f>IFERROR(T_reg.root.SK[[#This Row],[Price]]/T_reg.root.SK[[#This Row],[Starch content]],"")</f>
        <v>11.612638489946656</v>
      </c>
    </row>
    <row r="3722" spans="1:14">
      <c r="A3722" s="21">
        <v>2024</v>
      </c>
      <c r="B3722" s="21" t="s">
        <v>25</v>
      </c>
      <c r="C3722" s="21" t="s">
        <v>1145</v>
      </c>
      <c r="D3722" s="21" t="s">
        <v>35</v>
      </c>
      <c r="E3722" s="18" t="s">
        <v>312</v>
      </c>
      <c r="F3722" s="18" t="s">
        <v>105</v>
      </c>
      <c r="G3722" s="18" t="s">
        <v>48</v>
      </c>
      <c r="H3722" s="24">
        <v>3660</v>
      </c>
      <c r="I3722" s="24">
        <f>T_reg.root.SK[[#This Row],[Volume, kg]]/1000</f>
        <v>3.66</v>
      </c>
      <c r="J3722" s="25">
        <v>0.24</v>
      </c>
      <c r="K3722" s="25">
        <f t="shared" si="58"/>
        <v>878.4</v>
      </c>
      <c r="L3722" s="25">
        <v>2.8</v>
      </c>
      <c r="M3722" s="24">
        <v>10248</v>
      </c>
      <c r="N3722" s="25">
        <f>IFERROR(T_reg.root.SK[[#This Row],[Price]]/T_reg.root.SK[[#This Row],[Starch content]],"")</f>
        <v>11.666666666666666</v>
      </c>
    </row>
    <row r="3723" spans="1:14">
      <c r="A3723" s="21">
        <v>2024</v>
      </c>
      <c r="B3723" s="21" t="s">
        <v>25</v>
      </c>
      <c r="C3723" s="21" t="s">
        <v>1145</v>
      </c>
      <c r="D3723" s="21" t="s">
        <v>35</v>
      </c>
      <c r="E3723" s="18" t="s">
        <v>144</v>
      </c>
      <c r="F3723" s="18" t="s">
        <v>105</v>
      </c>
      <c r="G3723" s="18" t="s">
        <v>48</v>
      </c>
      <c r="H3723" s="24">
        <v>9120</v>
      </c>
      <c r="I3723" s="24">
        <f>T_reg.root.SK[[#This Row],[Volume, kg]]/1000</f>
        <v>9.1199999999999992</v>
      </c>
      <c r="J3723" s="25">
        <v>0.24</v>
      </c>
      <c r="K3723" s="25">
        <f t="shared" si="58"/>
        <v>2188.7999999999997</v>
      </c>
      <c r="L3723" s="25">
        <v>2.8</v>
      </c>
      <c r="M3723" s="24">
        <v>25536</v>
      </c>
      <c r="N3723" s="25">
        <f>IFERROR(T_reg.root.SK[[#This Row],[Price]]/T_reg.root.SK[[#This Row],[Starch content]],"")</f>
        <v>11.666666666666666</v>
      </c>
    </row>
    <row r="3724" spans="1:14">
      <c r="A3724" s="21">
        <v>2024</v>
      </c>
      <c r="B3724" s="21" t="s">
        <v>25</v>
      </c>
      <c r="C3724" s="21" t="s">
        <v>1145</v>
      </c>
      <c r="D3724" s="21" t="s">
        <v>35</v>
      </c>
      <c r="E3724" s="18" t="s">
        <v>361</v>
      </c>
      <c r="F3724" s="18" t="s">
        <v>105</v>
      </c>
      <c r="G3724" s="18" t="s">
        <v>48</v>
      </c>
      <c r="H3724" s="24">
        <v>16780</v>
      </c>
      <c r="I3724" s="24">
        <f>T_reg.root.SK[[#This Row],[Volume, kg]]/1000</f>
        <v>16.78</v>
      </c>
      <c r="J3724" s="25">
        <v>0.23649999999999999</v>
      </c>
      <c r="K3724" s="25">
        <f t="shared" si="58"/>
        <v>3968.47</v>
      </c>
      <c r="L3724" s="25">
        <v>2.8</v>
      </c>
      <c r="M3724" s="24">
        <v>46984</v>
      </c>
      <c r="N3724" s="25">
        <f>IFERROR(T_reg.root.SK[[#This Row],[Price]]/T_reg.root.SK[[#This Row],[Starch content]],"")</f>
        <v>11.839323467230443</v>
      </c>
    </row>
    <row r="3725" spans="1:14">
      <c r="A3725" s="21">
        <v>2024</v>
      </c>
      <c r="B3725" s="21" t="s">
        <v>25</v>
      </c>
      <c r="C3725" s="21" t="s">
        <v>1145</v>
      </c>
      <c r="D3725" s="21" t="s">
        <v>35</v>
      </c>
      <c r="E3725" s="18" t="s">
        <v>146</v>
      </c>
      <c r="F3725" s="18" t="s">
        <v>105</v>
      </c>
      <c r="G3725" s="18" t="s">
        <v>48</v>
      </c>
      <c r="H3725" s="24">
        <v>162860</v>
      </c>
      <c r="I3725" s="24">
        <f>T_reg.root.SK[[#This Row],[Volume, kg]]/1000</f>
        <v>162.86000000000001</v>
      </c>
      <c r="J3725" s="25">
        <v>0.20129999999999998</v>
      </c>
      <c r="K3725" s="25">
        <f t="shared" si="58"/>
        <v>32783.717999999993</v>
      </c>
      <c r="L3725" s="25">
        <v>2.61</v>
      </c>
      <c r="M3725" s="24">
        <v>424689</v>
      </c>
      <c r="N3725" s="25">
        <f>IFERROR(T_reg.root.SK[[#This Row],[Price]]/T_reg.root.SK[[#This Row],[Starch content]],"")</f>
        <v>12.965722801788376</v>
      </c>
    </row>
    <row r="3726" spans="1:14">
      <c r="A3726" s="21">
        <v>2024</v>
      </c>
      <c r="B3726" s="21" t="s">
        <v>25</v>
      </c>
      <c r="C3726" s="21" t="s">
        <v>1145</v>
      </c>
      <c r="D3726" s="21" t="s">
        <v>35</v>
      </c>
      <c r="E3726" s="18" t="s">
        <v>569</v>
      </c>
      <c r="F3726" s="18" t="s">
        <v>105</v>
      </c>
      <c r="G3726" s="18" t="s">
        <v>48</v>
      </c>
      <c r="H3726" s="24">
        <v>27020</v>
      </c>
      <c r="I3726" s="24">
        <f>T_reg.root.SK[[#This Row],[Volume, kg]]/1000</f>
        <v>27.02</v>
      </c>
      <c r="J3726" s="25">
        <v>0.23980000000000001</v>
      </c>
      <c r="K3726" s="25">
        <f t="shared" si="58"/>
        <v>6479.3960000000006</v>
      </c>
      <c r="L3726" s="25">
        <v>2.81</v>
      </c>
      <c r="M3726" s="24">
        <v>75946</v>
      </c>
      <c r="N3726" s="25">
        <f>IFERROR(T_reg.root.SK[[#This Row],[Price]]/T_reg.root.SK[[#This Row],[Starch content]],"")</f>
        <v>11.718098415346121</v>
      </c>
    </row>
    <row r="3727" spans="1:14">
      <c r="A3727" s="21">
        <v>2024</v>
      </c>
      <c r="B3727" s="21" t="s">
        <v>25</v>
      </c>
      <c r="C3727" s="21" t="s">
        <v>1145</v>
      </c>
      <c r="D3727" s="21" t="s">
        <v>35</v>
      </c>
      <c r="E3727" s="18" t="s">
        <v>250</v>
      </c>
      <c r="F3727" s="18" t="s">
        <v>105</v>
      </c>
      <c r="G3727" s="18" t="s">
        <v>48</v>
      </c>
      <c r="H3727" s="24">
        <v>75360</v>
      </c>
      <c r="I3727" s="24">
        <f>T_reg.root.SK[[#This Row],[Volume, kg]]/1000</f>
        <v>75.36</v>
      </c>
      <c r="J3727" s="25">
        <v>0.21179999999999999</v>
      </c>
      <c r="K3727" s="25">
        <f t="shared" si="58"/>
        <v>15961.248</v>
      </c>
      <c r="L3727" s="25">
        <v>2.65</v>
      </c>
      <c r="M3727" s="24">
        <v>199562</v>
      </c>
      <c r="N3727" s="25">
        <f>IFERROR(T_reg.root.SK[[#This Row],[Price]]/T_reg.root.SK[[#This Row],[Starch content]],"")</f>
        <v>12.51180358829084</v>
      </c>
    </row>
    <row r="3728" spans="1:14">
      <c r="A3728" s="21">
        <v>2024</v>
      </c>
      <c r="B3728" s="21" t="s">
        <v>25</v>
      </c>
      <c r="C3728" s="21" t="s">
        <v>1145</v>
      </c>
      <c r="D3728" s="21" t="s">
        <v>35</v>
      </c>
      <c r="E3728" s="18" t="s">
        <v>668</v>
      </c>
      <c r="F3728" s="18" t="s">
        <v>105</v>
      </c>
      <c r="G3728" s="18" t="s">
        <v>48</v>
      </c>
      <c r="H3728" s="24">
        <v>10080</v>
      </c>
      <c r="I3728" s="24">
        <f>T_reg.root.SK[[#This Row],[Volume, kg]]/1000</f>
        <v>10.08</v>
      </c>
      <c r="J3728" s="25">
        <v>0.21729999999999999</v>
      </c>
      <c r="K3728" s="25">
        <f t="shared" si="58"/>
        <v>2190.384</v>
      </c>
      <c r="L3728" s="25">
        <v>2.69</v>
      </c>
      <c r="M3728" s="24">
        <v>27081</v>
      </c>
      <c r="N3728" s="25">
        <f>IFERROR(T_reg.root.SK[[#This Row],[Price]]/T_reg.root.SK[[#This Row],[Starch content]],"")</f>
        <v>12.379199263690751</v>
      </c>
    </row>
    <row r="3729" spans="1:14">
      <c r="A3729" s="21">
        <v>2024</v>
      </c>
      <c r="B3729" s="21" t="s">
        <v>25</v>
      </c>
      <c r="C3729" s="21" t="s">
        <v>1145</v>
      </c>
      <c r="D3729" s="21" t="s">
        <v>35</v>
      </c>
      <c r="E3729" s="18" t="s">
        <v>147</v>
      </c>
      <c r="F3729" s="18" t="s">
        <v>105</v>
      </c>
      <c r="G3729" s="18" t="s">
        <v>48</v>
      </c>
      <c r="H3729" s="24">
        <v>34630</v>
      </c>
      <c r="I3729" s="24">
        <f>T_reg.root.SK[[#This Row],[Volume, kg]]/1000</f>
        <v>34.630000000000003</v>
      </c>
      <c r="J3729" s="25">
        <v>0.26780000000000004</v>
      </c>
      <c r="K3729" s="25">
        <f t="shared" si="58"/>
        <v>9273.9140000000007</v>
      </c>
      <c r="L3729" s="25">
        <v>2.95</v>
      </c>
      <c r="M3729" s="24">
        <v>102003</v>
      </c>
      <c r="N3729" s="25">
        <f>IFERROR(T_reg.root.SK[[#This Row],[Price]]/T_reg.root.SK[[#This Row],[Starch content]],"")</f>
        <v>11.015683345780433</v>
      </c>
    </row>
    <row r="3730" spans="1:14">
      <c r="A3730" s="21">
        <v>2024</v>
      </c>
      <c r="B3730" s="21" t="s">
        <v>25</v>
      </c>
      <c r="C3730" s="21" t="s">
        <v>1145</v>
      </c>
      <c r="D3730" s="21" t="s">
        <v>35</v>
      </c>
      <c r="E3730" s="18" t="s">
        <v>251</v>
      </c>
      <c r="F3730" s="18" t="s">
        <v>105</v>
      </c>
      <c r="G3730" s="18" t="s">
        <v>48</v>
      </c>
      <c r="H3730" s="24">
        <v>9650</v>
      </c>
      <c r="I3730" s="24">
        <f>T_reg.root.SK[[#This Row],[Volume, kg]]/1000</f>
        <v>9.65</v>
      </c>
      <c r="J3730" s="25">
        <v>0.2505</v>
      </c>
      <c r="K3730" s="25">
        <f t="shared" si="58"/>
        <v>2417.3249999999998</v>
      </c>
      <c r="L3730" s="25">
        <v>2.85</v>
      </c>
      <c r="M3730" s="24">
        <v>27502.5</v>
      </c>
      <c r="N3730" s="25">
        <f>IFERROR(T_reg.root.SK[[#This Row],[Price]]/T_reg.root.SK[[#This Row],[Starch content]],"")</f>
        <v>11.377245508982035</v>
      </c>
    </row>
    <row r="3731" spans="1:14">
      <c r="A3731" s="21">
        <v>2024</v>
      </c>
      <c r="B3731" s="21" t="s">
        <v>25</v>
      </c>
      <c r="C3731" s="21" t="s">
        <v>1145</v>
      </c>
      <c r="D3731" s="21" t="s">
        <v>35</v>
      </c>
      <c r="E3731" s="18" t="s">
        <v>811</v>
      </c>
      <c r="F3731" s="18" t="s">
        <v>105</v>
      </c>
      <c r="G3731" s="18" t="s">
        <v>48</v>
      </c>
      <c r="H3731" s="24">
        <v>12150</v>
      </c>
      <c r="I3731" s="24">
        <f>T_reg.root.SK[[#This Row],[Volume, kg]]/1000</f>
        <v>12.15</v>
      </c>
      <c r="J3731" s="25">
        <v>0.22760000000000002</v>
      </c>
      <c r="K3731" s="25">
        <f t="shared" si="58"/>
        <v>2765.34</v>
      </c>
      <c r="L3731" s="25">
        <v>2.74</v>
      </c>
      <c r="M3731" s="24">
        <v>33334</v>
      </c>
      <c r="N3731" s="25">
        <f>IFERROR(T_reg.root.SK[[#This Row],[Price]]/T_reg.root.SK[[#This Row],[Starch content]],"")</f>
        <v>12.038664323374341</v>
      </c>
    </row>
    <row r="3732" spans="1:14">
      <c r="A3732" s="21">
        <v>2024</v>
      </c>
      <c r="B3732" s="21" t="s">
        <v>25</v>
      </c>
      <c r="C3732" s="21" t="s">
        <v>1145</v>
      </c>
      <c r="D3732" s="21" t="s">
        <v>35</v>
      </c>
      <c r="E3732" s="18" t="s">
        <v>148</v>
      </c>
      <c r="F3732" s="18" t="s">
        <v>105</v>
      </c>
      <c r="G3732" s="18" t="s">
        <v>48</v>
      </c>
      <c r="H3732" s="24">
        <v>3630</v>
      </c>
      <c r="I3732" s="24">
        <f>T_reg.root.SK[[#This Row],[Volume, kg]]/1000</f>
        <v>3.63</v>
      </c>
      <c r="J3732" s="25">
        <v>0.14000000000000001</v>
      </c>
      <c r="K3732" s="25">
        <f t="shared" si="58"/>
        <v>508.20000000000005</v>
      </c>
      <c r="L3732" s="25">
        <v>2.15</v>
      </c>
      <c r="M3732" s="24">
        <v>7804.5</v>
      </c>
      <c r="N3732" s="25">
        <f>IFERROR(T_reg.root.SK[[#This Row],[Price]]/T_reg.root.SK[[#This Row],[Starch content]],"")</f>
        <v>15.357142857142856</v>
      </c>
    </row>
    <row r="3733" spans="1:14">
      <c r="A3733" s="21">
        <v>2024</v>
      </c>
      <c r="B3733" s="21" t="s">
        <v>25</v>
      </c>
      <c r="C3733" s="21" t="s">
        <v>1145</v>
      </c>
      <c r="D3733" s="21" t="s">
        <v>35</v>
      </c>
      <c r="E3733" s="18" t="s">
        <v>252</v>
      </c>
      <c r="F3733" s="18" t="s">
        <v>105</v>
      </c>
      <c r="G3733" s="18" t="s">
        <v>48</v>
      </c>
      <c r="H3733" s="24">
        <v>29290</v>
      </c>
      <c r="I3733" s="24">
        <f>T_reg.root.SK[[#This Row],[Volume, kg]]/1000</f>
        <v>29.29</v>
      </c>
      <c r="J3733" s="25">
        <v>0.2482</v>
      </c>
      <c r="K3733" s="25">
        <f t="shared" si="58"/>
        <v>7269.7780000000002</v>
      </c>
      <c r="L3733" s="25">
        <v>2.8</v>
      </c>
      <c r="M3733" s="24">
        <v>82116</v>
      </c>
      <c r="N3733" s="25">
        <f>IFERROR(T_reg.root.SK[[#This Row],[Price]]/T_reg.root.SK[[#This Row],[Starch content]],"")</f>
        <v>11.2812248186946</v>
      </c>
    </row>
    <row r="3734" spans="1:14">
      <c r="A3734" s="21">
        <v>2024</v>
      </c>
      <c r="B3734" s="21" t="s">
        <v>25</v>
      </c>
      <c r="C3734" s="21" t="s">
        <v>1145</v>
      </c>
      <c r="D3734" s="21" t="s">
        <v>35</v>
      </c>
      <c r="E3734" s="18" t="s">
        <v>604</v>
      </c>
      <c r="F3734" s="18" t="s">
        <v>105</v>
      </c>
      <c r="G3734" s="18" t="s">
        <v>48</v>
      </c>
      <c r="H3734" s="24">
        <v>19720</v>
      </c>
      <c r="I3734" s="24">
        <f>T_reg.root.SK[[#This Row],[Volume, kg]]/1000</f>
        <v>19.72</v>
      </c>
      <c r="J3734" s="25">
        <v>0.24489999999999998</v>
      </c>
      <c r="K3734" s="25">
        <f t="shared" si="58"/>
        <v>4829.4279999999999</v>
      </c>
      <c r="L3734" s="25">
        <v>2.77</v>
      </c>
      <c r="M3734" s="24">
        <v>54534.5</v>
      </c>
      <c r="N3734" s="25">
        <f>IFERROR(T_reg.root.SK[[#This Row],[Price]]/T_reg.root.SK[[#This Row],[Starch content]],"")</f>
        <v>11.310739077174357</v>
      </c>
    </row>
    <row r="3735" spans="1:14">
      <c r="A3735" s="21">
        <v>2024</v>
      </c>
      <c r="B3735" s="21" t="s">
        <v>25</v>
      </c>
      <c r="C3735" s="21" t="s">
        <v>1145</v>
      </c>
      <c r="D3735" s="21" t="s">
        <v>35</v>
      </c>
      <c r="E3735" s="18" t="s">
        <v>314</v>
      </c>
      <c r="F3735" s="18" t="s">
        <v>105</v>
      </c>
      <c r="G3735" s="18" t="s">
        <v>48</v>
      </c>
      <c r="H3735" s="24">
        <v>22030</v>
      </c>
      <c r="I3735" s="24">
        <f>T_reg.root.SK[[#This Row],[Volume, kg]]/1000</f>
        <v>22.03</v>
      </c>
      <c r="J3735" s="25">
        <v>0.24710000000000001</v>
      </c>
      <c r="K3735" s="25">
        <f t="shared" si="58"/>
        <v>5443.6130000000003</v>
      </c>
      <c r="L3735" s="25">
        <v>2.73</v>
      </c>
      <c r="M3735" s="24">
        <v>60034</v>
      </c>
      <c r="N3735" s="25">
        <f>IFERROR(T_reg.root.SK[[#This Row],[Price]]/T_reg.root.SK[[#This Row],[Starch content]],"")</f>
        <v>11.048158640226628</v>
      </c>
    </row>
    <row r="3736" spans="1:14">
      <c r="A3736" s="21">
        <v>2024</v>
      </c>
      <c r="B3736" s="21" t="s">
        <v>25</v>
      </c>
      <c r="C3736" s="21" t="s">
        <v>1145</v>
      </c>
      <c r="D3736" s="21" t="s">
        <v>35</v>
      </c>
      <c r="E3736" s="18" t="s">
        <v>500</v>
      </c>
      <c r="F3736" s="18" t="s">
        <v>105</v>
      </c>
      <c r="G3736" s="18" t="s">
        <v>48</v>
      </c>
      <c r="H3736" s="24">
        <v>13910</v>
      </c>
      <c r="I3736" s="24">
        <f>T_reg.root.SK[[#This Row],[Volume, kg]]/1000</f>
        <v>13.91</v>
      </c>
      <c r="J3736" s="25">
        <v>0.22329999999999997</v>
      </c>
      <c r="K3736" s="25">
        <f t="shared" si="58"/>
        <v>3106.1029999999996</v>
      </c>
      <c r="L3736" s="25">
        <v>2.73</v>
      </c>
      <c r="M3736" s="24">
        <v>38017</v>
      </c>
      <c r="N3736" s="25">
        <f>IFERROR(T_reg.root.SK[[#This Row],[Price]]/T_reg.root.SK[[#This Row],[Starch content]],"")</f>
        <v>12.225705329153607</v>
      </c>
    </row>
    <row r="3737" spans="1:14">
      <c r="A3737" s="21">
        <v>2024</v>
      </c>
      <c r="B3737" s="21" t="s">
        <v>25</v>
      </c>
      <c r="C3737" s="21" t="s">
        <v>1145</v>
      </c>
      <c r="D3737" s="21" t="s">
        <v>35</v>
      </c>
      <c r="E3737" s="18" t="s">
        <v>151</v>
      </c>
      <c r="F3737" s="18" t="s">
        <v>105</v>
      </c>
      <c r="G3737" s="18" t="s">
        <v>48</v>
      </c>
      <c r="H3737" s="24">
        <v>297890</v>
      </c>
      <c r="I3737" s="24">
        <f>T_reg.root.SK[[#This Row],[Volume, kg]]/1000</f>
        <v>297.89</v>
      </c>
      <c r="J3737" s="25">
        <v>0.2253</v>
      </c>
      <c r="K3737" s="25">
        <f t="shared" si="58"/>
        <v>67114.616999999998</v>
      </c>
      <c r="L3737" s="25">
        <v>2.71</v>
      </c>
      <c r="M3737" s="24">
        <v>807138.5</v>
      </c>
      <c r="N3737" s="25">
        <f>IFERROR(T_reg.root.SK[[#This Row],[Price]]/T_reg.root.SK[[#This Row],[Starch content]],"")</f>
        <v>12.028406569019085</v>
      </c>
    </row>
    <row r="3738" spans="1:14">
      <c r="A3738" s="21">
        <v>2024</v>
      </c>
      <c r="B3738" s="21" t="s">
        <v>25</v>
      </c>
      <c r="C3738" s="21" t="s">
        <v>1145</v>
      </c>
      <c r="D3738" s="21" t="s">
        <v>35</v>
      </c>
      <c r="E3738" s="18" t="s">
        <v>316</v>
      </c>
      <c r="F3738" s="18" t="s">
        <v>105</v>
      </c>
      <c r="G3738" s="18" t="s">
        <v>48</v>
      </c>
      <c r="H3738" s="24">
        <v>62120</v>
      </c>
      <c r="I3738" s="24">
        <f>T_reg.root.SK[[#This Row],[Volume, kg]]/1000</f>
        <v>62.12</v>
      </c>
      <c r="J3738" s="25">
        <v>0.22570000000000001</v>
      </c>
      <c r="K3738" s="25">
        <f t="shared" si="58"/>
        <v>14020.484</v>
      </c>
      <c r="L3738" s="25">
        <v>2.73</v>
      </c>
      <c r="M3738" s="24">
        <v>169676</v>
      </c>
      <c r="N3738" s="25">
        <f>IFERROR(T_reg.root.SK[[#This Row],[Price]]/T_reg.root.SK[[#This Row],[Starch content]],"")</f>
        <v>12.095702259636685</v>
      </c>
    </row>
    <row r="3739" spans="1:14">
      <c r="A3739" s="21">
        <v>2024</v>
      </c>
      <c r="B3739" s="21" t="s">
        <v>25</v>
      </c>
      <c r="C3739" s="21" t="s">
        <v>1145</v>
      </c>
      <c r="D3739" s="21" t="s">
        <v>35</v>
      </c>
      <c r="E3739" s="18" t="s">
        <v>152</v>
      </c>
      <c r="F3739" s="18" t="s">
        <v>105</v>
      </c>
      <c r="G3739" s="18" t="s">
        <v>48</v>
      </c>
      <c r="H3739" s="24">
        <v>2090</v>
      </c>
      <c r="I3739" s="24">
        <f>T_reg.root.SK[[#This Row],[Volume, kg]]/1000</f>
        <v>2.09</v>
      </c>
      <c r="J3739" s="25">
        <v>0.188</v>
      </c>
      <c r="K3739" s="25">
        <f t="shared" si="58"/>
        <v>392.92</v>
      </c>
      <c r="L3739" s="25">
        <v>2.5499999999999998</v>
      </c>
      <c r="M3739" s="24">
        <v>5329.5</v>
      </c>
      <c r="N3739" s="25">
        <f>IFERROR(T_reg.root.SK[[#This Row],[Price]]/T_reg.root.SK[[#This Row],[Starch content]],"")</f>
        <v>13.563829787234042</v>
      </c>
    </row>
    <row r="3740" spans="1:14">
      <c r="A3740" s="21">
        <v>2024</v>
      </c>
      <c r="B3740" s="21" t="s">
        <v>25</v>
      </c>
      <c r="C3740" s="21" t="s">
        <v>1145</v>
      </c>
      <c r="D3740" s="21" t="s">
        <v>35</v>
      </c>
      <c r="E3740" s="18" t="s">
        <v>153</v>
      </c>
      <c r="F3740" s="18" t="s">
        <v>105</v>
      </c>
      <c r="G3740" s="18" t="s">
        <v>48</v>
      </c>
      <c r="H3740" s="24">
        <v>1650</v>
      </c>
      <c r="I3740" s="24">
        <f>T_reg.root.SK[[#This Row],[Volume, kg]]/1000</f>
        <v>1.65</v>
      </c>
      <c r="J3740" s="25">
        <v>0.23449999999999999</v>
      </c>
      <c r="K3740" s="25">
        <f t="shared" si="58"/>
        <v>386.92499999999995</v>
      </c>
      <c r="L3740" s="25">
        <v>2.75</v>
      </c>
      <c r="M3740" s="24">
        <v>4537.5</v>
      </c>
      <c r="N3740" s="25">
        <f>IFERROR(T_reg.root.SK[[#This Row],[Price]]/T_reg.root.SK[[#This Row],[Starch content]],"")</f>
        <v>11.727078891257996</v>
      </c>
    </row>
    <row r="3741" spans="1:14">
      <c r="A3741" s="21">
        <v>2024</v>
      </c>
      <c r="B3741" s="21" t="s">
        <v>25</v>
      </c>
      <c r="C3741" s="21" t="s">
        <v>1145</v>
      </c>
      <c r="D3741" s="21" t="s">
        <v>35</v>
      </c>
      <c r="E3741" s="18" t="s">
        <v>154</v>
      </c>
      <c r="F3741" s="18" t="s">
        <v>105</v>
      </c>
      <c r="G3741" s="18" t="s">
        <v>48</v>
      </c>
      <c r="H3741" s="24">
        <v>13410</v>
      </c>
      <c r="I3741" s="24">
        <f>T_reg.root.SK[[#This Row],[Volume, kg]]/1000</f>
        <v>13.41</v>
      </c>
      <c r="J3741" s="25">
        <v>0.2137</v>
      </c>
      <c r="K3741" s="25">
        <f t="shared" si="58"/>
        <v>2865.7170000000001</v>
      </c>
      <c r="L3741" s="25">
        <v>2.67</v>
      </c>
      <c r="M3741" s="24">
        <v>35867</v>
      </c>
      <c r="N3741" s="25">
        <f>IFERROR(T_reg.root.SK[[#This Row],[Price]]/T_reg.root.SK[[#This Row],[Starch content]],"")</f>
        <v>12.494150678521292</v>
      </c>
    </row>
    <row r="3742" spans="1:14">
      <c r="A3742" s="21">
        <v>2024</v>
      </c>
      <c r="B3742" s="21" t="s">
        <v>25</v>
      </c>
      <c r="C3742" s="21" t="s">
        <v>1145</v>
      </c>
      <c r="D3742" s="21" t="s">
        <v>35</v>
      </c>
      <c r="E3742" s="18" t="s">
        <v>155</v>
      </c>
      <c r="F3742" s="18" t="s">
        <v>105</v>
      </c>
      <c r="G3742" s="18" t="s">
        <v>48</v>
      </c>
      <c r="H3742" s="24">
        <v>15750</v>
      </c>
      <c r="I3742" s="24">
        <f>T_reg.root.SK[[#This Row],[Volume, kg]]/1000</f>
        <v>15.75</v>
      </c>
      <c r="J3742" s="25">
        <v>0.18789999999999998</v>
      </c>
      <c r="K3742" s="25">
        <f t="shared" si="58"/>
        <v>2959.4249999999997</v>
      </c>
      <c r="L3742" s="25">
        <v>2.48</v>
      </c>
      <c r="M3742" s="24">
        <v>39066</v>
      </c>
      <c r="N3742" s="25">
        <f>IFERROR(T_reg.root.SK[[#This Row],[Price]]/T_reg.root.SK[[#This Row],[Starch content]],"")</f>
        <v>13.198509845662587</v>
      </c>
    </row>
    <row r="3743" spans="1:14">
      <c r="A3743" s="21">
        <v>2024</v>
      </c>
      <c r="B3743" s="21" t="s">
        <v>25</v>
      </c>
      <c r="C3743" s="21" t="s">
        <v>1145</v>
      </c>
      <c r="D3743" s="21" t="s">
        <v>35</v>
      </c>
      <c r="E3743" s="18" t="s">
        <v>159</v>
      </c>
      <c r="F3743" s="18" t="s">
        <v>105</v>
      </c>
      <c r="G3743" s="18" t="s">
        <v>48</v>
      </c>
      <c r="H3743" s="24">
        <v>108000</v>
      </c>
      <c r="I3743" s="24">
        <f>T_reg.root.SK[[#This Row],[Volume, kg]]/1000</f>
        <v>108</v>
      </c>
      <c r="J3743" s="25">
        <v>0.21829999999999999</v>
      </c>
      <c r="K3743" s="25">
        <f t="shared" si="58"/>
        <v>23576.399999999998</v>
      </c>
      <c r="L3743" s="25">
        <v>2.69</v>
      </c>
      <c r="M3743" s="24">
        <v>291004</v>
      </c>
      <c r="N3743" s="25">
        <f>IFERROR(T_reg.root.SK[[#This Row],[Price]]/T_reg.root.SK[[#This Row],[Starch content]],"")</f>
        <v>12.322491983508932</v>
      </c>
    </row>
    <row r="3744" spans="1:14">
      <c r="A3744" s="21">
        <v>2024</v>
      </c>
      <c r="B3744" s="21" t="s">
        <v>25</v>
      </c>
      <c r="C3744" s="21" t="s">
        <v>1145</v>
      </c>
      <c r="D3744" s="21" t="s">
        <v>35</v>
      </c>
      <c r="E3744" s="18" t="s">
        <v>255</v>
      </c>
      <c r="F3744" s="18" t="s">
        <v>105</v>
      </c>
      <c r="G3744" s="18" t="s">
        <v>48</v>
      </c>
      <c r="H3744" s="24">
        <v>37200</v>
      </c>
      <c r="I3744" s="24">
        <f>T_reg.root.SK[[#This Row],[Volume, kg]]/1000</f>
        <v>37.200000000000003</v>
      </c>
      <c r="J3744" s="25">
        <v>0.24579999999999999</v>
      </c>
      <c r="K3744" s="25">
        <f t="shared" si="58"/>
        <v>9143.76</v>
      </c>
      <c r="L3744" s="25">
        <v>2.83</v>
      </c>
      <c r="M3744" s="24">
        <v>105119.5</v>
      </c>
      <c r="N3744" s="25">
        <f>IFERROR(T_reg.root.SK[[#This Row],[Price]]/T_reg.root.SK[[#This Row],[Starch content]],"")</f>
        <v>11.513425549227014</v>
      </c>
    </row>
    <row r="3745" spans="1:14">
      <c r="A3745" s="21">
        <v>2024</v>
      </c>
      <c r="B3745" s="21" t="s">
        <v>25</v>
      </c>
      <c r="C3745" s="21" t="s">
        <v>1145</v>
      </c>
      <c r="D3745" s="21" t="s">
        <v>35</v>
      </c>
      <c r="E3745" s="18" t="s">
        <v>721</v>
      </c>
      <c r="F3745" s="18" t="s">
        <v>105</v>
      </c>
      <c r="G3745" s="18" t="s">
        <v>48</v>
      </c>
      <c r="H3745" s="24">
        <v>7990</v>
      </c>
      <c r="I3745" s="24">
        <f>T_reg.root.SK[[#This Row],[Volume, kg]]/1000</f>
        <v>7.99</v>
      </c>
      <c r="J3745" s="25">
        <v>0.2155</v>
      </c>
      <c r="K3745" s="25">
        <f t="shared" si="58"/>
        <v>1721.845</v>
      </c>
      <c r="L3745" s="25">
        <v>2.7</v>
      </c>
      <c r="M3745" s="24">
        <v>21573</v>
      </c>
      <c r="N3745" s="25">
        <f>IFERROR(T_reg.root.SK[[#This Row],[Price]]/T_reg.root.SK[[#This Row],[Starch content]],"")</f>
        <v>12.529002320185615</v>
      </c>
    </row>
    <row r="3746" spans="1:14">
      <c r="A3746" s="21">
        <v>2024</v>
      </c>
      <c r="B3746" s="21" t="s">
        <v>25</v>
      </c>
      <c r="C3746" s="21" t="s">
        <v>1145</v>
      </c>
      <c r="D3746" s="21" t="s">
        <v>35</v>
      </c>
      <c r="E3746" s="18" t="s">
        <v>161</v>
      </c>
      <c r="F3746" s="18" t="s">
        <v>105</v>
      </c>
      <c r="G3746" s="18" t="s">
        <v>48</v>
      </c>
      <c r="H3746" s="24">
        <v>64230</v>
      </c>
      <c r="I3746" s="24">
        <f>T_reg.root.SK[[#This Row],[Volume, kg]]/1000</f>
        <v>64.23</v>
      </c>
      <c r="J3746" s="25">
        <v>0.22190000000000001</v>
      </c>
      <c r="K3746" s="25">
        <f t="shared" si="58"/>
        <v>14252.637000000001</v>
      </c>
      <c r="L3746" s="25">
        <v>2.69</v>
      </c>
      <c r="M3746" s="24">
        <v>172473.5</v>
      </c>
      <c r="N3746" s="25">
        <f>IFERROR(T_reg.root.SK[[#This Row],[Price]]/T_reg.root.SK[[#This Row],[Starch content]],"")</f>
        <v>12.122577737719693</v>
      </c>
    </row>
    <row r="3747" spans="1:14">
      <c r="A3747" s="21">
        <v>2024</v>
      </c>
      <c r="B3747" s="21" t="s">
        <v>25</v>
      </c>
      <c r="C3747" s="21" t="s">
        <v>1145</v>
      </c>
      <c r="D3747" s="21" t="s">
        <v>35</v>
      </c>
      <c r="E3747" s="18" t="s">
        <v>162</v>
      </c>
      <c r="F3747" s="18" t="s">
        <v>105</v>
      </c>
      <c r="G3747" s="18" t="s">
        <v>48</v>
      </c>
      <c r="H3747" s="24">
        <v>9570</v>
      </c>
      <c r="I3747" s="24">
        <f>T_reg.root.SK[[#This Row],[Volume, kg]]/1000</f>
        <v>9.57</v>
      </c>
      <c r="J3747" s="25">
        <v>0.1925</v>
      </c>
      <c r="K3747" s="25">
        <f t="shared" si="58"/>
        <v>1842.2250000000001</v>
      </c>
      <c r="L3747" s="25">
        <v>2.5499999999999998</v>
      </c>
      <c r="M3747" s="24">
        <v>24403.5</v>
      </c>
      <c r="N3747" s="25">
        <f>IFERROR(T_reg.root.SK[[#This Row],[Price]]/T_reg.root.SK[[#This Row],[Starch content]],"")</f>
        <v>13.246753246753245</v>
      </c>
    </row>
    <row r="3748" spans="1:14">
      <c r="A3748" s="21">
        <v>2024</v>
      </c>
      <c r="B3748" s="21" t="s">
        <v>25</v>
      </c>
      <c r="C3748" s="21" t="s">
        <v>1145</v>
      </c>
      <c r="D3748" s="21" t="s">
        <v>35</v>
      </c>
      <c r="E3748" s="18" t="s">
        <v>739</v>
      </c>
      <c r="F3748" s="18" t="s">
        <v>105</v>
      </c>
      <c r="G3748" s="18" t="s">
        <v>48</v>
      </c>
      <c r="H3748" s="24">
        <v>6900</v>
      </c>
      <c r="I3748" s="24">
        <f>T_reg.root.SK[[#This Row],[Volume, kg]]/1000</f>
        <v>6.9</v>
      </c>
      <c r="J3748" s="25">
        <v>0.18</v>
      </c>
      <c r="K3748" s="25">
        <f t="shared" si="58"/>
        <v>1242</v>
      </c>
      <c r="L3748" s="25">
        <v>2.5</v>
      </c>
      <c r="M3748" s="24">
        <v>17250</v>
      </c>
      <c r="N3748" s="25">
        <f>IFERROR(T_reg.root.SK[[#This Row],[Price]]/T_reg.root.SK[[#This Row],[Starch content]],"")</f>
        <v>13.888888888888889</v>
      </c>
    </row>
    <row r="3749" spans="1:14">
      <c r="A3749" s="21">
        <v>2024</v>
      </c>
      <c r="B3749" s="21" t="s">
        <v>25</v>
      </c>
      <c r="C3749" s="21" t="s">
        <v>1145</v>
      </c>
      <c r="D3749" s="21" t="s">
        <v>35</v>
      </c>
      <c r="E3749" s="18" t="s">
        <v>170</v>
      </c>
      <c r="F3749" s="18" t="s">
        <v>105</v>
      </c>
      <c r="G3749" s="18" t="s">
        <v>48</v>
      </c>
      <c r="H3749" s="24">
        <v>59780</v>
      </c>
      <c r="I3749" s="24">
        <f>T_reg.root.SK[[#This Row],[Volume, kg]]/1000</f>
        <v>59.78</v>
      </c>
      <c r="J3749" s="25">
        <v>0.19289999999999999</v>
      </c>
      <c r="K3749" s="25">
        <f t="shared" si="58"/>
        <v>11531.562</v>
      </c>
      <c r="L3749" s="25">
        <v>2.5</v>
      </c>
      <c r="M3749" s="24">
        <v>149328.5</v>
      </c>
      <c r="N3749" s="25">
        <f>IFERROR(T_reg.root.SK[[#This Row],[Price]]/T_reg.root.SK[[#This Row],[Starch content]],"")</f>
        <v>12.960082944530846</v>
      </c>
    </row>
    <row r="3750" spans="1:14">
      <c r="A3750" s="21">
        <v>2024</v>
      </c>
      <c r="B3750" s="21" t="s">
        <v>25</v>
      </c>
      <c r="C3750" s="21" t="s">
        <v>1145</v>
      </c>
      <c r="D3750" s="21" t="s">
        <v>35</v>
      </c>
      <c r="E3750" s="18" t="s">
        <v>722</v>
      </c>
      <c r="F3750" s="18" t="s">
        <v>105</v>
      </c>
      <c r="G3750" s="18" t="s">
        <v>48</v>
      </c>
      <c r="H3750" s="24">
        <v>23800</v>
      </c>
      <c r="I3750" s="24">
        <f>T_reg.root.SK[[#This Row],[Volume, kg]]/1000</f>
        <v>23.8</v>
      </c>
      <c r="J3750" s="25">
        <v>0.19820000000000002</v>
      </c>
      <c r="K3750" s="25">
        <f t="shared" si="58"/>
        <v>4717.1600000000008</v>
      </c>
      <c r="L3750" s="25">
        <v>2.4900000000000002</v>
      </c>
      <c r="M3750" s="24">
        <v>59239.5</v>
      </c>
      <c r="N3750" s="25">
        <f>IFERROR(T_reg.root.SK[[#This Row],[Price]]/T_reg.root.SK[[#This Row],[Starch content]],"")</f>
        <v>12.563067608476286</v>
      </c>
    </row>
    <row r="3751" spans="1:14">
      <c r="A3751" s="21">
        <v>2024</v>
      </c>
      <c r="B3751" s="21" t="s">
        <v>25</v>
      </c>
      <c r="C3751" s="21" t="s">
        <v>1145</v>
      </c>
      <c r="D3751" s="21" t="s">
        <v>35</v>
      </c>
      <c r="E3751" s="18" t="s">
        <v>321</v>
      </c>
      <c r="F3751" s="18" t="s">
        <v>105</v>
      </c>
      <c r="G3751" s="18" t="s">
        <v>48</v>
      </c>
      <c r="H3751" s="24">
        <v>41410</v>
      </c>
      <c r="I3751" s="24">
        <f>T_reg.root.SK[[#This Row],[Volume, kg]]/1000</f>
        <v>41.41</v>
      </c>
      <c r="J3751" s="25">
        <v>0.2437</v>
      </c>
      <c r="K3751" s="25">
        <f t="shared" si="58"/>
        <v>10091.617</v>
      </c>
      <c r="L3751" s="25">
        <v>2.82</v>
      </c>
      <c r="M3751" s="24">
        <v>116907.5</v>
      </c>
      <c r="N3751" s="25">
        <f>IFERROR(T_reg.root.SK[[#This Row],[Price]]/T_reg.root.SK[[#This Row],[Starch content]],"")</f>
        <v>11.571604431678292</v>
      </c>
    </row>
    <row r="3752" spans="1:14">
      <c r="A3752" s="21">
        <v>2024</v>
      </c>
      <c r="B3752" s="21" t="s">
        <v>25</v>
      </c>
      <c r="C3752" s="21" t="s">
        <v>1145</v>
      </c>
      <c r="D3752" s="21" t="s">
        <v>35</v>
      </c>
      <c r="E3752" s="18" t="s">
        <v>322</v>
      </c>
      <c r="F3752" s="18" t="s">
        <v>105</v>
      </c>
      <c r="G3752" s="18" t="s">
        <v>48</v>
      </c>
      <c r="H3752" s="24">
        <v>90560</v>
      </c>
      <c r="I3752" s="24">
        <f>T_reg.root.SK[[#This Row],[Volume, kg]]/1000</f>
        <v>90.56</v>
      </c>
      <c r="J3752" s="25">
        <v>0.22649999999999998</v>
      </c>
      <c r="K3752" s="25">
        <f t="shared" si="58"/>
        <v>20511.839999999997</v>
      </c>
      <c r="L3752" s="25">
        <v>2.72</v>
      </c>
      <c r="M3752" s="24">
        <v>246532</v>
      </c>
      <c r="N3752" s="25">
        <f>IFERROR(T_reg.root.SK[[#This Row],[Price]]/T_reg.root.SK[[#This Row],[Starch content]],"")</f>
        <v>12.008830022075058</v>
      </c>
    </row>
    <row r="3753" spans="1:14">
      <c r="A3753" s="21">
        <v>2024</v>
      </c>
      <c r="B3753" s="21" t="s">
        <v>25</v>
      </c>
      <c r="C3753" s="21" t="s">
        <v>1145</v>
      </c>
      <c r="D3753" s="21" t="s">
        <v>35</v>
      </c>
      <c r="E3753" s="18" t="s">
        <v>173</v>
      </c>
      <c r="F3753" s="18" t="s">
        <v>105</v>
      </c>
      <c r="G3753" s="18" t="s">
        <v>48</v>
      </c>
      <c r="H3753" s="24">
        <v>11720</v>
      </c>
      <c r="I3753" s="24">
        <f>T_reg.root.SK[[#This Row],[Volume, kg]]/1000</f>
        <v>11.72</v>
      </c>
      <c r="J3753" s="25">
        <v>0.20199999999999999</v>
      </c>
      <c r="K3753" s="25">
        <f t="shared" si="58"/>
        <v>2367.4399999999996</v>
      </c>
      <c r="L3753" s="25">
        <v>2.61</v>
      </c>
      <c r="M3753" s="24">
        <v>30625</v>
      </c>
      <c r="N3753" s="25">
        <f>IFERROR(T_reg.root.SK[[#This Row],[Price]]/T_reg.root.SK[[#This Row],[Starch content]],"")</f>
        <v>12.920792079207921</v>
      </c>
    </row>
    <row r="3754" spans="1:14">
      <c r="A3754" s="21">
        <v>2024</v>
      </c>
      <c r="B3754" s="21" t="s">
        <v>25</v>
      </c>
      <c r="C3754" s="21" t="s">
        <v>1145</v>
      </c>
      <c r="D3754" s="21" t="s">
        <v>35</v>
      </c>
      <c r="E3754" s="18" t="s">
        <v>812</v>
      </c>
      <c r="F3754" s="18" t="s">
        <v>105</v>
      </c>
      <c r="G3754" s="18" t="s">
        <v>48</v>
      </c>
      <c r="H3754" s="24">
        <v>19440</v>
      </c>
      <c r="I3754" s="24">
        <f>T_reg.root.SK[[#This Row],[Volume, kg]]/1000</f>
        <v>19.440000000000001</v>
      </c>
      <c r="J3754" s="25">
        <v>0.24280000000000002</v>
      </c>
      <c r="K3754" s="25">
        <f t="shared" si="58"/>
        <v>4720.0320000000002</v>
      </c>
      <c r="L3754" s="25">
        <v>2.81</v>
      </c>
      <c r="M3754" s="24">
        <v>54538</v>
      </c>
      <c r="N3754" s="25">
        <f>IFERROR(T_reg.root.SK[[#This Row],[Price]]/T_reg.root.SK[[#This Row],[Starch content]],"")</f>
        <v>11.57331136738056</v>
      </c>
    </row>
    <row r="3755" spans="1:14">
      <c r="A3755" s="21">
        <v>2024</v>
      </c>
      <c r="B3755" s="21" t="s">
        <v>25</v>
      </c>
      <c r="C3755" s="21" t="s">
        <v>1145</v>
      </c>
      <c r="D3755" s="21" t="s">
        <v>35</v>
      </c>
      <c r="E3755" s="18" t="s">
        <v>507</v>
      </c>
      <c r="F3755" s="18" t="s">
        <v>105</v>
      </c>
      <c r="G3755" s="18" t="s">
        <v>48</v>
      </c>
      <c r="H3755" s="24">
        <v>32690</v>
      </c>
      <c r="I3755" s="24">
        <f>T_reg.root.SK[[#This Row],[Volume, kg]]/1000</f>
        <v>32.69</v>
      </c>
      <c r="J3755" s="25">
        <v>0.23719999999999999</v>
      </c>
      <c r="K3755" s="25">
        <f t="shared" si="58"/>
        <v>7754.0680000000002</v>
      </c>
      <c r="L3755" s="25">
        <v>2.78</v>
      </c>
      <c r="M3755" s="24">
        <v>90972</v>
      </c>
      <c r="N3755" s="25">
        <f>IFERROR(T_reg.root.SK[[#This Row],[Price]]/T_reg.root.SK[[#This Row],[Starch content]],"")</f>
        <v>11.720067453625632</v>
      </c>
    </row>
    <row r="3756" spans="1:14">
      <c r="A3756" s="21">
        <v>2024</v>
      </c>
      <c r="B3756" s="21" t="s">
        <v>25</v>
      </c>
      <c r="C3756" s="21" t="s">
        <v>1145</v>
      </c>
      <c r="D3756" s="21" t="s">
        <v>35</v>
      </c>
      <c r="E3756" s="18" t="s">
        <v>174</v>
      </c>
      <c r="F3756" s="18" t="s">
        <v>105</v>
      </c>
      <c r="G3756" s="18" t="s">
        <v>48</v>
      </c>
      <c r="H3756" s="24">
        <v>57780</v>
      </c>
      <c r="I3756" s="24">
        <f>T_reg.root.SK[[#This Row],[Volume, kg]]/1000</f>
        <v>57.78</v>
      </c>
      <c r="J3756" s="25">
        <v>0.21640000000000001</v>
      </c>
      <c r="K3756" s="25">
        <f t="shared" si="58"/>
        <v>12503.592000000001</v>
      </c>
      <c r="L3756" s="25">
        <v>2.63</v>
      </c>
      <c r="M3756" s="24">
        <v>152054.5</v>
      </c>
      <c r="N3756" s="25">
        <f>IFERROR(T_reg.root.SK[[#This Row],[Price]]/T_reg.root.SK[[#This Row],[Starch content]],"")</f>
        <v>12.153419593345655</v>
      </c>
    </row>
    <row r="3757" spans="1:14">
      <c r="A3757" s="21">
        <v>2024</v>
      </c>
      <c r="B3757" s="21" t="s">
        <v>25</v>
      </c>
      <c r="C3757" s="21" t="s">
        <v>1145</v>
      </c>
      <c r="D3757" s="21" t="s">
        <v>35</v>
      </c>
      <c r="E3757" s="18" t="s">
        <v>577</v>
      </c>
      <c r="F3757" s="18" t="s">
        <v>105</v>
      </c>
      <c r="G3757" s="18" t="s">
        <v>48</v>
      </c>
      <c r="H3757" s="24">
        <v>4460</v>
      </c>
      <c r="I3757" s="24">
        <f>T_reg.root.SK[[#This Row],[Volume, kg]]/1000</f>
        <v>4.46</v>
      </c>
      <c r="J3757" s="25">
        <v>0.21149999999999999</v>
      </c>
      <c r="K3757" s="25">
        <f t="shared" si="58"/>
        <v>943.29</v>
      </c>
      <c r="L3757" s="25">
        <v>2.65</v>
      </c>
      <c r="M3757" s="24">
        <v>11819</v>
      </c>
      <c r="N3757" s="25">
        <f>IFERROR(T_reg.root.SK[[#This Row],[Price]]/T_reg.root.SK[[#This Row],[Starch content]],"")</f>
        <v>12.529550827423169</v>
      </c>
    </row>
    <row r="3758" spans="1:14">
      <c r="A3758" s="21">
        <v>2024</v>
      </c>
      <c r="B3758" s="21" t="s">
        <v>25</v>
      </c>
      <c r="C3758" s="21" t="s">
        <v>1145</v>
      </c>
      <c r="D3758" s="21" t="s">
        <v>35</v>
      </c>
      <c r="E3758" s="18" t="s">
        <v>175</v>
      </c>
      <c r="F3758" s="18" t="s">
        <v>105</v>
      </c>
      <c r="G3758" s="18" t="s">
        <v>48</v>
      </c>
      <c r="H3758" s="24">
        <v>5230</v>
      </c>
      <c r="I3758" s="24">
        <f>T_reg.root.SK[[#This Row],[Volume, kg]]/1000</f>
        <v>5.23</v>
      </c>
      <c r="J3758" s="25">
        <v>0.17699999999999999</v>
      </c>
      <c r="K3758" s="25">
        <f t="shared" si="58"/>
        <v>925.70999999999992</v>
      </c>
      <c r="L3758" s="25">
        <v>2.5</v>
      </c>
      <c r="M3758" s="24">
        <v>13075</v>
      </c>
      <c r="N3758" s="25">
        <f>IFERROR(T_reg.root.SK[[#This Row],[Price]]/T_reg.root.SK[[#This Row],[Starch content]],"")</f>
        <v>14.124293785310735</v>
      </c>
    </row>
    <row r="3759" spans="1:14">
      <c r="A3759" s="21">
        <v>2024</v>
      </c>
      <c r="B3759" s="21" t="s">
        <v>25</v>
      </c>
      <c r="C3759" s="21" t="s">
        <v>1145</v>
      </c>
      <c r="D3759" s="21" t="s">
        <v>35</v>
      </c>
      <c r="E3759" s="18" t="s">
        <v>176</v>
      </c>
      <c r="F3759" s="18" t="s">
        <v>105</v>
      </c>
      <c r="G3759" s="18" t="s">
        <v>48</v>
      </c>
      <c r="H3759" s="24">
        <v>19970</v>
      </c>
      <c r="I3759" s="24">
        <f>T_reg.root.SK[[#This Row],[Volume, kg]]/1000</f>
        <v>19.97</v>
      </c>
      <c r="J3759" s="25">
        <v>0.21539999999999998</v>
      </c>
      <c r="K3759" s="25">
        <f t="shared" si="58"/>
        <v>4301.5379999999996</v>
      </c>
      <c r="L3759" s="25">
        <v>2.68</v>
      </c>
      <c r="M3759" s="24">
        <v>53547</v>
      </c>
      <c r="N3759" s="25">
        <f>IFERROR(T_reg.root.SK[[#This Row],[Price]]/T_reg.root.SK[[#This Row],[Starch content]],"")</f>
        <v>12.441968430826371</v>
      </c>
    </row>
    <row r="3760" spans="1:14">
      <c r="A3760" s="21">
        <v>2024</v>
      </c>
      <c r="B3760" s="21" t="s">
        <v>25</v>
      </c>
      <c r="C3760" s="21" t="s">
        <v>1145</v>
      </c>
      <c r="D3760" s="21" t="s">
        <v>35</v>
      </c>
      <c r="E3760" s="18" t="s">
        <v>605</v>
      </c>
      <c r="F3760" s="18" t="s">
        <v>105</v>
      </c>
      <c r="G3760" s="18" t="s">
        <v>48</v>
      </c>
      <c r="H3760" s="24">
        <v>59120</v>
      </c>
      <c r="I3760" s="24">
        <f>T_reg.root.SK[[#This Row],[Volume, kg]]/1000</f>
        <v>59.12</v>
      </c>
      <c r="J3760" s="25">
        <v>0.221</v>
      </c>
      <c r="K3760" s="25">
        <f t="shared" si="58"/>
        <v>13065.52</v>
      </c>
      <c r="L3760" s="25">
        <v>2.66</v>
      </c>
      <c r="M3760" s="24">
        <v>157407</v>
      </c>
      <c r="N3760" s="25">
        <f>IFERROR(T_reg.root.SK[[#This Row],[Price]]/T_reg.root.SK[[#This Row],[Starch content]],"")</f>
        <v>12.036199095022624</v>
      </c>
    </row>
    <row r="3761" spans="1:14">
      <c r="A3761" s="21">
        <v>2024</v>
      </c>
      <c r="B3761" s="21" t="s">
        <v>25</v>
      </c>
      <c r="C3761" s="21" t="s">
        <v>1145</v>
      </c>
      <c r="D3761" s="21" t="s">
        <v>35</v>
      </c>
      <c r="E3761" s="18" t="s">
        <v>259</v>
      </c>
      <c r="F3761" s="18" t="s">
        <v>105</v>
      </c>
      <c r="G3761" s="18" t="s">
        <v>48</v>
      </c>
      <c r="H3761" s="24">
        <v>10410</v>
      </c>
      <c r="I3761" s="24">
        <f>T_reg.root.SK[[#This Row],[Volume, kg]]/1000</f>
        <v>10.41</v>
      </c>
      <c r="J3761" s="25">
        <v>0.22920000000000001</v>
      </c>
      <c r="K3761" s="25">
        <f t="shared" si="58"/>
        <v>2385.9720000000002</v>
      </c>
      <c r="L3761" s="25">
        <v>2.75</v>
      </c>
      <c r="M3761" s="24">
        <v>28627.5</v>
      </c>
      <c r="N3761" s="25">
        <f>IFERROR(T_reg.root.SK[[#This Row],[Price]]/T_reg.root.SK[[#This Row],[Starch content]],"")</f>
        <v>11.998254799301918</v>
      </c>
    </row>
    <row r="3762" spans="1:14">
      <c r="A3762" s="21">
        <v>2024</v>
      </c>
      <c r="B3762" s="21" t="s">
        <v>25</v>
      </c>
      <c r="C3762" s="21" t="s">
        <v>1145</v>
      </c>
      <c r="D3762" s="21" t="s">
        <v>35</v>
      </c>
      <c r="E3762" s="18" t="s">
        <v>179</v>
      </c>
      <c r="F3762" s="18" t="s">
        <v>105</v>
      </c>
      <c r="G3762" s="18" t="s">
        <v>48</v>
      </c>
      <c r="H3762" s="24">
        <v>47700</v>
      </c>
      <c r="I3762" s="24">
        <f>T_reg.root.SK[[#This Row],[Volume, kg]]/1000</f>
        <v>47.7</v>
      </c>
      <c r="J3762" s="25">
        <v>0.19359999999999999</v>
      </c>
      <c r="K3762" s="25">
        <f t="shared" si="58"/>
        <v>9234.7199999999993</v>
      </c>
      <c r="L3762" s="25">
        <v>2.57</v>
      </c>
      <c r="M3762" s="24">
        <v>122470.5</v>
      </c>
      <c r="N3762" s="25">
        <f>IFERROR(T_reg.root.SK[[#This Row],[Price]]/T_reg.root.SK[[#This Row],[Starch content]],"")</f>
        <v>13.274793388429751</v>
      </c>
    </row>
    <row r="3763" spans="1:14">
      <c r="A3763" s="21">
        <v>2024</v>
      </c>
      <c r="B3763" s="21" t="s">
        <v>25</v>
      </c>
      <c r="C3763" s="21" t="s">
        <v>1145</v>
      </c>
      <c r="D3763" s="21" t="s">
        <v>35</v>
      </c>
      <c r="E3763" s="18" t="s">
        <v>181</v>
      </c>
      <c r="F3763" s="18" t="s">
        <v>105</v>
      </c>
      <c r="G3763" s="18" t="s">
        <v>48</v>
      </c>
      <c r="H3763" s="24">
        <v>51170</v>
      </c>
      <c r="I3763" s="24">
        <f>T_reg.root.SK[[#This Row],[Volume, kg]]/1000</f>
        <v>51.17</v>
      </c>
      <c r="J3763" s="25">
        <v>0.21199999999999999</v>
      </c>
      <c r="K3763" s="25">
        <f t="shared" si="58"/>
        <v>10848.039999999999</v>
      </c>
      <c r="L3763" s="25">
        <v>2.58</v>
      </c>
      <c r="M3763" s="24">
        <v>131960</v>
      </c>
      <c r="N3763" s="25">
        <f>IFERROR(T_reg.root.SK[[#This Row],[Price]]/T_reg.root.SK[[#This Row],[Starch content]],"")</f>
        <v>12.169811320754718</v>
      </c>
    </row>
    <row r="3764" spans="1:14">
      <c r="A3764" s="21">
        <v>2024</v>
      </c>
      <c r="B3764" s="21" t="s">
        <v>25</v>
      </c>
      <c r="C3764" s="21" t="s">
        <v>1145</v>
      </c>
      <c r="D3764" s="21" t="s">
        <v>35</v>
      </c>
      <c r="E3764" s="18" t="s">
        <v>757</v>
      </c>
      <c r="F3764" s="18" t="s">
        <v>105</v>
      </c>
      <c r="G3764" s="18" t="s">
        <v>48</v>
      </c>
      <c r="H3764" s="24">
        <v>14770</v>
      </c>
      <c r="I3764" s="24">
        <f>T_reg.root.SK[[#This Row],[Volume, kg]]/1000</f>
        <v>14.77</v>
      </c>
      <c r="J3764" s="25">
        <v>0.21010000000000001</v>
      </c>
      <c r="K3764" s="25">
        <f t="shared" si="58"/>
        <v>3103.1770000000001</v>
      </c>
      <c r="L3764" s="25">
        <v>2.66</v>
      </c>
      <c r="M3764" s="24">
        <v>39223.5</v>
      </c>
      <c r="N3764" s="25">
        <f>IFERROR(T_reg.root.SK[[#This Row],[Price]]/T_reg.root.SK[[#This Row],[Starch content]],"")</f>
        <v>12.660637791527844</v>
      </c>
    </row>
    <row r="3765" spans="1:14">
      <c r="A3765" s="21">
        <v>2024</v>
      </c>
      <c r="B3765" s="21" t="s">
        <v>25</v>
      </c>
      <c r="C3765" s="21" t="s">
        <v>1145</v>
      </c>
      <c r="D3765" s="21" t="s">
        <v>35</v>
      </c>
      <c r="E3765" s="18" t="s">
        <v>640</v>
      </c>
      <c r="F3765" s="18" t="s">
        <v>105</v>
      </c>
      <c r="G3765" s="18" t="s">
        <v>48</v>
      </c>
      <c r="H3765" s="24">
        <v>22020</v>
      </c>
      <c r="I3765" s="24">
        <f>T_reg.root.SK[[#This Row],[Volume, kg]]/1000</f>
        <v>22.02</v>
      </c>
      <c r="J3765" s="25">
        <v>0.2064</v>
      </c>
      <c r="K3765" s="25">
        <f t="shared" si="58"/>
        <v>4544.9279999999999</v>
      </c>
      <c r="L3765" s="25">
        <v>2.62</v>
      </c>
      <c r="M3765" s="24">
        <v>57712.5</v>
      </c>
      <c r="N3765" s="25">
        <f>IFERROR(T_reg.root.SK[[#This Row],[Price]]/T_reg.root.SK[[#This Row],[Starch content]],"")</f>
        <v>12.693798449612403</v>
      </c>
    </row>
    <row r="3766" spans="1:14">
      <c r="A3766" s="21">
        <v>2024</v>
      </c>
      <c r="B3766" s="21" t="s">
        <v>25</v>
      </c>
      <c r="C3766" s="21" t="s">
        <v>1145</v>
      </c>
      <c r="D3766" s="21" t="s">
        <v>35</v>
      </c>
      <c r="E3766" s="18" t="s">
        <v>183</v>
      </c>
      <c r="F3766" s="18" t="s">
        <v>105</v>
      </c>
      <c r="G3766" s="18" t="s">
        <v>48</v>
      </c>
      <c r="H3766" s="24">
        <v>53830</v>
      </c>
      <c r="I3766" s="24">
        <f>T_reg.root.SK[[#This Row],[Volume, kg]]/1000</f>
        <v>53.83</v>
      </c>
      <c r="J3766" s="25">
        <v>0.2288</v>
      </c>
      <c r="K3766" s="25">
        <f t="shared" si="58"/>
        <v>12316.304</v>
      </c>
      <c r="L3766" s="25">
        <v>2.75</v>
      </c>
      <c r="M3766" s="24">
        <v>147873.5</v>
      </c>
      <c r="N3766" s="25">
        <f>IFERROR(T_reg.root.SK[[#This Row],[Price]]/T_reg.root.SK[[#This Row],[Starch content]],"")</f>
        <v>12.019230769230768</v>
      </c>
    </row>
    <row r="3767" spans="1:14">
      <c r="A3767" s="21">
        <v>2024</v>
      </c>
      <c r="B3767" s="21" t="s">
        <v>25</v>
      </c>
      <c r="C3767" s="21" t="s">
        <v>1145</v>
      </c>
      <c r="D3767" s="21" t="s">
        <v>35</v>
      </c>
      <c r="E3767" s="18" t="s">
        <v>330</v>
      </c>
      <c r="F3767" s="18" t="s">
        <v>187</v>
      </c>
      <c r="G3767" s="18" t="s">
        <v>48</v>
      </c>
      <c r="H3767" s="24">
        <v>9930</v>
      </c>
      <c r="I3767" s="24">
        <f>T_reg.root.SK[[#This Row],[Volume, kg]]/1000</f>
        <v>9.93</v>
      </c>
      <c r="J3767" s="25">
        <v>0.17050000000000001</v>
      </c>
      <c r="K3767" s="25">
        <f t="shared" si="58"/>
        <v>1693.0650000000001</v>
      </c>
      <c r="L3767" s="25">
        <v>2.5</v>
      </c>
      <c r="M3767" s="24">
        <v>24825</v>
      </c>
      <c r="N3767" s="25">
        <f>IFERROR(T_reg.root.SK[[#This Row],[Price]]/T_reg.root.SK[[#This Row],[Starch content]],"")</f>
        <v>14.662756598240469</v>
      </c>
    </row>
    <row r="3768" spans="1:14">
      <c r="A3768" s="21">
        <v>2024</v>
      </c>
      <c r="B3768" s="21" t="s">
        <v>25</v>
      </c>
      <c r="C3768" s="21" t="s">
        <v>1145</v>
      </c>
      <c r="D3768" s="21" t="s">
        <v>35</v>
      </c>
      <c r="E3768" s="18" t="s">
        <v>579</v>
      </c>
      <c r="F3768" s="18" t="s">
        <v>187</v>
      </c>
      <c r="G3768" s="18" t="s">
        <v>48</v>
      </c>
      <c r="H3768" s="24">
        <v>26850</v>
      </c>
      <c r="I3768" s="24">
        <f>T_reg.root.SK[[#This Row],[Volume, kg]]/1000</f>
        <v>26.85</v>
      </c>
      <c r="J3768" s="25">
        <v>0.20739999999999997</v>
      </c>
      <c r="K3768" s="25">
        <f t="shared" si="58"/>
        <v>5568.69</v>
      </c>
      <c r="L3768" s="25">
        <v>2.5299999999999998</v>
      </c>
      <c r="M3768" s="24">
        <v>67989.5</v>
      </c>
      <c r="N3768" s="25">
        <f>IFERROR(T_reg.root.SK[[#This Row],[Price]]/T_reg.root.SK[[#This Row],[Starch content]],"")</f>
        <v>12.198649951783993</v>
      </c>
    </row>
    <row r="3769" spans="1:14">
      <c r="A3769" s="21">
        <v>2024</v>
      </c>
      <c r="B3769" s="21" t="s">
        <v>25</v>
      </c>
      <c r="C3769" s="21" t="s">
        <v>1145</v>
      </c>
      <c r="D3769" s="21" t="s">
        <v>35</v>
      </c>
      <c r="E3769" s="18" t="s">
        <v>186</v>
      </c>
      <c r="F3769" s="18" t="s">
        <v>187</v>
      </c>
      <c r="G3769" s="18" t="s">
        <v>48</v>
      </c>
      <c r="H3769" s="24">
        <v>6610</v>
      </c>
      <c r="I3769" s="24">
        <f>T_reg.root.SK[[#This Row],[Volume, kg]]/1000</f>
        <v>6.61</v>
      </c>
      <c r="J3769" s="25">
        <v>0.217</v>
      </c>
      <c r="K3769" s="25">
        <f t="shared" si="58"/>
        <v>1434.37</v>
      </c>
      <c r="L3769" s="25">
        <v>2.75</v>
      </c>
      <c r="M3769" s="24">
        <v>18177.5</v>
      </c>
      <c r="N3769" s="25">
        <f>IFERROR(T_reg.root.SK[[#This Row],[Price]]/T_reg.root.SK[[#This Row],[Starch content]],"")</f>
        <v>12.672811059907835</v>
      </c>
    </row>
    <row r="3770" spans="1:14">
      <c r="A3770" s="21">
        <v>2024</v>
      </c>
      <c r="B3770" s="21" t="s">
        <v>25</v>
      </c>
      <c r="C3770" s="21" t="s">
        <v>1145</v>
      </c>
      <c r="D3770" s="21" t="s">
        <v>35</v>
      </c>
      <c r="E3770" s="18" t="s">
        <v>189</v>
      </c>
      <c r="F3770" s="18" t="s">
        <v>187</v>
      </c>
      <c r="G3770" s="18" t="s">
        <v>48</v>
      </c>
      <c r="H3770" s="24">
        <v>18710</v>
      </c>
      <c r="I3770" s="24">
        <f>T_reg.root.SK[[#This Row],[Volume, kg]]/1000</f>
        <v>18.71</v>
      </c>
      <c r="J3770" s="25">
        <v>0.21579999999999999</v>
      </c>
      <c r="K3770" s="25">
        <f t="shared" si="58"/>
        <v>4037.6179999999999</v>
      </c>
      <c r="L3770" s="25">
        <v>2.73</v>
      </c>
      <c r="M3770" s="24">
        <v>51027</v>
      </c>
      <c r="N3770" s="25">
        <f>IFERROR(T_reg.root.SK[[#This Row],[Price]]/T_reg.root.SK[[#This Row],[Starch content]],"")</f>
        <v>12.650602409638555</v>
      </c>
    </row>
    <row r="3771" spans="1:14">
      <c r="A3771" s="21">
        <v>2024</v>
      </c>
      <c r="B3771" s="21" t="s">
        <v>25</v>
      </c>
      <c r="C3771" s="21" t="s">
        <v>1145</v>
      </c>
      <c r="D3771" s="21" t="s">
        <v>35</v>
      </c>
      <c r="E3771" s="18" t="s">
        <v>510</v>
      </c>
      <c r="F3771" s="18" t="s">
        <v>187</v>
      </c>
      <c r="G3771" s="18" t="s">
        <v>48</v>
      </c>
      <c r="H3771" s="24">
        <v>44880</v>
      </c>
      <c r="I3771" s="24">
        <f>T_reg.root.SK[[#This Row],[Volume, kg]]/1000</f>
        <v>44.88</v>
      </c>
      <c r="J3771" s="25">
        <v>0.2303</v>
      </c>
      <c r="K3771" s="25">
        <f t="shared" si="58"/>
        <v>10335.864</v>
      </c>
      <c r="L3771" s="25">
        <v>2.81</v>
      </c>
      <c r="M3771" s="24">
        <v>126006</v>
      </c>
      <c r="N3771" s="25">
        <f>IFERROR(T_reg.root.SK[[#This Row],[Price]]/T_reg.root.SK[[#This Row],[Starch content]],"")</f>
        <v>12.201476335214936</v>
      </c>
    </row>
    <row r="3772" spans="1:14">
      <c r="A3772" s="21">
        <v>2024</v>
      </c>
      <c r="B3772" s="21" t="s">
        <v>25</v>
      </c>
      <c r="C3772" s="21" t="s">
        <v>1145</v>
      </c>
      <c r="D3772" s="21" t="s">
        <v>35</v>
      </c>
      <c r="E3772" s="18" t="s">
        <v>581</v>
      </c>
      <c r="F3772" s="18" t="s">
        <v>187</v>
      </c>
      <c r="G3772" s="18" t="s">
        <v>48</v>
      </c>
      <c r="H3772" s="24">
        <v>258340</v>
      </c>
      <c r="I3772" s="24">
        <f>T_reg.root.SK[[#This Row],[Volume, kg]]/1000</f>
        <v>258.33999999999997</v>
      </c>
      <c r="J3772" s="25">
        <v>0.1822</v>
      </c>
      <c r="K3772" s="25">
        <f t="shared" si="58"/>
        <v>47069.548000000003</v>
      </c>
      <c r="L3772" s="25">
        <v>2.5499999999999998</v>
      </c>
      <c r="M3772" s="24">
        <v>658105</v>
      </c>
      <c r="N3772" s="25">
        <f>IFERROR(T_reg.root.SK[[#This Row],[Price]]/T_reg.root.SK[[#This Row],[Starch content]],"")</f>
        <v>13.995609220636663</v>
      </c>
    </row>
    <row r="3773" spans="1:14">
      <c r="A3773" s="21">
        <v>2024</v>
      </c>
      <c r="B3773" s="21" t="s">
        <v>25</v>
      </c>
      <c r="C3773" s="21" t="s">
        <v>1145</v>
      </c>
      <c r="D3773" s="21" t="s">
        <v>35</v>
      </c>
      <c r="E3773" s="18" t="s">
        <v>511</v>
      </c>
      <c r="F3773" s="18" t="s">
        <v>187</v>
      </c>
      <c r="G3773" s="18" t="s">
        <v>48</v>
      </c>
      <c r="H3773" s="24">
        <v>8750</v>
      </c>
      <c r="I3773" s="24">
        <f>T_reg.root.SK[[#This Row],[Volume, kg]]/1000</f>
        <v>8.75</v>
      </c>
      <c r="J3773" s="25">
        <v>0.23399999999999999</v>
      </c>
      <c r="K3773" s="25">
        <f t="shared" si="58"/>
        <v>2047.4999999999998</v>
      </c>
      <c r="L3773" s="25">
        <v>2.8</v>
      </c>
      <c r="M3773" s="24">
        <v>24500</v>
      </c>
      <c r="N3773" s="25">
        <f>IFERROR(T_reg.root.SK[[#This Row],[Price]]/T_reg.root.SK[[#This Row],[Starch content]],"")</f>
        <v>11.965811965811966</v>
      </c>
    </row>
    <row r="3774" spans="1:14">
      <c r="A3774" s="21">
        <v>2024</v>
      </c>
      <c r="B3774" s="21" t="s">
        <v>25</v>
      </c>
      <c r="C3774" s="21" t="s">
        <v>1145</v>
      </c>
      <c r="D3774" s="21" t="s">
        <v>35</v>
      </c>
      <c r="E3774" s="18" t="s">
        <v>261</v>
      </c>
      <c r="F3774" s="18" t="s">
        <v>187</v>
      </c>
      <c r="G3774" s="18" t="s">
        <v>48</v>
      </c>
      <c r="H3774" s="24">
        <v>62720</v>
      </c>
      <c r="I3774" s="24">
        <f>T_reg.root.SK[[#This Row],[Volume, kg]]/1000</f>
        <v>62.72</v>
      </c>
      <c r="J3774" s="25">
        <v>0.19719999999999999</v>
      </c>
      <c r="K3774" s="25">
        <f t="shared" si="58"/>
        <v>12368.384</v>
      </c>
      <c r="L3774" s="25">
        <v>2.62</v>
      </c>
      <c r="M3774" s="24">
        <v>164387</v>
      </c>
      <c r="N3774" s="25">
        <f>IFERROR(T_reg.root.SK[[#This Row],[Price]]/T_reg.root.SK[[#This Row],[Starch content]],"")</f>
        <v>13.286004056795134</v>
      </c>
    </row>
    <row r="3775" spans="1:14">
      <c r="A3775" s="21">
        <v>2024</v>
      </c>
      <c r="B3775" s="21" t="s">
        <v>25</v>
      </c>
      <c r="C3775" s="21" t="s">
        <v>1145</v>
      </c>
      <c r="D3775" s="21" t="s">
        <v>35</v>
      </c>
      <c r="E3775" s="18" t="s">
        <v>584</v>
      </c>
      <c r="F3775" s="18" t="s">
        <v>187</v>
      </c>
      <c r="G3775" s="18" t="s">
        <v>48</v>
      </c>
      <c r="H3775" s="24">
        <v>22380</v>
      </c>
      <c r="I3775" s="24">
        <f>T_reg.root.SK[[#This Row],[Volume, kg]]/1000</f>
        <v>22.38</v>
      </c>
      <c r="J3775" s="25">
        <v>0.20699999999999999</v>
      </c>
      <c r="K3775" s="25">
        <f t="shared" si="58"/>
        <v>4632.66</v>
      </c>
      <c r="L3775" s="25">
        <v>2.71</v>
      </c>
      <c r="M3775" s="24">
        <v>60551</v>
      </c>
      <c r="N3775" s="25">
        <f>IFERROR(T_reg.root.SK[[#This Row],[Price]]/T_reg.root.SK[[#This Row],[Starch content]],"")</f>
        <v>13.091787439613528</v>
      </c>
    </row>
    <row r="3776" spans="1:14">
      <c r="A3776" s="21">
        <v>2024</v>
      </c>
      <c r="B3776" s="21" t="s">
        <v>25</v>
      </c>
      <c r="C3776" s="21" t="s">
        <v>1145</v>
      </c>
      <c r="D3776" s="21" t="s">
        <v>35</v>
      </c>
      <c r="E3776" s="18" t="s">
        <v>192</v>
      </c>
      <c r="F3776" s="18" t="s">
        <v>187</v>
      </c>
      <c r="G3776" s="18" t="s">
        <v>48</v>
      </c>
      <c r="H3776" s="24">
        <v>12040</v>
      </c>
      <c r="I3776" s="24">
        <f>T_reg.root.SK[[#This Row],[Volume, kg]]/1000</f>
        <v>12.04</v>
      </c>
      <c r="J3776" s="25">
        <v>0.18140000000000001</v>
      </c>
      <c r="K3776" s="25">
        <f t="shared" si="58"/>
        <v>2184.056</v>
      </c>
      <c r="L3776" s="25">
        <v>2.5499999999999998</v>
      </c>
      <c r="M3776" s="24">
        <v>30745</v>
      </c>
      <c r="N3776" s="25">
        <f>IFERROR(T_reg.root.SK[[#This Row],[Price]]/T_reg.root.SK[[#This Row],[Starch content]],"")</f>
        <v>14.057331863285555</v>
      </c>
    </row>
    <row r="3777" spans="1:14">
      <c r="A3777" s="21">
        <v>2024</v>
      </c>
      <c r="B3777" s="21" t="s">
        <v>25</v>
      </c>
      <c r="C3777" s="21" t="s">
        <v>1145</v>
      </c>
      <c r="D3777" s="21" t="s">
        <v>35</v>
      </c>
      <c r="E3777" s="18" t="s">
        <v>193</v>
      </c>
      <c r="F3777" s="18" t="s">
        <v>187</v>
      </c>
      <c r="G3777" s="18" t="s">
        <v>48</v>
      </c>
      <c r="H3777" s="24">
        <v>5870</v>
      </c>
      <c r="I3777" s="24">
        <f>T_reg.root.SK[[#This Row],[Volume, kg]]/1000</f>
        <v>5.87</v>
      </c>
      <c r="J3777" s="25">
        <v>0.23550000000000001</v>
      </c>
      <c r="K3777" s="25">
        <f t="shared" si="58"/>
        <v>1382.385</v>
      </c>
      <c r="L3777" s="25">
        <v>2.85</v>
      </c>
      <c r="M3777" s="24">
        <v>16729.5</v>
      </c>
      <c r="N3777" s="25">
        <f>IFERROR(T_reg.root.SK[[#This Row],[Price]]/T_reg.root.SK[[#This Row],[Starch content]],"")</f>
        <v>12.101910828025478</v>
      </c>
    </row>
    <row r="3778" spans="1:14">
      <c r="A3778" s="21">
        <v>2024</v>
      </c>
      <c r="B3778" s="21" t="s">
        <v>25</v>
      </c>
      <c r="C3778" s="21" t="s">
        <v>1145</v>
      </c>
      <c r="D3778" s="21" t="s">
        <v>35</v>
      </c>
      <c r="E3778" s="18" t="s">
        <v>262</v>
      </c>
      <c r="F3778" s="18" t="s">
        <v>187</v>
      </c>
      <c r="G3778" s="18" t="s">
        <v>48</v>
      </c>
      <c r="H3778" s="24">
        <v>13770</v>
      </c>
      <c r="I3778" s="24">
        <f>T_reg.root.SK[[#This Row],[Volume, kg]]/1000</f>
        <v>13.77</v>
      </c>
      <c r="J3778" s="25">
        <v>0.21340000000000001</v>
      </c>
      <c r="K3778" s="25">
        <f t="shared" si="58"/>
        <v>2938.518</v>
      </c>
      <c r="L3778" s="25">
        <v>2.72</v>
      </c>
      <c r="M3778" s="24">
        <v>37456</v>
      </c>
      <c r="N3778" s="25">
        <f>IFERROR(T_reg.root.SK[[#This Row],[Price]]/T_reg.root.SK[[#This Row],[Starch content]],"")</f>
        <v>12.74601686972821</v>
      </c>
    </row>
    <row r="3779" spans="1:14">
      <c r="A3779" s="21">
        <v>2024</v>
      </c>
      <c r="B3779" s="21" t="s">
        <v>25</v>
      </c>
      <c r="C3779" s="21" t="s">
        <v>1145</v>
      </c>
      <c r="D3779" s="21" t="s">
        <v>35</v>
      </c>
      <c r="E3779" s="18" t="s">
        <v>515</v>
      </c>
      <c r="F3779" s="18" t="s">
        <v>187</v>
      </c>
      <c r="G3779" s="18" t="s">
        <v>48</v>
      </c>
      <c r="H3779" s="24">
        <v>27770</v>
      </c>
      <c r="I3779" s="24">
        <f>T_reg.root.SK[[#This Row],[Volume, kg]]/1000</f>
        <v>27.77</v>
      </c>
      <c r="J3779" s="25">
        <v>0.1744</v>
      </c>
      <c r="K3779" s="25">
        <f t="shared" ref="K3779:K3842" si="59">H3779*J3779</f>
        <v>4843.0879999999997</v>
      </c>
      <c r="L3779" s="25">
        <v>2.44</v>
      </c>
      <c r="M3779" s="24">
        <v>67652</v>
      </c>
      <c r="N3779" s="25">
        <f>IFERROR(T_reg.root.SK[[#This Row],[Price]]/T_reg.root.SK[[#This Row],[Starch content]],"")</f>
        <v>13.990825688073395</v>
      </c>
    </row>
    <row r="3780" spans="1:14">
      <c r="A3780" s="21">
        <v>2024</v>
      </c>
      <c r="B3780" s="21" t="s">
        <v>25</v>
      </c>
      <c r="C3780" s="21" t="s">
        <v>1145</v>
      </c>
      <c r="D3780" s="21" t="s">
        <v>35</v>
      </c>
      <c r="E3780" s="18" t="s">
        <v>587</v>
      </c>
      <c r="F3780" s="18" t="s">
        <v>187</v>
      </c>
      <c r="G3780" s="18" t="s">
        <v>48</v>
      </c>
      <c r="H3780" s="24">
        <v>73140</v>
      </c>
      <c r="I3780" s="24">
        <f>T_reg.root.SK[[#This Row],[Volume, kg]]/1000</f>
        <v>73.14</v>
      </c>
      <c r="J3780" s="25">
        <v>0.22020000000000001</v>
      </c>
      <c r="K3780" s="25">
        <f t="shared" si="59"/>
        <v>16105.428</v>
      </c>
      <c r="L3780" s="25">
        <v>2.74</v>
      </c>
      <c r="M3780" s="24">
        <v>200607</v>
      </c>
      <c r="N3780" s="25">
        <f>IFERROR(T_reg.root.SK[[#This Row],[Price]]/T_reg.root.SK[[#This Row],[Starch content]],"")</f>
        <v>12.443233424159855</v>
      </c>
    </row>
    <row r="3781" spans="1:14">
      <c r="A3781" s="21">
        <v>2024</v>
      </c>
      <c r="B3781" s="21" t="s">
        <v>25</v>
      </c>
      <c r="C3781" s="21" t="s">
        <v>1145</v>
      </c>
      <c r="D3781" s="21" t="s">
        <v>35</v>
      </c>
      <c r="E3781" s="18" t="s">
        <v>516</v>
      </c>
      <c r="F3781" s="18" t="s">
        <v>187</v>
      </c>
      <c r="G3781" s="18" t="s">
        <v>48</v>
      </c>
      <c r="H3781" s="24">
        <v>52900</v>
      </c>
      <c r="I3781" s="24">
        <f>T_reg.root.SK[[#This Row],[Volume, kg]]/1000</f>
        <v>52.9</v>
      </c>
      <c r="J3781" s="25">
        <v>0.23250000000000001</v>
      </c>
      <c r="K3781" s="25">
        <f t="shared" si="59"/>
        <v>12299.25</v>
      </c>
      <c r="L3781" s="25">
        <v>2.81</v>
      </c>
      <c r="M3781" s="24">
        <v>148433</v>
      </c>
      <c r="N3781" s="25">
        <f>IFERROR(T_reg.root.SK[[#This Row],[Price]]/T_reg.root.SK[[#This Row],[Starch content]],"")</f>
        <v>12.086021505376344</v>
      </c>
    </row>
    <row r="3782" spans="1:14">
      <c r="A3782" s="21">
        <v>2024</v>
      </c>
      <c r="B3782" s="21" t="s">
        <v>25</v>
      </c>
      <c r="C3782" s="21" t="s">
        <v>1145</v>
      </c>
      <c r="D3782" s="21" t="s">
        <v>35</v>
      </c>
      <c r="E3782" s="18" t="s">
        <v>589</v>
      </c>
      <c r="F3782" s="18" t="s">
        <v>187</v>
      </c>
      <c r="G3782" s="18" t="s">
        <v>48</v>
      </c>
      <c r="H3782" s="24">
        <v>8840</v>
      </c>
      <c r="I3782" s="24">
        <f>T_reg.root.SK[[#This Row],[Volume, kg]]/1000</f>
        <v>8.84</v>
      </c>
      <c r="J3782" s="25">
        <v>0.254</v>
      </c>
      <c r="K3782" s="25">
        <f t="shared" si="59"/>
        <v>2245.36</v>
      </c>
      <c r="L3782" s="25">
        <v>2.9</v>
      </c>
      <c r="M3782" s="24">
        <v>25636</v>
      </c>
      <c r="N3782" s="25">
        <f>IFERROR(T_reg.root.SK[[#This Row],[Price]]/T_reg.root.SK[[#This Row],[Starch content]],"")</f>
        <v>11.417322834645669</v>
      </c>
    </row>
    <row r="3783" spans="1:14">
      <c r="A3783" s="21">
        <v>2024</v>
      </c>
      <c r="B3783" s="21" t="s">
        <v>25</v>
      </c>
      <c r="C3783" s="21" t="s">
        <v>1145</v>
      </c>
      <c r="D3783" s="21" t="s">
        <v>35</v>
      </c>
      <c r="E3783" s="18" t="s">
        <v>813</v>
      </c>
      <c r="F3783" s="18" t="s">
        <v>187</v>
      </c>
      <c r="G3783" s="18" t="s">
        <v>48</v>
      </c>
      <c r="H3783" s="24">
        <v>16210</v>
      </c>
      <c r="I3783" s="24">
        <f>T_reg.root.SK[[#This Row],[Volume, kg]]/1000</f>
        <v>16.21</v>
      </c>
      <c r="J3783" s="25">
        <v>0.20569999999999999</v>
      </c>
      <c r="K3783" s="25">
        <f t="shared" si="59"/>
        <v>3334.3969999999999</v>
      </c>
      <c r="L3783" s="25">
        <v>2.7</v>
      </c>
      <c r="M3783" s="24">
        <v>43767</v>
      </c>
      <c r="N3783" s="25">
        <f>IFERROR(T_reg.root.SK[[#This Row],[Price]]/T_reg.root.SK[[#This Row],[Starch content]],"")</f>
        <v>13.125911521633448</v>
      </c>
    </row>
    <row r="3784" spans="1:14">
      <c r="A3784" s="21">
        <v>2024</v>
      </c>
      <c r="B3784" s="21" t="s">
        <v>25</v>
      </c>
      <c r="C3784" s="21" t="s">
        <v>1145</v>
      </c>
      <c r="D3784" s="21" t="s">
        <v>35</v>
      </c>
      <c r="E3784" s="18" t="s">
        <v>814</v>
      </c>
      <c r="F3784" s="18" t="s">
        <v>187</v>
      </c>
      <c r="G3784" s="18" t="s">
        <v>48</v>
      </c>
      <c r="H3784" s="24">
        <v>0</v>
      </c>
      <c r="I3784" s="24">
        <f>T_reg.root.SK[[#This Row],[Volume, kg]]/1000</f>
        <v>0</v>
      </c>
      <c r="J3784" s="25">
        <v>0</v>
      </c>
      <c r="K3784" s="25">
        <f t="shared" si="59"/>
        <v>0</v>
      </c>
      <c r="L3784" s="25">
        <v>0</v>
      </c>
      <c r="M3784" s="24">
        <v>0</v>
      </c>
      <c r="N3784" s="25" t="str">
        <f>IFERROR(T_reg.root.SK[[#This Row],[Price]]/T_reg.root.SK[[#This Row],[Starch content]],"")</f>
        <v/>
      </c>
    </row>
    <row r="3785" spans="1:14">
      <c r="A3785" s="21">
        <v>2024</v>
      </c>
      <c r="B3785" s="21" t="s">
        <v>25</v>
      </c>
      <c r="C3785" s="21" t="s">
        <v>1145</v>
      </c>
      <c r="D3785" s="21" t="s">
        <v>35</v>
      </c>
      <c r="E3785" s="18" t="s">
        <v>521</v>
      </c>
      <c r="F3785" s="18" t="s">
        <v>187</v>
      </c>
      <c r="G3785" s="18" t="s">
        <v>48</v>
      </c>
      <c r="H3785" s="24">
        <v>9540</v>
      </c>
      <c r="I3785" s="24">
        <f>T_reg.root.SK[[#This Row],[Volume, kg]]/1000</f>
        <v>9.5399999999999991</v>
      </c>
      <c r="J3785" s="25">
        <v>0.2155</v>
      </c>
      <c r="K3785" s="25">
        <f t="shared" si="59"/>
        <v>2055.87</v>
      </c>
      <c r="L3785" s="25">
        <v>2.6</v>
      </c>
      <c r="M3785" s="24">
        <v>24804</v>
      </c>
      <c r="N3785" s="25">
        <f>IFERROR(T_reg.root.SK[[#This Row],[Price]]/T_reg.root.SK[[#This Row],[Starch content]],"")</f>
        <v>12.064965197215777</v>
      </c>
    </row>
    <row r="3786" spans="1:14">
      <c r="A3786" s="21">
        <v>2024</v>
      </c>
      <c r="B3786" s="21" t="s">
        <v>25</v>
      </c>
      <c r="C3786" s="21" t="s">
        <v>1145</v>
      </c>
      <c r="D3786" s="21" t="s">
        <v>35</v>
      </c>
      <c r="E3786" s="18" t="s">
        <v>264</v>
      </c>
      <c r="F3786" s="18" t="s">
        <v>187</v>
      </c>
      <c r="G3786" s="18" t="s">
        <v>48</v>
      </c>
      <c r="H3786" s="24">
        <v>50760</v>
      </c>
      <c r="I3786" s="24">
        <f>T_reg.root.SK[[#This Row],[Volume, kg]]/1000</f>
        <v>50.76</v>
      </c>
      <c r="J3786" s="25">
        <v>0.17550000000000002</v>
      </c>
      <c r="K3786" s="25">
        <f t="shared" si="59"/>
        <v>8908.380000000001</v>
      </c>
      <c r="L3786" s="25">
        <v>2.4</v>
      </c>
      <c r="M3786" s="24">
        <v>121692.5</v>
      </c>
      <c r="N3786" s="25">
        <f>IFERROR(T_reg.root.SK[[#This Row],[Price]]/T_reg.root.SK[[#This Row],[Starch content]],"")</f>
        <v>13.675213675213673</v>
      </c>
    </row>
    <row r="3787" spans="1:14">
      <c r="A3787" s="21">
        <v>2024</v>
      </c>
      <c r="B3787" s="21" t="s">
        <v>25</v>
      </c>
      <c r="C3787" s="21" t="s">
        <v>1145</v>
      </c>
      <c r="D3787" s="21" t="s">
        <v>35</v>
      </c>
      <c r="E3787" s="18" t="s">
        <v>522</v>
      </c>
      <c r="F3787" s="18" t="s">
        <v>187</v>
      </c>
      <c r="G3787" s="18" t="s">
        <v>48</v>
      </c>
      <c r="H3787" s="24">
        <v>15140</v>
      </c>
      <c r="I3787" s="24">
        <f>T_reg.root.SK[[#This Row],[Volume, kg]]/1000</f>
        <v>15.14</v>
      </c>
      <c r="J3787" s="25">
        <v>0.21909999999999999</v>
      </c>
      <c r="K3787" s="25">
        <f t="shared" si="59"/>
        <v>3317.174</v>
      </c>
      <c r="L3787" s="25">
        <v>2.74</v>
      </c>
      <c r="M3787" s="24">
        <v>41539</v>
      </c>
      <c r="N3787" s="25">
        <f>IFERROR(T_reg.root.SK[[#This Row],[Price]]/T_reg.root.SK[[#This Row],[Starch content]],"")</f>
        <v>12.505705157462348</v>
      </c>
    </row>
    <row r="3788" spans="1:14">
      <c r="A3788" s="21">
        <v>2024</v>
      </c>
      <c r="B3788" s="21" t="s">
        <v>25</v>
      </c>
      <c r="C3788" s="21" t="s">
        <v>1145</v>
      </c>
      <c r="D3788" s="21" t="s">
        <v>35</v>
      </c>
      <c r="E3788" s="18" t="s">
        <v>523</v>
      </c>
      <c r="F3788" s="18" t="s">
        <v>187</v>
      </c>
      <c r="G3788" s="18" t="s">
        <v>48</v>
      </c>
      <c r="H3788" s="24">
        <v>43910</v>
      </c>
      <c r="I3788" s="24">
        <f>T_reg.root.SK[[#This Row],[Volume, kg]]/1000</f>
        <v>43.91</v>
      </c>
      <c r="J3788" s="25">
        <v>0.22059999999999999</v>
      </c>
      <c r="K3788" s="25">
        <f t="shared" si="59"/>
        <v>9686.5460000000003</v>
      </c>
      <c r="L3788" s="25">
        <v>2.68</v>
      </c>
      <c r="M3788" s="24">
        <v>117883.5</v>
      </c>
      <c r="N3788" s="25">
        <f>IFERROR(T_reg.root.SK[[#This Row],[Price]]/T_reg.root.SK[[#This Row],[Starch content]],"")</f>
        <v>12.148685403445151</v>
      </c>
    </row>
    <row r="3789" spans="1:14">
      <c r="A3789" s="21">
        <v>2024</v>
      </c>
      <c r="B3789" s="21" t="s">
        <v>25</v>
      </c>
      <c r="C3789" s="21" t="s">
        <v>1145</v>
      </c>
      <c r="D3789" s="21" t="s">
        <v>35</v>
      </c>
      <c r="E3789" s="18" t="s">
        <v>196</v>
      </c>
      <c r="F3789" s="18" t="s">
        <v>187</v>
      </c>
      <c r="G3789" s="18" t="s">
        <v>48</v>
      </c>
      <c r="H3789" s="24">
        <v>56610</v>
      </c>
      <c r="I3789" s="24">
        <f>T_reg.root.SK[[#This Row],[Volume, kg]]/1000</f>
        <v>56.61</v>
      </c>
      <c r="J3789" s="25">
        <v>0.20559999999999998</v>
      </c>
      <c r="K3789" s="25">
        <f t="shared" si="59"/>
        <v>11639.015999999998</v>
      </c>
      <c r="L3789" s="25">
        <v>2.65</v>
      </c>
      <c r="M3789" s="24">
        <v>150295</v>
      </c>
      <c r="N3789" s="25">
        <f>IFERROR(T_reg.root.SK[[#This Row],[Price]]/T_reg.root.SK[[#This Row],[Starch content]],"")</f>
        <v>12.889105058365759</v>
      </c>
    </row>
    <row r="3790" spans="1:14">
      <c r="A3790" s="21">
        <v>2024</v>
      </c>
      <c r="B3790" s="21" t="s">
        <v>25</v>
      </c>
      <c r="C3790" s="21" t="s">
        <v>1145</v>
      </c>
      <c r="D3790" s="21" t="s">
        <v>35</v>
      </c>
      <c r="E3790" s="18" t="s">
        <v>197</v>
      </c>
      <c r="F3790" s="18" t="s">
        <v>187</v>
      </c>
      <c r="G3790" s="18" t="s">
        <v>48</v>
      </c>
      <c r="H3790" s="24">
        <v>11160</v>
      </c>
      <c r="I3790" s="24">
        <f>T_reg.root.SK[[#This Row],[Volume, kg]]/1000</f>
        <v>11.16</v>
      </c>
      <c r="J3790" s="25">
        <v>0.19800000000000001</v>
      </c>
      <c r="K3790" s="25">
        <f t="shared" si="59"/>
        <v>2209.6800000000003</v>
      </c>
      <c r="L3790" s="25">
        <v>2.5499999999999998</v>
      </c>
      <c r="M3790" s="24">
        <v>28458</v>
      </c>
      <c r="N3790" s="25">
        <f>IFERROR(T_reg.root.SK[[#This Row],[Price]]/T_reg.root.SK[[#This Row],[Starch content]],"")</f>
        <v>12.878787878787877</v>
      </c>
    </row>
    <row r="3791" spans="1:14">
      <c r="A3791" s="21">
        <v>2024</v>
      </c>
      <c r="B3791" s="21" t="s">
        <v>25</v>
      </c>
      <c r="C3791" s="21" t="s">
        <v>1145</v>
      </c>
      <c r="D3791" s="21" t="s">
        <v>35</v>
      </c>
      <c r="E3791" s="18" t="s">
        <v>650</v>
      </c>
      <c r="F3791" s="18" t="s">
        <v>187</v>
      </c>
      <c r="G3791" s="18" t="s">
        <v>48</v>
      </c>
      <c r="H3791" s="24">
        <v>42270</v>
      </c>
      <c r="I3791" s="24">
        <f>T_reg.root.SK[[#This Row],[Volume, kg]]/1000</f>
        <v>42.27</v>
      </c>
      <c r="J3791" s="25">
        <v>0.20579999999999998</v>
      </c>
      <c r="K3791" s="25">
        <f t="shared" si="59"/>
        <v>8699.1659999999993</v>
      </c>
      <c r="L3791" s="25">
        <v>2.69</v>
      </c>
      <c r="M3791" s="24">
        <v>113536</v>
      </c>
      <c r="N3791" s="25">
        <f>IFERROR(T_reg.root.SK[[#This Row],[Price]]/T_reg.root.SK[[#This Row],[Starch content]],"")</f>
        <v>13.070942662779398</v>
      </c>
    </row>
    <row r="3792" spans="1:14">
      <c r="A3792" s="21">
        <v>2024</v>
      </c>
      <c r="B3792" s="21" t="s">
        <v>25</v>
      </c>
      <c r="C3792" s="21" t="s">
        <v>1145</v>
      </c>
      <c r="D3792" s="21" t="s">
        <v>35</v>
      </c>
      <c r="E3792" s="18" t="s">
        <v>372</v>
      </c>
      <c r="F3792" s="18" t="s">
        <v>187</v>
      </c>
      <c r="G3792" s="18" t="s">
        <v>48</v>
      </c>
      <c r="H3792" s="24">
        <v>14000</v>
      </c>
      <c r="I3792" s="24">
        <f>T_reg.root.SK[[#This Row],[Volume, kg]]/1000</f>
        <v>14</v>
      </c>
      <c r="J3792" s="25">
        <v>0.182</v>
      </c>
      <c r="K3792" s="25">
        <f t="shared" si="59"/>
        <v>2548</v>
      </c>
      <c r="L3792" s="25">
        <v>2.42</v>
      </c>
      <c r="M3792" s="24">
        <v>33850.5</v>
      </c>
      <c r="N3792" s="25">
        <f>IFERROR(T_reg.root.SK[[#This Row],[Price]]/T_reg.root.SK[[#This Row],[Starch content]],"")</f>
        <v>13.296703296703297</v>
      </c>
    </row>
    <row r="3793" spans="1:14">
      <c r="A3793" s="21">
        <v>2024</v>
      </c>
      <c r="B3793" s="21" t="s">
        <v>25</v>
      </c>
      <c r="C3793" s="21" t="s">
        <v>1145</v>
      </c>
      <c r="D3793" s="21" t="s">
        <v>35</v>
      </c>
      <c r="E3793" s="18" t="s">
        <v>199</v>
      </c>
      <c r="F3793" s="18" t="s">
        <v>187</v>
      </c>
      <c r="G3793" s="18" t="s">
        <v>48</v>
      </c>
      <c r="H3793" s="24">
        <v>184180</v>
      </c>
      <c r="I3793" s="24">
        <f>T_reg.root.SK[[#This Row],[Volume, kg]]/1000</f>
        <v>184.18</v>
      </c>
      <c r="J3793" s="25">
        <v>0.19940000000000002</v>
      </c>
      <c r="K3793" s="25">
        <f t="shared" si="59"/>
        <v>36725.492000000006</v>
      </c>
      <c r="L3793" s="25">
        <v>2.63</v>
      </c>
      <c r="M3793" s="24">
        <v>484961.5</v>
      </c>
      <c r="N3793" s="25">
        <f>IFERROR(T_reg.root.SK[[#This Row],[Price]]/T_reg.root.SK[[#This Row],[Starch content]],"")</f>
        <v>13.189568706118353</v>
      </c>
    </row>
    <row r="3794" spans="1:14">
      <c r="A3794" s="21">
        <v>2024</v>
      </c>
      <c r="B3794" s="21" t="s">
        <v>25</v>
      </c>
      <c r="C3794" s="21" t="s">
        <v>1145</v>
      </c>
      <c r="D3794" s="21" t="s">
        <v>35</v>
      </c>
      <c r="E3794" s="18" t="s">
        <v>201</v>
      </c>
      <c r="F3794" s="18" t="s">
        <v>187</v>
      </c>
      <c r="G3794" s="18" t="s">
        <v>48</v>
      </c>
      <c r="H3794" s="24">
        <v>12260</v>
      </c>
      <c r="I3794" s="24">
        <f>T_reg.root.SK[[#This Row],[Volume, kg]]/1000</f>
        <v>12.26</v>
      </c>
      <c r="J3794" s="25">
        <v>0.19719999999999999</v>
      </c>
      <c r="K3794" s="25">
        <f t="shared" si="59"/>
        <v>2417.672</v>
      </c>
      <c r="L3794" s="25">
        <v>2.64</v>
      </c>
      <c r="M3794" s="24">
        <v>32311.5</v>
      </c>
      <c r="N3794" s="25">
        <f>IFERROR(T_reg.root.SK[[#This Row],[Price]]/T_reg.root.SK[[#This Row],[Starch content]],"")</f>
        <v>13.387423935091279</v>
      </c>
    </row>
    <row r="3795" spans="1:14">
      <c r="A3795" s="21">
        <v>2024</v>
      </c>
      <c r="B3795" s="21" t="s">
        <v>25</v>
      </c>
      <c r="C3795" s="21" t="s">
        <v>1145</v>
      </c>
      <c r="D3795" s="21" t="s">
        <v>35</v>
      </c>
      <c r="E3795" s="18" t="s">
        <v>332</v>
      </c>
      <c r="F3795" s="18" t="s">
        <v>187</v>
      </c>
      <c r="G3795" s="18" t="s">
        <v>48</v>
      </c>
      <c r="H3795" s="24">
        <v>10260</v>
      </c>
      <c r="I3795" s="24">
        <f>T_reg.root.SK[[#This Row],[Volume, kg]]/1000</f>
        <v>10.26</v>
      </c>
      <c r="J3795" s="25">
        <v>0.1555</v>
      </c>
      <c r="K3795" s="25">
        <f t="shared" si="59"/>
        <v>1595.43</v>
      </c>
      <c r="L3795" s="25">
        <v>2.4500000000000002</v>
      </c>
      <c r="M3795" s="24">
        <v>25137</v>
      </c>
      <c r="N3795" s="25">
        <f>IFERROR(T_reg.root.SK[[#This Row],[Price]]/T_reg.root.SK[[#This Row],[Starch content]],"")</f>
        <v>15.755627009646304</v>
      </c>
    </row>
    <row r="3796" spans="1:14">
      <c r="A3796" s="21">
        <v>2024</v>
      </c>
      <c r="B3796" s="21" t="s">
        <v>25</v>
      </c>
      <c r="C3796" s="21" t="s">
        <v>1145</v>
      </c>
      <c r="D3796" s="21" t="s">
        <v>35</v>
      </c>
      <c r="E3796" s="18" t="s">
        <v>593</v>
      </c>
      <c r="F3796" s="18" t="s">
        <v>187</v>
      </c>
      <c r="G3796" s="18" t="s">
        <v>48</v>
      </c>
      <c r="H3796" s="24">
        <v>123890</v>
      </c>
      <c r="I3796" s="24">
        <f>T_reg.root.SK[[#This Row],[Volume, kg]]/1000</f>
        <v>123.89</v>
      </c>
      <c r="J3796" s="25">
        <v>0.18390000000000001</v>
      </c>
      <c r="K3796" s="25">
        <f t="shared" si="59"/>
        <v>22783.370999999999</v>
      </c>
      <c r="L3796" s="25">
        <v>2.56</v>
      </c>
      <c r="M3796" s="24">
        <v>316844.5</v>
      </c>
      <c r="N3796" s="25">
        <f>IFERROR(T_reg.root.SK[[#This Row],[Price]]/T_reg.root.SK[[#This Row],[Starch content]],"")</f>
        <v>13.920609026644916</v>
      </c>
    </row>
    <row r="3797" spans="1:14">
      <c r="A3797" s="21">
        <v>2024</v>
      </c>
      <c r="B3797" s="21" t="s">
        <v>25</v>
      </c>
      <c r="C3797" s="21" t="s">
        <v>1145</v>
      </c>
      <c r="D3797" s="21" t="s">
        <v>35</v>
      </c>
      <c r="E3797" s="18" t="s">
        <v>777</v>
      </c>
      <c r="F3797" s="18" t="s">
        <v>187</v>
      </c>
      <c r="G3797" s="18" t="s">
        <v>48</v>
      </c>
      <c r="H3797" s="24">
        <v>49390</v>
      </c>
      <c r="I3797" s="24">
        <f>T_reg.root.SK[[#This Row],[Volume, kg]]/1000</f>
        <v>49.39</v>
      </c>
      <c r="J3797" s="25">
        <v>0.20219999999999999</v>
      </c>
      <c r="K3797" s="25">
        <f t="shared" si="59"/>
        <v>9986.6579999999994</v>
      </c>
      <c r="L3797" s="25">
        <v>2.66</v>
      </c>
      <c r="M3797" s="24">
        <v>131429</v>
      </c>
      <c r="N3797" s="25">
        <f>IFERROR(T_reg.root.SK[[#This Row],[Price]]/T_reg.root.SK[[#This Row],[Starch content]],"")</f>
        <v>13.155291790306629</v>
      </c>
    </row>
    <row r="3798" spans="1:14">
      <c r="A3798" s="21">
        <v>2024</v>
      </c>
      <c r="B3798" s="21" t="s">
        <v>25</v>
      </c>
      <c r="C3798" s="21" t="s">
        <v>1145</v>
      </c>
      <c r="D3798" s="21" t="s">
        <v>35</v>
      </c>
      <c r="E3798" s="18" t="s">
        <v>204</v>
      </c>
      <c r="F3798" s="18" t="s">
        <v>187</v>
      </c>
      <c r="G3798" s="18" t="s">
        <v>48</v>
      </c>
      <c r="H3798" s="24">
        <v>3210</v>
      </c>
      <c r="I3798" s="24">
        <f>T_reg.root.SK[[#This Row],[Volume, kg]]/1000</f>
        <v>3.21</v>
      </c>
      <c r="J3798" s="25">
        <v>0.2495</v>
      </c>
      <c r="K3798" s="25">
        <f t="shared" si="59"/>
        <v>800.89499999999998</v>
      </c>
      <c r="L3798" s="25">
        <v>2.9</v>
      </c>
      <c r="M3798" s="24">
        <v>9309</v>
      </c>
      <c r="N3798" s="25">
        <f>IFERROR(T_reg.root.SK[[#This Row],[Price]]/T_reg.root.SK[[#This Row],[Starch content]],"")</f>
        <v>11.623246492985972</v>
      </c>
    </row>
    <row r="3799" spans="1:14">
      <c r="A3799" s="21">
        <v>2024</v>
      </c>
      <c r="B3799" s="21" t="s">
        <v>25</v>
      </c>
      <c r="C3799" s="21" t="s">
        <v>1145</v>
      </c>
      <c r="D3799" s="21" t="s">
        <v>35</v>
      </c>
      <c r="E3799" s="18" t="s">
        <v>266</v>
      </c>
      <c r="F3799" s="18" t="s">
        <v>187</v>
      </c>
      <c r="G3799" s="18" t="s">
        <v>48</v>
      </c>
      <c r="H3799" s="24">
        <v>31500</v>
      </c>
      <c r="I3799" s="24">
        <f>T_reg.root.SK[[#This Row],[Volume, kg]]/1000</f>
        <v>31.5</v>
      </c>
      <c r="J3799" s="25">
        <v>0.19089999999999999</v>
      </c>
      <c r="K3799" s="25">
        <f t="shared" si="59"/>
        <v>6013.3499999999995</v>
      </c>
      <c r="L3799" s="25">
        <v>2.5</v>
      </c>
      <c r="M3799" s="24">
        <v>78625</v>
      </c>
      <c r="N3799" s="25">
        <f>IFERROR(T_reg.root.SK[[#This Row],[Price]]/T_reg.root.SK[[#This Row],[Starch content]],"")</f>
        <v>13.095861707700367</v>
      </c>
    </row>
    <row r="3800" spans="1:14">
      <c r="A3800" s="21">
        <v>2024</v>
      </c>
      <c r="B3800" s="21" t="s">
        <v>25</v>
      </c>
      <c r="C3800" s="21" t="s">
        <v>1145</v>
      </c>
      <c r="D3800" s="21" t="s">
        <v>35</v>
      </c>
      <c r="E3800" s="18" t="s">
        <v>778</v>
      </c>
      <c r="F3800" s="18" t="s">
        <v>187</v>
      </c>
      <c r="G3800" s="18" t="s">
        <v>48</v>
      </c>
      <c r="H3800" s="24">
        <v>12420</v>
      </c>
      <c r="I3800" s="24">
        <f>T_reg.root.SK[[#This Row],[Volume, kg]]/1000</f>
        <v>12.42</v>
      </c>
      <c r="J3800" s="25">
        <v>0.23879999999999998</v>
      </c>
      <c r="K3800" s="25">
        <f t="shared" si="59"/>
        <v>2965.8959999999997</v>
      </c>
      <c r="L3800" s="25">
        <v>2.85</v>
      </c>
      <c r="M3800" s="24">
        <v>35397</v>
      </c>
      <c r="N3800" s="25">
        <f>IFERROR(T_reg.root.SK[[#This Row],[Price]]/T_reg.root.SK[[#This Row],[Starch content]],"")</f>
        <v>11.934673366834172</v>
      </c>
    </row>
    <row r="3801" spans="1:14">
      <c r="A3801" s="21">
        <v>2024</v>
      </c>
      <c r="B3801" s="21" t="s">
        <v>25</v>
      </c>
      <c r="C3801" s="21" t="s">
        <v>1145</v>
      </c>
      <c r="D3801" s="21" t="s">
        <v>35</v>
      </c>
      <c r="E3801" s="18" t="s">
        <v>703</v>
      </c>
      <c r="F3801" s="18" t="s">
        <v>187</v>
      </c>
      <c r="G3801" s="18" t="s">
        <v>48</v>
      </c>
      <c r="H3801" s="24">
        <v>5580</v>
      </c>
      <c r="I3801" s="24">
        <f>T_reg.root.SK[[#This Row],[Volume, kg]]/1000</f>
        <v>5.58</v>
      </c>
      <c r="J3801" s="25">
        <v>0.19899999999999998</v>
      </c>
      <c r="K3801" s="25">
        <f t="shared" si="59"/>
        <v>1110.4199999999998</v>
      </c>
      <c r="L3801" s="25">
        <v>2.5</v>
      </c>
      <c r="M3801" s="24">
        <v>13950</v>
      </c>
      <c r="N3801" s="25">
        <f>IFERROR(T_reg.root.SK[[#This Row],[Price]]/T_reg.root.SK[[#This Row],[Starch content]],"")</f>
        <v>12.562814070351759</v>
      </c>
    </row>
    <row r="3802" spans="1:14">
      <c r="A3802" s="21">
        <v>2024</v>
      </c>
      <c r="B3802" s="21" t="s">
        <v>25</v>
      </c>
      <c r="C3802" s="21" t="s">
        <v>1145</v>
      </c>
      <c r="D3802" s="21" t="s">
        <v>35</v>
      </c>
      <c r="E3802" s="18" t="s">
        <v>796</v>
      </c>
      <c r="F3802" s="18" t="s">
        <v>187</v>
      </c>
      <c r="G3802" s="18" t="s">
        <v>48</v>
      </c>
      <c r="H3802" s="24">
        <v>7140</v>
      </c>
      <c r="I3802" s="24">
        <f>T_reg.root.SK[[#This Row],[Volume, kg]]/1000</f>
        <v>7.14</v>
      </c>
      <c r="J3802" s="25">
        <v>0.20399999999999999</v>
      </c>
      <c r="K3802" s="25">
        <f t="shared" si="59"/>
        <v>1456.56</v>
      </c>
      <c r="L3802" s="25">
        <v>2.65</v>
      </c>
      <c r="M3802" s="24">
        <v>18921</v>
      </c>
      <c r="N3802" s="25">
        <f>IFERROR(T_reg.root.SK[[#This Row],[Price]]/T_reg.root.SK[[#This Row],[Starch content]],"")</f>
        <v>12.990196078431373</v>
      </c>
    </row>
    <row r="3803" spans="1:14">
      <c r="A3803" s="21">
        <v>2024</v>
      </c>
      <c r="B3803" s="21" t="s">
        <v>25</v>
      </c>
      <c r="C3803" s="21" t="s">
        <v>1145</v>
      </c>
      <c r="D3803" s="21" t="s">
        <v>35</v>
      </c>
      <c r="E3803" s="18" t="s">
        <v>206</v>
      </c>
      <c r="F3803" s="18" t="s">
        <v>187</v>
      </c>
      <c r="G3803" s="18" t="s">
        <v>48</v>
      </c>
      <c r="H3803" s="24">
        <v>19780</v>
      </c>
      <c r="I3803" s="24">
        <f>T_reg.root.SK[[#This Row],[Volume, kg]]/1000</f>
        <v>19.78</v>
      </c>
      <c r="J3803" s="25">
        <v>0.20469999999999999</v>
      </c>
      <c r="K3803" s="25">
        <f t="shared" si="59"/>
        <v>4048.9659999999999</v>
      </c>
      <c r="L3803" s="25">
        <v>2.52</v>
      </c>
      <c r="M3803" s="24">
        <v>49884.5</v>
      </c>
      <c r="N3803" s="25">
        <f>IFERROR(T_reg.root.SK[[#This Row],[Price]]/T_reg.root.SK[[#This Row],[Starch content]],"")</f>
        <v>12.310698583292623</v>
      </c>
    </row>
    <row r="3804" spans="1:14">
      <c r="A3804" s="21">
        <v>2024</v>
      </c>
      <c r="B3804" s="21" t="s">
        <v>25</v>
      </c>
      <c r="C3804" s="21" t="s">
        <v>1145</v>
      </c>
      <c r="D3804" s="21" t="s">
        <v>35</v>
      </c>
      <c r="E3804" s="18" t="s">
        <v>267</v>
      </c>
      <c r="F3804" s="18" t="s">
        <v>187</v>
      </c>
      <c r="G3804" s="18" t="s">
        <v>48</v>
      </c>
      <c r="H3804" s="24">
        <v>32380</v>
      </c>
      <c r="I3804" s="24">
        <f>T_reg.root.SK[[#This Row],[Volume, kg]]/1000</f>
        <v>32.380000000000003</v>
      </c>
      <c r="J3804" s="25">
        <v>0.23800000000000002</v>
      </c>
      <c r="K3804" s="25">
        <f t="shared" si="59"/>
        <v>7706.4400000000005</v>
      </c>
      <c r="L3804" s="25">
        <v>2.82</v>
      </c>
      <c r="M3804" s="24">
        <v>91196.5</v>
      </c>
      <c r="N3804" s="25">
        <f>IFERROR(T_reg.root.SK[[#This Row],[Price]]/T_reg.root.SK[[#This Row],[Starch content]],"")</f>
        <v>11.848739495798318</v>
      </c>
    </row>
    <row r="3805" spans="1:14">
      <c r="A3805" s="21">
        <v>2024</v>
      </c>
      <c r="B3805" s="21" t="s">
        <v>25</v>
      </c>
      <c r="C3805" s="21" t="s">
        <v>1145</v>
      </c>
      <c r="D3805" s="21" t="s">
        <v>35</v>
      </c>
      <c r="E3805" s="18" t="s">
        <v>815</v>
      </c>
      <c r="F3805" s="18" t="s">
        <v>187</v>
      </c>
      <c r="G3805" s="18" t="s">
        <v>48</v>
      </c>
      <c r="H3805" s="24">
        <v>72350</v>
      </c>
      <c r="I3805" s="24">
        <f>T_reg.root.SK[[#This Row],[Volume, kg]]/1000</f>
        <v>72.349999999999994</v>
      </c>
      <c r="J3805" s="25">
        <v>0.16239999999999999</v>
      </c>
      <c r="K3805" s="25">
        <f t="shared" si="59"/>
        <v>11749.64</v>
      </c>
      <c r="L3805" s="25">
        <v>2.46</v>
      </c>
      <c r="M3805" s="24">
        <v>177791.5</v>
      </c>
      <c r="N3805" s="25">
        <f>IFERROR(T_reg.root.SK[[#This Row],[Price]]/T_reg.root.SK[[#This Row],[Starch content]],"")</f>
        <v>15.147783251231528</v>
      </c>
    </row>
    <row r="3806" spans="1:14">
      <c r="A3806" s="21">
        <v>2024</v>
      </c>
      <c r="B3806" s="21" t="s">
        <v>25</v>
      </c>
      <c r="C3806" s="21" t="s">
        <v>1145</v>
      </c>
      <c r="D3806" s="21" t="s">
        <v>35</v>
      </c>
      <c r="E3806" s="18" t="s">
        <v>595</v>
      </c>
      <c r="F3806" s="18" t="s">
        <v>187</v>
      </c>
      <c r="G3806" s="18" t="s">
        <v>48</v>
      </c>
      <c r="H3806" s="24">
        <v>48720</v>
      </c>
      <c r="I3806" s="24">
        <f>T_reg.root.SK[[#This Row],[Volume, kg]]/1000</f>
        <v>48.72</v>
      </c>
      <c r="J3806" s="25">
        <v>0.2631</v>
      </c>
      <c r="K3806" s="25">
        <f t="shared" si="59"/>
        <v>12818.232</v>
      </c>
      <c r="L3806" s="25">
        <v>2.96</v>
      </c>
      <c r="M3806" s="24">
        <v>144434</v>
      </c>
      <c r="N3806" s="25">
        <f>IFERROR(T_reg.root.SK[[#This Row],[Price]]/T_reg.root.SK[[#This Row],[Starch content]],"")</f>
        <v>11.250475104522994</v>
      </c>
    </row>
    <row r="3807" spans="1:14">
      <c r="A3807" s="21">
        <v>2024</v>
      </c>
      <c r="B3807" s="21" t="s">
        <v>25</v>
      </c>
      <c r="C3807" s="21" t="s">
        <v>1145</v>
      </c>
      <c r="D3807" s="21" t="s">
        <v>35</v>
      </c>
      <c r="E3807" s="18" t="s">
        <v>534</v>
      </c>
      <c r="F3807" s="18" t="s">
        <v>187</v>
      </c>
      <c r="G3807" s="18" t="s">
        <v>48</v>
      </c>
      <c r="H3807" s="24">
        <v>7990</v>
      </c>
      <c r="I3807" s="24">
        <f>T_reg.root.SK[[#This Row],[Volume, kg]]/1000</f>
        <v>7.99</v>
      </c>
      <c r="J3807" s="25">
        <v>0.23699999999999999</v>
      </c>
      <c r="K3807" s="25">
        <f t="shared" si="59"/>
        <v>1893.6299999999999</v>
      </c>
      <c r="L3807" s="25">
        <v>2.85</v>
      </c>
      <c r="M3807" s="24">
        <v>22771.5</v>
      </c>
      <c r="N3807" s="25">
        <f>IFERROR(T_reg.root.SK[[#This Row],[Price]]/T_reg.root.SK[[#This Row],[Starch content]],"")</f>
        <v>12.025316455696203</v>
      </c>
    </row>
    <row r="3808" spans="1:14">
      <c r="A3808" s="21">
        <v>2024</v>
      </c>
      <c r="B3808" s="21" t="s">
        <v>25</v>
      </c>
      <c r="C3808" s="21" t="s">
        <v>1145</v>
      </c>
      <c r="D3808" s="21" t="s">
        <v>35</v>
      </c>
      <c r="E3808" s="18" t="s">
        <v>689</v>
      </c>
      <c r="F3808" s="18" t="s">
        <v>187</v>
      </c>
      <c r="G3808" s="18" t="s">
        <v>48</v>
      </c>
      <c r="H3808" s="24">
        <v>3430</v>
      </c>
      <c r="I3808" s="24">
        <f>T_reg.root.SK[[#This Row],[Volume, kg]]/1000</f>
        <v>3.43</v>
      </c>
      <c r="J3808" s="25">
        <v>0.221</v>
      </c>
      <c r="K3808" s="25">
        <f t="shared" si="59"/>
        <v>758.03</v>
      </c>
      <c r="L3808" s="25">
        <v>2.75</v>
      </c>
      <c r="M3808" s="24">
        <v>9432.5</v>
      </c>
      <c r="N3808" s="25">
        <f>IFERROR(T_reg.root.SK[[#This Row],[Price]]/T_reg.root.SK[[#This Row],[Starch content]],"")</f>
        <v>12.44343891402715</v>
      </c>
    </row>
    <row r="3809" spans="1:14">
      <c r="A3809" s="21">
        <v>2024</v>
      </c>
      <c r="B3809" s="21" t="s">
        <v>25</v>
      </c>
      <c r="C3809" s="21" t="s">
        <v>1145</v>
      </c>
      <c r="D3809" s="21" t="s">
        <v>35</v>
      </c>
      <c r="E3809" s="18" t="s">
        <v>333</v>
      </c>
      <c r="F3809" s="18" t="s">
        <v>187</v>
      </c>
      <c r="G3809" s="18" t="s">
        <v>48</v>
      </c>
      <c r="H3809" s="24">
        <v>33020</v>
      </c>
      <c r="I3809" s="24">
        <f>T_reg.root.SK[[#This Row],[Volume, kg]]/1000</f>
        <v>33.020000000000003</v>
      </c>
      <c r="J3809" s="25">
        <v>0.22370000000000001</v>
      </c>
      <c r="K3809" s="25">
        <f t="shared" si="59"/>
        <v>7386.5740000000005</v>
      </c>
      <c r="L3809" s="25">
        <v>2.75</v>
      </c>
      <c r="M3809" s="24">
        <v>90726.5</v>
      </c>
      <c r="N3809" s="25">
        <f>IFERROR(T_reg.root.SK[[#This Row],[Price]]/T_reg.root.SK[[#This Row],[Starch content]],"")</f>
        <v>12.293249888243182</v>
      </c>
    </row>
    <row r="3810" spans="1:14">
      <c r="A3810" s="21">
        <v>2024</v>
      </c>
      <c r="B3810" s="21" t="s">
        <v>25</v>
      </c>
      <c r="C3810" s="21" t="s">
        <v>1145</v>
      </c>
      <c r="D3810" s="21" t="s">
        <v>35</v>
      </c>
      <c r="E3810" s="18" t="s">
        <v>743</v>
      </c>
      <c r="F3810" s="18" t="s">
        <v>187</v>
      </c>
      <c r="G3810" s="18" t="s">
        <v>48</v>
      </c>
      <c r="H3810" s="24">
        <v>6980</v>
      </c>
      <c r="I3810" s="24">
        <f>T_reg.root.SK[[#This Row],[Volume, kg]]/1000</f>
        <v>6.98</v>
      </c>
      <c r="J3810" s="25">
        <v>0.18100000000000002</v>
      </c>
      <c r="K3810" s="25">
        <f t="shared" si="59"/>
        <v>1263.3800000000001</v>
      </c>
      <c r="L3810" s="25">
        <v>2.5499999999999998</v>
      </c>
      <c r="M3810" s="24">
        <v>17799</v>
      </c>
      <c r="N3810" s="25">
        <f>IFERROR(T_reg.root.SK[[#This Row],[Price]]/T_reg.root.SK[[#This Row],[Starch content]],"")</f>
        <v>14.088397790055247</v>
      </c>
    </row>
    <row r="3811" spans="1:14">
      <c r="A3811" s="21">
        <v>2024</v>
      </c>
      <c r="B3811" s="21" t="s">
        <v>25</v>
      </c>
      <c r="C3811" s="21" t="s">
        <v>1145</v>
      </c>
      <c r="D3811" s="21" t="s">
        <v>35</v>
      </c>
      <c r="E3811" s="18" t="s">
        <v>211</v>
      </c>
      <c r="F3811" s="18" t="s">
        <v>187</v>
      </c>
      <c r="G3811" s="18" t="s">
        <v>48</v>
      </c>
      <c r="H3811" s="24">
        <v>102050</v>
      </c>
      <c r="I3811" s="24">
        <f>T_reg.root.SK[[#This Row],[Volume, kg]]/1000</f>
        <v>102.05</v>
      </c>
      <c r="J3811" s="25">
        <v>0.18909999999999999</v>
      </c>
      <c r="K3811" s="25">
        <f t="shared" si="59"/>
        <v>19297.654999999999</v>
      </c>
      <c r="L3811" s="25">
        <v>2.5099999999999998</v>
      </c>
      <c r="M3811" s="24">
        <v>256214</v>
      </c>
      <c r="N3811" s="25">
        <f>IFERROR(T_reg.root.SK[[#This Row],[Price]]/T_reg.root.SK[[#This Row],[Starch content]],"")</f>
        <v>13.273400317292438</v>
      </c>
    </row>
    <row r="3812" spans="1:14">
      <c r="A3812" s="21">
        <v>2024</v>
      </c>
      <c r="B3812" s="21" t="s">
        <v>25</v>
      </c>
      <c r="C3812" s="21" t="s">
        <v>1145</v>
      </c>
      <c r="D3812" s="21" t="s">
        <v>35</v>
      </c>
      <c r="E3812" s="18" t="s">
        <v>816</v>
      </c>
      <c r="F3812" s="18" t="s">
        <v>187</v>
      </c>
      <c r="G3812" s="18" t="s">
        <v>48</v>
      </c>
      <c r="H3812" s="24">
        <v>23070</v>
      </c>
      <c r="I3812" s="24">
        <f>T_reg.root.SK[[#This Row],[Volume, kg]]/1000</f>
        <v>23.07</v>
      </c>
      <c r="J3812" s="25">
        <v>0.2525</v>
      </c>
      <c r="K3812" s="25">
        <f t="shared" si="59"/>
        <v>5825.1750000000002</v>
      </c>
      <c r="L3812" s="25">
        <v>2.93</v>
      </c>
      <c r="M3812" s="24">
        <v>67482</v>
      </c>
      <c r="N3812" s="25">
        <f>IFERROR(T_reg.root.SK[[#This Row],[Price]]/T_reg.root.SK[[#This Row],[Starch content]],"")</f>
        <v>11.603960396039604</v>
      </c>
    </row>
    <row r="3813" spans="1:14">
      <c r="A3813" s="21">
        <v>2024</v>
      </c>
      <c r="B3813" s="21" t="s">
        <v>25</v>
      </c>
      <c r="C3813" s="21" t="s">
        <v>1145</v>
      </c>
      <c r="D3813" s="21" t="s">
        <v>35</v>
      </c>
      <c r="E3813" s="18" t="s">
        <v>213</v>
      </c>
      <c r="F3813" s="18" t="s">
        <v>187</v>
      </c>
      <c r="G3813" s="18" t="s">
        <v>48</v>
      </c>
      <c r="H3813" s="24">
        <v>44060</v>
      </c>
      <c r="I3813" s="24">
        <f>T_reg.root.SK[[#This Row],[Volume, kg]]/1000</f>
        <v>44.06</v>
      </c>
      <c r="J3813" s="25">
        <v>0.21050000000000002</v>
      </c>
      <c r="K3813" s="25">
        <f t="shared" si="59"/>
        <v>9274.630000000001</v>
      </c>
      <c r="L3813" s="25">
        <v>2.65</v>
      </c>
      <c r="M3813" s="24">
        <v>116677</v>
      </c>
      <c r="N3813" s="25">
        <f>IFERROR(T_reg.root.SK[[#This Row],[Price]]/T_reg.root.SK[[#This Row],[Starch content]],"")</f>
        <v>12.589073634204274</v>
      </c>
    </row>
    <row r="3814" spans="1:14">
      <c r="A3814" s="21">
        <v>2024</v>
      </c>
      <c r="B3814" s="21" t="s">
        <v>25</v>
      </c>
      <c r="C3814" s="21" t="s">
        <v>1145</v>
      </c>
      <c r="D3814" s="21" t="s">
        <v>35</v>
      </c>
      <c r="E3814" s="18" t="s">
        <v>535</v>
      </c>
      <c r="F3814" s="18" t="s">
        <v>187</v>
      </c>
      <c r="G3814" s="18" t="s">
        <v>48</v>
      </c>
      <c r="H3814" s="24">
        <v>14130</v>
      </c>
      <c r="I3814" s="24">
        <f>T_reg.root.SK[[#This Row],[Volume, kg]]/1000</f>
        <v>14.13</v>
      </c>
      <c r="J3814" s="25">
        <v>0.1812</v>
      </c>
      <c r="K3814" s="25">
        <f t="shared" si="59"/>
        <v>2560.3560000000002</v>
      </c>
      <c r="L3814" s="25">
        <v>2.57</v>
      </c>
      <c r="M3814" s="24">
        <v>36350.5</v>
      </c>
      <c r="N3814" s="25">
        <f>IFERROR(T_reg.root.SK[[#This Row],[Price]]/T_reg.root.SK[[#This Row],[Starch content]],"")</f>
        <v>14.183222958057394</v>
      </c>
    </row>
    <row r="3815" spans="1:14">
      <c r="A3815" s="21">
        <v>2024</v>
      </c>
      <c r="B3815" s="21" t="s">
        <v>25</v>
      </c>
      <c r="C3815" s="21" t="s">
        <v>1145</v>
      </c>
      <c r="D3815" s="21" t="s">
        <v>35</v>
      </c>
      <c r="E3815" s="18" t="s">
        <v>536</v>
      </c>
      <c r="F3815" s="18" t="s">
        <v>187</v>
      </c>
      <c r="G3815" s="18" t="s">
        <v>48</v>
      </c>
      <c r="H3815" s="24">
        <v>36640</v>
      </c>
      <c r="I3815" s="24">
        <f>T_reg.root.SK[[#This Row],[Volume, kg]]/1000</f>
        <v>36.64</v>
      </c>
      <c r="J3815" s="25">
        <v>0.20269999999999999</v>
      </c>
      <c r="K3815" s="25">
        <f t="shared" si="59"/>
        <v>7426.9279999999999</v>
      </c>
      <c r="L3815" s="25">
        <v>2.63</v>
      </c>
      <c r="M3815" s="24">
        <v>96340.5</v>
      </c>
      <c r="N3815" s="25">
        <f>IFERROR(T_reg.root.SK[[#This Row],[Price]]/T_reg.root.SK[[#This Row],[Starch content]],"")</f>
        <v>12.97483966452886</v>
      </c>
    </row>
    <row r="3816" spans="1:14">
      <c r="A3816" s="21">
        <v>2024</v>
      </c>
      <c r="B3816" s="21" t="s">
        <v>25</v>
      </c>
      <c r="C3816" s="21" t="s">
        <v>1145</v>
      </c>
      <c r="D3816" s="21" t="s">
        <v>35</v>
      </c>
      <c r="E3816" s="18" t="s">
        <v>537</v>
      </c>
      <c r="F3816" s="18" t="s">
        <v>187</v>
      </c>
      <c r="G3816" s="18" t="s">
        <v>48</v>
      </c>
      <c r="H3816" s="24">
        <v>6620</v>
      </c>
      <c r="I3816" s="24">
        <f>T_reg.root.SK[[#This Row],[Volume, kg]]/1000</f>
        <v>6.62</v>
      </c>
      <c r="J3816" s="25">
        <v>0.245</v>
      </c>
      <c r="K3816" s="25">
        <f t="shared" si="59"/>
        <v>1621.8999999999999</v>
      </c>
      <c r="L3816" s="25">
        <v>2.81</v>
      </c>
      <c r="M3816" s="24">
        <v>18580</v>
      </c>
      <c r="N3816" s="25">
        <f>IFERROR(T_reg.root.SK[[#This Row],[Price]]/T_reg.root.SK[[#This Row],[Starch content]],"")</f>
        <v>11.469387755102041</v>
      </c>
    </row>
    <row r="3817" spans="1:14">
      <c r="A3817" s="21">
        <v>2024</v>
      </c>
      <c r="B3817" s="21" t="s">
        <v>25</v>
      </c>
      <c r="C3817" s="21" t="s">
        <v>1145</v>
      </c>
      <c r="D3817" s="21" t="s">
        <v>35</v>
      </c>
      <c r="E3817" s="18" t="s">
        <v>538</v>
      </c>
      <c r="F3817" s="18" t="s">
        <v>187</v>
      </c>
      <c r="G3817" s="18" t="s">
        <v>48</v>
      </c>
      <c r="H3817" s="24">
        <v>13790</v>
      </c>
      <c r="I3817" s="24">
        <f>T_reg.root.SK[[#This Row],[Volume, kg]]/1000</f>
        <v>13.79</v>
      </c>
      <c r="J3817" s="25">
        <v>0.21429999999999999</v>
      </c>
      <c r="K3817" s="25">
        <f t="shared" si="59"/>
        <v>2955.1969999999997</v>
      </c>
      <c r="L3817" s="25">
        <v>2.68</v>
      </c>
      <c r="M3817" s="24">
        <v>36931</v>
      </c>
      <c r="N3817" s="25">
        <f>IFERROR(T_reg.root.SK[[#This Row],[Price]]/T_reg.root.SK[[#This Row],[Starch content]],"")</f>
        <v>12.50583294447037</v>
      </c>
    </row>
    <row r="3818" spans="1:14">
      <c r="A3818" s="21">
        <v>2024</v>
      </c>
      <c r="B3818" s="21" t="s">
        <v>25</v>
      </c>
      <c r="C3818" s="21" t="s">
        <v>1145</v>
      </c>
      <c r="D3818" s="21" t="s">
        <v>35</v>
      </c>
      <c r="E3818" s="18" t="s">
        <v>269</v>
      </c>
      <c r="F3818" s="18" t="s">
        <v>187</v>
      </c>
      <c r="G3818" s="18" t="s">
        <v>48</v>
      </c>
      <c r="H3818" s="24">
        <v>14540</v>
      </c>
      <c r="I3818" s="24">
        <f>T_reg.root.SK[[#This Row],[Volume, kg]]/1000</f>
        <v>14.54</v>
      </c>
      <c r="J3818" s="25">
        <v>0.19059999999999999</v>
      </c>
      <c r="K3818" s="25">
        <f t="shared" si="59"/>
        <v>2771.3240000000001</v>
      </c>
      <c r="L3818" s="25">
        <v>2.62</v>
      </c>
      <c r="M3818" s="24">
        <v>38052</v>
      </c>
      <c r="N3818" s="25">
        <f>IFERROR(T_reg.root.SK[[#This Row],[Price]]/T_reg.root.SK[[#This Row],[Starch content]],"")</f>
        <v>13.746065057712489</v>
      </c>
    </row>
    <row r="3819" spans="1:14">
      <c r="A3819" s="21">
        <v>2024</v>
      </c>
      <c r="B3819" s="21" t="s">
        <v>25</v>
      </c>
      <c r="C3819" s="21" t="s">
        <v>1145</v>
      </c>
      <c r="D3819" s="21" t="s">
        <v>35</v>
      </c>
      <c r="E3819" s="18" t="s">
        <v>540</v>
      </c>
      <c r="F3819" s="18" t="s">
        <v>187</v>
      </c>
      <c r="G3819" s="18" t="s">
        <v>48</v>
      </c>
      <c r="H3819" s="24">
        <v>40480</v>
      </c>
      <c r="I3819" s="24">
        <f>T_reg.root.SK[[#This Row],[Volume, kg]]/1000</f>
        <v>40.479999999999997</v>
      </c>
      <c r="J3819" s="25">
        <v>0.20269999999999999</v>
      </c>
      <c r="K3819" s="25">
        <f t="shared" si="59"/>
        <v>8205.2960000000003</v>
      </c>
      <c r="L3819" s="25">
        <v>2.65</v>
      </c>
      <c r="M3819" s="24">
        <v>107383</v>
      </c>
      <c r="N3819" s="25">
        <f>IFERROR(T_reg.root.SK[[#This Row],[Price]]/T_reg.root.SK[[#This Row],[Starch content]],"")</f>
        <v>13.073507646768624</v>
      </c>
    </row>
    <row r="3820" spans="1:14">
      <c r="A3820" s="21">
        <v>2024</v>
      </c>
      <c r="B3820" s="21" t="s">
        <v>25</v>
      </c>
      <c r="C3820" s="21" t="s">
        <v>1145</v>
      </c>
      <c r="D3820" s="21" t="s">
        <v>35</v>
      </c>
      <c r="E3820" s="18" t="s">
        <v>623</v>
      </c>
      <c r="F3820" s="18" t="s">
        <v>187</v>
      </c>
      <c r="G3820" s="18" t="s">
        <v>48</v>
      </c>
      <c r="H3820" s="24">
        <v>9750</v>
      </c>
      <c r="I3820" s="24">
        <f>T_reg.root.SK[[#This Row],[Volume, kg]]/1000</f>
        <v>9.75</v>
      </c>
      <c r="J3820" s="25">
        <v>0.17350000000000002</v>
      </c>
      <c r="K3820" s="25">
        <f t="shared" si="59"/>
        <v>1691.6250000000002</v>
      </c>
      <c r="L3820" s="25">
        <v>2.35</v>
      </c>
      <c r="M3820" s="24">
        <v>22912.5</v>
      </c>
      <c r="N3820" s="25">
        <f>IFERROR(T_reg.root.SK[[#This Row],[Price]]/T_reg.root.SK[[#This Row],[Starch content]],"")</f>
        <v>13.544668587896252</v>
      </c>
    </row>
    <row r="3821" spans="1:14">
      <c r="A3821" s="21">
        <v>2024</v>
      </c>
      <c r="B3821" s="21" t="s">
        <v>25</v>
      </c>
      <c r="C3821" s="21" t="s">
        <v>1145</v>
      </c>
      <c r="D3821" s="21" t="s">
        <v>35</v>
      </c>
      <c r="E3821" s="18" t="s">
        <v>215</v>
      </c>
      <c r="F3821" s="18" t="s">
        <v>187</v>
      </c>
      <c r="G3821" s="18" t="s">
        <v>48</v>
      </c>
      <c r="H3821" s="24">
        <v>6170</v>
      </c>
      <c r="I3821" s="24">
        <f>T_reg.root.SK[[#This Row],[Volume, kg]]/1000</f>
        <v>6.17</v>
      </c>
      <c r="J3821" s="25">
        <v>0.22550000000000001</v>
      </c>
      <c r="K3821" s="25">
        <f t="shared" si="59"/>
        <v>1391.335</v>
      </c>
      <c r="L3821" s="25">
        <v>2.8</v>
      </c>
      <c r="M3821" s="24">
        <v>17276</v>
      </c>
      <c r="N3821" s="25">
        <f>IFERROR(T_reg.root.SK[[#This Row],[Price]]/T_reg.root.SK[[#This Row],[Starch content]],"")</f>
        <v>12.416851441241684</v>
      </c>
    </row>
    <row r="3822" spans="1:14">
      <c r="A3822" s="21">
        <v>2024</v>
      </c>
      <c r="B3822" s="21" t="s">
        <v>25</v>
      </c>
      <c r="C3822" s="21" t="s">
        <v>1145</v>
      </c>
      <c r="D3822" s="21" t="s">
        <v>35</v>
      </c>
      <c r="E3822" s="18" t="s">
        <v>216</v>
      </c>
      <c r="F3822" s="18" t="s">
        <v>187</v>
      </c>
      <c r="G3822" s="18" t="s">
        <v>48</v>
      </c>
      <c r="H3822" s="24">
        <v>27730</v>
      </c>
      <c r="I3822" s="24">
        <f>T_reg.root.SK[[#This Row],[Volume, kg]]/1000</f>
        <v>27.73</v>
      </c>
      <c r="J3822" s="25">
        <v>0.21660000000000001</v>
      </c>
      <c r="K3822" s="25">
        <f t="shared" si="59"/>
        <v>6006.3180000000002</v>
      </c>
      <c r="L3822" s="25">
        <v>2.58</v>
      </c>
      <c r="M3822" s="24">
        <v>71595.5</v>
      </c>
      <c r="N3822" s="25">
        <f>IFERROR(T_reg.root.SK[[#This Row],[Price]]/T_reg.root.SK[[#This Row],[Starch content]],"")</f>
        <v>11.911357340720221</v>
      </c>
    </row>
    <row r="3823" spans="1:14">
      <c r="A3823" s="21">
        <v>2024</v>
      </c>
      <c r="B3823" s="21" t="s">
        <v>25</v>
      </c>
      <c r="C3823" s="21" t="s">
        <v>1145</v>
      </c>
      <c r="D3823" s="21" t="s">
        <v>35</v>
      </c>
      <c r="E3823" s="18" t="s">
        <v>761</v>
      </c>
      <c r="F3823" s="18" t="s">
        <v>187</v>
      </c>
      <c r="G3823" s="18" t="s">
        <v>48</v>
      </c>
      <c r="H3823" s="24">
        <v>3330</v>
      </c>
      <c r="I3823" s="24">
        <f>T_reg.root.SK[[#This Row],[Volume, kg]]/1000</f>
        <v>3.33</v>
      </c>
      <c r="J3823" s="25">
        <v>0.18049999999999999</v>
      </c>
      <c r="K3823" s="25">
        <f t="shared" si="59"/>
        <v>601.06499999999994</v>
      </c>
      <c r="L3823" s="25">
        <v>2.5499999999999998</v>
      </c>
      <c r="M3823" s="24">
        <v>8491.5</v>
      </c>
      <c r="N3823" s="25">
        <f>IFERROR(T_reg.root.SK[[#This Row],[Price]]/T_reg.root.SK[[#This Row],[Starch content]],"")</f>
        <v>14.127423822714681</v>
      </c>
    </row>
    <row r="3824" spans="1:14">
      <c r="A3824" s="21">
        <v>2024</v>
      </c>
      <c r="B3824" s="21" t="s">
        <v>25</v>
      </c>
      <c r="C3824" s="21" t="s">
        <v>1145</v>
      </c>
      <c r="D3824" s="21" t="s">
        <v>35</v>
      </c>
      <c r="E3824" s="18" t="s">
        <v>410</v>
      </c>
      <c r="F3824" s="18" t="s">
        <v>187</v>
      </c>
      <c r="G3824" s="18" t="s">
        <v>48</v>
      </c>
      <c r="H3824" s="24">
        <v>51960</v>
      </c>
      <c r="I3824" s="24">
        <f>T_reg.root.SK[[#This Row],[Volume, kg]]/1000</f>
        <v>51.96</v>
      </c>
      <c r="J3824" s="25">
        <v>0.18659999999999999</v>
      </c>
      <c r="K3824" s="25">
        <f t="shared" si="59"/>
        <v>9695.735999999999</v>
      </c>
      <c r="L3824" s="25">
        <v>2.58</v>
      </c>
      <c r="M3824" s="24">
        <v>134108</v>
      </c>
      <c r="N3824" s="25">
        <f>IFERROR(T_reg.root.SK[[#This Row],[Price]]/T_reg.root.SK[[#This Row],[Starch content]],"")</f>
        <v>13.826366559485532</v>
      </c>
    </row>
    <row r="3825" spans="1:14">
      <c r="A3825" s="21">
        <v>2024</v>
      </c>
      <c r="B3825" s="21" t="s">
        <v>25</v>
      </c>
      <c r="C3825" s="21" t="s">
        <v>1145</v>
      </c>
      <c r="D3825" s="21" t="s">
        <v>35</v>
      </c>
      <c r="E3825" s="18" t="s">
        <v>217</v>
      </c>
      <c r="F3825" s="18" t="s">
        <v>187</v>
      </c>
      <c r="G3825" s="18" t="s">
        <v>48</v>
      </c>
      <c r="H3825" s="24">
        <v>8450</v>
      </c>
      <c r="I3825" s="24">
        <f>T_reg.root.SK[[#This Row],[Volume, kg]]/1000</f>
        <v>8.4499999999999993</v>
      </c>
      <c r="J3825" s="25">
        <v>0.14099999999999999</v>
      </c>
      <c r="K3825" s="25">
        <f t="shared" si="59"/>
        <v>1191.4499999999998</v>
      </c>
      <c r="L3825" s="25">
        <v>2.2000000000000002</v>
      </c>
      <c r="M3825" s="24">
        <v>18590</v>
      </c>
      <c r="N3825" s="25">
        <f>IFERROR(T_reg.root.SK[[#This Row],[Price]]/T_reg.root.SK[[#This Row],[Starch content]],"")</f>
        <v>15.602836879432626</v>
      </c>
    </row>
    <row r="3826" spans="1:14">
      <c r="A3826" s="21">
        <v>2024</v>
      </c>
      <c r="B3826" s="21" t="s">
        <v>26</v>
      </c>
      <c r="C3826" s="21" t="s">
        <v>1145</v>
      </c>
      <c r="D3826" s="21" t="s">
        <v>39</v>
      </c>
      <c r="E3826" s="18" t="s">
        <v>797</v>
      </c>
      <c r="F3826" s="18" t="s">
        <v>798</v>
      </c>
      <c r="G3826" s="18" t="s">
        <v>799</v>
      </c>
      <c r="H3826" s="24">
        <v>490540</v>
      </c>
      <c r="I3826" s="24">
        <f>T_reg.root.SK[[#This Row],[Volume, kg]]/1000</f>
        <v>490.54</v>
      </c>
      <c r="J3826" s="25">
        <v>0.2263</v>
      </c>
      <c r="K3826" s="25">
        <f t="shared" si="59"/>
        <v>111009.202</v>
      </c>
      <c r="L3826" s="25">
        <v>2.88</v>
      </c>
      <c r="M3826" s="24">
        <v>1411385.5</v>
      </c>
      <c r="N3826" s="25">
        <f>IFERROR(T_reg.root.SK[[#This Row],[Price]]/T_reg.root.SK[[#This Row],[Starch content]],"")</f>
        <v>12.726469288555014</v>
      </c>
    </row>
    <row r="3827" spans="1:14">
      <c r="A3827" s="21">
        <v>2024</v>
      </c>
      <c r="B3827" s="21" t="s">
        <v>26</v>
      </c>
      <c r="C3827" s="21" t="s">
        <v>1145</v>
      </c>
      <c r="D3827" s="21" t="s">
        <v>35</v>
      </c>
      <c r="E3827" s="18" t="s">
        <v>455</v>
      </c>
      <c r="F3827" s="18" t="s">
        <v>219</v>
      </c>
      <c r="G3827" s="18" t="s">
        <v>220</v>
      </c>
      <c r="H3827" s="24">
        <v>20800</v>
      </c>
      <c r="I3827" s="24">
        <f>T_reg.root.SK[[#This Row],[Volume, kg]]/1000</f>
        <v>20.8</v>
      </c>
      <c r="J3827" s="25">
        <v>0.28149999999999997</v>
      </c>
      <c r="K3827" s="25">
        <f t="shared" si="59"/>
        <v>5855.2</v>
      </c>
      <c r="L3827" s="25">
        <v>3.13</v>
      </c>
      <c r="M3827" s="24">
        <v>65003</v>
      </c>
      <c r="N3827" s="25">
        <f>IFERROR(T_reg.root.SK[[#This Row],[Price]]/T_reg.root.SK[[#This Row],[Starch content]],"")</f>
        <v>11.119005328596803</v>
      </c>
    </row>
    <row r="3828" spans="1:14">
      <c r="A3828" s="21">
        <v>2024</v>
      </c>
      <c r="B3828" s="21" t="s">
        <v>26</v>
      </c>
      <c r="C3828" s="21" t="s">
        <v>1145</v>
      </c>
      <c r="D3828" s="21" t="s">
        <v>35</v>
      </c>
      <c r="E3828" s="18" t="s">
        <v>544</v>
      </c>
      <c r="F3828" s="18" t="s">
        <v>219</v>
      </c>
      <c r="G3828" s="18" t="s">
        <v>220</v>
      </c>
      <c r="H3828" s="24">
        <v>42430</v>
      </c>
      <c r="I3828" s="24">
        <f>T_reg.root.SK[[#This Row],[Volume, kg]]/1000</f>
        <v>42.43</v>
      </c>
      <c r="J3828" s="25">
        <v>0.2354</v>
      </c>
      <c r="K3828" s="25">
        <f t="shared" si="59"/>
        <v>9988.021999999999</v>
      </c>
      <c r="L3828" s="25">
        <v>2.94</v>
      </c>
      <c r="M3828" s="24">
        <v>124569</v>
      </c>
      <c r="N3828" s="25">
        <f>IFERROR(T_reg.root.SK[[#This Row],[Price]]/T_reg.root.SK[[#This Row],[Starch content]],"")</f>
        <v>12.489379779099405</v>
      </c>
    </row>
    <row r="3829" spans="1:14">
      <c r="A3829" s="21">
        <v>2024</v>
      </c>
      <c r="B3829" s="21" t="s">
        <v>26</v>
      </c>
      <c r="C3829" s="21" t="s">
        <v>1145</v>
      </c>
      <c r="D3829" s="21" t="s">
        <v>35</v>
      </c>
      <c r="E3829" s="18" t="s">
        <v>598</v>
      </c>
      <c r="F3829" s="18" t="s">
        <v>219</v>
      </c>
      <c r="G3829" s="18" t="s">
        <v>220</v>
      </c>
      <c r="H3829" s="24">
        <v>41180</v>
      </c>
      <c r="I3829" s="24">
        <f>T_reg.root.SK[[#This Row],[Volume, kg]]/1000</f>
        <v>41.18</v>
      </c>
      <c r="J3829" s="25">
        <v>0.1996</v>
      </c>
      <c r="K3829" s="25">
        <f t="shared" si="59"/>
        <v>8219.5280000000002</v>
      </c>
      <c r="L3829" s="25">
        <v>2.69</v>
      </c>
      <c r="M3829" s="24">
        <v>110805</v>
      </c>
      <c r="N3829" s="25">
        <f>IFERROR(T_reg.root.SK[[#This Row],[Price]]/T_reg.root.SK[[#This Row],[Starch content]],"")</f>
        <v>13.476953907815631</v>
      </c>
    </row>
    <row r="3830" spans="1:14">
      <c r="A3830" s="21">
        <v>2024</v>
      </c>
      <c r="B3830" s="21" t="s">
        <v>26</v>
      </c>
      <c r="C3830" s="21" t="s">
        <v>1145</v>
      </c>
      <c r="D3830" s="21" t="s">
        <v>35</v>
      </c>
      <c r="E3830" s="18" t="s">
        <v>456</v>
      </c>
      <c r="F3830" s="18" t="s">
        <v>219</v>
      </c>
      <c r="G3830" s="18" t="s">
        <v>220</v>
      </c>
      <c r="H3830" s="24">
        <v>202130</v>
      </c>
      <c r="I3830" s="24">
        <f>T_reg.root.SK[[#This Row],[Volume, kg]]/1000</f>
        <v>202.13</v>
      </c>
      <c r="J3830" s="25">
        <v>0.23190000000000002</v>
      </c>
      <c r="K3830" s="25">
        <f t="shared" si="59"/>
        <v>46873.947000000007</v>
      </c>
      <c r="L3830" s="25">
        <v>2.82</v>
      </c>
      <c r="M3830" s="24">
        <v>570327</v>
      </c>
      <c r="N3830" s="25">
        <f>IFERROR(T_reg.root.SK[[#This Row],[Price]]/T_reg.root.SK[[#This Row],[Starch content]],"")</f>
        <v>12.160413971539455</v>
      </c>
    </row>
    <row r="3831" spans="1:14">
      <c r="A3831" s="21">
        <v>2024</v>
      </c>
      <c r="B3831" s="21" t="s">
        <v>26</v>
      </c>
      <c r="C3831" s="21" t="s">
        <v>1145</v>
      </c>
      <c r="D3831" s="21" t="s">
        <v>39</v>
      </c>
      <c r="E3831" s="18" t="s">
        <v>782</v>
      </c>
      <c r="F3831" s="18" t="s">
        <v>783</v>
      </c>
      <c r="G3831" s="18" t="s">
        <v>87</v>
      </c>
      <c r="H3831" s="24">
        <v>2317060</v>
      </c>
      <c r="I3831" s="24">
        <f>T_reg.root.SK[[#This Row],[Volume, kg]]/1000</f>
        <v>2317.06</v>
      </c>
      <c r="J3831" s="25">
        <v>0.2263</v>
      </c>
      <c r="K3831" s="25">
        <f t="shared" si="59"/>
        <v>524350.67799999996</v>
      </c>
      <c r="L3831" s="25">
        <v>2.87</v>
      </c>
      <c r="M3831" s="24">
        <v>6646453.5</v>
      </c>
      <c r="N3831" s="25">
        <f>IFERROR(T_reg.root.SK[[#This Row],[Price]]/T_reg.root.SK[[#This Row],[Starch content]],"")</f>
        <v>12.682280159080866</v>
      </c>
    </row>
    <row r="3832" spans="1:14">
      <c r="A3832" s="21">
        <v>2024</v>
      </c>
      <c r="B3832" s="21" t="s">
        <v>26</v>
      </c>
      <c r="C3832" s="21" t="s">
        <v>1145</v>
      </c>
      <c r="D3832" s="21" t="s">
        <v>35</v>
      </c>
      <c r="E3832" s="18" t="s">
        <v>784</v>
      </c>
      <c r="F3832" s="18" t="s">
        <v>47</v>
      </c>
      <c r="G3832" s="18" t="s">
        <v>48</v>
      </c>
      <c r="H3832" s="24">
        <v>6350</v>
      </c>
      <c r="I3832" s="24">
        <f>T_reg.root.SK[[#This Row],[Volume, kg]]/1000</f>
        <v>6.35</v>
      </c>
      <c r="J3832" s="25">
        <v>0.25600000000000001</v>
      </c>
      <c r="K3832" s="25">
        <f t="shared" si="59"/>
        <v>1625.6000000000001</v>
      </c>
      <c r="L3832" s="25">
        <v>3.05</v>
      </c>
      <c r="M3832" s="24">
        <v>19367.5</v>
      </c>
      <c r="N3832" s="25">
        <f>IFERROR(T_reg.root.SK[[#This Row],[Price]]/T_reg.root.SK[[#This Row],[Starch content]],"")</f>
        <v>11.914062499999998</v>
      </c>
    </row>
    <row r="3833" spans="1:14">
      <c r="A3833" s="21">
        <v>2024</v>
      </c>
      <c r="B3833" s="21" t="s">
        <v>26</v>
      </c>
      <c r="C3833" s="21" t="s">
        <v>1145</v>
      </c>
      <c r="D3833" s="21" t="s">
        <v>35</v>
      </c>
      <c r="E3833" s="18" t="s">
        <v>46</v>
      </c>
      <c r="F3833" s="18" t="s">
        <v>47</v>
      </c>
      <c r="G3833" s="18" t="s">
        <v>48</v>
      </c>
      <c r="H3833" s="24">
        <v>16280</v>
      </c>
      <c r="I3833" s="24">
        <f>T_reg.root.SK[[#This Row],[Volume, kg]]/1000</f>
        <v>16.28</v>
      </c>
      <c r="J3833" s="25">
        <v>0.21789999999999998</v>
      </c>
      <c r="K3833" s="25">
        <f t="shared" si="59"/>
        <v>3547.4119999999998</v>
      </c>
      <c r="L3833" s="25">
        <v>2.7</v>
      </c>
      <c r="M3833" s="24">
        <v>43966</v>
      </c>
      <c r="N3833" s="25">
        <f>IFERROR(T_reg.root.SK[[#This Row],[Price]]/T_reg.root.SK[[#This Row],[Starch content]],"")</f>
        <v>12.391005048187244</v>
      </c>
    </row>
    <row r="3834" spans="1:14">
      <c r="A3834" s="21">
        <v>2024</v>
      </c>
      <c r="B3834" s="21" t="s">
        <v>26</v>
      </c>
      <c r="C3834" s="21" t="s">
        <v>1145</v>
      </c>
      <c r="D3834" s="21" t="s">
        <v>35</v>
      </c>
      <c r="E3834" s="18" t="s">
        <v>708</v>
      </c>
      <c r="F3834" s="18" t="s">
        <v>47</v>
      </c>
      <c r="G3834" s="18" t="s">
        <v>48</v>
      </c>
      <c r="H3834" s="24">
        <v>71960</v>
      </c>
      <c r="I3834" s="24">
        <f>T_reg.root.SK[[#This Row],[Volume, kg]]/1000</f>
        <v>71.959999999999994</v>
      </c>
      <c r="J3834" s="25">
        <v>0.24660000000000001</v>
      </c>
      <c r="K3834" s="25">
        <f t="shared" si="59"/>
        <v>17745.335999999999</v>
      </c>
      <c r="L3834" s="25">
        <v>2.84</v>
      </c>
      <c r="M3834" s="24">
        <v>204580</v>
      </c>
      <c r="N3834" s="25">
        <f>IFERROR(T_reg.root.SK[[#This Row],[Price]]/T_reg.root.SK[[#This Row],[Starch content]],"")</f>
        <v>11.516626115166259</v>
      </c>
    </row>
    <row r="3835" spans="1:14">
      <c r="A3835" s="21">
        <v>2024</v>
      </c>
      <c r="B3835" s="21" t="s">
        <v>26</v>
      </c>
      <c r="C3835" s="21" t="s">
        <v>1145</v>
      </c>
      <c r="D3835" s="21" t="s">
        <v>35</v>
      </c>
      <c r="E3835" s="18" t="s">
        <v>78</v>
      </c>
      <c r="F3835" s="18" t="s">
        <v>47</v>
      </c>
      <c r="G3835" s="18" t="s">
        <v>48</v>
      </c>
      <c r="H3835" s="24">
        <v>52440</v>
      </c>
      <c r="I3835" s="24">
        <f>T_reg.root.SK[[#This Row],[Volume, kg]]/1000</f>
        <v>52.44</v>
      </c>
      <c r="J3835" s="25">
        <v>0.19940000000000002</v>
      </c>
      <c r="K3835" s="25">
        <f t="shared" si="59"/>
        <v>10456.536000000002</v>
      </c>
      <c r="L3835" s="25">
        <v>2.72</v>
      </c>
      <c r="M3835" s="24">
        <v>142587.5</v>
      </c>
      <c r="N3835" s="25">
        <f>IFERROR(T_reg.root.SK[[#This Row],[Price]]/T_reg.root.SK[[#This Row],[Starch content]],"")</f>
        <v>13.640922768304915</v>
      </c>
    </row>
    <row r="3836" spans="1:14">
      <c r="A3836" s="21">
        <v>2024</v>
      </c>
      <c r="B3836" s="21" t="s">
        <v>26</v>
      </c>
      <c r="C3836" s="21" t="s">
        <v>1145</v>
      </c>
      <c r="D3836" s="21" t="s">
        <v>35</v>
      </c>
      <c r="E3836" s="18" t="s">
        <v>785</v>
      </c>
      <c r="F3836" s="18" t="s">
        <v>47</v>
      </c>
      <c r="G3836" s="18" t="s">
        <v>48</v>
      </c>
      <c r="H3836" s="24">
        <v>31520</v>
      </c>
      <c r="I3836" s="24">
        <f>T_reg.root.SK[[#This Row],[Volume, kg]]/1000</f>
        <v>31.52</v>
      </c>
      <c r="J3836" s="25">
        <v>0.21</v>
      </c>
      <c r="K3836" s="25">
        <f t="shared" si="59"/>
        <v>6619.2</v>
      </c>
      <c r="L3836" s="25">
        <v>2.67</v>
      </c>
      <c r="M3836" s="24">
        <v>84027</v>
      </c>
      <c r="N3836" s="25">
        <f>IFERROR(T_reg.root.SK[[#This Row],[Price]]/T_reg.root.SK[[#This Row],[Starch content]],"")</f>
        <v>12.714285714285715</v>
      </c>
    </row>
    <row r="3837" spans="1:14">
      <c r="A3837" s="21">
        <v>2024</v>
      </c>
      <c r="B3837" s="21" t="s">
        <v>26</v>
      </c>
      <c r="C3837" s="21" t="s">
        <v>1145</v>
      </c>
      <c r="D3837" s="21" t="s">
        <v>35</v>
      </c>
      <c r="E3837" s="18" t="s">
        <v>655</v>
      </c>
      <c r="F3837" s="18" t="s">
        <v>47</v>
      </c>
      <c r="G3837" s="18" t="s">
        <v>48</v>
      </c>
      <c r="H3837" s="24">
        <v>8050</v>
      </c>
      <c r="I3837" s="24">
        <f>T_reg.root.SK[[#This Row],[Volume, kg]]/1000</f>
        <v>8.0500000000000007</v>
      </c>
      <c r="J3837" s="25">
        <v>0.19320000000000001</v>
      </c>
      <c r="K3837" s="25">
        <f t="shared" si="59"/>
        <v>1555.26</v>
      </c>
      <c r="L3837" s="25">
        <v>2.52</v>
      </c>
      <c r="M3837" s="24">
        <v>20325</v>
      </c>
      <c r="N3837" s="25">
        <f>IFERROR(T_reg.root.SK[[#This Row],[Price]]/T_reg.root.SK[[#This Row],[Starch content]],"")</f>
        <v>13.043478260869565</v>
      </c>
    </row>
    <row r="3838" spans="1:14">
      <c r="A3838" s="21">
        <v>2024</v>
      </c>
      <c r="B3838" s="21" t="s">
        <v>26</v>
      </c>
      <c r="C3838" s="21" t="s">
        <v>1145</v>
      </c>
      <c r="D3838" s="21" t="s">
        <v>35</v>
      </c>
      <c r="E3838" s="18" t="s">
        <v>58</v>
      </c>
      <c r="F3838" s="18" t="s">
        <v>47</v>
      </c>
      <c r="G3838" s="18" t="s">
        <v>48</v>
      </c>
      <c r="H3838" s="24">
        <v>5140</v>
      </c>
      <c r="I3838" s="24">
        <f>T_reg.root.SK[[#This Row],[Volume, kg]]/1000</f>
        <v>5.14</v>
      </c>
      <c r="J3838" s="25">
        <v>0.18899999999999997</v>
      </c>
      <c r="K3838" s="25">
        <f t="shared" si="59"/>
        <v>971.45999999999981</v>
      </c>
      <c r="L3838" s="25">
        <v>2.5499999999999998</v>
      </c>
      <c r="M3838" s="24">
        <v>13107</v>
      </c>
      <c r="N3838" s="25">
        <f>IFERROR(T_reg.root.SK[[#This Row],[Price]]/T_reg.root.SK[[#This Row],[Starch content]],"")</f>
        <v>13.492063492063494</v>
      </c>
    </row>
    <row r="3839" spans="1:14">
      <c r="A3839" s="21">
        <v>2024</v>
      </c>
      <c r="B3839" s="21" t="s">
        <v>26</v>
      </c>
      <c r="C3839" s="21" t="s">
        <v>1145</v>
      </c>
      <c r="D3839" s="21" t="s">
        <v>35</v>
      </c>
      <c r="E3839" s="18" t="s">
        <v>337</v>
      </c>
      <c r="F3839" s="18" t="s">
        <v>47</v>
      </c>
      <c r="G3839" s="18" t="s">
        <v>48</v>
      </c>
      <c r="H3839" s="24">
        <v>8280</v>
      </c>
      <c r="I3839" s="24">
        <f>T_reg.root.SK[[#This Row],[Volume, kg]]/1000</f>
        <v>8.2799999999999994</v>
      </c>
      <c r="J3839" s="25">
        <v>0.21350000000000002</v>
      </c>
      <c r="K3839" s="25">
        <f t="shared" si="59"/>
        <v>1767.7800000000002</v>
      </c>
      <c r="L3839" s="25">
        <v>2.7</v>
      </c>
      <c r="M3839" s="24">
        <v>22356</v>
      </c>
      <c r="N3839" s="25">
        <f>IFERROR(T_reg.root.SK[[#This Row],[Price]]/T_reg.root.SK[[#This Row],[Starch content]],"")</f>
        <v>12.646370023419204</v>
      </c>
    </row>
    <row r="3840" spans="1:14">
      <c r="A3840" s="21">
        <v>2024</v>
      </c>
      <c r="B3840" s="21" t="s">
        <v>26</v>
      </c>
      <c r="C3840" s="21" t="s">
        <v>1145</v>
      </c>
      <c r="D3840" s="21" t="s">
        <v>35</v>
      </c>
      <c r="E3840" s="18" t="s">
        <v>643</v>
      </c>
      <c r="F3840" s="18" t="s">
        <v>47</v>
      </c>
      <c r="G3840" s="18" t="s">
        <v>48</v>
      </c>
      <c r="H3840" s="24">
        <v>4480</v>
      </c>
      <c r="I3840" s="24">
        <f>T_reg.root.SK[[#This Row],[Volume, kg]]/1000</f>
        <v>4.4800000000000004</v>
      </c>
      <c r="J3840" s="25">
        <v>0.22</v>
      </c>
      <c r="K3840" s="25">
        <f t="shared" si="59"/>
        <v>985.6</v>
      </c>
      <c r="L3840" s="25">
        <v>2.85</v>
      </c>
      <c r="M3840" s="24">
        <v>12768</v>
      </c>
      <c r="N3840" s="25">
        <f>IFERROR(T_reg.root.SK[[#This Row],[Price]]/T_reg.root.SK[[#This Row],[Starch content]],"")</f>
        <v>12.954545454545455</v>
      </c>
    </row>
    <row r="3841" spans="1:14">
      <c r="A3841" s="21">
        <v>2024</v>
      </c>
      <c r="B3841" s="21" t="s">
        <v>26</v>
      </c>
      <c r="C3841" s="21" t="s">
        <v>1145</v>
      </c>
      <c r="D3841" s="21" t="s">
        <v>35</v>
      </c>
      <c r="E3841" s="18" t="s">
        <v>467</v>
      </c>
      <c r="F3841" s="18" t="s">
        <v>47</v>
      </c>
      <c r="G3841" s="18" t="s">
        <v>48</v>
      </c>
      <c r="H3841" s="24">
        <v>21450</v>
      </c>
      <c r="I3841" s="24">
        <f>T_reg.root.SK[[#This Row],[Volume, kg]]/1000</f>
        <v>21.45</v>
      </c>
      <c r="J3841" s="25">
        <v>0.2006</v>
      </c>
      <c r="K3841" s="25">
        <f t="shared" si="59"/>
        <v>4302.87</v>
      </c>
      <c r="L3841" s="25">
        <v>2.66</v>
      </c>
      <c r="M3841" s="24">
        <v>56981</v>
      </c>
      <c r="N3841" s="25">
        <f>IFERROR(T_reg.root.SK[[#This Row],[Price]]/T_reg.root.SK[[#This Row],[Starch content]],"")</f>
        <v>13.260219341974079</v>
      </c>
    </row>
    <row r="3842" spans="1:14">
      <c r="A3842" s="21">
        <v>2024</v>
      </c>
      <c r="B3842" s="21" t="s">
        <v>26</v>
      </c>
      <c r="C3842" s="21" t="s">
        <v>1145</v>
      </c>
      <c r="D3842" s="21" t="s">
        <v>35</v>
      </c>
      <c r="E3842" s="18" t="s">
        <v>61</v>
      </c>
      <c r="F3842" s="18" t="s">
        <v>47</v>
      </c>
      <c r="G3842" s="18" t="s">
        <v>48</v>
      </c>
      <c r="H3842" s="24">
        <v>6190</v>
      </c>
      <c r="I3842" s="24">
        <f>T_reg.root.SK[[#This Row],[Volume, kg]]/1000</f>
        <v>6.19</v>
      </c>
      <c r="J3842" s="25">
        <v>0.26</v>
      </c>
      <c r="K3842" s="25">
        <f t="shared" si="59"/>
        <v>1609.4</v>
      </c>
      <c r="L3842" s="25">
        <v>2.95</v>
      </c>
      <c r="M3842" s="24">
        <v>18260.5</v>
      </c>
      <c r="N3842" s="25">
        <f>IFERROR(T_reg.root.SK[[#This Row],[Price]]/T_reg.root.SK[[#This Row],[Starch content]],"")</f>
        <v>11.346153846153847</v>
      </c>
    </row>
    <row r="3843" spans="1:14">
      <c r="A3843" s="21">
        <v>2024</v>
      </c>
      <c r="B3843" s="21" t="s">
        <v>26</v>
      </c>
      <c r="C3843" s="21" t="s">
        <v>1145</v>
      </c>
      <c r="D3843" s="21" t="s">
        <v>35</v>
      </c>
      <c r="E3843" s="18" t="s">
        <v>468</v>
      </c>
      <c r="F3843" s="18" t="s">
        <v>47</v>
      </c>
      <c r="G3843" s="18" t="s">
        <v>48</v>
      </c>
      <c r="H3843" s="24">
        <v>25120</v>
      </c>
      <c r="I3843" s="24">
        <f>T_reg.root.SK[[#This Row],[Volume, kg]]/1000</f>
        <v>25.12</v>
      </c>
      <c r="J3843" s="25">
        <v>0.16489999999999999</v>
      </c>
      <c r="K3843" s="25">
        <f t="shared" ref="K3843:K3906" si="60">H3843*J3843</f>
        <v>4142.2879999999996</v>
      </c>
      <c r="L3843" s="25">
        <v>2.4300000000000002</v>
      </c>
      <c r="M3843" s="24">
        <v>61071</v>
      </c>
      <c r="N3843" s="25">
        <f>IFERROR(T_reg.root.SK[[#This Row],[Price]]/T_reg.root.SK[[#This Row],[Starch content]],"")</f>
        <v>14.736203759854458</v>
      </c>
    </row>
    <row r="3844" spans="1:14">
      <c r="A3844" s="21">
        <v>2024</v>
      </c>
      <c r="B3844" s="21" t="s">
        <v>26</v>
      </c>
      <c r="C3844" s="21" t="s">
        <v>1145</v>
      </c>
      <c r="D3844" s="21" t="s">
        <v>35</v>
      </c>
      <c r="E3844" s="18" t="s">
        <v>817</v>
      </c>
      <c r="F3844" s="18" t="s">
        <v>47</v>
      </c>
      <c r="G3844" s="18" t="s">
        <v>48</v>
      </c>
      <c r="H3844" s="24">
        <v>3240</v>
      </c>
      <c r="I3844" s="24">
        <f>T_reg.root.SK[[#This Row],[Volume, kg]]/1000</f>
        <v>3.24</v>
      </c>
      <c r="J3844" s="25">
        <v>0.25950000000000001</v>
      </c>
      <c r="K3844" s="25">
        <f t="shared" si="60"/>
        <v>840.78</v>
      </c>
      <c r="L3844" s="25">
        <v>2.9</v>
      </c>
      <c r="M3844" s="24">
        <v>9396</v>
      </c>
      <c r="N3844" s="25">
        <f>IFERROR(T_reg.root.SK[[#This Row],[Price]]/T_reg.root.SK[[#This Row],[Starch content]],"")</f>
        <v>11.175337186897879</v>
      </c>
    </row>
    <row r="3845" spans="1:14">
      <c r="A3845" s="21">
        <v>2024</v>
      </c>
      <c r="B3845" s="21" t="s">
        <v>26</v>
      </c>
      <c r="C3845" s="21" t="s">
        <v>1145</v>
      </c>
      <c r="D3845" s="21" t="s">
        <v>35</v>
      </c>
      <c r="E3845" s="18" t="s">
        <v>62</v>
      </c>
      <c r="F3845" s="18" t="s">
        <v>47</v>
      </c>
      <c r="G3845" s="18" t="s">
        <v>48</v>
      </c>
      <c r="H3845" s="24">
        <v>20940</v>
      </c>
      <c r="I3845" s="24">
        <f>T_reg.root.SK[[#This Row],[Volume, kg]]/1000</f>
        <v>20.94</v>
      </c>
      <c r="J3845" s="25">
        <v>0.20480000000000001</v>
      </c>
      <c r="K3845" s="25">
        <f t="shared" si="60"/>
        <v>4288.5120000000006</v>
      </c>
      <c r="L3845" s="25">
        <v>2.62</v>
      </c>
      <c r="M3845" s="24">
        <v>54840</v>
      </c>
      <c r="N3845" s="25">
        <f>IFERROR(T_reg.root.SK[[#This Row],[Price]]/T_reg.root.SK[[#This Row],[Starch content]],"")</f>
        <v>12.79296875</v>
      </c>
    </row>
    <row r="3846" spans="1:14">
      <c r="A3846" s="21">
        <v>2024</v>
      </c>
      <c r="B3846" s="21" t="s">
        <v>26</v>
      </c>
      <c r="C3846" s="21" t="s">
        <v>1145</v>
      </c>
      <c r="D3846" s="21" t="s">
        <v>35</v>
      </c>
      <c r="E3846" s="18" t="s">
        <v>66</v>
      </c>
      <c r="F3846" s="18" t="s">
        <v>47</v>
      </c>
      <c r="G3846" s="18" t="s">
        <v>48</v>
      </c>
      <c r="H3846" s="24">
        <v>24370</v>
      </c>
      <c r="I3846" s="24">
        <f>T_reg.root.SK[[#This Row],[Volume, kg]]/1000</f>
        <v>24.37</v>
      </c>
      <c r="J3846" s="25">
        <v>0.21739999999999998</v>
      </c>
      <c r="K3846" s="25">
        <f t="shared" si="60"/>
        <v>5298.0379999999996</v>
      </c>
      <c r="L3846" s="25">
        <v>2.74</v>
      </c>
      <c r="M3846" s="24">
        <v>66855</v>
      </c>
      <c r="N3846" s="25">
        <f>IFERROR(T_reg.root.SK[[#This Row],[Price]]/T_reg.root.SK[[#This Row],[Starch content]],"")</f>
        <v>12.603495860165596</v>
      </c>
    </row>
    <row r="3847" spans="1:14">
      <c r="A3847" s="21">
        <v>2024</v>
      </c>
      <c r="B3847" s="21" t="s">
        <v>26</v>
      </c>
      <c r="C3847" s="21" t="s">
        <v>1145</v>
      </c>
      <c r="D3847" s="21" t="s">
        <v>35</v>
      </c>
      <c r="E3847" s="18" t="s">
        <v>341</v>
      </c>
      <c r="F3847" s="18" t="s">
        <v>47</v>
      </c>
      <c r="G3847" s="18" t="s">
        <v>48</v>
      </c>
      <c r="H3847" s="24">
        <v>14020</v>
      </c>
      <c r="I3847" s="24">
        <f>T_reg.root.SK[[#This Row],[Volume, kg]]/1000</f>
        <v>14.02</v>
      </c>
      <c r="J3847" s="25">
        <v>0.2591</v>
      </c>
      <c r="K3847" s="25">
        <f t="shared" si="60"/>
        <v>3632.5819999999999</v>
      </c>
      <c r="L3847" s="25">
        <v>2.9</v>
      </c>
      <c r="M3847" s="24">
        <v>40600</v>
      </c>
      <c r="N3847" s="25">
        <f>IFERROR(T_reg.root.SK[[#This Row],[Price]]/T_reg.root.SK[[#This Row],[Starch content]],"")</f>
        <v>11.192589733693554</v>
      </c>
    </row>
    <row r="3848" spans="1:14">
      <c r="A3848" s="21">
        <v>2024</v>
      </c>
      <c r="B3848" s="21" t="s">
        <v>26</v>
      </c>
      <c r="C3848" s="21" t="s">
        <v>1145</v>
      </c>
      <c r="D3848" s="21" t="s">
        <v>35</v>
      </c>
      <c r="E3848" s="18" t="s">
        <v>470</v>
      </c>
      <c r="F3848" s="18" t="s">
        <v>47</v>
      </c>
      <c r="G3848" s="18" t="s">
        <v>48</v>
      </c>
      <c r="H3848" s="24">
        <v>8750</v>
      </c>
      <c r="I3848" s="24">
        <f>T_reg.root.SK[[#This Row],[Volume, kg]]/1000</f>
        <v>8.75</v>
      </c>
      <c r="J3848" s="25">
        <v>0.18149999999999999</v>
      </c>
      <c r="K3848" s="25">
        <f t="shared" si="60"/>
        <v>1588.125</v>
      </c>
      <c r="L3848" s="25">
        <v>2.5499999999999998</v>
      </c>
      <c r="M3848" s="24">
        <v>22312.5</v>
      </c>
      <c r="N3848" s="25">
        <f>IFERROR(T_reg.root.SK[[#This Row],[Price]]/T_reg.root.SK[[#This Row],[Starch content]],"")</f>
        <v>14.049586776859504</v>
      </c>
    </row>
    <row r="3849" spans="1:14">
      <c r="A3849" s="21">
        <v>2024</v>
      </c>
      <c r="B3849" s="21" t="s">
        <v>26</v>
      </c>
      <c r="C3849" s="21" t="s">
        <v>1145</v>
      </c>
      <c r="D3849" s="21" t="s">
        <v>35</v>
      </c>
      <c r="E3849" s="18" t="s">
        <v>69</v>
      </c>
      <c r="F3849" s="18" t="s">
        <v>47</v>
      </c>
      <c r="G3849" s="18" t="s">
        <v>48</v>
      </c>
      <c r="H3849" s="24">
        <v>25230</v>
      </c>
      <c r="I3849" s="24">
        <f>T_reg.root.SK[[#This Row],[Volume, kg]]/1000</f>
        <v>25.23</v>
      </c>
      <c r="J3849" s="25">
        <v>0.19190000000000002</v>
      </c>
      <c r="K3849" s="25">
        <f t="shared" si="60"/>
        <v>4841.6370000000006</v>
      </c>
      <c r="L3849" s="25">
        <v>2.56</v>
      </c>
      <c r="M3849" s="24">
        <v>64598</v>
      </c>
      <c r="N3849" s="25">
        <f>IFERROR(T_reg.root.SK[[#This Row],[Price]]/T_reg.root.SK[[#This Row],[Starch content]],"")</f>
        <v>13.340281396560709</v>
      </c>
    </row>
    <row r="3850" spans="1:14">
      <c r="A3850" s="21">
        <v>2024</v>
      </c>
      <c r="B3850" s="21" t="s">
        <v>26</v>
      </c>
      <c r="C3850" s="21" t="s">
        <v>1145</v>
      </c>
      <c r="D3850" s="21" t="s">
        <v>35</v>
      </c>
      <c r="E3850" s="18" t="s">
        <v>70</v>
      </c>
      <c r="F3850" s="18" t="s">
        <v>47</v>
      </c>
      <c r="G3850" s="18" t="s">
        <v>48</v>
      </c>
      <c r="H3850" s="24">
        <v>20390</v>
      </c>
      <c r="I3850" s="24">
        <f>T_reg.root.SK[[#This Row],[Volume, kg]]/1000</f>
        <v>20.39</v>
      </c>
      <c r="J3850" s="25">
        <v>0.2384</v>
      </c>
      <c r="K3850" s="25">
        <f t="shared" si="60"/>
        <v>4860.9759999999997</v>
      </c>
      <c r="L3850" s="25">
        <v>2.83</v>
      </c>
      <c r="M3850" s="24">
        <v>57617.5</v>
      </c>
      <c r="N3850" s="25">
        <f>IFERROR(T_reg.root.SK[[#This Row],[Price]]/T_reg.root.SK[[#This Row],[Starch content]],"")</f>
        <v>11.870805369127517</v>
      </c>
    </row>
    <row r="3851" spans="1:14">
      <c r="A3851" s="21">
        <v>2024</v>
      </c>
      <c r="B3851" s="21" t="s">
        <v>26</v>
      </c>
      <c r="C3851" s="21" t="s">
        <v>1145</v>
      </c>
      <c r="D3851" s="21" t="s">
        <v>35</v>
      </c>
      <c r="E3851" s="18" t="s">
        <v>549</v>
      </c>
      <c r="F3851" s="18" t="s">
        <v>47</v>
      </c>
      <c r="G3851" s="18" t="s">
        <v>48</v>
      </c>
      <c r="H3851" s="24">
        <v>25060</v>
      </c>
      <c r="I3851" s="24">
        <f>T_reg.root.SK[[#This Row],[Volume, kg]]/1000</f>
        <v>25.06</v>
      </c>
      <c r="J3851" s="25">
        <v>0.21489999999999998</v>
      </c>
      <c r="K3851" s="25">
        <f t="shared" si="60"/>
        <v>5385.3939999999993</v>
      </c>
      <c r="L3851" s="25">
        <v>2.71</v>
      </c>
      <c r="M3851" s="24">
        <v>67810.5</v>
      </c>
      <c r="N3851" s="25">
        <f>IFERROR(T_reg.root.SK[[#This Row],[Price]]/T_reg.root.SK[[#This Row],[Starch content]],"")</f>
        <v>12.610516519311309</v>
      </c>
    </row>
    <row r="3852" spans="1:14">
      <c r="A3852" s="21">
        <v>2024</v>
      </c>
      <c r="B3852" s="21" t="s">
        <v>26</v>
      </c>
      <c r="C3852" s="21" t="s">
        <v>1145</v>
      </c>
      <c r="D3852" s="21" t="s">
        <v>35</v>
      </c>
      <c r="E3852" s="18" t="s">
        <v>72</v>
      </c>
      <c r="F3852" s="18" t="s">
        <v>47</v>
      </c>
      <c r="G3852" s="18" t="s">
        <v>48</v>
      </c>
      <c r="H3852" s="24">
        <v>92850</v>
      </c>
      <c r="I3852" s="24">
        <f>T_reg.root.SK[[#This Row],[Volume, kg]]/1000</f>
        <v>92.85</v>
      </c>
      <c r="J3852" s="25">
        <v>0.24100000000000002</v>
      </c>
      <c r="K3852" s="25">
        <f t="shared" si="60"/>
        <v>22376.850000000002</v>
      </c>
      <c r="L3852" s="25">
        <v>2.81</v>
      </c>
      <c r="M3852" s="24">
        <v>261013.5</v>
      </c>
      <c r="N3852" s="25">
        <f>IFERROR(T_reg.root.SK[[#This Row],[Price]]/T_reg.root.SK[[#This Row],[Starch content]],"")</f>
        <v>11.659751037344398</v>
      </c>
    </row>
    <row r="3853" spans="1:14">
      <c r="A3853" s="21">
        <v>2024</v>
      </c>
      <c r="B3853" s="21" t="s">
        <v>26</v>
      </c>
      <c r="C3853" s="21" t="s">
        <v>1145</v>
      </c>
      <c r="D3853" s="21" t="s">
        <v>35</v>
      </c>
      <c r="E3853" s="18" t="s">
        <v>77</v>
      </c>
      <c r="F3853" s="18" t="s">
        <v>47</v>
      </c>
      <c r="G3853" s="18" t="s">
        <v>48</v>
      </c>
      <c r="H3853" s="24">
        <v>25390</v>
      </c>
      <c r="I3853" s="24">
        <f>T_reg.root.SK[[#This Row],[Volume, kg]]/1000</f>
        <v>25.39</v>
      </c>
      <c r="J3853" s="25">
        <v>0.2059</v>
      </c>
      <c r="K3853" s="25">
        <f t="shared" si="60"/>
        <v>5227.8010000000004</v>
      </c>
      <c r="L3853" s="25">
        <v>2.73</v>
      </c>
      <c r="M3853" s="24">
        <v>69363.5</v>
      </c>
      <c r="N3853" s="25">
        <f>IFERROR(T_reg.root.SK[[#This Row],[Price]]/T_reg.root.SK[[#This Row],[Starch content]],"")</f>
        <v>13.258863525983488</v>
      </c>
    </row>
    <row r="3854" spans="1:14">
      <c r="A3854" s="21">
        <v>2024</v>
      </c>
      <c r="B3854" s="21" t="s">
        <v>26</v>
      </c>
      <c r="C3854" s="21" t="s">
        <v>1145</v>
      </c>
      <c r="D3854" s="21" t="s">
        <v>35</v>
      </c>
      <c r="E3854" s="18" t="s">
        <v>383</v>
      </c>
      <c r="F3854" s="18" t="s">
        <v>47</v>
      </c>
      <c r="G3854" s="18" t="s">
        <v>48</v>
      </c>
      <c r="H3854" s="24">
        <v>16150</v>
      </c>
      <c r="I3854" s="24">
        <f>T_reg.root.SK[[#This Row],[Volume, kg]]/1000</f>
        <v>16.149999999999999</v>
      </c>
      <c r="J3854" s="25">
        <v>0.23269999999999999</v>
      </c>
      <c r="K3854" s="25">
        <f t="shared" si="60"/>
        <v>3758.105</v>
      </c>
      <c r="L3854" s="25">
        <v>2.75</v>
      </c>
      <c r="M3854" s="24">
        <v>44388.5</v>
      </c>
      <c r="N3854" s="25">
        <f>IFERROR(T_reg.root.SK[[#This Row],[Price]]/T_reg.root.SK[[#This Row],[Starch content]],"")</f>
        <v>11.817791147400087</v>
      </c>
    </row>
    <row r="3855" spans="1:14">
      <c r="A3855" s="21">
        <v>2024</v>
      </c>
      <c r="B3855" s="21" t="s">
        <v>26</v>
      </c>
      <c r="C3855" s="21" t="s">
        <v>1145</v>
      </c>
      <c r="D3855" s="21" t="s">
        <v>35</v>
      </c>
      <c r="E3855" s="18" t="s">
        <v>818</v>
      </c>
      <c r="F3855" s="18" t="s">
        <v>819</v>
      </c>
      <c r="G3855" s="18" t="s">
        <v>48</v>
      </c>
      <c r="H3855" s="24">
        <v>11010</v>
      </c>
      <c r="I3855" s="24">
        <f>T_reg.root.SK[[#This Row],[Volume, kg]]/1000</f>
        <v>11.01</v>
      </c>
      <c r="J3855" s="25">
        <v>0.24050000000000002</v>
      </c>
      <c r="K3855" s="25">
        <f t="shared" si="60"/>
        <v>2647.9050000000002</v>
      </c>
      <c r="L3855" s="25">
        <v>2.75</v>
      </c>
      <c r="M3855" s="24">
        <v>30277.5</v>
      </c>
      <c r="N3855" s="25">
        <f>IFERROR(T_reg.root.SK[[#This Row],[Price]]/T_reg.root.SK[[#This Row],[Starch content]],"")</f>
        <v>11.434511434511434</v>
      </c>
    </row>
    <row r="3856" spans="1:14">
      <c r="A3856" s="21">
        <v>2024</v>
      </c>
      <c r="B3856" s="21" t="s">
        <v>26</v>
      </c>
      <c r="C3856" s="21" t="s">
        <v>1145</v>
      </c>
      <c r="D3856" s="21" t="s">
        <v>39</v>
      </c>
      <c r="E3856" s="18" t="s">
        <v>820</v>
      </c>
      <c r="F3856" s="18" t="s">
        <v>821</v>
      </c>
      <c r="G3856" s="18" t="s">
        <v>822</v>
      </c>
      <c r="H3856" s="24">
        <v>166330</v>
      </c>
      <c r="I3856" s="24">
        <f>T_reg.root.SK[[#This Row],[Volume, kg]]/1000</f>
        <v>166.33</v>
      </c>
      <c r="J3856" s="25">
        <v>0.20069999999999999</v>
      </c>
      <c r="K3856" s="25">
        <f t="shared" si="60"/>
        <v>33382.430999999997</v>
      </c>
      <c r="L3856" s="25">
        <v>2.74</v>
      </c>
      <c r="M3856" s="24">
        <v>455973.5</v>
      </c>
      <c r="N3856" s="25">
        <f>IFERROR(T_reg.root.SK[[#This Row],[Price]]/T_reg.root.SK[[#This Row],[Starch content]],"")</f>
        <v>13.652217239661187</v>
      </c>
    </row>
    <row r="3857" spans="1:14">
      <c r="A3857" s="21">
        <v>2024</v>
      </c>
      <c r="B3857" s="21" t="s">
        <v>26</v>
      </c>
      <c r="C3857" s="21" t="s">
        <v>1145</v>
      </c>
      <c r="D3857" s="21" t="s">
        <v>39</v>
      </c>
      <c r="E3857" s="18" t="s">
        <v>85</v>
      </c>
      <c r="F3857" s="18" t="s">
        <v>86</v>
      </c>
      <c r="G3857" s="18" t="s">
        <v>87</v>
      </c>
      <c r="H3857" s="24">
        <v>3850550</v>
      </c>
      <c r="I3857" s="24">
        <f>T_reg.root.SK[[#This Row],[Volume, kg]]/1000</f>
        <v>3850.55</v>
      </c>
      <c r="J3857" s="25">
        <v>0.23780000000000001</v>
      </c>
      <c r="K3857" s="25">
        <f t="shared" si="60"/>
        <v>915660.79</v>
      </c>
      <c r="L3857" s="25">
        <v>2.92</v>
      </c>
      <c r="M3857" s="24">
        <v>11227838</v>
      </c>
      <c r="N3857" s="25">
        <f>IFERROR(T_reg.root.SK[[#This Row],[Price]]/T_reg.root.SK[[#This Row],[Starch content]],"")</f>
        <v>12.279226240538266</v>
      </c>
    </row>
    <row r="3858" spans="1:14">
      <c r="A3858" s="21">
        <v>2024</v>
      </c>
      <c r="B3858" s="21" t="s">
        <v>26</v>
      </c>
      <c r="C3858" s="21" t="s">
        <v>1145</v>
      </c>
      <c r="D3858" s="21" t="s">
        <v>39</v>
      </c>
      <c r="E3858" s="18" t="s">
        <v>88</v>
      </c>
      <c r="F3858" s="18" t="s">
        <v>89</v>
      </c>
      <c r="G3858" s="18" t="s">
        <v>90</v>
      </c>
      <c r="H3858" s="24">
        <v>4585830</v>
      </c>
      <c r="I3858" s="24">
        <f>T_reg.root.SK[[#This Row],[Volume, kg]]/1000</f>
        <v>4585.83</v>
      </c>
      <c r="J3858" s="25">
        <v>0.23370000000000002</v>
      </c>
      <c r="K3858" s="25">
        <f t="shared" si="60"/>
        <v>1071708.4710000001</v>
      </c>
      <c r="L3858" s="25">
        <v>2.9</v>
      </c>
      <c r="M3858" s="24">
        <v>13294988.5</v>
      </c>
      <c r="N3858" s="25">
        <f>IFERROR(T_reg.root.SK[[#This Row],[Price]]/T_reg.root.SK[[#This Row],[Starch content]],"")</f>
        <v>12.409071459135642</v>
      </c>
    </row>
    <row r="3859" spans="1:14">
      <c r="A3859" s="21">
        <v>2024</v>
      </c>
      <c r="B3859" s="21" t="s">
        <v>26</v>
      </c>
      <c r="C3859" s="21" t="s">
        <v>1145</v>
      </c>
      <c r="D3859" s="21" t="s">
        <v>35</v>
      </c>
      <c r="E3859" s="18" t="s">
        <v>748</v>
      </c>
      <c r="F3859" s="18" t="s">
        <v>89</v>
      </c>
      <c r="G3859" s="18" t="s">
        <v>90</v>
      </c>
      <c r="H3859" s="24">
        <v>59430</v>
      </c>
      <c r="I3859" s="24">
        <f>T_reg.root.SK[[#This Row],[Volume, kg]]/1000</f>
        <v>59.43</v>
      </c>
      <c r="J3859" s="25">
        <v>0.2293</v>
      </c>
      <c r="K3859" s="25">
        <f t="shared" si="60"/>
        <v>13627.299000000001</v>
      </c>
      <c r="L3859" s="25">
        <v>2.79</v>
      </c>
      <c r="M3859" s="24">
        <v>165932</v>
      </c>
      <c r="N3859" s="25">
        <f>IFERROR(T_reg.root.SK[[#This Row],[Price]]/T_reg.root.SK[[#This Row],[Starch content]],"")</f>
        <v>12.167466201482773</v>
      </c>
    </row>
    <row r="3860" spans="1:14">
      <c r="A3860" s="21">
        <v>2024</v>
      </c>
      <c r="B3860" s="21" t="s">
        <v>26</v>
      </c>
      <c r="C3860" s="21" t="s">
        <v>1145</v>
      </c>
      <c r="D3860" s="21" t="s">
        <v>35</v>
      </c>
      <c r="E3860" s="18" t="s">
        <v>749</v>
      </c>
      <c r="F3860" s="18" t="s">
        <v>92</v>
      </c>
      <c r="G3860" s="18" t="s">
        <v>48</v>
      </c>
      <c r="H3860" s="24">
        <v>8430</v>
      </c>
      <c r="I3860" s="24">
        <f>T_reg.root.SK[[#This Row],[Volume, kg]]/1000</f>
        <v>8.43</v>
      </c>
      <c r="J3860" s="25">
        <v>0.2555</v>
      </c>
      <c r="K3860" s="25">
        <f t="shared" si="60"/>
        <v>2153.8650000000002</v>
      </c>
      <c r="L3860" s="25">
        <v>2.85</v>
      </c>
      <c r="M3860" s="24">
        <v>24025.5</v>
      </c>
      <c r="N3860" s="25">
        <f>IFERROR(T_reg.root.SK[[#This Row],[Price]]/T_reg.root.SK[[#This Row],[Starch content]],"")</f>
        <v>11.154598825831703</v>
      </c>
    </row>
    <row r="3861" spans="1:14">
      <c r="A3861" s="21">
        <v>2024</v>
      </c>
      <c r="B3861" s="21" t="s">
        <v>26</v>
      </c>
      <c r="C3861" s="21" t="s">
        <v>1145</v>
      </c>
      <c r="D3861" s="21" t="s">
        <v>35</v>
      </c>
      <c r="E3861" s="18" t="s">
        <v>229</v>
      </c>
      <c r="F3861" s="18" t="s">
        <v>92</v>
      </c>
      <c r="G3861" s="18" t="s">
        <v>48</v>
      </c>
      <c r="H3861" s="24">
        <v>50130</v>
      </c>
      <c r="I3861" s="24">
        <f>T_reg.root.SK[[#This Row],[Volume, kg]]/1000</f>
        <v>50.13</v>
      </c>
      <c r="J3861" s="25">
        <v>0.23190000000000002</v>
      </c>
      <c r="K3861" s="25">
        <f t="shared" si="60"/>
        <v>11625.147000000001</v>
      </c>
      <c r="L3861" s="25">
        <v>2.73</v>
      </c>
      <c r="M3861" s="24">
        <v>137066</v>
      </c>
      <c r="N3861" s="25">
        <f>IFERROR(T_reg.root.SK[[#This Row],[Price]]/T_reg.root.SK[[#This Row],[Starch content]],"")</f>
        <v>11.772315653298834</v>
      </c>
    </row>
    <row r="3862" spans="1:14">
      <c r="A3862" s="21">
        <v>2024</v>
      </c>
      <c r="B3862" s="21" t="s">
        <v>26</v>
      </c>
      <c r="C3862" s="21" t="s">
        <v>1145</v>
      </c>
      <c r="D3862" s="21" t="s">
        <v>35</v>
      </c>
      <c r="E3862" s="18" t="s">
        <v>91</v>
      </c>
      <c r="F3862" s="18" t="s">
        <v>92</v>
      </c>
      <c r="G3862" s="18" t="s">
        <v>48</v>
      </c>
      <c r="H3862" s="24">
        <v>123360</v>
      </c>
      <c r="I3862" s="24">
        <f>T_reg.root.SK[[#This Row],[Volume, kg]]/1000</f>
        <v>123.36</v>
      </c>
      <c r="J3862" s="25">
        <v>0.2107</v>
      </c>
      <c r="K3862" s="25">
        <f t="shared" si="60"/>
        <v>25991.952000000001</v>
      </c>
      <c r="L3862" s="25">
        <v>2.65</v>
      </c>
      <c r="M3862" s="24">
        <v>326578.5</v>
      </c>
      <c r="N3862" s="25">
        <f>IFERROR(T_reg.root.SK[[#This Row],[Price]]/T_reg.root.SK[[#This Row],[Starch content]],"")</f>
        <v>12.577123872804936</v>
      </c>
    </row>
    <row r="3863" spans="1:14">
      <c r="A3863" s="21">
        <v>2024</v>
      </c>
      <c r="B3863" s="21" t="s">
        <v>26</v>
      </c>
      <c r="C3863" s="21" t="s">
        <v>1145</v>
      </c>
      <c r="D3863" s="21" t="s">
        <v>39</v>
      </c>
      <c r="E3863" s="18" t="s">
        <v>552</v>
      </c>
      <c r="F3863" s="18" t="s">
        <v>95</v>
      </c>
      <c r="G3863" s="18" t="s">
        <v>48</v>
      </c>
      <c r="H3863" s="24">
        <v>2592350</v>
      </c>
      <c r="I3863" s="24">
        <f>T_reg.root.SK[[#This Row],[Volume, kg]]/1000</f>
        <v>2592.35</v>
      </c>
      <c r="J3863" s="25">
        <v>0.221</v>
      </c>
      <c r="K3863" s="25">
        <f t="shared" si="60"/>
        <v>572909.35</v>
      </c>
      <c r="L3863" s="25">
        <v>2.82</v>
      </c>
      <c r="M3863" s="24">
        <v>7317356</v>
      </c>
      <c r="N3863" s="25">
        <f>IFERROR(T_reg.root.SK[[#This Row],[Price]]/T_reg.root.SK[[#This Row],[Starch content]],"")</f>
        <v>12.760180995475112</v>
      </c>
    </row>
    <row r="3864" spans="1:14">
      <c r="A3864" s="21">
        <v>2024</v>
      </c>
      <c r="B3864" s="21" t="s">
        <v>26</v>
      </c>
      <c r="C3864" s="21" t="s">
        <v>1145</v>
      </c>
      <c r="D3864" s="21" t="s">
        <v>35</v>
      </c>
      <c r="E3864" s="18" t="s">
        <v>681</v>
      </c>
      <c r="F3864" s="18" t="s">
        <v>95</v>
      </c>
      <c r="G3864" s="18" t="s">
        <v>48</v>
      </c>
      <c r="H3864" s="24">
        <v>398180</v>
      </c>
      <c r="I3864" s="24">
        <f>T_reg.root.SK[[#This Row],[Volume, kg]]/1000</f>
        <v>398.18</v>
      </c>
      <c r="J3864" s="25">
        <v>0.23230000000000001</v>
      </c>
      <c r="K3864" s="25">
        <f t="shared" si="60"/>
        <v>92497.214000000007</v>
      </c>
      <c r="L3864" s="25">
        <v>2.79</v>
      </c>
      <c r="M3864" s="24">
        <v>1111427</v>
      </c>
      <c r="N3864" s="25">
        <f>IFERROR(T_reg.root.SK[[#This Row],[Price]]/T_reg.root.SK[[#This Row],[Starch content]],"")</f>
        <v>12.010331467929401</v>
      </c>
    </row>
    <row r="3865" spans="1:14">
      <c r="A3865" s="21">
        <v>2024</v>
      </c>
      <c r="B3865" s="21" t="s">
        <v>26</v>
      </c>
      <c r="C3865" s="21" t="s">
        <v>1145</v>
      </c>
      <c r="D3865" s="21" t="s">
        <v>39</v>
      </c>
      <c r="E3865" s="18" t="s">
        <v>98</v>
      </c>
      <c r="F3865" s="18" t="s">
        <v>99</v>
      </c>
      <c r="G3865" s="18" t="s">
        <v>42</v>
      </c>
      <c r="H3865" s="24">
        <v>5322970</v>
      </c>
      <c r="I3865" s="24">
        <f>T_reg.root.SK[[#This Row],[Volume, kg]]/1000</f>
        <v>5322.97</v>
      </c>
      <c r="J3865" s="25">
        <v>0.22949999999999998</v>
      </c>
      <c r="K3865" s="25">
        <f t="shared" si="60"/>
        <v>1221621.615</v>
      </c>
      <c r="L3865" s="25">
        <v>2.87</v>
      </c>
      <c r="M3865" s="24">
        <v>15297781.5</v>
      </c>
      <c r="N3865" s="25">
        <f>IFERROR(T_reg.root.SK[[#This Row],[Price]]/T_reg.root.SK[[#This Row],[Starch content]],"")</f>
        <v>12.505446623093682</v>
      </c>
    </row>
    <row r="3866" spans="1:14">
      <c r="A3866" s="21">
        <v>2024</v>
      </c>
      <c r="B3866" s="21" t="s">
        <v>26</v>
      </c>
      <c r="C3866" s="21" t="s">
        <v>1145</v>
      </c>
      <c r="D3866" s="21" t="s">
        <v>39</v>
      </c>
      <c r="E3866" s="18" t="s">
        <v>346</v>
      </c>
      <c r="F3866" s="18" t="s">
        <v>99</v>
      </c>
      <c r="G3866" s="18" t="s">
        <v>42</v>
      </c>
      <c r="H3866" s="24">
        <v>2822520</v>
      </c>
      <c r="I3866" s="24">
        <f>T_reg.root.SK[[#This Row],[Volume, kg]]/1000</f>
        <v>2822.52</v>
      </c>
      <c r="J3866" s="25">
        <v>0.21609999999999999</v>
      </c>
      <c r="K3866" s="25">
        <f t="shared" si="60"/>
        <v>609946.57199999993</v>
      </c>
      <c r="L3866" s="25">
        <v>2.81</v>
      </c>
      <c r="M3866" s="24">
        <v>7927087.5</v>
      </c>
      <c r="N3866" s="25">
        <f>IFERROR(T_reg.root.SK[[#This Row],[Price]]/T_reg.root.SK[[#This Row],[Starch content]],"")</f>
        <v>13.003239241092087</v>
      </c>
    </row>
    <row r="3867" spans="1:14">
      <c r="A3867" s="21">
        <v>2024</v>
      </c>
      <c r="B3867" s="21" t="s">
        <v>26</v>
      </c>
      <c r="C3867" s="21" t="s">
        <v>1145</v>
      </c>
      <c r="D3867" s="21" t="s">
        <v>39</v>
      </c>
      <c r="E3867" s="18" t="s">
        <v>101</v>
      </c>
      <c r="F3867" s="18" t="s">
        <v>102</v>
      </c>
      <c r="G3867" s="18" t="s">
        <v>103</v>
      </c>
      <c r="H3867" s="24">
        <v>1402550</v>
      </c>
      <c r="I3867" s="24">
        <f>T_reg.root.SK[[#This Row],[Volume, kg]]/1000</f>
        <v>1402.55</v>
      </c>
      <c r="J3867" s="25">
        <v>0.21879999999999999</v>
      </c>
      <c r="K3867" s="25">
        <f t="shared" si="60"/>
        <v>306877.94</v>
      </c>
      <c r="L3867" s="25">
        <v>2.82</v>
      </c>
      <c r="M3867" s="24">
        <v>3954263</v>
      </c>
      <c r="N3867" s="25">
        <f>IFERROR(T_reg.root.SK[[#This Row],[Price]]/T_reg.root.SK[[#This Row],[Starch content]],"")</f>
        <v>12.888482632541134</v>
      </c>
    </row>
    <row r="3868" spans="1:14">
      <c r="A3868" s="21">
        <v>2024</v>
      </c>
      <c r="B3868" s="21" t="s">
        <v>26</v>
      </c>
      <c r="C3868" s="21" t="s">
        <v>1145</v>
      </c>
      <c r="D3868" s="21" t="s">
        <v>35</v>
      </c>
      <c r="E3868" s="18" t="s">
        <v>555</v>
      </c>
      <c r="F3868" s="18" t="s">
        <v>283</v>
      </c>
      <c r="G3868" s="18" t="s">
        <v>48</v>
      </c>
      <c r="H3868" s="24">
        <v>8100</v>
      </c>
      <c r="I3868" s="24">
        <f>T_reg.root.SK[[#This Row],[Volume, kg]]/1000</f>
        <v>8.1</v>
      </c>
      <c r="J3868" s="25">
        <v>0.26400000000000001</v>
      </c>
      <c r="K3868" s="25">
        <f t="shared" si="60"/>
        <v>2138.4</v>
      </c>
      <c r="L3868" s="25">
        <v>2.85</v>
      </c>
      <c r="M3868" s="24">
        <v>23085</v>
      </c>
      <c r="N3868" s="25">
        <f>IFERROR(T_reg.root.SK[[#This Row],[Price]]/T_reg.root.SK[[#This Row],[Starch content]],"")</f>
        <v>10.795454545454545</v>
      </c>
    </row>
    <row r="3869" spans="1:14">
      <c r="A3869" s="21">
        <v>2024</v>
      </c>
      <c r="B3869" s="21" t="s">
        <v>26</v>
      </c>
      <c r="C3869" s="21" t="s">
        <v>1145</v>
      </c>
      <c r="D3869" s="21" t="s">
        <v>39</v>
      </c>
      <c r="E3869" s="18" t="s">
        <v>284</v>
      </c>
      <c r="F3869" s="18" t="s">
        <v>285</v>
      </c>
      <c r="G3869" s="18" t="s">
        <v>286</v>
      </c>
      <c r="H3869" s="24">
        <v>2969350</v>
      </c>
      <c r="I3869" s="24">
        <f>T_reg.root.SK[[#This Row],[Volume, kg]]/1000</f>
        <v>2969.35</v>
      </c>
      <c r="J3869" s="25">
        <v>0.23739999999999997</v>
      </c>
      <c r="K3869" s="25">
        <f t="shared" si="60"/>
        <v>704923.69</v>
      </c>
      <c r="L3869" s="25">
        <v>2.95</v>
      </c>
      <c r="M3869" s="24">
        <v>8744805.5</v>
      </c>
      <c r="N3869" s="25">
        <f>IFERROR(T_reg.root.SK[[#This Row],[Price]]/T_reg.root.SK[[#This Row],[Starch content]],"")</f>
        <v>12.426284751474308</v>
      </c>
    </row>
    <row r="3870" spans="1:14">
      <c r="A3870" s="21">
        <v>2024</v>
      </c>
      <c r="B3870" s="21" t="s">
        <v>26</v>
      </c>
      <c r="C3870" s="21" t="s">
        <v>1145</v>
      </c>
      <c r="D3870" s="21" t="s">
        <v>35</v>
      </c>
      <c r="E3870" s="18" t="s">
        <v>733</v>
      </c>
      <c r="F3870" s="18" t="s">
        <v>105</v>
      </c>
      <c r="G3870" s="18" t="s">
        <v>48</v>
      </c>
      <c r="H3870" s="24">
        <v>46160</v>
      </c>
      <c r="I3870" s="24">
        <f>T_reg.root.SK[[#This Row],[Volume, kg]]/1000</f>
        <v>46.16</v>
      </c>
      <c r="J3870" s="25">
        <v>0.22949999999999998</v>
      </c>
      <c r="K3870" s="25">
        <f t="shared" si="60"/>
        <v>10593.72</v>
      </c>
      <c r="L3870" s="25">
        <v>2.71</v>
      </c>
      <c r="M3870" s="24">
        <v>124937</v>
      </c>
      <c r="N3870" s="25">
        <f>IFERROR(T_reg.root.SK[[#This Row],[Price]]/T_reg.root.SK[[#This Row],[Starch content]],"")</f>
        <v>11.808278867102397</v>
      </c>
    </row>
    <row r="3871" spans="1:14">
      <c r="A3871" s="21">
        <v>2024</v>
      </c>
      <c r="B3871" s="21" t="s">
        <v>26</v>
      </c>
      <c r="C3871" s="21" t="s">
        <v>1145</v>
      </c>
      <c r="D3871" s="21" t="s">
        <v>35</v>
      </c>
      <c r="E3871" s="18" t="s">
        <v>288</v>
      </c>
      <c r="F3871" s="18" t="s">
        <v>105</v>
      </c>
      <c r="G3871" s="18" t="s">
        <v>48</v>
      </c>
      <c r="H3871" s="24">
        <v>12890</v>
      </c>
      <c r="I3871" s="24">
        <f>T_reg.root.SK[[#This Row],[Volume, kg]]/1000</f>
        <v>12.89</v>
      </c>
      <c r="J3871" s="25">
        <v>0.25309999999999999</v>
      </c>
      <c r="K3871" s="25">
        <f t="shared" si="60"/>
        <v>3262.4589999999998</v>
      </c>
      <c r="L3871" s="25">
        <v>2.82</v>
      </c>
      <c r="M3871" s="24">
        <v>36376.5</v>
      </c>
      <c r="N3871" s="25">
        <f>IFERROR(T_reg.root.SK[[#This Row],[Price]]/T_reg.root.SK[[#This Row],[Starch content]],"")</f>
        <v>11.141841169498221</v>
      </c>
    </row>
    <row r="3872" spans="1:14">
      <c r="A3872" s="21">
        <v>2024</v>
      </c>
      <c r="B3872" s="21" t="s">
        <v>26</v>
      </c>
      <c r="C3872" s="21" t="s">
        <v>1145</v>
      </c>
      <c r="D3872" s="21" t="s">
        <v>35</v>
      </c>
      <c r="E3872" s="18" t="s">
        <v>289</v>
      </c>
      <c r="F3872" s="18" t="s">
        <v>105</v>
      </c>
      <c r="G3872" s="18" t="s">
        <v>48</v>
      </c>
      <c r="H3872" s="24">
        <v>9600</v>
      </c>
      <c r="I3872" s="24">
        <f>T_reg.root.SK[[#This Row],[Volume, kg]]/1000</f>
        <v>9.6</v>
      </c>
      <c r="J3872" s="25">
        <v>0.21899999999999997</v>
      </c>
      <c r="K3872" s="25">
        <f t="shared" si="60"/>
        <v>2102.3999999999996</v>
      </c>
      <c r="L3872" s="25">
        <v>2.65</v>
      </c>
      <c r="M3872" s="24">
        <v>25440</v>
      </c>
      <c r="N3872" s="25">
        <f>IFERROR(T_reg.root.SK[[#This Row],[Price]]/T_reg.root.SK[[#This Row],[Starch content]],"")</f>
        <v>12.100456621004568</v>
      </c>
    </row>
    <row r="3873" spans="1:14">
      <c r="A3873" s="21">
        <v>2024</v>
      </c>
      <c r="B3873" s="21" t="s">
        <v>26</v>
      </c>
      <c r="C3873" s="21" t="s">
        <v>1145</v>
      </c>
      <c r="D3873" s="21" t="s">
        <v>35</v>
      </c>
      <c r="E3873" s="18" t="s">
        <v>108</v>
      </c>
      <c r="F3873" s="18" t="s">
        <v>105</v>
      </c>
      <c r="G3873" s="18" t="s">
        <v>48</v>
      </c>
      <c r="H3873" s="24">
        <v>15120</v>
      </c>
      <c r="I3873" s="24">
        <f>T_reg.root.SK[[#This Row],[Volume, kg]]/1000</f>
        <v>15.12</v>
      </c>
      <c r="J3873" s="25">
        <v>0.25819999999999999</v>
      </c>
      <c r="K3873" s="25">
        <f t="shared" si="60"/>
        <v>3903.9839999999999</v>
      </c>
      <c r="L3873" s="25">
        <v>2.8</v>
      </c>
      <c r="M3873" s="24">
        <v>42336</v>
      </c>
      <c r="N3873" s="25">
        <f>IFERROR(T_reg.root.SK[[#This Row],[Price]]/T_reg.root.SK[[#This Row],[Starch content]],"")</f>
        <v>10.844306738962045</v>
      </c>
    </row>
    <row r="3874" spans="1:14">
      <c r="A3874" s="21">
        <v>2024</v>
      </c>
      <c r="B3874" s="21" t="s">
        <v>26</v>
      </c>
      <c r="C3874" s="21" t="s">
        <v>1145</v>
      </c>
      <c r="D3874" s="21" t="s">
        <v>35</v>
      </c>
      <c r="E3874" s="18" t="s">
        <v>823</v>
      </c>
      <c r="F3874" s="18" t="s">
        <v>105</v>
      </c>
      <c r="G3874" s="18" t="s">
        <v>48</v>
      </c>
      <c r="H3874" s="24">
        <v>80250</v>
      </c>
      <c r="I3874" s="24">
        <f>T_reg.root.SK[[#This Row],[Volume, kg]]/1000</f>
        <v>80.25</v>
      </c>
      <c r="J3874" s="25">
        <v>0.25319999999999998</v>
      </c>
      <c r="K3874" s="25">
        <f t="shared" si="60"/>
        <v>20319.3</v>
      </c>
      <c r="L3874" s="25">
        <v>2.81</v>
      </c>
      <c r="M3874" s="24">
        <v>225672</v>
      </c>
      <c r="N3874" s="25">
        <f>IFERROR(T_reg.root.SK[[#This Row],[Price]]/T_reg.root.SK[[#This Row],[Starch content]],"")</f>
        <v>11.097946287519749</v>
      </c>
    </row>
    <row r="3875" spans="1:14">
      <c r="A3875" s="21">
        <v>2024</v>
      </c>
      <c r="B3875" s="21" t="s">
        <v>26</v>
      </c>
      <c r="C3875" s="21" t="s">
        <v>1145</v>
      </c>
      <c r="D3875" s="21" t="s">
        <v>35</v>
      </c>
      <c r="E3875" s="18" t="s">
        <v>713</v>
      </c>
      <c r="F3875" s="18" t="s">
        <v>105</v>
      </c>
      <c r="G3875" s="18" t="s">
        <v>48</v>
      </c>
      <c r="H3875" s="24">
        <v>29450</v>
      </c>
      <c r="I3875" s="24">
        <f>T_reg.root.SK[[#This Row],[Volume, kg]]/1000</f>
        <v>29.45</v>
      </c>
      <c r="J3875" s="25">
        <v>0.25800000000000001</v>
      </c>
      <c r="K3875" s="25">
        <f t="shared" si="60"/>
        <v>7598.1</v>
      </c>
      <c r="L3875" s="25">
        <v>2.79</v>
      </c>
      <c r="M3875" s="24">
        <v>82279.5</v>
      </c>
      <c r="N3875" s="25">
        <f>IFERROR(T_reg.root.SK[[#This Row],[Price]]/T_reg.root.SK[[#This Row],[Starch content]],"")</f>
        <v>10.813953488372093</v>
      </c>
    </row>
    <row r="3876" spans="1:14">
      <c r="A3876" s="21">
        <v>2024</v>
      </c>
      <c r="B3876" s="21" t="s">
        <v>26</v>
      </c>
      <c r="C3876" s="21" t="s">
        <v>1145</v>
      </c>
      <c r="D3876" s="21" t="s">
        <v>35</v>
      </c>
      <c r="E3876" s="18" t="s">
        <v>631</v>
      </c>
      <c r="F3876" s="18" t="s">
        <v>105</v>
      </c>
      <c r="G3876" s="18" t="s">
        <v>48</v>
      </c>
      <c r="H3876" s="24">
        <v>38020</v>
      </c>
      <c r="I3876" s="24">
        <f>T_reg.root.SK[[#This Row],[Volume, kg]]/1000</f>
        <v>38.020000000000003</v>
      </c>
      <c r="J3876" s="25">
        <v>0.23780000000000001</v>
      </c>
      <c r="K3876" s="25">
        <f t="shared" si="60"/>
        <v>9041.1560000000009</v>
      </c>
      <c r="L3876" s="25">
        <v>2.82</v>
      </c>
      <c r="M3876" s="24">
        <v>107185</v>
      </c>
      <c r="N3876" s="25">
        <f>IFERROR(T_reg.root.SK[[#This Row],[Price]]/T_reg.root.SK[[#This Row],[Starch content]],"")</f>
        <v>11.85870479394449</v>
      </c>
    </row>
    <row r="3877" spans="1:14">
      <c r="A3877" s="21">
        <v>2024</v>
      </c>
      <c r="B3877" s="21" t="s">
        <v>26</v>
      </c>
      <c r="C3877" s="21" t="s">
        <v>1145</v>
      </c>
      <c r="D3877" s="21" t="s">
        <v>35</v>
      </c>
      <c r="E3877" s="18" t="s">
        <v>109</v>
      </c>
      <c r="F3877" s="18" t="s">
        <v>105</v>
      </c>
      <c r="G3877" s="18" t="s">
        <v>48</v>
      </c>
      <c r="H3877" s="24">
        <v>6900</v>
      </c>
      <c r="I3877" s="24">
        <f>T_reg.root.SK[[#This Row],[Volume, kg]]/1000</f>
        <v>6.9</v>
      </c>
      <c r="J3877" s="25">
        <v>0.20699999999999999</v>
      </c>
      <c r="K3877" s="25">
        <f t="shared" si="60"/>
        <v>1428.3</v>
      </c>
      <c r="L3877" s="25">
        <v>2.5499999999999998</v>
      </c>
      <c r="M3877" s="24">
        <v>17595</v>
      </c>
      <c r="N3877" s="25">
        <f>IFERROR(T_reg.root.SK[[#This Row],[Price]]/T_reg.root.SK[[#This Row],[Starch content]],"")</f>
        <v>12.318840579710145</v>
      </c>
    </row>
    <row r="3878" spans="1:14">
      <c r="A3878" s="21">
        <v>2024</v>
      </c>
      <c r="B3878" s="21" t="s">
        <v>26</v>
      </c>
      <c r="C3878" s="21" t="s">
        <v>1145</v>
      </c>
      <c r="D3878" s="21" t="s">
        <v>35</v>
      </c>
      <c r="E3878" s="18" t="s">
        <v>292</v>
      </c>
      <c r="F3878" s="18" t="s">
        <v>105</v>
      </c>
      <c r="G3878" s="18" t="s">
        <v>48</v>
      </c>
      <c r="H3878" s="24">
        <v>68510</v>
      </c>
      <c r="I3878" s="24">
        <f>T_reg.root.SK[[#This Row],[Volume, kg]]/1000</f>
        <v>68.510000000000005</v>
      </c>
      <c r="J3878" s="25">
        <v>0.2109</v>
      </c>
      <c r="K3878" s="25">
        <f t="shared" si="60"/>
        <v>14448.759</v>
      </c>
      <c r="L3878" s="25">
        <v>2.61</v>
      </c>
      <c r="M3878" s="24">
        <v>178917.5</v>
      </c>
      <c r="N3878" s="25">
        <f>IFERROR(T_reg.root.SK[[#This Row],[Price]]/T_reg.root.SK[[#This Row],[Starch content]],"")</f>
        <v>12.375533428165006</v>
      </c>
    </row>
    <row r="3879" spans="1:14">
      <c r="A3879" s="21">
        <v>2024</v>
      </c>
      <c r="B3879" s="21" t="s">
        <v>26</v>
      </c>
      <c r="C3879" s="21" t="s">
        <v>1145</v>
      </c>
      <c r="D3879" s="21" t="s">
        <v>35</v>
      </c>
      <c r="E3879" s="18" t="s">
        <v>350</v>
      </c>
      <c r="F3879" s="18" t="s">
        <v>105</v>
      </c>
      <c r="G3879" s="18" t="s">
        <v>48</v>
      </c>
      <c r="H3879" s="24">
        <v>8550</v>
      </c>
      <c r="I3879" s="24">
        <f>T_reg.root.SK[[#This Row],[Volume, kg]]/1000</f>
        <v>8.5500000000000007</v>
      </c>
      <c r="J3879" s="25">
        <v>0.214</v>
      </c>
      <c r="K3879" s="25">
        <f t="shared" si="60"/>
        <v>1829.7</v>
      </c>
      <c r="L3879" s="25">
        <v>2.75</v>
      </c>
      <c r="M3879" s="24">
        <v>23512.5</v>
      </c>
      <c r="N3879" s="25">
        <f>IFERROR(T_reg.root.SK[[#This Row],[Price]]/T_reg.root.SK[[#This Row],[Starch content]],"")</f>
        <v>12.850467289719626</v>
      </c>
    </row>
    <row r="3880" spans="1:14">
      <c r="A3880" s="21">
        <v>2024</v>
      </c>
      <c r="B3880" s="21" t="s">
        <v>26</v>
      </c>
      <c r="C3880" s="21" t="s">
        <v>1145</v>
      </c>
      <c r="D3880" s="21" t="s">
        <v>35</v>
      </c>
      <c r="E3880" s="18" t="s">
        <v>110</v>
      </c>
      <c r="F3880" s="18" t="s">
        <v>105</v>
      </c>
      <c r="G3880" s="18" t="s">
        <v>48</v>
      </c>
      <c r="H3880" s="24">
        <v>119460</v>
      </c>
      <c r="I3880" s="24">
        <f>T_reg.root.SK[[#This Row],[Volume, kg]]/1000</f>
        <v>119.46</v>
      </c>
      <c r="J3880" s="25">
        <v>0.2064</v>
      </c>
      <c r="K3880" s="25">
        <f t="shared" si="60"/>
        <v>24656.544000000002</v>
      </c>
      <c r="L3880" s="25">
        <v>2.65</v>
      </c>
      <c r="M3880" s="24">
        <v>317154.5</v>
      </c>
      <c r="N3880" s="25">
        <f>IFERROR(T_reg.root.SK[[#This Row],[Price]]/T_reg.root.SK[[#This Row],[Starch content]],"")</f>
        <v>12.839147286821705</v>
      </c>
    </row>
    <row r="3881" spans="1:14">
      <c r="A3881" s="21">
        <v>2024</v>
      </c>
      <c r="B3881" s="21" t="s">
        <v>26</v>
      </c>
      <c r="C3881" s="21" t="s">
        <v>1145</v>
      </c>
      <c r="D3881" s="21" t="s">
        <v>35</v>
      </c>
      <c r="E3881" s="18" t="s">
        <v>824</v>
      </c>
      <c r="F3881" s="18" t="s">
        <v>105</v>
      </c>
      <c r="G3881" s="18" t="s">
        <v>48</v>
      </c>
      <c r="H3881" s="24">
        <v>61590</v>
      </c>
      <c r="I3881" s="24">
        <f>T_reg.root.SK[[#This Row],[Volume, kg]]/1000</f>
        <v>61.59</v>
      </c>
      <c r="J3881" s="25">
        <v>0.2288</v>
      </c>
      <c r="K3881" s="25">
        <f t="shared" si="60"/>
        <v>14091.791999999999</v>
      </c>
      <c r="L3881" s="25">
        <v>2.69</v>
      </c>
      <c r="M3881" s="24">
        <v>165452</v>
      </c>
      <c r="N3881" s="25">
        <f>IFERROR(T_reg.root.SK[[#This Row],[Price]]/T_reg.root.SK[[#This Row],[Starch content]],"")</f>
        <v>11.756993006993007</v>
      </c>
    </row>
    <row r="3882" spans="1:14">
      <c r="A3882" s="21">
        <v>2024</v>
      </c>
      <c r="B3882" s="21" t="s">
        <v>26</v>
      </c>
      <c r="C3882" s="21" t="s">
        <v>1145</v>
      </c>
      <c r="D3882" s="21" t="s">
        <v>35</v>
      </c>
      <c r="E3882" s="18" t="s">
        <v>734</v>
      </c>
      <c r="F3882" s="18" t="s">
        <v>105</v>
      </c>
      <c r="G3882" s="18" t="s">
        <v>48</v>
      </c>
      <c r="H3882" s="24">
        <v>9000</v>
      </c>
      <c r="I3882" s="24">
        <f>T_reg.root.SK[[#This Row],[Volume, kg]]/1000</f>
        <v>9</v>
      </c>
      <c r="J3882" s="25">
        <v>0.2515</v>
      </c>
      <c r="K3882" s="25">
        <f t="shared" si="60"/>
        <v>2263.5</v>
      </c>
      <c r="L3882" s="25">
        <v>2.9</v>
      </c>
      <c r="M3882" s="24">
        <v>26100</v>
      </c>
      <c r="N3882" s="25">
        <f>IFERROR(T_reg.root.SK[[#This Row],[Price]]/T_reg.root.SK[[#This Row],[Starch content]],"")</f>
        <v>11.530815109343935</v>
      </c>
    </row>
    <row r="3883" spans="1:14">
      <c r="A3883" s="21">
        <v>2024</v>
      </c>
      <c r="B3883" s="21" t="s">
        <v>26</v>
      </c>
      <c r="C3883" s="21" t="s">
        <v>1145</v>
      </c>
      <c r="D3883" s="21" t="s">
        <v>35</v>
      </c>
      <c r="E3883" s="18" t="s">
        <v>295</v>
      </c>
      <c r="F3883" s="18" t="s">
        <v>105</v>
      </c>
      <c r="G3883" s="18" t="s">
        <v>48</v>
      </c>
      <c r="H3883" s="24">
        <v>17940</v>
      </c>
      <c r="I3883" s="24">
        <f>T_reg.root.SK[[#This Row],[Volume, kg]]/1000</f>
        <v>17.940000000000001</v>
      </c>
      <c r="J3883" s="25">
        <v>0.24909999999999999</v>
      </c>
      <c r="K3883" s="25">
        <f t="shared" si="60"/>
        <v>4468.8539999999994</v>
      </c>
      <c r="L3883" s="25">
        <v>2.8</v>
      </c>
      <c r="M3883" s="24">
        <v>50309</v>
      </c>
      <c r="N3883" s="25">
        <f>IFERROR(T_reg.root.SK[[#This Row],[Price]]/T_reg.root.SK[[#This Row],[Starch content]],"")</f>
        <v>11.240465676435166</v>
      </c>
    </row>
    <row r="3884" spans="1:14">
      <c r="A3884" s="21">
        <v>2024</v>
      </c>
      <c r="B3884" s="21" t="s">
        <v>26</v>
      </c>
      <c r="C3884" s="21" t="s">
        <v>1145</v>
      </c>
      <c r="D3884" s="21" t="s">
        <v>35</v>
      </c>
      <c r="E3884" s="18" t="s">
        <v>112</v>
      </c>
      <c r="F3884" s="18" t="s">
        <v>105</v>
      </c>
      <c r="G3884" s="18" t="s">
        <v>48</v>
      </c>
      <c r="H3884" s="24">
        <v>8290</v>
      </c>
      <c r="I3884" s="24">
        <f>T_reg.root.SK[[#This Row],[Volume, kg]]/1000</f>
        <v>8.2899999999999991</v>
      </c>
      <c r="J3884" s="25">
        <v>0.28199999999999997</v>
      </c>
      <c r="K3884" s="25">
        <f t="shared" si="60"/>
        <v>2337.7799999999997</v>
      </c>
      <c r="L3884" s="25">
        <v>2.9</v>
      </c>
      <c r="M3884" s="24">
        <v>24041</v>
      </c>
      <c r="N3884" s="25">
        <f>IFERROR(T_reg.root.SK[[#This Row],[Price]]/T_reg.root.SK[[#This Row],[Starch content]],"")</f>
        <v>10.283687943262413</v>
      </c>
    </row>
    <row r="3885" spans="1:14">
      <c r="A3885" s="21">
        <v>2024</v>
      </c>
      <c r="B3885" s="21" t="s">
        <v>26</v>
      </c>
      <c r="C3885" s="21" t="s">
        <v>1145</v>
      </c>
      <c r="D3885" s="21" t="s">
        <v>35</v>
      </c>
      <c r="E3885" s="18" t="s">
        <v>803</v>
      </c>
      <c r="F3885" s="18" t="s">
        <v>105</v>
      </c>
      <c r="G3885" s="18" t="s">
        <v>48</v>
      </c>
      <c r="H3885" s="24">
        <v>38450</v>
      </c>
      <c r="I3885" s="24">
        <f>T_reg.root.SK[[#This Row],[Volume, kg]]/1000</f>
        <v>38.450000000000003</v>
      </c>
      <c r="J3885" s="25">
        <v>0.24</v>
      </c>
      <c r="K3885" s="25">
        <f t="shared" si="60"/>
        <v>9228</v>
      </c>
      <c r="L3885" s="25">
        <v>2.75</v>
      </c>
      <c r="M3885" s="24">
        <v>105748</v>
      </c>
      <c r="N3885" s="25">
        <f>IFERROR(T_reg.root.SK[[#This Row],[Price]]/T_reg.root.SK[[#This Row],[Starch content]],"")</f>
        <v>11.458333333333334</v>
      </c>
    </row>
    <row r="3886" spans="1:14">
      <c r="A3886" s="21">
        <v>2024</v>
      </c>
      <c r="B3886" s="21" t="s">
        <v>26</v>
      </c>
      <c r="C3886" s="21" t="s">
        <v>1145</v>
      </c>
      <c r="D3886" s="21" t="s">
        <v>35</v>
      </c>
      <c r="E3886" s="18" t="s">
        <v>234</v>
      </c>
      <c r="F3886" s="18" t="s">
        <v>105</v>
      </c>
      <c r="G3886" s="18" t="s">
        <v>48</v>
      </c>
      <c r="H3886" s="24">
        <v>94390</v>
      </c>
      <c r="I3886" s="24">
        <f>T_reg.root.SK[[#This Row],[Volume, kg]]/1000</f>
        <v>94.39</v>
      </c>
      <c r="J3886" s="25">
        <v>0.25969999999999999</v>
      </c>
      <c r="K3886" s="25">
        <f t="shared" si="60"/>
        <v>24513.082999999999</v>
      </c>
      <c r="L3886" s="25">
        <v>2.91</v>
      </c>
      <c r="M3886" s="24">
        <v>274779.5</v>
      </c>
      <c r="N3886" s="25">
        <f>IFERROR(T_reg.root.SK[[#This Row],[Price]]/T_reg.root.SK[[#This Row],[Starch content]],"")</f>
        <v>11.205236811705815</v>
      </c>
    </row>
    <row r="3887" spans="1:14">
      <c r="A3887" s="21">
        <v>2024</v>
      </c>
      <c r="B3887" s="21" t="s">
        <v>26</v>
      </c>
      <c r="C3887" s="21" t="s">
        <v>1145</v>
      </c>
      <c r="D3887" s="21" t="s">
        <v>35</v>
      </c>
      <c r="E3887" s="18" t="s">
        <v>825</v>
      </c>
      <c r="F3887" s="18" t="s">
        <v>105</v>
      </c>
      <c r="G3887" s="18" t="s">
        <v>48</v>
      </c>
      <c r="H3887" s="24">
        <v>6930</v>
      </c>
      <c r="I3887" s="24">
        <f>T_reg.root.SK[[#This Row],[Volume, kg]]/1000</f>
        <v>6.93</v>
      </c>
      <c r="J3887" s="25">
        <v>0.24850000000000003</v>
      </c>
      <c r="K3887" s="25">
        <f t="shared" si="60"/>
        <v>1722.1050000000002</v>
      </c>
      <c r="L3887" s="25">
        <v>2.85</v>
      </c>
      <c r="M3887" s="24">
        <v>19750.5</v>
      </c>
      <c r="N3887" s="25">
        <f>IFERROR(T_reg.root.SK[[#This Row],[Price]]/T_reg.root.SK[[#This Row],[Starch content]],"")</f>
        <v>11.468812877263581</v>
      </c>
    </row>
    <row r="3888" spans="1:14">
      <c r="A3888" s="21">
        <v>2024</v>
      </c>
      <c r="B3888" s="21" t="s">
        <v>26</v>
      </c>
      <c r="C3888" s="21" t="s">
        <v>1145</v>
      </c>
      <c r="D3888" s="21" t="s">
        <v>35</v>
      </c>
      <c r="E3888" s="18" t="s">
        <v>558</v>
      </c>
      <c r="F3888" s="18" t="s">
        <v>105</v>
      </c>
      <c r="G3888" s="18" t="s">
        <v>48</v>
      </c>
      <c r="H3888" s="24">
        <v>3100</v>
      </c>
      <c r="I3888" s="24">
        <f>T_reg.root.SK[[#This Row],[Volume, kg]]/1000</f>
        <v>3.1</v>
      </c>
      <c r="J3888" s="25">
        <v>0.14199999999999999</v>
      </c>
      <c r="K3888" s="25">
        <f t="shared" si="60"/>
        <v>440.2</v>
      </c>
      <c r="L3888" s="25">
        <v>2.35</v>
      </c>
      <c r="M3888" s="24">
        <v>7285</v>
      </c>
      <c r="N3888" s="25">
        <f>IFERROR(T_reg.root.SK[[#This Row],[Price]]/T_reg.root.SK[[#This Row],[Starch content]],"")</f>
        <v>16.549295774647888</v>
      </c>
    </row>
    <row r="3889" spans="1:14">
      <c r="A3889" s="21">
        <v>2024</v>
      </c>
      <c r="B3889" s="21" t="s">
        <v>26</v>
      </c>
      <c r="C3889" s="21" t="s">
        <v>1145</v>
      </c>
      <c r="D3889" s="21" t="s">
        <v>35</v>
      </c>
      <c r="E3889" s="18" t="s">
        <v>600</v>
      </c>
      <c r="F3889" s="18" t="s">
        <v>105</v>
      </c>
      <c r="G3889" s="18" t="s">
        <v>48</v>
      </c>
      <c r="H3889" s="24">
        <v>18870</v>
      </c>
      <c r="I3889" s="24">
        <f>T_reg.root.SK[[#This Row],[Volume, kg]]/1000</f>
        <v>18.87</v>
      </c>
      <c r="J3889" s="25">
        <v>0.27179999999999999</v>
      </c>
      <c r="K3889" s="25">
        <f t="shared" si="60"/>
        <v>5128.866</v>
      </c>
      <c r="L3889" s="25">
        <v>3.03</v>
      </c>
      <c r="M3889" s="24">
        <v>57082.5</v>
      </c>
      <c r="N3889" s="25">
        <f>IFERROR(T_reg.root.SK[[#This Row],[Price]]/T_reg.root.SK[[#This Row],[Starch content]],"")</f>
        <v>11.147902869757175</v>
      </c>
    </row>
    <row r="3890" spans="1:14">
      <c r="A3890" s="21">
        <v>2024</v>
      </c>
      <c r="B3890" s="21" t="s">
        <v>26</v>
      </c>
      <c r="C3890" s="21" t="s">
        <v>1145</v>
      </c>
      <c r="D3890" s="21" t="s">
        <v>35</v>
      </c>
      <c r="E3890" s="18" t="s">
        <v>685</v>
      </c>
      <c r="F3890" s="18" t="s">
        <v>105</v>
      </c>
      <c r="G3890" s="18" t="s">
        <v>48</v>
      </c>
      <c r="H3890" s="24">
        <v>23790</v>
      </c>
      <c r="I3890" s="24">
        <f>T_reg.root.SK[[#This Row],[Volume, kg]]/1000</f>
        <v>23.79</v>
      </c>
      <c r="J3890" s="25">
        <v>0.21600000000000003</v>
      </c>
      <c r="K3890" s="25">
        <f t="shared" si="60"/>
        <v>5138.6400000000003</v>
      </c>
      <c r="L3890" s="25">
        <v>2.67</v>
      </c>
      <c r="M3890" s="24">
        <v>63406.5</v>
      </c>
      <c r="N3890" s="25">
        <f>IFERROR(T_reg.root.SK[[#This Row],[Price]]/T_reg.root.SK[[#This Row],[Starch content]],"")</f>
        <v>12.361111111111109</v>
      </c>
    </row>
    <row r="3891" spans="1:14">
      <c r="A3891" s="21">
        <v>2024</v>
      </c>
      <c r="B3891" s="21" t="s">
        <v>26</v>
      </c>
      <c r="C3891" s="21" t="s">
        <v>1145</v>
      </c>
      <c r="D3891" s="21" t="s">
        <v>35</v>
      </c>
      <c r="E3891" s="18" t="s">
        <v>560</v>
      </c>
      <c r="F3891" s="18" t="s">
        <v>105</v>
      </c>
      <c r="G3891" s="18" t="s">
        <v>48</v>
      </c>
      <c r="H3891" s="24">
        <v>15230</v>
      </c>
      <c r="I3891" s="24">
        <f>T_reg.root.SK[[#This Row],[Volume, kg]]/1000</f>
        <v>15.23</v>
      </c>
      <c r="J3891" s="25">
        <v>0.2429</v>
      </c>
      <c r="K3891" s="25">
        <f t="shared" si="60"/>
        <v>3699.3670000000002</v>
      </c>
      <c r="L3891" s="25">
        <v>2.9</v>
      </c>
      <c r="M3891" s="24">
        <v>44167</v>
      </c>
      <c r="N3891" s="25">
        <f>IFERROR(T_reg.root.SK[[#This Row],[Price]]/T_reg.root.SK[[#This Row],[Starch content]],"")</f>
        <v>11.939069575957184</v>
      </c>
    </row>
    <row r="3892" spans="1:14">
      <c r="A3892" s="21">
        <v>2024</v>
      </c>
      <c r="B3892" s="21" t="s">
        <v>26</v>
      </c>
      <c r="C3892" s="21" t="s">
        <v>1145</v>
      </c>
      <c r="D3892" s="21" t="s">
        <v>35</v>
      </c>
      <c r="E3892" s="18" t="s">
        <v>115</v>
      </c>
      <c r="F3892" s="18" t="s">
        <v>105</v>
      </c>
      <c r="G3892" s="18" t="s">
        <v>48</v>
      </c>
      <c r="H3892" s="24">
        <v>184310</v>
      </c>
      <c r="I3892" s="24">
        <f>T_reg.root.SK[[#This Row],[Volume, kg]]/1000</f>
        <v>184.31</v>
      </c>
      <c r="J3892" s="25">
        <v>0.25090000000000001</v>
      </c>
      <c r="K3892" s="25">
        <f t="shared" si="60"/>
        <v>46243.379000000001</v>
      </c>
      <c r="L3892" s="25">
        <v>2.78</v>
      </c>
      <c r="M3892" s="24">
        <v>512408</v>
      </c>
      <c r="N3892" s="25">
        <f>IFERROR(T_reg.root.SK[[#This Row],[Price]]/T_reg.root.SK[[#This Row],[Starch content]],"")</f>
        <v>11.080111598246312</v>
      </c>
    </row>
    <row r="3893" spans="1:14">
      <c r="A3893" s="21">
        <v>2024</v>
      </c>
      <c r="B3893" s="21" t="s">
        <v>26</v>
      </c>
      <c r="C3893" s="21" t="s">
        <v>1145</v>
      </c>
      <c r="D3893" s="21" t="s">
        <v>35</v>
      </c>
      <c r="E3893" s="18" t="s">
        <v>116</v>
      </c>
      <c r="F3893" s="18" t="s">
        <v>105</v>
      </c>
      <c r="G3893" s="18" t="s">
        <v>48</v>
      </c>
      <c r="H3893" s="24">
        <v>6120</v>
      </c>
      <c r="I3893" s="24">
        <f>T_reg.root.SK[[#This Row],[Volume, kg]]/1000</f>
        <v>6.12</v>
      </c>
      <c r="J3893" s="25">
        <v>0.24539999999999998</v>
      </c>
      <c r="K3893" s="25">
        <f t="shared" si="60"/>
        <v>1501.848</v>
      </c>
      <c r="L3893" s="25">
        <v>2.79</v>
      </c>
      <c r="M3893" s="24">
        <v>17065</v>
      </c>
      <c r="N3893" s="25">
        <f>IFERROR(T_reg.root.SK[[#This Row],[Price]]/T_reg.root.SK[[#This Row],[Starch content]],"")</f>
        <v>11.369193154034232</v>
      </c>
    </row>
    <row r="3894" spans="1:14">
      <c r="A3894" s="21">
        <v>2024</v>
      </c>
      <c r="B3894" s="21" t="s">
        <v>26</v>
      </c>
      <c r="C3894" s="21" t="s">
        <v>1145</v>
      </c>
      <c r="D3894" s="21" t="s">
        <v>35</v>
      </c>
      <c r="E3894" s="18" t="s">
        <v>296</v>
      </c>
      <c r="F3894" s="18" t="s">
        <v>105</v>
      </c>
      <c r="G3894" s="18" t="s">
        <v>48</v>
      </c>
      <c r="H3894" s="24">
        <v>52930</v>
      </c>
      <c r="I3894" s="24">
        <f>T_reg.root.SK[[#This Row],[Volume, kg]]/1000</f>
        <v>52.93</v>
      </c>
      <c r="J3894" s="25">
        <v>0.2515</v>
      </c>
      <c r="K3894" s="25">
        <f t="shared" si="60"/>
        <v>13311.895</v>
      </c>
      <c r="L3894" s="25">
        <v>2.79</v>
      </c>
      <c r="M3894" s="24">
        <v>147752.5</v>
      </c>
      <c r="N3894" s="25">
        <f>IFERROR(T_reg.root.SK[[#This Row],[Price]]/T_reg.root.SK[[#This Row],[Starch content]],"")</f>
        <v>11.093439363817097</v>
      </c>
    </row>
    <row r="3895" spans="1:14">
      <c r="A3895" s="21">
        <v>2024</v>
      </c>
      <c r="B3895" s="21" t="s">
        <v>26</v>
      </c>
      <c r="C3895" s="21" t="s">
        <v>1145</v>
      </c>
      <c r="D3895" s="21" t="s">
        <v>35</v>
      </c>
      <c r="E3895" s="18" t="s">
        <v>788</v>
      </c>
      <c r="F3895" s="18" t="s">
        <v>105</v>
      </c>
      <c r="G3895" s="18" t="s">
        <v>48</v>
      </c>
      <c r="H3895" s="24">
        <v>8770</v>
      </c>
      <c r="I3895" s="24">
        <f>T_reg.root.SK[[#This Row],[Volume, kg]]/1000</f>
        <v>8.77</v>
      </c>
      <c r="J3895" s="25">
        <v>0.20499999999999999</v>
      </c>
      <c r="K3895" s="25">
        <f t="shared" si="60"/>
        <v>1797.85</v>
      </c>
      <c r="L3895" s="25">
        <v>2.7</v>
      </c>
      <c r="M3895" s="24">
        <v>23679</v>
      </c>
      <c r="N3895" s="25">
        <f>IFERROR(T_reg.root.SK[[#This Row],[Price]]/T_reg.root.SK[[#This Row],[Starch content]],"")</f>
        <v>13.170731707317074</v>
      </c>
    </row>
    <row r="3896" spans="1:14">
      <c r="A3896" s="21">
        <v>2024</v>
      </c>
      <c r="B3896" s="21" t="s">
        <v>26</v>
      </c>
      <c r="C3896" s="21" t="s">
        <v>1145</v>
      </c>
      <c r="D3896" s="21" t="s">
        <v>35</v>
      </c>
      <c r="E3896" s="18" t="s">
        <v>118</v>
      </c>
      <c r="F3896" s="18" t="s">
        <v>105</v>
      </c>
      <c r="G3896" s="18" t="s">
        <v>48</v>
      </c>
      <c r="H3896" s="24">
        <v>327830</v>
      </c>
      <c r="I3896" s="24">
        <f>T_reg.root.SK[[#This Row],[Volume, kg]]/1000</f>
        <v>327.83</v>
      </c>
      <c r="J3896" s="25">
        <v>0.22889999999999999</v>
      </c>
      <c r="K3896" s="25">
        <f t="shared" si="60"/>
        <v>75040.286999999997</v>
      </c>
      <c r="L3896" s="25">
        <v>2.73</v>
      </c>
      <c r="M3896" s="24">
        <v>894354.5</v>
      </c>
      <c r="N3896" s="25">
        <f>IFERROR(T_reg.root.SK[[#This Row],[Price]]/T_reg.root.SK[[#This Row],[Starch content]],"")</f>
        <v>11.926605504587156</v>
      </c>
    </row>
    <row r="3897" spans="1:14">
      <c r="A3897" s="21">
        <v>2024</v>
      </c>
      <c r="B3897" s="21" t="s">
        <v>26</v>
      </c>
      <c r="C3897" s="21" t="s">
        <v>1145</v>
      </c>
      <c r="D3897" s="21" t="s">
        <v>35</v>
      </c>
      <c r="E3897" s="18" t="s">
        <v>119</v>
      </c>
      <c r="F3897" s="18" t="s">
        <v>105</v>
      </c>
      <c r="G3897" s="18" t="s">
        <v>48</v>
      </c>
      <c r="H3897" s="24">
        <v>30710</v>
      </c>
      <c r="I3897" s="24">
        <f>T_reg.root.SK[[#This Row],[Volume, kg]]/1000</f>
        <v>30.71</v>
      </c>
      <c r="J3897" s="25">
        <v>0.26860000000000001</v>
      </c>
      <c r="K3897" s="25">
        <f t="shared" si="60"/>
        <v>8248.7060000000001</v>
      </c>
      <c r="L3897" s="25">
        <v>3</v>
      </c>
      <c r="M3897" s="24">
        <v>92131</v>
      </c>
      <c r="N3897" s="25">
        <f>IFERROR(T_reg.root.SK[[#This Row],[Price]]/T_reg.root.SK[[#This Row],[Starch content]],"")</f>
        <v>11.169024571854058</v>
      </c>
    </row>
    <row r="3898" spans="1:14">
      <c r="A3898" s="21">
        <v>2024</v>
      </c>
      <c r="B3898" s="21" t="s">
        <v>26</v>
      </c>
      <c r="C3898" s="21" t="s">
        <v>1145</v>
      </c>
      <c r="D3898" s="21" t="s">
        <v>35</v>
      </c>
      <c r="E3898" s="18" t="s">
        <v>120</v>
      </c>
      <c r="F3898" s="18" t="s">
        <v>105</v>
      </c>
      <c r="G3898" s="18" t="s">
        <v>48</v>
      </c>
      <c r="H3898" s="24">
        <v>7160</v>
      </c>
      <c r="I3898" s="24">
        <f>T_reg.root.SK[[#This Row],[Volume, kg]]/1000</f>
        <v>7.16</v>
      </c>
      <c r="J3898" s="25">
        <v>0.27250000000000002</v>
      </c>
      <c r="K3898" s="25">
        <f t="shared" si="60"/>
        <v>1951.1000000000001</v>
      </c>
      <c r="L3898" s="25">
        <v>2.9</v>
      </c>
      <c r="M3898" s="24">
        <v>20764</v>
      </c>
      <c r="N3898" s="25">
        <f>IFERROR(T_reg.root.SK[[#This Row],[Price]]/T_reg.root.SK[[#This Row],[Starch content]],"")</f>
        <v>10.642201834862384</v>
      </c>
    </row>
    <row r="3899" spans="1:14">
      <c r="A3899" s="21">
        <v>2024</v>
      </c>
      <c r="B3899" s="21" t="s">
        <v>26</v>
      </c>
      <c r="C3899" s="21" t="s">
        <v>1145</v>
      </c>
      <c r="D3899" s="21" t="s">
        <v>35</v>
      </c>
      <c r="E3899" s="18" t="s">
        <v>121</v>
      </c>
      <c r="F3899" s="18" t="s">
        <v>105</v>
      </c>
      <c r="G3899" s="18" t="s">
        <v>48</v>
      </c>
      <c r="H3899" s="24">
        <v>28310</v>
      </c>
      <c r="I3899" s="24">
        <f>T_reg.root.SK[[#This Row],[Volume, kg]]/1000</f>
        <v>28.31</v>
      </c>
      <c r="J3899" s="25">
        <v>0.25</v>
      </c>
      <c r="K3899" s="25">
        <f t="shared" si="60"/>
        <v>7077.5</v>
      </c>
      <c r="L3899" s="25">
        <v>2.95</v>
      </c>
      <c r="M3899" s="24">
        <v>83540.5</v>
      </c>
      <c r="N3899" s="25">
        <f>IFERROR(T_reg.root.SK[[#This Row],[Price]]/T_reg.root.SK[[#This Row],[Starch content]],"")</f>
        <v>11.8</v>
      </c>
    </row>
    <row r="3900" spans="1:14">
      <c r="A3900" s="21">
        <v>2024</v>
      </c>
      <c r="B3900" s="21" t="s">
        <v>26</v>
      </c>
      <c r="C3900" s="21" t="s">
        <v>1145</v>
      </c>
      <c r="D3900" s="21" t="s">
        <v>35</v>
      </c>
      <c r="E3900" s="18" t="s">
        <v>122</v>
      </c>
      <c r="F3900" s="18" t="s">
        <v>105</v>
      </c>
      <c r="G3900" s="18" t="s">
        <v>48</v>
      </c>
      <c r="H3900" s="24">
        <v>10090</v>
      </c>
      <c r="I3900" s="24">
        <f>T_reg.root.SK[[#This Row],[Volume, kg]]/1000</f>
        <v>10.09</v>
      </c>
      <c r="J3900" s="25">
        <v>0.19149999999999998</v>
      </c>
      <c r="K3900" s="25">
        <f t="shared" si="60"/>
        <v>1932.2349999999997</v>
      </c>
      <c r="L3900" s="25">
        <v>2.4500000000000002</v>
      </c>
      <c r="M3900" s="24">
        <v>24720.5</v>
      </c>
      <c r="N3900" s="25">
        <f>IFERROR(T_reg.root.SK[[#This Row],[Price]]/T_reg.root.SK[[#This Row],[Starch content]],"")</f>
        <v>12.793733681462143</v>
      </c>
    </row>
    <row r="3901" spans="1:14">
      <c r="A3901" s="21">
        <v>2024</v>
      </c>
      <c r="B3901" s="21" t="s">
        <v>26</v>
      </c>
      <c r="C3901" s="21" t="s">
        <v>1145</v>
      </c>
      <c r="D3901" s="21" t="s">
        <v>35</v>
      </c>
      <c r="E3901" s="18" t="s">
        <v>123</v>
      </c>
      <c r="F3901" s="18" t="s">
        <v>105</v>
      </c>
      <c r="G3901" s="18" t="s">
        <v>48</v>
      </c>
      <c r="H3901" s="24">
        <v>26970</v>
      </c>
      <c r="I3901" s="24">
        <f>T_reg.root.SK[[#This Row],[Volume, kg]]/1000</f>
        <v>26.97</v>
      </c>
      <c r="J3901" s="25">
        <v>0.2611</v>
      </c>
      <c r="K3901" s="25">
        <f t="shared" si="60"/>
        <v>7041.8670000000002</v>
      </c>
      <c r="L3901" s="25">
        <v>2.9</v>
      </c>
      <c r="M3901" s="24">
        <v>78118</v>
      </c>
      <c r="N3901" s="25">
        <f>IFERROR(T_reg.root.SK[[#This Row],[Price]]/T_reg.root.SK[[#This Row],[Starch content]],"")</f>
        <v>11.106855610877059</v>
      </c>
    </row>
    <row r="3902" spans="1:14">
      <c r="A3902" s="21">
        <v>2024</v>
      </c>
      <c r="B3902" s="21" t="s">
        <v>26</v>
      </c>
      <c r="C3902" s="21" t="s">
        <v>1145</v>
      </c>
      <c r="D3902" s="21" t="s">
        <v>35</v>
      </c>
      <c r="E3902" s="18" t="s">
        <v>806</v>
      </c>
      <c r="F3902" s="18" t="s">
        <v>105</v>
      </c>
      <c r="G3902" s="18" t="s">
        <v>48</v>
      </c>
      <c r="H3902" s="24">
        <v>59390</v>
      </c>
      <c r="I3902" s="24">
        <f>T_reg.root.SK[[#This Row],[Volume, kg]]/1000</f>
        <v>59.39</v>
      </c>
      <c r="J3902" s="25">
        <v>0.24340000000000001</v>
      </c>
      <c r="K3902" s="25">
        <f t="shared" si="60"/>
        <v>14455.526</v>
      </c>
      <c r="L3902" s="25">
        <v>2.78</v>
      </c>
      <c r="M3902" s="24">
        <v>164839.5</v>
      </c>
      <c r="N3902" s="25">
        <f>IFERROR(T_reg.root.SK[[#This Row],[Price]]/T_reg.root.SK[[#This Row],[Starch content]],"")</f>
        <v>11.421528348397699</v>
      </c>
    </row>
    <row r="3903" spans="1:14">
      <c r="A3903" s="21">
        <v>2024</v>
      </c>
      <c r="B3903" s="21" t="s">
        <v>26</v>
      </c>
      <c r="C3903" s="21" t="s">
        <v>1145</v>
      </c>
      <c r="D3903" s="21" t="s">
        <v>35</v>
      </c>
      <c r="E3903" s="18" t="s">
        <v>826</v>
      </c>
      <c r="F3903" s="18" t="s">
        <v>105</v>
      </c>
      <c r="G3903" s="18" t="s">
        <v>48</v>
      </c>
      <c r="H3903" s="24">
        <v>212700</v>
      </c>
      <c r="I3903" s="24">
        <f>T_reg.root.SK[[#This Row],[Volume, kg]]/1000</f>
        <v>212.7</v>
      </c>
      <c r="J3903" s="25">
        <v>0.26090000000000002</v>
      </c>
      <c r="K3903" s="25">
        <f t="shared" si="60"/>
        <v>55493.430000000008</v>
      </c>
      <c r="L3903" s="25">
        <v>2.84</v>
      </c>
      <c r="M3903" s="24">
        <v>603621</v>
      </c>
      <c r="N3903" s="25">
        <f>IFERROR(T_reg.root.SK[[#This Row],[Price]]/T_reg.root.SK[[#This Row],[Starch content]],"")</f>
        <v>10.885396703717898</v>
      </c>
    </row>
    <row r="3904" spans="1:14">
      <c r="A3904" s="21">
        <v>2024</v>
      </c>
      <c r="B3904" s="21" t="s">
        <v>26</v>
      </c>
      <c r="C3904" s="21" t="s">
        <v>1145</v>
      </c>
      <c r="D3904" s="21" t="s">
        <v>35</v>
      </c>
      <c r="E3904" s="18" t="s">
        <v>355</v>
      </c>
      <c r="F3904" s="18" t="s">
        <v>105</v>
      </c>
      <c r="G3904" s="18" t="s">
        <v>48</v>
      </c>
      <c r="H3904" s="24">
        <v>33990</v>
      </c>
      <c r="I3904" s="24">
        <f>T_reg.root.SK[[#This Row],[Volume, kg]]/1000</f>
        <v>33.99</v>
      </c>
      <c r="J3904" s="25">
        <v>0.2311</v>
      </c>
      <c r="K3904" s="25">
        <f t="shared" si="60"/>
        <v>7855.0889999999999</v>
      </c>
      <c r="L3904" s="25">
        <v>2.71</v>
      </c>
      <c r="M3904" s="24">
        <v>92028.5</v>
      </c>
      <c r="N3904" s="25">
        <f>IFERROR(T_reg.root.SK[[#This Row],[Price]]/T_reg.root.SK[[#This Row],[Starch content]],"")</f>
        <v>11.726525313717005</v>
      </c>
    </row>
    <row r="3905" spans="1:14">
      <c r="A3905" s="21">
        <v>2024</v>
      </c>
      <c r="B3905" s="21" t="s">
        <v>26</v>
      </c>
      <c r="C3905" s="21" t="s">
        <v>1145</v>
      </c>
      <c r="D3905" s="21" t="s">
        <v>35</v>
      </c>
      <c r="E3905" s="18" t="s">
        <v>239</v>
      </c>
      <c r="F3905" s="18" t="s">
        <v>105</v>
      </c>
      <c r="G3905" s="18" t="s">
        <v>48</v>
      </c>
      <c r="H3905" s="24">
        <v>10190</v>
      </c>
      <c r="I3905" s="24">
        <f>T_reg.root.SK[[#This Row],[Volume, kg]]/1000</f>
        <v>10.19</v>
      </c>
      <c r="J3905" s="25">
        <v>0.27979999999999999</v>
      </c>
      <c r="K3905" s="25">
        <f t="shared" si="60"/>
        <v>2851.1619999999998</v>
      </c>
      <c r="L3905" s="25">
        <v>2.94</v>
      </c>
      <c r="M3905" s="24">
        <v>29918</v>
      </c>
      <c r="N3905" s="25">
        <f>IFERROR(T_reg.root.SK[[#This Row],[Price]]/T_reg.root.SK[[#This Row],[Starch content]],"")</f>
        <v>10.507505360972123</v>
      </c>
    </row>
    <row r="3906" spans="1:14">
      <c r="A3906" s="21">
        <v>2024</v>
      </c>
      <c r="B3906" s="21" t="s">
        <v>26</v>
      </c>
      <c r="C3906" s="21" t="s">
        <v>1145</v>
      </c>
      <c r="D3906" s="21" t="s">
        <v>35</v>
      </c>
      <c r="E3906" s="18" t="s">
        <v>124</v>
      </c>
      <c r="F3906" s="18" t="s">
        <v>105</v>
      </c>
      <c r="G3906" s="18" t="s">
        <v>48</v>
      </c>
      <c r="H3906" s="24">
        <v>245760</v>
      </c>
      <c r="I3906" s="24">
        <f>T_reg.root.SK[[#This Row],[Volume, kg]]/1000</f>
        <v>245.76</v>
      </c>
      <c r="J3906" s="25">
        <v>0.22969999999999999</v>
      </c>
      <c r="K3906" s="25">
        <f t="shared" si="60"/>
        <v>56451.072</v>
      </c>
      <c r="L3906" s="25">
        <v>2.7</v>
      </c>
      <c r="M3906" s="24">
        <v>663697</v>
      </c>
      <c r="N3906" s="25">
        <f>IFERROR(T_reg.root.SK[[#This Row],[Price]]/T_reg.root.SK[[#This Row],[Starch content]],"")</f>
        <v>11.754462342185461</v>
      </c>
    </row>
    <row r="3907" spans="1:14">
      <c r="A3907" s="21">
        <v>2024</v>
      </c>
      <c r="B3907" s="21" t="s">
        <v>26</v>
      </c>
      <c r="C3907" s="21" t="s">
        <v>1145</v>
      </c>
      <c r="D3907" s="21" t="s">
        <v>35</v>
      </c>
      <c r="E3907" s="18" t="s">
        <v>404</v>
      </c>
      <c r="F3907" s="18" t="s">
        <v>105</v>
      </c>
      <c r="G3907" s="18" t="s">
        <v>48</v>
      </c>
      <c r="H3907" s="24">
        <v>23250</v>
      </c>
      <c r="I3907" s="24">
        <f>T_reg.root.SK[[#This Row],[Volume, kg]]/1000</f>
        <v>23.25</v>
      </c>
      <c r="J3907" s="25">
        <v>0.24850000000000003</v>
      </c>
      <c r="K3907" s="25">
        <f t="shared" ref="K3907:K3970" si="61">H3907*J3907</f>
        <v>5777.6250000000009</v>
      </c>
      <c r="L3907" s="25">
        <v>2.79</v>
      </c>
      <c r="M3907" s="24">
        <v>64982.5</v>
      </c>
      <c r="N3907" s="25">
        <f>IFERROR(T_reg.root.SK[[#This Row],[Price]]/T_reg.root.SK[[#This Row],[Starch content]],"")</f>
        <v>11.227364185110662</v>
      </c>
    </row>
    <row r="3908" spans="1:14">
      <c r="A3908" s="21">
        <v>2024</v>
      </c>
      <c r="B3908" s="21" t="s">
        <v>26</v>
      </c>
      <c r="C3908" s="21" t="s">
        <v>1145</v>
      </c>
      <c r="D3908" s="21" t="s">
        <v>35</v>
      </c>
      <c r="E3908" s="18" t="s">
        <v>634</v>
      </c>
      <c r="F3908" s="18" t="s">
        <v>105</v>
      </c>
      <c r="G3908" s="18" t="s">
        <v>48</v>
      </c>
      <c r="H3908" s="24">
        <v>31870</v>
      </c>
      <c r="I3908" s="24">
        <f>T_reg.root.SK[[#This Row],[Volume, kg]]/1000</f>
        <v>31.87</v>
      </c>
      <c r="J3908" s="25">
        <v>0.23499999999999999</v>
      </c>
      <c r="K3908" s="25">
        <f t="shared" si="61"/>
        <v>7489.45</v>
      </c>
      <c r="L3908" s="25">
        <v>2.72</v>
      </c>
      <c r="M3908" s="24">
        <v>86584</v>
      </c>
      <c r="N3908" s="25">
        <f>IFERROR(T_reg.root.SK[[#This Row],[Price]]/T_reg.root.SK[[#This Row],[Starch content]],"")</f>
        <v>11.574468085106384</v>
      </c>
    </row>
    <row r="3909" spans="1:14">
      <c r="A3909" s="21">
        <v>2024</v>
      </c>
      <c r="B3909" s="21" t="s">
        <v>26</v>
      </c>
      <c r="C3909" s="21" t="s">
        <v>1145</v>
      </c>
      <c r="D3909" s="21" t="s">
        <v>35</v>
      </c>
      <c r="E3909" s="18" t="s">
        <v>616</v>
      </c>
      <c r="F3909" s="18" t="s">
        <v>105</v>
      </c>
      <c r="G3909" s="18" t="s">
        <v>48</v>
      </c>
      <c r="H3909" s="24">
        <v>60200</v>
      </c>
      <c r="I3909" s="24">
        <f>T_reg.root.SK[[#This Row],[Volume, kg]]/1000</f>
        <v>60.2</v>
      </c>
      <c r="J3909" s="25">
        <v>0.24539999999999998</v>
      </c>
      <c r="K3909" s="25">
        <f t="shared" si="61"/>
        <v>14773.079999999998</v>
      </c>
      <c r="L3909" s="25">
        <v>2.82</v>
      </c>
      <c r="M3909" s="24">
        <v>170014</v>
      </c>
      <c r="N3909" s="25">
        <f>IFERROR(T_reg.root.SK[[#This Row],[Price]]/T_reg.root.SK[[#This Row],[Starch content]],"")</f>
        <v>11.491442542787286</v>
      </c>
    </row>
    <row r="3910" spans="1:14">
      <c r="A3910" s="21">
        <v>2024</v>
      </c>
      <c r="B3910" s="21" t="s">
        <v>26</v>
      </c>
      <c r="C3910" s="21" t="s">
        <v>1145</v>
      </c>
      <c r="D3910" s="21" t="s">
        <v>35</v>
      </c>
      <c r="E3910" s="18" t="s">
        <v>563</v>
      </c>
      <c r="F3910" s="18" t="s">
        <v>105</v>
      </c>
      <c r="G3910" s="18" t="s">
        <v>48</v>
      </c>
      <c r="H3910" s="24">
        <v>22980</v>
      </c>
      <c r="I3910" s="24">
        <f>T_reg.root.SK[[#This Row],[Volume, kg]]/1000</f>
        <v>22.98</v>
      </c>
      <c r="J3910" s="25">
        <v>0.26640000000000003</v>
      </c>
      <c r="K3910" s="25">
        <f t="shared" si="61"/>
        <v>6121.8720000000003</v>
      </c>
      <c r="L3910" s="25">
        <v>3.03</v>
      </c>
      <c r="M3910" s="24">
        <v>69697</v>
      </c>
      <c r="N3910" s="25">
        <f>IFERROR(T_reg.root.SK[[#This Row],[Price]]/T_reg.root.SK[[#This Row],[Starch content]],"")</f>
        <v>11.373873873873872</v>
      </c>
    </row>
    <row r="3911" spans="1:14">
      <c r="A3911" s="21">
        <v>2024</v>
      </c>
      <c r="B3911" s="21" t="s">
        <v>26</v>
      </c>
      <c r="C3911" s="21" t="s">
        <v>1145</v>
      </c>
      <c r="D3911" s="21" t="s">
        <v>35</v>
      </c>
      <c r="E3911" s="18" t="s">
        <v>125</v>
      </c>
      <c r="F3911" s="18" t="s">
        <v>105</v>
      </c>
      <c r="G3911" s="18" t="s">
        <v>48</v>
      </c>
      <c r="H3911" s="24">
        <v>73160</v>
      </c>
      <c r="I3911" s="24">
        <f>T_reg.root.SK[[#This Row],[Volume, kg]]/1000</f>
        <v>73.16</v>
      </c>
      <c r="J3911" s="25">
        <v>0.22359999999999999</v>
      </c>
      <c r="K3911" s="25">
        <f t="shared" si="61"/>
        <v>16358.575999999999</v>
      </c>
      <c r="L3911" s="25">
        <v>2.73</v>
      </c>
      <c r="M3911" s="24">
        <v>199816</v>
      </c>
      <c r="N3911" s="25">
        <f>IFERROR(T_reg.root.SK[[#This Row],[Price]]/T_reg.root.SK[[#This Row],[Starch content]],"")</f>
        <v>12.209302325581396</v>
      </c>
    </row>
    <row r="3912" spans="1:14">
      <c r="A3912" s="21">
        <v>2024</v>
      </c>
      <c r="B3912" s="21" t="s">
        <v>26</v>
      </c>
      <c r="C3912" s="21" t="s">
        <v>1145</v>
      </c>
      <c r="D3912" s="21" t="s">
        <v>35</v>
      </c>
      <c r="E3912" s="18" t="s">
        <v>240</v>
      </c>
      <c r="F3912" s="18" t="s">
        <v>105</v>
      </c>
      <c r="G3912" s="18" t="s">
        <v>48</v>
      </c>
      <c r="H3912" s="24">
        <v>7180</v>
      </c>
      <c r="I3912" s="24">
        <f>T_reg.root.SK[[#This Row],[Volume, kg]]/1000</f>
        <v>7.18</v>
      </c>
      <c r="J3912" s="25">
        <v>0.24299999999999999</v>
      </c>
      <c r="K3912" s="25">
        <f t="shared" si="61"/>
        <v>1744.74</v>
      </c>
      <c r="L3912" s="25">
        <v>2.92</v>
      </c>
      <c r="M3912" s="24">
        <v>20984</v>
      </c>
      <c r="N3912" s="25">
        <f>IFERROR(T_reg.root.SK[[#This Row],[Price]]/T_reg.root.SK[[#This Row],[Starch content]],"")</f>
        <v>12.016460905349794</v>
      </c>
    </row>
    <row r="3913" spans="1:14">
      <c r="A3913" s="21">
        <v>2024</v>
      </c>
      <c r="B3913" s="21" t="s">
        <v>26</v>
      </c>
      <c r="C3913" s="21" t="s">
        <v>1145</v>
      </c>
      <c r="D3913" s="21" t="s">
        <v>35</v>
      </c>
      <c r="E3913" s="18" t="s">
        <v>635</v>
      </c>
      <c r="F3913" s="18" t="s">
        <v>105</v>
      </c>
      <c r="G3913" s="18" t="s">
        <v>48</v>
      </c>
      <c r="H3913" s="24">
        <v>61980</v>
      </c>
      <c r="I3913" s="24">
        <f>T_reg.root.SK[[#This Row],[Volume, kg]]/1000</f>
        <v>61.98</v>
      </c>
      <c r="J3913" s="25">
        <v>0.26679999999999998</v>
      </c>
      <c r="K3913" s="25">
        <f t="shared" si="61"/>
        <v>16536.263999999999</v>
      </c>
      <c r="L3913" s="25">
        <v>2.96</v>
      </c>
      <c r="M3913" s="24">
        <v>183621</v>
      </c>
      <c r="N3913" s="25">
        <f>IFERROR(T_reg.root.SK[[#This Row],[Price]]/T_reg.root.SK[[#This Row],[Starch content]],"")</f>
        <v>11.094452773613193</v>
      </c>
    </row>
    <row r="3914" spans="1:14">
      <c r="A3914" s="21">
        <v>2024</v>
      </c>
      <c r="B3914" s="21" t="s">
        <v>26</v>
      </c>
      <c r="C3914" s="21" t="s">
        <v>1145</v>
      </c>
      <c r="D3914" s="21" t="s">
        <v>35</v>
      </c>
      <c r="E3914" s="18" t="s">
        <v>356</v>
      </c>
      <c r="F3914" s="18" t="s">
        <v>105</v>
      </c>
      <c r="G3914" s="18" t="s">
        <v>48</v>
      </c>
      <c r="H3914" s="24">
        <v>19440</v>
      </c>
      <c r="I3914" s="24">
        <f>T_reg.root.SK[[#This Row],[Volume, kg]]/1000</f>
        <v>19.440000000000001</v>
      </c>
      <c r="J3914" s="25">
        <v>0.18840000000000001</v>
      </c>
      <c r="K3914" s="25">
        <f t="shared" si="61"/>
        <v>3662.4960000000001</v>
      </c>
      <c r="L3914" s="25">
        <v>2.4900000000000002</v>
      </c>
      <c r="M3914" s="24">
        <v>48413</v>
      </c>
      <c r="N3914" s="25">
        <f>IFERROR(T_reg.root.SK[[#This Row],[Price]]/T_reg.root.SK[[#This Row],[Starch content]],"")</f>
        <v>13.216560509554141</v>
      </c>
    </row>
    <row r="3915" spans="1:14">
      <c r="A3915" s="21">
        <v>2024</v>
      </c>
      <c r="B3915" s="21" t="s">
        <v>26</v>
      </c>
      <c r="C3915" s="21" t="s">
        <v>1145</v>
      </c>
      <c r="D3915" s="21" t="s">
        <v>35</v>
      </c>
      <c r="E3915" s="18" t="s">
        <v>129</v>
      </c>
      <c r="F3915" s="18" t="s">
        <v>105</v>
      </c>
      <c r="G3915" s="18" t="s">
        <v>48</v>
      </c>
      <c r="H3915" s="24">
        <v>15380</v>
      </c>
      <c r="I3915" s="24">
        <f>T_reg.root.SK[[#This Row],[Volume, kg]]/1000</f>
        <v>15.38</v>
      </c>
      <c r="J3915" s="25">
        <v>0.26899999999999996</v>
      </c>
      <c r="K3915" s="25">
        <f t="shared" si="61"/>
        <v>4137.2199999999993</v>
      </c>
      <c r="L3915" s="25">
        <v>2.9</v>
      </c>
      <c r="M3915" s="24">
        <v>44602</v>
      </c>
      <c r="N3915" s="25">
        <f>IFERROR(T_reg.root.SK[[#This Row],[Price]]/T_reg.root.SK[[#This Row],[Starch content]],"")</f>
        <v>10.780669144981413</v>
      </c>
    </row>
    <row r="3916" spans="1:14">
      <c r="A3916" s="21">
        <v>2024</v>
      </c>
      <c r="B3916" s="21" t="s">
        <v>26</v>
      </c>
      <c r="C3916" s="21" t="s">
        <v>1145</v>
      </c>
      <c r="D3916" s="21" t="s">
        <v>35</v>
      </c>
      <c r="E3916" s="18" t="s">
        <v>827</v>
      </c>
      <c r="F3916" s="18" t="s">
        <v>105</v>
      </c>
      <c r="G3916" s="18" t="s">
        <v>48</v>
      </c>
      <c r="H3916" s="24">
        <v>40880</v>
      </c>
      <c r="I3916" s="24">
        <f>T_reg.root.SK[[#This Row],[Volume, kg]]/1000</f>
        <v>40.880000000000003</v>
      </c>
      <c r="J3916" s="25">
        <v>0.27879999999999999</v>
      </c>
      <c r="K3916" s="25">
        <f t="shared" si="61"/>
        <v>11397.343999999999</v>
      </c>
      <c r="L3916" s="25">
        <v>2.9</v>
      </c>
      <c r="M3916" s="24">
        <v>118522</v>
      </c>
      <c r="N3916" s="25">
        <f>IFERROR(T_reg.root.SK[[#This Row],[Price]]/T_reg.root.SK[[#This Row],[Starch content]],"")</f>
        <v>10.401721664275467</v>
      </c>
    </row>
    <row r="3917" spans="1:14">
      <c r="A3917" s="21">
        <v>2024</v>
      </c>
      <c r="B3917" s="21" t="s">
        <v>26</v>
      </c>
      <c r="C3917" s="21" t="s">
        <v>1145</v>
      </c>
      <c r="D3917" s="21" t="s">
        <v>35</v>
      </c>
      <c r="E3917" s="18" t="s">
        <v>807</v>
      </c>
      <c r="F3917" s="18" t="s">
        <v>105</v>
      </c>
      <c r="G3917" s="18" t="s">
        <v>48</v>
      </c>
      <c r="H3917" s="24">
        <v>57700</v>
      </c>
      <c r="I3917" s="24">
        <f>T_reg.root.SK[[#This Row],[Volume, kg]]/1000</f>
        <v>57.7</v>
      </c>
      <c r="J3917" s="25">
        <v>0.2404</v>
      </c>
      <c r="K3917" s="25">
        <f t="shared" si="61"/>
        <v>13871.08</v>
      </c>
      <c r="L3917" s="25">
        <v>2.82</v>
      </c>
      <c r="M3917" s="24">
        <v>162904.5</v>
      </c>
      <c r="N3917" s="25">
        <f>IFERROR(T_reg.root.SK[[#This Row],[Price]]/T_reg.root.SK[[#This Row],[Starch content]],"")</f>
        <v>11.730449251247919</v>
      </c>
    </row>
    <row r="3918" spans="1:14">
      <c r="A3918" s="21">
        <v>2024</v>
      </c>
      <c r="B3918" s="21" t="s">
        <v>26</v>
      </c>
      <c r="C3918" s="21" t="s">
        <v>1145</v>
      </c>
      <c r="D3918" s="21" t="s">
        <v>35</v>
      </c>
      <c r="E3918" s="18" t="s">
        <v>133</v>
      </c>
      <c r="F3918" s="18" t="s">
        <v>105</v>
      </c>
      <c r="G3918" s="18" t="s">
        <v>48</v>
      </c>
      <c r="H3918" s="24">
        <v>34270</v>
      </c>
      <c r="I3918" s="24">
        <f>T_reg.root.SK[[#This Row],[Volume, kg]]/1000</f>
        <v>34.270000000000003</v>
      </c>
      <c r="J3918" s="25">
        <v>0.2361</v>
      </c>
      <c r="K3918" s="25">
        <f t="shared" si="61"/>
        <v>8091.1469999999999</v>
      </c>
      <c r="L3918" s="25">
        <v>2.75</v>
      </c>
      <c r="M3918" s="24">
        <v>94207.5</v>
      </c>
      <c r="N3918" s="25">
        <f>IFERROR(T_reg.root.SK[[#This Row],[Price]]/T_reg.root.SK[[#This Row],[Starch content]],"")</f>
        <v>11.647606946209233</v>
      </c>
    </row>
    <row r="3919" spans="1:14">
      <c r="A3919" s="21">
        <v>2024</v>
      </c>
      <c r="B3919" s="21" t="s">
        <v>26</v>
      </c>
      <c r="C3919" s="21" t="s">
        <v>1145</v>
      </c>
      <c r="D3919" s="21" t="s">
        <v>35</v>
      </c>
      <c r="E3919" s="18" t="s">
        <v>301</v>
      </c>
      <c r="F3919" s="18" t="s">
        <v>105</v>
      </c>
      <c r="G3919" s="18" t="s">
        <v>48</v>
      </c>
      <c r="H3919" s="24">
        <v>41730</v>
      </c>
      <c r="I3919" s="24">
        <f>T_reg.root.SK[[#This Row],[Volume, kg]]/1000</f>
        <v>41.73</v>
      </c>
      <c r="J3919" s="25">
        <v>0.2717</v>
      </c>
      <c r="K3919" s="25">
        <f t="shared" si="61"/>
        <v>11338.040999999999</v>
      </c>
      <c r="L3919" s="25">
        <v>2.97</v>
      </c>
      <c r="M3919" s="24">
        <v>123807.5</v>
      </c>
      <c r="N3919" s="25">
        <f>IFERROR(T_reg.root.SK[[#This Row],[Price]]/T_reg.root.SK[[#This Row],[Starch content]],"")</f>
        <v>10.931174089068827</v>
      </c>
    </row>
    <row r="3920" spans="1:14">
      <c r="A3920" s="21">
        <v>2024</v>
      </c>
      <c r="B3920" s="21" t="s">
        <v>26</v>
      </c>
      <c r="C3920" s="21" t="s">
        <v>1145</v>
      </c>
      <c r="D3920" s="21" t="s">
        <v>35</v>
      </c>
      <c r="E3920" s="18" t="s">
        <v>134</v>
      </c>
      <c r="F3920" s="18" t="s">
        <v>105</v>
      </c>
      <c r="G3920" s="18" t="s">
        <v>48</v>
      </c>
      <c r="H3920" s="24">
        <v>38890</v>
      </c>
      <c r="I3920" s="24">
        <f>T_reg.root.SK[[#This Row],[Volume, kg]]/1000</f>
        <v>38.89</v>
      </c>
      <c r="J3920" s="25">
        <v>0.22789999999999999</v>
      </c>
      <c r="K3920" s="25">
        <f t="shared" si="61"/>
        <v>8863.030999999999</v>
      </c>
      <c r="L3920" s="25">
        <v>2.79</v>
      </c>
      <c r="M3920" s="24">
        <v>108365</v>
      </c>
      <c r="N3920" s="25">
        <f>IFERROR(T_reg.root.SK[[#This Row],[Price]]/T_reg.root.SK[[#This Row],[Starch content]],"")</f>
        <v>12.242211496270295</v>
      </c>
    </row>
    <row r="3921" spans="1:14">
      <c r="A3921" s="21">
        <v>2024</v>
      </c>
      <c r="B3921" s="21" t="s">
        <v>26</v>
      </c>
      <c r="C3921" s="21" t="s">
        <v>1145</v>
      </c>
      <c r="D3921" s="21" t="s">
        <v>35</v>
      </c>
      <c r="E3921" s="18" t="s">
        <v>686</v>
      </c>
      <c r="F3921" s="18" t="s">
        <v>105</v>
      </c>
      <c r="G3921" s="18" t="s">
        <v>48</v>
      </c>
      <c r="H3921" s="24">
        <v>4350</v>
      </c>
      <c r="I3921" s="24">
        <f>T_reg.root.SK[[#This Row],[Volume, kg]]/1000</f>
        <v>4.3499999999999996</v>
      </c>
      <c r="J3921" s="25">
        <v>0.1845</v>
      </c>
      <c r="K3921" s="25">
        <f t="shared" si="61"/>
        <v>802.57499999999993</v>
      </c>
      <c r="L3921" s="25">
        <v>2.6</v>
      </c>
      <c r="M3921" s="24">
        <v>11310</v>
      </c>
      <c r="N3921" s="25">
        <f>IFERROR(T_reg.root.SK[[#This Row],[Price]]/T_reg.root.SK[[#This Row],[Starch content]],"")</f>
        <v>14.092140921409214</v>
      </c>
    </row>
    <row r="3922" spans="1:14">
      <c r="A3922" s="21">
        <v>2024</v>
      </c>
      <c r="B3922" s="21" t="s">
        <v>26</v>
      </c>
      <c r="C3922" s="21" t="s">
        <v>1145</v>
      </c>
      <c r="D3922" s="21" t="s">
        <v>35</v>
      </c>
      <c r="E3922" s="18" t="s">
        <v>636</v>
      </c>
      <c r="F3922" s="18" t="s">
        <v>105</v>
      </c>
      <c r="G3922" s="18" t="s">
        <v>48</v>
      </c>
      <c r="H3922" s="24">
        <v>28250</v>
      </c>
      <c r="I3922" s="24">
        <f>T_reg.root.SK[[#This Row],[Volume, kg]]/1000</f>
        <v>28.25</v>
      </c>
      <c r="J3922" s="25">
        <v>0.22089999999999999</v>
      </c>
      <c r="K3922" s="25">
        <f t="shared" si="61"/>
        <v>6240.4249999999993</v>
      </c>
      <c r="L3922" s="25">
        <v>2.74</v>
      </c>
      <c r="M3922" s="24">
        <v>77363</v>
      </c>
      <c r="N3922" s="25">
        <f>IFERROR(T_reg.root.SK[[#This Row],[Price]]/T_reg.root.SK[[#This Row],[Starch content]],"")</f>
        <v>12.403802625622456</v>
      </c>
    </row>
    <row r="3923" spans="1:14">
      <c r="A3923" s="21">
        <v>2024</v>
      </c>
      <c r="B3923" s="21" t="s">
        <v>26</v>
      </c>
      <c r="C3923" s="21" t="s">
        <v>1145</v>
      </c>
      <c r="D3923" s="21" t="s">
        <v>35</v>
      </c>
      <c r="E3923" s="18" t="s">
        <v>809</v>
      </c>
      <c r="F3923" s="18" t="s">
        <v>105</v>
      </c>
      <c r="G3923" s="18" t="s">
        <v>48</v>
      </c>
      <c r="H3923" s="24">
        <v>30460</v>
      </c>
      <c r="I3923" s="24">
        <f>T_reg.root.SK[[#This Row],[Volume, kg]]/1000</f>
        <v>30.46</v>
      </c>
      <c r="J3923" s="25">
        <v>0.2606</v>
      </c>
      <c r="K3923" s="25">
        <f t="shared" si="61"/>
        <v>7937.8760000000002</v>
      </c>
      <c r="L3923" s="25">
        <v>2.86</v>
      </c>
      <c r="M3923" s="24">
        <v>87019</v>
      </c>
      <c r="N3923" s="25">
        <f>IFERROR(T_reg.root.SK[[#This Row],[Price]]/T_reg.root.SK[[#This Row],[Starch content]],"")</f>
        <v>10.974673829623944</v>
      </c>
    </row>
    <row r="3924" spans="1:14">
      <c r="A3924" s="21">
        <v>2024</v>
      </c>
      <c r="B3924" s="21" t="s">
        <v>26</v>
      </c>
      <c r="C3924" s="21" t="s">
        <v>1145</v>
      </c>
      <c r="D3924" s="21" t="s">
        <v>35</v>
      </c>
      <c r="E3924" s="18" t="s">
        <v>493</v>
      </c>
      <c r="F3924" s="18" t="s">
        <v>105</v>
      </c>
      <c r="G3924" s="18" t="s">
        <v>48</v>
      </c>
      <c r="H3924" s="24">
        <v>30060</v>
      </c>
      <c r="I3924" s="24">
        <f>T_reg.root.SK[[#This Row],[Volume, kg]]/1000</f>
        <v>30.06</v>
      </c>
      <c r="J3924" s="25">
        <v>0.24559999999999998</v>
      </c>
      <c r="K3924" s="25">
        <f t="shared" si="61"/>
        <v>7382.7359999999999</v>
      </c>
      <c r="L3924" s="25">
        <v>2.75</v>
      </c>
      <c r="M3924" s="24">
        <v>82666</v>
      </c>
      <c r="N3924" s="25">
        <f>IFERROR(T_reg.root.SK[[#This Row],[Price]]/T_reg.root.SK[[#This Row],[Starch content]],"")</f>
        <v>11.197068403908796</v>
      </c>
    </row>
    <row r="3925" spans="1:14">
      <c r="A3925" s="21">
        <v>2024</v>
      </c>
      <c r="B3925" s="21" t="s">
        <v>26</v>
      </c>
      <c r="C3925" s="21" t="s">
        <v>1145</v>
      </c>
      <c r="D3925" s="21" t="s">
        <v>35</v>
      </c>
      <c r="E3925" s="18" t="s">
        <v>494</v>
      </c>
      <c r="F3925" s="18" t="s">
        <v>105</v>
      </c>
      <c r="G3925" s="18" t="s">
        <v>48</v>
      </c>
      <c r="H3925" s="24">
        <v>81620</v>
      </c>
      <c r="I3925" s="24">
        <f>T_reg.root.SK[[#This Row],[Volume, kg]]/1000</f>
        <v>81.62</v>
      </c>
      <c r="J3925" s="25">
        <v>0.21230000000000002</v>
      </c>
      <c r="K3925" s="25">
        <f t="shared" si="61"/>
        <v>17327.926000000003</v>
      </c>
      <c r="L3925" s="25">
        <v>2.77</v>
      </c>
      <c r="M3925" s="24">
        <v>225735</v>
      </c>
      <c r="N3925" s="25">
        <f>IFERROR(T_reg.root.SK[[#This Row],[Price]]/T_reg.root.SK[[#This Row],[Starch content]],"")</f>
        <v>13.047574187470559</v>
      </c>
    </row>
    <row r="3926" spans="1:14">
      <c r="A3926" s="21">
        <v>2024</v>
      </c>
      <c r="B3926" s="21" t="s">
        <v>26</v>
      </c>
      <c r="C3926" s="21" t="s">
        <v>1145</v>
      </c>
      <c r="D3926" s="21" t="s">
        <v>35</v>
      </c>
      <c r="E3926" s="18" t="s">
        <v>138</v>
      </c>
      <c r="F3926" s="18" t="s">
        <v>105</v>
      </c>
      <c r="G3926" s="18" t="s">
        <v>48</v>
      </c>
      <c r="H3926" s="24">
        <v>49100</v>
      </c>
      <c r="I3926" s="24">
        <f>T_reg.root.SK[[#This Row],[Volume, kg]]/1000</f>
        <v>49.1</v>
      </c>
      <c r="J3926" s="25">
        <v>0.25340000000000001</v>
      </c>
      <c r="K3926" s="25">
        <f t="shared" si="61"/>
        <v>12441.94</v>
      </c>
      <c r="L3926" s="25">
        <v>2.81</v>
      </c>
      <c r="M3926" s="24">
        <v>137896</v>
      </c>
      <c r="N3926" s="25">
        <f>IFERROR(T_reg.root.SK[[#This Row],[Price]]/T_reg.root.SK[[#This Row],[Starch content]],"")</f>
        <v>11.089187056037884</v>
      </c>
    </row>
    <row r="3927" spans="1:14">
      <c r="A3927" s="21">
        <v>2024</v>
      </c>
      <c r="B3927" s="21" t="s">
        <v>26</v>
      </c>
      <c r="C3927" s="21" t="s">
        <v>1145</v>
      </c>
      <c r="D3927" s="21" t="s">
        <v>35</v>
      </c>
      <c r="E3927" s="18" t="s">
        <v>718</v>
      </c>
      <c r="F3927" s="18" t="s">
        <v>105</v>
      </c>
      <c r="G3927" s="18" t="s">
        <v>48</v>
      </c>
      <c r="H3927" s="24">
        <v>6130</v>
      </c>
      <c r="I3927" s="24">
        <f>T_reg.root.SK[[#This Row],[Volume, kg]]/1000</f>
        <v>6.13</v>
      </c>
      <c r="J3927" s="25">
        <v>0.28550000000000003</v>
      </c>
      <c r="K3927" s="25">
        <f t="shared" si="61"/>
        <v>1750.1150000000002</v>
      </c>
      <c r="L3927" s="25">
        <v>3</v>
      </c>
      <c r="M3927" s="24">
        <v>18390</v>
      </c>
      <c r="N3927" s="25">
        <f>IFERROR(T_reg.root.SK[[#This Row],[Price]]/T_reg.root.SK[[#This Row],[Starch content]],"")</f>
        <v>10.507880910683012</v>
      </c>
    </row>
    <row r="3928" spans="1:14">
      <c r="A3928" s="21">
        <v>2024</v>
      </c>
      <c r="B3928" s="21" t="s">
        <v>26</v>
      </c>
      <c r="C3928" s="21" t="s">
        <v>1145</v>
      </c>
      <c r="D3928" s="21" t="s">
        <v>35</v>
      </c>
      <c r="E3928" s="18" t="s">
        <v>304</v>
      </c>
      <c r="F3928" s="18" t="s">
        <v>105</v>
      </c>
      <c r="G3928" s="18" t="s">
        <v>48</v>
      </c>
      <c r="H3928" s="24">
        <v>15630</v>
      </c>
      <c r="I3928" s="24">
        <f>T_reg.root.SK[[#This Row],[Volume, kg]]/1000</f>
        <v>15.63</v>
      </c>
      <c r="J3928" s="25">
        <v>0.18010000000000001</v>
      </c>
      <c r="K3928" s="25">
        <f t="shared" si="61"/>
        <v>2814.9630000000002</v>
      </c>
      <c r="L3928" s="25">
        <v>2.57</v>
      </c>
      <c r="M3928" s="24">
        <v>40215.5</v>
      </c>
      <c r="N3928" s="25">
        <f>IFERROR(T_reg.root.SK[[#This Row],[Price]]/T_reg.root.SK[[#This Row],[Starch content]],"")</f>
        <v>14.269850083287061</v>
      </c>
    </row>
    <row r="3929" spans="1:14">
      <c r="A3929" s="21">
        <v>2024</v>
      </c>
      <c r="B3929" s="21" t="s">
        <v>26</v>
      </c>
      <c r="C3929" s="21" t="s">
        <v>1145</v>
      </c>
      <c r="D3929" s="21" t="s">
        <v>35</v>
      </c>
      <c r="E3929" s="18" t="s">
        <v>359</v>
      </c>
      <c r="F3929" s="18" t="s">
        <v>105</v>
      </c>
      <c r="G3929" s="18" t="s">
        <v>48</v>
      </c>
      <c r="H3929" s="24">
        <v>1910</v>
      </c>
      <c r="I3929" s="24">
        <f>T_reg.root.SK[[#This Row],[Volume, kg]]/1000</f>
        <v>1.91</v>
      </c>
      <c r="J3929" s="25">
        <v>0.25950000000000001</v>
      </c>
      <c r="K3929" s="25">
        <f t="shared" si="61"/>
        <v>495.64500000000004</v>
      </c>
      <c r="L3929" s="25">
        <v>2.9</v>
      </c>
      <c r="M3929" s="24">
        <v>5539</v>
      </c>
      <c r="N3929" s="25">
        <f>IFERROR(T_reg.root.SK[[#This Row],[Price]]/T_reg.root.SK[[#This Row],[Starch content]],"")</f>
        <v>11.175337186897879</v>
      </c>
    </row>
    <row r="3930" spans="1:14">
      <c r="A3930" s="21">
        <v>2024</v>
      </c>
      <c r="B3930" s="21" t="s">
        <v>26</v>
      </c>
      <c r="C3930" s="21" t="s">
        <v>1145</v>
      </c>
      <c r="D3930" s="21" t="s">
        <v>35</v>
      </c>
      <c r="E3930" s="18" t="s">
        <v>719</v>
      </c>
      <c r="F3930" s="18" t="s">
        <v>105</v>
      </c>
      <c r="G3930" s="18" t="s">
        <v>48</v>
      </c>
      <c r="H3930" s="24">
        <v>20040</v>
      </c>
      <c r="I3930" s="24">
        <f>T_reg.root.SK[[#This Row],[Volume, kg]]/1000</f>
        <v>20.04</v>
      </c>
      <c r="J3930" s="25">
        <v>0.2155</v>
      </c>
      <c r="K3930" s="25">
        <f t="shared" si="61"/>
        <v>4318.62</v>
      </c>
      <c r="L3930" s="25">
        <v>2.71</v>
      </c>
      <c r="M3930" s="24">
        <v>54318</v>
      </c>
      <c r="N3930" s="25">
        <f>IFERROR(T_reg.root.SK[[#This Row],[Price]]/T_reg.root.SK[[#This Row],[Starch content]],"")</f>
        <v>12.575406032482599</v>
      </c>
    </row>
    <row r="3931" spans="1:14">
      <c r="A3931" s="21">
        <v>2024</v>
      </c>
      <c r="B3931" s="21" t="s">
        <v>26</v>
      </c>
      <c r="C3931" s="21" t="s">
        <v>1145</v>
      </c>
      <c r="D3931" s="21" t="s">
        <v>35</v>
      </c>
      <c r="E3931" s="18" t="s">
        <v>307</v>
      </c>
      <c r="F3931" s="18" t="s">
        <v>105</v>
      </c>
      <c r="G3931" s="18" t="s">
        <v>48</v>
      </c>
      <c r="H3931" s="24">
        <v>24390</v>
      </c>
      <c r="I3931" s="24">
        <f>T_reg.root.SK[[#This Row],[Volume, kg]]/1000</f>
        <v>24.39</v>
      </c>
      <c r="J3931" s="25">
        <v>0.2555</v>
      </c>
      <c r="K3931" s="25">
        <f t="shared" si="61"/>
        <v>6231.6450000000004</v>
      </c>
      <c r="L3931" s="25">
        <v>2.83</v>
      </c>
      <c r="M3931" s="24">
        <v>68980</v>
      </c>
      <c r="N3931" s="25">
        <f>IFERROR(T_reg.root.SK[[#This Row],[Price]]/T_reg.root.SK[[#This Row],[Starch content]],"")</f>
        <v>11.076320939334638</v>
      </c>
    </row>
    <row r="3932" spans="1:14">
      <c r="A3932" s="21">
        <v>2024</v>
      </c>
      <c r="B3932" s="21" t="s">
        <v>26</v>
      </c>
      <c r="C3932" s="21" t="s">
        <v>1145</v>
      </c>
      <c r="D3932" s="21" t="s">
        <v>35</v>
      </c>
      <c r="E3932" s="18" t="s">
        <v>308</v>
      </c>
      <c r="F3932" s="18" t="s">
        <v>105</v>
      </c>
      <c r="G3932" s="18" t="s">
        <v>48</v>
      </c>
      <c r="H3932" s="24">
        <v>3310</v>
      </c>
      <c r="I3932" s="24">
        <f>T_reg.root.SK[[#This Row],[Volume, kg]]/1000</f>
        <v>3.31</v>
      </c>
      <c r="J3932" s="25">
        <v>0.21850000000000003</v>
      </c>
      <c r="K3932" s="25">
        <f t="shared" si="61"/>
        <v>723.23500000000013</v>
      </c>
      <c r="L3932" s="25">
        <v>2.65</v>
      </c>
      <c r="M3932" s="24">
        <v>8771.5</v>
      </c>
      <c r="N3932" s="25">
        <f>IFERROR(T_reg.root.SK[[#This Row],[Price]]/T_reg.root.SK[[#This Row],[Starch content]],"")</f>
        <v>12.128146453089244</v>
      </c>
    </row>
    <row r="3933" spans="1:14">
      <c r="A3933" s="21">
        <v>2024</v>
      </c>
      <c r="B3933" s="21" t="s">
        <v>26</v>
      </c>
      <c r="C3933" s="21" t="s">
        <v>1145</v>
      </c>
      <c r="D3933" s="21" t="s">
        <v>35</v>
      </c>
      <c r="E3933" s="18" t="s">
        <v>244</v>
      </c>
      <c r="F3933" s="18" t="s">
        <v>105</v>
      </c>
      <c r="G3933" s="18" t="s">
        <v>48</v>
      </c>
      <c r="H3933" s="24">
        <v>92000</v>
      </c>
      <c r="I3933" s="24">
        <f>T_reg.root.SK[[#This Row],[Volume, kg]]/1000</f>
        <v>92</v>
      </c>
      <c r="J3933" s="25">
        <v>0.2419</v>
      </c>
      <c r="K3933" s="25">
        <f t="shared" si="61"/>
        <v>22254.799999999999</v>
      </c>
      <c r="L3933" s="25">
        <v>2.77</v>
      </c>
      <c r="M3933" s="24">
        <v>254476.5</v>
      </c>
      <c r="N3933" s="25">
        <f>IFERROR(T_reg.root.SK[[#This Row],[Price]]/T_reg.root.SK[[#This Row],[Starch content]],"")</f>
        <v>11.451012815212898</v>
      </c>
    </row>
    <row r="3934" spans="1:14">
      <c r="A3934" s="21">
        <v>2024</v>
      </c>
      <c r="B3934" s="21" t="s">
        <v>26</v>
      </c>
      <c r="C3934" s="21" t="s">
        <v>1145</v>
      </c>
      <c r="D3934" s="21" t="s">
        <v>35</v>
      </c>
      <c r="E3934" s="18" t="s">
        <v>245</v>
      </c>
      <c r="F3934" s="18" t="s">
        <v>105</v>
      </c>
      <c r="G3934" s="18" t="s">
        <v>48</v>
      </c>
      <c r="H3934" s="24">
        <v>9320</v>
      </c>
      <c r="I3934" s="24">
        <f>T_reg.root.SK[[#This Row],[Volume, kg]]/1000</f>
        <v>9.32</v>
      </c>
      <c r="J3934" s="25">
        <v>0.23149999999999998</v>
      </c>
      <c r="K3934" s="25">
        <f t="shared" si="61"/>
        <v>2157.58</v>
      </c>
      <c r="L3934" s="25">
        <v>2.7</v>
      </c>
      <c r="M3934" s="24">
        <v>25164</v>
      </c>
      <c r="N3934" s="25">
        <f>IFERROR(T_reg.root.SK[[#This Row],[Price]]/T_reg.root.SK[[#This Row],[Starch content]],"")</f>
        <v>11.663066954643631</v>
      </c>
    </row>
    <row r="3935" spans="1:14">
      <c r="A3935" s="21">
        <v>2024</v>
      </c>
      <c r="B3935" s="21" t="s">
        <v>26</v>
      </c>
      <c r="C3935" s="21" t="s">
        <v>1145</v>
      </c>
      <c r="D3935" s="21" t="s">
        <v>35</v>
      </c>
      <c r="E3935" s="18" t="s">
        <v>309</v>
      </c>
      <c r="F3935" s="18" t="s">
        <v>105</v>
      </c>
      <c r="G3935" s="18" t="s">
        <v>48</v>
      </c>
      <c r="H3935" s="24">
        <v>31540</v>
      </c>
      <c r="I3935" s="24">
        <f>T_reg.root.SK[[#This Row],[Volume, kg]]/1000</f>
        <v>31.54</v>
      </c>
      <c r="J3935" s="25">
        <v>0.22510000000000002</v>
      </c>
      <c r="K3935" s="25">
        <f t="shared" si="61"/>
        <v>7099.6540000000005</v>
      </c>
      <c r="L3935" s="25">
        <v>2.68</v>
      </c>
      <c r="M3935" s="24">
        <v>84626.5</v>
      </c>
      <c r="N3935" s="25">
        <f>IFERROR(T_reg.root.SK[[#This Row],[Price]]/T_reg.root.SK[[#This Row],[Starch content]],"")</f>
        <v>11.905819635717458</v>
      </c>
    </row>
    <row r="3936" spans="1:14">
      <c r="A3936" s="21">
        <v>2024</v>
      </c>
      <c r="B3936" s="21" t="s">
        <v>26</v>
      </c>
      <c r="C3936" s="21" t="s">
        <v>1145</v>
      </c>
      <c r="D3936" s="21" t="s">
        <v>35</v>
      </c>
      <c r="E3936" s="18" t="s">
        <v>496</v>
      </c>
      <c r="F3936" s="18" t="s">
        <v>105</v>
      </c>
      <c r="G3936" s="18" t="s">
        <v>48</v>
      </c>
      <c r="H3936" s="24">
        <v>8330</v>
      </c>
      <c r="I3936" s="24">
        <f>T_reg.root.SK[[#This Row],[Volume, kg]]/1000</f>
        <v>8.33</v>
      </c>
      <c r="J3936" s="25">
        <v>0.23350000000000001</v>
      </c>
      <c r="K3936" s="25">
        <f t="shared" si="61"/>
        <v>1945.0550000000001</v>
      </c>
      <c r="L3936" s="25">
        <v>2.7</v>
      </c>
      <c r="M3936" s="24">
        <v>22491</v>
      </c>
      <c r="N3936" s="25">
        <f>IFERROR(T_reg.root.SK[[#This Row],[Price]]/T_reg.root.SK[[#This Row],[Starch content]],"")</f>
        <v>11.563169164882227</v>
      </c>
    </row>
    <row r="3937" spans="1:14">
      <c r="A3937" s="21">
        <v>2024</v>
      </c>
      <c r="B3937" s="21" t="s">
        <v>26</v>
      </c>
      <c r="C3937" s="21" t="s">
        <v>1145</v>
      </c>
      <c r="D3937" s="21" t="s">
        <v>35</v>
      </c>
      <c r="E3937" s="18" t="s">
        <v>247</v>
      </c>
      <c r="F3937" s="18" t="s">
        <v>105</v>
      </c>
      <c r="G3937" s="18" t="s">
        <v>48</v>
      </c>
      <c r="H3937" s="24">
        <v>53800</v>
      </c>
      <c r="I3937" s="24">
        <f>T_reg.root.SK[[#This Row],[Volume, kg]]/1000</f>
        <v>53.8</v>
      </c>
      <c r="J3937" s="25">
        <v>0.2457</v>
      </c>
      <c r="K3937" s="25">
        <f t="shared" si="61"/>
        <v>13218.66</v>
      </c>
      <c r="L3937" s="25">
        <v>2.88</v>
      </c>
      <c r="M3937" s="24">
        <v>154904.5</v>
      </c>
      <c r="N3937" s="25">
        <f>IFERROR(T_reg.root.SK[[#This Row],[Price]]/T_reg.root.SK[[#This Row],[Starch content]],"")</f>
        <v>11.721611721611721</v>
      </c>
    </row>
    <row r="3938" spans="1:14">
      <c r="A3938" s="21">
        <v>2024</v>
      </c>
      <c r="B3938" s="21" t="s">
        <v>26</v>
      </c>
      <c r="C3938" s="21" t="s">
        <v>1145</v>
      </c>
      <c r="D3938" s="21" t="s">
        <v>35</v>
      </c>
      <c r="E3938" s="18" t="s">
        <v>312</v>
      </c>
      <c r="F3938" s="18" t="s">
        <v>105</v>
      </c>
      <c r="G3938" s="18" t="s">
        <v>48</v>
      </c>
      <c r="H3938" s="24">
        <v>16340</v>
      </c>
      <c r="I3938" s="24">
        <f>T_reg.root.SK[[#This Row],[Volume, kg]]/1000</f>
        <v>16.34</v>
      </c>
      <c r="J3938" s="25">
        <v>0.26769999999999999</v>
      </c>
      <c r="K3938" s="25">
        <f t="shared" si="61"/>
        <v>4374.2179999999998</v>
      </c>
      <c r="L3938" s="25">
        <v>2.93</v>
      </c>
      <c r="M3938" s="24">
        <v>47924</v>
      </c>
      <c r="N3938" s="25">
        <f>IFERROR(T_reg.root.SK[[#This Row],[Price]]/T_reg.root.SK[[#This Row],[Starch content]],"")</f>
        <v>10.94508778483377</v>
      </c>
    </row>
    <row r="3939" spans="1:14">
      <c r="A3939" s="21">
        <v>2024</v>
      </c>
      <c r="B3939" s="21" t="s">
        <v>26</v>
      </c>
      <c r="C3939" s="21" t="s">
        <v>1145</v>
      </c>
      <c r="D3939" s="21" t="s">
        <v>35</v>
      </c>
      <c r="E3939" s="18" t="s">
        <v>144</v>
      </c>
      <c r="F3939" s="18" t="s">
        <v>105</v>
      </c>
      <c r="G3939" s="18" t="s">
        <v>48</v>
      </c>
      <c r="H3939" s="24">
        <v>12630</v>
      </c>
      <c r="I3939" s="24">
        <f>T_reg.root.SK[[#This Row],[Volume, kg]]/1000</f>
        <v>12.63</v>
      </c>
      <c r="J3939" s="25">
        <v>0.27690000000000003</v>
      </c>
      <c r="K3939" s="25">
        <f t="shared" si="61"/>
        <v>3497.2470000000003</v>
      </c>
      <c r="L3939" s="25">
        <v>2.91</v>
      </c>
      <c r="M3939" s="24">
        <v>36801.5</v>
      </c>
      <c r="N3939" s="25">
        <f>IFERROR(T_reg.root.SK[[#This Row],[Price]]/T_reg.root.SK[[#This Row],[Starch content]],"")</f>
        <v>10.509209100758396</v>
      </c>
    </row>
    <row r="3940" spans="1:14">
      <c r="A3940" s="21">
        <v>2024</v>
      </c>
      <c r="B3940" s="21" t="s">
        <v>26</v>
      </c>
      <c r="C3940" s="21" t="s">
        <v>1145</v>
      </c>
      <c r="D3940" s="21" t="s">
        <v>35</v>
      </c>
      <c r="E3940" s="18" t="s">
        <v>146</v>
      </c>
      <c r="F3940" s="18" t="s">
        <v>105</v>
      </c>
      <c r="G3940" s="18" t="s">
        <v>48</v>
      </c>
      <c r="H3940" s="24">
        <v>381760</v>
      </c>
      <c r="I3940" s="24">
        <f>T_reg.root.SK[[#This Row],[Volume, kg]]/1000</f>
        <v>381.76</v>
      </c>
      <c r="J3940" s="25">
        <v>0.2334</v>
      </c>
      <c r="K3940" s="25">
        <f t="shared" si="61"/>
        <v>89102.784</v>
      </c>
      <c r="L3940" s="25">
        <v>2.73</v>
      </c>
      <c r="M3940" s="24">
        <v>1043021.5</v>
      </c>
      <c r="N3940" s="25">
        <f>IFERROR(T_reg.root.SK[[#This Row],[Price]]/T_reg.root.SK[[#This Row],[Starch content]],"")</f>
        <v>11.696658097686376</v>
      </c>
    </row>
    <row r="3941" spans="1:14">
      <c r="A3941" s="21">
        <v>2024</v>
      </c>
      <c r="B3941" s="21" t="s">
        <v>26</v>
      </c>
      <c r="C3941" s="21" t="s">
        <v>1145</v>
      </c>
      <c r="D3941" s="21" t="s">
        <v>35</v>
      </c>
      <c r="E3941" s="18" t="s">
        <v>250</v>
      </c>
      <c r="F3941" s="18" t="s">
        <v>105</v>
      </c>
      <c r="G3941" s="18" t="s">
        <v>48</v>
      </c>
      <c r="H3941" s="24">
        <v>12930</v>
      </c>
      <c r="I3941" s="24">
        <f>T_reg.root.SK[[#This Row],[Volume, kg]]/1000</f>
        <v>12.93</v>
      </c>
      <c r="J3941" s="25">
        <v>0.23430000000000001</v>
      </c>
      <c r="K3941" s="25">
        <f t="shared" si="61"/>
        <v>3029.4990000000003</v>
      </c>
      <c r="L3941" s="25">
        <v>2.73</v>
      </c>
      <c r="M3941" s="24">
        <v>35236.5</v>
      </c>
      <c r="N3941" s="25">
        <f>IFERROR(T_reg.root.SK[[#This Row],[Price]]/T_reg.root.SK[[#This Row],[Starch content]],"")</f>
        <v>11.651728553137003</v>
      </c>
    </row>
    <row r="3942" spans="1:14">
      <c r="A3942" s="21">
        <v>2024</v>
      </c>
      <c r="B3942" s="21" t="s">
        <v>26</v>
      </c>
      <c r="C3942" s="21" t="s">
        <v>1145</v>
      </c>
      <c r="D3942" s="21" t="s">
        <v>35</v>
      </c>
      <c r="E3942" s="18" t="s">
        <v>668</v>
      </c>
      <c r="F3942" s="18" t="s">
        <v>105</v>
      </c>
      <c r="G3942" s="18" t="s">
        <v>48</v>
      </c>
      <c r="H3942" s="24">
        <v>20370</v>
      </c>
      <c r="I3942" s="24">
        <f>T_reg.root.SK[[#This Row],[Volume, kg]]/1000</f>
        <v>20.37</v>
      </c>
      <c r="J3942" s="25">
        <v>0.20469999999999999</v>
      </c>
      <c r="K3942" s="25">
        <f t="shared" si="61"/>
        <v>4169.7389999999996</v>
      </c>
      <c r="L3942" s="25">
        <v>2.58</v>
      </c>
      <c r="M3942" s="24">
        <v>52629</v>
      </c>
      <c r="N3942" s="25">
        <f>IFERROR(T_reg.root.SK[[#This Row],[Price]]/T_reg.root.SK[[#This Row],[Starch content]],"")</f>
        <v>12.603810454323401</v>
      </c>
    </row>
    <row r="3943" spans="1:14">
      <c r="A3943" s="21">
        <v>2024</v>
      </c>
      <c r="B3943" s="21" t="s">
        <v>26</v>
      </c>
      <c r="C3943" s="21" t="s">
        <v>1145</v>
      </c>
      <c r="D3943" s="21" t="s">
        <v>35</v>
      </c>
      <c r="E3943" s="18" t="s">
        <v>147</v>
      </c>
      <c r="F3943" s="18" t="s">
        <v>105</v>
      </c>
      <c r="G3943" s="18" t="s">
        <v>48</v>
      </c>
      <c r="H3943" s="24">
        <v>86910</v>
      </c>
      <c r="I3943" s="24">
        <f>T_reg.root.SK[[#This Row],[Volume, kg]]/1000</f>
        <v>86.91</v>
      </c>
      <c r="J3943" s="25">
        <v>0.22800000000000001</v>
      </c>
      <c r="K3943" s="25">
        <f t="shared" si="61"/>
        <v>19815.48</v>
      </c>
      <c r="L3943" s="25">
        <v>2.69</v>
      </c>
      <c r="M3943" s="24">
        <v>233947</v>
      </c>
      <c r="N3943" s="25">
        <f>IFERROR(T_reg.root.SK[[#This Row],[Price]]/T_reg.root.SK[[#This Row],[Starch content]],"")</f>
        <v>11.798245614035087</v>
      </c>
    </row>
    <row r="3944" spans="1:14">
      <c r="A3944" s="21">
        <v>2024</v>
      </c>
      <c r="B3944" s="21" t="s">
        <v>26</v>
      </c>
      <c r="C3944" s="21" t="s">
        <v>1145</v>
      </c>
      <c r="D3944" s="21" t="s">
        <v>35</v>
      </c>
      <c r="E3944" s="18" t="s">
        <v>363</v>
      </c>
      <c r="F3944" s="18" t="s">
        <v>105</v>
      </c>
      <c r="G3944" s="18" t="s">
        <v>48</v>
      </c>
      <c r="H3944" s="24">
        <v>21000</v>
      </c>
      <c r="I3944" s="24">
        <f>T_reg.root.SK[[#This Row],[Volume, kg]]/1000</f>
        <v>21</v>
      </c>
      <c r="J3944" s="25">
        <v>0.25309999999999999</v>
      </c>
      <c r="K3944" s="25">
        <f t="shared" si="61"/>
        <v>5315.0999999999995</v>
      </c>
      <c r="L3944" s="25">
        <v>2.83</v>
      </c>
      <c r="M3944" s="24">
        <v>59453</v>
      </c>
      <c r="N3944" s="25">
        <f>IFERROR(T_reg.root.SK[[#This Row],[Price]]/T_reg.root.SK[[#This Row],[Starch content]],"")</f>
        <v>11.181351244567365</v>
      </c>
    </row>
    <row r="3945" spans="1:14">
      <c r="A3945" s="21">
        <v>2024</v>
      </c>
      <c r="B3945" s="21" t="s">
        <v>26</v>
      </c>
      <c r="C3945" s="21" t="s">
        <v>1145</v>
      </c>
      <c r="D3945" s="21" t="s">
        <v>35</v>
      </c>
      <c r="E3945" s="18" t="s">
        <v>251</v>
      </c>
      <c r="F3945" s="18" t="s">
        <v>105</v>
      </c>
      <c r="G3945" s="18" t="s">
        <v>48</v>
      </c>
      <c r="H3945" s="24">
        <v>43730</v>
      </c>
      <c r="I3945" s="24">
        <f>T_reg.root.SK[[#This Row],[Volume, kg]]/1000</f>
        <v>43.73</v>
      </c>
      <c r="J3945" s="25">
        <v>0.23309999999999997</v>
      </c>
      <c r="K3945" s="25">
        <f t="shared" si="61"/>
        <v>10193.463</v>
      </c>
      <c r="L3945" s="25">
        <v>2.75</v>
      </c>
      <c r="M3945" s="24">
        <v>120043.5</v>
      </c>
      <c r="N3945" s="25">
        <f>IFERROR(T_reg.root.SK[[#This Row],[Price]]/T_reg.root.SK[[#This Row],[Starch content]],"")</f>
        <v>11.797511797511799</v>
      </c>
    </row>
    <row r="3946" spans="1:14">
      <c r="A3946" s="21">
        <v>2024</v>
      </c>
      <c r="B3946" s="21" t="s">
        <v>26</v>
      </c>
      <c r="C3946" s="21" t="s">
        <v>1145</v>
      </c>
      <c r="D3946" s="21" t="s">
        <v>35</v>
      </c>
      <c r="E3946" s="18" t="s">
        <v>618</v>
      </c>
      <c r="F3946" s="18" t="s">
        <v>105</v>
      </c>
      <c r="G3946" s="18" t="s">
        <v>48</v>
      </c>
      <c r="H3946" s="24">
        <v>19420</v>
      </c>
      <c r="I3946" s="24">
        <f>T_reg.root.SK[[#This Row],[Volume, kg]]/1000</f>
        <v>19.420000000000002</v>
      </c>
      <c r="J3946" s="25">
        <v>0.26119999999999999</v>
      </c>
      <c r="K3946" s="25">
        <f t="shared" si="61"/>
        <v>5072.5039999999999</v>
      </c>
      <c r="L3946" s="25">
        <v>2.97</v>
      </c>
      <c r="M3946" s="24">
        <v>57734.5</v>
      </c>
      <c r="N3946" s="25">
        <f>IFERROR(T_reg.root.SK[[#This Row],[Price]]/T_reg.root.SK[[#This Row],[Starch content]],"")</f>
        <v>11.370597243491579</v>
      </c>
    </row>
    <row r="3947" spans="1:14">
      <c r="A3947" s="21">
        <v>2024</v>
      </c>
      <c r="B3947" s="21" t="s">
        <v>26</v>
      </c>
      <c r="C3947" s="21" t="s">
        <v>1145</v>
      </c>
      <c r="D3947" s="21" t="s">
        <v>35</v>
      </c>
      <c r="E3947" s="18" t="s">
        <v>148</v>
      </c>
      <c r="F3947" s="18" t="s">
        <v>105</v>
      </c>
      <c r="G3947" s="18" t="s">
        <v>48</v>
      </c>
      <c r="H3947" s="24">
        <v>8000</v>
      </c>
      <c r="I3947" s="24">
        <f>T_reg.root.SK[[#This Row],[Volume, kg]]/1000</f>
        <v>8</v>
      </c>
      <c r="J3947" s="25">
        <v>0.20649999999999999</v>
      </c>
      <c r="K3947" s="25">
        <f t="shared" si="61"/>
        <v>1652</v>
      </c>
      <c r="L3947" s="25">
        <v>2.5499999999999998</v>
      </c>
      <c r="M3947" s="24">
        <v>20400</v>
      </c>
      <c r="N3947" s="25">
        <f>IFERROR(T_reg.root.SK[[#This Row],[Price]]/T_reg.root.SK[[#This Row],[Starch content]],"")</f>
        <v>12.348668280871671</v>
      </c>
    </row>
    <row r="3948" spans="1:14">
      <c r="A3948" s="21">
        <v>2024</v>
      </c>
      <c r="B3948" s="21" t="s">
        <v>26</v>
      </c>
      <c r="C3948" s="21" t="s">
        <v>1145</v>
      </c>
      <c r="D3948" s="21" t="s">
        <v>35</v>
      </c>
      <c r="E3948" s="18" t="s">
        <v>315</v>
      </c>
      <c r="F3948" s="18" t="s">
        <v>105</v>
      </c>
      <c r="G3948" s="18" t="s">
        <v>48</v>
      </c>
      <c r="H3948" s="24">
        <v>97980</v>
      </c>
      <c r="I3948" s="24">
        <f>T_reg.root.SK[[#This Row],[Volume, kg]]/1000</f>
        <v>97.98</v>
      </c>
      <c r="J3948" s="25">
        <v>0.22640000000000002</v>
      </c>
      <c r="K3948" s="25">
        <f t="shared" si="61"/>
        <v>22182.672000000002</v>
      </c>
      <c r="L3948" s="25">
        <v>2.71</v>
      </c>
      <c r="M3948" s="24">
        <v>265519.5</v>
      </c>
      <c r="N3948" s="25">
        <f>IFERROR(T_reg.root.SK[[#This Row],[Price]]/T_reg.root.SK[[#This Row],[Starch content]],"")</f>
        <v>11.969964664310952</v>
      </c>
    </row>
    <row r="3949" spans="1:14">
      <c r="A3949" s="21">
        <v>2024</v>
      </c>
      <c r="B3949" s="21" t="s">
        <v>26</v>
      </c>
      <c r="C3949" s="21" t="s">
        <v>1145</v>
      </c>
      <c r="D3949" s="21" t="s">
        <v>35</v>
      </c>
      <c r="E3949" s="18" t="s">
        <v>570</v>
      </c>
      <c r="F3949" s="18" t="s">
        <v>105</v>
      </c>
      <c r="G3949" s="18" t="s">
        <v>48</v>
      </c>
      <c r="H3949" s="24">
        <v>40140</v>
      </c>
      <c r="I3949" s="24">
        <f>T_reg.root.SK[[#This Row],[Volume, kg]]/1000</f>
        <v>40.14</v>
      </c>
      <c r="J3949" s="25">
        <v>0.2147</v>
      </c>
      <c r="K3949" s="25">
        <f t="shared" si="61"/>
        <v>8618.0580000000009</v>
      </c>
      <c r="L3949" s="25">
        <v>2.6</v>
      </c>
      <c r="M3949" s="24">
        <v>104364</v>
      </c>
      <c r="N3949" s="25">
        <f>IFERROR(T_reg.root.SK[[#This Row],[Price]]/T_reg.root.SK[[#This Row],[Starch content]],"")</f>
        <v>12.109920819748487</v>
      </c>
    </row>
    <row r="3950" spans="1:14">
      <c r="A3950" s="21">
        <v>2024</v>
      </c>
      <c r="B3950" s="21" t="s">
        <v>26</v>
      </c>
      <c r="C3950" s="21" t="s">
        <v>1145</v>
      </c>
      <c r="D3950" s="21" t="s">
        <v>35</v>
      </c>
      <c r="E3950" s="18" t="s">
        <v>151</v>
      </c>
      <c r="F3950" s="18" t="s">
        <v>105</v>
      </c>
      <c r="G3950" s="18" t="s">
        <v>48</v>
      </c>
      <c r="H3950" s="24">
        <v>665880</v>
      </c>
      <c r="I3950" s="24">
        <f>T_reg.root.SK[[#This Row],[Volume, kg]]/1000</f>
        <v>665.88</v>
      </c>
      <c r="J3950" s="25">
        <v>0.24690000000000001</v>
      </c>
      <c r="K3950" s="25">
        <f t="shared" si="61"/>
        <v>164405.772</v>
      </c>
      <c r="L3950" s="25">
        <v>2.81</v>
      </c>
      <c r="M3950" s="24">
        <v>1871200.5</v>
      </c>
      <c r="N3950" s="25">
        <f>IFERROR(T_reg.root.SK[[#This Row],[Price]]/T_reg.root.SK[[#This Row],[Starch content]],"")</f>
        <v>11.381125961927905</v>
      </c>
    </row>
    <row r="3951" spans="1:14">
      <c r="A3951" s="21">
        <v>2024</v>
      </c>
      <c r="B3951" s="21" t="s">
        <v>26</v>
      </c>
      <c r="C3951" s="21" t="s">
        <v>1145</v>
      </c>
      <c r="D3951" s="21" t="s">
        <v>35</v>
      </c>
      <c r="E3951" s="18" t="s">
        <v>316</v>
      </c>
      <c r="F3951" s="18" t="s">
        <v>105</v>
      </c>
      <c r="G3951" s="18" t="s">
        <v>48</v>
      </c>
      <c r="H3951" s="24">
        <v>7010</v>
      </c>
      <c r="I3951" s="24">
        <f>T_reg.root.SK[[#This Row],[Volume, kg]]/1000</f>
        <v>7.01</v>
      </c>
      <c r="J3951" s="25">
        <v>0.245</v>
      </c>
      <c r="K3951" s="25">
        <f t="shared" si="61"/>
        <v>1717.45</v>
      </c>
      <c r="L3951" s="25">
        <v>2.9</v>
      </c>
      <c r="M3951" s="24">
        <v>20329</v>
      </c>
      <c r="N3951" s="25">
        <f>IFERROR(T_reg.root.SK[[#This Row],[Price]]/T_reg.root.SK[[#This Row],[Starch content]],"")</f>
        <v>11.836734693877551</v>
      </c>
    </row>
    <row r="3952" spans="1:14">
      <c r="A3952" s="21">
        <v>2024</v>
      </c>
      <c r="B3952" s="21" t="s">
        <v>26</v>
      </c>
      <c r="C3952" s="21" t="s">
        <v>1145</v>
      </c>
      <c r="D3952" s="21" t="s">
        <v>35</v>
      </c>
      <c r="E3952" s="18" t="s">
        <v>152</v>
      </c>
      <c r="F3952" s="18" t="s">
        <v>105</v>
      </c>
      <c r="G3952" s="18" t="s">
        <v>48</v>
      </c>
      <c r="H3952" s="24">
        <v>55760</v>
      </c>
      <c r="I3952" s="24">
        <f>T_reg.root.SK[[#This Row],[Volume, kg]]/1000</f>
        <v>55.76</v>
      </c>
      <c r="J3952" s="25">
        <v>0.21820000000000001</v>
      </c>
      <c r="K3952" s="25">
        <f t="shared" si="61"/>
        <v>12166.832</v>
      </c>
      <c r="L3952" s="25">
        <v>2.65</v>
      </c>
      <c r="M3952" s="24">
        <v>147913</v>
      </c>
      <c r="N3952" s="25">
        <f>IFERROR(T_reg.root.SK[[#This Row],[Price]]/T_reg.root.SK[[#This Row],[Starch content]],"")</f>
        <v>12.144821264894592</v>
      </c>
    </row>
    <row r="3953" spans="1:14">
      <c r="A3953" s="21">
        <v>2024</v>
      </c>
      <c r="B3953" s="21" t="s">
        <v>26</v>
      </c>
      <c r="C3953" s="21" t="s">
        <v>1145</v>
      </c>
      <c r="D3953" s="21" t="s">
        <v>35</v>
      </c>
      <c r="E3953" s="18" t="s">
        <v>154</v>
      </c>
      <c r="F3953" s="18" t="s">
        <v>105</v>
      </c>
      <c r="G3953" s="18" t="s">
        <v>48</v>
      </c>
      <c r="H3953" s="24">
        <v>7440</v>
      </c>
      <c r="I3953" s="24">
        <f>T_reg.root.SK[[#This Row],[Volume, kg]]/1000</f>
        <v>7.44</v>
      </c>
      <c r="J3953" s="25">
        <v>0.23499999999999999</v>
      </c>
      <c r="K3953" s="25">
        <f t="shared" si="61"/>
        <v>1748.3999999999999</v>
      </c>
      <c r="L3953" s="25">
        <v>2.9</v>
      </c>
      <c r="M3953" s="24">
        <v>21576</v>
      </c>
      <c r="N3953" s="25">
        <f>IFERROR(T_reg.root.SK[[#This Row],[Price]]/T_reg.root.SK[[#This Row],[Starch content]],"")</f>
        <v>12.340425531914894</v>
      </c>
    </row>
    <row r="3954" spans="1:14">
      <c r="A3954" s="21">
        <v>2024</v>
      </c>
      <c r="B3954" s="21" t="s">
        <v>26</v>
      </c>
      <c r="C3954" s="21" t="s">
        <v>1145</v>
      </c>
      <c r="D3954" s="21" t="s">
        <v>35</v>
      </c>
      <c r="E3954" s="18" t="s">
        <v>155</v>
      </c>
      <c r="F3954" s="18" t="s">
        <v>105</v>
      </c>
      <c r="G3954" s="18" t="s">
        <v>48</v>
      </c>
      <c r="H3954" s="24">
        <v>9780</v>
      </c>
      <c r="I3954" s="24">
        <f>T_reg.root.SK[[#This Row],[Volume, kg]]/1000</f>
        <v>9.7799999999999994</v>
      </c>
      <c r="J3954" s="25">
        <v>0.23499999999999999</v>
      </c>
      <c r="K3954" s="25">
        <f t="shared" si="61"/>
        <v>2298.2999999999997</v>
      </c>
      <c r="L3954" s="25">
        <v>2.72</v>
      </c>
      <c r="M3954" s="24">
        <v>26639.5</v>
      </c>
      <c r="N3954" s="25">
        <f>IFERROR(T_reg.root.SK[[#This Row],[Price]]/T_reg.root.SK[[#This Row],[Starch content]],"")</f>
        <v>11.574468085106384</v>
      </c>
    </row>
    <row r="3955" spans="1:14">
      <c r="A3955" s="21">
        <v>2024</v>
      </c>
      <c r="B3955" s="21" t="s">
        <v>26</v>
      </c>
      <c r="C3955" s="21" t="s">
        <v>1145</v>
      </c>
      <c r="D3955" s="21" t="s">
        <v>35</v>
      </c>
      <c r="E3955" s="18" t="s">
        <v>159</v>
      </c>
      <c r="F3955" s="18" t="s">
        <v>105</v>
      </c>
      <c r="G3955" s="18" t="s">
        <v>48</v>
      </c>
      <c r="H3955" s="24">
        <v>82150</v>
      </c>
      <c r="I3955" s="24">
        <f>T_reg.root.SK[[#This Row],[Volume, kg]]/1000</f>
        <v>82.15</v>
      </c>
      <c r="J3955" s="25">
        <v>0.21820000000000001</v>
      </c>
      <c r="K3955" s="25">
        <f t="shared" si="61"/>
        <v>17925.13</v>
      </c>
      <c r="L3955" s="25">
        <v>2.65</v>
      </c>
      <c r="M3955" s="24">
        <v>217660.5</v>
      </c>
      <c r="N3955" s="25">
        <f>IFERROR(T_reg.root.SK[[#This Row],[Price]]/T_reg.root.SK[[#This Row],[Starch content]],"")</f>
        <v>12.144821264894592</v>
      </c>
    </row>
    <row r="3956" spans="1:14">
      <c r="A3956" s="21">
        <v>2024</v>
      </c>
      <c r="B3956" s="21" t="s">
        <v>26</v>
      </c>
      <c r="C3956" s="21" t="s">
        <v>1145</v>
      </c>
      <c r="D3956" s="21" t="s">
        <v>35</v>
      </c>
      <c r="E3956" s="18" t="s">
        <v>255</v>
      </c>
      <c r="F3956" s="18" t="s">
        <v>105</v>
      </c>
      <c r="G3956" s="18" t="s">
        <v>48</v>
      </c>
      <c r="H3956" s="24">
        <v>89820</v>
      </c>
      <c r="I3956" s="24">
        <f>T_reg.root.SK[[#This Row],[Volume, kg]]/1000</f>
        <v>89.82</v>
      </c>
      <c r="J3956" s="25">
        <v>0.24989999999999998</v>
      </c>
      <c r="K3956" s="25">
        <f t="shared" si="61"/>
        <v>22446.018</v>
      </c>
      <c r="L3956" s="25">
        <v>2.8</v>
      </c>
      <c r="M3956" s="24">
        <v>251115.5</v>
      </c>
      <c r="N3956" s="25">
        <f>IFERROR(T_reg.root.SK[[#This Row],[Price]]/T_reg.root.SK[[#This Row],[Starch content]],"")</f>
        <v>11.204481792717086</v>
      </c>
    </row>
    <row r="3957" spans="1:14">
      <c r="A3957" s="21">
        <v>2024</v>
      </c>
      <c r="B3957" s="21" t="s">
        <v>26</v>
      </c>
      <c r="C3957" s="21" t="s">
        <v>1145</v>
      </c>
      <c r="D3957" s="21" t="s">
        <v>35</v>
      </c>
      <c r="E3957" s="18" t="s">
        <v>721</v>
      </c>
      <c r="F3957" s="18" t="s">
        <v>105</v>
      </c>
      <c r="G3957" s="18" t="s">
        <v>48</v>
      </c>
      <c r="H3957" s="24">
        <v>31960</v>
      </c>
      <c r="I3957" s="24">
        <f>T_reg.root.SK[[#This Row],[Volume, kg]]/1000</f>
        <v>31.96</v>
      </c>
      <c r="J3957" s="25">
        <v>0.24539999999999998</v>
      </c>
      <c r="K3957" s="25">
        <f t="shared" si="61"/>
        <v>7842.9839999999995</v>
      </c>
      <c r="L3957" s="25">
        <v>2.79</v>
      </c>
      <c r="M3957" s="24">
        <v>89020</v>
      </c>
      <c r="N3957" s="25">
        <f>IFERROR(T_reg.root.SK[[#This Row],[Price]]/T_reg.root.SK[[#This Row],[Starch content]],"")</f>
        <v>11.369193154034232</v>
      </c>
    </row>
    <row r="3958" spans="1:14">
      <c r="A3958" s="21">
        <v>2024</v>
      </c>
      <c r="B3958" s="21" t="s">
        <v>26</v>
      </c>
      <c r="C3958" s="21" t="s">
        <v>1145</v>
      </c>
      <c r="D3958" s="21" t="s">
        <v>35</v>
      </c>
      <c r="E3958" s="18" t="s">
        <v>161</v>
      </c>
      <c r="F3958" s="18" t="s">
        <v>105</v>
      </c>
      <c r="G3958" s="18" t="s">
        <v>48</v>
      </c>
      <c r="H3958" s="24">
        <v>39410</v>
      </c>
      <c r="I3958" s="24">
        <f>T_reg.root.SK[[#This Row],[Volume, kg]]/1000</f>
        <v>39.409999999999997</v>
      </c>
      <c r="J3958" s="25">
        <v>0.24129999999999999</v>
      </c>
      <c r="K3958" s="25">
        <f t="shared" si="61"/>
        <v>9509.6329999999998</v>
      </c>
      <c r="L3958" s="25">
        <v>2.75</v>
      </c>
      <c r="M3958" s="24">
        <v>108391.5</v>
      </c>
      <c r="N3958" s="25">
        <f>IFERROR(T_reg.root.SK[[#This Row],[Price]]/T_reg.root.SK[[#This Row],[Starch content]],"")</f>
        <v>11.396601740571903</v>
      </c>
    </row>
    <row r="3959" spans="1:14">
      <c r="A3959" s="21">
        <v>2024</v>
      </c>
      <c r="B3959" s="21" t="s">
        <v>26</v>
      </c>
      <c r="C3959" s="21" t="s">
        <v>1145</v>
      </c>
      <c r="D3959" s="21" t="s">
        <v>35</v>
      </c>
      <c r="E3959" s="18" t="s">
        <v>162</v>
      </c>
      <c r="F3959" s="18" t="s">
        <v>105</v>
      </c>
      <c r="G3959" s="18" t="s">
        <v>48</v>
      </c>
      <c r="H3959" s="24">
        <v>74320</v>
      </c>
      <c r="I3959" s="24">
        <f>T_reg.root.SK[[#This Row],[Volume, kg]]/1000</f>
        <v>74.319999999999993</v>
      </c>
      <c r="J3959" s="25">
        <v>0.21340000000000001</v>
      </c>
      <c r="K3959" s="25">
        <f t="shared" si="61"/>
        <v>15859.888000000001</v>
      </c>
      <c r="L3959" s="25">
        <v>2.68</v>
      </c>
      <c r="M3959" s="24">
        <v>199081</v>
      </c>
      <c r="N3959" s="25">
        <f>IFERROR(T_reg.root.SK[[#This Row],[Price]]/T_reg.root.SK[[#This Row],[Starch content]],"")</f>
        <v>12.558575445173384</v>
      </c>
    </row>
    <row r="3960" spans="1:14">
      <c r="A3960" s="21">
        <v>2024</v>
      </c>
      <c r="B3960" s="21" t="s">
        <v>26</v>
      </c>
      <c r="C3960" s="21" t="s">
        <v>1145</v>
      </c>
      <c r="D3960" s="21" t="s">
        <v>35</v>
      </c>
      <c r="E3960" s="18" t="s">
        <v>165</v>
      </c>
      <c r="F3960" s="18" t="s">
        <v>105</v>
      </c>
      <c r="G3960" s="18" t="s">
        <v>48</v>
      </c>
      <c r="H3960" s="24">
        <v>1640</v>
      </c>
      <c r="I3960" s="24">
        <f>T_reg.root.SK[[#This Row],[Volume, kg]]/1000</f>
        <v>1.64</v>
      </c>
      <c r="J3960" s="25">
        <v>0.1825</v>
      </c>
      <c r="K3960" s="25">
        <f t="shared" si="61"/>
        <v>299.3</v>
      </c>
      <c r="L3960" s="25">
        <v>2.5</v>
      </c>
      <c r="M3960" s="24">
        <v>4100</v>
      </c>
      <c r="N3960" s="25">
        <f>IFERROR(T_reg.root.SK[[#This Row],[Price]]/T_reg.root.SK[[#This Row],[Starch content]],"")</f>
        <v>13.698630136986301</v>
      </c>
    </row>
    <row r="3961" spans="1:14">
      <c r="A3961" s="21">
        <v>2024</v>
      </c>
      <c r="B3961" s="21" t="s">
        <v>26</v>
      </c>
      <c r="C3961" s="21" t="s">
        <v>1145</v>
      </c>
      <c r="D3961" s="21" t="s">
        <v>35</v>
      </c>
      <c r="E3961" s="18" t="s">
        <v>670</v>
      </c>
      <c r="F3961" s="18" t="s">
        <v>105</v>
      </c>
      <c r="G3961" s="18" t="s">
        <v>48</v>
      </c>
      <c r="H3961" s="24">
        <v>18090</v>
      </c>
      <c r="I3961" s="24">
        <f>T_reg.root.SK[[#This Row],[Volume, kg]]/1000</f>
        <v>18.09</v>
      </c>
      <c r="J3961" s="25">
        <v>0.23980000000000001</v>
      </c>
      <c r="K3961" s="25">
        <f t="shared" si="61"/>
        <v>4337.982</v>
      </c>
      <c r="L3961" s="25">
        <v>2.75</v>
      </c>
      <c r="M3961" s="24">
        <v>49747.5</v>
      </c>
      <c r="N3961" s="25">
        <f>IFERROR(T_reg.root.SK[[#This Row],[Price]]/T_reg.root.SK[[#This Row],[Starch content]],"")</f>
        <v>11.467889908256881</v>
      </c>
    </row>
    <row r="3962" spans="1:14">
      <c r="A3962" s="21">
        <v>2024</v>
      </c>
      <c r="B3962" s="21" t="s">
        <v>26</v>
      </c>
      <c r="C3962" s="21" t="s">
        <v>1145</v>
      </c>
      <c r="D3962" s="21" t="s">
        <v>35</v>
      </c>
      <c r="E3962" s="18" t="s">
        <v>171</v>
      </c>
      <c r="F3962" s="18" t="s">
        <v>105</v>
      </c>
      <c r="G3962" s="18" t="s">
        <v>48</v>
      </c>
      <c r="H3962" s="24">
        <v>4170</v>
      </c>
      <c r="I3962" s="24">
        <f>T_reg.root.SK[[#This Row],[Volume, kg]]/1000</f>
        <v>4.17</v>
      </c>
      <c r="J3962" s="25">
        <v>0.1769</v>
      </c>
      <c r="K3962" s="25">
        <f t="shared" si="61"/>
        <v>737.673</v>
      </c>
      <c r="L3962" s="25">
        <v>2.6</v>
      </c>
      <c r="M3962" s="24">
        <v>10842</v>
      </c>
      <c r="N3962" s="25">
        <f>IFERROR(T_reg.root.SK[[#This Row],[Price]]/T_reg.root.SK[[#This Row],[Starch content]],"")</f>
        <v>14.697569248162804</v>
      </c>
    </row>
    <row r="3963" spans="1:14">
      <c r="A3963" s="21">
        <v>2024</v>
      </c>
      <c r="B3963" s="21" t="s">
        <v>26</v>
      </c>
      <c r="C3963" s="21" t="s">
        <v>1145</v>
      </c>
      <c r="D3963" s="21" t="s">
        <v>35</v>
      </c>
      <c r="E3963" s="18" t="s">
        <v>172</v>
      </c>
      <c r="F3963" s="18" t="s">
        <v>105</v>
      </c>
      <c r="G3963" s="18" t="s">
        <v>48</v>
      </c>
      <c r="H3963" s="24">
        <v>3580</v>
      </c>
      <c r="I3963" s="24">
        <f>T_reg.root.SK[[#This Row],[Volume, kg]]/1000</f>
        <v>3.58</v>
      </c>
      <c r="J3963" s="25">
        <v>0.22550000000000001</v>
      </c>
      <c r="K3963" s="25">
        <f t="shared" si="61"/>
        <v>807.29000000000008</v>
      </c>
      <c r="L3963" s="25">
        <v>2.8</v>
      </c>
      <c r="M3963" s="24">
        <v>10024</v>
      </c>
      <c r="N3963" s="25">
        <f>IFERROR(T_reg.root.SK[[#This Row],[Price]]/T_reg.root.SK[[#This Row],[Starch content]],"")</f>
        <v>12.416851441241684</v>
      </c>
    </row>
    <row r="3964" spans="1:14">
      <c r="A3964" s="21">
        <v>2024</v>
      </c>
      <c r="B3964" s="21" t="s">
        <v>26</v>
      </c>
      <c r="C3964" s="21" t="s">
        <v>1145</v>
      </c>
      <c r="D3964" s="21" t="s">
        <v>35</v>
      </c>
      <c r="E3964" s="18" t="s">
        <v>322</v>
      </c>
      <c r="F3964" s="18" t="s">
        <v>105</v>
      </c>
      <c r="G3964" s="18" t="s">
        <v>48</v>
      </c>
      <c r="H3964" s="24">
        <v>30610</v>
      </c>
      <c r="I3964" s="24">
        <f>T_reg.root.SK[[#This Row],[Volume, kg]]/1000</f>
        <v>30.61</v>
      </c>
      <c r="J3964" s="25">
        <v>0.17749999999999999</v>
      </c>
      <c r="K3964" s="25">
        <f t="shared" si="61"/>
        <v>5433.2749999999996</v>
      </c>
      <c r="L3964" s="25">
        <v>2.44</v>
      </c>
      <c r="M3964" s="24">
        <v>74708</v>
      </c>
      <c r="N3964" s="25">
        <f>IFERROR(T_reg.root.SK[[#This Row],[Price]]/T_reg.root.SK[[#This Row],[Starch content]],"")</f>
        <v>13.746478873239438</v>
      </c>
    </row>
    <row r="3965" spans="1:14">
      <c r="A3965" s="21">
        <v>2024</v>
      </c>
      <c r="B3965" s="21" t="s">
        <v>26</v>
      </c>
      <c r="C3965" s="21" t="s">
        <v>1145</v>
      </c>
      <c r="D3965" s="21" t="s">
        <v>35</v>
      </c>
      <c r="E3965" s="18" t="s">
        <v>173</v>
      </c>
      <c r="F3965" s="18" t="s">
        <v>105</v>
      </c>
      <c r="G3965" s="18" t="s">
        <v>48</v>
      </c>
      <c r="H3965" s="24">
        <v>6820</v>
      </c>
      <c r="I3965" s="24">
        <f>T_reg.root.SK[[#This Row],[Volume, kg]]/1000</f>
        <v>6.82</v>
      </c>
      <c r="J3965" s="25">
        <v>0.247</v>
      </c>
      <c r="K3965" s="25">
        <f t="shared" si="61"/>
        <v>1684.54</v>
      </c>
      <c r="L3965" s="25">
        <v>2.71</v>
      </c>
      <c r="M3965" s="24">
        <v>18508</v>
      </c>
      <c r="N3965" s="25">
        <f>IFERROR(T_reg.root.SK[[#This Row],[Price]]/T_reg.root.SK[[#This Row],[Starch content]],"")</f>
        <v>10.97165991902834</v>
      </c>
    </row>
    <row r="3966" spans="1:14">
      <c r="A3966" s="21">
        <v>2024</v>
      </c>
      <c r="B3966" s="21" t="s">
        <v>26</v>
      </c>
      <c r="C3966" s="21" t="s">
        <v>1145</v>
      </c>
      <c r="D3966" s="21" t="s">
        <v>35</v>
      </c>
      <c r="E3966" s="18" t="s">
        <v>506</v>
      </c>
      <c r="F3966" s="18" t="s">
        <v>105</v>
      </c>
      <c r="G3966" s="18" t="s">
        <v>48</v>
      </c>
      <c r="H3966" s="24">
        <v>6880</v>
      </c>
      <c r="I3966" s="24">
        <f>T_reg.root.SK[[#This Row],[Volume, kg]]/1000</f>
        <v>6.88</v>
      </c>
      <c r="J3966" s="25">
        <v>0.22899999999999998</v>
      </c>
      <c r="K3966" s="25">
        <f t="shared" si="61"/>
        <v>1575.52</v>
      </c>
      <c r="L3966" s="25">
        <v>2.65</v>
      </c>
      <c r="M3966" s="24">
        <v>18232</v>
      </c>
      <c r="N3966" s="25">
        <f>IFERROR(T_reg.root.SK[[#This Row],[Price]]/T_reg.root.SK[[#This Row],[Starch content]],"")</f>
        <v>11.572052401746726</v>
      </c>
    </row>
    <row r="3967" spans="1:14">
      <c r="A3967" s="21">
        <v>2024</v>
      </c>
      <c r="B3967" s="21" t="s">
        <v>26</v>
      </c>
      <c r="C3967" s="21" t="s">
        <v>1145</v>
      </c>
      <c r="D3967" s="21" t="s">
        <v>35</v>
      </c>
      <c r="E3967" s="18" t="s">
        <v>812</v>
      </c>
      <c r="F3967" s="18" t="s">
        <v>105</v>
      </c>
      <c r="G3967" s="18" t="s">
        <v>48</v>
      </c>
      <c r="H3967" s="24">
        <v>32120</v>
      </c>
      <c r="I3967" s="24">
        <f>T_reg.root.SK[[#This Row],[Volume, kg]]/1000</f>
        <v>32.119999999999997</v>
      </c>
      <c r="J3967" s="25">
        <v>0.23260000000000003</v>
      </c>
      <c r="K3967" s="25">
        <f t="shared" si="61"/>
        <v>7471.112000000001</v>
      </c>
      <c r="L3967" s="25">
        <v>2.77</v>
      </c>
      <c r="M3967" s="24">
        <v>88923</v>
      </c>
      <c r="N3967" s="25">
        <f>IFERROR(T_reg.root.SK[[#This Row],[Price]]/T_reg.root.SK[[#This Row],[Starch content]],"")</f>
        <v>11.908856405846945</v>
      </c>
    </row>
    <row r="3968" spans="1:14">
      <c r="A3968" s="21">
        <v>2024</v>
      </c>
      <c r="B3968" s="21" t="s">
        <v>26</v>
      </c>
      <c r="C3968" s="21" t="s">
        <v>1145</v>
      </c>
      <c r="D3968" s="21" t="s">
        <v>35</v>
      </c>
      <c r="E3968" s="18" t="s">
        <v>828</v>
      </c>
      <c r="F3968" s="18" t="s">
        <v>105</v>
      </c>
      <c r="G3968" s="18" t="s">
        <v>48</v>
      </c>
      <c r="H3968" s="24">
        <v>0</v>
      </c>
      <c r="I3968" s="24">
        <f>T_reg.root.SK[[#This Row],[Volume, kg]]/1000</f>
        <v>0</v>
      </c>
      <c r="J3968" s="25">
        <v>0</v>
      </c>
      <c r="K3968" s="25">
        <f t="shared" si="61"/>
        <v>0</v>
      </c>
      <c r="L3968" s="25">
        <v>0</v>
      </c>
      <c r="M3968" s="24">
        <v>0</v>
      </c>
      <c r="N3968" s="25" t="str">
        <f>IFERROR(T_reg.root.SK[[#This Row],[Price]]/T_reg.root.SK[[#This Row],[Starch content]],"")</f>
        <v/>
      </c>
    </row>
    <row r="3969" spans="1:14">
      <c r="A3969" s="21">
        <v>2024</v>
      </c>
      <c r="B3969" s="21" t="s">
        <v>26</v>
      </c>
      <c r="C3969" s="21" t="s">
        <v>1145</v>
      </c>
      <c r="D3969" s="21" t="s">
        <v>35</v>
      </c>
      <c r="E3969" s="18" t="s">
        <v>325</v>
      </c>
      <c r="F3969" s="18" t="s">
        <v>105</v>
      </c>
      <c r="G3969" s="18" t="s">
        <v>48</v>
      </c>
      <c r="H3969" s="24">
        <v>14100</v>
      </c>
      <c r="I3969" s="24">
        <f>T_reg.root.SK[[#This Row],[Volume, kg]]/1000</f>
        <v>14.1</v>
      </c>
      <c r="J3969" s="25">
        <v>0.25840000000000002</v>
      </c>
      <c r="K3969" s="25">
        <f t="shared" si="61"/>
        <v>3643.44</v>
      </c>
      <c r="L3969" s="25">
        <v>2.89</v>
      </c>
      <c r="M3969" s="24">
        <v>40788</v>
      </c>
      <c r="N3969" s="25">
        <f>IFERROR(T_reg.root.SK[[#This Row],[Price]]/T_reg.root.SK[[#This Row],[Starch content]],"")</f>
        <v>11.184210526315789</v>
      </c>
    </row>
    <row r="3970" spans="1:14">
      <c r="A3970" s="21">
        <v>2024</v>
      </c>
      <c r="B3970" s="21" t="s">
        <v>26</v>
      </c>
      <c r="C3970" s="21" t="s">
        <v>1145</v>
      </c>
      <c r="D3970" s="21" t="s">
        <v>35</v>
      </c>
      <c r="E3970" s="18" t="s">
        <v>507</v>
      </c>
      <c r="F3970" s="18" t="s">
        <v>105</v>
      </c>
      <c r="G3970" s="18" t="s">
        <v>48</v>
      </c>
      <c r="H3970" s="24">
        <v>9420</v>
      </c>
      <c r="I3970" s="24">
        <f>T_reg.root.SK[[#This Row],[Volume, kg]]/1000</f>
        <v>9.42</v>
      </c>
      <c r="J3970" s="25">
        <v>0.27500000000000002</v>
      </c>
      <c r="K3970" s="25">
        <f t="shared" si="61"/>
        <v>2590.5</v>
      </c>
      <c r="L3970" s="25">
        <v>2.95</v>
      </c>
      <c r="M3970" s="24">
        <v>27789</v>
      </c>
      <c r="N3970" s="25">
        <f>IFERROR(T_reg.root.SK[[#This Row],[Price]]/T_reg.root.SK[[#This Row],[Starch content]],"")</f>
        <v>10.727272727272727</v>
      </c>
    </row>
    <row r="3971" spans="1:14">
      <c r="A3971" s="21">
        <v>2024</v>
      </c>
      <c r="B3971" s="21" t="s">
        <v>26</v>
      </c>
      <c r="C3971" s="21" t="s">
        <v>1145</v>
      </c>
      <c r="D3971" s="21" t="s">
        <v>35</v>
      </c>
      <c r="E3971" s="18" t="s">
        <v>174</v>
      </c>
      <c r="F3971" s="18" t="s">
        <v>105</v>
      </c>
      <c r="G3971" s="18" t="s">
        <v>48</v>
      </c>
      <c r="H3971" s="24">
        <v>25460</v>
      </c>
      <c r="I3971" s="24">
        <f>T_reg.root.SK[[#This Row],[Volume, kg]]/1000</f>
        <v>25.46</v>
      </c>
      <c r="J3971" s="25">
        <v>0.21289999999999998</v>
      </c>
      <c r="K3971" s="25">
        <f t="shared" ref="K3971:K4034" si="62">H3971*J3971</f>
        <v>5420.4339999999993</v>
      </c>
      <c r="L3971" s="25">
        <v>2.61</v>
      </c>
      <c r="M3971" s="24">
        <v>66471.5</v>
      </c>
      <c r="N3971" s="25">
        <f>IFERROR(T_reg.root.SK[[#This Row],[Price]]/T_reg.root.SK[[#This Row],[Starch content]],"")</f>
        <v>12.259276655706906</v>
      </c>
    </row>
    <row r="3972" spans="1:14">
      <c r="A3972" s="21">
        <v>2024</v>
      </c>
      <c r="B3972" s="21" t="s">
        <v>26</v>
      </c>
      <c r="C3972" s="21" t="s">
        <v>1145</v>
      </c>
      <c r="D3972" s="21" t="s">
        <v>35</v>
      </c>
      <c r="E3972" s="18" t="s">
        <v>175</v>
      </c>
      <c r="F3972" s="18" t="s">
        <v>105</v>
      </c>
      <c r="G3972" s="18" t="s">
        <v>48</v>
      </c>
      <c r="H3972" s="24">
        <v>2580</v>
      </c>
      <c r="I3972" s="24">
        <f>T_reg.root.SK[[#This Row],[Volume, kg]]/1000</f>
        <v>2.58</v>
      </c>
      <c r="J3972" s="25">
        <v>0.23749999999999999</v>
      </c>
      <c r="K3972" s="25">
        <f t="shared" si="62"/>
        <v>612.75</v>
      </c>
      <c r="L3972" s="25">
        <v>2.9</v>
      </c>
      <c r="M3972" s="24">
        <v>7482</v>
      </c>
      <c r="N3972" s="25">
        <f>IFERROR(T_reg.root.SK[[#This Row],[Price]]/T_reg.root.SK[[#This Row],[Starch content]],"")</f>
        <v>12.210526315789474</v>
      </c>
    </row>
    <row r="3973" spans="1:14">
      <c r="A3973" s="21">
        <v>2024</v>
      </c>
      <c r="B3973" s="21" t="s">
        <v>26</v>
      </c>
      <c r="C3973" s="21" t="s">
        <v>1145</v>
      </c>
      <c r="D3973" s="21" t="s">
        <v>35</v>
      </c>
      <c r="E3973" s="18" t="s">
        <v>176</v>
      </c>
      <c r="F3973" s="18" t="s">
        <v>105</v>
      </c>
      <c r="G3973" s="18" t="s">
        <v>48</v>
      </c>
      <c r="H3973" s="24">
        <v>3410</v>
      </c>
      <c r="I3973" s="24">
        <f>T_reg.root.SK[[#This Row],[Volume, kg]]/1000</f>
        <v>3.41</v>
      </c>
      <c r="J3973" s="25">
        <v>0.18899999999999997</v>
      </c>
      <c r="K3973" s="25">
        <f t="shared" si="62"/>
        <v>644.4899999999999</v>
      </c>
      <c r="L3973" s="25">
        <v>2.4500000000000002</v>
      </c>
      <c r="M3973" s="24">
        <v>8354.5</v>
      </c>
      <c r="N3973" s="25">
        <f>IFERROR(T_reg.root.SK[[#This Row],[Price]]/T_reg.root.SK[[#This Row],[Starch content]],"")</f>
        <v>12.962962962962965</v>
      </c>
    </row>
    <row r="3974" spans="1:14">
      <c r="A3974" s="21">
        <v>2024</v>
      </c>
      <c r="B3974" s="21" t="s">
        <v>26</v>
      </c>
      <c r="C3974" s="21" t="s">
        <v>1145</v>
      </c>
      <c r="D3974" s="21" t="s">
        <v>35</v>
      </c>
      <c r="E3974" s="18" t="s">
        <v>178</v>
      </c>
      <c r="F3974" s="18" t="s">
        <v>105</v>
      </c>
      <c r="G3974" s="18" t="s">
        <v>48</v>
      </c>
      <c r="H3974" s="24">
        <v>8710</v>
      </c>
      <c r="I3974" s="24">
        <f>T_reg.root.SK[[#This Row],[Volume, kg]]/1000</f>
        <v>8.7100000000000009</v>
      </c>
      <c r="J3974" s="25">
        <v>0.22699999999999998</v>
      </c>
      <c r="K3974" s="25">
        <f t="shared" si="62"/>
        <v>1977.1699999999998</v>
      </c>
      <c r="L3974" s="25">
        <v>2.7</v>
      </c>
      <c r="M3974" s="24">
        <v>23517</v>
      </c>
      <c r="N3974" s="25">
        <f>IFERROR(T_reg.root.SK[[#This Row],[Price]]/T_reg.root.SK[[#This Row],[Starch content]],"")</f>
        <v>11.894273127753307</v>
      </c>
    </row>
    <row r="3975" spans="1:14">
      <c r="A3975" s="21">
        <v>2024</v>
      </c>
      <c r="B3975" s="21" t="s">
        <v>26</v>
      </c>
      <c r="C3975" s="21" t="s">
        <v>1145</v>
      </c>
      <c r="D3975" s="21" t="s">
        <v>35</v>
      </c>
      <c r="E3975" s="18" t="s">
        <v>605</v>
      </c>
      <c r="F3975" s="18" t="s">
        <v>105</v>
      </c>
      <c r="G3975" s="18" t="s">
        <v>48</v>
      </c>
      <c r="H3975" s="24">
        <v>374490</v>
      </c>
      <c r="I3975" s="24">
        <f>T_reg.root.SK[[#This Row],[Volume, kg]]/1000</f>
        <v>374.49</v>
      </c>
      <c r="J3975" s="25">
        <v>0.22420000000000001</v>
      </c>
      <c r="K3975" s="25">
        <f t="shared" si="62"/>
        <v>83960.65800000001</v>
      </c>
      <c r="L3975" s="25">
        <v>2.68</v>
      </c>
      <c r="M3975" s="24">
        <v>1003419</v>
      </c>
      <c r="N3975" s="25">
        <f>IFERROR(T_reg.root.SK[[#This Row],[Price]]/T_reg.root.SK[[#This Row],[Starch content]],"")</f>
        <v>11.953612845673506</v>
      </c>
    </row>
    <row r="3976" spans="1:14">
      <c r="A3976" s="21">
        <v>2024</v>
      </c>
      <c r="B3976" s="21" t="s">
        <v>26</v>
      </c>
      <c r="C3976" s="21" t="s">
        <v>1145</v>
      </c>
      <c r="D3976" s="21" t="s">
        <v>35</v>
      </c>
      <c r="E3976" s="18" t="s">
        <v>259</v>
      </c>
      <c r="F3976" s="18" t="s">
        <v>105</v>
      </c>
      <c r="G3976" s="18" t="s">
        <v>48</v>
      </c>
      <c r="H3976" s="24">
        <v>19590</v>
      </c>
      <c r="I3976" s="24">
        <f>T_reg.root.SK[[#This Row],[Volume, kg]]/1000</f>
        <v>19.59</v>
      </c>
      <c r="J3976" s="25">
        <v>0.27160000000000001</v>
      </c>
      <c r="K3976" s="25">
        <f t="shared" si="62"/>
        <v>5320.6440000000002</v>
      </c>
      <c r="L3976" s="25">
        <v>2.95</v>
      </c>
      <c r="M3976" s="24">
        <v>57822.5</v>
      </c>
      <c r="N3976" s="25">
        <f>IFERROR(T_reg.root.SK[[#This Row],[Price]]/T_reg.root.SK[[#This Row],[Starch content]],"")</f>
        <v>10.861561119293079</v>
      </c>
    </row>
    <row r="3977" spans="1:14">
      <c r="A3977" s="21">
        <v>2024</v>
      </c>
      <c r="B3977" s="21" t="s">
        <v>26</v>
      </c>
      <c r="C3977" s="21" t="s">
        <v>1145</v>
      </c>
      <c r="D3977" s="21" t="s">
        <v>35</v>
      </c>
      <c r="E3977" s="18" t="s">
        <v>179</v>
      </c>
      <c r="F3977" s="18" t="s">
        <v>105</v>
      </c>
      <c r="G3977" s="18" t="s">
        <v>48</v>
      </c>
      <c r="H3977" s="24">
        <v>30030</v>
      </c>
      <c r="I3977" s="24">
        <f>T_reg.root.SK[[#This Row],[Volume, kg]]/1000</f>
        <v>30.03</v>
      </c>
      <c r="J3977" s="25">
        <v>0.23129999999999998</v>
      </c>
      <c r="K3977" s="25">
        <f t="shared" si="62"/>
        <v>6945.9389999999994</v>
      </c>
      <c r="L3977" s="25">
        <v>2.83</v>
      </c>
      <c r="M3977" s="24">
        <v>85132</v>
      </c>
      <c r="N3977" s="25">
        <f>IFERROR(T_reg.root.SK[[#This Row],[Price]]/T_reg.root.SK[[#This Row],[Starch content]],"")</f>
        <v>12.235192390834415</v>
      </c>
    </row>
    <row r="3978" spans="1:14">
      <c r="A3978" s="21">
        <v>2024</v>
      </c>
      <c r="B3978" s="21" t="s">
        <v>26</v>
      </c>
      <c r="C3978" s="21" t="s">
        <v>1145</v>
      </c>
      <c r="D3978" s="21" t="s">
        <v>35</v>
      </c>
      <c r="E3978" s="18" t="s">
        <v>640</v>
      </c>
      <c r="F3978" s="18" t="s">
        <v>105</v>
      </c>
      <c r="G3978" s="18" t="s">
        <v>48</v>
      </c>
      <c r="H3978" s="24">
        <v>41510</v>
      </c>
      <c r="I3978" s="24">
        <f>T_reg.root.SK[[#This Row],[Volume, kg]]/1000</f>
        <v>41.51</v>
      </c>
      <c r="J3978" s="25">
        <v>0.2404</v>
      </c>
      <c r="K3978" s="25">
        <f t="shared" si="62"/>
        <v>9979.0040000000008</v>
      </c>
      <c r="L3978" s="25">
        <v>2.75</v>
      </c>
      <c r="M3978" s="24">
        <v>113973.5</v>
      </c>
      <c r="N3978" s="25">
        <f>IFERROR(T_reg.root.SK[[#This Row],[Price]]/T_reg.root.SK[[#This Row],[Starch content]],"")</f>
        <v>11.439267886855241</v>
      </c>
    </row>
    <row r="3979" spans="1:14">
      <c r="A3979" s="21">
        <v>2024</v>
      </c>
      <c r="B3979" s="21" t="s">
        <v>26</v>
      </c>
      <c r="C3979" s="21" t="s">
        <v>1145</v>
      </c>
      <c r="D3979" s="21" t="s">
        <v>35</v>
      </c>
      <c r="E3979" s="18" t="s">
        <v>829</v>
      </c>
      <c r="F3979" s="18" t="s">
        <v>105</v>
      </c>
      <c r="G3979" s="18" t="s">
        <v>48</v>
      </c>
      <c r="H3979" s="24">
        <v>126670</v>
      </c>
      <c r="I3979" s="24">
        <f>T_reg.root.SK[[#This Row],[Volume, kg]]/1000</f>
        <v>126.67</v>
      </c>
      <c r="J3979" s="25">
        <v>0.22989999999999999</v>
      </c>
      <c r="K3979" s="25">
        <f t="shared" si="62"/>
        <v>29121.433000000001</v>
      </c>
      <c r="L3979" s="25">
        <v>2.71</v>
      </c>
      <c r="M3979" s="24">
        <v>343640</v>
      </c>
      <c r="N3979" s="25">
        <f>IFERROR(T_reg.root.SK[[#This Row],[Price]]/T_reg.root.SK[[#This Row],[Starch content]],"")</f>
        <v>11.787733797303176</v>
      </c>
    </row>
    <row r="3980" spans="1:14">
      <c r="A3980" s="21">
        <v>2024</v>
      </c>
      <c r="B3980" s="21" t="s">
        <v>26</v>
      </c>
      <c r="C3980" s="21" t="s">
        <v>1145</v>
      </c>
      <c r="D3980" s="21" t="s">
        <v>35</v>
      </c>
      <c r="E3980" s="18" t="s">
        <v>183</v>
      </c>
      <c r="F3980" s="18" t="s">
        <v>105</v>
      </c>
      <c r="G3980" s="18" t="s">
        <v>48</v>
      </c>
      <c r="H3980" s="24">
        <v>55150</v>
      </c>
      <c r="I3980" s="24">
        <f>T_reg.root.SK[[#This Row],[Volume, kg]]/1000</f>
        <v>55.15</v>
      </c>
      <c r="J3980" s="25">
        <v>0.22739999999999999</v>
      </c>
      <c r="K3980" s="25">
        <f t="shared" si="62"/>
        <v>12541.109999999999</v>
      </c>
      <c r="L3980" s="25">
        <v>2.79</v>
      </c>
      <c r="M3980" s="24">
        <v>153629.5</v>
      </c>
      <c r="N3980" s="25">
        <f>IFERROR(T_reg.root.SK[[#This Row],[Price]]/T_reg.root.SK[[#This Row],[Starch content]],"")</f>
        <v>12.269129287598945</v>
      </c>
    </row>
    <row r="3981" spans="1:14">
      <c r="A3981" s="21">
        <v>2024</v>
      </c>
      <c r="B3981" s="21" t="s">
        <v>26</v>
      </c>
      <c r="C3981" s="21" t="s">
        <v>1145</v>
      </c>
      <c r="D3981" s="21" t="s">
        <v>35</v>
      </c>
      <c r="E3981" s="18" t="s">
        <v>330</v>
      </c>
      <c r="F3981" s="18" t="s">
        <v>187</v>
      </c>
      <c r="G3981" s="18" t="s">
        <v>48</v>
      </c>
      <c r="H3981" s="24">
        <v>112140</v>
      </c>
      <c r="I3981" s="24">
        <f>T_reg.root.SK[[#This Row],[Volume, kg]]/1000</f>
        <v>112.14</v>
      </c>
      <c r="J3981" s="25">
        <v>0.23010000000000003</v>
      </c>
      <c r="K3981" s="25">
        <f t="shared" si="62"/>
        <v>25803.414000000004</v>
      </c>
      <c r="L3981" s="25">
        <v>2.77</v>
      </c>
      <c r="M3981" s="24">
        <v>311101.5</v>
      </c>
      <c r="N3981" s="25">
        <f>IFERROR(T_reg.root.SK[[#This Row],[Price]]/T_reg.root.SK[[#This Row],[Starch content]],"")</f>
        <v>12.038244241634072</v>
      </c>
    </row>
    <row r="3982" spans="1:14">
      <c r="A3982" s="21">
        <v>2024</v>
      </c>
      <c r="B3982" s="21" t="s">
        <v>26</v>
      </c>
      <c r="C3982" s="21" t="s">
        <v>1145</v>
      </c>
      <c r="D3982" s="21" t="s">
        <v>35</v>
      </c>
      <c r="E3982" s="18" t="s">
        <v>579</v>
      </c>
      <c r="F3982" s="18" t="s">
        <v>187</v>
      </c>
      <c r="G3982" s="18" t="s">
        <v>48</v>
      </c>
      <c r="H3982" s="24">
        <v>57330</v>
      </c>
      <c r="I3982" s="24">
        <f>T_reg.root.SK[[#This Row],[Volume, kg]]/1000</f>
        <v>57.33</v>
      </c>
      <c r="J3982" s="25">
        <v>0.22670000000000001</v>
      </c>
      <c r="K3982" s="25">
        <f t="shared" si="62"/>
        <v>12996.711000000001</v>
      </c>
      <c r="L3982" s="25">
        <v>2.89</v>
      </c>
      <c r="M3982" s="24">
        <v>165741</v>
      </c>
      <c r="N3982" s="25">
        <f>IFERROR(T_reg.root.SK[[#This Row],[Price]]/T_reg.root.SK[[#This Row],[Starch content]],"")</f>
        <v>12.748125275694751</v>
      </c>
    </row>
    <row r="3983" spans="1:14">
      <c r="A3983" s="21">
        <v>2024</v>
      </c>
      <c r="B3983" s="21" t="s">
        <v>26</v>
      </c>
      <c r="C3983" s="21" t="s">
        <v>1145</v>
      </c>
      <c r="D3983" s="21" t="s">
        <v>35</v>
      </c>
      <c r="E3983" s="18" t="s">
        <v>188</v>
      </c>
      <c r="F3983" s="18" t="s">
        <v>187</v>
      </c>
      <c r="G3983" s="18" t="s">
        <v>48</v>
      </c>
      <c r="H3983" s="24">
        <v>8840</v>
      </c>
      <c r="I3983" s="24">
        <f>T_reg.root.SK[[#This Row],[Volume, kg]]/1000</f>
        <v>8.84</v>
      </c>
      <c r="J3983" s="25">
        <v>0.2515</v>
      </c>
      <c r="K3983" s="25">
        <f t="shared" si="62"/>
        <v>2223.2600000000002</v>
      </c>
      <c r="L3983" s="25">
        <v>2.85</v>
      </c>
      <c r="M3983" s="24">
        <v>25194</v>
      </c>
      <c r="N3983" s="25">
        <f>IFERROR(T_reg.root.SK[[#This Row],[Price]]/T_reg.root.SK[[#This Row],[Starch content]],"")</f>
        <v>11.332007952286283</v>
      </c>
    </row>
    <row r="3984" spans="1:14">
      <c r="A3984" s="21">
        <v>2024</v>
      </c>
      <c r="B3984" s="21" t="s">
        <v>26</v>
      </c>
      <c r="C3984" s="21" t="s">
        <v>1145</v>
      </c>
      <c r="D3984" s="21" t="s">
        <v>35</v>
      </c>
      <c r="E3984" s="18" t="s">
        <v>190</v>
      </c>
      <c r="F3984" s="18" t="s">
        <v>187</v>
      </c>
      <c r="G3984" s="18" t="s">
        <v>48</v>
      </c>
      <c r="H3984" s="24">
        <v>75610</v>
      </c>
      <c r="I3984" s="24">
        <f>T_reg.root.SK[[#This Row],[Volume, kg]]/1000</f>
        <v>75.61</v>
      </c>
      <c r="J3984" s="25">
        <v>0.193</v>
      </c>
      <c r="K3984" s="25">
        <f t="shared" si="62"/>
        <v>14592.73</v>
      </c>
      <c r="L3984" s="25">
        <v>2.57</v>
      </c>
      <c r="M3984" s="24">
        <v>194198.5</v>
      </c>
      <c r="N3984" s="25">
        <f>IFERROR(T_reg.root.SK[[#This Row],[Price]]/T_reg.root.SK[[#This Row],[Starch content]],"")</f>
        <v>13.316062176165802</v>
      </c>
    </row>
    <row r="3985" spans="1:14">
      <c r="A3985" s="21">
        <v>2024</v>
      </c>
      <c r="B3985" s="21" t="s">
        <v>26</v>
      </c>
      <c r="C3985" s="21" t="s">
        <v>1145</v>
      </c>
      <c r="D3985" s="21" t="s">
        <v>35</v>
      </c>
      <c r="E3985" s="18" t="s">
        <v>510</v>
      </c>
      <c r="F3985" s="18" t="s">
        <v>187</v>
      </c>
      <c r="G3985" s="18" t="s">
        <v>48</v>
      </c>
      <c r="H3985" s="24">
        <v>19500</v>
      </c>
      <c r="I3985" s="24">
        <f>T_reg.root.SK[[#This Row],[Volume, kg]]/1000</f>
        <v>19.5</v>
      </c>
      <c r="J3985" s="25">
        <v>0.18909999999999999</v>
      </c>
      <c r="K3985" s="25">
        <f t="shared" si="62"/>
        <v>3687.45</v>
      </c>
      <c r="L3985" s="25">
        <v>2.6</v>
      </c>
      <c r="M3985" s="24">
        <v>50644</v>
      </c>
      <c r="N3985" s="25">
        <f>IFERROR(T_reg.root.SK[[#This Row],[Price]]/T_reg.root.SK[[#This Row],[Starch content]],"")</f>
        <v>13.749338974087786</v>
      </c>
    </row>
    <row r="3986" spans="1:14">
      <c r="A3986" s="21">
        <v>2024</v>
      </c>
      <c r="B3986" s="21" t="s">
        <v>26</v>
      </c>
      <c r="C3986" s="21" t="s">
        <v>1145</v>
      </c>
      <c r="D3986" s="21" t="s">
        <v>35</v>
      </c>
      <c r="E3986" s="18" t="s">
        <v>370</v>
      </c>
      <c r="F3986" s="18" t="s">
        <v>187</v>
      </c>
      <c r="G3986" s="18" t="s">
        <v>48</v>
      </c>
      <c r="H3986" s="24">
        <v>25840</v>
      </c>
      <c r="I3986" s="24">
        <f>T_reg.root.SK[[#This Row],[Volume, kg]]/1000</f>
        <v>25.84</v>
      </c>
      <c r="J3986" s="25">
        <v>0.25659999999999999</v>
      </c>
      <c r="K3986" s="25">
        <f t="shared" si="62"/>
        <v>6630.5439999999999</v>
      </c>
      <c r="L3986" s="25">
        <v>2.92</v>
      </c>
      <c r="M3986" s="24">
        <v>75471.5</v>
      </c>
      <c r="N3986" s="25">
        <f>IFERROR(T_reg.root.SK[[#This Row],[Price]]/T_reg.root.SK[[#This Row],[Starch content]],"")</f>
        <v>11.379579111457522</v>
      </c>
    </row>
    <row r="3987" spans="1:14">
      <c r="A3987" s="21">
        <v>2024</v>
      </c>
      <c r="B3987" s="21" t="s">
        <v>26</v>
      </c>
      <c r="C3987" s="21" t="s">
        <v>1145</v>
      </c>
      <c r="D3987" s="21" t="s">
        <v>35</v>
      </c>
      <c r="E3987" s="18" t="s">
        <v>581</v>
      </c>
      <c r="F3987" s="18" t="s">
        <v>187</v>
      </c>
      <c r="G3987" s="18" t="s">
        <v>48</v>
      </c>
      <c r="H3987" s="24">
        <v>147640</v>
      </c>
      <c r="I3987" s="24">
        <f>T_reg.root.SK[[#This Row],[Volume, kg]]/1000</f>
        <v>147.63999999999999</v>
      </c>
      <c r="J3987" s="25">
        <v>0.1888</v>
      </c>
      <c r="K3987" s="25">
        <f t="shared" si="62"/>
        <v>27874.432000000001</v>
      </c>
      <c r="L3987" s="25">
        <v>2.62</v>
      </c>
      <c r="M3987" s="24">
        <v>386912</v>
      </c>
      <c r="N3987" s="25">
        <f>IFERROR(T_reg.root.SK[[#This Row],[Price]]/T_reg.root.SK[[#This Row],[Starch content]],"")</f>
        <v>13.877118644067798</v>
      </c>
    </row>
    <row r="3988" spans="1:14">
      <c r="A3988" s="21">
        <v>2024</v>
      </c>
      <c r="B3988" s="21" t="s">
        <v>26</v>
      </c>
      <c r="C3988" s="21" t="s">
        <v>1145</v>
      </c>
      <c r="D3988" s="21" t="s">
        <v>35</v>
      </c>
      <c r="E3988" s="18" t="s">
        <v>583</v>
      </c>
      <c r="F3988" s="18" t="s">
        <v>187</v>
      </c>
      <c r="G3988" s="18" t="s">
        <v>48</v>
      </c>
      <c r="H3988" s="24">
        <v>25540</v>
      </c>
      <c r="I3988" s="24">
        <f>T_reg.root.SK[[#This Row],[Volume, kg]]/1000</f>
        <v>25.54</v>
      </c>
      <c r="J3988" s="25">
        <v>0.22820000000000001</v>
      </c>
      <c r="K3988" s="25">
        <f t="shared" si="62"/>
        <v>5828.2280000000001</v>
      </c>
      <c r="L3988" s="25">
        <v>2.75</v>
      </c>
      <c r="M3988" s="24">
        <v>70197.5</v>
      </c>
      <c r="N3988" s="25">
        <f>IFERROR(T_reg.root.SK[[#This Row],[Price]]/T_reg.root.SK[[#This Row],[Starch content]],"")</f>
        <v>12.050832602979842</v>
      </c>
    </row>
    <row r="3989" spans="1:14">
      <c r="A3989" s="21">
        <v>2024</v>
      </c>
      <c r="B3989" s="21" t="s">
        <v>26</v>
      </c>
      <c r="C3989" s="21" t="s">
        <v>1145</v>
      </c>
      <c r="D3989" s="21" t="s">
        <v>35</v>
      </c>
      <c r="E3989" s="18" t="s">
        <v>261</v>
      </c>
      <c r="F3989" s="18" t="s">
        <v>187</v>
      </c>
      <c r="G3989" s="18" t="s">
        <v>48</v>
      </c>
      <c r="H3989" s="24">
        <v>24400</v>
      </c>
      <c r="I3989" s="24">
        <f>T_reg.root.SK[[#This Row],[Volume, kg]]/1000</f>
        <v>24.4</v>
      </c>
      <c r="J3989" s="25">
        <v>0.22089999999999999</v>
      </c>
      <c r="K3989" s="25">
        <f t="shared" si="62"/>
        <v>5389.96</v>
      </c>
      <c r="L3989" s="25">
        <v>2.79</v>
      </c>
      <c r="M3989" s="24">
        <v>68114</v>
      </c>
      <c r="N3989" s="25">
        <f>IFERROR(T_reg.root.SK[[#This Row],[Price]]/T_reg.root.SK[[#This Row],[Starch content]],"")</f>
        <v>12.630149388863741</v>
      </c>
    </row>
    <row r="3990" spans="1:14">
      <c r="A3990" s="21">
        <v>2024</v>
      </c>
      <c r="B3990" s="21" t="s">
        <v>26</v>
      </c>
      <c r="C3990" s="21" t="s">
        <v>1145</v>
      </c>
      <c r="D3990" s="21" t="s">
        <v>35</v>
      </c>
      <c r="E3990" s="18" t="s">
        <v>262</v>
      </c>
      <c r="F3990" s="18" t="s">
        <v>187</v>
      </c>
      <c r="G3990" s="18" t="s">
        <v>48</v>
      </c>
      <c r="H3990" s="24">
        <v>18550</v>
      </c>
      <c r="I3990" s="24">
        <f>T_reg.root.SK[[#This Row],[Volume, kg]]/1000</f>
        <v>18.55</v>
      </c>
      <c r="J3990" s="25">
        <v>0.21890000000000001</v>
      </c>
      <c r="K3990" s="25">
        <f t="shared" si="62"/>
        <v>4060.5950000000003</v>
      </c>
      <c r="L3990" s="25">
        <v>2.67</v>
      </c>
      <c r="M3990" s="24">
        <v>49613</v>
      </c>
      <c r="N3990" s="25">
        <f>IFERROR(T_reg.root.SK[[#This Row],[Price]]/T_reg.root.SK[[#This Row],[Starch content]],"")</f>
        <v>12.197350388305161</v>
      </c>
    </row>
    <row r="3991" spans="1:14">
      <c r="A3991" s="21">
        <v>2024</v>
      </c>
      <c r="B3991" s="21" t="s">
        <v>26</v>
      </c>
      <c r="C3991" s="21" t="s">
        <v>1145</v>
      </c>
      <c r="D3991" s="21" t="s">
        <v>35</v>
      </c>
      <c r="E3991" s="18" t="s">
        <v>515</v>
      </c>
      <c r="F3991" s="18" t="s">
        <v>187</v>
      </c>
      <c r="G3991" s="18" t="s">
        <v>48</v>
      </c>
      <c r="H3991" s="24">
        <v>37380</v>
      </c>
      <c r="I3991" s="24">
        <f>T_reg.root.SK[[#This Row],[Volume, kg]]/1000</f>
        <v>37.380000000000003</v>
      </c>
      <c r="J3991" s="25">
        <v>0.19800000000000001</v>
      </c>
      <c r="K3991" s="25">
        <f t="shared" si="62"/>
        <v>7401.2400000000007</v>
      </c>
      <c r="L3991" s="25">
        <v>2.62</v>
      </c>
      <c r="M3991" s="24">
        <v>97948</v>
      </c>
      <c r="N3991" s="25">
        <f>IFERROR(T_reg.root.SK[[#This Row],[Price]]/T_reg.root.SK[[#This Row],[Starch content]],"")</f>
        <v>13.232323232323232</v>
      </c>
    </row>
    <row r="3992" spans="1:14">
      <c r="A3992" s="21">
        <v>2024</v>
      </c>
      <c r="B3992" s="21" t="s">
        <v>26</v>
      </c>
      <c r="C3992" s="21" t="s">
        <v>1145</v>
      </c>
      <c r="D3992" s="21" t="s">
        <v>35</v>
      </c>
      <c r="E3992" s="18" t="s">
        <v>263</v>
      </c>
      <c r="F3992" s="18" t="s">
        <v>187</v>
      </c>
      <c r="G3992" s="18" t="s">
        <v>48</v>
      </c>
      <c r="H3992" s="24">
        <v>15160</v>
      </c>
      <c r="I3992" s="24">
        <f>T_reg.root.SK[[#This Row],[Volume, kg]]/1000</f>
        <v>15.16</v>
      </c>
      <c r="J3992" s="25">
        <v>0.19600000000000001</v>
      </c>
      <c r="K3992" s="25">
        <f t="shared" si="62"/>
        <v>2971.36</v>
      </c>
      <c r="L3992" s="25">
        <v>2.57</v>
      </c>
      <c r="M3992" s="24">
        <v>38986.5</v>
      </c>
      <c r="N3992" s="25">
        <f>IFERROR(T_reg.root.SK[[#This Row],[Price]]/T_reg.root.SK[[#This Row],[Starch content]],"")</f>
        <v>13.112244897959183</v>
      </c>
    </row>
    <row r="3993" spans="1:14">
      <c r="A3993" s="21">
        <v>2024</v>
      </c>
      <c r="B3993" s="21" t="s">
        <v>26</v>
      </c>
      <c r="C3993" s="21" t="s">
        <v>1145</v>
      </c>
      <c r="D3993" s="21" t="s">
        <v>35</v>
      </c>
      <c r="E3993" s="18" t="s">
        <v>830</v>
      </c>
      <c r="F3993" s="18" t="s">
        <v>187</v>
      </c>
      <c r="G3993" s="18" t="s">
        <v>48</v>
      </c>
      <c r="H3993" s="24">
        <v>11230</v>
      </c>
      <c r="I3993" s="24">
        <f>T_reg.root.SK[[#This Row],[Volume, kg]]/1000</f>
        <v>11.23</v>
      </c>
      <c r="J3993" s="25">
        <v>0.20499999999999999</v>
      </c>
      <c r="K3993" s="25">
        <f t="shared" si="62"/>
        <v>2302.1499999999996</v>
      </c>
      <c r="L3993" s="25">
        <v>2.65</v>
      </c>
      <c r="M3993" s="24">
        <v>29759.5</v>
      </c>
      <c r="N3993" s="25">
        <f>IFERROR(T_reg.root.SK[[#This Row],[Price]]/T_reg.root.SK[[#This Row],[Starch content]],"")</f>
        <v>12.926829268292684</v>
      </c>
    </row>
    <row r="3994" spans="1:14">
      <c r="A3994" s="21">
        <v>2024</v>
      </c>
      <c r="B3994" s="21" t="s">
        <v>26</v>
      </c>
      <c r="C3994" s="21" t="s">
        <v>1145</v>
      </c>
      <c r="D3994" s="21" t="s">
        <v>35</v>
      </c>
      <c r="E3994" s="18" t="s">
        <v>813</v>
      </c>
      <c r="F3994" s="18" t="s">
        <v>187</v>
      </c>
      <c r="G3994" s="18" t="s">
        <v>48</v>
      </c>
      <c r="H3994" s="24">
        <v>37160</v>
      </c>
      <c r="I3994" s="24">
        <f>T_reg.root.SK[[#This Row],[Volume, kg]]/1000</f>
        <v>37.159999999999997</v>
      </c>
      <c r="J3994" s="25">
        <v>0.19409999999999999</v>
      </c>
      <c r="K3994" s="25">
        <f t="shared" si="62"/>
        <v>7212.7559999999994</v>
      </c>
      <c r="L3994" s="25">
        <v>2.69</v>
      </c>
      <c r="M3994" s="24">
        <v>99936.5</v>
      </c>
      <c r="N3994" s="25">
        <f>IFERROR(T_reg.root.SK[[#This Row],[Price]]/T_reg.root.SK[[#This Row],[Starch content]],"")</f>
        <v>13.858835651725915</v>
      </c>
    </row>
    <row r="3995" spans="1:14">
      <c r="A3995" s="21">
        <v>2024</v>
      </c>
      <c r="B3995" s="21" t="s">
        <v>26</v>
      </c>
      <c r="C3995" s="21" t="s">
        <v>1145</v>
      </c>
      <c r="D3995" s="21" t="s">
        <v>35</v>
      </c>
      <c r="E3995" s="18" t="s">
        <v>590</v>
      </c>
      <c r="F3995" s="18" t="s">
        <v>187</v>
      </c>
      <c r="G3995" s="18" t="s">
        <v>48</v>
      </c>
      <c r="H3995" s="24">
        <v>49260</v>
      </c>
      <c r="I3995" s="24">
        <f>T_reg.root.SK[[#This Row],[Volume, kg]]/1000</f>
        <v>49.26</v>
      </c>
      <c r="J3995" s="25">
        <v>0.251</v>
      </c>
      <c r="K3995" s="25">
        <f t="shared" si="62"/>
        <v>12364.26</v>
      </c>
      <c r="L3995" s="25">
        <v>2.84</v>
      </c>
      <c r="M3995" s="24">
        <v>140061.5</v>
      </c>
      <c r="N3995" s="25">
        <f>IFERROR(T_reg.root.SK[[#This Row],[Price]]/T_reg.root.SK[[#This Row],[Starch content]],"")</f>
        <v>11.314741035856573</v>
      </c>
    </row>
    <row r="3996" spans="1:14">
      <c r="A3996" s="21">
        <v>2024</v>
      </c>
      <c r="B3996" s="21" t="s">
        <v>26</v>
      </c>
      <c r="C3996" s="21" t="s">
        <v>1145</v>
      </c>
      <c r="D3996" s="21" t="s">
        <v>35</v>
      </c>
      <c r="E3996" s="18" t="s">
        <v>264</v>
      </c>
      <c r="F3996" s="18" t="s">
        <v>187</v>
      </c>
      <c r="G3996" s="18" t="s">
        <v>48</v>
      </c>
      <c r="H3996" s="24">
        <v>74280</v>
      </c>
      <c r="I3996" s="24">
        <f>T_reg.root.SK[[#This Row],[Volume, kg]]/1000</f>
        <v>74.28</v>
      </c>
      <c r="J3996" s="25">
        <v>0.20440000000000003</v>
      </c>
      <c r="K3996" s="25">
        <f t="shared" si="62"/>
        <v>15182.832000000002</v>
      </c>
      <c r="L3996" s="25">
        <v>2.62</v>
      </c>
      <c r="M3996" s="24">
        <v>194973</v>
      </c>
      <c r="N3996" s="25">
        <f>IFERROR(T_reg.root.SK[[#This Row],[Price]]/T_reg.root.SK[[#This Row],[Starch content]],"")</f>
        <v>12.818003913894323</v>
      </c>
    </row>
    <row r="3997" spans="1:14">
      <c r="A3997" s="21">
        <v>2024</v>
      </c>
      <c r="B3997" s="21" t="s">
        <v>26</v>
      </c>
      <c r="C3997" s="21" t="s">
        <v>1145</v>
      </c>
      <c r="D3997" s="21" t="s">
        <v>35</v>
      </c>
      <c r="E3997" s="18" t="s">
        <v>523</v>
      </c>
      <c r="F3997" s="18" t="s">
        <v>187</v>
      </c>
      <c r="G3997" s="18" t="s">
        <v>48</v>
      </c>
      <c r="H3997" s="24">
        <v>77990</v>
      </c>
      <c r="I3997" s="24">
        <f>T_reg.root.SK[[#This Row],[Volume, kg]]/1000</f>
        <v>77.989999999999995</v>
      </c>
      <c r="J3997" s="25">
        <v>0.24840000000000001</v>
      </c>
      <c r="K3997" s="25">
        <f t="shared" si="62"/>
        <v>19372.716</v>
      </c>
      <c r="L3997" s="25">
        <v>2.85</v>
      </c>
      <c r="M3997" s="24">
        <v>222046.5</v>
      </c>
      <c r="N3997" s="25">
        <f>IFERROR(T_reg.root.SK[[#This Row],[Price]]/T_reg.root.SK[[#This Row],[Starch content]],"")</f>
        <v>11.473429951690822</v>
      </c>
    </row>
    <row r="3998" spans="1:14">
      <c r="A3998" s="21">
        <v>2024</v>
      </c>
      <c r="B3998" s="21" t="s">
        <v>26</v>
      </c>
      <c r="C3998" s="21" t="s">
        <v>1145</v>
      </c>
      <c r="D3998" s="21" t="s">
        <v>35</v>
      </c>
      <c r="E3998" s="18" t="s">
        <v>196</v>
      </c>
      <c r="F3998" s="18" t="s">
        <v>187</v>
      </c>
      <c r="G3998" s="18" t="s">
        <v>48</v>
      </c>
      <c r="H3998" s="24">
        <v>40230</v>
      </c>
      <c r="I3998" s="24">
        <f>T_reg.root.SK[[#This Row],[Volume, kg]]/1000</f>
        <v>40.229999999999997</v>
      </c>
      <c r="J3998" s="25">
        <v>0.22210000000000002</v>
      </c>
      <c r="K3998" s="25">
        <f t="shared" si="62"/>
        <v>8935.0830000000005</v>
      </c>
      <c r="L3998" s="25">
        <v>2.69</v>
      </c>
      <c r="M3998" s="24">
        <v>108118</v>
      </c>
      <c r="N3998" s="25">
        <f>IFERROR(T_reg.root.SK[[#This Row],[Price]]/T_reg.root.SK[[#This Row],[Starch content]],"")</f>
        <v>12.111661413777576</v>
      </c>
    </row>
    <row r="3999" spans="1:14">
      <c r="A3999" s="21">
        <v>2024</v>
      </c>
      <c r="B3999" s="21" t="s">
        <v>26</v>
      </c>
      <c r="C3999" s="21" t="s">
        <v>1145</v>
      </c>
      <c r="D3999" s="21" t="s">
        <v>35</v>
      </c>
      <c r="E3999" s="18" t="s">
        <v>610</v>
      </c>
      <c r="F3999" s="18" t="s">
        <v>187</v>
      </c>
      <c r="G3999" s="18" t="s">
        <v>48</v>
      </c>
      <c r="H3999" s="24">
        <v>6150</v>
      </c>
      <c r="I3999" s="24">
        <f>T_reg.root.SK[[#This Row],[Volume, kg]]/1000</f>
        <v>6.15</v>
      </c>
      <c r="J3999" s="25">
        <v>0.25750000000000001</v>
      </c>
      <c r="K3999" s="25">
        <f t="shared" si="62"/>
        <v>1583.625</v>
      </c>
      <c r="L3999" s="25">
        <v>2.9</v>
      </c>
      <c r="M3999" s="24">
        <v>17835</v>
      </c>
      <c r="N3999" s="25">
        <f>IFERROR(T_reg.root.SK[[#This Row],[Price]]/T_reg.root.SK[[#This Row],[Starch content]],"")</f>
        <v>11.262135922330096</v>
      </c>
    </row>
    <row r="4000" spans="1:14">
      <c r="A4000" s="21">
        <v>2024</v>
      </c>
      <c r="B4000" s="21" t="s">
        <v>26</v>
      </c>
      <c r="C4000" s="21" t="s">
        <v>1145</v>
      </c>
      <c r="D4000" s="21" t="s">
        <v>35</v>
      </c>
      <c r="E4000" s="18" t="s">
        <v>197</v>
      </c>
      <c r="F4000" s="18" t="s">
        <v>187</v>
      </c>
      <c r="G4000" s="18" t="s">
        <v>48</v>
      </c>
      <c r="H4000" s="24">
        <v>7140</v>
      </c>
      <c r="I4000" s="24">
        <f>T_reg.root.SK[[#This Row],[Volume, kg]]/1000</f>
        <v>7.14</v>
      </c>
      <c r="J4000" s="25">
        <v>0.16170000000000001</v>
      </c>
      <c r="K4000" s="25">
        <f t="shared" si="62"/>
        <v>1154.538</v>
      </c>
      <c r="L4000" s="25">
        <v>2.5499999999999998</v>
      </c>
      <c r="M4000" s="24">
        <v>18207</v>
      </c>
      <c r="N4000" s="25">
        <f>IFERROR(T_reg.root.SK[[#This Row],[Price]]/T_reg.root.SK[[#This Row],[Starch content]],"")</f>
        <v>15.769944341372911</v>
      </c>
    </row>
    <row r="4001" spans="1:14">
      <c r="A4001" s="21">
        <v>2024</v>
      </c>
      <c r="B4001" s="21" t="s">
        <v>26</v>
      </c>
      <c r="C4001" s="21" t="s">
        <v>1145</v>
      </c>
      <c r="D4001" s="21" t="s">
        <v>35</v>
      </c>
      <c r="E4001" s="18" t="s">
        <v>650</v>
      </c>
      <c r="F4001" s="18" t="s">
        <v>187</v>
      </c>
      <c r="G4001" s="18" t="s">
        <v>48</v>
      </c>
      <c r="H4001" s="24">
        <v>93150</v>
      </c>
      <c r="I4001" s="24">
        <f>T_reg.root.SK[[#This Row],[Volume, kg]]/1000</f>
        <v>93.15</v>
      </c>
      <c r="J4001" s="25">
        <v>0.21929999999999999</v>
      </c>
      <c r="K4001" s="25">
        <f t="shared" si="62"/>
        <v>20427.794999999998</v>
      </c>
      <c r="L4001" s="25">
        <v>2.83</v>
      </c>
      <c r="M4001" s="24">
        <v>263715.5</v>
      </c>
      <c r="N4001" s="25">
        <f>IFERROR(T_reg.root.SK[[#This Row],[Price]]/T_reg.root.SK[[#This Row],[Starch content]],"")</f>
        <v>12.904696762425901</v>
      </c>
    </row>
    <row r="4002" spans="1:14">
      <c r="A4002" s="21">
        <v>2024</v>
      </c>
      <c r="B4002" s="21" t="s">
        <v>26</v>
      </c>
      <c r="C4002" s="21" t="s">
        <v>1145</v>
      </c>
      <c r="D4002" s="21" t="s">
        <v>35</v>
      </c>
      <c r="E4002" s="18" t="s">
        <v>525</v>
      </c>
      <c r="F4002" s="18" t="s">
        <v>187</v>
      </c>
      <c r="G4002" s="18" t="s">
        <v>48</v>
      </c>
      <c r="H4002" s="24">
        <v>18330</v>
      </c>
      <c r="I4002" s="24">
        <f>T_reg.root.SK[[#This Row],[Volume, kg]]/1000</f>
        <v>18.329999999999998</v>
      </c>
      <c r="J4002" s="25">
        <v>0.23180000000000001</v>
      </c>
      <c r="K4002" s="25">
        <f t="shared" si="62"/>
        <v>4248.8940000000002</v>
      </c>
      <c r="L4002" s="25">
        <v>2.82</v>
      </c>
      <c r="M4002" s="24">
        <v>51621</v>
      </c>
      <c r="N4002" s="25">
        <f>IFERROR(T_reg.root.SK[[#This Row],[Price]]/T_reg.root.SK[[#This Row],[Starch content]],"")</f>
        <v>12.165660051768764</v>
      </c>
    </row>
    <row r="4003" spans="1:14">
      <c r="A4003" s="21">
        <v>2024</v>
      </c>
      <c r="B4003" s="21" t="s">
        <v>26</v>
      </c>
      <c r="C4003" s="21" t="s">
        <v>1145</v>
      </c>
      <c r="D4003" s="21" t="s">
        <v>35</v>
      </c>
      <c r="E4003" s="18" t="s">
        <v>611</v>
      </c>
      <c r="F4003" s="18" t="s">
        <v>187</v>
      </c>
      <c r="G4003" s="18" t="s">
        <v>48</v>
      </c>
      <c r="H4003" s="24">
        <v>0</v>
      </c>
      <c r="I4003" s="24">
        <f>T_reg.root.SK[[#This Row],[Volume, kg]]/1000</f>
        <v>0</v>
      </c>
      <c r="J4003" s="25">
        <v>0</v>
      </c>
      <c r="K4003" s="25">
        <f t="shared" si="62"/>
        <v>0</v>
      </c>
      <c r="L4003" s="25">
        <v>0</v>
      </c>
      <c r="M4003" s="24">
        <v>0</v>
      </c>
      <c r="N4003" s="25" t="str">
        <f>IFERROR(T_reg.root.SK[[#This Row],[Price]]/T_reg.root.SK[[#This Row],[Starch content]],"")</f>
        <v/>
      </c>
    </row>
    <row r="4004" spans="1:14">
      <c r="A4004" s="21">
        <v>2024</v>
      </c>
      <c r="B4004" s="21" t="s">
        <v>26</v>
      </c>
      <c r="C4004" s="21" t="s">
        <v>1145</v>
      </c>
      <c r="D4004" s="21" t="s">
        <v>35</v>
      </c>
      <c r="E4004" s="18" t="s">
        <v>199</v>
      </c>
      <c r="F4004" s="18" t="s">
        <v>187</v>
      </c>
      <c r="G4004" s="18" t="s">
        <v>48</v>
      </c>
      <c r="H4004" s="24">
        <v>60600</v>
      </c>
      <c r="I4004" s="24">
        <f>T_reg.root.SK[[#This Row],[Volume, kg]]/1000</f>
        <v>60.6</v>
      </c>
      <c r="J4004" s="25">
        <v>0.22850000000000001</v>
      </c>
      <c r="K4004" s="25">
        <f t="shared" si="62"/>
        <v>13847.1</v>
      </c>
      <c r="L4004" s="25">
        <v>2.75</v>
      </c>
      <c r="M4004" s="24">
        <v>166871</v>
      </c>
      <c r="N4004" s="25">
        <f>IFERROR(T_reg.root.SK[[#This Row],[Price]]/T_reg.root.SK[[#This Row],[Starch content]],"")</f>
        <v>12.035010940919037</v>
      </c>
    </row>
    <row r="4005" spans="1:14">
      <c r="A4005" s="21">
        <v>2024</v>
      </c>
      <c r="B4005" s="21" t="s">
        <v>26</v>
      </c>
      <c r="C4005" s="21" t="s">
        <v>1145</v>
      </c>
      <c r="D4005" s="21" t="s">
        <v>35</v>
      </c>
      <c r="E4005" s="18" t="s">
        <v>201</v>
      </c>
      <c r="F4005" s="18" t="s">
        <v>187</v>
      </c>
      <c r="G4005" s="18" t="s">
        <v>48</v>
      </c>
      <c r="H4005" s="24">
        <v>131630</v>
      </c>
      <c r="I4005" s="24">
        <f>T_reg.root.SK[[#This Row],[Volume, kg]]/1000</f>
        <v>131.63</v>
      </c>
      <c r="J4005" s="25">
        <v>0.2097</v>
      </c>
      <c r="K4005" s="25">
        <f t="shared" si="62"/>
        <v>27602.810999999998</v>
      </c>
      <c r="L4005" s="25">
        <v>2.69</v>
      </c>
      <c r="M4005" s="24">
        <v>354039</v>
      </c>
      <c r="N4005" s="25">
        <f>IFERROR(T_reg.root.SK[[#This Row],[Price]]/T_reg.root.SK[[#This Row],[Starch content]],"")</f>
        <v>12.827849308536004</v>
      </c>
    </row>
    <row r="4006" spans="1:14">
      <c r="A4006" s="21">
        <v>2024</v>
      </c>
      <c r="B4006" s="21" t="s">
        <v>26</v>
      </c>
      <c r="C4006" s="21" t="s">
        <v>1145</v>
      </c>
      <c r="D4006" s="21" t="s">
        <v>35</v>
      </c>
      <c r="E4006" s="18" t="s">
        <v>742</v>
      </c>
      <c r="F4006" s="18" t="s">
        <v>187</v>
      </c>
      <c r="G4006" s="18" t="s">
        <v>48</v>
      </c>
      <c r="H4006" s="24">
        <v>21660</v>
      </c>
      <c r="I4006" s="24">
        <f>T_reg.root.SK[[#This Row],[Volume, kg]]/1000</f>
        <v>21.66</v>
      </c>
      <c r="J4006" s="25">
        <v>0.25170000000000003</v>
      </c>
      <c r="K4006" s="25">
        <f t="shared" si="62"/>
        <v>5451.822000000001</v>
      </c>
      <c r="L4006" s="25">
        <v>3.01</v>
      </c>
      <c r="M4006" s="24">
        <v>65275.5</v>
      </c>
      <c r="N4006" s="25">
        <f>IFERROR(T_reg.root.SK[[#This Row],[Price]]/T_reg.root.SK[[#This Row],[Starch content]],"")</f>
        <v>11.958680969408023</v>
      </c>
    </row>
    <row r="4007" spans="1:14">
      <c r="A4007" s="21">
        <v>2024</v>
      </c>
      <c r="B4007" s="21" t="s">
        <v>26</v>
      </c>
      <c r="C4007" s="21" t="s">
        <v>1145</v>
      </c>
      <c r="D4007" s="21" t="s">
        <v>35</v>
      </c>
      <c r="E4007" s="18" t="s">
        <v>332</v>
      </c>
      <c r="F4007" s="18" t="s">
        <v>187</v>
      </c>
      <c r="G4007" s="18" t="s">
        <v>48</v>
      </c>
      <c r="H4007" s="24">
        <v>12470</v>
      </c>
      <c r="I4007" s="24">
        <f>T_reg.root.SK[[#This Row],[Volume, kg]]/1000</f>
        <v>12.47</v>
      </c>
      <c r="J4007" s="25">
        <v>0.184</v>
      </c>
      <c r="K4007" s="25">
        <f t="shared" si="62"/>
        <v>2294.48</v>
      </c>
      <c r="L4007" s="25">
        <v>2.5499999999999998</v>
      </c>
      <c r="M4007" s="24">
        <v>31798.5</v>
      </c>
      <c r="N4007" s="25">
        <f>IFERROR(T_reg.root.SK[[#This Row],[Price]]/T_reg.root.SK[[#This Row],[Starch content]],"")</f>
        <v>13.858695652173912</v>
      </c>
    </row>
    <row r="4008" spans="1:14">
      <c r="A4008" s="21">
        <v>2024</v>
      </c>
      <c r="B4008" s="21" t="s">
        <v>26</v>
      </c>
      <c r="C4008" s="21" t="s">
        <v>1145</v>
      </c>
      <c r="D4008" s="21" t="s">
        <v>35</v>
      </c>
      <c r="E4008" s="18" t="s">
        <v>593</v>
      </c>
      <c r="F4008" s="18" t="s">
        <v>187</v>
      </c>
      <c r="G4008" s="18" t="s">
        <v>48</v>
      </c>
      <c r="H4008" s="24">
        <v>80780</v>
      </c>
      <c r="I4008" s="24">
        <f>T_reg.root.SK[[#This Row],[Volume, kg]]/1000</f>
        <v>80.78</v>
      </c>
      <c r="J4008" s="25">
        <v>0.2029</v>
      </c>
      <c r="K4008" s="25">
        <f t="shared" si="62"/>
        <v>16390.261999999999</v>
      </c>
      <c r="L4008" s="25">
        <v>2.68</v>
      </c>
      <c r="M4008" s="24">
        <v>216782</v>
      </c>
      <c r="N4008" s="25">
        <f>IFERROR(T_reg.root.SK[[#This Row],[Price]]/T_reg.root.SK[[#This Row],[Starch content]],"")</f>
        <v>13.208477082306556</v>
      </c>
    </row>
    <row r="4009" spans="1:14">
      <c r="A4009" s="21">
        <v>2024</v>
      </c>
      <c r="B4009" s="21" t="s">
        <v>26</v>
      </c>
      <c r="C4009" s="21" t="s">
        <v>1145</v>
      </c>
      <c r="D4009" s="21" t="s">
        <v>35</v>
      </c>
      <c r="E4009" s="18" t="s">
        <v>266</v>
      </c>
      <c r="F4009" s="18" t="s">
        <v>187</v>
      </c>
      <c r="G4009" s="18" t="s">
        <v>48</v>
      </c>
      <c r="H4009" s="24">
        <v>107130</v>
      </c>
      <c r="I4009" s="24">
        <f>T_reg.root.SK[[#This Row],[Volume, kg]]/1000</f>
        <v>107.13</v>
      </c>
      <c r="J4009" s="25">
        <v>0.20079999999999998</v>
      </c>
      <c r="K4009" s="25">
        <f t="shared" si="62"/>
        <v>21511.703999999998</v>
      </c>
      <c r="L4009" s="25">
        <v>2.71</v>
      </c>
      <c r="M4009" s="24">
        <v>289994</v>
      </c>
      <c r="N4009" s="25">
        <f>IFERROR(T_reg.root.SK[[#This Row],[Price]]/T_reg.root.SK[[#This Row],[Starch content]],"")</f>
        <v>13.496015936254981</v>
      </c>
    </row>
    <row r="4010" spans="1:14">
      <c r="A4010" s="21">
        <v>2024</v>
      </c>
      <c r="B4010" s="21" t="s">
        <v>26</v>
      </c>
      <c r="C4010" s="21" t="s">
        <v>1145</v>
      </c>
      <c r="D4010" s="21" t="s">
        <v>35</v>
      </c>
      <c r="E4010" s="18" t="s">
        <v>778</v>
      </c>
      <c r="F4010" s="18" t="s">
        <v>187</v>
      </c>
      <c r="G4010" s="18" t="s">
        <v>48</v>
      </c>
      <c r="H4010" s="24">
        <v>0</v>
      </c>
      <c r="I4010" s="24">
        <f>T_reg.root.SK[[#This Row],[Volume, kg]]/1000</f>
        <v>0</v>
      </c>
      <c r="J4010" s="25">
        <v>0</v>
      </c>
      <c r="K4010" s="25">
        <f t="shared" si="62"/>
        <v>0</v>
      </c>
      <c r="L4010" s="25">
        <v>0</v>
      </c>
      <c r="M4010" s="24">
        <v>0</v>
      </c>
      <c r="N4010" s="25" t="str">
        <f>IFERROR(T_reg.root.SK[[#This Row],[Price]]/T_reg.root.SK[[#This Row],[Starch content]],"")</f>
        <v/>
      </c>
    </row>
    <row r="4011" spans="1:14">
      <c r="A4011" s="21">
        <v>2024</v>
      </c>
      <c r="B4011" s="21" t="s">
        <v>26</v>
      </c>
      <c r="C4011" s="21" t="s">
        <v>1145</v>
      </c>
      <c r="D4011" s="21" t="s">
        <v>35</v>
      </c>
      <c r="E4011" s="18" t="s">
        <v>206</v>
      </c>
      <c r="F4011" s="18" t="s">
        <v>187</v>
      </c>
      <c r="G4011" s="18" t="s">
        <v>48</v>
      </c>
      <c r="H4011" s="24">
        <v>62650</v>
      </c>
      <c r="I4011" s="24">
        <f>T_reg.root.SK[[#This Row],[Volume, kg]]/1000</f>
        <v>62.65</v>
      </c>
      <c r="J4011" s="25">
        <v>0.24510000000000001</v>
      </c>
      <c r="K4011" s="25">
        <f t="shared" si="62"/>
        <v>15355.515000000001</v>
      </c>
      <c r="L4011" s="25">
        <v>2.83</v>
      </c>
      <c r="M4011" s="24">
        <v>177006.5</v>
      </c>
      <c r="N4011" s="25">
        <f>IFERROR(T_reg.root.SK[[#This Row],[Price]]/T_reg.root.SK[[#This Row],[Starch content]],"")</f>
        <v>11.546307629538964</v>
      </c>
    </row>
    <row r="4012" spans="1:14">
      <c r="A4012" s="21">
        <v>2024</v>
      </c>
      <c r="B4012" s="21" t="s">
        <v>26</v>
      </c>
      <c r="C4012" s="21" t="s">
        <v>1145</v>
      </c>
      <c r="D4012" s="21" t="s">
        <v>35</v>
      </c>
      <c r="E4012" s="18" t="s">
        <v>268</v>
      </c>
      <c r="F4012" s="18" t="s">
        <v>187</v>
      </c>
      <c r="G4012" s="18" t="s">
        <v>48</v>
      </c>
      <c r="H4012" s="24">
        <v>52050</v>
      </c>
      <c r="I4012" s="24">
        <f>T_reg.root.SK[[#This Row],[Volume, kg]]/1000</f>
        <v>52.05</v>
      </c>
      <c r="J4012" s="25">
        <v>0.24100000000000002</v>
      </c>
      <c r="K4012" s="25">
        <f t="shared" si="62"/>
        <v>12544.050000000001</v>
      </c>
      <c r="L4012" s="25">
        <v>2.81</v>
      </c>
      <c r="M4012" s="24">
        <v>146122</v>
      </c>
      <c r="N4012" s="25">
        <f>IFERROR(T_reg.root.SK[[#This Row],[Price]]/T_reg.root.SK[[#This Row],[Starch content]],"")</f>
        <v>11.659751037344398</v>
      </c>
    </row>
    <row r="4013" spans="1:14">
      <c r="A4013" s="21">
        <v>2024</v>
      </c>
      <c r="B4013" s="21" t="s">
        <v>26</v>
      </c>
      <c r="C4013" s="21" t="s">
        <v>1145</v>
      </c>
      <c r="D4013" s="21" t="s">
        <v>35</v>
      </c>
      <c r="E4013" s="18" t="s">
        <v>595</v>
      </c>
      <c r="F4013" s="18" t="s">
        <v>187</v>
      </c>
      <c r="G4013" s="18" t="s">
        <v>48</v>
      </c>
      <c r="H4013" s="24">
        <v>40930</v>
      </c>
      <c r="I4013" s="24">
        <f>T_reg.root.SK[[#This Row],[Volume, kg]]/1000</f>
        <v>40.93</v>
      </c>
      <c r="J4013" s="25">
        <v>0.25840000000000002</v>
      </c>
      <c r="K4013" s="25">
        <f t="shared" si="62"/>
        <v>10576.312</v>
      </c>
      <c r="L4013" s="25">
        <v>2.97</v>
      </c>
      <c r="M4013" s="24">
        <v>121704.5</v>
      </c>
      <c r="N4013" s="25">
        <f>IFERROR(T_reg.root.SK[[#This Row],[Price]]/T_reg.root.SK[[#This Row],[Starch content]],"")</f>
        <v>11.493808049535604</v>
      </c>
    </row>
    <row r="4014" spans="1:14">
      <c r="A4014" s="21">
        <v>2024</v>
      </c>
      <c r="B4014" s="21" t="s">
        <v>26</v>
      </c>
      <c r="C4014" s="21" t="s">
        <v>1145</v>
      </c>
      <c r="D4014" s="21" t="s">
        <v>35</v>
      </c>
      <c r="E4014" s="18" t="s">
        <v>534</v>
      </c>
      <c r="F4014" s="18" t="s">
        <v>187</v>
      </c>
      <c r="G4014" s="18" t="s">
        <v>48</v>
      </c>
      <c r="H4014" s="24">
        <v>7590</v>
      </c>
      <c r="I4014" s="24">
        <f>T_reg.root.SK[[#This Row],[Volume, kg]]/1000</f>
        <v>7.59</v>
      </c>
      <c r="J4014" s="25">
        <v>0.24050000000000002</v>
      </c>
      <c r="K4014" s="25">
        <f t="shared" si="62"/>
        <v>1825.3950000000002</v>
      </c>
      <c r="L4014" s="25">
        <v>2.9</v>
      </c>
      <c r="M4014" s="24">
        <v>22011</v>
      </c>
      <c r="N4014" s="25">
        <f>IFERROR(T_reg.root.SK[[#This Row],[Price]]/T_reg.root.SK[[#This Row],[Starch content]],"")</f>
        <v>12.058212058212057</v>
      </c>
    </row>
    <row r="4015" spans="1:14">
      <c r="A4015" s="21">
        <v>2024</v>
      </c>
      <c r="B4015" s="21" t="s">
        <v>26</v>
      </c>
      <c r="C4015" s="21" t="s">
        <v>1145</v>
      </c>
      <c r="D4015" s="21" t="s">
        <v>35</v>
      </c>
      <c r="E4015" s="18" t="s">
        <v>333</v>
      </c>
      <c r="F4015" s="18" t="s">
        <v>187</v>
      </c>
      <c r="G4015" s="18" t="s">
        <v>48</v>
      </c>
      <c r="H4015" s="24">
        <v>9670</v>
      </c>
      <c r="I4015" s="24">
        <f>T_reg.root.SK[[#This Row],[Volume, kg]]/1000</f>
        <v>9.67</v>
      </c>
      <c r="J4015" s="25">
        <v>0.19500000000000001</v>
      </c>
      <c r="K4015" s="25">
        <f t="shared" si="62"/>
        <v>1885.65</v>
      </c>
      <c r="L4015" s="25">
        <v>2.7</v>
      </c>
      <c r="M4015" s="24">
        <v>26109</v>
      </c>
      <c r="N4015" s="25">
        <f>IFERROR(T_reg.root.SK[[#This Row],[Price]]/T_reg.root.SK[[#This Row],[Starch content]],"")</f>
        <v>13.846153846153847</v>
      </c>
    </row>
    <row r="4016" spans="1:14">
      <c r="A4016" s="21">
        <v>2024</v>
      </c>
      <c r="B4016" s="21" t="s">
        <v>26</v>
      </c>
      <c r="C4016" s="21" t="s">
        <v>1145</v>
      </c>
      <c r="D4016" s="21" t="s">
        <v>35</v>
      </c>
      <c r="E4016" s="18" t="s">
        <v>211</v>
      </c>
      <c r="F4016" s="18" t="s">
        <v>187</v>
      </c>
      <c r="G4016" s="18" t="s">
        <v>48</v>
      </c>
      <c r="H4016" s="24">
        <v>173780</v>
      </c>
      <c r="I4016" s="24">
        <f>T_reg.root.SK[[#This Row],[Volume, kg]]/1000</f>
        <v>173.78</v>
      </c>
      <c r="J4016" s="25">
        <v>0.2336</v>
      </c>
      <c r="K4016" s="25">
        <f t="shared" si="62"/>
        <v>40595.008000000002</v>
      </c>
      <c r="L4016" s="25">
        <v>2.79</v>
      </c>
      <c r="M4016" s="24">
        <v>485186.5</v>
      </c>
      <c r="N4016" s="25">
        <f>IFERROR(T_reg.root.SK[[#This Row],[Price]]/T_reg.root.SK[[#This Row],[Starch content]],"")</f>
        <v>11.943493150684931</v>
      </c>
    </row>
    <row r="4017" spans="1:14">
      <c r="A4017" s="21">
        <v>2024</v>
      </c>
      <c r="B4017" s="21" t="s">
        <v>26</v>
      </c>
      <c r="C4017" s="21" t="s">
        <v>1145</v>
      </c>
      <c r="D4017" s="21" t="s">
        <v>35</v>
      </c>
      <c r="E4017" s="18" t="s">
        <v>816</v>
      </c>
      <c r="F4017" s="18" t="s">
        <v>187</v>
      </c>
      <c r="G4017" s="18" t="s">
        <v>48</v>
      </c>
      <c r="H4017" s="24">
        <v>5590</v>
      </c>
      <c r="I4017" s="24">
        <f>T_reg.root.SK[[#This Row],[Volume, kg]]/1000</f>
        <v>5.59</v>
      </c>
      <c r="J4017" s="25">
        <v>0.25</v>
      </c>
      <c r="K4017" s="25">
        <f t="shared" si="62"/>
        <v>1397.5</v>
      </c>
      <c r="L4017" s="25">
        <v>2.9</v>
      </c>
      <c r="M4017" s="24">
        <v>16211</v>
      </c>
      <c r="N4017" s="25">
        <f>IFERROR(T_reg.root.SK[[#This Row],[Price]]/T_reg.root.SK[[#This Row],[Starch content]],"")</f>
        <v>11.6</v>
      </c>
    </row>
    <row r="4018" spans="1:14">
      <c r="A4018" s="21">
        <v>2024</v>
      </c>
      <c r="B4018" s="21" t="s">
        <v>26</v>
      </c>
      <c r="C4018" s="21" t="s">
        <v>1145</v>
      </c>
      <c r="D4018" s="21" t="s">
        <v>35</v>
      </c>
      <c r="E4018" s="18" t="s">
        <v>213</v>
      </c>
      <c r="F4018" s="18" t="s">
        <v>187</v>
      </c>
      <c r="G4018" s="18" t="s">
        <v>48</v>
      </c>
      <c r="H4018" s="24">
        <v>59800</v>
      </c>
      <c r="I4018" s="24">
        <f>T_reg.root.SK[[#This Row],[Volume, kg]]/1000</f>
        <v>59.8</v>
      </c>
      <c r="J4018" s="25">
        <v>0.2437</v>
      </c>
      <c r="K4018" s="25">
        <f t="shared" si="62"/>
        <v>14573.26</v>
      </c>
      <c r="L4018" s="25">
        <v>2.82</v>
      </c>
      <c r="M4018" s="24">
        <v>168720.5</v>
      </c>
      <c r="N4018" s="25">
        <f>IFERROR(T_reg.root.SK[[#This Row],[Price]]/T_reg.root.SK[[#This Row],[Starch content]],"")</f>
        <v>11.571604431678292</v>
      </c>
    </row>
    <row r="4019" spans="1:14">
      <c r="A4019" s="21">
        <v>2024</v>
      </c>
      <c r="B4019" s="21" t="s">
        <v>26</v>
      </c>
      <c r="C4019" s="21" t="s">
        <v>1145</v>
      </c>
      <c r="D4019" s="21" t="s">
        <v>35</v>
      </c>
      <c r="E4019" s="18" t="s">
        <v>537</v>
      </c>
      <c r="F4019" s="18" t="s">
        <v>187</v>
      </c>
      <c r="G4019" s="18" t="s">
        <v>48</v>
      </c>
      <c r="H4019" s="24">
        <v>3490</v>
      </c>
      <c r="I4019" s="24">
        <f>T_reg.root.SK[[#This Row],[Volume, kg]]/1000</f>
        <v>3.49</v>
      </c>
      <c r="J4019" s="25">
        <v>0.30049999999999999</v>
      </c>
      <c r="K4019" s="25">
        <f t="shared" si="62"/>
        <v>1048.7449999999999</v>
      </c>
      <c r="L4019" s="25">
        <v>3.1</v>
      </c>
      <c r="M4019" s="24">
        <v>10819</v>
      </c>
      <c r="N4019" s="25">
        <f>IFERROR(T_reg.root.SK[[#This Row],[Price]]/T_reg.root.SK[[#This Row],[Starch content]],"")</f>
        <v>10.31613976705491</v>
      </c>
    </row>
    <row r="4020" spans="1:14">
      <c r="A4020" s="21">
        <v>2024</v>
      </c>
      <c r="B4020" s="21" t="s">
        <v>26</v>
      </c>
      <c r="C4020" s="21" t="s">
        <v>1145</v>
      </c>
      <c r="D4020" s="21" t="s">
        <v>35</v>
      </c>
      <c r="E4020" s="18" t="s">
        <v>269</v>
      </c>
      <c r="F4020" s="18" t="s">
        <v>187</v>
      </c>
      <c r="G4020" s="18" t="s">
        <v>48</v>
      </c>
      <c r="H4020" s="24">
        <v>7340</v>
      </c>
      <c r="I4020" s="24">
        <f>T_reg.root.SK[[#This Row],[Volume, kg]]/1000</f>
        <v>7.34</v>
      </c>
      <c r="J4020" s="25">
        <v>0.21299999999999999</v>
      </c>
      <c r="K4020" s="25">
        <f t="shared" si="62"/>
        <v>1563.42</v>
      </c>
      <c r="L4020" s="25">
        <v>2.8</v>
      </c>
      <c r="M4020" s="24">
        <v>20552</v>
      </c>
      <c r="N4020" s="25">
        <f>IFERROR(T_reg.root.SK[[#This Row],[Price]]/T_reg.root.SK[[#This Row],[Starch content]],"")</f>
        <v>13.145539906103286</v>
      </c>
    </row>
    <row r="4021" spans="1:14">
      <c r="A4021" s="21">
        <v>2024</v>
      </c>
      <c r="B4021" s="21" t="s">
        <v>26</v>
      </c>
      <c r="C4021" s="21" t="s">
        <v>1145</v>
      </c>
      <c r="D4021" s="21" t="s">
        <v>35</v>
      </c>
      <c r="E4021" s="18" t="s">
        <v>539</v>
      </c>
      <c r="F4021" s="18" t="s">
        <v>187</v>
      </c>
      <c r="G4021" s="18" t="s">
        <v>48</v>
      </c>
      <c r="H4021" s="24">
        <v>14310</v>
      </c>
      <c r="I4021" s="24">
        <f>T_reg.root.SK[[#This Row],[Volume, kg]]/1000</f>
        <v>14.31</v>
      </c>
      <c r="J4021" s="25">
        <v>0.2205</v>
      </c>
      <c r="K4021" s="25">
        <f t="shared" si="62"/>
        <v>3155.355</v>
      </c>
      <c r="L4021" s="25">
        <v>2.75</v>
      </c>
      <c r="M4021" s="24">
        <v>39415</v>
      </c>
      <c r="N4021" s="25">
        <f>IFERROR(T_reg.root.SK[[#This Row],[Price]]/T_reg.root.SK[[#This Row],[Starch content]],"")</f>
        <v>12.471655328798185</v>
      </c>
    </row>
    <row r="4022" spans="1:14">
      <c r="A4022" s="21">
        <v>2024</v>
      </c>
      <c r="B4022" s="21" t="s">
        <v>26</v>
      </c>
      <c r="C4022" s="21" t="s">
        <v>1145</v>
      </c>
      <c r="D4022" s="21" t="s">
        <v>35</v>
      </c>
      <c r="E4022" s="18" t="s">
        <v>214</v>
      </c>
      <c r="F4022" s="18" t="s">
        <v>187</v>
      </c>
      <c r="G4022" s="18" t="s">
        <v>48</v>
      </c>
      <c r="H4022" s="24">
        <v>17180</v>
      </c>
      <c r="I4022" s="24">
        <f>T_reg.root.SK[[#This Row],[Volume, kg]]/1000</f>
        <v>17.18</v>
      </c>
      <c r="J4022" s="25">
        <v>0.20250000000000001</v>
      </c>
      <c r="K4022" s="25">
        <f t="shared" si="62"/>
        <v>3478.9500000000003</v>
      </c>
      <c r="L4022" s="25">
        <v>2.66</v>
      </c>
      <c r="M4022" s="24">
        <v>45691</v>
      </c>
      <c r="N4022" s="25">
        <f>IFERROR(T_reg.root.SK[[#This Row],[Price]]/T_reg.root.SK[[#This Row],[Starch content]],"")</f>
        <v>13.135802469135802</v>
      </c>
    </row>
    <row r="4023" spans="1:14">
      <c r="A4023" s="21">
        <v>2024</v>
      </c>
      <c r="B4023" s="21" t="s">
        <v>26</v>
      </c>
      <c r="C4023" s="21" t="s">
        <v>1145</v>
      </c>
      <c r="D4023" s="21" t="s">
        <v>35</v>
      </c>
      <c r="E4023" s="18" t="s">
        <v>540</v>
      </c>
      <c r="F4023" s="18" t="s">
        <v>187</v>
      </c>
      <c r="G4023" s="18" t="s">
        <v>48</v>
      </c>
      <c r="H4023" s="24">
        <v>20860</v>
      </c>
      <c r="I4023" s="24">
        <f>T_reg.root.SK[[#This Row],[Volume, kg]]/1000</f>
        <v>20.86</v>
      </c>
      <c r="J4023" s="25">
        <v>0.26860000000000001</v>
      </c>
      <c r="K4023" s="25">
        <f t="shared" si="62"/>
        <v>5602.9960000000001</v>
      </c>
      <c r="L4023" s="25">
        <v>2.9</v>
      </c>
      <c r="M4023" s="24">
        <v>60494</v>
      </c>
      <c r="N4023" s="25">
        <f>IFERROR(T_reg.root.SK[[#This Row],[Price]]/T_reg.root.SK[[#This Row],[Starch content]],"")</f>
        <v>10.796723752792255</v>
      </c>
    </row>
    <row r="4024" spans="1:14">
      <c r="A4024" s="21">
        <v>2024</v>
      </c>
      <c r="B4024" s="21" t="s">
        <v>26</v>
      </c>
      <c r="C4024" s="21" t="s">
        <v>1145</v>
      </c>
      <c r="D4024" s="21" t="s">
        <v>35</v>
      </c>
      <c r="E4024" s="18" t="s">
        <v>623</v>
      </c>
      <c r="F4024" s="18" t="s">
        <v>187</v>
      </c>
      <c r="G4024" s="18" t="s">
        <v>48</v>
      </c>
      <c r="H4024" s="24">
        <v>21030</v>
      </c>
      <c r="I4024" s="24">
        <f>T_reg.root.SK[[#This Row],[Volume, kg]]/1000</f>
        <v>21.03</v>
      </c>
      <c r="J4024" s="25">
        <v>0.22440000000000002</v>
      </c>
      <c r="K4024" s="25">
        <f t="shared" si="62"/>
        <v>4719.1320000000005</v>
      </c>
      <c r="L4024" s="25">
        <v>2.69</v>
      </c>
      <c r="M4024" s="24">
        <v>56479.5</v>
      </c>
      <c r="N4024" s="25">
        <f>IFERROR(T_reg.root.SK[[#This Row],[Price]]/T_reg.root.SK[[#This Row],[Starch content]],"")</f>
        <v>11.987522281639928</v>
      </c>
    </row>
    <row r="4025" spans="1:14">
      <c r="A4025" s="21">
        <v>2024</v>
      </c>
      <c r="B4025" s="21" t="s">
        <v>26</v>
      </c>
      <c r="C4025" s="21" t="s">
        <v>1145</v>
      </c>
      <c r="D4025" s="21" t="s">
        <v>35</v>
      </c>
      <c r="E4025" s="18" t="s">
        <v>335</v>
      </c>
      <c r="F4025" s="18" t="s">
        <v>187</v>
      </c>
      <c r="G4025" s="18" t="s">
        <v>48</v>
      </c>
      <c r="H4025" s="24">
        <v>6140</v>
      </c>
      <c r="I4025" s="24">
        <f>T_reg.root.SK[[#This Row],[Volume, kg]]/1000</f>
        <v>6.14</v>
      </c>
      <c r="J4025" s="25">
        <v>0.26649999999999996</v>
      </c>
      <c r="K4025" s="25">
        <f t="shared" si="62"/>
        <v>1636.3099999999997</v>
      </c>
      <c r="L4025" s="25">
        <v>2.95</v>
      </c>
      <c r="M4025" s="24">
        <v>18113</v>
      </c>
      <c r="N4025" s="25">
        <f>IFERROR(T_reg.root.SK[[#This Row],[Price]]/T_reg.root.SK[[#This Row],[Starch content]],"")</f>
        <v>11.069418386491559</v>
      </c>
    </row>
    <row r="4026" spans="1:14">
      <c r="A4026" s="21">
        <v>2024</v>
      </c>
      <c r="B4026" s="21" t="s">
        <v>26</v>
      </c>
      <c r="C4026" s="21" t="s">
        <v>1145</v>
      </c>
      <c r="D4026" s="21" t="s">
        <v>35</v>
      </c>
      <c r="E4026" s="18" t="s">
        <v>543</v>
      </c>
      <c r="F4026" s="18" t="s">
        <v>187</v>
      </c>
      <c r="G4026" s="18" t="s">
        <v>48</v>
      </c>
      <c r="H4026" s="24">
        <v>9730</v>
      </c>
      <c r="I4026" s="24">
        <f>T_reg.root.SK[[#This Row],[Volume, kg]]/1000</f>
        <v>9.73</v>
      </c>
      <c r="J4026" s="25">
        <v>0.254</v>
      </c>
      <c r="K4026" s="25">
        <f t="shared" si="62"/>
        <v>2471.42</v>
      </c>
      <c r="L4026" s="25">
        <v>2.86</v>
      </c>
      <c r="M4026" s="24">
        <v>27818</v>
      </c>
      <c r="N4026" s="25">
        <f>IFERROR(T_reg.root.SK[[#This Row],[Price]]/T_reg.root.SK[[#This Row],[Starch content]],"")</f>
        <v>11.259842519685039</v>
      </c>
    </row>
    <row r="4027" spans="1:14">
      <c r="A4027" s="21">
        <v>2024</v>
      </c>
      <c r="B4027" s="21" t="s">
        <v>26</v>
      </c>
      <c r="C4027" s="21" t="s">
        <v>1145</v>
      </c>
      <c r="D4027" s="21" t="s">
        <v>35</v>
      </c>
      <c r="E4027" s="18" t="s">
        <v>761</v>
      </c>
      <c r="F4027" s="18" t="s">
        <v>187</v>
      </c>
      <c r="G4027" s="18" t="s">
        <v>48</v>
      </c>
      <c r="H4027" s="24">
        <v>24970</v>
      </c>
      <c r="I4027" s="24">
        <f>T_reg.root.SK[[#This Row],[Volume, kg]]/1000</f>
        <v>24.97</v>
      </c>
      <c r="J4027" s="25">
        <v>0.2321</v>
      </c>
      <c r="K4027" s="25">
        <f t="shared" si="62"/>
        <v>5795.5370000000003</v>
      </c>
      <c r="L4027" s="25">
        <v>2.75</v>
      </c>
      <c r="M4027" s="24">
        <v>68787</v>
      </c>
      <c r="N4027" s="25">
        <f>IFERROR(T_reg.root.SK[[#This Row],[Price]]/T_reg.root.SK[[#This Row],[Starch content]],"")</f>
        <v>11.848341232227488</v>
      </c>
    </row>
    <row r="4028" spans="1:14">
      <c r="A4028" s="21">
        <v>2024</v>
      </c>
      <c r="B4028" s="21" t="s">
        <v>26</v>
      </c>
      <c r="C4028" s="21" t="s">
        <v>1145</v>
      </c>
      <c r="D4028" s="21" t="s">
        <v>35</v>
      </c>
      <c r="E4028" s="18" t="s">
        <v>271</v>
      </c>
      <c r="F4028" s="18" t="s">
        <v>187</v>
      </c>
      <c r="G4028" s="18" t="s">
        <v>48</v>
      </c>
      <c r="H4028" s="24">
        <v>11670</v>
      </c>
      <c r="I4028" s="24">
        <f>T_reg.root.SK[[#This Row],[Volume, kg]]/1000</f>
        <v>11.67</v>
      </c>
      <c r="J4028" s="25">
        <v>0.182</v>
      </c>
      <c r="K4028" s="25">
        <f t="shared" si="62"/>
        <v>2123.94</v>
      </c>
      <c r="L4028" s="25">
        <v>2.6</v>
      </c>
      <c r="M4028" s="24">
        <v>30342</v>
      </c>
      <c r="N4028" s="25">
        <f>IFERROR(T_reg.root.SK[[#This Row],[Price]]/T_reg.root.SK[[#This Row],[Starch content]],"")</f>
        <v>14.285714285714286</v>
      </c>
    </row>
    <row r="4029" spans="1:14">
      <c r="A4029" s="21">
        <v>2024</v>
      </c>
      <c r="B4029" s="21" t="s">
        <v>26</v>
      </c>
      <c r="C4029" s="21" t="s">
        <v>1145</v>
      </c>
      <c r="D4029" s="21" t="s">
        <v>35</v>
      </c>
      <c r="E4029" s="18" t="s">
        <v>831</v>
      </c>
      <c r="F4029" s="18" t="s">
        <v>187</v>
      </c>
      <c r="G4029" s="18" t="s">
        <v>48</v>
      </c>
      <c r="H4029" s="24">
        <v>168360</v>
      </c>
      <c r="I4029" s="24">
        <f>T_reg.root.SK[[#This Row],[Volume, kg]]/1000</f>
        <v>168.36</v>
      </c>
      <c r="J4029" s="25">
        <v>0.18210000000000001</v>
      </c>
      <c r="K4029" s="25">
        <f t="shared" si="62"/>
        <v>30658.356000000003</v>
      </c>
      <c r="L4029" s="25">
        <v>2.59</v>
      </c>
      <c r="M4029" s="24">
        <v>435574</v>
      </c>
      <c r="N4029" s="25">
        <f>IFERROR(T_reg.root.SK[[#This Row],[Price]]/T_reg.root.SK[[#This Row],[Starch content]],"")</f>
        <v>14.222954420647994</v>
      </c>
    </row>
    <row r="4030" spans="1:14">
      <c r="A4030" s="21">
        <v>2024</v>
      </c>
      <c r="B4030" s="21" t="s">
        <v>26</v>
      </c>
      <c r="C4030" s="21" t="s">
        <v>1145</v>
      </c>
      <c r="D4030" s="21" t="s">
        <v>35</v>
      </c>
      <c r="E4030" s="18" t="s">
        <v>217</v>
      </c>
      <c r="F4030" s="18" t="s">
        <v>187</v>
      </c>
      <c r="G4030" s="18" t="s">
        <v>48</v>
      </c>
      <c r="H4030" s="24">
        <v>11940</v>
      </c>
      <c r="I4030" s="24">
        <f>T_reg.root.SK[[#This Row],[Volume, kg]]/1000</f>
        <v>11.94</v>
      </c>
      <c r="J4030" s="25">
        <v>0.20350000000000001</v>
      </c>
      <c r="K4030" s="25">
        <f t="shared" si="62"/>
        <v>2429.79</v>
      </c>
      <c r="L4030" s="25">
        <v>2.7</v>
      </c>
      <c r="M4030" s="24">
        <v>32238</v>
      </c>
      <c r="N4030" s="25">
        <f>IFERROR(T_reg.root.SK[[#This Row],[Price]]/T_reg.root.SK[[#This Row],[Starch content]],"")</f>
        <v>13.267813267813267</v>
      </c>
    </row>
    <row r="4031" spans="1:14">
      <c r="A4031" s="21">
        <v>2024</v>
      </c>
      <c r="B4031" s="21" t="s">
        <v>26</v>
      </c>
      <c r="C4031" s="21" t="s">
        <v>1145</v>
      </c>
      <c r="D4031" s="21" t="s">
        <v>35</v>
      </c>
      <c r="E4031" s="18" t="s">
        <v>832</v>
      </c>
      <c r="F4031" s="18" t="s">
        <v>432</v>
      </c>
      <c r="G4031" s="18" t="s">
        <v>377</v>
      </c>
      <c r="H4031" s="24">
        <v>15100</v>
      </c>
      <c r="I4031" s="24">
        <f>T_reg.root.SK[[#This Row],[Volume, kg]]/1000</f>
        <v>15.1</v>
      </c>
      <c r="J4031" s="25">
        <v>0.221</v>
      </c>
      <c r="K4031" s="25">
        <f t="shared" si="62"/>
        <v>3337.1</v>
      </c>
      <c r="L4031" s="25">
        <v>2.2000000000000002</v>
      </c>
      <c r="M4031" s="24">
        <v>33220</v>
      </c>
      <c r="N4031" s="25">
        <f>IFERROR(T_reg.root.SK[[#This Row],[Price]]/T_reg.root.SK[[#This Row],[Starch content]],"")</f>
        <v>9.9547511312217196</v>
      </c>
    </row>
    <row r="4032" spans="1:14">
      <c r="A4032" s="21">
        <v>2024</v>
      </c>
      <c r="B4032" s="21" t="s">
        <v>26</v>
      </c>
      <c r="C4032" s="21" t="s">
        <v>1145</v>
      </c>
      <c r="D4032" s="21" t="s">
        <v>35</v>
      </c>
      <c r="E4032" s="18" t="s">
        <v>833</v>
      </c>
      <c r="F4032" s="18" t="s">
        <v>393</v>
      </c>
      <c r="G4032" s="18" t="s">
        <v>377</v>
      </c>
      <c r="H4032" s="24">
        <v>11790</v>
      </c>
      <c r="I4032" s="24">
        <f>T_reg.root.SK[[#This Row],[Volume, kg]]/1000</f>
        <v>11.79</v>
      </c>
      <c r="J4032" s="25">
        <v>0.24349999999999997</v>
      </c>
      <c r="K4032" s="25">
        <f t="shared" si="62"/>
        <v>2870.8649999999998</v>
      </c>
      <c r="L4032" s="25">
        <v>2.35</v>
      </c>
      <c r="M4032" s="24">
        <v>27706.5</v>
      </c>
      <c r="N4032" s="25">
        <f>IFERROR(T_reg.root.SK[[#This Row],[Price]]/T_reg.root.SK[[#This Row],[Starch content]],"")</f>
        <v>9.6509240246406591</v>
      </c>
    </row>
    <row r="4033" spans="1:14">
      <c r="A4033" s="21">
        <v>2024</v>
      </c>
      <c r="B4033" s="21" t="s">
        <v>26</v>
      </c>
      <c r="C4033" s="21" t="s">
        <v>1145</v>
      </c>
      <c r="D4033" s="21" t="s">
        <v>35</v>
      </c>
      <c r="E4033" s="18" t="s">
        <v>834</v>
      </c>
      <c r="F4033" s="18" t="s">
        <v>393</v>
      </c>
      <c r="G4033" s="18" t="s">
        <v>377</v>
      </c>
      <c r="H4033" s="24">
        <v>10480</v>
      </c>
      <c r="I4033" s="24">
        <f>T_reg.root.SK[[#This Row],[Volume, kg]]/1000</f>
        <v>10.48</v>
      </c>
      <c r="J4033" s="25">
        <v>0.2515</v>
      </c>
      <c r="K4033" s="25">
        <f t="shared" si="62"/>
        <v>2635.72</v>
      </c>
      <c r="L4033" s="25">
        <v>2.5</v>
      </c>
      <c r="M4033" s="24">
        <v>26200</v>
      </c>
      <c r="N4033" s="25">
        <f>IFERROR(T_reg.root.SK[[#This Row],[Price]]/T_reg.root.SK[[#This Row],[Starch content]],"")</f>
        <v>9.9403578528827037</v>
      </c>
    </row>
    <row r="4034" spans="1:14">
      <c r="A4034" s="21">
        <v>2024</v>
      </c>
      <c r="B4034" s="21" t="s">
        <v>26</v>
      </c>
      <c r="C4034" s="21" t="s">
        <v>1145</v>
      </c>
      <c r="D4034" s="21" t="s">
        <v>35</v>
      </c>
      <c r="E4034" s="18" t="s">
        <v>835</v>
      </c>
      <c r="F4034" s="18" t="s">
        <v>393</v>
      </c>
      <c r="G4034" s="18" t="s">
        <v>377</v>
      </c>
      <c r="H4034" s="24">
        <v>18510</v>
      </c>
      <c r="I4034" s="24">
        <f>T_reg.root.SK[[#This Row],[Volume, kg]]/1000</f>
        <v>18.510000000000002</v>
      </c>
      <c r="J4034" s="25">
        <v>0.24176877363587251</v>
      </c>
      <c r="K4034" s="25">
        <f t="shared" si="62"/>
        <v>4475.1400000000003</v>
      </c>
      <c r="L4034" s="25">
        <v>2.3159373311723392</v>
      </c>
      <c r="M4034" s="24">
        <v>42868</v>
      </c>
      <c r="N4034" s="25">
        <f>IFERROR(T_reg.root.SK[[#This Row],[Price]]/T_reg.root.SK[[#This Row],[Starch content]],"")</f>
        <v>9.5791416581380684</v>
      </c>
    </row>
    <row r="4035" spans="1:14">
      <c r="A4035" s="21">
        <v>2024</v>
      </c>
      <c r="B4035" s="21" t="s">
        <v>26</v>
      </c>
      <c r="C4035" s="21" t="s">
        <v>1145</v>
      </c>
      <c r="D4035" s="21" t="s">
        <v>35</v>
      </c>
      <c r="E4035" s="18" t="s">
        <v>836</v>
      </c>
      <c r="F4035" s="18" t="s">
        <v>393</v>
      </c>
      <c r="G4035" s="18" t="s">
        <v>377</v>
      </c>
      <c r="H4035" s="24">
        <v>5670</v>
      </c>
      <c r="I4035" s="24">
        <f>T_reg.root.SK[[#This Row],[Volume, kg]]/1000</f>
        <v>5.67</v>
      </c>
      <c r="J4035" s="25">
        <v>0.22949999999999998</v>
      </c>
      <c r="K4035" s="25">
        <f t="shared" ref="K4035:K4098" si="63">H4035*J4035</f>
        <v>1301.2649999999999</v>
      </c>
      <c r="L4035" s="25">
        <v>2.25</v>
      </c>
      <c r="M4035" s="24">
        <v>12757.5</v>
      </c>
      <c r="N4035" s="25">
        <f>IFERROR(T_reg.root.SK[[#This Row],[Price]]/T_reg.root.SK[[#This Row],[Starch content]],"")</f>
        <v>9.8039215686274517</v>
      </c>
    </row>
    <row r="4036" spans="1:14">
      <c r="A4036" s="21">
        <v>2024</v>
      </c>
      <c r="B4036" s="21" t="s">
        <v>26</v>
      </c>
      <c r="C4036" s="21" t="s">
        <v>1145</v>
      </c>
      <c r="D4036" s="21" t="s">
        <v>35</v>
      </c>
      <c r="E4036" s="18" t="s">
        <v>837</v>
      </c>
      <c r="F4036" s="18" t="s">
        <v>398</v>
      </c>
      <c r="G4036" s="18" t="s">
        <v>377</v>
      </c>
      <c r="H4036" s="24">
        <v>23010</v>
      </c>
      <c r="I4036" s="24">
        <f>T_reg.root.SK[[#This Row],[Volume, kg]]/1000</f>
        <v>23.01</v>
      </c>
      <c r="J4036" s="25">
        <v>0.25304628422425035</v>
      </c>
      <c r="K4036" s="25">
        <f t="shared" si="63"/>
        <v>5822.5950000000003</v>
      </c>
      <c r="L4036" s="25">
        <v>2.35</v>
      </c>
      <c r="M4036" s="24">
        <v>54073.5</v>
      </c>
      <c r="N4036" s="25">
        <f>IFERROR(T_reg.root.SK[[#This Row],[Price]]/T_reg.root.SK[[#This Row],[Starch content]],"")</f>
        <v>9.2868386003148071</v>
      </c>
    </row>
    <row r="4037" spans="1:14">
      <c r="A4037" s="21">
        <v>2024</v>
      </c>
      <c r="B4037" s="21" t="s">
        <v>26</v>
      </c>
      <c r="C4037" s="21" t="s">
        <v>1145</v>
      </c>
      <c r="D4037" s="21" t="s">
        <v>35</v>
      </c>
      <c r="E4037" s="18" t="s">
        <v>838</v>
      </c>
      <c r="F4037" s="18" t="s">
        <v>385</v>
      </c>
      <c r="G4037" s="18" t="s">
        <v>377</v>
      </c>
      <c r="H4037" s="24">
        <v>31270</v>
      </c>
      <c r="I4037" s="24">
        <f>T_reg.root.SK[[#This Row],[Volume, kg]]/1000</f>
        <v>31.27</v>
      </c>
      <c r="J4037" s="25">
        <v>0.25059673808762389</v>
      </c>
      <c r="K4037" s="25">
        <f t="shared" si="63"/>
        <v>7836.1599999999989</v>
      </c>
      <c r="L4037" s="25">
        <v>2.3774864086984331</v>
      </c>
      <c r="M4037" s="24">
        <v>74344</v>
      </c>
      <c r="N4037" s="25">
        <f>IFERROR(T_reg.root.SK[[#This Row],[Price]]/T_reg.root.SK[[#This Row],[Starch content]],"")</f>
        <v>9.4872999019928148</v>
      </c>
    </row>
    <row r="4038" spans="1:14">
      <c r="A4038" s="21">
        <v>2024</v>
      </c>
      <c r="B4038" s="21" t="s">
        <v>26</v>
      </c>
      <c r="C4038" s="21" t="s">
        <v>1145</v>
      </c>
      <c r="D4038" s="21" t="s">
        <v>35</v>
      </c>
      <c r="E4038" s="18" t="s">
        <v>414</v>
      </c>
      <c r="F4038" s="18" t="s">
        <v>393</v>
      </c>
      <c r="G4038" s="18" t="s">
        <v>377</v>
      </c>
      <c r="H4038" s="24">
        <v>9250</v>
      </c>
      <c r="I4038" s="24">
        <f>T_reg.root.SK[[#This Row],[Volume, kg]]/1000</f>
        <v>9.25</v>
      </c>
      <c r="J4038" s="25">
        <v>0.24399999999999999</v>
      </c>
      <c r="K4038" s="25">
        <f t="shared" si="63"/>
        <v>2257</v>
      </c>
      <c r="L4038" s="25">
        <v>2.2999999999999998</v>
      </c>
      <c r="M4038" s="24">
        <v>21275</v>
      </c>
      <c r="N4038" s="25">
        <f>IFERROR(T_reg.root.SK[[#This Row],[Price]]/T_reg.root.SK[[#This Row],[Starch content]],"")</f>
        <v>9.4262295081967213</v>
      </c>
    </row>
    <row r="4039" spans="1:14">
      <c r="A4039" s="21">
        <v>2024</v>
      </c>
      <c r="B4039" s="21" t="s">
        <v>26</v>
      </c>
      <c r="C4039" s="21" t="s">
        <v>1145</v>
      </c>
      <c r="D4039" s="21" t="s">
        <v>35</v>
      </c>
      <c r="E4039" s="18" t="s">
        <v>839</v>
      </c>
      <c r="F4039" s="18" t="s">
        <v>393</v>
      </c>
      <c r="G4039" s="18" t="s">
        <v>377</v>
      </c>
      <c r="H4039" s="24">
        <v>13570</v>
      </c>
      <c r="I4039" s="24">
        <f>T_reg.root.SK[[#This Row],[Volume, kg]]/1000</f>
        <v>13.57</v>
      </c>
      <c r="J4039" s="25">
        <v>0.254</v>
      </c>
      <c r="K4039" s="25">
        <f t="shared" si="63"/>
        <v>3446.78</v>
      </c>
      <c r="L4039" s="25">
        <v>2.35</v>
      </c>
      <c r="M4039" s="24">
        <v>31889.5</v>
      </c>
      <c r="N4039" s="25">
        <f>IFERROR(T_reg.root.SK[[#This Row],[Price]]/T_reg.root.SK[[#This Row],[Starch content]],"")</f>
        <v>9.2519685039370074</v>
      </c>
    </row>
    <row r="4040" spans="1:14">
      <c r="A4040" s="21">
        <v>2024</v>
      </c>
      <c r="B4040" s="21" t="s">
        <v>26</v>
      </c>
      <c r="C4040" s="21" t="s">
        <v>1145</v>
      </c>
      <c r="D4040" s="21" t="s">
        <v>35</v>
      </c>
      <c r="E4040" s="18" t="s">
        <v>840</v>
      </c>
      <c r="F4040" s="18" t="s">
        <v>393</v>
      </c>
      <c r="G4040" s="18" t="s">
        <v>377</v>
      </c>
      <c r="H4040" s="24">
        <v>4560</v>
      </c>
      <c r="I4040" s="24">
        <f>T_reg.root.SK[[#This Row],[Volume, kg]]/1000</f>
        <v>4.5599999999999996</v>
      </c>
      <c r="J4040" s="25">
        <v>0.22550000000000001</v>
      </c>
      <c r="K4040" s="25">
        <f t="shared" si="63"/>
        <v>1028.28</v>
      </c>
      <c r="L4040" s="25">
        <v>2.25</v>
      </c>
      <c r="M4040" s="24">
        <v>10260</v>
      </c>
      <c r="N4040" s="25">
        <f>IFERROR(T_reg.root.SK[[#This Row],[Price]]/T_reg.root.SK[[#This Row],[Starch content]],"")</f>
        <v>9.9778270509977816</v>
      </c>
    </row>
    <row r="4041" spans="1:14">
      <c r="A4041" s="21">
        <v>2024</v>
      </c>
      <c r="B4041" s="21" t="s">
        <v>26</v>
      </c>
      <c r="C4041" s="21" t="s">
        <v>1145</v>
      </c>
      <c r="D4041" s="21" t="s">
        <v>35</v>
      </c>
      <c r="E4041" s="18" t="s">
        <v>841</v>
      </c>
      <c r="F4041" s="18" t="s">
        <v>385</v>
      </c>
      <c r="G4041" s="18" t="s">
        <v>377</v>
      </c>
      <c r="H4041" s="24">
        <v>9090</v>
      </c>
      <c r="I4041" s="24">
        <f>T_reg.root.SK[[#This Row],[Volume, kg]]/1000</f>
        <v>9.09</v>
      </c>
      <c r="J4041" s="25">
        <v>0.23676897689768978</v>
      </c>
      <c r="K4041" s="25">
        <f t="shared" si="63"/>
        <v>2152.23</v>
      </c>
      <c r="L4041" s="25">
        <v>2.443234323432343</v>
      </c>
      <c r="M4041" s="24">
        <v>22209</v>
      </c>
      <c r="N4041" s="25">
        <f>IFERROR(T_reg.root.SK[[#This Row],[Price]]/T_reg.root.SK[[#This Row],[Starch content]],"")</f>
        <v>10.31906441226077</v>
      </c>
    </row>
    <row r="4042" spans="1:14">
      <c r="A4042" s="21">
        <v>2024</v>
      </c>
      <c r="B4042" s="21" t="s">
        <v>26</v>
      </c>
      <c r="C4042" s="21" t="s">
        <v>1145</v>
      </c>
      <c r="D4042" s="21" t="s">
        <v>35</v>
      </c>
      <c r="E4042" s="18" t="s">
        <v>842</v>
      </c>
      <c r="F4042" s="18" t="s">
        <v>432</v>
      </c>
      <c r="G4042" s="18" t="s">
        <v>377</v>
      </c>
      <c r="H4042" s="24">
        <v>24220</v>
      </c>
      <c r="I4042" s="24">
        <f>T_reg.root.SK[[#This Row],[Volume, kg]]/1000</f>
        <v>24.22</v>
      </c>
      <c r="J4042" s="25">
        <v>0.24437014863748971</v>
      </c>
      <c r="K4042" s="25">
        <f t="shared" si="63"/>
        <v>5918.6450000000004</v>
      </c>
      <c r="L4042" s="25">
        <v>2.2999999999999998</v>
      </c>
      <c r="M4042" s="24">
        <v>55706</v>
      </c>
      <c r="N4042" s="25">
        <f>IFERROR(T_reg.root.SK[[#This Row],[Price]]/T_reg.root.SK[[#This Row],[Starch content]],"")</f>
        <v>9.4119515531004119</v>
      </c>
    </row>
    <row r="4043" spans="1:14">
      <c r="A4043" s="21">
        <v>2024</v>
      </c>
      <c r="B4043" s="21" t="s">
        <v>26</v>
      </c>
      <c r="C4043" s="21" t="s">
        <v>1145</v>
      </c>
      <c r="D4043" s="21" t="s">
        <v>35</v>
      </c>
      <c r="E4043" s="18" t="s">
        <v>843</v>
      </c>
      <c r="F4043" s="18" t="s">
        <v>393</v>
      </c>
      <c r="G4043" s="18" t="s">
        <v>377</v>
      </c>
      <c r="H4043" s="24">
        <v>12390</v>
      </c>
      <c r="I4043" s="24">
        <f>T_reg.root.SK[[#This Row],[Volume, kg]]/1000</f>
        <v>12.39</v>
      </c>
      <c r="J4043" s="25">
        <v>0.2195</v>
      </c>
      <c r="K4043" s="25">
        <f t="shared" si="63"/>
        <v>2719.605</v>
      </c>
      <c r="L4043" s="25">
        <v>2.35</v>
      </c>
      <c r="M4043" s="24">
        <v>29116.5</v>
      </c>
      <c r="N4043" s="25">
        <f>IFERROR(T_reg.root.SK[[#This Row],[Price]]/T_reg.root.SK[[#This Row],[Starch content]],"")</f>
        <v>10.70615034168565</v>
      </c>
    </row>
    <row r="4044" spans="1:14">
      <c r="A4044" s="21">
        <v>2024</v>
      </c>
      <c r="B4044" s="21" t="s">
        <v>26</v>
      </c>
      <c r="C4044" s="21" t="s">
        <v>1145</v>
      </c>
      <c r="D4044" s="21" t="s">
        <v>35</v>
      </c>
      <c r="E4044" s="18" t="s">
        <v>844</v>
      </c>
      <c r="F4044" s="18" t="s">
        <v>393</v>
      </c>
      <c r="G4044" s="18" t="s">
        <v>377</v>
      </c>
      <c r="H4044" s="24">
        <v>10600</v>
      </c>
      <c r="I4044" s="24">
        <f>T_reg.root.SK[[#This Row],[Volume, kg]]/1000</f>
        <v>10.6</v>
      </c>
      <c r="J4044" s="25">
        <v>0.23399999999999996</v>
      </c>
      <c r="K4044" s="25">
        <f t="shared" si="63"/>
        <v>2480.3999999999996</v>
      </c>
      <c r="L4044" s="25">
        <v>2.4</v>
      </c>
      <c r="M4044" s="24">
        <v>25440</v>
      </c>
      <c r="N4044" s="25">
        <f>IFERROR(T_reg.root.SK[[#This Row],[Price]]/T_reg.root.SK[[#This Row],[Starch content]],"")</f>
        <v>10.256410256410257</v>
      </c>
    </row>
    <row r="4045" spans="1:14">
      <c r="A4045" s="21">
        <v>2024</v>
      </c>
      <c r="B4045" s="21" t="s">
        <v>26</v>
      </c>
      <c r="C4045" s="21" t="s">
        <v>1145</v>
      </c>
      <c r="D4045" s="21" t="s">
        <v>35</v>
      </c>
      <c r="E4045" s="18" t="s">
        <v>845</v>
      </c>
      <c r="F4045" s="18" t="s">
        <v>393</v>
      </c>
      <c r="G4045" s="18" t="s">
        <v>377</v>
      </c>
      <c r="H4045" s="24">
        <v>13900</v>
      </c>
      <c r="I4045" s="24">
        <f>T_reg.root.SK[[#This Row],[Volume, kg]]/1000</f>
        <v>13.9</v>
      </c>
      <c r="J4045" s="25">
        <v>0.21162014388489209</v>
      </c>
      <c r="K4045" s="25">
        <f t="shared" si="63"/>
        <v>2941.52</v>
      </c>
      <c r="L4045" s="25">
        <v>2.2379856115107915</v>
      </c>
      <c r="M4045" s="24">
        <v>31108</v>
      </c>
      <c r="N4045" s="25">
        <f>IFERROR(T_reg.root.SK[[#This Row],[Price]]/T_reg.root.SK[[#This Row],[Starch content]],"")</f>
        <v>10.575484783377302</v>
      </c>
    </row>
    <row r="4046" spans="1:14">
      <c r="A4046" s="21">
        <v>2024</v>
      </c>
      <c r="B4046" s="21" t="s">
        <v>26</v>
      </c>
      <c r="C4046" s="21" t="s">
        <v>1145</v>
      </c>
      <c r="D4046" s="21" t="s">
        <v>35</v>
      </c>
      <c r="E4046" s="18" t="s">
        <v>846</v>
      </c>
      <c r="F4046" s="18" t="s">
        <v>393</v>
      </c>
      <c r="G4046" s="18" t="s">
        <v>377</v>
      </c>
      <c r="H4046" s="24">
        <v>6560</v>
      </c>
      <c r="I4046" s="24">
        <f>T_reg.root.SK[[#This Row],[Volume, kg]]/1000</f>
        <v>6.56</v>
      </c>
      <c r="J4046" s="25">
        <v>0.23650000000000002</v>
      </c>
      <c r="K4046" s="25">
        <f t="shared" si="63"/>
        <v>1551.44</v>
      </c>
      <c r="L4046" s="25">
        <v>2.4500000000000002</v>
      </c>
      <c r="M4046" s="24">
        <v>16072.000000000002</v>
      </c>
      <c r="N4046" s="25">
        <f>IFERROR(T_reg.root.SK[[#This Row],[Price]]/T_reg.root.SK[[#This Row],[Starch content]],"")</f>
        <v>10.359408033826638</v>
      </c>
    </row>
    <row r="4047" spans="1:14">
      <c r="A4047" s="21">
        <v>2024</v>
      </c>
      <c r="B4047" s="21" t="s">
        <v>26</v>
      </c>
      <c r="C4047" s="21" t="s">
        <v>1145</v>
      </c>
      <c r="D4047" s="21" t="s">
        <v>35</v>
      </c>
      <c r="E4047" s="18" t="s">
        <v>847</v>
      </c>
      <c r="F4047" s="18" t="s">
        <v>385</v>
      </c>
      <c r="G4047" s="18" t="s">
        <v>377</v>
      </c>
      <c r="H4047" s="24">
        <v>16350</v>
      </c>
      <c r="I4047" s="24">
        <f>T_reg.root.SK[[#This Row],[Volume, kg]]/1000</f>
        <v>16.350000000000001</v>
      </c>
      <c r="J4047" s="25">
        <v>0.23849999999999999</v>
      </c>
      <c r="K4047" s="25">
        <f t="shared" si="63"/>
        <v>3899.4749999999999</v>
      </c>
      <c r="L4047" s="25">
        <v>2.4500000000000002</v>
      </c>
      <c r="M4047" s="24">
        <v>40057.5</v>
      </c>
      <c r="N4047" s="25">
        <f>IFERROR(T_reg.root.SK[[#This Row],[Price]]/T_reg.root.SK[[#This Row],[Starch content]],"")</f>
        <v>10.272536687631028</v>
      </c>
    </row>
    <row r="4048" spans="1:14">
      <c r="A4048" s="21">
        <v>2024</v>
      </c>
      <c r="B4048" s="21" t="s">
        <v>26</v>
      </c>
      <c r="C4048" s="21" t="s">
        <v>1145</v>
      </c>
      <c r="D4048" s="21" t="s">
        <v>35</v>
      </c>
      <c r="E4048" s="18" t="s">
        <v>848</v>
      </c>
      <c r="F4048" s="18" t="s">
        <v>393</v>
      </c>
      <c r="G4048" s="18" t="s">
        <v>377</v>
      </c>
      <c r="H4048" s="24">
        <v>13280</v>
      </c>
      <c r="I4048" s="24">
        <f>T_reg.root.SK[[#This Row],[Volume, kg]]/1000</f>
        <v>13.28</v>
      </c>
      <c r="J4048" s="25">
        <v>0.26950000000000002</v>
      </c>
      <c r="K4048" s="25">
        <f t="shared" si="63"/>
        <v>3578.96</v>
      </c>
      <c r="L4048" s="25">
        <v>2.6</v>
      </c>
      <c r="M4048" s="24">
        <v>34528</v>
      </c>
      <c r="N4048" s="25">
        <f>IFERROR(T_reg.root.SK[[#This Row],[Price]]/T_reg.root.SK[[#This Row],[Starch content]],"")</f>
        <v>9.6474953617810755</v>
      </c>
    </row>
    <row r="4049" spans="1:14">
      <c r="A4049" s="21">
        <v>2024</v>
      </c>
      <c r="B4049" s="21" t="s">
        <v>26</v>
      </c>
      <c r="C4049" s="21" t="s">
        <v>1145</v>
      </c>
      <c r="D4049" s="21" t="s">
        <v>35</v>
      </c>
      <c r="E4049" s="18" t="s">
        <v>416</v>
      </c>
      <c r="F4049" s="18" t="s">
        <v>393</v>
      </c>
      <c r="G4049" s="18" t="s">
        <v>377</v>
      </c>
      <c r="H4049" s="24">
        <v>3490</v>
      </c>
      <c r="I4049" s="24">
        <f>T_reg.root.SK[[#This Row],[Volume, kg]]/1000</f>
        <v>3.49</v>
      </c>
      <c r="J4049" s="25">
        <v>0.23799999999999996</v>
      </c>
      <c r="K4049" s="25">
        <f t="shared" si="63"/>
        <v>830.61999999999989</v>
      </c>
      <c r="L4049" s="25">
        <v>2.4500000000000002</v>
      </c>
      <c r="M4049" s="24">
        <v>8550.5</v>
      </c>
      <c r="N4049" s="25">
        <f>IFERROR(T_reg.root.SK[[#This Row],[Price]]/T_reg.root.SK[[#This Row],[Starch content]],"")</f>
        <v>10.294117647058826</v>
      </c>
    </row>
    <row r="4050" spans="1:14">
      <c r="A4050" s="21">
        <v>2024</v>
      </c>
      <c r="B4050" s="21" t="s">
        <v>26</v>
      </c>
      <c r="C4050" s="21" t="s">
        <v>1145</v>
      </c>
      <c r="D4050" s="21" t="s">
        <v>35</v>
      </c>
      <c r="E4050" s="18" t="s">
        <v>849</v>
      </c>
      <c r="F4050" s="18" t="s">
        <v>393</v>
      </c>
      <c r="G4050" s="18" t="s">
        <v>377</v>
      </c>
      <c r="H4050" s="24">
        <v>11570</v>
      </c>
      <c r="I4050" s="24">
        <f>T_reg.root.SK[[#This Row],[Volume, kg]]/1000</f>
        <v>11.57</v>
      </c>
      <c r="J4050" s="25">
        <v>0.27099999999999996</v>
      </c>
      <c r="K4050" s="25">
        <f t="shared" si="63"/>
        <v>3135.47</v>
      </c>
      <c r="L4050" s="25">
        <v>2.4500000000000002</v>
      </c>
      <c r="M4050" s="24">
        <v>28346.500000000004</v>
      </c>
      <c r="N4050" s="25">
        <f>IFERROR(T_reg.root.SK[[#This Row],[Price]]/T_reg.root.SK[[#This Row],[Starch content]],"")</f>
        <v>9.0405904059040605</v>
      </c>
    </row>
    <row r="4051" spans="1:14">
      <c r="A4051" s="21">
        <v>2024</v>
      </c>
      <c r="B4051" s="21" t="s">
        <v>26</v>
      </c>
      <c r="C4051" s="21" t="s">
        <v>1145</v>
      </c>
      <c r="D4051" s="21" t="s">
        <v>35</v>
      </c>
      <c r="E4051" s="18" t="s">
        <v>850</v>
      </c>
      <c r="F4051" s="18" t="s">
        <v>393</v>
      </c>
      <c r="G4051" s="18" t="s">
        <v>377</v>
      </c>
      <c r="H4051" s="24">
        <v>2900</v>
      </c>
      <c r="I4051" s="24">
        <f>T_reg.root.SK[[#This Row],[Volume, kg]]/1000</f>
        <v>2.9</v>
      </c>
      <c r="J4051" s="25">
        <v>0.23900000000000002</v>
      </c>
      <c r="K4051" s="25">
        <f t="shared" si="63"/>
        <v>693.1</v>
      </c>
      <c r="L4051" s="25">
        <v>2.2999999999999998</v>
      </c>
      <c r="M4051" s="24">
        <v>6669.9999999999991</v>
      </c>
      <c r="N4051" s="25">
        <f>IFERROR(T_reg.root.SK[[#This Row],[Price]]/T_reg.root.SK[[#This Row],[Starch content]],"")</f>
        <v>9.6234309623430949</v>
      </c>
    </row>
    <row r="4052" spans="1:14">
      <c r="A4052" s="21">
        <v>2024</v>
      </c>
      <c r="B4052" s="21" t="s">
        <v>26</v>
      </c>
      <c r="C4052" s="21" t="s">
        <v>1145</v>
      </c>
      <c r="D4052" s="21" t="s">
        <v>35</v>
      </c>
      <c r="E4052" s="18" t="s">
        <v>851</v>
      </c>
      <c r="F4052" s="18" t="s">
        <v>432</v>
      </c>
      <c r="G4052" s="18" t="s">
        <v>377</v>
      </c>
      <c r="H4052" s="24">
        <v>4660</v>
      </c>
      <c r="I4052" s="24">
        <f>T_reg.root.SK[[#This Row],[Volume, kg]]/1000</f>
        <v>4.66</v>
      </c>
      <c r="J4052" s="25">
        <v>0.2525</v>
      </c>
      <c r="K4052" s="25">
        <f t="shared" si="63"/>
        <v>1176.6500000000001</v>
      </c>
      <c r="L4052" s="25">
        <v>2.5</v>
      </c>
      <c r="M4052" s="24">
        <v>11650</v>
      </c>
      <c r="N4052" s="25">
        <f>IFERROR(T_reg.root.SK[[#This Row],[Price]]/T_reg.root.SK[[#This Row],[Starch content]],"")</f>
        <v>9.9009900990099009</v>
      </c>
    </row>
    <row r="4053" spans="1:14">
      <c r="A4053" s="21">
        <v>2024</v>
      </c>
      <c r="B4053" s="21" t="s">
        <v>26</v>
      </c>
      <c r="C4053" s="21" t="s">
        <v>1145</v>
      </c>
      <c r="D4053" s="21" t="s">
        <v>35</v>
      </c>
      <c r="E4053" s="18" t="s">
        <v>852</v>
      </c>
      <c r="F4053" s="18" t="s">
        <v>432</v>
      </c>
      <c r="G4053" s="18" t="s">
        <v>377</v>
      </c>
      <c r="H4053" s="24">
        <v>23570</v>
      </c>
      <c r="I4053" s="24">
        <f>T_reg.root.SK[[#This Row],[Volume, kg]]/1000</f>
        <v>23.57</v>
      </c>
      <c r="J4053" s="25">
        <v>0.22365231226134916</v>
      </c>
      <c r="K4053" s="25">
        <f t="shared" si="63"/>
        <v>5271.4849999999997</v>
      </c>
      <c r="L4053" s="25">
        <v>2.2916631310988547</v>
      </c>
      <c r="M4053" s="24">
        <v>54014.5</v>
      </c>
      <c r="N4053" s="25">
        <f>IFERROR(T_reg.root.SK[[#This Row],[Price]]/T_reg.root.SK[[#This Row],[Starch content]],"")</f>
        <v>10.246543431310155</v>
      </c>
    </row>
    <row r="4054" spans="1:14">
      <c r="A4054" s="21">
        <v>2024</v>
      </c>
      <c r="B4054" s="21" t="s">
        <v>26</v>
      </c>
      <c r="C4054" s="21" t="s">
        <v>1145</v>
      </c>
      <c r="D4054" s="21" t="s">
        <v>35</v>
      </c>
      <c r="E4054" s="18" t="s">
        <v>419</v>
      </c>
      <c r="F4054" s="18" t="s">
        <v>393</v>
      </c>
      <c r="G4054" s="18" t="s">
        <v>377</v>
      </c>
      <c r="H4054" s="24">
        <v>10520</v>
      </c>
      <c r="I4054" s="24">
        <f>T_reg.root.SK[[#This Row],[Volume, kg]]/1000</f>
        <v>10.52</v>
      </c>
      <c r="J4054" s="25">
        <v>0.22500000000000001</v>
      </c>
      <c r="K4054" s="25">
        <f t="shared" si="63"/>
        <v>2367</v>
      </c>
      <c r="L4054" s="25">
        <v>2.4</v>
      </c>
      <c r="M4054" s="24">
        <v>25248</v>
      </c>
      <c r="N4054" s="25">
        <f>IFERROR(T_reg.root.SK[[#This Row],[Price]]/T_reg.root.SK[[#This Row],[Starch content]],"")</f>
        <v>10.666666666666666</v>
      </c>
    </row>
    <row r="4055" spans="1:14">
      <c r="A4055" s="21">
        <v>2024</v>
      </c>
      <c r="B4055" s="21" t="s">
        <v>26</v>
      </c>
      <c r="C4055" s="21" t="s">
        <v>1145</v>
      </c>
      <c r="D4055" s="21" t="s">
        <v>35</v>
      </c>
      <c r="E4055" s="18" t="s">
        <v>853</v>
      </c>
      <c r="F4055" s="18" t="s">
        <v>393</v>
      </c>
      <c r="G4055" s="18" t="s">
        <v>377</v>
      </c>
      <c r="H4055" s="24">
        <v>10050</v>
      </c>
      <c r="I4055" s="24">
        <f>T_reg.root.SK[[#This Row],[Volume, kg]]/1000</f>
        <v>10.050000000000001</v>
      </c>
      <c r="J4055" s="25">
        <v>0.22450000000000001</v>
      </c>
      <c r="K4055" s="25">
        <f t="shared" si="63"/>
        <v>2256.2249999999999</v>
      </c>
      <c r="L4055" s="25">
        <v>2.25</v>
      </c>
      <c r="M4055" s="24">
        <v>22612.5</v>
      </c>
      <c r="N4055" s="25">
        <f>IFERROR(T_reg.root.SK[[#This Row],[Price]]/T_reg.root.SK[[#This Row],[Starch content]],"")</f>
        <v>10.022271714922049</v>
      </c>
    </row>
    <row r="4056" spans="1:14">
      <c r="A4056" s="21">
        <v>2024</v>
      </c>
      <c r="B4056" s="21" t="s">
        <v>26</v>
      </c>
      <c r="C4056" s="21" t="s">
        <v>1145</v>
      </c>
      <c r="D4056" s="21" t="s">
        <v>35</v>
      </c>
      <c r="E4056" s="18" t="s">
        <v>420</v>
      </c>
      <c r="F4056" s="18" t="s">
        <v>393</v>
      </c>
      <c r="G4056" s="18" t="s">
        <v>377</v>
      </c>
      <c r="H4056" s="24">
        <v>8020</v>
      </c>
      <c r="I4056" s="24">
        <f>T_reg.root.SK[[#This Row],[Volume, kg]]/1000</f>
        <v>8.02</v>
      </c>
      <c r="J4056" s="25">
        <v>0.23300000000000001</v>
      </c>
      <c r="K4056" s="25">
        <f t="shared" si="63"/>
        <v>1868.66</v>
      </c>
      <c r="L4056" s="25">
        <v>2.4</v>
      </c>
      <c r="M4056" s="24">
        <v>19248</v>
      </c>
      <c r="N4056" s="25">
        <f>IFERROR(T_reg.root.SK[[#This Row],[Price]]/T_reg.root.SK[[#This Row],[Starch content]],"")</f>
        <v>10.300429184549355</v>
      </c>
    </row>
    <row r="4057" spans="1:14">
      <c r="A4057" s="21">
        <v>2024</v>
      </c>
      <c r="B4057" s="21" t="s">
        <v>26</v>
      </c>
      <c r="C4057" s="21" t="s">
        <v>1145</v>
      </c>
      <c r="D4057" s="21" t="s">
        <v>35</v>
      </c>
      <c r="E4057" s="18" t="s">
        <v>854</v>
      </c>
      <c r="F4057" s="18" t="s">
        <v>393</v>
      </c>
      <c r="G4057" s="18" t="s">
        <v>377</v>
      </c>
      <c r="H4057" s="24">
        <v>10600</v>
      </c>
      <c r="I4057" s="24">
        <f>T_reg.root.SK[[#This Row],[Volume, kg]]/1000</f>
        <v>10.6</v>
      </c>
      <c r="J4057" s="25">
        <v>0.27750000000000002</v>
      </c>
      <c r="K4057" s="25">
        <f t="shared" si="63"/>
        <v>2941.5000000000005</v>
      </c>
      <c r="L4057" s="25">
        <v>2.5</v>
      </c>
      <c r="M4057" s="24">
        <v>26500</v>
      </c>
      <c r="N4057" s="25">
        <f>IFERROR(T_reg.root.SK[[#This Row],[Price]]/T_reg.root.SK[[#This Row],[Starch content]],"")</f>
        <v>9.0090090090090076</v>
      </c>
    </row>
    <row r="4058" spans="1:14">
      <c r="A4058" s="21">
        <v>2024</v>
      </c>
      <c r="B4058" s="21" t="s">
        <v>26</v>
      </c>
      <c r="C4058" s="21" t="s">
        <v>1145</v>
      </c>
      <c r="D4058" s="21" t="s">
        <v>35</v>
      </c>
      <c r="E4058" s="18" t="s">
        <v>855</v>
      </c>
      <c r="F4058" s="18" t="s">
        <v>422</v>
      </c>
      <c r="G4058" s="18" t="s">
        <v>377</v>
      </c>
      <c r="H4058" s="24">
        <v>9660</v>
      </c>
      <c r="I4058" s="24">
        <f>T_reg.root.SK[[#This Row],[Volume, kg]]/1000</f>
        <v>9.66</v>
      </c>
      <c r="J4058" s="25">
        <v>0.21600000000000003</v>
      </c>
      <c r="K4058" s="25">
        <f t="shared" si="63"/>
        <v>2086.5600000000004</v>
      </c>
      <c r="L4058" s="25">
        <v>2.2000000000000002</v>
      </c>
      <c r="M4058" s="24">
        <v>21252</v>
      </c>
      <c r="N4058" s="25">
        <f>IFERROR(T_reg.root.SK[[#This Row],[Price]]/T_reg.root.SK[[#This Row],[Starch content]],"")</f>
        <v>10.185185185185185</v>
      </c>
    </row>
    <row r="4059" spans="1:14">
      <c r="A4059" s="21">
        <v>2024</v>
      </c>
      <c r="B4059" s="21" t="s">
        <v>26</v>
      </c>
      <c r="C4059" s="21" t="s">
        <v>1145</v>
      </c>
      <c r="D4059" s="21" t="s">
        <v>35</v>
      </c>
      <c r="E4059" s="18" t="s">
        <v>856</v>
      </c>
      <c r="F4059" s="18" t="s">
        <v>398</v>
      </c>
      <c r="G4059" s="18" t="s">
        <v>377</v>
      </c>
      <c r="H4059" s="24">
        <v>7640</v>
      </c>
      <c r="I4059" s="24">
        <f>T_reg.root.SK[[#This Row],[Volume, kg]]/1000</f>
        <v>7.64</v>
      </c>
      <c r="J4059" s="25">
        <v>0.24249999999999999</v>
      </c>
      <c r="K4059" s="25">
        <f t="shared" si="63"/>
        <v>1852.7</v>
      </c>
      <c r="L4059" s="25">
        <v>2.4500000000000002</v>
      </c>
      <c r="M4059" s="24">
        <v>18718</v>
      </c>
      <c r="N4059" s="25">
        <f>IFERROR(T_reg.root.SK[[#This Row],[Price]]/T_reg.root.SK[[#This Row],[Starch content]],"")</f>
        <v>10.103092783505156</v>
      </c>
    </row>
    <row r="4060" spans="1:14">
      <c r="A4060" s="21">
        <v>2024</v>
      </c>
      <c r="B4060" s="21" t="s">
        <v>26</v>
      </c>
      <c r="C4060" s="21" t="s">
        <v>1145</v>
      </c>
      <c r="D4060" s="21" t="s">
        <v>35</v>
      </c>
      <c r="E4060" s="18" t="s">
        <v>857</v>
      </c>
      <c r="F4060" s="18" t="s">
        <v>393</v>
      </c>
      <c r="G4060" s="18" t="s">
        <v>377</v>
      </c>
      <c r="H4060" s="24">
        <v>10750</v>
      </c>
      <c r="I4060" s="24">
        <f>T_reg.root.SK[[#This Row],[Volume, kg]]/1000</f>
        <v>10.75</v>
      </c>
      <c r="J4060" s="25">
        <v>0.22750000000000001</v>
      </c>
      <c r="K4060" s="25">
        <f t="shared" si="63"/>
        <v>2445.625</v>
      </c>
      <c r="L4060" s="25">
        <v>2.25</v>
      </c>
      <c r="M4060" s="24">
        <v>24187.5</v>
      </c>
      <c r="N4060" s="25">
        <f>IFERROR(T_reg.root.SK[[#This Row],[Price]]/T_reg.root.SK[[#This Row],[Starch content]],"")</f>
        <v>9.8901098901098905</v>
      </c>
    </row>
    <row r="4061" spans="1:14">
      <c r="A4061" s="21">
        <v>2024</v>
      </c>
      <c r="B4061" s="21" t="s">
        <v>26</v>
      </c>
      <c r="C4061" s="21" t="s">
        <v>1145</v>
      </c>
      <c r="D4061" s="21" t="s">
        <v>35</v>
      </c>
      <c r="E4061" s="18" t="s">
        <v>858</v>
      </c>
      <c r="F4061" s="18" t="s">
        <v>859</v>
      </c>
      <c r="G4061" s="18" t="s">
        <v>860</v>
      </c>
      <c r="H4061" s="24">
        <v>12100</v>
      </c>
      <c r="I4061" s="24">
        <f>T_reg.root.SK[[#This Row],[Volume, kg]]/1000</f>
        <v>12.1</v>
      </c>
      <c r="J4061" s="25">
        <v>0.27800000000000002</v>
      </c>
      <c r="K4061" s="25">
        <f t="shared" si="63"/>
        <v>3363.8</v>
      </c>
      <c r="L4061" s="25">
        <v>2.5</v>
      </c>
      <c r="M4061" s="24">
        <v>30250</v>
      </c>
      <c r="N4061" s="25">
        <f>IFERROR(T_reg.root.SK[[#This Row],[Price]]/T_reg.root.SK[[#This Row],[Starch content]],"")</f>
        <v>8.9928057553956826</v>
      </c>
    </row>
    <row r="4062" spans="1:14">
      <c r="A4062" s="21">
        <v>2024</v>
      </c>
      <c r="B4062" s="21" t="s">
        <v>26</v>
      </c>
      <c r="C4062" s="21" t="s">
        <v>1145</v>
      </c>
      <c r="D4062" s="21" t="s">
        <v>35</v>
      </c>
      <c r="E4062" s="18" t="s">
        <v>861</v>
      </c>
      <c r="F4062" s="18" t="s">
        <v>393</v>
      </c>
      <c r="G4062" s="18" t="s">
        <v>377</v>
      </c>
      <c r="H4062" s="24">
        <v>25110</v>
      </c>
      <c r="I4062" s="24">
        <f>T_reg.root.SK[[#This Row],[Volume, kg]]/1000</f>
        <v>25.11</v>
      </c>
      <c r="J4062" s="25">
        <v>0.228994623655914</v>
      </c>
      <c r="K4062" s="25">
        <f t="shared" si="63"/>
        <v>5750.0550000000003</v>
      </c>
      <c r="L4062" s="25">
        <v>2.3462166467542813</v>
      </c>
      <c r="M4062" s="24">
        <v>58913.5</v>
      </c>
      <c r="N4062" s="25">
        <f>IFERROR(T_reg.root.SK[[#This Row],[Price]]/T_reg.root.SK[[#This Row],[Starch content]],"")</f>
        <v>10.245728084340062</v>
      </c>
    </row>
    <row r="4063" spans="1:14">
      <c r="A4063" s="21">
        <v>2024</v>
      </c>
      <c r="B4063" s="21" t="s">
        <v>26</v>
      </c>
      <c r="C4063" s="21" t="s">
        <v>1145</v>
      </c>
      <c r="D4063" s="21" t="s">
        <v>35</v>
      </c>
      <c r="E4063" s="18" t="s">
        <v>862</v>
      </c>
      <c r="F4063" s="18" t="s">
        <v>398</v>
      </c>
      <c r="G4063" s="18" t="s">
        <v>377</v>
      </c>
      <c r="H4063" s="24">
        <v>4690</v>
      </c>
      <c r="I4063" s="24">
        <f>T_reg.root.SK[[#This Row],[Volume, kg]]/1000</f>
        <v>4.6900000000000004</v>
      </c>
      <c r="J4063" s="25">
        <v>0.23450000000000004</v>
      </c>
      <c r="K4063" s="25">
        <f t="shared" si="63"/>
        <v>1099.8050000000003</v>
      </c>
      <c r="L4063" s="25">
        <v>2.25</v>
      </c>
      <c r="M4063" s="24">
        <v>10552.5</v>
      </c>
      <c r="N4063" s="25">
        <f>IFERROR(T_reg.root.SK[[#This Row],[Price]]/T_reg.root.SK[[#This Row],[Starch content]],"")</f>
        <v>9.5948827292110863</v>
      </c>
    </row>
    <row r="4064" spans="1:14">
      <c r="A4064" s="21">
        <v>2024</v>
      </c>
      <c r="B4064" s="21" t="s">
        <v>26</v>
      </c>
      <c r="C4064" s="21" t="s">
        <v>1145</v>
      </c>
      <c r="D4064" s="21" t="s">
        <v>35</v>
      </c>
      <c r="E4064" s="18" t="s">
        <v>863</v>
      </c>
      <c r="F4064" s="18" t="s">
        <v>422</v>
      </c>
      <c r="G4064" s="18" t="s">
        <v>377</v>
      </c>
      <c r="H4064" s="24">
        <v>22840</v>
      </c>
      <c r="I4064" s="24">
        <f>T_reg.root.SK[[#This Row],[Volume, kg]]/1000</f>
        <v>22.84</v>
      </c>
      <c r="J4064" s="25">
        <v>0.2555</v>
      </c>
      <c r="K4064" s="25">
        <f t="shared" si="63"/>
        <v>5835.62</v>
      </c>
      <c r="L4064" s="25">
        <v>2.4500000000000002</v>
      </c>
      <c r="M4064" s="24">
        <v>55958.000000000007</v>
      </c>
      <c r="N4064" s="25">
        <f>IFERROR(T_reg.root.SK[[#This Row],[Price]]/T_reg.root.SK[[#This Row],[Starch content]],"")</f>
        <v>9.589041095890412</v>
      </c>
    </row>
    <row r="4065" spans="1:14">
      <c r="A4065" s="21">
        <v>2024</v>
      </c>
      <c r="B4065" s="21" t="s">
        <v>26</v>
      </c>
      <c r="C4065" s="21" t="s">
        <v>1145</v>
      </c>
      <c r="D4065" s="21" t="s">
        <v>35</v>
      </c>
      <c r="E4065" s="18" t="s">
        <v>864</v>
      </c>
      <c r="F4065" s="18" t="s">
        <v>422</v>
      </c>
      <c r="G4065" s="18" t="s">
        <v>377</v>
      </c>
      <c r="H4065" s="24">
        <v>8520</v>
      </c>
      <c r="I4065" s="24">
        <f>T_reg.root.SK[[#This Row],[Volume, kg]]/1000</f>
        <v>8.52</v>
      </c>
      <c r="J4065" s="25">
        <v>0.24849999999999997</v>
      </c>
      <c r="K4065" s="25">
        <f t="shared" si="63"/>
        <v>2117.2199999999998</v>
      </c>
      <c r="L4065" s="25">
        <v>2.5</v>
      </c>
      <c r="M4065" s="24">
        <v>21300</v>
      </c>
      <c r="N4065" s="25">
        <f>IFERROR(T_reg.root.SK[[#This Row],[Price]]/T_reg.root.SK[[#This Row],[Starch content]],"")</f>
        <v>10.06036217303823</v>
      </c>
    </row>
    <row r="4066" spans="1:14">
      <c r="A4066" s="21">
        <v>2024</v>
      </c>
      <c r="B4066" s="21" t="s">
        <v>26</v>
      </c>
      <c r="C4066" s="21" t="s">
        <v>1145</v>
      </c>
      <c r="D4066" s="21" t="s">
        <v>35</v>
      </c>
      <c r="E4066" s="18" t="s">
        <v>865</v>
      </c>
      <c r="F4066" s="18" t="s">
        <v>398</v>
      </c>
      <c r="G4066" s="18" t="s">
        <v>377</v>
      </c>
      <c r="H4066" s="24">
        <v>20540</v>
      </c>
      <c r="I4066" s="24">
        <f>T_reg.root.SK[[#This Row],[Volume, kg]]/1000</f>
        <v>20.54</v>
      </c>
      <c r="J4066" s="25">
        <v>0.23622078870496593</v>
      </c>
      <c r="K4066" s="25">
        <f t="shared" si="63"/>
        <v>4851.9750000000004</v>
      </c>
      <c r="L4066" s="25">
        <v>2.3635832521908471</v>
      </c>
      <c r="M4066" s="24">
        <v>48548</v>
      </c>
      <c r="N4066" s="25">
        <f>IFERROR(T_reg.root.SK[[#This Row],[Price]]/T_reg.root.SK[[#This Row],[Starch content]],"")</f>
        <v>10.005822371302408</v>
      </c>
    </row>
    <row r="4067" spans="1:14">
      <c r="A4067" s="21">
        <v>2024</v>
      </c>
      <c r="B4067" s="21" t="s">
        <v>26</v>
      </c>
      <c r="C4067" s="21" t="s">
        <v>1145</v>
      </c>
      <c r="D4067" s="21" t="s">
        <v>35</v>
      </c>
      <c r="E4067" s="18" t="s">
        <v>866</v>
      </c>
      <c r="F4067" s="18" t="s">
        <v>422</v>
      </c>
      <c r="G4067" s="18" t="s">
        <v>377</v>
      </c>
      <c r="H4067" s="24">
        <v>10140</v>
      </c>
      <c r="I4067" s="24">
        <f>T_reg.root.SK[[#This Row],[Volume, kg]]/1000</f>
        <v>10.14</v>
      </c>
      <c r="J4067" s="25">
        <v>0.27999999999999997</v>
      </c>
      <c r="K4067" s="25">
        <f t="shared" si="63"/>
        <v>2839.2</v>
      </c>
      <c r="L4067" s="25">
        <v>2.5</v>
      </c>
      <c r="M4067" s="24">
        <v>25350</v>
      </c>
      <c r="N4067" s="25">
        <f>IFERROR(T_reg.root.SK[[#This Row],[Price]]/T_reg.root.SK[[#This Row],[Starch content]],"")</f>
        <v>8.9285714285714288</v>
      </c>
    </row>
    <row r="4068" spans="1:14">
      <c r="A4068" s="21">
        <v>2024</v>
      </c>
      <c r="B4068" s="21" t="s">
        <v>26</v>
      </c>
      <c r="C4068" s="21" t="s">
        <v>1145</v>
      </c>
      <c r="D4068" s="21" t="s">
        <v>35</v>
      </c>
      <c r="E4068" s="18" t="s">
        <v>867</v>
      </c>
      <c r="F4068" s="18" t="s">
        <v>422</v>
      </c>
      <c r="G4068" s="18" t="s">
        <v>377</v>
      </c>
      <c r="H4068" s="24">
        <v>11680</v>
      </c>
      <c r="I4068" s="24">
        <f>T_reg.root.SK[[#This Row],[Volume, kg]]/1000</f>
        <v>11.68</v>
      </c>
      <c r="J4068" s="25">
        <v>0.26850000000000002</v>
      </c>
      <c r="K4068" s="25">
        <f t="shared" si="63"/>
        <v>3136.0800000000004</v>
      </c>
      <c r="L4068" s="25">
        <v>2.4500000000000002</v>
      </c>
      <c r="M4068" s="24">
        <v>28616.000000000004</v>
      </c>
      <c r="N4068" s="25">
        <f>IFERROR(T_reg.root.SK[[#This Row],[Price]]/T_reg.root.SK[[#This Row],[Starch content]],"")</f>
        <v>9.1247672253258845</v>
      </c>
    </row>
    <row r="4069" spans="1:14">
      <c r="A4069" s="21">
        <v>2024</v>
      </c>
      <c r="B4069" s="21" t="s">
        <v>26</v>
      </c>
      <c r="C4069" s="21" t="s">
        <v>1145</v>
      </c>
      <c r="D4069" s="21" t="s">
        <v>35</v>
      </c>
      <c r="E4069" s="18" t="s">
        <v>868</v>
      </c>
      <c r="F4069" s="18" t="s">
        <v>393</v>
      </c>
      <c r="G4069" s="18" t="s">
        <v>377</v>
      </c>
      <c r="H4069" s="24">
        <v>41520</v>
      </c>
      <c r="I4069" s="24">
        <f>T_reg.root.SK[[#This Row],[Volume, kg]]/1000</f>
        <v>41.52</v>
      </c>
      <c r="J4069" s="25">
        <v>0.22914294315992292</v>
      </c>
      <c r="K4069" s="25">
        <f t="shared" si="63"/>
        <v>9514.0149999999994</v>
      </c>
      <c r="L4069" s="25">
        <v>2.3151131984585742</v>
      </c>
      <c r="M4069" s="24">
        <v>96123.5</v>
      </c>
      <c r="N4069" s="25">
        <f>IFERROR(T_reg.root.SK[[#This Row],[Price]]/T_reg.root.SK[[#This Row],[Starch content]],"")</f>
        <v>10.103358045998457</v>
      </c>
    </row>
    <row r="4070" spans="1:14">
      <c r="A4070" s="21">
        <v>2024</v>
      </c>
      <c r="B4070" s="21" t="s">
        <v>26</v>
      </c>
      <c r="C4070" s="21" t="s">
        <v>1145</v>
      </c>
      <c r="D4070" s="21" t="s">
        <v>35</v>
      </c>
      <c r="E4070" s="18" t="s">
        <v>869</v>
      </c>
      <c r="F4070" s="18" t="s">
        <v>393</v>
      </c>
      <c r="G4070" s="18" t="s">
        <v>377</v>
      </c>
      <c r="H4070" s="24">
        <v>10200</v>
      </c>
      <c r="I4070" s="24">
        <f>T_reg.root.SK[[#This Row],[Volume, kg]]/1000</f>
        <v>10.199999999999999</v>
      </c>
      <c r="J4070" s="25">
        <v>0.2545</v>
      </c>
      <c r="K4070" s="25">
        <f t="shared" si="63"/>
        <v>2595.9</v>
      </c>
      <c r="L4070" s="25">
        <v>2.35</v>
      </c>
      <c r="M4070" s="24">
        <v>23970</v>
      </c>
      <c r="N4070" s="25">
        <f>IFERROR(T_reg.root.SK[[#This Row],[Price]]/T_reg.root.SK[[#This Row],[Starch content]],"")</f>
        <v>9.2337917485265226</v>
      </c>
    </row>
    <row r="4071" spans="1:14">
      <c r="A4071" s="21">
        <v>2024</v>
      </c>
      <c r="B4071" s="21" t="s">
        <v>26</v>
      </c>
      <c r="C4071" s="21" t="s">
        <v>1145</v>
      </c>
      <c r="D4071" s="21" t="s">
        <v>35</v>
      </c>
      <c r="E4071" s="18" t="s">
        <v>870</v>
      </c>
      <c r="F4071" s="18" t="s">
        <v>398</v>
      </c>
      <c r="G4071" s="18" t="s">
        <v>377</v>
      </c>
      <c r="H4071" s="24">
        <v>30790</v>
      </c>
      <c r="I4071" s="24">
        <f>T_reg.root.SK[[#This Row],[Volume, kg]]/1000</f>
        <v>30.79</v>
      </c>
      <c r="J4071" s="25">
        <v>0.24659110100682041</v>
      </c>
      <c r="K4071" s="25">
        <f t="shared" si="63"/>
        <v>7592.5400000000009</v>
      </c>
      <c r="L4071" s="25">
        <v>2.3788242936018187</v>
      </c>
      <c r="M4071" s="24">
        <v>73244</v>
      </c>
      <c r="N4071" s="25">
        <f>IFERROR(T_reg.root.SK[[#This Row],[Price]]/T_reg.root.SK[[#This Row],[Starch content]],"")</f>
        <v>9.6468375537040298</v>
      </c>
    </row>
    <row r="4072" spans="1:14">
      <c r="A4072" s="21">
        <v>2024</v>
      </c>
      <c r="B4072" s="21" t="s">
        <v>26</v>
      </c>
      <c r="C4072" s="21" t="s">
        <v>1145</v>
      </c>
      <c r="D4072" s="21" t="s">
        <v>35</v>
      </c>
      <c r="E4072" s="18" t="s">
        <v>428</v>
      </c>
      <c r="F4072" s="18" t="s">
        <v>393</v>
      </c>
      <c r="G4072" s="18" t="s">
        <v>377</v>
      </c>
      <c r="H4072" s="24">
        <v>29080</v>
      </c>
      <c r="I4072" s="24">
        <f>T_reg.root.SK[[#This Row],[Volume, kg]]/1000</f>
        <v>29.08</v>
      </c>
      <c r="J4072" s="25">
        <v>0.25775447042640992</v>
      </c>
      <c r="K4072" s="25">
        <f t="shared" si="63"/>
        <v>7495.5000000000009</v>
      </c>
      <c r="L4072" s="25">
        <v>2.478180880330124</v>
      </c>
      <c r="M4072" s="24">
        <v>72065.5</v>
      </c>
      <c r="N4072" s="25">
        <f>IFERROR(T_reg.root.SK[[#This Row],[Price]]/T_reg.root.SK[[#This Row],[Starch content]],"")</f>
        <v>9.6145020345540662</v>
      </c>
    </row>
    <row r="4073" spans="1:14">
      <c r="A4073" s="21">
        <v>2024</v>
      </c>
      <c r="B4073" s="21" t="s">
        <v>26</v>
      </c>
      <c r="C4073" s="21" t="s">
        <v>1145</v>
      </c>
      <c r="D4073" s="21" t="s">
        <v>35</v>
      </c>
      <c r="E4073" s="18" t="s">
        <v>871</v>
      </c>
      <c r="F4073" s="18" t="s">
        <v>872</v>
      </c>
      <c r="G4073" s="18" t="s">
        <v>377</v>
      </c>
      <c r="H4073" s="24">
        <v>12430</v>
      </c>
      <c r="I4073" s="24">
        <f>T_reg.root.SK[[#This Row],[Volume, kg]]/1000</f>
        <v>12.43</v>
      </c>
      <c r="J4073" s="25">
        <v>0.22850000000000001</v>
      </c>
      <c r="K4073" s="25">
        <f t="shared" si="63"/>
        <v>2840.2550000000001</v>
      </c>
      <c r="L4073" s="25">
        <v>2.4</v>
      </c>
      <c r="M4073" s="24">
        <v>29832</v>
      </c>
      <c r="N4073" s="25">
        <f>IFERROR(T_reg.root.SK[[#This Row],[Price]]/T_reg.root.SK[[#This Row],[Starch content]],"")</f>
        <v>10.503282275711159</v>
      </c>
    </row>
    <row r="4074" spans="1:14">
      <c r="A4074" s="21">
        <v>2024</v>
      </c>
      <c r="B4074" s="21" t="s">
        <v>26</v>
      </c>
      <c r="C4074" s="21" t="s">
        <v>1145</v>
      </c>
      <c r="D4074" s="21" t="s">
        <v>35</v>
      </c>
      <c r="E4074" s="18" t="s">
        <v>873</v>
      </c>
      <c r="F4074" s="18" t="s">
        <v>393</v>
      </c>
      <c r="G4074" s="18" t="s">
        <v>377</v>
      </c>
      <c r="H4074" s="24">
        <v>8220</v>
      </c>
      <c r="I4074" s="24">
        <f>T_reg.root.SK[[#This Row],[Volume, kg]]/1000</f>
        <v>8.2200000000000006</v>
      </c>
      <c r="J4074" s="25">
        <v>0.26250000000000001</v>
      </c>
      <c r="K4074" s="25">
        <f t="shared" si="63"/>
        <v>2157.75</v>
      </c>
      <c r="L4074" s="25">
        <v>2.4500000000000002</v>
      </c>
      <c r="M4074" s="24">
        <v>20139</v>
      </c>
      <c r="N4074" s="25">
        <f>IFERROR(T_reg.root.SK[[#This Row],[Price]]/T_reg.root.SK[[#This Row],[Starch content]],"")</f>
        <v>9.3333333333333339</v>
      </c>
    </row>
    <row r="4075" spans="1:14">
      <c r="A4075" s="21">
        <v>2024</v>
      </c>
      <c r="B4075" s="21" t="s">
        <v>26</v>
      </c>
      <c r="C4075" s="21" t="s">
        <v>1145</v>
      </c>
      <c r="D4075" s="21" t="s">
        <v>35</v>
      </c>
      <c r="E4075" s="18" t="s">
        <v>874</v>
      </c>
      <c r="F4075" s="18" t="s">
        <v>398</v>
      </c>
      <c r="G4075" s="18" t="s">
        <v>377</v>
      </c>
      <c r="H4075" s="24">
        <v>20860</v>
      </c>
      <c r="I4075" s="24">
        <f>T_reg.root.SK[[#This Row],[Volume, kg]]/1000</f>
        <v>20.86</v>
      </c>
      <c r="J4075" s="25">
        <v>0.23353523489932887</v>
      </c>
      <c r="K4075" s="25">
        <f t="shared" si="63"/>
        <v>4871.5450000000001</v>
      </c>
      <c r="L4075" s="25">
        <v>2.3180968360498562</v>
      </c>
      <c r="M4075" s="24">
        <v>48355.5</v>
      </c>
      <c r="N4075" s="25">
        <f>IFERROR(T_reg.root.SK[[#This Row],[Price]]/T_reg.root.SK[[#This Row],[Starch content]],"")</f>
        <v>9.9261117366256482</v>
      </c>
    </row>
    <row r="4076" spans="1:14">
      <c r="A4076" s="21">
        <v>2024</v>
      </c>
      <c r="B4076" s="21" t="s">
        <v>26</v>
      </c>
      <c r="C4076" s="21" t="s">
        <v>1145</v>
      </c>
      <c r="D4076" s="21" t="s">
        <v>35</v>
      </c>
      <c r="E4076" s="18" t="s">
        <v>875</v>
      </c>
      <c r="F4076" s="18" t="s">
        <v>432</v>
      </c>
      <c r="G4076" s="18" t="s">
        <v>377</v>
      </c>
      <c r="H4076" s="24">
        <v>32640</v>
      </c>
      <c r="I4076" s="24">
        <f>T_reg.root.SK[[#This Row],[Volume, kg]]/1000</f>
        <v>32.64</v>
      </c>
      <c r="J4076" s="25">
        <v>0.21062990196078432</v>
      </c>
      <c r="K4076" s="25">
        <f t="shared" si="63"/>
        <v>6874.96</v>
      </c>
      <c r="L4076" s="25">
        <v>2.322686887254902</v>
      </c>
      <c r="M4076" s="24">
        <v>75812.5</v>
      </c>
      <c r="N4076" s="25">
        <f>IFERROR(T_reg.root.SK[[#This Row],[Price]]/T_reg.root.SK[[#This Row],[Starch content]],"")</f>
        <v>11.027336886323702</v>
      </c>
    </row>
    <row r="4077" spans="1:14">
      <c r="A4077" s="21">
        <v>2024</v>
      </c>
      <c r="B4077" s="21" t="s">
        <v>26</v>
      </c>
      <c r="C4077" s="21" t="s">
        <v>1145</v>
      </c>
      <c r="D4077" s="21" t="s">
        <v>35</v>
      </c>
      <c r="E4077" s="18" t="s">
        <v>876</v>
      </c>
      <c r="F4077" s="18" t="s">
        <v>393</v>
      </c>
      <c r="G4077" s="18" t="s">
        <v>377</v>
      </c>
      <c r="H4077" s="24">
        <v>13330</v>
      </c>
      <c r="I4077" s="24">
        <f>T_reg.root.SK[[#This Row],[Volume, kg]]/1000</f>
        <v>13.33</v>
      </c>
      <c r="J4077" s="25">
        <v>0.2599010502625656</v>
      </c>
      <c r="K4077" s="25">
        <f t="shared" si="63"/>
        <v>3464.4809999999993</v>
      </c>
      <c r="L4077" s="25">
        <v>2.4628657164291075</v>
      </c>
      <c r="M4077" s="24">
        <v>32830</v>
      </c>
      <c r="N4077" s="25">
        <f>IFERROR(T_reg.root.SK[[#This Row],[Price]]/T_reg.root.SK[[#This Row],[Starch content]],"")</f>
        <v>9.4761668486564101</v>
      </c>
    </row>
    <row r="4078" spans="1:14">
      <c r="A4078" s="21">
        <v>2024</v>
      </c>
      <c r="B4078" s="21" t="s">
        <v>26</v>
      </c>
      <c r="C4078" s="21" t="s">
        <v>1145</v>
      </c>
      <c r="D4078" s="21" t="s">
        <v>35</v>
      </c>
      <c r="E4078" s="18" t="s">
        <v>877</v>
      </c>
      <c r="F4078" s="18" t="s">
        <v>422</v>
      </c>
      <c r="G4078" s="18" t="s">
        <v>377</v>
      </c>
      <c r="H4078" s="24">
        <v>16070</v>
      </c>
      <c r="I4078" s="24">
        <f>T_reg.root.SK[[#This Row],[Volume, kg]]/1000</f>
        <v>16.07</v>
      </c>
      <c r="J4078" s="25">
        <v>0.23550000000000001</v>
      </c>
      <c r="K4078" s="25">
        <f t="shared" si="63"/>
        <v>3784.4850000000001</v>
      </c>
      <c r="L4078" s="25">
        <v>2.2999999999999998</v>
      </c>
      <c r="M4078" s="24">
        <v>36961</v>
      </c>
      <c r="N4078" s="25">
        <f>IFERROR(T_reg.root.SK[[#This Row],[Price]]/T_reg.root.SK[[#This Row],[Starch content]],"")</f>
        <v>9.7664543524416114</v>
      </c>
    </row>
    <row r="4079" spans="1:14">
      <c r="A4079" s="21">
        <v>2024</v>
      </c>
      <c r="B4079" s="21" t="s">
        <v>26</v>
      </c>
      <c r="C4079" s="21" t="s">
        <v>1145</v>
      </c>
      <c r="D4079" s="21" t="s">
        <v>35</v>
      </c>
      <c r="E4079" s="18" t="s">
        <v>431</v>
      </c>
      <c r="F4079" s="18" t="s">
        <v>432</v>
      </c>
      <c r="G4079" s="18" t="s">
        <v>377</v>
      </c>
      <c r="H4079" s="24">
        <v>81340</v>
      </c>
      <c r="I4079" s="24">
        <f>T_reg.root.SK[[#This Row],[Volume, kg]]/1000</f>
        <v>81.34</v>
      </c>
      <c r="J4079" s="25">
        <v>0.23367998524711087</v>
      </c>
      <c r="K4079" s="25">
        <f t="shared" si="63"/>
        <v>19007.53</v>
      </c>
      <c r="L4079" s="25">
        <v>2.2770592574379149</v>
      </c>
      <c r="M4079" s="24">
        <v>185216</v>
      </c>
      <c r="N4079" s="25">
        <f>IFERROR(T_reg.root.SK[[#This Row],[Price]]/T_reg.root.SK[[#This Row],[Starch content]],"")</f>
        <v>9.7443486870729661</v>
      </c>
    </row>
    <row r="4080" spans="1:14">
      <c r="A4080" s="21">
        <v>2024</v>
      </c>
      <c r="B4080" s="21" t="s">
        <v>26</v>
      </c>
      <c r="C4080" s="21" t="s">
        <v>1145</v>
      </c>
      <c r="D4080" s="21" t="s">
        <v>35</v>
      </c>
      <c r="E4080" s="18" t="s">
        <v>878</v>
      </c>
      <c r="F4080" s="18" t="s">
        <v>398</v>
      </c>
      <c r="G4080" s="18" t="s">
        <v>377</v>
      </c>
      <c r="H4080" s="24">
        <v>10120</v>
      </c>
      <c r="I4080" s="24">
        <f>T_reg.root.SK[[#This Row],[Volume, kg]]/1000</f>
        <v>10.119999999999999</v>
      </c>
      <c r="J4080" s="25">
        <v>0.26449999999999996</v>
      </c>
      <c r="K4080" s="25">
        <f t="shared" si="63"/>
        <v>2676.74</v>
      </c>
      <c r="L4080" s="25">
        <v>2.4</v>
      </c>
      <c r="M4080" s="24">
        <v>24288</v>
      </c>
      <c r="N4080" s="25">
        <f>IFERROR(T_reg.root.SK[[#This Row],[Price]]/T_reg.root.SK[[#This Row],[Starch content]],"")</f>
        <v>9.073724007561438</v>
      </c>
    </row>
    <row r="4081" spans="1:14">
      <c r="A4081" s="21">
        <v>2024</v>
      </c>
      <c r="B4081" s="21" t="s">
        <v>26</v>
      </c>
      <c r="C4081" s="21" t="s">
        <v>1145</v>
      </c>
      <c r="D4081" s="21" t="s">
        <v>35</v>
      </c>
      <c r="E4081" s="18" t="s">
        <v>386</v>
      </c>
      <c r="F4081" s="18" t="s">
        <v>385</v>
      </c>
      <c r="G4081" s="18" t="s">
        <v>377</v>
      </c>
      <c r="H4081" s="24">
        <v>10630</v>
      </c>
      <c r="I4081" s="24">
        <f>T_reg.root.SK[[#This Row],[Volume, kg]]/1000</f>
        <v>10.63</v>
      </c>
      <c r="J4081" s="25">
        <v>0.27749999999999997</v>
      </c>
      <c r="K4081" s="25">
        <f t="shared" si="63"/>
        <v>2949.8249999999998</v>
      </c>
      <c r="L4081" s="25">
        <v>2.65</v>
      </c>
      <c r="M4081" s="24">
        <v>28169.5</v>
      </c>
      <c r="N4081" s="25">
        <f>IFERROR(T_reg.root.SK[[#This Row],[Price]]/T_reg.root.SK[[#This Row],[Starch content]],"")</f>
        <v>9.5495495495495497</v>
      </c>
    </row>
    <row r="4082" spans="1:14">
      <c r="A4082" s="21">
        <v>2024</v>
      </c>
      <c r="B4082" s="21" t="s">
        <v>26</v>
      </c>
      <c r="C4082" s="21" t="s">
        <v>1145</v>
      </c>
      <c r="D4082" s="21" t="s">
        <v>35</v>
      </c>
      <c r="E4082" s="18" t="s">
        <v>434</v>
      </c>
      <c r="F4082" s="18" t="s">
        <v>422</v>
      </c>
      <c r="G4082" s="18" t="s">
        <v>377</v>
      </c>
      <c r="H4082" s="24">
        <v>37730</v>
      </c>
      <c r="I4082" s="24">
        <f>T_reg.root.SK[[#This Row],[Volume, kg]]/1000</f>
        <v>37.729999999999997</v>
      </c>
      <c r="J4082" s="25">
        <v>0.25648714550755369</v>
      </c>
      <c r="K4082" s="25">
        <f t="shared" si="63"/>
        <v>9677.26</v>
      </c>
      <c r="L4082" s="25">
        <v>2.4063344818446861</v>
      </c>
      <c r="M4082" s="24">
        <v>90791</v>
      </c>
      <c r="N4082" s="25">
        <f>IFERROR(T_reg.root.SK[[#This Row],[Price]]/T_reg.root.SK[[#This Row],[Starch content]],"")</f>
        <v>9.3818911551410213</v>
      </c>
    </row>
    <row r="4083" spans="1:14">
      <c r="A4083" s="21">
        <v>2024</v>
      </c>
      <c r="B4083" s="21" t="s">
        <v>26</v>
      </c>
      <c r="C4083" s="21" t="s">
        <v>1145</v>
      </c>
      <c r="D4083" s="21" t="s">
        <v>35</v>
      </c>
      <c r="E4083" s="18" t="s">
        <v>879</v>
      </c>
      <c r="F4083" s="18" t="s">
        <v>393</v>
      </c>
      <c r="G4083" s="18" t="s">
        <v>377</v>
      </c>
      <c r="H4083" s="24">
        <v>5550</v>
      </c>
      <c r="I4083" s="24">
        <f>T_reg.root.SK[[#This Row],[Volume, kg]]/1000</f>
        <v>5.55</v>
      </c>
      <c r="J4083" s="25">
        <v>0.26600000000000001</v>
      </c>
      <c r="K4083" s="25">
        <f t="shared" si="63"/>
        <v>1476.3000000000002</v>
      </c>
      <c r="L4083" s="25">
        <v>2.6</v>
      </c>
      <c r="M4083" s="24">
        <v>14430</v>
      </c>
      <c r="N4083" s="25">
        <f>IFERROR(T_reg.root.SK[[#This Row],[Price]]/T_reg.root.SK[[#This Row],[Starch content]],"")</f>
        <v>9.7744360902255636</v>
      </c>
    </row>
    <row r="4084" spans="1:14">
      <c r="A4084" s="21">
        <v>2024</v>
      </c>
      <c r="B4084" s="21" t="s">
        <v>26</v>
      </c>
      <c r="C4084" s="21" t="s">
        <v>1145</v>
      </c>
      <c r="D4084" s="21" t="s">
        <v>35</v>
      </c>
      <c r="E4084" s="18" t="s">
        <v>435</v>
      </c>
      <c r="F4084" s="18" t="s">
        <v>393</v>
      </c>
      <c r="G4084" s="18" t="s">
        <v>377</v>
      </c>
      <c r="H4084" s="24">
        <v>36020</v>
      </c>
      <c r="I4084" s="24">
        <f>T_reg.root.SK[[#This Row],[Volume, kg]]/1000</f>
        <v>36.020000000000003</v>
      </c>
      <c r="J4084" s="25">
        <v>0.25474222654081069</v>
      </c>
      <c r="K4084" s="25">
        <f t="shared" si="63"/>
        <v>9175.8150000000005</v>
      </c>
      <c r="L4084" s="25">
        <v>2.3982926152137702</v>
      </c>
      <c r="M4084" s="24">
        <v>86386.5</v>
      </c>
      <c r="N4084" s="25">
        <f>IFERROR(T_reg.root.SK[[#This Row],[Price]]/T_reg.root.SK[[#This Row],[Starch content]],"")</f>
        <v>9.4145860612926473</v>
      </c>
    </row>
    <row r="4085" spans="1:14">
      <c r="A4085" s="21">
        <v>2024</v>
      </c>
      <c r="B4085" s="21" t="s">
        <v>26</v>
      </c>
      <c r="C4085" s="21" t="s">
        <v>1145</v>
      </c>
      <c r="D4085" s="21" t="s">
        <v>35</v>
      </c>
      <c r="E4085" s="18" t="s">
        <v>880</v>
      </c>
      <c r="F4085" s="18" t="s">
        <v>398</v>
      </c>
      <c r="G4085" s="18" t="s">
        <v>377</v>
      </c>
      <c r="H4085" s="24">
        <v>2690</v>
      </c>
      <c r="I4085" s="24">
        <f>T_reg.root.SK[[#This Row],[Volume, kg]]/1000</f>
        <v>2.69</v>
      </c>
      <c r="J4085" s="25">
        <v>0.251</v>
      </c>
      <c r="K4085" s="25">
        <f t="shared" si="63"/>
        <v>675.19</v>
      </c>
      <c r="L4085" s="25">
        <v>2.35</v>
      </c>
      <c r="M4085" s="24">
        <v>6321.5</v>
      </c>
      <c r="N4085" s="25">
        <f>IFERROR(T_reg.root.SK[[#This Row],[Price]]/T_reg.root.SK[[#This Row],[Starch content]],"")</f>
        <v>9.3625498007968133</v>
      </c>
    </row>
    <row r="4086" spans="1:14">
      <c r="A4086" s="21">
        <v>2024</v>
      </c>
      <c r="B4086" s="21" t="s">
        <v>26</v>
      </c>
      <c r="C4086" s="21" t="s">
        <v>1145</v>
      </c>
      <c r="D4086" s="21" t="s">
        <v>35</v>
      </c>
      <c r="E4086" s="18" t="s">
        <v>881</v>
      </c>
      <c r="F4086" s="18" t="s">
        <v>422</v>
      </c>
      <c r="G4086" s="18" t="s">
        <v>377</v>
      </c>
      <c r="H4086" s="24">
        <v>14390</v>
      </c>
      <c r="I4086" s="24">
        <f>T_reg.root.SK[[#This Row],[Volume, kg]]/1000</f>
        <v>14.39</v>
      </c>
      <c r="J4086" s="25">
        <v>0.27150000000000002</v>
      </c>
      <c r="K4086" s="25">
        <f t="shared" si="63"/>
        <v>3906.8850000000002</v>
      </c>
      <c r="L4086" s="25">
        <v>2.6</v>
      </c>
      <c r="M4086" s="24">
        <v>37414</v>
      </c>
      <c r="N4086" s="25">
        <f>IFERROR(T_reg.root.SK[[#This Row],[Price]]/T_reg.root.SK[[#This Row],[Starch content]],"")</f>
        <v>9.5764272559852675</v>
      </c>
    </row>
    <row r="4087" spans="1:14">
      <c r="A4087" s="21">
        <v>2024</v>
      </c>
      <c r="B4087" s="21" t="s">
        <v>26</v>
      </c>
      <c r="C4087" s="21" t="s">
        <v>1145</v>
      </c>
      <c r="D4087" s="21" t="s">
        <v>35</v>
      </c>
      <c r="E4087" s="18" t="s">
        <v>882</v>
      </c>
      <c r="F4087" s="18" t="s">
        <v>422</v>
      </c>
      <c r="G4087" s="18" t="s">
        <v>377</v>
      </c>
      <c r="H4087" s="24">
        <v>18990</v>
      </c>
      <c r="I4087" s="24">
        <f>T_reg.root.SK[[#This Row],[Volume, kg]]/1000</f>
        <v>18.989999999999998</v>
      </c>
      <c r="J4087" s="25">
        <v>0.25800000000000001</v>
      </c>
      <c r="K4087" s="25">
        <f t="shared" si="63"/>
        <v>4899.42</v>
      </c>
      <c r="L4087" s="25">
        <v>2.5499999999999998</v>
      </c>
      <c r="M4087" s="24">
        <v>48424.5</v>
      </c>
      <c r="N4087" s="25">
        <f>IFERROR(T_reg.root.SK[[#This Row],[Price]]/T_reg.root.SK[[#This Row],[Starch content]],"")</f>
        <v>9.8837209302325579</v>
      </c>
    </row>
    <row r="4088" spans="1:14">
      <c r="A4088" s="21">
        <v>2024</v>
      </c>
      <c r="B4088" s="21" t="s">
        <v>26</v>
      </c>
      <c r="C4088" s="21" t="s">
        <v>1145</v>
      </c>
      <c r="D4088" s="21" t="s">
        <v>35</v>
      </c>
      <c r="E4088" s="18" t="s">
        <v>883</v>
      </c>
      <c r="F4088" s="18" t="s">
        <v>398</v>
      </c>
      <c r="G4088" s="18" t="s">
        <v>377</v>
      </c>
      <c r="H4088" s="24">
        <v>7970</v>
      </c>
      <c r="I4088" s="24">
        <f>T_reg.root.SK[[#This Row],[Volume, kg]]/1000</f>
        <v>7.97</v>
      </c>
      <c r="J4088" s="25">
        <v>0.2538770388958595</v>
      </c>
      <c r="K4088" s="25">
        <f t="shared" si="63"/>
        <v>2023.4</v>
      </c>
      <c r="L4088" s="25">
        <v>2.3855081555834379</v>
      </c>
      <c r="M4088" s="24">
        <v>19012.5</v>
      </c>
      <c r="N4088" s="25">
        <f>IFERROR(T_reg.root.SK[[#This Row],[Price]]/T_reg.root.SK[[#This Row],[Starch content]],"")</f>
        <v>9.3963131363052277</v>
      </c>
    </row>
    <row r="4089" spans="1:14">
      <c r="A4089" s="21">
        <v>2024</v>
      </c>
      <c r="B4089" s="21" t="s">
        <v>26</v>
      </c>
      <c r="C4089" s="21" t="s">
        <v>1145</v>
      </c>
      <c r="D4089" s="21" t="s">
        <v>35</v>
      </c>
      <c r="E4089" s="18" t="s">
        <v>394</v>
      </c>
      <c r="F4089" s="18" t="s">
        <v>393</v>
      </c>
      <c r="G4089" s="18" t="s">
        <v>377</v>
      </c>
      <c r="H4089" s="24">
        <v>17230</v>
      </c>
      <c r="I4089" s="24">
        <f>T_reg.root.SK[[#This Row],[Volume, kg]]/1000</f>
        <v>17.23</v>
      </c>
      <c r="J4089" s="25">
        <v>0.2667576900754498</v>
      </c>
      <c r="K4089" s="25">
        <f t="shared" si="63"/>
        <v>4596.2350000000006</v>
      </c>
      <c r="L4089" s="25">
        <v>2.4245211839814278</v>
      </c>
      <c r="M4089" s="24">
        <v>41774.5</v>
      </c>
      <c r="N4089" s="25">
        <f>IFERROR(T_reg.root.SK[[#This Row],[Price]]/T_reg.root.SK[[#This Row],[Starch content]],"")</f>
        <v>9.088852071314891</v>
      </c>
    </row>
    <row r="4090" spans="1:14">
      <c r="A4090" s="21">
        <v>2024</v>
      </c>
      <c r="B4090" s="21" t="s">
        <v>26</v>
      </c>
      <c r="C4090" s="21" t="s">
        <v>1145</v>
      </c>
      <c r="D4090" s="21" t="s">
        <v>35</v>
      </c>
      <c r="E4090" s="18" t="s">
        <v>439</v>
      </c>
      <c r="F4090" s="18" t="s">
        <v>385</v>
      </c>
      <c r="G4090" s="18" t="s">
        <v>377</v>
      </c>
      <c r="H4090" s="24">
        <v>8330</v>
      </c>
      <c r="I4090" s="24">
        <f>T_reg.root.SK[[#This Row],[Volume, kg]]/1000</f>
        <v>8.33</v>
      </c>
      <c r="J4090" s="25">
        <v>0.24750000000000003</v>
      </c>
      <c r="K4090" s="25">
        <f t="shared" si="63"/>
        <v>2061.6750000000002</v>
      </c>
      <c r="L4090" s="25">
        <v>2.35</v>
      </c>
      <c r="M4090" s="24">
        <v>19575.5</v>
      </c>
      <c r="N4090" s="25">
        <f>IFERROR(T_reg.root.SK[[#This Row],[Price]]/T_reg.root.SK[[#This Row],[Starch content]],"")</f>
        <v>9.4949494949494948</v>
      </c>
    </row>
    <row r="4091" spans="1:14">
      <c r="A4091" s="21">
        <v>2024</v>
      </c>
      <c r="B4091" s="21" t="s">
        <v>26</v>
      </c>
      <c r="C4091" s="21" t="s">
        <v>1145</v>
      </c>
      <c r="D4091" s="21" t="s">
        <v>35</v>
      </c>
      <c r="E4091" s="18" t="s">
        <v>884</v>
      </c>
      <c r="F4091" s="18" t="s">
        <v>393</v>
      </c>
      <c r="G4091" s="18" t="s">
        <v>377</v>
      </c>
      <c r="H4091" s="24">
        <v>4400</v>
      </c>
      <c r="I4091" s="24">
        <f>T_reg.root.SK[[#This Row],[Volume, kg]]/1000</f>
        <v>4.4000000000000004</v>
      </c>
      <c r="J4091" s="25">
        <v>0.2525</v>
      </c>
      <c r="K4091" s="25">
        <f t="shared" si="63"/>
        <v>1111</v>
      </c>
      <c r="L4091" s="25">
        <v>2.35</v>
      </c>
      <c r="M4091" s="24">
        <v>10340</v>
      </c>
      <c r="N4091" s="25">
        <f>IFERROR(T_reg.root.SK[[#This Row],[Price]]/T_reg.root.SK[[#This Row],[Starch content]],"")</f>
        <v>9.3069306930693063</v>
      </c>
    </row>
    <row r="4092" spans="1:14">
      <c r="A4092" s="21">
        <v>2024</v>
      </c>
      <c r="B4092" s="21" t="s">
        <v>26</v>
      </c>
      <c r="C4092" s="21" t="s">
        <v>1145</v>
      </c>
      <c r="D4092" s="21" t="s">
        <v>35</v>
      </c>
      <c r="E4092" s="18" t="s">
        <v>885</v>
      </c>
      <c r="F4092" s="18" t="s">
        <v>422</v>
      </c>
      <c r="G4092" s="18" t="s">
        <v>377</v>
      </c>
      <c r="H4092" s="24">
        <v>7650</v>
      </c>
      <c r="I4092" s="24">
        <f>T_reg.root.SK[[#This Row],[Volume, kg]]/1000</f>
        <v>7.65</v>
      </c>
      <c r="J4092" s="25">
        <v>0.28999999999999998</v>
      </c>
      <c r="K4092" s="25">
        <f t="shared" si="63"/>
        <v>2218.5</v>
      </c>
      <c r="L4092" s="25">
        <v>2.6</v>
      </c>
      <c r="M4092" s="24">
        <v>19890</v>
      </c>
      <c r="N4092" s="25">
        <f>IFERROR(T_reg.root.SK[[#This Row],[Price]]/T_reg.root.SK[[#This Row],[Starch content]],"")</f>
        <v>8.9655172413793114</v>
      </c>
    </row>
    <row r="4093" spans="1:14">
      <c r="A4093" s="21">
        <v>2024</v>
      </c>
      <c r="B4093" s="21" t="s">
        <v>26</v>
      </c>
      <c r="C4093" s="21" t="s">
        <v>1145</v>
      </c>
      <c r="D4093" s="21" t="s">
        <v>35</v>
      </c>
      <c r="E4093" s="18" t="s">
        <v>886</v>
      </c>
      <c r="F4093" s="18" t="s">
        <v>393</v>
      </c>
      <c r="G4093" s="18" t="s">
        <v>377</v>
      </c>
      <c r="H4093" s="24">
        <v>4680</v>
      </c>
      <c r="I4093" s="24">
        <f>T_reg.root.SK[[#This Row],[Volume, kg]]/1000</f>
        <v>4.68</v>
      </c>
      <c r="J4093" s="25">
        <v>0.23700000000000002</v>
      </c>
      <c r="K4093" s="25">
        <f t="shared" si="63"/>
        <v>1109.1600000000001</v>
      </c>
      <c r="L4093" s="25">
        <v>2.2999999999999998</v>
      </c>
      <c r="M4093" s="24">
        <v>10764</v>
      </c>
      <c r="N4093" s="25">
        <f>IFERROR(T_reg.root.SK[[#This Row],[Price]]/T_reg.root.SK[[#This Row],[Starch content]],"")</f>
        <v>9.7046413502109683</v>
      </c>
    </row>
    <row r="4094" spans="1:14">
      <c r="A4094" s="21">
        <v>2024</v>
      </c>
      <c r="B4094" s="21" t="s">
        <v>26</v>
      </c>
      <c r="C4094" s="21" t="s">
        <v>1145</v>
      </c>
      <c r="D4094" s="21" t="s">
        <v>35</v>
      </c>
      <c r="E4094" s="18" t="s">
        <v>887</v>
      </c>
      <c r="F4094" s="18" t="s">
        <v>422</v>
      </c>
      <c r="G4094" s="18" t="s">
        <v>377</v>
      </c>
      <c r="H4094" s="24">
        <v>18070</v>
      </c>
      <c r="I4094" s="24">
        <f>T_reg.root.SK[[#This Row],[Volume, kg]]/1000</f>
        <v>18.07</v>
      </c>
      <c r="J4094" s="25">
        <v>0.24580935251798558</v>
      </c>
      <c r="K4094" s="25">
        <f t="shared" si="63"/>
        <v>4441.7749999999996</v>
      </c>
      <c r="L4094" s="25">
        <v>2.4413392363032651</v>
      </c>
      <c r="M4094" s="24">
        <v>44115</v>
      </c>
      <c r="N4094" s="25">
        <f>IFERROR(T_reg.root.SK[[#This Row],[Price]]/T_reg.root.SK[[#This Row],[Starch content]],"")</f>
        <v>9.9318403115871483</v>
      </c>
    </row>
    <row r="4095" spans="1:14">
      <c r="A4095" s="21">
        <v>2024</v>
      </c>
      <c r="B4095" s="21" t="s">
        <v>26</v>
      </c>
      <c r="C4095" s="21" t="s">
        <v>1145</v>
      </c>
      <c r="D4095" s="21" t="s">
        <v>35</v>
      </c>
      <c r="E4095" s="18" t="s">
        <v>888</v>
      </c>
      <c r="F4095" s="18" t="s">
        <v>393</v>
      </c>
      <c r="G4095" s="18" t="s">
        <v>377</v>
      </c>
      <c r="H4095" s="24">
        <v>9240</v>
      </c>
      <c r="I4095" s="24">
        <f>T_reg.root.SK[[#This Row],[Volume, kg]]/1000</f>
        <v>9.24</v>
      </c>
      <c r="J4095" s="25">
        <v>0.22699999999999998</v>
      </c>
      <c r="K4095" s="25">
        <f t="shared" si="63"/>
        <v>2097.48</v>
      </c>
      <c r="L4095" s="25">
        <v>2.4</v>
      </c>
      <c r="M4095" s="24">
        <v>22176</v>
      </c>
      <c r="N4095" s="25">
        <f>IFERROR(T_reg.root.SK[[#This Row],[Price]]/T_reg.root.SK[[#This Row],[Starch content]],"")</f>
        <v>10.572687224669604</v>
      </c>
    </row>
    <row r="4096" spans="1:14">
      <c r="A4096" s="21">
        <v>2024</v>
      </c>
      <c r="B4096" s="21" t="s">
        <v>26</v>
      </c>
      <c r="C4096" s="21" t="s">
        <v>1145</v>
      </c>
      <c r="D4096" s="21" t="s">
        <v>35</v>
      </c>
      <c r="E4096" s="18" t="s">
        <v>889</v>
      </c>
      <c r="F4096" s="18" t="s">
        <v>393</v>
      </c>
      <c r="G4096" s="18" t="s">
        <v>377</v>
      </c>
      <c r="H4096" s="24">
        <v>5760</v>
      </c>
      <c r="I4096" s="24">
        <f>T_reg.root.SK[[#This Row],[Volume, kg]]/1000</f>
        <v>5.76</v>
      </c>
      <c r="J4096" s="25">
        <v>0.27999999999999997</v>
      </c>
      <c r="K4096" s="25">
        <f t="shared" si="63"/>
        <v>1612.7999999999997</v>
      </c>
      <c r="L4096" s="25">
        <v>2.5499999999999998</v>
      </c>
      <c r="M4096" s="24">
        <v>14687.999999999998</v>
      </c>
      <c r="N4096" s="25">
        <f>IFERROR(T_reg.root.SK[[#This Row],[Price]]/T_reg.root.SK[[#This Row],[Starch content]],"")</f>
        <v>9.1071428571428577</v>
      </c>
    </row>
    <row r="4097" spans="1:14">
      <c r="A4097" s="21">
        <v>2024</v>
      </c>
      <c r="B4097" s="21" t="s">
        <v>26</v>
      </c>
      <c r="C4097" s="21" t="s">
        <v>1145</v>
      </c>
      <c r="D4097" s="21" t="s">
        <v>35</v>
      </c>
      <c r="E4097" s="18" t="s">
        <v>890</v>
      </c>
      <c r="F4097" s="18" t="s">
        <v>398</v>
      </c>
      <c r="G4097" s="18" t="s">
        <v>377</v>
      </c>
      <c r="H4097" s="24">
        <v>6010</v>
      </c>
      <c r="I4097" s="24">
        <f>T_reg.root.SK[[#This Row],[Volume, kg]]/1000</f>
        <v>6.01</v>
      </c>
      <c r="J4097" s="25">
        <v>0.222</v>
      </c>
      <c r="K4097" s="25">
        <f t="shared" si="63"/>
        <v>1334.22</v>
      </c>
      <c r="L4097" s="25">
        <v>2.2000000000000002</v>
      </c>
      <c r="M4097" s="24">
        <v>13222.000000000002</v>
      </c>
      <c r="N4097" s="25">
        <f>IFERROR(T_reg.root.SK[[#This Row],[Price]]/T_reg.root.SK[[#This Row],[Starch content]],"")</f>
        <v>9.9099099099099099</v>
      </c>
    </row>
    <row r="4098" spans="1:14">
      <c r="A4098" s="21">
        <v>2024</v>
      </c>
      <c r="B4098" s="21" t="s">
        <v>26</v>
      </c>
      <c r="C4098" s="21" t="s">
        <v>1145</v>
      </c>
      <c r="D4098" s="21" t="s">
        <v>35</v>
      </c>
      <c r="E4098" s="18" t="s">
        <v>891</v>
      </c>
      <c r="F4098" s="18" t="s">
        <v>398</v>
      </c>
      <c r="G4098" s="18" t="s">
        <v>377</v>
      </c>
      <c r="H4098" s="24">
        <v>7110</v>
      </c>
      <c r="I4098" s="24">
        <f>T_reg.root.SK[[#This Row],[Volume, kg]]/1000</f>
        <v>7.11</v>
      </c>
      <c r="J4098" s="25">
        <v>0.27400000000000002</v>
      </c>
      <c r="K4098" s="25">
        <f t="shared" si="63"/>
        <v>1948.14</v>
      </c>
      <c r="L4098" s="25">
        <v>2.4500000000000002</v>
      </c>
      <c r="M4098" s="24">
        <v>17419.5</v>
      </c>
      <c r="N4098" s="25">
        <f>IFERROR(T_reg.root.SK[[#This Row],[Price]]/T_reg.root.SK[[#This Row],[Starch content]],"")</f>
        <v>8.9416058394160576</v>
      </c>
    </row>
    <row r="4099" spans="1:14">
      <c r="A4099" s="21">
        <v>2024</v>
      </c>
      <c r="B4099" s="21" t="s">
        <v>26</v>
      </c>
      <c r="C4099" s="21" t="s">
        <v>1145</v>
      </c>
      <c r="D4099" s="21" t="s">
        <v>35</v>
      </c>
      <c r="E4099" s="18" t="s">
        <v>892</v>
      </c>
      <c r="F4099" s="18" t="s">
        <v>385</v>
      </c>
      <c r="G4099" s="18" t="s">
        <v>377</v>
      </c>
      <c r="H4099" s="24">
        <v>10430</v>
      </c>
      <c r="I4099" s="24">
        <f>T_reg.root.SK[[#This Row],[Volume, kg]]/1000</f>
        <v>10.43</v>
      </c>
      <c r="J4099" s="25">
        <v>0.26649999999999996</v>
      </c>
      <c r="K4099" s="25">
        <f t="shared" ref="K4099:K4162" si="64">H4099*J4099</f>
        <v>2779.5949999999998</v>
      </c>
      <c r="L4099" s="25">
        <v>2.5</v>
      </c>
      <c r="M4099" s="24">
        <v>26075</v>
      </c>
      <c r="N4099" s="25">
        <f>IFERROR(T_reg.root.SK[[#This Row],[Price]]/T_reg.root.SK[[#This Row],[Starch content]],"")</f>
        <v>9.3808630393996264</v>
      </c>
    </row>
    <row r="4100" spans="1:14">
      <c r="A4100" s="21">
        <v>2024</v>
      </c>
      <c r="B4100" s="21" t="s">
        <v>26</v>
      </c>
      <c r="C4100" s="21" t="s">
        <v>1145</v>
      </c>
      <c r="D4100" s="21" t="s">
        <v>35</v>
      </c>
      <c r="E4100" s="18" t="s">
        <v>893</v>
      </c>
      <c r="F4100" s="18" t="s">
        <v>422</v>
      </c>
      <c r="G4100" s="18" t="s">
        <v>377</v>
      </c>
      <c r="H4100" s="24">
        <v>15000</v>
      </c>
      <c r="I4100" s="24">
        <f>T_reg.root.SK[[#This Row],[Volume, kg]]/1000</f>
        <v>15</v>
      </c>
      <c r="J4100" s="25">
        <v>0.25800000000000001</v>
      </c>
      <c r="K4100" s="25">
        <f t="shared" si="64"/>
        <v>3870</v>
      </c>
      <c r="L4100" s="25">
        <v>2.4</v>
      </c>
      <c r="M4100" s="24">
        <v>36000</v>
      </c>
      <c r="N4100" s="25">
        <f>IFERROR(T_reg.root.SK[[#This Row],[Price]]/T_reg.root.SK[[#This Row],[Starch content]],"")</f>
        <v>9.3023255813953476</v>
      </c>
    </row>
    <row r="4101" spans="1:14">
      <c r="A4101" s="21">
        <v>2024</v>
      </c>
      <c r="B4101" s="21" t="s">
        <v>26</v>
      </c>
      <c r="C4101" s="21" t="s">
        <v>1145</v>
      </c>
      <c r="D4101" s="21" t="s">
        <v>35</v>
      </c>
      <c r="E4101" s="18" t="s">
        <v>894</v>
      </c>
      <c r="F4101" s="18" t="s">
        <v>422</v>
      </c>
      <c r="G4101" s="18" t="s">
        <v>377</v>
      </c>
      <c r="H4101" s="24">
        <v>32940</v>
      </c>
      <c r="I4101" s="24">
        <f>T_reg.root.SK[[#This Row],[Volume, kg]]/1000</f>
        <v>32.94</v>
      </c>
      <c r="J4101" s="25">
        <v>0.26277792956891316</v>
      </c>
      <c r="K4101" s="25">
        <f t="shared" si="64"/>
        <v>8655.9049999999988</v>
      </c>
      <c r="L4101" s="25">
        <v>2.5368245294474803</v>
      </c>
      <c r="M4101" s="24">
        <v>83563</v>
      </c>
      <c r="N4101" s="25">
        <f>IFERROR(T_reg.root.SK[[#This Row],[Price]]/T_reg.root.SK[[#This Row],[Starch content]],"")</f>
        <v>9.653872125445</v>
      </c>
    </row>
    <row r="4102" spans="1:14">
      <c r="A4102" s="21">
        <v>2024</v>
      </c>
      <c r="B4102" s="21" t="s">
        <v>26</v>
      </c>
      <c r="C4102" s="21" t="s">
        <v>1145</v>
      </c>
      <c r="D4102" s="21" t="s">
        <v>35</v>
      </c>
      <c r="E4102" s="18" t="s">
        <v>895</v>
      </c>
      <c r="F4102" s="18" t="s">
        <v>398</v>
      </c>
      <c r="G4102" s="18" t="s">
        <v>377</v>
      </c>
      <c r="H4102" s="24">
        <v>8040</v>
      </c>
      <c r="I4102" s="24">
        <f>T_reg.root.SK[[#This Row],[Volume, kg]]/1000</f>
        <v>8.0399999999999991</v>
      </c>
      <c r="J4102" s="25">
        <v>0.255</v>
      </c>
      <c r="K4102" s="25">
        <f t="shared" si="64"/>
        <v>2050.1999999999998</v>
      </c>
      <c r="L4102" s="25">
        <v>2.4</v>
      </c>
      <c r="M4102" s="24">
        <v>19296</v>
      </c>
      <c r="N4102" s="25">
        <f>IFERROR(T_reg.root.SK[[#This Row],[Price]]/T_reg.root.SK[[#This Row],[Starch content]],"")</f>
        <v>9.4117647058823533</v>
      </c>
    </row>
    <row r="4103" spans="1:14">
      <c r="A4103" s="21">
        <v>2024</v>
      </c>
      <c r="B4103" s="21" t="s">
        <v>26</v>
      </c>
      <c r="C4103" s="21" t="s">
        <v>1145</v>
      </c>
      <c r="D4103" s="21" t="s">
        <v>35</v>
      </c>
      <c r="E4103" s="18" t="s">
        <v>896</v>
      </c>
      <c r="F4103" s="18" t="s">
        <v>398</v>
      </c>
      <c r="G4103" s="18" t="s">
        <v>377</v>
      </c>
      <c r="H4103" s="24">
        <v>7930</v>
      </c>
      <c r="I4103" s="24">
        <f>T_reg.root.SK[[#This Row],[Volume, kg]]/1000</f>
        <v>7.93</v>
      </c>
      <c r="J4103" s="25">
        <v>0.26300000000000001</v>
      </c>
      <c r="K4103" s="25">
        <f t="shared" si="64"/>
        <v>2085.59</v>
      </c>
      <c r="L4103" s="25">
        <v>2.4</v>
      </c>
      <c r="M4103" s="24">
        <v>19032</v>
      </c>
      <c r="N4103" s="25">
        <f>IFERROR(T_reg.root.SK[[#This Row],[Price]]/T_reg.root.SK[[#This Row],[Starch content]],"")</f>
        <v>9.1254752851711025</v>
      </c>
    </row>
    <row r="4104" spans="1:14">
      <c r="A4104" s="21">
        <v>2024</v>
      </c>
      <c r="B4104" s="21" t="s">
        <v>26</v>
      </c>
      <c r="C4104" s="21" t="s">
        <v>1145</v>
      </c>
      <c r="D4104" s="21" t="s">
        <v>35</v>
      </c>
      <c r="E4104" s="18" t="s">
        <v>897</v>
      </c>
      <c r="F4104" s="18" t="s">
        <v>393</v>
      </c>
      <c r="G4104" s="18" t="s">
        <v>377</v>
      </c>
      <c r="H4104" s="24">
        <v>33680</v>
      </c>
      <c r="I4104" s="24">
        <f>T_reg.root.SK[[#This Row],[Volume, kg]]/1000</f>
        <v>33.68</v>
      </c>
      <c r="J4104" s="25">
        <v>0.24677375296912113</v>
      </c>
      <c r="K4104" s="25">
        <f t="shared" si="64"/>
        <v>8311.34</v>
      </c>
      <c r="L4104" s="25">
        <v>2.4054928741092638</v>
      </c>
      <c r="M4104" s="24">
        <v>81017</v>
      </c>
      <c r="N4104" s="25">
        <f>IFERROR(T_reg.root.SK[[#This Row],[Price]]/T_reg.root.SK[[#This Row],[Starch content]],"")</f>
        <v>9.7477663048317122</v>
      </c>
    </row>
    <row r="4105" spans="1:14">
      <c r="A4105" s="21">
        <v>2024</v>
      </c>
      <c r="B4105" s="21" t="s">
        <v>26</v>
      </c>
      <c r="C4105" s="21" t="s">
        <v>1145</v>
      </c>
      <c r="D4105" s="21" t="s">
        <v>35</v>
      </c>
      <c r="E4105" s="18" t="s">
        <v>397</v>
      </c>
      <c r="F4105" s="18" t="s">
        <v>398</v>
      </c>
      <c r="G4105" s="18" t="s">
        <v>377</v>
      </c>
      <c r="H4105" s="24">
        <v>9780</v>
      </c>
      <c r="I4105" s="24">
        <f>T_reg.root.SK[[#This Row],[Volume, kg]]/1000</f>
        <v>9.7799999999999994</v>
      </c>
      <c r="J4105" s="25">
        <v>0.2495</v>
      </c>
      <c r="K4105" s="25">
        <f t="shared" si="64"/>
        <v>2440.11</v>
      </c>
      <c r="L4105" s="25">
        <v>2.5</v>
      </c>
      <c r="M4105" s="24">
        <v>24450</v>
      </c>
      <c r="N4105" s="25">
        <f>IFERROR(T_reg.root.SK[[#This Row],[Price]]/T_reg.root.SK[[#This Row],[Starch content]],"")</f>
        <v>10.020040080160321</v>
      </c>
    </row>
    <row r="4106" spans="1:14">
      <c r="A4106" s="21">
        <v>2024</v>
      </c>
      <c r="B4106" s="21" t="s">
        <v>26</v>
      </c>
      <c r="C4106" s="21" t="s">
        <v>1145</v>
      </c>
      <c r="D4106" s="21" t="s">
        <v>35</v>
      </c>
      <c r="E4106" s="18" t="s">
        <v>898</v>
      </c>
      <c r="F4106" s="18" t="s">
        <v>393</v>
      </c>
      <c r="G4106" s="18" t="s">
        <v>377</v>
      </c>
      <c r="H4106" s="24">
        <v>10590</v>
      </c>
      <c r="I4106" s="24">
        <f>T_reg.root.SK[[#This Row],[Volume, kg]]/1000</f>
        <v>10.59</v>
      </c>
      <c r="J4106" s="25">
        <v>0.28599999999999998</v>
      </c>
      <c r="K4106" s="25">
        <f t="shared" si="64"/>
        <v>3028.74</v>
      </c>
      <c r="L4106" s="25">
        <v>2.7</v>
      </c>
      <c r="M4106" s="24">
        <v>28593.000000000004</v>
      </c>
      <c r="N4106" s="25">
        <f>IFERROR(T_reg.root.SK[[#This Row],[Price]]/T_reg.root.SK[[#This Row],[Starch content]],"")</f>
        <v>9.4405594405594417</v>
      </c>
    </row>
    <row r="4107" spans="1:14">
      <c r="A4107" s="21">
        <v>2024</v>
      </c>
      <c r="B4107" s="21" t="s">
        <v>26</v>
      </c>
      <c r="C4107" s="21" t="s">
        <v>1145</v>
      </c>
      <c r="D4107" s="21" t="s">
        <v>35</v>
      </c>
      <c r="E4107" s="18" t="s">
        <v>899</v>
      </c>
      <c r="F4107" s="18" t="s">
        <v>393</v>
      </c>
      <c r="G4107" s="18" t="s">
        <v>377</v>
      </c>
      <c r="H4107" s="24">
        <v>11900</v>
      </c>
      <c r="I4107" s="24">
        <f>T_reg.root.SK[[#This Row],[Volume, kg]]/1000</f>
        <v>11.9</v>
      </c>
      <c r="J4107" s="25">
        <v>0.22949999999999998</v>
      </c>
      <c r="K4107" s="25">
        <f t="shared" si="64"/>
        <v>2731.0499999999997</v>
      </c>
      <c r="L4107" s="25">
        <v>2.25</v>
      </c>
      <c r="M4107" s="24">
        <v>26775</v>
      </c>
      <c r="N4107" s="25">
        <f>IFERROR(T_reg.root.SK[[#This Row],[Price]]/T_reg.root.SK[[#This Row],[Starch content]],"")</f>
        <v>9.8039215686274517</v>
      </c>
    </row>
    <row r="4108" spans="1:14">
      <c r="A4108" s="21">
        <v>2024</v>
      </c>
      <c r="B4108" s="21" t="s">
        <v>26</v>
      </c>
      <c r="C4108" s="21" t="s">
        <v>1145</v>
      </c>
      <c r="D4108" s="21" t="s">
        <v>35</v>
      </c>
      <c r="E4108" s="18" t="s">
        <v>444</v>
      </c>
      <c r="F4108" s="18" t="s">
        <v>393</v>
      </c>
      <c r="G4108" s="18" t="s">
        <v>377</v>
      </c>
      <c r="H4108" s="24">
        <v>22800</v>
      </c>
      <c r="I4108" s="24">
        <f>T_reg.root.SK[[#This Row],[Volume, kg]]/1000</f>
        <v>22.8</v>
      </c>
      <c r="J4108" s="25">
        <v>0.24834342105263155</v>
      </c>
      <c r="K4108" s="25">
        <f t="shared" si="64"/>
        <v>5662.23</v>
      </c>
      <c r="L4108" s="25">
        <v>2.4219736842105264</v>
      </c>
      <c r="M4108" s="24">
        <v>55221</v>
      </c>
      <c r="N4108" s="25">
        <f>IFERROR(T_reg.root.SK[[#This Row],[Price]]/T_reg.root.SK[[#This Row],[Starch content]],"")</f>
        <v>9.7525180008583199</v>
      </c>
    </row>
    <row r="4109" spans="1:14">
      <c r="A4109" s="21">
        <v>2024</v>
      </c>
      <c r="B4109" s="21" t="s">
        <v>26</v>
      </c>
      <c r="C4109" s="21" t="s">
        <v>1145</v>
      </c>
      <c r="D4109" s="21" t="s">
        <v>35</v>
      </c>
      <c r="E4109" s="18" t="s">
        <v>900</v>
      </c>
      <c r="F4109" s="18" t="s">
        <v>422</v>
      </c>
      <c r="G4109" s="18" t="s">
        <v>377</v>
      </c>
      <c r="H4109" s="24">
        <v>5150</v>
      </c>
      <c r="I4109" s="24">
        <f>T_reg.root.SK[[#This Row],[Volume, kg]]/1000</f>
        <v>5.15</v>
      </c>
      <c r="J4109" s="25">
        <v>0.24600000000000002</v>
      </c>
      <c r="K4109" s="25">
        <f t="shared" si="64"/>
        <v>1266.9000000000001</v>
      </c>
      <c r="L4109" s="25">
        <v>2.35</v>
      </c>
      <c r="M4109" s="24">
        <v>12102.5</v>
      </c>
      <c r="N4109" s="25">
        <f>IFERROR(T_reg.root.SK[[#This Row],[Price]]/T_reg.root.SK[[#This Row],[Starch content]],"")</f>
        <v>9.5528455284552845</v>
      </c>
    </row>
    <row r="4110" spans="1:14">
      <c r="A4110" s="21">
        <v>2024</v>
      </c>
      <c r="B4110" s="21" t="s">
        <v>26</v>
      </c>
      <c r="C4110" s="21" t="s">
        <v>1145</v>
      </c>
      <c r="D4110" s="21" t="s">
        <v>35</v>
      </c>
      <c r="E4110" s="18" t="s">
        <v>445</v>
      </c>
      <c r="F4110" s="18" t="s">
        <v>398</v>
      </c>
      <c r="G4110" s="18" t="s">
        <v>377</v>
      </c>
      <c r="H4110" s="24">
        <v>7710</v>
      </c>
      <c r="I4110" s="24">
        <f>T_reg.root.SK[[#This Row],[Volume, kg]]/1000</f>
        <v>7.71</v>
      </c>
      <c r="J4110" s="25">
        <v>0.26899999999999996</v>
      </c>
      <c r="K4110" s="25">
        <f t="shared" si="64"/>
        <v>2073.9899999999998</v>
      </c>
      <c r="L4110" s="25">
        <v>2.6</v>
      </c>
      <c r="M4110" s="24">
        <v>20046</v>
      </c>
      <c r="N4110" s="25">
        <f>IFERROR(T_reg.root.SK[[#This Row],[Price]]/T_reg.root.SK[[#This Row],[Starch content]],"")</f>
        <v>9.6654275092936821</v>
      </c>
    </row>
    <row r="4111" spans="1:14">
      <c r="A4111" s="21">
        <v>2024</v>
      </c>
      <c r="B4111" s="21" t="s">
        <v>26</v>
      </c>
      <c r="C4111" s="21" t="s">
        <v>1145</v>
      </c>
      <c r="D4111" s="21" t="s">
        <v>35</v>
      </c>
      <c r="E4111" s="18" t="s">
        <v>446</v>
      </c>
      <c r="F4111" s="18" t="s">
        <v>422</v>
      </c>
      <c r="G4111" s="18" t="s">
        <v>377</v>
      </c>
      <c r="H4111" s="24">
        <v>8640</v>
      </c>
      <c r="I4111" s="24">
        <f>T_reg.root.SK[[#This Row],[Volume, kg]]/1000</f>
        <v>8.64</v>
      </c>
      <c r="J4111" s="25">
        <v>0.26899999999999996</v>
      </c>
      <c r="K4111" s="25">
        <f t="shared" si="64"/>
        <v>2324.16</v>
      </c>
      <c r="L4111" s="25">
        <v>2.4500000000000002</v>
      </c>
      <c r="M4111" s="24">
        <v>21168</v>
      </c>
      <c r="N4111" s="25">
        <f>IFERROR(T_reg.root.SK[[#This Row],[Price]]/T_reg.root.SK[[#This Row],[Starch content]],"")</f>
        <v>9.1078066914498166</v>
      </c>
    </row>
    <row r="4112" spans="1:14">
      <c r="A4112" s="21">
        <v>2024</v>
      </c>
      <c r="B4112" s="21" t="s">
        <v>26</v>
      </c>
      <c r="C4112" s="21" t="s">
        <v>1145</v>
      </c>
      <c r="D4112" s="21" t="s">
        <v>35</v>
      </c>
      <c r="E4112" s="18" t="s">
        <v>901</v>
      </c>
      <c r="F4112" s="18" t="s">
        <v>393</v>
      </c>
      <c r="G4112" s="18" t="s">
        <v>377</v>
      </c>
      <c r="H4112" s="24">
        <v>7720</v>
      </c>
      <c r="I4112" s="24">
        <f>T_reg.root.SK[[#This Row],[Volume, kg]]/1000</f>
        <v>7.72</v>
      </c>
      <c r="J4112" s="25">
        <v>0.188</v>
      </c>
      <c r="K4112" s="25">
        <f t="shared" si="64"/>
        <v>1451.36</v>
      </c>
      <c r="L4112" s="25">
        <v>2.2000000000000002</v>
      </c>
      <c r="M4112" s="24">
        <v>16984</v>
      </c>
      <c r="N4112" s="25">
        <f>IFERROR(T_reg.root.SK[[#This Row],[Price]]/T_reg.root.SK[[#This Row],[Starch content]],"")</f>
        <v>11.702127659574469</v>
      </c>
    </row>
    <row r="4113" spans="1:14">
      <c r="A4113" s="21">
        <v>2024</v>
      </c>
      <c r="B4113" s="21" t="s">
        <v>26</v>
      </c>
      <c r="C4113" s="21" t="s">
        <v>1145</v>
      </c>
      <c r="D4113" s="21" t="s">
        <v>35</v>
      </c>
      <c r="E4113" s="18" t="s">
        <v>447</v>
      </c>
      <c r="F4113" s="18" t="s">
        <v>393</v>
      </c>
      <c r="G4113" s="18" t="s">
        <v>377</v>
      </c>
      <c r="H4113" s="24">
        <v>28630</v>
      </c>
      <c r="I4113" s="24">
        <f>T_reg.root.SK[[#This Row],[Volume, kg]]/1000</f>
        <v>28.63</v>
      </c>
      <c r="J4113" s="25">
        <v>0.24977995110024448</v>
      </c>
      <c r="K4113" s="25">
        <f t="shared" si="64"/>
        <v>7151.2</v>
      </c>
      <c r="L4113" s="25">
        <v>2.4915997205728257</v>
      </c>
      <c r="M4113" s="24">
        <v>71334.5</v>
      </c>
      <c r="N4113" s="25">
        <f>IFERROR(T_reg.root.SK[[#This Row],[Price]]/T_reg.root.SK[[#This Row],[Starch content]],"")</f>
        <v>9.9751789909385842</v>
      </c>
    </row>
    <row r="4114" spans="1:14">
      <c r="A4114" s="21">
        <v>2024</v>
      </c>
      <c r="B4114" s="21" t="s">
        <v>26</v>
      </c>
      <c r="C4114" s="21" t="s">
        <v>1145</v>
      </c>
      <c r="D4114" s="21" t="s">
        <v>35</v>
      </c>
      <c r="E4114" s="18" t="s">
        <v>902</v>
      </c>
      <c r="F4114" s="18" t="s">
        <v>422</v>
      </c>
      <c r="G4114" s="18" t="s">
        <v>377</v>
      </c>
      <c r="H4114" s="24">
        <v>8520</v>
      </c>
      <c r="I4114" s="24">
        <f>T_reg.root.SK[[#This Row],[Volume, kg]]/1000</f>
        <v>8.52</v>
      </c>
      <c r="J4114" s="25">
        <v>0.23049999999999998</v>
      </c>
      <c r="K4114" s="25">
        <f t="shared" si="64"/>
        <v>1963.86</v>
      </c>
      <c r="L4114" s="25">
        <v>2.4</v>
      </c>
      <c r="M4114" s="24">
        <v>20448</v>
      </c>
      <c r="N4114" s="25">
        <f>IFERROR(T_reg.root.SK[[#This Row],[Price]]/T_reg.root.SK[[#This Row],[Starch content]],"")</f>
        <v>10.412147505422993</v>
      </c>
    </row>
    <row r="4115" spans="1:14">
      <c r="A4115" s="21">
        <v>2024</v>
      </c>
      <c r="B4115" s="21" t="s">
        <v>26</v>
      </c>
      <c r="C4115" s="21" t="s">
        <v>1145</v>
      </c>
      <c r="D4115" s="21" t="s">
        <v>35</v>
      </c>
      <c r="E4115" s="18" t="s">
        <v>903</v>
      </c>
      <c r="F4115" s="18" t="s">
        <v>398</v>
      </c>
      <c r="G4115" s="18" t="s">
        <v>377</v>
      </c>
      <c r="H4115" s="24">
        <v>8530</v>
      </c>
      <c r="I4115" s="24">
        <f>T_reg.root.SK[[#This Row],[Volume, kg]]/1000</f>
        <v>8.5299999999999994</v>
      </c>
      <c r="J4115" s="25">
        <v>0.26200000000000001</v>
      </c>
      <c r="K4115" s="25">
        <f t="shared" si="64"/>
        <v>2234.86</v>
      </c>
      <c r="L4115" s="25">
        <v>2.5499999999999998</v>
      </c>
      <c r="M4115" s="24">
        <v>21751.5</v>
      </c>
      <c r="N4115" s="25">
        <f>IFERROR(T_reg.root.SK[[#This Row],[Price]]/T_reg.root.SK[[#This Row],[Starch content]],"")</f>
        <v>9.7328244274809155</v>
      </c>
    </row>
    <row r="4116" spans="1:14">
      <c r="A4116" s="21">
        <v>2024</v>
      </c>
      <c r="B4116" s="21" t="s">
        <v>26</v>
      </c>
      <c r="C4116" s="21" t="s">
        <v>1145</v>
      </c>
      <c r="D4116" s="21" t="s">
        <v>35</v>
      </c>
      <c r="E4116" s="18" t="s">
        <v>904</v>
      </c>
      <c r="F4116" s="18" t="s">
        <v>398</v>
      </c>
      <c r="G4116" s="18" t="s">
        <v>377</v>
      </c>
      <c r="H4116" s="24">
        <v>14440</v>
      </c>
      <c r="I4116" s="24">
        <f>T_reg.root.SK[[#This Row],[Volume, kg]]/1000</f>
        <v>14.44</v>
      </c>
      <c r="J4116" s="25">
        <v>0.26154951523545705</v>
      </c>
      <c r="K4116" s="25">
        <f t="shared" si="64"/>
        <v>3776.7749999999996</v>
      </c>
      <c r="L4116" s="25">
        <v>2.4</v>
      </c>
      <c r="M4116" s="24">
        <v>34656</v>
      </c>
      <c r="N4116" s="25">
        <f>IFERROR(T_reg.root.SK[[#This Row],[Price]]/T_reg.root.SK[[#This Row],[Starch content]],"")</f>
        <v>9.1760827690291329</v>
      </c>
    </row>
    <row r="4117" spans="1:14">
      <c r="A4117" s="21">
        <v>2024</v>
      </c>
      <c r="B4117" s="21" t="s">
        <v>26</v>
      </c>
      <c r="C4117" s="21" t="s">
        <v>1145</v>
      </c>
      <c r="D4117" s="21" t="s">
        <v>35</v>
      </c>
      <c r="E4117" s="18" t="s">
        <v>905</v>
      </c>
      <c r="F4117" s="18" t="s">
        <v>872</v>
      </c>
      <c r="G4117" s="18" t="s">
        <v>377</v>
      </c>
      <c r="H4117" s="24">
        <v>8280</v>
      </c>
      <c r="I4117" s="24">
        <f>T_reg.root.SK[[#This Row],[Volume, kg]]/1000</f>
        <v>8.2799999999999994</v>
      </c>
      <c r="J4117" s="25">
        <v>0.223</v>
      </c>
      <c r="K4117" s="25">
        <f t="shared" si="64"/>
        <v>1846.44</v>
      </c>
      <c r="L4117" s="25">
        <v>2.35</v>
      </c>
      <c r="M4117" s="24">
        <v>19458</v>
      </c>
      <c r="N4117" s="25">
        <f>IFERROR(T_reg.root.SK[[#This Row],[Price]]/T_reg.root.SK[[#This Row],[Starch content]],"")</f>
        <v>10.538116591928251</v>
      </c>
    </row>
    <row r="4118" spans="1:14">
      <c r="A4118" s="21">
        <v>2024</v>
      </c>
      <c r="B4118" s="21" t="s">
        <v>26</v>
      </c>
      <c r="C4118" s="21" t="s">
        <v>1145</v>
      </c>
      <c r="D4118" s="21" t="s">
        <v>35</v>
      </c>
      <c r="E4118" s="18" t="s">
        <v>906</v>
      </c>
      <c r="F4118" s="18" t="s">
        <v>422</v>
      </c>
      <c r="G4118" s="18" t="s">
        <v>377</v>
      </c>
      <c r="H4118" s="24">
        <v>9440</v>
      </c>
      <c r="I4118" s="24">
        <f>T_reg.root.SK[[#This Row],[Volume, kg]]/1000</f>
        <v>9.44</v>
      </c>
      <c r="J4118" s="25">
        <v>0.24599999999999997</v>
      </c>
      <c r="K4118" s="25">
        <f t="shared" si="64"/>
        <v>2322.2399999999998</v>
      </c>
      <c r="L4118" s="25">
        <v>2.5</v>
      </c>
      <c r="M4118" s="24">
        <v>23600</v>
      </c>
      <c r="N4118" s="25">
        <f>IFERROR(T_reg.root.SK[[#This Row],[Price]]/T_reg.root.SK[[#This Row],[Starch content]],"")</f>
        <v>10.162601626016261</v>
      </c>
    </row>
    <row r="4119" spans="1:14">
      <c r="A4119" s="21">
        <v>2024</v>
      </c>
      <c r="B4119" s="21" t="s">
        <v>26</v>
      </c>
      <c r="C4119" s="21" t="s">
        <v>1145</v>
      </c>
      <c r="D4119" s="21" t="s">
        <v>35</v>
      </c>
      <c r="E4119" s="18" t="s">
        <v>907</v>
      </c>
      <c r="F4119" s="18" t="s">
        <v>422</v>
      </c>
      <c r="G4119" s="18" t="s">
        <v>377</v>
      </c>
      <c r="H4119" s="24">
        <v>15200</v>
      </c>
      <c r="I4119" s="24">
        <f>T_reg.root.SK[[#This Row],[Volume, kg]]/1000</f>
        <v>15.2</v>
      </c>
      <c r="J4119" s="25">
        <v>0.24600000000000002</v>
      </c>
      <c r="K4119" s="25">
        <f t="shared" si="64"/>
        <v>3739.2000000000003</v>
      </c>
      <c r="L4119" s="25">
        <v>2.5</v>
      </c>
      <c r="M4119" s="24">
        <v>38000</v>
      </c>
      <c r="N4119" s="25">
        <f>IFERROR(T_reg.root.SK[[#This Row],[Price]]/T_reg.root.SK[[#This Row],[Starch content]],"")</f>
        <v>10.16260162601626</v>
      </c>
    </row>
    <row r="4120" spans="1:14">
      <c r="A4120" s="21">
        <v>2024</v>
      </c>
      <c r="B4120" s="21" t="s">
        <v>26</v>
      </c>
      <c r="C4120" s="21" t="s">
        <v>1145</v>
      </c>
      <c r="D4120" s="21" t="s">
        <v>35</v>
      </c>
      <c r="E4120" s="18" t="s">
        <v>908</v>
      </c>
      <c r="F4120" s="18" t="s">
        <v>398</v>
      </c>
      <c r="G4120" s="18" t="s">
        <v>377</v>
      </c>
      <c r="H4120" s="24">
        <v>29180</v>
      </c>
      <c r="I4120" s="24">
        <f>T_reg.root.SK[[#This Row],[Volume, kg]]/1000</f>
        <v>29.18</v>
      </c>
      <c r="J4120" s="25">
        <v>0.25658875942426318</v>
      </c>
      <c r="K4120" s="25">
        <f t="shared" si="64"/>
        <v>7487.2599999999993</v>
      </c>
      <c r="L4120" s="25">
        <v>2.392837559972584</v>
      </c>
      <c r="M4120" s="24">
        <v>69823</v>
      </c>
      <c r="N4120" s="25">
        <f>IFERROR(T_reg.root.SK[[#This Row],[Price]]/T_reg.root.SK[[#This Row],[Starch content]],"")</f>
        <v>9.3255743756728098</v>
      </c>
    </row>
    <row r="4121" spans="1:14">
      <c r="A4121" s="21">
        <v>2024</v>
      </c>
      <c r="B4121" s="21" t="s">
        <v>26</v>
      </c>
      <c r="C4121" s="21" t="s">
        <v>1145</v>
      </c>
      <c r="D4121" s="21" t="s">
        <v>35</v>
      </c>
      <c r="E4121" s="18" t="s">
        <v>909</v>
      </c>
      <c r="F4121" s="18" t="s">
        <v>393</v>
      </c>
      <c r="G4121" s="18" t="s">
        <v>377</v>
      </c>
      <c r="H4121" s="24">
        <v>4680</v>
      </c>
      <c r="I4121" s="24">
        <f>T_reg.root.SK[[#This Row],[Volume, kg]]/1000</f>
        <v>4.68</v>
      </c>
      <c r="J4121" s="25">
        <v>0.20699999999999999</v>
      </c>
      <c r="K4121" s="25">
        <f t="shared" si="64"/>
        <v>968.76</v>
      </c>
      <c r="L4121" s="25">
        <v>2.2999999999999998</v>
      </c>
      <c r="M4121" s="24">
        <v>10764</v>
      </c>
      <c r="N4121" s="25">
        <f>IFERROR(T_reg.root.SK[[#This Row],[Price]]/T_reg.root.SK[[#This Row],[Starch content]],"")</f>
        <v>11.111111111111111</v>
      </c>
    </row>
    <row r="4122" spans="1:14">
      <c r="A4122" s="21">
        <v>2024</v>
      </c>
      <c r="B4122" s="21" t="s">
        <v>26</v>
      </c>
      <c r="C4122" s="21" t="s">
        <v>1145</v>
      </c>
      <c r="D4122" s="21" t="s">
        <v>35</v>
      </c>
      <c r="E4122" s="18" t="s">
        <v>910</v>
      </c>
      <c r="F4122" s="18" t="s">
        <v>398</v>
      </c>
      <c r="G4122" s="18" t="s">
        <v>377</v>
      </c>
      <c r="H4122" s="24">
        <v>10000</v>
      </c>
      <c r="I4122" s="24">
        <f>T_reg.root.SK[[#This Row],[Volume, kg]]/1000</f>
        <v>10</v>
      </c>
      <c r="J4122" s="25">
        <v>0.26750000000000002</v>
      </c>
      <c r="K4122" s="25">
        <f t="shared" si="64"/>
        <v>2675</v>
      </c>
      <c r="L4122" s="25">
        <v>2.4500000000000002</v>
      </c>
      <c r="M4122" s="24">
        <v>24500</v>
      </c>
      <c r="N4122" s="25">
        <f>IFERROR(T_reg.root.SK[[#This Row],[Price]]/T_reg.root.SK[[#This Row],[Starch content]],"")</f>
        <v>9.1588785046728969</v>
      </c>
    </row>
    <row r="4123" spans="1:14">
      <c r="A4123" s="21">
        <v>2024</v>
      </c>
      <c r="B4123" s="21" t="s">
        <v>26</v>
      </c>
      <c r="C4123" s="21" t="s">
        <v>1145</v>
      </c>
      <c r="D4123" s="21" t="s">
        <v>35</v>
      </c>
      <c r="E4123" s="18" t="s">
        <v>911</v>
      </c>
      <c r="F4123" s="18" t="s">
        <v>393</v>
      </c>
      <c r="G4123" s="18" t="s">
        <v>377</v>
      </c>
      <c r="H4123" s="24">
        <v>11250</v>
      </c>
      <c r="I4123" s="24">
        <f>T_reg.root.SK[[#This Row],[Volume, kg]]/1000</f>
        <v>11.25</v>
      </c>
      <c r="J4123" s="25">
        <v>0.21350000000000005</v>
      </c>
      <c r="K4123" s="25">
        <f t="shared" si="64"/>
        <v>2401.8750000000005</v>
      </c>
      <c r="L4123" s="25">
        <v>2.2999999999999998</v>
      </c>
      <c r="M4123" s="24">
        <v>25874.999999999996</v>
      </c>
      <c r="N4123" s="25">
        <f>IFERROR(T_reg.root.SK[[#This Row],[Price]]/T_reg.root.SK[[#This Row],[Starch content]],"")</f>
        <v>10.772833723653392</v>
      </c>
    </row>
    <row r="4124" spans="1:14">
      <c r="A4124" s="21">
        <v>2024</v>
      </c>
      <c r="B4124" s="21" t="s">
        <v>26</v>
      </c>
      <c r="C4124" s="21" t="s">
        <v>1145</v>
      </c>
      <c r="D4124" s="21" t="s">
        <v>35</v>
      </c>
      <c r="E4124" s="18" t="s">
        <v>912</v>
      </c>
      <c r="F4124" s="18" t="s">
        <v>398</v>
      </c>
      <c r="G4124" s="18" t="s">
        <v>377</v>
      </c>
      <c r="H4124" s="24">
        <v>20320</v>
      </c>
      <c r="I4124" s="24">
        <f>T_reg.root.SK[[#This Row],[Volume, kg]]/1000</f>
        <v>20.32</v>
      </c>
      <c r="J4124" s="25">
        <v>0.25479847440944881</v>
      </c>
      <c r="K4124" s="25">
        <f t="shared" si="64"/>
        <v>5177.5050000000001</v>
      </c>
      <c r="L4124" s="25">
        <v>2.4223179133858266</v>
      </c>
      <c r="M4124" s="24">
        <v>49221.5</v>
      </c>
      <c r="N4124" s="25">
        <f>IFERROR(T_reg.root.SK[[#This Row],[Price]]/T_reg.root.SK[[#This Row],[Starch content]],"")</f>
        <v>9.5067991242886283</v>
      </c>
    </row>
    <row r="4125" spans="1:14">
      <c r="A4125" s="21">
        <v>2024</v>
      </c>
      <c r="B4125" s="21" t="s">
        <v>26</v>
      </c>
      <c r="C4125" s="21" t="s">
        <v>1145</v>
      </c>
      <c r="D4125" s="21" t="s">
        <v>35</v>
      </c>
      <c r="E4125" s="18" t="s">
        <v>913</v>
      </c>
      <c r="F4125" s="18" t="s">
        <v>393</v>
      </c>
      <c r="G4125" s="18" t="s">
        <v>377</v>
      </c>
      <c r="H4125" s="24">
        <v>6740</v>
      </c>
      <c r="I4125" s="24">
        <f>T_reg.root.SK[[#This Row],[Volume, kg]]/1000</f>
        <v>6.74</v>
      </c>
      <c r="J4125" s="25">
        <v>0.25700000000000001</v>
      </c>
      <c r="K4125" s="25">
        <f t="shared" si="64"/>
        <v>1732.18</v>
      </c>
      <c r="L4125" s="25">
        <v>2.4</v>
      </c>
      <c r="M4125" s="24">
        <v>16176</v>
      </c>
      <c r="N4125" s="25">
        <f>IFERROR(T_reg.root.SK[[#This Row],[Price]]/T_reg.root.SK[[#This Row],[Starch content]],"")</f>
        <v>9.3385214007782089</v>
      </c>
    </row>
    <row r="4126" spans="1:14">
      <c r="A4126" s="21">
        <v>2024</v>
      </c>
      <c r="B4126" s="21" t="s">
        <v>26</v>
      </c>
      <c r="C4126" s="21" t="s">
        <v>1145</v>
      </c>
      <c r="D4126" s="21" t="s">
        <v>35</v>
      </c>
      <c r="E4126" s="18" t="s">
        <v>914</v>
      </c>
      <c r="F4126" s="18" t="s">
        <v>393</v>
      </c>
      <c r="G4126" s="18" t="s">
        <v>377</v>
      </c>
      <c r="H4126" s="24">
        <v>14300</v>
      </c>
      <c r="I4126" s="24">
        <f>T_reg.root.SK[[#This Row],[Volume, kg]]/1000</f>
        <v>14.3</v>
      </c>
      <c r="J4126" s="25">
        <v>0.23550000000000001</v>
      </c>
      <c r="K4126" s="25">
        <f t="shared" si="64"/>
        <v>3367.65</v>
      </c>
      <c r="L4126" s="25">
        <v>2.2999999999999998</v>
      </c>
      <c r="M4126" s="24">
        <v>32890</v>
      </c>
      <c r="N4126" s="25">
        <f>IFERROR(T_reg.root.SK[[#This Row],[Price]]/T_reg.root.SK[[#This Row],[Starch content]],"")</f>
        <v>9.7664543524416114</v>
      </c>
    </row>
    <row r="4127" spans="1:14">
      <c r="A4127" s="21">
        <v>2024</v>
      </c>
      <c r="B4127" s="21" t="s">
        <v>26</v>
      </c>
      <c r="C4127" s="21" t="s">
        <v>1145</v>
      </c>
      <c r="D4127" s="21" t="s">
        <v>35</v>
      </c>
      <c r="E4127" s="18" t="s">
        <v>915</v>
      </c>
      <c r="F4127" s="18" t="s">
        <v>422</v>
      </c>
      <c r="G4127" s="18" t="s">
        <v>377</v>
      </c>
      <c r="H4127" s="24">
        <v>10530</v>
      </c>
      <c r="I4127" s="24">
        <f>T_reg.root.SK[[#This Row],[Volume, kg]]/1000</f>
        <v>10.53</v>
      </c>
      <c r="J4127" s="25">
        <v>0.23749999999999999</v>
      </c>
      <c r="K4127" s="25">
        <f t="shared" si="64"/>
        <v>2500.875</v>
      </c>
      <c r="L4127" s="25">
        <v>2.2999999999999998</v>
      </c>
      <c r="M4127" s="24">
        <v>24218.999999999996</v>
      </c>
      <c r="N4127" s="25">
        <f>IFERROR(T_reg.root.SK[[#This Row],[Price]]/T_reg.root.SK[[#This Row],[Starch content]],"")</f>
        <v>9.6842105263157894</v>
      </c>
    </row>
    <row r="4128" spans="1:14">
      <c r="A4128" s="21">
        <v>2024</v>
      </c>
      <c r="B4128" s="21" t="s">
        <v>26</v>
      </c>
      <c r="C4128" s="21" t="s">
        <v>1145</v>
      </c>
      <c r="D4128" s="21" t="s">
        <v>35</v>
      </c>
      <c r="E4128" s="18" t="s">
        <v>916</v>
      </c>
      <c r="F4128" s="18" t="s">
        <v>432</v>
      </c>
      <c r="G4128" s="18" t="s">
        <v>377</v>
      </c>
      <c r="H4128" s="24">
        <v>11720</v>
      </c>
      <c r="I4128" s="24">
        <f>T_reg.root.SK[[#This Row],[Volume, kg]]/1000</f>
        <v>11.72</v>
      </c>
      <c r="J4128" s="25">
        <v>0.2555</v>
      </c>
      <c r="K4128" s="25">
        <f t="shared" si="64"/>
        <v>2994.46</v>
      </c>
      <c r="L4128" s="25">
        <v>2.4</v>
      </c>
      <c r="M4128" s="24">
        <v>28128</v>
      </c>
      <c r="N4128" s="25">
        <f>IFERROR(T_reg.root.SK[[#This Row],[Price]]/T_reg.root.SK[[#This Row],[Starch content]],"")</f>
        <v>9.393346379647749</v>
      </c>
    </row>
    <row r="4129" spans="1:14">
      <c r="A4129" s="21">
        <v>2024</v>
      </c>
      <c r="B4129" s="21" t="s">
        <v>26</v>
      </c>
      <c r="C4129" s="21" t="s">
        <v>1145</v>
      </c>
      <c r="D4129" s="21" t="s">
        <v>35</v>
      </c>
      <c r="E4129" s="18" t="s">
        <v>917</v>
      </c>
      <c r="F4129" s="18" t="s">
        <v>385</v>
      </c>
      <c r="G4129" s="18" t="s">
        <v>377</v>
      </c>
      <c r="H4129" s="24">
        <v>9750</v>
      </c>
      <c r="I4129" s="24">
        <f>T_reg.root.SK[[#This Row],[Volume, kg]]/1000</f>
        <v>9.75</v>
      </c>
      <c r="J4129" s="25">
        <v>0.21149999999999999</v>
      </c>
      <c r="K4129" s="25">
        <f t="shared" si="64"/>
        <v>2062.125</v>
      </c>
      <c r="L4129" s="25">
        <v>2.15</v>
      </c>
      <c r="M4129" s="24">
        <v>20962.5</v>
      </c>
      <c r="N4129" s="25">
        <f>IFERROR(T_reg.root.SK[[#This Row],[Price]]/T_reg.root.SK[[#This Row],[Starch content]],"")</f>
        <v>10.16548463356974</v>
      </c>
    </row>
    <row r="4130" spans="1:14">
      <c r="A4130" s="21">
        <v>2024</v>
      </c>
      <c r="B4130" s="21" t="s">
        <v>26</v>
      </c>
      <c r="C4130" s="21" t="s">
        <v>1145</v>
      </c>
      <c r="D4130" s="21" t="s">
        <v>35</v>
      </c>
      <c r="E4130" s="18" t="s">
        <v>918</v>
      </c>
      <c r="F4130" s="18" t="s">
        <v>422</v>
      </c>
      <c r="G4130" s="18" t="s">
        <v>377</v>
      </c>
      <c r="H4130" s="24">
        <v>15100</v>
      </c>
      <c r="I4130" s="24">
        <f>T_reg.root.SK[[#This Row],[Volume, kg]]/1000</f>
        <v>15.1</v>
      </c>
      <c r="J4130" s="25">
        <v>0.23550000000000001</v>
      </c>
      <c r="K4130" s="25">
        <f t="shared" si="64"/>
        <v>3556.05</v>
      </c>
      <c r="L4130" s="25">
        <v>2.4500000000000002</v>
      </c>
      <c r="M4130" s="24">
        <v>36995</v>
      </c>
      <c r="N4130" s="25">
        <f>IFERROR(T_reg.root.SK[[#This Row],[Price]]/T_reg.root.SK[[#This Row],[Starch content]],"")</f>
        <v>10.40339702760085</v>
      </c>
    </row>
    <row r="4131" spans="1:14">
      <c r="A4131" s="21">
        <v>2024</v>
      </c>
      <c r="B4131" s="21" t="s">
        <v>26</v>
      </c>
      <c r="C4131" s="21" t="s">
        <v>1145</v>
      </c>
      <c r="D4131" s="21" t="s">
        <v>35</v>
      </c>
      <c r="E4131" s="18" t="s">
        <v>919</v>
      </c>
      <c r="F4131" s="18" t="s">
        <v>393</v>
      </c>
      <c r="G4131" s="18" t="s">
        <v>377</v>
      </c>
      <c r="H4131" s="24">
        <v>9670</v>
      </c>
      <c r="I4131" s="24">
        <f>T_reg.root.SK[[#This Row],[Volume, kg]]/1000</f>
        <v>9.67</v>
      </c>
      <c r="J4131" s="25">
        <v>0.23850000000000002</v>
      </c>
      <c r="K4131" s="25">
        <f t="shared" si="64"/>
        <v>2306.2950000000001</v>
      </c>
      <c r="L4131" s="25">
        <v>2.2999999999999998</v>
      </c>
      <c r="M4131" s="24">
        <v>22241</v>
      </c>
      <c r="N4131" s="25">
        <f>IFERROR(T_reg.root.SK[[#This Row],[Price]]/T_reg.root.SK[[#This Row],[Starch content]],"")</f>
        <v>9.6436058700209628</v>
      </c>
    </row>
    <row r="4132" spans="1:14">
      <c r="A4132" s="21">
        <v>2024</v>
      </c>
      <c r="B4132" s="21" t="s">
        <v>26</v>
      </c>
      <c r="C4132" s="21" t="s">
        <v>1145</v>
      </c>
      <c r="D4132" s="21" t="s">
        <v>35</v>
      </c>
      <c r="E4132" s="18" t="s">
        <v>920</v>
      </c>
      <c r="F4132" s="18" t="s">
        <v>422</v>
      </c>
      <c r="G4132" s="18" t="s">
        <v>377</v>
      </c>
      <c r="H4132" s="24">
        <v>7610</v>
      </c>
      <c r="I4132" s="24">
        <f>T_reg.root.SK[[#This Row],[Volume, kg]]/1000</f>
        <v>7.61</v>
      </c>
      <c r="J4132" s="25">
        <v>0.28700000000000003</v>
      </c>
      <c r="K4132" s="25">
        <f t="shared" si="64"/>
        <v>2184.0700000000002</v>
      </c>
      <c r="L4132" s="25">
        <v>2.5499999999999998</v>
      </c>
      <c r="M4132" s="24">
        <v>19405.5</v>
      </c>
      <c r="N4132" s="25">
        <f>IFERROR(T_reg.root.SK[[#This Row],[Price]]/T_reg.root.SK[[#This Row],[Starch content]],"")</f>
        <v>8.885017421602786</v>
      </c>
    </row>
    <row r="4133" spans="1:14">
      <c r="A4133" s="21">
        <v>2024</v>
      </c>
      <c r="B4133" s="21" t="s">
        <v>26</v>
      </c>
      <c r="C4133" s="21" t="s">
        <v>1145</v>
      </c>
      <c r="D4133" s="21" t="s">
        <v>35</v>
      </c>
      <c r="E4133" s="18" t="s">
        <v>921</v>
      </c>
      <c r="F4133" s="18" t="s">
        <v>393</v>
      </c>
      <c r="G4133" s="18" t="s">
        <v>377</v>
      </c>
      <c r="H4133" s="24">
        <v>7820</v>
      </c>
      <c r="I4133" s="24">
        <f>T_reg.root.SK[[#This Row],[Volume, kg]]/1000</f>
        <v>7.82</v>
      </c>
      <c r="J4133" s="25">
        <v>0.22650000000000003</v>
      </c>
      <c r="K4133" s="25">
        <f t="shared" si="64"/>
        <v>1771.2300000000002</v>
      </c>
      <c r="L4133" s="25">
        <v>2.25</v>
      </c>
      <c r="M4133" s="24">
        <v>17595</v>
      </c>
      <c r="N4133" s="25">
        <f>IFERROR(T_reg.root.SK[[#This Row],[Price]]/T_reg.root.SK[[#This Row],[Starch content]],"")</f>
        <v>9.9337748344370844</v>
      </c>
    </row>
    <row r="4134" spans="1:14">
      <c r="A4134" s="21">
        <v>2024</v>
      </c>
      <c r="B4134" s="21" t="s">
        <v>26</v>
      </c>
      <c r="C4134" s="21" t="s">
        <v>1145</v>
      </c>
      <c r="D4134" s="21" t="s">
        <v>35</v>
      </c>
      <c r="E4134" s="18" t="s">
        <v>922</v>
      </c>
      <c r="F4134" s="18" t="s">
        <v>398</v>
      </c>
      <c r="G4134" s="18" t="s">
        <v>377</v>
      </c>
      <c r="H4134" s="24">
        <v>22110</v>
      </c>
      <c r="I4134" s="24">
        <f>T_reg.root.SK[[#This Row],[Volume, kg]]/1000</f>
        <v>22.11</v>
      </c>
      <c r="J4134" s="25">
        <v>0.25740411578471278</v>
      </c>
      <c r="K4134" s="25">
        <f t="shared" si="64"/>
        <v>5691.2049999999999</v>
      </c>
      <c r="L4134" s="25">
        <v>2.4732021709633649</v>
      </c>
      <c r="M4134" s="24">
        <v>54682.5</v>
      </c>
      <c r="N4134" s="25">
        <f>IFERROR(T_reg.root.SK[[#This Row],[Price]]/T_reg.root.SK[[#This Row],[Starch content]],"")</f>
        <v>9.6082464082738195</v>
      </c>
    </row>
    <row r="4135" spans="1:14">
      <c r="A4135" s="21">
        <v>2024</v>
      </c>
      <c r="B4135" s="21" t="s">
        <v>26</v>
      </c>
      <c r="C4135" s="21" t="s">
        <v>1145</v>
      </c>
      <c r="D4135" s="21" t="s">
        <v>35</v>
      </c>
      <c r="E4135" s="18" t="s">
        <v>923</v>
      </c>
      <c r="F4135" s="18" t="s">
        <v>393</v>
      </c>
      <c r="G4135" s="18" t="s">
        <v>377</v>
      </c>
      <c r="H4135" s="24">
        <v>6460</v>
      </c>
      <c r="I4135" s="24">
        <f>T_reg.root.SK[[#This Row],[Volume, kg]]/1000</f>
        <v>6.46</v>
      </c>
      <c r="J4135" s="25">
        <v>0.2475</v>
      </c>
      <c r="K4135" s="25">
        <f t="shared" si="64"/>
        <v>1598.85</v>
      </c>
      <c r="L4135" s="25">
        <v>2.4</v>
      </c>
      <c r="M4135" s="24">
        <v>15504</v>
      </c>
      <c r="N4135" s="25">
        <f>IFERROR(T_reg.root.SK[[#This Row],[Price]]/T_reg.root.SK[[#This Row],[Starch content]],"")</f>
        <v>9.6969696969696972</v>
      </c>
    </row>
    <row r="4136" spans="1:14">
      <c r="A4136" s="28">
        <v>2024</v>
      </c>
      <c r="B4136" s="21" t="s">
        <v>27</v>
      </c>
      <c r="C4136" s="21" t="s">
        <v>1145</v>
      </c>
      <c r="D4136" s="21" t="s">
        <v>39</v>
      </c>
      <c r="E4136" s="18" t="s">
        <v>797</v>
      </c>
      <c r="F4136" s="18" t="s">
        <v>798</v>
      </c>
      <c r="G4136" s="18" t="s">
        <v>799</v>
      </c>
      <c r="H4136" s="24">
        <v>415640</v>
      </c>
      <c r="I4136" s="24">
        <f>T_reg.root.SK[[#This Row],[Volume, kg]]/1000</f>
        <v>415.64</v>
      </c>
      <c r="J4136" s="25">
        <v>0.23600000000000002</v>
      </c>
      <c r="K4136" s="25">
        <f t="shared" si="64"/>
        <v>98091.040000000008</v>
      </c>
      <c r="L4136" s="25">
        <v>2.67</v>
      </c>
      <c r="M4136" s="24">
        <v>1109771.5</v>
      </c>
      <c r="N4136" s="25">
        <f>IFERROR(T_reg.root.SK[[#This Row],[Price]]/T_reg.root.SK[[#This Row],[Starch content]],"")</f>
        <v>11.313559322033898</v>
      </c>
    </row>
    <row r="4137" spans="1:14">
      <c r="A4137" s="21">
        <v>2024</v>
      </c>
      <c r="B4137" s="21" t="s">
        <v>27</v>
      </c>
      <c r="C4137" s="21" t="s">
        <v>1145</v>
      </c>
      <c r="D4137" s="21" t="s">
        <v>35</v>
      </c>
      <c r="E4137" s="18" t="s">
        <v>924</v>
      </c>
      <c r="F4137" s="18" t="s">
        <v>37</v>
      </c>
      <c r="G4137" s="18" t="s">
        <v>38</v>
      </c>
      <c r="H4137" s="24">
        <v>29440</v>
      </c>
      <c r="I4137" s="24">
        <f>T_reg.root.SK[[#This Row],[Volume, kg]]/1000</f>
        <v>29.44</v>
      </c>
      <c r="J4137" s="25">
        <v>0.20710000000000001</v>
      </c>
      <c r="K4137" s="25">
        <f t="shared" si="64"/>
        <v>6097.0240000000003</v>
      </c>
      <c r="L4137" s="25">
        <v>2.58</v>
      </c>
      <c r="M4137" s="24">
        <v>76025.5</v>
      </c>
      <c r="N4137" s="25">
        <f>IFERROR(T_reg.root.SK[[#This Row],[Price]]/T_reg.root.SK[[#This Row],[Starch content]],"")</f>
        <v>12.45774987928537</v>
      </c>
    </row>
    <row r="4138" spans="1:14">
      <c r="A4138" s="21">
        <v>2024</v>
      </c>
      <c r="B4138" s="21" t="s">
        <v>27</v>
      </c>
      <c r="C4138" s="21" t="s">
        <v>1145</v>
      </c>
      <c r="D4138" s="21" t="s">
        <v>35</v>
      </c>
      <c r="E4138" s="18" t="s">
        <v>925</v>
      </c>
      <c r="F4138" s="18" t="s">
        <v>653</v>
      </c>
      <c r="G4138" s="18" t="s">
        <v>48</v>
      </c>
      <c r="H4138" s="24">
        <v>19760</v>
      </c>
      <c r="I4138" s="24">
        <f>T_reg.root.SK[[#This Row],[Volume, kg]]/1000</f>
        <v>19.760000000000002</v>
      </c>
      <c r="J4138" s="25">
        <v>0.22159999999999999</v>
      </c>
      <c r="K4138" s="25">
        <f t="shared" si="64"/>
        <v>4378.8159999999998</v>
      </c>
      <c r="L4138" s="25">
        <v>2.4</v>
      </c>
      <c r="M4138" s="24">
        <v>47398</v>
      </c>
      <c r="N4138" s="25">
        <f>IFERROR(T_reg.root.SK[[#This Row],[Price]]/T_reg.root.SK[[#This Row],[Starch content]],"")</f>
        <v>10.830324909747292</v>
      </c>
    </row>
    <row r="4139" spans="1:14">
      <c r="A4139" s="21">
        <v>2024</v>
      </c>
      <c r="B4139" s="21" t="s">
        <v>27</v>
      </c>
      <c r="C4139" s="21" t="s">
        <v>1145</v>
      </c>
      <c r="D4139" s="21" t="s">
        <v>35</v>
      </c>
      <c r="E4139" s="18" t="s">
        <v>455</v>
      </c>
      <c r="F4139" s="18" t="s">
        <v>219</v>
      </c>
      <c r="G4139" s="18" t="s">
        <v>220</v>
      </c>
      <c r="H4139" s="24">
        <v>10980</v>
      </c>
      <c r="I4139" s="24">
        <f>T_reg.root.SK[[#This Row],[Volume, kg]]/1000</f>
        <v>10.98</v>
      </c>
      <c r="J4139" s="25">
        <v>0.28249999999999997</v>
      </c>
      <c r="K4139" s="25">
        <f t="shared" si="64"/>
        <v>3101.85</v>
      </c>
      <c r="L4139" s="25">
        <v>2.95</v>
      </c>
      <c r="M4139" s="24">
        <v>32391</v>
      </c>
      <c r="N4139" s="25">
        <f>IFERROR(T_reg.root.SK[[#This Row],[Price]]/T_reg.root.SK[[#This Row],[Starch content]],"")</f>
        <v>10.442477876106196</v>
      </c>
    </row>
    <row r="4140" spans="1:14">
      <c r="A4140" s="21">
        <v>2024</v>
      </c>
      <c r="B4140" s="21" t="s">
        <v>27</v>
      </c>
      <c r="C4140" s="21" t="s">
        <v>1145</v>
      </c>
      <c r="D4140" s="21" t="s">
        <v>35</v>
      </c>
      <c r="E4140" s="18" t="s">
        <v>544</v>
      </c>
      <c r="F4140" s="18" t="s">
        <v>219</v>
      </c>
      <c r="G4140" s="18" t="s">
        <v>220</v>
      </c>
      <c r="H4140" s="24">
        <v>24780</v>
      </c>
      <c r="I4140" s="24">
        <f>T_reg.root.SK[[#This Row],[Volume, kg]]/1000</f>
        <v>24.78</v>
      </c>
      <c r="J4140" s="25">
        <v>0.22989999999999999</v>
      </c>
      <c r="K4140" s="25">
        <f t="shared" si="64"/>
        <v>5696.9219999999996</v>
      </c>
      <c r="L4140" s="25">
        <v>2.72</v>
      </c>
      <c r="M4140" s="24">
        <v>67479</v>
      </c>
      <c r="N4140" s="25">
        <f>IFERROR(T_reg.root.SK[[#This Row],[Price]]/T_reg.root.SK[[#This Row],[Starch content]],"")</f>
        <v>11.831230969986953</v>
      </c>
    </row>
    <row r="4141" spans="1:14">
      <c r="A4141" s="21">
        <v>2024</v>
      </c>
      <c r="B4141" s="21" t="s">
        <v>27</v>
      </c>
      <c r="C4141" s="21" t="s">
        <v>1145</v>
      </c>
      <c r="D4141" s="21" t="s">
        <v>35</v>
      </c>
      <c r="E4141" s="18" t="s">
        <v>456</v>
      </c>
      <c r="F4141" s="18" t="s">
        <v>219</v>
      </c>
      <c r="G4141" s="18" t="s">
        <v>220</v>
      </c>
      <c r="H4141" s="24">
        <v>101550</v>
      </c>
      <c r="I4141" s="24">
        <f>T_reg.root.SK[[#This Row],[Volume, kg]]/1000</f>
        <v>101.55</v>
      </c>
      <c r="J4141" s="25">
        <v>0.22489999999999999</v>
      </c>
      <c r="K4141" s="25">
        <f t="shared" si="64"/>
        <v>22838.594999999998</v>
      </c>
      <c r="L4141" s="25">
        <v>2.69</v>
      </c>
      <c r="M4141" s="24">
        <v>272704.5</v>
      </c>
      <c r="N4141" s="25">
        <f>IFERROR(T_reg.root.SK[[#This Row],[Price]]/T_reg.root.SK[[#This Row],[Starch content]],"")</f>
        <v>11.960871498443753</v>
      </c>
    </row>
    <row r="4142" spans="1:14">
      <c r="A4142" s="21">
        <v>2024</v>
      </c>
      <c r="B4142" s="21" t="s">
        <v>27</v>
      </c>
      <c r="C4142" s="21" t="s">
        <v>1145</v>
      </c>
      <c r="D4142" s="21" t="s">
        <v>39</v>
      </c>
      <c r="E4142" s="18" t="s">
        <v>782</v>
      </c>
      <c r="F4142" s="18" t="s">
        <v>783</v>
      </c>
      <c r="G4142" s="18" t="s">
        <v>87</v>
      </c>
      <c r="H4142" s="24">
        <v>875550</v>
      </c>
      <c r="I4142" s="24">
        <f>T_reg.root.SK[[#This Row],[Volume, kg]]/1000</f>
        <v>875.55</v>
      </c>
      <c r="J4142" s="25">
        <v>0.22690000000000002</v>
      </c>
      <c r="K4142" s="25">
        <f t="shared" si="64"/>
        <v>198662.29500000001</v>
      </c>
      <c r="L4142" s="25">
        <v>2.69</v>
      </c>
      <c r="M4142" s="24">
        <v>2352008</v>
      </c>
      <c r="N4142" s="25">
        <f>IFERROR(T_reg.root.SK[[#This Row],[Price]]/T_reg.root.SK[[#This Row],[Starch content]],"")</f>
        <v>11.855442926399293</v>
      </c>
    </row>
    <row r="4143" spans="1:14">
      <c r="A4143" s="21">
        <v>2024</v>
      </c>
      <c r="B4143" s="21" t="s">
        <v>27</v>
      </c>
      <c r="C4143" s="21" t="s">
        <v>1145</v>
      </c>
      <c r="D4143" s="21" t="s">
        <v>35</v>
      </c>
      <c r="E4143" s="18" t="s">
        <v>457</v>
      </c>
      <c r="F4143" s="18" t="s">
        <v>47</v>
      </c>
      <c r="G4143" s="18" t="s">
        <v>48</v>
      </c>
      <c r="H4143" s="24">
        <v>93620</v>
      </c>
      <c r="I4143" s="24">
        <f>T_reg.root.SK[[#This Row],[Volume, kg]]/1000</f>
        <v>93.62</v>
      </c>
      <c r="J4143" s="25">
        <v>0.22489999999999999</v>
      </c>
      <c r="K4143" s="25">
        <f t="shared" si="64"/>
        <v>21055.137999999999</v>
      </c>
      <c r="L4143" s="25">
        <v>2.5</v>
      </c>
      <c r="M4143" s="24">
        <v>233991.5</v>
      </c>
      <c r="N4143" s="25">
        <f>IFERROR(T_reg.root.SK[[#This Row],[Price]]/T_reg.root.SK[[#This Row],[Starch content]],"")</f>
        <v>11.116051578479325</v>
      </c>
    </row>
    <row r="4144" spans="1:14">
      <c r="A4144" s="21">
        <v>2024</v>
      </c>
      <c r="B4144" s="21" t="s">
        <v>27</v>
      </c>
      <c r="C4144" s="21" t="s">
        <v>1145</v>
      </c>
      <c r="D4144" s="21" t="s">
        <v>35</v>
      </c>
      <c r="E4144" s="18" t="s">
        <v>46</v>
      </c>
      <c r="F4144" s="18" t="s">
        <v>47</v>
      </c>
      <c r="G4144" s="18" t="s">
        <v>48</v>
      </c>
      <c r="H4144" s="24">
        <v>36250</v>
      </c>
      <c r="I4144" s="24">
        <f>T_reg.root.SK[[#This Row],[Volume, kg]]/1000</f>
        <v>36.25</v>
      </c>
      <c r="J4144" s="25">
        <v>0.22309999999999999</v>
      </c>
      <c r="K4144" s="25">
        <f t="shared" si="64"/>
        <v>8087.375</v>
      </c>
      <c r="L4144" s="25">
        <v>2.38</v>
      </c>
      <c r="M4144" s="24">
        <v>86195.5</v>
      </c>
      <c r="N4144" s="25">
        <f>IFERROR(T_reg.root.SK[[#This Row],[Price]]/T_reg.root.SK[[#This Row],[Starch content]],"")</f>
        <v>10.667861945316002</v>
      </c>
    </row>
    <row r="4145" spans="1:14">
      <c r="A4145" s="21">
        <v>2024</v>
      </c>
      <c r="B4145" s="21" t="s">
        <v>27</v>
      </c>
      <c r="C4145" s="21" t="s">
        <v>1145</v>
      </c>
      <c r="D4145" s="21" t="s">
        <v>35</v>
      </c>
      <c r="E4145" s="18" t="s">
        <v>336</v>
      </c>
      <c r="F4145" s="18" t="s">
        <v>47</v>
      </c>
      <c r="G4145" s="18" t="s">
        <v>48</v>
      </c>
      <c r="H4145" s="24">
        <v>134750</v>
      </c>
      <c r="I4145" s="24">
        <f>T_reg.root.SK[[#This Row],[Volume, kg]]/1000</f>
        <v>134.75</v>
      </c>
      <c r="J4145" s="25">
        <v>0.22699999999999998</v>
      </c>
      <c r="K4145" s="25">
        <f t="shared" si="64"/>
        <v>30588.249999999996</v>
      </c>
      <c r="L4145" s="25">
        <v>2.62</v>
      </c>
      <c r="M4145" s="24">
        <v>353130.5</v>
      </c>
      <c r="N4145" s="25">
        <f>IFERROR(T_reg.root.SK[[#This Row],[Price]]/T_reg.root.SK[[#This Row],[Starch content]],"")</f>
        <v>11.541850220264319</v>
      </c>
    </row>
    <row r="4146" spans="1:14">
      <c r="A4146" s="21">
        <v>2024</v>
      </c>
      <c r="B4146" s="21" t="s">
        <v>27</v>
      </c>
      <c r="C4146" s="21" t="s">
        <v>1145</v>
      </c>
      <c r="D4146" s="21" t="s">
        <v>35</v>
      </c>
      <c r="E4146" s="18" t="s">
        <v>642</v>
      </c>
      <c r="F4146" s="18" t="s">
        <v>47</v>
      </c>
      <c r="G4146" s="18" t="s">
        <v>48</v>
      </c>
      <c r="H4146" s="24">
        <v>65550</v>
      </c>
      <c r="I4146" s="24">
        <f>T_reg.root.SK[[#This Row],[Volume, kg]]/1000</f>
        <v>65.55</v>
      </c>
      <c r="J4146" s="25">
        <v>0.23620000000000002</v>
      </c>
      <c r="K4146" s="25">
        <f t="shared" si="64"/>
        <v>15482.910000000002</v>
      </c>
      <c r="L4146" s="25">
        <v>2.46</v>
      </c>
      <c r="M4146" s="24">
        <v>161504.5</v>
      </c>
      <c r="N4146" s="25">
        <f>IFERROR(T_reg.root.SK[[#This Row],[Price]]/T_reg.root.SK[[#This Row],[Starch content]],"")</f>
        <v>10.414902624894156</v>
      </c>
    </row>
    <row r="4147" spans="1:14">
      <c r="A4147" s="21">
        <v>2024</v>
      </c>
      <c r="B4147" s="21" t="s">
        <v>27</v>
      </c>
      <c r="C4147" s="21" t="s">
        <v>1145</v>
      </c>
      <c r="D4147" s="21" t="s">
        <v>35</v>
      </c>
      <c r="E4147" s="18" t="s">
        <v>674</v>
      </c>
      <c r="F4147" s="18" t="s">
        <v>47</v>
      </c>
      <c r="G4147" s="18" t="s">
        <v>48</v>
      </c>
      <c r="H4147" s="24">
        <v>14800</v>
      </c>
      <c r="I4147" s="24">
        <f>T_reg.root.SK[[#This Row],[Volume, kg]]/1000</f>
        <v>14.8</v>
      </c>
      <c r="J4147" s="25">
        <v>0.24390000000000001</v>
      </c>
      <c r="K4147" s="25">
        <f t="shared" si="64"/>
        <v>3609.7200000000003</v>
      </c>
      <c r="L4147" s="25">
        <v>2.52</v>
      </c>
      <c r="M4147" s="24">
        <v>37277</v>
      </c>
      <c r="N4147" s="25">
        <f>IFERROR(T_reg.root.SK[[#This Row],[Price]]/T_reg.root.SK[[#This Row],[Starch content]],"")</f>
        <v>10.332103321033211</v>
      </c>
    </row>
    <row r="4148" spans="1:14">
      <c r="A4148" s="21">
        <v>2024</v>
      </c>
      <c r="B4148" s="21" t="s">
        <v>27</v>
      </c>
      <c r="C4148" s="21" t="s">
        <v>1145</v>
      </c>
      <c r="D4148" s="21" t="s">
        <v>35</v>
      </c>
      <c r="E4148" s="18" t="s">
        <v>78</v>
      </c>
      <c r="F4148" s="18" t="s">
        <v>47</v>
      </c>
      <c r="G4148" s="18" t="s">
        <v>48</v>
      </c>
      <c r="H4148" s="24">
        <v>270560</v>
      </c>
      <c r="I4148" s="24">
        <f>T_reg.root.SK[[#This Row],[Volume, kg]]/1000</f>
        <v>270.56</v>
      </c>
      <c r="J4148" s="25">
        <v>0.23139999999999999</v>
      </c>
      <c r="K4148" s="25">
        <f t="shared" si="64"/>
        <v>62607.583999999995</v>
      </c>
      <c r="L4148" s="25">
        <v>2.4300000000000002</v>
      </c>
      <c r="M4148" s="24">
        <v>657357</v>
      </c>
      <c r="N4148" s="25">
        <f>IFERROR(T_reg.root.SK[[#This Row],[Price]]/T_reg.root.SK[[#This Row],[Starch content]],"")</f>
        <v>10.501296456352637</v>
      </c>
    </row>
    <row r="4149" spans="1:14">
      <c r="A4149" s="21">
        <v>2024</v>
      </c>
      <c r="B4149" s="21" t="s">
        <v>27</v>
      </c>
      <c r="C4149" s="21" t="s">
        <v>1145</v>
      </c>
      <c r="D4149" s="21" t="s">
        <v>35</v>
      </c>
      <c r="E4149" s="18" t="s">
        <v>460</v>
      </c>
      <c r="F4149" s="18" t="s">
        <v>47</v>
      </c>
      <c r="G4149" s="18" t="s">
        <v>48</v>
      </c>
      <c r="H4149" s="24">
        <v>4270</v>
      </c>
      <c r="I4149" s="24">
        <f>T_reg.root.SK[[#This Row],[Volume, kg]]/1000</f>
        <v>4.2699999999999996</v>
      </c>
      <c r="J4149" s="25">
        <v>0.20199999999999999</v>
      </c>
      <c r="K4149" s="25">
        <f t="shared" si="64"/>
        <v>862.54</v>
      </c>
      <c r="L4149" s="25">
        <v>2.4500000000000002</v>
      </c>
      <c r="M4149" s="24">
        <v>10461.5</v>
      </c>
      <c r="N4149" s="25">
        <f>IFERROR(T_reg.root.SK[[#This Row],[Price]]/T_reg.root.SK[[#This Row],[Starch content]],"")</f>
        <v>12.12871287128713</v>
      </c>
    </row>
    <row r="4150" spans="1:14">
      <c r="A4150" s="21">
        <v>2024</v>
      </c>
      <c r="B4150" s="21" t="s">
        <v>27</v>
      </c>
      <c r="C4150" s="21" t="s">
        <v>1145</v>
      </c>
      <c r="D4150" s="21" t="s">
        <v>35</v>
      </c>
      <c r="E4150" s="18" t="s">
        <v>461</v>
      </c>
      <c r="F4150" s="18" t="s">
        <v>47</v>
      </c>
      <c r="G4150" s="18" t="s">
        <v>48</v>
      </c>
      <c r="H4150" s="24">
        <v>11300</v>
      </c>
      <c r="I4150" s="24">
        <f>T_reg.root.SK[[#This Row],[Volume, kg]]/1000</f>
        <v>11.3</v>
      </c>
      <c r="J4150" s="25">
        <v>0.2404</v>
      </c>
      <c r="K4150" s="25">
        <f t="shared" si="64"/>
        <v>2716.52</v>
      </c>
      <c r="L4150" s="25">
        <v>2.7</v>
      </c>
      <c r="M4150" s="24">
        <v>30510</v>
      </c>
      <c r="N4150" s="25">
        <f>IFERROR(T_reg.root.SK[[#This Row],[Price]]/T_reg.root.SK[[#This Row],[Starch content]],"")</f>
        <v>11.231281198003328</v>
      </c>
    </row>
    <row r="4151" spans="1:14">
      <c r="A4151" s="21">
        <v>2024</v>
      </c>
      <c r="B4151" s="21" t="s">
        <v>27</v>
      </c>
      <c r="C4151" s="21" t="s">
        <v>1145</v>
      </c>
      <c r="D4151" s="21" t="s">
        <v>35</v>
      </c>
      <c r="E4151" s="18" t="s">
        <v>54</v>
      </c>
      <c r="F4151" s="18" t="s">
        <v>47</v>
      </c>
      <c r="G4151" s="18" t="s">
        <v>48</v>
      </c>
      <c r="H4151" s="24">
        <v>5610</v>
      </c>
      <c r="I4151" s="24">
        <f>T_reg.root.SK[[#This Row],[Volume, kg]]/1000</f>
        <v>5.61</v>
      </c>
      <c r="J4151" s="25">
        <v>0.251</v>
      </c>
      <c r="K4151" s="25">
        <f t="shared" si="64"/>
        <v>1408.11</v>
      </c>
      <c r="L4151" s="25">
        <v>2.5</v>
      </c>
      <c r="M4151" s="24">
        <v>14025</v>
      </c>
      <c r="N4151" s="25">
        <f>IFERROR(T_reg.root.SK[[#This Row],[Price]]/T_reg.root.SK[[#This Row],[Starch content]],"")</f>
        <v>9.9601593625498008</v>
      </c>
    </row>
    <row r="4152" spans="1:14">
      <c r="A4152" s="21">
        <v>2024</v>
      </c>
      <c r="B4152" s="21" t="s">
        <v>27</v>
      </c>
      <c r="C4152" s="21" t="s">
        <v>1145</v>
      </c>
      <c r="D4152" s="21" t="s">
        <v>35</v>
      </c>
      <c r="E4152" s="18" t="s">
        <v>744</v>
      </c>
      <c r="F4152" s="18" t="s">
        <v>47</v>
      </c>
      <c r="G4152" s="18" t="s">
        <v>48</v>
      </c>
      <c r="H4152" s="24">
        <v>8390</v>
      </c>
      <c r="I4152" s="24">
        <f>T_reg.root.SK[[#This Row],[Volume, kg]]/1000</f>
        <v>8.39</v>
      </c>
      <c r="J4152" s="25">
        <v>0.23499999999999999</v>
      </c>
      <c r="K4152" s="25">
        <f t="shared" si="64"/>
        <v>1971.6499999999999</v>
      </c>
      <c r="L4152" s="25">
        <v>2.4500000000000002</v>
      </c>
      <c r="M4152" s="24">
        <v>20555.5</v>
      </c>
      <c r="N4152" s="25">
        <f>IFERROR(T_reg.root.SK[[#This Row],[Price]]/T_reg.root.SK[[#This Row],[Starch content]],"")</f>
        <v>10.425531914893618</v>
      </c>
    </row>
    <row r="4153" spans="1:14">
      <c r="A4153" s="21">
        <v>2024</v>
      </c>
      <c r="B4153" s="21" t="s">
        <v>27</v>
      </c>
      <c r="C4153" s="21" t="s">
        <v>1145</v>
      </c>
      <c r="D4153" s="21" t="s">
        <v>35</v>
      </c>
      <c r="E4153" s="18" t="s">
        <v>378</v>
      </c>
      <c r="F4153" s="18" t="s">
        <v>47</v>
      </c>
      <c r="G4153" s="18" t="s">
        <v>48</v>
      </c>
      <c r="H4153" s="24">
        <v>17230</v>
      </c>
      <c r="I4153" s="24">
        <f>T_reg.root.SK[[#This Row],[Volume, kg]]/1000</f>
        <v>17.23</v>
      </c>
      <c r="J4153" s="25">
        <v>0.24780000000000002</v>
      </c>
      <c r="K4153" s="25">
        <f t="shared" si="64"/>
        <v>4269.5940000000001</v>
      </c>
      <c r="L4153" s="25">
        <v>2.5</v>
      </c>
      <c r="M4153" s="24">
        <v>43075.5</v>
      </c>
      <c r="N4153" s="25">
        <f>IFERROR(T_reg.root.SK[[#This Row],[Price]]/T_reg.root.SK[[#This Row],[Starch content]],"")</f>
        <v>10.088781275221953</v>
      </c>
    </row>
    <row r="4154" spans="1:14">
      <c r="A4154" s="21">
        <v>2024</v>
      </c>
      <c r="B4154" s="21" t="s">
        <v>27</v>
      </c>
      <c r="C4154" s="21" t="s">
        <v>1145</v>
      </c>
      <c r="D4154" s="21" t="s">
        <v>35</v>
      </c>
      <c r="E4154" s="18" t="s">
        <v>462</v>
      </c>
      <c r="F4154" s="18" t="s">
        <v>47</v>
      </c>
      <c r="G4154" s="18" t="s">
        <v>48</v>
      </c>
      <c r="H4154" s="24">
        <v>55010</v>
      </c>
      <c r="I4154" s="24">
        <f>T_reg.root.SK[[#This Row],[Volume, kg]]/1000</f>
        <v>55.01</v>
      </c>
      <c r="J4154" s="25">
        <v>0.24059999999999998</v>
      </c>
      <c r="K4154" s="25">
        <f t="shared" si="64"/>
        <v>13235.405999999999</v>
      </c>
      <c r="L4154" s="25">
        <v>2.4700000000000002</v>
      </c>
      <c r="M4154" s="24">
        <v>135813.5</v>
      </c>
      <c r="N4154" s="25">
        <f>IFERROR(T_reg.root.SK[[#This Row],[Price]]/T_reg.root.SK[[#This Row],[Starch content]],"")</f>
        <v>10.266001662510392</v>
      </c>
    </row>
    <row r="4155" spans="1:14">
      <c r="A4155" s="21">
        <v>2024</v>
      </c>
      <c r="B4155" s="21" t="s">
        <v>27</v>
      </c>
      <c r="C4155" s="21" t="s">
        <v>1145</v>
      </c>
      <c r="D4155" s="21" t="s">
        <v>35</v>
      </c>
      <c r="E4155" s="18" t="s">
        <v>463</v>
      </c>
      <c r="F4155" s="18" t="s">
        <v>47</v>
      </c>
      <c r="G4155" s="18" t="s">
        <v>48</v>
      </c>
      <c r="H4155" s="24">
        <v>123080</v>
      </c>
      <c r="I4155" s="24">
        <f>T_reg.root.SK[[#This Row],[Volume, kg]]/1000</f>
        <v>123.08</v>
      </c>
      <c r="J4155" s="25">
        <v>0.21820000000000001</v>
      </c>
      <c r="K4155" s="25">
        <f t="shared" si="64"/>
        <v>26856.056</v>
      </c>
      <c r="L4155" s="25">
        <v>2.41</v>
      </c>
      <c r="M4155" s="24">
        <v>296283</v>
      </c>
      <c r="N4155" s="25">
        <f>IFERROR(T_reg.root.SK[[#This Row],[Price]]/T_reg.root.SK[[#This Row],[Starch content]],"")</f>
        <v>11.044912923923007</v>
      </c>
    </row>
    <row r="4156" spans="1:14">
      <c r="A4156" s="21">
        <v>2024</v>
      </c>
      <c r="B4156" s="21" t="s">
        <v>27</v>
      </c>
      <c r="C4156" s="21" t="s">
        <v>1145</v>
      </c>
      <c r="D4156" s="21" t="s">
        <v>35</v>
      </c>
      <c r="E4156" s="18" t="s">
        <v>785</v>
      </c>
      <c r="F4156" s="18" t="s">
        <v>47</v>
      </c>
      <c r="G4156" s="18" t="s">
        <v>48</v>
      </c>
      <c r="H4156" s="24">
        <v>42030</v>
      </c>
      <c r="I4156" s="24">
        <f>T_reg.root.SK[[#This Row],[Volume, kg]]/1000</f>
        <v>42.03</v>
      </c>
      <c r="J4156" s="25">
        <v>0.23010000000000003</v>
      </c>
      <c r="K4156" s="25">
        <f t="shared" si="64"/>
        <v>9671.103000000001</v>
      </c>
      <c r="L4156" s="25">
        <v>2.46</v>
      </c>
      <c r="M4156" s="24">
        <v>103241.5</v>
      </c>
      <c r="N4156" s="25">
        <f>IFERROR(T_reg.root.SK[[#This Row],[Price]]/T_reg.root.SK[[#This Row],[Starch content]],"")</f>
        <v>10.691003911342893</v>
      </c>
    </row>
    <row r="4157" spans="1:14">
      <c r="A4157" s="21">
        <v>2024</v>
      </c>
      <c r="B4157" s="21" t="s">
        <v>27</v>
      </c>
      <c r="C4157" s="21" t="s">
        <v>1145</v>
      </c>
      <c r="D4157" s="21" t="s">
        <v>35</v>
      </c>
      <c r="E4157" s="18" t="s">
        <v>57</v>
      </c>
      <c r="F4157" s="18" t="s">
        <v>47</v>
      </c>
      <c r="G4157" s="18" t="s">
        <v>48</v>
      </c>
      <c r="H4157" s="24">
        <v>17110</v>
      </c>
      <c r="I4157" s="24">
        <f>T_reg.root.SK[[#This Row],[Volume, kg]]/1000</f>
        <v>17.11</v>
      </c>
      <c r="J4157" s="25">
        <v>0.21340000000000001</v>
      </c>
      <c r="K4157" s="25">
        <f t="shared" si="64"/>
        <v>3651.2739999999999</v>
      </c>
      <c r="L4157" s="25">
        <v>2.58</v>
      </c>
      <c r="M4157" s="24">
        <v>44127.5</v>
      </c>
      <c r="N4157" s="25">
        <f>IFERROR(T_reg.root.SK[[#This Row],[Price]]/T_reg.root.SK[[#This Row],[Starch content]],"")</f>
        <v>12.089971883786317</v>
      </c>
    </row>
    <row r="4158" spans="1:14">
      <c r="A4158" s="21">
        <v>2024</v>
      </c>
      <c r="B4158" s="21" t="s">
        <v>27</v>
      </c>
      <c r="C4158" s="21" t="s">
        <v>1145</v>
      </c>
      <c r="D4158" s="21" t="s">
        <v>35</v>
      </c>
      <c r="E4158" s="18" t="s">
        <v>379</v>
      </c>
      <c r="F4158" s="18" t="s">
        <v>47</v>
      </c>
      <c r="G4158" s="18" t="s">
        <v>48</v>
      </c>
      <c r="H4158" s="24">
        <v>36800</v>
      </c>
      <c r="I4158" s="24">
        <f>T_reg.root.SK[[#This Row],[Volume, kg]]/1000</f>
        <v>36.799999999999997</v>
      </c>
      <c r="J4158" s="25">
        <v>0.22</v>
      </c>
      <c r="K4158" s="25">
        <f t="shared" si="64"/>
        <v>8096</v>
      </c>
      <c r="L4158" s="25">
        <v>2.56</v>
      </c>
      <c r="M4158" s="24">
        <v>94261</v>
      </c>
      <c r="N4158" s="25">
        <f>IFERROR(T_reg.root.SK[[#This Row],[Price]]/T_reg.root.SK[[#This Row],[Starch content]],"")</f>
        <v>11.636363636363637</v>
      </c>
    </row>
    <row r="4159" spans="1:14">
      <c r="A4159" s="21">
        <v>2024</v>
      </c>
      <c r="B4159" s="21" t="s">
        <v>27</v>
      </c>
      <c r="C4159" s="21" t="s">
        <v>1145</v>
      </c>
      <c r="D4159" s="21" t="s">
        <v>35</v>
      </c>
      <c r="E4159" s="18" t="s">
        <v>465</v>
      </c>
      <c r="F4159" s="18" t="s">
        <v>47</v>
      </c>
      <c r="G4159" s="18" t="s">
        <v>48</v>
      </c>
      <c r="H4159" s="24">
        <v>41570</v>
      </c>
      <c r="I4159" s="24">
        <f>T_reg.root.SK[[#This Row],[Volume, kg]]/1000</f>
        <v>41.57</v>
      </c>
      <c r="J4159" s="25">
        <v>0.22870000000000001</v>
      </c>
      <c r="K4159" s="25">
        <f t="shared" si="64"/>
        <v>9507.0590000000011</v>
      </c>
      <c r="L4159" s="25">
        <v>2.39</v>
      </c>
      <c r="M4159" s="24">
        <v>99472.5</v>
      </c>
      <c r="N4159" s="25">
        <f>IFERROR(T_reg.root.SK[[#This Row],[Price]]/T_reg.root.SK[[#This Row],[Starch content]],"")</f>
        <v>10.45037166593791</v>
      </c>
    </row>
    <row r="4160" spans="1:14">
      <c r="A4160" s="21">
        <v>2024</v>
      </c>
      <c r="B4160" s="21" t="s">
        <v>27</v>
      </c>
      <c r="C4160" s="21" t="s">
        <v>1145</v>
      </c>
      <c r="D4160" s="21" t="s">
        <v>35</v>
      </c>
      <c r="E4160" s="18" t="s">
        <v>58</v>
      </c>
      <c r="F4160" s="18" t="s">
        <v>47</v>
      </c>
      <c r="G4160" s="18" t="s">
        <v>48</v>
      </c>
      <c r="H4160" s="24">
        <v>89730</v>
      </c>
      <c r="I4160" s="24">
        <f>T_reg.root.SK[[#This Row],[Volume, kg]]/1000</f>
        <v>89.73</v>
      </c>
      <c r="J4160" s="25">
        <v>0.23129999999999998</v>
      </c>
      <c r="K4160" s="25">
        <f t="shared" si="64"/>
        <v>20754.548999999999</v>
      </c>
      <c r="L4160" s="25">
        <v>2.42</v>
      </c>
      <c r="M4160" s="24">
        <v>217179.5</v>
      </c>
      <c r="N4160" s="25">
        <f>IFERROR(T_reg.root.SK[[#This Row],[Price]]/T_reg.root.SK[[#This Row],[Starch content]],"")</f>
        <v>10.462602680501513</v>
      </c>
    </row>
    <row r="4161" spans="1:14">
      <c r="A4161" s="21">
        <v>2024</v>
      </c>
      <c r="B4161" s="21" t="s">
        <v>27</v>
      </c>
      <c r="C4161" s="21" t="s">
        <v>1145</v>
      </c>
      <c r="D4161" s="21" t="s">
        <v>35</v>
      </c>
      <c r="E4161" s="18" t="s">
        <v>467</v>
      </c>
      <c r="F4161" s="18" t="s">
        <v>47</v>
      </c>
      <c r="G4161" s="18" t="s">
        <v>48</v>
      </c>
      <c r="H4161" s="24">
        <v>47050</v>
      </c>
      <c r="I4161" s="24">
        <f>T_reg.root.SK[[#This Row],[Volume, kg]]/1000</f>
        <v>47.05</v>
      </c>
      <c r="J4161" s="25">
        <v>0.21239999999999998</v>
      </c>
      <c r="K4161" s="25">
        <f t="shared" si="64"/>
        <v>9993.4199999999983</v>
      </c>
      <c r="L4161" s="25">
        <v>2.34</v>
      </c>
      <c r="M4161" s="24">
        <v>110069</v>
      </c>
      <c r="N4161" s="25">
        <f>IFERROR(T_reg.root.SK[[#This Row],[Price]]/T_reg.root.SK[[#This Row],[Starch content]],"")</f>
        <v>11.016949152542374</v>
      </c>
    </row>
    <row r="4162" spans="1:14">
      <c r="A4162" s="21">
        <v>2024</v>
      </c>
      <c r="B4162" s="21" t="s">
        <v>27</v>
      </c>
      <c r="C4162" s="21" t="s">
        <v>1145</v>
      </c>
      <c r="D4162" s="21" t="s">
        <v>35</v>
      </c>
      <c r="E4162" s="18" t="s">
        <v>338</v>
      </c>
      <c r="F4162" s="18" t="s">
        <v>47</v>
      </c>
      <c r="G4162" s="18" t="s">
        <v>48</v>
      </c>
      <c r="H4162" s="24">
        <v>61460</v>
      </c>
      <c r="I4162" s="24">
        <f>T_reg.root.SK[[#This Row],[Volume, kg]]/1000</f>
        <v>61.46</v>
      </c>
      <c r="J4162" s="25">
        <v>0.21850000000000003</v>
      </c>
      <c r="K4162" s="25">
        <f t="shared" si="64"/>
        <v>13429.010000000002</v>
      </c>
      <c r="L4162" s="25">
        <v>2.35</v>
      </c>
      <c r="M4162" s="24">
        <v>144168</v>
      </c>
      <c r="N4162" s="25">
        <f>IFERROR(T_reg.root.SK[[#This Row],[Price]]/T_reg.root.SK[[#This Row],[Starch content]],"")</f>
        <v>10.755148741418763</v>
      </c>
    </row>
    <row r="4163" spans="1:14">
      <c r="A4163" s="21">
        <v>2024</v>
      </c>
      <c r="B4163" s="21" t="s">
        <v>27</v>
      </c>
      <c r="C4163" s="21" t="s">
        <v>1145</v>
      </c>
      <c r="D4163" s="21" t="s">
        <v>35</v>
      </c>
      <c r="E4163" s="18" t="s">
        <v>468</v>
      </c>
      <c r="F4163" s="18" t="s">
        <v>47</v>
      </c>
      <c r="G4163" s="18" t="s">
        <v>48</v>
      </c>
      <c r="H4163" s="24">
        <v>67480</v>
      </c>
      <c r="I4163" s="24">
        <f>T_reg.root.SK[[#This Row],[Volume, kg]]/1000</f>
        <v>67.48</v>
      </c>
      <c r="J4163" s="25">
        <v>0.22839999999999999</v>
      </c>
      <c r="K4163" s="25">
        <f t="shared" ref="K4163:K4226" si="65">H4163*J4163</f>
        <v>15412.431999999999</v>
      </c>
      <c r="L4163" s="25">
        <v>2.62</v>
      </c>
      <c r="M4163" s="24">
        <v>177076</v>
      </c>
      <c r="N4163" s="25">
        <f>IFERROR(T_reg.root.SK[[#This Row],[Price]]/T_reg.root.SK[[#This Row],[Starch content]],"")</f>
        <v>11.471103327495623</v>
      </c>
    </row>
    <row r="4164" spans="1:14">
      <c r="A4164" s="21">
        <v>2024</v>
      </c>
      <c r="B4164" s="21" t="s">
        <v>27</v>
      </c>
      <c r="C4164" s="21" t="s">
        <v>1145</v>
      </c>
      <c r="D4164" s="21" t="s">
        <v>35</v>
      </c>
      <c r="E4164" s="18" t="s">
        <v>62</v>
      </c>
      <c r="F4164" s="18" t="s">
        <v>47</v>
      </c>
      <c r="G4164" s="18" t="s">
        <v>48</v>
      </c>
      <c r="H4164" s="24">
        <v>192010</v>
      </c>
      <c r="I4164" s="24">
        <f>T_reg.root.SK[[#This Row],[Volume, kg]]/1000</f>
        <v>192.01</v>
      </c>
      <c r="J4164" s="25">
        <v>0.21920000000000001</v>
      </c>
      <c r="K4164" s="25">
        <f t="shared" si="65"/>
        <v>42088.592000000004</v>
      </c>
      <c r="L4164" s="25">
        <v>2.38</v>
      </c>
      <c r="M4164" s="24">
        <v>456852.5</v>
      </c>
      <c r="N4164" s="25">
        <f>IFERROR(T_reg.root.SK[[#This Row],[Price]]/T_reg.root.SK[[#This Row],[Starch content]],"")</f>
        <v>10.857664233576642</v>
      </c>
    </row>
    <row r="4165" spans="1:14">
      <c r="A4165" s="21">
        <v>2024</v>
      </c>
      <c r="B4165" s="21" t="s">
        <v>27</v>
      </c>
      <c r="C4165" s="21" t="s">
        <v>1145</v>
      </c>
      <c r="D4165" s="21" t="s">
        <v>35</v>
      </c>
      <c r="E4165" s="18" t="s">
        <v>63</v>
      </c>
      <c r="F4165" s="18" t="s">
        <v>47</v>
      </c>
      <c r="G4165" s="18" t="s">
        <v>48</v>
      </c>
      <c r="H4165" s="24">
        <v>15690</v>
      </c>
      <c r="I4165" s="24">
        <f>T_reg.root.SK[[#This Row],[Volume, kg]]/1000</f>
        <v>15.69</v>
      </c>
      <c r="J4165" s="25">
        <v>0.20170000000000002</v>
      </c>
      <c r="K4165" s="25">
        <f t="shared" si="65"/>
        <v>3164.6730000000002</v>
      </c>
      <c r="L4165" s="25">
        <v>2.5</v>
      </c>
      <c r="M4165" s="24">
        <v>39244</v>
      </c>
      <c r="N4165" s="25">
        <f>IFERROR(T_reg.root.SK[[#This Row],[Price]]/T_reg.root.SK[[#This Row],[Starch content]],"")</f>
        <v>12.394645513138324</v>
      </c>
    </row>
    <row r="4166" spans="1:14">
      <c r="A4166" s="21">
        <v>2024</v>
      </c>
      <c r="B4166" s="21" t="s">
        <v>27</v>
      </c>
      <c r="C4166" s="21" t="s">
        <v>1145</v>
      </c>
      <c r="D4166" s="21" t="s">
        <v>35</v>
      </c>
      <c r="E4166" s="18" t="s">
        <v>340</v>
      </c>
      <c r="F4166" s="18" t="s">
        <v>47</v>
      </c>
      <c r="G4166" s="18" t="s">
        <v>48</v>
      </c>
      <c r="H4166" s="24">
        <v>20150</v>
      </c>
      <c r="I4166" s="24">
        <f>T_reg.root.SK[[#This Row],[Volume, kg]]/1000</f>
        <v>20.149999999999999</v>
      </c>
      <c r="J4166" s="25">
        <v>0.1772</v>
      </c>
      <c r="K4166" s="25">
        <f t="shared" si="65"/>
        <v>3570.58</v>
      </c>
      <c r="L4166" s="25">
        <v>2.1800000000000002</v>
      </c>
      <c r="M4166" s="24">
        <v>43967.5</v>
      </c>
      <c r="N4166" s="25">
        <f>IFERROR(T_reg.root.SK[[#This Row],[Price]]/T_reg.root.SK[[#This Row],[Starch content]],"")</f>
        <v>12.302483069977427</v>
      </c>
    </row>
    <row r="4167" spans="1:14">
      <c r="A4167" s="21">
        <v>2024</v>
      </c>
      <c r="B4167" s="21" t="s">
        <v>27</v>
      </c>
      <c r="C4167" s="21" t="s">
        <v>1145</v>
      </c>
      <c r="D4167" s="21" t="s">
        <v>35</v>
      </c>
      <c r="E4167" s="18" t="s">
        <v>926</v>
      </c>
      <c r="F4167" s="18" t="s">
        <v>47</v>
      </c>
      <c r="G4167" s="18" t="s">
        <v>48</v>
      </c>
      <c r="H4167" s="24">
        <v>40570</v>
      </c>
      <c r="I4167" s="24">
        <f>T_reg.root.SK[[#This Row],[Volume, kg]]/1000</f>
        <v>40.57</v>
      </c>
      <c r="J4167" s="25">
        <v>0.25780000000000003</v>
      </c>
      <c r="K4167" s="25">
        <f t="shared" si="65"/>
        <v>10458.946000000002</v>
      </c>
      <c r="L4167" s="25">
        <v>2.54</v>
      </c>
      <c r="M4167" s="24">
        <v>103040</v>
      </c>
      <c r="N4167" s="25">
        <f>IFERROR(T_reg.root.SK[[#This Row],[Price]]/T_reg.root.SK[[#This Row],[Starch content]],"")</f>
        <v>9.8525989138867338</v>
      </c>
    </row>
    <row r="4168" spans="1:14">
      <c r="A4168" s="21">
        <v>2024</v>
      </c>
      <c r="B4168" s="21" t="s">
        <v>27</v>
      </c>
      <c r="C4168" s="21" t="s">
        <v>1145</v>
      </c>
      <c r="D4168" s="21" t="s">
        <v>35</v>
      </c>
      <c r="E4168" s="18" t="s">
        <v>469</v>
      </c>
      <c r="F4168" s="18" t="s">
        <v>47</v>
      </c>
      <c r="G4168" s="18" t="s">
        <v>48</v>
      </c>
      <c r="H4168" s="24">
        <v>12680</v>
      </c>
      <c r="I4168" s="24">
        <f>T_reg.root.SK[[#This Row],[Volume, kg]]/1000</f>
        <v>12.68</v>
      </c>
      <c r="J4168" s="25">
        <v>0.24079999999999999</v>
      </c>
      <c r="K4168" s="25">
        <f t="shared" si="65"/>
        <v>3053.3440000000001</v>
      </c>
      <c r="L4168" s="25">
        <v>2.4700000000000002</v>
      </c>
      <c r="M4168" s="24">
        <v>31340</v>
      </c>
      <c r="N4168" s="25">
        <f>IFERROR(T_reg.root.SK[[#This Row],[Price]]/T_reg.root.SK[[#This Row],[Starch content]],"")</f>
        <v>10.25747508305648</v>
      </c>
    </row>
    <row r="4169" spans="1:14">
      <c r="A4169" s="21">
        <v>2024</v>
      </c>
      <c r="B4169" s="21" t="s">
        <v>27</v>
      </c>
      <c r="C4169" s="21" t="s">
        <v>1145</v>
      </c>
      <c r="D4169" s="21" t="s">
        <v>35</v>
      </c>
      <c r="E4169" s="18" t="s">
        <v>660</v>
      </c>
      <c r="F4169" s="18" t="s">
        <v>47</v>
      </c>
      <c r="G4169" s="18" t="s">
        <v>48</v>
      </c>
      <c r="H4169" s="24">
        <v>20450</v>
      </c>
      <c r="I4169" s="24">
        <f>T_reg.root.SK[[#This Row],[Volume, kg]]/1000</f>
        <v>20.45</v>
      </c>
      <c r="J4169" s="25">
        <v>0.21609999999999999</v>
      </c>
      <c r="K4169" s="25">
        <f t="shared" si="65"/>
        <v>4419.2449999999999</v>
      </c>
      <c r="L4169" s="25">
        <v>2.38</v>
      </c>
      <c r="M4169" s="24">
        <v>48630</v>
      </c>
      <c r="N4169" s="25">
        <f>IFERROR(T_reg.root.SK[[#This Row],[Price]]/T_reg.root.SK[[#This Row],[Starch content]],"")</f>
        <v>11.013419713095789</v>
      </c>
    </row>
    <row r="4170" spans="1:14">
      <c r="A4170" s="21">
        <v>2024</v>
      </c>
      <c r="B4170" s="21" t="s">
        <v>27</v>
      </c>
      <c r="C4170" s="21" t="s">
        <v>1145</v>
      </c>
      <c r="D4170" s="21" t="s">
        <v>35</v>
      </c>
      <c r="E4170" s="18" t="s">
        <v>730</v>
      </c>
      <c r="F4170" s="18" t="s">
        <v>47</v>
      </c>
      <c r="G4170" s="18" t="s">
        <v>48</v>
      </c>
      <c r="H4170" s="24">
        <v>48370</v>
      </c>
      <c r="I4170" s="24">
        <f>T_reg.root.SK[[#This Row],[Volume, kg]]/1000</f>
        <v>48.37</v>
      </c>
      <c r="J4170" s="25">
        <v>0.21359999999999998</v>
      </c>
      <c r="K4170" s="25">
        <f t="shared" si="65"/>
        <v>10331.831999999999</v>
      </c>
      <c r="L4170" s="25">
        <v>2.42</v>
      </c>
      <c r="M4170" s="24">
        <v>116850</v>
      </c>
      <c r="N4170" s="25">
        <f>IFERROR(T_reg.root.SK[[#This Row],[Price]]/T_reg.root.SK[[#This Row],[Starch content]],"")</f>
        <v>11.329588014981274</v>
      </c>
    </row>
    <row r="4171" spans="1:14">
      <c r="A4171" s="21">
        <v>2024</v>
      </c>
      <c r="B4171" s="21" t="s">
        <v>27</v>
      </c>
      <c r="C4171" s="21" t="s">
        <v>1145</v>
      </c>
      <c r="D4171" s="21" t="s">
        <v>35</v>
      </c>
      <c r="E4171" s="18" t="s">
        <v>66</v>
      </c>
      <c r="F4171" s="18" t="s">
        <v>47</v>
      </c>
      <c r="G4171" s="18" t="s">
        <v>48</v>
      </c>
      <c r="H4171" s="24">
        <v>48200</v>
      </c>
      <c r="I4171" s="24">
        <f>T_reg.root.SK[[#This Row],[Volume, kg]]/1000</f>
        <v>48.2</v>
      </c>
      <c r="J4171" s="25">
        <v>0.23230000000000001</v>
      </c>
      <c r="K4171" s="25">
        <f t="shared" si="65"/>
        <v>11196.86</v>
      </c>
      <c r="L4171" s="25">
        <v>2.41</v>
      </c>
      <c r="M4171" s="24">
        <v>116145</v>
      </c>
      <c r="N4171" s="25">
        <f>IFERROR(T_reg.root.SK[[#This Row],[Price]]/T_reg.root.SK[[#This Row],[Starch content]],"")</f>
        <v>10.374515712440809</v>
      </c>
    </row>
    <row r="4172" spans="1:14">
      <c r="A4172" s="21">
        <v>2024</v>
      </c>
      <c r="B4172" s="21" t="s">
        <v>27</v>
      </c>
      <c r="C4172" s="21" t="s">
        <v>1145</v>
      </c>
      <c r="D4172" s="21" t="s">
        <v>35</v>
      </c>
      <c r="E4172" s="18" t="s">
        <v>341</v>
      </c>
      <c r="F4172" s="18" t="s">
        <v>47</v>
      </c>
      <c r="G4172" s="18" t="s">
        <v>48</v>
      </c>
      <c r="H4172" s="24">
        <v>46860</v>
      </c>
      <c r="I4172" s="24">
        <f>T_reg.root.SK[[#This Row],[Volume, kg]]/1000</f>
        <v>46.86</v>
      </c>
      <c r="J4172" s="25">
        <v>0.23039999999999999</v>
      </c>
      <c r="K4172" s="25">
        <f t="shared" si="65"/>
        <v>10796.544</v>
      </c>
      <c r="L4172" s="25">
        <v>2.4</v>
      </c>
      <c r="M4172" s="24">
        <v>112362</v>
      </c>
      <c r="N4172" s="25">
        <f>IFERROR(T_reg.root.SK[[#This Row],[Price]]/T_reg.root.SK[[#This Row],[Starch content]],"")</f>
        <v>10.416666666666666</v>
      </c>
    </row>
    <row r="4173" spans="1:14">
      <c r="A4173" s="21">
        <v>2024</v>
      </c>
      <c r="B4173" s="21" t="s">
        <v>27</v>
      </c>
      <c r="C4173" s="21" t="s">
        <v>1145</v>
      </c>
      <c r="D4173" s="21" t="s">
        <v>35</v>
      </c>
      <c r="E4173" s="18" t="s">
        <v>68</v>
      </c>
      <c r="F4173" s="18" t="s">
        <v>47</v>
      </c>
      <c r="G4173" s="18" t="s">
        <v>48</v>
      </c>
      <c r="H4173" s="24">
        <v>62110</v>
      </c>
      <c r="I4173" s="24">
        <f>T_reg.root.SK[[#This Row],[Volume, kg]]/1000</f>
        <v>62.11</v>
      </c>
      <c r="J4173" s="25">
        <v>0.2195</v>
      </c>
      <c r="K4173" s="25">
        <f t="shared" si="65"/>
        <v>13633.145</v>
      </c>
      <c r="L4173" s="25">
        <v>2.35</v>
      </c>
      <c r="M4173" s="24">
        <v>145724</v>
      </c>
      <c r="N4173" s="25">
        <f>IFERROR(T_reg.root.SK[[#This Row],[Price]]/T_reg.root.SK[[#This Row],[Starch content]],"")</f>
        <v>10.70615034168565</v>
      </c>
    </row>
    <row r="4174" spans="1:14">
      <c r="A4174" s="21">
        <v>2024</v>
      </c>
      <c r="B4174" s="21" t="s">
        <v>27</v>
      </c>
      <c r="C4174" s="21" t="s">
        <v>1145</v>
      </c>
      <c r="D4174" s="21" t="s">
        <v>35</v>
      </c>
      <c r="E4174" s="18" t="s">
        <v>470</v>
      </c>
      <c r="F4174" s="18" t="s">
        <v>47</v>
      </c>
      <c r="G4174" s="18" t="s">
        <v>48</v>
      </c>
      <c r="H4174" s="24">
        <v>10470</v>
      </c>
      <c r="I4174" s="24">
        <f>T_reg.root.SK[[#This Row],[Volume, kg]]/1000</f>
        <v>10.47</v>
      </c>
      <c r="J4174" s="25">
        <v>0.27949999999999997</v>
      </c>
      <c r="K4174" s="25">
        <f t="shared" si="65"/>
        <v>2926.3649999999998</v>
      </c>
      <c r="L4174" s="25">
        <v>2.65</v>
      </c>
      <c r="M4174" s="24">
        <v>27745.5</v>
      </c>
      <c r="N4174" s="25">
        <f>IFERROR(T_reg.root.SK[[#This Row],[Price]]/T_reg.root.SK[[#This Row],[Starch content]],"")</f>
        <v>9.4812164579606453</v>
      </c>
    </row>
    <row r="4175" spans="1:14">
      <c r="A4175" s="21">
        <v>2024</v>
      </c>
      <c r="B4175" s="21" t="s">
        <v>27</v>
      </c>
      <c r="C4175" s="21" t="s">
        <v>1145</v>
      </c>
      <c r="D4175" s="21" t="s">
        <v>35</v>
      </c>
      <c r="E4175" s="18" t="s">
        <v>549</v>
      </c>
      <c r="F4175" s="18" t="s">
        <v>47</v>
      </c>
      <c r="G4175" s="18" t="s">
        <v>48</v>
      </c>
      <c r="H4175" s="24">
        <v>39170</v>
      </c>
      <c r="I4175" s="24">
        <f>T_reg.root.SK[[#This Row],[Volume, kg]]/1000</f>
        <v>39.17</v>
      </c>
      <c r="J4175" s="25">
        <v>0.21679999999999999</v>
      </c>
      <c r="K4175" s="25">
        <f t="shared" si="65"/>
        <v>8492.0560000000005</v>
      </c>
      <c r="L4175" s="25">
        <v>2.4700000000000002</v>
      </c>
      <c r="M4175" s="24">
        <v>96638</v>
      </c>
      <c r="N4175" s="25">
        <f>IFERROR(T_reg.root.SK[[#This Row],[Price]]/T_reg.root.SK[[#This Row],[Starch content]],"")</f>
        <v>11.392988929889301</v>
      </c>
    </row>
    <row r="4176" spans="1:14">
      <c r="A4176" s="21">
        <v>2024</v>
      </c>
      <c r="B4176" s="21" t="s">
        <v>27</v>
      </c>
      <c r="C4176" s="21" t="s">
        <v>1145</v>
      </c>
      <c r="D4176" s="21" t="s">
        <v>35</v>
      </c>
      <c r="E4176" s="18" t="s">
        <v>72</v>
      </c>
      <c r="F4176" s="18" t="s">
        <v>47</v>
      </c>
      <c r="G4176" s="18" t="s">
        <v>48</v>
      </c>
      <c r="H4176" s="24">
        <v>91560</v>
      </c>
      <c r="I4176" s="24">
        <f>T_reg.root.SK[[#This Row],[Volume, kg]]/1000</f>
        <v>91.56</v>
      </c>
      <c r="J4176" s="25">
        <v>0.23039999999999999</v>
      </c>
      <c r="K4176" s="25">
        <f t="shared" si="65"/>
        <v>21095.423999999999</v>
      </c>
      <c r="L4176" s="25">
        <v>2.57</v>
      </c>
      <c r="M4176" s="24">
        <v>234859.5</v>
      </c>
      <c r="N4176" s="25">
        <f>IFERROR(T_reg.root.SK[[#This Row],[Price]]/T_reg.root.SK[[#This Row],[Starch content]],"")</f>
        <v>11.154513888888889</v>
      </c>
    </row>
    <row r="4177" spans="1:14">
      <c r="A4177" s="21">
        <v>2024</v>
      </c>
      <c r="B4177" s="21" t="s">
        <v>27</v>
      </c>
      <c r="C4177" s="21" t="s">
        <v>1145</v>
      </c>
      <c r="D4177" s="21" t="s">
        <v>35</v>
      </c>
      <c r="E4177" s="18" t="s">
        <v>472</v>
      </c>
      <c r="F4177" s="18" t="s">
        <v>47</v>
      </c>
      <c r="G4177" s="18" t="s">
        <v>48</v>
      </c>
      <c r="H4177" s="24">
        <v>101460</v>
      </c>
      <c r="I4177" s="24">
        <f>T_reg.root.SK[[#This Row],[Volume, kg]]/1000</f>
        <v>101.46</v>
      </c>
      <c r="J4177" s="25">
        <v>0.193</v>
      </c>
      <c r="K4177" s="25">
        <f t="shared" si="65"/>
        <v>19581.78</v>
      </c>
      <c r="L4177" s="25">
        <v>2.23</v>
      </c>
      <c r="M4177" s="24">
        <v>226401</v>
      </c>
      <c r="N4177" s="25">
        <f>IFERROR(T_reg.root.SK[[#This Row],[Price]]/T_reg.root.SK[[#This Row],[Starch content]],"")</f>
        <v>11.55440414507772</v>
      </c>
    </row>
    <row r="4178" spans="1:14">
      <c r="A4178" s="21">
        <v>2024</v>
      </c>
      <c r="B4178" s="21" t="s">
        <v>27</v>
      </c>
      <c r="C4178" s="21" t="s">
        <v>1145</v>
      </c>
      <c r="D4178" s="21" t="s">
        <v>35</v>
      </c>
      <c r="E4178" s="18" t="s">
        <v>73</v>
      </c>
      <c r="F4178" s="18" t="s">
        <v>47</v>
      </c>
      <c r="G4178" s="18" t="s">
        <v>48</v>
      </c>
      <c r="H4178" s="24">
        <v>20210</v>
      </c>
      <c r="I4178" s="24">
        <f>T_reg.root.SK[[#This Row],[Volume, kg]]/1000</f>
        <v>20.21</v>
      </c>
      <c r="J4178" s="25">
        <v>0.22399999999999998</v>
      </c>
      <c r="K4178" s="25">
        <f t="shared" si="65"/>
        <v>4527.04</v>
      </c>
      <c r="L4178" s="25">
        <v>2.39</v>
      </c>
      <c r="M4178" s="24">
        <v>48238</v>
      </c>
      <c r="N4178" s="25">
        <f>IFERROR(T_reg.root.SK[[#This Row],[Price]]/T_reg.root.SK[[#This Row],[Starch content]],"")</f>
        <v>10.669642857142859</v>
      </c>
    </row>
    <row r="4179" spans="1:14">
      <c r="A4179" s="21">
        <v>2024</v>
      </c>
      <c r="B4179" s="21" t="s">
        <v>27</v>
      </c>
      <c r="C4179" s="21" t="s">
        <v>1145</v>
      </c>
      <c r="D4179" s="21" t="s">
        <v>35</v>
      </c>
      <c r="E4179" s="18" t="s">
        <v>74</v>
      </c>
      <c r="F4179" s="18" t="s">
        <v>47</v>
      </c>
      <c r="G4179" s="18" t="s">
        <v>48</v>
      </c>
      <c r="H4179" s="24">
        <v>48110</v>
      </c>
      <c r="I4179" s="24">
        <f>T_reg.root.SK[[#This Row],[Volume, kg]]/1000</f>
        <v>48.11</v>
      </c>
      <c r="J4179" s="25">
        <v>0.2404</v>
      </c>
      <c r="K4179" s="25">
        <f t="shared" si="65"/>
        <v>11565.644</v>
      </c>
      <c r="L4179" s="25">
        <v>2.48</v>
      </c>
      <c r="M4179" s="24">
        <v>119500.5</v>
      </c>
      <c r="N4179" s="25">
        <f>IFERROR(T_reg.root.SK[[#This Row],[Price]]/T_reg.root.SK[[#This Row],[Starch content]],"")</f>
        <v>10.316139767054908</v>
      </c>
    </row>
    <row r="4180" spans="1:14">
      <c r="A4180" s="21">
        <v>2024</v>
      </c>
      <c r="B4180" s="21" t="s">
        <v>27</v>
      </c>
      <c r="C4180" s="21" t="s">
        <v>1145</v>
      </c>
      <c r="D4180" s="21" t="s">
        <v>35</v>
      </c>
      <c r="E4180" s="18" t="s">
        <v>473</v>
      </c>
      <c r="F4180" s="18" t="s">
        <v>47</v>
      </c>
      <c r="G4180" s="18" t="s">
        <v>48</v>
      </c>
      <c r="H4180" s="24">
        <v>66640</v>
      </c>
      <c r="I4180" s="24">
        <f>T_reg.root.SK[[#This Row],[Volume, kg]]/1000</f>
        <v>66.64</v>
      </c>
      <c r="J4180" s="25">
        <v>0.21329999999999999</v>
      </c>
      <c r="K4180" s="25">
        <f t="shared" si="65"/>
        <v>14214.312</v>
      </c>
      <c r="L4180" s="25">
        <v>2.46</v>
      </c>
      <c r="M4180" s="24">
        <v>163690</v>
      </c>
      <c r="N4180" s="25">
        <f>IFERROR(T_reg.root.SK[[#This Row],[Price]]/T_reg.root.SK[[#This Row],[Starch content]],"")</f>
        <v>11.533052039381154</v>
      </c>
    </row>
    <row r="4181" spans="1:14">
      <c r="A4181" s="21">
        <v>2024</v>
      </c>
      <c r="B4181" s="21" t="s">
        <v>27</v>
      </c>
      <c r="C4181" s="21" t="s">
        <v>1145</v>
      </c>
      <c r="D4181" s="21" t="s">
        <v>35</v>
      </c>
      <c r="E4181" s="18" t="s">
        <v>474</v>
      </c>
      <c r="F4181" s="18" t="s">
        <v>47</v>
      </c>
      <c r="G4181" s="18" t="s">
        <v>48</v>
      </c>
      <c r="H4181" s="24">
        <v>17810</v>
      </c>
      <c r="I4181" s="24">
        <f>T_reg.root.SK[[#This Row],[Volume, kg]]/1000</f>
        <v>17.809999999999999</v>
      </c>
      <c r="J4181" s="25">
        <v>0.19620000000000001</v>
      </c>
      <c r="K4181" s="25">
        <f t="shared" si="65"/>
        <v>3494.3220000000001</v>
      </c>
      <c r="L4181" s="25">
        <v>2.5</v>
      </c>
      <c r="M4181" s="24">
        <v>44525</v>
      </c>
      <c r="N4181" s="25">
        <f>IFERROR(T_reg.root.SK[[#This Row],[Price]]/T_reg.root.SK[[#This Row],[Starch content]],"")</f>
        <v>12.7420998980632</v>
      </c>
    </row>
    <row r="4182" spans="1:14">
      <c r="A4182" s="21">
        <v>2024</v>
      </c>
      <c r="B4182" s="21" t="s">
        <v>27</v>
      </c>
      <c r="C4182" s="21" t="s">
        <v>1145</v>
      </c>
      <c r="D4182" s="21" t="s">
        <v>35</v>
      </c>
      <c r="E4182" s="18" t="s">
        <v>75</v>
      </c>
      <c r="F4182" s="18" t="s">
        <v>47</v>
      </c>
      <c r="G4182" s="18" t="s">
        <v>48</v>
      </c>
      <c r="H4182" s="24">
        <v>24900</v>
      </c>
      <c r="I4182" s="24">
        <f>T_reg.root.SK[[#This Row],[Volume, kg]]/1000</f>
        <v>24.9</v>
      </c>
      <c r="J4182" s="25">
        <v>0.22409999999999999</v>
      </c>
      <c r="K4182" s="25">
        <f t="shared" si="65"/>
        <v>5580.09</v>
      </c>
      <c r="L4182" s="25">
        <v>2.37</v>
      </c>
      <c r="M4182" s="24">
        <v>58983</v>
      </c>
      <c r="N4182" s="25">
        <f>IFERROR(T_reg.root.SK[[#This Row],[Price]]/T_reg.root.SK[[#This Row],[Starch content]],"")</f>
        <v>10.575635876840696</v>
      </c>
    </row>
    <row r="4183" spans="1:14">
      <c r="A4183" s="21">
        <v>2024</v>
      </c>
      <c r="B4183" s="21" t="s">
        <v>27</v>
      </c>
      <c r="C4183" s="21" t="s">
        <v>1145</v>
      </c>
      <c r="D4183" s="21" t="s">
        <v>35</v>
      </c>
      <c r="E4183" s="18" t="s">
        <v>225</v>
      </c>
      <c r="F4183" s="18" t="s">
        <v>47</v>
      </c>
      <c r="G4183" s="18" t="s">
        <v>48</v>
      </c>
      <c r="H4183" s="24">
        <v>13020</v>
      </c>
      <c r="I4183" s="24">
        <f>T_reg.root.SK[[#This Row],[Volume, kg]]/1000</f>
        <v>13.02</v>
      </c>
      <c r="J4183" s="25">
        <v>0.21600000000000003</v>
      </c>
      <c r="K4183" s="25">
        <f t="shared" si="65"/>
        <v>2812.32</v>
      </c>
      <c r="L4183" s="25">
        <v>2.6</v>
      </c>
      <c r="M4183" s="24">
        <v>33852</v>
      </c>
      <c r="N4183" s="25">
        <f>IFERROR(T_reg.root.SK[[#This Row],[Price]]/T_reg.root.SK[[#This Row],[Starch content]],"")</f>
        <v>12.037037037037036</v>
      </c>
    </row>
    <row r="4184" spans="1:14">
      <c r="A4184" s="21">
        <v>2024</v>
      </c>
      <c r="B4184" s="21" t="s">
        <v>27</v>
      </c>
      <c r="C4184" s="21" t="s">
        <v>1145</v>
      </c>
      <c r="D4184" s="21" t="s">
        <v>35</v>
      </c>
      <c r="E4184" s="18" t="s">
        <v>77</v>
      </c>
      <c r="F4184" s="18" t="s">
        <v>47</v>
      </c>
      <c r="G4184" s="18" t="s">
        <v>48</v>
      </c>
      <c r="H4184" s="24">
        <v>99010</v>
      </c>
      <c r="I4184" s="24">
        <f>T_reg.root.SK[[#This Row],[Volume, kg]]/1000</f>
        <v>99.01</v>
      </c>
      <c r="J4184" s="25">
        <v>0.2271</v>
      </c>
      <c r="K4184" s="25">
        <f t="shared" si="65"/>
        <v>22485.170999999998</v>
      </c>
      <c r="L4184" s="25">
        <v>2.41</v>
      </c>
      <c r="M4184" s="24">
        <v>238810.5</v>
      </c>
      <c r="N4184" s="25">
        <f>IFERROR(T_reg.root.SK[[#This Row],[Price]]/T_reg.root.SK[[#This Row],[Starch content]],"")</f>
        <v>10.612065169528842</v>
      </c>
    </row>
    <row r="4185" spans="1:14">
      <c r="A4185" s="21">
        <v>2024</v>
      </c>
      <c r="B4185" s="21" t="s">
        <v>27</v>
      </c>
      <c r="C4185" s="21" t="s">
        <v>1145</v>
      </c>
      <c r="D4185" s="21" t="s">
        <v>35</v>
      </c>
      <c r="E4185" s="18" t="s">
        <v>476</v>
      </c>
      <c r="F4185" s="18" t="s">
        <v>47</v>
      </c>
      <c r="G4185" s="18" t="s">
        <v>48</v>
      </c>
      <c r="H4185" s="24">
        <v>62480</v>
      </c>
      <c r="I4185" s="24">
        <f>T_reg.root.SK[[#This Row],[Volume, kg]]/1000</f>
        <v>62.48</v>
      </c>
      <c r="J4185" s="25">
        <v>0.21840000000000001</v>
      </c>
      <c r="K4185" s="25">
        <f t="shared" si="65"/>
        <v>13645.632000000001</v>
      </c>
      <c r="L4185" s="25">
        <v>2.4300000000000002</v>
      </c>
      <c r="M4185" s="24">
        <v>151935.5</v>
      </c>
      <c r="N4185" s="25">
        <f>IFERROR(T_reg.root.SK[[#This Row],[Price]]/T_reg.root.SK[[#This Row],[Starch content]],"")</f>
        <v>11.126373626373626</v>
      </c>
    </row>
    <row r="4186" spans="1:14">
      <c r="A4186" s="21">
        <v>2024</v>
      </c>
      <c r="B4186" s="21" t="s">
        <v>27</v>
      </c>
      <c r="C4186" s="21" t="s">
        <v>1145</v>
      </c>
      <c r="D4186" s="21" t="s">
        <v>35</v>
      </c>
      <c r="E4186" s="18" t="s">
        <v>693</v>
      </c>
      <c r="F4186" s="18" t="s">
        <v>47</v>
      </c>
      <c r="G4186" s="18" t="s">
        <v>48</v>
      </c>
      <c r="H4186" s="24">
        <v>13150</v>
      </c>
      <c r="I4186" s="24">
        <f>T_reg.root.SK[[#This Row],[Volume, kg]]/1000</f>
        <v>13.15</v>
      </c>
      <c r="J4186" s="25">
        <v>0.27279999999999999</v>
      </c>
      <c r="K4186" s="25">
        <f t="shared" si="65"/>
        <v>3587.3199999999997</v>
      </c>
      <c r="L4186" s="25">
        <v>2.62</v>
      </c>
      <c r="M4186" s="24">
        <v>34496</v>
      </c>
      <c r="N4186" s="25">
        <f>IFERROR(T_reg.root.SK[[#This Row],[Price]]/T_reg.root.SK[[#This Row],[Starch content]],"")</f>
        <v>9.6041055718475086</v>
      </c>
    </row>
    <row r="4187" spans="1:14">
      <c r="A4187" s="21">
        <v>2024</v>
      </c>
      <c r="B4187" s="21" t="s">
        <v>27</v>
      </c>
      <c r="C4187" s="21" t="s">
        <v>1145</v>
      </c>
      <c r="D4187" s="21" t="s">
        <v>35</v>
      </c>
      <c r="E4187" s="18" t="s">
        <v>694</v>
      </c>
      <c r="F4187" s="18" t="s">
        <v>47</v>
      </c>
      <c r="G4187" s="18" t="s">
        <v>48</v>
      </c>
      <c r="H4187" s="24">
        <v>46350</v>
      </c>
      <c r="I4187" s="24">
        <f>T_reg.root.SK[[#This Row],[Volume, kg]]/1000</f>
        <v>46.35</v>
      </c>
      <c r="J4187" s="25">
        <v>0.2273</v>
      </c>
      <c r="K4187" s="25">
        <f t="shared" si="65"/>
        <v>10535.355</v>
      </c>
      <c r="L4187" s="25">
        <v>2.44</v>
      </c>
      <c r="M4187" s="24">
        <v>113105.5</v>
      </c>
      <c r="N4187" s="25">
        <f>IFERROR(T_reg.root.SK[[#This Row],[Price]]/T_reg.root.SK[[#This Row],[Starch content]],"")</f>
        <v>10.73471183457985</v>
      </c>
    </row>
    <row r="4188" spans="1:14">
      <c r="A4188" s="21">
        <v>2024</v>
      </c>
      <c r="B4188" s="21" t="s">
        <v>27</v>
      </c>
      <c r="C4188" s="21" t="s">
        <v>1145</v>
      </c>
      <c r="D4188" s="21" t="s">
        <v>35</v>
      </c>
      <c r="E4188" s="18" t="s">
        <v>927</v>
      </c>
      <c r="F4188" s="18" t="s">
        <v>47</v>
      </c>
      <c r="G4188" s="18" t="s">
        <v>48</v>
      </c>
      <c r="H4188" s="24">
        <v>30020</v>
      </c>
      <c r="I4188" s="24">
        <f>T_reg.root.SK[[#This Row],[Volume, kg]]/1000</f>
        <v>30.02</v>
      </c>
      <c r="J4188" s="25">
        <v>0.19089999999999999</v>
      </c>
      <c r="K4188" s="25">
        <f t="shared" si="65"/>
        <v>5730.8179999999993</v>
      </c>
      <c r="L4188" s="25">
        <v>2.23</v>
      </c>
      <c r="M4188" s="24">
        <v>66833</v>
      </c>
      <c r="N4188" s="25">
        <f>IFERROR(T_reg.root.SK[[#This Row],[Price]]/T_reg.root.SK[[#This Row],[Starch content]],"")</f>
        <v>11.681508643268728</v>
      </c>
    </row>
    <row r="4189" spans="1:14">
      <c r="A4189" s="21">
        <v>2024</v>
      </c>
      <c r="B4189" s="21" t="s">
        <v>27</v>
      </c>
      <c r="C4189" s="21" t="s">
        <v>1145</v>
      </c>
      <c r="D4189" s="21" t="s">
        <v>35</v>
      </c>
      <c r="E4189" s="18" t="s">
        <v>82</v>
      </c>
      <c r="F4189" s="18" t="s">
        <v>83</v>
      </c>
      <c r="G4189" s="18" t="s">
        <v>48</v>
      </c>
      <c r="H4189" s="24">
        <v>19000</v>
      </c>
      <c r="I4189" s="24">
        <f>T_reg.root.SK[[#This Row],[Volume, kg]]/1000</f>
        <v>19</v>
      </c>
      <c r="J4189" s="25">
        <v>0.20480000000000001</v>
      </c>
      <c r="K4189" s="25">
        <f t="shared" si="65"/>
        <v>3891.2000000000003</v>
      </c>
      <c r="L4189" s="25">
        <v>2.27</v>
      </c>
      <c r="M4189" s="24">
        <v>43212</v>
      </c>
      <c r="N4189" s="25">
        <f>IFERROR(T_reg.root.SK[[#This Row],[Price]]/T_reg.root.SK[[#This Row],[Starch content]],"")</f>
        <v>11.083984375</v>
      </c>
    </row>
    <row r="4190" spans="1:14">
      <c r="A4190" s="21">
        <v>2024</v>
      </c>
      <c r="B4190" s="21" t="s">
        <v>27</v>
      </c>
      <c r="C4190" s="21" t="s">
        <v>1145</v>
      </c>
      <c r="D4190" s="21" t="s">
        <v>39</v>
      </c>
      <c r="E4190" s="18" t="s">
        <v>820</v>
      </c>
      <c r="F4190" s="18" t="s">
        <v>821</v>
      </c>
      <c r="G4190" s="18" t="s">
        <v>822</v>
      </c>
      <c r="H4190" s="24">
        <v>0</v>
      </c>
      <c r="I4190" s="24">
        <f>T_reg.root.SK[[#This Row],[Volume, kg]]/1000</f>
        <v>0</v>
      </c>
      <c r="J4190" s="25">
        <v>0</v>
      </c>
      <c r="K4190" s="25">
        <f t="shared" si="65"/>
        <v>0</v>
      </c>
      <c r="L4190" s="25">
        <v>0</v>
      </c>
      <c r="M4190" s="24">
        <v>0</v>
      </c>
      <c r="N4190" s="25" t="str">
        <f>IFERROR(T_reg.root.SK[[#This Row],[Price]]/T_reg.root.SK[[#This Row],[Starch content]],"")</f>
        <v/>
      </c>
    </row>
    <row r="4191" spans="1:14">
      <c r="A4191" s="21">
        <v>2024</v>
      </c>
      <c r="B4191" s="21" t="s">
        <v>27</v>
      </c>
      <c r="C4191" s="21" t="s">
        <v>1145</v>
      </c>
      <c r="D4191" s="21" t="s">
        <v>39</v>
      </c>
      <c r="E4191" s="18" t="s">
        <v>85</v>
      </c>
      <c r="F4191" s="18" t="s">
        <v>86</v>
      </c>
      <c r="G4191" s="18" t="s">
        <v>87</v>
      </c>
      <c r="H4191" s="24">
        <v>4072910</v>
      </c>
      <c r="I4191" s="24">
        <f>T_reg.root.SK[[#This Row],[Volume, kg]]/1000</f>
        <v>4072.91</v>
      </c>
      <c r="J4191" s="25">
        <v>0.23530000000000001</v>
      </c>
      <c r="K4191" s="25">
        <f t="shared" si="65"/>
        <v>958355.723</v>
      </c>
      <c r="L4191" s="25">
        <v>2.63</v>
      </c>
      <c r="M4191" s="24">
        <v>10702700</v>
      </c>
      <c r="N4191" s="25">
        <f>IFERROR(T_reg.root.SK[[#This Row],[Price]]/T_reg.root.SK[[#This Row],[Starch content]],"")</f>
        <v>11.177220569485762</v>
      </c>
    </row>
    <row r="4192" spans="1:14">
      <c r="A4192" s="21">
        <v>2024</v>
      </c>
      <c r="B4192" s="21" t="s">
        <v>27</v>
      </c>
      <c r="C4192" s="21" t="s">
        <v>1145</v>
      </c>
      <c r="D4192" s="21" t="s">
        <v>39</v>
      </c>
      <c r="E4192" s="18" t="s">
        <v>88</v>
      </c>
      <c r="F4192" s="18" t="s">
        <v>89</v>
      </c>
      <c r="G4192" s="18" t="s">
        <v>90</v>
      </c>
      <c r="H4192" s="24">
        <v>3737260</v>
      </c>
      <c r="I4192" s="24">
        <f>T_reg.root.SK[[#This Row],[Volume, kg]]/1000</f>
        <v>3737.26</v>
      </c>
      <c r="J4192" s="25">
        <v>0.24149999999999999</v>
      </c>
      <c r="K4192" s="25">
        <f t="shared" si="65"/>
        <v>902548.28999999992</v>
      </c>
      <c r="L4192" s="25">
        <v>2.65</v>
      </c>
      <c r="M4192" s="24">
        <v>9911372.5</v>
      </c>
      <c r="N4192" s="25">
        <f>IFERROR(T_reg.root.SK[[#This Row],[Price]]/T_reg.root.SK[[#This Row],[Starch content]],"")</f>
        <v>10.973084886128364</v>
      </c>
    </row>
    <row r="4193" spans="1:14">
      <c r="A4193" s="21">
        <v>2024</v>
      </c>
      <c r="B4193" s="21" t="s">
        <v>27</v>
      </c>
      <c r="C4193" s="21" t="s">
        <v>1145</v>
      </c>
      <c r="D4193" s="21" t="s">
        <v>35</v>
      </c>
      <c r="E4193" s="18" t="s">
        <v>229</v>
      </c>
      <c r="F4193" s="18" t="s">
        <v>92</v>
      </c>
      <c r="G4193" s="18" t="s">
        <v>48</v>
      </c>
      <c r="H4193" s="24">
        <v>26700</v>
      </c>
      <c r="I4193" s="24">
        <f>T_reg.root.SK[[#This Row],[Volume, kg]]/1000</f>
        <v>26.7</v>
      </c>
      <c r="J4193" s="25">
        <v>0.21129999999999999</v>
      </c>
      <c r="K4193" s="25">
        <f t="shared" si="65"/>
        <v>5641.71</v>
      </c>
      <c r="L4193" s="25">
        <v>2.5499999999999998</v>
      </c>
      <c r="M4193" s="24">
        <v>68085</v>
      </c>
      <c r="N4193" s="25">
        <f>IFERROR(T_reg.root.SK[[#This Row],[Price]]/T_reg.root.SK[[#This Row],[Starch content]],"")</f>
        <v>12.068149550402271</v>
      </c>
    </row>
    <row r="4194" spans="1:14">
      <c r="A4194" s="21">
        <v>2024</v>
      </c>
      <c r="B4194" s="21" t="s">
        <v>27</v>
      </c>
      <c r="C4194" s="21" t="s">
        <v>1145</v>
      </c>
      <c r="D4194" s="21" t="s">
        <v>35</v>
      </c>
      <c r="E4194" s="18" t="s">
        <v>91</v>
      </c>
      <c r="F4194" s="18" t="s">
        <v>92</v>
      </c>
      <c r="G4194" s="18" t="s">
        <v>48</v>
      </c>
      <c r="H4194" s="24">
        <v>188420</v>
      </c>
      <c r="I4194" s="24">
        <f>T_reg.root.SK[[#This Row],[Volume, kg]]/1000</f>
        <v>188.42</v>
      </c>
      <c r="J4194" s="25">
        <v>0.20899999999999999</v>
      </c>
      <c r="K4194" s="25">
        <f t="shared" si="65"/>
        <v>39379.78</v>
      </c>
      <c r="L4194" s="25">
        <v>2.33</v>
      </c>
      <c r="M4194" s="24">
        <v>439408</v>
      </c>
      <c r="N4194" s="25">
        <f>IFERROR(T_reg.root.SK[[#This Row],[Price]]/T_reg.root.SK[[#This Row],[Starch content]],"")</f>
        <v>11.148325358851675</v>
      </c>
    </row>
    <row r="4195" spans="1:14">
      <c r="A4195" s="21">
        <v>2024</v>
      </c>
      <c r="B4195" s="21" t="s">
        <v>27</v>
      </c>
      <c r="C4195" s="21" t="s">
        <v>1145</v>
      </c>
      <c r="D4195" s="21" t="s">
        <v>35</v>
      </c>
      <c r="E4195" s="18" t="s">
        <v>93</v>
      </c>
      <c r="F4195" s="18" t="s">
        <v>92</v>
      </c>
      <c r="G4195" s="18" t="s">
        <v>48</v>
      </c>
      <c r="H4195" s="24">
        <v>9770</v>
      </c>
      <c r="I4195" s="24">
        <f>T_reg.root.SK[[#This Row],[Volume, kg]]/1000</f>
        <v>9.77</v>
      </c>
      <c r="J4195" s="25">
        <v>0.16350000000000001</v>
      </c>
      <c r="K4195" s="25">
        <f t="shared" si="65"/>
        <v>1597.395</v>
      </c>
      <c r="L4195" s="25">
        <v>2.0499999999999998</v>
      </c>
      <c r="M4195" s="24">
        <v>20028.5</v>
      </c>
      <c r="N4195" s="25">
        <f>IFERROR(T_reg.root.SK[[#This Row],[Price]]/T_reg.root.SK[[#This Row],[Starch content]],"")</f>
        <v>12.538226299694188</v>
      </c>
    </row>
    <row r="4196" spans="1:14">
      <c r="A4196" s="21">
        <v>2024</v>
      </c>
      <c r="B4196" s="21" t="s">
        <v>27</v>
      </c>
      <c r="C4196" s="21" t="s">
        <v>1145</v>
      </c>
      <c r="D4196" s="21" t="s">
        <v>39</v>
      </c>
      <c r="E4196" s="18" t="s">
        <v>552</v>
      </c>
      <c r="F4196" s="18" t="s">
        <v>95</v>
      </c>
      <c r="G4196" s="18" t="s">
        <v>48</v>
      </c>
      <c r="H4196" s="24">
        <v>4947500</v>
      </c>
      <c r="I4196" s="24">
        <f>T_reg.root.SK[[#This Row],[Volume, kg]]/1000</f>
        <v>4947.5</v>
      </c>
      <c r="J4196" s="25">
        <v>0.22789999999999999</v>
      </c>
      <c r="K4196" s="25">
        <f t="shared" si="65"/>
        <v>1127535.25</v>
      </c>
      <c r="L4196" s="25">
        <v>2.59</v>
      </c>
      <c r="M4196" s="24">
        <v>12819235</v>
      </c>
      <c r="N4196" s="25">
        <f>IFERROR(T_reg.root.SK[[#This Row],[Price]]/T_reg.root.SK[[#This Row],[Starch content]],"")</f>
        <v>11.364633611232996</v>
      </c>
    </row>
    <row r="4197" spans="1:14">
      <c r="A4197" s="21">
        <v>2024</v>
      </c>
      <c r="B4197" s="21" t="s">
        <v>27</v>
      </c>
      <c r="C4197" s="21" t="s">
        <v>1145</v>
      </c>
      <c r="D4197" s="21" t="s">
        <v>35</v>
      </c>
      <c r="E4197" s="18" t="s">
        <v>276</v>
      </c>
      <c r="F4197" s="18" t="s">
        <v>95</v>
      </c>
      <c r="G4197" s="18" t="s">
        <v>48</v>
      </c>
      <c r="H4197" s="24">
        <v>98420</v>
      </c>
      <c r="I4197" s="24">
        <f>T_reg.root.SK[[#This Row],[Volume, kg]]/1000</f>
        <v>98.42</v>
      </c>
      <c r="J4197" s="25">
        <v>0.20620000000000002</v>
      </c>
      <c r="K4197" s="25">
        <f t="shared" si="65"/>
        <v>20294.204000000002</v>
      </c>
      <c r="L4197" s="25">
        <v>2.2999999999999998</v>
      </c>
      <c r="M4197" s="24">
        <v>226595.5</v>
      </c>
      <c r="N4197" s="25">
        <f>IFERROR(T_reg.root.SK[[#This Row],[Price]]/T_reg.root.SK[[#This Row],[Starch content]],"")</f>
        <v>11.154219204655671</v>
      </c>
    </row>
    <row r="4198" spans="1:14">
      <c r="A4198" s="21">
        <v>2024</v>
      </c>
      <c r="B4198" s="21" t="s">
        <v>27</v>
      </c>
      <c r="C4198" s="21" t="s">
        <v>1145</v>
      </c>
      <c r="D4198" s="21" t="s">
        <v>35</v>
      </c>
      <c r="E4198" s="18" t="s">
        <v>681</v>
      </c>
      <c r="F4198" s="18" t="s">
        <v>95</v>
      </c>
      <c r="G4198" s="18" t="s">
        <v>48</v>
      </c>
      <c r="H4198" s="24">
        <v>330950</v>
      </c>
      <c r="I4198" s="24">
        <f>T_reg.root.SK[[#This Row],[Volume, kg]]/1000</f>
        <v>330.95</v>
      </c>
      <c r="J4198" s="25">
        <v>0.24030000000000001</v>
      </c>
      <c r="K4198" s="25">
        <f t="shared" si="65"/>
        <v>79527.285000000003</v>
      </c>
      <c r="L4198" s="25">
        <v>2.65</v>
      </c>
      <c r="M4198" s="24">
        <v>875556.5</v>
      </c>
      <c r="N4198" s="25">
        <f>IFERROR(T_reg.root.SK[[#This Row],[Price]]/T_reg.root.SK[[#This Row],[Starch content]],"")</f>
        <v>11.027881814398667</v>
      </c>
    </row>
    <row r="4199" spans="1:14">
      <c r="A4199" s="21">
        <v>2024</v>
      </c>
      <c r="B4199" s="21" t="s">
        <v>27</v>
      </c>
      <c r="C4199" s="21" t="s">
        <v>1145</v>
      </c>
      <c r="D4199" s="21" t="s">
        <v>35</v>
      </c>
      <c r="E4199" s="18" t="s">
        <v>627</v>
      </c>
      <c r="F4199" s="18" t="s">
        <v>628</v>
      </c>
      <c r="G4199" s="18" t="s">
        <v>48</v>
      </c>
      <c r="H4199" s="24">
        <v>14550</v>
      </c>
      <c r="I4199" s="24">
        <f>T_reg.root.SK[[#This Row],[Volume, kg]]/1000</f>
        <v>14.55</v>
      </c>
      <c r="J4199" s="25">
        <v>0.20050000000000001</v>
      </c>
      <c r="K4199" s="25">
        <f t="shared" si="65"/>
        <v>2917.2750000000001</v>
      </c>
      <c r="L4199" s="25">
        <v>2.25</v>
      </c>
      <c r="M4199" s="24">
        <v>32737.5</v>
      </c>
      <c r="N4199" s="25">
        <f>IFERROR(T_reg.root.SK[[#This Row],[Price]]/T_reg.root.SK[[#This Row],[Starch content]],"")</f>
        <v>11.221945137157107</v>
      </c>
    </row>
    <row r="4200" spans="1:14">
      <c r="A4200" s="21">
        <v>2024</v>
      </c>
      <c r="B4200" s="21" t="s">
        <v>27</v>
      </c>
      <c r="C4200" s="21" t="s">
        <v>1145</v>
      </c>
      <c r="D4200" s="21" t="s">
        <v>39</v>
      </c>
      <c r="E4200" s="18" t="s">
        <v>98</v>
      </c>
      <c r="F4200" s="18" t="s">
        <v>99</v>
      </c>
      <c r="G4200" s="18" t="s">
        <v>42</v>
      </c>
      <c r="H4200" s="24">
        <v>4800130</v>
      </c>
      <c r="I4200" s="24">
        <f>T_reg.root.SK[[#This Row],[Volume, kg]]/1000</f>
        <v>4800.13</v>
      </c>
      <c r="J4200" s="25">
        <v>0.23309999999999997</v>
      </c>
      <c r="K4200" s="25">
        <f t="shared" si="65"/>
        <v>1118910.3029999998</v>
      </c>
      <c r="L4200" s="25">
        <v>2.59</v>
      </c>
      <c r="M4200" s="24">
        <v>12435647.5</v>
      </c>
      <c r="N4200" s="25">
        <f>IFERROR(T_reg.root.SK[[#This Row],[Price]]/T_reg.root.SK[[#This Row],[Starch content]],"")</f>
        <v>11.111111111111112</v>
      </c>
    </row>
    <row r="4201" spans="1:14">
      <c r="A4201" s="21">
        <v>2024</v>
      </c>
      <c r="B4201" s="21" t="s">
        <v>27</v>
      </c>
      <c r="C4201" s="21" t="s">
        <v>1145</v>
      </c>
      <c r="D4201" s="21" t="s">
        <v>39</v>
      </c>
      <c r="E4201" s="18" t="s">
        <v>346</v>
      </c>
      <c r="F4201" s="18" t="s">
        <v>99</v>
      </c>
      <c r="G4201" s="18" t="s">
        <v>42</v>
      </c>
      <c r="H4201" s="24">
        <v>2407910</v>
      </c>
      <c r="I4201" s="24">
        <f>T_reg.root.SK[[#This Row],[Volume, kg]]/1000</f>
        <v>2407.91</v>
      </c>
      <c r="J4201" s="25">
        <v>0.23120000000000002</v>
      </c>
      <c r="K4201" s="25">
        <f t="shared" si="65"/>
        <v>556708.79200000002</v>
      </c>
      <c r="L4201" s="25">
        <v>2.59</v>
      </c>
      <c r="M4201" s="24">
        <v>6227287</v>
      </c>
      <c r="N4201" s="25">
        <f>IFERROR(T_reg.root.SK[[#This Row],[Price]]/T_reg.root.SK[[#This Row],[Starch content]],"")</f>
        <v>11.202422145328718</v>
      </c>
    </row>
    <row r="4202" spans="1:14">
      <c r="A4202" s="21">
        <v>2024</v>
      </c>
      <c r="B4202" s="21" t="s">
        <v>27</v>
      </c>
      <c r="C4202" s="21" t="s">
        <v>1145</v>
      </c>
      <c r="D4202" s="21" t="s">
        <v>39</v>
      </c>
      <c r="E4202" s="18" t="s">
        <v>101</v>
      </c>
      <c r="F4202" s="18" t="s">
        <v>102</v>
      </c>
      <c r="G4202" s="18" t="s">
        <v>103</v>
      </c>
      <c r="H4202" s="24">
        <v>1185020</v>
      </c>
      <c r="I4202" s="24">
        <f>T_reg.root.SK[[#This Row],[Volume, kg]]/1000</f>
        <v>1185.02</v>
      </c>
      <c r="J4202" s="25">
        <v>0.22750000000000001</v>
      </c>
      <c r="K4202" s="25">
        <f t="shared" si="65"/>
        <v>269592.05</v>
      </c>
      <c r="L4202" s="25">
        <v>2.58</v>
      </c>
      <c r="M4202" s="24">
        <v>3059536</v>
      </c>
      <c r="N4202" s="25">
        <f>IFERROR(T_reg.root.SK[[#This Row],[Price]]/T_reg.root.SK[[#This Row],[Starch content]],"")</f>
        <v>11.340659340659341</v>
      </c>
    </row>
    <row r="4203" spans="1:14">
      <c r="A4203" s="21">
        <v>2024</v>
      </c>
      <c r="B4203" s="21" t="s">
        <v>27</v>
      </c>
      <c r="C4203" s="21" t="s">
        <v>1145</v>
      </c>
      <c r="D4203" s="21" t="s">
        <v>39</v>
      </c>
      <c r="E4203" s="18" t="s">
        <v>284</v>
      </c>
      <c r="F4203" s="18" t="s">
        <v>285</v>
      </c>
      <c r="G4203" s="18" t="s">
        <v>286</v>
      </c>
      <c r="H4203" s="24">
        <v>1779790</v>
      </c>
      <c r="I4203" s="24">
        <f>T_reg.root.SK[[#This Row],[Volume, kg]]/1000</f>
        <v>1779.79</v>
      </c>
      <c r="J4203" s="25">
        <v>0.23670000000000002</v>
      </c>
      <c r="K4203" s="25">
        <f t="shared" si="65"/>
        <v>421276.29300000006</v>
      </c>
      <c r="L4203" s="25">
        <v>2.62</v>
      </c>
      <c r="M4203" s="24">
        <v>4662779</v>
      </c>
      <c r="N4203" s="25">
        <f>IFERROR(T_reg.root.SK[[#This Row],[Price]]/T_reg.root.SK[[#This Row],[Starch content]],"")</f>
        <v>11.068863540346429</v>
      </c>
    </row>
    <row r="4204" spans="1:14">
      <c r="A4204" s="21">
        <v>2024</v>
      </c>
      <c r="B4204" s="21" t="s">
        <v>27</v>
      </c>
      <c r="C4204" s="21" t="s">
        <v>1145</v>
      </c>
      <c r="D4204" s="21" t="s">
        <v>35</v>
      </c>
      <c r="E4204" s="18" t="s">
        <v>928</v>
      </c>
      <c r="F4204" s="18" t="s">
        <v>929</v>
      </c>
      <c r="G4204" s="18" t="s">
        <v>930</v>
      </c>
      <c r="H4204" s="24">
        <v>66470</v>
      </c>
      <c r="I4204" s="24">
        <f>T_reg.root.SK[[#This Row],[Volume, kg]]/1000</f>
        <v>66.47</v>
      </c>
      <c r="J4204" s="25">
        <v>0.25650000000000001</v>
      </c>
      <c r="K4204" s="25">
        <f t="shared" si="65"/>
        <v>17049.555</v>
      </c>
      <c r="L4204" s="25">
        <v>2.63</v>
      </c>
      <c r="M4204" s="24">
        <v>174988</v>
      </c>
      <c r="N4204" s="25">
        <f>IFERROR(T_reg.root.SK[[#This Row],[Price]]/T_reg.root.SK[[#This Row],[Starch content]],"")</f>
        <v>10.253411306042885</v>
      </c>
    </row>
    <row r="4205" spans="1:14">
      <c r="A4205" s="21">
        <v>2024</v>
      </c>
      <c r="B4205" s="21" t="s">
        <v>27</v>
      </c>
      <c r="C4205" s="21" t="s">
        <v>1145</v>
      </c>
      <c r="D4205" s="21" t="s">
        <v>35</v>
      </c>
      <c r="E4205" s="18" t="s">
        <v>733</v>
      </c>
      <c r="F4205" s="18" t="s">
        <v>105</v>
      </c>
      <c r="G4205" s="18" t="s">
        <v>48</v>
      </c>
      <c r="H4205" s="24">
        <v>14690</v>
      </c>
      <c r="I4205" s="24">
        <f>T_reg.root.SK[[#This Row],[Volume, kg]]/1000</f>
        <v>14.69</v>
      </c>
      <c r="J4205" s="25">
        <v>0.19140000000000001</v>
      </c>
      <c r="K4205" s="25">
        <f t="shared" si="65"/>
        <v>2811.6660000000002</v>
      </c>
      <c r="L4205" s="25">
        <v>2.25</v>
      </c>
      <c r="M4205" s="24">
        <v>33011</v>
      </c>
      <c r="N4205" s="25">
        <f>IFERROR(T_reg.root.SK[[#This Row],[Price]]/T_reg.root.SK[[#This Row],[Starch content]],"")</f>
        <v>11.755485893416926</v>
      </c>
    </row>
    <row r="4206" spans="1:14">
      <c r="A4206" s="21">
        <v>2024</v>
      </c>
      <c r="B4206" s="21" t="s">
        <v>27</v>
      </c>
      <c r="C4206" s="21" t="s">
        <v>1145</v>
      </c>
      <c r="D4206" s="21" t="s">
        <v>35</v>
      </c>
      <c r="E4206" s="18" t="s">
        <v>288</v>
      </c>
      <c r="F4206" s="18" t="s">
        <v>105</v>
      </c>
      <c r="G4206" s="18" t="s">
        <v>48</v>
      </c>
      <c r="H4206" s="24">
        <v>73400</v>
      </c>
      <c r="I4206" s="24">
        <f>T_reg.root.SK[[#This Row],[Volume, kg]]/1000</f>
        <v>73.400000000000006</v>
      </c>
      <c r="J4206" s="25">
        <v>0.24410000000000001</v>
      </c>
      <c r="K4206" s="25">
        <f t="shared" si="65"/>
        <v>17916.940000000002</v>
      </c>
      <c r="L4206" s="25">
        <v>2.56</v>
      </c>
      <c r="M4206" s="24">
        <v>187978.5</v>
      </c>
      <c r="N4206" s="25">
        <f>IFERROR(T_reg.root.SK[[#This Row],[Price]]/T_reg.root.SK[[#This Row],[Starch content]],"")</f>
        <v>10.487505120852109</v>
      </c>
    </row>
    <row r="4207" spans="1:14">
      <c r="A4207" s="21">
        <v>2024</v>
      </c>
      <c r="B4207" s="21" t="s">
        <v>27</v>
      </c>
      <c r="C4207" s="21" t="s">
        <v>1145</v>
      </c>
      <c r="D4207" s="21" t="s">
        <v>35</v>
      </c>
      <c r="E4207" s="18" t="s">
        <v>481</v>
      </c>
      <c r="F4207" s="18" t="s">
        <v>105</v>
      </c>
      <c r="G4207" s="18" t="s">
        <v>48</v>
      </c>
      <c r="H4207" s="24">
        <v>4480</v>
      </c>
      <c r="I4207" s="24">
        <f>T_reg.root.SK[[#This Row],[Volume, kg]]/1000</f>
        <v>4.4800000000000004</v>
      </c>
      <c r="J4207" s="25">
        <v>0.23100000000000001</v>
      </c>
      <c r="K4207" s="25">
        <f t="shared" si="65"/>
        <v>1034.8800000000001</v>
      </c>
      <c r="L4207" s="25">
        <v>2.5499999999999998</v>
      </c>
      <c r="M4207" s="24">
        <v>11424</v>
      </c>
      <c r="N4207" s="25">
        <f>IFERROR(T_reg.root.SK[[#This Row],[Price]]/T_reg.root.SK[[#This Row],[Starch content]],"")</f>
        <v>11.038961038961038</v>
      </c>
    </row>
    <row r="4208" spans="1:14">
      <c r="A4208" s="21">
        <v>2024</v>
      </c>
      <c r="B4208" s="21" t="s">
        <v>27</v>
      </c>
      <c r="C4208" s="21" t="s">
        <v>1145</v>
      </c>
      <c r="D4208" s="21" t="s">
        <v>35</v>
      </c>
      <c r="E4208" s="18" t="s">
        <v>289</v>
      </c>
      <c r="F4208" s="18" t="s">
        <v>105</v>
      </c>
      <c r="G4208" s="18" t="s">
        <v>48</v>
      </c>
      <c r="H4208" s="24">
        <v>14210</v>
      </c>
      <c r="I4208" s="24">
        <f>T_reg.root.SK[[#This Row],[Volume, kg]]/1000</f>
        <v>14.21</v>
      </c>
      <c r="J4208" s="25">
        <v>0.25780000000000003</v>
      </c>
      <c r="K4208" s="25">
        <f t="shared" si="65"/>
        <v>3663.3380000000002</v>
      </c>
      <c r="L4208" s="25">
        <v>2.5499999999999998</v>
      </c>
      <c r="M4208" s="24">
        <v>36242</v>
      </c>
      <c r="N4208" s="25">
        <f>IFERROR(T_reg.root.SK[[#This Row],[Price]]/T_reg.root.SK[[#This Row],[Starch content]],"")</f>
        <v>9.8913886733902228</v>
      </c>
    </row>
    <row r="4209" spans="1:14">
      <c r="A4209" s="21">
        <v>2024</v>
      </c>
      <c r="B4209" s="21" t="s">
        <v>27</v>
      </c>
      <c r="C4209" s="21" t="s">
        <v>1145</v>
      </c>
      <c r="D4209" s="21" t="s">
        <v>35</v>
      </c>
      <c r="E4209" s="18" t="s">
        <v>401</v>
      </c>
      <c r="F4209" s="18" t="s">
        <v>105</v>
      </c>
      <c r="G4209" s="18" t="s">
        <v>48</v>
      </c>
      <c r="H4209" s="24">
        <v>19040</v>
      </c>
      <c r="I4209" s="24">
        <f>T_reg.root.SK[[#This Row],[Volume, kg]]/1000</f>
        <v>19.04</v>
      </c>
      <c r="J4209" s="25">
        <v>0.21</v>
      </c>
      <c r="K4209" s="25">
        <f t="shared" si="65"/>
        <v>3998.3999999999996</v>
      </c>
      <c r="L4209" s="25">
        <v>2.2999999999999998</v>
      </c>
      <c r="M4209" s="24">
        <v>43792</v>
      </c>
      <c r="N4209" s="25">
        <f>IFERROR(T_reg.root.SK[[#This Row],[Price]]/T_reg.root.SK[[#This Row],[Starch content]],"")</f>
        <v>10.952380952380953</v>
      </c>
    </row>
    <row r="4210" spans="1:14">
      <c r="A4210" s="21">
        <v>2024</v>
      </c>
      <c r="B4210" s="21" t="s">
        <v>27</v>
      </c>
      <c r="C4210" s="21" t="s">
        <v>1145</v>
      </c>
      <c r="D4210" s="21" t="s">
        <v>35</v>
      </c>
      <c r="E4210" s="18" t="s">
        <v>713</v>
      </c>
      <c r="F4210" s="18" t="s">
        <v>105</v>
      </c>
      <c r="G4210" s="18" t="s">
        <v>48</v>
      </c>
      <c r="H4210" s="24">
        <v>328890</v>
      </c>
      <c r="I4210" s="24">
        <f>T_reg.root.SK[[#This Row],[Volume, kg]]/1000</f>
        <v>328.89</v>
      </c>
      <c r="J4210" s="25">
        <v>0.2364</v>
      </c>
      <c r="K4210" s="25">
        <f t="shared" si="65"/>
        <v>77749.596000000005</v>
      </c>
      <c r="L4210" s="25">
        <v>2.5</v>
      </c>
      <c r="M4210" s="24">
        <v>821155.5</v>
      </c>
      <c r="N4210" s="25">
        <f>IFERROR(T_reg.root.SK[[#This Row],[Price]]/T_reg.root.SK[[#This Row],[Starch content]],"")</f>
        <v>10.575296108291033</v>
      </c>
    </row>
    <row r="4211" spans="1:14">
      <c r="A4211" s="21">
        <v>2024</v>
      </c>
      <c r="B4211" s="21" t="s">
        <v>27</v>
      </c>
      <c r="C4211" s="21" t="s">
        <v>1145</v>
      </c>
      <c r="D4211" s="21" t="s">
        <v>35</v>
      </c>
      <c r="E4211" s="18" t="s">
        <v>109</v>
      </c>
      <c r="F4211" s="18" t="s">
        <v>105</v>
      </c>
      <c r="G4211" s="18" t="s">
        <v>48</v>
      </c>
      <c r="H4211" s="24">
        <v>110750</v>
      </c>
      <c r="I4211" s="24">
        <f>T_reg.root.SK[[#This Row],[Volume, kg]]/1000</f>
        <v>110.75</v>
      </c>
      <c r="J4211" s="25">
        <v>0.2447</v>
      </c>
      <c r="K4211" s="25">
        <f t="shared" si="65"/>
        <v>27100.525000000001</v>
      </c>
      <c r="L4211" s="25">
        <v>2.5</v>
      </c>
      <c r="M4211" s="24">
        <v>277182</v>
      </c>
      <c r="N4211" s="25">
        <f>IFERROR(T_reg.root.SK[[#This Row],[Price]]/T_reg.root.SK[[#This Row],[Starch content]],"")</f>
        <v>10.21659174499387</v>
      </c>
    </row>
    <row r="4212" spans="1:14">
      <c r="A4212" s="21">
        <v>2024</v>
      </c>
      <c r="B4212" s="21" t="s">
        <v>27</v>
      </c>
      <c r="C4212" s="21" t="s">
        <v>1145</v>
      </c>
      <c r="D4212" s="21" t="s">
        <v>35</v>
      </c>
      <c r="E4212" s="18" t="s">
        <v>292</v>
      </c>
      <c r="F4212" s="18" t="s">
        <v>105</v>
      </c>
      <c r="G4212" s="18" t="s">
        <v>48</v>
      </c>
      <c r="H4212" s="24">
        <v>30560</v>
      </c>
      <c r="I4212" s="24">
        <f>T_reg.root.SK[[#This Row],[Volume, kg]]/1000</f>
        <v>30.56</v>
      </c>
      <c r="J4212" s="25">
        <v>0.18410000000000001</v>
      </c>
      <c r="K4212" s="25">
        <f t="shared" si="65"/>
        <v>5626.0960000000005</v>
      </c>
      <c r="L4212" s="25">
        <v>2.2000000000000002</v>
      </c>
      <c r="M4212" s="24">
        <v>67315.5</v>
      </c>
      <c r="N4212" s="25">
        <f>IFERROR(T_reg.root.SK[[#This Row],[Price]]/T_reg.root.SK[[#This Row],[Starch content]],"")</f>
        <v>11.950027159152635</v>
      </c>
    </row>
    <row r="4213" spans="1:14">
      <c r="A4213" s="21">
        <v>2024</v>
      </c>
      <c r="B4213" s="21" t="s">
        <v>27</v>
      </c>
      <c r="C4213" s="21" t="s">
        <v>1145</v>
      </c>
      <c r="D4213" s="21" t="s">
        <v>35</v>
      </c>
      <c r="E4213" s="18" t="s">
        <v>350</v>
      </c>
      <c r="F4213" s="18" t="s">
        <v>105</v>
      </c>
      <c r="G4213" s="18" t="s">
        <v>48</v>
      </c>
      <c r="H4213" s="24">
        <v>52350</v>
      </c>
      <c r="I4213" s="24">
        <f>T_reg.root.SK[[#This Row],[Volume, kg]]/1000</f>
        <v>52.35</v>
      </c>
      <c r="J4213" s="25">
        <v>0.21030000000000001</v>
      </c>
      <c r="K4213" s="25">
        <f t="shared" si="65"/>
        <v>11009.205</v>
      </c>
      <c r="L4213" s="25">
        <v>2.29</v>
      </c>
      <c r="M4213" s="24">
        <v>119872.5</v>
      </c>
      <c r="N4213" s="25">
        <f>IFERROR(T_reg.root.SK[[#This Row],[Price]]/T_reg.root.SK[[#This Row],[Starch content]],"")</f>
        <v>10.889205896338563</v>
      </c>
    </row>
    <row r="4214" spans="1:14">
      <c r="A4214" s="21">
        <v>2024</v>
      </c>
      <c r="B4214" s="21" t="s">
        <v>27</v>
      </c>
      <c r="C4214" s="21" t="s">
        <v>1145</v>
      </c>
      <c r="D4214" s="21" t="s">
        <v>35</v>
      </c>
      <c r="E4214" s="18" t="s">
        <v>632</v>
      </c>
      <c r="F4214" s="18" t="s">
        <v>105</v>
      </c>
      <c r="G4214" s="18" t="s">
        <v>48</v>
      </c>
      <c r="H4214" s="24">
        <v>26630</v>
      </c>
      <c r="I4214" s="24">
        <f>T_reg.root.SK[[#This Row],[Volume, kg]]/1000</f>
        <v>26.63</v>
      </c>
      <c r="J4214" s="25">
        <v>0.21890000000000001</v>
      </c>
      <c r="K4214" s="25">
        <f t="shared" si="65"/>
        <v>5829.3070000000007</v>
      </c>
      <c r="L4214" s="25">
        <v>2.4500000000000002</v>
      </c>
      <c r="M4214" s="24">
        <v>65188.5</v>
      </c>
      <c r="N4214" s="25">
        <f>IFERROR(T_reg.root.SK[[#This Row],[Price]]/T_reg.root.SK[[#This Row],[Starch content]],"")</f>
        <v>11.192325262677022</v>
      </c>
    </row>
    <row r="4215" spans="1:14">
      <c r="A4215" s="21">
        <v>2024</v>
      </c>
      <c r="B4215" s="21" t="s">
        <v>27</v>
      </c>
      <c r="C4215" s="21" t="s">
        <v>1145</v>
      </c>
      <c r="D4215" s="21" t="s">
        <v>35</v>
      </c>
      <c r="E4215" s="18" t="s">
        <v>110</v>
      </c>
      <c r="F4215" s="18" t="s">
        <v>105</v>
      </c>
      <c r="G4215" s="18" t="s">
        <v>48</v>
      </c>
      <c r="H4215" s="24">
        <v>22540</v>
      </c>
      <c r="I4215" s="24">
        <f>T_reg.root.SK[[#This Row],[Volume, kg]]/1000</f>
        <v>22.54</v>
      </c>
      <c r="J4215" s="25">
        <v>0.25280000000000002</v>
      </c>
      <c r="K4215" s="25">
        <f t="shared" si="65"/>
        <v>5698.112000000001</v>
      </c>
      <c r="L4215" s="25">
        <v>2.52</v>
      </c>
      <c r="M4215" s="24">
        <v>56907</v>
      </c>
      <c r="N4215" s="25">
        <f>IFERROR(T_reg.root.SK[[#This Row],[Price]]/T_reg.root.SK[[#This Row],[Starch content]],"")</f>
        <v>9.9683544303797458</v>
      </c>
    </row>
    <row r="4216" spans="1:14">
      <c r="A4216" s="21">
        <v>2024</v>
      </c>
      <c r="B4216" s="21" t="s">
        <v>27</v>
      </c>
      <c r="C4216" s="21" t="s">
        <v>1145</v>
      </c>
      <c r="D4216" s="21" t="s">
        <v>35</v>
      </c>
      <c r="E4216" s="18" t="s">
        <v>352</v>
      </c>
      <c r="F4216" s="18" t="s">
        <v>105</v>
      </c>
      <c r="G4216" s="18" t="s">
        <v>48</v>
      </c>
      <c r="H4216" s="24">
        <v>15830</v>
      </c>
      <c r="I4216" s="24">
        <f>T_reg.root.SK[[#This Row],[Volume, kg]]/1000</f>
        <v>15.83</v>
      </c>
      <c r="J4216" s="25">
        <v>0.21460000000000001</v>
      </c>
      <c r="K4216" s="25">
        <f t="shared" si="65"/>
        <v>3397.1180000000004</v>
      </c>
      <c r="L4216" s="25">
        <v>2.41</v>
      </c>
      <c r="M4216" s="24">
        <v>38205</v>
      </c>
      <c r="N4216" s="25">
        <f>IFERROR(T_reg.root.SK[[#This Row],[Price]]/T_reg.root.SK[[#This Row],[Starch content]],"")</f>
        <v>11.230195712954334</v>
      </c>
    </row>
    <row r="4217" spans="1:14">
      <c r="A4217" s="21">
        <v>2024</v>
      </c>
      <c r="B4217" s="21" t="s">
        <v>27</v>
      </c>
      <c r="C4217" s="21" t="s">
        <v>1145</v>
      </c>
      <c r="D4217" s="21" t="s">
        <v>35</v>
      </c>
      <c r="E4217" s="18" t="s">
        <v>931</v>
      </c>
      <c r="F4217" s="18" t="s">
        <v>105</v>
      </c>
      <c r="G4217" s="18" t="s">
        <v>48</v>
      </c>
      <c r="H4217" s="24">
        <v>9140</v>
      </c>
      <c r="I4217" s="24">
        <f>T_reg.root.SK[[#This Row],[Volume, kg]]/1000</f>
        <v>9.14</v>
      </c>
      <c r="J4217" s="25">
        <v>0.1895</v>
      </c>
      <c r="K4217" s="25">
        <f t="shared" si="65"/>
        <v>1732.03</v>
      </c>
      <c r="L4217" s="25">
        <v>2.2999999999999998</v>
      </c>
      <c r="M4217" s="24">
        <v>21022</v>
      </c>
      <c r="N4217" s="25">
        <f>IFERROR(T_reg.root.SK[[#This Row],[Price]]/T_reg.root.SK[[#This Row],[Starch content]],"")</f>
        <v>12.137203166226913</v>
      </c>
    </row>
    <row r="4218" spans="1:14">
      <c r="A4218" s="21">
        <v>2024</v>
      </c>
      <c r="B4218" s="21" t="s">
        <v>27</v>
      </c>
      <c r="C4218" s="21" t="s">
        <v>1145</v>
      </c>
      <c r="D4218" s="21" t="s">
        <v>35</v>
      </c>
      <c r="E4218" s="18" t="s">
        <v>803</v>
      </c>
      <c r="F4218" s="18" t="s">
        <v>105</v>
      </c>
      <c r="G4218" s="18" t="s">
        <v>48</v>
      </c>
      <c r="H4218" s="24">
        <v>89990</v>
      </c>
      <c r="I4218" s="24">
        <f>T_reg.root.SK[[#This Row],[Volume, kg]]/1000</f>
        <v>89.99</v>
      </c>
      <c r="J4218" s="25">
        <v>0.23699999999999999</v>
      </c>
      <c r="K4218" s="25">
        <f t="shared" si="65"/>
        <v>21327.629999999997</v>
      </c>
      <c r="L4218" s="25">
        <v>2.46</v>
      </c>
      <c r="M4218" s="24">
        <v>221342.5</v>
      </c>
      <c r="N4218" s="25">
        <f>IFERROR(T_reg.root.SK[[#This Row],[Price]]/T_reg.root.SK[[#This Row],[Starch content]],"")</f>
        <v>10.379746835443038</v>
      </c>
    </row>
    <row r="4219" spans="1:14">
      <c r="A4219" s="21">
        <v>2024</v>
      </c>
      <c r="B4219" s="21" t="s">
        <v>27</v>
      </c>
      <c r="C4219" s="21" t="s">
        <v>1145</v>
      </c>
      <c r="D4219" s="21" t="s">
        <v>35</v>
      </c>
      <c r="E4219" s="18" t="s">
        <v>234</v>
      </c>
      <c r="F4219" s="18" t="s">
        <v>105</v>
      </c>
      <c r="G4219" s="18" t="s">
        <v>48</v>
      </c>
      <c r="H4219" s="24">
        <v>128250</v>
      </c>
      <c r="I4219" s="24">
        <f>T_reg.root.SK[[#This Row],[Volume, kg]]/1000</f>
        <v>128.25</v>
      </c>
      <c r="J4219" s="25">
        <v>0.2306</v>
      </c>
      <c r="K4219" s="25">
        <f t="shared" si="65"/>
        <v>29574.45</v>
      </c>
      <c r="L4219" s="25">
        <v>2.44</v>
      </c>
      <c r="M4219" s="24">
        <v>313047.5</v>
      </c>
      <c r="N4219" s="25">
        <f>IFERROR(T_reg.root.SK[[#This Row],[Price]]/T_reg.root.SK[[#This Row],[Starch content]],"")</f>
        <v>10.581092801387683</v>
      </c>
    </row>
    <row r="4220" spans="1:14">
      <c r="A4220" s="21">
        <v>2024</v>
      </c>
      <c r="B4220" s="21" t="s">
        <v>27</v>
      </c>
      <c r="C4220" s="21" t="s">
        <v>1145</v>
      </c>
      <c r="D4220" s="21" t="s">
        <v>35</v>
      </c>
      <c r="E4220" s="18" t="s">
        <v>698</v>
      </c>
      <c r="F4220" s="18" t="s">
        <v>105</v>
      </c>
      <c r="G4220" s="18" t="s">
        <v>48</v>
      </c>
      <c r="H4220" s="24">
        <v>0</v>
      </c>
      <c r="I4220" s="24">
        <f>T_reg.root.SK[[#This Row],[Volume, kg]]/1000</f>
        <v>0</v>
      </c>
      <c r="J4220" s="25">
        <v>0</v>
      </c>
      <c r="K4220" s="25">
        <f t="shared" si="65"/>
        <v>0</v>
      </c>
      <c r="L4220" s="25">
        <v>0</v>
      </c>
      <c r="M4220" s="24">
        <v>0</v>
      </c>
      <c r="N4220" s="25" t="str">
        <f>IFERROR(T_reg.root.SK[[#This Row],[Price]]/T_reg.root.SK[[#This Row],[Starch content]],"")</f>
        <v/>
      </c>
    </row>
    <row r="4221" spans="1:14">
      <c r="A4221" s="21">
        <v>2024</v>
      </c>
      <c r="B4221" s="21" t="s">
        <v>27</v>
      </c>
      <c r="C4221" s="21" t="s">
        <v>1145</v>
      </c>
      <c r="D4221" s="21" t="s">
        <v>35</v>
      </c>
      <c r="E4221" s="18" t="s">
        <v>483</v>
      </c>
      <c r="F4221" s="18" t="s">
        <v>105</v>
      </c>
      <c r="G4221" s="18" t="s">
        <v>48</v>
      </c>
      <c r="H4221" s="24">
        <v>9230</v>
      </c>
      <c r="I4221" s="24">
        <f>T_reg.root.SK[[#This Row],[Volume, kg]]/1000</f>
        <v>9.23</v>
      </c>
      <c r="J4221" s="25">
        <v>0.26100000000000001</v>
      </c>
      <c r="K4221" s="25">
        <f t="shared" si="65"/>
        <v>2409.0300000000002</v>
      </c>
      <c r="L4221" s="25">
        <v>2.75</v>
      </c>
      <c r="M4221" s="24">
        <v>25382.5</v>
      </c>
      <c r="N4221" s="25">
        <f>IFERROR(T_reg.root.SK[[#This Row],[Price]]/T_reg.root.SK[[#This Row],[Starch content]],"")</f>
        <v>10.536398467432949</v>
      </c>
    </row>
    <row r="4222" spans="1:14">
      <c r="A4222" s="21">
        <v>2024</v>
      </c>
      <c r="B4222" s="21" t="s">
        <v>27</v>
      </c>
      <c r="C4222" s="21" t="s">
        <v>1145</v>
      </c>
      <c r="D4222" s="21" t="s">
        <v>35</v>
      </c>
      <c r="E4222" s="18" t="s">
        <v>600</v>
      </c>
      <c r="F4222" s="18" t="s">
        <v>105</v>
      </c>
      <c r="G4222" s="18" t="s">
        <v>48</v>
      </c>
      <c r="H4222" s="24">
        <v>23670</v>
      </c>
      <c r="I4222" s="24">
        <f>T_reg.root.SK[[#This Row],[Volume, kg]]/1000</f>
        <v>23.67</v>
      </c>
      <c r="J4222" s="25">
        <v>0.24879999999999999</v>
      </c>
      <c r="K4222" s="25">
        <f t="shared" si="65"/>
        <v>5889.0959999999995</v>
      </c>
      <c r="L4222" s="25">
        <v>2.56</v>
      </c>
      <c r="M4222" s="24">
        <v>60505.5</v>
      </c>
      <c r="N4222" s="25">
        <f>IFERROR(T_reg.root.SK[[#This Row],[Price]]/T_reg.root.SK[[#This Row],[Starch content]],"")</f>
        <v>10.289389067524116</v>
      </c>
    </row>
    <row r="4223" spans="1:14">
      <c r="A4223" s="21">
        <v>2024</v>
      </c>
      <c r="B4223" s="21" t="s">
        <v>27</v>
      </c>
      <c r="C4223" s="21" t="s">
        <v>1145</v>
      </c>
      <c r="D4223" s="21" t="s">
        <v>35</v>
      </c>
      <c r="E4223" s="18" t="s">
        <v>235</v>
      </c>
      <c r="F4223" s="18" t="s">
        <v>105</v>
      </c>
      <c r="G4223" s="18" t="s">
        <v>48</v>
      </c>
      <c r="H4223" s="24">
        <v>180320</v>
      </c>
      <c r="I4223" s="24">
        <f>T_reg.root.SK[[#This Row],[Volume, kg]]/1000</f>
        <v>180.32</v>
      </c>
      <c r="J4223" s="25">
        <v>0.25480000000000003</v>
      </c>
      <c r="K4223" s="25">
        <f t="shared" si="65"/>
        <v>45945.536000000007</v>
      </c>
      <c r="L4223" s="25">
        <v>2.54</v>
      </c>
      <c r="M4223" s="24">
        <v>458069</v>
      </c>
      <c r="N4223" s="25">
        <f>IFERROR(T_reg.root.SK[[#This Row],[Price]]/T_reg.root.SK[[#This Row],[Starch content]],"")</f>
        <v>9.9686028257456822</v>
      </c>
    </row>
    <row r="4224" spans="1:14">
      <c r="A4224" s="21">
        <v>2024</v>
      </c>
      <c r="B4224" s="21" t="s">
        <v>27</v>
      </c>
      <c r="C4224" s="21" t="s">
        <v>1145</v>
      </c>
      <c r="D4224" s="21" t="s">
        <v>35</v>
      </c>
      <c r="E4224" s="18" t="s">
        <v>685</v>
      </c>
      <c r="F4224" s="18" t="s">
        <v>105</v>
      </c>
      <c r="G4224" s="18" t="s">
        <v>48</v>
      </c>
      <c r="H4224" s="24">
        <v>28500</v>
      </c>
      <c r="I4224" s="24">
        <f>T_reg.root.SK[[#This Row],[Volume, kg]]/1000</f>
        <v>28.5</v>
      </c>
      <c r="J4224" s="25">
        <v>0.24050000000000002</v>
      </c>
      <c r="K4224" s="25">
        <f t="shared" si="65"/>
        <v>6854.2500000000009</v>
      </c>
      <c r="L4224" s="25">
        <v>2.4500000000000002</v>
      </c>
      <c r="M4224" s="24">
        <v>69841</v>
      </c>
      <c r="N4224" s="25">
        <f>IFERROR(T_reg.root.SK[[#This Row],[Price]]/T_reg.root.SK[[#This Row],[Starch content]],"")</f>
        <v>10.187110187110187</v>
      </c>
    </row>
    <row r="4225" spans="1:14">
      <c r="A4225" s="21">
        <v>2024</v>
      </c>
      <c r="B4225" s="21" t="s">
        <v>27</v>
      </c>
      <c r="C4225" s="21" t="s">
        <v>1145</v>
      </c>
      <c r="D4225" s="21" t="s">
        <v>35</v>
      </c>
      <c r="E4225" s="18" t="s">
        <v>236</v>
      </c>
      <c r="F4225" s="18" t="s">
        <v>105</v>
      </c>
      <c r="G4225" s="18" t="s">
        <v>48</v>
      </c>
      <c r="H4225" s="24">
        <v>17780</v>
      </c>
      <c r="I4225" s="24">
        <f>T_reg.root.SK[[#This Row],[Volume, kg]]/1000</f>
        <v>17.78</v>
      </c>
      <c r="J4225" s="25">
        <v>0.24640000000000001</v>
      </c>
      <c r="K4225" s="25">
        <f t="shared" si="65"/>
        <v>4380.9920000000002</v>
      </c>
      <c r="L4225" s="25">
        <v>2.5</v>
      </c>
      <c r="M4225" s="24">
        <v>44363</v>
      </c>
      <c r="N4225" s="25">
        <f>IFERROR(T_reg.root.SK[[#This Row],[Price]]/T_reg.root.SK[[#This Row],[Starch content]],"")</f>
        <v>10.146103896103895</v>
      </c>
    </row>
    <row r="4226" spans="1:14">
      <c r="A4226" s="21">
        <v>2024</v>
      </c>
      <c r="B4226" s="21" t="s">
        <v>27</v>
      </c>
      <c r="C4226" s="21" t="s">
        <v>1145</v>
      </c>
      <c r="D4226" s="21" t="s">
        <v>35</v>
      </c>
      <c r="E4226" s="18" t="s">
        <v>115</v>
      </c>
      <c r="F4226" s="18" t="s">
        <v>105</v>
      </c>
      <c r="G4226" s="18" t="s">
        <v>48</v>
      </c>
      <c r="H4226" s="24">
        <v>31990</v>
      </c>
      <c r="I4226" s="24">
        <f>T_reg.root.SK[[#This Row],[Volume, kg]]/1000</f>
        <v>31.99</v>
      </c>
      <c r="J4226" s="25">
        <v>0.21640000000000001</v>
      </c>
      <c r="K4226" s="25">
        <f t="shared" si="65"/>
        <v>6922.6360000000004</v>
      </c>
      <c r="L4226" s="25">
        <v>2.39</v>
      </c>
      <c r="M4226" s="24">
        <v>76370.5</v>
      </c>
      <c r="N4226" s="25">
        <f>IFERROR(T_reg.root.SK[[#This Row],[Price]]/T_reg.root.SK[[#This Row],[Starch content]],"")</f>
        <v>11.044362292051757</v>
      </c>
    </row>
    <row r="4227" spans="1:14">
      <c r="A4227" s="21">
        <v>2024</v>
      </c>
      <c r="B4227" s="21" t="s">
        <v>27</v>
      </c>
      <c r="C4227" s="21" t="s">
        <v>1145</v>
      </c>
      <c r="D4227" s="21" t="s">
        <v>35</v>
      </c>
      <c r="E4227" s="18" t="s">
        <v>296</v>
      </c>
      <c r="F4227" s="18" t="s">
        <v>105</v>
      </c>
      <c r="G4227" s="18" t="s">
        <v>48</v>
      </c>
      <c r="H4227" s="24">
        <v>44410</v>
      </c>
      <c r="I4227" s="24">
        <f>T_reg.root.SK[[#This Row],[Volume, kg]]/1000</f>
        <v>44.41</v>
      </c>
      <c r="J4227" s="25">
        <v>0.253</v>
      </c>
      <c r="K4227" s="25">
        <f t="shared" ref="K4227:K4290" si="66">H4227*J4227</f>
        <v>11235.73</v>
      </c>
      <c r="L4227" s="25">
        <v>2.52</v>
      </c>
      <c r="M4227" s="24">
        <v>111972.5</v>
      </c>
      <c r="N4227" s="25">
        <f>IFERROR(T_reg.root.SK[[#This Row],[Price]]/T_reg.root.SK[[#This Row],[Starch content]],"")</f>
        <v>9.9604743083003946</v>
      </c>
    </row>
    <row r="4228" spans="1:14">
      <c r="A4228" s="21">
        <v>2024</v>
      </c>
      <c r="B4228" s="21" t="s">
        <v>27</v>
      </c>
      <c r="C4228" s="21" t="s">
        <v>1145</v>
      </c>
      <c r="D4228" s="21" t="s">
        <v>35</v>
      </c>
      <c r="E4228" s="18" t="s">
        <v>805</v>
      </c>
      <c r="F4228" s="18" t="s">
        <v>105</v>
      </c>
      <c r="G4228" s="18" t="s">
        <v>48</v>
      </c>
      <c r="H4228" s="24">
        <v>20670</v>
      </c>
      <c r="I4228" s="24">
        <f>T_reg.root.SK[[#This Row],[Volume, kg]]/1000</f>
        <v>20.67</v>
      </c>
      <c r="J4228" s="25">
        <v>0.18469999999999998</v>
      </c>
      <c r="K4228" s="25">
        <f t="shared" si="66"/>
        <v>3817.7489999999993</v>
      </c>
      <c r="L4228" s="25">
        <v>2.2200000000000002</v>
      </c>
      <c r="M4228" s="24">
        <v>45957.5</v>
      </c>
      <c r="N4228" s="25">
        <f>IFERROR(T_reg.root.SK[[#This Row],[Price]]/T_reg.root.SK[[#This Row],[Starch content]],"")</f>
        <v>12.01949106659448</v>
      </c>
    </row>
    <row r="4229" spans="1:14">
      <c r="A4229" s="21">
        <v>2024</v>
      </c>
      <c r="B4229" s="21" t="s">
        <v>27</v>
      </c>
      <c r="C4229" s="21" t="s">
        <v>1145</v>
      </c>
      <c r="D4229" s="21" t="s">
        <v>35</v>
      </c>
      <c r="E4229" s="18" t="s">
        <v>118</v>
      </c>
      <c r="F4229" s="18" t="s">
        <v>105</v>
      </c>
      <c r="G4229" s="18" t="s">
        <v>48</v>
      </c>
      <c r="H4229" s="24">
        <v>699610</v>
      </c>
      <c r="I4229" s="24">
        <f>T_reg.root.SK[[#This Row],[Volume, kg]]/1000</f>
        <v>699.61</v>
      </c>
      <c r="J4229" s="25">
        <v>0.24249999999999999</v>
      </c>
      <c r="K4229" s="25">
        <f t="shared" si="66"/>
        <v>169655.42499999999</v>
      </c>
      <c r="L4229" s="25">
        <v>2.5299999999999998</v>
      </c>
      <c r="M4229" s="24">
        <v>1768522.5</v>
      </c>
      <c r="N4229" s="25">
        <f>IFERROR(T_reg.root.SK[[#This Row],[Price]]/T_reg.root.SK[[#This Row],[Starch content]],"")</f>
        <v>10.43298969072165</v>
      </c>
    </row>
    <row r="4230" spans="1:14">
      <c r="A4230" s="21">
        <v>2024</v>
      </c>
      <c r="B4230" s="21" t="s">
        <v>27</v>
      </c>
      <c r="C4230" s="21" t="s">
        <v>1145</v>
      </c>
      <c r="D4230" s="21" t="s">
        <v>35</v>
      </c>
      <c r="E4230" s="18" t="s">
        <v>119</v>
      </c>
      <c r="F4230" s="18" t="s">
        <v>105</v>
      </c>
      <c r="G4230" s="18" t="s">
        <v>48</v>
      </c>
      <c r="H4230" s="24">
        <v>10040</v>
      </c>
      <c r="I4230" s="24">
        <f>T_reg.root.SK[[#This Row],[Volume, kg]]/1000</f>
        <v>10.039999999999999</v>
      </c>
      <c r="J4230" s="25">
        <v>0.23199999999999998</v>
      </c>
      <c r="K4230" s="25">
        <f t="shared" si="66"/>
        <v>2329.2799999999997</v>
      </c>
      <c r="L4230" s="25">
        <v>2.4</v>
      </c>
      <c r="M4230" s="24">
        <v>24096</v>
      </c>
      <c r="N4230" s="25">
        <f>IFERROR(T_reg.root.SK[[#This Row],[Price]]/T_reg.root.SK[[#This Row],[Starch content]],"")</f>
        <v>10.344827586206897</v>
      </c>
    </row>
    <row r="4231" spans="1:14">
      <c r="A4231" s="21">
        <v>2024</v>
      </c>
      <c r="B4231" s="21" t="s">
        <v>27</v>
      </c>
      <c r="C4231" s="21" t="s">
        <v>1145</v>
      </c>
      <c r="D4231" s="21" t="s">
        <v>35</v>
      </c>
      <c r="E4231" s="18" t="s">
        <v>120</v>
      </c>
      <c r="F4231" s="18" t="s">
        <v>105</v>
      </c>
      <c r="G4231" s="18" t="s">
        <v>48</v>
      </c>
      <c r="H4231" s="24">
        <v>9870</v>
      </c>
      <c r="I4231" s="24">
        <f>T_reg.root.SK[[#This Row],[Volume, kg]]/1000</f>
        <v>9.8699999999999992</v>
      </c>
      <c r="J4231" s="25">
        <v>0.27949999999999997</v>
      </c>
      <c r="K4231" s="25">
        <f t="shared" si="66"/>
        <v>2758.6649999999995</v>
      </c>
      <c r="L4231" s="25">
        <v>2.8</v>
      </c>
      <c r="M4231" s="24">
        <v>27636</v>
      </c>
      <c r="N4231" s="25">
        <f>IFERROR(T_reg.root.SK[[#This Row],[Price]]/T_reg.root.SK[[#This Row],[Starch content]],"")</f>
        <v>10.017889087656529</v>
      </c>
    </row>
    <row r="4232" spans="1:14">
      <c r="A4232" s="21">
        <v>2024</v>
      </c>
      <c r="B4232" s="21" t="s">
        <v>27</v>
      </c>
      <c r="C4232" s="21" t="s">
        <v>1145</v>
      </c>
      <c r="D4232" s="21" t="s">
        <v>35</v>
      </c>
      <c r="E4232" s="18" t="s">
        <v>121</v>
      </c>
      <c r="F4232" s="18" t="s">
        <v>105</v>
      </c>
      <c r="G4232" s="18" t="s">
        <v>48</v>
      </c>
      <c r="H4232" s="24">
        <v>72630</v>
      </c>
      <c r="I4232" s="24">
        <f>T_reg.root.SK[[#This Row],[Volume, kg]]/1000</f>
        <v>72.63</v>
      </c>
      <c r="J4232" s="25">
        <v>0.21190000000000001</v>
      </c>
      <c r="K4232" s="25">
        <f t="shared" si="66"/>
        <v>15390.297</v>
      </c>
      <c r="L4232" s="25">
        <v>2.33</v>
      </c>
      <c r="M4232" s="24">
        <v>169009.5</v>
      </c>
      <c r="N4232" s="25">
        <f>IFERROR(T_reg.root.SK[[#This Row],[Price]]/T_reg.root.SK[[#This Row],[Starch content]],"")</f>
        <v>10.995752713544125</v>
      </c>
    </row>
    <row r="4233" spans="1:14">
      <c r="A4233" s="21">
        <v>2024</v>
      </c>
      <c r="B4233" s="21" t="s">
        <v>27</v>
      </c>
      <c r="C4233" s="21" t="s">
        <v>1145</v>
      </c>
      <c r="D4233" s="21" t="s">
        <v>35</v>
      </c>
      <c r="E4233" s="18" t="s">
        <v>122</v>
      </c>
      <c r="F4233" s="18" t="s">
        <v>105</v>
      </c>
      <c r="G4233" s="18" t="s">
        <v>48</v>
      </c>
      <c r="H4233" s="24">
        <v>19680</v>
      </c>
      <c r="I4233" s="24">
        <f>T_reg.root.SK[[#This Row],[Volume, kg]]/1000</f>
        <v>19.68</v>
      </c>
      <c r="J4233" s="25">
        <v>0.1893</v>
      </c>
      <c r="K4233" s="25">
        <f t="shared" si="66"/>
        <v>3725.424</v>
      </c>
      <c r="L4233" s="25">
        <v>2.19</v>
      </c>
      <c r="M4233" s="24">
        <v>43071</v>
      </c>
      <c r="N4233" s="25">
        <f>IFERROR(T_reg.root.SK[[#This Row],[Price]]/T_reg.root.SK[[#This Row],[Starch content]],"")</f>
        <v>11.568938193343898</v>
      </c>
    </row>
    <row r="4234" spans="1:14">
      <c r="A4234" s="21">
        <v>2024</v>
      </c>
      <c r="B4234" s="21" t="s">
        <v>27</v>
      </c>
      <c r="C4234" s="21" t="s">
        <v>1145</v>
      </c>
      <c r="D4234" s="21" t="s">
        <v>35</v>
      </c>
      <c r="E4234" s="18" t="s">
        <v>123</v>
      </c>
      <c r="F4234" s="18" t="s">
        <v>105</v>
      </c>
      <c r="G4234" s="18" t="s">
        <v>48</v>
      </c>
      <c r="H4234" s="24">
        <v>94280</v>
      </c>
      <c r="I4234" s="24">
        <f>T_reg.root.SK[[#This Row],[Volume, kg]]/1000</f>
        <v>94.28</v>
      </c>
      <c r="J4234" s="25">
        <v>0.26899999999999996</v>
      </c>
      <c r="K4234" s="25">
        <f t="shared" si="66"/>
        <v>25361.319999999996</v>
      </c>
      <c r="L4234" s="25">
        <v>2.65</v>
      </c>
      <c r="M4234" s="24">
        <v>249440</v>
      </c>
      <c r="N4234" s="25">
        <f>IFERROR(T_reg.root.SK[[#This Row],[Price]]/T_reg.root.SK[[#This Row],[Starch content]],"")</f>
        <v>9.8513011152416361</v>
      </c>
    </row>
    <row r="4235" spans="1:14">
      <c r="A4235" s="21">
        <v>2024</v>
      </c>
      <c r="B4235" s="21" t="s">
        <v>27</v>
      </c>
      <c r="C4235" s="21" t="s">
        <v>1145</v>
      </c>
      <c r="D4235" s="21" t="s">
        <v>35</v>
      </c>
      <c r="E4235" s="18" t="s">
        <v>238</v>
      </c>
      <c r="F4235" s="18" t="s">
        <v>105</v>
      </c>
      <c r="G4235" s="18" t="s">
        <v>48</v>
      </c>
      <c r="H4235" s="24">
        <v>87090</v>
      </c>
      <c r="I4235" s="24">
        <f>T_reg.root.SK[[#This Row],[Volume, kg]]/1000</f>
        <v>87.09</v>
      </c>
      <c r="J4235" s="25">
        <v>0.22409999999999999</v>
      </c>
      <c r="K4235" s="25">
        <f t="shared" si="66"/>
        <v>19516.868999999999</v>
      </c>
      <c r="L4235" s="25">
        <v>2.41</v>
      </c>
      <c r="M4235" s="24">
        <v>210171.5</v>
      </c>
      <c r="N4235" s="25">
        <f>IFERROR(T_reg.root.SK[[#This Row],[Price]]/T_reg.root.SK[[#This Row],[Starch content]],"")</f>
        <v>10.754127621597503</v>
      </c>
    </row>
    <row r="4236" spans="1:14">
      <c r="A4236" s="21">
        <v>2024</v>
      </c>
      <c r="B4236" s="21" t="s">
        <v>27</v>
      </c>
      <c r="C4236" s="21" t="s">
        <v>1145</v>
      </c>
      <c r="D4236" s="21" t="s">
        <v>35</v>
      </c>
      <c r="E4236" s="18" t="s">
        <v>826</v>
      </c>
      <c r="F4236" s="18" t="s">
        <v>105</v>
      </c>
      <c r="G4236" s="18" t="s">
        <v>48</v>
      </c>
      <c r="H4236" s="24">
        <v>56060</v>
      </c>
      <c r="I4236" s="24">
        <f>T_reg.root.SK[[#This Row],[Volume, kg]]/1000</f>
        <v>56.06</v>
      </c>
      <c r="J4236" s="25">
        <v>0.25780000000000003</v>
      </c>
      <c r="K4236" s="25">
        <f t="shared" si="66"/>
        <v>14452.268000000002</v>
      </c>
      <c r="L4236" s="25">
        <v>2.71</v>
      </c>
      <c r="M4236" s="24">
        <v>151657.5</v>
      </c>
      <c r="N4236" s="25">
        <f>IFERROR(T_reg.root.SK[[#This Row],[Price]]/T_reg.root.SK[[#This Row],[Starch content]],"")</f>
        <v>10.512024825446082</v>
      </c>
    </row>
    <row r="4237" spans="1:14">
      <c r="A4237" s="21">
        <v>2024</v>
      </c>
      <c r="B4237" s="21" t="s">
        <v>27</v>
      </c>
      <c r="C4237" s="21" t="s">
        <v>1145</v>
      </c>
      <c r="D4237" s="21" t="s">
        <v>35</v>
      </c>
      <c r="E4237" s="18" t="s">
        <v>239</v>
      </c>
      <c r="F4237" s="18" t="s">
        <v>105</v>
      </c>
      <c r="G4237" s="18" t="s">
        <v>48</v>
      </c>
      <c r="H4237" s="24">
        <v>0</v>
      </c>
      <c r="I4237" s="24">
        <f>T_reg.root.SK[[#This Row],[Volume, kg]]/1000</f>
        <v>0</v>
      </c>
      <c r="J4237" s="25">
        <v>0</v>
      </c>
      <c r="K4237" s="25">
        <f t="shared" si="66"/>
        <v>0</v>
      </c>
      <c r="L4237" s="25">
        <v>0</v>
      </c>
      <c r="M4237" s="24">
        <v>0</v>
      </c>
      <c r="N4237" s="25" t="str">
        <f>IFERROR(T_reg.root.SK[[#This Row],[Price]]/T_reg.root.SK[[#This Row],[Starch content]],"")</f>
        <v/>
      </c>
    </row>
    <row r="4238" spans="1:14">
      <c r="A4238" s="21">
        <v>2024</v>
      </c>
      <c r="B4238" s="21" t="s">
        <v>27</v>
      </c>
      <c r="C4238" s="21" t="s">
        <v>1145</v>
      </c>
      <c r="D4238" s="21" t="s">
        <v>35</v>
      </c>
      <c r="E4238" s="18" t="s">
        <v>124</v>
      </c>
      <c r="F4238" s="18" t="s">
        <v>105</v>
      </c>
      <c r="G4238" s="18" t="s">
        <v>48</v>
      </c>
      <c r="H4238" s="24">
        <v>105870</v>
      </c>
      <c r="I4238" s="24">
        <f>T_reg.root.SK[[#This Row],[Volume, kg]]/1000</f>
        <v>105.87</v>
      </c>
      <c r="J4238" s="25">
        <v>0.23129999999999998</v>
      </c>
      <c r="K4238" s="25">
        <f t="shared" si="66"/>
        <v>24487.730999999996</v>
      </c>
      <c r="L4238" s="25">
        <v>2.5299999999999998</v>
      </c>
      <c r="M4238" s="24">
        <v>268047</v>
      </c>
      <c r="N4238" s="25">
        <f>IFERROR(T_reg.root.SK[[#This Row],[Price]]/T_reg.root.SK[[#This Row],[Starch content]],"")</f>
        <v>10.938175529615219</v>
      </c>
    </row>
    <row r="4239" spans="1:14">
      <c r="A4239" s="21">
        <v>2024</v>
      </c>
      <c r="B4239" s="21" t="s">
        <v>27</v>
      </c>
      <c r="C4239" s="21" t="s">
        <v>1145</v>
      </c>
      <c r="D4239" s="21" t="s">
        <v>35</v>
      </c>
      <c r="E4239" s="18" t="s">
        <v>404</v>
      </c>
      <c r="F4239" s="18" t="s">
        <v>105</v>
      </c>
      <c r="G4239" s="18" t="s">
        <v>48</v>
      </c>
      <c r="H4239" s="24">
        <v>18710</v>
      </c>
      <c r="I4239" s="24">
        <f>T_reg.root.SK[[#This Row],[Volume, kg]]/1000</f>
        <v>18.71</v>
      </c>
      <c r="J4239" s="25">
        <v>0.25109999999999999</v>
      </c>
      <c r="K4239" s="25">
        <f t="shared" si="66"/>
        <v>4698.0810000000001</v>
      </c>
      <c r="L4239" s="25">
        <v>2.52</v>
      </c>
      <c r="M4239" s="24">
        <v>47203</v>
      </c>
      <c r="N4239" s="25">
        <f>IFERROR(T_reg.root.SK[[#This Row],[Price]]/T_reg.root.SK[[#This Row],[Starch content]],"")</f>
        <v>10.035842293906811</v>
      </c>
    </row>
    <row r="4240" spans="1:14">
      <c r="A4240" s="21">
        <v>2024</v>
      </c>
      <c r="B4240" s="21" t="s">
        <v>27</v>
      </c>
      <c r="C4240" s="21" t="s">
        <v>1145</v>
      </c>
      <c r="D4240" s="21" t="s">
        <v>35</v>
      </c>
      <c r="E4240" s="18" t="s">
        <v>616</v>
      </c>
      <c r="F4240" s="18" t="s">
        <v>105</v>
      </c>
      <c r="G4240" s="18" t="s">
        <v>48</v>
      </c>
      <c r="H4240" s="24">
        <v>37030</v>
      </c>
      <c r="I4240" s="24">
        <f>T_reg.root.SK[[#This Row],[Volume, kg]]/1000</f>
        <v>37.03</v>
      </c>
      <c r="J4240" s="25">
        <v>0.24309999999999998</v>
      </c>
      <c r="K4240" s="25">
        <f t="shared" si="66"/>
        <v>9001.9929999999986</v>
      </c>
      <c r="L4240" s="25">
        <v>2.52</v>
      </c>
      <c r="M4240" s="24">
        <v>93217</v>
      </c>
      <c r="N4240" s="25">
        <f>IFERROR(T_reg.root.SK[[#This Row],[Price]]/T_reg.root.SK[[#This Row],[Starch content]],"")</f>
        <v>10.366104483751544</v>
      </c>
    </row>
    <row r="4241" spans="1:14">
      <c r="A4241" s="21">
        <v>2024</v>
      </c>
      <c r="B4241" s="21" t="s">
        <v>27</v>
      </c>
      <c r="C4241" s="21" t="s">
        <v>1145</v>
      </c>
      <c r="D4241" s="21" t="s">
        <v>35</v>
      </c>
      <c r="E4241" s="18" t="s">
        <v>486</v>
      </c>
      <c r="F4241" s="18" t="s">
        <v>105</v>
      </c>
      <c r="G4241" s="18" t="s">
        <v>48</v>
      </c>
      <c r="H4241" s="24">
        <v>25390</v>
      </c>
      <c r="I4241" s="24">
        <f>T_reg.root.SK[[#This Row],[Volume, kg]]/1000</f>
        <v>25.39</v>
      </c>
      <c r="J4241" s="25">
        <v>0.25780000000000003</v>
      </c>
      <c r="K4241" s="25">
        <f t="shared" si="66"/>
        <v>6545.5420000000004</v>
      </c>
      <c r="L4241" s="25">
        <v>2.56</v>
      </c>
      <c r="M4241" s="24">
        <v>64997</v>
      </c>
      <c r="N4241" s="25">
        <f>IFERROR(T_reg.root.SK[[#This Row],[Price]]/T_reg.root.SK[[#This Row],[Starch content]],"")</f>
        <v>9.9301784328937153</v>
      </c>
    </row>
    <row r="4242" spans="1:14">
      <c r="A4242" s="21">
        <v>2024</v>
      </c>
      <c r="B4242" s="21" t="s">
        <v>27</v>
      </c>
      <c r="C4242" s="21" t="s">
        <v>1145</v>
      </c>
      <c r="D4242" s="21" t="s">
        <v>35</v>
      </c>
      <c r="E4242" s="18" t="s">
        <v>736</v>
      </c>
      <c r="F4242" s="18" t="s">
        <v>105</v>
      </c>
      <c r="G4242" s="18" t="s">
        <v>48</v>
      </c>
      <c r="H4242" s="24">
        <v>134530</v>
      </c>
      <c r="I4242" s="24">
        <f>T_reg.root.SK[[#This Row],[Volume, kg]]/1000</f>
        <v>134.53</v>
      </c>
      <c r="J4242" s="25">
        <v>0.2621</v>
      </c>
      <c r="K4242" s="25">
        <f t="shared" si="66"/>
        <v>35260.313000000002</v>
      </c>
      <c r="L4242" s="25">
        <v>2.59</v>
      </c>
      <c r="M4242" s="24">
        <v>348236</v>
      </c>
      <c r="N4242" s="25">
        <f>IFERROR(T_reg.root.SK[[#This Row],[Price]]/T_reg.root.SK[[#This Row],[Starch content]],"")</f>
        <v>9.8817245326211367</v>
      </c>
    </row>
    <row r="4243" spans="1:14">
      <c r="A4243" s="21">
        <v>2024</v>
      </c>
      <c r="B4243" s="21" t="s">
        <v>27</v>
      </c>
      <c r="C4243" s="21" t="s">
        <v>1145</v>
      </c>
      <c r="D4243" s="21" t="s">
        <v>35</v>
      </c>
      <c r="E4243" s="18" t="s">
        <v>127</v>
      </c>
      <c r="F4243" s="18" t="s">
        <v>105</v>
      </c>
      <c r="G4243" s="18" t="s">
        <v>48</v>
      </c>
      <c r="H4243" s="24">
        <v>60100</v>
      </c>
      <c r="I4243" s="24">
        <f>T_reg.root.SK[[#This Row],[Volume, kg]]/1000</f>
        <v>60.1</v>
      </c>
      <c r="J4243" s="25">
        <v>0.25469999999999998</v>
      </c>
      <c r="K4243" s="25">
        <f t="shared" si="66"/>
        <v>15307.47</v>
      </c>
      <c r="L4243" s="25">
        <v>2.57</v>
      </c>
      <c r="M4243" s="24">
        <v>154444</v>
      </c>
      <c r="N4243" s="25">
        <f>IFERROR(T_reg.root.SK[[#This Row],[Price]]/T_reg.root.SK[[#This Row],[Starch content]],"")</f>
        <v>10.090302316450726</v>
      </c>
    </row>
    <row r="4244" spans="1:14">
      <c r="A4244" s="21">
        <v>2024</v>
      </c>
      <c r="B4244" s="21" t="s">
        <v>27</v>
      </c>
      <c r="C4244" s="21" t="s">
        <v>1145</v>
      </c>
      <c r="D4244" s="21" t="s">
        <v>35</v>
      </c>
      <c r="E4244" s="18" t="s">
        <v>635</v>
      </c>
      <c r="F4244" s="18" t="s">
        <v>105</v>
      </c>
      <c r="G4244" s="18" t="s">
        <v>48</v>
      </c>
      <c r="H4244" s="24">
        <v>35850</v>
      </c>
      <c r="I4244" s="24">
        <f>T_reg.root.SK[[#This Row],[Volume, kg]]/1000</f>
        <v>35.85</v>
      </c>
      <c r="J4244" s="25">
        <v>0.20989999999999998</v>
      </c>
      <c r="K4244" s="25">
        <f t="shared" si="66"/>
        <v>7524.9149999999991</v>
      </c>
      <c r="L4244" s="25">
        <v>2.48</v>
      </c>
      <c r="M4244" s="24">
        <v>88950</v>
      </c>
      <c r="N4244" s="25">
        <f>IFERROR(T_reg.root.SK[[#This Row],[Price]]/T_reg.root.SK[[#This Row],[Starch content]],"")</f>
        <v>11.815150071462602</v>
      </c>
    </row>
    <row r="4245" spans="1:14">
      <c r="A4245" s="21">
        <v>2024</v>
      </c>
      <c r="B4245" s="21" t="s">
        <v>27</v>
      </c>
      <c r="C4245" s="21" t="s">
        <v>1145</v>
      </c>
      <c r="D4245" s="21" t="s">
        <v>35</v>
      </c>
      <c r="E4245" s="18" t="s">
        <v>356</v>
      </c>
      <c r="F4245" s="18" t="s">
        <v>105</v>
      </c>
      <c r="G4245" s="18" t="s">
        <v>48</v>
      </c>
      <c r="H4245" s="24">
        <v>25470</v>
      </c>
      <c r="I4245" s="24">
        <f>T_reg.root.SK[[#This Row],[Volume, kg]]/1000</f>
        <v>25.47</v>
      </c>
      <c r="J4245" s="25">
        <v>0.17129999999999998</v>
      </c>
      <c r="K4245" s="25">
        <f t="shared" si="66"/>
        <v>4363.0109999999995</v>
      </c>
      <c r="L4245" s="25">
        <v>2.3199999999999998</v>
      </c>
      <c r="M4245" s="24">
        <v>59144.5</v>
      </c>
      <c r="N4245" s="25">
        <f>IFERROR(T_reg.root.SK[[#This Row],[Price]]/T_reg.root.SK[[#This Row],[Starch content]],"")</f>
        <v>13.543490951546994</v>
      </c>
    </row>
    <row r="4246" spans="1:14">
      <c r="A4246" s="21">
        <v>2024</v>
      </c>
      <c r="B4246" s="21" t="s">
        <v>27</v>
      </c>
      <c r="C4246" s="21" t="s">
        <v>1145</v>
      </c>
      <c r="D4246" s="21" t="s">
        <v>35</v>
      </c>
      <c r="E4246" s="18" t="s">
        <v>770</v>
      </c>
      <c r="F4246" s="18" t="s">
        <v>105</v>
      </c>
      <c r="G4246" s="18" t="s">
        <v>48</v>
      </c>
      <c r="H4246" s="24">
        <v>10500</v>
      </c>
      <c r="I4246" s="24">
        <f>T_reg.root.SK[[#This Row],[Volume, kg]]/1000</f>
        <v>10.5</v>
      </c>
      <c r="J4246" s="25">
        <v>0.26750000000000002</v>
      </c>
      <c r="K4246" s="25">
        <f t="shared" si="66"/>
        <v>2808.75</v>
      </c>
      <c r="L4246" s="25">
        <v>2.7</v>
      </c>
      <c r="M4246" s="24">
        <v>28350</v>
      </c>
      <c r="N4246" s="25">
        <f>IFERROR(T_reg.root.SK[[#This Row],[Price]]/T_reg.root.SK[[#This Row],[Starch content]],"")</f>
        <v>10.093457943925234</v>
      </c>
    </row>
    <row r="4247" spans="1:14">
      <c r="A4247" s="21">
        <v>2024</v>
      </c>
      <c r="B4247" s="21" t="s">
        <v>27</v>
      </c>
      <c r="C4247" s="21" t="s">
        <v>1145</v>
      </c>
      <c r="D4247" s="21" t="s">
        <v>35</v>
      </c>
      <c r="E4247" s="18" t="s">
        <v>129</v>
      </c>
      <c r="F4247" s="18" t="s">
        <v>105</v>
      </c>
      <c r="G4247" s="18" t="s">
        <v>48</v>
      </c>
      <c r="H4247" s="24">
        <v>16610</v>
      </c>
      <c r="I4247" s="24">
        <f>T_reg.root.SK[[#This Row],[Volume, kg]]/1000</f>
        <v>16.61</v>
      </c>
      <c r="J4247" s="25">
        <v>0.19440000000000002</v>
      </c>
      <c r="K4247" s="25">
        <f t="shared" si="66"/>
        <v>3228.9840000000004</v>
      </c>
      <c r="L4247" s="25">
        <v>2.2200000000000002</v>
      </c>
      <c r="M4247" s="24">
        <v>36881.5</v>
      </c>
      <c r="N4247" s="25">
        <f>IFERROR(T_reg.root.SK[[#This Row],[Price]]/T_reg.root.SK[[#This Row],[Starch content]],"")</f>
        <v>11.419753086419753</v>
      </c>
    </row>
    <row r="4248" spans="1:14">
      <c r="A4248" s="21">
        <v>2024</v>
      </c>
      <c r="B4248" s="21" t="s">
        <v>27</v>
      </c>
      <c r="C4248" s="21" t="s">
        <v>1145</v>
      </c>
      <c r="D4248" s="21" t="s">
        <v>35</v>
      </c>
      <c r="E4248" s="18" t="s">
        <v>131</v>
      </c>
      <c r="F4248" s="18" t="s">
        <v>105</v>
      </c>
      <c r="G4248" s="18" t="s">
        <v>48</v>
      </c>
      <c r="H4248" s="24">
        <v>60100</v>
      </c>
      <c r="I4248" s="24">
        <f>T_reg.root.SK[[#This Row],[Volume, kg]]/1000</f>
        <v>60.1</v>
      </c>
      <c r="J4248" s="25">
        <v>0.2787</v>
      </c>
      <c r="K4248" s="25">
        <f t="shared" si="66"/>
        <v>16749.87</v>
      </c>
      <c r="L4248" s="25">
        <v>2.65</v>
      </c>
      <c r="M4248" s="24">
        <v>159516.5</v>
      </c>
      <c r="N4248" s="25">
        <f>IFERROR(T_reg.root.SK[[#This Row],[Price]]/T_reg.root.SK[[#This Row],[Starch content]],"")</f>
        <v>9.5084320057409393</v>
      </c>
    </row>
    <row r="4249" spans="1:14">
      <c r="A4249" s="21">
        <v>2024</v>
      </c>
      <c r="B4249" s="21" t="s">
        <v>27</v>
      </c>
      <c r="C4249" s="21" t="s">
        <v>1145</v>
      </c>
      <c r="D4249" s="21" t="s">
        <v>35</v>
      </c>
      <c r="E4249" s="18" t="s">
        <v>132</v>
      </c>
      <c r="F4249" s="18" t="s">
        <v>105</v>
      </c>
      <c r="G4249" s="18" t="s">
        <v>48</v>
      </c>
      <c r="H4249" s="24">
        <v>18440</v>
      </c>
      <c r="I4249" s="24">
        <f>T_reg.root.SK[[#This Row],[Volume, kg]]/1000</f>
        <v>18.440000000000001</v>
      </c>
      <c r="J4249" s="25">
        <v>0.27760000000000001</v>
      </c>
      <c r="K4249" s="25">
        <f t="shared" si="66"/>
        <v>5118.9440000000004</v>
      </c>
      <c r="L4249" s="25">
        <v>2.66</v>
      </c>
      <c r="M4249" s="24">
        <v>49101.5</v>
      </c>
      <c r="N4249" s="25">
        <f>IFERROR(T_reg.root.SK[[#This Row],[Price]]/T_reg.root.SK[[#This Row],[Starch content]],"")</f>
        <v>9.5821325648414994</v>
      </c>
    </row>
    <row r="4250" spans="1:14">
      <c r="A4250" s="21">
        <v>2024</v>
      </c>
      <c r="B4250" s="21" t="s">
        <v>27</v>
      </c>
      <c r="C4250" s="21" t="s">
        <v>1145</v>
      </c>
      <c r="D4250" s="21" t="s">
        <v>35</v>
      </c>
      <c r="E4250" s="18" t="s">
        <v>489</v>
      </c>
      <c r="F4250" s="18" t="s">
        <v>105</v>
      </c>
      <c r="G4250" s="18" t="s">
        <v>48</v>
      </c>
      <c r="H4250" s="24">
        <v>13830</v>
      </c>
      <c r="I4250" s="24">
        <f>T_reg.root.SK[[#This Row],[Volume, kg]]/1000</f>
        <v>13.83</v>
      </c>
      <c r="J4250" s="25">
        <v>0.24170000000000003</v>
      </c>
      <c r="K4250" s="25">
        <f t="shared" si="66"/>
        <v>3342.7110000000002</v>
      </c>
      <c r="L4250" s="25">
        <v>2.65</v>
      </c>
      <c r="M4250" s="24">
        <v>36606</v>
      </c>
      <c r="N4250" s="25">
        <f>IFERROR(T_reg.root.SK[[#This Row],[Price]]/T_reg.root.SK[[#This Row],[Starch content]],"")</f>
        <v>10.964004964832435</v>
      </c>
    </row>
    <row r="4251" spans="1:14">
      <c r="A4251" s="21">
        <v>2024</v>
      </c>
      <c r="B4251" s="21" t="s">
        <v>27</v>
      </c>
      <c r="C4251" s="21" t="s">
        <v>1145</v>
      </c>
      <c r="D4251" s="21" t="s">
        <v>35</v>
      </c>
      <c r="E4251" s="18" t="s">
        <v>603</v>
      </c>
      <c r="F4251" s="18" t="s">
        <v>105</v>
      </c>
      <c r="G4251" s="18" t="s">
        <v>48</v>
      </c>
      <c r="H4251" s="24">
        <v>72780</v>
      </c>
      <c r="I4251" s="24">
        <f>T_reg.root.SK[[#This Row],[Volume, kg]]/1000</f>
        <v>72.78</v>
      </c>
      <c r="J4251" s="25">
        <v>0.25869999999999999</v>
      </c>
      <c r="K4251" s="25">
        <f t="shared" si="66"/>
        <v>18828.185999999998</v>
      </c>
      <c r="L4251" s="25">
        <v>2.7</v>
      </c>
      <c r="M4251" s="24">
        <v>196750</v>
      </c>
      <c r="N4251" s="25">
        <f>IFERROR(T_reg.root.SK[[#This Row],[Price]]/T_reg.root.SK[[#This Row],[Starch content]],"")</f>
        <v>10.436799381523</v>
      </c>
    </row>
    <row r="4252" spans="1:14">
      <c r="A4252" s="21">
        <v>2024</v>
      </c>
      <c r="B4252" s="21" t="s">
        <v>27</v>
      </c>
      <c r="C4252" s="21" t="s">
        <v>1145</v>
      </c>
      <c r="D4252" s="21" t="s">
        <v>35</v>
      </c>
      <c r="E4252" s="18" t="s">
        <v>617</v>
      </c>
      <c r="F4252" s="18" t="s">
        <v>105</v>
      </c>
      <c r="G4252" s="18" t="s">
        <v>48</v>
      </c>
      <c r="H4252" s="24">
        <v>16790</v>
      </c>
      <c r="I4252" s="24">
        <f>T_reg.root.SK[[#This Row],[Volume, kg]]/1000</f>
        <v>16.79</v>
      </c>
      <c r="J4252" s="25">
        <v>0.24629999999999999</v>
      </c>
      <c r="K4252" s="25">
        <f t="shared" si="66"/>
        <v>4135.3769999999995</v>
      </c>
      <c r="L4252" s="25">
        <v>2.5</v>
      </c>
      <c r="M4252" s="24">
        <v>41977.5</v>
      </c>
      <c r="N4252" s="25">
        <f>IFERROR(T_reg.root.SK[[#This Row],[Price]]/T_reg.root.SK[[#This Row],[Starch content]],"")</f>
        <v>10.150223304912709</v>
      </c>
    </row>
    <row r="4253" spans="1:14">
      <c r="A4253" s="21">
        <v>2024</v>
      </c>
      <c r="B4253" s="21" t="s">
        <v>27</v>
      </c>
      <c r="C4253" s="21" t="s">
        <v>1145</v>
      </c>
      <c r="D4253" s="21" t="s">
        <v>35</v>
      </c>
      <c r="E4253" s="18" t="s">
        <v>807</v>
      </c>
      <c r="F4253" s="18" t="s">
        <v>105</v>
      </c>
      <c r="G4253" s="18" t="s">
        <v>48</v>
      </c>
      <c r="H4253" s="24">
        <v>130830</v>
      </c>
      <c r="I4253" s="24">
        <f>T_reg.root.SK[[#This Row],[Volume, kg]]/1000</f>
        <v>130.83000000000001</v>
      </c>
      <c r="J4253" s="25">
        <v>0.25569999999999998</v>
      </c>
      <c r="K4253" s="25">
        <f t="shared" si="66"/>
        <v>33453.231</v>
      </c>
      <c r="L4253" s="25">
        <v>2.61</v>
      </c>
      <c r="M4253" s="24">
        <v>342073.5</v>
      </c>
      <c r="N4253" s="25">
        <f>IFERROR(T_reg.root.SK[[#This Row],[Price]]/T_reg.root.SK[[#This Row],[Starch content]],"")</f>
        <v>10.207274149393822</v>
      </c>
    </row>
    <row r="4254" spans="1:14">
      <c r="A4254" s="21">
        <v>2024</v>
      </c>
      <c r="B4254" s="21" t="s">
        <v>27</v>
      </c>
      <c r="C4254" s="21" t="s">
        <v>1145</v>
      </c>
      <c r="D4254" s="21" t="s">
        <v>35</v>
      </c>
      <c r="E4254" s="18" t="s">
        <v>755</v>
      </c>
      <c r="F4254" s="18" t="s">
        <v>105</v>
      </c>
      <c r="G4254" s="18" t="s">
        <v>48</v>
      </c>
      <c r="H4254" s="24">
        <v>17490</v>
      </c>
      <c r="I4254" s="24">
        <f>T_reg.root.SK[[#This Row],[Volume, kg]]/1000</f>
        <v>17.489999999999998</v>
      </c>
      <c r="J4254" s="25">
        <v>0.23870000000000002</v>
      </c>
      <c r="K4254" s="25">
        <f t="shared" si="66"/>
        <v>4174.8630000000003</v>
      </c>
      <c r="L4254" s="25">
        <v>2.4500000000000002</v>
      </c>
      <c r="M4254" s="24">
        <v>42850.5</v>
      </c>
      <c r="N4254" s="25">
        <f>IFERROR(T_reg.root.SK[[#This Row],[Price]]/T_reg.root.SK[[#This Row],[Starch content]],"")</f>
        <v>10.263929618768328</v>
      </c>
    </row>
    <row r="4255" spans="1:14">
      <c r="A4255" s="21">
        <v>2024</v>
      </c>
      <c r="B4255" s="21" t="s">
        <v>27</v>
      </c>
      <c r="C4255" s="21" t="s">
        <v>1145</v>
      </c>
      <c r="D4255" s="21" t="s">
        <v>35</v>
      </c>
      <c r="E4255" s="18" t="s">
        <v>717</v>
      </c>
      <c r="F4255" s="18" t="s">
        <v>105</v>
      </c>
      <c r="G4255" s="18" t="s">
        <v>48</v>
      </c>
      <c r="H4255" s="24">
        <v>15550</v>
      </c>
      <c r="I4255" s="24">
        <f>T_reg.root.SK[[#This Row],[Volume, kg]]/1000</f>
        <v>15.55</v>
      </c>
      <c r="J4255" s="25">
        <v>0.24050000000000002</v>
      </c>
      <c r="K4255" s="25">
        <f t="shared" si="66"/>
        <v>3739.7750000000001</v>
      </c>
      <c r="L4255" s="25">
        <v>2.5099999999999998</v>
      </c>
      <c r="M4255" s="24">
        <v>38982.5</v>
      </c>
      <c r="N4255" s="25">
        <f>IFERROR(T_reg.root.SK[[#This Row],[Price]]/T_reg.root.SK[[#This Row],[Starch content]],"")</f>
        <v>10.436590436590436</v>
      </c>
    </row>
    <row r="4256" spans="1:14">
      <c r="A4256" s="21">
        <v>2024</v>
      </c>
      <c r="B4256" s="21" t="s">
        <v>27</v>
      </c>
      <c r="C4256" s="21" t="s">
        <v>1145</v>
      </c>
      <c r="D4256" s="21" t="s">
        <v>35</v>
      </c>
      <c r="E4256" s="18" t="s">
        <v>133</v>
      </c>
      <c r="F4256" s="18" t="s">
        <v>105</v>
      </c>
      <c r="G4256" s="18" t="s">
        <v>48</v>
      </c>
      <c r="H4256" s="24">
        <v>21820</v>
      </c>
      <c r="I4256" s="24">
        <f>T_reg.root.SK[[#This Row],[Volume, kg]]/1000</f>
        <v>21.82</v>
      </c>
      <c r="J4256" s="25">
        <v>0.24489999999999998</v>
      </c>
      <c r="K4256" s="25">
        <f t="shared" si="66"/>
        <v>5343.7179999999998</v>
      </c>
      <c r="L4256" s="25">
        <v>2.57</v>
      </c>
      <c r="M4256" s="24">
        <v>56076</v>
      </c>
      <c r="N4256" s="25">
        <f>IFERROR(T_reg.root.SK[[#This Row],[Price]]/T_reg.root.SK[[#This Row],[Starch content]],"")</f>
        <v>10.494079216006533</v>
      </c>
    </row>
    <row r="4257" spans="1:14">
      <c r="A4257" s="21">
        <v>2024</v>
      </c>
      <c r="B4257" s="21" t="s">
        <v>27</v>
      </c>
      <c r="C4257" s="21" t="s">
        <v>1145</v>
      </c>
      <c r="D4257" s="21" t="s">
        <v>35</v>
      </c>
      <c r="E4257" s="18" t="s">
        <v>134</v>
      </c>
      <c r="F4257" s="18" t="s">
        <v>105</v>
      </c>
      <c r="G4257" s="18" t="s">
        <v>48</v>
      </c>
      <c r="H4257" s="24">
        <v>29660</v>
      </c>
      <c r="I4257" s="24">
        <f>T_reg.root.SK[[#This Row],[Volume, kg]]/1000</f>
        <v>29.66</v>
      </c>
      <c r="J4257" s="25">
        <v>0.2487</v>
      </c>
      <c r="K4257" s="25">
        <f t="shared" si="66"/>
        <v>7376.442</v>
      </c>
      <c r="L4257" s="25">
        <v>2.4900000000000002</v>
      </c>
      <c r="M4257" s="24">
        <v>73879.5</v>
      </c>
      <c r="N4257" s="25">
        <f>IFERROR(T_reg.root.SK[[#This Row],[Price]]/T_reg.root.SK[[#This Row],[Starch content]],"")</f>
        <v>10.012062726176117</v>
      </c>
    </row>
    <row r="4258" spans="1:14">
      <c r="A4258" s="21">
        <v>2024</v>
      </c>
      <c r="B4258" s="21" t="s">
        <v>27</v>
      </c>
      <c r="C4258" s="21" t="s">
        <v>1145</v>
      </c>
      <c r="D4258" s="21" t="s">
        <v>35</v>
      </c>
      <c r="E4258" s="18" t="s">
        <v>636</v>
      </c>
      <c r="F4258" s="18" t="s">
        <v>105</v>
      </c>
      <c r="G4258" s="18" t="s">
        <v>48</v>
      </c>
      <c r="H4258" s="24">
        <v>22970</v>
      </c>
      <c r="I4258" s="24">
        <f>T_reg.root.SK[[#This Row],[Volume, kg]]/1000</f>
        <v>22.97</v>
      </c>
      <c r="J4258" s="25">
        <v>0.28920000000000001</v>
      </c>
      <c r="K4258" s="25">
        <f t="shared" si="66"/>
        <v>6642.924</v>
      </c>
      <c r="L4258" s="25">
        <v>2.7</v>
      </c>
      <c r="M4258" s="24">
        <v>62019</v>
      </c>
      <c r="N4258" s="25">
        <f>IFERROR(T_reg.root.SK[[#This Row],[Price]]/T_reg.root.SK[[#This Row],[Starch content]],"")</f>
        <v>9.3360995850622412</v>
      </c>
    </row>
    <row r="4259" spans="1:14">
      <c r="A4259" s="21">
        <v>2024</v>
      </c>
      <c r="B4259" s="21" t="s">
        <v>27</v>
      </c>
      <c r="C4259" s="21" t="s">
        <v>1145</v>
      </c>
      <c r="D4259" s="21" t="s">
        <v>35</v>
      </c>
      <c r="E4259" s="18" t="s">
        <v>809</v>
      </c>
      <c r="F4259" s="18" t="s">
        <v>105</v>
      </c>
      <c r="G4259" s="18" t="s">
        <v>48</v>
      </c>
      <c r="H4259" s="24">
        <v>35720</v>
      </c>
      <c r="I4259" s="24">
        <f>T_reg.root.SK[[#This Row],[Volume, kg]]/1000</f>
        <v>35.72</v>
      </c>
      <c r="J4259" s="25">
        <v>0.24960000000000002</v>
      </c>
      <c r="K4259" s="25">
        <f t="shared" si="66"/>
        <v>8915.7120000000014</v>
      </c>
      <c r="L4259" s="25">
        <v>2.63</v>
      </c>
      <c r="M4259" s="24">
        <v>93876.5</v>
      </c>
      <c r="N4259" s="25">
        <f>IFERROR(T_reg.root.SK[[#This Row],[Price]]/T_reg.root.SK[[#This Row],[Starch content]],"")</f>
        <v>10.536858974358973</v>
      </c>
    </row>
    <row r="4260" spans="1:14">
      <c r="A4260" s="21">
        <v>2024</v>
      </c>
      <c r="B4260" s="21" t="s">
        <v>27</v>
      </c>
      <c r="C4260" s="21" t="s">
        <v>1145</v>
      </c>
      <c r="D4260" s="21" t="s">
        <v>35</v>
      </c>
      <c r="E4260" s="18" t="s">
        <v>932</v>
      </c>
      <c r="F4260" s="18" t="s">
        <v>105</v>
      </c>
      <c r="G4260" s="18" t="s">
        <v>48</v>
      </c>
      <c r="H4260" s="24">
        <v>36970</v>
      </c>
      <c r="I4260" s="24">
        <f>T_reg.root.SK[[#This Row],[Volume, kg]]/1000</f>
        <v>36.97</v>
      </c>
      <c r="J4260" s="25">
        <v>0.21309999999999998</v>
      </c>
      <c r="K4260" s="25">
        <f t="shared" si="66"/>
        <v>7878.3069999999998</v>
      </c>
      <c r="L4260" s="25">
        <v>2.38</v>
      </c>
      <c r="M4260" s="24">
        <v>87999.5</v>
      </c>
      <c r="N4260" s="25">
        <f>IFERROR(T_reg.root.SK[[#This Row],[Price]]/T_reg.root.SK[[#This Row],[Starch content]],"")</f>
        <v>11.168465509150634</v>
      </c>
    </row>
    <row r="4261" spans="1:14">
      <c r="A4261" s="21">
        <v>2024</v>
      </c>
      <c r="B4261" s="21" t="s">
        <v>27</v>
      </c>
      <c r="C4261" s="21" t="s">
        <v>1145</v>
      </c>
      <c r="D4261" s="21" t="s">
        <v>35</v>
      </c>
      <c r="E4261" s="18" t="s">
        <v>136</v>
      </c>
      <c r="F4261" s="18" t="s">
        <v>105</v>
      </c>
      <c r="G4261" s="18" t="s">
        <v>48</v>
      </c>
      <c r="H4261" s="24">
        <v>87800</v>
      </c>
      <c r="I4261" s="24">
        <f>T_reg.root.SK[[#This Row],[Volume, kg]]/1000</f>
        <v>87.8</v>
      </c>
      <c r="J4261" s="25">
        <v>0.25969999999999999</v>
      </c>
      <c r="K4261" s="25">
        <f t="shared" si="66"/>
        <v>22801.66</v>
      </c>
      <c r="L4261" s="25">
        <v>2.61</v>
      </c>
      <c r="M4261" s="24">
        <v>229083</v>
      </c>
      <c r="N4261" s="25">
        <f>IFERROR(T_reg.root.SK[[#This Row],[Price]]/T_reg.root.SK[[#This Row],[Starch content]],"")</f>
        <v>10.050057758952638</v>
      </c>
    </row>
    <row r="4262" spans="1:14">
      <c r="A4262" s="21">
        <v>2024</v>
      </c>
      <c r="B4262" s="21" t="s">
        <v>27</v>
      </c>
      <c r="C4262" s="21" t="s">
        <v>1145</v>
      </c>
      <c r="D4262" s="21" t="s">
        <v>35</v>
      </c>
      <c r="E4262" s="18" t="s">
        <v>493</v>
      </c>
      <c r="F4262" s="18" t="s">
        <v>105</v>
      </c>
      <c r="G4262" s="18" t="s">
        <v>48</v>
      </c>
      <c r="H4262" s="24">
        <v>51210</v>
      </c>
      <c r="I4262" s="24">
        <f>T_reg.root.SK[[#This Row],[Volume, kg]]/1000</f>
        <v>51.21</v>
      </c>
      <c r="J4262" s="25">
        <v>0.24600000000000002</v>
      </c>
      <c r="K4262" s="25">
        <f t="shared" si="66"/>
        <v>12597.660000000002</v>
      </c>
      <c r="L4262" s="25">
        <v>2.48</v>
      </c>
      <c r="M4262" s="24">
        <v>126827.5</v>
      </c>
      <c r="N4262" s="25">
        <f>IFERROR(T_reg.root.SK[[#This Row],[Price]]/T_reg.root.SK[[#This Row],[Starch content]],"")</f>
        <v>10.081300813008129</v>
      </c>
    </row>
    <row r="4263" spans="1:14">
      <c r="A4263" s="21">
        <v>2024</v>
      </c>
      <c r="B4263" s="21" t="s">
        <v>27</v>
      </c>
      <c r="C4263" s="21" t="s">
        <v>1145</v>
      </c>
      <c r="D4263" s="21" t="s">
        <v>35</v>
      </c>
      <c r="E4263" s="18" t="s">
        <v>494</v>
      </c>
      <c r="F4263" s="18" t="s">
        <v>105</v>
      </c>
      <c r="G4263" s="18" t="s">
        <v>48</v>
      </c>
      <c r="H4263" s="24">
        <v>98380</v>
      </c>
      <c r="I4263" s="24">
        <f>T_reg.root.SK[[#This Row],[Volume, kg]]/1000</f>
        <v>98.38</v>
      </c>
      <c r="J4263" s="25">
        <v>0.20319999999999999</v>
      </c>
      <c r="K4263" s="25">
        <f t="shared" si="66"/>
        <v>19990.815999999999</v>
      </c>
      <c r="L4263" s="25">
        <v>2.35</v>
      </c>
      <c r="M4263" s="24">
        <v>231371.5</v>
      </c>
      <c r="N4263" s="25">
        <f>IFERROR(T_reg.root.SK[[#This Row],[Price]]/T_reg.root.SK[[#This Row],[Starch content]],"")</f>
        <v>11.564960629921261</v>
      </c>
    </row>
    <row r="4264" spans="1:14">
      <c r="A4264" s="21">
        <v>2024</v>
      </c>
      <c r="B4264" s="21" t="s">
        <v>27</v>
      </c>
      <c r="C4264" s="21" t="s">
        <v>1145</v>
      </c>
      <c r="D4264" s="21" t="s">
        <v>35</v>
      </c>
      <c r="E4264" s="18" t="s">
        <v>810</v>
      </c>
      <c r="F4264" s="18" t="s">
        <v>105</v>
      </c>
      <c r="G4264" s="18" t="s">
        <v>48</v>
      </c>
      <c r="H4264" s="24">
        <v>4250</v>
      </c>
      <c r="I4264" s="24">
        <f>T_reg.root.SK[[#This Row],[Volume, kg]]/1000</f>
        <v>4.25</v>
      </c>
      <c r="J4264" s="25">
        <v>0.1285</v>
      </c>
      <c r="K4264" s="25">
        <f t="shared" si="66"/>
        <v>546.125</v>
      </c>
      <c r="L4264" s="25">
        <v>2.0499999999999998</v>
      </c>
      <c r="M4264" s="24">
        <v>8712.5</v>
      </c>
      <c r="N4264" s="25">
        <f>IFERROR(T_reg.root.SK[[#This Row],[Price]]/T_reg.root.SK[[#This Row],[Starch content]],"")</f>
        <v>15.953307392996107</v>
      </c>
    </row>
    <row r="4265" spans="1:14">
      <c r="A4265" s="21">
        <v>2024</v>
      </c>
      <c r="B4265" s="21" t="s">
        <v>27</v>
      </c>
      <c r="C4265" s="21" t="s">
        <v>1145</v>
      </c>
      <c r="D4265" s="21" t="s">
        <v>35</v>
      </c>
      <c r="E4265" s="18" t="s">
        <v>138</v>
      </c>
      <c r="F4265" s="18" t="s">
        <v>105</v>
      </c>
      <c r="G4265" s="18" t="s">
        <v>48</v>
      </c>
      <c r="H4265" s="24">
        <v>188110</v>
      </c>
      <c r="I4265" s="24">
        <f>T_reg.root.SK[[#This Row],[Volume, kg]]/1000</f>
        <v>188.11</v>
      </c>
      <c r="J4265" s="25">
        <v>0.26619999999999999</v>
      </c>
      <c r="K4265" s="25">
        <f t="shared" si="66"/>
        <v>50074.881999999998</v>
      </c>
      <c r="L4265" s="25">
        <v>2.6</v>
      </c>
      <c r="M4265" s="24">
        <v>489616.5</v>
      </c>
      <c r="N4265" s="25">
        <f>IFERROR(T_reg.root.SK[[#This Row],[Price]]/T_reg.root.SK[[#This Row],[Starch content]],"")</f>
        <v>9.7670924117205118</v>
      </c>
    </row>
    <row r="4266" spans="1:14">
      <c r="A4266" s="21">
        <v>2024</v>
      </c>
      <c r="B4266" s="21" t="s">
        <v>27</v>
      </c>
      <c r="C4266" s="21" t="s">
        <v>1145</v>
      </c>
      <c r="D4266" s="21" t="s">
        <v>35</v>
      </c>
      <c r="E4266" s="18" t="s">
        <v>718</v>
      </c>
      <c r="F4266" s="18" t="s">
        <v>105</v>
      </c>
      <c r="G4266" s="18" t="s">
        <v>48</v>
      </c>
      <c r="H4266" s="24">
        <v>8240</v>
      </c>
      <c r="I4266" s="24">
        <f>T_reg.root.SK[[#This Row],[Volume, kg]]/1000</f>
        <v>8.24</v>
      </c>
      <c r="J4266" s="25">
        <v>0.28149999999999997</v>
      </c>
      <c r="K4266" s="25">
        <f t="shared" si="66"/>
        <v>2319.56</v>
      </c>
      <c r="L4266" s="25">
        <v>2.9</v>
      </c>
      <c r="M4266" s="24">
        <v>23896</v>
      </c>
      <c r="N4266" s="25">
        <f>IFERROR(T_reg.root.SK[[#This Row],[Price]]/T_reg.root.SK[[#This Row],[Starch content]],"")</f>
        <v>10.301953818827709</v>
      </c>
    </row>
    <row r="4267" spans="1:14">
      <c r="A4267" s="21">
        <v>2024</v>
      </c>
      <c r="B4267" s="21" t="s">
        <v>27</v>
      </c>
      <c r="C4267" s="21" t="s">
        <v>1145</v>
      </c>
      <c r="D4267" s="21" t="s">
        <v>35</v>
      </c>
      <c r="E4267" s="18" t="s">
        <v>303</v>
      </c>
      <c r="F4267" s="18" t="s">
        <v>105</v>
      </c>
      <c r="G4267" s="18" t="s">
        <v>48</v>
      </c>
      <c r="H4267" s="24">
        <v>21360</v>
      </c>
      <c r="I4267" s="24">
        <f>T_reg.root.SK[[#This Row],[Volume, kg]]/1000</f>
        <v>21.36</v>
      </c>
      <c r="J4267" s="25">
        <v>0.25640000000000002</v>
      </c>
      <c r="K4267" s="25">
        <f t="shared" si="66"/>
        <v>5476.7040000000006</v>
      </c>
      <c r="L4267" s="25">
        <v>2.63</v>
      </c>
      <c r="M4267" s="24">
        <v>56184</v>
      </c>
      <c r="N4267" s="25">
        <f>IFERROR(T_reg.root.SK[[#This Row],[Price]]/T_reg.root.SK[[#This Row],[Starch content]],"")</f>
        <v>10.257410296411855</v>
      </c>
    </row>
    <row r="4268" spans="1:14">
      <c r="A4268" s="21">
        <v>2024</v>
      </c>
      <c r="B4268" s="21" t="s">
        <v>27</v>
      </c>
      <c r="C4268" s="21" t="s">
        <v>1145</v>
      </c>
      <c r="D4268" s="21" t="s">
        <v>35</v>
      </c>
      <c r="E4268" s="18" t="s">
        <v>719</v>
      </c>
      <c r="F4268" s="18" t="s">
        <v>105</v>
      </c>
      <c r="G4268" s="18" t="s">
        <v>48</v>
      </c>
      <c r="H4268" s="24">
        <v>22950</v>
      </c>
      <c r="I4268" s="24">
        <f>T_reg.root.SK[[#This Row],[Volume, kg]]/1000</f>
        <v>22.95</v>
      </c>
      <c r="J4268" s="25">
        <v>0.20129999999999998</v>
      </c>
      <c r="K4268" s="25">
        <f t="shared" si="66"/>
        <v>4619.8349999999991</v>
      </c>
      <c r="L4268" s="25">
        <v>2.33</v>
      </c>
      <c r="M4268" s="24">
        <v>53360.5</v>
      </c>
      <c r="N4268" s="25">
        <f>IFERROR(T_reg.root.SK[[#This Row],[Price]]/T_reg.root.SK[[#This Row],[Starch content]],"")</f>
        <v>11.574764033780429</v>
      </c>
    </row>
    <row r="4269" spans="1:14">
      <c r="A4269" s="21">
        <v>2024</v>
      </c>
      <c r="B4269" s="21" t="s">
        <v>27</v>
      </c>
      <c r="C4269" s="21" t="s">
        <v>1145</v>
      </c>
      <c r="D4269" s="21" t="s">
        <v>35</v>
      </c>
      <c r="E4269" s="18" t="s">
        <v>495</v>
      </c>
      <c r="F4269" s="18" t="s">
        <v>105</v>
      </c>
      <c r="G4269" s="18" t="s">
        <v>48</v>
      </c>
      <c r="H4269" s="24">
        <v>46440</v>
      </c>
      <c r="I4269" s="24">
        <f>T_reg.root.SK[[#This Row],[Volume, kg]]/1000</f>
        <v>46.44</v>
      </c>
      <c r="J4269" s="25">
        <v>0.2457</v>
      </c>
      <c r="K4269" s="25">
        <f t="shared" si="66"/>
        <v>11410.308000000001</v>
      </c>
      <c r="L4269" s="25">
        <v>2.48</v>
      </c>
      <c r="M4269" s="24">
        <v>114980</v>
      </c>
      <c r="N4269" s="25">
        <f>IFERROR(T_reg.root.SK[[#This Row],[Price]]/T_reg.root.SK[[#This Row],[Starch content]],"")</f>
        <v>10.093610093610094</v>
      </c>
    </row>
    <row r="4270" spans="1:14">
      <c r="A4270" s="21">
        <v>2024</v>
      </c>
      <c r="B4270" s="21" t="s">
        <v>27</v>
      </c>
      <c r="C4270" s="21" t="s">
        <v>1145</v>
      </c>
      <c r="D4270" s="21" t="s">
        <v>35</v>
      </c>
      <c r="E4270" s="18" t="s">
        <v>306</v>
      </c>
      <c r="F4270" s="18" t="s">
        <v>105</v>
      </c>
      <c r="G4270" s="18" t="s">
        <v>48</v>
      </c>
      <c r="H4270" s="24">
        <v>132190</v>
      </c>
      <c r="I4270" s="24">
        <f>T_reg.root.SK[[#This Row],[Volume, kg]]/1000</f>
        <v>132.19</v>
      </c>
      <c r="J4270" s="25">
        <v>0.26569999999999999</v>
      </c>
      <c r="K4270" s="25">
        <f t="shared" si="66"/>
        <v>35122.883000000002</v>
      </c>
      <c r="L4270" s="25">
        <v>2.65</v>
      </c>
      <c r="M4270" s="24">
        <v>350462</v>
      </c>
      <c r="N4270" s="25">
        <f>IFERROR(T_reg.root.SK[[#This Row],[Price]]/T_reg.root.SK[[#This Row],[Starch content]],"")</f>
        <v>9.9736544975536319</v>
      </c>
    </row>
    <row r="4271" spans="1:14">
      <c r="A4271" s="21">
        <v>2024</v>
      </c>
      <c r="B4271" s="21" t="s">
        <v>27</v>
      </c>
      <c r="C4271" s="21" t="s">
        <v>1145</v>
      </c>
      <c r="D4271" s="21" t="s">
        <v>35</v>
      </c>
      <c r="E4271" s="18" t="s">
        <v>307</v>
      </c>
      <c r="F4271" s="18" t="s">
        <v>105</v>
      </c>
      <c r="G4271" s="18" t="s">
        <v>48</v>
      </c>
      <c r="H4271" s="24">
        <v>33000</v>
      </c>
      <c r="I4271" s="24">
        <f>T_reg.root.SK[[#This Row],[Volume, kg]]/1000</f>
        <v>33</v>
      </c>
      <c r="J4271" s="25">
        <v>0.249</v>
      </c>
      <c r="K4271" s="25">
        <f t="shared" si="66"/>
        <v>8217</v>
      </c>
      <c r="L4271" s="25">
        <v>2.61</v>
      </c>
      <c r="M4271" s="24">
        <v>86215</v>
      </c>
      <c r="N4271" s="25">
        <f>IFERROR(T_reg.root.SK[[#This Row],[Price]]/T_reg.root.SK[[#This Row],[Starch content]],"")</f>
        <v>10.481927710843372</v>
      </c>
    </row>
    <row r="4272" spans="1:14">
      <c r="A4272" s="21">
        <v>2024</v>
      </c>
      <c r="B4272" s="21" t="s">
        <v>27</v>
      </c>
      <c r="C4272" s="21" t="s">
        <v>1145</v>
      </c>
      <c r="D4272" s="21" t="s">
        <v>35</v>
      </c>
      <c r="E4272" s="18" t="s">
        <v>308</v>
      </c>
      <c r="F4272" s="18" t="s">
        <v>105</v>
      </c>
      <c r="G4272" s="18" t="s">
        <v>48</v>
      </c>
      <c r="H4272" s="24">
        <v>68700</v>
      </c>
      <c r="I4272" s="24">
        <f>T_reg.root.SK[[#This Row],[Volume, kg]]/1000</f>
        <v>68.7</v>
      </c>
      <c r="J4272" s="25">
        <v>0.24230000000000002</v>
      </c>
      <c r="K4272" s="25">
        <f t="shared" si="66"/>
        <v>16646.010000000002</v>
      </c>
      <c r="L4272" s="25">
        <v>2.59</v>
      </c>
      <c r="M4272" s="24">
        <v>177940.5</v>
      </c>
      <c r="N4272" s="25">
        <f>IFERROR(T_reg.root.SK[[#This Row],[Price]]/T_reg.root.SK[[#This Row],[Starch content]],"")</f>
        <v>10.6892282294676</v>
      </c>
    </row>
    <row r="4273" spans="1:14">
      <c r="A4273" s="21">
        <v>2024</v>
      </c>
      <c r="B4273" s="21" t="s">
        <v>27</v>
      </c>
      <c r="C4273" s="21" t="s">
        <v>1145</v>
      </c>
      <c r="D4273" s="21" t="s">
        <v>35</v>
      </c>
      <c r="E4273" s="18" t="s">
        <v>244</v>
      </c>
      <c r="F4273" s="18" t="s">
        <v>105</v>
      </c>
      <c r="G4273" s="18" t="s">
        <v>48</v>
      </c>
      <c r="H4273" s="24">
        <v>152330</v>
      </c>
      <c r="I4273" s="24">
        <f>T_reg.root.SK[[#This Row],[Volume, kg]]/1000</f>
        <v>152.33000000000001</v>
      </c>
      <c r="J4273" s="25">
        <v>0.22699999999999998</v>
      </c>
      <c r="K4273" s="25">
        <f t="shared" si="66"/>
        <v>34578.909999999996</v>
      </c>
      <c r="L4273" s="25">
        <v>2.48</v>
      </c>
      <c r="M4273" s="24">
        <v>377552</v>
      </c>
      <c r="N4273" s="25">
        <f>IFERROR(T_reg.root.SK[[#This Row],[Price]]/T_reg.root.SK[[#This Row],[Starch content]],"")</f>
        <v>10.925110132158592</v>
      </c>
    </row>
    <row r="4274" spans="1:14">
      <c r="A4274" s="21">
        <v>2024</v>
      </c>
      <c r="B4274" s="21" t="s">
        <v>27</v>
      </c>
      <c r="C4274" s="21" t="s">
        <v>1145</v>
      </c>
      <c r="D4274" s="21" t="s">
        <v>35</v>
      </c>
      <c r="E4274" s="18" t="s">
        <v>637</v>
      </c>
      <c r="F4274" s="18" t="s">
        <v>105</v>
      </c>
      <c r="G4274" s="18" t="s">
        <v>48</v>
      </c>
      <c r="H4274" s="24">
        <v>118300</v>
      </c>
      <c r="I4274" s="24">
        <f>T_reg.root.SK[[#This Row],[Volume, kg]]/1000</f>
        <v>118.3</v>
      </c>
      <c r="J4274" s="25">
        <v>0.24629999999999999</v>
      </c>
      <c r="K4274" s="25">
        <f t="shared" si="66"/>
        <v>29137.289999999997</v>
      </c>
      <c r="L4274" s="25">
        <v>2.4900000000000002</v>
      </c>
      <c r="M4274" s="24">
        <v>294431</v>
      </c>
      <c r="N4274" s="25">
        <f>IFERROR(T_reg.root.SK[[#This Row],[Price]]/T_reg.root.SK[[#This Row],[Starch content]],"")</f>
        <v>10.109622411693058</v>
      </c>
    </row>
    <row r="4275" spans="1:14">
      <c r="A4275" s="21">
        <v>2024</v>
      </c>
      <c r="B4275" s="21" t="s">
        <v>27</v>
      </c>
      <c r="C4275" s="21" t="s">
        <v>1145</v>
      </c>
      <c r="D4275" s="21" t="s">
        <v>35</v>
      </c>
      <c r="E4275" s="18" t="s">
        <v>245</v>
      </c>
      <c r="F4275" s="18" t="s">
        <v>105</v>
      </c>
      <c r="G4275" s="18" t="s">
        <v>48</v>
      </c>
      <c r="H4275" s="24">
        <v>71980</v>
      </c>
      <c r="I4275" s="24">
        <f>T_reg.root.SK[[#This Row],[Volume, kg]]/1000</f>
        <v>71.98</v>
      </c>
      <c r="J4275" s="25">
        <v>0.2462</v>
      </c>
      <c r="K4275" s="25">
        <f t="shared" si="66"/>
        <v>17721.475999999999</v>
      </c>
      <c r="L4275" s="25">
        <v>2.6</v>
      </c>
      <c r="M4275" s="24">
        <v>187200</v>
      </c>
      <c r="N4275" s="25">
        <f>IFERROR(T_reg.root.SK[[#This Row],[Price]]/T_reg.root.SK[[#This Row],[Starch content]],"")</f>
        <v>10.560519902518278</v>
      </c>
    </row>
    <row r="4276" spans="1:14">
      <c r="A4276" s="21">
        <v>2024</v>
      </c>
      <c r="B4276" s="21" t="s">
        <v>27</v>
      </c>
      <c r="C4276" s="21" t="s">
        <v>1145</v>
      </c>
      <c r="D4276" s="21" t="s">
        <v>35</v>
      </c>
      <c r="E4276" s="18" t="s">
        <v>738</v>
      </c>
      <c r="F4276" s="18" t="s">
        <v>105</v>
      </c>
      <c r="G4276" s="18" t="s">
        <v>48</v>
      </c>
      <c r="H4276" s="24">
        <v>16480</v>
      </c>
      <c r="I4276" s="24">
        <f>T_reg.root.SK[[#This Row],[Volume, kg]]/1000</f>
        <v>16.48</v>
      </c>
      <c r="J4276" s="25">
        <v>0.2606</v>
      </c>
      <c r="K4276" s="25">
        <f t="shared" si="66"/>
        <v>4294.6880000000001</v>
      </c>
      <c r="L4276" s="25">
        <v>2.61</v>
      </c>
      <c r="M4276" s="24">
        <v>43013</v>
      </c>
      <c r="N4276" s="25">
        <f>IFERROR(T_reg.root.SK[[#This Row],[Price]]/T_reg.root.SK[[#This Row],[Starch content]],"")</f>
        <v>10.015349194167305</v>
      </c>
    </row>
    <row r="4277" spans="1:14">
      <c r="A4277" s="21">
        <v>2024</v>
      </c>
      <c r="B4277" s="21" t="s">
        <v>27</v>
      </c>
      <c r="C4277" s="21" t="s">
        <v>1145</v>
      </c>
      <c r="D4277" s="21" t="s">
        <v>35</v>
      </c>
      <c r="E4277" s="18" t="s">
        <v>933</v>
      </c>
      <c r="F4277" s="18" t="s">
        <v>105</v>
      </c>
      <c r="G4277" s="18" t="s">
        <v>48</v>
      </c>
      <c r="H4277" s="24">
        <v>46000</v>
      </c>
      <c r="I4277" s="24">
        <f>T_reg.root.SK[[#This Row],[Volume, kg]]/1000</f>
        <v>46</v>
      </c>
      <c r="J4277" s="25">
        <v>0.24829999999999999</v>
      </c>
      <c r="K4277" s="25">
        <f t="shared" si="66"/>
        <v>11421.8</v>
      </c>
      <c r="L4277" s="25">
        <v>2.5099999999999998</v>
      </c>
      <c r="M4277" s="24">
        <v>115531</v>
      </c>
      <c r="N4277" s="25">
        <f>IFERROR(T_reg.root.SK[[#This Row],[Price]]/T_reg.root.SK[[#This Row],[Starch content]],"")</f>
        <v>10.108739428111155</v>
      </c>
    </row>
    <row r="4278" spans="1:14">
      <c r="A4278" s="21">
        <v>2024</v>
      </c>
      <c r="B4278" s="21" t="s">
        <v>27</v>
      </c>
      <c r="C4278" s="21" t="s">
        <v>1145</v>
      </c>
      <c r="D4278" s="21" t="s">
        <v>35</v>
      </c>
      <c r="E4278" s="18" t="s">
        <v>568</v>
      </c>
      <c r="F4278" s="18" t="s">
        <v>105</v>
      </c>
      <c r="G4278" s="18" t="s">
        <v>48</v>
      </c>
      <c r="H4278" s="24">
        <v>20490</v>
      </c>
      <c r="I4278" s="24">
        <f>T_reg.root.SK[[#This Row],[Volume, kg]]/1000</f>
        <v>20.49</v>
      </c>
      <c r="J4278" s="25">
        <v>0.27179999999999999</v>
      </c>
      <c r="K4278" s="25">
        <f t="shared" si="66"/>
        <v>5569.1819999999998</v>
      </c>
      <c r="L4278" s="25">
        <v>2.62</v>
      </c>
      <c r="M4278" s="24">
        <v>53602.5</v>
      </c>
      <c r="N4278" s="25">
        <f>IFERROR(T_reg.root.SK[[#This Row],[Price]]/T_reg.root.SK[[#This Row],[Starch content]],"")</f>
        <v>9.6394407652685814</v>
      </c>
    </row>
    <row r="4279" spans="1:14">
      <c r="A4279" s="21">
        <v>2024</v>
      </c>
      <c r="B4279" s="21" t="s">
        <v>27</v>
      </c>
      <c r="C4279" s="21" t="s">
        <v>1145</v>
      </c>
      <c r="D4279" s="21" t="s">
        <v>35</v>
      </c>
      <c r="E4279" s="18" t="s">
        <v>310</v>
      </c>
      <c r="F4279" s="18" t="s">
        <v>105</v>
      </c>
      <c r="G4279" s="18" t="s">
        <v>48</v>
      </c>
      <c r="H4279" s="24">
        <v>4890</v>
      </c>
      <c r="I4279" s="24">
        <f>T_reg.root.SK[[#This Row],[Volume, kg]]/1000</f>
        <v>4.8899999999999997</v>
      </c>
      <c r="J4279" s="25">
        <v>0.26100000000000001</v>
      </c>
      <c r="K4279" s="25">
        <f t="shared" si="66"/>
        <v>1276.29</v>
      </c>
      <c r="L4279" s="25">
        <v>2.5499999999999998</v>
      </c>
      <c r="M4279" s="24">
        <v>12469.5</v>
      </c>
      <c r="N4279" s="25">
        <f>IFERROR(T_reg.root.SK[[#This Row],[Price]]/T_reg.root.SK[[#This Row],[Starch content]],"")</f>
        <v>9.7701149425287355</v>
      </c>
    </row>
    <row r="4280" spans="1:14">
      <c r="A4280" s="21">
        <v>2024</v>
      </c>
      <c r="B4280" s="21" t="s">
        <v>27</v>
      </c>
      <c r="C4280" s="21" t="s">
        <v>1145</v>
      </c>
      <c r="D4280" s="21" t="s">
        <v>35</v>
      </c>
      <c r="E4280" s="18" t="s">
        <v>247</v>
      </c>
      <c r="F4280" s="18" t="s">
        <v>105</v>
      </c>
      <c r="G4280" s="18" t="s">
        <v>48</v>
      </c>
      <c r="H4280" s="24">
        <v>20170</v>
      </c>
      <c r="I4280" s="24">
        <f>T_reg.root.SK[[#This Row],[Volume, kg]]/1000</f>
        <v>20.170000000000002</v>
      </c>
      <c r="J4280" s="25">
        <v>0.25309999999999999</v>
      </c>
      <c r="K4280" s="25">
        <f t="shared" si="66"/>
        <v>5105.027</v>
      </c>
      <c r="L4280" s="25">
        <v>2.5299999999999998</v>
      </c>
      <c r="M4280" s="24">
        <v>50985</v>
      </c>
      <c r="N4280" s="25">
        <f>IFERROR(T_reg.root.SK[[#This Row],[Price]]/T_reg.root.SK[[#This Row],[Starch content]],"")</f>
        <v>9.9960489924930851</v>
      </c>
    </row>
    <row r="4281" spans="1:14">
      <c r="A4281" s="21">
        <v>2024</v>
      </c>
      <c r="B4281" s="21" t="s">
        <v>27</v>
      </c>
      <c r="C4281" s="21" t="s">
        <v>1145</v>
      </c>
      <c r="D4281" s="21" t="s">
        <v>35</v>
      </c>
      <c r="E4281" s="18" t="s">
        <v>143</v>
      </c>
      <c r="F4281" s="18" t="s">
        <v>105</v>
      </c>
      <c r="G4281" s="18" t="s">
        <v>48</v>
      </c>
      <c r="H4281" s="24">
        <v>62580</v>
      </c>
      <c r="I4281" s="24">
        <f>T_reg.root.SK[[#This Row],[Volume, kg]]/1000</f>
        <v>62.58</v>
      </c>
      <c r="J4281" s="25">
        <v>0.21859999999999999</v>
      </c>
      <c r="K4281" s="25">
        <f t="shared" si="66"/>
        <v>13679.987999999999</v>
      </c>
      <c r="L4281" s="25">
        <v>2.4700000000000002</v>
      </c>
      <c r="M4281" s="24">
        <v>154582.5</v>
      </c>
      <c r="N4281" s="25">
        <f>IFERROR(T_reg.root.SK[[#This Row],[Price]]/T_reg.root.SK[[#This Row],[Starch content]],"")</f>
        <v>11.299176578225071</v>
      </c>
    </row>
    <row r="4282" spans="1:14">
      <c r="A4282" s="21">
        <v>2024</v>
      </c>
      <c r="B4282" s="21" t="s">
        <v>27</v>
      </c>
      <c r="C4282" s="21" t="s">
        <v>1145</v>
      </c>
      <c r="D4282" s="21" t="s">
        <v>35</v>
      </c>
      <c r="E4282" s="18" t="s">
        <v>311</v>
      </c>
      <c r="F4282" s="18" t="s">
        <v>105</v>
      </c>
      <c r="G4282" s="18" t="s">
        <v>48</v>
      </c>
      <c r="H4282" s="24">
        <v>6370</v>
      </c>
      <c r="I4282" s="24">
        <f>T_reg.root.SK[[#This Row],[Volume, kg]]/1000</f>
        <v>6.37</v>
      </c>
      <c r="J4282" s="25">
        <v>0.26150000000000001</v>
      </c>
      <c r="K4282" s="25">
        <f t="shared" si="66"/>
        <v>1665.7550000000001</v>
      </c>
      <c r="L4282" s="25">
        <v>2.6</v>
      </c>
      <c r="M4282" s="24">
        <v>16562</v>
      </c>
      <c r="N4282" s="25">
        <f>IFERROR(T_reg.root.SK[[#This Row],[Price]]/T_reg.root.SK[[#This Row],[Starch content]],"")</f>
        <v>9.9426386233269604</v>
      </c>
    </row>
    <row r="4283" spans="1:14">
      <c r="A4283" s="21">
        <v>2024</v>
      </c>
      <c r="B4283" s="21" t="s">
        <v>27</v>
      </c>
      <c r="C4283" s="21" t="s">
        <v>1145</v>
      </c>
      <c r="D4283" s="21" t="s">
        <v>35</v>
      </c>
      <c r="E4283" s="18" t="s">
        <v>312</v>
      </c>
      <c r="F4283" s="18" t="s">
        <v>105</v>
      </c>
      <c r="G4283" s="18" t="s">
        <v>48</v>
      </c>
      <c r="H4283" s="24">
        <v>38640</v>
      </c>
      <c r="I4283" s="24">
        <f>T_reg.root.SK[[#This Row],[Volume, kg]]/1000</f>
        <v>38.64</v>
      </c>
      <c r="J4283" s="25">
        <v>0.23559999999999998</v>
      </c>
      <c r="K4283" s="25">
        <f t="shared" si="66"/>
        <v>9103.5839999999989</v>
      </c>
      <c r="L4283" s="25">
        <v>2.44</v>
      </c>
      <c r="M4283" s="24">
        <v>94473.5</v>
      </c>
      <c r="N4283" s="25">
        <f>IFERROR(T_reg.root.SK[[#This Row],[Price]]/T_reg.root.SK[[#This Row],[Starch content]],"")</f>
        <v>10.356536502546691</v>
      </c>
    </row>
    <row r="4284" spans="1:14">
      <c r="A4284" s="21">
        <v>2024</v>
      </c>
      <c r="B4284" s="21" t="s">
        <v>27</v>
      </c>
      <c r="C4284" s="21" t="s">
        <v>1145</v>
      </c>
      <c r="D4284" s="21" t="s">
        <v>35</v>
      </c>
      <c r="E4284" s="18" t="s">
        <v>144</v>
      </c>
      <c r="F4284" s="18" t="s">
        <v>105</v>
      </c>
      <c r="G4284" s="18" t="s">
        <v>48</v>
      </c>
      <c r="H4284" s="24">
        <v>46730</v>
      </c>
      <c r="I4284" s="24">
        <f>T_reg.root.SK[[#This Row],[Volume, kg]]/1000</f>
        <v>46.73</v>
      </c>
      <c r="J4284" s="25">
        <v>0.27149999999999996</v>
      </c>
      <c r="K4284" s="25">
        <f t="shared" si="66"/>
        <v>12687.194999999998</v>
      </c>
      <c r="L4284" s="25">
        <v>2.65</v>
      </c>
      <c r="M4284" s="24">
        <v>123801</v>
      </c>
      <c r="N4284" s="25">
        <f>IFERROR(T_reg.root.SK[[#This Row],[Price]]/T_reg.root.SK[[#This Row],[Starch content]],"")</f>
        <v>9.7605893186003687</v>
      </c>
    </row>
    <row r="4285" spans="1:14">
      <c r="A4285" s="21">
        <v>2024</v>
      </c>
      <c r="B4285" s="21" t="s">
        <v>27</v>
      </c>
      <c r="C4285" s="21" t="s">
        <v>1145</v>
      </c>
      <c r="D4285" s="21" t="s">
        <v>35</v>
      </c>
      <c r="E4285" s="18" t="s">
        <v>361</v>
      </c>
      <c r="F4285" s="18" t="s">
        <v>105</v>
      </c>
      <c r="G4285" s="18" t="s">
        <v>48</v>
      </c>
      <c r="H4285" s="24">
        <v>0</v>
      </c>
      <c r="I4285" s="24">
        <f>T_reg.root.SK[[#This Row],[Volume, kg]]/1000</f>
        <v>0</v>
      </c>
      <c r="J4285" s="25">
        <v>0</v>
      </c>
      <c r="K4285" s="25">
        <f t="shared" si="66"/>
        <v>0</v>
      </c>
      <c r="L4285" s="25">
        <v>0</v>
      </c>
      <c r="M4285" s="24">
        <v>0</v>
      </c>
      <c r="N4285" s="25" t="str">
        <f>IFERROR(T_reg.root.SK[[#This Row],[Price]]/T_reg.root.SK[[#This Row],[Starch content]],"")</f>
        <v/>
      </c>
    </row>
    <row r="4286" spans="1:14">
      <c r="A4286" s="21">
        <v>2024</v>
      </c>
      <c r="B4286" s="21" t="s">
        <v>27</v>
      </c>
      <c r="C4286" s="21" t="s">
        <v>1145</v>
      </c>
      <c r="D4286" s="21" t="s">
        <v>35</v>
      </c>
      <c r="E4286" s="18" t="s">
        <v>146</v>
      </c>
      <c r="F4286" s="18" t="s">
        <v>105</v>
      </c>
      <c r="G4286" s="18" t="s">
        <v>48</v>
      </c>
      <c r="H4286" s="24">
        <v>658940</v>
      </c>
      <c r="I4286" s="24">
        <f>T_reg.root.SK[[#This Row],[Volume, kg]]/1000</f>
        <v>658.94</v>
      </c>
      <c r="J4286" s="25">
        <v>0.2336</v>
      </c>
      <c r="K4286" s="25">
        <f t="shared" si="66"/>
        <v>153928.38399999999</v>
      </c>
      <c r="L4286" s="25">
        <v>2.52</v>
      </c>
      <c r="M4286" s="24">
        <v>1660928.5</v>
      </c>
      <c r="N4286" s="25">
        <f>IFERROR(T_reg.root.SK[[#This Row],[Price]]/T_reg.root.SK[[#This Row],[Starch content]],"")</f>
        <v>10.787671232876713</v>
      </c>
    </row>
    <row r="4287" spans="1:14">
      <c r="A4287" s="21">
        <v>2024</v>
      </c>
      <c r="B4287" s="21" t="s">
        <v>27</v>
      </c>
      <c r="C4287" s="21" t="s">
        <v>1145</v>
      </c>
      <c r="D4287" s="21" t="s">
        <v>35</v>
      </c>
      <c r="E4287" s="18" t="s">
        <v>249</v>
      </c>
      <c r="F4287" s="18" t="s">
        <v>105</v>
      </c>
      <c r="G4287" s="18" t="s">
        <v>48</v>
      </c>
      <c r="H4287" s="24">
        <v>18130</v>
      </c>
      <c r="I4287" s="24">
        <f>T_reg.root.SK[[#This Row],[Volume, kg]]/1000</f>
        <v>18.13</v>
      </c>
      <c r="J4287" s="25">
        <v>0.2412</v>
      </c>
      <c r="K4287" s="25">
        <f t="shared" si="66"/>
        <v>4372.9560000000001</v>
      </c>
      <c r="L4287" s="25">
        <v>2.6</v>
      </c>
      <c r="M4287" s="24">
        <v>47138</v>
      </c>
      <c r="N4287" s="25">
        <f>IFERROR(T_reg.root.SK[[#This Row],[Price]]/T_reg.root.SK[[#This Row],[Starch content]],"")</f>
        <v>10.779436152570481</v>
      </c>
    </row>
    <row r="4288" spans="1:14">
      <c r="A4288" s="21">
        <v>2024</v>
      </c>
      <c r="B4288" s="21" t="s">
        <v>27</v>
      </c>
      <c r="C4288" s="21" t="s">
        <v>1145</v>
      </c>
      <c r="D4288" s="21" t="s">
        <v>35</v>
      </c>
      <c r="E4288" s="18" t="s">
        <v>569</v>
      </c>
      <c r="F4288" s="18" t="s">
        <v>105</v>
      </c>
      <c r="G4288" s="18" t="s">
        <v>48</v>
      </c>
      <c r="H4288" s="24">
        <v>3530</v>
      </c>
      <c r="I4288" s="24">
        <f>T_reg.root.SK[[#This Row],[Volume, kg]]/1000</f>
        <v>3.53</v>
      </c>
      <c r="J4288" s="25">
        <v>0.20399999999999999</v>
      </c>
      <c r="K4288" s="25">
        <f t="shared" si="66"/>
        <v>720.12</v>
      </c>
      <c r="L4288" s="25">
        <v>2.25</v>
      </c>
      <c r="M4288" s="24">
        <v>7942.5</v>
      </c>
      <c r="N4288" s="25">
        <f>IFERROR(T_reg.root.SK[[#This Row],[Price]]/T_reg.root.SK[[#This Row],[Starch content]],"")</f>
        <v>11.029411764705882</v>
      </c>
    </row>
    <row r="4289" spans="1:14">
      <c r="A4289" s="21">
        <v>2024</v>
      </c>
      <c r="B4289" s="21" t="s">
        <v>27</v>
      </c>
      <c r="C4289" s="21" t="s">
        <v>1145</v>
      </c>
      <c r="D4289" s="21" t="s">
        <v>35</v>
      </c>
      <c r="E4289" s="18" t="s">
        <v>668</v>
      </c>
      <c r="F4289" s="18" t="s">
        <v>105</v>
      </c>
      <c r="G4289" s="18" t="s">
        <v>48</v>
      </c>
      <c r="H4289" s="24">
        <v>20740</v>
      </c>
      <c r="I4289" s="24">
        <f>T_reg.root.SK[[#This Row],[Volume, kg]]/1000</f>
        <v>20.74</v>
      </c>
      <c r="J4289" s="25">
        <v>0.24760000000000001</v>
      </c>
      <c r="K4289" s="25">
        <f t="shared" si="66"/>
        <v>5135.2240000000002</v>
      </c>
      <c r="L4289" s="25">
        <v>2.5299999999999998</v>
      </c>
      <c r="M4289" s="24">
        <v>52392.5</v>
      </c>
      <c r="N4289" s="25">
        <f>IFERROR(T_reg.root.SK[[#This Row],[Price]]/T_reg.root.SK[[#This Row],[Starch content]],"")</f>
        <v>10.218093699515347</v>
      </c>
    </row>
    <row r="4290" spans="1:14">
      <c r="A4290" s="21">
        <v>2024</v>
      </c>
      <c r="B4290" s="21" t="s">
        <v>27</v>
      </c>
      <c r="C4290" s="21" t="s">
        <v>1145</v>
      </c>
      <c r="D4290" s="21" t="s">
        <v>35</v>
      </c>
      <c r="E4290" s="18" t="s">
        <v>147</v>
      </c>
      <c r="F4290" s="18" t="s">
        <v>105</v>
      </c>
      <c r="G4290" s="18" t="s">
        <v>48</v>
      </c>
      <c r="H4290" s="24">
        <v>104780</v>
      </c>
      <c r="I4290" s="24">
        <f>T_reg.root.SK[[#This Row],[Volume, kg]]/1000</f>
        <v>104.78</v>
      </c>
      <c r="J4290" s="25">
        <v>0.22589999999999999</v>
      </c>
      <c r="K4290" s="25">
        <f t="shared" si="66"/>
        <v>23669.802</v>
      </c>
      <c r="L4290" s="25">
        <v>2.5299999999999998</v>
      </c>
      <c r="M4290" s="24">
        <v>264936.5</v>
      </c>
      <c r="N4290" s="25">
        <f>IFERROR(T_reg.root.SK[[#This Row],[Price]]/T_reg.root.SK[[#This Row],[Starch content]],"")</f>
        <v>11.199645861000443</v>
      </c>
    </row>
    <row r="4291" spans="1:14">
      <c r="A4291" s="21">
        <v>2024</v>
      </c>
      <c r="B4291" s="21" t="s">
        <v>27</v>
      </c>
      <c r="C4291" s="21" t="s">
        <v>1145</v>
      </c>
      <c r="D4291" s="21" t="s">
        <v>35</v>
      </c>
      <c r="E4291" s="18" t="s">
        <v>363</v>
      </c>
      <c r="F4291" s="18" t="s">
        <v>105</v>
      </c>
      <c r="G4291" s="18" t="s">
        <v>48</v>
      </c>
      <c r="H4291" s="24">
        <v>219050</v>
      </c>
      <c r="I4291" s="24">
        <f>T_reg.root.SK[[#This Row],[Volume, kg]]/1000</f>
        <v>219.05</v>
      </c>
      <c r="J4291" s="25">
        <v>0.25619999999999998</v>
      </c>
      <c r="K4291" s="25">
        <f t="shared" ref="K4291:K4354" si="67">H4291*J4291</f>
        <v>56120.609999999993</v>
      </c>
      <c r="L4291" s="25">
        <v>2.65</v>
      </c>
      <c r="M4291" s="24">
        <v>579522</v>
      </c>
      <c r="N4291" s="25">
        <f>IFERROR(T_reg.root.SK[[#This Row],[Price]]/T_reg.root.SK[[#This Row],[Starch content]],"")</f>
        <v>10.343481654957065</v>
      </c>
    </row>
    <row r="4292" spans="1:14">
      <c r="A4292" s="21">
        <v>2024</v>
      </c>
      <c r="B4292" s="21" t="s">
        <v>27</v>
      </c>
      <c r="C4292" s="21" t="s">
        <v>1145</v>
      </c>
      <c r="D4292" s="21" t="s">
        <v>35</v>
      </c>
      <c r="E4292" s="18" t="s">
        <v>251</v>
      </c>
      <c r="F4292" s="18" t="s">
        <v>105</v>
      </c>
      <c r="G4292" s="18" t="s">
        <v>48</v>
      </c>
      <c r="H4292" s="24">
        <v>27420</v>
      </c>
      <c r="I4292" s="24">
        <f>T_reg.root.SK[[#This Row],[Volume, kg]]/1000</f>
        <v>27.42</v>
      </c>
      <c r="J4292" s="25">
        <v>0.2671</v>
      </c>
      <c r="K4292" s="25">
        <f t="shared" si="67"/>
        <v>7323.8820000000005</v>
      </c>
      <c r="L4292" s="25">
        <v>2.59</v>
      </c>
      <c r="M4292" s="24">
        <v>70895.5</v>
      </c>
      <c r="N4292" s="25">
        <f>IFERROR(T_reg.root.SK[[#This Row],[Price]]/T_reg.root.SK[[#This Row],[Starch content]],"")</f>
        <v>9.6967427929614374</v>
      </c>
    </row>
    <row r="4293" spans="1:14">
      <c r="A4293" s="21">
        <v>2024</v>
      </c>
      <c r="B4293" s="21" t="s">
        <v>27</v>
      </c>
      <c r="C4293" s="21" t="s">
        <v>1145</v>
      </c>
      <c r="D4293" s="21" t="s">
        <v>35</v>
      </c>
      <c r="E4293" s="18" t="s">
        <v>148</v>
      </c>
      <c r="F4293" s="18" t="s">
        <v>105</v>
      </c>
      <c r="G4293" s="18" t="s">
        <v>48</v>
      </c>
      <c r="H4293" s="24">
        <v>60090</v>
      </c>
      <c r="I4293" s="24">
        <f>T_reg.root.SK[[#This Row],[Volume, kg]]/1000</f>
        <v>60.09</v>
      </c>
      <c r="J4293" s="25">
        <v>0.22309999999999999</v>
      </c>
      <c r="K4293" s="25">
        <f t="shared" si="67"/>
        <v>13406.079</v>
      </c>
      <c r="L4293" s="25">
        <v>2.41</v>
      </c>
      <c r="M4293" s="24">
        <v>144769.5</v>
      </c>
      <c r="N4293" s="25">
        <f>IFERROR(T_reg.root.SK[[#This Row],[Price]]/T_reg.root.SK[[#This Row],[Starch content]],"")</f>
        <v>10.802330793366204</v>
      </c>
    </row>
    <row r="4294" spans="1:14">
      <c r="A4294" s="21">
        <v>2024</v>
      </c>
      <c r="B4294" s="21" t="s">
        <v>27</v>
      </c>
      <c r="C4294" s="21" t="s">
        <v>1145</v>
      </c>
      <c r="D4294" s="21" t="s">
        <v>35</v>
      </c>
      <c r="E4294" s="18" t="s">
        <v>252</v>
      </c>
      <c r="F4294" s="18" t="s">
        <v>105</v>
      </c>
      <c r="G4294" s="18" t="s">
        <v>48</v>
      </c>
      <c r="H4294" s="24">
        <v>38760</v>
      </c>
      <c r="I4294" s="24">
        <f>T_reg.root.SK[[#This Row],[Volume, kg]]/1000</f>
        <v>38.76</v>
      </c>
      <c r="J4294" s="25">
        <v>0.26800000000000002</v>
      </c>
      <c r="K4294" s="25">
        <f t="shared" si="67"/>
        <v>10387.68</v>
      </c>
      <c r="L4294" s="25">
        <v>2.72</v>
      </c>
      <c r="M4294" s="24">
        <v>105455</v>
      </c>
      <c r="N4294" s="25">
        <f>IFERROR(T_reg.root.SK[[#This Row],[Price]]/T_reg.root.SK[[#This Row],[Starch content]],"")</f>
        <v>10.149253731343284</v>
      </c>
    </row>
    <row r="4295" spans="1:14">
      <c r="A4295" s="21">
        <v>2024</v>
      </c>
      <c r="B4295" s="21" t="s">
        <v>27</v>
      </c>
      <c r="C4295" s="21" t="s">
        <v>1145</v>
      </c>
      <c r="D4295" s="21" t="s">
        <v>35</v>
      </c>
      <c r="E4295" s="18" t="s">
        <v>314</v>
      </c>
      <c r="F4295" s="18" t="s">
        <v>105</v>
      </c>
      <c r="G4295" s="18" t="s">
        <v>48</v>
      </c>
      <c r="H4295" s="24">
        <v>31490</v>
      </c>
      <c r="I4295" s="24">
        <f>T_reg.root.SK[[#This Row],[Volume, kg]]/1000</f>
        <v>31.49</v>
      </c>
      <c r="J4295" s="25">
        <v>0.23199999999999998</v>
      </c>
      <c r="K4295" s="25">
        <f t="shared" si="67"/>
        <v>7305.6799999999994</v>
      </c>
      <c r="L4295" s="25">
        <v>2.44</v>
      </c>
      <c r="M4295" s="24">
        <v>76968.5</v>
      </c>
      <c r="N4295" s="25">
        <f>IFERROR(T_reg.root.SK[[#This Row],[Price]]/T_reg.root.SK[[#This Row],[Starch content]],"")</f>
        <v>10.517241379310345</v>
      </c>
    </row>
    <row r="4296" spans="1:14">
      <c r="A4296" s="21">
        <v>2024</v>
      </c>
      <c r="B4296" s="21" t="s">
        <v>27</v>
      </c>
      <c r="C4296" s="21" t="s">
        <v>1145</v>
      </c>
      <c r="D4296" s="21" t="s">
        <v>35</v>
      </c>
      <c r="E4296" s="18" t="s">
        <v>150</v>
      </c>
      <c r="F4296" s="18" t="s">
        <v>105</v>
      </c>
      <c r="G4296" s="18" t="s">
        <v>48</v>
      </c>
      <c r="H4296" s="24">
        <v>27880</v>
      </c>
      <c r="I4296" s="24">
        <f>T_reg.root.SK[[#This Row],[Volume, kg]]/1000</f>
        <v>27.88</v>
      </c>
      <c r="J4296" s="25">
        <v>0.247</v>
      </c>
      <c r="K4296" s="25">
        <f t="shared" si="67"/>
        <v>6886.36</v>
      </c>
      <c r="L4296" s="25">
        <v>2.63</v>
      </c>
      <c r="M4296" s="24">
        <v>73308.5</v>
      </c>
      <c r="N4296" s="25">
        <f>IFERROR(T_reg.root.SK[[#This Row],[Price]]/T_reg.root.SK[[#This Row],[Starch content]],"")</f>
        <v>10.647773279352226</v>
      </c>
    </row>
    <row r="4297" spans="1:14">
      <c r="A4297" s="21">
        <v>2024</v>
      </c>
      <c r="B4297" s="21" t="s">
        <v>27</v>
      </c>
      <c r="C4297" s="21" t="s">
        <v>1145</v>
      </c>
      <c r="D4297" s="21" t="s">
        <v>35</v>
      </c>
      <c r="E4297" s="18" t="s">
        <v>151</v>
      </c>
      <c r="F4297" s="18" t="s">
        <v>105</v>
      </c>
      <c r="G4297" s="18" t="s">
        <v>48</v>
      </c>
      <c r="H4297" s="24">
        <v>1104370</v>
      </c>
      <c r="I4297" s="24">
        <f>T_reg.root.SK[[#This Row],[Volume, kg]]/1000</f>
        <v>1104.3699999999999</v>
      </c>
      <c r="J4297" s="25">
        <v>0.24789999999999998</v>
      </c>
      <c r="K4297" s="25">
        <f t="shared" si="67"/>
        <v>273773.32299999997</v>
      </c>
      <c r="L4297" s="25">
        <v>2.56</v>
      </c>
      <c r="M4297" s="24">
        <v>2830034.5</v>
      </c>
      <c r="N4297" s="25">
        <f>IFERROR(T_reg.root.SK[[#This Row],[Price]]/T_reg.root.SK[[#This Row],[Starch content]],"")</f>
        <v>10.326744655102866</v>
      </c>
    </row>
    <row r="4298" spans="1:14">
      <c r="A4298" s="21">
        <v>2024</v>
      </c>
      <c r="B4298" s="21" t="s">
        <v>27</v>
      </c>
      <c r="C4298" s="21" t="s">
        <v>1145</v>
      </c>
      <c r="D4298" s="21" t="s">
        <v>35</v>
      </c>
      <c r="E4298" s="18" t="s">
        <v>316</v>
      </c>
      <c r="F4298" s="18" t="s">
        <v>105</v>
      </c>
      <c r="G4298" s="18" t="s">
        <v>48</v>
      </c>
      <c r="H4298" s="24">
        <v>6640</v>
      </c>
      <c r="I4298" s="24">
        <f>T_reg.root.SK[[#This Row],[Volume, kg]]/1000</f>
        <v>6.64</v>
      </c>
      <c r="J4298" s="25">
        <v>0.18149999999999999</v>
      </c>
      <c r="K4298" s="25">
        <f t="shared" si="67"/>
        <v>1205.1599999999999</v>
      </c>
      <c r="L4298" s="25">
        <v>2.25</v>
      </c>
      <c r="M4298" s="24">
        <v>14940</v>
      </c>
      <c r="N4298" s="25">
        <f>IFERROR(T_reg.root.SK[[#This Row],[Price]]/T_reg.root.SK[[#This Row],[Starch content]],"")</f>
        <v>12.396694214876034</v>
      </c>
    </row>
    <row r="4299" spans="1:14">
      <c r="A4299" s="21">
        <v>2024</v>
      </c>
      <c r="B4299" s="21" t="s">
        <v>27</v>
      </c>
      <c r="C4299" s="21" t="s">
        <v>1145</v>
      </c>
      <c r="D4299" s="21" t="s">
        <v>35</v>
      </c>
      <c r="E4299" s="18" t="s">
        <v>152</v>
      </c>
      <c r="F4299" s="18" t="s">
        <v>105</v>
      </c>
      <c r="G4299" s="18" t="s">
        <v>48</v>
      </c>
      <c r="H4299" s="24">
        <v>16630</v>
      </c>
      <c r="I4299" s="24">
        <f>T_reg.root.SK[[#This Row],[Volume, kg]]/1000</f>
        <v>16.63</v>
      </c>
      <c r="J4299" s="25">
        <v>0.24739999999999998</v>
      </c>
      <c r="K4299" s="25">
        <f t="shared" si="67"/>
        <v>4114.2619999999997</v>
      </c>
      <c r="L4299" s="25">
        <v>2.68</v>
      </c>
      <c r="M4299" s="24">
        <v>44594</v>
      </c>
      <c r="N4299" s="25">
        <f>IFERROR(T_reg.root.SK[[#This Row],[Price]]/T_reg.root.SK[[#This Row],[Starch content]],"")</f>
        <v>10.832659660468877</v>
      </c>
    </row>
    <row r="4300" spans="1:14">
      <c r="A4300" s="21">
        <v>2024</v>
      </c>
      <c r="B4300" s="21" t="s">
        <v>27</v>
      </c>
      <c r="C4300" s="21" t="s">
        <v>1145</v>
      </c>
      <c r="D4300" s="21" t="s">
        <v>35</v>
      </c>
      <c r="E4300" s="18" t="s">
        <v>154</v>
      </c>
      <c r="F4300" s="18" t="s">
        <v>105</v>
      </c>
      <c r="G4300" s="18" t="s">
        <v>48</v>
      </c>
      <c r="H4300" s="24">
        <v>4500</v>
      </c>
      <c r="I4300" s="24">
        <f>T_reg.root.SK[[#This Row],[Volume, kg]]/1000</f>
        <v>4.5</v>
      </c>
      <c r="J4300" s="25">
        <v>0.193</v>
      </c>
      <c r="K4300" s="25">
        <f t="shared" si="67"/>
        <v>868.5</v>
      </c>
      <c r="L4300" s="25">
        <v>2.2000000000000002</v>
      </c>
      <c r="M4300" s="24">
        <v>9900</v>
      </c>
      <c r="N4300" s="25">
        <f>IFERROR(T_reg.root.SK[[#This Row],[Price]]/T_reg.root.SK[[#This Row],[Starch content]],"")</f>
        <v>11.39896373056995</v>
      </c>
    </row>
    <row r="4301" spans="1:14">
      <c r="A4301" s="21">
        <v>2024</v>
      </c>
      <c r="B4301" s="21" t="s">
        <v>27</v>
      </c>
      <c r="C4301" s="21" t="s">
        <v>1145</v>
      </c>
      <c r="D4301" s="21" t="s">
        <v>35</v>
      </c>
      <c r="E4301" s="18" t="s">
        <v>155</v>
      </c>
      <c r="F4301" s="18" t="s">
        <v>105</v>
      </c>
      <c r="G4301" s="18" t="s">
        <v>48</v>
      </c>
      <c r="H4301" s="24">
        <v>20810</v>
      </c>
      <c r="I4301" s="24">
        <f>T_reg.root.SK[[#This Row],[Volume, kg]]/1000</f>
        <v>20.81</v>
      </c>
      <c r="J4301" s="25">
        <v>0.2402</v>
      </c>
      <c r="K4301" s="25">
        <f t="shared" si="67"/>
        <v>4998.5619999999999</v>
      </c>
      <c r="L4301" s="25">
        <v>2.5099999999999998</v>
      </c>
      <c r="M4301" s="24">
        <v>52155</v>
      </c>
      <c r="N4301" s="25">
        <f>IFERROR(T_reg.root.SK[[#This Row],[Price]]/T_reg.root.SK[[#This Row],[Starch content]],"")</f>
        <v>10.4496253122398</v>
      </c>
    </row>
    <row r="4302" spans="1:14">
      <c r="A4302" s="21">
        <v>2024</v>
      </c>
      <c r="B4302" s="21" t="s">
        <v>27</v>
      </c>
      <c r="C4302" s="21" t="s">
        <v>1145</v>
      </c>
      <c r="D4302" s="21" t="s">
        <v>35</v>
      </c>
      <c r="E4302" s="18" t="s">
        <v>934</v>
      </c>
      <c r="F4302" s="18" t="s">
        <v>105</v>
      </c>
      <c r="G4302" s="18" t="s">
        <v>48</v>
      </c>
      <c r="H4302" s="24">
        <v>27240</v>
      </c>
      <c r="I4302" s="24">
        <f>T_reg.root.SK[[#This Row],[Volume, kg]]/1000</f>
        <v>27.24</v>
      </c>
      <c r="J4302" s="25">
        <v>0.23809999999999998</v>
      </c>
      <c r="K4302" s="25">
        <f t="shared" si="67"/>
        <v>6485.8439999999991</v>
      </c>
      <c r="L4302" s="25">
        <v>2.46</v>
      </c>
      <c r="M4302" s="24">
        <v>67135.5</v>
      </c>
      <c r="N4302" s="25">
        <f>IFERROR(T_reg.root.SK[[#This Row],[Price]]/T_reg.root.SK[[#This Row],[Starch content]],"")</f>
        <v>10.331793364132718</v>
      </c>
    </row>
    <row r="4303" spans="1:14">
      <c r="A4303" s="21">
        <v>2024</v>
      </c>
      <c r="B4303" s="21" t="s">
        <v>27</v>
      </c>
      <c r="C4303" s="21" t="s">
        <v>1145</v>
      </c>
      <c r="D4303" s="21" t="s">
        <v>35</v>
      </c>
      <c r="E4303" s="18" t="s">
        <v>159</v>
      </c>
      <c r="F4303" s="18" t="s">
        <v>105</v>
      </c>
      <c r="G4303" s="18" t="s">
        <v>48</v>
      </c>
      <c r="H4303" s="24">
        <v>261990</v>
      </c>
      <c r="I4303" s="24">
        <f>T_reg.root.SK[[#This Row],[Volume, kg]]/1000</f>
        <v>261.99</v>
      </c>
      <c r="J4303" s="25">
        <v>0.2505</v>
      </c>
      <c r="K4303" s="25">
        <f t="shared" si="67"/>
        <v>65628.494999999995</v>
      </c>
      <c r="L4303" s="25">
        <v>2.52</v>
      </c>
      <c r="M4303" s="24">
        <v>661497</v>
      </c>
      <c r="N4303" s="25">
        <f>IFERROR(T_reg.root.SK[[#This Row],[Price]]/T_reg.root.SK[[#This Row],[Starch content]],"")</f>
        <v>10.059880239520957</v>
      </c>
    </row>
    <row r="4304" spans="1:14">
      <c r="A4304" s="21">
        <v>2024</v>
      </c>
      <c r="B4304" s="21" t="s">
        <v>27</v>
      </c>
      <c r="C4304" s="21" t="s">
        <v>1145</v>
      </c>
      <c r="D4304" s="21" t="s">
        <v>35</v>
      </c>
      <c r="E4304" s="18" t="s">
        <v>255</v>
      </c>
      <c r="F4304" s="18" t="s">
        <v>105</v>
      </c>
      <c r="G4304" s="18" t="s">
        <v>48</v>
      </c>
      <c r="H4304" s="24">
        <v>92870</v>
      </c>
      <c r="I4304" s="24">
        <f>T_reg.root.SK[[#This Row],[Volume, kg]]/1000</f>
        <v>92.87</v>
      </c>
      <c r="J4304" s="25">
        <v>0.26039999999999996</v>
      </c>
      <c r="K4304" s="25">
        <f t="shared" si="67"/>
        <v>24183.347999999998</v>
      </c>
      <c r="L4304" s="25">
        <v>2.59</v>
      </c>
      <c r="M4304" s="24">
        <v>240345.5</v>
      </c>
      <c r="N4304" s="25">
        <f>IFERROR(T_reg.root.SK[[#This Row],[Price]]/T_reg.root.SK[[#This Row],[Starch content]],"")</f>
        <v>9.9462365591397859</v>
      </c>
    </row>
    <row r="4305" spans="1:14">
      <c r="A4305" s="21">
        <v>2024</v>
      </c>
      <c r="B4305" s="21" t="s">
        <v>27</v>
      </c>
      <c r="C4305" s="21" t="s">
        <v>1145</v>
      </c>
      <c r="D4305" s="21" t="s">
        <v>35</v>
      </c>
      <c r="E4305" s="18" t="s">
        <v>721</v>
      </c>
      <c r="F4305" s="18" t="s">
        <v>105</v>
      </c>
      <c r="G4305" s="18" t="s">
        <v>48</v>
      </c>
      <c r="H4305" s="24">
        <v>16880</v>
      </c>
      <c r="I4305" s="24">
        <f>T_reg.root.SK[[#This Row],[Volume, kg]]/1000</f>
        <v>16.88</v>
      </c>
      <c r="J4305" s="25">
        <v>0.19600000000000001</v>
      </c>
      <c r="K4305" s="25">
        <f t="shared" si="67"/>
        <v>3308.48</v>
      </c>
      <c r="L4305" s="25">
        <v>2.25</v>
      </c>
      <c r="M4305" s="24">
        <v>37980</v>
      </c>
      <c r="N4305" s="25">
        <f>IFERROR(T_reg.root.SK[[#This Row],[Price]]/T_reg.root.SK[[#This Row],[Starch content]],"")</f>
        <v>11.479591836734693</v>
      </c>
    </row>
    <row r="4306" spans="1:14">
      <c r="A4306" s="21">
        <v>2024</v>
      </c>
      <c r="B4306" s="21" t="s">
        <v>27</v>
      </c>
      <c r="C4306" s="21" t="s">
        <v>1145</v>
      </c>
      <c r="D4306" s="21" t="s">
        <v>35</v>
      </c>
      <c r="E4306" s="18" t="s">
        <v>161</v>
      </c>
      <c r="F4306" s="18" t="s">
        <v>105</v>
      </c>
      <c r="G4306" s="18" t="s">
        <v>48</v>
      </c>
      <c r="H4306" s="24">
        <v>150090</v>
      </c>
      <c r="I4306" s="24">
        <f>T_reg.root.SK[[#This Row],[Volume, kg]]/1000</f>
        <v>150.09</v>
      </c>
      <c r="J4306" s="25">
        <v>0.23899999999999999</v>
      </c>
      <c r="K4306" s="25">
        <f t="shared" si="67"/>
        <v>35871.51</v>
      </c>
      <c r="L4306" s="25">
        <v>2.54</v>
      </c>
      <c r="M4306" s="24">
        <v>381905</v>
      </c>
      <c r="N4306" s="25">
        <f>IFERROR(T_reg.root.SK[[#This Row],[Price]]/T_reg.root.SK[[#This Row],[Starch content]],"")</f>
        <v>10.627615062761507</v>
      </c>
    </row>
    <row r="4307" spans="1:14">
      <c r="A4307" s="21">
        <v>2024</v>
      </c>
      <c r="B4307" s="21" t="s">
        <v>27</v>
      </c>
      <c r="C4307" s="21" t="s">
        <v>1145</v>
      </c>
      <c r="D4307" s="21" t="s">
        <v>35</v>
      </c>
      <c r="E4307" s="18" t="s">
        <v>165</v>
      </c>
      <c r="F4307" s="18" t="s">
        <v>105</v>
      </c>
      <c r="G4307" s="18" t="s">
        <v>48</v>
      </c>
      <c r="H4307" s="24">
        <v>55230</v>
      </c>
      <c r="I4307" s="24">
        <f>T_reg.root.SK[[#This Row],[Volume, kg]]/1000</f>
        <v>55.23</v>
      </c>
      <c r="J4307" s="25">
        <v>0.25519999999999998</v>
      </c>
      <c r="K4307" s="25">
        <f t="shared" si="67"/>
        <v>14094.696</v>
      </c>
      <c r="L4307" s="25">
        <v>2.5299999999999998</v>
      </c>
      <c r="M4307" s="24">
        <v>139708</v>
      </c>
      <c r="N4307" s="25">
        <f>IFERROR(T_reg.root.SK[[#This Row],[Price]]/T_reg.root.SK[[#This Row],[Starch content]],"")</f>
        <v>9.9137931034482758</v>
      </c>
    </row>
    <row r="4308" spans="1:14">
      <c r="A4308" s="21">
        <v>2024</v>
      </c>
      <c r="B4308" s="21" t="s">
        <v>27</v>
      </c>
      <c r="C4308" s="21" t="s">
        <v>1145</v>
      </c>
      <c r="D4308" s="21" t="s">
        <v>35</v>
      </c>
      <c r="E4308" s="18" t="s">
        <v>670</v>
      </c>
      <c r="F4308" s="18" t="s">
        <v>105</v>
      </c>
      <c r="G4308" s="18" t="s">
        <v>48</v>
      </c>
      <c r="H4308" s="24">
        <v>148340</v>
      </c>
      <c r="I4308" s="24">
        <f>T_reg.root.SK[[#This Row],[Volume, kg]]/1000</f>
        <v>148.34</v>
      </c>
      <c r="J4308" s="25">
        <v>0.217</v>
      </c>
      <c r="K4308" s="25">
        <f t="shared" si="67"/>
        <v>32189.78</v>
      </c>
      <c r="L4308" s="25">
        <v>2.36</v>
      </c>
      <c r="M4308" s="24">
        <v>349503</v>
      </c>
      <c r="N4308" s="25">
        <f>IFERROR(T_reg.root.SK[[#This Row],[Price]]/T_reg.root.SK[[#This Row],[Starch content]],"")</f>
        <v>10.875576036866359</v>
      </c>
    </row>
    <row r="4309" spans="1:14">
      <c r="A4309" s="21">
        <v>2024</v>
      </c>
      <c r="B4309" s="21" t="s">
        <v>27</v>
      </c>
      <c r="C4309" s="21" t="s">
        <v>1145</v>
      </c>
      <c r="D4309" s="21" t="s">
        <v>35</v>
      </c>
      <c r="E4309" s="18" t="s">
        <v>502</v>
      </c>
      <c r="F4309" s="18" t="s">
        <v>105</v>
      </c>
      <c r="G4309" s="18" t="s">
        <v>48</v>
      </c>
      <c r="H4309" s="24">
        <v>16620</v>
      </c>
      <c r="I4309" s="24">
        <f>T_reg.root.SK[[#This Row],[Volume, kg]]/1000</f>
        <v>16.62</v>
      </c>
      <c r="J4309" s="25">
        <v>0.21359999999999998</v>
      </c>
      <c r="K4309" s="25">
        <f t="shared" si="67"/>
        <v>3550.0319999999997</v>
      </c>
      <c r="L4309" s="25">
        <v>2.4700000000000002</v>
      </c>
      <c r="M4309" s="24">
        <v>41128.5</v>
      </c>
      <c r="N4309" s="25">
        <f>IFERROR(T_reg.root.SK[[#This Row],[Price]]/T_reg.root.SK[[#This Row],[Starch content]],"")</f>
        <v>11.56367041198502</v>
      </c>
    </row>
    <row r="4310" spans="1:14">
      <c r="A4310" s="21">
        <v>2024</v>
      </c>
      <c r="B4310" s="21" t="s">
        <v>27</v>
      </c>
      <c r="C4310" s="21" t="s">
        <v>1145</v>
      </c>
      <c r="D4310" s="21" t="s">
        <v>35</v>
      </c>
      <c r="E4310" s="18" t="s">
        <v>722</v>
      </c>
      <c r="F4310" s="18" t="s">
        <v>105</v>
      </c>
      <c r="G4310" s="18" t="s">
        <v>48</v>
      </c>
      <c r="H4310" s="24">
        <v>18970</v>
      </c>
      <c r="I4310" s="24">
        <f>T_reg.root.SK[[#This Row],[Volume, kg]]/1000</f>
        <v>18.97</v>
      </c>
      <c r="J4310" s="25">
        <v>0.2676</v>
      </c>
      <c r="K4310" s="25">
        <f t="shared" si="67"/>
        <v>5076.3720000000003</v>
      </c>
      <c r="L4310" s="25">
        <v>2.73</v>
      </c>
      <c r="M4310" s="24">
        <v>51730.5</v>
      </c>
      <c r="N4310" s="25">
        <f>IFERROR(T_reg.root.SK[[#This Row],[Price]]/T_reg.root.SK[[#This Row],[Starch content]],"")</f>
        <v>10.201793721973093</v>
      </c>
    </row>
    <row r="4311" spans="1:14">
      <c r="A4311" s="21">
        <v>2024</v>
      </c>
      <c r="B4311" s="21" t="s">
        <v>27</v>
      </c>
      <c r="C4311" s="21" t="s">
        <v>1145</v>
      </c>
      <c r="D4311" s="21" t="s">
        <v>35</v>
      </c>
      <c r="E4311" s="18" t="s">
        <v>321</v>
      </c>
      <c r="F4311" s="18" t="s">
        <v>105</v>
      </c>
      <c r="G4311" s="18" t="s">
        <v>48</v>
      </c>
      <c r="H4311" s="24">
        <v>104810</v>
      </c>
      <c r="I4311" s="24">
        <f>T_reg.root.SK[[#This Row],[Volume, kg]]/1000</f>
        <v>104.81</v>
      </c>
      <c r="J4311" s="25">
        <v>0.2457</v>
      </c>
      <c r="K4311" s="25">
        <f t="shared" si="67"/>
        <v>25751.816999999999</v>
      </c>
      <c r="L4311" s="25">
        <v>2.5</v>
      </c>
      <c r="M4311" s="24">
        <v>262291.5</v>
      </c>
      <c r="N4311" s="25">
        <f>IFERROR(T_reg.root.SK[[#This Row],[Price]]/T_reg.root.SK[[#This Row],[Starch content]],"")</f>
        <v>10.175010175010176</v>
      </c>
    </row>
    <row r="4312" spans="1:14">
      <c r="A4312" s="21">
        <v>2024</v>
      </c>
      <c r="B4312" s="21" t="s">
        <v>27</v>
      </c>
      <c r="C4312" s="21" t="s">
        <v>1145</v>
      </c>
      <c r="D4312" s="21" t="s">
        <v>35</v>
      </c>
      <c r="E4312" s="18" t="s">
        <v>505</v>
      </c>
      <c r="F4312" s="18" t="s">
        <v>105</v>
      </c>
      <c r="G4312" s="18" t="s">
        <v>48</v>
      </c>
      <c r="H4312" s="24">
        <v>8760</v>
      </c>
      <c r="I4312" s="24">
        <f>T_reg.root.SK[[#This Row],[Volume, kg]]/1000</f>
        <v>8.76</v>
      </c>
      <c r="J4312" s="25">
        <v>0.27500000000000002</v>
      </c>
      <c r="K4312" s="25">
        <f t="shared" si="67"/>
        <v>2409</v>
      </c>
      <c r="L4312" s="25">
        <v>2.75</v>
      </c>
      <c r="M4312" s="24">
        <v>24090</v>
      </c>
      <c r="N4312" s="25">
        <f>IFERROR(T_reg.root.SK[[#This Row],[Price]]/T_reg.root.SK[[#This Row],[Starch content]],"")</f>
        <v>10</v>
      </c>
    </row>
    <row r="4313" spans="1:14">
      <c r="A4313" s="21">
        <v>2024</v>
      </c>
      <c r="B4313" s="21" t="s">
        <v>27</v>
      </c>
      <c r="C4313" s="21" t="s">
        <v>1145</v>
      </c>
      <c r="D4313" s="21" t="s">
        <v>35</v>
      </c>
      <c r="E4313" s="18" t="s">
        <v>506</v>
      </c>
      <c r="F4313" s="18" t="s">
        <v>105</v>
      </c>
      <c r="G4313" s="18" t="s">
        <v>48</v>
      </c>
      <c r="H4313" s="24">
        <v>143320</v>
      </c>
      <c r="I4313" s="24">
        <f>T_reg.root.SK[[#This Row],[Volume, kg]]/1000</f>
        <v>143.32</v>
      </c>
      <c r="J4313" s="25">
        <v>0.2452</v>
      </c>
      <c r="K4313" s="25">
        <f t="shared" si="67"/>
        <v>35142.063999999998</v>
      </c>
      <c r="L4313" s="25">
        <v>2.5499999999999998</v>
      </c>
      <c r="M4313" s="24">
        <v>365445.5</v>
      </c>
      <c r="N4313" s="25">
        <f>IFERROR(T_reg.root.SK[[#This Row],[Price]]/T_reg.root.SK[[#This Row],[Starch content]],"")</f>
        <v>10.399673735725937</v>
      </c>
    </row>
    <row r="4314" spans="1:14">
      <c r="A4314" s="21">
        <v>2024</v>
      </c>
      <c r="B4314" s="21" t="s">
        <v>27</v>
      </c>
      <c r="C4314" s="21" t="s">
        <v>1145</v>
      </c>
      <c r="D4314" s="21" t="s">
        <v>35</v>
      </c>
      <c r="E4314" s="18" t="s">
        <v>935</v>
      </c>
      <c r="F4314" s="18" t="s">
        <v>105</v>
      </c>
      <c r="G4314" s="18" t="s">
        <v>48</v>
      </c>
      <c r="H4314" s="24">
        <v>60970</v>
      </c>
      <c r="I4314" s="24">
        <f>T_reg.root.SK[[#This Row],[Volume, kg]]/1000</f>
        <v>60.97</v>
      </c>
      <c r="J4314" s="25">
        <v>0.2432</v>
      </c>
      <c r="K4314" s="25">
        <f t="shared" si="67"/>
        <v>14827.904</v>
      </c>
      <c r="L4314" s="25">
        <v>2.4900000000000002</v>
      </c>
      <c r="M4314" s="24">
        <v>151610.5</v>
      </c>
      <c r="N4314" s="25">
        <f>IFERROR(T_reg.root.SK[[#This Row],[Price]]/T_reg.root.SK[[#This Row],[Starch content]],"")</f>
        <v>10.238486842105264</v>
      </c>
    </row>
    <row r="4315" spans="1:14">
      <c r="A4315" s="21">
        <v>2024</v>
      </c>
      <c r="B4315" s="21" t="s">
        <v>27</v>
      </c>
      <c r="C4315" s="21" t="s">
        <v>1145</v>
      </c>
      <c r="D4315" s="21" t="s">
        <v>35</v>
      </c>
      <c r="E4315" s="18" t="s">
        <v>812</v>
      </c>
      <c r="F4315" s="18" t="s">
        <v>105</v>
      </c>
      <c r="G4315" s="18" t="s">
        <v>48</v>
      </c>
      <c r="H4315" s="24">
        <v>21610</v>
      </c>
      <c r="I4315" s="24">
        <f>T_reg.root.SK[[#This Row],[Volume, kg]]/1000</f>
        <v>21.61</v>
      </c>
      <c r="J4315" s="25">
        <v>0.27360000000000001</v>
      </c>
      <c r="K4315" s="25">
        <f t="shared" si="67"/>
        <v>5912.4960000000001</v>
      </c>
      <c r="L4315" s="25">
        <v>2.61</v>
      </c>
      <c r="M4315" s="24">
        <v>56450.5</v>
      </c>
      <c r="N4315" s="25">
        <f>IFERROR(T_reg.root.SK[[#This Row],[Price]]/T_reg.root.SK[[#This Row],[Starch content]],"")</f>
        <v>9.5394736842105257</v>
      </c>
    </row>
    <row r="4316" spans="1:14">
      <c r="A4316" s="21">
        <v>2024</v>
      </c>
      <c r="B4316" s="21" t="s">
        <v>27</v>
      </c>
      <c r="C4316" s="21" t="s">
        <v>1145</v>
      </c>
      <c r="D4316" s="21" t="s">
        <v>35</v>
      </c>
      <c r="E4316" s="18" t="s">
        <v>936</v>
      </c>
      <c r="F4316" s="18" t="s">
        <v>105</v>
      </c>
      <c r="G4316" s="18" t="s">
        <v>48</v>
      </c>
      <c r="H4316" s="24">
        <v>8770</v>
      </c>
      <c r="I4316" s="24">
        <f>T_reg.root.SK[[#This Row],[Volume, kg]]/1000</f>
        <v>8.77</v>
      </c>
      <c r="J4316" s="25">
        <v>0.249</v>
      </c>
      <c r="K4316" s="25">
        <f t="shared" si="67"/>
        <v>2183.73</v>
      </c>
      <c r="L4316" s="25">
        <v>2.65</v>
      </c>
      <c r="M4316" s="24">
        <v>23240.5</v>
      </c>
      <c r="N4316" s="25">
        <f>IFERROR(T_reg.root.SK[[#This Row],[Price]]/T_reg.root.SK[[#This Row],[Starch content]],"")</f>
        <v>10.642570281124497</v>
      </c>
    </row>
    <row r="4317" spans="1:14">
      <c r="A4317" s="21">
        <v>2024</v>
      </c>
      <c r="B4317" s="21" t="s">
        <v>27</v>
      </c>
      <c r="C4317" s="21" t="s">
        <v>1145</v>
      </c>
      <c r="D4317" s="21" t="s">
        <v>35</v>
      </c>
      <c r="E4317" s="18" t="s">
        <v>937</v>
      </c>
      <c r="F4317" s="18" t="s">
        <v>105</v>
      </c>
      <c r="G4317" s="18" t="s">
        <v>48</v>
      </c>
      <c r="H4317" s="24">
        <v>41490</v>
      </c>
      <c r="I4317" s="24">
        <f>T_reg.root.SK[[#This Row],[Volume, kg]]/1000</f>
        <v>41.49</v>
      </c>
      <c r="J4317" s="25">
        <v>0.2462</v>
      </c>
      <c r="K4317" s="25">
        <f t="shared" si="67"/>
        <v>10214.838</v>
      </c>
      <c r="L4317" s="25">
        <v>2.48</v>
      </c>
      <c r="M4317" s="24">
        <v>103000.5</v>
      </c>
      <c r="N4317" s="25">
        <f>IFERROR(T_reg.root.SK[[#This Row],[Price]]/T_reg.root.SK[[#This Row],[Starch content]],"")</f>
        <v>10.073111291632818</v>
      </c>
    </row>
    <row r="4318" spans="1:14">
      <c r="A4318" s="21">
        <v>2024</v>
      </c>
      <c r="B4318" s="21" t="s">
        <v>27</v>
      </c>
      <c r="C4318" s="21" t="s">
        <v>1145</v>
      </c>
      <c r="D4318" s="21" t="s">
        <v>35</v>
      </c>
      <c r="E4318" s="18" t="s">
        <v>938</v>
      </c>
      <c r="F4318" s="18" t="s">
        <v>105</v>
      </c>
      <c r="G4318" s="18" t="s">
        <v>48</v>
      </c>
      <c r="H4318" s="24">
        <v>143470</v>
      </c>
      <c r="I4318" s="24">
        <f>T_reg.root.SK[[#This Row],[Volume, kg]]/1000</f>
        <v>143.47</v>
      </c>
      <c r="J4318" s="25">
        <v>0.2432</v>
      </c>
      <c r="K4318" s="25">
        <f t="shared" si="67"/>
        <v>34891.904000000002</v>
      </c>
      <c r="L4318" s="25">
        <v>2.48</v>
      </c>
      <c r="M4318" s="24">
        <v>355442</v>
      </c>
      <c r="N4318" s="25">
        <f>IFERROR(T_reg.root.SK[[#This Row],[Price]]/T_reg.root.SK[[#This Row],[Starch content]],"")</f>
        <v>10.197368421052632</v>
      </c>
    </row>
    <row r="4319" spans="1:14">
      <c r="A4319" s="21">
        <v>2024</v>
      </c>
      <c r="B4319" s="21" t="s">
        <v>27</v>
      </c>
      <c r="C4319" s="21" t="s">
        <v>1145</v>
      </c>
      <c r="D4319" s="21" t="s">
        <v>35</v>
      </c>
      <c r="E4319" s="18" t="s">
        <v>507</v>
      </c>
      <c r="F4319" s="18" t="s">
        <v>105</v>
      </c>
      <c r="G4319" s="18" t="s">
        <v>48</v>
      </c>
      <c r="H4319" s="24">
        <v>157760</v>
      </c>
      <c r="I4319" s="24">
        <f>T_reg.root.SK[[#This Row],[Volume, kg]]/1000</f>
        <v>157.76</v>
      </c>
      <c r="J4319" s="25">
        <v>0.25340000000000001</v>
      </c>
      <c r="K4319" s="25">
        <f t="shared" si="67"/>
        <v>39976.384000000005</v>
      </c>
      <c r="L4319" s="25">
        <v>2.61</v>
      </c>
      <c r="M4319" s="24">
        <v>411003.5</v>
      </c>
      <c r="N4319" s="25">
        <f>IFERROR(T_reg.root.SK[[#This Row],[Price]]/T_reg.root.SK[[#This Row],[Starch content]],"")</f>
        <v>10.299921073401736</v>
      </c>
    </row>
    <row r="4320" spans="1:14">
      <c r="A4320" s="21">
        <v>2024</v>
      </c>
      <c r="B4320" s="21" t="s">
        <v>27</v>
      </c>
      <c r="C4320" s="21" t="s">
        <v>1145</v>
      </c>
      <c r="D4320" s="21" t="s">
        <v>35</v>
      </c>
      <c r="E4320" s="18" t="s">
        <v>174</v>
      </c>
      <c r="F4320" s="18" t="s">
        <v>105</v>
      </c>
      <c r="G4320" s="18" t="s">
        <v>48</v>
      </c>
      <c r="H4320" s="24">
        <v>54740</v>
      </c>
      <c r="I4320" s="24">
        <f>T_reg.root.SK[[#This Row],[Volume, kg]]/1000</f>
        <v>54.74</v>
      </c>
      <c r="J4320" s="25">
        <v>0.2268</v>
      </c>
      <c r="K4320" s="25">
        <f t="shared" si="67"/>
        <v>12415.031999999999</v>
      </c>
      <c r="L4320" s="25">
        <v>2.4500000000000002</v>
      </c>
      <c r="M4320" s="24">
        <v>133966</v>
      </c>
      <c r="N4320" s="25">
        <f>IFERROR(T_reg.root.SK[[#This Row],[Price]]/T_reg.root.SK[[#This Row],[Starch content]],"")</f>
        <v>10.80246913580247</v>
      </c>
    </row>
    <row r="4321" spans="1:14">
      <c r="A4321" s="21">
        <v>2024</v>
      </c>
      <c r="B4321" s="21" t="s">
        <v>27</v>
      </c>
      <c r="C4321" s="21" t="s">
        <v>1145</v>
      </c>
      <c r="D4321" s="21" t="s">
        <v>35</v>
      </c>
      <c r="E4321" s="18" t="s">
        <v>327</v>
      </c>
      <c r="F4321" s="18" t="s">
        <v>105</v>
      </c>
      <c r="G4321" s="18" t="s">
        <v>48</v>
      </c>
      <c r="H4321" s="24">
        <v>34430</v>
      </c>
      <c r="I4321" s="24">
        <f>T_reg.root.SK[[#This Row],[Volume, kg]]/1000</f>
        <v>34.43</v>
      </c>
      <c r="J4321" s="25">
        <v>0.19839999999999999</v>
      </c>
      <c r="K4321" s="25">
        <f t="shared" si="67"/>
        <v>6830.9119999999994</v>
      </c>
      <c r="L4321" s="25">
        <v>2.2400000000000002</v>
      </c>
      <c r="M4321" s="24">
        <v>77044.5</v>
      </c>
      <c r="N4321" s="25">
        <f>IFERROR(T_reg.root.SK[[#This Row],[Price]]/T_reg.root.SK[[#This Row],[Starch content]],"")</f>
        <v>11.290322580645162</v>
      </c>
    </row>
    <row r="4322" spans="1:14">
      <c r="A4322" s="21">
        <v>2024</v>
      </c>
      <c r="B4322" s="21" t="s">
        <v>27</v>
      </c>
      <c r="C4322" s="21" t="s">
        <v>1145</v>
      </c>
      <c r="D4322" s="21" t="s">
        <v>35</v>
      </c>
      <c r="E4322" s="18" t="s">
        <v>508</v>
      </c>
      <c r="F4322" s="18" t="s">
        <v>105</v>
      </c>
      <c r="G4322" s="18" t="s">
        <v>48</v>
      </c>
      <c r="H4322" s="24">
        <v>9810</v>
      </c>
      <c r="I4322" s="24">
        <f>T_reg.root.SK[[#This Row],[Volume, kg]]/1000</f>
        <v>9.81</v>
      </c>
      <c r="J4322" s="25">
        <v>0.245</v>
      </c>
      <c r="K4322" s="25">
        <f t="shared" si="67"/>
        <v>2403.4499999999998</v>
      </c>
      <c r="L4322" s="25">
        <v>2.65</v>
      </c>
      <c r="M4322" s="24">
        <v>25996.5</v>
      </c>
      <c r="N4322" s="25">
        <f>IFERROR(T_reg.root.SK[[#This Row],[Price]]/T_reg.root.SK[[#This Row],[Starch content]],"")</f>
        <v>10.816326530612244</v>
      </c>
    </row>
    <row r="4323" spans="1:14">
      <c r="A4323" s="21">
        <v>2024</v>
      </c>
      <c r="B4323" s="21" t="s">
        <v>27</v>
      </c>
      <c r="C4323" s="21" t="s">
        <v>1145</v>
      </c>
      <c r="D4323" s="21" t="s">
        <v>35</v>
      </c>
      <c r="E4323" s="18" t="s">
        <v>577</v>
      </c>
      <c r="F4323" s="18" t="s">
        <v>105</v>
      </c>
      <c r="G4323" s="18" t="s">
        <v>48</v>
      </c>
      <c r="H4323" s="24">
        <v>12470</v>
      </c>
      <c r="I4323" s="24">
        <f>T_reg.root.SK[[#This Row],[Volume, kg]]/1000</f>
        <v>12.47</v>
      </c>
      <c r="J4323" s="25">
        <v>0.23699999999999999</v>
      </c>
      <c r="K4323" s="25">
        <f t="shared" si="67"/>
        <v>2955.39</v>
      </c>
      <c r="L4323" s="25">
        <v>2.4500000000000002</v>
      </c>
      <c r="M4323" s="24">
        <v>30551.5</v>
      </c>
      <c r="N4323" s="25">
        <f>IFERROR(T_reg.root.SK[[#This Row],[Price]]/T_reg.root.SK[[#This Row],[Starch content]],"")</f>
        <v>10.337552742616035</v>
      </c>
    </row>
    <row r="4324" spans="1:14">
      <c r="A4324" s="21">
        <v>2024</v>
      </c>
      <c r="B4324" s="21" t="s">
        <v>27</v>
      </c>
      <c r="C4324" s="21" t="s">
        <v>1145</v>
      </c>
      <c r="D4324" s="21" t="s">
        <v>35</v>
      </c>
      <c r="E4324" s="18" t="s">
        <v>175</v>
      </c>
      <c r="F4324" s="18" t="s">
        <v>105</v>
      </c>
      <c r="G4324" s="18" t="s">
        <v>48</v>
      </c>
      <c r="H4324" s="24">
        <v>35880</v>
      </c>
      <c r="I4324" s="24">
        <f>T_reg.root.SK[[#This Row],[Volume, kg]]/1000</f>
        <v>35.880000000000003</v>
      </c>
      <c r="J4324" s="25">
        <v>0.2427</v>
      </c>
      <c r="K4324" s="25">
        <f t="shared" si="67"/>
        <v>8708.0759999999991</v>
      </c>
      <c r="L4324" s="25">
        <v>2.4900000000000002</v>
      </c>
      <c r="M4324" s="24">
        <v>89517.5</v>
      </c>
      <c r="N4324" s="25">
        <f>IFERROR(T_reg.root.SK[[#This Row],[Price]]/T_reg.root.SK[[#This Row],[Starch content]],"")</f>
        <v>10.259579728059334</v>
      </c>
    </row>
    <row r="4325" spans="1:14">
      <c r="A4325" s="21">
        <v>2024</v>
      </c>
      <c r="B4325" s="21" t="s">
        <v>27</v>
      </c>
      <c r="C4325" s="21" t="s">
        <v>1145</v>
      </c>
      <c r="D4325" s="21" t="s">
        <v>35</v>
      </c>
      <c r="E4325" s="18" t="s">
        <v>176</v>
      </c>
      <c r="F4325" s="18" t="s">
        <v>105</v>
      </c>
      <c r="G4325" s="18" t="s">
        <v>48</v>
      </c>
      <c r="H4325" s="24">
        <v>5070</v>
      </c>
      <c r="I4325" s="24">
        <f>T_reg.root.SK[[#This Row],[Volume, kg]]/1000</f>
        <v>5.07</v>
      </c>
      <c r="J4325" s="25">
        <v>0.1963</v>
      </c>
      <c r="K4325" s="25">
        <f t="shared" si="67"/>
        <v>995.24099999999999</v>
      </c>
      <c r="L4325" s="25">
        <v>2.25</v>
      </c>
      <c r="M4325" s="24">
        <v>11407.5</v>
      </c>
      <c r="N4325" s="25">
        <f>IFERROR(T_reg.root.SK[[#This Row],[Price]]/T_reg.root.SK[[#This Row],[Starch content]],"")</f>
        <v>11.462047885888945</v>
      </c>
    </row>
    <row r="4326" spans="1:14">
      <c r="A4326" s="21">
        <v>2024</v>
      </c>
      <c r="B4326" s="21" t="s">
        <v>27</v>
      </c>
      <c r="C4326" s="21" t="s">
        <v>1145</v>
      </c>
      <c r="D4326" s="21" t="s">
        <v>35</v>
      </c>
      <c r="E4326" s="18" t="s">
        <v>605</v>
      </c>
      <c r="F4326" s="18" t="s">
        <v>105</v>
      </c>
      <c r="G4326" s="18" t="s">
        <v>48</v>
      </c>
      <c r="H4326" s="24">
        <v>427090</v>
      </c>
      <c r="I4326" s="24">
        <f>T_reg.root.SK[[#This Row],[Volume, kg]]/1000</f>
        <v>427.09</v>
      </c>
      <c r="J4326" s="25">
        <v>0.24</v>
      </c>
      <c r="K4326" s="25">
        <f t="shared" si="67"/>
        <v>102501.59999999999</v>
      </c>
      <c r="L4326" s="25">
        <v>2.5499999999999998</v>
      </c>
      <c r="M4326" s="24">
        <v>1086960.5</v>
      </c>
      <c r="N4326" s="25">
        <f>IFERROR(T_reg.root.SK[[#This Row],[Price]]/T_reg.root.SK[[#This Row],[Starch content]],"")</f>
        <v>10.625</v>
      </c>
    </row>
    <row r="4327" spans="1:14">
      <c r="A4327" s="21">
        <v>2024</v>
      </c>
      <c r="B4327" s="21" t="s">
        <v>27</v>
      </c>
      <c r="C4327" s="21" t="s">
        <v>1145</v>
      </c>
      <c r="D4327" s="21" t="s">
        <v>35</v>
      </c>
      <c r="E4327" s="18" t="s">
        <v>328</v>
      </c>
      <c r="F4327" s="18" t="s">
        <v>105</v>
      </c>
      <c r="G4327" s="18" t="s">
        <v>48</v>
      </c>
      <c r="H4327" s="24">
        <v>8570</v>
      </c>
      <c r="I4327" s="24">
        <f>T_reg.root.SK[[#This Row],[Volume, kg]]/1000</f>
        <v>8.57</v>
      </c>
      <c r="J4327" s="25">
        <v>0.248</v>
      </c>
      <c r="K4327" s="25">
        <f t="shared" si="67"/>
        <v>2125.36</v>
      </c>
      <c r="L4327" s="25">
        <v>2.65</v>
      </c>
      <c r="M4327" s="24">
        <v>22710.5</v>
      </c>
      <c r="N4327" s="25">
        <f>IFERROR(T_reg.root.SK[[#This Row],[Price]]/T_reg.root.SK[[#This Row],[Starch content]],"")</f>
        <v>10.685483870967742</v>
      </c>
    </row>
    <row r="4328" spans="1:14">
      <c r="A4328" s="21">
        <v>2024</v>
      </c>
      <c r="B4328" s="21" t="s">
        <v>27</v>
      </c>
      <c r="C4328" s="21" t="s">
        <v>1145</v>
      </c>
      <c r="D4328" s="21" t="s">
        <v>35</v>
      </c>
      <c r="E4328" s="18" t="s">
        <v>329</v>
      </c>
      <c r="F4328" s="18" t="s">
        <v>105</v>
      </c>
      <c r="G4328" s="18" t="s">
        <v>48</v>
      </c>
      <c r="H4328" s="24">
        <v>41860</v>
      </c>
      <c r="I4328" s="24">
        <f>T_reg.root.SK[[#This Row],[Volume, kg]]/1000</f>
        <v>41.86</v>
      </c>
      <c r="J4328" s="25">
        <v>0.21230000000000002</v>
      </c>
      <c r="K4328" s="25">
        <f t="shared" si="67"/>
        <v>8886.8780000000006</v>
      </c>
      <c r="L4328" s="25">
        <v>2.37</v>
      </c>
      <c r="M4328" s="24">
        <v>99150</v>
      </c>
      <c r="N4328" s="25">
        <f>IFERROR(T_reg.root.SK[[#This Row],[Price]]/T_reg.root.SK[[#This Row],[Starch content]],"")</f>
        <v>11.163447951012717</v>
      </c>
    </row>
    <row r="4329" spans="1:14">
      <c r="A4329" s="21">
        <v>2024</v>
      </c>
      <c r="B4329" s="21" t="s">
        <v>27</v>
      </c>
      <c r="C4329" s="21" t="s">
        <v>1145</v>
      </c>
      <c r="D4329" s="21" t="s">
        <v>35</v>
      </c>
      <c r="E4329" s="18" t="s">
        <v>179</v>
      </c>
      <c r="F4329" s="18" t="s">
        <v>105</v>
      </c>
      <c r="G4329" s="18" t="s">
        <v>48</v>
      </c>
      <c r="H4329" s="24">
        <v>35700</v>
      </c>
      <c r="I4329" s="24">
        <f>T_reg.root.SK[[#This Row],[Volume, kg]]/1000</f>
        <v>35.700000000000003</v>
      </c>
      <c r="J4329" s="25">
        <v>0.26400000000000001</v>
      </c>
      <c r="K4329" s="25">
        <f t="shared" si="67"/>
        <v>9424.8000000000011</v>
      </c>
      <c r="L4329" s="25">
        <v>2.74</v>
      </c>
      <c r="M4329" s="24">
        <v>97762.5</v>
      </c>
      <c r="N4329" s="25">
        <f>IFERROR(T_reg.root.SK[[#This Row],[Price]]/T_reg.root.SK[[#This Row],[Starch content]],"")</f>
        <v>10.378787878787879</v>
      </c>
    </row>
    <row r="4330" spans="1:14">
      <c r="A4330" s="21">
        <v>2024</v>
      </c>
      <c r="B4330" s="21" t="s">
        <v>27</v>
      </c>
      <c r="C4330" s="21" t="s">
        <v>1145</v>
      </c>
      <c r="D4330" s="21" t="s">
        <v>35</v>
      </c>
      <c r="E4330" s="18" t="s">
        <v>640</v>
      </c>
      <c r="F4330" s="18" t="s">
        <v>105</v>
      </c>
      <c r="G4330" s="18" t="s">
        <v>48</v>
      </c>
      <c r="H4330" s="24">
        <v>63750</v>
      </c>
      <c r="I4330" s="24">
        <f>T_reg.root.SK[[#This Row],[Volume, kg]]/1000</f>
        <v>63.75</v>
      </c>
      <c r="J4330" s="25">
        <v>0.23829999999999998</v>
      </c>
      <c r="K4330" s="25">
        <f t="shared" si="67"/>
        <v>15191.624999999998</v>
      </c>
      <c r="L4330" s="25">
        <v>2.6</v>
      </c>
      <c r="M4330" s="24">
        <v>165588</v>
      </c>
      <c r="N4330" s="25">
        <f>IFERROR(T_reg.root.SK[[#This Row],[Price]]/T_reg.root.SK[[#This Row],[Starch content]],"")</f>
        <v>10.910616869492237</v>
      </c>
    </row>
    <row r="4331" spans="1:14">
      <c r="A4331" s="21">
        <v>2024</v>
      </c>
      <c r="B4331" s="21" t="s">
        <v>27</v>
      </c>
      <c r="C4331" s="21" t="s">
        <v>1145</v>
      </c>
      <c r="D4331" s="21" t="s">
        <v>35</v>
      </c>
      <c r="E4331" s="18" t="s">
        <v>829</v>
      </c>
      <c r="F4331" s="18" t="s">
        <v>105</v>
      </c>
      <c r="G4331" s="18" t="s">
        <v>48</v>
      </c>
      <c r="H4331" s="24">
        <v>33030</v>
      </c>
      <c r="I4331" s="24">
        <f>T_reg.root.SK[[#This Row],[Volume, kg]]/1000</f>
        <v>33.03</v>
      </c>
      <c r="J4331" s="25">
        <v>0.24210000000000001</v>
      </c>
      <c r="K4331" s="25">
        <f t="shared" si="67"/>
        <v>7996.5630000000001</v>
      </c>
      <c r="L4331" s="25">
        <v>2.61</v>
      </c>
      <c r="M4331" s="24">
        <v>86274.5</v>
      </c>
      <c r="N4331" s="25">
        <f>IFERROR(T_reg.root.SK[[#This Row],[Price]]/T_reg.root.SK[[#This Row],[Starch content]],"")</f>
        <v>10.780669144981411</v>
      </c>
    </row>
    <row r="4332" spans="1:14">
      <c r="A4332" s="21">
        <v>2024</v>
      </c>
      <c r="B4332" s="21" t="s">
        <v>27</v>
      </c>
      <c r="C4332" s="21" t="s">
        <v>1145</v>
      </c>
      <c r="D4332" s="21" t="s">
        <v>35</v>
      </c>
      <c r="E4332" s="18" t="s">
        <v>774</v>
      </c>
      <c r="F4332" s="18" t="s">
        <v>105</v>
      </c>
      <c r="G4332" s="18" t="s">
        <v>48</v>
      </c>
      <c r="H4332" s="24">
        <v>5730</v>
      </c>
      <c r="I4332" s="24">
        <f>T_reg.root.SK[[#This Row],[Volume, kg]]/1000</f>
        <v>5.73</v>
      </c>
      <c r="J4332" s="25">
        <v>0.20100000000000001</v>
      </c>
      <c r="K4332" s="25">
        <f t="shared" si="67"/>
        <v>1151.73</v>
      </c>
      <c r="L4332" s="25">
        <v>2.4</v>
      </c>
      <c r="M4332" s="24">
        <v>13752</v>
      </c>
      <c r="N4332" s="25">
        <f>IFERROR(T_reg.root.SK[[#This Row],[Price]]/T_reg.root.SK[[#This Row],[Starch content]],"")</f>
        <v>11.940298507462686</v>
      </c>
    </row>
    <row r="4333" spans="1:14">
      <c r="A4333" s="21">
        <v>2024</v>
      </c>
      <c r="B4333" s="21" t="s">
        <v>27</v>
      </c>
      <c r="C4333" s="21" t="s">
        <v>1145</v>
      </c>
      <c r="D4333" s="21" t="s">
        <v>35</v>
      </c>
      <c r="E4333" s="18" t="s">
        <v>939</v>
      </c>
      <c r="F4333" s="18" t="s">
        <v>105</v>
      </c>
      <c r="G4333" s="18" t="s">
        <v>48</v>
      </c>
      <c r="H4333" s="24">
        <v>29870</v>
      </c>
      <c r="I4333" s="24">
        <f>T_reg.root.SK[[#This Row],[Volume, kg]]/1000</f>
        <v>29.87</v>
      </c>
      <c r="J4333" s="25">
        <v>0.2014</v>
      </c>
      <c r="K4333" s="25">
        <f t="shared" si="67"/>
        <v>6015.8180000000002</v>
      </c>
      <c r="L4333" s="25">
        <v>2.2599999999999998</v>
      </c>
      <c r="M4333" s="24">
        <v>67557.5</v>
      </c>
      <c r="N4333" s="25">
        <f>IFERROR(T_reg.root.SK[[#This Row],[Price]]/T_reg.root.SK[[#This Row],[Starch content]],"")</f>
        <v>11.221449851042701</v>
      </c>
    </row>
    <row r="4334" spans="1:14">
      <c r="A4334" s="21">
        <v>2024</v>
      </c>
      <c r="B4334" s="21" t="s">
        <v>27</v>
      </c>
      <c r="C4334" s="21" t="s">
        <v>1145</v>
      </c>
      <c r="D4334" s="21" t="s">
        <v>35</v>
      </c>
      <c r="E4334" s="18" t="s">
        <v>183</v>
      </c>
      <c r="F4334" s="18" t="s">
        <v>105</v>
      </c>
      <c r="G4334" s="18" t="s">
        <v>48</v>
      </c>
      <c r="H4334" s="24">
        <v>84340</v>
      </c>
      <c r="I4334" s="24">
        <f>T_reg.root.SK[[#This Row],[Volume, kg]]/1000</f>
        <v>84.34</v>
      </c>
      <c r="J4334" s="25">
        <v>0.25159999999999999</v>
      </c>
      <c r="K4334" s="25">
        <f t="shared" si="67"/>
        <v>21219.944</v>
      </c>
      <c r="L4334" s="25">
        <v>2.54</v>
      </c>
      <c r="M4334" s="24">
        <v>214339</v>
      </c>
      <c r="N4334" s="25">
        <f>IFERROR(T_reg.root.SK[[#This Row],[Price]]/T_reg.root.SK[[#This Row],[Starch content]],"")</f>
        <v>10.095389507154213</v>
      </c>
    </row>
    <row r="4335" spans="1:14">
      <c r="A4335" s="21">
        <v>2024</v>
      </c>
      <c r="B4335" s="21" t="s">
        <v>27</v>
      </c>
      <c r="C4335" s="21" t="s">
        <v>1145</v>
      </c>
      <c r="D4335" s="21" t="s">
        <v>35</v>
      </c>
      <c r="E4335" s="18" t="s">
        <v>330</v>
      </c>
      <c r="F4335" s="18" t="s">
        <v>187</v>
      </c>
      <c r="G4335" s="18" t="s">
        <v>48</v>
      </c>
      <c r="H4335" s="24">
        <v>115100</v>
      </c>
      <c r="I4335" s="24">
        <f>T_reg.root.SK[[#This Row],[Volume, kg]]/1000</f>
        <v>115.1</v>
      </c>
      <c r="J4335" s="25">
        <v>0.21100000000000002</v>
      </c>
      <c r="K4335" s="25">
        <f t="shared" si="67"/>
        <v>24286.100000000002</v>
      </c>
      <c r="L4335" s="25">
        <v>2.34</v>
      </c>
      <c r="M4335" s="24">
        <v>269247.5</v>
      </c>
      <c r="N4335" s="25">
        <f>IFERROR(T_reg.root.SK[[#This Row],[Price]]/T_reg.root.SK[[#This Row],[Starch content]],"")</f>
        <v>11.090047393364927</v>
      </c>
    </row>
    <row r="4336" spans="1:14">
      <c r="A4336" s="21">
        <v>2024</v>
      </c>
      <c r="B4336" s="21" t="s">
        <v>27</v>
      </c>
      <c r="C4336" s="21" t="s">
        <v>1145</v>
      </c>
      <c r="D4336" s="21" t="s">
        <v>35</v>
      </c>
      <c r="E4336" s="18" t="s">
        <v>406</v>
      </c>
      <c r="F4336" s="18" t="s">
        <v>187</v>
      </c>
      <c r="G4336" s="18" t="s">
        <v>48</v>
      </c>
      <c r="H4336" s="24">
        <v>13400</v>
      </c>
      <c r="I4336" s="24">
        <f>T_reg.root.SK[[#This Row],[Volume, kg]]/1000</f>
        <v>13.4</v>
      </c>
      <c r="J4336" s="25">
        <v>0.2059</v>
      </c>
      <c r="K4336" s="25">
        <f t="shared" si="67"/>
        <v>2759.06</v>
      </c>
      <c r="L4336" s="25">
        <v>2.33</v>
      </c>
      <c r="M4336" s="24">
        <v>31196</v>
      </c>
      <c r="N4336" s="25">
        <f>IFERROR(T_reg.root.SK[[#This Row],[Price]]/T_reg.root.SK[[#This Row],[Starch content]],"")</f>
        <v>11.31617289946576</v>
      </c>
    </row>
    <row r="4337" spans="1:14">
      <c r="A4337" s="21">
        <v>2024</v>
      </c>
      <c r="B4337" s="21" t="s">
        <v>27</v>
      </c>
      <c r="C4337" s="21" t="s">
        <v>1145</v>
      </c>
      <c r="D4337" s="21" t="s">
        <v>35</v>
      </c>
      <c r="E4337" s="18" t="s">
        <v>609</v>
      </c>
      <c r="F4337" s="18" t="s">
        <v>187</v>
      </c>
      <c r="G4337" s="18" t="s">
        <v>48</v>
      </c>
      <c r="H4337" s="24">
        <v>8530</v>
      </c>
      <c r="I4337" s="24">
        <f>T_reg.root.SK[[#This Row],[Volume, kg]]/1000</f>
        <v>8.5299999999999994</v>
      </c>
      <c r="J4337" s="25">
        <v>0.17399999999999999</v>
      </c>
      <c r="K4337" s="25">
        <f t="shared" si="67"/>
        <v>1484.2199999999998</v>
      </c>
      <c r="L4337" s="25">
        <v>2.35</v>
      </c>
      <c r="M4337" s="24">
        <v>20045.5</v>
      </c>
      <c r="N4337" s="25">
        <f>IFERROR(T_reg.root.SK[[#This Row],[Price]]/T_reg.root.SK[[#This Row],[Starch content]],"")</f>
        <v>13.505747126436782</v>
      </c>
    </row>
    <row r="4338" spans="1:14">
      <c r="A4338" s="21">
        <v>2024</v>
      </c>
      <c r="B4338" s="21" t="s">
        <v>27</v>
      </c>
      <c r="C4338" s="21" t="s">
        <v>1145</v>
      </c>
      <c r="D4338" s="21" t="s">
        <v>35</v>
      </c>
      <c r="E4338" s="18" t="s">
        <v>261</v>
      </c>
      <c r="F4338" s="18" t="s">
        <v>187</v>
      </c>
      <c r="G4338" s="18" t="s">
        <v>48</v>
      </c>
      <c r="H4338" s="24">
        <v>54730</v>
      </c>
      <c r="I4338" s="24">
        <f>T_reg.root.SK[[#This Row],[Volume, kg]]/1000</f>
        <v>54.73</v>
      </c>
      <c r="J4338" s="25">
        <v>0.19699999999999998</v>
      </c>
      <c r="K4338" s="25">
        <f t="shared" si="67"/>
        <v>10781.81</v>
      </c>
      <c r="L4338" s="25">
        <v>2.2799999999999998</v>
      </c>
      <c r="M4338" s="24">
        <v>124662</v>
      </c>
      <c r="N4338" s="25">
        <f>IFERROR(T_reg.root.SK[[#This Row],[Price]]/T_reg.root.SK[[#This Row],[Starch content]],"")</f>
        <v>11.573604060913706</v>
      </c>
    </row>
    <row r="4339" spans="1:14">
      <c r="A4339" s="21">
        <v>2024</v>
      </c>
      <c r="B4339" s="21" t="s">
        <v>27</v>
      </c>
      <c r="C4339" s="21" t="s">
        <v>1145</v>
      </c>
      <c r="D4339" s="21" t="s">
        <v>35</v>
      </c>
      <c r="E4339" s="18" t="s">
        <v>192</v>
      </c>
      <c r="F4339" s="18" t="s">
        <v>187</v>
      </c>
      <c r="G4339" s="18" t="s">
        <v>48</v>
      </c>
      <c r="H4339" s="24">
        <v>43980</v>
      </c>
      <c r="I4339" s="24">
        <f>T_reg.root.SK[[#This Row],[Volume, kg]]/1000</f>
        <v>43.98</v>
      </c>
      <c r="J4339" s="25">
        <v>0.23149999999999998</v>
      </c>
      <c r="K4339" s="25">
        <f t="shared" si="67"/>
        <v>10181.369999999999</v>
      </c>
      <c r="L4339" s="25">
        <v>2.48</v>
      </c>
      <c r="M4339" s="24">
        <v>109068.5</v>
      </c>
      <c r="N4339" s="25">
        <f>IFERROR(T_reg.root.SK[[#This Row],[Price]]/T_reg.root.SK[[#This Row],[Starch content]],"")</f>
        <v>10.712742980561556</v>
      </c>
    </row>
    <row r="4340" spans="1:14">
      <c r="A4340" s="21">
        <v>2024</v>
      </c>
      <c r="B4340" s="21" t="s">
        <v>27</v>
      </c>
      <c r="C4340" s="21" t="s">
        <v>1145</v>
      </c>
      <c r="D4340" s="21" t="s">
        <v>35</v>
      </c>
      <c r="E4340" s="18" t="s">
        <v>514</v>
      </c>
      <c r="F4340" s="18" t="s">
        <v>187</v>
      </c>
      <c r="G4340" s="18" t="s">
        <v>48</v>
      </c>
      <c r="H4340" s="24">
        <v>26380</v>
      </c>
      <c r="I4340" s="24">
        <f>T_reg.root.SK[[#This Row],[Volume, kg]]/1000</f>
        <v>26.38</v>
      </c>
      <c r="J4340" s="25">
        <v>0.21</v>
      </c>
      <c r="K4340" s="25">
        <f t="shared" si="67"/>
        <v>5539.8</v>
      </c>
      <c r="L4340" s="25">
        <v>2.54</v>
      </c>
      <c r="M4340" s="24">
        <v>67037</v>
      </c>
      <c r="N4340" s="25">
        <f>IFERROR(T_reg.root.SK[[#This Row],[Price]]/T_reg.root.SK[[#This Row],[Starch content]],"")</f>
        <v>12.095238095238097</v>
      </c>
    </row>
    <row r="4341" spans="1:14">
      <c r="A4341" s="21">
        <v>2024</v>
      </c>
      <c r="B4341" s="21" t="s">
        <v>27</v>
      </c>
      <c r="C4341" s="21" t="s">
        <v>1145</v>
      </c>
      <c r="D4341" s="21" t="s">
        <v>35</v>
      </c>
      <c r="E4341" s="18" t="s">
        <v>262</v>
      </c>
      <c r="F4341" s="18" t="s">
        <v>187</v>
      </c>
      <c r="G4341" s="18" t="s">
        <v>48</v>
      </c>
      <c r="H4341" s="24">
        <v>26480</v>
      </c>
      <c r="I4341" s="24">
        <f>T_reg.root.SK[[#This Row],[Volume, kg]]/1000</f>
        <v>26.48</v>
      </c>
      <c r="J4341" s="25">
        <v>0.2127</v>
      </c>
      <c r="K4341" s="25">
        <f t="shared" si="67"/>
        <v>5632.2960000000003</v>
      </c>
      <c r="L4341" s="25">
        <v>2.57</v>
      </c>
      <c r="M4341" s="24">
        <v>68164.5</v>
      </c>
      <c r="N4341" s="25">
        <f>IFERROR(T_reg.root.SK[[#This Row],[Price]]/T_reg.root.SK[[#This Row],[Starch content]],"")</f>
        <v>12.082745651151857</v>
      </c>
    </row>
    <row r="4342" spans="1:14">
      <c r="A4342" s="21">
        <v>2024</v>
      </c>
      <c r="B4342" s="21" t="s">
        <v>27</v>
      </c>
      <c r="C4342" s="21" t="s">
        <v>1145</v>
      </c>
      <c r="D4342" s="21" t="s">
        <v>35</v>
      </c>
      <c r="E4342" s="18" t="s">
        <v>587</v>
      </c>
      <c r="F4342" s="18" t="s">
        <v>187</v>
      </c>
      <c r="G4342" s="18" t="s">
        <v>48</v>
      </c>
      <c r="H4342" s="24">
        <v>65570</v>
      </c>
      <c r="I4342" s="24">
        <f>T_reg.root.SK[[#This Row],[Volume, kg]]/1000</f>
        <v>65.569999999999993</v>
      </c>
      <c r="J4342" s="25">
        <v>0.21350000000000002</v>
      </c>
      <c r="K4342" s="25">
        <f t="shared" si="67"/>
        <v>13999.195000000002</v>
      </c>
      <c r="L4342" s="25">
        <v>2.5299999999999998</v>
      </c>
      <c r="M4342" s="24">
        <v>166020</v>
      </c>
      <c r="N4342" s="25">
        <f>IFERROR(T_reg.root.SK[[#This Row],[Price]]/T_reg.root.SK[[#This Row],[Starch content]],"")</f>
        <v>11.850117096018733</v>
      </c>
    </row>
    <row r="4343" spans="1:14">
      <c r="A4343" s="21">
        <v>2024</v>
      </c>
      <c r="B4343" s="21" t="s">
        <v>27</v>
      </c>
      <c r="C4343" s="21" t="s">
        <v>1145</v>
      </c>
      <c r="D4343" s="21" t="s">
        <v>35</v>
      </c>
      <c r="E4343" s="18" t="s">
        <v>516</v>
      </c>
      <c r="F4343" s="18" t="s">
        <v>187</v>
      </c>
      <c r="G4343" s="18" t="s">
        <v>48</v>
      </c>
      <c r="H4343" s="24">
        <v>38540</v>
      </c>
      <c r="I4343" s="24">
        <f>T_reg.root.SK[[#This Row],[Volume, kg]]/1000</f>
        <v>38.54</v>
      </c>
      <c r="J4343" s="25">
        <v>0.21829999999999999</v>
      </c>
      <c r="K4343" s="25">
        <f t="shared" si="67"/>
        <v>8413.2819999999992</v>
      </c>
      <c r="L4343" s="25">
        <v>2.36</v>
      </c>
      <c r="M4343" s="24">
        <v>91134.5</v>
      </c>
      <c r="N4343" s="25">
        <f>IFERROR(T_reg.root.SK[[#This Row],[Price]]/T_reg.root.SK[[#This Row],[Starch content]],"")</f>
        <v>10.810810810810811</v>
      </c>
    </row>
    <row r="4344" spans="1:14">
      <c r="A4344" s="21">
        <v>2024</v>
      </c>
      <c r="B4344" s="21" t="s">
        <v>27</v>
      </c>
      <c r="C4344" s="21" t="s">
        <v>1145</v>
      </c>
      <c r="D4344" s="21" t="s">
        <v>35</v>
      </c>
      <c r="E4344" s="18" t="s">
        <v>331</v>
      </c>
      <c r="F4344" s="18" t="s">
        <v>187</v>
      </c>
      <c r="G4344" s="18" t="s">
        <v>48</v>
      </c>
      <c r="H4344" s="24">
        <v>21890</v>
      </c>
      <c r="I4344" s="24">
        <f>T_reg.root.SK[[#This Row],[Volume, kg]]/1000</f>
        <v>21.89</v>
      </c>
      <c r="J4344" s="25">
        <v>0.22899999999999998</v>
      </c>
      <c r="K4344" s="25">
        <f t="shared" si="67"/>
        <v>5012.8099999999995</v>
      </c>
      <c r="L4344" s="25">
        <v>2.4</v>
      </c>
      <c r="M4344" s="24">
        <v>52582.5</v>
      </c>
      <c r="N4344" s="25">
        <f>IFERROR(T_reg.root.SK[[#This Row],[Price]]/T_reg.root.SK[[#This Row],[Starch content]],"")</f>
        <v>10.480349344978167</v>
      </c>
    </row>
    <row r="4345" spans="1:14">
      <c r="A4345" s="21">
        <v>2024</v>
      </c>
      <c r="B4345" s="21" t="s">
        <v>27</v>
      </c>
      <c r="C4345" s="21" t="s">
        <v>1145</v>
      </c>
      <c r="D4345" s="21" t="s">
        <v>35</v>
      </c>
      <c r="E4345" s="18" t="s">
        <v>519</v>
      </c>
      <c r="F4345" s="18" t="s">
        <v>187</v>
      </c>
      <c r="G4345" s="18" t="s">
        <v>48</v>
      </c>
      <c r="H4345" s="24">
        <v>21500</v>
      </c>
      <c r="I4345" s="24">
        <f>T_reg.root.SK[[#This Row],[Volume, kg]]/1000</f>
        <v>21.5</v>
      </c>
      <c r="J4345" s="25">
        <v>0.1711</v>
      </c>
      <c r="K4345" s="25">
        <f t="shared" si="67"/>
        <v>3678.65</v>
      </c>
      <c r="L4345" s="25">
        <v>2.1</v>
      </c>
      <c r="M4345" s="24">
        <v>45209</v>
      </c>
      <c r="N4345" s="25">
        <f>IFERROR(T_reg.root.SK[[#This Row],[Price]]/T_reg.root.SK[[#This Row],[Starch content]],"")</f>
        <v>12.273524254821742</v>
      </c>
    </row>
    <row r="4346" spans="1:14">
      <c r="A4346" s="21">
        <v>2024</v>
      </c>
      <c r="B4346" s="21" t="s">
        <v>27</v>
      </c>
      <c r="C4346" s="21" t="s">
        <v>1145</v>
      </c>
      <c r="D4346" s="21" t="s">
        <v>35</v>
      </c>
      <c r="E4346" s="18" t="s">
        <v>521</v>
      </c>
      <c r="F4346" s="18" t="s">
        <v>187</v>
      </c>
      <c r="G4346" s="18" t="s">
        <v>48</v>
      </c>
      <c r="H4346" s="24">
        <v>37890</v>
      </c>
      <c r="I4346" s="24">
        <f>T_reg.root.SK[[#This Row],[Volume, kg]]/1000</f>
        <v>37.89</v>
      </c>
      <c r="J4346" s="25">
        <v>0.22190000000000001</v>
      </c>
      <c r="K4346" s="25">
        <f t="shared" si="67"/>
        <v>8407.7910000000011</v>
      </c>
      <c r="L4346" s="25">
        <v>2.48</v>
      </c>
      <c r="M4346" s="24">
        <v>94014.5</v>
      </c>
      <c r="N4346" s="25">
        <f>IFERROR(T_reg.root.SK[[#This Row],[Price]]/T_reg.root.SK[[#This Row],[Starch content]],"")</f>
        <v>11.17620549797206</v>
      </c>
    </row>
    <row r="4347" spans="1:14">
      <c r="A4347" s="21">
        <v>2024</v>
      </c>
      <c r="B4347" s="21" t="s">
        <v>27</v>
      </c>
      <c r="C4347" s="21" t="s">
        <v>1145</v>
      </c>
      <c r="D4347" s="21" t="s">
        <v>35</v>
      </c>
      <c r="E4347" s="18" t="s">
        <v>264</v>
      </c>
      <c r="F4347" s="18" t="s">
        <v>187</v>
      </c>
      <c r="G4347" s="18" t="s">
        <v>48</v>
      </c>
      <c r="H4347" s="24">
        <v>60860</v>
      </c>
      <c r="I4347" s="24">
        <f>T_reg.root.SK[[#This Row],[Volume, kg]]/1000</f>
        <v>60.86</v>
      </c>
      <c r="J4347" s="25">
        <v>0.21440000000000001</v>
      </c>
      <c r="K4347" s="25">
        <f t="shared" si="67"/>
        <v>13048.384</v>
      </c>
      <c r="L4347" s="25">
        <v>2.38</v>
      </c>
      <c r="M4347" s="24">
        <v>144615.5</v>
      </c>
      <c r="N4347" s="25">
        <f>IFERROR(T_reg.root.SK[[#This Row],[Price]]/T_reg.root.SK[[#This Row],[Starch content]],"")</f>
        <v>11.100746268656716</v>
      </c>
    </row>
    <row r="4348" spans="1:14">
      <c r="A4348" s="21">
        <v>2024</v>
      </c>
      <c r="B4348" s="21" t="s">
        <v>27</v>
      </c>
      <c r="C4348" s="21" t="s">
        <v>1145</v>
      </c>
      <c r="D4348" s="21" t="s">
        <v>35</v>
      </c>
      <c r="E4348" s="18" t="s">
        <v>523</v>
      </c>
      <c r="F4348" s="18" t="s">
        <v>187</v>
      </c>
      <c r="G4348" s="18" t="s">
        <v>48</v>
      </c>
      <c r="H4348" s="24">
        <v>41000</v>
      </c>
      <c r="I4348" s="24">
        <f>T_reg.root.SK[[#This Row],[Volume, kg]]/1000</f>
        <v>41</v>
      </c>
      <c r="J4348" s="25">
        <v>0.24890000000000001</v>
      </c>
      <c r="K4348" s="25">
        <f t="shared" si="67"/>
        <v>10204.9</v>
      </c>
      <c r="L4348" s="25">
        <v>2.5499999999999998</v>
      </c>
      <c r="M4348" s="24">
        <v>104350.5</v>
      </c>
      <c r="N4348" s="25">
        <f>IFERROR(T_reg.root.SK[[#This Row],[Price]]/T_reg.root.SK[[#This Row],[Starch content]],"")</f>
        <v>10.245078344716752</v>
      </c>
    </row>
    <row r="4349" spans="1:14">
      <c r="A4349" s="21">
        <v>2024</v>
      </c>
      <c r="B4349" s="21" t="s">
        <v>27</v>
      </c>
      <c r="C4349" s="21" t="s">
        <v>1145</v>
      </c>
      <c r="D4349" s="21" t="s">
        <v>35</v>
      </c>
      <c r="E4349" s="18" t="s">
        <v>196</v>
      </c>
      <c r="F4349" s="18" t="s">
        <v>187</v>
      </c>
      <c r="G4349" s="18" t="s">
        <v>48</v>
      </c>
      <c r="H4349" s="24">
        <v>52420</v>
      </c>
      <c r="I4349" s="24">
        <f>T_reg.root.SK[[#This Row],[Volume, kg]]/1000</f>
        <v>52.42</v>
      </c>
      <c r="J4349" s="25">
        <v>0.23949999999999999</v>
      </c>
      <c r="K4349" s="25">
        <f t="shared" si="67"/>
        <v>12554.59</v>
      </c>
      <c r="L4349" s="25">
        <v>2.63</v>
      </c>
      <c r="M4349" s="24">
        <v>137683</v>
      </c>
      <c r="N4349" s="25">
        <f>IFERROR(T_reg.root.SK[[#This Row],[Price]]/T_reg.root.SK[[#This Row],[Starch content]],"")</f>
        <v>10.981210855949895</v>
      </c>
    </row>
    <row r="4350" spans="1:14">
      <c r="A4350" s="21">
        <v>2024</v>
      </c>
      <c r="B4350" s="21" t="s">
        <v>27</v>
      </c>
      <c r="C4350" s="21" t="s">
        <v>1145</v>
      </c>
      <c r="D4350" s="21" t="s">
        <v>35</v>
      </c>
      <c r="E4350" s="18" t="s">
        <v>610</v>
      </c>
      <c r="F4350" s="18" t="s">
        <v>187</v>
      </c>
      <c r="G4350" s="18" t="s">
        <v>48</v>
      </c>
      <c r="H4350" s="24">
        <v>4770</v>
      </c>
      <c r="I4350" s="24">
        <f>T_reg.root.SK[[#This Row],[Volume, kg]]/1000</f>
        <v>4.7699999999999996</v>
      </c>
      <c r="J4350" s="25">
        <v>0.23749999999999999</v>
      </c>
      <c r="K4350" s="25">
        <f t="shared" si="67"/>
        <v>1132.875</v>
      </c>
      <c r="L4350" s="25">
        <v>2.75</v>
      </c>
      <c r="M4350" s="24">
        <v>13117.5</v>
      </c>
      <c r="N4350" s="25">
        <f>IFERROR(T_reg.root.SK[[#This Row],[Price]]/T_reg.root.SK[[#This Row],[Starch content]],"")</f>
        <v>11.578947368421053</v>
      </c>
    </row>
    <row r="4351" spans="1:14">
      <c r="A4351" s="21">
        <v>2024</v>
      </c>
      <c r="B4351" s="21" t="s">
        <v>27</v>
      </c>
      <c r="C4351" s="21" t="s">
        <v>1145</v>
      </c>
      <c r="D4351" s="21" t="s">
        <v>35</v>
      </c>
      <c r="E4351" s="18" t="s">
        <v>525</v>
      </c>
      <c r="F4351" s="18" t="s">
        <v>187</v>
      </c>
      <c r="G4351" s="18" t="s">
        <v>48</v>
      </c>
      <c r="H4351" s="24">
        <v>119070</v>
      </c>
      <c r="I4351" s="24">
        <f>T_reg.root.SK[[#This Row],[Volume, kg]]/1000</f>
        <v>119.07</v>
      </c>
      <c r="J4351" s="25">
        <v>0.23319999999999999</v>
      </c>
      <c r="K4351" s="25">
        <f t="shared" si="67"/>
        <v>27767.124</v>
      </c>
      <c r="L4351" s="25">
        <v>2.4700000000000002</v>
      </c>
      <c r="M4351" s="24">
        <v>293578.5</v>
      </c>
      <c r="N4351" s="25">
        <f>IFERROR(T_reg.root.SK[[#This Row],[Price]]/T_reg.root.SK[[#This Row],[Starch content]],"")</f>
        <v>10.591766723842197</v>
      </c>
    </row>
    <row r="4352" spans="1:14">
      <c r="A4352" s="21">
        <v>2024</v>
      </c>
      <c r="B4352" s="21" t="s">
        <v>27</v>
      </c>
      <c r="C4352" s="21" t="s">
        <v>1145</v>
      </c>
      <c r="D4352" s="21" t="s">
        <v>35</v>
      </c>
      <c r="E4352" s="18" t="s">
        <v>725</v>
      </c>
      <c r="F4352" s="18" t="s">
        <v>187</v>
      </c>
      <c r="G4352" s="18" t="s">
        <v>48</v>
      </c>
      <c r="H4352" s="24">
        <v>8400</v>
      </c>
      <c r="I4352" s="24">
        <f>T_reg.root.SK[[#This Row],[Volume, kg]]/1000</f>
        <v>8.4</v>
      </c>
      <c r="J4352" s="25">
        <v>0.2475</v>
      </c>
      <c r="K4352" s="25">
        <f t="shared" si="67"/>
        <v>2079</v>
      </c>
      <c r="L4352" s="25">
        <v>2.5</v>
      </c>
      <c r="M4352" s="24">
        <v>21000</v>
      </c>
      <c r="N4352" s="25">
        <f>IFERROR(T_reg.root.SK[[#This Row],[Price]]/T_reg.root.SK[[#This Row],[Starch content]],"")</f>
        <v>10.1010101010101</v>
      </c>
    </row>
    <row r="4353" spans="1:14">
      <c r="A4353" s="21">
        <v>2024</v>
      </c>
      <c r="B4353" s="21" t="s">
        <v>27</v>
      </c>
      <c r="C4353" s="21" t="s">
        <v>1145</v>
      </c>
      <c r="D4353" s="21" t="s">
        <v>35</v>
      </c>
      <c r="E4353" s="18" t="s">
        <v>198</v>
      </c>
      <c r="F4353" s="18" t="s">
        <v>187</v>
      </c>
      <c r="G4353" s="18" t="s">
        <v>48</v>
      </c>
      <c r="H4353" s="24">
        <v>26060</v>
      </c>
      <c r="I4353" s="24">
        <f>T_reg.root.SK[[#This Row],[Volume, kg]]/1000</f>
        <v>26.06</v>
      </c>
      <c r="J4353" s="25">
        <v>0.2228</v>
      </c>
      <c r="K4353" s="25">
        <f t="shared" si="67"/>
        <v>5806.1679999999997</v>
      </c>
      <c r="L4353" s="25">
        <v>2.58</v>
      </c>
      <c r="M4353" s="24">
        <v>67363.5</v>
      </c>
      <c r="N4353" s="25">
        <f>IFERROR(T_reg.root.SK[[#This Row],[Price]]/T_reg.root.SK[[#This Row],[Starch content]],"")</f>
        <v>11.579892280071814</v>
      </c>
    </row>
    <row r="4354" spans="1:14">
      <c r="A4354" s="21">
        <v>2024</v>
      </c>
      <c r="B4354" s="21" t="s">
        <v>27</v>
      </c>
      <c r="C4354" s="21" t="s">
        <v>1145</v>
      </c>
      <c r="D4354" s="21" t="s">
        <v>35</v>
      </c>
      <c r="E4354" s="18" t="s">
        <v>199</v>
      </c>
      <c r="F4354" s="18" t="s">
        <v>187</v>
      </c>
      <c r="G4354" s="18" t="s">
        <v>48</v>
      </c>
      <c r="H4354" s="24">
        <v>45290</v>
      </c>
      <c r="I4354" s="24">
        <f>T_reg.root.SK[[#This Row],[Volume, kg]]/1000</f>
        <v>45.29</v>
      </c>
      <c r="J4354" s="25">
        <v>0.22329999999999997</v>
      </c>
      <c r="K4354" s="25">
        <f t="shared" si="67"/>
        <v>10113.256999999998</v>
      </c>
      <c r="L4354" s="25">
        <v>2.5099999999999998</v>
      </c>
      <c r="M4354" s="24">
        <v>113455.5</v>
      </c>
      <c r="N4354" s="25">
        <f>IFERROR(T_reg.root.SK[[#This Row],[Price]]/T_reg.root.SK[[#This Row],[Starch content]],"")</f>
        <v>11.240483654276758</v>
      </c>
    </row>
    <row r="4355" spans="1:14">
      <c r="A4355" s="21">
        <v>2024</v>
      </c>
      <c r="B4355" s="21" t="s">
        <v>27</v>
      </c>
      <c r="C4355" s="21" t="s">
        <v>1145</v>
      </c>
      <c r="D4355" s="21" t="s">
        <v>35</v>
      </c>
      <c r="E4355" s="18" t="s">
        <v>200</v>
      </c>
      <c r="F4355" s="18" t="s">
        <v>187</v>
      </c>
      <c r="G4355" s="18" t="s">
        <v>48</v>
      </c>
      <c r="H4355" s="24">
        <v>23020</v>
      </c>
      <c r="I4355" s="24">
        <f>T_reg.root.SK[[#This Row],[Volume, kg]]/1000</f>
        <v>23.02</v>
      </c>
      <c r="J4355" s="25">
        <v>0.2351</v>
      </c>
      <c r="K4355" s="25">
        <f t="shared" ref="K4355:K4418" si="68">H4355*J4355</f>
        <v>5412.0020000000004</v>
      </c>
      <c r="L4355" s="25">
        <v>2.67</v>
      </c>
      <c r="M4355" s="24">
        <v>61420.5</v>
      </c>
      <c r="N4355" s="25">
        <f>IFERROR(T_reg.root.SK[[#This Row],[Price]]/T_reg.root.SK[[#This Row],[Starch content]],"")</f>
        <v>11.356869417269246</v>
      </c>
    </row>
    <row r="4356" spans="1:14">
      <c r="A4356" s="21">
        <v>2024</v>
      </c>
      <c r="B4356" s="21" t="s">
        <v>27</v>
      </c>
      <c r="C4356" s="21" t="s">
        <v>1145</v>
      </c>
      <c r="D4356" s="21" t="s">
        <v>35</v>
      </c>
      <c r="E4356" s="18" t="s">
        <v>201</v>
      </c>
      <c r="F4356" s="18" t="s">
        <v>187</v>
      </c>
      <c r="G4356" s="18" t="s">
        <v>48</v>
      </c>
      <c r="H4356" s="24">
        <v>167630</v>
      </c>
      <c r="I4356" s="24">
        <f>T_reg.root.SK[[#This Row],[Volume, kg]]/1000</f>
        <v>167.63</v>
      </c>
      <c r="J4356" s="25">
        <v>0.23710000000000001</v>
      </c>
      <c r="K4356" s="25">
        <f t="shared" si="68"/>
        <v>39745.073000000004</v>
      </c>
      <c r="L4356" s="25">
        <v>2.52</v>
      </c>
      <c r="M4356" s="24">
        <v>423046.5</v>
      </c>
      <c r="N4356" s="25">
        <f>IFERROR(T_reg.root.SK[[#This Row],[Price]]/T_reg.root.SK[[#This Row],[Starch content]],"")</f>
        <v>10.628426824124842</v>
      </c>
    </row>
    <row r="4357" spans="1:14">
      <c r="A4357" s="21">
        <v>2024</v>
      </c>
      <c r="B4357" s="21" t="s">
        <v>27</v>
      </c>
      <c r="C4357" s="21" t="s">
        <v>1145</v>
      </c>
      <c r="D4357" s="21" t="s">
        <v>35</v>
      </c>
      <c r="E4357" s="18" t="s">
        <v>527</v>
      </c>
      <c r="F4357" s="18" t="s">
        <v>187</v>
      </c>
      <c r="G4357" s="18" t="s">
        <v>48</v>
      </c>
      <c r="H4357" s="24">
        <v>8800</v>
      </c>
      <c r="I4357" s="24">
        <f>T_reg.root.SK[[#This Row],[Volume, kg]]/1000</f>
        <v>8.8000000000000007</v>
      </c>
      <c r="J4357" s="25">
        <v>0.17749999999999999</v>
      </c>
      <c r="K4357" s="25">
        <f t="shared" si="68"/>
        <v>1562</v>
      </c>
      <c r="L4357" s="25">
        <v>2.15</v>
      </c>
      <c r="M4357" s="24">
        <v>18920</v>
      </c>
      <c r="N4357" s="25">
        <f>IFERROR(T_reg.root.SK[[#This Row],[Price]]/T_reg.root.SK[[#This Row],[Starch content]],"")</f>
        <v>12.112676056338028</v>
      </c>
    </row>
    <row r="4358" spans="1:14">
      <c r="A4358" s="21">
        <v>2024</v>
      </c>
      <c r="B4358" s="21" t="s">
        <v>27</v>
      </c>
      <c r="C4358" s="21" t="s">
        <v>1145</v>
      </c>
      <c r="D4358" s="21" t="s">
        <v>35</v>
      </c>
      <c r="E4358" s="18" t="s">
        <v>702</v>
      </c>
      <c r="F4358" s="18" t="s">
        <v>187</v>
      </c>
      <c r="G4358" s="18" t="s">
        <v>48</v>
      </c>
      <c r="H4358" s="24">
        <v>31170</v>
      </c>
      <c r="I4358" s="24">
        <f>T_reg.root.SK[[#This Row],[Volume, kg]]/1000</f>
        <v>31.17</v>
      </c>
      <c r="J4358" s="25">
        <v>0.24179999999999999</v>
      </c>
      <c r="K4358" s="25">
        <f t="shared" si="68"/>
        <v>7536.9059999999999</v>
      </c>
      <c r="L4358" s="25">
        <v>2.66</v>
      </c>
      <c r="M4358" s="24">
        <v>82975.5</v>
      </c>
      <c r="N4358" s="25">
        <f>IFERROR(T_reg.root.SK[[#This Row],[Price]]/T_reg.root.SK[[#This Row],[Starch content]],"")</f>
        <v>11.000827129859388</v>
      </c>
    </row>
    <row r="4359" spans="1:14">
      <c r="A4359" s="21">
        <v>2024</v>
      </c>
      <c r="B4359" s="21" t="s">
        <v>27</v>
      </c>
      <c r="C4359" s="21" t="s">
        <v>1145</v>
      </c>
      <c r="D4359" s="21" t="s">
        <v>35</v>
      </c>
      <c r="E4359" s="18" t="s">
        <v>593</v>
      </c>
      <c r="F4359" s="18" t="s">
        <v>187</v>
      </c>
      <c r="G4359" s="18" t="s">
        <v>48</v>
      </c>
      <c r="H4359" s="24">
        <v>22230</v>
      </c>
      <c r="I4359" s="24">
        <f>T_reg.root.SK[[#This Row],[Volume, kg]]/1000</f>
        <v>22.23</v>
      </c>
      <c r="J4359" s="25">
        <v>0.2029</v>
      </c>
      <c r="K4359" s="25">
        <f t="shared" si="68"/>
        <v>4510.4669999999996</v>
      </c>
      <c r="L4359" s="25">
        <v>2.52</v>
      </c>
      <c r="M4359" s="24">
        <v>56079</v>
      </c>
      <c r="N4359" s="25">
        <f>IFERROR(T_reg.root.SK[[#This Row],[Price]]/T_reg.root.SK[[#This Row],[Starch content]],"")</f>
        <v>12.419911286347954</v>
      </c>
    </row>
    <row r="4360" spans="1:14">
      <c r="A4360" s="21">
        <v>2024</v>
      </c>
      <c r="B4360" s="21" t="s">
        <v>27</v>
      </c>
      <c r="C4360" s="21" t="s">
        <v>1145</v>
      </c>
      <c r="D4360" s="21" t="s">
        <v>35</v>
      </c>
      <c r="E4360" s="18" t="s">
        <v>266</v>
      </c>
      <c r="F4360" s="18" t="s">
        <v>187</v>
      </c>
      <c r="G4360" s="18" t="s">
        <v>48</v>
      </c>
      <c r="H4360" s="24">
        <v>7730</v>
      </c>
      <c r="I4360" s="24">
        <f>T_reg.root.SK[[#This Row],[Volume, kg]]/1000</f>
        <v>7.73</v>
      </c>
      <c r="J4360" s="25">
        <v>0.21249999999999999</v>
      </c>
      <c r="K4360" s="25">
        <f t="shared" si="68"/>
        <v>1642.625</v>
      </c>
      <c r="L4360" s="25">
        <v>2.35</v>
      </c>
      <c r="M4360" s="24">
        <v>18165.5</v>
      </c>
      <c r="N4360" s="25">
        <f>IFERROR(T_reg.root.SK[[#This Row],[Price]]/T_reg.root.SK[[#This Row],[Starch content]],"")</f>
        <v>11.058823529411766</v>
      </c>
    </row>
    <row r="4361" spans="1:14">
      <c r="A4361" s="21">
        <v>2024</v>
      </c>
      <c r="B4361" s="21" t="s">
        <v>27</v>
      </c>
      <c r="C4361" s="21" t="s">
        <v>1145</v>
      </c>
      <c r="D4361" s="21" t="s">
        <v>35</v>
      </c>
      <c r="E4361" s="18" t="s">
        <v>206</v>
      </c>
      <c r="F4361" s="18" t="s">
        <v>187</v>
      </c>
      <c r="G4361" s="18" t="s">
        <v>48</v>
      </c>
      <c r="H4361" s="24">
        <v>35270</v>
      </c>
      <c r="I4361" s="24">
        <f>T_reg.root.SK[[#This Row],[Volume, kg]]/1000</f>
        <v>35.270000000000003</v>
      </c>
      <c r="J4361" s="25">
        <v>0.25800000000000001</v>
      </c>
      <c r="K4361" s="25">
        <f t="shared" si="68"/>
        <v>9099.66</v>
      </c>
      <c r="L4361" s="25">
        <v>2.61</v>
      </c>
      <c r="M4361" s="24">
        <v>92123</v>
      </c>
      <c r="N4361" s="25">
        <f>IFERROR(T_reg.root.SK[[#This Row],[Price]]/T_reg.root.SK[[#This Row],[Starch content]],"")</f>
        <v>10.11627906976744</v>
      </c>
    </row>
    <row r="4362" spans="1:14">
      <c r="A4362" s="21">
        <v>2024</v>
      </c>
      <c r="B4362" s="21" t="s">
        <v>27</v>
      </c>
      <c r="C4362" s="21" t="s">
        <v>1145</v>
      </c>
      <c r="D4362" s="21" t="s">
        <v>35</v>
      </c>
      <c r="E4362" s="18" t="s">
        <v>595</v>
      </c>
      <c r="F4362" s="18" t="s">
        <v>187</v>
      </c>
      <c r="G4362" s="18" t="s">
        <v>48</v>
      </c>
      <c r="H4362" s="24">
        <v>39600</v>
      </c>
      <c r="I4362" s="24">
        <f>T_reg.root.SK[[#This Row],[Volume, kg]]/1000</f>
        <v>39.6</v>
      </c>
      <c r="J4362" s="25">
        <v>0.26619999999999999</v>
      </c>
      <c r="K4362" s="25">
        <f t="shared" si="68"/>
        <v>10541.52</v>
      </c>
      <c r="L4362" s="25">
        <v>2.81</v>
      </c>
      <c r="M4362" s="24">
        <v>111324.5</v>
      </c>
      <c r="N4362" s="25">
        <f>IFERROR(T_reg.root.SK[[#This Row],[Price]]/T_reg.root.SK[[#This Row],[Starch content]],"")</f>
        <v>10.555972952667169</v>
      </c>
    </row>
    <row r="4363" spans="1:14">
      <c r="A4363" s="21">
        <v>2024</v>
      </c>
      <c r="B4363" s="21" t="s">
        <v>27</v>
      </c>
      <c r="C4363" s="21" t="s">
        <v>1145</v>
      </c>
      <c r="D4363" s="21" t="s">
        <v>35</v>
      </c>
      <c r="E4363" s="18" t="s">
        <v>211</v>
      </c>
      <c r="F4363" s="18" t="s">
        <v>187</v>
      </c>
      <c r="G4363" s="18" t="s">
        <v>48</v>
      </c>
      <c r="H4363" s="24">
        <v>346040</v>
      </c>
      <c r="I4363" s="24">
        <f>T_reg.root.SK[[#This Row],[Volume, kg]]/1000</f>
        <v>346.04</v>
      </c>
      <c r="J4363" s="25">
        <v>0.22289999999999999</v>
      </c>
      <c r="K4363" s="25">
        <f t="shared" si="68"/>
        <v>77132.315999999992</v>
      </c>
      <c r="L4363" s="25">
        <v>2.46</v>
      </c>
      <c r="M4363" s="24">
        <v>849586</v>
      </c>
      <c r="N4363" s="25">
        <f>IFERROR(T_reg.root.SK[[#This Row],[Price]]/T_reg.root.SK[[#This Row],[Starch content]],"")</f>
        <v>11.036339165545089</v>
      </c>
    </row>
    <row r="4364" spans="1:14">
      <c r="A4364" s="21">
        <v>2024</v>
      </c>
      <c r="B4364" s="21" t="s">
        <v>27</v>
      </c>
      <c r="C4364" s="21" t="s">
        <v>1145</v>
      </c>
      <c r="D4364" s="21" t="s">
        <v>35</v>
      </c>
      <c r="E4364" s="18" t="s">
        <v>212</v>
      </c>
      <c r="F4364" s="18" t="s">
        <v>187</v>
      </c>
      <c r="G4364" s="18" t="s">
        <v>48</v>
      </c>
      <c r="H4364" s="24">
        <v>9290</v>
      </c>
      <c r="I4364" s="24">
        <f>T_reg.root.SK[[#This Row],[Volume, kg]]/1000</f>
        <v>9.2899999999999991</v>
      </c>
      <c r="J4364" s="25">
        <v>0.20300000000000001</v>
      </c>
      <c r="K4364" s="25">
        <f t="shared" si="68"/>
        <v>1885.8700000000001</v>
      </c>
      <c r="L4364" s="25">
        <v>2.2999999999999998</v>
      </c>
      <c r="M4364" s="24">
        <v>21367</v>
      </c>
      <c r="N4364" s="25">
        <f>IFERROR(T_reg.root.SK[[#This Row],[Price]]/T_reg.root.SK[[#This Row],[Starch content]],"")</f>
        <v>11.330049261083742</v>
      </c>
    </row>
    <row r="4365" spans="1:14">
      <c r="A4365" s="21">
        <v>2024</v>
      </c>
      <c r="B4365" s="21" t="s">
        <v>27</v>
      </c>
      <c r="C4365" s="21" t="s">
        <v>1145</v>
      </c>
      <c r="D4365" s="21" t="s">
        <v>35</v>
      </c>
      <c r="E4365" s="18" t="s">
        <v>613</v>
      </c>
      <c r="F4365" s="18" t="s">
        <v>187</v>
      </c>
      <c r="G4365" s="18" t="s">
        <v>48</v>
      </c>
      <c r="H4365" s="24">
        <v>5020</v>
      </c>
      <c r="I4365" s="24">
        <f>T_reg.root.SK[[#This Row],[Volume, kg]]/1000</f>
        <v>5.0199999999999996</v>
      </c>
      <c r="J4365" s="25">
        <v>0.23499999999999999</v>
      </c>
      <c r="K4365" s="25">
        <f t="shared" si="68"/>
        <v>1179.7</v>
      </c>
      <c r="L4365" s="25">
        <v>2.65</v>
      </c>
      <c r="M4365" s="24">
        <v>13303</v>
      </c>
      <c r="N4365" s="25">
        <f>IFERROR(T_reg.root.SK[[#This Row],[Price]]/T_reg.root.SK[[#This Row],[Starch content]],"")</f>
        <v>11.276595744680851</v>
      </c>
    </row>
    <row r="4366" spans="1:14">
      <c r="A4366" s="21">
        <v>2024</v>
      </c>
      <c r="B4366" s="21" t="s">
        <v>27</v>
      </c>
      <c r="C4366" s="21" t="s">
        <v>1145</v>
      </c>
      <c r="D4366" s="21" t="s">
        <v>35</v>
      </c>
      <c r="E4366" s="18" t="s">
        <v>213</v>
      </c>
      <c r="F4366" s="18" t="s">
        <v>187</v>
      </c>
      <c r="G4366" s="18" t="s">
        <v>48</v>
      </c>
      <c r="H4366" s="24">
        <v>42630</v>
      </c>
      <c r="I4366" s="24">
        <f>T_reg.root.SK[[#This Row],[Volume, kg]]/1000</f>
        <v>42.63</v>
      </c>
      <c r="J4366" s="25">
        <v>0.25269999999999998</v>
      </c>
      <c r="K4366" s="25">
        <f t="shared" si="68"/>
        <v>10772.600999999999</v>
      </c>
      <c r="L4366" s="25">
        <v>2.77</v>
      </c>
      <c r="M4366" s="24">
        <v>117931</v>
      </c>
      <c r="N4366" s="25">
        <f>IFERROR(T_reg.root.SK[[#This Row],[Price]]/T_reg.root.SK[[#This Row],[Starch content]],"")</f>
        <v>10.961614562722596</v>
      </c>
    </row>
    <row r="4367" spans="1:14">
      <c r="A4367" s="21">
        <v>2024</v>
      </c>
      <c r="B4367" s="21" t="s">
        <v>27</v>
      </c>
      <c r="C4367" s="21" t="s">
        <v>1145</v>
      </c>
      <c r="D4367" s="21" t="s">
        <v>35</v>
      </c>
      <c r="E4367" s="18" t="s">
        <v>535</v>
      </c>
      <c r="F4367" s="18" t="s">
        <v>187</v>
      </c>
      <c r="G4367" s="18" t="s">
        <v>48</v>
      </c>
      <c r="H4367" s="24">
        <v>38420</v>
      </c>
      <c r="I4367" s="24">
        <f>T_reg.root.SK[[#This Row],[Volume, kg]]/1000</f>
        <v>38.42</v>
      </c>
      <c r="J4367" s="25">
        <v>0.247</v>
      </c>
      <c r="K4367" s="25">
        <f t="shared" si="68"/>
        <v>9489.74</v>
      </c>
      <c r="L4367" s="25">
        <v>2.48</v>
      </c>
      <c r="M4367" s="24">
        <v>95167.5</v>
      </c>
      <c r="N4367" s="25">
        <f>IFERROR(T_reg.root.SK[[#This Row],[Price]]/T_reg.root.SK[[#This Row],[Starch content]],"")</f>
        <v>10.040485829959515</v>
      </c>
    </row>
    <row r="4368" spans="1:14">
      <c r="A4368" s="21">
        <v>2024</v>
      </c>
      <c r="B4368" s="21" t="s">
        <v>27</v>
      </c>
      <c r="C4368" s="21" t="s">
        <v>1145</v>
      </c>
      <c r="D4368" s="21" t="s">
        <v>35</v>
      </c>
      <c r="E4368" s="18" t="s">
        <v>536</v>
      </c>
      <c r="F4368" s="18" t="s">
        <v>187</v>
      </c>
      <c r="G4368" s="18" t="s">
        <v>48</v>
      </c>
      <c r="H4368" s="24">
        <v>43330</v>
      </c>
      <c r="I4368" s="24">
        <f>T_reg.root.SK[[#This Row],[Volume, kg]]/1000</f>
        <v>43.33</v>
      </c>
      <c r="J4368" s="25">
        <v>0.2271</v>
      </c>
      <c r="K4368" s="25">
        <f t="shared" si="68"/>
        <v>9840.2430000000004</v>
      </c>
      <c r="L4368" s="25">
        <v>2.4</v>
      </c>
      <c r="M4368" s="24">
        <v>104027</v>
      </c>
      <c r="N4368" s="25">
        <f>IFERROR(T_reg.root.SK[[#This Row],[Price]]/T_reg.root.SK[[#This Row],[Starch content]],"")</f>
        <v>10.568031704095112</v>
      </c>
    </row>
    <row r="4369" spans="1:14">
      <c r="A4369" s="21">
        <v>2024</v>
      </c>
      <c r="B4369" s="21" t="s">
        <v>27</v>
      </c>
      <c r="C4369" s="21" t="s">
        <v>1145</v>
      </c>
      <c r="D4369" s="21" t="s">
        <v>35</v>
      </c>
      <c r="E4369" s="18" t="s">
        <v>537</v>
      </c>
      <c r="F4369" s="18" t="s">
        <v>187</v>
      </c>
      <c r="G4369" s="18" t="s">
        <v>48</v>
      </c>
      <c r="H4369" s="24">
        <v>30160</v>
      </c>
      <c r="I4369" s="24">
        <f>T_reg.root.SK[[#This Row],[Volume, kg]]/1000</f>
        <v>30.16</v>
      </c>
      <c r="J4369" s="25">
        <v>0.24979999999999999</v>
      </c>
      <c r="K4369" s="25">
        <f t="shared" si="68"/>
        <v>7533.9679999999998</v>
      </c>
      <c r="L4369" s="25">
        <v>2.54</v>
      </c>
      <c r="M4369" s="24">
        <v>76667.5</v>
      </c>
      <c r="N4369" s="25">
        <f>IFERROR(T_reg.root.SK[[#This Row],[Price]]/T_reg.root.SK[[#This Row],[Starch content]],"")</f>
        <v>10.168134507606085</v>
      </c>
    </row>
    <row r="4370" spans="1:14">
      <c r="A4370" s="21">
        <v>2024</v>
      </c>
      <c r="B4370" s="21" t="s">
        <v>27</v>
      </c>
      <c r="C4370" s="21" t="s">
        <v>1145</v>
      </c>
      <c r="D4370" s="21" t="s">
        <v>35</v>
      </c>
      <c r="E4370" s="18" t="s">
        <v>539</v>
      </c>
      <c r="F4370" s="18" t="s">
        <v>187</v>
      </c>
      <c r="G4370" s="18" t="s">
        <v>48</v>
      </c>
      <c r="H4370" s="24">
        <v>8420</v>
      </c>
      <c r="I4370" s="24">
        <f>T_reg.root.SK[[#This Row],[Volume, kg]]/1000</f>
        <v>8.42</v>
      </c>
      <c r="J4370" s="25">
        <v>0.26500000000000001</v>
      </c>
      <c r="K4370" s="25">
        <f t="shared" si="68"/>
        <v>2231.3000000000002</v>
      </c>
      <c r="L4370" s="25">
        <v>2.85</v>
      </c>
      <c r="M4370" s="24">
        <v>23997</v>
      </c>
      <c r="N4370" s="25">
        <f>IFERROR(T_reg.root.SK[[#This Row],[Price]]/T_reg.root.SK[[#This Row],[Starch content]],"")</f>
        <v>10.754716981132075</v>
      </c>
    </row>
    <row r="4371" spans="1:14">
      <c r="A4371" s="21">
        <v>2024</v>
      </c>
      <c r="B4371" s="21" t="s">
        <v>27</v>
      </c>
      <c r="C4371" s="21" t="s">
        <v>1145</v>
      </c>
      <c r="D4371" s="21" t="s">
        <v>35</v>
      </c>
      <c r="E4371" s="18" t="s">
        <v>214</v>
      </c>
      <c r="F4371" s="18" t="s">
        <v>187</v>
      </c>
      <c r="G4371" s="18" t="s">
        <v>48</v>
      </c>
      <c r="H4371" s="24">
        <v>49750</v>
      </c>
      <c r="I4371" s="24">
        <f>T_reg.root.SK[[#This Row],[Volume, kg]]/1000</f>
        <v>49.75</v>
      </c>
      <c r="J4371" s="25">
        <v>0.2676</v>
      </c>
      <c r="K4371" s="25">
        <f t="shared" si="68"/>
        <v>13313.1</v>
      </c>
      <c r="L4371" s="25">
        <v>2.6</v>
      </c>
      <c r="M4371" s="24">
        <v>129366.5</v>
      </c>
      <c r="N4371" s="25">
        <f>IFERROR(T_reg.root.SK[[#This Row],[Price]]/T_reg.root.SK[[#This Row],[Starch content]],"")</f>
        <v>9.7159940209267557</v>
      </c>
    </row>
    <row r="4372" spans="1:14">
      <c r="A4372" s="21">
        <v>2024</v>
      </c>
      <c r="B4372" s="21" t="s">
        <v>27</v>
      </c>
      <c r="C4372" s="21" t="s">
        <v>1145</v>
      </c>
      <c r="D4372" s="21" t="s">
        <v>35</v>
      </c>
      <c r="E4372" s="18" t="s">
        <v>940</v>
      </c>
      <c r="F4372" s="18" t="s">
        <v>187</v>
      </c>
      <c r="G4372" s="18" t="s">
        <v>48</v>
      </c>
      <c r="H4372" s="24">
        <v>11950</v>
      </c>
      <c r="I4372" s="24">
        <f>T_reg.root.SK[[#This Row],[Volume, kg]]/1000</f>
        <v>11.95</v>
      </c>
      <c r="J4372" s="25">
        <v>0.1928</v>
      </c>
      <c r="K4372" s="25">
        <f t="shared" si="68"/>
        <v>2303.96</v>
      </c>
      <c r="L4372" s="25">
        <v>2.4300000000000002</v>
      </c>
      <c r="M4372" s="24">
        <v>28984</v>
      </c>
      <c r="N4372" s="25">
        <f>IFERROR(T_reg.root.SK[[#This Row],[Price]]/T_reg.root.SK[[#This Row],[Starch content]],"")</f>
        <v>12.603734439834026</v>
      </c>
    </row>
    <row r="4373" spans="1:14">
      <c r="A4373" s="21">
        <v>2024</v>
      </c>
      <c r="B4373" s="21" t="s">
        <v>27</v>
      </c>
      <c r="C4373" s="21" t="s">
        <v>1145</v>
      </c>
      <c r="D4373" s="21" t="s">
        <v>35</v>
      </c>
      <c r="E4373" s="18" t="s">
        <v>215</v>
      </c>
      <c r="F4373" s="18" t="s">
        <v>187</v>
      </c>
      <c r="G4373" s="18" t="s">
        <v>48</v>
      </c>
      <c r="H4373" s="24">
        <v>38980</v>
      </c>
      <c r="I4373" s="24">
        <f>T_reg.root.SK[[#This Row],[Volume, kg]]/1000</f>
        <v>38.979999999999997</v>
      </c>
      <c r="J4373" s="25">
        <v>0.26569999999999999</v>
      </c>
      <c r="K4373" s="25">
        <f t="shared" si="68"/>
        <v>10356.985999999999</v>
      </c>
      <c r="L4373" s="25">
        <v>2.59</v>
      </c>
      <c r="M4373" s="24">
        <v>100924</v>
      </c>
      <c r="N4373" s="25">
        <f>IFERROR(T_reg.root.SK[[#This Row],[Price]]/T_reg.root.SK[[#This Row],[Starch content]],"")</f>
        <v>9.7478359051561903</v>
      </c>
    </row>
    <row r="4374" spans="1:14">
      <c r="A4374" s="21">
        <v>2024</v>
      </c>
      <c r="B4374" s="21" t="s">
        <v>27</v>
      </c>
      <c r="C4374" s="21" t="s">
        <v>1145</v>
      </c>
      <c r="D4374" s="21" t="s">
        <v>35</v>
      </c>
      <c r="E4374" s="18" t="s">
        <v>761</v>
      </c>
      <c r="F4374" s="18" t="s">
        <v>187</v>
      </c>
      <c r="G4374" s="18" t="s">
        <v>48</v>
      </c>
      <c r="H4374" s="24">
        <v>63050</v>
      </c>
      <c r="I4374" s="24">
        <f>T_reg.root.SK[[#This Row],[Volume, kg]]/1000</f>
        <v>63.05</v>
      </c>
      <c r="J4374" s="25">
        <v>0.222</v>
      </c>
      <c r="K4374" s="25">
        <f t="shared" si="68"/>
        <v>13997.1</v>
      </c>
      <c r="L4374" s="25">
        <v>2.52</v>
      </c>
      <c r="M4374" s="24">
        <v>159083.5</v>
      </c>
      <c r="N4374" s="25">
        <f>IFERROR(T_reg.root.SK[[#This Row],[Price]]/T_reg.root.SK[[#This Row],[Starch content]],"")</f>
        <v>11.351351351351351</v>
      </c>
    </row>
    <row r="4375" spans="1:14">
      <c r="A4375" s="21">
        <v>2024</v>
      </c>
      <c r="B4375" s="21" t="s">
        <v>27</v>
      </c>
      <c r="C4375" s="21" t="s">
        <v>1145</v>
      </c>
      <c r="D4375" s="21" t="s">
        <v>35</v>
      </c>
      <c r="E4375" s="18" t="s">
        <v>271</v>
      </c>
      <c r="F4375" s="18" t="s">
        <v>187</v>
      </c>
      <c r="G4375" s="18" t="s">
        <v>48</v>
      </c>
      <c r="H4375" s="24">
        <v>20840</v>
      </c>
      <c r="I4375" s="24">
        <f>T_reg.root.SK[[#This Row],[Volume, kg]]/1000</f>
        <v>20.84</v>
      </c>
      <c r="J4375" s="25">
        <v>0.1888</v>
      </c>
      <c r="K4375" s="25">
        <f t="shared" si="68"/>
        <v>3934.5920000000001</v>
      </c>
      <c r="L4375" s="25">
        <v>2.2000000000000002</v>
      </c>
      <c r="M4375" s="24">
        <v>45812</v>
      </c>
      <c r="N4375" s="25">
        <f>IFERROR(T_reg.root.SK[[#This Row],[Price]]/T_reg.root.SK[[#This Row],[Starch content]],"")</f>
        <v>11.652542372881356</v>
      </c>
    </row>
    <row r="4376" spans="1:14">
      <c r="A4376" s="21">
        <v>2024</v>
      </c>
      <c r="B4376" s="21" t="s">
        <v>27</v>
      </c>
      <c r="C4376" s="21" t="s">
        <v>1145</v>
      </c>
      <c r="D4376" s="21" t="s">
        <v>35</v>
      </c>
      <c r="E4376" s="18" t="s">
        <v>410</v>
      </c>
      <c r="F4376" s="18" t="s">
        <v>187</v>
      </c>
      <c r="G4376" s="18" t="s">
        <v>48</v>
      </c>
      <c r="H4376" s="24">
        <v>50560</v>
      </c>
      <c r="I4376" s="24">
        <f>T_reg.root.SK[[#This Row],[Volume, kg]]/1000</f>
        <v>50.56</v>
      </c>
      <c r="J4376" s="25">
        <v>0.2162</v>
      </c>
      <c r="K4376" s="25">
        <f t="shared" si="68"/>
        <v>10931.072</v>
      </c>
      <c r="L4376" s="25">
        <v>2.37</v>
      </c>
      <c r="M4376" s="24">
        <v>120069</v>
      </c>
      <c r="N4376" s="25">
        <f>IFERROR(T_reg.root.SK[[#This Row],[Price]]/T_reg.root.SK[[#This Row],[Starch content]],"")</f>
        <v>10.962072155411656</v>
      </c>
    </row>
    <row r="4377" spans="1:14">
      <c r="A4377" s="21">
        <v>2024</v>
      </c>
      <c r="B4377" s="21" t="s">
        <v>28</v>
      </c>
      <c r="C4377" s="21" t="s">
        <v>1145</v>
      </c>
      <c r="D4377" s="21" t="s">
        <v>35</v>
      </c>
      <c r="E4377" s="18" t="s">
        <v>457</v>
      </c>
      <c r="F4377" s="18" t="s">
        <v>47</v>
      </c>
      <c r="G4377" s="18" t="s">
        <v>48</v>
      </c>
      <c r="H4377" s="24">
        <v>19490</v>
      </c>
      <c r="I4377" s="24">
        <f>T_reg.root.SK[[#This Row],[Volume, kg]]/1000</f>
        <v>19.489999999999998</v>
      </c>
      <c r="J4377" s="25">
        <v>0.25090000000000001</v>
      </c>
      <c r="K4377" s="25">
        <f t="shared" si="68"/>
        <v>4890.0410000000002</v>
      </c>
      <c r="L4377" s="25">
        <v>2.42</v>
      </c>
      <c r="M4377" s="24">
        <v>47240.5</v>
      </c>
      <c r="N4377" s="25">
        <f>IFERROR(T_reg.root.SK[[#This Row],[Price]]/T_reg.root.SK[[#This Row],[Starch content]],"")</f>
        <v>9.645277002789955</v>
      </c>
    </row>
    <row r="4378" spans="1:14">
      <c r="A4378" s="21">
        <v>2024</v>
      </c>
      <c r="B4378" s="21" t="s">
        <v>28</v>
      </c>
      <c r="C4378" s="21" t="s">
        <v>1145</v>
      </c>
      <c r="D4378" s="21" t="s">
        <v>35</v>
      </c>
      <c r="E4378" s="18" t="s">
        <v>46</v>
      </c>
      <c r="F4378" s="18" t="s">
        <v>47</v>
      </c>
      <c r="G4378" s="18" t="s">
        <v>48</v>
      </c>
      <c r="H4378" s="24">
        <v>719020</v>
      </c>
      <c r="I4378" s="24">
        <f>T_reg.root.SK[[#This Row],[Volume, kg]]/1000</f>
        <v>719.02</v>
      </c>
      <c r="J4378" s="25">
        <v>0.2296</v>
      </c>
      <c r="K4378" s="25">
        <f t="shared" si="68"/>
        <v>165086.992</v>
      </c>
      <c r="L4378" s="25">
        <v>2.39</v>
      </c>
      <c r="M4378" s="24">
        <v>1716256</v>
      </c>
      <c r="N4378" s="25">
        <f>IFERROR(T_reg.root.SK[[#This Row],[Price]]/T_reg.root.SK[[#This Row],[Starch content]],"")</f>
        <v>10.409407665505228</v>
      </c>
    </row>
    <row r="4379" spans="1:14">
      <c r="A4379" s="21">
        <v>2024</v>
      </c>
      <c r="B4379" s="21" t="s">
        <v>28</v>
      </c>
      <c r="C4379" s="21" t="s">
        <v>1145</v>
      </c>
      <c r="D4379" s="21" t="s">
        <v>35</v>
      </c>
      <c r="E4379" s="18" t="s">
        <v>50</v>
      </c>
      <c r="F4379" s="18" t="s">
        <v>47</v>
      </c>
      <c r="G4379" s="18" t="s">
        <v>48</v>
      </c>
      <c r="H4379" s="24">
        <v>44700</v>
      </c>
      <c r="I4379" s="24">
        <f>T_reg.root.SK[[#This Row],[Volume, kg]]/1000</f>
        <v>44.7</v>
      </c>
      <c r="J4379" s="25">
        <v>0.20399999999999999</v>
      </c>
      <c r="K4379" s="25">
        <f t="shared" si="68"/>
        <v>9118.7999999999993</v>
      </c>
      <c r="L4379" s="25">
        <v>2.2400000000000002</v>
      </c>
      <c r="M4379" s="24">
        <v>100123</v>
      </c>
      <c r="N4379" s="25">
        <f>IFERROR(T_reg.root.SK[[#This Row],[Price]]/T_reg.root.SK[[#This Row],[Starch content]],"")</f>
        <v>10.980392156862747</v>
      </c>
    </row>
    <row r="4380" spans="1:14">
      <c r="A4380" s="21">
        <v>2024</v>
      </c>
      <c r="B4380" s="21" t="s">
        <v>28</v>
      </c>
      <c r="C4380" s="21" t="s">
        <v>1145</v>
      </c>
      <c r="D4380" s="21" t="s">
        <v>35</v>
      </c>
      <c r="E4380" s="18" t="s">
        <v>51</v>
      </c>
      <c r="F4380" s="18" t="s">
        <v>47</v>
      </c>
      <c r="G4380" s="18" t="s">
        <v>48</v>
      </c>
      <c r="H4380" s="24">
        <v>15830</v>
      </c>
      <c r="I4380" s="24">
        <f>T_reg.root.SK[[#This Row],[Volume, kg]]/1000</f>
        <v>15.83</v>
      </c>
      <c r="J4380" s="25">
        <v>0.23929999999999998</v>
      </c>
      <c r="K4380" s="25">
        <f t="shared" si="68"/>
        <v>3788.1189999999997</v>
      </c>
      <c r="L4380" s="25">
        <v>2.4500000000000002</v>
      </c>
      <c r="M4380" s="24">
        <v>38773</v>
      </c>
      <c r="N4380" s="25">
        <f>IFERROR(T_reg.root.SK[[#This Row],[Price]]/T_reg.root.SK[[#This Row],[Starch content]],"")</f>
        <v>10.238194734642709</v>
      </c>
    </row>
    <row r="4381" spans="1:14">
      <c r="A4381" s="21">
        <v>2024</v>
      </c>
      <c r="B4381" s="21" t="s">
        <v>28</v>
      </c>
      <c r="C4381" s="21" t="s">
        <v>1145</v>
      </c>
      <c r="D4381" s="21" t="s">
        <v>35</v>
      </c>
      <c r="E4381" s="18" t="s">
        <v>336</v>
      </c>
      <c r="F4381" s="18" t="s">
        <v>47</v>
      </c>
      <c r="G4381" s="18" t="s">
        <v>48</v>
      </c>
      <c r="H4381" s="24">
        <v>82600</v>
      </c>
      <c r="I4381" s="24">
        <f>T_reg.root.SK[[#This Row],[Volume, kg]]/1000</f>
        <v>82.6</v>
      </c>
      <c r="J4381" s="25">
        <v>0.2445</v>
      </c>
      <c r="K4381" s="25">
        <f t="shared" si="68"/>
        <v>20195.7</v>
      </c>
      <c r="L4381" s="25">
        <v>2.4</v>
      </c>
      <c r="M4381" s="24">
        <v>198100.5</v>
      </c>
      <c r="N4381" s="25">
        <f>IFERROR(T_reg.root.SK[[#This Row],[Price]]/T_reg.root.SK[[#This Row],[Starch content]],"")</f>
        <v>9.8159509202453989</v>
      </c>
    </row>
    <row r="4382" spans="1:14">
      <c r="A4382" s="21">
        <v>2024</v>
      </c>
      <c r="B4382" s="21" t="s">
        <v>28</v>
      </c>
      <c r="C4382" s="21" t="s">
        <v>1145</v>
      </c>
      <c r="D4382" s="21" t="s">
        <v>35</v>
      </c>
      <c r="E4382" s="18" t="s">
        <v>642</v>
      </c>
      <c r="F4382" s="18" t="s">
        <v>47</v>
      </c>
      <c r="G4382" s="18" t="s">
        <v>48</v>
      </c>
      <c r="H4382" s="24">
        <v>24950</v>
      </c>
      <c r="I4382" s="24">
        <f>T_reg.root.SK[[#This Row],[Volume, kg]]/1000</f>
        <v>24.95</v>
      </c>
      <c r="J4382" s="25">
        <v>0.2492</v>
      </c>
      <c r="K4382" s="25">
        <f t="shared" si="68"/>
        <v>6217.54</v>
      </c>
      <c r="L4382" s="25">
        <v>2.48</v>
      </c>
      <c r="M4382" s="24">
        <v>61895</v>
      </c>
      <c r="N4382" s="25">
        <f>IFERROR(T_reg.root.SK[[#This Row],[Price]]/T_reg.root.SK[[#This Row],[Starch content]],"")</f>
        <v>9.9518459069020864</v>
      </c>
    </row>
    <row r="4383" spans="1:14">
      <c r="A4383" s="21">
        <v>2024</v>
      </c>
      <c r="B4383" s="21" t="s">
        <v>28</v>
      </c>
      <c r="C4383" s="21" t="s">
        <v>1145</v>
      </c>
      <c r="D4383" s="21" t="s">
        <v>35</v>
      </c>
      <c r="E4383" s="18" t="s">
        <v>52</v>
      </c>
      <c r="F4383" s="18" t="s">
        <v>47</v>
      </c>
      <c r="G4383" s="18" t="s">
        <v>48</v>
      </c>
      <c r="H4383" s="24">
        <v>87940</v>
      </c>
      <c r="I4383" s="24">
        <f>T_reg.root.SK[[#This Row],[Volume, kg]]/1000</f>
        <v>87.94</v>
      </c>
      <c r="J4383" s="25">
        <v>0.22170000000000001</v>
      </c>
      <c r="K4383" s="25">
        <f t="shared" si="68"/>
        <v>19496.298000000003</v>
      </c>
      <c r="L4383" s="25">
        <v>2.34</v>
      </c>
      <c r="M4383" s="24">
        <v>205602</v>
      </c>
      <c r="N4383" s="25">
        <f>IFERROR(T_reg.root.SK[[#This Row],[Price]]/T_reg.root.SK[[#This Row],[Starch content]],"")</f>
        <v>10.554803788903923</v>
      </c>
    </row>
    <row r="4384" spans="1:14">
      <c r="A4384" s="21">
        <v>2024</v>
      </c>
      <c r="B4384" s="21" t="s">
        <v>28</v>
      </c>
      <c r="C4384" s="21" t="s">
        <v>1145</v>
      </c>
      <c r="D4384" s="21" t="s">
        <v>35</v>
      </c>
      <c r="E4384" s="18" t="s">
        <v>674</v>
      </c>
      <c r="F4384" s="18" t="s">
        <v>47</v>
      </c>
      <c r="G4384" s="18" t="s">
        <v>48</v>
      </c>
      <c r="H4384" s="24">
        <v>65410</v>
      </c>
      <c r="I4384" s="24">
        <f>T_reg.root.SK[[#This Row],[Volume, kg]]/1000</f>
        <v>65.41</v>
      </c>
      <c r="J4384" s="25">
        <v>0.23199999999999998</v>
      </c>
      <c r="K4384" s="25">
        <f t="shared" si="68"/>
        <v>15175.119999999999</v>
      </c>
      <c r="L4384" s="25">
        <v>2.41</v>
      </c>
      <c r="M4384" s="24">
        <v>157705</v>
      </c>
      <c r="N4384" s="25">
        <f>IFERROR(T_reg.root.SK[[#This Row],[Price]]/T_reg.root.SK[[#This Row],[Starch content]],"")</f>
        <v>10.38793103448276</v>
      </c>
    </row>
    <row r="4385" spans="1:14">
      <c r="A4385" s="21">
        <v>2024</v>
      </c>
      <c r="B4385" s="21" t="s">
        <v>28</v>
      </c>
      <c r="C4385" s="21" t="s">
        <v>1145</v>
      </c>
      <c r="D4385" s="21" t="s">
        <v>35</v>
      </c>
      <c r="E4385" s="18" t="s">
        <v>78</v>
      </c>
      <c r="F4385" s="18" t="s">
        <v>47</v>
      </c>
      <c r="G4385" s="18" t="s">
        <v>48</v>
      </c>
      <c r="H4385" s="24">
        <v>78190</v>
      </c>
      <c r="I4385" s="24">
        <f>T_reg.root.SK[[#This Row],[Volume, kg]]/1000</f>
        <v>78.19</v>
      </c>
      <c r="J4385" s="25">
        <v>0.21879999999999999</v>
      </c>
      <c r="K4385" s="25">
        <f t="shared" si="68"/>
        <v>17107.971999999998</v>
      </c>
      <c r="L4385" s="25">
        <v>2.34</v>
      </c>
      <c r="M4385" s="24">
        <v>183072.5</v>
      </c>
      <c r="N4385" s="25">
        <f>IFERROR(T_reg.root.SK[[#This Row],[Price]]/T_reg.root.SK[[#This Row],[Starch content]],"")</f>
        <v>10.69469835466179</v>
      </c>
    </row>
    <row r="4386" spans="1:14">
      <c r="A4386" s="21">
        <v>2024</v>
      </c>
      <c r="B4386" s="21" t="s">
        <v>28</v>
      </c>
      <c r="C4386" s="21" t="s">
        <v>1145</v>
      </c>
      <c r="D4386" s="21" t="s">
        <v>35</v>
      </c>
      <c r="E4386" s="18" t="s">
        <v>624</v>
      </c>
      <c r="F4386" s="18" t="s">
        <v>47</v>
      </c>
      <c r="G4386" s="18" t="s">
        <v>48</v>
      </c>
      <c r="H4386" s="24">
        <v>50260</v>
      </c>
      <c r="I4386" s="24">
        <f>T_reg.root.SK[[#This Row],[Volume, kg]]/1000</f>
        <v>50.26</v>
      </c>
      <c r="J4386" s="25">
        <v>0.24989999999999998</v>
      </c>
      <c r="K4386" s="25">
        <f t="shared" si="68"/>
        <v>12559.973999999998</v>
      </c>
      <c r="L4386" s="25">
        <v>2.4900000000000002</v>
      </c>
      <c r="M4386" s="24">
        <v>125248</v>
      </c>
      <c r="N4386" s="25">
        <f>IFERROR(T_reg.root.SK[[#This Row],[Price]]/T_reg.root.SK[[#This Row],[Starch content]],"")</f>
        <v>9.9639855942376965</v>
      </c>
    </row>
    <row r="4387" spans="1:14">
      <c r="A4387" s="21">
        <v>2024</v>
      </c>
      <c r="B4387" s="21" t="s">
        <v>28</v>
      </c>
      <c r="C4387" s="21" t="s">
        <v>1145</v>
      </c>
      <c r="D4387" s="21" t="s">
        <v>35</v>
      </c>
      <c r="E4387" s="18" t="s">
        <v>460</v>
      </c>
      <c r="F4387" s="18" t="s">
        <v>47</v>
      </c>
      <c r="G4387" s="18" t="s">
        <v>48</v>
      </c>
      <c r="H4387" s="24">
        <v>11740</v>
      </c>
      <c r="I4387" s="24">
        <f>T_reg.root.SK[[#This Row],[Volume, kg]]/1000</f>
        <v>11.74</v>
      </c>
      <c r="J4387" s="25">
        <v>0.21010000000000001</v>
      </c>
      <c r="K4387" s="25">
        <f t="shared" si="68"/>
        <v>2466.5740000000001</v>
      </c>
      <c r="L4387" s="25">
        <v>2.31</v>
      </c>
      <c r="M4387" s="24">
        <v>27100</v>
      </c>
      <c r="N4387" s="25">
        <f>IFERROR(T_reg.root.SK[[#This Row],[Price]]/T_reg.root.SK[[#This Row],[Starch content]],"")</f>
        <v>10.994764397905758</v>
      </c>
    </row>
    <row r="4388" spans="1:14">
      <c r="A4388" s="21">
        <v>2024</v>
      </c>
      <c r="B4388" s="21" t="s">
        <v>28</v>
      </c>
      <c r="C4388" s="21" t="s">
        <v>1145</v>
      </c>
      <c r="D4388" s="21" t="s">
        <v>35</v>
      </c>
      <c r="E4388" s="18" t="s">
        <v>461</v>
      </c>
      <c r="F4388" s="18" t="s">
        <v>47</v>
      </c>
      <c r="G4388" s="18" t="s">
        <v>48</v>
      </c>
      <c r="H4388" s="24">
        <v>57440</v>
      </c>
      <c r="I4388" s="24">
        <f>T_reg.root.SK[[#This Row],[Volume, kg]]/1000</f>
        <v>57.44</v>
      </c>
      <c r="J4388" s="25">
        <v>0.24609999999999999</v>
      </c>
      <c r="K4388" s="25">
        <f t="shared" si="68"/>
        <v>14135.983999999999</v>
      </c>
      <c r="L4388" s="25">
        <v>2.48</v>
      </c>
      <c r="M4388" s="24">
        <v>142485.5</v>
      </c>
      <c r="N4388" s="25">
        <f>IFERROR(T_reg.root.SK[[#This Row],[Price]]/T_reg.root.SK[[#This Row],[Starch content]],"")</f>
        <v>10.077204388459975</v>
      </c>
    </row>
    <row r="4389" spans="1:14">
      <c r="A4389" s="21">
        <v>2024</v>
      </c>
      <c r="B4389" s="21" t="s">
        <v>28</v>
      </c>
      <c r="C4389" s="21" t="s">
        <v>1145</v>
      </c>
      <c r="D4389" s="21" t="s">
        <v>35</v>
      </c>
      <c r="E4389" s="18" t="s">
        <v>54</v>
      </c>
      <c r="F4389" s="18" t="s">
        <v>47</v>
      </c>
      <c r="G4389" s="18" t="s">
        <v>48</v>
      </c>
      <c r="H4389" s="24">
        <v>6570</v>
      </c>
      <c r="I4389" s="24">
        <f>T_reg.root.SK[[#This Row],[Volume, kg]]/1000</f>
        <v>6.57</v>
      </c>
      <c r="J4389" s="25">
        <v>0.22649999999999998</v>
      </c>
      <c r="K4389" s="25">
        <f t="shared" si="68"/>
        <v>1488.1049999999998</v>
      </c>
      <c r="L4389" s="25">
        <v>2.4</v>
      </c>
      <c r="M4389" s="24">
        <v>15768</v>
      </c>
      <c r="N4389" s="25">
        <f>IFERROR(T_reg.root.SK[[#This Row],[Price]]/T_reg.root.SK[[#This Row],[Starch content]],"")</f>
        <v>10.596026490066226</v>
      </c>
    </row>
    <row r="4390" spans="1:14">
      <c r="A4390" s="21">
        <v>2024</v>
      </c>
      <c r="B4390" s="21" t="s">
        <v>28</v>
      </c>
      <c r="C4390" s="21" t="s">
        <v>1145</v>
      </c>
      <c r="D4390" s="21" t="s">
        <v>35</v>
      </c>
      <c r="E4390" s="18" t="s">
        <v>744</v>
      </c>
      <c r="F4390" s="18" t="s">
        <v>47</v>
      </c>
      <c r="G4390" s="18" t="s">
        <v>48</v>
      </c>
      <c r="H4390" s="24">
        <v>42220</v>
      </c>
      <c r="I4390" s="24">
        <f>T_reg.root.SK[[#This Row],[Volume, kg]]/1000</f>
        <v>42.22</v>
      </c>
      <c r="J4390" s="25">
        <v>0.251</v>
      </c>
      <c r="K4390" s="25">
        <f t="shared" si="68"/>
        <v>10597.22</v>
      </c>
      <c r="L4390" s="25">
        <v>2.4300000000000002</v>
      </c>
      <c r="M4390" s="24">
        <v>102641</v>
      </c>
      <c r="N4390" s="25">
        <f>IFERROR(T_reg.root.SK[[#This Row],[Price]]/T_reg.root.SK[[#This Row],[Starch content]],"")</f>
        <v>9.6812749003984067</v>
      </c>
    </row>
    <row r="4391" spans="1:14">
      <c r="A4391" s="21">
        <v>2024</v>
      </c>
      <c r="B4391" s="21" t="s">
        <v>28</v>
      </c>
      <c r="C4391" s="21" t="s">
        <v>1145</v>
      </c>
      <c r="D4391" s="21" t="s">
        <v>35</v>
      </c>
      <c r="E4391" s="18" t="s">
        <v>56</v>
      </c>
      <c r="F4391" s="18" t="s">
        <v>47</v>
      </c>
      <c r="G4391" s="18" t="s">
        <v>48</v>
      </c>
      <c r="H4391" s="24">
        <v>15580</v>
      </c>
      <c r="I4391" s="24">
        <f>T_reg.root.SK[[#This Row],[Volume, kg]]/1000</f>
        <v>15.58</v>
      </c>
      <c r="J4391" s="25">
        <v>0.22070000000000001</v>
      </c>
      <c r="K4391" s="25">
        <f t="shared" si="68"/>
        <v>3438.5060000000003</v>
      </c>
      <c r="L4391" s="25">
        <v>2.3199999999999998</v>
      </c>
      <c r="M4391" s="24">
        <v>36115.5</v>
      </c>
      <c r="N4391" s="25">
        <f>IFERROR(T_reg.root.SK[[#This Row],[Price]]/T_reg.root.SK[[#This Row],[Starch content]],"")</f>
        <v>10.51200724966017</v>
      </c>
    </row>
    <row r="4392" spans="1:14">
      <c r="A4392" s="21">
        <v>2024</v>
      </c>
      <c r="B4392" s="21" t="s">
        <v>28</v>
      </c>
      <c r="C4392" s="21" t="s">
        <v>1145</v>
      </c>
      <c r="D4392" s="21" t="s">
        <v>35</v>
      </c>
      <c r="E4392" s="18" t="s">
        <v>463</v>
      </c>
      <c r="F4392" s="18" t="s">
        <v>47</v>
      </c>
      <c r="G4392" s="18" t="s">
        <v>48</v>
      </c>
      <c r="H4392" s="24">
        <v>129730</v>
      </c>
      <c r="I4392" s="24">
        <f>T_reg.root.SK[[#This Row],[Volume, kg]]/1000</f>
        <v>129.72999999999999</v>
      </c>
      <c r="J4392" s="25">
        <v>0.20180000000000001</v>
      </c>
      <c r="K4392" s="25">
        <f t="shared" si="68"/>
        <v>26179.513999999999</v>
      </c>
      <c r="L4392" s="25">
        <v>2.2599999999999998</v>
      </c>
      <c r="M4392" s="24">
        <v>293268.5</v>
      </c>
      <c r="N4392" s="25">
        <f>IFERROR(T_reg.root.SK[[#This Row],[Price]]/T_reg.root.SK[[#This Row],[Starch content]],"")</f>
        <v>11.199207135777996</v>
      </c>
    </row>
    <row r="4393" spans="1:14">
      <c r="A4393" s="21">
        <v>2024</v>
      </c>
      <c r="B4393" s="21" t="s">
        <v>28</v>
      </c>
      <c r="C4393" s="21" t="s">
        <v>1145</v>
      </c>
      <c r="D4393" s="21" t="s">
        <v>35</v>
      </c>
      <c r="E4393" s="18" t="s">
        <v>785</v>
      </c>
      <c r="F4393" s="18" t="s">
        <v>47</v>
      </c>
      <c r="G4393" s="18" t="s">
        <v>48</v>
      </c>
      <c r="H4393" s="24">
        <v>50190</v>
      </c>
      <c r="I4393" s="24">
        <f>T_reg.root.SK[[#This Row],[Volume, kg]]/1000</f>
        <v>50.19</v>
      </c>
      <c r="J4393" s="25">
        <v>0.2223</v>
      </c>
      <c r="K4393" s="25">
        <f t="shared" si="68"/>
        <v>11157.236999999999</v>
      </c>
      <c r="L4393" s="25">
        <v>2.31</v>
      </c>
      <c r="M4393" s="24">
        <v>115698.5</v>
      </c>
      <c r="N4393" s="25">
        <f>IFERROR(T_reg.root.SK[[#This Row],[Price]]/T_reg.root.SK[[#This Row],[Starch content]],"")</f>
        <v>10.39136302294197</v>
      </c>
    </row>
    <row r="4394" spans="1:14">
      <c r="A4394" s="21">
        <v>2024</v>
      </c>
      <c r="B4394" s="21" t="s">
        <v>28</v>
      </c>
      <c r="C4394" s="21" t="s">
        <v>1145</v>
      </c>
      <c r="D4394" s="21" t="s">
        <v>35</v>
      </c>
      <c r="E4394" s="18" t="s">
        <v>655</v>
      </c>
      <c r="F4394" s="18" t="s">
        <v>47</v>
      </c>
      <c r="G4394" s="18" t="s">
        <v>48</v>
      </c>
      <c r="H4394" s="24">
        <v>49530</v>
      </c>
      <c r="I4394" s="24">
        <f>T_reg.root.SK[[#This Row],[Volume, kg]]/1000</f>
        <v>49.53</v>
      </c>
      <c r="J4394" s="25">
        <v>0.22989999999999999</v>
      </c>
      <c r="K4394" s="25">
        <f t="shared" si="68"/>
        <v>11386.947</v>
      </c>
      <c r="L4394" s="25">
        <v>2.38</v>
      </c>
      <c r="M4394" s="24">
        <v>117917.5</v>
      </c>
      <c r="N4394" s="25">
        <f>IFERROR(T_reg.root.SK[[#This Row],[Price]]/T_reg.root.SK[[#This Row],[Starch content]],"")</f>
        <v>10.352327098738582</v>
      </c>
    </row>
    <row r="4395" spans="1:14">
      <c r="A4395" s="21">
        <v>2024</v>
      </c>
      <c r="B4395" s="21" t="s">
        <v>28</v>
      </c>
      <c r="C4395" s="21" t="s">
        <v>1145</v>
      </c>
      <c r="D4395" s="21" t="s">
        <v>35</v>
      </c>
      <c r="E4395" s="18" t="s">
        <v>625</v>
      </c>
      <c r="F4395" s="18" t="s">
        <v>47</v>
      </c>
      <c r="G4395" s="18" t="s">
        <v>48</v>
      </c>
      <c r="H4395" s="24">
        <v>9660</v>
      </c>
      <c r="I4395" s="24">
        <f>T_reg.root.SK[[#This Row],[Volume, kg]]/1000</f>
        <v>9.66</v>
      </c>
      <c r="J4395" s="25">
        <v>0.24</v>
      </c>
      <c r="K4395" s="25">
        <f t="shared" si="68"/>
        <v>2318.4</v>
      </c>
      <c r="L4395" s="25">
        <v>2.35</v>
      </c>
      <c r="M4395" s="24">
        <v>22701</v>
      </c>
      <c r="N4395" s="25">
        <f>IFERROR(T_reg.root.SK[[#This Row],[Price]]/T_reg.root.SK[[#This Row],[Starch content]],"")</f>
        <v>9.7916666666666679</v>
      </c>
    </row>
    <row r="4396" spans="1:14">
      <c r="A4396" s="21">
        <v>2024</v>
      </c>
      <c r="B4396" s="21" t="s">
        <v>28</v>
      </c>
      <c r="C4396" s="21" t="s">
        <v>1145</v>
      </c>
      <c r="D4396" s="21" t="s">
        <v>35</v>
      </c>
      <c r="E4396" s="18" t="s">
        <v>57</v>
      </c>
      <c r="F4396" s="18" t="s">
        <v>47</v>
      </c>
      <c r="G4396" s="18" t="s">
        <v>48</v>
      </c>
      <c r="H4396" s="24">
        <v>46940</v>
      </c>
      <c r="I4396" s="24">
        <f>T_reg.root.SK[[#This Row],[Volume, kg]]/1000</f>
        <v>46.94</v>
      </c>
      <c r="J4396" s="25">
        <v>0.21539999999999998</v>
      </c>
      <c r="K4396" s="25">
        <f t="shared" si="68"/>
        <v>10110.875999999998</v>
      </c>
      <c r="L4396" s="25">
        <v>2.2999999999999998</v>
      </c>
      <c r="M4396" s="24">
        <v>107910</v>
      </c>
      <c r="N4396" s="25">
        <f>IFERROR(T_reg.root.SK[[#This Row],[Price]]/T_reg.root.SK[[#This Row],[Starch content]],"")</f>
        <v>10.677808727948005</v>
      </c>
    </row>
    <row r="4397" spans="1:14">
      <c r="A4397" s="21">
        <v>2024</v>
      </c>
      <c r="B4397" s="21" t="s">
        <v>28</v>
      </c>
      <c r="C4397" s="21" t="s">
        <v>1145</v>
      </c>
      <c r="D4397" s="21" t="s">
        <v>35</v>
      </c>
      <c r="E4397" s="18" t="s">
        <v>379</v>
      </c>
      <c r="F4397" s="18" t="s">
        <v>47</v>
      </c>
      <c r="G4397" s="18" t="s">
        <v>48</v>
      </c>
      <c r="H4397" s="24">
        <v>17670</v>
      </c>
      <c r="I4397" s="24">
        <f>T_reg.root.SK[[#This Row],[Volume, kg]]/1000</f>
        <v>17.670000000000002</v>
      </c>
      <c r="J4397" s="25">
        <v>0.23550000000000001</v>
      </c>
      <c r="K4397" s="25">
        <f t="shared" si="68"/>
        <v>4161.2849999999999</v>
      </c>
      <c r="L4397" s="25">
        <v>2.42</v>
      </c>
      <c r="M4397" s="24">
        <v>42789.5</v>
      </c>
      <c r="N4397" s="25">
        <f>IFERROR(T_reg.root.SK[[#This Row],[Price]]/T_reg.root.SK[[#This Row],[Starch content]],"")</f>
        <v>10.276008492569002</v>
      </c>
    </row>
    <row r="4398" spans="1:14">
      <c r="A4398" s="21">
        <v>2024</v>
      </c>
      <c r="B4398" s="21" t="s">
        <v>28</v>
      </c>
      <c r="C4398" s="21" t="s">
        <v>1145</v>
      </c>
      <c r="D4398" s="21" t="s">
        <v>35</v>
      </c>
      <c r="E4398" s="18" t="s">
        <v>465</v>
      </c>
      <c r="F4398" s="18" t="s">
        <v>47</v>
      </c>
      <c r="G4398" s="18" t="s">
        <v>48</v>
      </c>
      <c r="H4398" s="24">
        <v>31590</v>
      </c>
      <c r="I4398" s="24">
        <f>T_reg.root.SK[[#This Row],[Volume, kg]]/1000</f>
        <v>31.59</v>
      </c>
      <c r="J4398" s="25">
        <v>0.24050000000000002</v>
      </c>
      <c r="K4398" s="25">
        <f t="shared" si="68"/>
        <v>7597.3950000000004</v>
      </c>
      <c r="L4398" s="25">
        <v>2.4500000000000002</v>
      </c>
      <c r="M4398" s="24">
        <v>77395.5</v>
      </c>
      <c r="N4398" s="25">
        <f>IFERROR(T_reg.root.SK[[#This Row],[Price]]/T_reg.root.SK[[#This Row],[Starch content]],"")</f>
        <v>10.187110187110187</v>
      </c>
    </row>
    <row r="4399" spans="1:14">
      <c r="A4399" s="21">
        <v>2024</v>
      </c>
      <c r="B4399" s="21" t="s">
        <v>28</v>
      </c>
      <c r="C4399" s="21" t="s">
        <v>1145</v>
      </c>
      <c r="D4399" s="21" t="s">
        <v>35</v>
      </c>
      <c r="E4399" s="18" t="s">
        <v>58</v>
      </c>
      <c r="F4399" s="18" t="s">
        <v>47</v>
      </c>
      <c r="G4399" s="18" t="s">
        <v>48</v>
      </c>
      <c r="H4399" s="24">
        <v>17800</v>
      </c>
      <c r="I4399" s="24">
        <f>T_reg.root.SK[[#This Row],[Volume, kg]]/1000</f>
        <v>17.8</v>
      </c>
      <c r="J4399" s="25">
        <v>0.21879999999999999</v>
      </c>
      <c r="K4399" s="25">
        <f t="shared" si="68"/>
        <v>3894.64</v>
      </c>
      <c r="L4399" s="25">
        <v>2.3199999999999998</v>
      </c>
      <c r="M4399" s="24">
        <v>41362</v>
      </c>
      <c r="N4399" s="25">
        <f>IFERROR(T_reg.root.SK[[#This Row],[Price]]/T_reg.root.SK[[#This Row],[Starch content]],"")</f>
        <v>10.603290676416819</v>
      </c>
    </row>
    <row r="4400" spans="1:14">
      <c r="A4400" s="21">
        <v>2024</v>
      </c>
      <c r="B4400" s="21" t="s">
        <v>28</v>
      </c>
      <c r="C4400" s="21" t="s">
        <v>1145</v>
      </c>
      <c r="D4400" s="21" t="s">
        <v>35</v>
      </c>
      <c r="E4400" s="18" t="s">
        <v>59</v>
      </c>
      <c r="F4400" s="18" t="s">
        <v>47</v>
      </c>
      <c r="G4400" s="18" t="s">
        <v>48</v>
      </c>
      <c r="H4400" s="24">
        <v>68700</v>
      </c>
      <c r="I4400" s="24">
        <f>T_reg.root.SK[[#This Row],[Volume, kg]]/1000</f>
        <v>68.7</v>
      </c>
      <c r="J4400" s="25">
        <v>0.23620000000000002</v>
      </c>
      <c r="K4400" s="25">
        <f t="shared" si="68"/>
        <v>16226.940000000002</v>
      </c>
      <c r="L4400" s="25">
        <v>2.38</v>
      </c>
      <c r="M4400" s="24">
        <v>163646</v>
      </c>
      <c r="N4400" s="25">
        <f>IFERROR(T_reg.root.SK[[#This Row],[Price]]/T_reg.root.SK[[#This Row],[Starch content]],"")</f>
        <v>10.076206604572395</v>
      </c>
    </row>
    <row r="4401" spans="1:14">
      <c r="A4401" s="21">
        <v>2024</v>
      </c>
      <c r="B4401" s="21" t="s">
        <v>28</v>
      </c>
      <c r="C4401" s="21" t="s">
        <v>1145</v>
      </c>
      <c r="D4401" s="21" t="s">
        <v>35</v>
      </c>
      <c r="E4401" s="18" t="s">
        <v>60</v>
      </c>
      <c r="F4401" s="18" t="s">
        <v>47</v>
      </c>
      <c r="G4401" s="18" t="s">
        <v>48</v>
      </c>
      <c r="H4401" s="24">
        <v>60220</v>
      </c>
      <c r="I4401" s="24">
        <f>T_reg.root.SK[[#This Row],[Volume, kg]]/1000</f>
        <v>60.22</v>
      </c>
      <c r="J4401" s="25">
        <v>0.2336</v>
      </c>
      <c r="K4401" s="25">
        <f t="shared" si="68"/>
        <v>14067.392</v>
      </c>
      <c r="L4401" s="25">
        <v>2.42</v>
      </c>
      <c r="M4401" s="24">
        <v>145876.5</v>
      </c>
      <c r="N4401" s="25">
        <f>IFERROR(T_reg.root.SK[[#This Row],[Price]]/T_reg.root.SK[[#This Row],[Starch content]],"")</f>
        <v>10.359589041095891</v>
      </c>
    </row>
    <row r="4402" spans="1:14">
      <c r="A4402" s="21">
        <v>2024</v>
      </c>
      <c r="B4402" s="21" t="s">
        <v>28</v>
      </c>
      <c r="C4402" s="21" t="s">
        <v>1145</v>
      </c>
      <c r="D4402" s="21" t="s">
        <v>35</v>
      </c>
      <c r="E4402" s="18" t="s">
        <v>643</v>
      </c>
      <c r="F4402" s="18" t="s">
        <v>47</v>
      </c>
      <c r="G4402" s="18" t="s">
        <v>48</v>
      </c>
      <c r="H4402" s="24">
        <v>263000</v>
      </c>
      <c r="I4402" s="24">
        <f>T_reg.root.SK[[#This Row],[Volume, kg]]/1000</f>
        <v>263</v>
      </c>
      <c r="J4402" s="25">
        <v>0.23440000000000003</v>
      </c>
      <c r="K4402" s="25">
        <f t="shared" si="68"/>
        <v>61647.200000000004</v>
      </c>
      <c r="L4402" s="25">
        <v>2.42</v>
      </c>
      <c r="M4402" s="24">
        <v>635187</v>
      </c>
      <c r="N4402" s="25">
        <f>IFERROR(T_reg.root.SK[[#This Row],[Price]]/T_reg.root.SK[[#This Row],[Starch content]],"")</f>
        <v>10.324232081911262</v>
      </c>
    </row>
    <row r="4403" spans="1:14">
      <c r="A4403" s="21">
        <v>2024</v>
      </c>
      <c r="B4403" s="21" t="s">
        <v>28</v>
      </c>
      <c r="C4403" s="21" t="s">
        <v>1145</v>
      </c>
      <c r="D4403" s="21" t="s">
        <v>35</v>
      </c>
      <c r="E4403" s="18" t="s">
        <v>548</v>
      </c>
      <c r="F4403" s="18" t="s">
        <v>47</v>
      </c>
      <c r="G4403" s="18" t="s">
        <v>48</v>
      </c>
      <c r="H4403" s="24">
        <v>15530</v>
      </c>
      <c r="I4403" s="24">
        <f>T_reg.root.SK[[#This Row],[Volume, kg]]/1000</f>
        <v>15.53</v>
      </c>
      <c r="J4403" s="25">
        <v>0.20039999999999999</v>
      </c>
      <c r="K4403" s="25">
        <f t="shared" si="68"/>
        <v>3112.212</v>
      </c>
      <c r="L4403" s="25">
        <v>2.27</v>
      </c>
      <c r="M4403" s="24">
        <v>35265</v>
      </c>
      <c r="N4403" s="25">
        <f>IFERROR(T_reg.root.SK[[#This Row],[Price]]/T_reg.root.SK[[#This Row],[Starch content]],"")</f>
        <v>11.327345309381238</v>
      </c>
    </row>
    <row r="4404" spans="1:14">
      <c r="A4404" s="21">
        <v>2024</v>
      </c>
      <c r="B4404" s="21" t="s">
        <v>28</v>
      </c>
      <c r="C4404" s="21" t="s">
        <v>1145</v>
      </c>
      <c r="D4404" s="21" t="s">
        <v>35</v>
      </c>
      <c r="E4404" s="18" t="s">
        <v>467</v>
      </c>
      <c r="F4404" s="18" t="s">
        <v>47</v>
      </c>
      <c r="G4404" s="18" t="s">
        <v>48</v>
      </c>
      <c r="H4404" s="24">
        <v>100290</v>
      </c>
      <c r="I4404" s="24">
        <f>T_reg.root.SK[[#This Row],[Volume, kg]]/1000</f>
        <v>100.29</v>
      </c>
      <c r="J4404" s="25">
        <v>0.21299999999999999</v>
      </c>
      <c r="K4404" s="25">
        <f t="shared" si="68"/>
        <v>21361.77</v>
      </c>
      <c r="L4404" s="25">
        <v>2.31</v>
      </c>
      <c r="M4404" s="24">
        <v>231610.5</v>
      </c>
      <c r="N4404" s="25">
        <f>IFERROR(T_reg.root.SK[[#This Row],[Price]]/T_reg.root.SK[[#This Row],[Starch content]],"")</f>
        <v>10.845070422535212</v>
      </c>
    </row>
    <row r="4405" spans="1:14">
      <c r="A4405" s="21">
        <v>2024</v>
      </c>
      <c r="B4405" s="21" t="s">
        <v>28</v>
      </c>
      <c r="C4405" s="21" t="s">
        <v>1145</v>
      </c>
      <c r="D4405" s="21" t="s">
        <v>35</v>
      </c>
      <c r="E4405" s="18" t="s">
        <v>61</v>
      </c>
      <c r="F4405" s="18" t="s">
        <v>47</v>
      </c>
      <c r="G4405" s="18" t="s">
        <v>48</v>
      </c>
      <c r="H4405" s="24">
        <v>114290</v>
      </c>
      <c r="I4405" s="24">
        <f>T_reg.root.SK[[#This Row],[Volume, kg]]/1000</f>
        <v>114.29</v>
      </c>
      <c r="J4405" s="25">
        <v>0.23449999999999999</v>
      </c>
      <c r="K4405" s="25">
        <f t="shared" si="68"/>
        <v>26801.004999999997</v>
      </c>
      <c r="L4405" s="25">
        <v>2.37</v>
      </c>
      <c r="M4405" s="24">
        <v>270671.5</v>
      </c>
      <c r="N4405" s="25">
        <f>IFERROR(T_reg.root.SK[[#This Row],[Price]]/T_reg.root.SK[[#This Row],[Starch content]],"")</f>
        <v>10.106609808102347</v>
      </c>
    </row>
    <row r="4406" spans="1:14">
      <c r="A4406" s="21">
        <v>2024</v>
      </c>
      <c r="B4406" s="21" t="s">
        <v>28</v>
      </c>
      <c r="C4406" s="21" t="s">
        <v>1145</v>
      </c>
      <c r="D4406" s="21" t="s">
        <v>35</v>
      </c>
      <c r="E4406" s="18" t="s">
        <v>657</v>
      </c>
      <c r="F4406" s="18" t="s">
        <v>47</v>
      </c>
      <c r="G4406" s="18" t="s">
        <v>48</v>
      </c>
      <c r="H4406" s="24">
        <v>60350</v>
      </c>
      <c r="I4406" s="24">
        <f>T_reg.root.SK[[#This Row],[Volume, kg]]/1000</f>
        <v>60.35</v>
      </c>
      <c r="J4406" s="25">
        <v>0.22870000000000001</v>
      </c>
      <c r="K4406" s="25">
        <f t="shared" si="68"/>
        <v>13802.045</v>
      </c>
      <c r="L4406" s="25">
        <v>2.35</v>
      </c>
      <c r="M4406" s="24">
        <v>141756.5</v>
      </c>
      <c r="N4406" s="25">
        <f>IFERROR(T_reg.root.SK[[#This Row],[Price]]/T_reg.root.SK[[#This Row],[Starch content]],"")</f>
        <v>10.275470048097946</v>
      </c>
    </row>
    <row r="4407" spans="1:14">
      <c r="A4407" s="21">
        <v>2024</v>
      </c>
      <c r="B4407" s="21" t="s">
        <v>28</v>
      </c>
      <c r="C4407" s="21" t="s">
        <v>1145</v>
      </c>
      <c r="D4407" s="21" t="s">
        <v>35</v>
      </c>
      <c r="E4407" s="18" t="s">
        <v>941</v>
      </c>
      <c r="F4407" s="18" t="s">
        <v>47</v>
      </c>
      <c r="G4407" s="18" t="s">
        <v>48</v>
      </c>
      <c r="H4407" s="24">
        <v>38080</v>
      </c>
      <c r="I4407" s="24">
        <f>T_reg.root.SK[[#This Row],[Volume, kg]]/1000</f>
        <v>38.08</v>
      </c>
      <c r="J4407" s="25">
        <v>0.22969999999999999</v>
      </c>
      <c r="K4407" s="25">
        <f t="shared" si="68"/>
        <v>8746.9759999999987</v>
      </c>
      <c r="L4407" s="25">
        <v>2.34</v>
      </c>
      <c r="M4407" s="24">
        <v>89263</v>
      </c>
      <c r="N4407" s="25">
        <f>IFERROR(T_reg.root.SK[[#This Row],[Price]]/T_reg.root.SK[[#This Row],[Starch content]],"")</f>
        <v>10.187200696560732</v>
      </c>
    </row>
    <row r="4408" spans="1:14">
      <c r="A4408" s="21">
        <v>2024</v>
      </c>
      <c r="B4408" s="21" t="s">
        <v>28</v>
      </c>
      <c r="C4408" s="21" t="s">
        <v>1145</v>
      </c>
      <c r="D4408" s="21" t="s">
        <v>35</v>
      </c>
      <c r="E4408" s="18" t="s">
        <v>468</v>
      </c>
      <c r="F4408" s="18" t="s">
        <v>47</v>
      </c>
      <c r="G4408" s="18" t="s">
        <v>48</v>
      </c>
      <c r="H4408" s="24">
        <v>67770</v>
      </c>
      <c r="I4408" s="24">
        <f>T_reg.root.SK[[#This Row],[Volume, kg]]/1000</f>
        <v>67.77</v>
      </c>
      <c r="J4408" s="25">
        <v>0.22500000000000001</v>
      </c>
      <c r="K4408" s="25">
        <f t="shared" si="68"/>
        <v>15248.25</v>
      </c>
      <c r="L4408" s="25">
        <v>2.34</v>
      </c>
      <c r="M4408" s="24">
        <v>158327.5</v>
      </c>
      <c r="N4408" s="25">
        <f>IFERROR(T_reg.root.SK[[#This Row],[Price]]/T_reg.root.SK[[#This Row],[Starch content]],"")</f>
        <v>10.399999999999999</v>
      </c>
    </row>
    <row r="4409" spans="1:14">
      <c r="A4409" s="21">
        <v>2024</v>
      </c>
      <c r="B4409" s="21" t="s">
        <v>28</v>
      </c>
      <c r="C4409" s="21" t="s">
        <v>1145</v>
      </c>
      <c r="D4409" s="21" t="s">
        <v>35</v>
      </c>
      <c r="E4409" s="18" t="s">
        <v>817</v>
      </c>
      <c r="F4409" s="18" t="s">
        <v>47</v>
      </c>
      <c r="G4409" s="18" t="s">
        <v>48</v>
      </c>
      <c r="H4409" s="24">
        <v>10390</v>
      </c>
      <c r="I4409" s="24">
        <f>T_reg.root.SK[[#This Row],[Volume, kg]]/1000</f>
        <v>10.39</v>
      </c>
      <c r="J4409" s="25">
        <v>0.2175</v>
      </c>
      <c r="K4409" s="25">
        <f t="shared" si="68"/>
        <v>2259.8249999999998</v>
      </c>
      <c r="L4409" s="25">
        <v>2.35</v>
      </c>
      <c r="M4409" s="24">
        <v>24416.5</v>
      </c>
      <c r="N4409" s="25">
        <f>IFERROR(T_reg.root.SK[[#This Row],[Price]]/T_reg.root.SK[[#This Row],[Starch content]],"")</f>
        <v>10.804597701149426</v>
      </c>
    </row>
    <row r="4410" spans="1:14">
      <c r="A4410" s="21">
        <v>2024</v>
      </c>
      <c r="B4410" s="21" t="s">
        <v>28</v>
      </c>
      <c r="C4410" s="21" t="s">
        <v>1145</v>
      </c>
      <c r="D4410" s="21" t="s">
        <v>35</v>
      </c>
      <c r="E4410" s="18" t="s">
        <v>62</v>
      </c>
      <c r="F4410" s="18" t="s">
        <v>47</v>
      </c>
      <c r="G4410" s="18" t="s">
        <v>48</v>
      </c>
      <c r="H4410" s="24">
        <v>346710</v>
      </c>
      <c r="I4410" s="24">
        <f>T_reg.root.SK[[#This Row],[Volume, kg]]/1000</f>
        <v>346.71</v>
      </c>
      <c r="J4410" s="25">
        <v>0.2155</v>
      </c>
      <c r="K4410" s="25">
        <f t="shared" si="68"/>
        <v>74716.005000000005</v>
      </c>
      <c r="L4410" s="25">
        <v>2.2999999999999998</v>
      </c>
      <c r="M4410" s="24">
        <v>797657.5</v>
      </c>
      <c r="N4410" s="25">
        <f>IFERROR(T_reg.root.SK[[#This Row],[Price]]/T_reg.root.SK[[#This Row],[Starch content]],"")</f>
        <v>10.672853828306264</v>
      </c>
    </row>
    <row r="4411" spans="1:14">
      <c r="A4411" s="21">
        <v>2024</v>
      </c>
      <c r="B4411" s="21" t="s">
        <v>28</v>
      </c>
      <c r="C4411" s="21" t="s">
        <v>1145</v>
      </c>
      <c r="D4411" s="21" t="s">
        <v>35</v>
      </c>
      <c r="E4411" s="18" t="s">
        <v>63</v>
      </c>
      <c r="F4411" s="18" t="s">
        <v>47</v>
      </c>
      <c r="G4411" s="18" t="s">
        <v>48</v>
      </c>
      <c r="H4411" s="24">
        <v>29200</v>
      </c>
      <c r="I4411" s="24">
        <f>T_reg.root.SK[[#This Row],[Volume, kg]]/1000</f>
        <v>29.2</v>
      </c>
      <c r="J4411" s="25">
        <v>0.2626</v>
      </c>
      <c r="K4411" s="25">
        <f t="shared" si="68"/>
        <v>7667.92</v>
      </c>
      <c r="L4411" s="25">
        <v>2.56</v>
      </c>
      <c r="M4411" s="24">
        <v>74850</v>
      </c>
      <c r="N4411" s="25">
        <f>IFERROR(T_reg.root.SK[[#This Row],[Price]]/T_reg.root.SK[[#This Row],[Starch content]],"")</f>
        <v>9.7486671744097482</v>
      </c>
    </row>
    <row r="4412" spans="1:14">
      <c r="A4412" s="21">
        <v>2024</v>
      </c>
      <c r="B4412" s="21" t="s">
        <v>28</v>
      </c>
      <c r="C4412" s="21" t="s">
        <v>1145</v>
      </c>
      <c r="D4412" s="21" t="s">
        <v>35</v>
      </c>
      <c r="E4412" s="18" t="s">
        <v>340</v>
      </c>
      <c r="F4412" s="18" t="s">
        <v>47</v>
      </c>
      <c r="G4412" s="18" t="s">
        <v>48</v>
      </c>
      <c r="H4412" s="24">
        <v>46200</v>
      </c>
      <c r="I4412" s="24">
        <f>T_reg.root.SK[[#This Row],[Volume, kg]]/1000</f>
        <v>46.2</v>
      </c>
      <c r="J4412" s="25">
        <v>0.23749999999999999</v>
      </c>
      <c r="K4412" s="25">
        <f t="shared" si="68"/>
        <v>10972.5</v>
      </c>
      <c r="L4412" s="25">
        <v>2.44</v>
      </c>
      <c r="M4412" s="24">
        <v>112554.5</v>
      </c>
      <c r="N4412" s="25">
        <f>IFERROR(T_reg.root.SK[[#This Row],[Price]]/T_reg.root.SK[[#This Row],[Starch content]],"")</f>
        <v>10.273684210526316</v>
      </c>
    </row>
    <row r="4413" spans="1:14">
      <c r="A4413" s="21">
        <v>2024</v>
      </c>
      <c r="B4413" s="21" t="s">
        <v>28</v>
      </c>
      <c r="C4413" s="21" t="s">
        <v>1145</v>
      </c>
      <c r="D4413" s="21" t="s">
        <v>35</v>
      </c>
      <c r="E4413" s="18" t="s">
        <v>469</v>
      </c>
      <c r="F4413" s="18" t="s">
        <v>47</v>
      </c>
      <c r="G4413" s="18" t="s">
        <v>48</v>
      </c>
      <c r="H4413" s="24">
        <v>25950</v>
      </c>
      <c r="I4413" s="24">
        <f>T_reg.root.SK[[#This Row],[Volume, kg]]/1000</f>
        <v>25.95</v>
      </c>
      <c r="J4413" s="25">
        <v>0.2281</v>
      </c>
      <c r="K4413" s="25">
        <f t="shared" si="68"/>
        <v>5919.1949999999997</v>
      </c>
      <c r="L4413" s="25">
        <v>2.4</v>
      </c>
      <c r="M4413" s="24">
        <v>62280</v>
      </c>
      <c r="N4413" s="25">
        <f>IFERROR(T_reg.root.SK[[#This Row],[Price]]/T_reg.root.SK[[#This Row],[Starch content]],"")</f>
        <v>10.52170100832968</v>
      </c>
    </row>
    <row r="4414" spans="1:14">
      <c r="A4414" s="21">
        <v>2024</v>
      </c>
      <c r="B4414" s="21" t="s">
        <v>28</v>
      </c>
      <c r="C4414" s="21" t="s">
        <v>1145</v>
      </c>
      <c r="D4414" s="21" t="s">
        <v>35</v>
      </c>
      <c r="E4414" s="18" t="s">
        <v>64</v>
      </c>
      <c r="F4414" s="18" t="s">
        <v>47</v>
      </c>
      <c r="G4414" s="18" t="s">
        <v>48</v>
      </c>
      <c r="H4414" s="24">
        <v>66500</v>
      </c>
      <c r="I4414" s="24">
        <f>T_reg.root.SK[[#This Row],[Volume, kg]]/1000</f>
        <v>66.5</v>
      </c>
      <c r="J4414" s="25">
        <v>0.19190000000000002</v>
      </c>
      <c r="K4414" s="25">
        <f t="shared" si="68"/>
        <v>12761.35</v>
      </c>
      <c r="L4414" s="25">
        <v>2.21</v>
      </c>
      <c r="M4414" s="24">
        <v>147053</v>
      </c>
      <c r="N4414" s="25">
        <f>IFERROR(T_reg.root.SK[[#This Row],[Price]]/T_reg.root.SK[[#This Row],[Starch content]],"")</f>
        <v>11.516414799374672</v>
      </c>
    </row>
    <row r="4415" spans="1:14">
      <c r="A4415" s="21">
        <v>2024</v>
      </c>
      <c r="B4415" s="21" t="s">
        <v>28</v>
      </c>
      <c r="C4415" s="21" t="s">
        <v>1145</v>
      </c>
      <c r="D4415" s="21" t="s">
        <v>35</v>
      </c>
      <c r="E4415" s="18" t="s">
        <v>730</v>
      </c>
      <c r="F4415" s="18" t="s">
        <v>47</v>
      </c>
      <c r="G4415" s="18" t="s">
        <v>48</v>
      </c>
      <c r="H4415" s="24">
        <v>46780</v>
      </c>
      <c r="I4415" s="24">
        <f>T_reg.root.SK[[#This Row],[Volume, kg]]/1000</f>
        <v>46.78</v>
      </c>
      <c r="J4415" s="25">
        <v>0.24609999999999999</v>
      </c>
      <c r="K4415" s="25">
        <f t="shared" si="68"/>
        <v>11512.557999999999</v>
      </c>
      <c r="L4415" s="25">
        <v>2.4900000000000002</v>
      </c>
      <c r="M4415" s="24">
        <v>116442.5</v>
      </c>
      <c r="N4415" s="25">
        <f>IFERROR(T_reg.root.SK[[#This Row],[Price]]/T_reg.root.SK[[#This Row],[Starch content]],"")</f>
        <v>10.117838277123122</v>
      </c>
    </row>
    <row r="4416" spans="1:14">
      <c r="A4416" s="21">
        <v>2024</v>
      </c>
      <c r="B4416" s="21" t="s">
        <v>28</v>
      </c>
      <c r="C4416" s="21" t="s">
        <v>1145</v>
      </c>
      <c r="D4416" s="21" t="s">
        <v>35</v>
      </c>
      <c r="E4416" s="18" t="s">
        <v>66</v>
      </c>
      <c r="F4416" s="18" t="s">
        <v>47</v>
      </c>
      <c r="G4416" s="18" t="s">
        <v>48</v>
      </c>
      <c r="H4416" s="24">
        <v>162980</v>
      </c>
      <c r="I4416" s="24">
        <f>T_reg.root.SK[[#This Row],[Volume, kg]]/1000</f>
        <v>162.97999999999999</v>
      </c>
      <c r="J4416" s="25">
        <v>0.22370000000000001</v>
      </c>
      <c r="K4416" s="25">
        <f t="shared" si="68"/>
        <v>36458.626000000004</v>
      </c>
      <c r="L4416" s="25">
        <v>2.3199999999999998</v>
      </c>
      <c r="M4416" s="24">
        <v>378389.5</v>
      </c>
      <c r="N4416" s="25">
        <f>IFERROR(T_reg.root.SK[[#This Row],[Price]]/T_reg.root.SK[[#This Row],[Starch content]],"")</f>
        <v>10.371032632990611</v>
      </c>
    </row>
    <row r="4417" spans="1:14">
      <c r="A4417" s="21">
        <v>2024</v>
      </c>
      <c r="B4417" s="21" t="s">
        <v>28</v>
      </c>
      <c r="C4417" s="21" t="s">
        <v>1145</v>
      </c>
      <c r="D4417" s="21" t="s">
        <v>35</v>
      </c>
      <c r="E4417" s="18" t="s">
        <v>68</v>
      </c>
      <c r="F4417" s="18" t="s">
        <v>47</v>
      </c>
      <c r="G4417" s="18" t="s">
        <v>48</v>
      </c>
      <c r="H4417" s="24">
        <v>41940</v>
      </c>
      <c r="I4417" s="24">
        <f>T_reg.root.SK[[#This Row],[Volume, kg]]/1000</f>
        <v>41.94</v>
      </c>
      <c r="J4417" s="25">
        <v>0.2266</v>
      </c>
      <c r="K4417" s="25">
        <f t="shared" si="68"/>
        <v>9503.6039999999994</v>
      </c>
      <c r="L4417" s="25">
        <v>2.38</v>
      </c>
      <c r="M4417" s="24">
        <v>99786.5</v>
      </c>
      <c r="N4417" s="25">
        <f>IFERROR(T_reg.root.SK[[#This Row],[Price]]/T_reg.root.SK[[#This Row],[Starch content]],"")</f>
        <v>10.503089143865843</v>
      </c>
    </row>
    <row r="4418" spans="1:14">
      <c r="A4418" s="21">
        <v>2024</v>
      </c>
      <c r="B4418" s="21" t="s">
        <v>28</v>
      </c>
      <c r="C4418" s="21" t="s">
        <v>1145</v>
      </c>
      <c r="D4418" s="21" t="s">
        <v>35</v>
      </c>
      <c r="E4418" s="18" t="s">
        <v>70</v>
      </c>
      <c r="F4418" s="18" t="s">
        <v>47</v>
      </c>
      <c r="G4418" s="18" t="s">
        <v>48</v>
      </c>
      <c r="H4418" s="24">
        <v>55100</v>
      </c>
      <c r="I4418" s="24">
        <f>T_reg.root.SK[[#This Row],[Volume, kg]]/1000</f>
        <v>55.1</v>
      </c>
      <c r="J4418" s="25">
        <v>0.21920000000000001</v>
      </c>
      <c r="K4418" s="25">
        <f t="shared" si="68"/>
        <v>12077.92</v>
      </c>
      <c r="L4418" s="25">
        <v>2.35</v>
      </c>
      <c r="M4418" s="24">
        <v>129497.5</v>
      </c>
      <c r="N4418" s="25">
        <f>IFERROR(T_reg.root.SK[[#This Row],[Price]]/T_reg.root.SK[[#This Row],[Starch content]],"")</f>
        <v>10.72080291970803</v>
      </c>
    </row>
    <row r="4419" spans="1:14">
      <c r="A4419" s="21">
        <v>2024</v>
      </c>
      <c r="B4419" s="21" t="s">
        <v>28</v>
      </c>
      <c r="C4419" s="21" t="s">
        <v>1145</v>
      </c>
      <c r="D4419" s="21" t="s">
        <v>35</v>
      </c>
      <c r="E4419" s="18" t="s">
        <v>787</v>
      </c>
      <c r="F4419" s="18" t="s">
        <v>47</v>
      </c>
      <c r="G4419" s="18" t="s">
        <v>48</v>
      </c>
      <c r="H4419" s="24">
        <v>6340</v>
      </c>
      <c r="I4419" s="24">
        <f>T_reg.root.SK[[#This Row],[Volume, kg]]/1000</f>
        <v>6.34</v>
      </c>
      <c r="J4419" s="25">
        <v>0.245</v>
      </c>
      <c r="K4419" s="25">
        <f t="shared" ref="K4419:K4482" si="69">H4419*J4419</f>
        <v>1553.3</v>
      </c>
      <c r="L4419" s="25">
        <v>2.5</v>
      </c>
      <c r="M4419" s="24">
        <v>15850</v>
      </c>
      <c r="N4419" s="25">
        <f>IFERROR(T_reg.root.SK[[#This Row],[Price]]/T_reg.root.SK[[#This Row],[Starch content]],"")</f>
        <v>10.204081632653061</v>
      </c>
    </row>
    <row r="4420" spans="1:14">
      <c r="A4420" s="21">
        <v>2024</v>
      </c>
      <c r="B4420" s="21" t="s">
        <v>28</v>
      </c>
      <c r="C4420" s="21" t="s">
        <v>1145</v>
      </c>
      <c r="D4420" s="21" t="s">
        <v>35</v>
      </c>
      <c r="E4420" s="18" t="s">
        <v>549</v>
      </c>
      <c r="F4420" s="18" t="s">
        <v>47</v>
      </c>
      <c r="G4420" s="18" t="s">
        <v>48</v>
      </c>
      <c r="H4420" s="24">
        <v>6520</v>
      </c>
      <c r="I4420" s="24">
        <f>T_reg.root.SK[[#This Row],[Volume, kg]]/1000</f>
        <v>6.52</v>
      </c>
      <c r="J4420" s="25">
        <v>0.251</v>
      </c>
      <c r="K4420" s="25">
        <f t="shared" si="69"/>
        <v>1636.52</v>
      </c>
      <c r="L4420" s="25">
        <v>2.5</v>
      </c>
      <c r="M4420" s="24">
        <v>16300</v>
      </c>
      <c r="N4420" s="25">
        <f>IFERROR(T_reg.root.SK[[#This Row],[Price]]/T_reg.root.SK[[#This Row],[Starch content]],"")</f>
        <v>9.9601593625498008</v>
      </c>
    </row>
    <row r="4421" spans="1:14">
      <c r="A4421" s="21">
        <v>2024</v>
      </c>
      <c r="B4421" s="21" t="s">
        <v>28</v>
      </c>
      <c r="C4421" s="21" t="s">
        <v>1145</v>
      </c>
      <c r="D4421" s="21" t="s">
        <v>35</v>
      </c>
      <c r="E4421" s="18" t="s">
        <v>472</v>
      </c>
      <c r="F4421" s="18" t="s">
        <v>47</v>
      </c>
      <c r="G4421" s="18" t="s">
        <v>48</v>
      </c>
      <c r="H4421" s="24">
        <v>18010</v>
      </c>
      <c r="I4421" s="24">
        <f>T_reg.root.SK[[#This Row],[Volume, kg]]/1000</f>
        <v>18.010000000000002</v>
      </c>
      <c r="J4421" s="25">
        <v>0.23519999999999999</v>
      </c>
      <c r="K4421" s="25">
        <f t="shared" si="69"/>
        <v>4235.9520000000002</v>
      </c>
      <c r="L4421" s="25">
        <v>2.38</v>
      </c>
      <c r="M4421" s="24">
        <v>42812</v>
      </c>
      <c r="N4421" s="25">
        <f>IFERROR(T_reg.root.SK[[#This Row],[Price]]/T_reg.root.SK[[#This Row],[Starch content]],"")</f>
        <v>10.119047619047619</v>
      </c>
    </row>
    <row r="4422" spans="1:14">
      <c r="A4422" s="21">
        <v>2024</v>
      </c>
      <c r="B4422" s="21" t="s">
        <v>28</v>
      </c>
      <c r="C4422" s="21" t="s">
        <v>1145</v>
      </c>
      <c r="D4422" s="21" t="s">
        <v>35</v>
      </c>
      <c r="E4422" s="18" t="s">
        <v>73</v>
      </c>
      <c r="F4422" s="18" t="s">
        <v>47</v>
      </c>
      <c r="G4422" s="18" t="s">
        <v>48</v>
      </c>
      <c r="H4422" s="24">
        <v>29120</v>
      </c>
      <c r="I4422" s="24">
        <f>T_reg.root.SK[[#This Row],[Volume, kg]]/1000</f>
        <v>29.12</v>
      </c>
      <c r="J4422" s="25">
        <v>0.21340000000000001</v>
      </c>
      <c r="K4422" s="25">
        <f t="shared" si="69"/>
        <v>6214.2080000000005</v>
      </c>
      <c r="L4422" s="25">
        <v>2.29</v>
      </c>
      <c r="M4422" s="24">
        <v>66775</v>
      </c>
      <c r="N4422" s="25">
        <f>IFERROR(T_reg.root.SK[[#This Row],[Price]]/T_reg.root.SK[[#This Row],[Starch content]],"")</f>
        <v>10.731021555763824</v>
      </c>
    </row>
    <row r="4423" spans="1:14">
      <c r="A4423" s="21">
        <v>2024</v>
      </c>
      <c r="B4423" s="21" t="s">
        <v>28</v>
      </c>
      <c r="C4423" s="21" t="s">
        <v>1145</v>
      </c>
      <c r="D4423" s="21" t="s">
        <v>35</v>
      </c>
      <c r="E4423" s="18" t="s">
        <v>74</v>
      </c>
      <c r="F4423" s="18" t="s">
        <v>47</v>
      </c>
      <c r="G4423" s="18" t="s">
        <v>48</v>
      </c>
      <c r="H4423" s="24">
        <v>19440</v>
      </c>
      <c r="I4423" s="24">
        <f>T_reg.root.SK[[#This Row],[Volume, kg]]/1000</f>
        <v>19.440000000000001</v>
      </c>
      <c r="J4423" s="25">
        <v>0.23739999999999997</v>
      </c>
      <c r="K4423" s="25">
        <f t="shared" si="69"/>
        <v>4615.0559999999996</v>
      </c>
      <c r="L4423" s="25">
        <v>2.4500000000000002</v>
      </c>
      <c r="M4423" s="24">
        <v>47566</v>
      </c>
      <c r="N4423" s="25">
        <f>IFERROR(T_reg.root.SK[[#This Row],[Price]]/T_reg.root.SK[[#This Row],[Starch content]],"")</f>
        <v>10.320134793597306</v>
      </c>
    </row>
    <row r="4424" spans="1:14">
      <c r="A4424" s="21">
        <v>2024</v>
      </c>
      <c r="B4424" s="21" t="s">
        <v>28</v>
      </c>
      <c r="C4424" s="21" t="s">
        <v>1145</v>
      </c>
      <c r="D4424" s="21" t="s">
        <v>35</v>
      </c>
      <c r="E4424" s="18" t="s">
        <v>473</v>
      </c>
      <c r="F4424" s="18" t="s">
        <v>47</v>
      </c>
      <c r="G4424" s="18" t="s">
        <v>48</v>
      </c>
      <c r="H4424" s="24">
        <v>16680</v>
      </c>
      <c r="I4424" s="24">
        <f>T_reg.root.SK[[#This Row],[Volume, kg]]/1000</f>
        <v>16.68</v>
      </c>
      <c r="J4424" s="25">
        <v>0.2482</v>
      </c>
      <c r="K4424" s="25">
        <f t="shared" si="69"/>
        <v>4139.9759999999997</v>
      </c>
      <c r="L4424" s="25">
        <v>2.5</v>
      </c>
      <c r="M4424" s="24">
        <v>41700</v>
      </c>
      <c r="N4424" s="25">
        <f>IFERROR(T_reg.root.SK[[#This Row],[Price]]/T_reg.root.SK[[#This Row],[Starch content]],"")</f>
        <v>10.07252215954875</v>
      </c>
    </row>
    <row r="4425" spans="1:14">
      <c r="A4425" s="21">
        <v>2024</v>
      </c>
      <c r="B4425" s="21" t="s">
        <v>28</v>
      </c>
      <c r="C4425" s="21" t="s">
        <v>1145</v>
      </c>
      <c r="D4425" s="21" t="s">
        <v>35</v>
      </c>
      <c r="E4425" s="18" t="s">
        <v>942</v>
      </c>
      <c r="F4425" s="18" t="s">
        <v>47</v>
      </c>
      <c r="G4425" s="18" t="s">
        <v>48</v>
      </c>
      <c r="H4425" s="24">
        <v>28780</v>
      </c>
      <c r="I4425" s="24">
        <f>T_reg.root.SK[[#This Row],[Volume, kg]]/1000</f>
        <v>28.78</v>
      </c>
      <c r="J4425" s="25">
        <v>0.2505</v>
      </c>
      <c r="K4425" s="25">
        <f t="shared" si="69"/>
        <v>7209.39</v>
      </c>
      <c r="L4425" s="25">
        <v>2.42</v>
      </c>
      <c r="M4425" s="24">
        <v>69734</v>
      </c>
      <c r="N4425" s="25">
        <f>IFERROR(T_reg.root.SK[[#This Row],[Price]]/T_reg.root.SK[[#This Row],[Starch content]],"")</f>
        <v>9.6606786427145703</v>
      </c>
    </row>
    <row r="4426" spans="1:14">
      <c r="A4426" s="21">
        <v>2024</v>
      </c>
      <c r="B4426" s="21" t="s">
        <v>28</v>
      </c>
      <c r="C4426" s="21" t="s">
        <v>1145</v>
      </c>
      <c r="D4426" s="21" t="s">
        <v>35</v>
      </c>
      <c r="E4426" s="18" t="s">
        <v>626</v>
      </c>
      <c r="F4426" s="18" t="s">
        <v>47</v>
      </c>
      <c r="G4426" s="18" t="s">
        <v>48</v>
      </c>
      <c r="H4426" s="24">
        <v>10520</v>
      </c>
      <c r="I4426" s="24">
        <f>T_reg.root.SK[[#This Row],[Volume, kg]]/1000</f>
        <v>10.52</v>
      </c>
      <c r="J4426" s="25">
        <v>0.217</v>
      </c>
      <c r="K4426" s="25">
        <f t="shared" si="69"/>
        <v>2282.84</v>
      </c>
      <c r="L4426" s="25">
        <v>2.35</v>
      </c>
      <c r="M4426" s="24">
        <v>24722</v>
      </c>
      <c r="N4426" s="25">
        <f>IFERROR(T_reg.root.SK[[#This Row],[Price]]/T_reg.root.SK[[#This Row],[Starch content]],"")</f>
        <v>10.829493087557605</v>
      </c>
    </row>
    <row r="4427" spans="1:14">
      <c r="A4427" s="21">
        <v>2024</v>
      </c>
      <c r="B4427" s="21" t="s">
        <v>28</v>
      </c>
      <c r="C4427" s="21" t="s">
        <v>1145</v>
      </c>
      <c r="D4427" s="21" t="s">
        <v>35</v>
      </c>
      <c r="E4427" s="18" t="s">
        <v>77</v>
      </c>
      <c r="F4427" s="18" t="s">
        <v>47</v>
      </c>
      <c r="G4427" s="18" t="s">
        <v>48</v>
      </c>
      <c r="H4427" s="24">
        <v>12360</v>
      </c>
      <c r="I4427" s="24">
        <f>T_reg.root.SK[[#This Row],[Volume, kg]]/1000</f>
        <v>12.36</v>
      </c>
      <c r="J4427" s="25">
        <v>0.2505</v>
      </c>
      <c r="K4427" s="25">
        <f t="shared" si="69"/>
        <v>3096.18</v>
      </c>
      <c r="L4427" s="25">
        <v>2.4500000000000002</v>
      </c>
      <c r="M4427" s="24">
        <v>30282</v>
      </c>
      <c r="N4427" s="25">
        <f>IFERROR(T_reg.root.SK[[#This Row],[Price]]/T_reg.root.SK[[#This Row],[Starch content]],"")</f>
        <v>9.780439121756487</v>
      </c>
    </row>
    <row r="4428" spans="1:14">
      <c r="A4428" s="21">
        <v>2024</v>
      </c>
      <c r="B4428" s="21" t="s">
        <v>28</v>
      </c>
      <c r="C4428" s="21" t="s">
        <v>1145</v>
      </c>
      <c r="D4428" s="21" t="s">
        <v>35</v>
      </c>
      <c r="E4428" s="18" t="s">
        <v>476</v>
      </c>
      <c r="F4428" s="18" t="s">
        <v>47</v>
      </c>
      <c r="G4428" s="18" t="s">
        <v>48</v>
      </c>
      <c r="H4428" s="24">
        <v>37560</v>
      </c>
      <c r="I4428" s="24">
        <f>T_reg.root.SK[[#This Row],[Volume, kg]]/1000</f>
        <v>37.56</v>
      </c>
      <c r="J4428" s="25">
        <v>0.21690000000000001</v>
      </c>
      <c r="K4428" s="25">
        <f t="shared" si="69"/>
        <v>8146.7640000000001</v>
      </c>
      <c r="L4428" s="25">
        <v>2.34</v>
      </c>
      <c r="M4428" s="24">
        <v>87852.5</v>
      </c>
      <c r="N4428" s="25">
        <f>IFERROR(T_reg.root.SK[[#This Row],[Price]]/T_reg.root.SK[[#This Row],[Starch content]],"")</f>
        <v>10.788381742738588</v>
      </c>
    </row>
    <row r="4429" spans="1:14">
      <c r="A4429" s="21">
        <v>2024</v>
      </c>
      <c r="B4429" s="21" t="s">
        <v>28</v>
      </c>
      <c r="C4429" s="21" t="s">
        <v>1145</v>
      </c>
      <c r="D4429" s="21" t="s">
        <v>35</v>
      </c>
      <c r="E4429" s="18" t="s">
        <v>927</v>
      </c>
      <c r="F4429" s="18" t="s">
        <v>47</v>
      </c>
      <c r="G4429" s="18" t="s">
        <v>48</v>
      </c>
      <c r="H4429" s="24">
        <v>63320</v>
      </c>
      <c r="I4429" s="24">
        <f>T_reg.root.SK[[#This Row],[Volume, kg]]/1000</f>
        <v>63.32</v>
      </c>
      <c r="J4429" s="25">
        <v>0.19359999999999999</v>
      </c>
      <c r="K4429" s="25">
        <f t="shared" si="69"/>
        <v>12258.752</v>
      </c>
      <c r="L4429" s="25">
        <v>2.2200000000000002</v>
      </c>
      <c r="M4429" s="24">
        <v>140659</v>
      </c>
      <c r="N4429" s="25">
        <f>IFERROR(T_reg.root.SK[[#This Row],[Price]]/T_reg.root.SK[[#This Row],[Starch content]],"")</f>
        <v>11.466942148760332</v>
      </c>
    </row>
    <row r="4430" spans="1:14">
      <c r="A4430" s="21">
        <v>2024</v>
      </c>
      <c r="B4430" s="21" t="s">
        <v>28</v>
      </c>
      <c r="C4430" s="21" t="s">
        <v>1145</v>
      </c>
      <c r="D4430" s="21" t="s">
        <v>39</v>
      </c>
      <c r="E4430" s="18" t="s">
        <v>85</v>
      </c>
      <c r="F4430" s="18" t="s">
        <v>86</v>
      </c>
      <c r="G4430" s="18" t="s">
        <v>87</v>
      </c>
      <c r="H4430" s="24">
        <v>2499390</v>
      </c>
      <c r="I4430" s="24">
        <f>T_reg.root.SK[[#This Row],[Volume, kg]]/1000</f>
        <v>2499.39</v>
      </c>
      <c r="J4430" s="25">
        <v>0.24230000000000002</v>
      </c>
      <c r="K4430" s="25">
        <f t="shared" si="69"/>
        <v>605602.19700000004</v>
      </c>
      <c r="L4430" s="25">
        <v>2.58</v>
      </c>
      <c r="M4430" s="24">
        <v>6439420</v>
      </c>
      <c r="N4430" s="25">
        <f>IFERROR(T_reg.root.SK[[#This Row],[Price]]/T_reg.root.SK[[#This Row],[Starch content]],"")</f>
        <v>10.647957078002475</v>
      </c>
    </row>
    <row r="4431" spans="1:14">
      <c r="A4431" s="21">
        <v>2024</v>
      </c>
      <c r="B4431" s="21" t="s">
        <v>28</v>
      </c>
      <c r="C4431" s="21" t="s">
        <v>1145</v>
      </c>
      <c r="D4431" s="21" t="s">
        <v>39</v>
      </c>
      <c r="E4431" s="18" t="s">
        <v>88</v>
      </c>
      <c r="F4431" s="18" t="s">
        <v>89</v>
      </c>
      <c r="G4431" s="18" t="s">
        <v>90</v>
      </c>
      <c r="H4431" s="24">
        <v>6485060</v>
      </c>
      <c r="I4431" s="24">
        <f>T_reg.root.SK[[#This Row],[Volume, kg]]/1000</f>
        <v>6485.06</v>
      </c>
      <c r="J4431" s="25">
        <v>0.2596</v>
      </c>
      <c r="K4431" s="25">
        <f t="shared" si="69"/>
        <v>1683521.5759999999</v>
      </c>
      <c r="L4431" s="25">
        <v>2.63</v>
      </c>
      <c r="M4431" s="24">
        <v>17043888.5</v>
      </c>
      <c r="N4431" s="25">
        <f>IFERROR(T_reg.root.SK[[#This Row],[Price]]/T_reg.root.SK[[#This Row],[Starch content]],"")</f>
        <v>10.130970724191062</v>
      </c>
    </row>
    <row r="4432" spans="1:14">
      <c r="A4432" s="21">
        <v>2024</v>
      </c>
      <c r="B4432" s="21" t="s">
        <v>28</v>
      </c>
      <c r="C4432" s="21" t="s">
        <v>1145</v>
      </c>
      <c r="D4432" s="21" t="s">
        <v>35</v>
      </c>
      <c r="E4432" s="18" t="s">
        <v>229</v>
      </c>
      <c r="F4432" s="18" t="s">
        <v>92</v>
      </c>
      <c r="G4432" s="18" t="s">
        <v>48</v>
      </c>
      <c r="H4432" s="24">
        <v>84370</v>
      </c>
      <c r="I4432" s="24">
        <f>T_reg.root.SK[[#This Row],[Volume, kg]]/1000</f>
        <v>84.37</v>
      </c>
      <c r="J4432" s="25">
        <v>0.25519999999999998</v>
      </c>
      <c r="K4432" s="25">
        <f t="shared" si="69"/>
        <v>21531.223999999998</v>
      </c>
      <c r="L4432" s="25">
        <v>2.54</v>
      </c>
      <c r="M4432" s="24">
        <v>214132</v>
      </c>
      <c r="N4432" s="25">
        <f>IFERROR(T_reg.root.SK[[#This Row],[Price]]/T_reg.root.SK[[#This Row],[Starch content]],"")</f>
        <v>9.9529780564263337</v>
      </c>
    </row>
    <row r="4433" spans="1:14">
      <c r="A4433" s="21">
        <v>2024</v>
      </c>
      <c r="B4433" s="21" t="s">
        <v>28</v>
      </c>
      <c r="C4433" s="21" t="s">
        <v>1145</v>
      </c>
      <c r="D4433" s="21" t="s">
        <v>35</v>
      </c>
      <c r="E4433" s="18" t="s">
        <v>91</v>
      </c>
      <c r="F4433" s="18" t="s">
        <v>92</v>
      </c>
      <c r="G4433" s="18" t="s">
        <v>48</v>
      </c>
      <c r="H4433" s="24">
        <v>45730</v>
      </c>
      <c r="I4433" s="24">
        <f>T_reg.root.SK[[#This Row],[Volume, kg]]/1000</f>
        <v>45.73</v>
      </c>
      <c r="J4433" s="25">
        <v>0.26200000000000001</v>
      </c>
      <c r="K4433" s="25">
        <f t="shared" si="69"/>
        <v>11981.26</v>
      </c>
      <c r="L4433" s="25">
        <v>2.5499999999999998</v>
      </c>
      <c r="M4433" s="24">
        <v>116583</v>
      </c>
      <c r="N4433" s="25">
        <f>IFERROR(T_reg.root.SK[[#This Row],[Price]]/T_reg.root.SK[[#This Row],[Starch content]],"")</f>
        <v>9.7328244274809155</v>
      </c>
    </row>
    <row r="4434" spans="1:14">
      <c r="A4434" s="21">
        <v>2024</v>
      </c>
      <c r="B4434" s="21" t="s">
        <v>28</v>
      </c>
      <c r="C4434" s="21" t="s">
        <v>1145</v>
      </c>
      <c r="D4434" s="21" t="s">
        <v>35</v>
      </c>
      <c r="E4434" s="18" t="s">
        <v>93</v>
      </c>
      <c r="F4434" s="18" t="s">
        <v>92</v>
      </c>
      <c r="G4434" s="18" t="s">
        <v>48</v>
      </c>
      <c r="H4434" s="24">
        <v>9840</v>
      </c>
      <c r="I4434" s="24">
        <f>T_reg.root.SK[[#This Row],[Volume, kg]]/1000</f>
        <v>9.84</v>
      </c>
      <c r="J4434" s="25">
        <v>0.16200000000000001</v>
      </c>
      <c r="K4434" s="25">
        <f t="shared" si="69"/>
        <v>1594.0800000000002</v>
      </c>
      <c r="L4434" s="25">
        <v>2.0499999999999998</v>
      </c>
      <c r="M4434" s="24">
        <v>20172</v>
      </c>
      <c r="N4434" s="25">
        <f>IFERROR(T_reg.root.SK[[#This Row],[Price]]/T_reg.root.SK[[#This Row],[Starch content]],"")</f>
        <v>12.654320987654319</v>
      </c>
    </row>
    <row r="4435" spans="1:14">
      <c r="A4435" s="21">
        <v>2024</v>
      </c>
      <c r="B4435" s="21" t="s">
        <v>28</v>
      </c>
      <c r="C4435" s="21" t="s">
        <v>1145</v>
      </c>
      <c r="D4435" s="21" t="s">
        <v>39</v>
      </c>
      <c r="E4435" s="18" t="s">
        <v>552</v>
      </c>
      <c r="F4435" s="18" t="s">
        <v>95</v>
      </c>
      <c r="G4435" s="18" t="s">
        <v>48</v>
      </c>
      <c r="H4435" s="24">
        <v>1470780</v>
      </c>
      <c r="I4435" s="24">
        <f>T_reg.root.SK[[#This Row],[Volume, kg]]/1000</f>
        <v>1470.78</v>
      </c>
      <c r="J4435" s="25">
        <v>0.2228</v>
      </c>
      <c r="K4435" s="25">
        <f t="shared" si="69"/>
        <v>327689.78399999999</v>
      </c>
      <c r="L4435" s="25">
        <v>2.4700000000000002</v>
      </c>
      <c r="M4435" s="24">
        <v>3632910.5</v>
      </c>
      <c r="N4435" s="25">
        <f>IFERROR(T_reg.root.SK[[#This Row],[Price]]/T_reg.root.SK[[#This Row],[Starch content]],"")</f>
        <v>11.086175942549373</v>
      </c>
    </row>
    <row r="4436" spans="1:14">
      <c r="A4436" s="21">
        <v>2024</v>
      </c>
      <c r="B4436" s="21" t="s">
        <v>28</v>
      </c>
      <c r="C4436" s="21" t="s">
        <v>1145</v>
      </c>
      <c r="D4436" s="21" t="s">
        <v>35</v>
      </c>
      <c r="E4436" s="18" t="s">
        <v>276</v>
      </c>
      <c r="F4436" s="18" t="s">
        <v>95</v>
      </c>
      <c r="G4436" s="18" t="s">
        <v>48</v>
      </c>
      <c r="H4436" s="24">
        <v>294960</v>
      </c>
      <c r="I4436" s="24">
        <f>T_reg.root.SK[[#This Row],[Volume, kg]]/1000</f>
        <v>294.95999999999998</v>
      </c>
      <c r="J4436" s="25">
        <v>0.27140000000000003</v>
      </c>
      <c r="K4436" s="25">
        <f t="shared" si="69"/>
        <v>80052.144000000015</v>
      </c>
      <c r="L4436" s="25">
        <v>2.6</v>
      </c>
      <c r="M4436" s="24">
        <v>766002.5</v>
      </c>
      <c r="N4436" s="25">
        <f>IFERROR(T_reg.root.SK[[#This Row],[Price]]/T_reg.root.SK[[#This Row],[Starch content]],"")</f>
        <v>9.5799557848194539</v>
      </c>
    </row>
    <row r="4437" spans="1:14">
      <c r="A4437" s="21">
        <v>2024</v>
      </c>
      <c r="B4437" s="21" t="s">
        <v>28</v>
      </c>
      <c r="C4437" s="21" t="s">
        <v>1145</v>
      </c>
      <c r="D4437" s="21" t="s">
        <v>35</v>
      </c>
      <c r="E4437" s="18" t="s">
        <v>681</v>
      </c>
      <c r="F4437" s="18" t="s">
        <v>95</v>
      </c>
      <c r="G4437" s="18" t="s">
        <v>48</v>
      </c>
      <c r="H4437" s="24">
        <v>78080</v>
      </c>
      <c r="I4437" s="24">
        <f>T_reg.root.SK[[#This Row],[Volume, kg]]/1000</f>
        <v>78.08</v>
      </c>
      <c r="J4437" s="25">
        <v>0.23280000000000001</v>
      </c>
      <c r="K4437" s="25">
        <f t="shared" si="69"/>
        <v>18177.024000000001</v>
      </c>
      <c r="L4437" s="25">
        <v>2.4</v>
      </c>
      <c r="M4437" s="24">
        <v>187458</v>
      </c>
      <c r="N4437" s="25">
        <f>IFERROR(T_reg.root.SK[[#This Row],[Price]]/T_reg.root.SK[[#This Row],[Starch content]],"")</f>
        <v>10.309278350515463</v>
      </c>
    </row>
    <row r="4438" spans="1:14">
      <c r="A4438" s="21">
        <v>2024</v>
      </c>
      <c r="B4438" s="21" t="s">
        <v>28</v>
      </c>
      <c r="C4438" s="21" t="s">
        <v>1145</v>
      </c>
      <c r="D4438" s="21" t="s">
        <v>35</v>
      </c>
      <c r="E4438" s="18" t="s">
        <v>943</v>
      </c>
      <c r="F4438" s="18" t="s">
        <v>95</v>
      </c>
      <c r="G4438" s="18" t="s">
        <v>48</v>
      </c>
      <c r="H4438" s="24">
        <v>53100</v>
      </c>
      <c r="I4438" s="24">
        <f>T_reg.root.SK[[#This Row],[Volume, kg]]/1000</f>
        <v>53.1</v>
      </c>
      <c r="J4438" s="25">
        <v>0.21760000000000002</v>
      </c>
      <c r="K4438" s="25">
        <f t="shared" si="69"/>
        <v>11554.560000000001</v>
      </c>
      <c r="L4438" s="25">
        <v>2.35</v>
      </c>
      <c r="M4438" s="24">
        <v>124782.5</v>
      </c>
      <c r="N4438" s="25">
        <f>IFERROR(T_reg.root.SK[[#This Row],[Price]]/T_reg.root.SK[[#This Row],[Starch content]],"")</f>
        <v>10.799632352941176</v>
      </c>
    </row>
    <row r="4439" spans="1:14">
      <c r="A4439" s="21">
        <v>2024</v>
      </c>
      <c r="B4439" s="21" t="s">
        <v>28</v>
      </c>
      <c r="C4439" s="21" t="s">
        <v>1145</v>
      </c>
      <c r="D4439" s="21" t="s">
        <v>39</v>
      </c>
      <c r="E4439" s="18" t="s">
        <v>98</v>
      </c>
      <c r="F4439" s="18" t="s">
        <v>99</v>
      </c>
      <c r="G4439" s="18" t="s">
        <v>42</v>
      </c>
      <c r="H4439" s="24">
        <v>6294930</v>
      </c>
      <c r="I4439" s="24">
        <f>T_reg.root.SK[[#This Row],[Volume, kg]]/1000</f>
        <v>6294.93</v>
      </c>
      <c r="J4439" s="25">
        <v>0.2394</v>
      </c>
      <c r="K4439" s="25">
        <f t="shared" si="69"/>
        <v>1507006.2420000001</v>
      </c>
      <c r="L4439" s="25">
        <v>2.5299999999999998</v>
      </c>
      <c r="M4439" s="24">
        <v>15916579.5</v>
      </c>
      <c r="N4439" s="25">
        <f>IFERROR(T_reg.root.SK[[#This Row],[Price]]/T_reg.root.SK[[#This Row],[Starch content]],"")</f>
        <v>10.568086883876356</v>
      </c>
    </row>
    <row r="4440" spans="1:14">
      <c r="A4440" s="21">
        <v>2024</v>
      </c>
      <c r="B4440" s="21" t="s">
        <v>28</v>
      </c>
      <c r="C4440" s="21" t="s">
        <v>1145</v>
      </c>
      <c r="D4440" s="21" t="s">
        <v>39</v>
      </c>
      <c r="E4440" s="18" t="s">
        <v>346</v>
      </c>
      <c r="F4440" s="18" t="s">
        <v>99</v>
      </c>
      <c r="G4440" s="18" t="s">
        <v>42</v>
      </c>
      <c r="H4440" s="24">
        <v>3061530</v>
      </c>
      <c r="I4440" s="24">
        <f>T_reg.root.SK[[#This Row],[Volume, kg]]/1000</f>
        <v>3061.53</v>
      </c>
      <c r="J4440" s="25">
        <v>0.23980000000000001</v>
      </c>
      <c r="K4440" s="25">
        <f t="shared" si="69"/>
        <v>734154.89400000009</v>
      </c>
      <c r="L4440" s="25">
        <v>2.54</v>
      </c>
      <c r="M4440" s="24">
        <v>7771559</v>
      </c>
      <c r="N4440" s="25">
        <f>IFERROR(T_reg.root.SK[[#This Row],[Price]]/T_reg.root.SK[[#This Row],[Starch content]],"")</f>
        <v>10.592160133444537</v>
      </c>
    </row>
    <row r="4441" spans="1:14">
      <c r="A4441" s="21">
        <v>2024</v>
      </c>
      <c r="B4441" s="21" t="s">
        <v>28</v>
      </c>
      <c r="C4441" s="21" t="s">
        <v>1145</v>
      </c>
      <c r="D4441" s="21" t="s">
        <v>39</v>
      </c>
      <c r="E4441" s="18" t="s">
        <v>101</v>
      </c>
      <c r="F4441" s="18" t="s">
        <v>102</v>
      </c>
      <c r="G4441" s="18" t="s">
        <v>103</v>
      </c>
      <c r="H4441" s="24">
        <v>237250</v>
      </c>
      <c r="I4441" s="24">
        <f>T_reg.root.SK[[#This Row],[Volume, kg]]/1000</f>
        <v>237.25</v>
      </c>
      <c r="J4441" s="25">
        <v>0.20860000000000001</v>
      </c>
      <c r="K4441" s="25">
        <f t="shared" si="69"/>
        <v>49490.35</v>
      </c>
      <c r="L4441" s="25">
        <v>2.4300000000000002</v>
      </c>
      <c r="M4441" s="24">
        <v>576422.5</v>
      </c>
      <c r="N4441" s="25">
        <f>IFERROR(T_reg.root.SK[[#This Row],[Price]]/T_reg.root.SK[[#This Row],[Starch content]],"")</f>
        <v>11.649089165867689</v>
      </c>
    </row>
    <row r="4442" spans="1:14">
      <c r="A4442" s="21">
        <v>2024</v>
      </c>
      <c r="B4442" s="21" t="s">
        <v>28</v>
      </c>
      <c r="C4442" s="21" t="s">
        <v>1145</v>
      </c>
      <c r="D4442" s="21" t="s">
        <v>35</v>
      </c>
      <c r="E4442" s="18" t="s">
        <v>695</v>
      </c>
      <c r="F4442" s="18" t="s">
        <v>283</v>
      </c>
      <c r="G4442" s="18" t="s">
        <v>48</v>
      </c>
      <c r="H4442" s="24">
        <v>27450</v>
      </c>
      <c r="I4442" s="24">
        <f>T_reg.root.SK[[#This Row],[Volume, kg]]/1000</f>
        <v>27.45</v>
      </c>
      <c r="J4442" s="25">
        <v>0.27589999999999998</v>
      </c>
      <c r="K4442" s="25">
        <f t="shared" si="69"/>
        <v>7573.454999999999</v>
      </c>
      <c r="L4442" s="25">
        <v>2.64</v>
      </c>
      <c r="M4442" s="24">
        <v>72427</v>
      </c>
      <c r="N4442" s="25">
        <f>IFERROR(T_reg.root.SK[[#This Row],[Price]]/T_reg.root.SK[[#This Row],[Starch content]],"")</f>
        <v>9.5686843059079383</v>
      </c>
    </row>
    <row r="4443" spans="1:14">
      <c r="A4443" s="21">
        <v>2024</v>
      </c>
      <c r="B4443" s="21" t="s">
        <v>28</v>
      </c>
      <c r="C4443" s="21" t="s">
        <v>1145</v>
      </c>
      <c r="D4443" s="21" t="s">
        <v>35</v>
      </c>
      <c r="E4443" s="18" t="s">
        <v>615</v>
      </c>
      <c r="F4443" s="18" t="s">
        <v>283</v>
      </c>
      <c r="G4443" s="18" t="s">
        <v>48</v>
      </c>
      <c r="H4443" s="24">
        <v>20090</v>
      </c>
      <c r="I4443" s="24">
        <f>T_reg.root.SK[[#This Row],[Volume, kg]]/1000</f>
        <v>20.09</v>
      </c>
      <c r="J4443" s="25">
        <v>0.26739999999999997</v>
      </c>
      <c r="K4443" s="25">
        <f t="shared" si="69"/>
        <v>5372.0659999999998</v>
      </c>
      <c r="L4443" s="25">
        <v>2.59</v>
      </c>
      <c r="M4443" s="24">
        <v>51959</v>
      </c>
      <c r="N4443" s="25">
        <f>IFERROR(T_reg.root.SK[[#This Row],[Price]]/T_reg.root.SK[[#This Row],[Starch content]],"")</f>
        <v>9.6858638743455501</v>
      </c>
    </row>
    <row r="4444" spans="1:14">
      <c r="A4444" s="21">
        <v>2024</v>
      </c>
      <c r="B4444" s="21" t="s">
        <v>28</v>
      </c>
      <c r="C4444" s="21" t="s">
        <v>1145</v>
      </c>
      <c r="D4444" s="21" t="s">
        <v>39</v>
      </c>
      <c r="E4444" s="18" t="s">
        <v>284</v>
      </c>
      <c r="F4444" s="18" t="s">
        <v>285</v>
      </c>
      <c r="G4444" s="18" t="s">
        <v>286</v>
      </c>
      <c r="H4444" s="24">
        <v>904120</v>
      </c>
      <c r="I4444" s="24">
        <f>T_reg.root.SK[[#This Row],[Volume, kg]]/1000</f>
        <v>904.12</v>
      </c>
      <c r="J4444" s="25">
        <v>0.24420000000000003</v>
      </c>
      <c r="K4444" s="25">
        <f t="shared" si="69"/>
        <v>220786.10400000002</v>
      </c>
      <c r="L4444" s="25">
        <v>2.56</v>
      </c>
      <c r="M4444" s="24">
        <v>2316350.5</v>
      </c>
      <c r="N4444" s="25">
        <f>IFERROR(T_reg.root.SK[[#This Row],[Price]]/T_reg.root.SK[[#This Row],[Starch content]],"")</f>
        <v>10.483210483210483</v>
      </c>
    </row>
    <row r="4445" spans="1:14">
      <c r="A4445" s="21">
        <v>2024</v>
      </c>
      <c r="B4445" s="21" t="s">
        <v>28</v>
      </c>
      <c r="C4445" s="21" t="s">
        <v>1145</v>
      </c>
      <c r="D4445" s="21" t="s">
        <v>35</v>
      </c>
      <c r="E4445" s="18" t="s">
        <v>185</v>
      </c>
      <c r="F4445" s="18" t="s">
        <v>105</v>
      </c>
      <c r="G4445" s="18" t="s">
        <v>48</v>
      </c>
      <c r="H4445" s="24">
        <v>19770</v>
      </c>
      <c r="I4445" s="24">
        <f>T_reg.root.SK[[#This Row],[Volume, kg]]/1000</f>
        <v>19.77</v>
      </c>
      <c r="J4445" s="25">
        <v>0.22370000000000001</v>
      </c>
      <c r="K4445" s="25">
        <f t="shared" si="69"/>
        <v>4422.549</v>
      </c>
      <c r="L4445" s="25">
        <v>2.37</v>
      </c>
      <c r="M4445" s="24">
        <v>46935.5</v>
      </c>
      <c r="N4445" s="25">
        <f>IFERROR(T_reg.root.SK[[#This Row],[Price]]/T_reg.root.SK[[#This Row],[Starch content]],"")</f>
        <v>10.594546267322306</v>
      </c>
    </row>
    <row r="4446" spans="1:14">
      <c r="A4446" s="21">
        <v>2024</v>
      </c>
      <c r="B4446" s="21" t="s">
        <v>28</v>
      </c>
      <c r="C4446" s="21" t="s">
        <v>1145</v>
      </c>
      <c r="D4446" s="21" t="s">
        <v>35</v>
      </c>
      <c r="E4446" s="18" t="s">
        <v>480</v>
      </c>
      <c r="F4446" s="18" t="s">
        <v>105</v>
      </c>
      <c r="G4446" s="18" t="s">
        <v>48</v>
      </c>
      <c r="H4446" s="24">
        <v>103620</v>
      </c>
      <c r="I4446" s="24">
        <f>T_reg.root.SK[[#This Row],[Volume, kg]]/1000</f>
        <v>103.62</v>
      </c>
      <c r="J4446" s="25">
        <v>0.26850000000000002</v>
      </c>
      <c r="K4446" s="25">
        <f t="shared" si="69"/>
        <v>27821.97</v>
      </c>
      <c r="L4446" s="25">
        <v>2.6</v>
      </c>
      <c r="M4446" s="24">
        <v>269271</v>
      </c>
      <c r="N4446" s="25">
        <f>IFERROR(T_reg.root.SK[[#This Row],[Price]]/T_reg.root.SK[[#This Row],[Starch content]],"")</f>
        <v>9.6834264432029791</v>
      </c>
    </row>
    <row r="4447" spans="1:14">
      <c r="A4447" s="21">
        <v>2024</v>
      </c>
      <c r="B4447" s="21" t="s">
        <v>28</v>
      </c>
      <c r="C4447" s="21" t="s">
        <v>1145</v>
      </c>
      <c r="D4447" s="21" t="s">
        <v>35</v>
      </c>
      <c r="E4447" s="18" t="s">
        <v>288</v>
      </c>
      <c r="F4447" s="18" t="s">
        <v>105</v>
      </c>
      <c r="G4447" s="18" t="s">
        <v>48</v>
      </c>
      <c r="H4447" s="24">
        <v>107190</v>
      </c>
      <c r="I4447" s="24">
        <f>T_reg.root.SK[[#This Row],[Volume, kg]]/1000</f>
        <v>107.19</v>
      </c>
      <c r="J4447" s="25">
        <v>0.25069999999999998</v>
      </c>
      <c r="K4447" s="25">
        <f t="shared" si="69"/>
        <v>26872.532999999999</v>
      </c>
      <c r="L4447" s="25">
        <v>2.46</v>
      </c>
      <c r="M4447" s="24">
        <v>263794.5</v>
      </c>
      <c r="N4447" s="25">
        <f>IFERROR(T_reg.root.SK[[#This Row],[Price]]/T_reg.root.SK[[#This Row],[Starch content]],"")</f>
        <v>9.8125249301954529</v>
      </c>
    </row>
    <row r="4448" spans="1:14">
      <c r="A4448" s="21">
        <v>2024</v>
      </c>
      <c r="B4448" s="21" t="s">
        <v>28</v>
      </c>
      <c r="C4448" s="21" t="s">
        <v>1145</v>
      </c>
      <c r="D4448" s="21" t="s">
        <v>35</v>
      </c>
      <c r="E4448" s="18" t="s">
        <v>944</v>
      </c>
      <c r="F4448" s="18" t="s">
        <v>105</v>
      </c>
      <c r="G4448" s="18" t="s">
        <v>48</v>
      </c>
      <c r="H4448" s="24">
        <v>5810</v>
      </c>
      <c r="I4448" s="24">
        <f>T_reg.root.SK[[#This Row],[Volume, kg]]/1000</f>
        <v>5.81</v>
      </c>
      <c r="J4448" s="25">
        <v>0.27899999999999997</v>
      </c>
      <c r="K4448" s="25">
        <f t="shared" si="69"/>
        <v>1620.9899999999998</v>
      </c>
      <c r="L4448" s="25">
        <v>2.65</v>
      </c>
      <c r="M4448" s="24">
        <v>15396.5</v>
      </c>
      <c r="N4448" s="25">
        <f>IFERROR(T_reg.root.SK[[#This Row],[Price]]/T_reg.root.SK[[#This Row],[Starch content]],"")</f>
        <v>9.4982078853046605</v>
      </c>
    </row>
    <row r="4449" spans="1:14">
      <c r="A4449" s="21">
        <v>2024</v>
      </c>
      <c r="B4449" s="21" t="s">
        <v>28</v>
      </c>
      <c r="C4449" s="21" t="s">
        <v>1145</v>
      </c>
      <c r="D4449" s="21" t="s">
        <v>35</v>
      </c>
      <c r="E4449" s="18" t="s">
        <v>683</v>
      </c>
      <c r="F4449" s="18" t="s">
        <v>105</v>
      </c>
      <c r="G4449" s="18" t="s">
        <v>48</v>
      </c>
      <c r="H4449" s="24">
        <v>38000</v>
      </c>
      <c r="I4449" s="24">
        <f>T_reg.root.SK[[#This Row],[Volume, kg]]/1000</f>
        <v>38</v>
      </c>
      <c r="J4449" s="25">
        <v>0.25579999999999997</v>
      </c>
      <c r="K4449" s="25">
        <f t="shared" si="69"/>
        <v>9720.4</v>
      </c>
      <c r="L4449" s="25">
        <v>2.5299999999999998</v>
      </c>
      <c r="M4449" s="24">
        <v>96155</v>
      </c>
      <c r="N4449" s="25">
        <f>IFERROR(T_reg.root.SK[[#This Row],[Price]]/T_reg.root.SK[[#This Row],[Starch content]],"")</f>
        <v>9.8905394839718532</v>
      </c>
    </row>
    <row r="4450" spans="1:14">
      <c r="A4450" s="21">
        <v>2024</v>
      </c>
      <c r="B4450" s="21" t="s">
        <v>28</v>
      </c>
      <c r="C4450" s="21" t="s">
        <v>1145</v>
      </c>
      <c r="D4450" s="21" t="s">
        <v>35</v>
      </c>
      <c r="E4450" s="18" t="s">
        <v>108</v>
      </c>
      <c r="F4450" s="18" t="s">
        <v>105</v>
      </c>
      <c r="G4450" s="18" t="s">
        <v>48</v>
      </c>
      <c r="H4450" s="24">
        <v>3790</v>
      </c>
      <c r="I4450" s="24">
        <f>T_reg.root.SK[[#This Row],[Volume, kg]]/1000</f>
        <v>3.79</v>
      </c>
      <c r="J4450" s="25">
        <v>0.27100000000000002</v>
      </c>
      <c r="K4450" s="25">
        <f t="shared" si="69"/>
        <v>1027.0900000000001</v>
      </c>
      <c r="L4450" s="25">
        <v>2.6</v>
      </c>
      <c r="M4450" s="24">
        <v>9854</v>
      </c>
      <c r="N4450" s="25">
        <f>IFERROR(T_reg.root.SK[[#This Row],[Price]]/T_reg.root.SK[[#This Row],[Starch content]],"")</f>
        <v>9.5940959409594093</v>
      </c>
    </row>
    <row r="4451" spans="1:14">
      <c r="A4451" s="21">
        <v>2024</v>
      </c>
      <c r="B4451" s="21" t="s">
        <v>28</v>
      </c>
      <c r="C4451" s="21" t="s">
        <v>1145</v>
      </c>
      <c r="D4451" s="21" t="s">
        <v>35</v>
      </c>
      <c r="E4451" s="18" t="s">
        <v>713</v>
      </c>
      <c r="F4451" s="18" t="s">
        <v>105</v>
      </c>
      <c r="G4451" s="18" t="s">
        <v>48</v>
      </c>
      <c r="H4451" s="24">
        <v>430420</v>
      </c>
      <c r="I4451" s="24">
        <f>T_reg.root.SK[[#This Row],[Volume, kg]]/1000</f>
        <v>430.42</v>
      </c>
      <c r="J4451" s="25">
        <v>0.23180000000000001</v>
      </c>
      <c r="K4451" s="25">
        <f t="shared" si="69"/>
        <v>99771.356</v>
      </c>
      <c r="L4451" s="25">
        <v>2.4</v>
      </c>
      <c r="M4451" s="24">
        <v>1031963.5</v>
      </c>
      <c r="N4451" s="25">
        <f>IFERROR(T_reg.root.SK[[#This Row],[Price]]/T_reg.root.SK[[#This Row],[Starch content]],"")</f>
        <v>10.353753235547886</v>
      </c>
    </row>
    <row r="4452" spans="1:14">
      <c r="A4452" s="21">
        <v>2024</v>
      </c>
      <c r="B4452" s="21" t="s">
        <v>28</v>
      </c>
      <c r="C4452" s="21" t="s">
        <v>1145</v>
      </c>
      <c r="D4452" s="21" t="s">
        <v>35</v>
      </c>
      <c r="E4452" s="18" t="s">
        <v>631</v>
      </c>
      <c r="F4452" s="18" t="s">
        <v>105</v>
      </c>
      <c r="G4452" s="18" t="s">
        <v>48</v>
      </c>
      <c r="H4452" s="24">
        <v>48410</v>
      </c>
      <c r="I4452" s="24">
        <f>T_reg.root.SK[[#This Row],[Volume, kg]]/1000</f>
        <v>48.41</v>
      </c>
      <c r="J4452" s="25">
        <v>0.22140000000000001</v>
      </c>
      <c r="K4452" s="25">
        <f t="shared" si="69"/>
        <v>10717.974</v>
      </c>
      <c r="L4452" s="25">
        <v>2.36</v>
      </c>
      <c r="M4452" s="24">
        <v>114208.5</v>
      </c>
      <c r="N4452" s="25">
        <f>IFERROR(T_reg.root.SK[[#This Row],[Price]]/T_reg.root.SK[[#This Row],[Starch content]],"")</f>
        <v>10.65943992773261</v>
      </c>
    </row>
    <row r="4453" spans="1:14">
      <c r="A4453" s="21">
        <v>2024</v>
      </c>
      <c r="B4453" s="21" t="s">
        <v>28</v>
      </c>
      <c r="C4453" s="21" t="s">
        <v>1145</v>
      </c>
      <c r="D4453" s="21" t="s">
        <v>35</v>
      </c>
      <c r="E4453" s="18" t="s">
        <v>109</v>
      </c>
      <c r="F4453" s="18" t="s">
        <v>105</v>
      </c>
      <c r="G4453" s="18" t="s">
        <v>48</v>
      </c>
      <c r="H4453" s="24">
        <v>51400</v>
      </c>
      <c r="I4453" s="24">
        <f>T_reg.root.SK[[#This Row],[Volume, kg]]/1000</f>
        <v>51.4</v>
      </c>
      <c r="J4453" s="25">
        <v>0.24239999999999998</v>
      </c>
      <c r="K4453" s="25">
        <f t="shared" si="69"/>
        <v>12459.359999999999</v>
      </c>
      <c r="L4453" s="25">
        <v>2.4500000000000002</v>
      </c>
      <c r="M4453" s="24">
        <v>126121.5</v>
      </c>
      <c r="N4453" s="25">
        <f>IFERROR(T_reg.root.SK[[#This Row],[Price]]/T_reg.root.SK[[#This Row],[Starch content]],"")</f>
        <v>10.107260726072608</v>
      </c>
    </row>
    <row r="4454" spans="1:14">
      <c r="A4454" s="21">
        <v>2024</v>
      </c>
      <c r="B4454" s="21" t="s">
        <v>28</v>
      </c>
      <c r="C4454" s="21" t="s">
        <v>1145</v>
      </c>
      <c r="D4454" s="21" t="s">
        <v>35</v>
      </c>
      <c r="E4454" s="18" t="s">
        <v>350</v>
      </c>
      <c r="F4454" s="18" t="s">
        <v>105</v>
      </c>
      <c r="G4454" s="18" t="s">
        <v>48</v>
      </c>
      <c r="H4454" s="24">
        <v>4810</v>
      </c>
      <c r="I4454" s="24">
        <f>T_reg.root.SK[[#This Row],[Volume, kg]]/1000</f>
        <v>4.8099999999999996</v>
      </c>
      <c r="J4454" s="25">
        <v>0.26</v>
      </c>
      <c r="K4454" s="25">
        <f t="shared" si="69"/>
        <v>1250.6000000000001</v>
      </c>
      <c r="L4454" s="25">
        <v>2.5499999999999998</v>
      </c>
      <c r="M4454" s="24">
        <v>12265.5</v>
      </c>
      <c r="N4454" s="25">
        <f>IFERROR(T_reg.root.SK[[#This Row],[Price]]/T_reg.root.SK[[#This Row],[Starch content]],"")</f>
        <v>9.8076923076923066</v>
      </c>
    </row>
    <row r="4455" spans="1:14">
      <c r="A4455" s="21">
        <v>2024</v>
      </c>
      <c r="B4455" s="21" t="s">
        <v>28</v>
      </c>
      <c r="C4455" s="21" t="s">
        <v>1145</v>
      </c>
      <c r="D4455" s="21" t="s">
        <v>35</v>
      </c>
      <c r="E4455" s="18" t="s">
        <v>945</v>
      </c>
      <c r="F4455" s="18" t="s">
        <v>105</v>
      </c>
      <c r="G4455" s="18" t="s">
        <v>48</v>
      </c>
      <c r="H4455" s="24">
        <v>10560</v>
      </c>
      <c r="I4455" s="24">
        <f>T_reg.root.SK[[#This Row],[Volume, kg]]/1000</f>
        <v>10.56</v>
      </c>
      <c r="J4455" s="25">
        <v>0.25750000000000001</v>
      </c>
      <c r="K4455" s="25">
        <f t="shared" si="69"/>
        <v>2719.2000000000003</v>
      </c>
      <c r="L4455" s="25">
        <v>2.4500000000000002</v>
      </c>
      <c r="M4455" s="24">
        <v>25872</v>
      </c>
      <c r="N4455" s="25">
        <f>IFERROR(T_reg.root.SK[[#This Row],[Price]]/T_reg.root.SK[[#This Row],[Starch content]],"")</f>
        <v>9.5145631067961176</v>
      </c>
    </row>
    <row r="4456" spans="1:14">
      <c r="A4456" s="21">
        <v>2024</v>
      </c>
      <c r="B4456" s="21" t="s">
        <v>28</v>
      </c>
      <c r="C4456" s="21" t="s">
        <v>1145</v>
      </c>
      <c r="D4456" s="21" t="s">
        <v>35</v>
      </c>
      <c r="E4456" s="18" t="s">
        <v>293</v>
      </c>
      <c r="F4456" s="18" t="s">
        <v>105</v>
      </c>
      <c r="G4456" s="18" t="s">
        <v>48</v>
      </c>
      <c r="H4456" s="24">
        <v>8190</v>
      </c>
      <c r="I4456" s="24">
        <f>T_reg.root.SK[[#This Row],[Volume, kg]]/1000</f>
        <v>8.19</v>
      </c>
      <c r="J4456" s="25">
        <v>0.24199999999999999</v>
      </c>
      <c r="K4456" s="25">
        <f t="shared" si="69"/>
        <v>1981.98</v>
      </c>
      <c r="L4456" s="25">
        <v>2.4</v>
      </c>
      <c r="M4456" s="24">
        <v>19656</v>
      </c>
      <c r="N4456" s="25">
        <f>IFERROR(T_reg.root.SK[[#This Row],[Price]]/T_reg.root.SK[[#This Row],[Starch content]],"")</f>
        <v>9.9173553719008272</v>
      </c>
    </row>
    <row r="4457" spans="1:14">
      <c r="A4457" s="21">
        <v>2024</v>
      </c>
      <c r="B4457" s="21" t="s">
        <v>28</v>
      </c>
      <c r="C4457" s="21" t="s">
        <v>1145</v>
      </c>
      <c r="D4457" s="21" t="s">
        <v>35</v>
      </c>
      <c r="E4457" s="18" t="s">
        <v>110</v>
      </c>
      <c r="F4457" s="18" t="s">
        <v>105</v>
      </c>
      <c r="G4457" s="18" t="s">
        <v>48</v>
      </c>
      <c r="H4457" s="24">
        <v>38100</v>
      </c>
      <c r="I4457" s="24">
        <f>T_reg.root.SK[[#This Row],[Volume, kg]]/1000</f>
        <v>38.1</v>
      </c>
      <c r="J4457" s="25">
        <v>0.23280000000000001</v>
      </c>
      <c r="K4457" s="25">
        <f t="shared" si="69"/>
        <v>8869.68</v>
      </c>
      <c r="L4457" s="25">
        <v>2.38</v>
      </c>
      <c r="M4457" s="24">
        <v>90810.5</v>
      </c>
      <c r="N4457" s="25">
        <f>IFERROR(T_reg.root.SK[[#This Row],[Price]]/T_reg.root.SK[[#This Row],[Starch content]],"")</f>
        <v>10.223367697594501</v>
      </c>
    </row>
    <row r="4458" spans="1:14">
      <c r="A4458" s="21">
        <v>2024</v>
      </c>
      <c r="B4458" s="21" t="s">
        <v>28</v>
      </c>
      <c r="C4458" s="21" t="s">
        <v>1145</v>
      </c>
      <c r="D4458" s="21" t="s">
        <v>35</v>
      </c>
      <c r="E4458" s="18" t="s">
        <v>352</v>
      </c>
      <c r="F4458" s="18" t="s">
        <v>105</v>
      </c>
      <c r="G4458" s="18" t="s">
        <v>48</v>
      </c>
      <c r="H4458" s="24">
        <v>22650</v>
      </c>
      <c r="I4458" s="24">
        <f>T_reg.root.SK[[#This Row],[Volume, kg]]/1000</f>
        <v>22.65</v>
      </c>
      <c r="J4458" s="25">
        <v>0.2495</v>
      </c>
      <c r="K4458" s="25">
        <f t="shared" si="69"/>
        <v>5651.1750000000002</v>
      </c>
      <c r="L4458" s="25">
        <v>2.46</v>
      </c>
      <c r="M4458" s="24">
        <v>55735</v>
      </c>
      <c r="N4458" s="25">
        <f>IFERROR(T_reg.root.SK[[#This Row],[Price]]/T_reg.root.SK[[#This Row],[Starch content]],"")</f>
        <v>9.8597194388777556</v>
      </c>
    </row>
    <row r="4459" spans="1:14">
      <c r="A4459" s="21">
        <v>2024</v>
      </c>
      <c r="B4459" s="21" t="s">
        <v>28</v>
      </c>
      <c r="C4459" s="21" t="s">
        <v>1145</v>
      </c>
      <c r="D4459" s="21" t="s">
        <v>35</v>
      </c>
      <c r="E4459" s="18" t="s">
        <v>734</v>
      </c>
      <c r="F4459" s="18" t="s">
        <v>105</v>
      </c>
      <c r="G4459" s="18" t="s">
        <v>48</v>
      </c>
      <c r="H4459" s="24">
        <v>48040</v>
      </c>
      <c r="I4459" s="24">
        <f>T_reg.root.SK[[#This Row],[Volume, kg]]/1000</f>
        <v>48.04</v>
      </c>
      <c r="J4459" s="25">
        <v>0.23420000000000002</v>
      </c>
      <c r="K4459" s="25">
        <f t="shared" si="69"/>
        <v>11250.968000000001</v>
      </c>
      <c r="L4459" s="25">
        <v>2.4300000000000002</v>
      </c>
      <c r="M4459" s="24">
        <v>116705.5</v>
      </c>
      <c r="N4459" s="25">
        <f>IFERROR(T_reg.root.SK[[#This Row],[Price]]/T_reg.root.SK[[#This Row],[Starch content]],"")</f>
        <v>10.375747224594363</v>
      </c>
    </row>
    <row r="4460" spans="1:14">
      <c r="A4460" s="21">
        <v>2024</v>
      </c>
      <c r="B4460" s="21" t="s">
        <v>28</v>
      </c>
      <c r="C4460" s="21" t="s">
        <v>1145</v>
      </c>
      <c r="D4460" s="21" t="s">
        <v>35</v>
      </c>
      <c r="E4460" s="18" t="s">
        <v>295</v>
      </c>
      <c r="F4460" s="18" t="s">
        <v>105</v>
      </c>
      <c r="G4460" s="18" t="s">
        <v>48</v>
      </c>
      <c r="H4460" s="24">
        <v>8020</v>
      </c>
      <c r="I4460" s="24">
        <f>T_reg.root.SK[[#This Row],[Volume, kg]]/1000</f>
        <v>8.02</v>
      </c>
      <c r="J4460" s="25">
        <v>0.247</v>
      </c>
      <c r="K4460" s="25">
        <f t="shared" si="69"/>
        <v>1980.94</v>
      </c>
      <c r="L4460" s="25">
        <v>2.5</v>
      </c>
      <c r="M4460" s="24">
        <v>20050</v>
      </c>
      <c r="N4460" s="25">
        <f>IFERROR(T_reg.root.SK[[#This Row],[Price]]/T_reg.root.SK[[#This Row],[Starch content]],"")</f>
        <v>10.121457489878543</v>
      </c>
    </row>
    <row r="4461" spans="1:14">
      <c r="A4461" s="21">
        <v>2024</v>
      </c>
      <c r="B4461" s="21" t="s">
        <v>28</v>
      </c>
      <c r="C4461" s="21" t="s">
        <v>1145</v>
      </c>
      <c r="D4461" s="21" t="s">
        <v>35</v>
      </c>
      <c r="E4461" s="18" t="s">
        <v>803</v>
      </c>
      <c r="F4461" s="18" t="s">
        <v>105</v>
      </c>
      <c r="G4461" s="18" t="s">
        <v>48</v>
      </c>
      <c r="H4461" s="24">
        <v>50630</v>
      </c>
      <c r="I4461" s="24">
        <f>T_reg.root.SK[[#This Row],[Volume, kg]]/1000</f>
        <v>50.63</v>
      </c>
      <c r="J4461" s="25">
        <v>0.23870000000000002</v>
      </c>
      <c r="K4461" s="25">
        <f t="shared" si="69"/>
        <v>12085.381000000001</v>
      </c>
      <c r="L4461" s="25">
        <v>2.4500000000000002</v>
      </c>
      <c r="M4461" s="24">
        <v>124293.5</v>
      </c>
      <c r="N4461" s="25">
        <f>IFERROR(T_reg.root.SK[[#This Row],[Price]]/T_reg.root.SK[[#This Row],[Starch content]],"")</f>
        <v>10.263929618768328</v>
      </c>
    </row>
    <row r="4462" spans="1:14">
      <c r="A4462" s="21">
        <v>2024</v>
      </c>
      <c r="B4462" s="21" t="s">
        <v>28</v>
      </c>
      <c r="C4462" s="21" t="s">
        <v>1145</v>
      </c>
      <c r="D4462" s="21" t="s">
        <v>35</v>
      </c>
      <c r="E4462" s="18" t="s">
        <v>234</v>
      </c>
      <c r="F4462" s="18" t="s">
        <v>105</v>
      </c>
      <c r="G4462" s="18" t="s">
        <v>48</v>
      </c>
      <c r="H4462" s="24">
        <v>85060</v>
      </c>
      <c r="I4462" s="24">
        <f>T_reg.root.SK[[#This Row],[Volume, kg]]/1000</f>
        <v>85.06</v>
      </c>
      <c r="J4462" s="25">
        <v>0.2329</v>
      </c>
      <c r="K4462" s="25">
        <f t="shared" si="69"/>
        <v>19810.473999999998</v>
      </c>
      <c r="L4462" s="25">
        <v>2.41</v>
      </c>
      <c r="M4462" s="24">
        <v>205253</v>
      </c>
      <c r="N4462" s="25">
        <f>IFERROR(T_reg.root.SK[[#This Row],[Price]]/T_reg.root.SK[[#This Row],[Starch content]],"")</f>
        <v>10.347788750536711</v>
      </c>
    </row>
    <row r="4463" spans="1:14">
      <c r="A4463" s="21">
        <v>2024</v>
      </c>
      <c r="B4463" s="21" t="s">
        <v>28</v>
      </c>
      <c r="C4463" s="21" t="s">
        <v>1145</v>
      </c>
      <c r="D4463" s="21" t="s">
        <v>35</v>
      </c>
      <c r="E4463" s="18" t="s">
        <v>666</v>
      </c>
      <c r="F4463" s="18" t="s">
        <v>105</v>
      </c>
      <c r="G4463" s="18" t="s">
        <v>48</v>
      </c>
      <c r="H4463" s="24">
        <v>7450</v>
      </c>
      <c r="I4463" s="24">
        <f>T_reg.root.SK[[#This Row],[Volume, kg]]/1000</f>
        <v>7.45</v>
      </c>
      <c r="J4463" s="25">
        <v>0.22800000000000001</v>
      </c>
      <c r="K4463" s="25">
        <f t="shared" si="69"/>
        <v>1698.6000000000001</v>
      </c>
      <c r="L4463" s="25">
        <v>2.4</v>
      </c>
      <c r="M4463" s="24">
        <v>17880</v>
      </c>
      <c r="N4463" s="25">
        <f>IFERROR(T_reg.root.SK[[#This Row],[Price]]/T_reg.root.SK[[#This Row],[Starch content]],"")</f>
        <v>10.526315789473683</v>
      </c>
    </row>
    <row r="4464" spans="1:14">
      <c r="A4464" s="21">
        <v>2024</v>
      </c>
      <c r="B4464" s="21" t="s">
        <v>28</v>
      </c>
      <c r="C4464" s="21" t="s">
        <v>1145</v>
      </c>
      <c r="D4464" s="21" t="s">
        <v>35</v>
      </c>
      <c r="E4464" s="18" t="s">
        <v>403</v>
      </c>
      <c r="F4464" s="18" t="s">
        <v>105</v>
      </c>
      <c r="G4464" s="18" t="s">
        <v>48</v>
      </c>
      <c r="H4464" s="24">
        <v>20670</v>
      </c>
      <c r="I4464" s="24">
        <f>T_reg.root.SK[[#This Row],[Volume, kg]]/1000</f>
        <v>20.67</v>
      </c>
      <c r="J4464" s="25">
        <v>0.2445</v>
      </c>
      <c r="K4464" s="25">
        <f t="shared" si="69"/>
        <v>5053.8149999999996</v>
      </c>
      <c r="L4464" s="25">
        <v>2.4700000000000002</v>
      </c>
      <c r="M4464" s="24">
        <v>51051.5</v>
      </c>
      <c r="N4464" s="25">
        <f>IFERROR(T_reg.root.SK[[#This Row],[Price]]/T_reg.root.SK[[#This Row],[Starch content]],"")</f>
        <v>10.102249488752557</v>
      </c>
    </row>
    <row r="4465" spans="1:14">
      <c r="A4465" s="21">
        <v>2024</v>
      </c>
      <c r="B4465" s="21" t="s">
        <v>28</v>
      </c>
      <c r="C4465" s="21" t="s">
        <v>1145</v>
      </c>
      <c r="D4465" s="21" t="s">
        <v>35</v>
      </c>
      <c r="E4465" s="18" t="s">
        <v>600</v>
      </c>
      <c r="F4465" s="18" t="s">
        <v>105</v>
      </c>
      <c r="G4465" s="18" t="s">
        <v>48</v>
      </c>
      <c r="H4465" s="24">
        <v>19510</v>
      </c>
      <c r="I4465" s="24">
        <f>T_reg.root.SK[[#This Row],[Volume, kg]]/1000</f>
        <v>19.510000000000002</v>
      </c>
      <c r="J4465" s="25">
        <v>0.26140000000000002</v>
      </c>
      <c r="K4465" s="25">
        <f t="shared" si="69"/>
        <v>5099.9140000000007</v>
      </c>
      <c r="L4465" s="25">
        <v>2.5299999999999998</v>
      </c>
      <c r="M4465" s="24">
        <v>49437.5</v>
      </c>
      <c r="N4465" s="25">
        <f>IFERROR(T_reg.root.SK[[#This Row],[Price]]/T_reg.root.SK[[#This Row],[Starch content]],"")</f>
        <v>9.6786534047436863</v>
      </c>
    </row>
    <row r="4466" spans="1:14">
      <c r="A4466" s="21">
        <v>2024</v>
      </c>
      <c r="B4466" s="21" t="s">
        <v>28</v>
      </c>
      <c r="C4466" s="21" t="s">
        <v>1145</v>
      </c>
      <c r="D4466" s="21" t="s">
        <v>35</v>
      </c>
      <c r="E4466" s="18" t="s">
        <v>235</v>
      </c>
      <c r="F4466" s="18" t="s">
        <v>105</v>
      </c>
      <c r="G4466" s="18" t="s">
        <v>48</v>
      </c>
      <c r="H4466" s="24">
        <v>65040</v>
      </c>
      <c r="I4466" s="24">
        <f>T_reg.root.SK[[#This Row],[Volume, kg]]/1000</f>
        <v>65.040000000000006</v>
      </c>
      <c r="J4466" s="25">
        <v>0.25980000000000003</v>
      </c>
      <c r="K4466" s="25">
        <f t="shared" si="69"/>
        <v>16897.392000000003</v>
      </c>
      <c r="L4466" s="25">
        <v>2.54</v>
      </c>
      <c r="M4466" s="24">
        <v>164898.5</v>
      </c>
      <c r="N4466" s="25">
        <f>IFERROR(T_reg.root.SK[[#This Row],[Price]]/T_reg.root.SK[[#This Row],[Starch content]],"")</f>
        <v>9.7767513471901459</v>
      </c>
    </row>
    <row r="4467" spans="1:14">
      <c r="A4467" s="21">
        <v>2024</v>
      </c>
      <c r="B4467" s="21" t="s">
        <v>28</v>
      </c>
      <c r="C4467" s="21" t="s">
        <v>1145</v>
      </c>
      <c r="D4467" s="21" t="s">
        <v>35</v>
      </c>
      <c r="E4467" s="18" t="s">
        <v>685</v>
      </c>
      <c r="F4467" s="18" t="s">
        <v>105</v>
      </c>
      <c r="G4467" s="18" t="s">
        <v>48</v>
      </c>
      <c r="H4467" s="24">
        <v>62390</v>
      </c>
      <c r="I4467" s="24">
        <f>T_reg.root.SK[[#This Row],[Volume, kg]]/1000</f>
        <v>62.39</v>
      </c>
      <c r="J4467" s="25">
        <v>0.255</v>
      </c>
      <c r="K4467" s="25">
        <f t="shared" si="69"/>
        <v>15909.45</v>
      </c>
      <c r="L4467" s="25">
        <v>2.52</v>
      </c>
      <c r="M4467" s="24">
        <v>157047</v>
      </c>
      <c r="N4467" s="25">
        <f>IFERROR(T_reg.root.SK[[#This Row],[Price]]/T_reg.root.SK[[#This Row],[Starch content]],"")</f>
        <v>9.882352941176471</v>
      </c>
    </row>
    <row r="4468" spans="1:14">
      <c r="A4468" s="21">
        <v>2024</v>
      </c>
      <c r="B4468" s="21" t="s">
        <v>28</v>
      </c>
      <c r="C4468" s="21" t="s">
        <v>1145</v>
      </c>
      <c r="D4468" s="21" t="s">
        <v>35</v>
      </c>
      <c r="E4468" s="18" t="s">
        <v>236</v>
      </c>
      <c r="F4468" s="18" t="s">
        <v>105</v>
      </c>
      <c r="G4468" s="18" t="s">
        <v>48</v>
      </c>
      <c r="H4468" s="24">
        <v>8070</v>
      </c>
      <c r="I4468" s="24">
        <f>T_reg.root.SK[[#This Row],[Volume, kg]]/1000</f>
        <v>8.07</v>
      </c>
      <c r="J4468" s="25">
        <v>0.24149999999999999</v>
      </c>
      <c r="K4468" s="25">
        <f t="shared" si="69"/>
        <v>1948.905</v>
      </c>
      <c r="L4468" s="25">
        <v>2.4500000000000002</v>
      </c>
      <c r="M4468" s="24">
        <v>19771.5</v>
      </c>
      <c r="N4468" s="25">
        <f>IFERROR(T_reg.root.SK[[#This Row],[Price]]/T_reg.root.SK[[#This Row],[Starch content]],"")</f>
        <v>10.144927536231885</v>
      </c>
    </row>
    <row r="4469" spans="1:14">
      <c r="A4469" s="21">
        <v>2024</v>
      </c>
      <c r="B4469" s="21" t="s">
        <v>28</v>
      </c>
      <c r="C4469" s="21" t="s">
        <v>1145</v>
      </c>
      <c r="D4469" s="21" t="s">
        <v>35</v>
      </c>
      <c r="E4469" s="18" t="s">
        <v>116</v>
      </c>
      <c r="F4469" s="18" t="s">
        <v>105</v>
      </c>
      <c r="G4469" s="18" t="s">
        <v>48</v>
      </c>
      <c r="H4469" s="24">
        <v>13610</v>
      </c>
      <c r="I4469" s="24">
        <f>T_reg.root.SK[[#This Row],[Volume, kg]]/1000</f>
        <v>13.61</v>
      </c>
      <c r="J4469" s="25">
        <v>0.24350000000000002</v>
      </c>
      <c r="K4469" s="25">
        <f t="shared" si="69"/>
        <v>3314.0350000000003</v>
      </c>
      <c r="L4469" s="25">
        <v>2.4700000000000002</v>
      </c>
      <c r="M4469" s="24">
        <v>33584</v>
      </c>
      <c r="N4469" s="25">
        <f>IFERROR(T_reg.root.SK[[#This Row],[Price]]/T_reg.root.SK[[#This Row],[Starch content]],"")</f>
        <v>10.143737166324435</v>
      </c>
    </row>
    <row r="4470" spans="1:14">
      <c r="A4470" s="21">
        <v>2024</v>
      </c>
      <c r="B4470" s="21" t="s">
        <v>28</v>
      </c>
      <c r="C4470" s="21" t="s">
        <v>1145</v>
      </c>
      <c r="D4470" s="21" t="s">
        <v>35</v>
      </c>
      <c r="E4470" s="18" t="s">
        <v>296</v>
      </c>
      <c r="F4470" s="18" t="s">
        <v>105</v>
      </c>
      <c r="G4470" s="18" t="s">
        <v>48</v>
      </c>
      <c r="H4470" s="24">
        <v>244570</v>
      </c>
      <c r="I4470" s="24">
        <f>T_reg.root.SK[[#This Row],[Volume, kg]]/1000</f>
        <v>244.57</v>
      </c>
      <c r="J4470" s="25">
        <v>0.25390000000000001</v>
      </c>
      <c r="K4470" s="25">
        <f t="shared" si="69"/>
        <v>62096.323000000004</v>
      </c>
      <c r="L4470" s="25">
        <v>2.5099999999999998</v>
      </c>
      <c r="M4470" s="24">
        <v>614350.5</v>
      </c>
      <c r="N4470" s="25">
        <f>IFERROR(T_reg.root.SK[[#This Row],[Price]]/T_reg.root.SK[[#This Row],[Starch content]],"")</f>
        <v>9.8857818038597856</v>
      </c>
    </row>
    <row r="4471" spans="1:14">
      <c r="A4471" s="21">
        <v>2024</v>
      </c>
      <c r="B4471" s="21" t="s">
        <v>28</v>
      </c>
      <c r="C4471" s="21" t="s">
        <v>1145</v>
      </c>
      <c r="D4471" s="21" t="s">
        <v>35</v>
      </c>
      <c r="E4471" s="18" t="s">
        <v>805</v>
      </c>
      <c r="F4471" s="18" t="s">
        <v>105</v>
      </c>
      <c r="G4471" s="18" t="s">
        <v>48</v>
      </c>
      <c r="H4471" s="24">
        <v>22490</v>
      </c>
      <c r="I4471" s="24">
        <f>T_reg.root.SK[[#This Row],[Volume, kg]]/1000</f>
        <v>22.49</v>
      </c>
      <c r="J4471" s="25">
        <v>0.2273</v>
      </c>
      <c r="K4471" s="25">
        <f t="shared" si="69"/>
        <v>5111.9769999999999</v>
      </c>
      <c r="L4471" s="25">
        <v>2.3199999999999998</v>
      </c>
      <c r="M4471" s="24">
        <v>52223</v>
      </c>
      <c r="N4471" s="25">
        <f>IFERROR(T_reg.root.SK[[#This Row],[Price]]/T_reg.root.SK[[#This Row],[Starch content]],"")</f>
        <v>10.206775186977563</v>
      </c>
    </row>
    <row r="4472" spans="1:14">
      <c r="A4472" s="21">
        <v>2024</v>
      </c>
      <c r="B4472" s="21" t="s">
        <v>28</v>
      </c>
      <c r="C4472" s="21" t="s">
        <v>1145</v>
      </c>
      <c r="D4472" s="21" t="s">
        <v>35</v>
      </c>
      <c r="E4472" s="18" t="s">
        <v>484</v>
      </c>
      <c r="F4472" s="18" t="s">
        <v>105</v>
      </c>
      <c r="G4472" s="18" t="s">
        <v>48</v>
      </c>
      <c r="H4472" s="24">
        <v>20390</v>
      </c>
      <c r="I4472" s="24">
        <f>T_reg.root.SK[[#This Row],[Volume, kg]]/1000</f>
        <v>20.39</v>
      </c>
      <c r="J4472" s="25">
        <v>0.252</v>
      </c>
      <c r="K4472" s="25">
        <f t="shared" si="69"/>
        <v>5138.28</v>
      </c>
      <c r="L4472" s="25">
        <v>2.5099999999999998</v>
      </c>
      <c r="M4472" s="24">
        <v>51120.5</v>
      </c>
      <c r="N4472" s="25">
        <f>IFERROR(T_reg.root.SK[[#This Row],[Price]]/T_reg.root.SK[[#This Row],[Starch content]],"")</f>
        <v>9.9603174603174587</v>
      </c>
    </row>
    <row r="4473" spans="1:14">
      <c r="A4473" s="21">
        <v>2024</v>
      </c>
      <c r="B4473" s="21" t="s">
        <v>28</v>
      </c>
      <c r="C4473" s="21" t="s">
        <v>1145</v>
      </c>
      <c r="D4473" s="21" t="s">
        <v>35</v>
      </c>
      <c r="E4473" s="18" t="s">
        <v>118</v>
      </c>
      <c r="F4473" s="18" t="s">
        <v>105</v>
      </c>
      <c r="G4473" s="18" t="s">
        <v>48</v>
      </c>
      <c r="H4473" s="24">
        <v>1084840</v>
      </c>
      <c r="I4473" s="24">
        <f>T_reg.root.SK[[#This Row],[Volume, kg]]/1000</f>
        <v>1084.8399999999999</v>
      </c>
      <c r="J4473" s="25">
        <v>0.2495</v>
      </c>
      <c r="K4473" s="25">
        <f t="shared" si="69"/>
        <v>270667.58</v>
      </c>
      <c r="L4473" s="25">
        <v>2.4900000000000002</v>
      </c>
      <c r="M4473" s="24">
        <v>2699116.5</v>
      </c>
      <c r="N4473" s="25">
        <f>IFERROR(T_reg.root.SK[[#This Row],[Price]]/T_reg.root.SK[[#This Row],[Starch content]],"")</f>
        <v>9.9799599198396809</v>
      </c>
    </row>
    <row r="4474" spans="1:14">
      <c r="A4474" s="21">
        <v>2024</v>
      </c>
      <c r="B4474" s="21" t="s">
        <v>28</v>
      </c>
      <c r="C4474" s="21" t="s">
        <v>1145</v>
      </c>
      <c r="D4474" s="21" t="s">
        <v>35</v>
      </c>
      <c r="E4474" s="18" t="s">
        <v>119</v>
      </c>
      <c r="F4474" s="18" t="s">
        <v>105</v>
      </c>
      <c r="G4474" s="18" t="s">
        <v>48</v>
      </c>
      <c r="H4474" s="24">
        <v>4930</v>
      </c>
      <c r="I4474" s="24">
        <f>T_reg.root.SK[[#This Row],[Volume, kg]]/1000</f>
        <v>4.93</v>
      </c>
      <c r="J4474" s="25">
        <v>0.27800000000000002</v>
      </c>
      <c r="K4474" s="25">
        <f t="shared" si="69"/>
        <v>1370.5400000000002</v>
      </c>
      <c r="L4474" s="25">
        <v>2.65</v>
      </c>
      <c r="M4474" s="24">
        <v>13064.5</v>
      </c>
      <c r="N4474" s="25">
        <f>IFERROR(T_reg.root.SK[[#This Row],[Price]]/T_reg.root.SK[[#This Row],[Starch content]],"")</f>
        <v>9.5323741007194229</v>
      </c>
    </row>
    <row r="4475" spans="1:14">
      <c r="A4475" s="21">
        <v>2024</v>
      </c>
      <c r="B4475" s="21" t="s">
        <v>28</v>
      </c>
      <c r="C4475" s="21" t="s">
        <v>1145</v>
      </c>
      <c r="D4475" s="21" t="s">
        <v>35</v>
      </c>
      <c r="E4475" s="18" t="s">
        <v>120</v>
      </c>
      <c r="F4475" s="18" t="s">
        <v>105</v>
      </c>
      <c r="G4475" s="18" t="s">
        <v>48</v>
      </c>
      <c r="H4475" s="24">
        <v>10550</v>
      </c>
      <c r="I4475" s="24">
        <f>T_reg.root.SK[[#This Row],[Volume, kg]]/1000</f>
        <v>10.55</v>
      </c>
      <c r="J4475" s="25">
        <v>0.2482</v>
      </c>
      <c r="K4475" s="25">
        <f t="shared" si="69"/>
        <v>2618.5100000000002</v>
      </c>
      <c r="L4475" s="25">
        <v>2.5</v>
      </c>
      <c r="M4475" s="24">
        <v>26375</v>
      </c>
      <c r="N4475" s="25">
        <f>IFERROR(T_reg.root.SK[[#This Row],[Price]]/T_reg.root.SK[[#This Row],[Starch content]],"")</f>
        <v>10.07252215954875</v>
      </c>
    </row>
    <row r="4476" spans="1:14">
      <c r="A4476" s="21">
        <v>2024</v>
      </c>
      <c r="B4476" s="21" t="s">
        <v>28</v>
      </c>
      <c r="C4476" s="21" t="s">
        <v>1145</v>
      </c>
      <c r="D4476" s="21" t="s">
        <v>35</v>
      </c>
      <c r="E4476" s="18" t="s">
        <v>121</v>
      </c>
      <c r="F4476" s="18" t="s">
        <v>105</v>
      </c>
      <c r="G4476" s="18" t="s">
        <v>48</v>
      </c>
      <c r="H4476" s="24">
        <v>36090</v>
      </c>
      <c r="I4476" s="24">
        <f>T_reg.root.SK[[#This Row],[Volume, kg]]/1000</f>
        <v>36.090000000000003</v>
      </c>
      <c r="J4476" s="25">
        <v>0.26300000000000001</v>
      </c>
      <c r="K4476" s="25">
        <f t="shared" si="69"/>
        <v>9491.67</v>
      </c>
      <c r="L4476" s="25">
        <v>2.58</v>
      </c>
      <c r="M4476" s="24">
        <v>92946</v>
      </c>
      <c r="N4476" s="25">
        <f>IFERROR(T_reg.root.SK[[#This Row],[Price]]/T_reg.root.SK[[#This Row],[Starch content]],"")</f>
        <v>9.8098859315589344</v>
      </c>
    </row>
    <row r="4477" spans="1:14">
      <c r="A4477" s="21">
        <v>2024</v>
      </c>
      <c r="B4477" s="21" t="s">
        <v>28</v>
      </c>
      <c r="C4477" s="21" t="s">
        <v>1145</v>
      </c>
      <c r="D4477" s="21" t="s">
        <v>35</v>
      </c>
      <c r="E4477" s="18" t="s">
        <v>122</v>
      </c>
      <c r="F4477" s="18" t="s">
        <v>105</v>
      </c>
      <c r="G4477" s="18" t="s">
        <v>48</v>
      </c>
      <c r="H4477" s="24">
        <v>135180</v>
      </c>
      <c r="I4477" s="24">
        <f>T_reg.root.SK[[#This Row],[Volume, kg]]/1000</f>
        <v>135.18</v>
      </c>
      <c r="J4477" s="25">
        <v>0.22510000000000002</v>
      </c>
      <c r="K4477" s="25">
        <f t="shared" si="69"/>
        <v>30429.018000000004</v>
      </c>
      <c r="L4477" s="25">
        <v>2.33</v>
      </c>
      <c r="M4477" s="24">
        <v>315596</v>
      </c>
      <c r="N4477" s="25">
        <f>IFERROR(T_reg.root.SK[[#This Row],[Price]]/T_reg.root.SK[[#This Row],[Starch content]],"")</f>
        <v>10.350955131052865</v>
      </c>
    </row>
    <row r="4478" spans="1:14">
      <c r="A4478" s="21">
        <v>2024</v>
      </c>
      <c r="B4478" s="21" t="s">
        <v>28</v>
      </c>
      <c r="C4478" s="21" t="s">
        <v>1145</v>
      </c>
      <c r="D4478" s="21" t="s">
        <v>35</v>
      </c>
      <c r="E4478" s="18" t="s">
        <v>123</v>
      </c>
      <c r="F4478" s="18" t="s">
        <v>105</v>
      </c>
      <c r="G4478" s="18" t="s">
        <v>48</v>
      </c>
      <c r="H4478" s="24">
        <v>53510</v>
      </c>
      <c r="I4478" s="24">
        <f>T_reg.root.SK[[#This Row],[Volume, kg]]/1000</f>
        <v>53.51</v>
      </c>
      <c r="J4478" s="25">
        <v>0.26550000000000001</v>
      </c>
      <c r="K4478" s="25">
        <f t="shared" si="69"/>
        <v>14206.905000000001</v>
      </c>
      <c r="L4478" s="25">
        <v>2.5499999999999998</v>
      </c>
      <c r="M4478" s="24">
        <v>136199</v>
      </c>
      <c r="N4478" s="25">
        <f>IFERROR(T_reg.root.SK[[#This Row],[Price]]/T_reg.root.SK[[#This Row],[Starch content]],"")</f>
        <v>9.6045197740112975</v>
      </c>
    </row>
    <row r="4479" spans="1:14">
      <c r="A4479" s="21">
        <v>2024</v>
      </c>
      <c r="B4479" s="21" t="s">
        <v>28</v>
      </c>
      <c r="C4479" s="21" t="s">
        <v>1145</v>
      </c>
      <c r="D4479" s="21" t="s">
        <v>35</v>
      </c>
      <c r="E4479" s="18" t="s">
        <v>806</v>
      </c>
      <c r="F4479" s="18" t="s">
        <v>105</v>
      </c>
      <c r="G4479" s="18" t="s">
        <v>48</v>
      </c>
      <c r="H4479" s="24">
        <v>9840</v>
      </c>
      <c r="I4479" s="24">
        <f>T_reg.root.SK[[#This Row],[Volume, kg]]/1000</f>
        <v>9.84</v>
      </c>
      <c r="J4479" s="25">
        <v>0.22550000000000001</v>
      </c>
      <c r="K4479" s="25">
        <f t="shared" si="69"/>
        <v>2218.92</v>
      </c>
      <c r="L4479" s="25">
        <v>2.4</v>
      </c>
      <c r="M4479" s="24">
        <v>23616</v>
      </c>
      <c r="N4479" s="25">
        <f>IFERROR(T_reg.root.SK[[#This Row],[Price]]/T_reg.root.SK[[#This Row],[Starch content]],"")</f>
        <v>10.643015521064301</v>
      </c>
    </row>
    <row r="4480" spans="1:14">
      <c r="A4480" s="21">
        <v>2024</v>
      </c>
      <c r="B4480" s="21" t="s">
        <v>28</v>
      </c>
      <c r="C4480" s="21" t="s">
        <v>1145</v>
      </c>
      <c r="D4480" s="21" t="s">
        <v>35</v>
      </c>
      <c r="E4480" s="18" t="s">
        <v>946</v>
      </c>
      <c r="F4480" s="18" t="s">
        <v>105</v>
      </c>
      <c r="G4480" s="18" t="s">
        <v>48</v>
      </c>
      <c r="H4480" s="24">
        <v>15760</v>
      </c>
      <c r="I4480" s="24">
        <f>T_reg.root.SK[[#This Row],[Volume, kg]]/1000</f>
        <v>15.76</v>
      </c>
      <c r="J4480" s="25">
        <v>0.2505</v>
      </c>
      <c r="K4480" s="25">
        <f t="shared" si="69"/>
        <v>3947.88</v>
      </c>
      <c r="L4480" s="25">
        <v>2.5</v>
      </c>
      <c r="M4480" s="24">
        <v>39400</v>
      </c>
      <c r="N4480" s="25">
        <f>IFERROR(T_reg.root.SK[[#This Row],[Price]]/T_reg.root.SK[[#This Row],[Starch content]],"")</f>
        <v>9.9800399201596814</v>
      </c>
    </row>
    <row r="4481" spans="1:14">
      <c r="A4481" s="21">
        <v>2024</v>
      </c>
      <c r="B4481" s="21" t="s">
        <v>28</v>
      </c>
      <c r="C4481" s="21" t="s">
        <v>1145</v>
      </c>
      <c r="D4481" s="21" t="s">
        <v>35</v>
      </c>
      <c r="E4481" s="18" t="s">
        <v>239</v>
      </c>
      <c r="F4481" s="18" t="s">
        <v>105</v>
      </c>
      <c r="G4481" s="18" t="s">
        <v>48</v>
      </c>
      <c r="H4481" s="24">
        <v>80400</v>
      </c>
      <c r="I4481" s="24">
        <f>T_reg.root.SK[[#This Row],[Volume, kg]]/1000</f>
        <v>80.400000000000006</v>
      </c>
      <c r="J4481" s="25">
        <v>0.24679999999999999</v>
      </c>
      <c r="K4481" s="25">
        <f t="shared" si="69"/>
        <v>19842.719999999998</v>
      </c>
      <c r="L4481" s="25">
        <v>2.4900000000000002</v>
      </c>
      <c r="M4481" s="24">
        <v>200062</v>
      </c>
      <c r="N4481" s="25">
        <f>IFERROR(T_reg.root.SK[[#This Row],[Price]]/T_reg.root.SK[[#This Row],[Starch content]],"")</f>
        <v>10.089141004862238</v>
      </c>
    </row>
    <row r="4482" spans="1:14">
      <c r="A4482" s="21">
        <v>2024</v>
      </c>
      <c r="B4482" s="21" t="s">
        <v>28</v>
      </c>
      <c r="C4482" s="21" t="s">
        <v>1145</v>
      </c>
      <c r="D4482" s="21" t="s">
        <v>35</v>
      </c>
      <c r="E4482" s="18" t="s">
        <v>947</v>
      </c>
      <c r="F4482" s="18" t="s">
        <v>105</v>
      </c>
      <c r="G4482" s="18" t="s">
        <v>48</v>
      </c>
      <c r="H4482" s="24">
        <v>22830</v>
      </c>
      <c r="I4482" s="24">
        <f>T_reg.root.SK[[#This Row],[Volume, kg]]/1000</f>
        <v>22.83</v>
      </c>
      <c r="J4482" s="25">
        <v>0.1986</v>
      </c>
      <c r="K4482" s="25">
        <f t="shared" si="69"/>
        <v>4534.0379999999996</v>
      </c>
      <c r="L4482" s="25">
        <v>2.23</v>
      </c>
      <c r="M4482" s="24">
        <v>50993</v>
      </c>
      <c r="N4482" s="25">
        <f>IFERROR(T_reg.root.SK[[#This Row],[Price]]/T_reg.root.SK[[#This Row],[Starch content]],"")</f>
        <v>11.228600201409868</v>
      </c>
    </row>
    <row r="4483" spans="1:14">
      <c r="A4483" s="21">
        <v>2024</v>
      </c>
      <c r="B4483" s="21" t="s">
        <v>28</v>
      </c>
      <c r="C4483" s="21" t="s">
        <v>1145</v>
      </c>
      <c r="D4483" s="21" t="s">
        <v>35</v>
      </c>
      <c r="E4483" s="18" t="s">
        <v>124</v>
      </c>
      <c r="F4483" s="18" t="s">
        <v>105</v>
      </c>
      <c r="G4483" s="18" t="s">
        <v>48</v>
      </c>
      <c r="H4483" s="24">
        <v>36060</v>
      </c>
      <c r="I4483" s="24">
        <f>T_reg.root.SK[[#This Row],[Volume, kg]]/1000</f>
        <v>36.06</v>
      </c>
      <c r="J4483" s="25">
        <v>0.23309999999999997</v>
      </c>
      <c r="K4483" s="25">
        <f t="shared" ref="K4483:K4546" si="70">H4483*J4483</f>
        <v>8405.5859999999993</v>
      </c>
      <c r="L4483" s="25">
        <v>2.42</v>
      </c>
      <c r="M4483" s="24">
        <v>87086</v>
      </c>
      <c r="N4483" s="25">
        <f>IFERROR(T_reg.root.SK[[#This Row],[Price]]/T_reg.root.SK[[#This Row],[Starch content]],"")</f>
        <v>10.381810381810382</v>
      </c>
    </row>
    <row r="4484" spans="1:14">
      <c r="A4484" s="21">
        <v>2024</v>
      </c>
      <c r="B4484" s="21" t="s">
        <v>28</v>
      </c>
      <c r="C4484" s="21" t="s">
        <v>1145</v>
      </c>
      <c r="D4484" s="21" t="s">
        <v>35</v>
      </c>
      <c r="E4484" s="18" t="s">
        <v>404</v>
      </c>
      <c r="F4484" s="18" t="s">
        <v>105</v>
      </c>
      <c r="G4484" s="18" t="s">
        <v>48</v>
      </c>
      <c r="H4484" s="24">
        <v>97460</v>
      </c>
      <c r="I4484" s="24">
        <f>T_reg.root.SK[[#This Row],[Volume, kg]]/1000</f>
        <v>97.46</v>
      </c>
      <c r="J4484" s="25">
        <v>0.2535</v>
      </c>
      <c r="K4484" s="25">
        <f t="shared" si="70"/>
        <v>24706.11</v>
      </c>
      <c r="L4484" s="25">
        <v>2.46</v>
      </c>
      <c r="M4484" s="24">
        <v>240101.5</v>
      </c>
      <c r="N4484" s="25">
        <f>IFERROR(T_reg.root.SK[[#This Row],[Price]]/T_reg.root.SK[[#This Row],[Starch content]],"")</f>
        <v>9.7041420118343193</v>
      </c>
    </row>
    <row r="4485" spans="1:14">
      <c r="A4485" s="21">
        <v>2024</v>
      </c>
      <c r="B4485" s="21" t="s">
        <v>28</v>
      </c>
      <c r="C4485" s="21" t="s">
        <v>1145</v>
      </c>
      <c r="D4485" s="21" t="s">
        <v>35</v>
      </c>
      <c r="E4485" s="18" t="s">
        <v>634</v>
      </c>
      <c r="F4485" s="18" t="s">
        <v>105</v>
      </c>
      <c r="G4485" s="18" t="s">
        <v>48</v>
      </c>
      <c r="H4485" s="24">
        <v>11780</v>
      </c>
      <c r="I4485" s="24">
        <f>T_reg.root.SK[[#This Row],[Volume, kg]]/1000</f>
        <v>11.78</v>
      </c>
      <c r="J4485" s="25">
        <v>0.2717</v>
      </c>
      <c r="K4485" s="25">
        <f t="shared" si="70"/>
        <v>3200.6259999999997</v>
      </c>
      <c r="L4485" s="25">
        <v>2.6</v>
      </c>
      <c r="M4485" s="24">
        <v>30628</v>
      </c>
      <c r="N4485" s="25">
        <f>IFERROR(T_reg.root.SK[[#This Row],[Price]]/T_reg.root.SK[[#This Row],[Starch content]],"")</f>
        <v>9.5693779904306222</v>
      </c>
    </row>
    <row r="4486" spans="1:14">
      <c r="A4486" s="21">
        <v>2024</v>
      </c>
      <c r="B4486" s="21" t="s">
        <v>28</v>
      </c>
      <c r="C4486" s="21" t="s">
        <v>1145</v>
      </c>
      <c r="D4486" s="21" t="s">
        <v>35</v>
      </c>
      <c r="E4486" s="18" t="s">
        <v>125</v>
      </c>
      <c r="F4486" s="18" t="s">
        <v>105</v>
      </c>
      <c r="G4486" s="18" t="s">
        <v>48</v>
      </c>
      <c r="H4486" s="24">
        <v>91460</v>
      </c>
      <c r="I4486" s="24">
        <f>T_reg.root.SK[[#This Row],[Volume, kg]]/1000</f>
        <v>91.46</v>
      </c>
      <c r="J4486" s="25">
        <v>0.22920000000000001</v>
      </c>
      <c r="K4486" s="25">
        <f t="shared" si="70"/>
        <v>20962.632000000001</v>
      </c>
      <c r="L4486" s="25">
        <v>2.39</v>
      </c>
      <c r="M4486" s="24">
        <v>218902.5</v>
      </c>
      <c r="N4486" s="25">
        <f>IFERROR(T_reg.root.SK[[#This Row],[Price]]/T_reg.root.SK[[#This Row],[Starch content]],"")</f>
        <v>10.427574171029669</v>
      </c>
    </row>
    <row r="4487" spans="1:14">
      <c r="A4487" s="21">
        <v>2024</v>
      </c>
      <c r="B4487" s="21" t="s">
        <v>28</v>
      </c>
      <c r="C4487" s="21" t="s">
        <v>1145</v>
      </c>
      <c r="D4487" s="21" t="s">
        <v>35</v>
      </c>
      <c r="E4487" s="18" t="s">
        <v>736</v>
      </c>
      <c r="F4487" s="18" t="s">
        <v>105</v>
      </c>
      <c r="G4487" s="18" t="s">
        <v>48</v>
      </c>
      <c r="H4487" s="24">
        <v>27350</v>
      </c>
      <c r="I4487" s="24">
        <f>T_reg.root.SK[[#This Row],[Volume, kg]]/1000</f>
        <v>27.35</v>
      </c>
      <c r="J4487" s="25">
        <v>0.22719999999999999</v>
      </c>
      <c r="K4487" s="25">
        <f t="shared" si="70"/>
        <v>6213.9199999999992</v>
      </c>
      <c r="L4487" s="25">
        <v>2.38</v>
      </c>
      <c r="M4487" s="24">
        <v>65227.5</v>
      </c>
      <c r="N4487" s="25">
        <f>IFERROR(T_reg.root.SK[[#This Row],[Price]]/T_reg.root.SK[[#This Row],[Starch content]],"")</f>
        <v>10.475352112676056</v>
      </c>
    </row>
    <row r="4488" spans="1:14">
      <c r="A4488" s="21">
        <v>2024</v>
      </c>
      <c r="B4488" s="21" t="s">
        <v>28</v>
      </c>
      <c r="C4488" s="21" t="s">
        <v>1145</v>
      </c>
      <c r="D4488" s="21" t="s">
        <v>35</v>
      </c>
      <c r="E4488" s="18" t="s">
        <v>127</v>
      </c>
      <c r="F4488" s="18" t="s">
        <v>105</v>
      </c>
      <c r="G4488" s="18" t="s">
        <v>48</v>
      </c>
      <c r="H4488" s="24">
        <v>17390</v>
      </c>
      <c r="I4488" s="24">
        <f>T_reg.root.SK[[#This Row],[Volume, kg]]/1000</f>
        <v>17.39</v>
      </c>
      <c r="J4488" s="25">
        <v>0.23949999999999999</v>
      </c>
      <c r="K4488" s="25">
        <f t="shared" si="70"/>
        <v>4164.9049999999997</v>
      </c>
      <c r="L4488" s="25">
        <v>2.46</v>
      </c>
      <c r="M4488" s="24">
        <v>42843</v>
      </c>
      <c r="N4488" s="25">
        <f>IFERROR(T_reg.root.SK[[#This Row],[Price]]/T_reg.root.SK[[#This Row],[Starch content]],"")</f>
        <v>10.271398747390396</v>
      </c>
    </row>
    <row r="4489" spans="1:14">
      <c r="A4489" s="21">
        <v>2024</v>
      </c>
      <c r="B4489" s="21" t="s">
        <v>28</v>
      </c>
      <c r="C4489" s="21" t="s">
        <v>1145</v>
      </c>
      <c r="D4489" s="21" t="s">
        <v>35</v>
      </c>
      <c r="E4489" s="18" t="s">
        <v>635</v>
      </c>
      <c r="F4489" s="18" t="s">
        <v>105</v>
      </c>
      <c r="G4489" s="18" t="s">
        <v>48</v>
      </c>
      <c r="H4489" s="24">
        <v>78070</v>
      </c>
      <c r="I4489" s="24">
        <f>T_reg.root.SK[[#This Row],[Volume, kg]]/1000</f>
        <v>78.069999999999993</v>
      </c>
      <c r="J4489" s="25">
        <v>0.2462</v>
      </c>
      <c r="K4489" s="25">
        <f t="shared" si="70"/>
        <v>19220.833999999999</v>
      </c>
      <c r="L4489" s="25">
        <v>2.4700000000000002</v>
      </c>
      <c r="M4489" s="24">
        <v>192811</v>
      </c>
      <c r="N4489" s="25">
        <f>IFERROR(T_reg.root.SK[[#This Row],[Price]]/T_reg.root.SK[[#This Row],[Starch content]],"")</f>
        <v>10.032493907392364</v>
      </c>
    </row>
    <row r="4490" spans="1:14">
      <c r="A4490" s="21">
        <v>2024</v>
      </c>
      <c r="B4490" s="21" t="s">
        <v>28</v>
      </c>
      <c r="C4490" s="21" t="s">
        <v>1145</v>
      </c>
      <c r="D4490" s="21" t="s">
        <v>35</v>
      </c>
      <c r="E4490" s="18" t="s">
        <v>770</v>
      </c>
      <c r="F4490" s="18" t="s">
        <v>105</v>
      </c>
      <c r="G4490" s="18" t="s">
        <v>48</v>
      </c>
      <c r="H4490" s="24">
        <v>39980</v>
      </c>
      <c r="I4490" s="24">
        <f>T_reg.root.SK[[#This Row],[Volume, kg]]/1000</f>
        <v>39.979999999999997</v>
      </c>
      <c r="J4490" s="25">
        <v>0.27060000000000001</v>
      </c>
      <c r="K4490" s="25">
        <f t="shared" si="70"/>
        <v>10818.588</v>
      </c>
      <c r="L4490" s="25">
        <v>2.61</v>
      </c>
      <c r="M4490" s="24">
        <v>104489.5</v>
      </c>
      <c r="N4490" s="25">
        <f>IFERROR(T_reg.root.SK[[#This Row],[Price]]/T_reg.root.SK[[#This Row],[Starch content]],"")</f>
        <v>9.6452328159645226</v>
      </c>
    </row>
    <row r="4491" spans="1:14">
      <c r="A4491" s="21">
        <v>2024</v>
      </c>
      <c r="B4491" s="21" t="s">
        <v>28</v>
      </c>
      <c r="C4491" s="21" t="s">
        <v>1145</v>
      </c>
      <c r="D4491" s="21" t="s">
        <v>35</v>
      </c>
      <c r="E4491" s="18" t="s">
        <v>948</v>
      </c>
      <c r="F4491" s="18" t="s">
        <v>105</v>
      </c>
      <c r="G4491" s="18" t="s">
        <v>48</v>
      </c>
      <c r="H4491" s="24">
        <v>10100</v>
      </c>
      <c r="I4491" s="24">
        <f>T_reg.root.SK[[#This Row],[Volume, kg]]/1000</f>
        <v>10.1</v>
      </c>
      <c r="J4491" s="25">
        <v>0.27949999999999997</v>
      </c>
      <c r="K4491" s="25">
        <f t="shared" si="70"/>
        <v>2822.95</v>
      </c>
      <c r="L4491" s="25">
        <v>2.5499999999999998</v>
      </c>
      <c r="M4491" s="24">
        <v>25755</v>
      </c>
      <c r="N4491" s="25">
        <f>IFERROR(T_reg.root.SK[[#This Row],[Price]]/T_reg.root.SK[[#This Row],[Starch content]],"")</f>
        <v>9.1234347048300535</v>
      </c>
    </row>
    <row r="4492" spans="1:14">
      <c r="A4492" s="21">
        <v>2024</v>
      </c>
      <c r="B4492" s="21" t="s">
        <v>28</v>
      </c>
      <c r="C4492" s="21" t="s">
        <v>1145</v>
      </c>
      <c r="D4492" s="21" t="s">
        <v>35</v>
      </c>
      <c r="E4492" s="18" t="s">
        <v>807</v>
      </c>
      <c r="F4492" s="18" t="s">
        <v>105</v>
      </c>
      <c r="G4492" s="18" t="s">
        <v>48</v>
      </c>
      <c r="H4492" s="24">
        <v>70620</v>
      </c>
      <c r="I4492" s="24">
        <f>T_reg.root.SK[[#This Row],[Volume, kg]]/1000</f>
        <v>70.62</v>
      </c>
      <c r="J4492" s="25">
        <v>0.25840000000000002</v>
      </c>
      <c r="K4492" s="25">
        <f t="shared" si="70"/>
        <v>18248.208000000002</v>
      </c>
      <c r="L4492" s="25">
        <v>2.5099999999999998</v>
      </c>
      <c r="M4492" s="24">
        <v>177185.5</v>
      </c>
      <c r="N4492" s="25">
        <f>IFERROR(T_reg.root.SK[[#This Row],[Price]]/T_reg.root.SK[[#This Row],[Starch content]],"")</f>
        <v>9.7136222910216699</v>
      </c>
    </row>
    <row r="4493" spans="1:14">
      <c r="A4493" s="21">
        <v>2024</v>
      </c>
      <c r="B4493" s="21" t="s">
        <v>28</v>
      </c>
      <c r="C4493" s="21" t="s">
        <v>1145</v>
      </c>
      <c r="D4493" s="21" t="s">
        <v>35</v>
      </c>
      <c r="E4493" s="18" t="s">
        <v>755</v>
      </c>
      <c r="F4493" s="18" t="s">
        <v>105</v>
      </c>
      <c r="G4493" s="18" t="s">
        <v>48</v>
      </c>
      <c r="H4493" s="24">
        <v>30980</v>
      </c>
      <c r="I4493" s="24">
        <f>T_reg.root.SK[[#This Row],[Volume, kg]]/1000</f>
        <v>30.98</v>
      </c>
      <c r="J4493" s="25">
        <v>0.254</v>
      </c>
      <c r="K4493" s="25">
        <f t="shared" si="70"/>
        <v>7868.92</v>
      </c>
      <c r="L4493" s="25">
        <v>2.52</v>
      </c>
      <c r="M4493" s="24">
        <v>78016</v>
      </c>
      <c r="N4493" s="25">
        <f>IFERROR(T_reg.root.SK[[#This Row],[Price]]/T_reg.root.SK[[#This Row],[Starch content]],"")</f>
        <v>9.9212598425196852</v>
      </c>
    </row>
    <row r="4494" spans="1:14">
      <c r="A4494" s="21">
        <v>2024</v>
      </c>
      <c r="B4494" s="21" t="s">
        <v>28</v>
      </c>
      <c r="C4494" s="21" t="s">
        <v>1145</v>
      </c>
      <c r="D4494" s="21" t="s">
        <v>35</v>
      </c>
      <c r="E4494" s="18" t="s">
        <v>717</v>
      </c>
      <c r="F4494" s="18" t="s">
        <v>105</v>
      </c>
      <c r="G4494" s="18" t="s">
        <v>48</v>
      </c>
      <c r="H4494" s="24">
        <v>45210</v>
      </c>
      <c r="I4494" s="24">
        <f>T_reg.root.SK[[#This Row],[Volume, kg]]/1000</f>
        <v>45.21</v>
      </c>
      <c r="J4494" s="25">
        <v>0.23870000000000002</v>
      </c>
      <c r="K4494" s="25">
        <f t="shared" si="70"/>
        <v>10791.627</v>
      </c>
      <c r="L4494" s="25">
        <v>2.4500000000000002</v>
      </c>
      <c r="M4494" s="24">
        <v>110890</v>
      </c>
      <c r="N4494" s="25">
        <f>IFERROR(T_reg.root.SK[[#This Row],[Price]]/T_reg.root.SK[[#This Row],[Starch content]],"")</f>
        <v>10.263929618768328</v>
      </c>
    </row>
    <row r="4495" spans="1:14">
      <c r="A4495" s="21">
        <v>2024</v>
      </c>
      <c r="B4495" s="21" t="s">
        <v>28</v>
      </c>
      <c r="C4495" s="21" t="s">
        <v>1145</v>
      </c>
      <c r="D4495" s="21" t="s">
        <v>35</v>
      </c>
      <c r="E4495" s="18" t="s">
        <v>949</v>
      </c>
      <c r="F4495" s="18" t="s">
        <v>105</v>
      </c>
      <c r="G4495" s="18" t="s">
        <v>48</v>
      </c>
      <c r="H4495" s="24">
        <v>18020</v>
      </c>
      <c r="I4495" s="24">
        <f>T_reg.root.SK[[#This Row],[Volume, kg]]/1000</f>
        <v>18.02</v>
      </c>
      <c r="J4495" s="25">
        <v>0.23280000000000001</v>
      </c>
      <c r="K4495" s="25">
        <f t="shared" si="70"/>
        <v>4195.0560000000005</v>
      </c>
      <c r="L4495" s="25">
        <v>2.42</v>
      </c>
      <c r="M4495" s="24">
        <v>43651</v>
      </c>
      <c r="N4495" s="25">
        <f>IFERROR(T_reg.root.SK[[#This Row],[Price]]/T_reg.root.SK[[#This Row],[Starch content]],"")</f>
        <v>10.395189003436425</v>
      </c>
    </row>
    <row r="4496" spans="1:14">
      <c r="A4496" s="21">
        <v>2024</v>
      </c>
      <c r="B4496" s="21" t="s">
        <v>28</v>
      </c>
      <c r="C4496" s="21" t="s">
        <v>1145</v>
      </c>
      <c r="D4496" s="21" t="s">
        <v>35</v>
      </c>
      <c r="E4496" s="18" t="s">
        <v>133</v>
      </c>
      <c r="F4496" s="18" t="s">
        <v>105</v>
      </c>
      <c r="G4496" s="18" t="s">
        <v>48</v>
      </c>
      <c r="H4496" s="24">
        <v>41360</v>
      </c>
      <c r="I4496" s="24">
        <f>T_reg.root.SK[[#This Row],[Volume, kg]]/1000</f>
        <v>41.36</v>
      </c>
      <c r="J4496" s="25">
        <v>0.26</v>
      </c>
      <c r="K4496" s="25">
        <f t="shared" si="70"/>
        <v>10753.6</v>
      </c>
      <c r="L4496" s="25">
        <v>2.5099999999999998</v>
      </c>
      <c r="M4496" s="24">
        <v>103823</v>
      </c>
      <c r="N4496" s="25">
        <f>IFERROR(T_reg.root.SK[[#This Row],[Price]]/T_reg.root.SK[[#This Row],[Starch content]],"")</f>
        <v>9.6538461538461533</v>
      </c>
    </row>
    <row r="4497" spans="1:14">
      <c r="A4497" s="21">
        <v>2024</v>
      </c>
      <c r="B4497" s="21" t="s">
        <v>28</v>
      </c>
      <c r="C4497" s="21" t="s">
        <v>1145</v>
      </c>
      <c r="D4497" s="21" t="s">
        <v>35</v>
      </c>
      <c r="E4497" s="18" t="s">
        <v>134</v>
      </c>
      <c r="F4497" s="18" t="s">
        <v>105</v>
      </c>
      <c r="G4497" s="18" t="s">
        <v>48</v>
      </c>
      <c r="H4497" s="24">
        <v>28890</v>
      </c>
      <c r="I4497" s="24">
        <f>T_reg.root.SK[[#This Row],[Volume, kg]]/1000</f>
        <v>28.89</v>
      </c>
      <c r="J4497" s="25">
        <v>0.214</v>
      </c>
      <c r="K4497" s="25">
        <f t="shared" si="70"/>
        <v>6182.46</v>
      </c>
      <c r="L4497" s="25">
        <v>2.25</v>
      </c>
      <c r="M4497" s="24">
        <v>65056.5</v>
      </c>
      <c r="N4497" s="25">
        <f>IFERROR(T_reg.root.SK[[#This Row],[Price]]/T_reg.root.SK[[#This Row],[Starch content]],"")</f>
        <v>10.514018691588785</v>
      </c>
    </row>
    <row r="4498" spans="1:14">
      <c r="A4498" s="21">
        <v>2024</v>
      </c>
      <c r="B4498" s="21" t="s">
        <v>28</v>
      </c>
      <c r="C4498" s="21" t="s">
        <v>1145</v>
      </c>
      <c r="D4498" s="21" t="s">
        <v>35</v>
      </c>
      <c r="E4498" s="18" t="s">
        <v>686</v>
      </c>
      <c r="F4498" s="18" t="s">
        <v>105</v>
      </c>
      <c r="G4498" s="18" t="s">
        <v>48</v>
      </c>
      <c r="H4498" s="24">
        <v>12370</v>
      </c>
      <c r="I4498" s="24">
        <f>T_reg.root.SK[[#This Row],[Volume, kg]]/1000</f>
        <v>12.37</v>
      </c>
      <c r="J4498" s="25">
        <v>0.21479999999999999</v>
      </c>
      <c r="K4498" s="25">
        <f t="shared" si="70"/>
        <v>2657.076</v>
      </c>
      <c r="L4498" s="25">
        <v>2.2999999999999998</v>
      </c>
      <c r="M4498" s="24">
        <v>28452.5</v>
      </c>
      <c r="N4498" s="25">
        <f>IFERROR(T_reg.root.SK[[#This Row],[Price]]/T_reg.root.SK[[#This Row],[Starch content]],"")</f>
        <v>10.707635009310987</v>
      </c>
    </row>
    <row r="4499" spans="1:14">
      <c r="A4499" s="21">
        <v>2024</v>
      </c>
      <c r="B4499" s="21" t="s">
        <v>28</v>
      </c>
      <c r="C4499" s="21" t="s">
        <v>1145</v>
      </c>
      <c r="D4499" s="21" t="s">
        <v>35</v>
      </c>
      <c r="E4499" s="18" t="s">
        <v>636</v>
      </c>
      <c r="F4499" s="18" t="s">
        <v>105</v>
      </c>
      <c r="G4499" s="18" t="s">
        <v>48</v>
      </c>
      <c r="H4499" s="24">
        <v>59490</v>
      </c>
      <c r="I4499" s="24">
        <f>T_reg.root.SK[[#This Row],[Volume, kg]]/1000</f>
        <v>59.49</v>
      </c>
      <c r="J4499" s="25">
        <v>0.26419999999999999</v>
      </c>
      <c r="K4499" s="25">
        <f t="shared" si="70"/>
        <v>15717.258</v>
      </c>
      <c r="L4499" s="25">
        <v>2.57</v>
      </c>
      <c r="M4499" s="24">
        <v>152991.5</v>
      </c>
      <c r="N4499" s="25">
        <f>IFERROR(T_reg.root.SK[[#This Row],[Price]]/T_reg.root.SK[[#This Row],[Starch content]],"")</f>
        <v>9.7274791824375466</v>
      </c>
    </row>
    <row r="4500" spans="1:14">
      <c r="A4500" s="21">
        <v>2024</v>
      </c>
      <c r="B4500" s="21" t="s">
        <v>28</v>
      </c>
      <c r="C4500" s="21" t="s">
        <v>1145</v>
      </c>
      <c r="D4500" s="21" t="s">
        <v>35</v>
      </c>
      <c r="E4500" s="18" t="s">
        <v>809</v>
      </c>
      <c r="F4500" s="18" t="s">
        <v>105</v>
      </c>
      <c r="G4500" s="18" t="s">
        <v>48</v>
      </c>
      <c r="H4500" s="24">
        <v>22660</v>
      </c>
      <c r="I4500" s="24">
        <f>T_reg.root.SK[[#This Row],[Volume, kg]]/1000</f>
        <v>22.66</v>
      </c>
      <c r="J4500" s="25">
        <v>0.2576</v>
      </c>
      <c r="K4500" s="25">
        <f t="shared" si="70"/>
        <v>5837.2160000000003</v>
      </c>
      <c r="L4500" s="25">
        <v>2.4900000000000002</v>
      </c>
      <c r="M4500" s="24">
        <v>56349.5</v>
      </c>
      <c r="N4500" s="25">
        <f>IFERROR(T_reg.root.SK[[#This Row],[Price]]/T_reg.root.SK[[#This Row],[Starch content]],"")</f>
        <v>9.6661490683229818</v>
      </c>
    </row>
    <row r="4501" spans="1:14">
      <c r="A4501" s="21">
        <v>2024</v>
      </c>
      <c r="B4501" s="21" t="s">
        <v>28</v>
      </c>
      <c r="C4501" s="21" t="s">
        <v>1145</v>
      </c>
      <c r="D4501" s="21" t="s">
        <v>35</v>
      </c>
      <c r="E4501" s="18" t="s">
        <v>950</v>
      </c>
      <c r="F4501" s="18" t="s">
        <v>105</v>
      </c>
      <c r="G4501" s="18" t="s">
        <v>48</v>
      </c>
      <c r="H4501" s="24">
        <v>1430</v>
      </c>
      <c r="I4501" s="24">
        <f>T_reg.root.SK[[#This Row],[Volume, kg]]/1000</f>
        <v>1.43</v>
      </c>
      <c r="J4501" s="25">
        <v>0.24249999999999999</v>
      </c>
      <c r="K4501" s="25">
        <f t="shared" si="70"/>
        <v>346.77499999999998</v>
      </c>
      <c r="L4501" s="25">
        <v>2.4500000000000002</v>
      </c>
      <c r="M4501" s="24">
        <v>3503.5</v>
      </c>
      <c r="N4501" s="25">
        <f>IFERROR(T_reg.root.SK[[#This Row],[Price]]/T_reg.root.SK[[#This Row],[Starch content]],"")</f>
        <v>10.103092783505156</v>
      </c>
    </row>
    <row r="4502" spans="1:14">
      <c r="A4502" s="21">
        <v>2024</v>
      </c>
      <c r="B4502" s="21" t="s">
        <v>28</v>
      </c>
      <c r="C4502" s="21" t="s">
        <v>1145</v>
      </c>
      <c r="D4502" s="21" t="s">
        <v>35</v>
      </c>
      <c r="E4502" s="18" t="s">
        <v>136</v>
      </c>
      <c r="F4502" s="18" t="s">
        <v>105</v>
      </c>
      <c r="G4502" s="18" t="s">
        <v>48</v>
      </c>
      <c r="H4502" s="24">
        <v>297670</v>
      </c>
      <c r="I4502" s="24">
        <f>T_reg.root.SK[[#This Row],[Volume, kg]]/1000</f>
        <v>297.67</v>
      </c>
      <c r="J4502" s="25">
        <v>0.25640000000000002</v>
      </c>
      <c r="K4502" s="25">
        <f t="shared" si="70"/>
        <v>76322.588000000003</v>
      </c>
      <c r="L4502" s="25">
        <v>2.52</v>
      </c>
      <c r="M4502" s="24">
        <v>749515</v>
      </c>
      <c r="N4502" s="25">
        <f>IFERROR(T_reg.root.SK[[#This Row],[Price]]/T_reg.root.SK[[#This Row],[Starch content]],"")</f>
        <v>9.8283931357254293</v>
      </c>
    </row>
    <row r="4503" spans="1:14">
      <c r="A4503" s="21">
        <v>2024</v>
      </c>
      <c r="B4503" s="21" t="s">
        <v>28</v>
      </c>
      <c r="C4503" s="21" t="s">
        <v>1145</v>
      </c>
      <c r="D4503" s="21" t="s">
        <v>35</v>
      </c>
      <c r="E4503" s="18" t="s">
        <v>493</v>
      </c>
      <c r="F4503" s="18" t="s">
        <v>105</v>
      </c>
      <c r="G4503" s="18" t="s">
        <v>48</v>
      </c>
      <c r="H4503" s="24">
        <v>12720</v>
      </c>
      <c r="I4503" s="24">
        <f>T_reg.root.SK[[#This Row],[Volume, kg]]/1000</f>
        <v>12.72</v>
      </c>
      <c r="J4503" s="25">
        <v>0.23980000000000001</v>
      </c>
      <c r="K4503" s="25">
        <f t="shared" si="70"/>
        <v>3050.2560000000003</v>
      </c>
      <c r="L4503" s="25">
        <v>2.4500000000000002</v>
      </c>
      <c r="M4503" s="24">
        <v>31164</v>
      </c>
      <c r="N4503" s="25">
        <f>IFERROR(T_reg.root.SK[[#This Row],[Price]]/T_reg.root.SK[[#This Row],[Starch content]],"")</f>
        <v>10.216847372810676</v>
      </c>
    </row>
    <row r="4504" spans="1:14">
      <c r="A4504" s="21">
        <v>2024</v>
      </c>
      <c r="B4504" s="21" t="s">
        <v>28</v>
      </c>
      <c r="C4504" s="21" t="s">
        <v>1145</v>
      </c>
      <c r="D4504" s="21" t="s">
        <v>35</v>
      </c>
      <c r="E4504" s="18" t="s">
        <v>138</v>
      </c>
      <c r="F4504" s="18" t="s">
        <v>105</v>
      </c>
      <c r="G4504" s="18" t="s">
        <v>48</v>
      </c>
      <c r="H4504" s="24">
        <v>115270</v>
      </c>
      <c r="I4504" s="24">
        <f>T_reg.root.SK[[#This Row],[Volume, kg]]/1000</f>
        <v>115.27</v>
      </c>
      <c r="J4504" s="25">
        <v>0.2535</v>
      </c>
      <c r="K4504" s="25">
        <f t="shared" si="70"/>
        <v>29220.945</v>
      </c>
      <c r="L4504" s="25">
        <v>2.4900000000000002</v>
      </c>
      <c r="M4504" s="24">
        <v>286866.5</v>
      </c>
      <c r="N4504" s="25">
        <f>IFERROR(T_reg.root.SK[[#This Row],[Price]]/T_reg.root.SK[[#This Row],[Starch content]],"")</f>
        <v>9.822485207100593</v>
      </c>
    </row>
    <row r="4505" spans="1:14">
      <c r="A4505" s="21">
        <v>2024</v>
      </c>
      <c r="B4505" s="21" t="s">
        <v>28</v>
      </c>
      <c r="C4505" s="21" t="s">
        <v>1145</v>
      </c>
      <c r="D4505" s="21" t="s">
        <v>35</v>
      </c>
      <c r="E4505" s="18" t="s">
        <v>303</v>
      </c>
      <c r="F4505" s="18" t="s">
        <v>105</v>
      </c>
      <c r="G4505" s="18" t="s">
        <v>48</v>
      </c>
      <c r="H4505" s="24">
        <v>19190</v>
      </c>
      <c r="I4505" s="24">
        <f>T_reg.root.SK[[#This Row],[Volume, kg]]/1000</f>
        <v>19.190000000000001</v>
      </c>
      <c r="J4505" s="25">
        <v>0.2329</v>
      </c>
      <c r="K4505" s="25">
        <f t="shared" si="70"/>
        <v>4469.3509999999997</v>
      </c>
      <c r="L4505" s="25">
        <v>2.42</v>
      </c>
      <c r="M4505" s="24">
        <v>46404</v>
      </c>
      <c r="N4505" s="25">
        <f>IFERROR(T_reg.root.SK[[#This Row],[Price]]/T_reg.root.SK[[#This Row],[Starch content]],"")</f>
        <v>10.39072563331902</v>
      </c>
    </row>
    <row r="4506" spans="1:14">
      <c r="A4506" s="21">
        <v>2024</v>
      </c>
      <c r="B4506" s="21" t="s">
        <v>28</v>
      </c>
      <c r="C4506" s="21" t="s">
        <v>1145</v>
      </c>
      <c r="D4506" s="21" t="s">
        <v>35</v>
      </c>
      <c r="E4506" s="18" t="s">
        <v>243</v>
      </c>
      <c r="F4506" s="18" t="s">
        <v>105</v>
      </c>
      <c r="G4506" s="18" t="s">
        <v>48</v>
      </c>
      <c r="H4506" s="24">
        <v>7780</v>
      </c>
      <c r="I4506" s="24">
        <f>T_reg.root.SK[[#This Row],[Volume, kg]]/1000</f>
        <v>7.78</v>
      </c>
      <c r="J4506" s="25">
        <v>0.22600000000000001</v>
      </c>
      <c r="K4506" s="25">
        <f t="shared" si="70"/>
        <v>1758.28</v>
      </c>
      <c r="L4506" s="25">
        <v>2.4</v>
      </c>
      <c r="M4506" s="24">
        <v>18672</v>
      </c>
      <c r="N4506" s="25">
        <f>IFERROR(T_reg.root.SK[[#This Row],[Price]]/T_reg.root.SK[[#This Row],[Starch content]],"")</f>
        <v>10.619469026548671</v>
      </c>
    </row>
    <row r="4507" spans="1:14">
      <c r="A4507" s="21">
        <v>2024</v>
      </c>
      <c r="B4507" s="21" t="s">
        <v>28</v>
      </c>
      <c r="C4507" s="21" t="s">
        <v>1145</v>
      </c>
      <c r="D4507" s="21" t="s">
        <v>35</v>
      </c>
      <c r="E4507" s="18" t="s">
        <v>567</v>
      </c>
      <c r="F4507" s="18" t="s">
        <v>105</v>
      </c>
      <c r="G4507" s="18" t="s">
        <v>48</v>
      </c>
      <c r="H4507" s="24">
        <v>17890</v>
      </c>
      <c r="I4507" s="24">
        <f>T_reg.root.SK[[#This Row],[Volume, kg]]/1000</f>
        <v>17.89</v>
      </c>
      <c r="J4507" s="25">
        <v>0.23719999999999999</v>
      </c>
      <c r="K4507" s="25">
        <f t="shared" si="70"/>
        <v>4243.5079999999998</v>
      </c>
      <c r="L4507" s="25">
        <v>2.4500000000000002</v>
      </c>
      <c r="M4507" s="24">
        <v>43830.5</v>
      </c>
      <c r="N4507" s="25">
        <f>IFERROR(T_reg.root.SK[[#This Row],[Price]]/T_reg.root.SK[[#This Row],[Starch content]],"")</f>
        <v>10.328836424957842</v>
      </c>
    </row>
    <row r="4508" spans="1:14">
      <c r="A4508" s="21">
        <v>2024</v>
      </c>
      <c r="B4508" s="21" t="s">
        <v>28</v>
      </c>
      <c r="C4508" s="21" t="s">
        <v>1145</v>
      </c>
      <c r="D4508" s="21" t="s">
        <v>35</v>
      </c>
      <c r="E4508" s="18" t="s">
        <v>308</v>
      </c>
      <c r="F4508" s="18" t="s">
        <v>105</v>
      </c>
      <c r="G4508" s="18" t="s">
        <v>48</v>
      </c>
      <c r="H4508" s="24">
        <v>60990</v>
      </c>
      <c r="I4508" s="24">
        <f>T_reg.root.SK[[#This Row],[Volume, kg]]/1000</f>
        <v>60.99</v>
      </c>
      <c r="J4508" s="25">
        <v>0.23910000000000001</v>
      </c>
      <c r="K4508" s="25">
        <f t="shared" si="70"/>
        <v>14582.709000000001</v>
      </c>
      <c r="L4508" s="25">
        <v>2.4</v>
      </c>
      <c r="M4508" s="24">
        <v>146437</v>
      </c>
      <c r="N4508" s="25">
        <f>IFERROR(T_reg.root.SK[[#This Row],[Price]]/T_reg.root.SK[[#This Row],[Starch content]],"")</f>
        <v>10.037641154328732</v>
      </c>
    </row>
    <row r="4509" spans="1:14">
      <c r="A4509" s="21">
        <v>2024</v>
      </c>
      <c r="B4509" s="21" t="s">
        <v>28</v>
      </c>
      <c r="C4509" s="21" t="s">
        <v>1145</v>
      </c>
      <c r="D4509" s="21" t="s">
        <v>35</v>
      </c>
      <c r="E4509" s="18" t="s">
        <v>244</v>
      </c>
      <c r="F4509" s="18" t="s">
        <v>105</v>
      </c>
      <c r="G4509" s="18" t="s">
        <v>48</v>
      </c>
      <c r="H4509" s="24">
        <v>75870</v>
      </c>
      <c r="I4509" s="24">
        <f>T_reg.root.SK[[#This Row],[Volume, kg]]/1000</f>
        <v>75.87</v>
      </c>
      <c r="J4509" s="25">
        <v>0.20519999999999999</v>
      </c>
      <c r="K4509" s="25">
        <f t="shared" si="70"/>
        <v>15568.523999999999</v>
      </c>
      <c r="L4509" s="25">
        <v>2.2799999999999998</v>
      </c>
      <c r="M4509" s="24">
        <v>172929</v>
      </c>
      <c r="N4509" s="25">
        <f>IFERROR(T_reg.root.SK[[#This Row],[Price]]/T_reg.root.SK[[#This Row],[Starch content]],"")</f>
        <v>11.111111111111111</v>
      </c>
    </row>
    <row r="4510" spans="1:14">
      <c r="A4510" s="21">
        <v>2024</v>
      </c>
      <c r="B4510" s="21" t="s">
        <v>28</v>
      </c>
      <c r="C4510" s="21" t="s">
        <v>1145</v>
      </c>
      <c r="D4510" s="21" t="s">
        <v>35</v>
      </c>
      <c r="E4510" s="18" t="s">
        <v>637</v>
      </c>
      <c r="F4510" s="18" t="s">
        <v>105</v>
      </c>
      <c r="G4510" s="18" t="s">
        <v>48</v>
      </c>
      <c r="H4510" s="24">
        <v>10710</v>
      </c>
      <c r="I4510" s="24">
        <f>T_reg.root.SK[[#This Row],[Volume, kg]]/1000</f>
        <v>10.71</v>
      </c>
      <c r="J4510" s="25">
        <v>0.2359</v>
      </c>
      <c r="K4510" s="25">
        <f t="shared" si="70"/>
        <v>2526.489</v>
      </c>
      <c r="L4510" s="25">
        <v>2.42</v>
      </c>
      <c r="M4510" s="24">
        <v>25918.5</v>
      </c>
      <c r="N4510" s="25">
        <f>IFERROR(T_reg.root.SK[[#This Row],[Price]]/T_reg.root.SK[[#This Row],[Starch content]],"")</f>
        <v>10.258584145824502</v>
      </c>
    </row>
    <row r="4511" spans="1:14">
      <c r="A4511" s="21">
        <v>2024</v>
      </c>
      <c r="B4511" s="21" t="s">
        <v>28</v>
      </c>
      <c r="C4511" s="21" t="s">
        <v>1145</v>
      </c>
      <c r="D4511" s="21" t="s">
        <v>35</v>
      </c>
      <c r="E4511" s="18" t="s">
        <v>245</v>
      </c>
      <c r="F4511" s="18" t="s">
        <v>105</v>
      </c>
      <c r="G4511" s="18" t="s">
        <v>48</v>
      </c>
      <c r="H4511" s="24">
        <v>9720</v>
      </c>
      <c r="I4511" s="24">
        <f>T_reg.root.SK[[#This Row],[Volume, kg]]/1000</f>
        <v>9.7200000000000006</v>
      </c>
      <c r="J4511" s="25">
        <v>0.2235</v>
      </c>
      <c r="K4511" s="25">
        <f t="shared" si="70"/>
        <v>2172.42</v>
      </c>
      <c r="L4511" s="25">
        <v>2.25</v>
      </c>
      <c r="M4511" s="24">
        <v>21870</v>
      </c>
      <c r="N4511" s="25">
        <f>IFERROR(T_reg.root.SK[[#This Row],[Price]]/T_reg.root.SK[[#This Row],[Starch content]],"")</f>
        <v>10.067114093959731</v>
      </c>
    </row>
    <row r="4512" spans="1:14">
      <c r="A4512" s="21">
        <v>2024</v>
      </c>
      <c r="B4512" s="21" t="s">
        <v>28</v>
      </c>
      <c r="C4512" s="21" t="s">
        <v>1145</v>
      </c>
      <c r="D4512" s="21" t="s">
        <v>35</v>
      </c>
      <c r="E4512" s="18" t="s">
        <v>951</v>
      </c>
      <c r="F4512" s="18" t="s">
        <v>105</v>
      </c>
      <c r="G4512" s="18" t="s">
        <v>48</v>
      </c>
      <c r="H4512" s="24">
        <v>4060</v>
      </c>
      <c r="I4512" s="24">
        <f>T_reg.root.SK[[#This Row],[Volume, kg]]/1000</f>
        <v>4.0599999999999996</v>
      </c>
      <c r="J4512" s="25">
        <v>0.26950000000000002</v>
      </c>
      <c r="K4512" s="25">
        <f t="shared" si="70"/>
        <v>1094.17</v>
      </c>
      <c r="L4512" s="25">
        <v>2.6</v>
      </c>
      <c r="M4512" s="24">
        <v>10556</v>
      </c>
      <c r="N4512" s="25">
        <f>IFERROR(T_reg.root.SK[[#This Row],[Price]]/T_reg.root.SK[[#This Row],[Starch content]],"")</f>
        <v>9.6474953617810755</v>
      </c>
    </row>
    <row r="4513" spans="1:14">
      <c r="A4513" s="21">
        <v>2024</v>
      </c>
      <c r="B4513" s="21" t="s">
        <v>28</v>
      </c>
      <c r="C4513" s="21" t="s">
        <v>1145</v>
      </c>
      <c r="D4513" s="21" t="s">
        <v>35</v>
      </c>
      <c r="E4513" s="18" t="s">
        <v>496</v>
      </c>
      <c r="F4513" s="18" t="s">
        <v>105</v>
      </c>
      <c r="G4513" s="18" t="s">
        <v>48</v>
      </c>
      <c r="H4513" s="24">
        <v>19270</v>
      </c>
      <c r="I4513" s="24">
        <f>T_reg.root.SK[[#This Row],[Volume, kg]]/1000</f>
        <v>19.27</v>
      </c>
      <c r="J4513" s="25">
        <v>0.2263</v>
      </c>
      <c r="K4513" s="25">
        <f t="shared" si="70"/>
        <v>4360.8010000000004</v>
      </c>
      <c r="L4513" s="25">
        <v>2.37</v>
      </c>
      <c r="M4513" s="24">
        <v>45735.5</v>
      </c>
      <c r="N4513" s="25">
        <f>IFERROR(T_reg.root.SK[[#This Row],[Price]]/T_reg.root.SK[[#This Row],[Starch content]],"")</f>
        <v>10.472823685373399</v>
      </c>
    </row>
    <row r="4514" spans="1:14">
      <c r="A4514" s="21">
        <v>2024</v>
      </c>
      <c r="B4514" s="21" t="s">
        <v>28</v>
      </c>
      <c r="C4514" s="21" t="s">
        <v>1145</v>
      </c>
      <c r="D4514" s="21" t="s">
        <v>35</v>
      </c>
      <c r="E4514" s="18" t="s">
        <v>738</v>
      </c>
      <c r="F4514" s="18" t="s">
        <v>105</v>
      </c>
      <c r="G4514" s="18" t="s">
        <v>48</v>
      </c>
      <c r="H4514" s="24">
        <v>18330</v>
      </c>
      <c r="I4514" s="24">
        <f>T_reg.root.SK[[#This Row],[Volume, kg]]/1000</f>
        <v>18.329999999999998</v>
      </c>
      <c r="J4514" s="25">
        <v>0.2379</v>
      </c>
      <c r="K4514" s="25">
        <f t="shared" si="70"/>
        <v>4360.7070000000003</v>
      </c>
      <c r="L4514" s="25">
        <v>2.38</v>
      </c>
      <c r="M4514" s="24">
        <v>43541.5</v>
      </c>
      <c r="N4514" s="25">
        <f>IFERROR(T_reg.root.SK[[#This Row],[Price]]/T_reg.root.SK[[#This Row],[Starch content]],"")</f>
        <v>10.004203446826397</v>
      </c>
    </row>
    <row r="4515" spans="1:14">
      <c r="A4515" s="21">
        <v>2024</v>
      </c>
      <c r="B4515" s="21" t="s">
        <v>28</v>
      </c>
      <c r="C4515" s="21" t="s">
        <v>1145</v>
      </c>
      <c r="D4515" s="21" t="s">
        <v>35</v>
      </c>
      <c r="E4515" s="18" t="s">
        <v>933</v>
      </c>
      <c r="F4515" s="18" t="s">
        <v>105</v>
      </c>
      <c r="G4515" s="18" t="s">
        <v>48</v>
      </c>
      <c r="H4515" s="24">
        <v>40030</v>
      </c>
      <c r="I4515" s="24">
        <f>T_reg.root.SK[[#This Row],[Volume, kg]]/1000</f>
        <v>40.03</v>
      </c>
      <c r="J4515" s="25">
        <v>0.22210000000000002</v>
      </c>
      <c r="K4515" s="25">
        <f t="shared" si="70"/>
        <v>8890.6630000000005</v>
      </c>
      <c r="L4515" s="25">
        <v>2.36</v>
      </c>
      <c r="M4515" s="24">
        <v>94363</v>
      </c>
      <c r="N4515" s="25">
        <f>IFERROR(T_reg.root.SK[[#This Row],[Price]]/T_reg.root.SK[[#This Row],[Starch content]],"")</f>
        <v>10.625844214317873</v>
      </c>
    </row>
    <row r="4516" spans="1:14">
      <c r="A4516" s="21">
        <v>2024</v>
      </c>
      <c r="B4516" s="21" t="s">
        <v>28</v>
      </c>
      <c r="C4516" s="21" t="s">
        <v>1145</v>
      </c>
      <c r="D4516" s="21" t="s">
        <v>35</v>
      </c>
      <c r="E4516" s="18" t="s">
        <v>247</v>
      </c>
      <c r="F4516" s="18" t="s">
        <v>105</v>
      </c>
      <c r="G4516" s="18" t="s">
        <v>48</v>
      </c>
      <c r="H4516" s="24">
        <v>7160</v>
      </c>
      <c r="I4516" s="24">
        <f>T_reg.root.SK[[#This Row],[Volume, kg]]/1000</f>
        <v>7.16</v>
      </c>
      <c r="J4516" s="25">
        <v>0.24249999999999999</v>
      </c>
      <c r="K4516" s="25">
        <f t="shared" si="70"/>
        <v>1736.3</v>
      </c>
      <c r="L4516" s="25">
        <v>2.4500000000000002</v>
      </c>
      <c r="M4516" s="24">
        <v>17542</v>
      </c>
      <c r="N4516" s="25">
        <f>IFERROR(T_reg.root.SK[[#This Row],[Price]]/T_reg.root.SK[[#This Row],[Starch content]],"")</f>
        <v>10.103092783505156</v>
      </c>
    </row>
    <row r="4517" spans="1:14">
      <c r="A4517" s="21">
        <v>2024</v>
      </c>
      <c r="B4517" s="21" t="s">
        <v>28</v>
      </c>
      <c r="C4517" s="21" t="s">
        <v>1145</v>
      </c>
      <c r="D4517" s="21" t="s">
        <v>35</v>
      </c>
      <c r="E4517" s="18" t="s">
        <v>142</v>
      </c>
      <c r="F4517" s="18" t="s">
        <v>105</v>
      </c>
      <c r="G4517" s="18" t="s">
        <v>48</v>
      </c>
      <c r="H4517" s="24">
        <v>9460</v>
      </c>
      <c r="I4517" s="24">
        <f>T_reg.root.SK[[#This Row],[Volume, kg]]/1000</f>
        <v>9.4600000000000009</v>
      </c>
      <c r="J4517" s="25">
        <v>0.24249999999999999</v>
      </c>
      <c r="K4517" s="25">
        <f t="shared" si="70"/>
        <v>2294.0499999999997</v>
      </c>
      <c r="L4517" s="25">
        <v>2.4500000000000002</v>
      </c>
      <c r="M4517" s="24">
        <v>23177</v>
      </c>
      <c r="N4517" s="25">
        <f>IFERROR(T_reg.root.SK[[#This Row],[Price]]/T_reg.root.SK[[#This Row],[Starch content]],"")</f>
        <v>10.103092783505156</v>
      </c>
    </row>
    <row r="4518" spans="1:14">
      <c r="A4518" s="21">
        <v>2024</v>
      </c>
      <c r="B4518" s="21" t="s">
        <v>28</v>
      </c>
      <c r="C4518" s="21" t="s">
        <v>1145</v>
      </c>
      <c r="D4518" s="21" t="s">
        <v>35</v>
      </c>
      <c r="E4518" s="18" t="s">
        <v>143</v>
      </c>
      <c r="F4518" s="18" t="s">
        <v>105</v>
      </c>
      <c r="G4518" s="18" t="s">
        <v>48</v>
      </c>
      <c r="H4518" s="24">
        <v>33580</v>
      </c>
      <c r="I4518" s="24">
        <f>T_reg.root.SK[[#This Row],[Volume, kg]]/1000</f>
        <v>33.58</v>
      </c>
      <c r="J4518" s="25">
        <v>0.22309999999999999</v>
      </c>
      <c r="K4518" s="25">
        <f t="shared" si="70"/>
        <v>7491.6979999999994</v>
      </c>
      <c r="L4518" s="25">
        <v>2.36</v>
      </c>
      <c r="M4518" s="24">
        <v>79343</v>
      </c>
      <c r="N4518" s="25">
        <f>IFERROR(T_reg.root.SK[[#This Row],[Price]]/T_reg.root.SK[[#This Row],[Starch content]],"")</f>
        <v>10.578216046615868</v>
      </c>
    </row>
    <row r="4519" spans="1:14">
      <c r="A4519" s="21">
        <v>2024</v>
      </c>
      <c r="B4519" s="21" t="s">
        <v>28</v>
      </c>
      <c r="C4519" s="21" t="s">
        <v>1145</v>
      </c>
      <c r="D4519" s="21" t="s">
        <v>35</v>
      </c>
      <c r="E4519" s="18" t="s">
        <v>312</v>
      </c>
      <c r="F4519" s="18" t="s">
        <v>105</v>
      </c>
      <c r="G4519" s="18" t="s">
        <v>48</v>
      </c>
      <c r="H4519" s="24">
        <v>3570</v>
      </c>
      <c r="I4519" s="24">
        <f>T_reg.root.SK[[#This Row],[Volume, kg]]/1000</f>
        <v>3.57</v>
      </c>
      <c r="J4519" s="25">
        <v>0.25950000000000001</v>
      </c>
      <c r="K4519" s="25">
        <f t="shared" si="70"/>
        <v>926.41500000000008</v>
      </c>
      <c r="L4519" s="25">
        <v>2.5499999999999998</v>
      </c>
      <c r="M4519" s="24">
        <v>9103.5</v>
      </c>
      <c r="N4519" s="25">
        <f>IFERROR(T_reg.root.SK[[#This Row],[Price]]/T_reg.root.SK[[#This Row],[Starch content]],"")</f>
        <v>9.8265895953757223</v>
      </c>
    </row>
    <row r="4520" spans="1:14">
      <c r="A4520" s="21">
        <v>2024</v>
      </c>
      <c r="B4520" s="21" t="s">
        <v>28</v>
      </c>
      <c r="C4520" s="21" t="s">
        <v>1145</v>
      </c>
      <c r="D4520" s="21" t="s">
        <v>35</v>
      </c>
      <c r="E4520" s="18" t="s">
        <v>144</v>
      </c>
      <c r="F4520" s="18" t="s">
        <v>105</v>
      </c>
      <c r="G4520" s="18" t="s">
        <v>48</v>
      </c>
      <c r="H4520" s="24">
        <v>49160</v>
      </c>
      <c r="I4520" s="24">
        <f>T_reg.root.SK[[#This Row],[Volume, kg]]/1000</f>
        <v>49.16</v>
      </c>
      <c r="J4520" s="25">
        <v>0.22820000000000001</v>
      </c>
      <c r="K4520" s="25">
        <f t="shared" si="70"/>
        <v>11218.312</v>
      </c>
      <c r="L4520" s="25">
        <v>2.35</v>
      </c>
      <c r="M4520" s="24">
        <v>115366.5</v>
      </c>
      <c r="N4520" s="25">
        <f>IFERROR(T_reg.root.SK[[#This Row],[Price]]/T_reg.root.SK[[#This Row],[Starch content]],"")</f>
        <v>10.297984224364592</v>
      </c>
    </row>
    <row r="4521" spans="1:14">
      <c r="A4521" s="21">
        <v>2024</v>
      </c>
      <c r="B4521" s="21" t="s">
        <v>28</v>
      </c>
      <c r="C4521" s="21" t="s">
        <v>1145</v>
      </c>
      <c r="D4521" s="21" t="s">
        <v>35</v>
      </c>
      <c r="E4521" s="18" t="s">
        <v>146</v>
      </c>
      <c r="F4521" s="18" t="s">
        <v>105</v>
      </c>
      <c r="G4521" s="18" t="s">
        <v>48</v>
      </c>
      <c r="H4521" s="24">
        <v>186030</v>
      </c>
      <c r="I4521" s="24">
        <f>T_reg.root.SK[[#This Row],[Volume, kg]]/1000</f>
        <v>186.03</v>
      </c>
      <c r="J4521" s="25">
        <v>0.2364</v>
      </c>
      <c r="K4521" s="25">
        <f t="shared" si="70"/>
        <v>43977.491999999998</v>
      </c>
      <c r="L4521" s="25">
        <v>2.4300000000000002</v>
      </c>
      <c r="M4521" s="24">
        <v>452825</v>
      </c>
      <c r="N4521" s="25">
        <f>IFERROR(T_reg.root.SK[[#This Row],[Price]]/T_reg.root.SK[[#This Row],[Starch content]],"")</f>
        <v>10.279187817258883</v>
      </c>
    </row>
    <row r="4522" spans="1:14">
      <c r="A4522" s="21">
        <v>2024</v>
      </c>
      <c r="B4522" s="21" t="s">
        <v>28</v>
      </c>
      <c r="C4522" s="21" t="s">
        <v>1145</v>
      </c>
      <c r="D4522" s="21" t="s">
        <v>35</v>
      </c>
      <c r="E4522" s="18" t="s">
        <v>569</v>
      </c>
      <c r="F4522" s="18" t="s">
        <v>105</v>
      </c>
      <c r="G4522" s="18" t="s">
        <v>48</v>
      </c>
      <c r="H4522" s="24">
        <v>16080</v>
      </c>
      <c r="I4522" s="24">
        <f>T_reg.root.SK[[#This Row],[Volume, kg]]/1000</f>
        <v>16.079999999999998</v>
      </c>
      <c r="J4522" s="25">
        <v>0.21969999999999998</v>
      </c>
      <c r="K4522" s="25">
        <f t="shared" si="70"/>
        <v>3532.7759999999998</v>
      </c>
      <c r="L4522" s="25">
        <v>2.34</v>
      </c>
      <c r="M4522" s="24">
        <v>37630</v>
      </c>
      <c r="N4522" s="25">
        <f>IFERROR(T_reg.root.SK[[#This Row],[Price]]/T_reg.root.SK[[#This Row],[Starch content]],"")</f>
        <v>10.650887573964498</v>
      </c>
    </row>
    <row r="4523" spans="1:14">
      <c r="A4523" s="21">
        <v>2024</v>
      </c>
      <c r="B4523" s="21" t="s">
        <v>28</v>
      </c>
      <c r="C4523" s="21" t="s">
        <v>1145</v>
      </c>
      <c r="D4523" s="21" t="s">
        <v>35</v>
      </c>
      <c r="E4523" s="18" t="s">
        <v>250</v>
      </c>
      <c r="F4523" s="18" t="s">
        <v>105</v>
      </c>
      <c r="G4523" s="18" t="s">
        <v>48</v>
      </c>
      <c r="H4523" s="24">
        <v>116260</v>
      </c>
      <c r="I4523" s="24">
        <f>T_reg.root.SK[[#This Row],[Volume, kg]]/1000</f>
        <v>116.26</v>
      </c>
      <c r="J4523" s="25">
        <v>0.26179999999999998</v>
      </c>
      <c r="K4523" s="25">
        <f t="shared" si="70"/>
        <v>30436.867999999999</v>
      </c>
      <c r="L4523" s="25">
        <v>2.52</v>
      </c>
      <c r="M4523" s="24">
        <v>292776</v>
      </c>
      <c r="N4523" s="25">
        <f>IFERROR(T_reg.root.SK[[#This Row],[Price]]/T_reg.root.SK[[#This Row],[Starch content]],"")</f>
        <v>9.6256684491978621</v>
      </c>
    </row>
    <row r="4524" spans="1:14">
      <c r="A4524" s="21">
        <v>2024</v>
      </c>
      <c r="B4524" s="21" t="s">
        <v>28</v>
      </c>
      <c r="C4524" s="21" t="s">
        <v>1145</v>
      </c>
      <c r="D4524" s="21" t="s">
        <v>35</v>
      </c>
      <c r="E4524" s="18" t="s">
        <v>668</v>
      </c>
      <c r="F4524" s="18" t="s">
        <v>105</v>
      </c>
      <c r="G4524" s="18" t="s">
        <v>48</v>
      </c>
      <c r="H4524" s="24">
        <v>44900</v>
      </c>
      <c r="I4524" s="24">
        <f>T_reg.root.SK[[#This Row],[Volume, kg]]/1000</f>
        <v>44.9</v>
      </c>
      <c r="J4524" s="25">
        <v>0.2248</v>
      </c>
      <c r="K4524" s="25">
        <f t="shared" si="70"/>
        <v>10093.52</v>
      </c>
      <c r="L4524" s="25">
        <v>2.37</v>
      </c>
      <c r="M4524" s="24">
        <v>106372.5</v>
      </c>
      <c r="N4524" s="25">
        <f>IFERROR(T_reg.root.SK[[#This Row],[Price]]/T_reg.root.SK[[#This Row],[Starch content]],"")</f>
        <v>10.542704626334521</v>
      </c>
    </row>
    <row r="4525" spans="1:14">
      <c r="A4525" s="21">
        <v>2024</v>
      </c>
      <c r="B4525" s="21" t="s">
        <v>28</v>
      </c>
      <c r="C4525" s="21" t="s">
        <v>1145</v>
      </c>
      <c r="D4525" s="21" t="s">
        <v>35</v>
      </c>
      <c r="E4525" s="18" t="s">
        <v>952</v>
      </c>
      <c r="F4525" s="18" t="s">
        <v>105</v>
      </c>
      <c r="G4525" s="18" t="s">
        <v>48</v>
      </c>
      <c r="H4525" s="24">
        <v>19570</v>
      </c>
      <c r="I4525" s="24">
        <f>T_reg.root.SK[[#This Row],[Volume, kg]]/1000</f>
        <v>19.57</v>
      </c>
      <c r="J4525" s="25">
        <v>0.23370000000000002</v>
      </c>
      <c r="K4525" s="25">
        <f t="shared" si="70"/>
        <v>4573.509</v>
      </c>
      <c r="L4525" s="25">
        <v>2.44</v>
      </c>
      <c r="M4525" s="24">
        <v>47717</v>
      </c>
      <c r="N4525" s="25">
        <f>IFERROR(T_reg.root.SK[[#This Row],[Price]]/T_reg.root.SK[[#This Row],[Starch content]],"")</f>
        <v>10.44073598630723</v>
      </c>
    </row>
    <row r="4526" spans="1:14">
      <c r="A4526" s="21">
        <v>2024</v>
      </c>
      <c r="B4526" s="21" t="s">
        <v>28</v>
      </c>
      <c r="C4526" s="21" t="s">
        <v>1145</v>
      </c>
      <c r="D4526" s="21" t="s">
        <v>35</v>
      </c>
      <c r="E4526" s="18" t="s">
        <v>147</v>
      </c>
      <c r="F4526" s="18" t="s">
        <v>105</v>
      </c>
      <c r="G4526" s="18" t="s">
        <v>48</v>
      </c>
      <c r="H4526" s="24">
        <v>78400</v>
      </c>
      <c r="I4526" s="24">
        <f>T_reg.root.SK[[#This Row],[Volume, kg]]/1000</f>
        <v>78.400000000000006</v>
      </c>
      <c r="J4526" s="25">
        <v>0.26400000000000001</v>
      </c>
      <c r="K4526" s="25">
        <f t="shared" si="70"/>
        <v>20697.600000000002</v>
      </c>
      <c r="L4526" s="25">
        <v>2.56</v>
      </c>
      <c r="M4526" s="24">
        <v>200713.5</v>
      </c>
      <c r="N4526" s="25">
        <f>IFERROR(T_reg.root.SK[[#This Row],[Price]]/T_reg.root.SK[[#This Row],[Starch content]],"")</f>
        <v>9.6969696969696972</v>
      </c>
    </row>
    <row r="4527" spans="1:14">
      <c r="A4527" s="21">
        <v>2024</v>
      </c>
      <c r="B4527" s="21" t="s">
        <v>28</v>
      </c>
      <c r="C4527" s="21" t="s">
        <v>1145</v>
      </c>
      <c r="D4527" s="21" t="s">
        <v>35</v>
      </c>
      <c r="E4527" s="18" t="s">
        <v>363</v>
      </c>
      <c r="F4527" s="18" t="s">
        <v>105</v>
      </c>
      <c r="G4527" s="18" t="s">
        <v>48</v>
      </c>
      <c r="H4527" s="24">
        <v>107790</v>
      </c>
      <c r="I4527" s="24">
        <f>T_reg.root.SK[[#This Row],[Volume, kg]]/1000</f>
        <v>107.79</v>
      </c>
      <c r="J4527" s="25">
        <v>0.24559999999999998</v>
      </c>
      <c r="K4527" s="25">
        <f t="shared" si="70"/>
        <v>26473.223999999998</v>
      </c>
      <c r="L4527" s="25">
        <v>2.4900000000000002</v>
      </c>
      <c r="M4527" s="24">
        <v>268126.5</v>
      </c>
      <c r="N4527" s="25">
        <f>IFERROR(T_reg.root.SK[[#This Row],[Price]]/T_reg.root.SK[[#This Row],[Starch content]],"")</f>
        <v>10.138436482084693</v>
      </c>
    </row>
    <row r="4528" spans="1:14">
      <c r="A4528" s="21">
        <v>2024</v>
      </c>
      <c r="B4528" s="21" t="s">
        <v>28</v>
      </c>
      <c r="C4528" s="21" t="s">
        <v>1145</v>
      </c>
      <c r="D4528" s="21" t="s">
        <v>35</v>
      </c>
      <c r="E4528" s="18" t="s">
        <v>251</v>
      </c>
      <c r="F4528" s="18" t="s">
        <v>105</v>
      </c>
      <c r="G4528" s="18" t="s">
        <v>48</v>
      </c>
      <c r="H4528" s="24">
        <v>84260</v>
      </c>
      <c r="I4528" s="24">
        <f>T_reg.root.SK[[#This Row],[Volume, kg]]/1000</f>
        <v>84.26</v>
      </c>
      <c r="J4528" s="25">
        <v>0.2407</v>
      </c>
      <c r="K4528" s="25">
        <f t="shared" si="70"/>
        <v>20281.382000000001</v>
      </c>
      <c r="L4528" s="25">
        <v>2.46</v>
      </c>
      <c r="M4528" s="24">
        <v>206888.5</v>
      </c>
      <c r="N4528" s="25">
        <f>IFERROR(T_reg.root.SK[[#This Row],[Price]]/T_reg.root.SK[[#This Row],[Starch content]],"")</f>
        <v>10.220191109264645</v>
      </c>
    </row>
    <row r="4529" spans="1:14">
      <c r="A4529" s="21">
        <v>2024</v>
      </c>
      <c r="B4529" s="21" t="s">
        <v>28</v>
      </c>
      <c r="C4529" s="21" t="s">
        <v>1145</v>
      </c>
      <c r="D4529" s="21" t="s">
        <v>35</v>
      </c>
      <c r="E4529" s="18" t="s">
        <v>148</v>
      </c>
      <c r="F4529" s="18" t="s">
        <v>105</v>
      </c>
      <c r="G4529" s="18" t="s">
        <v>48</v>
      </c>
      <c r="H4529" s="24">
        <v>16220</v>
      </c>
      <c r="I4529" s="24">
        <f>T_reg.root.SK[[#This Row],[Volume, kg]]/1000</f>
        <v>16.22</v>
      </c>
      <c r="J4529" s="25">
        <v>0.22020000000000001</v>
      </c>
      <c r="K4529" s="25">
        <f t="shared" si="70"/>
        <v>3571.6440000000002</v>
      </c>
      <c r="L4529" s="25">
        <v>2.35</v>
      </c>
      <c r="M4529" s="24">
        <v>38117</v>
      </c>
      <c r="N4529" s="25">
        <f>IFERROR(T_reg.root.SK[[#This Row],[Price]]/T_reg.root.SK[[#This Row],[Starch content]],"")</f>
        <v>10.672116257947321</v>
      </c>
    </row>
    <row r="4530" spans="1:14">
      <c r="A4530" s="21">
        <v>2024</v>
      </c>
      <c r="B4530" s="21" t="s">
        <v>28</v>
      </c>
      <c r="C4530" s="21" t="s">
        <v>1145</v>
      </c>
      <c r="D4530" s="21" t="s">
        <v>35</v>
      </c>
      <c r="E4530" s="18" t="s">
        <v>790</v>
      </c>
      <c r="F4530" s="18" t="s">
        <v>105</v>
      </c>
      <c r="G4530" s="18" t="s">
        <v>48</v>
      </c>
      <c r="H4530" s="24">
        <v>19940</v>
      </c>
      <c r="I4530" s="24">
        <f>T_reg.root.SK[[#This Row],[Volume, kg]]/1000</f>
        <v>19.940000000000001</v>
      </c>
      <c r="J4530" s="25">
        <v>0.2465</v>
      </c>
      <c r="K4530" s="25">
        <f t="shared" si="70"/>
        <v>4915.21</v>
      </c>
      <c r="L4530" s="25">
        <v>2.4700000000000002</v>
      </c>
      <c r="M4530" s="24">
        <v>49335.5</v>
      </c>
      <c r="N4530" s="25">
        <f>IFERROR(T_reg.root.SK[[#This Row],[Price]]/T_reg.root.SK[[#This Row],[Starch content]],"")</f>
        <v>10.020283975659231</v>
      </c>
    </row>
    <row r="4531" spans="1:14">
      <c r="A4531" s="21">
        <v>2024</v>
      </c>
      <c r="B4531" s="21" t="s">
        <v>28</v>
      </c>
      <c r="C4531" s="21" t="s">
        <v>1145</v>
      </c>
      <c r="D4531" s="21" t="s">
        <v>35</v>
      </c>
      <c r="E4531" s="18" t="s">
        <v>604</v>
      </c>
      <c r="F4531" s="18" t="s">
        <v>105</v>
      </c>
      <c r="G4531" s="18" t="s">
        <v>48</v>
      </c>
      <c r="H4531" s="24">
        <v>37850</v>
      </c>
      <c r="I4531" s="24">
        <f>T_reg.root.SK[[#This Row],[Volume, kg]]/1000</f>
        <v>37.85</v>
      </c>
      <c r="J4531" s="25">
        <v>0.2581</v>
      </c>
      <c r="K4531" s="25">
        <f t="shared" si="70"/>
        <v>9769.0849999999991</v>
      </c>
      <c r="L4531" s="25">
        <v>2.5099999999999998</v>
      </c>
      <c r="M4531" s="24">
        <v>94816</v>
      </c>
      <c r="N4531" s="25">
        <f>IFERROR(T_reg.root.SK[[#This Row],[Price]]/T_reg.root.SK[[#This Row],[Starch content]],"")</f>
        <v>9.7249128244866316</v>
      </c>
    </row>
    <row r="4532" spans="1:14">
      <c r="A4532" s="21">
        <v>2024</v>
      </c>
      <c r="B4532" s="21" t="s">
        <v>28</v>
      </c>
      <c r="C4532" s="21" t="s">
        <v>1145</v>
      </c>
      <c r="D4532" s="21" t="s">
        <v>35</v>
      </c>
      <c r="E4532" s="18" t="s">
        <v>315</v>
      </c>
      <c r="F4532" s="18" t="s">
        <v>105</v>
      </c>
      <c r="G4532" s="18" t="s">
        <v>48</v>
      </c>
      <c r="H4532" s="24">
        <v>156840</v>
      </c>
      <c r="I4532" s="24">
        <f>T_reg.root.SK[[#This Row],[Volume, kg]]/1000</f>
        <v>156.84</v>
      </c>
      <c r="J4532" s="25">
        <v>0.2606</v>
      </c>
      <c r="K4532" s="25">
        <f t="shared" si="70"/>
        <v>40872.504000000001</v>
      </c>
      <c r="L4532" s="25">
        <v>2.5499999999999998</v>
      </c>
      <c r="M4532" s="24">
        <v>400015.5</v>
      </c>
      <c r="N4532" s="25">
        <f>IFERROR(T_reg.root.SK[[#This Row],[Price]]/T_reg.root.SK[[#This Row],[Starch content]],"")</f>
        <v>9.7851112816577128</v>
      </c>
    </row>
    <row r="4533" spans="1:14">
      <c r="A4533" s="21">
        <v>2024</v>
      </c>
      <c r="B4533" s="21" t="s">
        <v>28</v>
      </c>
      <c r="C4533" s="21" t="s">
        <v>1145</v>
      </c>
      <c r="D4533" s="21" t="s">
        <v>35</v>
      </c>
      <c r="E4533" s="18" t="s">
        <v>500</v>
      </c>
      <c r="F4533" s="18" t="s">
        <v>105</v>
      </c>
      <c r="G4533" s="18" t="s">
        <v>48</v>
      </c>
      <c r="H4533" s="24">
        <v>12010</v>
      </c>
      <c r="I4533" s="24">
        <f>T_reg.root.SK[[#This Row],[Volume, kg]]/1000</f>
        <v>12.01</v>
      </c>
      <c r="J4533" s="25">
        <v>0.20579999999999998</v>
      </c>
      <c r="K4533" s="25">
        <f t="shared" si="70"/>
        <v>2471.6579999999999</v>
      </c>
      <c r="L4533" s="25">
        <v>2.2999999999999998</v>
      </c>
      <c r="M4533" s="24">
        <v>27623</v>
      </c>
      <c r="N4533" s="25">
        <f>IFERROR(T_reg.root.SK[[#This Row],[Price]]/T_reg.root.SK[[#This Row],[Starch content]],"")</f>
        <v>11.175898931000972</v>
      </c>
    </row>
    <row r="4534" spans="1:14">
      <c r="A4534" s="21">
        <v>2024</v>
      </c>
      <c r="B4534" s="21" t="s">
        <v>28</v>
      </c>
      <c r="C4534" s="21" t="s">
        <v>1145</v>
      </c>
      <c r="D4534" s="21" t="s">
        <v>35</v>
      </c>
      <c r="E4534" s="18" t="s">
        <v>150</v>
      </c>
      <c r="F4534" s="18" t="s">
        <v>105</v>
      </c>
      <c r="G4534" s="18" t="s">
        <v>48</v>
      </c>
      <c r="H4534" s="24">
        <v>21690</v>
      </c>
      <c r="I4534" s="24">
        <f>T_reg.root.SK[[#This Row],[Volume, kg]]/1000</f>
        <v>21.69</v>
      </c>
      <c r="J4534" s="25">
        <v>0.26090000000000002</v>
      </c>
      <c r="K4534" s="25">
        <f t="shared" si="70"/>
        <v>5658.9210000000003</v>
      </c>
      <c r="L4534" s="25">
        <v>2.5499999999999998</v>
      </c>
      <c r="M4534" s="24">
        <v>55363.5</v>
      </c>
      <c r="N4534" s="25">
        <f>IFERROR(T_reg.root.SK[[#This Row],[Price]]/T_reg.root.SK[[#This Row],[Starch content]],"")</f>
        <v>9.773859716366422</v>
      </c>
    </row>
    <row r="4535" spans="1:14">
      <c r="A4535" s="21">
        <v>2024</v>
      </c>
      <c r="B4535" s="21" t="s">
        <v>28</v>
      </c>
      <c r="C4535" s="21" t="s">
        <v>1145</v>
      </c>
      <c r="D4535" s="21" t="s">
        <v>35</v>
      </c>
      <c r="E4535" s="18" t="s">
        <v>570</v>
      </c>
      <c r="F4535" s="18" t="s">
        <v>105</v>
      </c>
      <c r="G4535" s="18" t="s">
        <v>48</v>
      </c>
      <c r="H4535" s="24">
        <v>31350</v>
      </c>
      <c r="I4535" s="24">
        <f>T_reg.root.SK[[#This Row],[Volume, kg]]/1000</f>
        <v>31.35</v>
      </c>
      <c r="J4535" s="25">
        <v>0.22469999999999998</v>
      </c>
      <c r="K4535" s="25">
        <f t="shared" si="70"/>
        <v>7044.3449999999993</v>
      </c>
      <c r="L4535" s="25">
        <v>2.36</v>
      </c>
      <c r="M4535" s="24">
        <v>74115</v>
      </c>
      <c r="N4535" s="25">
        <f>IFERROR(T_reg.root.SK[[#This Row],[Price]]/T_reg.root.SK[[#This Row],[Starch content]],"")</f>
        <v>10.5028927458834</v>
      </c>
    </row>
    <row r="4536" spans="1:14">
      <c r="A4536" s="21">
        <v>2024</v>
      </c>
      <c r="B4536" s="21" t="s">
        <v>28</v>
      </c>
      <c r="C4536" s="21" t="s">
        <v>1145</v>
      </c>
      <c r="D4536" s="21" t="s">
        <v>35</v>
      </c>
      <c r="E4536" s="18" t="s">
        <v>151</v>
      </c>
      <c r="F4536" s="18" t="s">
        <v>105</v>
      </c>
      <c r="G4536" s="18" t="s">
        <v>48</v>
      </c>
      <c r="H4536" s="24">
        <v>853930</v>
      </c>
      <c r="I4536" s="24">
        <f>T_reg.root.SK[[#This Row],[Volume, kg]]/1000</f>
        <v>853.93</v>
      </c>
      <c r="J4536" s="25">
        <v>0.25219999999999998</v>
      </c>
      <c r="K4536" s="25">
        <f t="shared" si="70"/>
        <v>215361.14599999998</v>
      </c>
      <c r="L4536" s="25">
        <v>2.5099999999999998</v>
      </c>
      <c r="M4536" s="24">
        <v>2143438.5</v>
      </c>
      <c r="N4536" s="25">
        <f>IFERROR(T_reg.root.SK[[#This Row],[Price]]/T_reg.root.SK[[#This Row],[Starch content]],"")</f>
        <v>9.9524187153053134</v>
      </c>
    </row>
    <row r="4537" spans="1:14">
      <c r="A4537" s="21">
        <v>2024</v>
      </c>
      <c r="B4537" s="21" t="s">
        <v>28</v>
      </c>
      <c r="C4537" s="21" t="s">
        <v>1145</v>
      </c>
      <c r="D4537" s="21" t="s">
        <v>35</v>
      </c>
      <c r="E4537" s="18" t="s">
        <v>953</v>
      </c>
      <c r="F4537" s="18" t="s">
        <v>105</v>
      </c>
      <c r="G4537" s="18" t="s">
        <v>48</v>
      </c>
      <c r="H4537" s="24">
        <v>17630</v>
      </c>
      <c r="I4537" s="24">
        <f>T_reg.root.SK[[#This Row],[Volume, kg]]/1000</f>
        <v>17.63</v>
      </c>
      <c r="J4537" s="25">
        <v>0.28999999999999998</v>
      </c>
      <c r="K4537" s="25">
        <f t="shared" si="70"/>
        <v>5112.7</v>
      </c>
      <c r="L4537" s="25">
        <v>2.6</v>
      </c>
      <c r="M4537" s="24">
        <v>45838</v>
      </c>
      <c r="N4537" s="25">
        <f>IFERROR(T_reg.root.SK[[#This Row],[Price]]/T_reg.root.SK[[#This Row],[Starch content]],"")</f>
        <v>8.9655172413793114</v>
      </c>
    </row>
    <row r="4538" spans="1:14">
      <c r="A4538" s="21">
        <v>2024</v>
      </c>
      <c r="B4538" s="21" t="s">
        <v>28</v>
      </c>
      <c r="C4538" s="21" t="s">
        <v>1145</v>
      </c>
      <c r="D4538" s="21" t="s">
        <v>35</v>
      </c>
      <c r="E4538" s="18" t="s">
        <v>571</v>
      </c>
      <c r="F4538" s="18" t="s">
        <v>105</v>
      </c>
      <c r="G4538" s="18" t="s">
        <v>48</v>
      </c>
      <c r="H4538" s="24">
        <v>66450</v>
      </c>
      <c r="I4538" s="24">
        <f>T_reg.root.SK[[#This Row],[Volume, kg]]/1000</f>
        <v>66.45</v>
      </c>
      <c r="J4538" s="25">
        <v>0.2412</v>
      </c>
      <c r="K4538" s="25">
        <f t="shared" si="70"/>
        <v>16027.74</v>
      </c>
      <c r="L4538" s="25">
        <v>2.4500000000000002</v>
      </c>
      <c r="M4538" s="24">
        <v>163103</v>
      </c>
      <c r="N4538" s="25">
        <f>IFERROR(T_reg.root.SK[[#This Row],[Price]]/T_reg.root.SK[[#This Row],[Starch content]],"")</f>
        <v>10.157545605306801</v>
      </c>
    </row>
    <row r="4539" spans="1:14">
      <c r="A4539" s="21">
        <v>2024</v>
      </c>
      <c r="B4539" s="21" t="s">
        <v>28</v>
      </c>
      <c r="C4539" s="21" t="s">
        <v>1145</v>
      </c>
      <c r="D4539" s="21" t="s">
        <v>35</v>
      </c>
      <c r="E4539" s="18" t="s">
        <v>153</v>
      </c>
      <c r="F4539" s="18" t="s">
        <v>105</v>
      </c>
      <c r="G4539" s="18" t="s">
        <v>48</v>
      </c>
      <c r="H4539" s="24">
        <v>3680</v>
      </c>
      <c r="I4539" s="24">
        <f>T_reg.root.SK[[#This Row],[Volume, kg]]/1000</f>
        <v>3.68</v>
      </c>
      <c r="J4539" s="25">
        <v>0.26850000000000002</v>
      </c>
      <c r="K4539" s="25">
        <f t="shared" si="70"/>
        <v>988.08</v>
      </c>
      <c r="L4539" s="25">
        <v>2.6</v>
      </c>
      <c r="M4539" s="24">
        <v>9568</v>
      </c>
      <c r="N4539" s="25">
        <f>IFERROR(T_reg.root.SK[[#This Row],[Price]]/T_reg.root.SK[[#This Row],[Starch content]],"")</f>
        <v>9.6834264432029791</v>
      </c>
    </row>
    <row r="4540" spans="1:14">
      <c r="A4540" s="21">
        <v>2024</v>
      </c>
      <c r="B4540" s="21" t="s">
        <v>28</v>
      </c>
      <c r="C4540" s="21" t="s">
        <v>1145</v>
      </c>
      <c r="D4540" s="21" t="s">
        <v>35</v>
      </c>
      <c r="E4540" s="18" t="s">
        <v>154</v>
      </c>
      <c r="F4540" s="18" t="s">
        <v>105</v>
      </c>
      <c r="G4540" s="18" t="s">
        <v>48</v>
      </c>
      <c r="H4540" s="24">
        <v>12770</v>
      </c>
      <c r="I4540" s="24">
        <f>T_reg.root.SK[[#This Row],[Volume, kg]]/1000</f>
        <v>12.77</v>
      </c>
      <c r="J4540" s="25">
        <v>0.25629999999999997</v>
      </c>
      <c r="K4540" s="25">
        <f t="shared" si="70"/>
        <v>3272.9509999999996</v>
      </c>
      <c r="L4540" s="25">
        <v>2.5299999999999998</v>
      </c>
      <c r="M4540" s="24">
        <v>32246.5</v>
      </c>
      <c r="N4540" s="25">
        <f>IFERROR(T_reg.root.SK[[#This Row],[Price]]/T_reg.root.SK[[#This Row],[Starch content]],"")</f>
        <v>9.8712446351931327</v>
      </c>
    </row>
    <row r="4541" spans="1:14">
      <c r="A4541" s="21">
        <v>2024</v>
      </c>
      <c r="B4541" s="21" t="s">
        <v>28</v>
      </c>
      <c r="C4541" s="21" t="s">
        <v>1145</v>
      </c>
      <c r="D4541" s="21" t="s">
        <v>35</v>
      </c>
      <c r="E4541" s="18" t="s">
        <v>572</v>
      </c>
      <c r="F4541" s="18" t="s">
        <v>105</v>
      </c>
      <c r="G4541" s="18" t="s">
        <v>48</v>
      </c>
      <c r="H4541" s="24">
        <v>19370</v>
      </c>
      <c r="I4541" s="24">
        <f>T_reg.root.SK[[#This Row],[Volume, kg]]/1000</f>
        <v>19.37</v>
      </c>
      <c r="J4541" s="25">
        <v>0.23629999999999998</v>
      </c>
      <c r="K4541" s="25">
        <f t="shared" si="70"/>
        <v>4577.1309999999994</v>
      </c>
      <c r="L4541" s="25">
        <v>2.4300000000000002</v>
      </c>
      <c r="M4541" s="24">
        <v>47106.5</v>
      </c>
      <c r="N4541" s="25">
        <f>IFERROR(T_reg.root.SK[[#This Row],[Price]]/T_reg.root.SK[[#This Row],[Starch content]],"")</f>
        <v>10.283537875581889</v>
      </c>
    </row>
    <row r="4542" spans="1:14">
      <c r="A4542" s="21">
        <v>2024</v>
      </c>
      <c r="B4542" s="21" t="s">
        <v>28</v>
      </c>
      <c r="C4542" s="21" t="s">
        <v>1145</v>
      </c>
      <c r="D4542" s="21" t="s">
        <v>35</v>
      </c>
      <c r="E4542" s="18" t="s">
        <v>934</v>
      </c>
      <c r="F4542" s="18" t="s">
        <v>105</v>
      </c>
      <c r="G4542" s="18" t="s">
        <v>48</v>
      </c>
      <c r="H4542" s="24">
        <v>8460</v>
      </c>
      <c r="I4542" s="24">
        <f>T_reg.root.SK[[#This Row],[Volume, kg]]/1000</f>
        <v>8.4600000000000009</v>
      </c>
      <c r="J4542" s="25">
        <v>0.217</v>
      </c>
      <c r="K4542" s="25">
        <f t="shared" si="70"/>
        <v>1835.82</v>
      </c>
      <c r="L4542" s="25">
        <v>2.25</v>
      </c>
      <c r="M4542" s="24">
        <v>19035</v>
      </c>
      <c r="N4542" s="25">
        <f>IFERROR(T_reg.root.SK[[#This Row],[Price]]/T_reg.root.SK[[#This Row],[Starch content]],"")</f>
        <v>10.368663594470046</v>
      </c>
    </row>
    <row r="4543" spans="1:14">
      <c r="A4543" s="21">
        <v>2024</v>
      </c>
      <c r="B4543" s="21" t="s">
        <v>28</v>
      </c>
      <c r="C4543" s="21" t="s">
        <v>1145</v>
      </c>
      <c r="D4543" s="21" t="s">
        <v>35</v>
      </c>
      <c r="E4543" s="18" t="s">
        <v>159</v>
      </c>
      <c r="F4543" s="18" t="s">
        <v>105</v>
      </c>
      <c r="G4543" s="18" t="s">
        <v>48</v>
      </c>
      <c r="H4543" s="24">
        <v>516410</v>
      </c>
      <c r="I4543" s="24">
        <f>T_reg.root.SK[[#This Row],[Volume, kg]]/1000</f>
        <v>516.41</v>
      </c>
      <c r="J4543" s="25">
        <v>0.2437</v>
      </c>
      <c r="K4543" s="25">
        <f t="shared" si="70"/>
        <v>125849.117</v>
      </c>
      <c r="L4543" s="25">
        <v>2.44</v>
      </c>
      <c r="M4543" s="24">
        <v>1261804</v>
      </c>
      <c r="N4543" s="25">
        <f>IFERROR(T_reg.root.SK[[#This Row],[Price]]/T_reg.root.SK[[#This Row],[Starch content]],"")</f>
        <v>10.012310217480509</v>
      </c>
    </row>
    <row r="4544" spans="1:14">
      <c r="A4544" s="21">
        <v>2024</v>
      </c>
      <c r="B4544" s="21" t="s">
        <v>28</v>
      </c>
      <c r="C4544" s="21" t="s">
        <v>1145</v>
      </c>
      <c r="D4544" s="21" t="s">
        <v>35</v>
      </c>
      <c r="E4544" s="18" t="s">
        <v>255</v>
      </c>
      <c r="F4544" s="18" t="s">
        <v>105</v>
      </c>
      <c r="G4544" s="18" t="s">
        <v>48</v>
      </c>
      <c r="H4544" s="24">
        <v>2810</v>
      </c>
      <c r="I4544" s="24">
        <f>T_reg.root.SK[[#This Row],[Volume, kg]]/1000</f>
        <v>2.81</v>
      </c>
      <c r="J4544" s="25">
        <v>0.28249999999999997</v>
      </c>
      <c r="K4544" s="25">
        <f t="shared" si="70"/>
        <v>793.82499999999993</v>
      </c>
      <c r="L4544" s="25">
        <v>2.65</v>
      </c>
      <c r="M4544" s="24">
        <v>7446.5</v>
      </c>
      <c r="N4544" s="25">
        <f>IFERROR(T_reg.root.SK[[#This Row],[Price]]/T_reg.root.SK[[#This Row],[Starch content]],"")</f>
        <v>9.3805309734513287</v>
      </c>
    </row>
    <row r="4545" spans="1:14">
      <c r="A4545" s="21">
        <v>2024</v>
      </c>
      <c r="B4545" s="21" t="s">
        <v>28</v>
      </c>
      <c r="C4545" s="21" t="s">
        <v>1145</v>
      </c>
      <c r="D4545" s="21" t="s">
        <v>35</v>
      </c>
      <c r="E4545" s="18" t="s">
        <v>160</v>
      </c>
      <c r="F4545" s="18" t="s">
        <v>105</v>
      </c>
      <c r="G4545" s="18" t="s">
        <v>48</v>
      </c>
      <c r="H4545" s="24">
        <v>10000</v>
      </c>
      <c r="I4545" s="24">
        <f>T_reg.root.SK[[#This Row],[Volume, kg]]/1000</f>
        <v>10</v>
      </c>
      <c r="J4545" s="25">
        <v>0.21350000000000002</v>
      </c>
      <c r="K4545" s="25">
        <f t="shared" si="70"/>
        <v>2135.0000000000005</v>
      </c>
      <c r="L4545" s="25">
        <v>2.2000000000000002</v>
      </c>
      <c r="M4545" s="24">
        <v>22000</v>
      </c>
      <c r="N4545" s="25">
        <f>IFERROR(T_reg.root.SK[[#This Row],[Price]]/T_reg.root.SK[[#This Row],[Starch content]],"")</f>
        <v>10.304449648711943</v>
      </c>
    </row>
    <row r="4546" spans="1:14">
      <c r="A4546" s="21">
        <v>2024</v>
      </c>
      <c r="B4546" s="21" t="s">
        <v>28</v>
      </c>
      <c r="C4546" s="21" t="s">
        <v>1145</v>
      </c>
      <c r="D4546" s="21" t="s">
        <v>35</v>
      </c>
      <c r="E4546" s="18" t="s">
        <v>721</v>
      </c>
      <c r="F4546" s="18" t="s">
        <v>105</v>
      </c>
      <c r="G4546" s="18" t="s">
        <v>48</v>
      </c>
      <c r="H4546" s="24">
        <v>87130</v>
      </c>
      <c r="I4546" s="24">
        <f>T_reg.root.SK[[#This Row],[Volume, kg]]/1000</f>
        <v>87.13</v>
      </c>
      <c r="J4546" s="25">
        <v>0.2316</v>
      </c>
      <c r="K4546" s="25">
        <f t="shared" si="70"/>
        <v>20179.308000000001</v>
      </c>
      <c r="L4546" s="25">
        <v>2.41</v>
      </c>
      <c r="M4546" s="24">
        <v>210215.5</v>
      </c>
      <c r="N4546" s="25">
        <f>IFERROR(T_reg.root.SK[[#This Row],[Price]]/T_reg.root.SK[[#This Row],[Starch content]],"")</f>
        <v>10.405872193436961</v>
      </c>
    </row>
    <row r="4547" spans="1:14">
      <c r="A4547" s="21">
        <v>2024</v>
      </c>
      <c r="B4547" s="21" t="s">
        <v>28</v>
      </c>
      <c r="C4547" s="21" t="s">
        <v>1145</v>
      </c>
      <c r="D4547" s="21" t="s">
        <v>35</v>
      </c>
      <c r="E4547" s="18" t="s">
        <v>161</v>
      </c>
      <c r="F4547" s="18" t="s">
        <v>105</v>
      </c>
      <c r="G4547" s="18" t="s">
        <v>48</v>
      </c>
      <c r="H4547" s="24">
        <v>11220</v>
      </c>
      <c r="I4547" s="24">
        <f>T_reg.root.SK[[#This Row],[Volume, kg]]/1000</f>
        <v>11.22</v>
      </c>
      <c r="J4547" s="25">
        <v>0.20699999999999999</v>
      </c>
      <c r="K4547" s="25">
        <f t="shared" ref="K4547:K4610" si="71">H4547*J4547</f>
        <v>2322.54</v>
      </c>
      <c r="L4547" s="25">
        <v>2.2999999999999998</v>
      </c>
      <c r="M4547" s="24">
        <v>25806</v>
      </c>
      <c r="N4547" s="25">
        <f>IFERROR(T_reg.root.SK[[#This Row],[Price]]/T_reg.root.SK[[#This Row],[Starch content]],"")</f>
        <v>11.111111111111111</v>
      </c>
    </row>
    <row r="4548" spans="1:14">
      <c r="A4548" s="21">
        <v>2024</v>
      </c>
      <c r="B4548" s="21" t="s">
        <v>28</v>
      </c>
      <c r="C4548" s="21" t="s">
        <v>1145</v>
      </c>
      <c r="D4548" s="21" t="s">
        <v>35</v>
      </c>
      <c r="E4548" s="18" t="s">
        <v>162</v>
      </c>
      <c r="F4548" s="18" t="s">
        <v>105</v>
      </c>
      <c r="G4548" s="18" t="s">
        <v>48</v>
      </c>
      <c r="H4548" s="24">
        <v>46640</v>
      </c>
      <c r="I4548" s="24">
        <f>T_reg.root.SK[[#This Row],[Volume, kg]]/1000</f>
        <v>46.64</v>
      </c>
      <c r="J4548" s="25">
        <v>0.23280000000000001</v>
      </c>
      <c r="K4548" s="25">
        <f t="shared" si="71"/>
        <v>10857.791999999999</v>
      </c>
      <c r="L4548" s="25">
        <v>2.42</v>
      </c>
      <c r="M4548" s="24">
        <v>112858.5</v>
      </c>
      <c r="N4548" s="25">
        <f>IFERROR(T_reg.root.SK[[#This Row],[Price]]/T_reg.root.SK[[#This Row],[Starch content]],"")</f>
        <v>10.395189003436425</v>
      </c>
    </row>
    <row r="4549" spans="1:14">
      <c r="A4549" s="21">
        <v>2024</v>
      </c>
      <c r="B4549" s="21" t="s">
        <v>28</v>
      </c>
      <c r="C4549" s="21" t="s">
        <v>1145</v>
      </c>
      <c r="D4549" s="21" t="s">
        <v>35</v>
      </c>
      <c r="E4549" s="18" t="s">
        <v>165</v>
      </c>
      <c r="F4549" s="18" t="s">
        <v>105</v>
      </c>
      <c r="G4549" s="18" t="s">
        <v>48</v>
      </c>
      <c r="H4549" s="24">
        <v>64490</v>
      </c>
      <c r="I4549" s="24">
        <f>T_reg.root.SK[[#This Row],[Volume, kg]]/1000</f>
        <v>64.489999999999995</v>
      </c>
      <c r="J4549" s="25">
        <v>0.22510000000000002</v>
      </c>
      <c r="K4549" s="25">
        <f t="shared" si="71"/>
        <v>14516.699000000002</v>
      </c>
      <c r="L4549" s="25">
        <v>2.36</v>
      </c>
      <c r="M4549" s="24">
        <v>151961.5</v>
      </c>
      <c r="N4549" s="25">
        <f>IFERROR(T_reg.root.SK[[#This Row],[Price]]/T_reg.root.SK[[#This Row],[Starch content]],"")</f>
        <v>10.484229231452685</v>
      </c>
    </row>
    <row r="4550" spans="1:14">
      <c r="A4550" s="21">
        <v>2024</v>
      </c>
      <c r="B4550" s="21" t="s">
        <v>28</v>
      </c>
      <c r="C4550" s="21" t="s">
        <v>1145</v>
      </c>
      <c r="D4550" s="21" t="s">
        <v>35</v>
      </c>
      <c r="E4550" s="18" t="s">
        <v>954</v>
      </c>
      <c r="F4550" s="18" t="s">
        <v>105</v>
      </c>
      <c r="G4550" s="18" t="s">
        <v>48</v>
      </c>
      <c r="H4550" s="24">
        <v>11530</v>
      </c>
      <c r="I4550" s="24">
        <f>T_reg.root.SK[[#This Row],[Volume, kg]]/1000</f>
        <v>11.53</v>
      </c>
      <c r="J4550" s="25">
        <v>0.28100000000000003</v>
      </c>
      <c r="K4550" s="25">
        <f t="shared" si="71"/>
        <v>3239.9300000000003</v>
      </c>
      <c r="L4550" s="25">
        <v>2.65</v>
      </c>
      <c r="M4550" s="24">
        <v>30554.5</v>
      </c>
      <c r="N4550" s="25">
        <f>IFERROR(T_reg.root.SK[[#This Row],[Price]]/T_reg.root.SK[[#This Row],[Starch content]],"")</f>
        <v>9.430604982206404</v>
      </c>
    </row>
    <row r="4551" spans="1:14">
      <c r="A4551" s="21">
        <v>2024</v>
      </c>
      <c r="B4551" s="21" t="s">
        <v>28</v>
      </c>
      <c r="C4551" s="21" t="s">
        <v>1145</v>
      </c>
      <c r="D4551" s="21" t="s">
        <v>35</v>
      </c>
      <c r="E4551" s="18" t="s">
        <v>167</v>
      </c>
      <c r="F4551" s="18" t="s">
        <v>105</v>
      </c>
      <c r="G4551" s="18" t="s">
        <v>48</v>
      </c>
      <c r="H4551" s="24">
        <v>31610</v>
      </c>
      <c r="I4551" s="24">
        <f>T_reg.root.SK[[#This Row],[Volume, kg]]/1000</f>
        <v>31.61</v>
      </c>
      <c r="J4551" s="25">
        <v>0.23530000000000001</v>
      </c>
      <c r="K4551" s="25">
        <f t="shared" si="71"/>
        <v>7437.8330000000005</v>
      </c>
      <c r="L4551" s="25">
        <v>2.41</v>
      </c>
      <c r="M4551" s="24">
        <v>76034</v>
      </c>
      <c r="N4551" s="25">
        <f>IFERROR(T_reg.root.SK[[#This Row],[Price]]/T_reg.root.SK[[#This Row],[Starch content]],"")</f>
        <v>10.242243943901403</v>
      </c>
    </row>
    <row r="4552" spans="1:14">
      <c r="A4552" s="21">
        <v>2024</v>
      </c>
      <c r="B4552" s="21" t="s">
        <v>28</v>
      </c>
      <c r="C4552" s="21" t="s">
        <v>1145</v>
      </c>
      <c r="D4552" s="21" t="s">
        <v>35</v>
      </c>
      <c r="E4552" s="18" t="s">
        <v>573</v>
      </c>
      <c r="F4552" s="18" t="s">
        <v>105</v>
      </c>
      <c r="G4552" s="18" t="s">
        <v>48</v>
      </c>
      <c r="H4552" s="24">
        <v>9660</v>
      </c>
      <c r="I4552" s="24">
        <f>T_reg.root.SK[[#This Row],[Volume, kg]]/1000</f>
        <v>9.66</v>
      </c>
      <c r="J4552" s="25">
        <v>0.25600000000000001</v>
      </c>
      <c r="K4552" s="25">
        <f t="shared" si="71"/>
        <v>2472.96</v>
      </c>
      <c r="L4552" s="25">
        <v>2.4500000000000002</v>
      </c>
      <c r="M4552" s="24">
        <v>23667</v>
      </c>
      <c r="N4552" s="25">
        <f>IFERROR(T_reg.root.SK[[#This Row],[Price]]/T_reg.root.SK[[#This Row],[Starch content]],"")</f>
        <v>9.5703125</v>
      </c>
    </row>
    <row r="4553" spans="1:14">
      <c r="A4553" s="21">
        <v>2024</v>
      </c>
      <c r="B4553" s="21" t="s">
        <v>28</v>
      </c>
      <c r="C4553" s="21" t="s">
        <v>1145</v>
      </c>
      <c r="D4553" s="21" t="s">
        <v>35</v>
      </c>
      <c r="E4553" s="18" t="s">
        <v>670</v>
      </c>
      <c r="F4553" s="18" t="s">
        <v>105</v>
      </c>
      <c r="G4553" s="18" t="s">
        <v>48</v>
      </c>
      <c r="H4553" s="24">
        <v>171760</v>
      </c>
      <c r="I4553" s="24">
        <f>T_reg.root.SK[[#This Row],[Volume, kg]]/1000</f>
        <v>171.76</v>
      </c>
      <c r="J4553" s="25">
        <v>0.21410000000000001</v>
      </c>
      <c r="K4553" s="25">
        <f t="shared" si="71"/>
        <v>36773.815999999999</v>
      </c>
      <c r="L4553" s="25">
        <v>2.3199999999999998</v>
      </c>
      <c r="M4553" s="24">
        <v>398316</v>
      </c>
      <c r="N4553" s="25">
        <f>IFERROR(T_reg.root.SK[[#This Row],[Price]]/T_reg.root.SK[[#This Row],[Starch content]],"")</f>
        <v>10.836057916861279</v>
      </c>
    </row>
    <row r="4554" spans="1:14">
      <c r="A4554" s="21">
        <v>2024</v>
      </c>
      <c r="B4554" s="21" t="s">
        <v>28</v>
      </c>
      <c r="C4554" s="21" t="s">
        <v>1145</v>
      </c>
      <c r="D4554" s="21" t="s">
        <v>35</v>
      </c>
      <c r="E4554" s="18" t="s">
        <v>170</v>
      </c>
      <c r="F4554" s="18" t="s">
        <v>105</v>
      </c>
      <c r="G4554" s="18" t="s">
        <v>48</v>
      </c>
      <c r="H4554" s="24">
        <v>41110</v>
      </c>
      <c r="I4554" s="24">
        <f>T_reg.root.SK[[#This Row],[Volume, kg]]/1000</f>
        <v>41.11</v>
      </c>
      <c r="J4554" s="25">
        <v>0.2034</v>
      </c>
      <c r="K4554" s="25">
        <f t="shared" si="71"/>
        <v>8361.7739999999994</v>
      </c>
      <c r="L4554" s="25">
        <v>2.27</v>
      </c>
      <c r="M4554" s="24">
        <v>93279</v>
      </c>
      <c r="N4554" s="25">
        <f>IFERROR(T_reg.root.SK[[#This Row],[Price]]/T_reg.root.SK[[#This Row],[Starch content]],"")</f>
        <v>11.160275319567356</v>
      </c>
    </row>
    <row r="4555" spans="1:14">
      <c r="A4555" s="21">
        <v>2024</v>
      </c>
      <c r="B4555" s="21" t="s">
        <v>28</v>
      </c>
      <c r="C4555" s="21" t="s">
        <v>1145</v>
      </c>
      <c r="D4555" s="21" t="s">
        <v>35</v>
      </c>
      <c r="E4555" s="18" t="s">
        <v>319</v>
      </c>
      <c r="F4555" s="18" t="s">
        <v>105</v>
      </c>
      <c r="G4555" s="18" t="s">
        <v>48</v>
      </c>
      <c r="H4555" s="24">
        <v>7780</v>
      </c>
      <c r="I4555" s="24">
        <f>T_reg.root.SK[[#This Row],[Volume, kg]]/1000</f>
        <v>7.78</v>
      </c>
      <c r="J4555" s="25">
        <v>0.27800000000000002</v>
      </c>
      <c r="K4555" s="25">
        <f t="shared" si="71"/>
        <v>2162.84</v>
      </c>
      <c r="L4555" s="25">
        <v>2.65</v>
      </c>
      <c r="M4555" s="24">
        <v>20617</v>
      </c>
      <c r="N4555" s="25">
        <f>IFERROR(T_reg.root.SK[[#This Row],[Price]]/T_reg.root.SK[[#This Row],[Starch content]],"")</f>
        <v>9.5323741007194229</v>
      </c>
    </row>
    <row r="4556" spans="1:14">
      <c r="A4556" s="21">
        <v>2024</v>
      </c>
      <c r="B4556" s="21" t="s">
        <v>28</v>
      </c>
      <c r="C4556" s="21" t="s">
        <v>1145</v>
      </c>
      <c r="D4556" s="21" t="s">
        <v>35</v>
      </c>
      <c r="E4556" s="18" t="s">
        <v>172</v>
      </c>
      <c r="F4556" s="18" t="s">
        <v>105</v>
      </c>
      <c r="G4556" s="18" t="s">
        <v>48</v>
      </c>
      <c r="H4556" s="24">
        <v>103500</v>
      </c>
      <c r="I4556" s="24">
        <f>T_reg.root.SK[[#This Row],[Volume, kg]]/1000</f>
        <v>103.5</v>
      </c>
      <c r="J4556" s="25">
        <v>0.24489999999999998</v>
      </c>
      <c r="K4556" s="25">
        <f t="shared" si="71"/>
        <v>25347.149999999998</v>
      </c>
      <c r="L4556" s="25">
        <v>2.44</v>
      </c>
      <c r="M4556" s="24">
        <v>252671.5</v>
      </c>
      <c r="N4556" s="25">
        <f>IFERROR(T_reg.root.SK[[#This Row],[Price]]/T_reg.root.SK[[#This Row],[Starch content]],"")</f>
        <v>9.9632503062474491</v>
      </c>
    </row>
    <row r="4557" spans="1:14">
      <c r="A4557" s="21">
        <v>2024</v>
      </c>
      <c r="B4557" s="21" t="s">
        <v>28</v>
      </c>
      <c r="C4557" s="21" t="s">
        <v>1145</v>
      </c>
      <c r="D4557" s="21" t="s">
        <v>35</v>
      </c>
      <c r="E4557" s="18" t="s">
        <v>321</v>
      </c>
      <c r="F4557" s="18" t="s">
        <v>105</v>
      </c>
      <c r="G4557" s="18" t="s">
        <v>48</v>
      </c>
      <c r="H4557" s="24">
        <v>36420</v>
      </c>
      <c r="I4557" s="24">
        <f>T_reg.root.SK[[#This Row],[Volume, kg]]/1000</f>
        <v>36.42</v>
      </c>
      <c r="J4557" s="25">
        <v>0.27200000000000002</v>
      </c>
      <c r="K4557" s="25">
        <f t="shared" si="71"/>
        <v>9906.2400000000016</v>
      </c>
      <c r="L4557" s="25">
        <v>2.61</v>
      </c>
      <c r="M4557" s="24">
        <v>95208</v>
      </c>
      <c r="N4557" s="25">
        <f>IFERROR(T_reg.root.SK[[#This Row],[Price]]/T_reg.root.SK[[#This Row],[Starch content]],"")</f>
        <v>9.595588235294116</v>
      </c>
    </row>
    <row r="4558" spans="1:14">
      <c r="A4558" s="21">
        <v>2024</v>
      </c>
      <c r="B4558" s="21" t="s">
        <v>28</v>
      </c>
      <c r="C4558" s="21" t="s">
        <v>1145</v>
      </c>
      <c r="D4558" s="21" t="s">
        <v>35</v>
      </c>
      <c r="E4558" s="18" t="s">
        <v>955</v>
      </c>
      <c r="F4558" s="18" t="s">
        <v>105</v>
      </c>
      <c r="G4558" s="18" t="s">
        <v>48</v>
      </c>
      <c r="H4558" s="24">
        <v>12460</v>
      </c>
      <c r="I4558" s="24">
        <f>T_reg.root.SK[[#This Row],[Volume, kg]]/1000</f>
        <v>12.46</v>
      </c>
      <c r="J4558" s="25">
        <v>0.26500000000000001</v>
      </c>
      <c r="K4558" s="25">
        <f t="shared" si="71"/>
        <v>3301.9</v>
      </c>
      <c r="L4558" s="25">
        <v>2.5499999999999998</v>
      </c>
      <c r="M4558" s="24">
        <v>31773</v>
      </c>
      <c r="N4558" s="25">
        <f>IFERROR(T_reg.root.SK[[#This Row],[Price]]/T_reg.root.SK[[#This Row],[Starch content]],"")</f>
        <v>9.6226415094339615</v>
      </c>
    </row>
    <row r="4559" spans="1:14">
      <c r="A4559" s="21">
        <v>2024</v>
      </c>
      <c r="B4559" s="21" t="s">
        <v>28</v>
      </c>
      <c r="C4559" s="21" t="s">
        <v>1145</v>
      </c>
      <c r="D4559" s="21" t="s">
        <v>35</v>
      </c>
      <c r="E4559" s="18" t="s">
        <v>322</v>
      </c>
      <c r="F4559" s="18" t="s">
        <v>105</v>
      </c>
      <c r="G4559" s="18" t="s">
        <v>48</v>
      </c>
      <c r="H4559" s="24">
        <v>27710</v>
      </c>
      <c r="I4559" s="24">
        <f>T_reg.root.SK[[#This Row],[Volume, kg]]/1000</f>
        <v>27.71</v>
      </c>
      <c r="J4559" s="25">
        <v>0.27979999999999999</v>
      </c>
      <c r="K4559" s="25">
        <f t="shared" si="71"/>
        <v>7753.2579999999998</v>
      </c>
      <c r="L4559" s="25">
        <v>2.62</v>
      </c>
      <c r="M4559" s="24">
        <v>72545.5</v>
      </c>
      <c r="N4559" s="25">
        <f>IFERROR(T_reg.root.SK[[#This Row],[Price]]/T_reg.root.SK[[#This Row],[Starch content]],"")</f>
        <v>9.3638313080771987</v>
      </c>
    </row>
    <row r="4560" spans="1:14">
      <c r="A4560" s="21">
        <v>2024</v>
      </c>
      <c r="B4560" s="21" t="s">
        <v>28</v>
      </c>
      <c r="C4560" s="21" t="s">
        <v>1145</v>
      </c>
      <c r="D4560" s="21" t="s">
        <v>35</v>
      </c>
      <c r="E4560" s="18" t="s">
        <v>173</v>
      </c>
      <c r="F4560" s="18" t="s">
        <v>105</v>
      </c>
      <c r="G4560" s="18" t="s">
        <v>48</v>
      </c>
      <c r="H4560" s="24">
        <v>32200</v>
      </c>
      <c r="I4560" s="24">
        <f>T_reg.root.SK[[#This Row],[Volume, kg]]/1000</f>
        <v>32.200000000000003</v>
      </c>
      <c r="J4560" s="25">
        <v>0.24879999999999999</v>
      </c>
      <c r="K4560" s="25">
        <f t="shared" si="71"/>
        <v>8011.36</v>
      </c>
      <c r="L4560" s="25">
        <v>2.48</v>
      </c>
      <c r="M4560" s="24">
        <v>79904.5</v>
      </c>
      <c r="N4560" s="25">
        <f>IFERROR(T_reg.root.SK[[#This Row],[Price]]/T_reg.root.SK[[#This Row],[Starch content]],"")</f>
        <v>9.9678456591639879</v>
      </c>
    </row>
    <row r="4561" spans="1:14">
      <c r="A4561" s="21">
        <v>2024</v>
      </c>
      <c r="B4561" s="21" t="s">
        <v>28</v>
      </c>
      <c r="C4561" s="21" t="s">
        <v>1145</v>
      </c>
      <c r="D4561" s="21" t="s">
        <v>35</v>
      </c>
      <c r="E4561" s="18" t="s">
        <v>506</v>
      </c>
      <c r="F4561" s="18" t="s">
        <v>105</v>
      </c>
      <c r="G4561" s="18" t="s">
        <v>48</v>
      </c>
      <c r="H4561" s="24">
        <v>17540</v>
      </c>
      <c r="I4561" s="24">
        <f>T_reg.root.SK[[#This Row],[Volume, kg]]/1000</f>
        <v>17.54</v>
      </c>
      <c r="J4561" s="25">
        <v>0.23050000000000001</v>
      </c>
      <c r="K4561" s="25">
        <f t="shared" si="71"/>
        <v>4042.9700000000003</v>
      </c>
      <c r="L4561" s="25">
        <v>2.39</v>
      </c>
      <c r="M4561" s="24">
        <v>41977</v>
      </c>
      <c r="N4561" s="25">
        <f>IFERROR(T_reg.root.SK[[#This Row],[Price]]/T_reg.root.SK[[#This Row],[Starch content]],"")</f>
        <v>10.368763557483732</v>
      </c>
    </row>
    <row r="4562" spans="1:14">
      <c r="A4562" s="21">
        <v>2024</v>
      </c>
      <c r="B4562" s="21" t="s">
        <v>28</v>
      </c>
      <c r="C4562" s="21" t="s">
        <v>1145</v>
      </c>
      <c r="D4562" s="21" t="s">
        <v>35</v>
      </c>
      <c r="E4562" s="18" t="s">
        <v>812</v>
      </c>
      <c r="F4562" s="18" t="s">
        <v>105</v>
      </c>
      <c r="G4562" s="18" t="s">
        <v>48</v>
      </c>
      <c r="H4562" s="24">
        <v>71310</v>
      </c>
      <c r="I4562" s="24">
        <f>T_reg.root.SK[[#This Row],[Volume, kg]]/1000</f>
        <v>71.31</v>
      </c>
      <c r="J4562" s="25">
        <v>0.253</v>
      </c>
      <c r="K4562" s="25">
        <f t="shared" si="71"/>
        <v>18041.43</v>
      </c>
      <c r="L4562" s="25">
        <v>2.52</v>
      </c>
      <c r="M4562" s="24">
        <v>179544</v>
      </c>
      <c r="N4562" s="25">
        <f>IFERROR(T_reg.root.SK[[#This Row],[Price]]/T_reg.root.SK[[#This Row],[Starch content]],"")</f>
        <v>9.9604743083003946</v>
      </c>
    </row>
    <row r="4563" spans="1:14">
      <c r="A4563" s="21">
        <v>2024</v>
      </c>
      <c r="B4563" s="21" t="s">
        <v>28</v>
      </c>
      <c r="C4563" s="21" t="s">
        <v>1145</v>
      </c>
      <c r="D4563" s="21" t="s">
        <v>35</v>
      </c>
      <c r="E4563" s="18" t="s">
        <v>936</v>
      </c>
      <c r="F4563" s="18" t="s">
        <v>105</v>
      </c>
      <c r="G4563" s="18" t="s">
        <v>48</v>
      </c>
      <c r="H4563" s="24">
        <v>9700</v>
      </c>
      <c r="I4563" s="24">
        <f>T_reg.root.SK[[#This Row],[Volume, kg]]/1000</f>
        <v>9.6999999999999993</v>
      </c>
      <c r="J4563" s="25">
        <v>0.25750000000000001</v>
      </c>
      <c r="K4563" s="25">
        <f t="shared" si="71"/>
        <v>2497.75</v>
      </c>
      <c r="L4563" s="25">
        <v>2.5499999999999998</v>
      </c>
      <c r="M4563" s="24">
        <v>24735</v>
      </c>
      <c r="N4563" s="25">
        <f>IFERROR(T_reg.root.SK[[#This Row],[Price]]/T_reg.root.SK[[#This Row],[Starch content]],"")</f>
        <v>9.9029126213592225</v>
      </c>
    </row>
    <row r="4564" spans="1:14">
      <c r="A4564" s="21">
        <v>2024</v>
      </c>
      <c r="B4564" s="21" t="s">
        <v>28</v>
      </c>
      <c r="C4564" s="21" t="s">
        <v>1145</v>
      </c>
      <c r="D4564" s="21" t="s">
        <v>35</v>
      </c>
      <c r="E4564" s="18" t="s">
        <v>956</v>
      </c>
      <c r="F4564" s="18" t="s">
        <v>105</v>
      </c>
      <c r="G4564" s="18" t="s">
        <v>48</v>
      </c>
      <c r="H4564" s="24">
        <v>9800</v>
      </c>
      <c r="I4564" s="24">
        <f>T_reg.root.SK[[#This Row],[Volume, kg]]/1000</f>
        <v>9.8000000000000007</v>
      </c>
      <c r="J4564" s="25">
        <v>0.24850000000000003</v>
      </c>
      <c r="K4564" s="25">
        <f t="shared" si="71"/>
        <v>2435.3000000000002</v>
      </c>
      <c r="L4564" s="25">
        <v>2.5</v>
      </c>
      <c r="M4564" s="24">
        <v>24500</v>
      </c>
      <c r="N4564" s="25">
        <f>IFERROR(T_reg.root.SK[[#This Row],[Price]]/T_reg.root.SK[[#This Row],[Starch content]],"")</f>
        <v>10.060362173038229</v>
      </c>
    </row>
    <row r="4565" spans="1:14">
      <c r="A4565" s="21">
        <v>2024</v>
      </c>
      <c r="B4565" s="21" t="s">
        <v>28</v>
      </c>
      <c r="C4565" s="21" t="s">
        <v>1145</v>
      </c>
      <c r="D4565" s="21" t="s">
        <v>35</v>
      </c>
      <c r="E4565" s="18" t="s">
        <v>938</v>
      </c>
      <c r="F4565" s="18" t="s">
        <v>105</v>
      </c>
      <c r="G4565" s="18" t="s">
        <v>48</v>
      </c>
      <c r="H4565" s="24">
        <v>205330</v>
      </c>
      <c r="I4565" s="24">
        <f>T_reg.root.SK[[#This Row],[Volume, kg]]/1000</f>
        <v>205.33</v>
      </c>
      <c r="J4565" s="25">
        <v>0.24249999999999999</v>
      </c>
      <c r="K4565" s="25">
        <f t="shared" si="71"/>
        <v>49792.525000000001</v>
      </c>
      <c r="L4565" s="25">
        <v>2.44</v>
      </c>
      <c r="M4565" s="24">
        <v>501545</v>
      </c>
      <c r="N4565" s="25">
        <f>IFERROR(T_reg.root.SK[[#This Row],[Price]]/T_reg.root.SK[[#This Row],[Starch content]],"")</f>
        <v>10.061855670103093</v>
      </c>
    </row>
    <row r="4566" spans="1:14">
      <c r="A4566" s="21">
        <v>2024</v>
      </c>
      <c r="B4566" s="21" t="s">
        <v>28</v>
      </c>
      <c r="C4566" s="21" t="s">
        <v>1145</v>
      </c>
      <c r="D4566" s="21" t="s">
        <v>35</v>
      </c>
      <c r="E4566" s="18" t="s">
        <v>957</v>
      </c>
      <c r="F4566" s="18" t="s">
        <v>105</v>
      </c>
      <c r="G4566" s="18" t="s">
        <v>48</v>
      </c>
      <c r="H4566" s="24">
        <v>9530</v>
      </c>
      <c r="I4566" s="24">
        <f>T_reg.root.SK[[#This Row],[Volume, kg]]/1000</f>
        <v>9.5299999999999994</v>
      </c>
      <c r="J4566" s="25">
        <v>0.26200000000000001</v>
      </c>
      <c r="K4566" s="25">
        <f t="shared" si="71"/>
        <v>2496.86</v>
      </c>
      <c r="L4566" s="25">
        <v>2.5499999999999998</v>
      </c>
      <c r="M4566" s="24">
        <v>24301.5</v>
      </c>
      <c r="N4566" s="25">
        <f>IFERROR(T_reg.root.SK[[#This Row],[Price]]/T_reg.root.SK[[#This Row],[Starch content]],"")</f>
        <v>9.7328244274809155</v>
      </c>
    </row>
    <row r="4567" spans="1:14">
      <c r="A4567" s="21">
        <v>2024</v>
      </c>
      <c r="B4567" s="21" t="s">
        <v>28</v>
      </c>
      <c r="C4567" s="21" t="s">
        <v>1145</v>
      </c>
      <c r="D4567" s="21" t="s">
        <v>35</v>
      </c>
      <c r="E4567" s="18" t="s">
        <v>958</v>
      </c>
      <c r="F4567" s="18" t="s">
        <v>105</v>
      </c>
      <c r="G4567" s="18" t="s">
        <v>48</v>
      </c>
      <c r="H4567" s="24">
        <v>47050</v>
      </c>
      <c r="I4567" s="24">
        <f>T_reg.root.SK[[#This Row],[Volume, kg]]/1000</f>
        <v>47.05</v>
      </c>
      <c r="J4567" s="25">
        <v>0.25790000000000002</v>
      </c>
      <c r="K4567" s="25">
        <f t="shared" si="71"/>
        <v>12134.195000000002</v>
      </c>
      <c r="L4567" s="25">
        <v>2.4900000000000002</v>
      </c>
      <c r="M4567" s="24">
        <v>117213</v>
      </c>
      <c r="N4567" s="25">
        <f>IFERROR(T_reg.root.SK[[#This Row],[Price]]/T_reg.root.SK[[#This Row],[Starch content]],"")</f>
        <v>9.6549050019387366</v>
      </c>
    </row>
    <row r="4568" spans="1:14">
      <c r="A4568" s="21">
        <v>2024</v>
      </c>
      <c r="B4568" s="21" t="s">
        <v>28</v>
      </c>
      <c r="C4568" s="21" t="s">
        <v>1145</v>
      </c>
      <c r="D4568" s="21" t="s">
        <v>35</v>
      </c>
      <c r="E4568" s="18" t="s">
        <v>325</v>
      </c>
      <c r="F4568" s="18" t="s">
        <v>105</v>
      </c>
      <c r="G4568" s="18" t="s">
        <v>48</v>
      </c>
      <c r="H4568" s="24">
        <v>24970</v>
      </c>
      <c r="I4568" s="24">
        <f>T_reg.root.SK[[#This Row],[Volume, kg]]/1000</f>
        <v>24.97</v>
      </c>
      <c r="J4568" s="25">
        <v>0.25469999999999998</v>
      </c>
      <c r="K4568" s="25">
        <f t="shared" si="71"/>
        <v>6359.8589999999995</v>
      </c>
      <c r="L4568" s="25">
        <v>2.52</v>
      </c>
      <c r="M4568" s="24">
        <v>62855.5</v>
      </c>
      <c r="N4568" s="25">
        <f>IFERROR(T_reg.root.SK[[#This Row],[Price]]/T_reg.root.SK[[#This Row],[Starch content]],"")</f>
        <v>9.8939929328621918</v>
      </c>
    </row>
    <row r="4569" spans="1:14">
      <c r="A4569" s="21">
        <v>2024</v>
      </c>
      <c r="B4569" s="21" t="s">
        <v>28</v>
      </c>
      <c r="C4569" s="21" t="s">
        <v>1145</v>
      </c>
      <c r="D4569" s="21" t="s">
        <v>35</v>
      </c>
      <c r="E4569" s="18" t="s">
        <v>326</v>
      </c>
      <c r="F4569" s="18" t="s">
        <v>105</v>
      </c>
      <c r="G4569" s="18" t="s">
        <v>48</v>
      </c>
      <c r="H4569" s="24">
        <v>12800</v>
      </c>
      <c r="I4569" s="24">
        <f>T_reg.root.SK[[#This Row],[Volume, kg]]/1000</f>
        <v>12.8</v>
      </c>
      <c r="J4569" s="25">
        <v>0.21</v>
      </c>
      <c r="K4569" s="25">
        <f t="shared" si="71"/>
        <v>2688</v>
      </c>
      <c r="L4569" s="25">
        <v>2.2999999999999998</v>
      </c>
      <c r="M4569" s="24">
        <v>29440</v>
      </c>
      <c r="N4569" s="25">
        <f>IFERROR(T_reg.root.SK[[#This Row],[Price]]/T_reg.root.SK[[#This Row],[Starch content]],"")</f>
        <v>10.952380952380953</v>
      </c>
    </row>
    <row r="4570" spans="1:14">
      <c r="A4570" s="21">
        <v>2024</v>
      </c>
      <c r="B4570" s="21" t="s">
        <v>28</v>
      </c>
      <c r="C4570" s="21" t="s">
        <v>1145</v>
      </c>
      <c r="D4570" s="21" t="s">
        <v>35</v>
      </c>
      <c r="E4570" s="18" t="s">
        <v>174</v>
      </c>
      <c r="F4570" s="18" t="s">
        <v>105</v>
      </c>
      <c r="G4570" s="18" t="s">
        <v>48</v>
      </c>
      <c r="H4570" s="24">
        <v>43010</v>
      </c>
      <c r="I4570" s="24">
        <f>T_reg.root.SK[[#This Row],[Volume, kg]]/1000</f>
        <v>43.01</v>
      </c>
      <c r="J4570" s="25">
        <v>0.21729999999999999</v>
      </c>
      <c r="K4570" s="25">
        <f t="shared" si="71"/>
        <v>9346.0730000000003</v>
      </c>
      <c r="L4570" s="25">
        <v>2.3199999999999998</v>
      </c>
      <c r="M4570" s="24">
        <v>99787</v>
      </c>
      <c r="N4570" s="25">
        <f>IFERROR(T_reg.root.SK[[#This Row],[Price]]/T_reg.root.SK[[#This Row],[Starch content]],"")</f>
        <v>10.676484123331798</v>
      </c>
    </row>
    <row r="4571" spans="1:14">
      <c r="A4571" s="21">
        <v>2024</v>
      </c>
      <c r="B4571" s="21" t="s">
        <v>28</v>
      </c>
      <c r="C4571" s="21" t="s">
        <v>1145</v>
      </c>
      <c r="D4571" s="21" t="s">
        <v>35</v>
      </c>
      <c r="E4571" s="18" t="s">
        <v>327</v>
      </c>
      <c r="F4571" s="18" t="s">
        <v>105</v>
      </c>
      <c r="G4571" s="18" t="s">
        <v>48</v>
      </c>
      <c r="H4571" s="24">
        <v>42270</v>
      </c>
      <c r="I4571" s="24">
        <f>T_reg.root.SK[[#This Row],[Volume, kg]]/1000</f>
        <v>42.27</v>
      </c>
      <c r="J4571" s="25">
        <v>0.18479999999999999</v>
      </c>
      <c r="K4571" s="25">
        <f t="shared" si="71"/>
        <v>7811.4960000000001</v>
      </c>
      <c r="L4571" s="25">
        <v>2.17</v>
      </c>
      <c r="M4571" s="24">
        <v>91784</v>
      </c>
      <c r="N4571" s="25">
        <f>IFERROR(T_reg.root.SK[[#This Row],[Price]]/T_reg.root.SK[[#This Row],[Starch content]],"")</f>
        <v>11.742424242424242</v>
      </c>
    </row>
    <row r="4572" spans="1:14">
      <c r="A4572" s="21">
        <v>2024</v>
      </c>
      <c r="B4572" s="21" t="s">
        <v>28</v>
      </c>
      <c r="C4572" s="21" t="s">
        <v>1145</v>
      </c>
      <c r="D4572" s="21" t="s">
        <v>35</v>
      </c>
      <c r="E4572" s="18" t="s">
        <v>175</v>
      </c>
      <c r="F4572" s="18" t="s">
        <v>105</v>
      </c>
      <c r="G4572" s="18" t="s">
        <v>48</v>
      </c>
      <c r="H4572" s="24">
        <v>12190</v>
      </c>
      <c r="I4572" s="24">
        <f>T_reg.root.SK[[#This Row],[Volume, kg]]/1000</f>
        <v>12.19</v>
      </c>
      <c r="J4572" s="25">
        <v>0.22030000000000002</v>
      </c>
      <c r="K4572" s="25">
        <f t="shared" si="71"/>
        <v>2685.4570000000003</v>
      </c>
      <c r="L4572" s="25">
        <v>2.35</v>
      </c>
      <c r="M4572" s="24">
        <v>28646.5</v>
      </c>
      <c r="N4572" s="25">
        <f>IFERROR(T_reg.root.SK[[#This Row],[Price]]/T_reg.root.SK[[#This Row],[Starch content]],"")</f>
        <v>10.667271901951883</v>
      </c>
    </row>
    <row r="4573" spans="1:14">
      <c r="A4573" s="21">
        <v>2024</v>
      </c>
      <c r="B4573" s="21" t="s">
        <v>28</v>
      </c>
      <c r="C4573" s="21" t="s">
        <v>1145</v>
      </c>
      <c r="D4573" s="21" t="s">
        <v>35</v>
      </c>
      <c r="E4573" s="18" t="s">
        <v>176</v>
      </c>
      <c r="F4573" s="18" t="s">
        <v>105</v>
      </c>
      <c r="G4573" s="18" t="s">
        <v>48</v>
      </c>
      <c r="H4573" s="24">
        <v>4380</v>
      </c>
      <c r="I4573" s="24">
        <f>T_reg.root.SK[[#This Row],[Volume, kg]]/1000</f>
        <v>4.38</v>
      </c>
      <c r="J4573" s="25">
        <v>0.25800000000000001</v>
      </c>
      <c r="K4573" s="25">
        <f t="shared" si="71"/>
        <v>1130.04</v>
      </c>
      <c r="L4573" s="25">
        <v>2.4500000000000002</v>
      </c>
      <c r="M4573" s="24">
        <v>10731</v>
      </c>
      <c r="N4573" s="25">
        <f>IFERROR(T_reg.root.SK[[#This Row],[Price]]/T_reg.root.SK[[#This Row],[Starch content]],"")</f>
        <v>9.4961240310077528</v>
      </c>
    </row>
    <row r="4574" spans="1:14">
      <c r="A4574" s="21">
        <v>2024</v>
      </c>
      <c r="B4574" s="21" t="s">
        <v>28</v>
      </c>
      <c r="C4574" s="21" t="s">
        <v>1145</v>
      </c>
      <c r="D4574" s="21" t="s">
        <v>35</v>
      </c>
      <c r="E4574" s="18" t="s">
        <v>605</v>
      </c>
      <c r="F4574" s="18" t="s">
        <v>105</v>
      </c>
      <c r="G4574" s="18" t="s">
        <v>48</v>
      </c>
      <c r="H4574" s="24">
        <v>299010</v>
      </c>
      <c r="I4574" s="24">
        <f>T_reg.root.SK[[#This Row],[Volume, kg]]/1000</f>
        <v>299.01</v>
      </c>
      <c r="J4574" s="25">
        <v>0.25079999999999997</v>
      </c>
      <c r="K4574" s="25">
        <f t="shared" si="71"/>
        <v>74991.707999999984</v>
      </c>
      <c r="L4574" s="25">
        <v>2.4900000000000002</v>
      </c>
      <c r="M4574" s="24">
        <v>744058</v>
      </c>
      <c r="N4574" s="25">
        <f>IFERROR(T_reg.root.SK[[#This Row],[Price]]/T_reg.root.SK[[#This Row],[Starch content]],"")</f>
        <v>9.9282296650717718</v>
      </c>
    </row>
    <row r="4575" spans="1:14">
      <c r="A4575" s="21">
        <v>2024</v>
      </c>
      <c r="B4575" s="21" t="s">
        <v>28</v>
      </c>
      <c r="C4575" s="21" t="s">
        <v>1145</v>
      </c>
      <c r="D4575" s="21" t="s">
        <v>35</v>
      </c>
      <c r="E4575" s="18" t="s">
        <v>259</v>
      </c>
      <c r="F4575" s="18" t="s">
        <v>105</v>
      </c>
      <c r="G4575" s="18" t="s">
        <v>48</v>
      </c>
      <c r="H4575" s="24">
        <v>38620</v>
      </c>
      <c r="I4575" s="24">
        <f>T_reg.root.SK[[#This Row],[Volume, kg]]/1000</f>
        <v>38.619999999999997</v>
      </c>
      <c r="J4575" s="25">
        <v>0.25409999999999999</v>
      </c>
      <c r="K4575" s="25">
        <f t="shared" si="71"/>
        <v>9813.3420000000006</v>
      </c>
      <c r="L4575" s="25">
        <v>2.48</v>
      </c>
      <c r="M4575" s="24">
        <v>95670</v>
      </c>
      <c r="N4575" s="25">
        <f>IFERROR(T_reg.root.SK[[#This Row],[Price]]/T_reg.root.SK[[#This Row],[Starch content]],"")</f>
        <v>9.7599370326643058</v>
      </c>
    </row>
    <row r="4576" spans="1:14">
      <c r="A4576" s="21">
        <v>2024</v>
      </c>
      <c r="B4576" s="21" t="s">
        <v>28</v>
      </c>
      <c r="C4576" s="21" t="s">
        <v>1145</v>
      </c>
      <c r="D4576" s="21" t="s">
        <v>35</v>
      </c>
      <c r="E4576" s="18" t="s">
        <v>179</v>
      </c>
      <c r="F4576" s="18" t="s">
        <v>105</v>
      </c>
      <c r="G4576" s="18" t="s">
        <v>48</v>
      </c>
      <c r="H4576" s="24">
        <v>21680</v>
      </c>
      <c r="I4576" s="24">
        <f>T_reg.root.SK[[#This Row],[Volume, kg]]/1000</f>
        <v>21.68</v>
      </c>
      <c r="J4576" s="25">
        <v>0.23519999999999999</v>
      </c>
      <c r="K4576" s="25">
        <f t="shared" si="71"/>
        <v>5099.1359999999995</v>
      </c>
      <c r="L4576" s="25">
        <v>2.4300000000000002</v>
      </c>
      <c r="M4576" s="24">
        <v>52696</v>
      </c>
      <c r="N4576" s="25">
        <f>IFERROR(T_reg.root.SK[[#This Row],[Price]]/T_reg.root.SK[[#This Row],[Starch content]],"")</f>
        <v>10.331632653061225</v>
      </c>
    </row>
    <row r="4577" spans="1:14">
      <c r="A4577" s="21">
        <v>2024</v>
      </c>
      <c r="B4577" s="21" t="s">
        <v>28</v>
      </c>
      <c r="C4577" s="21" t="s">
        <v>1145</v>
      </c>
      <c r="D4577" s="21" t="s">
        <v>35</v>
      </c>
      <c r="E4577" s="18" t="s">
        <v>181</v>
      </c>
      <c r="F4577" s="18" t="s">
        <v>105</v>
      </c>
      <c r="G4577" s="18" t="s">
        <v>48</v>
      </c>
      <c r="H4577" s="24">
        <v>49270</v>
      </c>
      <c r="I4577" s="24">
        <f>T_reg.root.SK[[#This Row],[Volume, kg]]/1000</f>
        <v>49.27</v>
      </c>
      <c r="J4577" s="25">
        <v>0.20780000000000001</v>
      </c>
      <c r="K4577" s="25">
        <f t="shared" si="71"/>
        <v>10238.306</v>
      </c>
      <c r="L4577" s="25">
        <v>2.2599999999999998</v>
      </c>
      <c r="M4577" s="24">
        <v>111567.5</v>
      </c>
      <c r="N4577" s="25">
        <f>IFERROR(T_reg.root.SK[[#This Row],[Price]]/T_reg.root.SK[[#This Row],[Starch content]],"")</f>
        <v>10.875842155919152</v>
      </c>
    </row>
    <row r="4578" spans="1:14">
      <c r="A4578" s="21">
        <v>2024</v>
      </c>
      <c r="B4578" s="21" t="s">
        <v>28</v>
      </c>
      <c r="C4578" s="21" t="s">
        <v>1145</v>
      </c>
      <c r="D4578" s="21" t="s">
        <v>35</v>
      </c>
      <c r="E4578" s="18" t="s">
        <v>182</v>
      </c>
      <c r="F4578" s="18" t="s">
        <v>105</v>
      </c>
      <c r="G4578" s="18" t="s">
        <v>48</v>
      </c>
      <c r="H4578" s="24">
        <v>25910</v>
      </c>
      <c r="I4578" s="24">
        <f>T_reg.root.SK[[#This Row],[Volume, kg]]/1000</f>
        <v>25.91</v>
      </c>
      <c r="J4578" s="25">
        <v>0.2339</v>
      </c>
      <c r="K4578" s="25">
        <f t="shared" si="71"/>
        <v>6060.3490000000002</v>
      </c>
      <c r="L4578" s="25">
        <v>2.41</v>
      </c>
      <c r="M4578" s="24">
        <v>62553.5</v>
      </c>
      <c r="N4578" s="25">
        <f>IFERROR(T_reg.root.SK[[#This Row],[Price]]/T_reg.root.SK[[#This Row],[Starch content]],"")</f>
        <v>10.303548525010688</v>
      </c>
    </row>
    <row r="4579" spans="1:14">
      <c r="A4579" s="21">
        <v>2024</v>
      </c>
      <c r="B4579" s="21" t="s">
        <v>28</v>
      </c>
      <c r="C4579" s="21" t="s">
        <v>1145</v>
      </c>
      <c r="D4579" s="21" t="s">
        <v>35</v>
      </c>
      <c r="E4579" s="18" t="s">
        <v>793</v>
      </c>
      <c r="F4579" s="18" t="s">
        <v>105</v>
      </c>
      <c r="G4579" s="18" t="s">
        <v>48</v>
      </c>
      <c r="H4579" s="24">
        <v>85560</v>
      </c>
      <c r="I4579" s="24">
        <f>T_reg.root.SK[[#This Row],[Volume, kg]]/1000</f>
        <v>85.56</v>
      </c>
      <c r="J4579" s="25">
        <v>0.26910000000000001</v>
      </c>
      <c r="K4579" s="25">
        <f t="shared" si="71"/>
        <v>23024.196</v>
      </c>
      <c r="L4579" s="25">
        <v>2.57</v>
      </c>
      <c r="M4579" s="24">
        <v>220275.5</v>
      </c>
      <c r="N4579" s="25">
        <f>IFERROR(T_reg.root.SK[[#This Row],[Price]]/T_reg.root.SK[[#This Row],[Starch content]],"")</f>
        <v>9.5503530286138982</v>
      </c>
    </row>
    <row r="4580" spans="1:14">
      <c r="A4580" s="21">
        <v>2024</v>
      </c>
      <c r="B4580" s="21" t="s">
        <v>28</v>
      </c>
      <c r="C4580" s="21" t="s">
        <v>1145</v>
      </c>
      <c r="D4580" s="21" t="s">
        <v>35</v>
      </c>
      <c r="E4580" s="18" t="s">
        <v>640</v>
      </c>
      <c r="F4580" s="18" t="s">
        <v>105</v>
      </c>
      <c r="G4580" s="18" t="s">
        <v>48</v>
      </c>
      <c r="H4580" s="24">
        <v>63690</v>
      </c>
      <c r="I4580" s="24">
        <f>T_reg.root.SK[[#This Row],[Volume, kg]]/1000</f>
        <v>63.69</v>
      </c>
      <c r="J4580" s="25">
        <v>0.23569999999999999</v>
      </c>
      <c r="K4580" s="25">
        <f t="shared" si="71"/>
        <v>15011.733</v>
      </c>
      <c r="L4580" s="25">
        <v>2.42</v>
      </c>
      <c r="M4580" s="24">
        <v>153871.5</v>
      </c>
      <c r="N4580" s="25">
        <f>IFERROR(T_reg.root.SK[[#This Row],[Price]]/T_reg.root.SK[[#This Row],[Starch content]],"")</f>
        <v>10.267288926601612</v>
      </c>
    </row>
    <row r="4581" spans="1:14">
      <c r="A4581" s="21">
        <v>2024</v>
      </c>
      <c r="B4581" s="21" t="s">
        <v>28</v>
      </c>
      <c r="C4581" s="21" t="s">
        <v>1145</v>
      </c>
      <c r="D4581" s="21" t="s">
        <v>35</v>
      </c>
      <c r="E4581" s="18" t="s">
        <v>829</v>
      </c>
      <c r="F4581" s="18" t="s">
        <v>105</v>
      </c>
      <c r="G4581" s="18" t="s">
        <v>48</v>
      </c>
      <c r="H4581" s="24">
        <v>56320</v>
      </c>
      <c r="I4581" s="24">
        <f>T_reg.root.SK[[#This Row],[Volume, kg]]/1000</f>
        <v>56.32</v>
      </c>
      <c r="J4581" s="25">
        <v>0.24530000000000002</v>
      </c>
      <c r="K4581" s="25">
        <f t="shared" si="71"/>
        <v>13815.296</v>
      </c>
      <c r="L4581" s="25">
        <v>2.48</v>
      </c>
      <c r="M4581" s="24">
        <v>139801</v>
      </c>
      <c r="N4581" s="25">
        <f>IFERROR(T_reg.root.SK[[#This Row],[Price]]/T_reg.root.SK[[#This Row],[Starch content]],"")</f>
        <v>10.110069302894415</v>
      </c>
    </row>
    <row r="4582" spans="1:14">
      <c r="A4582" s="21">
        <v>2024</v>
      </c>
      <c r="B4582" s="21" t="s">
        <v>28</v>
      </c>
      <c r="C4582" s="21" t="s">
        <v>1145</v>
      </c>
      <c r="D4582" s="21" t="s">
        <v>35</v>
      </c>
      <c r="E4582" s="18" t="s">
        <v>641</v>
      </c>
      <c r="F4582" s="18" t="s">
        <v>105</v>
      </c>
      <c r="G4582" s="18" t="s">
        <v>48</v>
      </c>
      <c r="H4582" s="24">
        <v>28730</v>
      </c>
      <c r="I4582" s="24">
        <f>T_reg.root.SK[[#This Row],[Volume, kg]]/1000</f>
        <v>28.73</v>
      </c>
      <c r="J4582" s="25">
        <v>0.26579999999999998</v>
      </c>
      <c r="K4582" s="25">
        <f t="shared" si="71"/>
        <v>7636.4339999999993</v>
      </c>
      <c r="L4582" s="25">
        <v>2.58</v>
      </c>
      <c r="M4582" s="24">
        <v>74084</v>
      </c>
      <c r="N4582" s="25">
        <f>IFERROR(T_reg.root.SK[[#This Row],[Price]]/T_reg.root.SK[[#This Row],[Starch content]],"")</f>
        <v>9.7065462753950342</v>
      </c>
    </row>
    <row r="4583" spans="1:14">
      <c r="A4583" s="21">
        <v>2024</v>
      </c>
      <c r="B4583" s="21" t="s">
        <v>28</v>
      </c>
      <c r="C4583" s="21" t="s">
        <v>1145</v>
      </c>
      <c r="D4583" s="21" t="s">
        <v>35</v>
      </c>
      <c r="E4583" s="18" t="s">
        <v>773</v>
      </c>
      <c r="F4583" s="18" t="s">
        <v>105</v>
      </c>
      <c r="G4583" s="18" t="s">
        <v>48</v>
      </c>
      <c r="H4583" s="24">
        <v>19610</v>
      </c>
      <c r="I4583" s="24">
        <f>T_reg.root.SK[[#This Row],[Volume, kg]]/1000</f>
        <v>19.61</v>
      </c>
      <c r="J4583" s="25">
        <v>0.25340000000000001</v>
      </c>
      <c r="K4583" s="25">
        <f t="shared" si="71"/>
        <v>4969.174</v>
      </c>
      <c r="L4583" s="25">
        <v>2.52</v>
      </c>
      <c r="M4583" s="24">
        <v>49500.5</v>
      </c>
      <c r="N4583" s="25">
        <f>IFERROR(T_reg.root.SK[[#This Row],[Price]]/T_reg.root.SK[[#This Row],[Starch content]],"")</f>
        <v>9.94475138121547</v>
      </c>
    </row>
    <row r="4584" spans="1:14">
      <c r="A4584" s="21">
        <v>2024</v>
      </c>
      <c r="B4584" s="21" t="s">
        <v>28</v>
      </c>
      <c r="C4584" s="21" t="s">
        <v>1145</v>
      </c>
      <c r="D4584" s="21" t="s">
        <v>35</v>
      </c>
      <c r="E4584" s="18" t="s">
        <v>959</v>
      </c>
      <c r="F4584" s="18" t="s">
        <v>105</v>
      </c>
      <c r="G4584" s="18" t="s">
        <v>48</v>
      </c>
      <c r="H4584" s="24">
        <v>29970</v>
      </c>
      <c r="I4584" s="24">
        <f>T_reg.root.SK[[#This Row],[Volume, kg]]/1000</f>
        <v>29.97</v>
      </c>
      <c r="J4584" s="25">
        <v>0.24629999999999999</v>
      </c>
      <c r="K4584" s="25">
        <f t="shared" si="71"/>
        <v>7381.6109999999999</v>
      </c>
      <c r="L4584" s="25">
        <v>2.4900000000000002</v>
      </c>
      <c r="M4584" s="24">
        <v>74480.5</v>
      </c>
      <c r="N4584" s="25">
        <f>IFERROR(T_reg.root.SK[[#This Row],[Price]]/T_reg.root.SK[[#This Row],[Starch content]],"")</f>
        <v>10.109622411693058</v>
      </c>
    </row>
    <row r="4585" spans="1:14">
      <c r="A4585" s="21">
        <v>2024</v>
      </c>
      <c r="B4585" s="21" t="s">
        <v>28</v>
      </c>
      <c r="C4585" s="21" t="s">
        <v>1145</v>
      </c>
      <c r="D4585" s="21" t="s">
        <v>35</v>
      </c>
      <c r="E4585" s="18" t="s">
        <v>183</v>
      </c>
      <c r="F4585" s="18" t="s">
        <v>105</v>
      </c>
      <c r="G4585" s="18" t="s">
        <v>48</v>
      </c>
      <c r="H4585" s="24">
        <v>89900</v>
      </c>
      <c r="I4585" s="24">
        <f>T_reg.root.SK[[#This Row],[Volume, kg]]/1000</f>
        <v>89.9</v>
      </c>
      <c r="J4585" s="25">
        <v>0.28489999999999999</v>
      </c>
      <c r="K4585" s="25">
        <f t="shared" si="71"/>
        <v>25612.51</v>
      </c>
      <c r="L4585" s="25">
        <v>2.61</v>
      </c>
      <c r="M4585" s="24">
        <v>234481.5</v>
      </c>
      <c r="N4585" s="25">
        <f>IFERROR(T_reg.root.SK[[#This Row],[Price]]/T_reg.root.SK[[#This Row],[Starch content]],"")</f>
        <v>9.1611091611091613</v>
      </c>
    </row>
    <row r="4586" spans="1:14">
      <c r="A4586" s="21">
        <v>2024</v>
      </c>
      <c r="B4586" s="21" t="s">
        <v>28</v>
      </c>
      <c r="C4586" s="21" t="s">
        <v>1145</v>
      </c>
      <c r="D4586" s="21" t="s">
        <v>35</v>
      </c>
      <c r="E4586" s="18" t="s">
        <v>330</v>
      </c>
      <c r="F4586" s="18" t="s">
        <v>187</v>
      </c>
      <c r="G4586" s="18" t="s">
        <v>48</v>
      </c>
      <c r="H4586" s="24">
        <v>57250</v>
      </c>
      <c r="I4586" s="24">
        <f>T_reg.root.SK[[#This Row],[Volume, kg]]/1000</f>
        <v>57.25</v>
      </c>
      <c r="J4586" s="25">
        <v>0.2525</v>
      </c>
      <c r="K4586" s="25">
        <f t="shared" si="71"/>
        <v>14455.625</v>
      </c>
      <c r="L4586" s="25">
        <v>2.5099999999999998</v>
      </c>
      <c r="M4586" s="24">
        <v>143843.5</v>
      </c>
      <c r="N4586" s="25">
        <f>IFERROR(T_reg.root.SK[[#This Row],[Price]]/T_reg.root.SK[[#This Row],[Starch content]],"")</f>
        <v>9.9405940594059405</v>
      </c>
    </row>
    <row r="4587" spans="1:14">
      <c r="A4587" s="21">
        <v>2024</v>
      </c>
      <c r="B4587" s="21" t="s">
        <v>28</v>
      </c>
      <c r="C4587" s="21" t="s">
        <v>1145</v>
      </c>
      <c r="D4587" s="21" t="s">
        <v>35</v>
      </c>
      <c r="E4587" s="18" t="s">
        <v>579</v>
      </c>
      <c r="F4587" s="18" t="s">
        <v>187</v>
      </c>
      <c r="G4587" s="18" t="s">
        <v>48</v>
      </c>
      <c r="H4587" s="24">
        <v>31630</v>
      </c>
      <c r="I4587" s="24">
        <f>T_reg.root.SK[[#This Row],[Volume, kg]]/1000</f>
        <v>31.63</v>
      </c>
      <c r="J4587" s="25">
        <v>0.25129999999999997</v>
      </c>
      <c r="K4587" s="25">
        <f t="shared" si="71"/>
        <v>7948.6189999999988</v>
      </c>
      <c r="L4587" s="25">
        <v>2.4</v>
      </c>
      <c r="M4587" s="24">
        <v>76023.5</v>
      </c>
      <c r="N4587" s="25">
        <f>IFERROR(T_reg.root.SK[[#This Row],[Price]]/T_reg.root.SK[[#This Row],[Starch content]],"")</f>
        <v>9.5503382411460418</v>
      </c>
    </row>
    <row r="4588" spans="1:14">
      <c r="A4588" s="21">
        <v>2024</v>
      </c>
      <c r="B4588" s="21" t="s">
        <v>28</v>
      </c>
      <c r="C4588" s="21" t="s">
        <v>1145</v>
      </c>
      <c r="D4588" s="21" t="s">
        <v>35</v>
      </c>
      <c r="E4588" s="18" t="s">
        <v>186</v>
      </c>
      <c r="F4588" s="18" t="s">
        <v>187</v>
      </c>
      <c r="G4588" s="18" t="s">
        <v>48</v>
      </c>
      <c r="H4588" s="24">
        <v>23470</v>
      </c>
      <c r="I4588" s="24">
        <f>T_reg.root.SK[[#This Row],[Volume, kg]]/1000</f>
        <v>23.47</v>
      </c>
      <c r="J4588" s="25">
        <v>0.21539999999999998</v>
      </c>
      <c r="K4588" s="25">
        <f t="shared" si="71"/>
        <v>5055.4379999999992</v>
      </c>
      <c r="L4588" s="25">
        <v>2.3199999999999998</v>
      </c>
      <c r="M4588" s="24">
        <v>54449.5</v>
      </c>
      <c r="N4588" s="25">
        <f>IFERROR(T_reg.root.SK[[#This Row],[Price]]/T_reg.root.SK[[#This Row],[Starch content]],"")</f>
        <v>10.770659238625813</v>
      </c>
    </row>
    <row r="4589" spans="1:14">
      <c r="A4589" s="21">
        <v>2024</v>
      </c>
      <c r="B4589" s="21" t="s">
        <v>28</v>
      </c>
      <c r="C4589" s="21" t="s">
        <v>1145</v>
      </c>
      <c r="D4589" s="21" t="s">
        <v>35</v>
      </c>
      <c r="E4589" s="18" t="s">
        <v>188</v>
      </c>
      <c r="F4589" s="18" t="s">
        <v>187</v>
      </c>
      <c r="G4589" s="18" t="s">
        <v>48</v>
      </c>
      <c r="H4589" s="24">
        <v>72200</v>
      </c>
      <c r="I4589" s="24">
        <f>T_reg.root.SK[[#This Row],[Volume, kg]]/1000</f>
        <v>72.2</v>
      </c>
      <c r="J4589" s="25">
        <v>0.2349</v>
      </c>
      <c r="K4589" s="25">
        <f t="shared" si="71"/>
        <v>16959.78</v>
      </c>
      <c r="L4589" s="25">
        <v>2.42</v>
      </c>
      <c r="M4589" s="24">
        <v>174963.5</v>
      </c>
      <c r="N4589" s="25">
        <f>IFERROR(T_reg.root.SK[[#This Row],[Price]]/T_reg.root.SK[[#This Row],[Starch content]],"")</f>
        <v>10.302256279267773</v>
      </c>
    </row>
    <row r="4590" spans="1:14">
      <c r="A4590" s="21">
        <v>2024</v>
      </c>
      <c r="B4590" s="21" t="s">
        <v>28</v>
      </c>
      <c r="C4590" s="21" t="s">
        <v>1145</v>
      </c>
      <c r="D4590" s="21" t="s">
        <v>35</v>
      </c>
      <c r="E4590" s="18" t="s">
        <v>190</v>
      </c>
      <c r="F4590" s="18" t="s">
        <v>187</v>
      </c>
      <c r="G4590" s="18" t="s">
        <v>48</v>
      </c>
      <c r="H4590" s="24">
        <v>15260</v>
      </c>
      <c r="I4590" s="24">
        <f>T_reg.root.SK[[#This Row],[Volume, kg]]/1000</f>
        <v>15.26</v>
      </c>
      <c r="J4590" s="25">
        <v>0.27600000000000002</v>
      </c>
      <c r="K4590" s="25">
        <f t="shared" si="71"/>
        <v>4211.76</v>
      </c>
      <c r="L4590" s="25">
        <v>2.62</v>
      </c>
      <c r="M4590" s="24">
        <v>39983</v>
      </c>
      <c r="N4590" s="25">
        <f>IFERROR(T_reg.root.SK[[#This Row],[Price]]/T_reg.root.SK[[#This Row],[Starch content]],"")</f>
        <v>9.4927536231884062</v>
      </c>
    </row>
    <row r="4591" spans="1:14">
      <c r="A4591" s="21">
        <v>2024</v>
      </c>
      <c r="B4591" s="21" t="s">
        <v>28</v>
      </c>
      <c r="C4591" s="21" t="s">
        <v>1145</v>
      </c>
      <c r="D4591" s="21" t="s">
        <v>35</v>
      </c>
      <c r="E4591" s="18" t="s">
        <v>510</v>
      </c>
      <c r="F4591" s="18" t="s">
        <v>187</v>
      </c>
      <c r="G4591" s="18" t="s">
        <v>48</v>
      </c>
      <c r="H4591" s="24">
        <v>19280</v>
      </c>
      <c r="I4591" s="24">
        <f>T_reg.root.SK[[#This Row],[Volume, kg]]/1000</f>
        <v>19.28</v>
      </c>
      <c r="J4591" s="25">
        <v>0.21280000000000002</v>
      </c>
      <c r="K4591" s="25">
        <f t="shared" si="71"/>
        <v>4102.7840000000006</v>
      </c>
      <c r="L4591" s="25">
        <v>2.2999999999999998</v>
      </c>
      <c r="M4591" s="24">
        <v>44344</v>
      </c>
      <c r="N4591" s="25">
        <f>IFERROR(T_reg.root.SK[[#This Row],[Price]]/T_reg.root.SK[[#This Row],[Starch content]],"")</f>
        <v>10.808270676691727</v>
      </c>
    </row>
    <row r="4592" spans="1:14">
      <c r="A4592" s="21">
        <v>2024</v>
      </c>
      <c r="B4592" s="21" t="s">
        <v>28</v>
      </c>
      <c r="C4592" s="21" t="s">
        <v>1145</v>
      </c>
      <c r="D4592" s="21" t="s">
        <v>35</v>
      </c>
      <c r="E4592" s="18" t="s">
        <v>583</v>
      </c>
      <c r="F4592" s="18" t="s">
        <v>187</v>
      </c>
      <c r="G4592" s="18" t="s">
        <v>48</v>
      </c>
      <c r="H4592" s="24">
        <v>63910</v>
      </c>
      <c r="I4592" s="24">
        <f>T_reg.root.SK[[#This Row],[Volume, kg]]/1000</f>
        <v>63.91</v>
      </c>
      <c r="J4592" s="25">
        <v>0.25540000000000002</v>
      </c>
      <c r="K4592" s="25">
        <f t="shared" si="71"/>
        <v>16322.614000000001</v>
      </c>
      <c r="L4592" s="25">
        <v>2.5299999999999998</v>
      </c>
      <c r="M4592" s="24">
        <v>161377</v>
      </c>
      <c r="N4592" s="25">
        <f>IFERROR(T_reg.root.SK[[#This Row],[Price]]/T_reg.root.SK[[#This Row],[Starch content]],"")</f>
        <v>9.9060297572435374</v>
      </c>
    </row>
    <row r="4593" spans="1:14">
      <c r="A4593" s="21">
        <v>2024</v>
      </c>
      <c r="B4593" s="21" t="s">
        <v>28</v>
      </c>
      <c r="C4593" s="21" t="s">
        <v>1145</v>
      </c>
      <c r="D4593" s="21" t="s">
        <v>35</v>
      </c>
      <c r="E4593" s="18" t="s">
        <v>723</v>
      </c>
      <c r="F4593" s="18" t="s">
        <v>187</v>
      </c>
      <c r="G4593" s="18" t="s">
        <v>48</v>
      </c>
      <c r="H4593" s="24">
        <v>8350</v>
      </c>
      <c r="I4593" s="24">
        <f>T_reg.root.SK[[#This Row],[Volume, kg]]/1000</f>
        <v>8.35</v>
      </c>
      <c r="J4593" s="25">
        <v>0.249</v>
      </c>
      <c r="K4593" s="25">
        <f t="shared" si="71"/>
        <v>2079.15</v>
      </c>
      <c r="L4593" s="25">
        <v>2.5</v>
      </c>
      <c r="M4593" s="24">
        <v>20875</v>
      </c>
      <c r="N4593" s="25">
        <f>IFERROR(T_reg.root.SK[[#This Row],[Price]]/T_reg.root.SK[[#This Row],[Starch content]],"")</f>
        <v>10.040160642570282</v>
      </c>
    </row>
    <row r="4594" spans="1:14">
      <c r="A4594" s="21">
        <v>2024</v>
      </c>
      <c r="B4594" s="21" t="s">
        <v>28</v>
      </c>
      <c r="C4594" s="21" t="s">
        <v>1145</v>
      </c>
      <c r="D4594" s="21" t="s">
        <v>35</v>
      </c>
      <c r="E4594" s="18" t="s">
        <v>960</v>
      </c>
      <c r="F4594" s="18" t="s">
        <v>187</v>
      </c>
      <c r="G4594" s="18" t="s">
        <v>48</v>
      </c>
      <c r="H4594" s="24">
        <v>11580</v>
      </c>
      <c r="I4594" s="24">
        <f>T_reg.root.SK[[#This Row],[Volume, kg]]/1000</f>
        <v>11.58</v>
      </c>
      <c r="J4594" s="25">
        <v>0.253</v>
      </c>
      <c r="K4594" s="25">
        <f t="shared" si="71"/>
        <v>2929.7400000000002</v>
      </c>
      <c r="L4594" s="25">
        <v>2.4500000000000002</v>
      </c>
      <c r="M4594" s="24">
        <v>28371</v>
      </c>
      <c r="N4594" s="25">
        <f>IFERROR(T_reg.root.SK[[#This Row],[Price]]/T_reg.root.SK[[#This Row],[Starch content]],"")</f>
        <v>9.6837944664031621</v>
      </c>
    </row>
    <row r="4595" spans="1:14">
      <c r="A4595" s="21">
        <v>2024</v>
      </c>
      <c r="B4595" s="21" t="s">
        <v>28</v>
      </c>
      <c r="C4595" s="21" t="s">
        <v>1145</v>
      </c>
      <c r="D4595" s="21" t="s">
        <v>35</v>
      </c>
      <c r="E4595" s="18" t="s">
        <v>261</v>
      </c>
      <c r="F4595" s="18" t="s">
        <v>187</v>
      </c>
      <c r="G4595" s="18" t="s">
        <v>48</v>
      </c>
      <c r="H4595" s="24">
        <v>6280</v>
      </c>
      <c r="I4595" s="24">
        <f>T_reg.root.SK[[#This Row],[Volume, kg]]/1000</f>
        <v>6.28</v>
      </c>
      <c r="J4595" s="25">
        <v>0.20350000000000001</v>
      </c>
      <c r="K4595" s="25">
        <f t="shared" si="71"/>
        <v>1277.98</v>
      </c>
      <c r="L4595" s="25">
        <v>2.25</v>
      </c>
      <c r="M4595" s="24">
        <v>14130</v>
      </c>
      <c r="N4595" s="25">
        <f>IFERROR(T_reg.root.SK[[#This Row],[Price]]/T_reg.root.SK[[#This Row],[Starch content]],"")</f>
        <v>11.056511056511056</v>
      </c>
    </row>
    <row r="4596" spans="1:14">
      <c r="A4596" s="21">
        <v>2024</v>
      </c>
      <c r="B4596" s="21" t="s">
        <v>28</v>
      </c>
      <c r="C4596" s="21" t="s">
        <v>1145</v>
      </c>
      <c r="D4596" s="21" t="s">
        <v>35</v>
      </c>
      <c r="E4596" s="18" t="s">
        <v>961</v>
      </c>
      <c r="F4596" s="18" t="s">
        <v>187</v>
      </c>
      <c r="G4596" s="18" t="s">
        <v>48</v>
      </c>
      <c r="H4596" s="24">
        <v>6690</v>
      </c>
      <c r="I4596" s="24">
        <f>T_reg.root.SK[[#This Row],[Volume, kg]]/1000</f>
        <v>6.69</v>
      </c>
      <c r="J4596" s="25">
        <v>0.215</v>
      </c>
      <c r="K4596" s="25">
        <f t="shared" si="71"/>
        <v>1438.35</v>
      </c>
      <c r="L4596" s="25">
        <v>2.35</v>
      </c>
      <c r="M4596" s="24">
        <v>15721.5</v>
      </c>
      <c r="N4596" s="25">
        <f>IFERROR(T_reg.root.SK[[#This Row],[Price]]/T_reg.root.SK[[#This Row],[Starch content]],"")</f>
        <v>10.930232558139535</v>
      </c>
    </row>
    <row r="4597" spans="1:14">
      <c r="A4597" s="21">
        <v>2024</v>
      </c>
      <c r="B4597" s="21" t="s">
        <v>28</v>
      </c>
      <c r="C4597" s="21" t="s">
        <v>1145</v>
      </c>
      <c r="D4597" s="21" t="s">
        <v>35</v>
      </c>
      <c r="E4597" s="18" t="s">
        <v>192</v>
      </c>
      <c r="F4597" s="18" t="s">
        <v>187</v>
      </c>
      <c r="G4597" s="18" t="s">
        <v>48</v>
      </c>
      <c r="H4597" s="24">
        <v>48570</v>
      </c>
      <c r="I4597" s="24">
        <f>T_reg.root.SK[[#This Row],[Volume, kg]]/1000</f>
        <v>48.57</v>
      </c>
      <c r="J4597" s="25">
        <v>0.25739999999999996</v>
      </c>
      <c r="K4597" s="25">
        <f t="shared" si="71"/>
        <v>12501.917999999998</v>
      </c>
      <c r="L4597" s="25">
        <v>2.5299999999999998</v>
      </c>
      <c r="M4597" s="24">
        <v>122961.5</v>
      </c>
      <c r="N4597" s="25">
        <f>IFERROR(T_reg.root.SK[[#This Row],[Price]]/T_reg.root.SK[[#This Row],[Starch content]],"")</f>
        <v>9.8290598290598297</v>
      </c>
    </row>
    <row r="4598" spans="1:14">
      <c r="A4598" s="21">
        <v>2024</v>
      </c>
      <c r="B4598" s="21" t="s">
        <v>28</v>
      </c>
      <c r="C4598" s="21" t="s">
        <v>1145</v>
      </c>
      <c r="D4598" s="21" t="s">
        <v>35</v>
      </c>
      <c r="E4598" s="18" t="s">
        <v>193</v>
      </c>
      <c r="F4598" s="18" t="s">
        <v>187</v>
      </c>
      <c r="G4598" s="18" t="s">
        <v>48</v>
      </c>
      <c r="H4598" s="24">
        <v>9140</v>
      </c>
      <c r="I4598" s="24">
        <f>T_reg.root.SK[[#This Row],[Volume, kg]]/1000</f>
        <v>9.14</v>
      </c>
      <c r="J4598" s="25">
        <v>0.23649999999999999</v>
      </c>
      <c r="K4598" s="25">
        <f t="shared" si="71"/>
        <v>2161.6099999999997</v>
      </c>
      <c r="L4598" s="25">
        <v>2.4500000000000002</v>
      </c>
      <c r="M4598" s="24">
        <v>22393</v>
      </c>
      <c r="N4598" s="25">
        <f>IFERROR(T_reg.root.SK[[#This Row],[Price]]/T_reg.root.SK[[#This Row],[Starch content]],"")</f>
        <v>10.359408033826639</v>
      </c>
    </row>
    <row r="4599" spans="1:14">
      <c r="A4599" s="21">
        <v>2024</v>
      </c>
      <c r="B4599" s="21" t="s">
        <v>28</v>
      </c>
      <c r="C4599" s="21" t="s">
        <v>1145</v>
      </c>
      <c r="D4599" s="21" t="s">
        <v>35</v>
      </c>
      <c r="E4599" s="18" t="s">
        <v>262</v>
      </c>
      <c r="F4599" s="18" t="s">
        <v>187</v>
      </c>
      <c r="G4599" s="18" t="s">
        <v>48</v>
      </c>
      <c r="H4599" s="24">
        <v>28690</v>
      </c>
      <c r="I4599" s="24">
        <f>T_reg.root.SK[[#This Row],[Volume, kg]]/1000</f>
        <v>28.69</v>
      </c>
      <c r="J4599" s="25">
        <v>0.23070000000000002</v>
      </c>
      <c r="K4599" s="25">
        <f t="shared" si="71"/>
        <v>6618.7830000000004</v>
      </c>
      <c r="L4599" s="25">
        <v>2.39</v>
      </c>
      <c r="M4599" s="24">
        <v>68460.5</v>
      </c>
      <c r="N4599" s="25">
        <f>IFERROR(T_reg.root.SK[[#This Row],[Price]]/T_reg.root.SK[[#This Row],[Starch content]],"")</f>
        <v>10.35977459904638</v>
      </c>
    </row>
    <row r="4600" spans="1:14">
      <c r="A4600" s="21">
        <v>2024</v>
      </c>
      <c r="B4600" s="21" t="s">
        <v>28</v>
      </c>
      <c r="C4600" s="21" t="s">
        <v>1145</v>
      </c>
      <c r="D4600" s="21" t="s">
        <v>35</v>
      </c>
      <c r="E4600" s="18" t="s">
        <v>830</v>
      </c>
      <c r="F4600" s="18" t="s">
        <v>187</v>
      </c>
      <c r="G4600" s="18" t="s">
        <v>48</v>
      </c>
      <c r="H4600" s="24">
        <v>9820</v>
      </c>
      <c r="I4600" s="24">
        <f>T_reg.root.SK[[#This Row],[Volume, kg]]/1000</f>
        <v>9.82</v>
      </c>
      <c r="J4600" s="25">
        <v>0.17100000000000001</v>
      </c>
      <c r="K4600" s="25">
        <f t="shared" si="71"/>
        <v>1679.22</v>
      </c>
      <c r="L4600" s="25">
        <v>2.1</v>
      </c>
      <c r="M4600" s="24">
        <v>20622</v>
      </c>
      <c r="N4600" s="25">
        <f>IFERROR(T_reg.root.SK[[#This Row],[Price]]/T_reg.root.SK[[#This Row],[Starch content]],"")</f>
        <v>12.280701754385964</v>
      </c>
    </row>
    <row r="4601" spans="1:14">
      <c r="A4601" s="21">
        <v>2024</v>
      </c>
      <c r="B4601" s="21" t="s">
        <v>28</v>
      </c>
      <c r="C4601" s="21" t="s">
        <v>1145</v>
      </c>
      <c r="D4601" s="21" t="s">
        <v>35</v>
      </c>
      <c r="E4601" s="18" t="s">
        <v>331</v>
      </c>
      <c r="F4601" s="18" t="s">
        <v>187</v>
      </c>
      <c r="G4601" s="18" t="s">
        <v>48</v>
      </c>
      <c r="H4601" s="24">
        <v>9540</v>
      </c>
      <c r="I4601" s="24">
        <f>T_reg.root.SK[[#This Row],[Volume, kg]]/1000</f>
        <v>9.5399999999999991</v>
      </c>
      <c r="J4601" s="25">
        <v>0.20550000000000002</v>
      </c>
      <c r="K4601" s="25">
        <f t="shared" si="71"/>
        <v>1960.4700000000003</v>
      </c>
      <c r="L4601" s="25">
        <v>2.2999999999999998</v>
      </c>
      <c r="M4601" s="24">
        <v>21942</v>
      </c>
      <c r="N4601" s="25">
        <f>IFERROR(T_reg.root.SK[[#This Row],[Price]]/T_reg.root.SK[[#This Row],[Starch content]],"")</f>
        <v>11.192214111922139</v>
      </c>
    </row>
    <row r="4602" spans="1:14">
      <c r="A4602" s="21">
        <v>2024</v>
      </c>
      <c r="B4602" s="21" t="s">
        <v>28</v>
      </c>
      <c r="C4602" s="21" t="s">
        <v>1145</v>
      </c>
      <c r="D4602" s="21" t="s">
        <v>35</v>
      </c>
      <c r="E4602" s="18" t="s">
        <v>519</v>
      </c>
      <c r="F4602" s="18" t="s">
        <v>187</v>
      </c>
      <c r="G4602" s="18" t="s">
        <v>48</v>
      </c>
      <c r="H4602" s="24">
        <v>9890</v>
      </c>
      <c r="I4602" s="24">
        <f>T_reg.root.SK[[#This Row],[Volume, kg]]/1000</f>
        <v>9.89</v>
      </c>
      <c r="J4602" s="25">
        <v>0.249</v>
      </c>
      <c r="K4602" s="25">
        <f t="shared" si="71"/>
        <v>2462.61</v>
      </c>
      <c r="L4602" s="25">
        <v>2.4500000000000002</v>
      </c>
      <c r="M4602" s="24">
        <v>24230.5</v>
      </c>
      <c r="N4602" s="25">
        <f>IFERROR(T_reg.root.SK[[#This Row],[Price]]/T_reg.root.SK[[#This Row],[Starch content]],"")</f>
        <v>9.8393574297188771</v>
      </c>
    </row>
    <row r="4603" spans="1:14">
      <c r="A4603" s="21">
        <v>2024</v>
      </c>
      <c r="B4603" s="21" t="s">
        <v>28</v>
      </c>
      <c r="C4603" s="21" t="s">
        <v>1145</v>
      </c>
      <c r="D4603" s="21" t="s">
        <v>35</v>
      </c>
      <c r="E4603" s="18" t="s">
        <v>521</v>
      </c>
      <c r="F4603" s="18" t="s">
        <v>187</v>
      </c>
      <c r="G4603" s="18" t="s">
        <v>48</v>
      </c>
      <c r="H4603" s="24">
        <v>57130</v>
      </c>
      <c r="I4603" s="24">
        <f>T_reg.root.SK[[#This Row],[Volume, kg]]/1000</f>
        <v>57.13</v>
      </c>
      <c r="J4603" s="25">
        <v>0.23860000000000001</v>
      </c>
      <c r="K4603" s="25">
        <f t="shared" si="71"/>
        <v>13631.218000000001</v>
      </c>
      <c r="L4603" s="25">
        <v>2.4500000000000002</v>
      </c>
      <c r="M4603" s="24">
        <v>140219.5</v>
      </c>
      <c r="N4603" s="25">
        <f>IFERROR(T_reg.root.SK[[#This Row],[Price]]/T_reg.root.SK[[#This Row],[Starch content]],"")</f>
        <v>10.268231349538977</v>
      </c>
    </row>
    <row r="4604" spans="1:14">
      <c r="A4604" s="21">
        <v>2024</v>
      </c>
      <c r="B4604" s="21" t="s">
        <v>28</v>
      </c>
      <c r="C4604" s="21" t="s">
        <v>1145</v>
      </c>
      <c r="D4604" s="21" t="s">
        <v>35</v>
      </c>
      <c r="E4604" s="18" t="s">
        <v>196</v>
      </c>
      <c r="F4604" s="18" t="s">
        <v>187</v>
      </c>
      <c r="G4604" s="18" t="s">
        <v>48</v>
      </c>
      <c r="H4604" s="24">
        <v>14270</v>
      </c>
      <c r="I4604" s="24">
        <f>T_reg.root.SK[[#This Row],[Volume, kg]]/1000</f>
        <v>14.27</v>
      </c>
      <c r="J4604" s="25">
        <v>0.27739999999999998</v>
      </c>
      <c r="K4604" s="25">
        <f t="shared" si="71"/>
        <v>3958.4979999999996</v>
      </c>
      <c r="L4604" s="25">
        <v>2.65</v>
      </c>
      <c r="M4604" s="24">
        <v>37815.5</v>
      </c>
      <c r="N4604" s="25">
        <f>IFERROR(T_reg.root.SK[[#This Row],[Price]]/T_reg.root.SK[[#This Row],[Starch content]],"")</f>
        <v>9.552992069214131</v>
      </c>
    </row>
    <row r="4605" spans="1:14">
      <c r="A4605" s="21">
        <v>2024</v>
      </c>
      <c r="B4605" s="21" t="s">
        <v>28</v>
      </c>
      <c r="C4605" s="21" t="s">
        <v>1145</v>
      </c>
      <c r="D4605" s="21" t="s">
        <v>35</v>
      </c>
      <c r="E4605" s="18" t="s">
        <v>407</v>
      </c>
      <c r="F4605" s="18" t="s">
        <v>187</v>
      </c>
      <c r="G4605" s="18" t="s">
        <v>48</v>
      </c>
      <c r="H4605" s="24">
        <v>0</v>
      </c>
      <c r="I4605" s="24">
        <f>T_reg.root.SK[[#This Row],[Volume, kg]]/1000</f>
        <v>0</v>
      </c>
      <c r="J4605" s="25">
        <v>0</v>
      </c>
      <c r="K4605" s="25">
        <f t="shared" si="71"/>
        <v>0</v>
      </c>
      <c r="L4605" s="25">
        <v>0</v>
      </c>
      <c r="M4605" s="24">
        <v>0</v>
      </c>
      <c r="N4605" s="25" t="str">
        <f>IFERROR(T_reg.root.SK[[#This Row],[Price]]/T_reg.root.SK[[#This Row],[Starch content]],"")</f>
        <v/>
      </c>
    </row>
    <row r="4606" spans="1:14">
      <c r="A4606" s="21">
        <v>2024</v>
      </c>
      <c r="B4606" s="21" t="s">
        <v>28</v>
      </c>
      <c r="C4606" s="21" t="s">
        <v>1145</v>
      </c>
      <c r="D4606" s="21" t="s">
        <v>35</v>
      </c>
      <c r="E4606" s="18" t="s">
        <v>525</v>
      </c>
      <c r="F4606" s="18" t="s">
        <v>187</v>
      </c>
      <c r="G4606" s="18" t="s">
        <v>48</v>
      </c>
      <c r="H4606" s="24">
        <v>15950</v>
      </c>
      <c r="I4606" s="24">
        <f>T_reg.root.SK[[#This Row],[Volume, kg]]/1000</f>
        <v>15.95</v>
      </c>
      <c r="J4606" s="25">
        <v>0.24350000000000002</v>
      </c>
      <c r="K4606" s="25">
        <f t="shared" si="71"/>
        <v>3883.8250000000003</v>
      </c>
      <c r="L4606" s="25">
        <v>2.48</v>
      </c>
      <c r="M4606" s="24">
        <v>39592.5</v>
      </c>
      <c r="N4606" s="25">
        <f>IFERROR(T_reg.root.SK[[#This Row],[Price]]/T_reg.root.SK[[#This Row],[Starch content]],"")</f>
        <v>10.184804928131415</v>
      </c>
    </row>
    <row r="4607" spans="1:14">
      <c r="A4607" s="21">
        <v>2024</v>
      </c>
      <c r="B4607" s="21" t="s">
        <v>28</v>
      </c>
      <c r="C4607" s="21" t="s">
        <v>1145</v>
      </c>
      <c r="D4607" s="21" t="s">
        <v>35</v>
      </c>
      <c r="E4607" s="18" t="s">
        <v>725</v>
      </c>
      <c r="F4607" s="18" t="s">
        <v>187</v>
      </c>
      <c r="G4607" s="18" t="s">
        <v>48</v>
      </c>
      <c r="H4607" s="24">
        <v>6650</v>
      </c>
      <c r="I4607" s="24">
        <f>T_reg.root.SK[[#This Row],[Volume, kg]]/1000</f>
        <v>6.65</v>
      </c>
      <c r="J4607" s="25">
        <v>0.22699999999999998</v>
      </c>
      <c r="K4607" s="25">
        <f t="shared" si="71"/>
        <v>1509.55</v>
      </c>
      <c r="L4607" s="25">
        <v>2.4</v>
      </c>
      <c r="M4607" s="24">
        <v>15960</v>
      </c>
      <c r="N4607" s="25">
        <f>IFERROR(T_reg.root.SK[[#This Row],[Price]]/T_reg.root.SK[[#This Row],[Starch content]],"")</f>
        <v>10.572687224669604</v>
      </c>
    </row>
    <row r="4608" spans="1:14">
      <c r="A4608" s="21">
        <v>2024</v>
      </c>
      <c r="B4608" s="21" t="s">
        <v>28</v>
      </c>
      <c r="C4608" s="21" t="s">
        <v>1145</v>
      </c>
      <c r="D4608" s="21" t="s">
        <v>35</v>
      </c>
      <c r="E4608" s="18" t="s">
        <v>199</v>
      </c>
      <c r="F4608" s="18" t="s">
        <v>187</v>
      </c>
      <c r="G4608" s="18" t="s">
        <v>48</v>
      </c>
      <c r="H4608" s="24">
        <v>45800</v>
      </c>
      <c r="I4608" s="24">
        <f>T_reg.root.SK[[#This Row],[Volume, kg]]/1000</f>
        <v>45.8</v>
      </c>
      <c r="J4608" s="25">
        <v>0.2402</v>
      </c>
      <c r="K4608" s="25">
        <f t="shared" si="71"/>
        <v>11001.16</v>
      </c>
      <c r="L4608" s="25">
        <v>2.4</v>
      </c>
      <c r="M4608" s="24">
        <v>109920</v>
      </c>
      <c r="N4608" s="25">
        <f>IFERROR(T_reg.root.SK[[#This Row],[Price]]/T_reg.root.SK[[#This Row],[Starch content]],"")</f>
        <v>9.9916736053288915</v>
      </c>
    </row>
    <row r="4609" spans="1:14">
      <c r="A4609" s="21">
        <v>2024</v>
      </c>
      <c r="B4609" s="21" t="s">
        <v>28</v>
      </c>
      <c r="C4609" s="21" t="s">
        <v>1145</v>
      </c>
      <c r="D4609" s="21" t="s">
        <v>35</v>
      </c>
      <c r="E4609" s="18" t="s">
        <v>200</v>
      </c>
      <c r="F4609" s="18" t="s">
        <v>187</v>
      </c>
      <c r="G4609" s="18" t="s">
        <v>48</v>
      </c>
      <c r="H4609" s="24">
        <v>36010</v>
      </c>
      <c r="I4609" s="24">
        <f>T_reg.root.SK[[#This Row],[Volume, kg]]/1000</f>
        <v>36.01</v>
      </c>
      <c r="J4609" s="25">
        <v>0.24979999999999999</v>
      </c>
      <c r="K4609" s="25">
        <f t="shared" si="71"/>
        <v>8995.2980000000007</v>
      </c>
      <c r="L4609" s="25">
        <v>2.4300000000000002</v>
      </c>
      <c r="M4609" s="24">
        <v>87620</v>
      </c>
      <c r="N4609" s="25">
        <f>IFERROR(T_reg.root.SK[[#This Row],[Price]]/T_reg.root.SK[[#This Row],[Starch content]],"")</f>
        <v>9.7277822257806257</v>
      </c>
    </row>
    <row r="4610" spans="1:14">
      <c r="A4610" s="21">
        <v>2024</v>
      </c>
      <c r="B4610" s="21" t="s">
        <v>28</v>
      </c>
      <c r="C4610" s="21" t="s">
        <v>1145</v>
      </c>
      <c r="D4610" s="21" t="s">
        <v>35</v>
      </c>
      <c r="E4610" s="18" t="s">
        <v>201</v>
      </c>
      <c r="F4610" s="18" t="s">
        <v>187</v>
      </c>
      <c r="G4610" s="18" t="s">
        <v>48</v>
      </c>
      <c r="H4610" s="24">
        <v>149290</v>
      </c>
      <c r="I4610" s="24">
        <f>T_reg.root.SK[[#This Row],[Volume, kg]]/1000</f>
        <v>149.29</v>
      </c>
      <c r="J4610" s="25">
        <v>0.2198</v>
      </c>
      <c r="K4610" s="25">
        <f t="shared" si="71"/>
        <v>32813.942000000003</v>
      </c>
      <c r="L4610" s="25">
        <v>2.33</v>
      </c>
      <c r="M4610" s="24">
        <v>347601.5</v>
      </c>
      <c r="N4610" s="25">
        <f>IFERROR(T_reg.root.SK[[#This Row],[Price]]/T_reg.root.SK[[#This Row],[Starch content]],"")</f>
        <v>10.600545950864422</v>
      </c>
    </row>
    <row r="4611" spans="1:14">
      <c r="A4611" s="21">
        <v>2024</v>
      </c>
      <c r="B4611" s="21" t="s">
        <v>28</v>
      </c>
      <c r="C4611" s="21" t="s">
        <v>1145</v>
      </c>
      <c r="D4611" s="21" t="s">
        <v>35</v>
      </c>
      <c r="E4611" s="18" t="s">
        <v>742</v>
      </c>
      <c r="F4611" s="18" t="s">
        <v>187</v>
      </c>
      <c r="G4611" s="18" t="s">
        <v>48</v>
      </c>
      <c r="H4611" s="24">
        <v>29370</v>
      </c>
      <c r="I4611" s="24">
        <f>T_reg.root.SK[[#This Row],[Volume, kg]]/1000</f>
        <v>29.37</v>
      </c>
      <c r="J4611" s="25">
        <v>0.24809999999999999</v>
      </c>
      <c r="K4611" s="25">
        <f t="shared" ref="K4611:K4674" si="72">H4611*J4611</f>
        <v>7286.6969999999992</v>
      </c>
      <c r="L4611" s="25">
        <v>2.48</v>
      </c>
      <c r="M4611" s="24">
        <v>72953.5</v>
      </c>
      <c r="N4611" s="25">
        <f>IFERROR(T_reg.root.SK[[#This Row],[Price]]/T_reg.root.SK[[#This Row],[Starch content]],"")</f>
        <v>9.99596936719065</v>
      </c>
    </row>
    <row r="4612" spans="1:14">
      <c r="A4612" s="21">
        <v>2024</v>
      </c>
      <c r="B4612" s="21" t="s">
        <v>28</v>
      </c>
      <c r="C4612" s="21" t="s">
        <v>1145</v>
      </c>
      <c r="D4612" s="21" t="s">
        <v>35</v>
      </c>
      <c r="E4612" s="18" t="s">
        <v>594</v>
      </c>
      <c r="F4612" s="18" t="s">
        <v>187</v>
      </c>
      <c r="G4612" s="18" t="s">
        <v>48</v>
      </c>
      <c r="H4612" s="24">
        <v>36620</v>
      </c>
      <c r="I4612" s="24">
        <f>T_reg.root.SK[[#This Row],[Volume, kg]]/1000</f>
        <v>36.619999999999997</v>
      </c>
      <c r="J4612" s="25">
        <v>0.2271</v>
      </c>
      <c r="K4612" s="25">
        <f t="shared" si="72"/>
        <v>8316.402</v>
      </c>
      <c r="L4612" s="25">
        <v>2.39</v>
      </c>
      <c r="M4612" s="24">
        <v>87403.5</v>
      </c>
      <c r="N4612" s="25">
        <f>IFERROR(T_reg.root.SK[[#This Row],[Price]]/T_reg.root.SK[[#This Row],[Starch content]],"")</f>
        <v>10.523998238661383</v>
      </c>
    </row>
    <row r="4613" spans="1:14">
      <c r="A4613" s="21">
        <v>2024</v>
      </c>
      <c r="B4613" s="21" t="s">
        <v>28</v>
      </c>
      <c r="C4613" s="21" t="s">
        <v>1145</v>
      </c>
      <c r="D4613" s="21" t="s">
        <v>35</v>
      </c>
      <c r="E4613" s="18" t="s">
        <v>688</v>
      </c>
      <c r="F4613" s="18" t="s">
        <v>187</v>
      </c>
      <c r="G4613" s="18" t="s">
        <v>48</v>
      </c>
      <c r="H4613" s="24">
        <v>15960</v>
      </c>
      <c r="I4613" s="24">
        <f>T_reg.root.SK[[#This Row],[Volume, kg]]/1000</f>
        <v>15.96</v>
      </c>
      <c r="J4613" s="25">
        <v>0.20649999999999999</v>
      </c>
      <c r="K4613" s="25">
        <f t="shared" si="72"/>
        <v>3295.74</v>
      </c>
      <c r="L4613" s="25">
        <v>2.2799999999999998</v>
      </c>
      <c r="M4613" s="24">
        <v>36384.5</v>
      </c>
      <c r="N4613" s="25">
        <f>IFERROR(T_reg.root.SK[[#This Row],[Price]]/T_reg.root.SK[[#This Row],[Starch content]],"")</f>
        <v>11.041162227602905</v>
      </c>
    </row>
    <row r="4614" spans="1:14">
      <c r="A4614" s="21">
        <v>2024</v>
      </c>
      <c r="B4614" s="21" t="s">
        <v>28</v>
      </c>
      <c r="C4614" s="21" t="s">
        <v>1145</v>
      </c>
      <c r="D4614" s="21" t="s">
        <v>35</v>
      </c>
      <c r="E4614" s="18" t="s">
        <v>815</v>
      </c>
      <c r="F4614" s="18" t="s">
        <v>187</v>
      </c>
      <c r="G4614" s="18" t="s">
        <v>48</v>
      </c>
      <c r="H4614" s="24">
        <v>11410</v>
      </c>
      <c r="I4614" s="24">
        <f>T_reg.root.SK[[#This Row],[Volume, kg]]/1000</f>
        <v>11.41</v>
      </c>
      <c r="J4614" s="25">
        <v>0.22500000000000001</v>
      </c>
      <c r="K4614" s="25">
        <f t="shared" si="72"/>
        <v>2567.25</v>
      </c>
      <c r="L4614" s="25">
        <v>2.2999999999999998</v>
      </c>
      <c r="M4614" s="24">
        <v>26243</v>
      </c>
      <c r="N4614" s="25">
        <f>IFERROR(T_reg.root.SK[[#This Row],[Price]]/T_reg.root.SK[[#This Row],[Starch content]],"")</f>
        <v>10.222222222222221</v>
      </c>
    </row>
    <row r="4615" spans="1:14">
      <c r="A4615" s="21">
        <v>2024</v>
      </c>
      <c r="B4615" s="21" t="s">
        <v>28</v>
      </c>
      <c r="C4615" s="21" t="s">
        <v>1145</v>
      </c>
      <c r="D4615" s="21" t="s">
        <v>35</v>
      </c>
      <c r="E4615" s="18" t="s">
        <v>210</v>
      </c>
      <c r="F4615" s="18" t="s">
        <v>187</v>
      </c>
      <c r="G4615" s="18" t="s">
        <v>48</v>
      </c>
      <c r="H4615" s="24">
        <v>26250</v>
      </c>
      <c r="I4615" s="24">
        <f>T_reg.root.SK[[#This Row],[Volume, kg]]/1000</f>
        <v>26.25</v>
      </c>
      <c r="J4615" s="25">
        <v>0.2482</v>
      </c>
      <c r="K4615" s="25">
        <f t="shared" si="72"/>
        <v>6515.25</v>
      </c>
      <c r="L4615" s="25">
        <v>2.5</v>
      </c>
      <c r="M4615" s="24">
        <v>65625</v>
      </c>
      <c r="N4615" s="25">
        <f>IFERROR(T_reg.root.SK[[#This Row],[Price]]/T_reg.root.SK[[#This Row],[Starch content]],"")</f>
        <v>10.07252215954875</v>
      </c>
    </row>
    <row r="4616" spans="1:14">
      <c r="A4616" s="21">
        <v>2024</v>
      </c>
      <c r="B4616" s="21" t="s">
        <v>28</v>
      </c>
      <c r="C4616" s="21" t="s">
        <v>1145</v>
      </c>
      <c r="D4616" s="21" t="s">
        <v>35</v>
      </c>
      <c r="E4616" s="18" t="s">
        <v>211</v>
      </c>
      <c r="F4616" s="18" t="s">
        <v>187</v>
      </c>
      <c r="G4616" s="18" t="s">
        <v>48</v>
      </c>
      <c r="H4616" s="24">
        <v>144360</v>
      </c>
      <c r="I4616" s="24">
        <f>T_reg.root.SK[[#This Row],[Volume, kg]]/1000</f>
        <v>144.36000000000001</v>
      </c>
      <c r="J4616" s="25">
        <v>0.25209999999999999</v>
      </c>
      <c r="K4616" s="25">
        <f t="shared" si="72"/>
        <v>36393.155999999995</v>
      </c>
      <c r="L4616" s="25">
        <v>2.5099999999999998</v>
      </c>
      <c r="M4616" s="24">
        <v>361669</v>
      </c>
      <c r="N4616" s="25">
        <f>IFERROR(T_reg.root.SK[[#This Row],[Price]]/T_reg.root.SK[[#This Row],[Starch content]],"")</f>
        <v>9.9563665212217369</v>
      </c>
    </row>
    <row r="4617" spans="1:14">
      <c r="A4617" s="21">
        <v>2024</v>
      </c>
      <c r="B4617" s="21" t="s">
        <v>28</v>
      </c>
      <c r="C4617" s="21" t="s">
        <v>1145</v>
      </c>
      <c r="D4617" s="21" t="s">
        <v>35</v>
      </c>
      <c r="E4617" s="18" t="s">
        <v>212</v>
      </c>
      <c r="F4617" s="18" t="s">
        <v>187</v>
      </c>
      <c r="G4617" s="18" t="s">
        <v>48</v>
      </c>
      <c r="H4617" s="24">
        <v>18390</v>
      </c>
      <c r="I4617" s="24">
        <f>T_reg.root.SK[[#This Row],[Volume, kg]]/1000</f>
        <v>18.39</v>
      </c>
      <c r="J4617" s="25">
        <v>0.26579999999999998</v>
      </c>
      <c r="K4617" s="25">
        <f t="shared" si="72"/>
        <v>4888.0619999999999</v>
      </c>
      <c r="L4617" s="25">
        <v>2.6</v>
      </c>
      <c r="M4617" s="24">
        <v>47814</v>
      </c>
      <c r="N4617" s="25">
        <f>IFERROR(T_reg.root.SK[[#This Row],[Price]]/T_reg.root.SK[[#This Row],[Starch content]],"")</f>
        <v>9.7817908201655399</v>
      </c>
    </row>
    <row r="4618" spans="1:14">
      <c r="A4618" s="21">
        <v>2024</v>
      </c>
      <c r="B4618" s="21" t="s">
        <v>28</v>
      </c>
      <c r="C4618" s="21" t="s">
        <v>1145</v>
      </c>
      <c r="D4618" s="21" t="s">
        <v>35</v>
      </c>
      <c r="E4618" s="18" t="s">
        <v>535</v>
      </c>
      <c r="F4618" s="18" t="s">
        <v>187</v>
      </c>
      <c r="G4618" s="18" t="s">
        <v>48</v>
      </c>
      <c r="H4618" s="24">
        <v>56590</v>
      </c>
      <c r="I4618" s="24">
        <f>T_reg.root.SK[[#This Row],[Volume, kg]]/1000</f>
        <v>56.59</v>
      </c>
      <c r="J4618" s="25">
        <v>0.19170000000000001</v>
      </c>
      <c r="K4618" s="25">
        <f t="shared" si="72"/>
        <v>10848.303</v>
      </c>
      <c r="L4618" s="25">
        <v>2.2200000000000002</v>
      </c>
      <c r="M4618" s="24">
        <v>125416</v>
      </c>
      <c r="N4618" s="25">
        <f>IFERROR(T_reg.root.SK[[#This Row],[Price]]/T_reg.root.SK[[#This Row],[Starch content]],"")</f>
        <v>11.580594679186229</v>
      </c>
    </row>
    <row r="4619" spans="1:14">
      <c r="A4619" s="21">
        <v>2024</v>
      </c>
      <c r="B4619" s="21" t="s">
        <v>28</v>
      </c>
      <c r="C4619" s="21" t="s">
        <v>1145</v>
      </c>
      <c r="D4619" s="21" t="s">
        <v>35</v>
      </c>
      <c r="E4619" s="18" t="s">
        <v>408</v>
      </c>
      <c r="F4619" s="18" t="s">
        <v>187</v>
      </c>
      <c r="G4619" s="18" t="s">
        <v>48</v>
      </c>
      <c r="H4619" s="24">
        <v>8950</v>
      </c>
      <c r="I4619" s="24">
        <f>T_reg.root.SK[[#This Row],[Volume, kg]]/1000</f>
        <v>8.9499999999999993</v>
      </c>
      <c r="J4619" s="25">
        <v>0.20250000000000001</v>
      </c>
      <c r="K4619" s="25">
        <f t="shared" si="72"/>
        <v>1812.3750000000002</v>
      </c>
      <c r="L4619" s="25">
        <v>2.25</v>
      </c>
      <c r="M4619" s="24">
        <v>20137.5</v>
      </c>
      <c r="N4619" s="25">
        <f>IFERROR(T_reg.root.SK[[#This Row],[Price]]/T_reg.root.SK[[#This Row],[Starch content]],"")</f>
        <v>11.111111111111111</v>
      </c>
    </row>
    <row r="4620" spans="1:14">
      <c r="A4620" s="21">
        <v>2024</v>
      </c>
      <c r="B4620" s="21" t="s">
        <v>28</v>
      </c>
      <c r="C4620" s="21" t="s">
        <v>1145</v>
      </c>
      <c r="D4620" s="21" t="s">
        <v>35</v>
      </c>
      <c r="E4620" s="18" t="s">
        <v>536</v>
      </c>
      <c r="F4620" s="18" t="s">
        <v>187</v>
      </c>
      <c r="G4620" s="18" t="s">
        <v>48</v>
      </c>
      <c r="H4620" s="24">
        <v>73310</v>
      </c>
      <c r="I4620" s="24">
        <f>T_reg.root.SK[[#This Row],[Volume, kg]]/1000</f>
        <v>73.31</v>
      </c>
      <c r="J4620" s="25">
        <v>0.23319999999999999</v>
      </c>
      <c r="K4620" s="25">
        <f t="shared" si="72"/>
        <v>17095.892</v>
      </c>
      <c r="L4620" s="25">
        <v>2.41</v>
      </c>
      <c r="M4620" s="24">
        <v>176666.5</v>
      </c>
      <c r="N4620" s="25">
        <f>IFERROR(T_reg.root.SK[[#This Row],[Price]]/T_reg.root.SK[[#This Row],[Starch content]],"")</f>
        <v>10.334476843910807</v>
      </c>
    </row>
    <row r="4621" spans="1:14">
      <c r="A4621" s="21">
        <v>2024</v>
      </c>
      <c r="B4621" s="21" t="s">
        <v>28</v>
      </c>
      <c r="C4621" s="21" t="s">
        <v>1145</v>
      </c>
      <c r="D4621" s="21" t="s">
        <v>35</v>
      </c>
      <c r="E4621" s="18" t="s">
        <v>537</v>
      </c>
      <c r="F4621" s="18" t="s">
        <v>187</v>
      </c>
      <c r="G4621" s="18" t="s">
        <v>48</v>
      </c>
      <c r="H4621" s="24">
        <v>31550</v>
      </c>
      <c r="I4621" s="24">
        <f>T_reg.root.SK[[#This Row],[Volume, kg]]/1000</f>
        <v>31.55</v>
      </c>
      <c r="J4621" s="25">
        <v>0.25459999999999999</v>
      </c>
      <c r="K4621" s="25">
        <f t="shared" si="72"/>
        <v>8032.63</v>
      </c>
      <c r="L4621" s="25">
        <v>2.54</v>
      </c>
      <c r="M4621" s="24">
        <v>80093.5</v>
      </c>
      <c r="N4621" s="25">
        <f>IFERROR(T_reg.root.SK[[#This Row],[Price]]/T_reg.root.SK[[#This Row],[Starch content]],"")</f>
        <v>9.9764336213668496</v>
      </c>
    </row>
    <row r="4622" spans="1:14">
      <c r="A4622" s="21">
        <v>2024</v>
      </c>
      <c r="B4622" s="21" t="s">
        <v>28</v>
      </c>
      <c r="C4622" s="21" t="s">
        <v>1145</v>
      </c>
      <c r="D4622" s="21" t="s">
        <v>35</v>
      </c>
      <c r="E4622" s="18" t="s">
        <v>691</v>
      </c>
      <c r="F4622" s="18" t="s">
        <v>187</v>
      </c>
      <c r="G4622" s="18" t="s">
        <v>48</v>
      </c>
      <c r="H4622" s="24">
        <v>43250</v>
      </c>
      <c r="I4622" s="24">
        <f>T_reg.root.SK[[#This Row],[Volume, kg]]/1000</f>
        <v>43.25</v>
      </c>
      <c r="J4622" s="25">
        <v>0.27239999999999998</v>
      </c>
      <c r="K4622" s="25">
        <f t="shared" si="72"/>
        <v>11781.3</v>
      </c>
      <c r="L4622" s="25">
        <v>2.62</v>
      </c>
      <c r="M4622" s="24">
        <v>113114</v>
      </c>
      <c r="N4622" s="25">
        <f>IFERROR(T_reg.root.SK[[#This Row],[Price]]/T_reg.root.SK[[#This Row],[Starch content]],"")</f>
        <v>9.6182085168869325</v>
      </c>
    </row>
    <row r="4623" spans="1:14">
      <c r="A4623" s="21">
        <v>2024</v>
      </c>
      <c r="B4623" s="21" t="s">
        <v>28</v>
      </c>
      <c r="C4623" s="21" t="s">
        <v>1145</v>
      </c>
      <c r="D4623" s="21" t="s">
        <v>35</v>
      </c>
      <c r="E4623" s="18" t="s">
        <v>215</v>
      </c>
      <c r="F4623" s="18" t="s">
        <v>187</v>
      </c>
      <c r="G4623" s="18" t="s">
        <v>48</v>
      </c>
      <c r="H4623" s="24">
        <v>18310</v>
      </c>
      <c r="I4623" s="24">
        <f>T_reg.root.SK[[#This Row],[Volume, kg]]/1000</f>
        <v>18.309999999999999</v>
      </c>
      <c r="J4623" s="25">
        <v>0.24390000000000001</v>
      </c>
      <c r="K4623" s="25">
        <f t="shared" si="72"/>
        <v>4465.8090000000002</v>
      </c>
      <c r="L4623" s="25">
        <v>2.48</v>
      </c>
      <c r="M4623" s="24">
        <v>45341</v>
      </c>
      <c r="N4623" s="25">
        <f>IFERROR(T_reg.root.SK[[#This Row],[Price]]/T_reg.root.SK[[#This Row],[Starch content]],"")</f>
        <v>10.168101681016809</v>
      </c>
    </row>
    <row r="4624" spans="1:14">
      <c r="A4624" s="21">
        <v>2024</v>
      </c>
      <c r="B4624" s="21" t="s">
        <v>28</v>
      </c>
      <c r="C4624" s="21" t="s">
        <v>1145</v>
      </c>
      <c r="D4624" s="21" t="s">
        <v>35</v>
      </c>
      <c r="E4624" s="18" t="s">
        <v>542</v>
      </c>
      <c r="F4624" s="18" t="s">
        <v>187</v>
      </c>
      <c r="G4624" s="18" t="s">
        <v>48</v>
      </c>
      <c r="H4624" s="24">
        <v>20830</v>
      </c>
      <c r="I4624" s="24">
        <f>T_reg.root.SK[[#This Row],[Volume, kg]]/1000</f>
        <v>20.83</v>
      </c>
      <c r="J4624" s="25">
        <v>0.18969999999999998</v>
      </c>
      <c r="K4624" s="25">
        <f t="shared" si="72"/>
        <v>3951.4509999999996</v>
      </c>
      <c r="L4624" s="25">
        <v>2.2000000000000002</v>
      </c>
      <c r="M4624" s="24">
        <v>45890.5</v>
      </c>
      <c r="N4624" s="25">
        <f>IFERROR(T_reg.root.SK[[#This Row],[Price]]/T_reg.root.SK[[#This Row],[Starch content]],"")</f>
        <v>11.597258829731157</v>
      </c>
    </row>
    <row r="4625" spans="1:14">
      <c r="A4625" s="21">
        <v>2024</v>
      </c>
      <c r="B4625" s="21" t="s">
        <v>28</v>
      </c>
      <c r="C4625" s="21" t="s">
        <v>1145</v>
      </c>
      <c r="D4625" s="21" t="s">
        <v>35</v>
      </c>
      <c r="E4625" s="18" t="s">
        <v>216</v>
      </c>
      <c r="F4625" s="18" t="s">
        <v>187</v>
      </c>
      <c r="G4625" s="18" t="s">
        <v>48</v>
      </c>
      <c r="H4625" s="24">
        <v>217000</v>
      </c>
      <c r="I4625" s="24">
        <f>T_reg.root.SK[[#This Row],[Volume, kg]]/1000</f>
        <v>217</v>
      </c>
      <c r="J4625" s="25">
        <v>0.21809999999999999</v>
      </c>
      <c r="K4625" s="25">
        <f t="shared" si="72"/>
        <v>47327.7</v>
      </c>
      <c r="L4625" s="25">
        <v>2.34</v>
      </c>
      <c r="M4625" s="24">
        <v>507443</v>
      </c>
      <c r="N4625" s="25">
        <f>IFERROR(T_reg.root.SK[[#This Row],[Price]]/T_reg.root.SK[[#This Row],[Starch content]],"")</f>
        <v>10.729023383768913</v>
      </c>
    </row>
    <row r="4626" spans="1:14">
      <c r="A4626" s="21">
        <v>2024</v>
      </c>
      <c r="B4626" s="21" t="s">
        <v>28</v>
      </c>
      <c r="C4626" s="21" t="s">
        <v>1145</v>
      </c>
      <c r="D4626" s="21" t="s">
        <v>35</v>
      </c>
      <c r="E4626" s="18" t="s">
        <v>543</v>
      </c>
      <c r="F4626" s="18" t="s">
        <v>187</v>
      </c>
      <c r="G4626" s="18" t="s">
        <v>48</v>
      </c>
      <c r="H4626" s="24">
        <v>8170</v>
      </c>
      <c r="I4626" s="24">
        <f>T_reg.root.SK[[#This Row],[Volume, kg]]/1000</f>
        <v>8.17</v>
      </c>
      <c r="J4626" s="25">
        <v>0.28550000000000003</v>
      </c>
      <c r="K4626" s="25">
        <f t="shared" si="72"/>
        <v>2332.5350000000003</v>
      </c>
      <c r="L4626" s="25">
        <v>2.7</v>
      </c>
      <c r="M4626" s="24">
        <v>22059</v>
      </c>
      <c r="N4626" s="25">
        <f>IFERROR(T_reg.root.SK[[#This Row],[Price]]/T_reg.root.SK[[#This Row],[Starch content]],"")</f>
        <v>9.4570928196147115</v>
      </c>
    </row>
    <row r="4627" spans="1:14">
      <c r="A4627" s="21">
        <v>2024</v>
      </c>
      <c r="B4627" s="21" t="s">
        <v>28</v>
      </c>
      <c r="C4627" s="21" t="s">
        <v>1145</v>
      </c>
      <c r="D4627" s="21" t="s">
        <v>35</v>
      </c>
      <c r="E4627" s="18" t="s">
        <v>761</v>
      </c>
      <c r="F4627" s="18" t="s">
        <v>187</v>
      </c>
      <c r="G4627" s="18" t="s">
        <v>48</v>
      </c>
      <c r="H4627" s="24">
        <v>25980</v>
      </c>
      <c r="I4627" s="24">
        <f>T_reg.root.SK[[#This Row],[Volume, kg]]/1000</f>
        <v>25.98</v>
      </c>
      <c r="J4627" s="25">
        <v>0.2132</v>
      </c>
      <c r="K4627" s="25">
        <f t="shared" si="72"/>
        <v>5538.9359999999997</v>
      </c>
      <c r="L4627" s="25">
        <v>2.3199999999999998</v>
      </c>
      <c r="M4627" s="24">
        <v>60171.5</v>
      </c>
      <c r="N4627" s="25">
        <f>IFERROR(T_reg.root.SK[[#This Row],[Price]]/T_reg.root.SK[[#This Row],[Starch content]],"")</f>
        <v>10.881801125703564</v>
      </c>
    </row>
    <row r="4628" spans="1:14">
      <c r="A4628" s="21">
        <v>2024</v>
      </c>
      <c r="B4628" s="21" t="s">
        <v>28</v>
      </c>
      <c r="C4628" s="21" t="s">
        <v>1145</v>
      </c>
      <c r="D4628" s="21" t="s">
        <v>35</v>
      </c>
      <c r="E4628" s="18" t="s">
        <v>271</v>
      </c>
      <c r="F4628" s="18" t="s">
        <v>187</v>
      </c>
      <c r="G4628" s="18" t="s">
        <v>48</v>
      </c>
      <c r="H4628" s="24">
        <v>38780</v>
      </c>
      <c r="I4628" s="24">
        <f>T_reg.root.SK[[#This Row],[Volume, kg]]/1000</f>
        <v>38.78</v>
      </c>
      <c r="J4628" s="25">
        <v>0.20350000000000001</v>
      </c>
      <c r="K4628" s="25">
        <f t="shared" si="72"/>
        <v>7891.7300000000005</v>
      </c>
      <c r="L4628" s="25">
        <v>2.27</v>
      </c>
      <c r="M4628" s="24">
        <v>88035</v>
      </c>
      <c r="N4628" s="25">
        <f>IFERROR(T_reg.root.SK[[#This Row],[Price]]/T_reg.root.SK[[#This Row],[Starch content]],"")</f>
        <v>11.154791154791154</v>
      </c>
    </row>
    <row r="4629" spans="1:14">
      <c r="A4629" s="21">
        <v>2024</v>
      </c>
      <c r="B4629" s="21" t="s">
        <v>28</v>
      </c>
      <c r="C4629" s="21" t="s">
        <v>1145</v>
      </c>
      <c r="D4629" s="21" t="s">
        <v>35</v>
      </c>
      <c r="E4629" s="18" t="s">
        <v>410</v>
      </c>
      <c r="F4629" s="18" t="s">
        <v>187</v>
      </c>
      <c r="G4629" s="18" t="s">
        <v>48</v>
      </c>
      <c r="H4629" s="24">
        <v>30100</v>
      </c>
      <c r="I4629" s="24">
        <f>T_reg.root.SK[[#This Row],[Volume, kg]]/1000</f>
        <v>30.1</v>
      </c>
      <c r="J4629" s="25">
        <v>0.2336</v>
      </c>
      <c r="K4629" s="25">
        <f t="shared" si="72"/>
        <v>7031.36</v>
      </c>
      <c r="L4629" s="25">
        <v>2.42</v>
      </c>
      <c r="M4629" s="24">
        <v>72811.5</v>
      </c>
      <c r="N4629" s="25">
        <f>IFERROR(T_reg.root.SK[[#This Row],[Price]]/T_reg.root.SK[[#This Row],[Starch content]],"")</f>
        <v>10.359589041095891</v>
      </c>
    </row>
    <row r="4630" spans="1:14">
      <c r="A4630" s="21">
        <v>2024</v>
      </c>
      <c r="B4630" s="21" t="s">
        <v>29</v>
      </c>
      <c r="C4630" s="21" t="s">
        <v>1145</v>
      </c>
      <c r="D4630" s="21" t="s">
        <v>35</v>
      </c>
      <c r="E4630" s="18" t="s">
        <v>457</v>
      </c>
      <c r="F4630" s="18" t="s">
        <v>47</v>
      </c>
      <c r="G4630" s="18" t="s">
        <v>48</v>
      </c>
      <c r="H4630" s="24">
        <v>143150</v>
      </c>
      <c r="I4630" s="24">
        <f>T_reg.root.SK[[#This Row],[Volume, kg]]/1000</f>
        <v>143.15</v>
      </c>
      <c r="J4630" s="25">
        <v>0.23749999999999999</v>
      </c>
      <c r="K4630" s="25">
        <f t="shared" si="72"/>
        <v>33998.125</v>
      </c>
      <c r="L4630" s="25">
        <v>2.2400000000000002</v>
      </c>
      <c r="M4630" s="24">
        <v>320225.5</v>
      </c>
      <c r="N4630" s="25">
        <f>IFERROR(T_reg.root.SK[[#This Row],[Price]]/T_reg.root.SK[[#This Row],[Starch content]],"")</f>
        <v>9.431578947368422</v>
      </c>
    </row>
    <row r="4631" spans="1:14">
      <c r="A4631" s="21">
        <v>2024</v>
      </c>
      <c r="B4631" s="21" t="s">
        <v>29</v>
      </c>
      <c r="C4631" s="21" t="s">
        <v>1145</v>
      </c>
      <c r="D4631" s="21" t="s">
        <v>35</v>
      </c>
      <c r="E4631" s="18" t="s">
        <v>784</v>
      </c>
      <c r="F4631" s="18" t="s">
        <v>47</v>
      </c>
      <c r="G4631" s="18" t="s">
        <v>48</v>
      </c>
      <c r="H4631" s="24">
        <v>67810</v>
      </c>
      <c r="I4631" s="24">
        <f>T_reg.root.SK[[#This Row],[Volume, kg]]/1000</f>
        <v>67.81</v>
      </c>
      <c r="J4631" s="25">
        <v>0.26069999999999999</v>
      </c>
      <c r="K4631" s="25">
        <f t="shared" si="72"/>
        <v>17678.066999999999</v>
      </c>
      <c r="L4631" s="25">
        <v>2.33</v>
      </c>
      <c r="M4631" s="24">
        <v>158162.5</v>
      </c>
      <c r="N4631" s="25">
        <f>IFERROR(T_reg.root.SK[[#This Row],[Price]]/T_reg.root.SK[[#This Row],[Starch content]],"")</f>
        <v>8.9374760260836226</v>
      </c>
    </row>
    <row r="4632" spans="1:14">
      <c r="A4632" s="21">
        <v>2024</v>
      </c>
      <c r="B4632" s="21" t="s">
        <v>29</v>
      </c>
      <c r="C4632" s="21" t="s">
        <v>1145</v>
      </c>
      <c r="D4632" s="21" t="s">
        <v>35</v>
      </c>
      <c r="E4632" s="18" t="s">
        <v>46</v>
      </c>
      <c r="F4632" s="18" t="s">
        <v>47</v>
      </c>
      <c r="G4632" s="18" t="s">
        <v>48</v>
      </c>
      <c r="H4632" s="24">
        <v>619160</v>
      </c>
      <c r="I4632" s="24">
        <f>T_reg.root.SK[[#This Row],[Volume, kg]]/1000</f>
        <v>619.16</v>
      </c>
      <c r="J4632" s="25">
        <v>0.26379999999999998</v>
      </c>
      <c r="K4632" s="25">
        <f t="shared" si="72"/>
        <v>163334.408</v>
      </c>
      <c r="L4632" s="25">
        <v>2.34</v>
      </c>
      <c r="M4632" s="24">
        <v>1451554</v>
      </c>
      <c r="N4632" s="25">
        <f>IFERROR(T_reg.root.SK[[#This Row],[Price]]/T_reg.root.SK[[#This Row],[Starch content]],"")</f>
        <v>8.8703563305534505</v>
      </c>
    </row>
    <row r="4633" spans="1:14">
      <c r="A4633" s="21">
        <v>2024</v>
      </c>
      <c r="B4633" s="21" t="s">
        <v>29</v>
      </c>
      <c r="C4633" s="21" t="s">
        <v>1145</v>
      </c>
      <c r="D4633" s="21" t="s">
        <v>35</v>
      </c>
      <c r="E4633" s="18" t="s">
        <v>50</v>
      </c>
      <c r="F4633" s="18" t="s">
        <v>47</v>
      </c>
      <c r="G4633" s="18" t="s">
        <v>48</v>
      </c>
      <c r="H4633" s="24">
        <v>8150</v>
      </c>
      <c r="I4633" s="24">
        <f>T_reg.root.SK[[#This Row],[Volume, kg]]/1000</f>
        <v>8.15</v>
      </c>
      <c r="J4633" s="25">
        <v>0.25850000000000001</v>
      </c>
      <c r="K4633" s="25">
        <f t="shared" si="72"/>
        <v>2106.7750000000001</v>
      </c>
      <c r="L4633" s="25">
        <v>2.2999999999999998</v>
      </c>
      <c r="M4633" s="24">
        <v>18745</v>
      </c>
      <c r="N4633" s="25">
        <f>IFERROR(T_reg.root.SK[[#This Row],[Price]]/T_reg.root.SK[[#This Row],[Starch content]],"")</f>
        <v>8.8974854932301728</v>
      </c>
    </row>
    <row r="4634" spans="1:14">
      <c r="A4634" s="21">
        <v>2024</v>
      </c>
      <c r="B4634" s="21" t="s">
        <v>29</v>
      </c>
      <c r="C4634" s="21" t="s">
        <v>1145</v>
      </c>
      <c r="D4634" s="21" t="s">
        <v>35</v>
      </c>
      <c r="E4634" s="18" t="s">
        <v>708</v>
      </c>
      <c r="F4634" s="18" t="s">
        <v>47</v>
      </c>
      <c r="G4634" s="18" t="s">
        <v>48</v>
      </c>
      <c r="H4634" s="24">
        <v>37870</v>
      </c>
      <c r="I4634" s="24">
        <f>T_reg.root.SK[[#This Row],[Volume, kg]]/1000</f>
        <v>37.869999999999997</v>
      </c>
      <c r="J4634" s="25">
        <v>0.2707</v>
      </c>
      <c r="K4634" s="25">
        <f t="shared" si="72"/>
        <v>10251.409</v>
      </c>
      <c r="L4634" s="25">
        <v>2.35</v>
      </c>
      <c r="M4634" s="24">
        <v>89023</v>
      </c>
      <c r="N4634" s="25">
        <f>IFERROR(T_reg.root.SK[[#This Row],[Price]]/T_reg.root.SK[[#This Row],[Starch content]],"")</f>
        <v>8.6811968969338764</v>
      </c>
    </row>
    <row r="4635" spans="1:14">
      <c r="A4635" s="21">
        <v>2024</v>
      </c>
      <c r="B4635" s="21" t="s">
        <v>29</v>
      </c>
      <c r="C4635" s="21" t="s">
        <v>1145</v>
      </c>
      <c r="D4635" s="21" t="s">
        <v>35</v>
      </c>
      <c r="E4635" s="18" t="s">
        <v>962</v>
      </c>
      <c r="F4635" s="18" t="s">
        <v>47</v>
      </c>
      <c r="G4635" s="18" t="s">
        <v>48</v>
      </c>
      <c r="H4635" s="24">
        <v>29390</v>
      </c>
      <c r="I4635" s="24">
        <f>T_reg.root.SK[[#This Row],[Volume, kg]]/1000</f>
        <v>29.39</v>
      </c>
      <c r="J4635" s="25">
        <v>0.23079999999999998</v>
      </c>
      <c r="K4635" s="25">
        <f t="shared" si="72"/>
        <v>6783.2119999999995</v>
      </c>
      <c r="L4635" s="25">
        <v>2.17</v>
      </c>
      <c r="M4635" s="24">
        <v>63650</v>
      </c>
      <c r="N4635" s="25">
        <f>IFERROR(T_reg.root.SK[[#This Row],[Price]]/T_reg.root.SK[[#This Row],[Starch content]],"")</f>
        <v>9.4020797227036397</v>
      </c>
    </row>
    <row r="4636" spans="1:14">
      <c r="A4636" s="21">
        <v>2024</v>
      </c>
      <c r="B4636" s="21" t="s">
        <v>29</v>
      </c>
      <c r="C4636" s="21" t="s">
        <v>1145</v>
      </c>
      <c r="D4636" s="21" t="s">
        <v>35</v>
      </c>
      <c r="E4636" s="18" t="s">
        <v>51</v>
      </c>
      <c r="F4636" s="18" t="s">
        <v>47</v>
      </c>
      <c r="G4636" s="18" t="s">
        <v>48</v>
      </c>
      <c r="H4636" s="24">
        <v>113940</v>
      </c>
      <c r="I4636" s="24">
        <f>T_reg.root.SK[[#This Row],[Volume, kg]]/1000</f>
        <v>113.94</v>
      </c>
      <c r="J4636" s="25">
        <v>0.25920000000000004</v>
      </c>
      <c r="K4636" s="25">
        <f t="shared" si="72"/>
        <v>29533.248000000003</v>
      </c>
      <c r="L4636" s="25">
        <v>2.2999999999999998</v>
      </c>
      <c r="M4636" s="24">
        <v>261632</v>
      </c>
      <c r="N4636" s="25">
        <f>IFERROR(T_reg.root.SK[[#This Row],[Price]]/T_reg.root.SK[[#This Row],[Starch content]],"")</f>
        <v>8.8734567901234556</v>
      </c>
    </row>
    <row r="4637" spans="1:14">
      <c r="A4637" s="21">
        <v>2024</v>
      </c>
      <c r="B4637" s="21" t="s">
        <v>29</v>
      </c>
      <c r="C4637" s="21" t="s">
        <v>1145</v>
      </c>
      <c r="D4637" s="21" t="s">
        <v>35</v>
      </c>
      <c r="E4637" s="18" t="s">
        <v>336</v>
      </c>
      <c r="F4637" s="18" t="s">
        <v>47</v>
      </c>
      <c r="G4637" s="18" t="s">
        <v>48</v>
      </c>
      <c r="H4637" s="24">
        <v>88280</v>
      </c>
      <c r="I4637" s="24">
        <f>T_reg.root.SK[[#This Row],[Volume, kg]]/1000</f>
        <v>88.28</v>
      </c>
      <c r="J4637" s="25">
        <v>0.24309999999999998</v>
      </c>
      <c r="K4637" s="25">
        <f t="shared" si="72"/>
        <v>21460.867999999999</v>
      </c>
      <c r="L4637" s="25">
        <v>2.2799999999999998</v>
      </c>
      <c r="M4637" s="24">
        <v>200877</v>
      </c>
      <c r="N4637" s="25">
        <f>IFERROR(T_reg.root.SK[[#This Row],[Price]]/T_reg.root.SK[[#This Row],[Starch content]],"")</f>
        <v>9.3788564376799677</v>
      </c>
    </row>
    <row r="4638" spans="1:14">
      <c r="A4638" s="21">
        <v>2024</v>
      </c>
      <c r="B4638" s="21" t="s">
        <v>29</v>
      </c>
      <c r="C4638" s="21" t="s">
        <v>1145</v>
      </c>
      <c r="D4638" s="21" t="s">
        <v>35</v>
      </c>
      <c r="E4638" s="18" t="s">
        <v>52</v>
      </c>
      <c r="F4638" s="18" t="s">
        <v>47</v>
      </c>
      <c r="G4638" s="18" t="s">
        <v>48</v>
      </c>
      <c r="H4638" s="24">
        <v>98280</v>
      </c>
      <c r="I4638" s="24">
        <f>T_reg.root.SK[[#This Row],[Volume, kg]]/1000</f>
        <v>98.28</v>
      </c>
      <c r="J4638" s="25">
        <v>0.2261</v>
      </c>
      <c r="K4638" s="25">
        <f t="shared" si="72"/>
        <v>22221.108</v>
      </c>
      <c r="L4638" s="25">
        <v>2.16</v>
      </c>
      <c r="M4638" s="24">
        <v>212467</v>
      </c>
      <c r="N4638" s="25">
        <f>IFERROR(T_reg.root.SK[[#This Row],[Price]]/T_reg.root.SK[[#This Row],[Starch content]],"")</f>
        <v>9.5532950022114118</v>
      </c>
    </row>
    <row r="4639" spans="1:14">
      <c r="A4639" s="21">
        <v>2024</v>
      </c>
      <c r="B4639" s="21" t="s">
        <v>29</v>
      </c>
      <c r="C4639" s="21" t="s">
        <v>1145</v>
      </c>
      <c r="D4639" s="21" t="s">
        <v>35</v>
      </c>
      <c r="E4639" s="18" t="s">
        <v>654</v>
      </c>
      <c r="F4639" s="18" t="s">
        <v>47</v>
      </c>
      <c r="G4639" s="18" t="s">
        <v>48</v>
      </c>
      <c r="H4639" s="24">
        <v>87840</v>
      </c>
      <c r="I4639" s="24">
        <f>T_reg.root.SK[[#This Row],[Volume, kg]]/1000</f>
        <v>87.84</v>
      </c>
      <c r="J4639" s="25">
        <v>0.24640000000000001</v>
      </c>
      <c r="K4639" s="25">
        <f t="shared" si="72"/>
        <v>21643.776000000002</v>
      </c>
      <c r="L4639" s="25">
        <v>2.2400000000000002</v>
      </c>
      <c r="M4639" s="24">
        <v>197102.5</v>
      </c>
      <c r="N4639" s="25">
        <f>IFERROR(T_reg.root.SK[[#This Row],[Price]]/T_reg.root.SK[[#This Row],[Starch content]],"")</f>
        <v>9.0909090909090917</v>
      </c>
    </row>
    <row r="4640" spans="1:14">
      <c r="A4640" s="21">
        <v>2024</v>
      </c>
      <c r="B4640" s="21" t="s">
        <v>29</v>
      </c>
      <c r="C4640" s="21" t="s">
        <v>1145</v>
      </c>
      <c r="D4640" s="21" t="s">
        <v>35</v>
      </c>
      <c r="E4640" s="18" t="s">
        <v>78</v>
      </c>
      <c r="F4640" s="18" t="s">
        <v>47</v>
      </c>
      <c r="G4640" s="18" t="s">
        <v>48</v>
      </c>
      <c r="H4640" s="24">
        <v>291520</v>
      </c>
      <c r="I4640" s="24">
        <f>T_reg.root.SK[[#This Row],[Volume, kg]]/1000</f>
        <v>291.52</v>
      </c>
      <c r="J4640" s="25">
        <v>0.2351</v>
      </c>
      <c r="K4640" s="25">
        <f t="shared" si="72"/>
        <v>68536.351999999999</v>
      </c>
      <c r="L4640" s="25">
        <v>2.2000000000000002</v>
      </c>
      <c r="M4640" s="24">
        <v>640344.5</v>
      </c>
      <c r="N4640" s="25">
        <f>IFERROR(T_reg.root.SK[[#This Row],[Price]]/T_reg.root.SK[[#This Row],[Starch content]],"")</f>
        <v>9.3577201190982571</v>
      </c>
    </row>
    <row r="4641" spans="1:14">
      <c r="A4641" s="21">
        <v>2024</v>
      </c>
      <c r="B4641" s="21" t="s">
        <v>29</v>
      </c>
      <c r="C4641" s="21" t="s">
        <v>1145</v>
      </c>
      <c r="D4641" s="21" t="s">
        <v>35</v>
      </c>
      <c r="E4641" s="18" t="s">
        <v>53</v>
      </c>
      <c r="F4641" s="18" t="s">
        <v>47</v>
      </c>
      <c r="G4641" s="18" t="s">
        <v>48</v>
      </c>
      <c r="H4641" s="24">
        <v>40860</v>
      </c>
      <c r="I4641" s="24">
        <f>T_reg.root.SK[[#This Row],[Volume, kg]]/1000</f>
        <v>40.86</v>
      </c>
      <c r="J4641" s="25">
        <v>0.25559999999999999</v>
      </c>
      <c r="K4641" s="25">
        <f t="shared" si="72"/>
        <v>10443.815999999999</v>
      </c>
      <c r="L4641" s="25">
        <v>2.31</v>
      </c>
      <c r="M4641" s="24">
        <v>94227.5</v>
      </c>
      <c r="N4641" s="25">
        <f>IFERROR(T_reg.root.SK[[#This Row],[Price]]/T_reg.root.SK[[#This Row],[Starch content]],"")</f>
        <v>9.0375586854460099</v>
      </c>
    </row>
    <row r="4642" spans="1:14">
      <c r="A4642" s="21">
        <v>2024</v>
      </c>
      <c r="B4642" s="21" t="s">
        <v>29</v>
      </c>
      <c r="C4642" s="21" t="s">
        <v>1145</v>
      </c>
      <c r="D4642" s="21" t="s">
        <v>35</v>
      </c>
      <c r="E4642" s="18" t="s">
        <v>624</v>
      </c>
      <c r="F4642" s="18" t="s">
        <v>47</v>
      </c>
      <c r="G4642" s="18" t="s">
        <v>48</v>
      </c>
      <c r="H4642" s="24">
        <v>8670</v>
      </c>
      <c r="I4642" s="24">
        <f>T_reg.root.SK[[#This Row],[Volume, kg]]/1000</f>
        <v>8.67</v>
      </c>
      <c r="J4642" s="25">
        <v>0.19500000000000001</v>
      </c>
      <c r="K4642" s="25">
        <f t="shared" si="72"/>
        <v>1690.65</v>
      </c>
      <c r="L4642" s="25">
        <v>2.0499999999999998</v>
      </c>
      <c r="M4642" s="24">
        <v>17773.5</v>
      </c>
      <c r="N4642" s="25">
        <f>IFERROR(T_reg.root.SK[[#This Row],[Price]]/T_reg.root.SK[[#This Row],[Starch content]],"")</f>
        <v>10.512820512820511</v>
      </c>
    </row>
    <row r="4643" spans="1:14">
      <c r="A4643" s="21">
        <v>2024</v>
      </c>
      <c r="B4643" s="21" t="s">
        <v>29</v>
      </c>
      <c r="C4643" s="21" t="s">
        <v>1145</v>
      </c>
      <c r="D4643" s="21" t="s">
        <v>35</v>
      </c>
      <c r="E4643" s="18" t="s">
        <v>460</v>
      </c>
      <c r="F4643" s="18" t="s">
        <v>47</v>
      </c>
      <c r="G4643" s="18" t="s">
        <v>48</v>
      </c>
      <c r="H4643" s="24">
        <v>61150</v>
      </c>
      <c r="I4643" s="24">
        <f>T_reg.root.SK[[#This Row],[Volume, kg]]/1000</f>
        <v>61.15</v>
      </c>
      <c r="J4643" s="25">
        <v>0.22769999999999999</v>
      </c>
      <c r="K4643" s="25">
        <f t="shared" si="72"/>
        <v>13923.855</v>
      </c>
      <c r="L4643" s="25">
        <v>2.17</v>
      </c>
      <c r="M4643" s="24">
        <v>132866</v>
      </c>
      <c r="N4643" s="25">
        <f>IFERROR(T_reg.root.SK[[#This Row],[Price]]/T_reg.root.SK[[#This Row],[Starch content]],"")</f>
        <v>9.5300834431269212</v>
      </c>
    </row>
    <row r="4644" spans="1:14">
      <c r="A4644" s="21">
        <v>2024</v>
      </c>
      <c r="B4644" s="21" t="s">
        <v>29</v>
      </c>
      <c r="C4644" s="21" t="s">
        <v>1145</v>
      </c>
      <c r="D4644" s="21" t="s">
        <v>35</v>
      </c>
      <c r="E4644" s="18" t="s">
        <v>54</v>
      </c>
      <c r="F4644" s="18" t="s">
        <v>47</v>
      </c>
      <c r="G4644" s="18" t="s">
        <v>48</v>
      </c>
      <c r="H4644" s="24">
        <v>9910</v>
      </c>
      <c r="I4644" s="24">
        <f>T_reg.root.SK[[#This Row],[Volume, kg]]/1000</f>
        <v>9.91</v>
      </c>
      <c r="J4644" s="25">
        <v>0.22450000000000001</v>
      </c>
      <c r="K4644" s="25">
        <f t="shared" si="72"/>
        <v>2224.7950000000001</v>
      </c>
      <c r="L4644" s="25">
        <v>2.15</v>
      </c>
      <c r="M4644" s="24">
        <v>21306.5</v>
      </c>
      <c r="N4644" s="25">
        <f>IFERROR(T_reg.root.SK[[#This Row],[Price]]/T_reg.root.SK[[#This Row],[Starch content]],"")</f>
        <v>9.5768374164810677</v>
      </c>
    </row>
    <row r="4645" spans="1:14">
      <c r="A4645" s="21">
        <v>2024</v>
      </c>
      <c r="B4645" s="21" t="s">
        <v>29</v>
      </c>
      <c r="C4645" s="21" t="s">
        <v>1145</v>
      </c>
      <c r="D4645" s="21" t="s">
        <v>35</v>
      </c>
      <c r="E4645" s="18" t="s">
        <v>55</v>
      </c>
      <c r="F4645" s="18" t="s">
        <v>47</v>
      </c>
      <c r="G4645" s="18" t="s">
        <v>48</v>
      </c>
      <c r="H4645" s="24">
        <v>6900</v>
      </c>
      <c r="I4645" s="24">
        <f>T_reg.root.SK[[#This Row],[Volume, kg]]/1000</f>
        <v>6.9</v>
      </c>
      <c r="J4645" s="25">
        <v>0.24399999999999999</v>
      </c>
      <c r="K4645" s="25">
        <f t="shared" si="72"/>
        <v>1683.6</v>
      </c>
      <c r="L4645" s="25">
        <v>2.25</v>
      </c>
      <c r="M4645" s="24">
        <v>15525</v>
      </c>
      <c r="N4645" s="25">
        <f>IFERROR(T_reg.root.SK[[#This Row],[Price]]/T_reg.root.SK[[#This Row],[Starch content]],"")</f>
        <v>9.221311475409836</v>
      </c>
    </row>
    <row r="4646" spans="1:14">
      <c r="A4646" s="21">
        <v>2024</v>
      </c>
      <c r="B4646" s="21" t="s">
        <v>29</v>
      </c>
      <c r="C4646" s="21" t="s">
        <v>1145</v>
      </c>
      <c r="D4646" s="21" t="s">
        <v>35</v>
      </c>
      <c r="E4646" s="18" t="s">
        <v>744</v>
      </c>
      <c r="F4646" s="18" t="s">
        <v>47</v>
      </c>
      <c r="G4646" s="18" t="s">
        <v>48</v>
      </c>
      <c r="H4646" s="24">
        <v>24690</v>
      </c>
      <c r="I4646" s="24">
        <f>T_reg.root.SK[[#This Row],[Volume, kg]]/1000</f>
        <v>24.69</v>
      </c>
      <c r="J4646" s="25">
        <v>0.25590000000000002</v>
      </c>
      <c r="K4646" s="25">
        <f t="shared" si="72"/>
        <v>6318.1710000000003</v>
      </c>
      <c r="L4646" s="25">
        <v>2.29</v>
      </c>
      <c r="M4646" s="24">
        <v>56598</v>
      </c>
      <c r="N4646" s="25">
        <f>IFERROR(T_reg.root.SK[[#This Row],[Price]]/T_reg.root.SK[[#This Row],[Starch content]],"")</f>
        <v>8.9488081281750684</v>
      </c>
    </row>
    <row r="4647" spans="1:14">
      <c r="A4647" s="21">
        <v>2024</v>
      </c>
      <c r="B4647" s="21" t="s">
        <v>29</v>
      </c>
      <c r="C4647" s="21" t="s">
        <v>1145</v>
      </c>
      <c r="D4647" s="21" t="s">
        <v>35</v>
      </c>
      <c r="E4647" s="18" t="s">
        <v>56</v>
      </c>
      <c r="F4647" s="18" t="s">
        <v>47</v>
      </c>
      <c r="G4647" s="18" t="s">
        <v>48</v>
      </c>
      <c r="H4647" s="24">
        <v>120790</v>
      </c>
      <c r="I4647" s="24">
        <f>T_reg.root.SK[[#This Row],[Volume, kg]]/1000</f>
        <v>120.79</v>
      </c>
      <c r="J4647" s="25">
        <v>0.26280000000000003</v>
      </c>
      <c r="K4647" s="25">
        <f t="shared" si="72"/>
        <v>31743.612000000005</v>
      </c>
      <c r="L4647" s="25">
        <v>2.3199999999999998</v>
      </c>
      <c r="M4647" s="24">
        <v>279653</v>
      </c>
      <c r="N4647" s="25">
        <f>IFERROR(T_reg.root.SK[[#This Row],[Price]]/T_reg.root.SK[[#This Row],[Starch content]],"")</f>
        <v>8.8280060882800591</v>
      </c>
    </row>
    <row r="4648" spans="1:14">
      <c r="A4648" s="21">
        <v>2024</v>
      </c>
      <c r="B4648" s="21" t="s">
        <v>29</v>
      </c>
      <c r="C4648" s="21" t="s">
        <v>1145</v>
      </c>
      <c r="D4648" s="21" t="s">
        <v>35</v>
      </c>
      <c r="E4648" s="18" t="s">
        <v>463</v>
      </c>
      <c r="F4648" s="18" t="s">
        <v>47</v>
      </c>
      <c r="G4648" s="18" t="s">
        <v>48</v>
      </c>
      <c r="H4648" s="24">
        <v>9520</v>
      </c>
      <c r="I4648" s="24">
        <f>T_reg.root.SK[[#This Row],[Volume, kg]]/1000</f>
        <v>9.52</v>
      </c>
      <c r="J4648" s="25">
        <v>0.253</v>
      </c>
      <c r="K4648" s="25">
        <f t="shared" si="72"/>
        <v>2408.56</v>
      </c>
      <c r="L4648" s="25">
        <v>2.25</v>
      </c>
      <c r="M4648" s="24">
        <v>21420</v>
      </c>
      <c r="N4648" s="25">
        <f>IFERROR(T_reg.root.SK[[#This Row],[Price]]/T_reg.root.SK[[#This Row],[Starch content]],"")</f>
        <v>8.8932806324110665</v>
      </c>
    </row>
    <row r="4649" spans="1:14">
      <c r="A4649" s="21">
        <v>2024</v>
      </c>
      <c r="B4649" s="21" t="s">
        <v>29</v>
      </c>
      <c r="C4649" s="21" t="s">
        <v>1145</v>
      </c>
      <c r="D4649" s="21" t="s">
        <v>35</v>
      </c>
      <c r="E4649" s="18" t="s">
        <v>785</v>
      </c>
      <c r="F4649" s="18" t="s">
        <v>47</v>
      </c>
      <c r="G4649" s="18" t="s">
        <v>48</v>
      </c>
      <c r="H4649" s="24">
        <v>39560</v>
      </c>
      <c r="I4649" s="24">
        <f>T_reg.root.SK[[#This Row],[Volume, kg]]/1000</f>
        <v>39.56</v>
      </c>
      <c r="J4649" s="25">
        <v>0.24179999999999999</v>
      </c>
      <c r="K4649" s="25">
        <f t="shared" si="72"/>
        <v>9565.6080000000002</v>
      </c>
      <c r="L4649" s="25">
        <v>2.27</v>
      </c>
      <c r="M4649" s="24">
        <v>89689.5</v>
      </c>
      <c r="N4649" s="25">
        <f>IFERROR(T_reg.root.SK[[#This Row],[Price]]/T_reg.root.SK[[#This Row],[Starch content]],"")</f>
        <v>9.3879239040529363</v>
      </c>
    </row>
    <row r="4650" spans="1:14">
      <c r="A4650" s="21">
        <v>2024</v>
      </c>
      <c r="B4650" s="21" t="s">
        <v>29</v>
      </c>
      <c r="C4650" s="21" t="s">
        <v>1145</v>
      </c>
      <c r="D4650" s="21" t="s">
        <v>35</v>
      </c>
      <c r="E4650" s="18" t="s">
        <v>655</v>
      </c>
      <c r="F4650" s="18" t="s">
        <v>47</v>
      </c>
      <c r="G4650" s="18" t="s">
        <v>48</v>
      </c>
      <c r="H4650" s="24">
        <v>62700</v>
      </c>
      <c r="I4650" s="24">
        <f>T_reg.root.SK[[#This Row],[Volume, kg]]/1000</f>
        <v>62.7</v>
      </c>
      <c r="J4650" s="25">
        <v>0.2379</v>
      </c>
      <c r="K4650" s="25">
        <f t="shared" si="72"/>
        <v>14916.33</v>
      </c>
      <c r="L4650" s="25">
        <v>2.23</v>
      </c>
      <c r="M4650" s="24">
        <v>139685.5</v>
      </c>
      <c r="N4650" s="25">
        <f>IFERROR(T_reg.root.SK[[#This Row],[Price]]/T_reg.root.SK[[#This Row],[Starch content]],"")</f>
        <v>9.3736864228667507</v>
      </c>
    </row>
    <row r="4651" spans="1:14">
      <c r="A4651" s="21">
        <v>2024</v>
      </c>
      <c r="B4651" s="21" t="s">
        <v>29</v>
      </c>
      <c r="C4651" s="21" t="s">
        <v>1145</v>
      </c>
      <c r="D4651" s="21" t="s">
        <v>35</v>
      </c>
      <c r="E4651" s="18" t="s">
        <v>625</v>
      </c>
      <c r="F4651" s="18" t="s">
        <v>47</v>
      </c>
      <c r="G4651" s="18" t="s">
        <v>48</v>
      </c>
      <c r="H4651" s="24">
        <v>35080</v>
      </c>
      <c r="I4651" s="24">
        <f>T_reg.root.SK[[#This Row],[Volume, kg]]/1000</f>
        <v>35.08</v>
      </c>
      <c r="J4651" s="25">
        <v>0.22210000000000002</v>
      </c>
      <c r="K4651" s="25">
        <f t="shared" si="72"/>
        <v>7791.2680000000009</v>
      </c>
      <c r="L4651" s="25">
        <v>2.2000000000000002</v>
      </c>
      <c r="M4651" s="24">
        <v>77093.5</v>
      </c>
      <c r="N4651" s="25">
        <f>IFERROR(T_reg.root.SK[[#This Row],[Price]]/T_reg.root.SK[[#This Row],[Starch content]],"")</f>
        <v>9.9054479963980189</v>
      </c>
    </row>
    <row r="4652" spans="1:14">
      <c r="A4652" s="21">
        <v>2024</v>
      </c>
      <c r="B4652" s="21" t="s">
        <v>29</v>
      </c>
      <c r="C4652" s="21" t="s">
        <v>1145</v>
      </c>
      <c r="D4652" s="21" t="s">
        <v>35</v>
      </c>
      <c r="E4652" s="18" t="s">
        <v>57</v>
      </c>
      <c r="F4652" s="18" t="s">
        <v>47</v>
      </c>
      <c r="G4652" s="18" t="s">
        <v>48</v>
      </c>
      <c r="H4652" s="24">
        <v>5430</v>
      </c>
      <c r="I4652" s="24">
        <f>T_reg.root.SK[[#This Row],[Volume, kg]]/1000</f>
        <v>5.43</v>
      </c>
      <c r="J4652" s="25">
        <v>0.221</v>
      </c>
      <c r="K4652" s="25">
        <f t="shared" si="72"/>
        <v>1200.03</v>
      </c>
      <c r="L4652" s="25">
        <v>2.25</v>
      </c>
      <c r="M4652" s="24">
        <v>12217.5</v>
      </c>
      <c r="N4652" s="25">
        <f>IFERROR(T_reg.root.SK[[#This Row],[Price]]/T_reg.root.SK[[#This Row],[Starch content]],"")</f>
        <v>10.180995475113122</v>
      </c>
    </row>
    <row r="4653" spans="1:14">
      <c r="A4653" s="21">
        <v>2024</v>
      </c>
      <c r="B4653" s="21" t="s">
        <v>29</v>
      </c>
      <c r="C4653" s="21" t="s">
        <v>1145</v>
      </c>
      <c r="D4653" s="21" t="s">
        <v>35</v>
      </c>
      <c r="E4653" s="18" t="s">
        <v>379</v>
      </c>
      <c r="F4653" s="18" t="s">
        <v>47</v>
      </c>
      <c r="G4653" s="18" t="s">
        <v>48</v>
      </c>
      <c r="H4653" s="24">
        <v>28440</v>
      </c>
      <c r="I4653" s="24">
        <f>T_reg.root.SK[[#This Row],[Volume, kg]]/1000</f>
        <v>28.44</v>
      </c>
      <c r="J4653" s="25">
        <v>0.23499999999999999</v>
      </c>
      <c r="K4653" s="25">
        <f t="shared" si="72"/>
        <v>6683.4</v>
      </c>
      <c r="L4653" s="25">
        <v>2.19</v>
      </c>
      <c r="M4653" s="24">
        <v>62262</v>
      </c>
      <c r="N4653" s="25">
        <f>IFERROR(T_reg.root.SK[[#This Row],[Price]]/T_reg.root.SK[[#This Row],[Starch content]],"")</f>
        <v>9.3191489361702136</v>
      </c>
    </row>
    <row r="4654" spans="1:14">
      <c r="A4654" s="21">
        <v>2024</v>
      </c>
      <c r="B4654" s="21" t="s">
        <v>29</v>
      </c>
      <c r="C4654" s="21" t="s">
        <v>1145</v>
      </c>
      <c r="D4654" s="21" t="s">
        <v>35</v>
      </c>
      <c r="E4654" s="18" t="s">
        <v>58</v>
      </c>
      <c r="F4654" s="18" t="s">
        <v>47</v>
      </c>
      <c r="G4654" s="18" t="s">
        <v>48</v>
      </c>
      <c r="H4654" s="24">
        <v>116090</v>
      </c>
      <c r="I4654" s="24">
        <f>T_reg.root.SK[[#This Row],[Volume, kg]]/1000</f>
        <v>116.09</v>
      </c>
      <c r="J4654" s="25">
        <v>0.18960000000000002</v>
      </c>
      <c r="K4654" s="25">
        <f t="shared" si="72"/>
        <v>22010.664000000001</v>
      </c>
      <c r="L4654" s="25">
        <v>1.96</v>
      </c>
      <c r="M4654" s="24">
        <v>227861</v>
      </c>
      <c r="N4654" s="25">
        <f>IFERROR(T_reg.root.SK[[#This Row],[Price]]/T_reg.root.SK[[#This Row],[Starch content]],"")</f>
        <v>10.337552742616033</v>
      </c>
    </row>
    <row r="4655" spans="1:14">
      <c r="A4655" s="21">
        <v>2024</v>
      </c>
      <c r="B4655" s="21" t="s">
        <v>29</v>
      </c>
      <c r="C4655" s="21" t="s">
        <v>1145</v>
      </c>
      <c r="D4655" s="21" t="s">
        <v>35</v>
      </c>
      <c r="E4655" s="18" t="s">
        <v>337</v>
      </c>
      <c r="F4655" s="18" t="s">
        <v>47</v>
      </c>
      <c r="G4655" s="18" t="s">
        <v>48</v>
      </c>
      <c r="H4655" s="24">
        <v>9260</v>
      </c>
      <c r="I4655" s="24">
        <f>T_reg.root.SK[[#This Row],[Volume, kg]]/1000</f>
        <v>9.26</v>
      </c>
      <c r="J4655" s="25">
        <v>0.29949999999999999</v>
      </c>
      <c r="K4655" s="25">
        <f t="shared" si="72"/>
        <v>2773.37</v>
      </c>
      <c r="L4655" s="25">
        <v>2.5499999999999998</v>
      </c>
      <c r="M4655" s="24">
        <v>23613</v>
      </c>
      <c r="N4655" s="25">
        <f>IFERROR(T_reg.root.SK[[#This Row],[Price]]/T_reg.root.SK[[#This Row],[Starch content]],"")</f>
        <v>8.5141903171953253</v>
      </c>
    </row>
    <row r="4656" spans="1:14">
      <c r="A4656" s="21">
        <v>2024</v>
      </c>
      <c r="B4656" s="21" t="s">
        <v>29</v>
      </c>
      <c r="C4656" s="21" t="s">
        <v>1145</v>
      </c>
      <c r="D4656" s="21" t="s">
        <v>35</v>
      </c>
      <c r="E4656" s="18" t="s">
        <v>59</v>
      </c>
      <c r="F4656" s="18" t="s">
        <v>47</v>
      </c>
      <c r="G4656" s="18" t="s">
        <v>48</v>
      </c>
      <c r="H4656" s="24">
        <v>82530</v>
      </c>
      <c r="I4656" s="24">
        <f>T_reg.root.SK[[#This Row],[Volume, kg]]/1000</f>
        <v>82.53</v>
      </c>
      <c r="J4656" s="25">
        <v>0.2051</v>
      </c>
      <c r="K4656" s="25">
        <f t="shared" si="72"/>
        <v>16926.903000000002</v>
      </c>
      <c r="L4656" s="25">
        <v>2.0499999999999998</v>
      </c>
      <c r="M4656" s="24">
        <v>168979.5</v>
      </c>
      <c r="N4656" s="25">
        <f>IFERROR(T_reg.root.SK[[#This Row],[Price]]/T_reg.root.SK[[#This Row],[Starch content]],"")</f>
        <v>9.9951243295953187</v>
      </c>
    </row>
    <row r="4657" spans="1:14">
      <c r="A4657" s="21">
        <v>2024</v>
      </c>
      <c r="B4657" s="21" t="s">
        <v>29</v>
      </c>
      <c r="C4657" s="21" t="s">
        <v>1145</v>
      </c>
      <c r="D4657" s="21" t="s">
        <v>35</v>
      </c>
      <c r="E4657" s="18" t="s">
        <v>60</v>
      </c>
      <c r="F4657" s="18" t="s">
        <v>47</v>
      </c>
      <c r="G4657" s="18" t="s">
        <v>48</v>
      </c>
      <c r="H4657" s="24">
        <v>83000</v>
      </c>
      <c r="I4657" s="24">
        <f>T_reg.root.SK[[#This Row],[Volume, kg]]/1000</f>
        <v>83</v>
      </c>
      <c r="J4657" s="25">
        <v>0.21960000000000002</v>
      </c>
      <c r="K4657" s="25">
        <f t="shared" si="72"/>
        <v>18226.800000000003</v>
      </c>
      <c r="L4657" s="25">
        <v>2.12</v>
      </c>
      <c r="M4657" s="24">
        <v>176318</v>
      </c>
      <c r="N4657" s="25">
        <f>IFERROR(T_reg.root.SK[[#This Row],[Price]]/T_reg.root.SK[[#This Row],[Starch content]],"")</f>
        <v>9.6539162112932608</v>
      </c>
    </row>
    <row r="4658" spans="1:14">
      <c r="A4658" s="21">
        <v>2024</v>
      </c>
      <c r="B4658" s="21" t="s">
        <v>29</v>
      </c>
      <c r="C4658" s="21" t="s">
        <v>1145</v>
      </c>
      <c r="D4658" s="21" t="s">
        <v>35</v>
      </c>
      <c r="E4658" s="18" t="s">
        <v>643</v>
      </c>
      <c r="F4658" s="18" t="s">
        <v>47</v>
      </c>
      <c r="G4658" s="18" t="s">
        <v>48</v>
      </c>
      <c r="H4658" s="24">
        <v>88370</v>
      </c>
      <c r="I4658" s="24">
        <f>T_reg.root.SK[[#This Row],[Volume, kg]]/1000</f>
        <v>88.37</v>
      </c>
      <c r="J4658" s="25">
        <v>0.24609999999999999</v>
      </c>
      <c r="K4658" s="25">
        <f t="shared" si="72"/>
        <v>21747.857</v>
      </c>
      <c r="L4658" s="25">
        <v>2.27</v>
      </c>
      <c r="M4658" s="24">
        <v>200258</v>
      </c>
      <c r="N4658" s="25">
        <f>IFERROR(T_reg.root.SK[[#This Row],[Price]]/T_reg.root.SK[[#This Row],[Starch content]],"")</f>
        <v>9.2238927265339292</v>
      </c>
    </row>
    <row r="4659" spans="1:14">
      <c r="A4659" s="21">
        <v>2024</v>
      </c>
      <c r="B4659" s="21" t="s">
        <v>29</v>
      </c>
      <c r="C4659" s="21" t="s">
        <v>1145</v>
      </c>
      <c r="D4659" s="21" t="s">
        <v>35</v>
      </c>
      <c r="E4659" s="18" t="s">
        <v>548</v>
      </c>
      <c r="F4659" s="18" t="s">
        <v>47</v>
      </c>
      <c r="G4659" s="18" t="s">
        <v>48</v>
      </c>
      <c r="H4659" s="24">
        <v>81080</v>
      </c>
      <c r="I4659" s="24">
        <f>T_reg.root.SK[[#This Row],[Volume, kg]]/1000</f>
        <v>81.08</v>
      </c>
      <c r="J4659" s="25">
        <v>0.22570000000000001</v>
      </c>
      <c r="K4659" s="25">
        <f t="shared" si="72"/>
        <v>18299.756000000001</v>
      </c>
      <c r="L4659" s="25">
        <v>2.13</v>
      </c>
      <c r="M4659" s="24">
        <v>172671</v>
      </c>
      <c r="N4659" s="25">
        <f>IFERROR(T_reg.root.SK[[#This Row],[Price]]/T_reg.root.SK[[#This Row],[Starch content]],"")</f>
        <v>9.4373061586176323</v>
      </c>
    </row>
    <row r="4660" spans="1:14">
      <c r="A4660" s="21">
        <v>2024</v>
      </c>
      <c r="B4660" s="21" t="s">
        <v>29</v>
      </c>
      <c r="C4660" s="21" t="s">
        <v>1145</v>
      </c>
      <c r="D4660" s="21" t="s">
        <v>35</v>
      </c>
      <c r="E4660" s="18" t="s">
        <v>467</v>
      </c>
      <c r="F4660" s="18" t="s">
        <v>47</v>
      </c>
      <c r="G4660" s="18" t="s">
        <v>48</v>
      </c>
      <c r="H4660" s="24">
        <v>124740</v>
      </c>
      <c r="I4660" s="24">
        <f>T_reg.root.SK[[#This Row],[Volume, kg]]/1000</f>
        <v>124.74</v>
      </c>
      <c r="J4660" s="25">
        <v>0.24489999999999998</v>
      </c>
      <c r="K4660" s="25">
        <f t="shared" si="72"/>
        <v>30548.825999999997</v>
      </c>
      <c r="L4660" s="25">
        <v>2.2400000000000002</v>
      </c>
      <c r="M4660" s="24">
        <v>278853</v>
      </c>
      <c r="N4660" s="25">
        <f>IFERROR(T_reg.root.SK[[#This Row],[Price]]/T_reg.root.SK[[#This Row],[Starch content]],"")</f>
        <v>9.1465904450796263</v>
      </c>
    </row>
    <row r="4661" spans="1:14">
      <c r="A4661" s="21">
        <v>2024</v>
      </c>
      <c r="B4661" s="21" t="s">
        <v>29</v>
      </c>
      <c r="C4661" s="21" t="s">
        <v>1145</v>
      </c>
      <c r="D4661" s="21" t="s">
        <v>35</v>
      </c>
      <c r="E4661" s="18" t="s">
        <v>338</v>
      </c>
      <c r="F4661" s="18" t="s">
        <v>47</v>
      </c>
      <c r="G4661" s="18" t="s">
        <v>48</v>
      </c>
      <c r="H4661" s="24">
        <v>39980</v>
      </c>
      <c r="I4661" s="24">
        <f>T_reg.root.SK[[#This Row],[Volume, kg]]/1000</f>
        <v>39.979999999999997</v>
      </c>
      <c r="J4661" s="25">
        <v>0.2445</v>
      </c>
      <c r="K4661" s="25">
        <f t="shared" si="72"/>
        <v>9775.11</v>
      </c>
      <c r="L4661" s="25">
        <v>2.2400000000000002</v>
      </c>
      <c r="M4661" s="24">
        <v>89568.5</v>
      </c>
      <c r="N4661" s="25">
        <f>IFERROR(T_reg.root.SK[[#This Row],[Price]]/T_reg.root.SK[[#This Row],[Starch content]],"")</f>
        <v>9.1615541922290404</v>
      </c>
    </row>
    <row r="4662" spans="1:14">
      <c r="A4662" s="21">
        <v>2024</v>
      </c>
      <c r="B4662" s="21" t="s">
        <v>29</v>
      </c>
      <c r="C4662" s="21" t="s">
        <v>1145</v>
      </c>
      <c r="D4662" s="21" t="s">
        <v>35</v>
      </c>
      <c r="E4662" s="18" t="s">
        <v>61</v>
      </c>
      <c r="F4662" s="18" t="s">
        <v>47</v>
      </c>
      <c r="G4662" s="18" t="s">
        <v>48</v>
      </c>
      <c r="H4662" s="24">
        <v>314440</v>
      </c>
      <c r="I4662" s="24">
        <f>T_reg.root.SK[[#This Row],[Volume, kg]]/1000</f>
        <v>314.44</v>
      </c>
      <c r="J4662" s="25">
        <v>0.24309999999999998</v>
      </c>
      <c r="K4662" s="25">
        <f t="shared" si="72"/>
        <v>76440.364000000001</v>
      </c>
      <c r="L4662" s="25">
        <v>2.25</v>
      </c>
      <c r="M4662" s="24">
        <v>707156</v>
      </c>
      <c r="N4662" s="25">
        <f>IFERROR(T_reg.root.SK[[#This Row],[Price]]/T_reg.root.SK[[#This Row],[Starch content]],"")</f>
        <v>9.2554504319210213</v>
      </c>
    </row>
    <row r="4663" spans="1:14">
      <c r="A4663" s="21">
        <v>2024</v>
      </c>
      <c r="B4663" s="21" t="s">
        <v>29</v>
      </c>
      <c r="C4663" s="21" t="s">
        <v>1145</v>
      </c>
      <c r="D4663" s="21" t="s">
        <v>35</v>
      </c>
      <c r="E4663" s="18" t="s">
        <v>657</v>
      </c>
      <c r="F4663" s="18" t="s">
        <v>47</v>
      </c>
      <c r="G4663" s="18" t="s">
        <v>48</v>
      </c>
      <c r="H4663" s="24">
        <v>17280</v>
      </c>
      <c r="I4663" s="24">
        <f>T_reg.root.SK[[#This Row],[Volume, kg]]/1000</f>
        <v>17.28</v>
      </c>
      <c r="J4663" s="25">
        <v>0.27479999999999999</v>
      </c>
      <c r="K4663" s="25">
        <f t="shared" si="72"/>
        <v>4748.5439999999999</v>
      </c>
      <c r="L4663" s="25">
        <v>2.4</v>
      </c>
      <c r="M4663" s="24">
        <v>41438</v>
      </c>
      <c r="N4663" s="25">
        <f>IFERROR(T_reg.root.SK[[#This Row],[Price]]/T_reg.root.SK[[#This Row],[Starch content]],"")</f>
        <v>8.7336244541484724</v>
      </c>
    </row>
    <row r="4664" spans="1:14">
      <c r="A4664" s="21">
        <v>2024</v>
      </c>
      <c r="B4664" s="21" t="s">
        <v>29</v>
      </c>
      <c r="C4664" s="21" t="s">
        <v>1145</v>
      </c>
      <c r="D4664" s="21" t="s">
        <v>35</v>
      </c>
      <c r="E4664" s="18" t="s">
        <v>941</v>
      </c>
      <c r="F4664" s="18" t="s">
        <v>47</v>
      </c>
      <c r="G4664" s="18" t="s">
        <v>48</v>
      </c>
      <c r="H4664" s="24">
        <v>17720</v>
      </c>
      <c r="I4664" s="24">
        <f>T_reg.root.SK[[#This Row],[Volume, kg]]/1000</f>
        <v>17.72</v>
      </c>
      <c r="J4664" s="25">
        <v>0.1946</v>
      </c>
      <c r="K4664" s="25">
        <f t="shared" si="72"/>
        <v>3448.3119999999999</v>
      </c>
      <c r="L4664" s="25">
        <v>2.13</v>
      </c>
      <c r="M4664" s="24">
        <v>37692</v>
      </c>
      <c r="N4664" s="25">
        <f>IFERROR(T_reg.root.SK[[#This Row],[Price]]/T_reg.root.SK[[#This Row],[Starch content]],"")</f>
        <v>10.945529290853031</v>
      </c>
    </row>
    <row r="4665" spans="1:14">
      <c r="A4665" s="21">
        <v>2024</v>
      </c>
      <c r="B4665" s="21" t="s">
        <v>29</v>
      </c>
      <c r="C4665" s="21" t="s">
        <v>1145</v>
      </c>
      <c r="D4665" s="21" t="s">
        <v>35</v>
      </c>
      <c r="E4665" s="18" t="s">
        <v>468</v>
      </c>
      <c r="F4665" s="18" t="s">
        <v>47</v>
      </c>
      <c r="G4665" s="18" t="s">
        <v>48</v>
      </c>
      <c r="H4665" s="24">
        <v>128690</v>
      </c>
      <c r="I4665" s="24">
        <f>T_reg.root.SK[[#This Row],[Volume, kg]]/1000</f>
        <v>128.69</v>
      </c>
      <c r="J4665" s="25">
        <v>0.21440000000000001</v>
      </c>
      <c r="K4665" s="25">
        <f t="shared" si="72"/>
        <v>27591.136000000002</v>
      </c>
      <c r="L4665" s="25">
        <v>2.09</v>
      </c>
      <c r="M4665" s="24">
        <v>269379</v>
      </c>
      <c r="N4665" s="25">
        <f>IFERROR(T_reg.root.SK[[#This Row],[Price]]/T_reg.root.SK[[#This Row],[Starch content]],"")</f>
        <v>9.7481343283582085</v>
      </c>
    </row>
    <row r="4666" spans="1:14">
      <c r="A4666" s="21">
        <v>2024</v>
      </c>
      <c r="B4666" s="21" t="s">
        <v>29</v>
      </c>
      <c r="C4666" s="21" t="s">
        <v>1145</v>
      </c>
      <c r="D4666" s="21" t="s">
        <v>35</v>
      </c>
      <c r="E4666" s="18" t="s">
        <v>62</v>
      </c>
      <c r="F4666" s="18" t="s">
        <v>47</v>
      </c>
      <c r="G4666" s="18" t="s">
        <v>48</v>
      </c>
      <c r="H4666" s="24">
        <v>478550</v>
      </c>
      <c r="I4666" s="24">
        <f>T_reg.root.SK[[#This Row],[Volume, kg]]/1000</f>
        <v>478.55</v>
      </c>
      <c r="J4666" s="25">
        <v>0.2447</v>
      </c>
      <c r="K4666" s="25">
        <f t="shared" si="72"/>
        <v>117101.185</v>
      </c>
      <c r="L4666" s="25">
        <v>2.2400000000000002</v>
      </c>
      <c r="M4666" s="24">
        <v>1072467</v>
      </c>
      <c r="N4666" s="25">
        <f>IFERROR(T_reg.root.SK[[#This Row],[Price]]/T_reg.root.SK[[#This Row],[Starch content]],"")</f>
        <v>9.1540662035145086</v>
      </c>
    </row>
    <row r="4667" spans="1:14">
      <c r="A4667" s="21">
        <v>2024</v>
      </c>
      <c r="B4667" s="21" t="s">
        <v>29</v>
      </c>
      <c r="C4667" s="21" t="s">
        <v>1145</v>
      </c>
      <c r="D4667" s="21" t="s">
        <v>35</v>
      </c>
      <c r="E4667" s="18" t="s">
        <v>340</v>
      </c>
      <c r="F4667" s="18" t="s">
        <v>47</v>
      </c>
      <c r="G4667" s="18" t="s">
        <v>48</v>
      </c>
      <c r="H4667" s="24">
        <v>90840</v>
      </c>
      <c r="I4667" s="24">
        <f>T_reg.root.SK[[#This Row],[Volume, kg]]/1000</f>
        <v>90.84</v>
      </c>
      <c r="J4667" s="25">
        <v>0.23800000000000002</v>
      </c>
      <c r="K4667" s="25">
        <f t="shared" si="72"/>
        <v>21619.920000000002</v>
      </c>
      <c r="L4667" s="25">
        <v>2.2200000000000002</v>
      </c>
      <c r="M4667" s="24">
        <v>201297.5</v>
      </c>
      <c r="N4667" s="25">
        <f>IFERROR(T_reg.root.SK[[#This Row],[Price]]/T_reg.root.SK[[#This Row],[Starch content]],"")</f>
        <v>9.3277310924369754</v>
      </c>
    </row>
    <row r="4668" spans="1:14">
      <c r="A4668" s="21">
        <v>2024</v>
      </c>
      <c r="B4668" s="21" t="s">
        <v>29</v>
      </c>
      <c r="C4668" s="21" t="s">
        <v>1145</v>
      </c>
      <c r="D4668" s="21" t="s">
        <v>35</v>
      </c>
      <c r="E4668" s="18" t="s">
        <v>676</v>
      </c>
      <c r="F4668" s="18" t="s">
        <v>47</v>
      </c>
      <c r="G4668" s="18" t="s">
        <v>48</v>
      </c>
      <c r="H4668" s="24">
        <v>76380</v>
      </c>
      <c r="I4668" s="24">
        <f>T_reg.root.SK[[#This Row],[Volume, kg]]/1000</f>
        <v>76.38</v>
      </c>
      <c r="J4668" s="25">
        <v>0.2732</v>
      </c>
      <c r="K4668" s="25">
        <f t="shared" si="72"/>
        <v>20867.016</v>
      </c>
      <c r="L4668" s="25">
        <v>2.37</v>
      </c>
      <c r="M4668" s="24">
        <v>180684</v>
      </c>
      <c r="N4668" s="25">
        <f>IFERROR(T_reg.root.SK[[#This Row],[Price]]/T_reg.root.SK[[#This Row],[Starch content]],"")</f>
        <v>8.6749633967789173</v>
      </c>
    </row>
    <row r="4669" spans="1:14">
      <c r="A4669" s="21">
        <v>2024</v>
      </c>
      <c r="B4669" s="21" t="s">
        <v>29</v>
      </c>
      <c r="C4669" s="21" t="s">
        <v>1145</v>
      </c>
      <c r="D4669" s="21" t="s">
        <v>35</v>
      </c>
      <c r="E4669" s="18" t="s">
        <v>926</v>
      </c>
      <c r="F4669" s="18" t="s">
        <v>47</v>
      </c>
      <c r="G4669" s="18" t="s">
        <v>48</v>
      </c>
      <c r="H4669" s="24">
        <v>18150</v>
      </c>
      <c r="I4669" s="24">
        <f>T_reg.root.SK[[#This Row],[Volume, kg]]/1000</f>
        <v>18.149999999999999</v>
      </c>
      <c r="J4669" s="25">
        <v>0.20949999999999999</v>
      </c>
      <c r="K4669" s="25">
        <f t="shared" si="72"/>
        <v>3802.4249999999997</v>
      </c>
      <c r="L4669" s="25">
        <v>2.1</v>
      </c>
      <c r="M4669" s="24">
        <v>38140.5</v>
      </c>
      <c r="N4669" s="25">
        <f>IFERROR(T_reg.root.SK[[#This Row],[Price]]/T_reg.root.SK[[#This Row],[Starch content]],"")</f>
        <v>10.023866348448689</v>
      </c>
    </row>
    <row r="4670" spans="1:14">
      <c r="A4670" s="21">
        <v>2024</v>
      </c>
      <c r="B4670" s="21" t="s">
        <v>29</v>
      </c>
      <c r="C4670" s="21" t="s">
        <v>1145</v>
      </c>
      <c r="D4670" s="21" t="s">
        <v>35</v>
      </c>
      <c r="E4670" s="18" t="s">
        <v>469</v>
      </c>
      <c r="F4670" s="18" t="s">
        <v>47</v>
      </c>
      <c r="G4670" s="18" t="s">
        <v>48</v>
      </c>
      <c r="H4670" s="24">
        <v>48390</v>
      </c>
      <c r="I4670" s="24">
        <f>T_reg.root.SK[[#This Row],[Volume, kg]]/1000</f>
        <v>48.39</v>
      </c>
      <c r="J4670" s="25">
        <v>0.23370000000000002</v>
      </c>
      <c r="K4670" s="25">
        <f t="shared" si="72"/>
        <v>11308.743</v>
      </c>
      <c r="L4670" s="25">
        <v>2.19</v>
      </c>
      <c r="M4670" s="24">
        <v>106046.5</v>
      </c>
      <c r="N4670" s="25">
        <f>IFERROR(T_reg.root.SK[[#This Row],[Price]]/T_reg.root.SK[[#This Row],[Starch content]],"")</f>
        <v>9.3709884467265709</v>
      </c>
    </row>
    <row r="4671" spans="1:14">
      <c r="A4671" s="21">
        <v>2024</v>
      </c>
      <c r="B4671" s="21" t="s">
        <v>29</v>
      </c>
      <c r="C4671" s="21" t="s">
        <v>1145</v>
      </c>
      <c r="D4671" s="21" t="s">
        <v>35</v>
      </c>
      <c r="E4671" s="18" t="s">
        <v>659</v>
      </c>
      <c r="F4671" s="18" t="s">
        <v>47</v>
      </c>
      <c r="G4671" s="18" t="s">
        <v>48</v>
      </c>
      <c r="H4671" s="24">
        <v>125060</v>
      </c>
      <c r="I4671" s="24">
        <f>T_reg.root.SK[[#This Row],[Volume, kg]]/1000</f>
        <v>125.06</v>
      </c>
      <c r="J4671" s="25">
        <v>0.23100000000000001</v>
      </c>
      <c r="K4671" s="25">
        <f t="shared" si="72"/>
        <v>28888.86</v>
      </c>
      <c r="L4671" s="25">
        <v>2.2000000000000002</v>
      </c>
      <c r="M4671" s="24">
        <v>274701.5</v>
      </c>
      <c r="N4671" s="25">
        <f>IFERROR(T_reg.root.SK[[#This Row],[Price]]/T_reg.root.SK[[#This Row],[Starch content]],"")</f>
        <v>9.5238095238095237</v>
      </c>
    </row>
    <row r="4672" spans="1:14">
      <c r="A4672" s="21">
        <v>2024</v>
      </c>
      <c r="B4672" s="21" t="s">
        <v>29</v>
      </c>
      <c r="C4672" s="21" t="s">
        <v>1145</v>
      </c>
      <c r="D4672" s="21" t="s">
        <v>35</v>
      </c>
      <c r="E4672" s="18" t="s">
        <v>660</v>
      </c>
      <c r="F4672" s="18" t="s">
        <v>47</v>
      </c>
      <c r="G4672" s="18" t="s">
        <v>48</v>
      </c>
      <c r="H4672" s="24">
        <v>16550</v>
      </c>
      <c r="I4672" s="24">
        <f>T_reg.root.SK[[#This Row],[Volume, kg]]/1000</f>
        <v>16.55</v>
      </c>
      <c r="J4672" s="25">
        <v>0.2515</v>
      </c>
      <c r="K4672" s="25">
        <f t="shared" si="72"/>
        <v>4162.3249999999998</v>
      </c>
      <c r="L4672" s="25">
        <v>2.2999999999999998</v>
      </c>
      <c r="M4672" s="24">
        <v>38065</v>
      </c>
      <c r="N4672" s="25">
        <f>IFERROR(T_reg.root.SK[[#This Row],[Price]]/T_reg.root.SK[[#This Row],[Starch content]],"")</f>
        <v>9.1451292246520861</v>
      </c>
    </row>
    <row r="4673" spans="1:14">
      <c r="A4673" s="21">
        <v>2024</v>
      </c>
      <c r="B4673" s="21" t="s">
        <v>29</v>
      </c>
      <c r="C4673" s="21" t="s">
        <v>1145</v>
      </c>
      <c r="D4673" s="21" t="s">
        <v>35</v>
      </c>
      <c r="E4673" s="18" t="s">
        <v>730</v>
      </c>
      <c r="F4673" s="18" t="s">
        <v>47</v>
      </c>
      <c r="G4673" s="18" t="s">
        <v>48</v>
      </c>
      <c r="H4673" s="24">
        <v>0</v>
      </c>
      <c r="I4673" s="24">
        <f>T_reg.root.SK[[#This Row],[Volume, kg]]/1000</f>
        <v>0</v>
      </c>
      <c r="J4673" s="25">
        <v>0</v>
      </c>
      <c r="K4673" s="25">
        <f t="shared" si="72"/>
        <v>0</v>
      </c>
      <c r="L4673" s="25">
        <v>0</v>
      </c>
      <c r="M4673" s="24">
        <v>0</v>
      </c>
      <c r="N4673" s="25" t="str">
        <f>IFERROR(T_reg.root.SK[[#This Row],[Price]]/T_reg.root.SK[[#This Row],[Starch content]],"")</f>
        <v/>
      </c>
    </row>
    <row r="4674" spans="1:14">
      <c r="A4674" s="21">
        <v>2024</v>
      </c>
      <c r="B4674" s="21" t="s">
        <v>29</v>
      </c>
      <c r="C4674" s="21" t="s">
        <v>1145</v>
      </c>
      <c r="D4674" s="21" t="s">
        <v>35</v>
      </c>
      <c r="E4674" s="18" t="s">
        <v>66</v>
      </c>
      <c r="F4674" s="18" t="s">
        <v>47</v>
      </c>
      <c r="G4674" s="18" t="s">
        <v>48</v>
      </c>
      <c r="H4674" s="24">
        <v>321930</v>
      </c>
      <c r="I4674" s="24">
        <f>T_reg.root.SK[[#This Row],[Volume, kg]]/1000</f>
        <v>321.93</v>
      </c>
      <c r="J4674" s="25">
        <v>0.2427</v>
      </c>
      <c r="K4674" s="25">
        <f t="shared" si="72"/>
        <v>78132.410999999993</v>
      </c>
      <c r="L4674" s="25">
        <v>2.2400000000000002</v>
      </c>
      <c r="M4674" s="24">
        <v>720445.5</v>
      </c>
      <c r="N4674" s="25">
        <f>IFERROR(T_reg.root.SK[[#This Row],[Price]]/T_reg.root.SK[[#This Row],[Starch content]],"")</f>
        <v>9.2295014421096013</v>
      </c>
    </row>
    <row r="4675" spans="1:14">
      <c r="A4675" s="21">
        <v>2024</v>
      </c>
      <c r="B4675" s="21" t="s">
        <v>29</v>
      </c>
      <c r="C4675" s="21" t="s">
        <v>1145</v>
      </c>
      <c r="D4675" s="21" t="s">
        <v>35</v>
      </c>
      <c r="E4675" s="18" t="s">
        <v>341</v>
      </c>
      <c r="F4675" s="18" t="s">
        <v>47</v>
      </c>
      <c r="G4675" s="18" t="s">
        <v>48</v>
      </c>
      <c r="H4675" s="24">
        <v>16680</v>
      </c>
      <c r="I4675" s="24">
        <f>T_reg.root.SK[[#This Row],[Volume, kg]]/1000</f>
        <v>16.68</v>
      </c>
      <c r="J4675" s="25">
        <v>0.2341</v>
      </c>
      <c r="K4675" s="25">
        <f t="shared" ref="K4675:K4738" si="73">H4675*J4675</f>
        <v>3904.788</v>
      </c>
      <c r="L4675" s="25">
        <v>2.23</v>
      </c>
      <c r="M4675" s="24">
        <v>37138.5</v>
      </c>
      <c r="N4675" s="25">
        <f>IFERROR(T_reg.root.SK[[#This Row],[Price]]/T_reg.root.SK[[#This Row],[Starch content]],"")</f>
        <v>9.5258436565570275</v>
      </c>
    </row>
    <row r="4676" spans="1:14">
      <c r="A4676" s="21">
        <v>2024</v>
      </c>
      <c r="B4676" s="21" t="s">
        <v>29</v>
      </c>
      <c r="C4676" s="21" t="s">
        <v>1145</v>
      </c>
      <c r="D4676" s="21" t="s">
        <v>35</v>
      </c>
      <c r="E4676" s="18" t="s">
        <v>68</v>
      </c>
      <c r="F4676" s="18" t="s">
        <v>47</v>
      </c>
      <c r="G4676" s="18" t="s">
        <v>48</v>
      </c>
      <c r="H4676" s="24">
        <v>20110</v>
      </c>
      <c r="I4676" s="24">
        <f>T_reg.root.SK[[#This Row],[Volume, kg]]/1000</f>
        <v>20.11</v>
      </c>
      <c r="J4676" s="25">
        <v>0.21309999999999998</v>
      </c>
      <c r="K4676" s="25">
        <f t="shared" si="73"/>
        <v>4285.4409999999998</v>
      </c>
      <c r="L4676" s="25">
        <v>2.13</v>
      </c>
      <c r="M4676" s="24">
        <v>42737.5</v>
      </c>
      <c r="N4676" s="25">
        <f>IFERROR(T_reg.root.SK[[#This Row],[Price]]/T_reg.root.SK[[#This Row],[Starch content]],"")</f>
        <v>9.9953073674331296</v>
      </c>
    </row>
    <row r="4677" spans="1:14">
      <c r="A4677" s="21">
        <v>2024</v>
      </c>
      <c r="B4677" s="21" t="s">
        <v>29</v>
      </c>
      <c r="C4677" s="21" t="s">
        <v>1145</v>
      </c>
      <c r="D4677" s="21" t="s">
        <v>35</v>
      </c>
      <c r="E4677" s="18" t="s">
        <v>471</v>
      </c>
      <c r="F4677" s="18" t="s">
        <v>47</v>
      </c>
      <c r="G4677" s="18" t="s">
        <v>48</v>
      </c>
      <c r="H4677" s="24">
        <v>70450</v>
      </c>
      <c r="I4677" s="24">
        <f>T_reg.root.SK[[#This Row],[Volume, kg]]/1000</f>
        <v>70.45</v>
      </c>
      <c r="J4677" s="25">
        <v>0.21929999999999999</v>
      </c>
      <c r="K4677" s="25">
        <f t="shared" si="73"/>
        <v>15449.684999999999</v>
      </c>
      <c r="L4677" s="25">
        <v>2.15</v>
      </c>
      <c r="M4677" s="24">
        <v>151440</v>
      </c>
      <c r="N4677" s="25">
        <f>IFERROR(T_reg.root.SK[[#This Row],[Price]]/T_reg.root.SK[[#This Row],[Starch content]],"")</f>
        <v>9.8039215686274517</v>
      </c>
    </row>
    <row r="4678" spans="1:14">
      <c r="A4678" s="21">
        <v>2024</v>
      </c>
      <c r="B4678" s="21" t="s">
        <v>29</v>
      </c>
      <c r="C4678" s="21" t="s">
        <v>1145</v>
      </c>
      <c r="D4678" s="21" t="s">
        <v>35</v>
      </c>
      <c r="E4678" s="18" t="s">
        <v>70</v>
      </c>
      <c r="F4678" s="18" t="s">
        <v>47</v>
      </c>
      <c r="G4678" s="18" t="s">
        <v>48</v>
      </c>
      <c r="H4678" s="24">
        <v>111810</v>
      </c>
      <c r="I4678" s="24">
        <f>T_reg.root.SK[[#This Row],[Volume, kg]]/1000</f>
        <v>111.81</v>
      </c>
      <c r="J4678" s="25">
        <v>0.2208</v>
      </c>
      <c r="K4678" s="25">
        <f t="shared" si="73"/>
        <v>24687.648000000001</v>
      </c>
      <c r="L4678" s="25">
        <v>2.1</v>
      </c>
      <c r="M4678" s="24">
        <v>235153</v>
      </c>
      <c r="N4678" s="25">
        <f>IFERROR(T_reg.root.SK[[#This Row],[Price]]/T_reg.root.SK[[#This Row],[Starch content]],"")</f>
        <v>9.5108695652173925</v>
      </c>
    </row>
    <row r="4679" spans="1:14">
      <c r="A4679" s="21">
        <v>2024</v>
      </c>
      <c r="B4679" s="21" t="s">
        <v>29</v>
      </c>
      <c r="C4679" s="21" t="s">
        <v>1145</v>
      </c>
      <c r="D4679" s="21" t="s">
        <v>35</v>
      </c>
      <c r="E4679" s="18" t="s">
        <v>71</v>
      </c>
      <c r="F4679" s="18" t="s">
        <v>47</v>
      </c>
      <c r="G4679" s="18" t="s">
        <v>48</v>
      </c>
      <c r="H4679" s="24">
        <v>8320</v>
      </c>
      <c r="I4679" s="24">
        <f>T_reg.root.SK[[#This Row],[Volume, kg]]/1000</f>
        <v>8.32</v>
      </c>
      <c r="J4679" s="25">
        <v>0.26500000000000001</v>
      </c>
      <c r="K4679" s="25">
        <f t="shared" si="73"/>
        <v>2204.8000000000002</v>
      </c>
      <c r="L4679" s="25">
        <v>2.4</v>
      </c>
      <c r="M4679" s="24">
        <v>19968</v>
      </c>
      <c r="N4679" s="25">
        <f>IFERROR(T_reg.root.SK[[#This Row],[Price]]/T_reg.root.SK[[#This Row],[Starch content]],"")</f>
        <v>9.0566037735849054</v>
      </c>
    </row>
    <row r="4680" spans="1:14">
      <c r="A4680" s="21">
        <v>2024</v>
      </c>
      <c r="B4680" s="21" t="s">
        <v>29</v>
      </c>
      <c r="C4680" s="21" t="s">
        <v>1145</v>
      </c>
      <c r="D4680" s="21" t="s">
        <v>35</v>
      </c>
      <c r="E4680" s="18" t="s">
        <v>472</v>
      </c>
      <c r="F4680" s="18" t="s">
        <v>47</v>
      </c>
      <c r="G4680" s="18" t="s">
        <v>48</v>
      </c>
      <c r="H4680" s="24">
        <v>213890</v>
      </c>
      <c r="I4680" s="24">
        <f>T_reg.root.SK[[#This Row],[Volume, kg]]/1000</f>
        <v>213.89</v>
      </c>
      <c r="J4680" s="25">
        <v>0.22359999999999999</v>
      </c>
      <c r="K4680" s="25">
        <f t="shared" si="73"/>
        <v>47825.803999999996</v>
      </c>
      <c r="L4680" s="25">
        <v>2.16</v>
      </c>
      <c r="M4680" s="24">
        <v>462685.5</v>
      </c>
      <c r="N4680" s="25">
        <f>IFERROR(T_reg.root.SK[[#This Row],[Price]]/T_reg.root.SK[[#This Row],[Starch content]],"")</f>
        <v>9.6601073345259394</v>
      </c>
    </row>
    <row r="4681" spans="1:14">
      <c r="A4681" s="21">
        <v>2024</v>
      </c>
      <c r="B4681" s="21" t="s">
        <v>29</v>
      </c>
      <c r="C4681" s="21" t="s">
        <v>1145</v>
      </c>
      <c r="D4681" s="21" t="s">
        <v>35</v>
      </c>
      <c r="E4681" s="18" t="s">
        <v>73</v>
      </c>
      <c r="F4681" s="18" t="s">
        <v>47</v>
      </c>
      <c r="G4681" s="18" t="s">
        <v>48</v>
      </c>
      <c r="H4681" s="24">
        <v>8370</v>
      </c>
      <c r="I4681" s="24">
        <f>T_reg.root.SK[[#This Row],[Volume, kg]]/1000</f>
        <v>8.3699999999999992</v>
      </c>
      <c r="J4681" s="25">
        <v>0.25950000000000001</v>
      </c>
      <c r="K4681" s="25">
        <f t="shared" si="73"/>
        <v>2172.0149999999999</v>
      </c>
      <c r="L4681" s="25">
        <v>2.35</v>
      </c>
      <c r="M4681" s="24">
        <v>19669.5</v>
      </c>
      <c r="N4681" s="25">
        <f>IFERROR(T_reg.root.SK[[#This Row],[Price]]/T_reg.root.SK[[#This Row],[Starch content]],"")</f>
        <v>9.0558766859344892</v>
      </c>
    </row>
    <row r="4682" spans="1:14">
      <c r="A4682" s="21">
        <v>2024</v>
      </c>
      <c r="B4682" s="21" t="s">
        <v>29</v>
      </c>
      <c r="C4682" s="21" t="s">
        <v>1145</v>
      </c>
      <c r="D4682" s="21" t="s">
        <v>35</v>
      </c>
      <c r="E4682" s="18" t="s">
        <v>74</v>
      </c>
      <c r="F4682" s="18" t="s">
        <v>47</v>
      </c>
      <c r="G4682" s="18" t="s">
        <v>48</v>
      </c>
      <c r="H4682" s="24">
        <v>83620</v>
      </c>
      <c r="I4682" s="24">
        <f>T_reg.root.SK[[#This Row],[Volume, kg]]/1000</f>
        <v>83.62</v>
      </c>
      <c r="J4682" s="25">
        <v>0.24660000000000001</v>
      </c>
      <c r="K4682" s="25">
        <f t="shared" si="73"/>
        <v>20620.692000000003</v>
      </c>
      <c r="L4682" s="25">
        <v>2.2799999999999998</v>
      </c>
      <c r="M4682" s="24">
        <v>190503</v>
      </c>
      <c r="N4682" s="25">
        <f>IFERROR(T_reg.root.SK[[#This Row],[Price]]/T_reg.root.SK[[#This Row],[Starch content]],"")</f>
        <v>9.2457420924574194</v>
      </c>
    </row>
    <row r="4683" spans="1:14">
      <c r="A4683" s="21">
        <v>2024</v>
      </c>
      <c r="B4683" s="21" t="s">
        <v>29</v>
      </c>
      <c r="C4683" s="21" t="s">
        <v>1145</v>
      </c>
      <c r="D4683" s="21" t="s">
        <v>35</v>
      </c>
      <c r="E4683" s="18" t="s">
        <v>75</v>
      </c>
      <c r="F4683" s="18" t="s">
        <v>47</v>
      </c>
      <c r="G4683" s="18" t="s">
        <v>48</v>
      </c>
      <c r="H4683" s="24">
        <v>43150</v>
      </c>
      <c r="I4683" s="24">
        <f>T_reg.root.SK[[#This Row],[Volume, kg]]/1000</f>
        <v>43.15</v>
      </c>
      <c r="J4683" s="25">
        <v>0.24789999999999998</v>
      </c>
      <c r="K4683" s="25">
        <f t="shared" si="73"/>
        <v>10696.884999999998</v>
      </c>
      <c r="L4683" s="25">
        <v>2.27</v>
      </c>
      <c r="M4683" s="24">
        <v>98093</v>
      </c>
      <c r="N4683" s="25">
        <f>IFERROR(T_reg.root.SK[[#This Row],[Price]]/T_reg.root.SK[[#This Row],[Starch content]],"")</f>
        <v>9.1569181121419927</v>
      </c>
    </row>
    <row r="4684" spans="1:14">
      <c r="A4684" s="21">
        <v>2024</v>
      </c>
      <c r="B4684" s="21" t="s">
        <v>29</v>
      </c>
      <c r="C4684" s="21" t="s">
        <v>1145</v>
      </c>
      <c r="D4684" s="21" t="s">
        <v>35</v>
      </c>
      <c r="E4684" s="18" t="s">
        <v>76</v>
      </c>
      <c r="F4684" s="18" t="s">
        <v>47</v>
      </c>
      <c r="G4684" s="18" t="s">
        <v>48</v>
      </c>
      <c r="H4684" s="24">
        <v>19150</v>
      </c>
      <c r="I4684" s="24">
        <f>T_reg.root.SK[[#This Row],[Volume, kg]]/1000</f>
        <v>19.149999999999999</v>
      </c>
      <c r="J4684" s="25">
        <v>0.25190000000000001</v>
      </c>
      <c r="K4684" s="25">
        <f t="shared" si="73"/>
        <v>4823.8850000000002</v>
      </c>
      <c r="L4684" s="25">
        <v>2.2799999999999998</v>
      </c>
      <c r="M4684" s="24">
        <v>43595.5</v>
      </c>
      <c r="N4684" s="25">
        <f>IFERROR(T_reg.root.SK[[#This Row],[Price]]/T_reg.root.SK[[#This Row],[Starch content]],"")</f>
        <v>9.0512107979356884</v>
      </c>
    </row>
    <row r="4685" spans="1:14">
      <c r="A4685" s="21">
        <v>2024</v>
      </c>
      <c r="B4685" s="21" t="s">
        <v>29</v>
      </c>
      <c r="C4685" s="21" t="s">
        <v>1145</v>
      </c>
      <c r="D4685" s="21" t="s">
        <v>35</v>
      </c>
      <c r="E4685" s="18" t="s">
        <v>942</v>
      </c>
      <c r="F4685" s="18" t="s">
        <v>47</v>
      </c>
      <c r="G4685" s="18" t="s">
        <v>48</v>
      </c>
      <c r="H4685" s="24">
        <v>65610</v>
      </c>
      <c r="I4685" s="24">
        <f>T_reg.root.SK[[#This Row],[Volume, kg]]/1000</f>
        <v>65.61</v>
      </c>
      <c r="J4685" s="25">
        <v>0.254</v>
      </c>
      <c r="K4685" s="25">
        <f t="shared" si="73"/>
        <v>16664.939999999999</v>
      </c>
      <c r="L4685" s="25">
        <v>2.31</v>
      </c>
      <c r="M4685" s="24">
        <v>151884.5</v>
      </c>
      <c r="N4685" s="25">
        <f>IFERROR(T_reg.root.SK[[#This Row],[Price]]/T_reg.root.SK[[#This Row],[Starch content]],"")</f>
        <v>9.0944881889763778</v>
      </c>
    </row>
    <row r="4686" spans="1:14">
      <c r="A4686" s="21">
        <v>2024</v>
      </c>
      <c r="B4686" s="21" t="s">
        <v>29</v>
      </c>
      <c r="C4686" s="21" t="s">
        <v>1145</v>
      </c>
      <c r="D4686" s="21" t="s">
        <v>35</v>
      </c>
      <c r="E4686" s="18" t="s">
        <v>77</v>
      </c>
      <c r="F4686" s="18" t="s">
        <v>47</v>
      </c>
      <c r="G4686" s="18" t="s">
        <v>48</v>
      </c>
      <c r="H4686" s="24">
        <v>30300</v>
      </c>
      <c r="I4686" s="24">
        <f>T_reg.root.SK[[#This Row],[Volume, kg]]/1000</f>
        <v>30.3</v>
      </c>
      <c r="J4686" s="25">
        <v>0.25239999999999996</v>
      </c>
      <c r="K4686" s="25">
        <f t="shared" si="73"/>
        <v>7647.7199999999984</v>
      </c>
      <c r="L4686" s="25">
        <v>2.31</v>
      </c>
      <c r="M4686" s="24">
        <v>69983</v>
      </c>
      <c r="N4686" s="25">
        <f>IFERROR(T_reg.root.SK[[#This Row],[Price]]/T_reg.root.SK[[#This Row],[Starch content]],"")</f>
        <v>9.1521394611727427</v>
      </c>
    </row>
    <row r="4687" spans="1:14">
      <c r="A4687" s="21">
        <v>2024</v>
      </c>
      <c r="B4687" s="21" t="s">
        <v>29</v>
      </c>
      <c r="C4687" s="21" t="s">
        <v>1145</v>
      </c>
      <c r="D4687" s="21" t="s">
        <v>35</v>
      </c>
      <c r="E4687" s="18" t="s">
        <v>476</v>
      </c>
      <c r="F4687" s="18" t="s">
        <v>47</v>
      </c>
      <c r="G4687" s="18" t="s">
        <v>48</v>
      </c>
      <c r="H4687" s="24">
        <v>9840</v>
      </c>
      <c r="I4687" s="24">
        <f>T_reg.root.SK[[#This Row],[Volume, kg]]/1000</f>
        <v>9.84</v>
      </c>
      <c r="J4687" s="25">
        <v>0.247</v>
      </c>
      <c r="K4687" s="25">
        <f t="shared" si="73"/>
        <v>2430.48</v>
      </c>
      <c r="L4687" s="25">
        <v>2.25</v>
      </c>
      <c r="M4687" s="24">
        <v>22140</v>
      </c>
      <c r="N4687" s="25">
        <f>IFERROR(T_reg.root.SK[[#This Row],[Price]]/T_reg.root.SK[[#This Row],[Starch content]],"")</f>
        <v>9.1093117408906892</v>
      </c>
    </row>
    <row r="4688" spans="1:14">
      <c r="A4688" s="21">
        <v>2024</v>
      </c>
      <c r="B4688" s="21" t="s">
        <v>29</v>
      </c>
      <c r="C4688" s="21" t="s">
        <v>1145</v>
      </c>
      <c r="D4688" s="21" t="s">
        <v>35</v>
      </c>
      <c r="E4688" s="18" t="s">
        <v>694</v>
      </c>
      <c r="F4688" s="18" t="s">
        <v>47</v>
      </c>
      <c r="G4688" s="18" t="s">
        <v>48</v>
      </c>
      <c r="H4688" s="24">
        <v>17700</v>
      </c>
      <c r="I4688" s="24">
        <f>T_reg.root.SK[[#This Row],[Volume, kg]]/1000</f>
        <v>17.7</v>
      </c>
      <c r="J4688" s="25">
        <v>0.24679999999999999</v>
      </c>
      <c r="K4688" s="25">
        <f t="shared" si="73"/>
        <v>4368.3599999999997</v>
      </c>
      <c r="L4688" s="25">
        <v>2.2999999999999998</v>
      </c>
      <c r="M4688" s="24">
        <v>40710</v>
      </c>
      <c r="N4688" s="25">
        <f>IFERROR(T_reg.root.SK[[#This Row],[Price]]/T_reg.root.SK[[#This Row],[Starch content]],"")</f>
        <v>9.3192868719611024</v>
      </c>
    </row>
    <row r="4689" spans="1:14">
      <c r="A4689" s="21">
        <v>2024</v>
      </c>
      <c r="B4689" s="21" t="s">
        <v>29</v>
      </c>
      <c r="C4689" s="21" t="s">
        <v>1145</v>
      </c>
      <c r="D4689" s="21" t="s">
        <v>35</v>
      </c>
      <c r="E4689" s="18" t="s">
        <v>383</v>
      </c>
      <c r="F4689" s="18" t="s">
        <v>47</v>
      </c>
      <c r="G4689" s="18" t="s">
        <v>48</v>
      </c>
      <c r="H4689" s="24">
        <v>77150</v>
      </c>
      <c r="I4689" s="24">
        <f>T_reg.root.SK[[#This Row],[Volume, kg]]/1000</f>
        <v>77.150000000000006</v>
      </c>
      <c r="J4689" s="25">
        <v>0.23920000000000002</v>
      </c>
      <c r="K4689" s="25">
        <f t="shared" si="73"/>
        <v>18454.280000000002</v>
      </c>
      <c r="L4689" s="25">
        <v>2.2200000000000002</v>
      </c>
      <c r="M4689" s="24">
        <v>171648.5</v>
      </c>
      <c r="N4689" s="25">
        <f>IFERROR(T_reg.root.SK[[#This Row],[Price]]/T_reg.root.SK[[#This Row],[Starch content]],"")</f>
        <v>9.280936454849499</v>
      </c>
    </row>
    <row r="4690" spans="1:14">
      <c r="A4690" s="21">
        <v>2024</v>
      </c>
      <c r="B4690" s="21" t="s">
        <v>29</v>
      </c>
      <c r="C4690" s="21" t="s">
        <v>1145</v>
      </c>
      <c r="D4690" s="21" t="s">
        <v>35</v>
      </c>
      <c r="E4690" s="18" t="s">
        <v>82</v>
      </c>
      <c r="F4690" s="18" t="s">
        <v>83</v>
      </c>
      <c r="G4690" s="18" t="s">
        <v>48</v>
      </c>
      <c r="H4690" s="24">
        <v>62350</v>
      </c>
      <c r="I4690" s="24">
        <f>T_reg.root.SK[[#This Row],[Volume, kg]]/1000</f>
        <v>62.35</v>
      </c>
      <c r="J4690" s="25">
        <v>0.20699999999999999</v>
      </c>
      <c r="K4690" s="25">
        <f t="shared" si="73"/>
        <v>12906.449999999999</v>
      </c>
      <c r="L4690" s="25">
        <v>2.0699999999999998</v>
      </c>
      <c r="M4690" s="24">
        <v>129114.5</v>
      </c>
      <c r="N4690" s="25">
        <f>IFERROR(T_reg.root.SK[[#This Row],[Price]]/T_reg.root.SK[[#This Row],[Starch content]],"")</f>
        <v>10</v>
      </c>
    </row>
    <row r="4691" spans="1:14">
      <c r="A4691" s="21">
        <v>2024</v>
      </c>
      <c r="B4691" s="21" t="s">
        <v>29</v>
      </c>
      <c r="C4691" s="21" t="s">
        <v>1145</v>
      </c>
      <c r="D4691" s="21" t="s">
        <v>39</v>
      </c>
      <c r="E4691" s="18" t="s">
        <v>88</v>
      </c>
      <c r="F4691" s="18" t="s">
        <v>89</v>
      </c>
      <c r="G4691" s="18" t="s">
        <v>90</v>
      </c>
      <c r="H4691" s="24">
        <v>6450390</v>
      </c>
      <c r="I4691" s="24">
        <f>T_reg.root.SK[[#This Row],[Volume, kg]]/1000</f>
        <v>6450.39</v>
      </c>
      <c r="J4691" s="25">
        <v>0.27289999999999998</v>
      </c>
      <c r="K4691" s="25">
        <f t="shared" si="73"/>
        <v>1760311.4309999999</v>
      </c>
      <c r="L4691" s="25">
        <v>2.41</v>
      </c>
      <c r="M4691" s="24">
        <v>15565667</v>
      </c>
      <c r="N4691" s="25">
        <f>IFERROR(T_reg.root.SK[[#This Row],[Price]]/T_reg.root.SK[[#This Row],[Starch content]],"")</f>
        <v>8.8310736533528775</v>
      </c>
    </row>
    <row r="4692" spans="1:14">
      <c r="A4692" s="21">
        <v>2024</v>
      </c>
      <c r="B4692" s="21" t="s">
        <v>29</v>
      </c>
      <c r="C4692" s="21" t="s">
        <v>1145</v>
      </c>
      <c r="D4692" s="21" t="s">
        <v>35</v>
      </c>
      <c r="E4692" s="18" t="s">
        <v>749</v>
      </c>
      <c r="F4692" s="18" t="s">
        <v>92</v>
      </c>
      <c r="G4692" s="18" t="s">
        <v>48</v>
      </c>
      <c r="H4692" s="24">
        <v>20920</v>
      </c>
      <c r="I4692" s="24">
        <f>T_reg.root.SK[[#This Row],[Volume, kg]]/1000</f>
        <v>20.92</v>
      </c>
      <c r="J4692" s="25">
        <v>0.2954</v>
      </c>
      <c r="K4692" s="25">
        <f t="shared" si="73"/>
        <v>6179.768</v>
      </c>
      <c r="L4692" s="25">
        <v>2.5</v>
      </c>
      <c r="M4692" s="24">
        <v>52294</v>
      </c>
      <c r="N4692" s="25">
        <f>IFERROR(T_reg.root.SK[[#This Row],[Price]]/T_reg.root.SK[[#This Row],[Starch content]],"")</f>
        <v>8.4631008801624912</v>
      </c>
    </row>
    <row r="4693" spans="1:14">
      <c r="A4693" s="21">
        <v>2024</v>
      </c>
      <c r="B4693" s="21" t="s">
        <v>29</v>
      </c>
      <c r="C4693" s="21" t="s">
        <v>1145</v>
      </c>
      <c r="D4693" s="21" t="s">
        <v>35</v>
      </c>
      <c r="E4693" s="18" t="s">
        <v>91</v>
      </c>
      <c r="F4693" s="18" t="s">
        <v>92</v>
      </c>
      <c r="G4693" s="18" t="s">
        <v>48</v>
      </c>
      <c r="H4693" s="24">
        <v>0</v>
      </c>
      <c r="I4693" s="24">
        <f>T_reg.root.SK[[#This Row],[Volume, kg]]/1000</f>
        <v>0</v>
      </c>
      <c r="J4693" s="25">
        <v>0</v>
      </c>
      <c r="K4693" s="25">
        <f t="shared" si="73"/>
        <v>0</v>
      </c>
      <c r="L4693" s="25">
        <v>0</v>
      </c>
      <c r="M4693" s="24">
        <v>0</v>
      </c>
      <c r="N4693" s="25" t="str">
        <f>IFERROR(T_reg.root.SK[[#This Row],[Price]]/T_reg.root.SK[[#This Row],[Starch content]],"")</f>
        <v/>
      </c>
    </row>
    <row r="4694" spans="1:14">
      <c r="A4694" s="21">
        <v>2024</v>
      </c>
      <c r="B4694" s="21" t="s">
        <v>29</v>
      </c>
      <c r="C4694" s="21" t="s">
        <v>1145</v>
      </c>
      <c r="D4694" s="21" t="s">
        <v>39</v>
      </c>
      <c r="E4694" s="18" t="s">
        <v>552</v>
      </c>
      <c r="F4694" s="18" t="s">
        <v>95</v>
      </c>
      <c r="G4694" s="18" t="s">
        <v>48</v>
      </c>
      <c r="H4694" s="24">
        <v>454400</v>
      </c>
      <c r="I4694" s="24">
        <f>T_reg.root.SK[[#This Row],[Volume, kg]]/1000</f>
        <v>454.4</v>
      </c>
      <c r="J4694" s="25">
        <v>0.24399999999999999</v>
      </c>
      <c r="K4694" s="25">
        <f t="shared" si="73"/>
        <v>110873.59999999999</v>
      </c>
      <c r="L4694" s="25">
        <v>2.2799999999999998</v>
      </c>
      <c r="M4694" s="24">
        <v>1035245.5</v>
      </c>
      <c r="N4694" s="25">
        <f>IFERROR(T_reg.root.SK[[#This Row],[Price]]/T_reg.root.SK[[#This Row],[Starch content]],"")</f>
        <v>9.3442622950819665</v>
      </c>
    </row>
    <row r="4695" spans="1:14">
      <c r="A4695" s="21">
        <v>2024</v>
      </c>
      <c r="B4695" s="21" t="s">
        <v>29</v>
      </c>
      <c r="C4695" s="21" t="s">
        <v>1145</v>
      </c>
      <c r="D4695" s="21" t="s">
        <v>35</v>
      </c>
      <c r="E4695" s="18" t="s">
        <v>276</v>
      </c>
      <c r="F4695" s="18" t="s">
        <v>95</v>
      </c>
      <c r="G4695" s="18" t="s">
        <v>48</v>
      </c>
      <c r="H4695" s="24">
        <v>46570</v>
      </c>
      <c r="I4695" s="24">
        <f>T_reg.root.SK[[#This Row],[Volume, kg]]/1000</f>
        <v>46.57</v>
      </c>
      <c r="J4695" s="25">
        <v>0.2445</v>
      </c>
      <c r="K4695" s="25">
        <f t="shared" si="73"/>
        <v>11386.365</v>
      </c>
      <c r="L4695" s="25">
        <v>2.29</v>
      </c>
      <c r="M4695" s="24">
        <v>106680</v>
      </c>
      <c r="N4695" s="25">
        <f>IFERROR(T_reg.root.SK[[#This Row],[Price]]/T_reg.root.SK[[#This Row],[Starch content]],"")</f>
        <v>9.3660531697341511</v>
      </c>
    </row>
    <row r="4696" spans="1:14">
      <c r="A4696" s="21">
        <v>2024</v>
      </c>
      <c r="B4696" s="21" t="s">
        <v>29</v>
      </c>
      <c r="C4696" s="21" t="s">
        <v>1145</v>
      </c>
      <c r="D4696" s="21" t="s">
        <v>35</v>
      </c>
      <c r="E4696" s="18" t="s">
        <v>97</v>
      </c>
      <c r="F4696" s="18" t="s">
        <v>95</v>
      </c>
      <c r="G4696" s="18" t="s">
        <v>48</v>
      </c>
      <c r="H4696" s="24">
        <v>0</v>
      </c>
      <c r="I4696" s="24">
        <f>T_reg.root.SK[[#This Row],[Volume, kg]]/1000</f>
        <v>0</v>
      </c>
      <c r="J4696" s="25">
        <v>0</v>
      </c>
      <c r="K4696" s="25">
        <f t="shared" si="73"/>
        <v>0</v>
      </c>
      <c r="L4696" s="25">
        <v>0</v>
      </c>
      <c r="M4696" s="24">
        <v>0</v>
      </c>
      <c r="N4696" s="25" t="str">
        <f>IFERROR(T_reg.root.SK[[#This Row],[Price]]/T_reg.root.SK[[#This Row],[Starch content]],"")</f>
        <v/>
      </c>
    </row>
    <row r="4697" spans="1:14">
      <c r="A4697" s="21">
        <v>2024</v>
      </c>
      <c r="B4697" s="21" t="s">
        <v>29</v>
      </c>
      <c r="C4697" s="21" t="s">
        <v>1145</v>
      </c>
      <c r="D4697" s="21" t="s">
        <v>35</v>
      </c>
      <c r="E4697" s="18" t="s">
        <v>750</v>
      </c>
      <c r="F4697" s="18" t="s">
        <v>95</v>
      </c>
      <c r="G4697" s="18" t="s">
        <v>48</v>
      </c>
      <c r="H4697" s="24">
        <v>16110</v>
      </c>
      <c r="I4697" s="24">
        <f>T_reg.root.SK[[#This Row],[Volume, kg]]/1000</f>
        <v>16.11</v>
      </c>
      <c r="J4697" s="25">
        <v>0.25219999999999998</v>
      </c>
      <c r="K4697" s="25">
        <f t="shared" si="73"/>
        <v>4062.9419999999996</v>
      </c>
      <c r="L4697" s="25">
        <v>2.2999999999999998</v>
      </c>
      <c r="M4697" s="24">
        <v>37053</v>
      </c>
      <c r="N4697" s="25">
        <f>IFERROR(T_reg.root.SK[[#This Row],[Price]]/T_reg.root.SK[[#This Row],[Starch content]],"")</f>
        <v>9.1197462331482946</v>
      </c>
    </row>
    <row r="4698" spans="1:14">
      <c r="A4698" s="21">
        <v>2024</v>
      </c>
      <c r="B4698" s="21" t="s">
        <v>29</v>
      </c>
      <c r="C4698" s="21" t="s">
        <v>1145</v>
      </c>
      <c r="D4698" s="21" t="s">
        <v>39</v>
      </c>
      <c r="E4698" s="18" t="s">
        <v>98</v>
      </c>
      <c r="F4698" s="18" t="s">
        <v>99</v>
      </c>
      <c r="G4698" s="18" t="s">
        <v>42</v>
      </c>
      <c r="H4698" s="24">
        <v>6380950</v>
      </c>
      <c r="I4698" s="24">
        <f>T_reg.root.SK[[#This Row],[Volume, kg]]/1000</f>
        <v>6380.95</v>
      </c>
      <c r="J4698" s="25">
        <v>0.25869999999999999</v>
      </c>
      <c r="K4698" s="25">
        <f t="shared" si="73"/>
        <v>1650751.7649999999</v>
      </c>
      <c r="L4698" s="25">
        <v>2.34</v>
      </c>
      <c r="M4698" s="24">
        <v>14954895.5</v>
      </c>
      <c r="N4698" s="25">
        <f>IFERROR(T_reg.root.SK[[#This Row],[Price]]/T_reg.root.SK[[#This Row],[Starch content]],"")</f>
        <v>9.0452261306532655</v>
      </c>
    </row>
    <row r="4699" spans="1:14">
      <c r="A4699" s="21">
        <v>2024</v>
      </c>
      <c r="B4699" s="21" t="s">
        <v>29</v>
      </c>
      <c r="C4699" s="21" t="s">
        <v>1145</v>
      </c>
      <c r="D4699" s="21" t="s">
        <v>39</v>
      </c>
      <c r="E4699" s="18" t="s">
        <v>346</v>
      </c>
      <c r="F4699" s="18" t="s">
        <v>99</v>
      </c>
      <c r="G4699" s="18" t="s">
        <v>42</v>
      </c>
      <c r="H4699" s="24">
        <v>5035950</v>
      </c>
      <c r="I4699" s="24">
        <f>T_reg.root.SK[[#This Row],[Volume, kg]]/1000</f>
        <v>5035.95</v>
      </c>
      <c r="J4699" s="25">
        <v>0.25259999999999999</v>
      </c>
      <c r="K4699" s="25">
        <f t="shared" si="73"/>
        <v>1272080.97</v>
      </c>
      <c r="L4699" s="25">
        <v>2.3199999999999998</v>
      </c>
      <c r="M4699" s="24">
        <v>11669710.5</v>
      </c>
      <c r="N4699" s="25">
        <f>IFERROR(T_reg.root.SK[[#This Row],[Price]]/T_reg.root.SK[[#This Row],[Starch content]],"")</f>
        <v>9.1844813935075216</v>
      </c>
    </row>
    <row r="4700" spans="1:14">
      <c r="A4700" s="21">
        <v>2024</v>
      </c>
      <c r="B4700" s="21" t="s">
        <v>29</v>
      </c>
      <c r="C4700" s="21" t="s">
        <v>1145</v>
      </c>
      <c r="D4700" s="21" t="s">
        <v>39</v>
      </c>
      <c r="E4700" s="18" t="s">
        <v>101</v>
      </c>
      <c r="F4700" s="18" t="s">
        <v>102</v>
      </c>
      <c r="G4700" s="18" t="s">
        <v>103</v>
      </c>
      <c r="H4700" s="24">
        <v>31200</v>
      </c>
      <c r="I4700" s="24">
        <f>T_reg.root.SK[[#This Row],[Volume, kg]]/1000</f>
        <v>31.2</v>
      </c>
      <c r="J4700" s="25">
        <v>0.2777</v>
      </c>
      <c r="K4700" s="25">
        <f t="shared" si="73"/>
        <v>8664.24</v>
      </c>
      <c r="L4700" s="25">
        <v>2.4</v>
      </c>
      <c r="M4700" s="24">
        <v>74880</v>
      </c>
      <c r="N4700" s="25">
        <f>IFERROR(T_reg.root.SK[[#This Row],[Price]]/T_reg.root.SK[[#This Row],[Starch content]],"")</f>
        <v>8.6424198775657182</v>
      </c>
    </row>
    <row r="4701" spans="1:14">
      <c r="A4701" s="21">
        <v>2024</v>
      </c>
      <c r="B4701" s="21" t="s">
        <v>29</v>
      </c>
      <c r="C4701" s="21" t="s">
        <v>1145</v>
      </c>
      <c r="D4701" s="21" t="s">
        <v>35</v>
      </c>
      <c r="E4701" s="18" t="s">
        <v>185</v>
      </c>
      <c r="F4701" s="18" t="s">
        <v>105</v>
      </c>
      <c r="G4701" s="18" t="s">
        <v>48</v>
      </c>
      <c r="H4701" s="24">
        <v>120420</v>
      </c>
      <c r="I4701" s="24">
        <f>T_reg.root.SK[[#This Row],[Volume, kg]]/1000</f>
        <v>120.42</v>
      </c>
      <c r="J4701" s="25">
        <v>0.24960000000000002</v>
      </c>
      <c r="K4701" s="25">
        <f t="shared" si="73"/>
        <v>30056.832000000002</v>
      </c>
      <c r="L4701" s="25">
        <v>2.2599999999999998</v>
      </c>
      <c r="M4701" s="24">
        <v>271673.5</v>
      </c>
      <c r="N4701" s="25">
        <f>IFERROR(T_reg.root.SK[[#This Row],[Price]]/T_reg.root.SK[[#This Row],[Starch content]],"")</f>
        <v>9.0544871794871788</v>
      </c>
    </row>
    <row r="4702" spans="1:14">
      <c r="A4702" s="21">
        <v>2024</v>
      </c>
      <c r="B4702" s="21" t="s">
        <v>29</v>
      </c>
      <c r="C4702" s="21" t="s">
        <v>1145</v>
      </c>
      <c r="D4702" s="21" t="s">
        <v>35</v>
      </c>
      <c r="E4702" s="18" t="s">
        <v>684</v>
      </c>
      <c r="F4702" s="18" t="s">
        <v>105</v>
      </c>
      <c r="G4702" s="18" t="s">
        <v>48</v>
      </c>
      <c r="H4702" s="24">
        <v>11630</v>
      </c>
      <c r="I4702" s="24">
        <f>T_reg.root.SK[[#This Row],[Volume, kg]]/1000</f>
        <v>11.63</v>
      </c>
      <c r="J4702" s="25">
        <v>0.27649999999999997</v>
      </c>
      <c r="K4702" s="25">
        <f t="shared" si="73"/>
        <v>3215.6949999999997</v>
      </c>
      <c r="L4702" s="25">
        <v>2.4</v>
      </c>
      <c r="M4702" s="24">
        <v>27912</v>
      </c>
      <c r="N4702" s="25">
        <f>IFERROR(T_reg.root.SK[[#This Row],[Price]]/T_reg.root.SK[[#This Row],[Starch content]],"")</f>
        <v>8.6799276672694408</v>
      </c>
    </row>
    <row r="4703" spans="1:14">
      <c r="A4703" s="21">
        <v>2024</v>
      </c>
      <c r="B4703" s="21" t="s">
        <v>29</v>
      </c>
      <c r="C4703" s="21" t="s">
        <v>1145</v>
      </c>
      <c r="D4703" s="21" t="s">
        <v>35</v>
      </c>
      <c r="E4703" s="18" t="s">
        <v>733</v>
      </c>
      <c r="F4703" s="18" t="s">
        <v>105</v>
      </c>
      <c r="G4703" s="18" t="s">
        <v>48</v>
      </c>
      <c r="H4703" s="24">
        <v>17420</v>
      </c>
      <c r="I4703" s="24">
        <f>T_reg.root.SK[[#This Row],[Volume, kg]]/1000</f>
        <v>17.420000000000002</v>
      </c>
      <c r="J4703" s="25">
        <v>0.21420000000000003</v>
      </c>
      <c r="K4703" s="25">
        <f t="shared" si="73"/>
        <v>3731.3640000000005</v>
      </c>
      <c r="L4703" s="25">
        <v>2.0699999999999998</v>
      </c>
      <c r="M4703" s="24">
        <v>36052.5</v>
      </c>
      <c r="N4703" s="25">
        <f>IFERROR(T_reg.root.SK[[#This Row],[Price]]/T_reg.root.SK[[#This Row],[Starch content]],"")</f>
        <v>9.663865546218485</v>
      </c>
    </row>
    <row r="4704" spans="1:14">
      <c r="A4704" s="21">
        <v>2024</v>
      </c>
      <c r="B4704" s="21" t="s">
        <v>29</v>
      </c>
      <c r="C4704" s="21" t="s">
        <v>1145</v>
      </c>
      <c r="D4704" s="21" t="s">
        <v>35</v>
      </c>
      <c r="E4704" s="18" t="s">
        <v>288</v>
      </c>
      <c r="F4704" s="18" t="s">
        <v>105</v>
      </c>
      <c r="G4704" s="18" t="s">
        <v>48</v>
      </c>
      <c r="H4704" s="24">
        <v>15100</v>
      </c>
      <c r="I4704" s="24">
        <f>T_reg.root.SK[[#This Row],[Volume, kg]]/1000</f>
        <v>15.1</v>
      </c>
      <c r="J4704" s="25">
        <v>0.2505</v>
      </c>
      <c r="K4704" s="25">
        <f t="shared" si="73"/>
        <v>3782.55</v>
      </c>
      <c r="L4704" s="25">
        <v>2.4</v>
      </c>
      <c r="M4704" s="24">
        <v>36240</v>
      </c>
      <c r="N4704" s="25">
        <f>IFERROR(T_reg.root.SK[[#This Row],[Price]]/T_reg.root.SK[[#This Row],[Starch content]],"")</f>
        <v>9.5808383233532926</v>
      </c>
    </row>
    <row r="4705" spans="1:14">
      <c r="A4705" s="21">
        <v>2024</v>
      </c>
      <c r="B4705" s="21" t="s">
        <v>29</v>
      </c>
      <c r="C4705" s="21" t="s">
        <v>1145</v>
      </c>
      <c r="D4705" s="21" t="s">
        <v>35</v>
      </c>
      <c r="E4705" s="18" t="s">
        <v>944</v>
      </c>
      <c r="F4705" s="18" t="s">
        <v>105</v>
      </c>
      <c r="G4705" s="18" t="s">
        <v>48</v>
      </c>
      <c r="H4705" s="24">
        <v>15700</v>
      </c>
      <c r="I4705" s="24">
        <f>T_reg.root.SK[[#This Row],[Volume, kg]]/1000</f>
        <v>15.7</v>
      </c>
      <c r="J4705" s="25">
        <v>0.22109999999999999</v>
      </c>
      <c r="K4705" s="25">
        <f t="shared" si="73"/>
        <v>3471.27</v>
      </c>
      <c r="L4705" s="25">
        <v>2.2000000000000002</v>
      </c>
      <c r="M4705" s="24">
        <v>34560</v>
      </c>
      <c r="N4705" s="25">
        <f>IFERROR(T_reg.root.SK[[#This Row],[Price]]/T_reg.root.SK[[#This Row],[Starch content]],"")</f>
        <v>9.9502487562189064</v>
      </c>
    </row>
    <row r="4706" spans="1:14">
      <c r="A4706" s="21">
        <v>2024</v>
      </c>
      <c r="B4706" s="21" t="s">
        <v>29</v>
      </c>
      <c r="C4706" s="21" t="s">
        <v>1145</v>
      </c>
      <c r="D4706" s="21" t="s">
        <v>35</v>
      </c>
      <c r="E4706" s="18" t="s">
        <v>963</v>
      </c>
      <c r="F4706" s="18" t="s">
        <v>105</v>
      </c>
      <c r="G4706" s="18" t="s">
        <v>48</v>
      </c>
      <c r="H4706" s="24">
        <v>14880</v>
      </c>
      <c r="I4706" s="24">
        <f>T_reg.root.SK[[#This Row],[Volume, kg]]/1000</f>
        <v>14.88</v>
      </c>
      <c r="J4706" s="25">
        <v>0.25989999999999996</v>
      </c>
      <c r="K4706" s="25">
        <f t="shared" si="73"/>
        <v>3867.3119999999994</v>
      </c>
      <c r="L4706" s="25">
        <v>2.29</v>
      </c>
      <c r="M4706" s="24">
        <v>34030</v>
      </c>
      <c r="N4706" s="25">
        <f>IFERROR(T_reg.root.SK[[#This Row],[Price]]/T_reg.root.SK[[#This Row],[Starch content]],"")</f>
        <v>8.811081185071183</v>
      </c>
    </row>
    <row r="4707" spans="1:14">
      <c r="A4707" s="21">
        <v>2024</v>
      </c>
      <c r="B4707" s="21" t="s">
        <v>29</v>
      </c>
      <c r="C4707" s="21" t="s">
        <v>1145</v>
      </c>
      <c r="D4707" s="21" t="s">
        <v>35</v>
      </c>
      <c r="E4707" s="18" t="s">
        <v>289</v>
      </c>
      <c r="F4707" s="18" t="s">
        <v>105</v>
      </c>
      <c r="G4707" s="18" t="s">
        <v>48</v>
      </c>
      <c r="H4707" s="24">
        <v>24710</v>
      </c>
      <c r="I4707" s="24">
        <f>T_reg.root.SK[[#This Row],[Volume, kg]]/1000</f>
        <v>24.71</v>
      </c>
      <c r="J4707" s="25">
        <v>0.2606</v>
      </c>
      <c r="K4707" s="25">
        <f t="shared" si="73"/>
        <v>6439.4260000000004</v>
      </c>
      <c r="L4707" s="25">
        <v>2.35</v>
      </c>
      <c r="M4707" s="24">
        <v>58137.5</v>
      </c>
      <c r="N4707" s="25">
        <f>IFERROR(T_reg.root.SK[[#This Row],[Price]]/T_reg.root.SK[[#This Row],[Starch content]],"")</f>
        <v>9.0176515732924027</v>
      </c>
    </row>
    <row r="4708" spans="1:14">
      <c r="A4708" s="21">
        <v>2024</v>
      </c>
      <c r="B4708" s="21" t="s">
        <v>29</v>
      </c>
      <c r="C4708" s="21" t="s">
        <v>1145</v>
      </c>
      <c r="D4708" s="21" t="s">
        <v>35</v>
      </c>
      <c r="E4708" s="18" t="s">
        <v>108</v>
      </c>
      <c r="F4708" s="18" t="s">
        <v>105</v>
      </c>
      <c r="G4708" s="18" t="s">
        <v>48</v>
      </c>
      <c r="H4708" s="24">
        <v>41000</v>
      </c>
      <c r="I4708" s="24">
        <f>T_reg.root.SK[[#This Row],[Volume, kg]]/1000</f>
        <v>41</v>
      </c>
      <c r="J4708" s="25">
        <v>0.24960000000000002</v>
      </c>
      <c r="K4708" s="25">
        <f t="shared" si="73"/>
        <v>10233.6</v>
      </c>
      <c r="L4708" s="25">
        <v>2.2799999999999998</v>
      </c>
      <c r="M4708" s="24">
        <v>93506</v>
      </c>
      <c r="N4708" s="25">
        <f>IFERROR(T_reg.root.SK[[#This Row],[Price]]/T_reg.root.SK[[#This Row],[Starch content]],"")</f>
        <v>9.1346153846153832</v>
      </c>
    </row>
    <row r="4709" spans="1:14">
      <c r="A4709" s="21">
        <v>2024</v>
      </c>
      <c r="B4709" s="21" t="s">
        <v>29</v>
      </c>
      <c r="C4709" s="21" t="s">
        <v>1145</v>
      </c>
      <c r="D4709" s="21" t="s">
        <v>35</v>
      </c>
      <c r="E4709" s="18" t="s">
        <v>713</v>
      </c>
      <c r="F4709" s="18" t="s">
        <v>105</v>
      </c>
      <c r="G4709" s="18" t="s">
        <v>48</v>
      </c>
      <c r="H4709" s="24">
        <v>237420</v>
      </c>
      <c r="I4709" s="24">
        <f>T_reg.root.SK[[#This Row],[Volume, kg]]/1000</f>
        <v>237.42</v>
      </c>
      <c r="J4709" s="25">
        <v>0.25850000000000001</v>
      </c>
      <c r="K4709" s="25">
        <f t="shared" si="73"/>
        <v>61373.07</v>
      </c>
      <c r="L4709" s="25">
        <v>2.34</v>
      </c>
      <c r="M4709" s="24">
        <v>556070</v>
      </c>
      <c r="N4709" s="25">
        <f>IFERROR(T_reg.root.SK[[#This Row],[Price]]/T_reg.root.SK[[#This Row],[Starch content]],"")</f>
        <v>9.0522243713733062</v>
      </c>
    </row>
    <row r="4710" spans="1:14">
      <c r="A4710" s="21">
        <v>2024</v>
      </c>
      <c r="B4710" s="21" t="s">
        <v>29</v>
      </c>
      <c r="C4710" s="21" t="s">
        <v>1145</v>
      </c>
      <c r="D4710" s="21" t="s">
        <v>35</v>
      </c>
      <c r="E4710" s="18" t="s">
        <v>630</v>
      </c>
      <c r="F4710" s="18" t="s">
        <v>105</v>
      </c>
      <c r="G4710" s="18" t="s">
        <v>48</v>
      </c>
      <c r="H4710" s="24">
        <v>9510</v>
      </c>
      <c r="I4710" s="24">
        <f>T_reg.root.SK[[#This Row],[Volume, kg]]/1000</f>
        <v>9.51</v>
      </c>
      <c r="J4710" s="25">
        <v>0.26050000000000001</v>
      </c>
      <c r="K4710" s="25">
        <f t="shared" si="73"/>
        <v>2477.355</v>
      </c>
      <c r="L4710" s="25">
        <v>2.35</v>
      </c>
      <c r="M4710" s="24">
        <v>22348.5</v>
      </c>
      <c r="N4710" s="25">
        <f>IFERROR(T_reg.root.SK[[#This Row],[Price]]/T_reg.root.SK[[#This Row],[Starch content]],"")</f>
        <v>9.021113243761997</v>
      </c>
    </row>
    <row r="4711" spans="1:14">
      <c r="A4711" s="21">
        <v>2024</v>
      </c>
      <c r="B4711" s="21" t="s">
        <v>29</v>
      </c>
      <c r="C4711" s="21" t="s">
        <v>1145</v>
      </c>
      <c r="D4711" s="21" t="s">
        <v>35</v>
      </c>
      <c r="E4711" s="18" t="s">
        <v>109</v>
      </c>
      <c r="F4711" s="18" t="s">
        <v>105</v>
      </c>
      <c r="G4711" s="18" t="s">
        <v>48</v>
      </c>
      <c r="H4711" s="24">
        <v>93720</v>
      </c>
      <c r="I4711" s="24">
        <f>T_reg.root.SK[[#This Row],[Volume, kg]]/1000</f>
        <v>93.72</v>
      </c>
      <c r="J4711" s="25">
        <v>0.2482</v>
      </c>
      <c r="K4711" s="25">
        <f t="shared" si="73"/>
        <v>23261.304</v>
      </c>
      <c r="L4711" s="25">
        <v>2.2599999999999998</v>
      </c>
      <c r="M4711" s="24">
        <v>211882</v>
      </c>
      <c r="N4711" s="25">
        <f>IFERROR(T_reg.root.SK[[#This Row],[Price]]/T_reg.root.SK[[#This Row],[Starch content]],"")</f>
        <v>9.10556003223207</v>
      </c>
    </row>
    <row r="4712" spans="1:14">
      <c r="A4712" s="21">
        <v>2024</v>
      </c>
      <c r="B4712" s="21" t="s">
        <v>29</v>
      </c>
      <c r="C4712" s="21" t="s">
        <v>1145</v>
      </c>
      <c r="D4712" s="21" t="s">
        <v>35</v>
      </c>
      <c r="E4712" s="18" t="s">
        <v>232</v>
      </c>
      <c r="F4712" s="18" t="s">
        <v>105</v>
      </c>
      <c r="G4712" s="18" t="s">
        <v>48</v>
      </c>
      <c r="H4712" s="24">
        <v>12330</v>
      </c>
      <c r="I4712" s="24">
        <f>T_reg.root.SK[[#This Row],[Volume, kg]]/1000</f>
        <v>12.33</v>
      </c>
      <c r="J4712" s="25">
        <v>0.23949999999999999</v>
      </c>
      <c r="K4712" s="25">
        <f t="shared" si="73"/>
        <v>2953.0349999999999</v>
      </c>
      <c r="L4712" s="25">
        <v>2.2000000000000002</v>
      </c>
      <c r="M4712" s="24">
        <v>27126</v>
      </c>
      <c r="N4712" s="25">
        <f>IFERROR(T_reg.root.SK[[#This Row],[Price]]/T_reg.root.SK[[#This Row],[Starch content]],"")</f>
        <v>9.1858037578288112</v>
      </c>
    </row>
    <row r="4713" spans="1:14">
      <c r="A4713" s="21">
        <v>2024</v>
      </c>
      <c r="B4713" s="21" t="s">
        <v>29</v>
      </c>
      <c r="C4713" s="21" t="s">
        <v>1145</v>
      </c>
      <c r="D4713" s="21" t="s">
        <v>35</v>
      </c>
      <c r="E4713" s="18" t="s">
        <v>294</v>
      </c>
      <c r="F4713" s="18" t="s">
        <v>105</v>
      </c>
      <c r="G4713" s="18" t="s">
        <v>48</v>
      </c>
      <c r="H4713" s="24">
        <v>10190</v>
      </c>
      <c r="I4713" s="24">
        <f>T_reg.root.SK[[#This Row],[Volume, kg]]/1000</f>
        <v>10.19</v>
      </c>
      <c r="J4713" s="25">
        <v>0.23100000000000001</v>
      </c>
      <c r="K4713" s="25">
        <f t="shared" si="73"/>
        <v>2353.8900000000003</v>
      </c>
      <c r="L4713" s="25">
        <v>2.2000000000000002</v>
      </c>
      <c r="M4713" s="24">
        <v>22418</v>
      </c>
      <c r="N4713" s="25">
        <f>IFERROR(T_reg.root.SK[[#This Row],[Price]]/T_reg.root.SK[[#This Row],[Starch content]],"")</f>
        <v>9.5238095238095237</v>
      </c>
    </row>
    <row r="4714" spans="1:14">
      <c r="A4714" s="21">
        <v>2024</v>
      </c>
      <c r="B4714" s="21" t="s">
        <v>29</v>
      </c>
      <c r="C4714" s="21" t="s">
        <v>1145</v>
      </c>
      <c r="D4714" s="21" t="s">
        <v>35</v>
      </c>
      <c r="E4714" s="18" t="s">
        <v>110</v>
      </c>
      <c r="F4714" s="18" t="s">
        <v>105</v>
      </c>
      <c r="G4714" s="18" t="s">
        <v>48</v>
      </c>
      <c r="H4714" s="24">
        <v>19440</v>
      </c>
      <c r="I4714" s="24">
        <f>T_reg.root.SK[[#This Row],[Volume, kg]]/1000</f>
        <v>19.440000000000001</v>
      </c>
      <c r="J4714" s="25">
        <v>0.2404</v>
      </c>
      <c r="K4714" s="25">
        <f t="shared" si="73"/>
        <v>4673.3760000000002</v>
      </c>
      <c r="L4714" s="25">
        <v>2.2599999999999998</v>
      </c>
      <c r="M4714" s="24">
        <v>43932</v>
      </c>
      <c r="N4714" s="25">
        <f>IFERROR(T_reg.root.SK[[#This Row],[Price]]/T_reg.root.SK[[#This Row],[Starch content]],"")</f>
        <v>9.4009983361064879</v>
      </c>
    </row>
    <row r="4715" spans="1:14">
      <c r="A4715" s="21">
        <v>2024</v>
      </c>
      <c r="B4715" s="21" t="s">
        <v>29</v>
      </c>
      <c r="C4715" s="21" t="s">
        <v>1145</v>
      </c>
      <c r="D4715" s="21" t="s">
        <v>35</v>
      </c>
      <c r="E4715" s="18" t="s">
        <v>824</v>
      </c>
      <c r="F4715" s="18" t="s">
        <v>105</v>
      </c>
      <c r="G4715" s="18" t="s">
        <v>48</v>
      </c>
      <c r="H4715" s="24">
        <v>45260</v>
      </c>
      <c r="I4715" s="24">
        <f>T_reg.root.SK[[#This Row],[Volume, kg]]/1000</f>
        <v>45.26</v>
      </c>
      <c r="J4715" s="25">
        <v>0.25509999999999999</v>
      </c>
      <c r="K4715" s="25">
        <f t="shared" si="73"/>
        <v>11545.825999999999</v>
      </c>
      <c r="L4715" s="25">
        <v>2.31</v>
      </c>
      <c r="M4715" s="24">
        <v>104483.5</v>
      </c>
      <c r="N4715" s="25">
        <f>IFERROR(T_reg.root.SK[[#This Row],[Price]]/T_reg.root.SK[[#This Row],[Starch content]],"")</f>
        <v>9.0552724421795379</v>
      </c>
    </row>
    <row r="4716" spans="1:14">
      <c r="A4716" s="21">
        <v>2024</v>
      </c>
      <c r="B4716" s="21" t="s">
        <v>29</v>
      </c>
      <c r="C4716" s="21" t="s">
        <v>1145</v>
      </c>
      <c r="D4716" s="21" t="s">
        <v>35</v>
      </c>
      <c r="E4716" s="18" t="s">
        <v>964</v>
      </c>
      <c r="F4716" s="18" t="s">
        <v>105</v>
      </c>
      <c r="G4716" s="18" t="s">
        <v>48</v>
      </c>
      <c r="H4716" s="24">
        <v>42150</v>
      </c>
      <c r="I4716" s="24">
        <f>T_reg.root.SK[[#This Row],[Volume, kg]]/1000</f>
        <v>42.15</v>
      </c>
      <c r="J4716" s="25">
        <v>0.24600000000000002</v>
      </c>
      <c r="K4716" s="25">
        <f t="shared" si="73"/>
        <v>10368.900000000001</v>
      </c>
      <c r="L4716" s="25">
        <v>2.34</v>
      </c>
      <c r="M4716" s="24">
        <v>98707</v>
      </c>
      <c r="N4716" s="25">
        <f>IFERROR(T_reg.root.SK[[#This Row],[Price]]/T_reg.root.SK[[#This Row],[Starch content]],"")</f>
        <v>9.5121951219512173</v>
      </c>
    </row>
    <row r="4717" spans="1:14">
      <c r="A4717" s="21">
        <v>2024</v>
      </c>
      <c r="B4717" s="21" t="s">
        <v>29</v>
      </c>
      <c r="C4717" s="21" t="s">
        <v>1145</v>
      </c>
      <c r="D4717" s="21" t="s">
        <v>35</v>
      </c>
      <c r="E4717" s="18" t="s">
        <v>734</v>
      </c>
      <c r="F4717" s="18" t="s">
        <v>105</v>
      </c>
      <c r="G4717" s="18" t="s">
        <v>48</v>
      </c>
      <c r="H4717" s="24">
        <v>26700</v>
      </c>
      <c r="I4717" s="24">
        <f>T_reg.root.SK[[#This Row],[Volume, kg]]/1000</f>
        <v>26.7</v>
      </c>
      <c r="J4717" s="25">
        <v>0.24260000000000001</v>
      </c>
      <c r="K4717" s="25">
        <f t="shared" si="73"/>
        <v>6477.42</v>
      </c>
      <c r="L4717" s="25">
        <v>2.2400000000000002</v>
      </c>
      <c r="M4717" s="24">
        <v>59733</v>
      </c>
      <c r="N4717" s="25">
        <f>IFERROR(T_reg.root.SK[[#This Row],[Price]]/T_reg.root.SK[[#This Row],[Starch content]],"")</f>
        <v>9.2333058532563896</v>
      </c>
    </row>
    <row r="4718" spans="1:14">
      <c r="A4718" s="21">
        <v>2024</v>
      </c>
      <c r="B4718" s="21" t="s">
        <v>29</v>
      </c>
      <c r="C4718" s="21" t="s">
        <v>1145</v>
      </c>
      <c r="D4718" s="21" t="s">
        <v>35</v>
      </c>
      <c r="E4718" s="18" t="s">
        <v>665</v>
      </c>
      <c r="F4718" s="18" t="s">
        <v>105</v>
      </c>
      <c r="G4718" s="18" t="s">
        <v>48</v>
      </c>
      <c r="H4718" s="24">
        <v>49850</v>
      </c>
      <c r="I4718" s="24">
        <f>T_reg.root.SK[[#This Row],[Volume, kg]]/1000</f>
        <v>49.85</v>
      </c>
      <c r="J4718" s="25">
        <v>0.27310000000000001</v>
      </c>
      <c r="K4718" s="25">
        <f t="shared" si="73"/>
        <v>13614.035</v>
      </c>
      <c r="L4718" s="25">
        <v>2.37</v>
      </c>
      <c r="M4718" s="24">
        <v>118007.5</v>
      </c>
      <c r="N4718" s="25">
        <f>IFERROR(T_reg.root.SK[[#This Row],[Price]]/T_reg.root.SK[[#This Row],[Starch content]],"")</f>
        <v>8.6781398755034793</v>
      </c>
    </row>
    <row r="4719" spans="1:14">
      <c r="A4719" s="21">
        <v>2024</v>
      </c>
      <c r="B4719" s="21" t="s">
        <v>29</v>
      </c>
      <c r="C4719" s="21" t="s">
        <v>1145</v>
      </c>
      <c r="D4719" s="21" t="s">
        <v>35</v>
      </c>
      <c r="E4719" s="18" t="s">
        <v>803</v>
      </c>
      <c r="F4719" s="18" t="s">
        <v>105</v>
      </c>
      <c r="G4719" s="18" t="s">
        <v>48</v>
      </c>
      <c r="H4719" s="24">
        <v>23220</v>
      </c>
      <c r="I4719" s="24">
        <f>T_reg.root.SK[[#This Row],[Volume, kg]]/1000</f>
        <v>23.22</v>
      </c>
      <c r="J4719" s="25">
        <v>0.25559999999999999</v>
      </c>
      <c r="K4719" s="25">
        <f t="shared" si="73"/>
        <v>5935.0320000000002</v>
      </c>
      <c r="L4719" s="25">
        <v>2.33</v>
      </c>
      <c r="M4719" s="24">
        <v>54089.5</v>
      </c>
      <c r="N4719" s="25">
        <f>IFERROR(T_reg.root.SK[[#This Row],[Price]]/T_reg.root.SK[[#This Row],[Starch content]],"")</f>
        <v>9.1158059467918626</v>
      </c>
    </row>
    <row r="4720" spans="1:14">
      <c r="A4720" s="21">
        <v>2024</v>
      </c>
      <c r="B4720" s="21" t="s">
        <v>29</v>
      </c>
      <c r="C4720" s="21" t="s">
        <v>1145</v>
      </c>
      <c r="D4720" s="21" t="s">
        <v>35</v>
      </c>
      <c r="E4720" s="18" t="s">
        <v>234</v>
      </c>
      <c r="F4720" s="18" t="s">
        <v>105</v>
      </c>
      <c r="G4720" s="18" t="s">
        <v>48</v>
      </c>
      <c r="H4720" s="24">
        <v>12550</v>
      </c>
      <c r="I4720" s="24">
        <f>T_reg.root.SK[[#This Row],[Volume, kg]]/1000</f>
        <v>12.55</v>
      </c>
      <c r="J4720" s="25">
        <v>0.24719999999999998</v>
      </c>
      <c r="K4720" s="25">
        <f t="shared" si="73"/>
        <v>3102.3599999999997</v>
      </c>
      <c r="L4720" s="25">
        <v>2.2799999999999998</v>
      </c>
      <c r="M4720" s="24">
        <v>28592</v>
      </c>
      <c r="N4720" s="25">
        <f>IFERROR(T_reg.root.SK[[#This Row],[Price]]/T_reg.root.SK[[#This Row],[Starch content]],"")</f>
        <v>9.2233009708737868</v>
      </c>
    </row>
    <row r="4721" spans="1:14">
      <c r="A4721" s="21">
        <v>2024</v>
      </c>
      <c r="B4721" s="21" t="s">
        <v>29</v>
      </c>
      <c r="C4721" s="21" t="s">
        <v>1145</v>
      </c>
      <c r="D4721" s="21" t="s">
        <v>35</v>
      </c>
      <c r="E4721" s="18" t="s">
        <v>768</v>
      </c>
      <c r="F4721" s="18" t="s">
        <v>105</v>
      </c>
      <c r="G4721" s="18" t="s">
        <v>48</v>
      </c>
      <c r="H4721" s="24">
        <v>9740</v>
      </c>
      <c r="I4721" s="24">
        <f>T_reg.root.SK[[#This Row],[Volume, kg]]/1000</f>
        <v>9.74</v>
      </c>
      <c r="J4721" s="25">
        <v>0.23649999999999999</v>
      </c>
      <c r="K4721" s="25">
        <f t="shared" si="73"/>
        <v>2303.5099999999998</v>
      </c>
      <c r="L4721" s="25">
        <v>2.35</v>
      </c>
      <c r="M4721" s="24">
        <v>22889</v>
      </c>
      <c r="N4721" s="25">
        <f>IFERROR(T_reg.root.SK[[#This Row],[Price]]/T_reg.root.SK[[#This Row],[Starch content]],"")</f>
        <v>9.9365750528541241</v>
      </c>
    </row>
    <row r="4722" spans="1:14">
      <c r="A4722" s="21">
        <v>2024</v>
      </c>
      <c r="B4722" s="21" t="s">
        <v>29</v>
      </c>
      <c r="C4722" s="21" t="s">
        <v>1145</v>
      </c>
      <c r="D4722" s="21" t="s">
        <v>35</v>
      </c>
      <c r="E4722" s="18" t="s">
        <v>600</v>
      </c>
      <c r="F4722" s="18" t="s">
        <v>105</v>
      </c>
      <c r="G4722" s="18" t="s">
        <v>48</v>
      </c>
      <c r="H4722" s="24">
        <v>30610</v>
      </c>
      <c r="I4722" s="24">
        <f>T_reg.root.SK[[#This Row],[Volume, kg]]/1000</f>
        <v>30.61</v>
      </c>
      <c r="J4722" s="25">
        <v>0.25790000000000002</v>
      </c>
      <c r="K4722" s="25">
        <f t="shared" si="73"/>
        <v>7894.3190000000004</v>
      </c>
      <c r="L4722" s="25">
        <v>2.35</v>
      </c>
      <c r="M4722" s="24">
        <v>71873.5</v>
      </c>
      <c r="N4722" s="25">
        <f>IFERROR(T_reg.root.SK[[#This Row],[Price]]/T_reg.root.SK[[#This Row],[Starch content]],"")</f>
        <v>9.1120589375727015</v>
      </c>
    </row>
    <row r="4723" spans="1:14">
      <c r="A4723" s="21">
        <v>2024</v>
      </c>
      <c r="B4723" s="21" t="s">
        <v>29</v>
      </c>
      <c r="C4723" s="21" t="s">
        <v>1145</v>
      </c>
      <c r="D4723" s="21" t="s">
        <v>35</v>
      </c>
      <c r="E4723" s="18" t="s">
        <v>235</v>
      </c>
      <c r="F4723" s="18" t="s">
        <v>105</v>
      </c>
      <c r="G4723" s="18" t="s">
        <v>48</v>
      </c>
      <c r="H4723" s="24">
        <v>13400</v>
      </c>
      <c r="I4723" s="24">
        <f>T_reg.root.SK[[#This Row],[Volume, kg]]/1000</f>
        <v>13.4</v>
      </c>
      <c r="J4723" s="25">
        <v>0.28489999999999999</v>
      </c>
      <c r="K4723" s="25">
        <f t="shared" si="73"/>
        <v>3817.66</v>
      </c>
      <c r="L4723" s="25">
        <v>2.5499999999999998</v>
      </c>
      <c r="M4723" s="24">
        <v>34170</v>
      </c>
      <c r="N4723" s="25">
        <f>IFERROR(T_reg.root.SK[[#This Row],[Price]]/T_reg.root.SK[[#This Row],[Starch content]],"")</f>
        <v>8.9505089505089508</v>
      </c>
    </row>
    <row r="4724" spans="1:14">
      <c r="A4724" s="21">
        <v>2024</v>
      </c>
      <c r="B4724" s="21" t="s">
        <v>29</v>
      </c>
      <c r="C4724" s="21" t="s">
        <v>1145</v>
      </c>
      <c r="D4724" s="21" t="s">
        <v>35</v>
      </c>
      <c r="E4724" s="18" t="s">
        <v>685</v>
      </c>
      <c r="F4724" s="18" t="s">
        <v>105</v>
      </c>
      <c r="G4724" s="18" t="s">
        <v>48</v>
      </c>
      <c r="H4724" s="24">
        <v>53040</v>
      </c>
      <c r="I4724" s="24">
        <f>T_reg.root.SK[[#This Row],[Volume, kg]]/1000</f>
        <v>53.04</v>
      </c>
      <c r="J4724" s="25">
        <v>0.25739999999999996</v>
      </c>
      <c r="K4724" s="25">
        <f t="shared" si="73"/>
        <v>13652.495999999997</v>
      </c>
      <c r="L4724" s="25">
        <v>2.29</v>
      </c>
      <c r="M4724" s="24">
        <v>121688</v>
      </c>
      <c r="N4724" s="25">
        <f>IFERROR(T_reg.root.SK[[#This Row],[Price]]/T_reg.root.SK[[#This Row],[Starch content]],"")</f>
        <v>8.8966588966588986</v>
      </c>
    </row>
    <row r="4725" spans="1:14">
      <c r="A4725" s="21">
        <v>2024</v>
      </c>
      <c r="B4725" s="21" t="s">
        <v>29</v>
      </c>
      <c r="C4725" s="21" t="s">
        <v>1145</v>
      </c>
      <c r="D4725" s="21" t="s">
        <v>35</v>
      </c>
      <c r="E4725" s="18" t="s">
        <v>965</v>
      </c>
      <c r="F4725" s="18" t="s">
        <v>105</v>
      </c>
      <c r="G4725" s="18" t="s">
        <v>48</v>
      </c>
      <c r="H4725" s="24">
        <v>38580</v>
      </c>
      <c r="I4725" s="24">
        <f>T_reg.root.SK[[#This Row],[Volume, kg]]/1000</f>
        <v>38.58</v>
      </c>
      <c r="J4725" s="25">
        <v>0.26850000000000002</v>
      </c>
      <c r="K4725" s="25">
        <f t="shared" si="73"/>
        <v>10358.730000000001</v>
      </c>
      <c r="L4725" s="25">
        <v>2.4</v>
      </c>
      <c r="M4725" s="24">
        <v>92611</v>
      </c>
      <c r="N4725" s="25">
        <f>IFERROR(T_reg.root.SK[[#This Row],[Price]]/T_reg.root.SK[[#This Row],[Starch content]],"")</f>
        <v>8.938547486033519</v>
      </c>
    </row>
    <row r="4726" spans="1:14">
      <c r="A4726" s="21">
        <v>2024</v>
      </c>
      <c r="B4726" s="21" t="s">
        <v>29</v>
      </c>
      <c r="C4726" s="21" t="s">
        <v>1145</v>
      </c>
      <c r="D4726" s="21" t="s">
        <v>35</v>
      </c>
      <c r="E4726" s="18" t="s">
        <v>296</v>
      </c>
      <c r="F4726" s="18" t="s">
        <v>105</v>
      </c>
      <c r="G4726" s="18" t="s">
        <v>48</v>
      </c>
      <c r="H4726" s="24">
        <v>119450</v>
      </c>
      <c r="I4726" s="24">
        <f>T_reg.root.SK[[#This Row],[Volume, kg]]/1000</f>
        <v>119.45</v>
      </c>
      <c r="J4726" s="25">
        <v>0.27699999999999997</v>
      </c>
      <c r="K4726" s="25">
        <f t="shared" si="73"/>
        <v>33087.649999999994</v>
      </c>
      <c r="L4726" s="25">
        <v>2.48</v>
      </c>
      <c r="M4726" s="24">
        <v>296330.5</v>
      </c>
      <c r="N4726" s="25">
        <f>IFERROR(T_reg.root.SK[[#This Row],[Price]]/T_reg.root.SK[[#This Row],[Starch content]],"")</f>
        <v>8.9530685920577628</v>
      </c>
    </row>
    <row r="4727" spans="1:14">
      <c r="A4727" s="21">
        <v>2024</v>
      </c>
      <c r="B4727" s="21" t="s">
        <v>29</v>
      </c>
      <c r="C4727" s="21" t="s">
        <v>1145</v>
      </c>
      <c r="D4727" s="21" t="s">
        <v>35</v>
      </c>
      <c r="E4727" s="18" t="s">
        <v>805</v>
      </c>
      <c r="F4727" s="18" t="s">
        <v>105</v>
      </c>
      <c r="G4727" s="18" t="s">
        <v>48</v>
      </c>
      <c r="H4727" s="24">
        <v>108860</v>
      </c>
      <c r="I4727" s="24">
        <f>T_reg.root.SK[[#This Row],[Volume, kg]]/1000</f>
        <v>108.86</v>
      </c>
      <c r="J4727" s="25">
        <v>0.2525</v>
      </c>
      <c r="K4727" s="25">
        <f t="shared" si="73"/>
        <v>27487.15</v>
      </c>
      <c r="L4727" s="25">
        <v>2.29</v>
      </c>
      <c r="M4727" s="24">
        <v>249428.5</v>
      </c>
      <c r="N4727" s="25">
        <f>IFERROR(T_reg.root.SK[[#This Row],[Price]]/T_reg.root.SK[[#This Row],[Starch content]],"")</f>
        <v>9.0693069306930685</v>
      </c>
    </row>
    <row r="4728" spans="1:14">
      <c r="A4728" s="21">
        <v>2024</v>
      </c>
      <c r="B4728" s="21" t="s">
        <v>29</v>
      </c>
      <c r="C4728" s="21" t="s">
        <v>1145</v>
      </c>
      <c r="D4728" s="21" t="s">
        <v>35</v>
      </c>
      <c r="E4728" s="18" t="s">
        <v>561</v>
      </c>
      <c r="F4728" s="18" t="s">
        <v>105</v>
      </c>
      <c r="G4728" s="18" t="s">
        <v>48</v>
      </c>
      <c r="H4728" s="24">
        <v>6800</v>
      </c>
      <c r="I4728" s="24">
        <f>T_reg.root.SK[[#This Row],[Volume, kg]]/1000</f>
        <v>6.8</v>
      </c>
      <c r="J4728" s="25">
        <v>0.25650000000000001</v>
      </c>
      <c r="K4728" s="25">
        <f t="shared" si="73"/>
        <v>1744.2</v>
      </c>
      <c r="L4728" s="25">
        <v>2.35</v>
      </c>
      <c r="M4728" s="24">
        <v>15980</v>
      </c>
      <c r="N4728" s="25">
        <f>IFERROR(T_reg.root.SK[[#This Row],[Price]]/T_reg.root.SK[[#This Row],[Starch content]],"")</f>
        <v>9.1617933723196874</v>
      </c>
    </row>
    <row r="4729" spans="1:14">
      <c r="A4729" s="21">
        <v>2024</v>
      </c>
      <c r="B4729" s="21" t="s">
        <v>29</v>
      </c>
      <c r="C4729" s="21" t="s">
        <v>1145</v>
      </c>
      <c r="D4729" s="21" t="s">
        <v>35</v>
      </c>
      <c r="E4729" s="18" t="s">
        <v>769</v>
      </c>
      <c r="F4729" s="18" t="s">
        <v>105</v>
      </c>
      <c r="G4729" s="18" t="s">
        <v>48</v>
      </c>
      <c r="H4729" s="24">
        <v>12170</v>
      </c>
      <c r="I4729" s="24">
        <f>T_reg.root.SK[[#This Row],[Volume, kg]]/1000</f>
        <v>12.17</v>
      </c>
      <c r="J4729" s="25">
        <v>0.32100000000000001</v>
      </c>
      <c r="K4729" s="25">
        <f t="shared" si="73"/>
        <v>3906.57</v>
      </c>
      <c r="L4729" s="25">
        <v>2.6</v>
      </c>
      <c r="M4729" s="24">
        <v>31642</v>
      </c>
      <c r="N4729" s="25">
        <f>IFERROR(T_reg.root.SK[[#This Row],[Price]]/T_reg.root.SK[[#This Row],[Starch content]],"")</f>
        <v>8.0996884735202492</v>
      </c>
    </row>
    <row r="4730" spans="1:14">
      <c r="A4730" s="21">
        <v>2024</v>
      </c>
      <c r="B4730" s="21" t="s">
        <v>29</v>
      </c>
      <c r="C4730" s="21" t="s">
        <v>1145</v>
      </c>
      <c r="D4730" s="21" t="s">
        <v>35</v>
      </c>
      <c r="E4730" s="18" t="s">
        <v>118</v>
      </c>
      <c r="F4730" s="18" t="s">
        <v>105</v>
      </c>
      <c r="G4730" s="18" t="s">
        <v>48</v>
      </c>
      <c r="H4730" s="24">
        <v>481460</v>
      </c>
      <c r="I4730" s="24">
        <f>T_reg.root.SK[[#This Row],[Volume, kg]]/1000</f>
        <v>481.46</v>
      </c>
      <c r="J4730" s="25">
        <v>0.24940000000000001</v>
      </c>
      <c r="K4730" s="25">
        <f t="shared" si="73"/>
        <v>120076.12400000001</v>
      </c>
      <c r="L4730" s="25">
        <v>2.29</v>
      </c>
      <c r="M4730" s="24">
        <v>1104835.5</v>
      </c>
      <c r="N4730" s="25">
        <f>IFERROR(T_reg.root.SK[[#This Row],[Price]]/T_reg.root.SK[[#This Row],[Starch content]],"")</f>
        <v>9.1820368885324779</v>
      </c>
    </row>
    <row r="4731" spans="1:14">
      <c r="A4731" s="21">
        <v>2024</v>
      </c>
      <c r="B4731" s="21" t="s">
        <v>29</v>
      </c>
      <c r="C4731" s="21" t="s">
        <v>1145</v>
      </c>
      <c r="D4731" s="21" t="s">
        <v>35</v>
      </c>
      <c r="E4731" s="18" t="s">
        <v>485</v>
      </c>
      <c r="F4731" s="18" t="s">
        <v>105</v>
      </c>
      <c r="G4731" s="18" t="s">
        <v>48</v>
      </c>
      <c r="H4731" s="24">
        <v>82250</v>
      </c>
      <c r="I4731" s="24">
        <f>T_reg.root.SK[[#This Row],[Volume, kg]]/1000</f>
        <v>82.25</v>
      </c>
      <c r="J4731" s="25">
        <v>0.28039999999999998</v>
      </c>
      <c r="K4731" s="25">
        <f t="shared" si="73"/>
        <v>23062.899999999998</v>
      </c>
      <c r="L4731" s="25">
        <v>2.4500000000000002</v>
      </c>
      <c r="M4731" s="24">
        <v>201486</v>
      </c>
      <c r="N4731" s="25">
        <f>IFERROR(T_reg.root.SK[[#This Row],[Price]]/T_reg.root.SK[[#This Row],[Starch content]],"")</f>
        <v>8.7375178316690452</v>
      </c>
    </row>
    <row r="4732" spans="1:14">
      <c r="A4732" s="21">
        <v>2024</v>
      </c>
      <c r="B4732" s="21" t="s">
        <v>29</v>
      </c>
      <c r="C4732" s="21" t="s">
        <v>1145</v>
      </c>
      <c r="D4732" s="21" t="s">
        <v>35</v>
      </c>
      <c r="E4732" s="18" t="s">
        <v>121</v>
      </c>
      <c r="F4732" s="18" t="s">
        <v>105</v>
      </c>
      <c r="G4732" s="18" t="s">
        <v>48</v>
      </c>
      <c r="H4732" s="24">
        <v>7330</v>
      </c>
      <c r="I4732" s="24">
        <f>T_reg.root.SK[[#This Row],[Volume, kg]]/1000</f>
        <v>7.33</v>
      </c>
      <c r="J4732" s="25">
        <v>0.20050000000000001</v>
      </c>
      <c r="K4732" s="25">
        <f t="shared" si="73"/>
        <v>1469.6650000000002</v>
      </c>
      <c r="L4732" s="25">
        <v>2.0499999999999998</v>
      </c>
      <c r="M4732" s="24">
        <v>15026.5</v>
      </c>
      <c r="N4732" s="25">
        <f>IFERROR(T_reg.root.SK[[#This Row],[Price]]/T_reg.root.SK[[#This Row],[Starch content]],"")</f>
        <v>10.22443890274314</v>
      </c>
    </row>
    <row r="4733" spans="1:14">
      <c r="A4733" s="21">
        <v>2024</v>
      </c>
      <c r="B4733" s="21" t="s">
        <v>29</v>
      </c>
      <c r="C4733" s="21" t="s">
        <v>1145</v>
      </c>
      <c r="D4733" s="21" t="s">
        <v>35</v>
      </c>
      <c r="E4733" s="18" t="s">
        <v>122</v>
      </c>
      <c r="F4733" s="18" t="s">
        <v>105</v>
      </c>
      <c r="G4733" s="18" t="s">
        <v>48</v>
      </c>
      <c r="H4733" s="24">
        <v>272330</v>
      </c>
      <c r="I4733" s="24">
        <f>T_reg.root.SK[[#This Row],[Volume, kg]]/1000</f>
        <v>272.33</v>
      </c>
      <c r="J4733" s="25">
        <v>0.25950000000000001</v>
      </c>
      <c r="K4733" s="25">
        <f t="shared" si="73"/>
        <v>70669.635000000009</v>
      </c>
      <c r="L4733" s="25">
        <v>2.3199999999999998</v>
      </c>
      <c r="M4733" s="24">
        <v>630785</v>
      </c>
      <c r="N4733" s="25">
        <f>IFERROR(T_reg.root.SK[[#This Row],[Price]]/T_reg.root.SK[[#This Row],[Starch content]],"")</f>
        <v>8.9402697495183041</v>
      </c>
    </row>
    <row r="4734" spans="1:14">
      <c r="A4734" s="21">
        <v>2024</v>
      </c>
      <c r="B4734" s="21" t="s">
        <v>29</v>
      </c>
      <c r="C4734" s="21" t="s">
        <v>1145</v>
      </c>
      <c r="D4734" s="21" t="s">
        <v>35</v>
      </c>
      <c r="E4734" s="18" t="s">
        <v>123</v>
      </c>
      <c r="F4734" s="18" t="s">
        <v>105</v>
      </c>
      <c r="G4734" s="18" t="s">
        <v>48</v>
      </c>
      <c r="H4734" s="24">
        <v>18300</v>
      </c>
      <c r="I4734" s="24">
        <f>T_reg.root.SK[[#This Row],[Volume, kg]]/1000</f>
        <v>18.3</v>
      </c>
      <c r="J4734" s="25">
        <v>0.28179999999999999</v>
      </c>
      <c r="K4734" s="25">
        <f t="shared" si="73"/>
        <v>5156.9399999999996</v>
      </c>
      <c r="L4734" s="25">
        <v>2.4500000000000002</v>
      </c>
      <c r="M4734" s="24">
        <v>44897</v>
      </c>
      <c r="N4734" s="25">
        <f>IFERROR(T_reg.root.SK[[#This Row],[Price]]/T_reg.root.SK[[#This Row],[Starch content]],"")</f>
        <v>8.694109297374025</v>
      </c>
    </row>
    <row r="4735" spans="1:14">
      <c r="A4735" s="21">
        <v>2024</v>
      </c>
      <c r="B4735" s="21" t="s">
        <v>29</v>
      </c>
      <c r="C4735" s="21" t="s">
        <v>1145</v>
      </c>
      <c r="D4735" s="21" t="s">
        <v>35</v>
      </c>
      <c r="E4735" s="18" t="s">
        <v>735</v>
      </c>
      <c r="F4735" s="18" t="s">
        <v>105</v>
      </c>
      <c r="G4735" s="18" t="s">
        <v>48</v>
      </c>
      <c r="H4735" s="24">
        <v>30380</v>
      </c>
      <c r="I4735" s="24">
        <f>T_reg.root.SK[[#This Row],[Volume, kg]]/1000</f>
        <v>30.38</v>
      </c>
      <c r="J4735" s="25">
        <v>0.23420000000000002</v>
      </c>
      <c r="K4735" s="25">
        <f t="shared" si="73"/>
        <v>7114.996000000001</v>
      </c>
      <c r="L4735" s="25">
        <v>2.2200000000000002</v>
      </c>
      <c r="M4735" s="24">
        <v>67351</v>
      </c>
      <c r="N4735" s="25">
        <f>IFERROR(T_reg.root.SK[[#This Row],[Price]]/T_reg.root.SK[[#This Row],[Starch content]],"")</f>
        <v>9.4790777113578137</v>
      </c>
    </row>
    <row r="4736" spans="1:14">
      <c r="A4736" s="21">
        <v>2024</v>
      </c>
      <c r="B4736" s="21" t="s">
        <v>29</v>
      </c>
      <c r="C4736" s="21" t="s">
        <v>1145</v>
      </c>
      <c r="D4736" s="21" t="s">
        <v>35</v>
      </c>
      <c r="E4736" s="18" t="s">
        <v>946</v>
      </c>
      <c r="F4736" s="18" t="s">
        <v>105</v>
      </c>
      <c r="G4736" s="18" t="s">
        <v>48</v>
      </c>
      <c r="H4736" s="24">
        <v>14870</v>
      </c>
      <c r="I4736" s="24">
        <f>T_reg.root.SK[[#This Row],[Volume, kg]]/1000</f>
        <v>14.87</v>
      </c>
      <c r="J4736" s="25">
        <v>0.27679999999999999</v>
      </c>
      <c r="K4736" s="25">
        <f t="shared" si="73"/>
        <v>4116.0159999999996</v>
      </c>
      <c r="L4736" s="25">
        <v>2.4300000000000002</v>
      </c>
      <c r="M4736" s="24">
        <v>36163</v>
      </c>
      <c r="N4736" s="25">
        <f>IFERROR(T_reg.root.SK[[#This Row],[Price]]/T_reg.root.SK[[#This Row],[Starch content]],"")</f>
        <v>8.7789017341040463</v>
      </c>
    </row>
    <row r="4737" spans="1:14">
      <c r="A4737" s="21">
        <v>2024</v>
      </c>
      <c r="B4737" s="21" t="s">
        <v>29</v>
      </c>
      <c r="C4737" s="21" t="s">
        <v>1145</v>
      </c>
      <c r="D4737" s="21" t="s">
        <v>35</v>
      </c>
      <c r="E4737" s="18" t="s">
        <v>239</v>
      </c>
      <c r="F4737" s="18" t="s">
        <v>105</v>
      </c>
      <c r="G4737" s="18" t="s">
        <v>48</v>
      </c>
      <c r="H4737" s="24">
        <v>5020</v>
      </c>
      <c r="I4737" s="24">
        <f>T_reg.root.SK[[#This Row],[Volume, kg]]/1000</f>
        <v>5.0199999999999996</v>
      </c>
      <c r="J4737" s="25">
        <v>0.27600000000000002</v>
      </c>
      <c r="K4737" s="25">
        <f t="shared" si="73"/>
        <v>1385.5200000000002</v>
      </c>
      <c r="L4737" s="25">
        <v>2.5499999999999998</v>
      </c>
      <c r="M4737" s="24">
        <v>12801</v>
      </c>
      <c r="N4737" s="25">
        <f>IFERROR(T_reg.root.SK[[#This Row],[Price]]/T_reg.root.SK[[#This Row],[Starch content]],"")</f>
        <v>9.2391304347826075</v>
      </c>
    </row>
    <row r="4738" spans="1:14">
      <c r="A4738" s="21">
        <v>2024</v>
      </c>
      <c r="B4738" s="21" t="s">
        <v>29</v>
      </c>
      <c r="C4738" s="21" t="s">
        <v>1145</v>
      </c>
      <c r="D4738" s="21" t="s">
        <v>35</v>
      </c>
      <c r="E4738" s="18" t="s">
        <v>124</v>
      </c>
      <c r="F4738" s="18" t="s">
        <v>105</v>
      </c>
      <c r="G4738" s="18" t="s">
        <v>48</v>
      </c>
      <c r="H4738" s="24">
        <v>23920</v>
      </c>
      <c r="I4738" s="24">
        <f>T_reg.root.SK[[#This Row],[Volume, kg]]/1000</f>
        <v>23.92</v>
      </c>
      <c r="J4738" s="25">
        <v>0.2361</v>
      </c>
      <c r="K4738" s="25">
        <f t="shared" si="73"/>
        <v>5647.5119999999997</v>
      </c>
      <c r="L4738" s="25">
        <v>2.19</v>
      </c>
      <c r="M4738" s="24">
        <v>52469.5</v>
      </c>
      <c r="N4738" s="25">
        <f>IFERROR(T_reg.root.SK[[#This Row],[Price]]/T_reg.root.SK[[#This Row],[Starch content]],"")</f>
        <v>9.2757306226175338</v>
      </c>
    </row>
    <row r="4739" spans="1:14">
      <c r="A4739" s="21">
        <v>2024</v>
      </c>
      <c r="B4739" s="21" t="s">
        <v>29</v>
      </c>
      <c r="C4739" s="21" t="s">
        <v>1145</v>
      </c>
      <c r="D4739" s="21" t="s">
        <v>35</v>
      </c>
      <c r="E4739" s="18" t="s">
        <v>404</v>
      </c>
      <c r="F4739" s="18" t="s">
        <v>105</v>
      </c>
      <c r="G4739" s="18" t="s">
        <v>48</v>
      </c>
      <c r="H4739" s="24">
        <v>25640</v>
      </c>
      <c r="I4739" s="24">
        <f>T_reg.root.SK[[#This Row],[Volume, kg]]/1000</f>
        <v>25.64</v>
      </c>
      <c r="J4739" s="25">
        <v>0.26140000000000002</v>
      </c>
      <c r="K4739" s="25">
        <f t="shared" ref="K4739:K4802" si="74">H4739*J4739</f>
        <v>6702.2960000000003</v>
      </c>
      <c r="L4739" s="25">
        <v>2.44</v>
      </c>
      <c r="M4739" s="24">
        <v>62534</v>
      </c>
      <c r="N4739" s="25">
        <f>IFERROR(T_reg.root.SK[[#This Row],[Price]]/T_reg.root.SK[[#This Row],[Starch content]],"")</f>
        <v>9.3343534812547801</v>
      </c>
    </row>
    <row r="4740" spans="1:14">
      <c r="A4740" s="21">
        <v>2024</v>
      </c>
      <c r="B4740" s="21" t="s">
        <v>29</v>
      </c>
      <c r="C4740" s="21" t="s">
        <v>1145</v>
      </c>
      <c r="D4740" s="21" t="s">
        <v>35</v>
      </c>
      <c r="E4740" s="18" t="s">
        <v>563</v>
      </c>
      <c r="F4740" s="18" t="s">
        <v>105</v>
      </c>
      <c r="G4740" s="18" t="s">
        <v>48</v>
      </c>
      <c r="H4740" s="24">
        <v>26540</v>
      </c>
      <c r="I4740" s="24">
        <f>T_reg.root.SK[[#This Row],[Volume, kg]]/1000</f>
        <v>26.54</v>
      </c>
      <c r="J4740" s="25">
        <v>0.27190000000000003</v>
      </c>
      <c r="K4740" s="25">
        <f t="shared" si="74"/>
        <v>7216.2260000000006</v>
      </c>
      <c r="L4740" s="25">
        <v>2.42</v>
      </c>
      <c r="M4740" s="24">
        <v>64149.5</v>
      </c>
      <c r="N4740" s="25">
        <f>IFERROR(T_reg.root.SK[[#This Row],[Price]]/T_reg.root.SK[[#This Row],[Starch content]],"")</f>
        <v>8.9003310040456043</v>
      </c>
    </row>
    <row r="4741" spans="1:14">
      <c r="A4741" s="21">
        <v>2024</v>
      </c>
      <c r="B4741" s="21" t="s">
        <v>29</v>
      </c>
      <c r="C4741" s="21" t="s">
        <v>1145</v>
      </c>
      <c r="D4741" s="21" t="s">
        <v>35</v>
      </c>
      <c r="E4741" s="18" t="s">
        <v>487</v>
      </c>
      <c r="F4741" s="18" t="s">
        <v>105</v>
      </c>
      <c r="G4741" s="18" t="s">
        <v>48</v>
      </c>
      <c r="H4741" s="24">
        <v>13420</v>
      </c>
      <c r="I4741" s="24">
        <f>T_reg.root.SK[[#This Row],[Volume, kg]]/1000</f>
        <v>13.42</v>
      </c>
      <c r="J4741" s="25">
        <v>0.2298</v>
      </c>
      <c r="K4741" s="25">
        <f t="shared" si="74"/>
        <v>3083.9160000000002</v>
      </c>
      <c r="L4741" s="25">
        <v>2.2999999999999998</v>
      </c>
      <c r="M4741" s="24">
        <v>30866</v>
      </c>
      <c r="N4741" s="25">
        <f>IFERROR(T_reg.root.SK[[#This Row],[Price]]/T_reg.root.SK[[#This Row],[Starch content]],"")</f>
        <v>10.008703220191469</v>
      </c>
    </row>
    <row r="4742" spans="1:14">
      <c r="A4742" s="21">
        <v>2024</v>
      </c>
      <c r="B4742" s="21" t="s">
        <v>29</v>
      </c>
      <c r="C4742" s="21" t="s">
        <v>1145</v>
      </c>
      <c r="D4742" s="21" t="s">
        <v>35</v>
      </c>
      <c r="E4742" s="18" t="s">
        <v>125</v>
      </c>
      <c r="F4742" s="18" t="s">
        <v>105</v>
      </c>
      <c r="G4742" s="18" t="s">
        <v>48</v>
      </c>
      <c r="H4742" s="24">
        <v>30330</v>
      </c>
      <c r="I4742" s="24">
        <f>T_reg.root.SK[[#This Row],[Volume, kg]]/1000</f>
        <v>30.33</v>
      </c>
      <c r="J4742" s="25">
        <v>0.24729999999999999</v>
      </c>
      <c r="K4742" s="25">
        <f t="shared" si="74"/>
        <v>7500.6089999999995</v>
      </c>
      <c r="L4742" s="25">
        <v>2.29</v>
      </c>
      <c r="M4742" s="24">
        <v>69544.5</v>
      </c>
      <c r="N4742" s="25">
        <f>IFERROR(T_reg.root.SK[[#This Row],[Price]]/T_reg.root.SK[[#This Row],[Starch content]],"")</f>
        <v>9.2600080873433086</v>
      </c>
    </row>
    <row r="4743" spans="1:14">
      <c r="A4743" s="21">
        <v>2024</v>
      </c>
      <c r="B4743" s="21" t="s">
        <v>29</v>
      </c>
      <c r="C4743" s="21" t="s">
        <v>1145</v>
      </c>
      <c r="D4743" s="21" t="s">
        <v>35</v>
      </c>
      <c r="E4743" s="18" t="s">
        <v>736</v>
      </c>
      <c r="F4743" s="18" t="s">
        <v>105</v>
      </c>
      <c r="G4743" s="18" t="s">
        <v>48</v>
      </c>
      <c r="H4743" s="24">
        <v>9600</v>
      </c>
      <c r="I4743" s="24">
        <f>T_reg.root.SK[[#This Row],[Volume, kg]]/1000</f>
        <v>9.6</v>
      </c>
      <c r="J4743" s="25">
        <v>0.23350000000000001</v>
      </c>
      <c r="K4743" s="25">
        <f t="shared" si="74"/>
        <v>2241.6</v>
      </c>
      <c r="L4743" s="25">
        <v>2.2000000000000002</v>
      </c>
      <c r="M4743" s="24">
        <v>21120</v>
      </c>
      <c r="N4743" s="25">
        <f>IFERROR(T_reg.root.SK[[#This Row],[Price]]/T_reg.root.SK[[#This Row],[Starch content]],"")</f>
        <v>9.4218415417558887</v>
      </c>
    </row>
    <row r="4744" spans="1:14">
      <c r="A4744" s="21">
        <v>2024</v>
      </c>
      <c r="B4744" s="21" t="s">
        <v>29</v>
      </c>
      <c r="C4744" s="21" t="s">
        <v>1145</v>
      </c>
      <c r="D4744" s="21" t="s">
        <v>35</v>
      </c>
      <c r="E4744" s="18" t="s">
        <v>127</v>
      </c>
      <c r="F4744" s="18" t="s">
        <v>105</v>
      </c>
      <c r="G4744" s="18" t="s">
        <v>48</v>
      </c>
      <c r="H4744" s="24">
        <v>29150</v>
      </c>
      <c r="I4744" s="24">
        <f>T_reg.root.SK[[#This Row],[Volume, kg]]/1000</f>
        <v>29.15</v>
      </c>
      <c r="J4744" s="25">
        <v>0.2409</v>
      </c>
      <c r="K4744" s="25">
        <f t="shared" si="74"/>
        <v>7022.2349999999997</v>
      </c>
      <c r="L4744" s="25">
        <v>2.27</v>
      </c>
      <c r="M4744" s="24">
        <v>66090</v>
      </c>
      <c r="N4744" s="25">
        <f>IFERROR(T_reg.root.SK[[#This Row],[Price]]/T_reg.root.SK[[#This Row],[Starch content]],"")</f>
        <v>9.4229970942299701</v>
      </c>
    </row>
    <row r="4745" spans="1:14">
      <c r="A4745" s="21">
        <v>2024</v>
      </c>
      <c r="B4745" s="21" t="s">
        <v>29</v>
      </c>
      <c r="C4745" s="21" t="s">
        <v>1145</v>
      </c>
      <c r="D4745" s="21" t="s">
        <v>35</v>
      </c>
      <c r="E4745" s="18" t="s">
        <v>488</v>
      </c>
      <c r="F4745" s="18" t="s">
        <v>105</v>
      </c>
      <c r="G4745" s="18" t="s">
        <v>48</v>
      </c>
      <c r="H4745" s="24">
        <v>10390</v>
      </c>
      <c r="I4745" s="24">
        <f>T_reg.root.SK[[#This Row],[Volume, kg]]/1000</f>
        <v>10.39</v>
      </c>
      <c r="J4745" s="25">
        <v>0.2195</v>
      </c>
      <c r="K4745" s="25">
        <f t="shared" si="74"/>
        <v>2280.605</v>
      </c>
      <c r="L4745" s="25">
        <v>2.25</v>
      </c>
      <c r="M4745" s="24">
        <v>23377.5</v>
      </c>
      <c r="N4745" s="25">
        <f>IFERROR(T_reg.root.SK[[#This Row],[Price]]/T_reg.root.SK[[#This Row],[Starch content]],"")</f>
        <v>10.250569476082005</v>
      </c>
    </row>
    <row r="4746" spans="1:14">
      <c r="A4746" s="21">
        <v>2024</v>
      </c>
      <c r="B4746" s="21" t="s">
        <v>29</v>
      </c>
      <c r="C4746" s="21" t="s">
        <v>1145</v>
      </c>
      <c r="D4746" s="21" t="s">
        <v>35</v>
      </c>
      <c r="E4746" s="18" t="s">
        <v>770</v>
      </c>
      <c r="F4746" s="18" t="s">
        <v>105</v>
      </c>
      <c r="G4746" s="18" t="s">
        <v>48</v>
      </c>
      <c r="H4746" s="24">
        <v>10360</v>
      </c>
      <c r="I4746" s="24">
        <f>T_reg.root.SK[[#This Row],[Volume, kg]]/1000</f>
        <v>10.36</v>
      </c>
      <c r="J4746" s="25">
        <v>0.24249999999999999</v>
      </c>
      <c r="K4746" s="25">
        <f t="shared" si="74"/>
        <v>2512.2999999999997</v>
      </c>
      <c r="L4746" s="25">
        <v>2.25</v>
      </c>
      <c r="M4746" s="24">
        <v>23310</v>
      </c>
      <c r="N4746" s="25">
        <f>IFERROR(T_reg.root.SK[[#This Row],[Price]]/T_reg.root.SK[[#This Row],[Starch content]],"")</f>
        <v>9.2783505154639183</v>
      </c>
    </row>
    <row r="4747" spans="1:14">
      <c r="A4747" s="21">
        <v>2024</v>
      </c>
      <c r="B4747" s="21" t="s">
        <v>29</v>
      </c>
      <c r="C4747" s="21" t="s">
        <v>1145</v>
      </c>
      <c r="D4747" s="21" t="s">
        <v>35</v>
      </c>
      <c r="E4747" s="18" t="s">
        <v>966</v>
      </c>
      <c r="F4747" s="18" t="s">
        <v>105</v>
      </c>
      <c r="G4747" s="18" t="s">
        <v>48</v>
      </c>
      <c r="H4747" s="24">
        <v>24330</v>
      </c>
      <c r="I4747" s="24">
        <f>T_reg.root.SK[[#This Row],[Volume, kg]]/1000</f>
        <v>24.33</v>
      </c>
      <c r="J4747" s="25">
        <v>0.25650000000000001</v>
      </c>
      <c r="K4747" s="25">
        <f t="shared" si="74"/>
        <v>6240.6450000000004</v>
      </c>
      <c r="L4747" s="25">
        <v>2.29</v>
      </c>
      <c r="M4747" s="24">
        <v>55674.5</v>
      </c>
      <c r="N4747" s="25">
        <f>IFERROR(T_reg.root.SK[[#This Row],[Price]]/T_reg.root.SK[[#This Row],[Starch content]],"")</f>
        <v>8.9278752436647171</v>
      </c>
    </row>
    <row r="4748" spans="1:14">
      <c r="A4748" s="21">
        <v>2024</v>
      </c>
      <c r="B4748" s="21" t="s">
        <v>29</v>
      </c>
      <c r="C4748" s="21" t="s">
        <v>1145</v>
      </c>
      <c r="D4748" s="21" t="s">
        <v>35</v>
      </c>
      <c r="E4748" s="18" t="s">
        <v>948</v>
      </c>
      <c r="F4748" s="18" t="s">
        <v>105</v>
      </c>
      <c r="G4748" s="18" t="s">
        <v>48</v>
      </c>
      <c r="H4748" s="24">
        <v>7960</v>
      </c>
      <c r="I4748" s="24">
        <f>T_reg.root.SK[[#This Row],[Volume, kg]]/1000</f>
        <v>7.96</v>
      </c>
      <c r="J4748" s="25">
        <v>0.25650000000000001</v>
      </c>
      <c r="K4748" s="25">
        <f t="shared" si="74"/>
        <v>2041.74</v>
      </c>
      <c r="L4748" s="25">
        <v>2.4500000000000002</v>
      </c>
      <c r="M4748" s="24">
        <v>19502</v>
      </c>
      <c r="N4748" s="25">
        <f>IFERROR(T_reg.root.SK[[#This Row],[Price]]/T_reg.root.SK[[#This Row],[Starch content]],"")</f>
        <v>9.5516569200779724</v>
      </c>
    </row>
    <row r="4749" spans="1:14">
      <c r="A4749" s="21">
        <v>2024</v>
      </c>
      <c r="B4749" s="21" t="s">
        <v>29</v>
      </c>
      <c r="C4749" s="21" t="s">
        <v>1145</v>
      </c>
      <c r="D4749" s="21" t="s">
        <v>35</v>
      </c>
      <c r="E4749" s="18" t="s">
        <v>617</v>
      </c>
      <c r="F4749" s="18" t="s">
        <v>105</v>
      </c>
      <c r="G4749" s="18" t="s">
        <v>48</v>
      </c>
      <c r="H4749" s="24">
        <v>107740</v>
      </c>
      <c r="I4749" s="24">
        <f>T_reg.root.SK[[#This Row],[Volume, kg]]/1000</f>
        <v>107.74</v>
      </c>
      <c r="J4749" s="25">
        <v>0.27190000000000003</v>
      </c>
      <c r="K4749" s="25">
        <f t="shared" si="74"/>
        <v>29294.506000000005</v>
      </c>
      <c r="L4749" s="25">
        <v>2.4300000000000002</v>
      </c>
      <c r="M4749" s="24">
        <v>262052.5</v>
      </c>
      <c r="N4749" s="25">
        <f>IFERROR(T_reg.root.SK[[#This Row],[Price]]/T_reg.root.SK[[#This Row],[Starch content]],"")</f>
        <v>8.9371092313350484</v>
      </c>
    </row>
    <row r="4750" spans="1:14">
      <c r="A4750" s="21">
        <v>2024</v>
      </c>
      <c r="B4750" s="21" t="s">
        <v>29</v>
      </c>
      <c r="C4750" s="21" t="s">
        <v>1145</v>
      </c>
      <c r="D4750" s="21" t="s">
        <v>35</v>
      </c>
      <c r="E4750" s="18" t="s">
        <v>807</v>
      </c>
      <c r="F4750" s="18" t="s">
        <v>105</v>
      </c>
      <c r="G4750" s="18" t="s">
        <v>48</v>
      </c>
      <c r="H4750" s="24">
        <v>47880</v>
      </c>
      <c r="I4750" s="24">
        <f>T_reg.root.SK[[#This Row],[Volume, kg]]/1000</f>
        <v>47.88</v>
      </c>
      <c r="J4750" s="25">
        <v>0.24100000000000002</v>
      </c>
      <c r="K4750" s="25">
        <f t="shared" si="74"/>
        <v>11539.080000000002</v>
      </c>
      <c r="L4750" s="25">
        <v>2.29</v>
      </c>
      <c r="M4750" s="24">
        <v>109817</v>
      </c>
      <c r="N4750" s="25">
        <f>IFERROR(T_reg.root.SK[[#This Row],[Price]]/T_reg.root.SK[[#This Row],[Starch content]],"")</f>
        <v>9.5020746887966805</v>
      </c>
    </row>
    <row r="4751" spans="1:14">
      <c r="A4751" s="21">
        <v>2024</v>
      </c>
      <c r="B4751" s="21" t="s">
        <v>29</v>
      </c>
      <c r="C4751" s="21" t="s">
        <v>1145</v>
      </c>
      <c r="D4751" s="21" t="s">
        <v>35</v>
      </c>
      <c r="E4751" s="18" t="s">
        <v>717</v>
      </c>
      <c r="F4751" s="18" t="s">
        <v>105</v>
      </c>
      <c r="G4751" s="18" t="s">
        <v>48</v>
      </c>
      <c r="H4751" s="24">
        <v>15510</v>
      </c>
      <c r="I4751" s="24">
        <f>T_reg.root.SK[[#This Row],[Volume, kg]]/1000</f>
        <v>15.51</v>
      </c>
      <c r="J4751" s="25">
        <v>0.26050000000000001</v>
      </c>
      <c r="K4751" s="25">
        <f t="shared" si="74"/>
        <v>4040.355</v>
      </c>
      <c r="L4751" s="25">
        <v>2.2999999999999998</v>
      </c>
      <c r="M4751" s="24">
        <v>35673</v>
      </c>
      <c r="N4751" s="25">
        <f>IFERROR(T_reg.root.SK[[#This Row],[Price]]/T_reg.root.SK[[#This Row],[Starch content]],"")</f>
        <v>8.8291746641074837</v>
      </c>
    </row>
    <row r="4752" spans="1:14">
      <c r="A4752" s="21">
        <v>2024</v>
      </c>
      <c r="B4752" s="21" t="s">
        <v>29</v>
      </c>
      <c r="C4752" s="21" t="s">
        <v>1145</v>
      </c>
      <c r="D4752" s="21" t="s">
        <v>35</v>
      </c>
      <c r="E4752" s="18" t="s">
        <v>133</v>
      </c>
      <c r="F4752" s="18" t="s">
        <v>105</v>
      </c>
      <c r="G4752" s="18" t="s">
        <v>48</v>
      </c>
      <c r="H4752" s="24">
        <v>42060</v>
      </c>
      <c r="I4752" s="24">
        <f>T_reg.root.SK[[#This Row],[Volume, kg]]/1000</f>
        <v>42.06</v>
      </c>
      <c r="J4752" s="25">
        <v>0.22289999999999999</v>
      </c>
      <c r="K4752" s="25">
        <f t="shared" si="74"/>
        <v>9375.1739999999991</v>
      </c>
      <c r="L4752" s="25">
        <v>2.16</v>
      </c>
      <c r="M4752" s="24">
        <v>90952.5</v>
      </c>
      <c r="N4752" s="25">
        <f>IFERROR(T_reg.root.SK[[#This Row],[Price]]/T_reg.root.SK[[#This Row],[Starch content]],"")</f>
        <v>9.690444145356663</v>
      </c>
    </row>
    <row r="4753" spans="1:14">
      <c r="A4753" s="21">
        <v>2024</v>
      </c>
      <c r="B4753" s="21" t="s">
        <v>29</v>
      </c>
      <c r="C4753" s="21" t="s">
        <v>1145</v>
      </c>
      <c r="D4753" s="21" t="s">
        <v>35</v>
      </c>
      <c r="E4753" s="18" t="s">
        <v>809</v>
      </c>
      <c r="F4753" s="18" t="s">
        <v>105</v>
      </c>
      <c r="G4753" s="18" t="s">
        <v>48</v>
      </c>
      <c r="H4753" s="24">
        <v>29770</v>
      </c>
      <c r="I4753" s="24">
        <f>T_reg.root.SK[[#This Row],[Volume, kg]]/1000</f>
        <v>29.77</v>
      </c>
      <c r="J4753" s="25">
        <v>0.26239999999999997</v>
      </c>
      <c r="K4753" s="25">
        <f t="shared" si="74"/>
        <v>7811.6479999999992</v>
      </c>
      <c r="L4753" s="25">
        <v>2.37</v>
      </c>
      <c r="M4753" s="24">
        <v>70516.5</v>
      </c>
      <c r="N4753" s="25">
        <f>IFERROR(T_reg.root.SK[[#This Row],[Price]]/T_reg.root.SK[[#This Row],[Starch content]],"")</f>
        <v>9.0320121951219523</v>
      </c>
    </row>
    <row r="4754" spans="1:14">
      <c r="A4754" s="21">
        <v>2024</v>
      </c>
      <c r="B4754" s="21" t="s">
        <v>29</v>
      </c>
      <c r="C4754" s="21" t="s">
        <v>1145</v>
      </c>
      <c r="D4754" s="21" t="s">
        <v>35</v>
      </c>
      <c r="E4754" s="18" t="s">
        <v>136</v>
      </c>
      <c r="F4754" s="18" t="s">
        <v>105</v>
      </c>
      <c r="G4754" s="18" t="s">
        <v>48</v>
      </c>
      <c r="H4754" s="24">
        <v>117390</v>
      </c>
      <c r="I4754" s="24">
        <f>T_reg.root.SK[[#This Row],[Volume, kg]]/1000</f>
        <v>117.39</v>
      </c>
      <c r="J4754" s="25">
        <v>0.25719999999999998</v>
      </c>
      <c r="K4754" s="25">
        <f t="shared" si="74"/>
        <v>30192.707999999999</v>
      </c>
      <c r="L4754" s="25">
        <v>2.31</v>
      </c>
      <c r="M4754" s="24">
        <v>270608.5</v>
      </c>
      <c r="N4754" s="25">
        <f>IFERROR(T_reg.root.SK[[#This Row],[Price]]/T_reg.root.SK[[#This Row],[Starch content]],"")</f>
        <v>8.9813374805598762</v>
      </c>
    </row>
    <row r="4755" spans="1:14">
      <c r="A4755" s="21">
        <v>2024</v>
      </c>
      <c r="B4755" s="21" t="s">
        <v>29</v>
      </c>
      <c r="C4755" s="21" t="s">
        <v>1145</v>
      </c>
      <c r="D4755" s="21" t="s">
        <v>35</v>
      </c>
      <c r="E4755" s="18" t="s">
        <v>357</v>
      </c>
      <c r="F4755" s="18" t="s">
        <v>105</v>
      </c>
      <c r="G4755" s="18" t="s">
        <v>48</v>
      </c>
      <c r="H4755" s="24">
        <v>9380</v>
      </c>
      <c r="I4755" s="24">
        <f>T_reg.root.SK[[#This Row],[Volume, kg]]/1000</f>
        <v>9.3800000000000008</v>
      </c>
      <c r="J4755" s="25">
        <v>0.23949999999999999</v>
      </c>
      <c r="K4755" s="25">
        <f t="shared" si="74"/>
        <v>2246.5099999999998</v>
      </c>
      <c r="L4755" s="25">
        <v>2.2000000000000002</v>
      </c>
      <c r="M4755" s="24">
        <v>20636</v>
      </c>
      <c r="N4755" s="25">
        <f>IFERROR(T_reg.root.SK[[#This Row],[Price]]/T_reg.root.SK[[#This Row],[Starch content]],"")</f>
        <v>9.1858037578288112</v>
      </c>
    </row>
    <row r="4756" spans="1:14">
      <c r="A4756" s="21">
        <v>2024</v>
      </c>
      <c r="B4756" s="21" t="s">
        <v>29</v>
      </c>
      <c r="C4756" s="21" t="s">
        <v>1145</v>
      </c>
      <c r="D4756" s="21" t="s">
        <v>35</v>
      </c>
      <c r="E4756" s="18" t="s">
        <v>138</v>
      </c>
      <c r="F4756" s="18" t="s">
        <v>105</v>
      </c>
      <c r="G4756" s="18" t="s">
        <v>48</v>
      </c>
      <c r="H4756" s="24">
        <v>142900</v>
      </c>
      <c r="I4756" s="24">
        <f>T_reg.root.SK[[#This Row],[Volume, kg]]/1000</f>
        <v>142.9</v>
      </c>
      <c r="J4756" s="25">
        <v>0.24809999999999999</v>
      </c>
      <c r="K4756" s="25">
        <f t="shared" si="74"/>
        <v>35453.49</v>
      </c>
      <c r="L4756" s="25">
        <v>2.2599999999999998</v>
      </c>
      <c r="M4756" s="24">
        <v>323448</v>
      </c>
      <c r="N4756" s="25">
        <f>IFERROR(T_reg.root.SK[[#This Row],[Price]]/T_reg.root.SK[[#This Row],[Starch content]],"")</f>
        <v>9.1092301491334133</v>
      </c>
    </row>
    <row r="4757" spans="1:14">
      <c r="A4757" s="21">
        <v>2024</v>
      </c>
      <c r="B4757" s="21" t="s">
        <v>29</v>
      </c>
      <c r="C4757" s="21" t="s">
        <v>1145</v>
      </c>
      <c r="D4757" s="21" t="s">
        <v>35</v>
      </c>
      <c r="E4757" s="18" t="s">
        <v>719</v>
      </c>
      <c r="F4757" s="18" t="s">
        <v>105</v>
      </c>
      <c r="G4757" s="18" t="s">
        <v>48</v>
      </c>
      <c r="H4757" s="24">
        <v>8010</v>
      </c>
      <c r="I4757" s="24">
        <f>T_reg.root.SK[[#This Row],[Volume, kg]]/1000</f>
        <v>8.01</v>
      </c>
      <c r="J4757" s="25">
        <v>0.30399999999999999</v>
      </c>
      <c r="K4757" s="25">
        <f t="shared" si="74"/>
        <v>2435.04</v>
      </c>
      <c r="L4757" s="25">
        <v>2.65</v>
      </c>
      <c r="M4757" s="24">
        <v>21226.5</v>
      </c>
      <c r="N4757" s="25">
        <f>IFERROR(T_reg.root.SK[[#This Row],[Price]]/T_reg.root.SK[[#This Row],[Starch content]],"")</f>
        <v>8.7171052631578938</v>
      </c>
    </row>
    <row r="4758" spans="1:14">
      <c r="A4758" s="21">
        <v>2024</v>
      </c>
      <c r="B4758" s="21" t="s">
        <v>29</v>
      </c>
      <c r="C4758" s="21" t="s">
        <v>1145</v>
      </c>
      <c r="D4758" s="21" t="s">
        <v>35</v>
      </c>
      <c r="E4758" s="18" t="s">
        <v>243</v>
      </c>
      <c r="F4758" s="18" t="s">
        <v>105</v>
      </c>
      <c r="G4758" s="18" t="s">
        <v>48</v>
      </c>
      <c r="H4758" s="24">
        <v>20520</v>
      </c>
      <c r="I4758" s="24">
        <f>T_reg.root.SK[[#This Row],[Volume, kg]]/1000</f>
        <v>20.52</v>
      </c>
      <c r="J4758" s="25">
        <v>0.25619999999999998</v>
      </c>
      <c r="K4758" s="25">
        <f t="shared" si="74"/>
        <v>5257.2239999999993</v>
      </c>
      <c r="L4758" s="25">
        <v>2.2799999999999998</v>
      </c>
      <c r="M4758" s="24">
        <v>46690</v>
      </c>
      <c r="N4758" s="25">
        <f>IFERROR(T_reg.root.SK[[#This Row],[Price]]/T_reg.root.SK[[#This Row],[Starch content]],"")</f>
        <v>8.899297423887587</v>
      </c>
    </row>
    <row r="4759" spans="1:14">
      <c r="A4759" s="21">
        <v>2024</v>
      </c>
      <c r="B4759" s="21" t="s">
        <v>29</v>
      </c>
      <c r="C4759" s="21" t="s">
        <v>1145</v>
      </c>
      <c r="D4759" s="21" t="s">
        <v>35</v>
      </c>
      <c r="E4759" s="18" t="s">
        <v>244</v>
      </c>
      <c r="F4759" s="18" t="s">
        <v>105</v>
      </c>
      <c r="G4759" s="18" t="s">
        <v>48</v>
      </c>
      <c r="H4759" s="24">
        <v>154500</v>
      </c>
      <c r="I4759" s="24">
        <f>T_reg.root.SK[[#This Row],[Volume, kg]]/1000</f>
        <v>154.5</v>
      </c>
      <c r="J4759" s="25">
        <v>0.23730000000000001</v>
      </c>
      <c r="K4759" s="25">
        <f t="shared" si="74"/>
        <v>36662.85</v>
      </c>
      <c r="L4759" s="25">
        <v>2.2400000000000002</v>
      </c>
      <c r="M4759" s="24">
        <v>345996.5</v>
      </c>
      <c r="N4759" s="25">
        <f>IFERROR(T_reg.root.SK[[#This Row],[Price]]/T_reg.root.SK[[#This Row],[Starch content]],"")</f>
        <v>9.4395280235988199</v>
      </c>
    </row>
    <row r="4760" spans="1:14">
      <c r="A4760" s="21">
        <v>2024</v>
      </c>
      <c r="B4760" s="21" t="s">
        <v>29</v>
      </c>
      <c r="C4760" s="21" t="s">
        <v>1145</v>
      </c>
      <c r="D4760" s="21" t="s">
        <v>35</v>
      </c>
      <c r="E4760" s="18" t="s">
        <v>637</v>
      </c>
      <c r="F4760" s="18" t="s">
        <v>105</v>
      </c>
      <c r="G4760" s="18" t="s">
        <v>48</v>
      </c>
      <c r="H4760" s="24">
        <v>28750</v>
      </c>
      <c r="I4760" s="24">
        <f>T_reg.root.SK[[#This Row],[Volume, kg]]/1000</f>
        <v>28.75</v>
      </c>
      <c r="J4760" s="25">
        <v>0.27</v>
      </c>
      <c r="K4760" s="25">
        <f t="shared" si="74"/>
        <v>7762.5000000000009</v>
      </c>
      <c r="L4760" s="25">
        <v>2.4500000000000002</v>
      </c>
      <c r="M4760" s="24">
        <v>70356</v>
      </c>
      <c r="N4760" s="25">
        <f>IFERROR(T_reg.root.SK[[#This Row],[Price]]/T_reg.root.SK[[#This Row],[Starch content]],"")</f>
        <v>9.0740740740740744</v>
      </c>
    </row>
    <row r="4761" spans="1:14">
      <c r="A4761" s="21">
        <v>2024</v>
      </c>
      <c r="B4761" s="21" t="s">
        <v>29</v>
      </c>
      <c r="C4761" s="21" t="s">
        <v>1145</v>
      </c>
      <c r="D4761" s="21" t="s">
        <v>35</v>
      </c>
      <c r="E4761" s="18" t="s">
        <v>245</v>
      </c>
      <c r="F4761" s="18" t="s">
        <v>105</v>
      </c>
      <c r="G4761" s="18" t="s">
        <v>48</v>
      </c>
      <c r="H4761" s="24">
        <v>39930</v>
      </c>
      <c r="I4761" s="24">
        <f>T_reg.root.SK[[#This Row],[Volume, kg]]/1000</f>
        <v>39.93</v>
      </c>
      <c r="J4761" s="25">
        <v>0.24679999999999999</v>
      </c>
      <c r="K4761" s="25">
        <f t="shared" si="74"/>
        <v>9854.7240000000002</v>
      </c>
      <c r="L4761" s="25">
        <v>2.33</v>
      </c>
      <c r="M4761" s="24">
        <v>92872.5</v>
      </c>
      <c r="N4761" s="25">
        <f>IFERROR(T_reg.root.SK[[#This Row],[Price]]/T_reg.root.SK[[#This Row],[Starch content]],"")</f>
        <v>9.4408427876823353</v>
      </c>
    </row>
    <row r="4762" spans="1:14">
      <c r="A4762" s="21">
        <v>2024</v>
      </c>
      <c r="B4762" s="21" t="s">
        <v>29</v>
      </c>
      <c r="C4762" s="21" t="s">
        <v>1145</v>
      </c>
      <c r="D4762" s="21" t="s">
        <v>35</v>
      </c>
      <c r="E4762" s="18" t="s">
        <v>309</v>
      </c>
      <c r="F4762" s="18" t="s">
        <v>105</v>
      </c>
      <c r="G4762" s="18" t="s">
        <v>48</v>
      </c>
      <c r="H4762" s="24">
        <v>46350</v>
      </c>
      <c r="I4762" s="24">
        <f>T_reg.root.SK[[#This Row],[Volume, kg]]/1000</f>
        <v>46.35</v>
      </c>
      <c r="J4762" s="25">
        <v>0.26780000000000004</v>
      </c>
      <c r="K4762" s="25">
        <f t="shared" si="74"/>
        <v>12412.530000000002</v>
      </c>
      <c r="L4762" s="25">
        <v>2.34</v>
      </c>
      <c r="M4762" s="24">
        <v>108475</v>
      </c>
      <c r="N4762" s="25">
        <f>IFERROR(T_reg.root.SK[[#This Row],[Price]]/T_reg.root.SK[[#This Row],[Starch content]],"")</f>
        <v>8.7378640776699008</v>
      </c>
    </row>
    <row r="4763" spans="1:14">
      <c r="A4763" s="21">
        <v>2024</v>
      </c>
      <c r="B4763" s="21" t="s">
        <v>29</v>
      </c>
      <c r="C4763" s="21" t="s">
        <v>1145</v>
      </c>
      <c r="D4763" s="21" t="s">
        <v>35</v>
      </c>
      <c r="E4763" s="18" t="s">
        <v>405</v>
      </c>
      <c r="F4763" s="18" t="s">
        <v>105</v>
      </c>
      <c r="G4763" s="18" t="s">
        <v>48</v>
      </c>
      <c r="H4763" s="24">
        <v>27680</v>
      </c>
      <c r="I4763" s="24">
        <f>T_reg.root.SK[[#This Row],[Volume, kg]]/1000</f>
        <v>27.68</v>
      </c>
      <c r="J4763" s="25">
        <v>0.26550000000000001</v>
      </c>
      <c r="K4763" s="25">
        <f t="shared" si="74"/>
        <v>7349.04</v>
      </c>
      <c r="L4763" s="25">
        <v>2.31</v>
      </c>
      <c r="M4763" s="24">
        <v>64075</v>
      </c>
      <c r="N4763" s="25">
        <f>IFERROR(T_reg.root.SK[[#This Row],[Price]]/T_reg.root.SK[[#This Row],[Starch content]],"")</f>
        <v>8.7005649717514117</v>
      </c>
    </row>
    <row r="4764" spans="1:14">
      <c r="A4764" s="21">
        <v>2024</v>
      </c>
      <c r="B4764" s="21" t="s">
        <v>29</v>
      </c>
      <c r="C4764" s="21" t="s">
        <v>1145</v>
      </c>
      <c r="D4764" s="21" t="s">
        <v>35</v>
      </c>
      <c r="E4764" s="18" t="s">
        <v>967</v>
      </c>
      <c r="F4764" s="18" t="s">
        <v>105</v>
      </c>
      <c r="G4764" s="18" t="s">
        <v>48</v>
      </c>
      <c r="H4764" s="24">
        <v>5170</v>
      </c>
      <c r="I4764" s="24">
        <f>T_reg.root.SK[[#This Row],[Volume, kg]]/1000</f>
        <v>5.17</v>
      </c>
      <c r="J4764" s="25">
        <v>0.26600000000000001</v>
      </c>
      <c r="K4764" s="25">
        <f t="shared" si="74"/>
        <v>1375.22</v>
      </c>
      <c r="L4764" s="25">
        <v>2.4</v>
      </c>
      <c r="M4764" s="24">
        <v>12408</v>
      </c>
      <c r="N4764" s="25">
        <f>IFERROR(T_reg.root.SK[[#This Row],[Price]]/T_reg.root.SK[[#This Row],[Starch content]],"")</f>
        <v>9.0225563909774422</v>
      </c>
    </row>
    <row r="4765" spans="1:14">
      <c r="A4765" s="21">
        <v>2024</v>
      </c>
      <c r="B4765" s="21" t="s">
        <v>29</v>
      </c>
      <c r="C4765" s="21" t="s">
        <v>1145</v>
      </c>
      <c r="D4765" s="21" t="s">
        <v>35</v>
      </c>
      <c r="E4765" s="18" t="s">
        <v>738</v>
      </c>
      <c r="F4765" s="18" t="s">
        <v>105</v>
      </c>
      <c r="G4765" s="18" t="s">
        <v>48</v>
      </c>
      <c r="H4765" s="24">
        <v>7920</v>
      </c>
      <c r="I4765" s="24">
        <f>T_reg.root.SK[[#This Row],[Volume, kg]]/1000</f>
        <v>7.92</v>
      </c>
      <c r="J4765" s="25">
        <v>0.24199999999999999</v>
      </c>
      <c r="K4765" s="25">
        <f t="shared" si="74"/>
        <v>1916.6399999999999</v>
      </c>
      <c r="L4765" s="25">
        <v>2.25</v>
      </c>
      <c r="M4765" s="24">
        <v>17820</v>
      </c>
      <c r="N4765" s="25">
        <f>IFERROR(T_reg.root.SK[[#This Row],[Price]]/T_reg.root.SK[[#This Row],[Starch content]],"")</f>
        <v>9.2975206611570247</v>
      </c>
    </row>
    <row r="4766" spans="1:14">
      <c r="A4766" s="21">
        <v>2024</v>
      </c>
      <c r="B4766" s="21" t="s">
        <v>29</v>
      </c>
      <c r="C4766" s="21" t="s">
        <v>1145</v>
      </c>
      <c r="D4766" s="21" t="s">
        <v>35</v>
      </c>
      <c r="E4766" s="18" t="s">
        <v>933</v>
      </c>
      <c r="F4766" s="18" t="s">
        <v>105</v>
      </c>
      <c r="G4766" s="18" t="s">
        <v>48</v>
      </c>
      <c r="H4766" s="24">
        <v>16430</v>
      </c>
      <c r="I4766" s="24">
        <f>T_reg.root.SK[[#This Row],[Volume, kg]]/1000</f>
        <v>16.43</v>
      </c>
      <c r="J4766" s="25">
        <v>0.23420000000000002</v>
      </c>
      <c r="K4766" s="25">
        <f t="shared" si="74"/>
        <v>3847.9060000000004</v>
      </c>
      <c r="L4766" s="25">
        <v>2.16</v>
      </c>
      <c r="M4766" s="24">
        <v>35529</v>
      </c>
      <c r="N4766" s="25">
        <f>IFERROR(T_reg.root.SK[[#This Row],[Price]]/T_reg.root.SK[[#This Row],[Starch content]],"")</f>
        <v>9.2228864218616557</v>
      </c>
    </row>
    <row r="4767" spans="1:14">
      <c r="A4767" s="21">
        <v>2024</v>
      </c>
      <c r="B4767" s="21" t="s">
        <v>29</v>
      </c>
      <c r="C4767" s="21" t="s">
        <v>1145</v>
      </c>
      <c r="D4767" s="21" t="s">
        <v>35</v>
      </c>
      <c r="E4767" s="18" t="s">
        <v>497</v>
      </c>
      <c r="F4767" s="18" t="s">
        <v>105</v>
      </c>
      <c r="G4767" s="18" t="s">
        <v>48</v>
      </c>
      <c r="H4767" s="24">
        <v>20860</v>
      </c>
      <c r="I4767" s="24">
        <f>T_reg.root.SK[[#This Row],[Volume, kg]]/1000</f>
        <v>20.86</v>
      </c>
      <c r="J4767" s="25">
        <v>0.24530000000000002</v>
      </c>
      <c r="K4767" s="25">
        <f t="shared" si="74"/>
        <v>5116.9580000000005</v>
      </c>
      <c r="L4767" s="25">
        <v>2.2999999999999998</v>
      </c>
      <c r="M4767" s="24">
        <v>47978</v>
      </c>
      <c r="N4767" s="25">
        <f>IFERROR(T_reg.root.SK[[#This Row],[Price]]/T_reg.root.SK[[#This Row],[Starch content]],"")</f>
        <v>9.3762739502649808</v>
      </c>
    </row>
    <row r="4768" spans="1:14">
      <c r="A4768" s="21">
        <v>2024</v>
      </c>
      <c r="B4768" s="21" t="s">
        <v>29</v>
      </c>
      <c r="C4768" s="21" t="s">
        <v>1145</v>
      </c>
      <c r="D4768" s="21" t="s">
        <v>35</v>
      </c>
      <c r="E4768" s="18" t="s">
        <v>310</v>
      </c>
      <c r="F4768" s="18" t="s">
        <v>105</v>
      </c>
      <c r="G4768" s="18" t="s">
        <v>48</v>
      </c>
      <c r="H4768" s="24">
        <v>36160</v>
      </c>
      <c r="I4768" s="24">
        <f>T_reg.root.SK[[#This Row],[Volume, kg]]/1000</f>
        <v>36.159999999999997</v>
      </c>
      <c r="J4768" s="25">
        <v>0.29270000000000002</v>
      </c>
      <c r="K4768" s="25">
        <f t="shared" si="74"/>
        <v>10584.032000000001</v>
      </c>
      <c r="L4768" s="25">
        <v>2.46</v>
      </c>
      <c r="M4768" s="24">
        <v>88983.5</v>
      </c>
      <c r="N4768" s="25">
        <f>IFERROR(T_reg.root.SK[[#This Row],[Price]]/T_reg.root.SK[[#This Row],[Starch content]],"")</f>
        <v>8.4045097369320114</v>
      </c>
    </row>
    <row r="4769" spans="1:14">
      <c r="A4769" s="21">
        <v>2024</v>
      </c>
      <c r="B4769" s="21" t="s">
        <v>29</v>
      </c>
      <c r="C4769" s="21" t="s">
        <v>1145</v>
      </c>
      <c r="D4769" s="21" t="s">
        <v>35</v>
      </c>
      <c r="E4769" s="18" t="s">
        <v>247</v>
      </c>
      <c r="F4769" s="18" t="s">
        <v>105</v>
      </c>
      <c r="G4769" s="18" t="s">
        <v>48</v>
      </c>
      <c r="H4769" s="24">
        <v>63360</v>
      </c>
      <c r="I4769" s="24">
        <f>T_reg.root.SK[[#This Row],[Volume, kg]]/1000</f>
        <v>63.36</v>
      </c>
      <c r="J4769" s="25">
        <v>0.27560000000000001</v>
      </c>
      <c r="K4769" s="25">
        <f t="shared" si="74"/>
        <v>17462.016</v>
      </c>
      <c r="L4769" s="25">
        <v>2.44</v>
      </c>
      <c r="M4769" s="24">
        <v>154344</v>
      </c>
      <c r="N4769" s="25">
        <f>IFERROR(T_reg.root.SK[[#This Row],[Price]]/T_reg.root.SK[[#This Row],[Starch content]],"")</f>
        <v>8.8534107402031932</v>
      </c>
    </row>
    <row r="4770" spans="1:14">
      <c r="A4770" s="21">
        <v>2024</v>
      </c>
      <c r="B4770" s="21" t="s">
        <v>29</v>
      </c>
      <c r="C4770" s="21" t="s">
        <v>1145</v>
      </c>
      <c r="D4770" s="21" t="s">
        <v>35</v>
      </c>
      <c r="E4770" s="18" t="s">
        <v>142</v>
      </c>
      <c r="F4770" s="18" t="s">
        <v>105</v>
      </c>
      <c r="G4770" s="18" t="s">
        <v>48</v>
      </c>
      <c r="H4770" s="24">
        <v>25930</v>
      </c>
      <c r="I4770" s="24">
        <f>T_reg.root.SK[[#This Row],[Volume, kg]]/1000</f>
        <v>25.93</v>
      </c>
      <c r="J4770" s="25">
        <v>0.26440000000000002</v>
      </c>
      <c r="K4770" s="25">
        <f t="shared" si="74"/>
        <v>6855.8920000000007</v>
      </c>
      <c r="L4770" s="25">
        <v>2.35</v>
      </c>
      <c r="M4770" s="24">
        <v>60854</v>
      </c>
      <c r="N4770" s="25">
        <f>IFERROR(T_reg.root.SK[[#This Row],[Price]]/T_reg.root.SK[[#This Row],[Starch content]],"")</f>
        <v>8.8880484114977296</v>
      </c>
    </row>
    <row r="4771" spans="1:14">
      <c r="A4771" s="21">
        <v>2024</v>
      </c>
      <c r="B4771" s="21" t="s">
        <v>29</v>
      </c>
      <c r="C4771" s="21" t="s">
        <v>1145</v>
      </c>
      <c r="D4771" s="21" t="s">
        <v>35</v>
      </c>
      <c r="E4771" s="18" t="s">
        <v>143</v>
      </c>
      <c r="F4771" s="18" t="s">
        <v>105</v>
      </c>
      <c r="G4771" s="18" t="s">
        <v>48</v>
      </c>
      <c r="H4771" s="24">
        <v>9740</v>
      </c>
      <c r="I4771" s="24">
        <f>T_reg.root.SK[[#This Row],[Volume, kg]]/1000</f>
        <v>9.74</v>
      </c>
      <c r="J4771" s="25">
        <v>0.26550000000000001</v>
      </c>
      <c r="K4771" s="25">
        <f t="shared" si="74"/>
        <v>2585.9700000000003</v>
      </c>
      <c r="L4771" s="25">
        <v>2.35</v>
      </c>
      <c r="M4771" s="24">
        <v>22889</v>
      </c>
      <c r="N4771" s="25">
        <f>IFERROR(T_reg.root.SK[[#This Row],[Price]]/T_reg.root.SK[[#This Row],[Starch content]],"")</f>
        <v>8.8512241054613927</v>
      </c>
    </row>
    <row r="4772" spans="1:14">
      <c r="A4772" s="21">
        <v>2024</v>
      </c>
      <c r="B4772" s="21" t="s">
        <v>29</v>
      </c>
      <c r="C4772" s="21" t="s">
        <v>1145</v>
      </c>
      <c r="D4772" s="21" t="s">
        <v>35</v>
      </c>
      <c r="E4772" s="18" t="s">
        <v>311</v>
      </c>
      <c r="F4772" s="18" t="s">
        <v>105</v>
      </c>
      <c r="G4772" s="18" t="s">
        <v>48</v>
      </c>
      <c r="H4772" s="24">
        <v>16490</v>
      </c>
      <c r="I4772" s="24">
        <f>T_reg.root.SK[[#This Row],[Volume, kg]]/1000</f>
        <v>16.489999999999998</v>
      </c>
      <c r="J4772" s="25">
        <v>0.24260000000000001</v>
      </c>
      <c r="K4772" s="25">
        <f t="shared" si="74"/>
        <v>4000.4740000000002</v>
      </c>
      <c r="L4772" s="25">
        <v>2.31</v>
      </c>
      <c r="M4772" s="24">
        <v>38118</v>
      </c>
      <c r="N4772" s="25">
        <f>IFERROR(T_reg.root.SK[[#This Row],[Price]]/T_reg.root.SK[[#This Row],[Starch content]],"")</f>
        <v>9.5218466611706507</v>
      </c>
    </row>
    <row r="4773" spans="1:14">
      <c r="A4773" s="21">
        <v>2024</v>
      </c>
      <c r="B4773" s="21" t="s">
        <v>29</v>
      </c>
      <c r="C4773" s="21" t="s">
        <v>1145</v>
      </c>
      <c r="D4773" s="21" t="s">
        <v>35</v>
      </c>
      <c r="E4773" s="18" t="s">
        <v>144</v>
      </c>
      <c r="F4773" s="18" t="s">
        <v>105</v>
      </c>
      <c r="G4773" s="18" t="s">
        <v>48</v>
      </c>
      <c r="H4773" s="24">
        <v>58330</v>
      </c>
      <c r="I4773" s="24">
        <f>T_reg.root.SK[[#This Row],[Volume, kg]]/1000</f>
        <v>58.33</v>
      </c>
      <c r="J4773" s="25">
        <v>0.25009999999999999</v>
      </c>
      <c r="K4773" s="25">
        <f t="shared" si="74"/>
        <v>14588.332999999999</v>
      </c>
      <c r="L4773" s="25">
        <v>2.33</v>
      </c>
      <c r="M4773" s="24">
        <v>135750.5</v>
      </c>
      <c r="N4773" s="25">
        <f>IFERROR(T_reg.root.SK[[#This Row],[Price]]/T_reg.root.SK[[#This Row],[Starch content]],"")</f>
        <v>9.3162734906037592</v>
      </c>
    </row>
    <row r="4774" spans="1:14">
      <c r="A4774" s="21">
        <v>2024</v>
      </c>
      <c r="B4774" s="21" t="s">
        <v>29</v>
      </c>
      <c r="C4774" s="21" t="s">
        <v>1145</v>
      </c>
      <c r="D4774" s="21" t="s">
        <v>35</v>
      </c>
      <c r="E4774" s="18" t="s">
        <v>146</v>
      </c>
      <c r="F4774" s="18" t="s">
        <v>105</v>
      </c>
      <c r="G4774" s="18" t="s">
        <v>48</v>
      </c>
      <c r="H4774" s="24">
        <v>27800</v>
      </c>
      <c r="I4774" s="24">
        <f>T_reg.root.SK[[#This Row],[Volume, kg]]/1000</f>
        <v>27.8</v>
      </c>
      <c r="J4774" s="25">
        <v>0.25079999999999997</v>
      </c>
      <c r="K4774" s="25">
        <f t="shared" si="74"/>
        <v>6972.2399999999989</v>
      </c>
      <c r="L4774" s="25">
        <v>2.2999999999999998</v>
      </c>
      <c r="M4774" s="24">
        <v>64024</v>
      </c>
      <c r="N4774" s="25">
        <f>IFERROR(T_reg.root.SK[[#This Row],[Price]]/T_reg.root.SK[[#This Row],[Starch content]],"")</f>
        <v>9.1706539074960141</v>
      </c>
    </row>
    <row r="4775" spans="1:14">
      <c r="A4775" s="21">
        <v>2024</v>
      </c>
      <c r="B4775" s="21" t="s">
        <v>29</v>
      </c>
      <c r="C4775" s="21" t="s">
        <v>1145</v>
      </c>
      <c r="D4775" s="21" t="s">
        <v>35</v>
      </c>
      <c r="E4775" s="18" t="s">
        <v>569</v>
      </c>
      <c r="F4775" s="18" t="s">
        <v>105</v>
      </c>
      <c r="G4775" s="18" t="s">
        <v>48</v>
      </c>
      <c r="H4775" s="24">
        <v>16000</v>
      </c>
      <c r="I4775" s="24">
        <f>T_reg.root.SK[[#This Row],[Volume, kg]]/1000</f>
        <v>16</v>
      </c>
      <c r="J4775" s="25">
        <v>0.22219999999999998</v>
      </c>
      <c r="K4775" s="25">
        <f t="shared" si="74"/>
        <v>3555.2</v>
      </c>
      <c r="L4775" s="25">
        <v>2.1800000000000002</v>
      </c>
      <c r="M4775" s="24">
        <v>34869</v>
      </c>
      <c r="N4775" s="25">
        <f>IFERROR(T_reg.root.SK[[#This Row],[Price]]/T_reg.root.SK[[#This Row],[Starch content]],"")</f>
        <v>9.8109810981098118</v>
      </c>
    </row>
    <row r="4776" spans="1:14">
      <c r="A4776" s="21">
        <v>2024</v>
      </c>
      <c r="B4776" s="21" t="s">
        <v>29</v>
      </c>
      <c r="C4776" s="21" t="s">
        <v>1145</v>
      </c>
      <c r="D4776" s="21" t="s">
        <v>35</v>
      </c>
      <c r="E4776" s="18" t="s">
        <v>147</v>
      </c>
      <c r="F4776" s="18" t="s">
        <v>105</v>
      </c>
      <c r="G4776" s="18" t="s">
        <v>48</v>
      </c>
      <c r="H4776" s="24">
        <v>10520</v>
      </c>
      <c r="I4776" s="24">
        <f>T_reg.root.SK[[#This Row],[Volume, kg]]/1000</f>
        <v>10.52</v>
      </c>
      <c r="J4776" s="25">
        <v>0.24050000000000002</v>
      </c>
      <c r="K4776" s="25">
        <f t="shared" si="74"/>
        <v>2530.0600000000004</v>
      </c>
      <c r="L4776" s="25">
        <v>2.35</v>
      </c>
      <c r="M4776" s="24">
        <v>24722</v>
      </c>
      <c r="N4776" s="25">
        <f>IFERROR(T_reg.root.SK[[#This Row],[Price]]/T_reg.root.SK[[#This Row],[Starch content]],"")</f>
        <v>9.7713097713097703</v>
      </c>
    </row>
    <row r="4777" spans="1:14">
      <c r="A4777" s="21">
        <v>2024</v>
      </c>
      <c r="B4777" s="21" t="s">
        <v>29</v>
      </c>
      <c r="C4777" s="21" t="s">
        <v>1145</v>
      </c>
      <c r="D4777" s="21" t="s">
        <v>35</v>
      </c>
      <c r="E4777" s="18" t="s">
        <v>363</v>
      </c>
      <c r="F4777" s="18" t="s">
        <v>105</v>
      </c>
      <c r="G4777" s="18" t="s">
        <v>48</v>
      </c>
      <c r="H4777" s="24">
        <v>21810</v>
      </c>
      <c r="I4777" s="24">
        <f>T_reg.root.SK[[#This Row],[Volume, kg]]/1000</f>
        <v>21.81</v>
      </c>
      <c r="J4777" s="25">
        <v>0.2419</v>
      </c>
      <c r="K4777" s="25">
        <f t="shared" si="74"/>
        <v>5275.8389999999999</v>
      </c>
      <c r="L4777" s="25">
        <v>2.27</v>
      </c>
      <c r="M4777" s="24">
        <v>49480</v>
      </c>
      <c r="N4777" s="25">
        <f>IFERROR(T_reg.root.SK[[#This Row],[Price]]/T_reg.root.SK[[#This Row],[Starch content]],"")</f>
        <v>9.3840429929723026</v>
      </c>
    </row>
    <row r="4778" spans="1:14">
      <c r="A4778" s="21">
        <v>2024</v>
      </c>
      <c r="B4778" s="21" t="s">
        <v>29</v>
      </c>
      <c r="C4778" s="21" t="s">
        <v>1145</v>
      </c>
      <c r="D4778" s="21" t="s">
        <v>35</v>
      </c>
      <c r="E4778" s="18" t="s">
        <v>148</v>
      </c>
      <c r="F4778" s="18" t="s">
        <v>105</v>
      </c>
      <c r="G4778" s="18" t="s">
        <v>48</v>
      </c>
      <c r="H4778" s="24">
        <v>9330</v>
      </c>
      <c r="I4778" s="24">
        <f>T_reg.root.SK[[#This Row],[Volume, kg]]/1000</f>
        <v>9.33</v>
      </c>
      <c r="J4778" s="25">
        <v>0.23350000000000001</v>
      </c>
      <c r="K4778" s="25">
        <f t="shared" si="74"/>
        <v>2178.5550000000003</v>
      </c>
      <c r="L4778" s="25">
        <v>2.15</v>
      </c>
      <c r="M4778" s="24">
        <v>20059.5</v>
      </c>
      <c r="N4778" s="25">
        <f>IFERROR(T_reg.root.SK[[#This Row],[Price]]/T_reg.root.SK[[#This Row],[Starch content]],"")</f>
        <v>9.2077087794432533</v>
      </c>
    </row>
    <row r="4779" spans="1:14">
      <c r="A4779" s="21">
        <v>2024</v>
      </c>
      <c r="B4779" s="21" t="s">
        <v>29</v>
      </c>
      <c r="C4779" s="21" t="s">
        <v>1145</v>
      </c>
      <c r="D4779" s="21" t="s">
        <v>35</v>
      </c>
      <c r="E4779" s="18" t="s">
        <v>314</v>
      </c>
      <c r="F4779" s="18" t="s">
        <v>105</v>
      </c>
      <c r="G4779" s="18" t="s">
        <v>48</v>
      </c>
      <c r="H4779" s="24">
        <v>67430</v>
      </c>
      <c r="I4779" s="24">
        <f>T_reg.root.SK[[#This Row],[Volume, kg]]/1000</f>
        <v>67.430000000000007</v>
      </c>
      <c r="J4779" s="25">
        <v>0.28800000000000003</v>
      </c>
      <c r="K4779" s="25">
        <f t="shared" si="74"/>
        <v>19419.840000000004</v>
      </c>
      <c r="L4779" s="25">
        <v>2.44</v>
      </c>
      <c r="M4779" s="24">
        <v>164767.5</v>
      </c>
      <c r="N4779" s="25">
        <f>IFERROR(T_reg.root.SK[[#This Row],[Price]]/T_reg.root.SK[[#This Row],[Starch content]],"")</f>
        <v>8.4722222222222214</v>
      </c>
    </row>
    <row r="4780" spans="1:14">
      <c r="A4780" s="21">
        <v>2024</v>
      </c>
      <c r="B4780" s="21" t="s">
        <v>29</v>
      </c>
      <c r="C4780" s="21" t="s">
        <v>1145</v>
      </c>
      <c r="D4780" s="21" t="s">
        <v>35</v>
      </c>
      <c r="E4780" s="18" t="s">
        <v>150</v>
      </c>
      <c r="F4780" s="18" t="s">
        <v>105</v>
      </c>
      <c r="G4780" s="18" t="s">
        <v>48</v>
      </c>
      <c r="H4780" s="24">
        <v>15360</v>
      </c>
      <c r="I4780" s="24">
        <f>T_reg.root.SK[[#This Row],[Volume, kg]]/1000</f>
        <v>15.36</v>
      </c>
      <c r="J4780" s="25">
        <v>0.24079999999999999</v>
      </c>
      <c r="K4780" s="25">
        <f t="shared" si="74"/>
        <v>3698.6879999999996</v>
      </c>
      <c r="L4780" s="25">
        <v>2.2000000000000002</v>
      </c>
      <c r="M4780" s="24">
        <v>33792</v>
      </c>
      <c r="N4780" s="25">
        <f>IFERROR(T_reg.root.SK[[#This Row],[Price]]/T_reg.root.SK[[#This Row],[Starch content]],"")</f>
        <v>9.1362126245847186</v>
      </c>
    </row>
    <row r="4781" spans="1:14">
      <c r="A4781" s="21">
        <v>2024</v>
      </c>
      <c r="B4781" s="21" t="s">
        <v>29</v>
      </c>
      <c r="C4781" s="21" t="s">
        <v>1145</v>
      </c>
      <c r="D4781" s="21" t="s">
        <v>35</v>
      </c>
      <c r="E4781" s="18" t="s">
        <v>151</v>
      </c>
      <c r="F4781" s="18" t="s">
        <v>105</v>
      </c>
      <c r="G4781" s="18" t="s">
        <v>48</v>
      </c>
      <c r="H4781" s="24">
        <v>145280</v>
      </c>
      <c r="I4781" s="24">
        <f>T_reg.root.SK[[#This Row],[Volume, kg]]/1000</f>
        <v>145.28</v>
      </c>
      <c r="J4781" s="25">
        <v>0.26100000000000001</v>
      </c>
      <c r="K4781" s="25">
        <f t="shared" si="74"/>
        <v>37918.080000000002</v>
      </c>
      <c r="L4781" s="25">
        <v>2.35</v>
      </c>
      <c r="M4781" s="24">
        <v>341685.5</v>
      </c>
      <c r="N4781" s="25">
        <f>IFERROR(T_reg.root.SK[[#This Row],[Price]]/T_reg.root.SK[[#This Row],[Starch content]],"")</f>
        <v>9.0038314176245215</v>
      </c>
    </row>
    <row r="4782" spans="1:14">
      <c r="A4782" s="21">
        <v>2024</v>
      </c>
      <c r="B4782" s="21" t="s">
        <v>29</v>
      </c>
      <c r="C4782" s="21" t="s">
        <v>1145</v>
      </c>
      <c r="D4782" s="21" t="s">
        <v>35</v>
      </c>
      <c r="E4782" s="18" t="s">
        <v>316</v>
      </c>
      <c r="F4782" s="18" t="s">
        <v>105</v>
      </c>
      <c r="G4782" s="18" t="s">
        <v>48</v>
      </c>
      <c r="H4782" s="24">
        <v>9340</v>
      </c>
      <c r="I4782" s="24">
        <f>T_reg.root.SK[[#This Row],[Volume, kg]]/1000</f>
        <v>9.34</v>
      </c>
      <c r="J4782" s="25">
        <v>0.27899999999999997</v>
      </c>
      <c r="K4782" s="25">
        <f t="shared" si="74"/>
        <v>2605.8599999999997</v>
      </c>
      <c r="L4782" s="25">
        <v>2.4</v>
      </c>
      <c r="M4782" s="24">
        <v>22416</v>
      </c>
      <c r="N4782" s="25">
        <f>IFERROR(T_reg.root.SK[[#This Row],[Price]]/T_reg.root.SK[[#This Row],[Starch content]],"")</f>
        <v>8.6021505376344098</v>
      </c>
    </row>
    <row r="4783" spans="1:14">
      <c r="A4783" s="21">
        <v>2024</v>
      </c>
      <c r="B4783" s="21" t="s">
        <v>29</v>
      </c>
      <c r="C4783" s="21" t="s">
        <v>1145</v>
      </c>
      <c r="D4783" s="21" t="s">
        <v>35</v>
      </c>
      <c r="E4783" s="18" t="s">
        <v>953</v>
      </c>
      <c r="F4783" s="18" t="s">
        <v>105</v>
      </c>
      <c r="G4783" s="18" t="s">
        <v>48</v>
      </c>
      <c r="H4783" s="24">
        <v>13900</v>
      </c>
      <c r="I4783" s="24">
        <f>T_reg.root.SK[[#This Row],[Volume, kg]]/1000</f>
        <v>13.9</v>
      </c>
      <c r="J4783" s="25">
        <v>0.26250000000000001</v>
      </c>
      <c r="K4783" s="25">
        <f t="shared" si="74"/>
        <v>3648.75</v>
      </c>
      <c r="L4783" s="25">
        <v>2.2999999999999998</v>
      </c>
      <c r="M4783" s="24">
        <v>31970</v>
      </c>
      <c r="N4783" s="25">
        <f>IFERROR(T_reg.root.SK[[#This Row],[Price]]/T_reg.root.SK[[#This Row],[Starch content]],"")</f>
        <v>8.761904761904761</v>
      </c>
    </row>
    <row r="4784" spans="1:14">
      <c r="A4784" s="21">
        <v>2024</v>
      </c>
      <c r="B4784" s="21" t="s">
        <v>29</v>
      </c>
      <c r="C4784" s="21" t="s">
        <v>1145</v>
      </c>
      <c r="D4784" s="21" t="s">
        <v>35</v>
      </c>
      <c r="E4784" s="18" t="s">
        <v>159</v>
      </c>
      <c r="F4784" s="18" t="s">
        <v>105</v>
      </c>
      <c r="G4784" s="18" t="s">
        <v>48</v>
      </c>
      <c r="H4784" s="24">
        <v>458360</v>
      </c>
      <c r="I4784" s="24">
        <f>T_reg.root.SK[[#This Row],[Volume, kg]]/1000</f>
        <v>458.36</v>
      </c>
      <c r="J4784" s="25">
        <v>0.24760000000000001</v>
      </c>
      <c r="K4784" s="25">
        <f t="shared" si="74"/>
        <v>113489.936</v>
      </c>
      <c r="L4784" s="25">
        <v>2.27</v>
      </c>
      <c r="M4784" s="24">
        <v>1038985.5</v>
      </c>
      <c r="N4784" s="25">
        <f>IFERROR(T_reg.root.SK[[#This Row],[Price]]/T_reg.root.SK[[#This Row],[Starch content]],"")</f>
        <v>9.1680129240710819</v>
      </c>
    </row>
    <row r="4785" spans="1:14">
      <c r="A4785" s="21">
        <v>2024</v>
      </c>
      <c r="B4785" s="21" t="s">
        <v>29</v>
      </c>
      <c r="C4785" s="21" t="s">
        <v>1145</v>
      </c>
      <c r="D4785" s="21" t="s">
        <v>35</v>
      </c>
      <c r="E4785" s="18" t="s">
        <v>318</v>
      </c>
      <c r="F4785" s="18" t="s">
        <v>105</v>
      </c>
      <c r="G4785" s="18" t="s">
        <v>48</v>
      </c>
      <c r="H4785" s="24">
        <v>16800</v>
      </c>
      <c r="I4785" s="24">
        <f>T_reg.root.SK[[#This Row],[Volume, kg]]/1000</f>
        <v>16.8</v>
      </c>
      <c r="J4785" s="25">
        <v>0.29089999999999999</v>
      </c>
      <c r="K4785" s="25">
        <f t="shared" si="74"/>
        <v>4887.12</v>
      </c>
      <c r="L4785" s="25">
        <v>2.4500000000000002</v>
      </c>
      <c r="M4785" s="24">
        <v>41193.5</v>
      </c>
      <c r="N4785" s="25">
        <f>IFERROR(T_reg.root.SK[[#This Row],[Price]]/T_reg.root.SK[[#This Row],[Starch content]],"")</f>
        <v>8.4221381918184957</v>
      </c>
    </row>
    <row r="4786" spans="1:14">
      <c r="A4786" s="21">
        <v>2024</v>
      </c>
      <c r="B4786" s="21" t="s">
        <v>29</v>
      </c>
      <c r="C4786" s="21" t="s">
        <v>1145</v>
      </c>
      <c r="D4786" s="21" t="s">
        <v>35</v>
      </c>
      <c r="E4786" s="18" t="s">
        <v>721</v>
      </c>
      <c r="F4786" s="18" t="s">
        <v>105</v>
      </c>
      <c r="G4786" s="18" t="s">
        <v>48</v>
      </c>
      <c r="H4786" s="24">
        <v>20300</v>
      </c>
      <c r="I4786" s="24">
        <f>T_reg.root.SK[[#This Row],[Volume, kg]]/1000</f>
        <v>20.3</v>
      </c>
      <c r="J4786" s="25">
        <v>0.22170000000000001</v>
      </c>
      <c r="K4786" s="25">
        <f t="shared" si="74"/>
        <v>4500.51</v>
      </c>
      <c r="L4786" s="25">
        <v>2.16</v>
      </c>
      <c r="M4786" s="24">
        <v>43756.5</v>
      </c>
      <c r="N4786" s="25">
        <f>IFERROR(T_reg.root.SK[[#This Row],[Price]]/T_reg.root.SK[[#This Row],[Starch content]],"")</f>
        <v>9.7428958051420835</v>
      </c>
    </row>
    <row r="4787" spans="1:14">
      <c r="A4787" s="21">
        <v>2024</v>
      </c>
      <c r="B4787" s="21" t="s">
        <v>29</v>
      </c>
      <c r="C4787" s="21" t="s">
        <v>1145</v>
      </c>
      <c r="D4787" s="21" t="s">
        <v>35</v>
      </c>
      <c r="E4787" s="18" t="s">
        <v>162</v>
      </c>
      <c r="F4787" s="18" t="s">
        <v>105</v>
      </c>
      <c r="G4787" s="18" t="s">
        <v>48</v>
      </c>
      <c r="H4787" s="24">
        <v>77940</v>
      </c>
      <c r="I4787" s="24">
        <f>T_reg.root.SK[[#This Row],[Volume, kg]]/1000</f>
        <v>77.94</v>
      </c>
      <c r="J4787" s="25">
        <v>0.2545</v>
      </c>
      <c r="K4787" s="25">
        <f t="shared" si="74"/>
        <v>19835.73</v>
      </c>
      <c r="L4787" s="25">
        <v>2.2799999999999998</v>
      </c>
      <c r="M4787" s="24">
        <v>177589</v>
      </c>
      <c r="N4787" s="25">
        <f>IFERROR(T_reg.root.SK[[#This Row],[Price]]/T_reg.root.SK[[#This Row],[Starch content]],"")</f>
        <v>8.9587426326129656</v>
      </c>
    </row>
    <row r="4788" spans="1:14">
      <c r="A4788" s="21">
        <v>2024</v>
      </c>
      <c r="B4788" s="21" t="s">
        <v>29</v>
      </c>
      <c r="C4788" s="21" t="s">
        <v>1145</v>
      </c>
      <c r="D4788" s="21" t="s">
        <v>35</v>
      </c>
      <c r="E4788" s="18" t="s">
        <v>163</v>
      </c>
      <c r="F4788" s="18" t="s">
        <v>105</v>
      </c>
      <c r="G4788" s="18" t="s">
        <v>48</v>
      </c>
      <c r="H4788" s="24">
        <v>84870</v>
      </c>
      <c r="I4788" s="24">
        <f>T_reg.root.SK[[#This Row],[Volume, kg]]/1000</f>
        <v>84.87</v>
      </c>
      <c r="J4788" s="25">
        <v>0.25140000000000001</v>
      </c>
      <c r="K4788" s="25">
        <f t="shared" si="74"/>
        <v>21336.317999999999</v>
      </c>
      <c r="L4788" s="25">
        <v>2.25</v>
      </c>
      <c r="M4788" s="24">
        <v>191358</v>
      </c>
      <c r="N4788" s="25">
        <f>IFERROR(T_reg.root.SK[[#This Row],[Price]]/T_reg.root.SK[[#This Row],[Starch content]],"")</f>
        <v>8.949880668257757</v>
      </c>
    </row>
    <row r="4789" spans="1:14">
      <c r="A4789" s="21">
        <v>2024</v>
      </c>
      <c r="B4789" s="21" t="s">
        <v>29</v>
      </c>
      <c r="C4789" s="21" t="s">
        <v>1145</v>
      </c>
      <c r="D4789" s="21" t="s">
        <v>35</v>
      </c>
      <c r="E4789" s="18" t="s">
        <v>620</v>
      </c>
      <c r="F4789" s="18" t="s">
        <v>105</v>
      </c>
      <c r="G4789" s="18" t="s">
        <v>48</v>
      </c>
      <c r="H4789" s="24">
        <v>53300</v>
      </c>
      <c r="I4789" s="24">
        <f>T_reg.root.SK[[#This Row],[Volume, kg]]/1000</f>
        <v>53.3</v>
      </c>
      <c r="J4789" s="25">
        <v>0.2515</v>
      </c>
      <c r="K4789" s="25">
        <f t="shared" si="74"/>
        <v>13404.95</v>
      </c>
      <c r="L4789" s="25">
        <v>2.3199999999999998</v>
      </c>
      <c r="M4789" s="24">
        <v>123438</v>
      </c>
      <c r="N4789" s="25">
        <f>IFERROR(T_reg.root.SK[[#This Row],[Price]]/T_reg.root.SK[[#This Row],[Starch content]],"")</f>
        <v>9.2246520874751479</v>
      </c>
    </row>
    <row r="4790" spans="1:14">
      <c r="A4790" s="21">
        <v>2024</v>
      </c>
      <c r="B4790" s="21" t="s">
        <v>29</v>
      </c>
      <c r="C4790" s="21" t="s">
        <v>1145</v>
      </c>
      <c r="D4790" s="21" t="s">
        <v>35</v>
      </c>
      <c r="E4790" s="18" t="s">
        <v>167</v>
      </c>
      <c r="F4790" s="18" t="s">
        <v>105</v>
      </c>
      <c r="G4790" s="18" t="s">
        <v>48</v>
      </c>
      <c r="H4790" s="24">
        <v>4610</v>
      </c>
      <c r="I4790" s="24">
        <f>T_reg.root.SK[[#This Row],[Volume, kg]]/1000</f>
        <v>4.6100000000000003</v>
      </c>
      <c r="J4790" s="25">
        <v>0.24600000000000002</v>
      </c>
      <c r="K4790" s="25">
        <f t="shared" si="74"/>
        <v>1134.0600000000002</v>
      </c>
      <c r="L4790" s="25">
        <v>2.2999999999999998</v>
      </c>
      <c r="M4790" s="24">
        <v>10603</v>
      </c>
      <c r="N4790" s="25">
        <f>IFERROR(T_reg.root.SK[[#This Row],[Price]]/T_reg.root.SK[[#This Row],[Starch content]],"")</f>
        <v>9.3495934959349576</v>
      </c>
    </row>
    <row r="4791" spans="1:14">
      <c r="A4791" s="21">
        <v>2024</v>
      </c>
      <c r="B4791" s="21" t="s">
        <v>29</v>
      </c>
      <c r="C4791" s="21" t="s">
        <v>1145</v>
      </c>
      <c r="D4791" s="21" t="s">
        <v>35</v>
      </c>
      <c r="E4791" s="18" t="s">
        <v>170</v>
      </c>
      <c r="F4791" s="18" t="s">
        <v>105</v>
      </c>
      <c r="G4791" s="18" t="s">
        <v>48</v>
      </c>
      <c r="H4791" s="24">
        <v>97400</v>
      </c>
      <c r="I4791" s="24">
        <f>T_reg.root.SK[[#This Row],[Volume, kg]]/1000</f>
        <v>97.4</v>
      </c>
      <c r="J4791" s="25">
        <v>0.26150000000000001</v>
      </c>
      <c r="K4791" s="25">
        <f t="shared" si="74"/>
        <v>25470.100000000002</v>
      </c>
      <c r="L4791" s="25">
        <v>2.34</v>
      </c>
      <c r="M4791" s="24">
        <v>228314.5</v>
      </c>
      <c r="N4791" s="25">
        <f>IFERROR(T_reg.root.SK[[#This Row],[Price]]/T_reg.root.SK[[#This Row],[Starch content]],"")</f>
        <v>8.9483747609942625</v>
      </c>
    </row>
    <row r="4792" spans="1:14">
      <c r="A4792" s="21">
        <v>2024</v>
      </c>
      <c r="B4792" s="21" t="s">
        <v>29</v>
      </c>
      <c r="C4792" s="21" t="s">
        <v>1145</v>
      </c>
      <c r="D4792" s="21" t="s">
        <v>35</v>
      </c>
      <c r="E4792" s="18" t="s">
        <v>722</v>
      </c>
      <c r="F4792" s="18" t="s">
        <v>105</v>
      </c>
      <c r="G4792" s="18" t="s">
        <v>48</v>
      </c>
      <c r="H4792" s="24">
        <v>104640</v>
      </c>
      <c r="I4792" s="24">
        <f>T_reg.root.SK[[#This Row],[Volume, kg]]/1000</f>
        <v>104.64</v>
      </c>
      <c r="J4792" s="25">
        <v>0.26469999999999999</v>
      </c>
      <c r="K4792" s="25">
        <f t="shared" si="74"/>
        <v>27698.207999999999</v>
      </c>
      <c r="L4792" s="25">
        <v>2.34</v>
      </c>
      <c r="M4792" s="24">
        <v>245158</v>
      </c>
      <c r="N4792" s="25">
        <f>IFERROR(T_reg.root.SK[[#This Row],[Price]]/T_reg.root.SK[[#This Row],[Starch content]],"")</f>
        <v>8.8401964488099729</v>
      </c>
    </row>
    <row r="4793" spans="1:14">
      <c r="A4793" s="21">
        <v>2024</v>
      </c>
      <c r="B4793" s="21" t="s">
        <v>29</v>
      </c>
      <c r="C4793" s="21" t="s">
        <v>1145</v>
      </c>
      <c r="D4793" s="21" t="s">
        <v>35</v>
      </c>
      <c r="E4793" s="18" t="s">
        <v>504</v>
      </c>
      <c r="F4793" s="18" t="s">
        <v>105</v>
      </c>
      <c r="G4793" s="18" t="s">
        <v>48</v>
      </c>
      <c r="H4793" s="24">
        <v>18140</v>
      </c>
      <c r="I4793" s="24">
        <f>T_reg.root.SK[[#This Row],[Volume, kg]]/1000</f>
        <v>18.14</v>
      </c>
      <c r="J4793" s="25">
        <v>0.27429999999999999</v>
      </c>
      <c r="K4793" s="25">
        <f t="shared" si="74"/>
        <v>4975.8019999999997</v>
      </c>
      <c r="L4793" s="25">
        <v>2.42</v>
      </c>
      <c r="M4793" s="24">
        <v>43894</v>
      </c>
      <c r="N4793" s="25">
        <f>IFERROR(T_reg.root.SK[[#This Row],[Price]]/T_reg.root.SK[[#This Row],[Starch content]],"")</f>
        <v>8.8224571636893909</v>
      </c>
    </row>
    <row r="4794" spans="1:14">
      <c r="A4794" s="21">
        <v>2024</v>
      </c>
      <c r="B4794" s="21" t="s">
        <v>29</v>
      </c>
      <c r="C4794" s="21" t="s">
        <v>1145</v>
      </c>
      <c r="D4794" s="21" t="s">
        <v>35</v>
      </c>
      <c r="E4794" s="18" t="s">
        <v>321</v>
      </c>
      <c r="F4794" s="18" t="s">
        <v>105</v>
      </c>
      <c r="G4794" s="18" t="s">
        <v>48</v>
      </c>
      <c r="H4794" s="24">
        <v>9290</v>
      </c>
      <c r="I4794" s="24">
        <f>T_reg.root.SK[[#This Row],[Volume, kg]]/1000</f>
        <v>9.2899999999999991</v>
      </c>
      <c r="J4794" s="25">
        <v>0.27750000000000002</v>
      </c>
      <c r="K4794" s="25">
        <f t="shared" si="74"/>
        <v>2577.9750000000004</v>
      </c>
      <c r="L4794" s="25">
        <v>2.4</v>
      </c>
      <c r="M4794" s="24">
        <v>22296</v>
      </c>
      <c r="N4794" s="25">
        <f>IFERROR(T_reg.root.SK[[#This Row],[Price]]/T_reg.root.SK[[#This Row],[Starch content]],"")</f>
        <v>8.6486486486486474</v>
      </c>
    </row>
    <row r="4795" spans="1:14">
      <c r="A4795" s="21">
        <v>2024</v>
      </c>
      <c r="B4795" s="21" t="s">
        <v>29</v>
      </c>
      <c r="C4795" s="21" t="s">
        <v>1145</v>
      </c>
      <c r="D4795" s="21" t="s">
        <v>35</v>
      </c>
      <c r="E4795" s="18" t="s">
        <v>506</v>
      </c>
      <c r="F4795" s="18" t="s">
        <v>105</v>
      </c>
      <c r="G4795" s="18" t="s">
        <v>48</v>
      </c>
      <c r="H4795" s="24">
        <v>19350</v>
      </c>
      <c r="I4795" s="24">
        <f>T_reg.root.SK[[#This Row],[Volume, kg]]/1000</f>
        <v>19.350000000000001</v>
      </c>
      <c r="J4795" s="25">
        <v>0.25170000000000003</v>
      </c>
      <c r="K4795" s="25">
        <f t="shared" si="74"/>
        <v>4870.3950000000004</v>
      </c>
      <c r="L4795" s="25">
        <v>2.2999999999999998</v>
      </c>
      <c r="M4795" s="24">
        <v>44426.5</v>
      </c>
      <c r="N4795" s="25">
        <f>IFERROR(T_reg.root.SK[[#This Row],[Price]]/T_reg.root.SK[[#This Row],[Starch content]],"")</f>
        <v>9.137862534763606</v>
      </c>
    </row>
    <row r="4796" spans="1:14">
      <c r="A4796" s="21">
        <v>2024</v>
      </c>
      <c r="B4796" s="21" t="s">
        <v>29</v>
      </c>
      <c r="C4796" s="21" t="s">
        <v>1145</v>
      </c>
      <c r="D4796" s="21" t="s">
        <v>35</v>
      </c>
      <c r="E4796" s="18" t="s">
        <v>812</v>
      </c>
      <c r="F4796" s="18" t="s">
        <v>105</v>
      </c>
      <c r="G4796" s="18" t="s">
        <v>48</v>
      </c>
      <c r="H4796" s="24">
        <v>60720</v>
      </c>
      <c r="I4796" s="24">
        <f>T_reg.root.SK[[#This Row],[Volume, kg]]/1000</f>
        <v>60.72</v>
      </c>
      <c r="J4796" s="25">
        <v>0.26530000000000004</v>
      </c>
      <c r="K4796" s="25">
        <f t="shared" si="74"/>
        <v>16109.016000000001</v>
      </c>
      <c r="L4796" s="25">
        <v>2.39</v>
      </c>
      <c r="M4796" s="24">
        <v>144910</v>
      </c>
      <c r="N4796" s="25">
        <f>IFERROR(T_reg.root.SK[[#This Row],[Price]]/T_reg.root.SK[[#This Row],[Starch content]],"")</f>
        <v>9.0086694308330184</v>
      </c>
    </row>
    <row r="4797" spans="1:14">
      <c r="A4797" s="21">
        <v>2024</v>
      </c>
      <c r="B4797" s="21" t="s">
        <v>29</v>
      </c>
      <c r="C4797" s="21" t="s">
        <v>1145</v>
      </c>
      <c r="D4797" s="21" t="s">
        <v>35</v>
      </c>
      <c r="E4797" s="18" t="s">
        <v>938</v>
      </c>
      <c r="F4797" s="18" t="s">
        <v>105</v>
      </c>
      <c r="G4797" s="18" t="s">
        <v>48</v>
      </c>
      <c r="H4797" s="24">
        <v>9990</v>
      </c>
      <c r="I4797" s="24">
        <f>T_reg.root.SK[[#This Row],[Volume, kg]]/1000</f>
        <v>9.99</v>
      </c>
      <c r="J4797" s="25">
        <v>0.27850000000000003</v>
      </c>
      <c r="K4797" s="25">
        <f t="shared" si="74"/>
        <v>2782.2150000000001</v>
      </c>
      <c r="L4797" s="25">
        <v>2.4500000000000002</v>
      </c>
      <c r="M4797" s="24">
        <v>24475.5</v>
      </c>
      <c r="N4797" s="25">
        <f>IFERROR(T_reg.root.SK[[#This Row],[Price]]/T_reg.root.SK[[#This Row],[Starch content]],"")</f>
        <v>8.7971274685816869</v>
      </c>
    </row>
    <row r="4798" spans="1:14">
      <c r="A4798" s="21">
        <v>2024</v>
      </c>
      <c r="B4798" s="21" t="s">
        <v>29</v>
      </c>
      <c r="C4798" s="21" t="s">
        <v>1145</v>
      </c>
      <c r="D4798" s="21" t="s">
        <v>35</v>
      </c>
      <c r="E4798" s="18" t="s">
        <v>958</v>
      </c>
      <c r="F4798" s="18" t="s">
        <v>105</v>
      </c>
      <c r="G4798" s="18" t="s">
        <v>48</v>
      </c>
      <c r="H4798" s="24">
        <v>143590</v>
      </c>
      <c r="I4798" s="24">
        <f>T_reg.root.SK[[#This Row],[Volume, kg]]/1000</f>
        <v>143.59</v>
      </c>
      <c r="J4798" s="25">
        <v>0.24879999999999999</v>
      </c>
      <c r="K4798" s="25">
        <f t="shared" si="74"/>
        <v>35725.191999999995</v>
      </c>
      <c r="L4798" s="25">
        <v>2.29</v>
      </c>
      <c r="M4798" s="24">
        <v>329106.5</v>
      </c>
      <c r="N4798" s="25">
        <f>IFERROR(T_reg.root.SK[[#This Row],[Price]]/T_reg.root.SK[[#This Row],[Starch content]],"")</f>
        <v>9.204180064308682</v>
      </c>
    </row>
    <row r="4799" spans="1:14">
      <c r="A4799" s="21">
        <v>2024</v>
      </c>
      <c r="B4799" s="21" t="s">
        <v>29</v>
      </c>
      <c r="C4799" s="21" t="s">
        <v>1145</v>
      </c>
      <c r="D4799" s="21" t="s">
        <v>35</v>
      </c>
      <c r="E4799" s="18" t="s">
        <v>968</v>
      </c>
      <c r="F4799" s="18" t="s">
        <v>105</v>
      </c>
      <c r="G4799" s="18" t="s">
        <v>48</v>
      </c>
      <c r="H4799" s="24">
        <v>19900</v>
      </c>
      <c r="I4799" s="24">
        <f>T_reg.root.SK[[#This Row],[Volume, kg]]/1000</f>
        <v>19.899999999999999</v>
      </c>
      <c r="J4799" s="25">
        <v>0.28460000000000002</v>
      </c>
      <c r="K4799" s="25">
        <f t="shared" si="74"/>
        <v>5663.54</v>
      </c>
      <c r="L4799" s="25">
        <v>2.4300000000000002</v>
      </c>
      <c r="M4799" s="24">
        <v>48276</v>
      </c>
      <c r="N4799" s="25">
        <f>IFERROR(T_reg.root.SK[[#This Row],[Price]]/T_reg.root.SK[[#This Row],[Starch content]],"")</f>
        <v>8.53829936753338</v>
      </c>
    </row>
    <row r="4800" spans="1:14">
      <c r="A4800" s="21">
        <v>2024</v>
      </c>
      <c r="B4800" s="21" t="s">
        <v>29</v>
      </c>
      <c r="C4800" s="21" t="s">
        <v>1145</v>
      </c>
      <c r="D4800" s="21" t="s">
        <v>35</v>
      </c>
      <c r="E4800" s="18" t="s">
        <v>325</v>
      </c>
      <c r="F4800" s="18" t="s">
        <v>105</v>
      </c>
      <c r="G4800" s="18" t="s">
        <v>48</v>
      </c>
      <c r="H4800" s="24">
        <v>43800</v>
      </c>
      <c r="I4800" s="24">
        <f>T_reg.root.SK[[#This Row],[Volume, kg]]/1000</f>
        <v>43.8</v>
      </c>
      <c r="J4800" s="25">
        <v>0.26289999999999997</v>
      </c>
      <c r="K4800" s="25">
        <f t="shared" si="74"/>
        <v>11515.019999999999</v>
      </c>
      <c r="L4800" s="25">
        <v>2.36</v>
      </c>
      <c r="M4800" s="24">
        <v>103277.5</v>
      </c>
      <c r="N4800" s="25">
        <f>IFERROR(T_reg.root.SK[[#This Row],[Price]]/T_reg.root.SK[[#This Row],[Starch content]],"")</f>
        <v>8.97679726131609</v>
      </c>
    </row>
    <row r="4801" spans="1:14">
      <c r="A4801" s="21">
        <v>2024</v>
      </c>
      <c r="B4801" s="21" t="s">
        <v>29</v>
      </c>
      <c r="C4801" s="21" t="s">
        <v>1145</v>
      </c>
      <c r="D4801" s="21" t="s">
        <v>35</v>
      </c>
      <c r="E4801" s="18" t="s">
        <v>174</v>
      </c>
      <c r="F4801" s="18" t="s">
        <v>105</v>
      </c>
      <c r="G4801" s="18" t="s">
        <v>48</v>
      </c>
      <c r="H4801" s="24">
        <v>95880</v>
      </c>
      <c r="I4801" s="24">
        <f>T_reg.root.SK[[#This Row],[Volume, kg]]/1000</f>
        <v>95.88</v>
      </c>
      <c r="J4801" s="25">
        <v>0.23190000000000002</v>
      </c>
      <c r="K4801" s="25">
        <f t="shared" si="74"/>
        <v>22234.572000000004</v>
      </c>
      <c r="L4801" s="25">
        <v>2.21</v>
      </c>
      <c r="M4801" s="24">
        <v>212006.5</v>
      </c>
      <c r="N4801" s="25">
        <f>IFERROR(T_reg.root.SK[[#This Row],[Price]]/T_reg.root.SK[[#This Row],[Starch content]],"")</f>
        <v>9.5299698145752476</v>
      </c>
    </row>
    <row r="4802" spans="1:14">
      <c r="A4802" s="21">
        <v>2024</v>
      </c>
      <c r="B4802" s="21" t="s">
        <v>29</v>
      </c>
      <c r="C4802" s="21" t="s">
        <v>1145</v>
      </c>
      <c r="D4802" s="21" t="s">
        <v>35</v>
      </c>
      <c r="E4802" s="18" t="s">
        <v>175</v>
      </c>
      <c r="F4802" s="18" t="s">
        <v>105</v>
      </c>
      <c r="G4802" s="18" t="s">
        <v>48</v>
      </c>
      <c r="H4802" s="24">
        <v>33050</v>
      </c>
      <c r="I4802" s="24">
        <f>T_reg.root.SK[[#This Row],[Volume, kg]]/1000</f>
        <v>33.049999999999997</v>
      </c>
      <c r="J4802" s="25">
        <v>0.254</v>
      </c>
      <c r="K4802" s="25">
        <f t="shared" si="74"/>
        <v>8394.7000000000007</v>
      </c>
      <c r="L4802" s="25">
        <v>2.29</v>
      </c>
      <c r="M4802" s="24">
        <v>75769</v>
      </c>
      <c r="N4802" s="25">
        <f>IFERROR(T_reg.root.SK[[#This Row],[Price]]/T_reg.root.SK[[#This Row],[Starch content]],"")</f>
        <v>9.015748031496063</v>
      </c>
    </row>
    <row r="4803" spans="1:14">
      <c r="A4803" s="21">
        <v>2024</v>
      </c>
      <c r="B4803" s="21" t="s">
        <v>29</v>
      </c>
      <c r="C4803" s="21" t="s">
        <v>1145</v>
      </c>
      <c r="D4803" s="21" t="s">
        <v>35</v>
      </c>
      <c r="E4803" s="18" t="s">
        <v>176</v>
      </c>
      <c r="F4803" s="18" t="s">
        <v>105</v>
      </c>
      <c r="G4803" s="18" t="s">
        <v>48</v>
      </c>
      <c r="H4803" s="24">
        <v>9540</v>
      </c>
      <c r="I4803" s="24">
        <f>T_reg.root.SK[[#This Row],[Volume, kg]]/1000</f>
        <v>9.5399999999999991</v>
      </c>
      <c r="J4803" s="25">
        <v>0.23300000000000001</v>
      </c>
      <c r="K4803" s="25">
        <f t="shared" ref="K4803:K4866" si="75">H4803*J4803</f>
        <v>2222.8200000000002</v>
      </c>
      <c r="L4803" s="25">
        <v>2.19</v>
      </c>
      <c r="M4803" s="24">
        <v>20880</v>
      </c>
      <c r="N4803" s="25">
        <f>IFERROR(T_reg.root.SK[[#This Row],[Price]]/T_reg.root.SK[[#This Row],[Starch content]],"")</f>
        <v>9.399141630901287</v>
      </c>
    </row>
    <row r="4804" spans="1:14">
      <c r="A4804" s="21">
        <v>2024</v>
      </c>
      <c r="B4804" s="21" t="s">
        <v>29</v>
      </c>
      <c r="C4804" s="21" t="s">
        <v>1145</v>
      </c>
      <c r="D4804" s="21" t="s">
        <v>35</v>
      </c>
      <c r="E4804" s="18" t="s">
        <v>178</v>
      </c>
      <c r="F4804" s="18" t="s">
        <v>105</v>
      </c>
      <c r="G4804" s="18" t="s">
        <v>48</v>
      </c>
      <c r="H4804" s="24">
        <v>22190</v>
      </c>
      <c r="I4804" s="24">
        <f>T_reg.root.SK[[#This Row],[Volume, kg]]/1000</f>
        <v>22.19</v>
      </c>
      <c r="J4804" s="25">
        <v>0.27789999999999998</v>
      </c>
      <c r="K4804" s="25">
        <f t="shared" si="75"/>
        <v>6166.6009999999997</v>
      </c>
      <c r="L4804" s="25">
        <v>2.4300000000000002</v>
      </c>
      <c r="M4804" s="24">
        <v>53826</v>
      </c>
      <c r="N4804" s="25">
        <f>IFERROR(T_reg.root.SK[[#This Row],[Price]]/T_reg.root.SK[[#This Row],[Starch content]],"")</f>
        <v>8.7441525728679395</v>
      </c>
    </row>
    <row r="4805" spans="1:14">
      <c r="A4805" s="21">
        <v>2024</v>
      </c>
      <c r="B4805" s="21" t="s">
        <v>29</v>
      </c>
      <c r="C4805" s="21" t="s">
        <v>1145</v>
      </c>
      <c r="D4805" s="21" t="s">
        <v>35</v>
      </c>
      <c r="E4805" s="18" t="s">
        <v>605</v>
      </c>
      <c r="F4805" s="18" t="s">
        <v>105</v>
      </c>
      <c r="G4805" s="18" t="s">
        <v>48</v>
      </c>
      <c r="H4805" s="24">
        <v>335290</v>
      </c>
      <c r="I4805" s="24">
        <f>T_reg.root.SK[[#This Row],[Volume, kg]]/1000</f>
        <v>335.29</v>
      </c>
      <c r="J4805" s="25">
        <v>0.25409999999999999</v>
      </c>
      <c r="K4805" s="25">
        <f t="shared" si="75"/>
        <v>85197.188999999998</v>
      </c>
      <c r="L4805" s="25">
        <v>2.27</v>
      </c>
      <c r="M4805" s="24">
        <v>761782</v>
      </c>
      <c r="N4805" s="25">
        <f>IFERROR(T_reg.root.SK[[#This Row],[Price]]/T_reg.root.SK[[#This Row],[Starch content]],"")</f>
        <v>8.9334907516725703</v>
      </c>
    </row>
    <row r="4806" spans="1:14">
      <c r="A4806" s="21">
        <v>2024</v>
      </c>
      <c r="B4806" s="21" t="s">
        <v>29</v>
      </c>
      <c r="C4806" s="21" t="s">
        <v>1145</v>
      </c>
      <c r="D4806" s="21" t="s">
        <v>35</v>
      </c>
      <c r="E4806" s="18" t="s">
        <v>741</v>
      </c>
      <c r="F4806" s="18" t="s">
        <v>105</v>
      </c>
      <c r="G4806" s="18" t="s">
        <v>48</v>
      </c>
      <c r="H4806" s="24">
        <v>10690</v>
      </c>
      <c r="I4806" s="24">
        <f>T_reg.root.SK[[#This Row],[Volume, kg]]/1000</f>
        <v>10.69</v>
      </c>
      <c r="J4806" s="25">
        <v>0.24059999999999998</v>
      </c>
      <c r="K4806" s="25">
        <f t="shared" si="75"/>
        <v>2572.0139999999997</v>
      </c>
      <c r="L4806" s="25">
        <v>2.25</v>
      </c>
      <c r="M4806" s="24">
        <v>24098</v>
      </c>
      <c r="N4806" s="25">
        <f>IFERROR(T_reg.root.SK[[#This Row],[Price]]/T_reg.root.SK[[#This Row],[Starch content]],"")</f>
        <v>9.3516209476309236</v>
      </c>
    </row>
    <row r="4807" spans="1:14">
      <c r="A4807" s="21">
        <v>2024</v>
      </c>
      <c r="B4807" s="21" t="s">
        <v>29</v>
      </c>
      <c r="C4807" s="21" t="s">
        <v>1145</v>
      </c>
      <c r="D4807" s="21" t="s">
        <v>35</v>
      </c>
      <c r="E4807" s="18" t="s">
        <v>793</v>
      </c>
      <c r="F4807" s="18" t="s">
        <v>105</v>
      </c>
      <c r="G4807" s="18" t="s">
        <v>48</v>
      </c>
      <c r="H4807" s="24">
        <v>19230</v>
      </c>
      <c r="I4807" s="24">
        <f>T_reg.root.SK[[#This Row],[Volume, kg]]/1000</f>
        <v>19.23</v>
      </c>
      <c r="J4807" s="25">
        <v>0.27899999999999997</v>
      </c>
      <c r="K4807" s="25">
        <f t="shared" si="75"/>
        <v>5365.1699999999992</v>
      </c>
      <c r="L4807" s="25">
        <v>2.4500000000000002</v>
      </c>
      <c r="M4807" s="24">
        <v>47057</v>
      </c>
      <c r="N4807" s="25">
        <f>IFERROR(T_reg.root.SK[[#This Row],[Price]]/T_reg.root.SK[[#This Row],[Starch content]],"")</f>
        <v>8.781362007168461</v>
      </c>
    </row>
    <row r="4808" spans="1:14">
      <c r="A4808" s="21">
        <v>2024</v>
      </c>
      <c r="B4808" s="21" t="s">
        <v>29</v>
      </c>
      <c r="C4808" s="21" t="s">
        <v>1145</v>
      </c>
      <c r="D4808" s="21" t="s">
        <v>35</v>
      </c>
      <c r="E4808" s="18" t="s">
        <v>640</v>
      </c>
      <c r="F4808" s="18" t="s">
        <v>105</v>
      </c>
      <c r="G4808" s="18" t="s">
        <v>48</v>
      </c>
      <c r="H4808" s="24">
        <v>28460</v>
      </c>
      <c r="I4808" s="24">
        <f>T_reg.root.SK[[#This Row],[Volume, kg]]/1000</f>
        <v>28.46</v>
      </c>
      <c r="J4808" s="25">
        <v>0.27639999999999998</v>
      </c>
      <c r="K4808" s="25">
        <f t="shared" si="75"/>
        <v>7866.3439999999991</v>
      </c>
      <c r="L4808" s="25">
        <v>2.44</v>
      </c>
      <c r="M4808" s="24">
        <v>69322.5</v>
      </c>
      <c r="N4808" s="25">
        <f>IFERROR(T_reg.root.SK[[#This Row],[Price]]/T_reg.root.SK[[#This Row],[Starch content]],"")</f>
        <v>8.8277858176555721</v>
      </c>
    </row>
    <row r="4809" spans="1:14">
      <c r="A4809" s="21">
        <v>2024</v>
      </c>
      <c r="B4809" s="21" t="s">
        <v>29</v>
      </c>
      <c r="C4809" s="21" t="s">
        <v>1145</v>
      </c>
      <c r="D4809" s="21" t="s">
        <v>35</v>
      </c>
      <c r="E4809" s="18" t="s">
        <v>774</v>
      </c>
      <c r="F4809" s="18" t="s">
        <v>105</v>
      </c>
      <c r="G4809" s="18" t="s">
        <v>48</v>
      </c>
      <c r="H4809" s="24">
        <v>9690</v>
      </c>
      <c r="I4809" s="24">
        <f>T_reg.root.SK[[#This Row],[Volume, kg]]/1000</f>
        <v>9.69</v>
      </c>
      <c r="J4809" s="25">
        <v>0.2555</v>
      </c>
      <c r="K4809" s="25">
        <f t="shared" si="75"/>
        <v>2475.7950000000001</v>
      </c>
      <c r="L4809" s="25">
        <v>2.35</v>
      </c>
      <c r="M4809" s="24">
        <v>22771.5</v>
      </c>
      <c r="N4809" s="25">
        <f>IFERROR(T_reg.root.SK[[#This Row],[Price]]/T_reg.root.SK[[#This Row],[Starch content]],"")</f>
        <v>9.1976516634050878</v>
      </c>
    </row>
    <row r="4810" spans="1:14">
      <c r="A4810" s="21">
        <v>2024</v>
      </c>
      <c r="B4810" s="21" t="s">
        <v>29</v>
      </c>
      <c r="C4810" s="21" t="s">
        <v>1145</v>
      </c>
      <c r="D4810" s="21" t="s">
        <v>35</v>
      </c>
      <c r="E4810" s="18" t="s">
        <v>959</v>
      </c>
      <c r="F4810" s="18" t="s">
        <v>105</v>
      </c>
      <c r="G4810" s="18" t="s">
        <v>48</v>
      </c>
      <c r="H4810" s="24">
        <v>8380</v>
      </c>
      <c r="I4810" s="24">
        <f>T_reg.root.SK[[#This Row],[Volume, kg]]/1000</f>
        <v>8.3800000000000008</v>
      </c>
      <c r="J4810" s="25">
        <v>0.28949999999999998</v>
      </c>
      <c r="K4810" s="25">
        <f t="shared" si="75"/>
        <v>2426.0099999999998</v>
      </c>
      <c r="L4810" s="25">
        <v>2.5</v>
      </c>
      <c r="M4810" s="24">
        <v>20950</v>
      </c>
      <c r="N4810" s="25">
        <f>IFERROR(T_reg.root.SK[[#This Row],[Price]]/T_reg.root.SK[[#This Row],[Starch content]],"")</f>
        <v>8.6355785837651133</v>
      </c>
    </row>
    <row r="4811" spans="1:14">
      <c r="A4811" s="21">
        <v>2024</v>
      </c>
      <c r="B4811" s="21" t="s">
        <v>29</v>
      </c>
      <c r="C4811" s="21" t="s">
        <v>1145</v>
      </c>
      <c r="D4811" s="21" t="s">
        <v>35</v>
      </c>
      <c r="E4811" s="18" t="s">
        <v>969</v>
      </c>
      <c r="F4811" s="18" t="s">
        <v>105</v>
      </c>
      <c r="G4811" s="18" t="s">
        <v>48</v>
      </c>
      <c r="H4811" s="24">
        <v>34000</v>
      </c>
      <c r="I4811" s="24">
        <f>T_reg.root.SK[[#This Row],[Volume, kg]]/1000</f>
        <v>34</v>
      </c>
      <c r="J4811" s="25">
        <v>0.2505</v>
      </c>
      <c r="K4811" s="25">
        <f t="shared" si="75"/>
        <v>8517</v>
      </c>
      <c r="L4811" s="25">
        <v>2.2400000000000002</v>
      </c>
      <c r="M4811" s="24">
        <v>76099</v>
      </c>
      <c r="N4811" s="25">
        <f>IFERROR(T_reg.root.SK[[#This Row],[Price]]/T_reg.root.SK[[#This Row],[Starch content]],"")</f>
        <v>8.9421157684630739</v>
      </c>
    </row>
    <row r="4812" spans="1:14">
      <c r="A4812" s="21">
        <v>2024</v>
      </c>
      <c r="B4812" s="21" t="s">
        <v>29</v>
      </c>
      <c r="C4812" s="21" t="s">
        <v>1145</v>
      </c>
      <c r="D4812" s="21" t="s">
        <v>35</v>
      </c>
      <c r="E4812" s="18" t="s">
        <v>183</v>
      </c>
      <c r="F4812" s="18" t="s">
        <v>105</v>
      </c>
      <c r="G4812" s="18" t="s">
        <v>48</v>
      </c>
      <c r="H4812" s="24">
        <v>403580</v>
      </c>
      <c r="I4812" s="24">
        <f>T_reg.root.SK[[#This Row],[Volume, kg]]/1000</f>
        <v>403.58</v>
      </c>
      <c r="J4812" s="25">
        <v>0.26440000000000002</v>
      </c>
      <c r="K4812" s="25">
        <f t="shared" si="75"/>
        <v>106706.55200000001</v>
      </c>
      <c r="L4812" s="25">
        <v>2.35</v>
      </c>
      <c r="M4812" s="24">
        <v>950426.5</v>
      </c>
      <c r="N4812" s="25">
        <f>IFERROR(T_reg.root.SK[[#This Row],[Price]]/T_reg.root.SK[[#This Row],[Starch content]],"")</f>
        <v>8.8880484114977296</v>
      </c>
    </row>
    <row r="4813" spans="1:14">
      <c r="A4813" s="21">
        <v>2024</v>
      </c>
      <c r="B4813" s="21" t="s">
        <v>29</v>
      </c>
      <c r="C4813" s="21" t="s">
        <v>1145</v>
      </c>
      <c r="D4813" s="21" t="s">
        <v>35</v>
      </c>
      <c r="E4813" s="18" t="s">
        <v>330</v>
      </c>
      <c r="F4813" s="18" t="s">
        <v>187</v>
      </c>
      <c r="G4813" s="18" t="s">
        <v>48</v>
      </c>
      <c r="H4813" s="24">
        <v>9360</v>
      </c>
      <c r="I4813" s="24">
        <f>T_reg.root.SK[[#This Row],[Volume, kg]]/1000</f>
        <v>9.36</v>
      </c>
      <c r="J4813" s="25">
        <v>0.18149999999999999</v>
      </c>
      <c r="K4813" s="25">
        <f t="shared" si="75"/>
        <v>1698.84</v>
      </c>
      <c r="L4813" s="25">
        <v>1.95</v>
      </c>
      <c r="M4813" s="24">
        <v>18252</v>
      </c>
      <c r="N4813" s="25">
        <f>IFERROR(T_reg.root.SK[[#This Row],[Price]]/T_reg.root.SK[[#This Row],[Starch content]],"")</f>
        <v>10.743801652892563</v>
      </c>
    </row>
    <row r="4814" spans="1:14">
      <c r="A4814" s="21">
        <v>2024</v>
      </c>
      <c r="B4814" s="21" t="s">
        <v>29</v>
      </c>
      <c r="C4814" s="21" t="s">
        <v>1145</v>
      </c>
      <c r="D4814" s="21" t="s">
        <v>35</v>
      </c>
      <c r="E4814" s="18" t="s">
        <v>579</v>
      </c>
      <c r="F4814" s="18" t="s">
        <v>187</v>
      </c>
      <c r="G4814" s="18" t="s">
        <v>48</v>
      </c>
      <c r="H4814" s="24">
        <v>23210</v>
      </c>
      <c r="I4814" s="24">
        <f>T_reg.root.SK[[#This Row],[Volume, kg]]/1000</f>
        <v>23.21</v>
      </c>
      <c r="J4814" s="25">
        <v>0.24670000000000003</v>
      </c>
      <c r="K4814" s="25">
        <f t="shared" si="75"/>
        <v>5725.9070000000011</v>
      </c>
      <c r="L4814" s="25">
        <v>2.31</v>
      </c>
      <c r="M4814" s="24">
        <v>53716</v>
      </c>
      <c r="N4814" s="25">
        <f>IFERROR(T_reg.root.SK[[#This Row],[Price]]/T_reg.root.SK[[#This Row],[Starch content]],"")</f>
        <v>9.3635995135792456</v>
      </c>
    </row>
    <row r="4815" spans="1:14">
      <c r="A4815" s="21">
        <v>2024</v>
      </c>
      <c r="B4815" s="21" t="s">
        <v>29</v>
      </c>
      <c r="C4815" s="21" t="s">
        <v>1145</v>
      </c>
      <c r="D4815" s="21" t="s">
        <v>35</v>
      </c>
      <c r="E4815" s="18" t="s">
        <v>261</v>
      </c>
      <c r="F4815" s="18" t="s">
        <v>187</v>
      </c>
      <c r="G4815" s="18" t="s">
        <v>48</v>
      </c>
      <c r="H4815" s="24">
        <v>11830</v>
      </c>
      <c r="I4815" s="24">
        <f>T_reg.root.SK[[#This Row],[Volume, kg]]/1000</f>
        <v>11.83</v>
      </c>
      <c r="J4815" s="25">
        <v>0.27149999999999996</v>
      </c>
      <c r="K4815" s="25">
        <f t="shared" si="75"/>
        <v>3211.8449999999993</v>
      </c>
      <c r="L4815" s="25">
        <v>2.4</v>
      </c>
      <c r="M4815" s="24">
        <v>28392</v>
      </c>
      <c r="N4815" s="25">
        <f>IFERROR(T_reg.root.SK[[#This Row],[Price]]/T_reg.root.SK[[#This Row],[Starch content]],"")</f>
        <v>8.8397790055248624</v>
      </c>
    </row>
    <row r="4816" spans="1:14">
      <c r="A4816" s="21">
        <v>2024</v>
      </c>
      <c r="B4816" s="21" t="s">
        <v>29</v>
      </c>
      <c r="C4816" s="21" t="s">
        <v>1145</v>
      </c>
      <c r="D4816" s="21" t="s">
        <v>35</v>
      </c>
      <c r="E4816" s="18" t="s">
        <v>192</v>
      </c>
      <c r="F4816" s="18" t="s">
        <v>187</v>
      </c>
      <c r="G4816" s="18" t="s">
        <v>48</v>
      </c>
      <c r="H4816" s="24">
        <v>9700</v>
      </c>
      <c r="I4816" s="24">
        <f>T_reg.root.SK[[#This Row],[Volume, kg]]/1000</f>
        <v>9.6999999999999993</v>
      </c>
      <c r="J4816" s="25">
        <v>0.29049999999999998</v>
      </c>
      <c r="K4816" s="25">
        <f t="shared" si="75"/>
        <v>2817.85</v>
      </c>
      <c r="L4816" s="25">
        <v>2.5</v>
      </c>
      <c r="M4816" s="24">
        <v>24250</v>
      </c>
      <c r="N4816" s="25">
        <f>IFERROR(T_reg.root.SK[[#This Row],[Price]]/T_reg.root.SK[[#This Row],[Starch content]],"")</f>
        <v>8.6058519793459567</v>
      </c>
    </row>
    <row r="4817" spans="1:14">
      <c r="A4817" s="21">
        <v>2024</v>
      </c>
      <c r="B4817" s="21" t="s">
        <v>29</v>
      </c>
      <c r="C4817" s="21" t="s">
        <v>1145</v>
      </c>
      <c r="D4817" s="21" t="s">
        <v>35</v>
      </c>
      <c r="E4817" s="18" t="s">
        <v>331</v>
      </c>
      <c r="F4817" s="18" t="s">
        <v>187</v>
      </c>
      <c r="G4817" s="18" t="s">
        <v>48</v>
      </c>
      <c r="H4817" s="24">
        <v>16960</v>
      </c>
      <c r="I4817" s="24">
        <f>T_reg.root.SK[[#This Row],[Volume, kg]]/1000</f>
        <v>16.96</v>
      </c>
      <c r="J4817" s="25">
        <v>0.22140000000000001</v>
      </c>
      <c r="K4817" s="25">
        <f t="shared" si="75"/>
        <v>3754.9440000000004</v>
      </c>
      <c r="L4817" s="25">
        <v>2.15</v>
      </c>
      <c r="M4817" s="24">
        <v>36469</v>
      </c>
      <c r="N4817" s="25">
        <f>IFERROR(T_reg.root.SK[[#This Row],[Price]]/T_reg.root.SK[[#This Row],[Starch content]],"")</f>
        <v>9.7109304426377587</v>
      </c>
    </row>
    <row r="4818" spans="1:14">
      <c r="A4818" s="21">
        <v>2024</v>
      </c>
      <c r="B4818" s="21" t="s">
        <v>29</v>
      </c>
      <c r="C4818" s="21" t="s">
        <v>1145</v>
      </c>
      <c r="D4818" s="21" t="s">
        <v>35</v>
      </c>
      <c r="E4818" s="18" t="s">
        <v>522</v>
      </c>
      <c r="F4818" s="18" t="s">
        <v>187</v>
      </c>
      <c r="G4818" s="18" t="s">
        <v>48</v>
      </c>
      <c r="H4818" s="24">
        <v>9810</v>
      </c>
      <c r="I4818" s="24">
        <f>T_reg.root.SK[[#This Row],[Volume, kg]]/1000</f>
        <v>9.81</v>
      </c>
      <c r="J4818" s="25">
        <v>0.28350000000000003</v>
      </c>
      <c r="K4818" s="25">
        <f t="shared" si="75"/>
        <v>2781.1350000000002</v>
      </c>
      <c r="L4818" s="25">
        <v>2.4500000000000002</v>
      </c>
      <c r="M4818" s="24">
        <v>24034.5</v>
      </c>
      <c r="N4818" s="25">
        <f>IFERROR(T_reg.root.SK[[#This Row],[Price]]/T_reg.root.SK[[#This Row],[Starch content]],"")</f>
        <v>8.6419753086419746</v>
      </c>
    </row>
    <row r="4819" spans="1:14">
      <c r="A4819" s="21">
        <v>2024</v>
      </c>
      <c r="B4819" s="21" t="s">
        <v>29</v>
      </c>
      <c r="C4819" s="21" t="s">
        <v>1145</v>
      </c>
      <c r="D4819" s="21" t="s">
        <v>35</v>
      </c>
      <c r="E4819" s="18" t="s">
        <v>610</v>
      </c>
      <c r="F4819" s="18" t="s">
        <v>187</v>
      </c>
      <c r="G4819" s="18" t="s">
        <v>48</v>
      </c>
      <c r="H4819" s="24">
        <v>7470</v>
      </c>
      <c r="I4819" s="24">
        <f>T_reg.root.SK[[#This Row],[Volume, kg]]/1000</f>
        <v>7.47</v>
      </c>
      <c r="J4819" s="25">
        <v>0.26850000000000002</v>
      </c>
      <c r="K4819" s="25">
        <f t="shared" si="75"/>
        <v>2005.6950000000002</v>
      </c>
      <c r="L4819" s="25">
        <v>2.35</v>
      </c>
      <c r="M4819" s="24">
        <v>17554.5</v>
      </c>
      <c r="N4819" s="25">
        <f>IFERROR(T_reg.root.SK[[#This Row],[Price]]/T_reg.root.SK[[#This Row],[Starch content]],"")</f>
        <v>8.7523277467411535</v>
      </c>
    </row>
    <row r="4820" spans="1:14">
      <c r="A4820" s="21">
        <v>2024</v>
      </c>
      <c r="B4820" s="21" t="s">
        <v>29</v>
      </c>
      <c r="C4820" s="21" t="s">
        <v>1145</v>
      </c>
      <c r="D4820" s="21" t="s">
        <v>35</v>
      </c>
      <c r="E4820" s="18" t="s">
        <v>197</v>
      </c>
      <c r="F4820" s="18" t="s">
        <v>187</v>
      </c>
      <c r="G4820" s="18" t="s">
        <v>48</v>
      </c>
      <c r="H4820" s="24">
        <v>20200</v>
      </c>
      <c r="I4820" s="24">
        <f>T_reg.root.SK[[#This Row],[Volume, kg]]/1000</f>
        <v>20.2</v>
      </c>
      <c r="J4820" s="25">
        <v>0.21679999999999999</v>
      </c>
      <c r="K4820" s="25">
        <f t="shared" si="75"/>
        <v>4379.3599999999997</v>
      </c>
      <c r="L4820" s="25">
        <v>2.1</v>
      </c>
      <c r="M4820" s="24">
        <v>42521</v>
      </c>
      <c r="N4820" s="25">
        <f>IFERROR(T_reg.root.SK[[#This Row],[Price]]/T_reg.root.SK[[#This Row],[Starch content]],"")</f>
        <v>9.6863468634686356</v>
      </c>
    </row>
    <row r="4821" spans="1:14">
      <c r="A4821" s="21">
        <v>2024</v>
      </c>
      <c r="B4821" s="21" t="s">
        <v>29</v>
      </c>
      <c r="C4821" s="21" t="s">
        <v>1145</v>
      </c>
      <c r="D4821" s="21" t="s">
        <v>35</v>
      </c>
      <c r="E4821" s="18" t="s">
        <v>201</v>
      </c>
      <c r="F4821" s="18" t="s">
        <v>187</v>
      </c>
      <c r="G4821" s="18" t="s">
        <v>48</v>
      </c>
      <c r="H4821" s="24">
        <v>119960</v>
      </c>
      <c r="I4821" s="24">
        <f>T_reg.root.SK[[#This Row],[Volume, kg]]/1000</f>
        <v>119.96</v>
      </c>
      <c r="J4821" s="25">
        <v>0.23850000000000002</v>
      </c>
      <c r="K4821" s="25">
        <f t="shared" si="75"/>
        <v>28610.460000000003</v>
      </c>
      <c r="L4821" s="25">
        <v>2.27</v>
      </c>
      <c r="M4821" s="24">
        <v>272066</v>
      </c>
      <c r="N4821" s="25">
        <f>IFERROR(T_reg.root.SK[[#This Row],[Price]]/T_reg.root.SK[[#This Row],[Starch content]],"")</f>
        <v>9.5178197064989511</v>
      </c>
    </row>
    <row r="4822" spans="1:14">
      <c r="A4822" s="21">
        <v>2024</v>
      </c>
      <c r="B4822" s="21" t="s">
        <v>29</v>
      </c>
      <c r="C4822" s="21" t="s">
        <v>1145</v>
      </c>
      <c r="D4822" s="21" t="s">
        <v>35</v>
      </c>
      <c r="E4822" s="18" t="s">
        <v>594</v>
      </c>
      <c r="F4822" s="18" t="s">
        <v>187</v>
      </c>
      <c r="G4822" s="18" t="s">
        <v>48</v>
      </c>
      <c r="H4822" s="24">
        <v>25700</v>
      </c>
      <c r="I4822" s="24">
        <f>T_reg.root.SK[[#This Row],[Volume, kg]]/1000</f>
        <v>25.7</v>
      </c>
      <c r="J4822" s="25">
        <v>0.20559999999999998</v>
      </c>
      <c r="K4822" s="25">
        <f t="shared" si="75"/>
        <v>5283.9199999999992</v>
      </c>
      <c r="L4822" s="25">
        <v>2.09</v>
      </c>
      <c r="M4822" s="24">
        <v>53629</v>
      </c>
      <c r="N4822" s="25">
        <f>IFERROR(T_reg.root.SK[[#This Row],[Price]]/T_reg.root.SK[[#This Row],[Starch content]],"")</f>
        <v>10.165369649805449</v>
      </c>
    </row>
    <row r="4823" spans="1:14">
      <c r="A4823" s="21">
        <v>2024</v>
      </c>
      <c r="B4823" s="21" t="s">
        <v>29</v>
      </c>
      <c r="C4823" s="21" t="s">
        <v>1145</v>
      </c>
      <c r="D4823" s="21" t="s">
        <v>35</v>
      </c>
      <c r="E4823" s="18" t="s">
        <v>206</v>
      </c>
      <c r="F4823" s="18" t="s">
        <v>187</v>
      </c>
      <c r="G4823" s="18" t="s">
        <v>48</v>
      </c>
      <c r="H4823" s="24">
        <v>7710</v>
      </c>
      <c r="I4823" s="24">
        <f>T_reg.root.SK[[#This Row],[Volume, kg]]/1000</f>
        <v>7.71</v>
      </c>
      <c r="J4823" s="25">
        <v>0.2</v>
      </c>
      <c r="K4823" s="25">
        <f t="shared" si="75"/>
        <v>1542</v>
      </c>
      <c r="L4823" s="25">
        <v>2.0499999999999998</v>
      </c>
      <c r="M4823" s="24">
        <v>15805.5</v>
      </c>
      <c r="N4823" s="25">
        <f>IFERROR(T_reg.root.SK[[#This Row],[Price]]/T_reg.root.SK[[#This Row],[Starch content]],"")</f>
        <v>10.249999999999998</v>
      </c>
    </row>
    <row r="4824" spans="1:14">
      <c r="A4824" s="21">
        <v>2024</v>
      </c>
      <c r="B4824" s="21" t="s">
        <v>29</v>
      </c>
      <c r="C4824" s="21" t="s">
        <v>1145</v>
      </c>
      <c r="D4824" s="21" t="s">
        <v>35</v>
      </c>
      <c r="E4824" s="18" t="s">
        <v>815</v>
      </c>
      <c r="F4824" s="18" t="s">
        <v>187</v>
      </c>
      <c r="G4824" s="18" t="s">
        <v>48</v>
      </c>
      <c r="H4824" s="24">
        <v>11370</v>
      </c>
      <c r="I4824" s="24">
        <f>T_reg.root.SK[[#This Row],[Volume, kg]]/1000</f>
        <v>11.37</v>
      </c>
      <c r="J4824" s="25">
        <v>0.2555</v>
      </c>
      <c r="K4824" s="25">
        <f t="shared" si="75"/>
        <v>2905.0349999999999</v>
      </c>
      <c r="L4824" s="25">
        <v>2.35</v>
      </c>
      <c r="M4824" s="24">
        <v>26719.5</v>
      </c>
      <c r="N4824" s="25">
        <f>IFERROR(T_reg.root.SK[[#This Row],[Price]]/T_reg.root.SK[[#This Row],[Starch content]],"")</f>
        <v>9.1976516634050878</v>
      </c>
    </row>
    <row r="4825" spans="1:14">
      <c r="A4825" s="21">
        <v>2024</v>
      </c>
      <c r="B4825" s="21" t="s">
        <v>29</v>
      </c>
      <c r="C4825" s="21" t="s">
        <v>1145</v>
      </c>
      <c r="D4825" s="21" t="s">
        <v>35</v>
      </c>
      <c r="E4825" s="18" t="s">
        <v>211</v>
      </c>
      <c r="F4825" s="18" t="s">
        <v>187</v>
      </c>
      <c r="G4825" s="18" t="s">
        <v>48</v>
      </c>
      <c r="H4825" s="24">
        <v>36700</v>
      </c>
      <c r="I4825" s="24">
        <f>T_reg.root.SK[[#This Row],[Volume, kg]]/1000</f>
        <v>36.700000000000003</v>
      </c>
      <c r="J4825" s="25">
        <v>0.2404</v>
      </c>
      <c r="K4825" s="25">
        <f t="shared" si="75"/>
        <v>8822.68</v>
      </c>
      <c r="L4825" s="25">
        <v>2.21</v>
      </c>
      <c r="M4825" s="24">
        <v>80989</v>
      </c>
      <c r="N4825" s="25">
        <f>IFERROR(T_reg.root.SK[[#This Row],[Price]]/T_reg.root.SK[[#This Row],[Starch content]],"")</f>
        <v>9.1930116472545755</v>
      </c>
    </row>
    <row r="4826" spans="1:14">
      <c r="A4826" s="21">
        <v>2024</v>
      </c>
      <c r="B4826" s="21" t="s">
        <v>29</v>
      </c>
      <c r="C4826" s="21" t="s">
        <v>1145</v>
      </c>
      <c r="D4826" s="21" t="s">
        <v>35</v>
      </c>
      <c r="E4826" s="18" t="s">
        <v>335</v>
      </c>
      <c r="F4826" s="18" t="s">
        <v>187</v>
      </c>
      <c r="G4826" s="18" t="s">
        <v>48</v>
      </c>
      <c r="H4826" s="24">
        <v>25120</v>
      </c>
      <c r="I4826" s="24">
        <f>T_reg.root.SK[[#This Row],[Volume, kg]]/1000</f>
        <v>25.12</v>
      </c>
      <c r="J4826" s="25">
        <v>0.27500000000000002</v>
      </c>
      <c r="K4826" s="25">
        <f t="shared" si="75"/>
        <v>6908.0000000000009</v>
      </c>
      <c r="L4826" s="25">
        <v>2.41</v>
      </c>
      <c r="M4826" s="24">
        <v>60615</v>
      </c>
      <c r="N4826" s="25">
        <f>IFERROR(T_reg.root.SK[[#This Row],[Price]]/T_reg.root.SK[[#This Row],[Starch content]],"")</f>
        <v>8.7636363636363637</v>
      </c>
    </row>
    <row r="4827" spans="1:14">
      <c r="A4827" s="21">
        <v>2024</v>
      </c>
      <c r="B4827" s="21" t="s">
        <v>29</v>
      </c>
      <c r="C4827" s="21" t="s">
        <v>1145</v>
      </c>
      <c r="D4827" s="21" t="s">
        <v>35</v>
      </c>
      <c r="E4827" s="18" t="s">
        <v>761</v>
      </c>
      <c r="F4827" s="18" t="s">
        <v>187</v>
      </c>
      <c r="G4827" s="18" t="s">
        <v>48</v>
      </c>
      <c r="H4827" s="24">
        <v>72390</v>
      </c>
      <c r="I4827" s="24">
        <f>T_reg.root.SK[[#This Row],[Volume, kg]]/1000</f>
        <v>72.39</v>
      </c>
      <c r="J4827" s="25">
        <v>0.26519999999999999</v>
      </c>
      <c r="K4827" s="25">
        <f t="shared" si="75"/>
        <v>19197.827999999998</v>
      </c>
      <c r="L4827" s="25">
        <v>2.34</v>
      </c>
      <c r="M4827" s="24">
        <v>169258</v>
      </c>
      <c r="N4827" s="25">
        <f>IFERROR(T_reg.root.SK[[#This Row],[Price]]/T_reg.root.SK[[#This Row],[Starch content]],"")</f>
        <v>8.8235294117647065</v>
      </c>
    </row>
    <row r="4828" spans="1:14">
      <c r="A4828" s="21">
        <v>2025</v>
      </c>
      <c r="B4828" s="21" t="s">
        <v>17</v>
      </c>
      <c r="C4828" s="21" t="s">
        <v>1145</v>
      </c>
      <c r="D4828" s="21" t="s">
        <v>35</v>
      </c>
      <c r="E4828" s="18" t="s">
        <v>970</v>
      </c>
      <c r="F4828" s="18" t="s">
        <v>653</v>
      </c>
      <c r="G4828" s="18" t="s">
        <v>48</v>
      </c>
      <c r="H4828" s="24">
        <v>5950</v>
      </c>
      <c r="I4828" s="24">
        <f>T_reg.root.SK[[#This Row],[Volume, kg]]/1000</f>
        <v>5.95</v>
      </c>
      <c r="J4828" s="25">
        <v>0.21350000000000002</v>
      </c>
      <c r="K4828" s="25">
        <f t="shared" si="75"/>
        <v>1270.325</v>
      </c>
      <c r="L4828" s="25">
        <v>2.0499999999999998</v>
      </c>
      <c r="M4828" s="24">
        <v>12197.5</v>
      </c>
      <c r="N4828" s="25">
        <f>IFERROR(T_reg.root.SK[[#This Row],[Price]]/T_reg.root.SK[[#This Row],[Starch content]],"")</f>
        <v>9.6018735362997631</v>
      </c>
    </row>
    <row r="4829" spans="1:14">
      <c r="A4829" s="21">
        <v>2025</v>
      </c>
      <c r="B4829" s="21" t="s">
        <v>17</v>
      </c>
      <c r="C4829" s="21" t="s">
        <v>1145</v>
      </c>
      <c r="D4829" s="21" t="s">
        <v>35</v>
      </c>
      <c r="E4829" s="18" t="s">
        <v>457</v>
      </c>
      <c r="F4829" s="18" t="s">
        <v>47</v>
      </c>
      <c r="G4829" s="18" t="s">
        <v>48</v>
      </c>
      <c r="H4829" s="24">
        <v>58900</v>
      </c>
      <c r="I4829" s="24">
        <f>T_reg.root.SK[[#This Row],[Volume, kg]]/1000</f>
        <v>58.9</v>
      </c>
      <c r="J4829" s="25">
        <v>0.24789999999999998</v>
      </c>
      <c r="K4829" s="25">
        <f t="shared" si="75"/>
        <v>14601.31</v>
      </c>
      <c r="L4829" s="25">
        <v>2.2400000000000002</v>
      </c>
      <c r="M4829" s="24">
        <v>131885.5</v>
      </c>
      <c r="N4829" s="25">
        <f>IFERROR(T_reg.root.SK[[#This Row],[Price]]/T_reg.root.SK[[#This Row],[Starch content]],"")</f>
        <v>9.035901573215007</v>
      </c>
    </row>
    <row r="4830" spans="1:14">
      <c r="A4830" s="21">
        <v>2025</v>
      </c>
      <c r="B4830" s="21" t="s">
        <v>17</v>
      </c>
      <c r="C4830" s="21" t="s">
        <v>1145</v>
      </c>
      <c r="D4830" s="21" t="s">
        <v>35</v>
      </c>
      <c r="E4830" s="18" t="s">
        <v>784</v>
      </c>
      <c r="F4830" s="18" t="s">
        <v>47</v>
      </c>
      <c r="G4830" s="18" t="s">
        <v>48</v>
      </c>
      <c r="H4830" s="24">
        <v>44840</v>
      </c>
      <c r="I4830" s="24">
        <f>T_reg.root.SK[[#This Row],[Volume, kg]]/1000</f>
        <v>44.84</v>
      </c>
      <c r="J4830" s="25">
        <v>0.2414</v>
      </c>
      <c r="K4830" s="25">
        <f t="shared" si="75"/>
        <v>10824.376</v>
      </c>
      <c r="L4830" s="25">
        <v>2.12</v>
      </c>
      <c r="M4830" s="24">
        <v>94982.5</v>
      </c>
      <c r="N4830" s="25">
        <f>IFERROR(T_reg.root.SK[[#This Row],[Price]]/T_reg.root.SK[[#This Row],[Starch content]],"")</f>
        <v>8.7821043910521954</v>
      </c>
    </row>
    <row r="4831" spans="1:14">
      <c r="A4831" s="21">
        <v>2025</v>
      </c>
      <c r="B4831" s="21" t="s">
        <v>17</v>
      </c>
      <c r="C4831" s="21" t="s">
        <v>1145</v>
      </c>
      <c r="D4831" s="21" t="s">
        <v>35</v>
      </c>
      <c r="E4831" s="18" t="s">
        <v>46</v>
      </c>
      <c r="F4831" s="18" t="s">
        <v>47</v>
      </c>
      <c r="G4831" s="18" t="s">
        <v>48</v>
      </c>
      <c r="H4831" s="24">
        <v>595840</v>
      </c>
      <c r="I4831" s="24">
        <f>T_reg.root.SK[[#This Row],[Volume, kg]]/1000</f>
        <v>595.84</v>
      </c>
      <c r="J4831" s="25">
        <v>0.26350000000000001</v>
      </c>
      <c r="K4831" s="25">
        <f t="shared" si="75"/>
        <v>157003.84</v>
      </c>
      <c r="L4831" s="25">
        <v>2.27</v>
      </c>
      <c r="M4831" s="24">
        <v>1353454.5</v>
      </c>
      <c r="N4831" s="25">
        <f>IFERROR(T_reg.root.SK[[#This Row],[Price]]/T_reg.root.SK[[#This Row],[Starch content]],"")</f>
        <v>8.6148007590132831</v>
      </c>
    </row>
    <row r="4832" spans="1:14">
      <c r="A4832" s="21">
        <v>2025</v>
      </c>
      <c r="B4832" s="21" t="s">
        <v>17</v>
      </c>
      <c r="C4832" s="21" t="s">
        <v>1145</v>
      </c>
      <c r="D4832" s="21" t="s">
        <v>35</v>
      </c>
      <c r="E4832" s="18" t="s">
        <v>49</v>
      </c>
      <c r="F4832" s="18" t="s">
        <v>47</v>
      </c>
      <c r="G4832" s="18" t="s">
        <v>48</v>
      </c>
      <c r="H4832" s="24">
        <v>74720</v>
      </c>
      <c r="I4832" s="24">
        <f>T_reg.root.SK[[#This Row],[Volume, kg]]/1000</f>
        <v>74.72</v>
      </c>
      <c r="J4832" s="25">
        <v>0.25409999999999999</v>
      </c>
      <c r="K4832" s="25">
        <f t="shared" si="75"/>
        <v>18986.351999999999</v>
      </c>
      <c r="L4832" s="25">
        <v>2.1800000000000002</v>
      </c>
      <c r="M4832" s="24">
        <v>162977.5</v>
      </c>
      <c r="N4832" s="25">
        <f>IFERROR(T_reg.root.SK[[#This Row],[Price]]/T_reg.root.SK[[#This Row],[Starch content]],"")</f>
        <v>8.579299488390399</v>
      </c>
    </row>
    <row r="4833" spans="1:14">
      <c r="A4833" s="21">
        <v>2025</v>
      </c>
      <c r="B4833" s="21" t="s">
        <v>17</v>
      </c>
      <c r="C4833" s="21" t="s">
        <v>1145</v>
      </c>
      <c r="D4833" s="21" t="s">
        <v>35</v>
      </c>
      <c r="E4833" s="18" t="s">
        <v>50</v>
      </c>
      <c r="F4833" s="18" t="s">
        <v>47</v>
      </c>
      <c r="G4833" s="18" t="s">
        <v>48</v>
      </c>
      <c r="H4833" s="24">
        <v>17940</v>
      </c>
      <c r="I4833" s="24">
        <f>T_reg.root.SK[[#This Row],[Volume, kg]]/1000</f>
        <v>17.940000000000001</v>
      </c>
      <c r="J4833" s="25">
        <v>0.24559999999999998</v>
      </c>
      <c r="K4833" s="25">
        <f t="shared" si="75"/>
        <v>4406.0639999999994</v>
      </c>
      <c r="L4833" s="25">
        <v>2.17</v>
      </c>
      <c r="M4833" s="24">
        <v>38953.5</v>
      </c>
      <c r="N4833" s="25">
        <f>IFERROR(T_reg.root.SK[[#This Row],[Price]]/T_reg.root.SK[[#This Row],[Starch content]],"")</f>
        <v>8.835504885993485</v>
      </c>
    </row>
    <row r="4834" spans="1:14">
      <c r="A4834" s="21">
        <v>2025</v>
      </c>
      <c r="B4834" s="21" t="s">
        <v>17</v>
      </c>
      <c r="C4834" s="21" t="s">
        <v>1145</v>
      </c>
      <c r="D4834" s="21" t="s">
        <v>35</v>
      </c>
      <c r="E4834" s="18" t="s">
        <v>51</v>
      </c>
      <c r="F4834" s="18" t="s">
        <v>47</v>
      </c>
      <c r="G4834" s="18" t="s">
        <v>48</v>
      </c>
      <c r="H4834" s="24">
        <v>187850</v>
      </c>
      <c r="I4834" s="24">
        <f>T_reg.root.SK[[#This Row],[Volume, kg]]/1000</f>
        <v>187.85</v>
      </c>
      <c r="J4834" s="25">
        <v>0.26250000000000001</v>
      </c>
      <c r="K4834" s="25">
        <f t="shared" si="75"/>
        <v>49310.625</v>
      </c>
      <c r="L4834" s="25">
        <v>2.3199999999999998</v>
      </c>
      <c r="M4834" s="24">
        <v>435314</v>
      </c>
      <c r="N4834" s="25">
        <f>IFERROR(T_reg.root.SK[[#This Row],[Price]]/T_reg.root.SK[[#This Row],[Starch content]],"")</f>
        <v>8.8380952380952369</v>
      </c>
    </row>
    <row r="4835" spans="1:14">
      <c r="A4835" s="21">
        <v>2025</v>
      </c>
      <c r="B4835" s="21" t="s">
        <v>17</v>
      </c>
      <c r="C4835" s="21" t="s">
        <v>1145</v>
      </c>
      <c r="D4835" s="21" t="s">
        <v>35</v>
      </c>
      <c r="E4835" s="18" t="s">
        <v>336</v>
      </c>
      <c r="F4835" s="18" t="s">
        <v>47</v>
      </c>
      <c r="G4835" s="18" t="s">
        <v>48</v>
      </c>
      <c r="H4835" s="24">
        <v>209230</v>
      </c>
      <c r="I4835" s="24">
        <f>T_reg.root.SK[[#This Row],[Volume, kg]]/1000</f>
        <v>209.23</v>
      </c>
      <c r="J4835" s="25">
        <v>0.26239999999999997</v>
      </c>
      <c r="K4835" s="25">
        <f t="shared" si="75"/>
        <v>54901.95199999999</v>
      </c>
      <c r="L4835" s="25">
        <v>2.2599999999999998</v>
      </c>
      <c r="M4835" s="24">
        <v>473141</v>
      </c>
      <c r="N4835" s="25">
        <f>IFERROR(T_reg.root.SK[[#This Row],[Price]]/T_reg.root.SK[[#This Row],[Starch content]],"")</f>
        <v>8.6128048780487809</v>
      </c>
    </row>
    <row r="4836" spans="1:14">
      <c r="A4836" s="21">
        <v>2025</v>
      </c>
      <c r="B4836" s="21" t="s">
        <v>17</v>
      </c>
      <c r="C4836" s="21" t="s">
        <v>1145</v>
      </c>
      <c r="D4836" s="21" t="s">
        <v>35</v>
      </c>
      <c r="E4836" s="18" t="s">
        <v>642</v>
      </c>
      <c r="F4836" s="18" t="s">
        <v>47</v>
      </c>
      <c r="G4836" s="18" t="s">
        <v>48</v>
      </c>
      <c r="H4836" s="24">
        <v>137690</v>
      </c>
      <c r="I4836" s="24">
        <f>T_reg.root.SK[[#This Row],[Volume, kg]]/1000</f>
        <v>137.69</v>
      </c>
      <c r="J4836" s="25">
        <v>0.26289999999999997</v>
      </c>
      <c r="K4836" s="25">
        <f t="shared" si="75"/>
        <v>36198.700999999994</v>
      </c>
      <c r="L4836" s="25">
        <v>2.2799999999999998</v>
      </c>
      <c r="M4836" s="24">
        <v>314057</v>
      </c>
      <c r="N4836" s="25">
        <f>IFERROR(T_reg.root.SK[[#This Row],[Price]]/T_reg.root.SK[[#This Row],[Starch content]],"")</f>
        <v>8.6724990490680867</v>
      </c>
    </row>
    <row r="4837" spans="1:14">
      <c r="A4837" s="21">
        <v>2025</v>
      </c>
      <c r="B4837" s="21" t="s">
        <v>17</v>
      </c>
      <c r="C4837" s="21" t="s">
        <v>1145</v>
      </c>
      <c r="D4837" s="21" t="s">
        <v>35</v>
      </c>
      <c r="E4837" s="18" t="s">
        <v>52</v>
      </c>
      <c r="F4837" s="18" t="s">
        <v>47</v>
      </c>
      <c r="G4837" s="18" t="s">
        <v>48</v>
      </c>
      <c r="H4837" s="24">
        <v>141000</v>
      </c>
      <c r="I4837" s="24">
        <f>T_reg.root.SK[[#This Row],[Volume, kg]]/1000</f>
        <v>141</v>
      </c>
      <c r="J4837" s="25">
        <v>0.2162</v>
      </c>
      <c r="K4837" s="25">
        <f t="shared" si="75"/>
        <v>30484.2</v>
      </c>
      <c r="L4837" s="25">
        <v>2.02</v>
      </c>
      <c r="M4837" s="24">
        <v>284838</v>
      </c>
      <c r="N4837" s="25">
        <f>IFERROR(T_reg.root.SK[[#This Row],[Price]]/T_reg.root.SK[[#This Row],[Starch content]],"")</f>
        <v>9.3432007400555044</v>
      </c>
    </row>
    <row r="4838" spans="1:14">
      <c r="A4838" s="21">
        <v>2025</v>
      </c>
      <c r="B4838" s="21" t="s">
        <v>17</v>
      </c>
      <c r="C4838" s="21" t="s">
        <v>1145</v>
      </c>
      <c r="D4838" s="21" t="s">
        <v>35</v>
      </c>
      <c r="E4838" s="18" t="s">
        <v>78</v>
      </c>
      <c r="F4838" s="18" t="s">
        <v>47</v>
      </c>
      <c r="G4838" s="18" t="s">
        <v>48</v>
      </c>
      <c r="H4838" s="24">
        <v>24310</v>
      </c>
      <c r="I4838" s="24">
        <f>T_reg.root.SK[[#This Row],[Volume, kg]]/1000</f>
        <v>24.31</v>
      </c>
      <c r="J4838" s="25">
        <v>0.2661</v>
      </c>
      <c r="K4838" s="25">
        <f t="shared" si="75"/>
        <v>6468.8910000000005</v>
      </c>
      <c r="L4838" s="25">
        <v>2.23</v>
      </c>
      <c r="M4838" s="24">
        <v>54306.5</v>
      </c>
      <c r="N4838" s="25">
        <f>IFERROR(T_reg.root.SK[[#This Row],[Price]]/T_reg.root.SK[[#This Row],[Starch content]],"")</f>
        <v>8.3803081548290113</v>
      </c>
    </row>
    <row r="4839" spans="1:14">
      <c r="A4839" s="21">
        <v>2025</v>
      </c>
      <c r="B4839" s="21" t="s">
        <v>17</v>
      </c>
      <c r="C4839" s="21" t="s">
        <v>1145</v>
      </c>
      <c r="D4839" s="21" t="s">
        <v>35</v>
      </c>
      <c r="E4839" s="18" t="s">
        <v>53</v>
      </c>
      <c r="F4839" s="18" t="s">
        <v>47</v>
      </c>
      <c r="G4839" s="18" t="s">
        <v>48</v>
      </c>
      <c r="H4839" s="24">
        <v>20370</v>
      </c>
      <c r="I4839" s="24">
        <f>T_reg.root.SK[[#This Row],[Volume, kg]]/1000</f>
        <v>20.37</v>
      </c>
      <c r="J4839" s="25">
        <v>0.2898</v>
      </c>
      <c r="K4839" s="25">
        <f t="shared" si="75"/>
        <v>5903.2259999999997</v>
      </c>
      <c r="L4839" s="25">
        <v>2.4500000000000002</v>
      </c>
      <c r="M4839" s="24">
        <v>49906.5</v>
      </c>
      <c r="N4839" s="25">
        <f>IFERROR(T_reg.root.SK[[#This Row],[Price]]/T_reg.root.SK[[#This Row],[Starch content]],"")</f>
        <v>8.454106280193237</v>
      </c>
    </row>
    <row r="4840" spans="1:14">
      <c r="A4840" s="21">
        <v>2025</v>
      </c>
      <c r="B4840" s="21" t="s">
        <v>17</v>
      </c>
      <c r="C4840" s="21" t="s">
        <v>1145</v>
      </c>
      <c r="D4840" s="21" t="s">
        <v>35</v>
      </c>
      <c r="E4840" s="18" t="s">
        <v>744</v>
      </c>
      <c r="F4840" s="18" t="s">
        <v>47</v>
      </c>
      <c r="G4840" s="18" t="s">
        <v>48</v>
      </c>
      <c r="H4840" s="24">
        <v>12430</v>
      </c>
      <c r="I4840" s="24">
        <f>T_reg.root.SK[[#This Row],[Volume, kg]]/1000</f>
        <v>12.43</v>
      </c>
      <c r="J4840" s="25">
        <v>0.252</v>
      </c>
      <c r="K4840" s="25">
        <f t="shared" si="75"/>
        <v>3132.36</v>
      </c>
      <c r="L4840" s="25">
        <v>2.25</v>
      </c>
      <c r="M4840" s="24">
        <v>27951</v>
      </c>
      <c r="N4840" s="25">
        <f>IFERROR(T_reg.root.SK[[#This Row],[Price]]/T_reg.root.SK[[#This Row],[Starch content]],"")</f>
        <v>8.9285714285714288</v>
      </c>
    </row>
    <row r="4841" spans="1:14">
      <c r="A4841" s="21">
        <v>2025</v>
      </c>
      <c r="B4841" s="21" t="s">
        <v>17</v>
      </c>
      <c r="C4841" s="21" t="s">
        <v>1145</v>
      </c>
      <c r="D4841" s="21" t="s">
        <v>35</v>
      </c>
      <c r="E4841" s="18" t="s">
        <v>56</v>
      </c>
      <c r="F4841" s="18" t="s">
        <v>47</v>
      </c>
      <c r="G4841" s="18" t="s">
        <v>48</v>
      </c>
      <c r="H4841" s="24">
        <v>199540</v>
      </c>
      <c r="I4841" s="24">
        <f>T_reg.root.SK[[#This Row],[Volume, kg]]/1000</f>
        <v>199.54</v>
      </c>
      <c r="J4841" s="25">
        <v>0.26219999999999999</v>
      </c>
      <c r="K4841" s="25">
        <f t="shared" si="75"/>
        <v>52319.387999999999</v>
      </c>
      <c r="L4841" s="25">
        <v>2.2599999999999998</v>
      </c>
      <c r="M4841" s="24">
        <v>450417</v>
      </c>
      <c r="N4841" s="25">
        <f>IFERROR(T_reg.root.SK[[#This Row],[Price]]/T_reg.root.SK[[#This Row],[Starch content]],"")</f>
        <v>8.6193745232646837</v>
      </c>
    </row>
    <row r="4842" spans="1:14">
      <c r="A4842" s="21">
        <v>2025</v>
      </c>
      <c r="B4842" s="21" t="s">
        <v>17</v>
      </c>
      <c r="C4842" s="21" t="s">
        <v>1145</v>
      </c>
      <c r="D4842" s="21" t="s">
        <v>35</v>
      </c>
      <c r="E4842" s="18" t="s">
        <v>462</v>
      </c>
      <c r="F4842" s="18" t="s">
        <v>47</v>
      </c>
      <c r="G4842" s="18" t="s">
        <v>48</v>
      </c>
      <c r="H4842" s="24">
        <v>16350</v>
      </c>
      <c r="I4842" s="24">
        <f>T_reg.root.SK[[#This Row],[Volume, kg]]/1000</f>
        <v>16.350000000000001</v>
      </c>
      <c r="J4842" s="25">
        <v>0.27399999999999997</v>
      </c>
      <c r="K4842" s="25">
        <f t="shared" si="75"/>
        <v>4479.8999999999996</v>
      </c>
      <c r="L4842" s="25">
        <v>2.27</v>
      </c>
      <c r="M4842" s="24">
        <v>37036.5</v>
      </c>
      <c r="N4842" s="25">
        <f>IFERROR(T_reg.root.SK[[#This Row],[Price]]/T_reg.root.SK[[#This Row],[Starch content]],"")</f>
        <v>8.2846715328467173</v>
      </c>
    </row>
    <row r="4843" spans="1:14">
      <c r="A4843" s="21">
        <v>2025</v>
      </c>
      <c r="B4843" s="21" t="s">
        <v>17</v>
      </c>
      <c r="C4843" s="21" t="s">
        <v>1145</v>
      </c>
      <c r="D4843" s="21" t="s">
        <v>35</v>
      </c>
      <c r="E4843" s="18" t="s">
        <v>625</v>
      </c>
      <c r="F4843" s="18" t="s">
        <v>47</v>
      </c>
      <c r="G4843" s="18" t="s">
        <v>48</v>
      </c>
      <c r="H4843" s="24">
        <v>72590</v>
      </c>
      <c r="I4843" s="24">
        <f>T_reg.root.SK[[#This Row],[Volume, kg]]/1000</f>
        <v>72.59</v>
      </c>
      <c r="J4843" s="25">
        <v>0.28550000000000003</v>
      </c>
      <c r="K4843" s="25">
        <f t="shared" si="75"/>
        <v>20724.445000000003</v>
      </c>
      <c r="L4843" s="25">
        <v>2.34</v>
      </c>
      <c r="M4843" s="24">
        <v>169505</v>
      </c>
      <c r="N4843" s="25">
        <f>IFERROR(T_reg.root.SK[[#This Row],[Price]]/T_reg.root.SK[[#This Row],[Starch content]],"")</f>
        <v>8.196147110332749</v>
      </c>
    </row>
    <row r="4844" spans="1:14">
      <c r="A4844" s="21">
        <v>2025</v>
      </c>
      <c r="B4844" s="21" t="s">
        <v>17</v>
      </c>
      <c r="C4844" s="21" t="s">
        <v>1145</v>
      </c>
      <c r="D4844" s="21" t="s">
        <v>35</v>
      </c>
      <c r="E4844" s="18" t="s">
        <v>57</v>
      </c>
      <c r="F4844" s="18" t="s">
        <v>47</v>
      </c>
      <c r="G4844" s="18" t="s">
        <v>48</v>
      </c>
      <c r="H4844" s="24">
        <v>243360</v>
      </c>
      <c r="I4844" s="24">
        <f>T_reg.root.SK[[#This Row],[Volume, kg]]/1000</f>
        <v>243.36</v>
      </c>
      <c r="J4844" s="25">
        <v>0.24929999999999999</v>
      </c>
      <c r="K4844" s="25">
        <f t="shared" si="75"/>
        <v>60669.648000000001</v>
      </c>
      <c r="L4844" s="25">
        <v>2.2000000000000002</v>
      </c>
      <c r="M4844" s="24">
        <v>534747</v>
      </c>
      <c r="N4844" s="25">
        <f>IFERROR(T_reg.root.SK[[#This Row],[Price]]/T_reg.root.SK[[#This Row],[Starch content]],"")</f>
        <v>8.8247091857200175</v>
      </c>
    </row>
    <row r="4845" spans="1:14">
      <c r="A4845" s="21">
        <v>2025</v>
      </c>
      <c r="B4845" s="21" t="s">
        <v>17</v>
      </c>
      <c r="C4845" s="21" t="s">
        <v>1145</v>
      </c>
      <c r="D4845" s="21" t="s">
        <v>35</v>
      </c>
      <c r="E4845" s="18" t="s">
        <v>379</v>
      </c>
      <c r="F4845" s="18" t="s">
        <v>47</v>
      </c>
      <c r="G4845" s="18" t="s">
        <v>48</v>
      </c>
      <c r="H4845" s="24">
        <v>12660</v>
      </c>
      <c r="I4845" s="24">
        <f>T_reg.root.SK[[#This Row],[Volume, kg]]/1000</f>
        <v>12.66</v>
      </c>
      <c r="J4845" s="25">
        <v>0.25590000000000002</v>
      </c>
      <c r="K4845" s="25">
        <f t="shared" si="75"/>
        <v>3239.6940000000004</v>
      </c>
      <c r="L4845" s="25">
        <v>2.1800000000000002</v>
      </c>
      <c r="M4845" s="24">
        <v>27573.5</v>
      </c>
      <c r="N4845" s="25">
        <f>IFERROR(T_reg.root.SK[[#This Row],[Price]]/T_reg.root.SK[[#This Row],[Starch content]],"")</f>
        <v>8.5189527159046499</v>
      </c>
    </row>
    <row r="4846" spans="1:14">
      <c r="A4846" s="21">
        <v>2025</v>
      </c>
      <c r="B4846" s="21" t="s">
        <v>17</v>
      </c>
      <c r="C4846" s="21" t="s">
        <v>1145</v>
      </c>
      <c r="D4846" s="21" t="s">
        <v>35</v>
      </c>
      <c r="E4846" s="18" t="s">
        <v>465</v>
      </c>
      <c r="F4846" s="18" t="s">
        <v>47</v>
      </c>
      <c r="G4846" s="18" t="s">
        <v>48</v>
      </c>
      <c r="H4846" s="24">
        <v>127430</v>
      </c>
      <c r="I4846" s="24">
        <f>T_reg.root.SK[[#This Row],[Volume, kg]]/1000</f>
        <v>127.43</v>
      </c>
      <c r="J4846" s="25">
        <v>0.26340000000000002</v>
      </c>
      <c r="K4846" s="25">
        <f t="shared" si="75"/>
        <v>33565.062000000005</v>
      </c>
      <c r="L4846" s="25">
        <v>2.2200000000000002</v>
      </c>
      <c r="M4846" s="24">
        <v>283023</v>
      </c>
      <c r="N4846" s="25">
        <f>IFERROR(T_reg.root.SK[[#This Row],[Price]]/T_reg.root.SK[[#This Row],[Starch content]],"")</f>
        <v>8.428246013667426</v>
      </c>
    </row>
    <row r="4847" spans="1:14">
      <c r="A4847" s="21">
        <v>2025</v>
      </c>
      <c r="B4847" s="21" t="s">
        <v>17</v>
      </c>
      <c r="C4847" s="21" t="s">
        <v>1145</v>
      </c>
      <c r="D4847" s="21" t="s">
        <v>35</v>
      </c>
      <c r="E4847" s="18" t="s">
        <v>58</v>
      </c>
      <c r="F4847" s="18" t="s">
        <v>47</v>
      </c>
      <c r="G4847" s="18" t="s">
        <v>48</v>
      </c>
      <c r="H4847" s="24">
        <v>70270</v>
      </c>
      <c r="I4847" s="24">
        <f>T_reg.root.SK[[#This Row],[Volume, kg]]/1000</f>
        <v>70.27</v>
      </c>
      <c r="J4847" s="25">
        <v>0.22920000000000001</v>
      </c>
      <c r="K4847" s="25">
        <f t="shared" si="75"/>
        <v>16105.884000000002</v>
      </c>
      <c r="L4847" s="25">
        <v>2.11</v>
      </c>
      <c r="M4847" s="24">
        <v>148501.5</v>
      </c>
      <c r="N4847" s="25">
        <f>IFERROR(T_reg.root.SK[[#This Row],[Price]]/T_reg.root.SK[[#This Row],[Starch content]],"")</f>
        <v>9.2059336823734714</v>
      </c>
    </row>
    <row r="4848" spans="1:14">
      <c r="A4848" s="21">
        <v>2025</v>
      </c>
      <c r="B4848" s="21" t="s">
        <v>17</v>
      </c>
      <c r="C4848" s="21" t="s">
        <v>1145</v>
      </c>
      <c r="D4848" s="21" t="s">
        <v>35</v>
      </c>
      <c r="E4848" s="18" t="s">
        <v>59</v>
      </c>
      <c r="F4848" s="18" t="s">
        <v>47</v>
      </c>
      <c r="G4848" s="18" t="s">
        <v>48</v>
      </c>
      <c r="H4848" s="24">
        <v>44870</v>
      </c>
      <c r="I4848" s="24">
        <f>T_reg.root.SK[[#This Row],[Volume, kg]]/1000</f>
        <v>44.87</v>
      </c>
      <c r="J4848" s="25">
        <v>0.23199999999999998</v>
      </c>
      <c r="K4848" s="25">
        <f t="shared" si="75"/>
        <v>10409.84</v>
      </c>
      <c r="L4848" s="25">
        <v>2.08</v>
      </c>
      <c r="M4848" s="24">
        <v>93265.5</v>
      </c>
      <c r="N4848" s="25">
        <f>IFERROR(T_reg.root.SK[[#This Row],[Price]]/T_reg.root.SK[[#This Row],[Starch content]],"")</f>
        <v>8.9655172413793114</v>
      </c>
    </row>
    <row r="4849" spans="1:14">
      <c r="A4849" s="21">
        <v>2025</v>
      </c>
      <c r="B4849" s="21" t="s">
        <v>17</v>
      </c>
      <c r="C4849" s="21" t="s">
        <v>1145</v>
      </c>
      <c r="D4849" s="21" t="s">
        <v>35</v>
      </c>
      <c r="E4849" s="18" t="s">
        <v>60</v>
      </c>
      <c r="F4849" s="18" t="s">
        <v>47</v>
      </c>
      <c r="G4849" s="18" t="s">
        <v>48</v>
      </c>
      <c r="H4849" s="24">
        <v>195150</v>
      </c>
      <c r="I4849" s="24">
        <f>T_reg.root.SK[[#This Row],[Volume, kg]]/1000</f>
        <v>195.15</v>
      </c>
      <c r="J4849" s="25">
        <v>0.24960000000000002</v>
      </c>
      <c r="K4849" s="25">
        <f t="shared" si="75"/>
        <v>48709.440000000002</v>
      </c>
      <c r="L4849" s="25">
        <v>2.1800000000000002</v>
      </c>
      <c r="M4849" s="24">
        <v>424961.5</v>
      </c>
      <c r="N4849" s="25">
        <f>IFERROR(T_reg.root.SK[[#This Row],[Price]]/T_reg.root.SK[[#This Row],[Starch content]],"")</f>
        <v>8.7339743589743595</v>
      </c>
    </row>
    <row r="4850" spans="1:14">
      <c r="A4850" s="21">
        <v>2025</v>
      </c>
      <c r="B4850" s="21" t="s">
        <v>17</v>
      </c>
      <c r="C4850" s="21" t="s">
        <v>1145</v>
      </c>
      <c r="D4850" s="21" t="s">
        <v>35</v>
      </c>
      <c r="E4850" s="18" t="s">
        <v>643</v>
      </c>
      <c r="F4850" s="18" t="s">
        <v>47</v>
      </c>
      <c r="G4850" s="18" t="s">
        <v>48</v>
      </c>
      <c r="H4850" s="24">
        <v>148200</v>
      </c>
      <c r="I4850" s="24">
        <f>T_reg.root.SK[[#This Row],[Volume, kg]]/1000</f>
        <v>148.19999999999999</v>
      </c>
      <c r="J4850" s="25">
        <v>0.24539999999999998</v>
      </c>
      <c r="K4850" s="25">
        <f t="shared" si="75"/>
        <v>36368.28</v>
      </c>
      <c r="L4850" s="25">
        <v>2.21</v>
      </c>
      <c r="M4850" s="24">
        <v>327025.5</v>
      </c>
      <c r="N4850" s="25">
        <f>IFERROR(T_reg.root.SK[[#This Row],[Price]]/T_reg.root.SK[[#This Row],[Starch content]],"")</f>
        <v>9.0057049714751436</v>
      </c>
    </row>
    <row r="4851" spans="1:14">
      <c r="A4851" s="21">
        <v>2025</v>
      </c>
      <c r="B4851" s="21" t="s">
        <v>17</v>
      </c>
      <c r="C4851" s="21" t="s">
        <v>1145</v>
      </c>
      <c r="D4851" s="21" t="s">
        <v>35</v>
      </c>
      <c r="E4851" s="18" t="s">
        <v>548</v>
      </c>
      <c r="F4851" s="18" t="s">
        <v>47</v>
      </c>
      <c r="G4851" s="18" t="s">
        <v>48</v>
      </c>
      <c r="H4851" s="24">
        <v>114550</v>
      </c>
      <c r="I4851" s="24">
        <f>T_reg.root.SK[[#This Row],[Volume, kg]]/1000</f>
        <v>114.55</v>
      </c>
      <c r="J4851" s="25">
        <v>0.26550000000000001</v>
      </c>
      <c r="K4851" s="25">
        <f t="shared" si="75"/>
        <v>30413.025000000001</v>
      </c>
      <c r="L4851" s="25">
        <v>2.2799999999999998</v>
      </c>
      <c r="M4851" s="24">
        <v>260798</v>
      </c>
      <c r="N4851" s="25">
        <f>IFERROR(T_reg.root.SK[[#This Row],[Price]]/T_reg.root.SK[[#This Row],[Starch content]],"")</f>
        <v>8.5875706214689256</v>
      </c>
    </row>
    <row r="4852" spans="1:14">
      <c r="A4852" s="21">
        <v>2025</v>
      </c>
      <c r="B4852" s="21" t="s">
        <v>17</v>
      </c>
      <c r="C4852" s="21" t="s">
        <v>1145</v>
      </c>
      <c r="D4852" s="21" t="s">
        <v>35</v>
      </c>
      <c r="E4852" s="18" t="s">
        <v>467</v>
      </c>
      <c r="F4852" s="18" t="s">
        <v>47</v>
      </c>
      <c r="G4852" s="18" t="s">
        <v>48</v>
      </c>
      <c r="H4852" s="24">
        <v>58450</v>
      </c>
      <c r="I4852" s="24">
        <f>T_reg.root.SK[[#This Row],[Volume, kg]]/1000</f>
        <v>58.45</v>
      </c>
      <c r="J4852" s="25">
        <v>0.26129999999999998</v>
      </c>
      <c r="K4852" s="25">
        <f t="shared" si="75"/>
        <v>15272.984999999999</v>
      </c>
      <c r="L4852" s="25">
        <v>2.31</v>
      </c>
      <c r="M4852" s="24">
        <v>135184</v>
      </c>
      <c r="N4852" s="25">
        <f>IFERROR(T_reg.root.SK[[#This Row],[Price]]/T_reg.root.SK[[#This Row],[Starch content]],"")</f>
        <v>8.8404133180252593</v>
      </c>
    </row>
    <row r="4853" spans="1:14">
      <c r="A4853" s="21">
        <v>2025</v>
      </c>
      <c r="B4853" s="21" t="s">
        <v>17</v>
      </c>
      <c r="C4853" s="21" t="s">
        <v>1145</v>
      </c>
      <c r="D4853" s="21" t="s">
        <v>35</v>
      </c>
      <c r="E4853" s="18" t="s">
        <v>61</v>
      </c>
      <c r="F4853" s="18" t="s">
        <v>47</v>
      </c>
      <c r="G4853" s="18" t="s">
        <v>48</v>
      </c>
      <c r="H4853" s="24">
        <v>150950</v>
      </c>
      <c r="I4853" s="24">
        <f>T_reg.root.SK[[#This Row],[Volume, kg]]/1000</f>
        <v>150.94999999999999</v>
      </c>
      <c r="J4853" s="25">
        <v>0.25230000000000002</v>
      </c>
      <c r="K4853" s="25">
        <f t="shared" si="75"/>
        <v>38084.685000000005</v>
      </c>
      <c r="L4853" s="25">
        <v>2.2000000000000002</v>
      </c>
      <c r="M4853" s="24">
        <v>332838</v>
      </c>
      <c r="N4853" s="25">
        <f>IFERROR(T_reg.root.SK[[#This Row],[Price]]/T_reg.root.SK[[#This Row],[Starch content]],"")</f>
        <v>8.7197780420134752</v>
      </c>
    </row>
    <row r="4854" spans="1:14">
      <c r="A4854" s="21">
        <v>2025</v>
      </c>
      <c r="B4854" s="21" t="s">
        <v>17</v>
      </c>
      <c r="C4854" s="21" t="s">
        <v>1145</v>
      </c>
      <c r="D4854" s="21" t="s">
        <v>35</v>
      </c>
      <c r="E4854" s="18" t="s">
        <v>657</v>
      </c>
      <c r="F4854" s="18" t="s">
        <v>47</v>
      </c>
      <c r="G4854" s="18" t="s">
        <v>48</v>
      </c>
      <c r="H4854" s="24">
        <v>5870</v>
      </c>
      <c r="I4854" s="24">
        <f>T_reg.root.SK[[#This Row],[Volume, kg]]/1000</f>
        <v>5.87</v>
      </c>
      <c r="J4854" s="25">
        <v>0.24100000000000002</v>
      </c>
      <c r="K4854" s="25">
        <f t="shared" si="75"/>
        <v>1414.67</v>
      </c>
      <c r="L4854" s="25">
        <v>2.2000000000000002</v>
      </c>
      <c r="M4854" s="24">
        <v>12914</v>
      </c>
      <c r="N4854" s="25">
        <f>IFERROR(T_reg.root.SK[[#This Row],[Price]]/T_reg.root.SK[[#This Row],[Starch content]],"")</f>
        <v>9.1286307053941904</v>
      </c>
    </row>
    <row r="4855" spans="1:14">
      <c r="A4855" s="21">
        <v>2025</v>
      </c>
      <c r="B4855" s="21" t="s">
        <v>17</v>
      </c>
      <c r="C4855" s="21" t="s">
        <v>1145</v>
      </c>
      <c r="D4855" s="21" t="s">
        <v>35</v>
      </c>
      <c r="E4855" s="18" t="s">
        <v>468</v>
      </c>
      <c r="F4855" s="18" t="s">
        <v>47</v>
      </c>
      <c r="G4855" s="18" t="s">
        <v>48</v>
      </c>
      <c r="H4855" s="24">
        <v>168700</v>
      </c>
      <c r="I4855" s="24">
        <f>T_reg.root.SK[[#This Row],[Volume, kg]]/1000</f>
        <v>168.7</v>
      </c>
      <c r="J4855" s="25">
        <v>0.248</v>
      </c>
      <c r="K4855" s="25">
        <f t="shared" si="75"/>
        <v>41837.599999999999</v>
      </c>
      <c r="L4855" s="25">
        <v>2.19</v>
      </c>
      <c r="M4855" s="24">
        <v>369418</v>
      </c>
      <c r="N4855" s="25">
        <f>IFERROR(T_reg.root.SK[[#This Row],[Price]]/T_reg.root.SK[[#This Row],[Starch content]],"")</f>
        <v>8.8306451612903221</v>
      </c>
    </row>
    <row r="4856" spans="1:14">
      <c r="A4856" s="21">
        <v>2025</v>
      </c>
      <c r="B4856" s="21" t="s">
        <v>17</v>
      </c>
      <c r="C4856" s="21" t="s">
        <v>1145</v>
      </c>
      <c r="D4856" s="21" t="s">
        <v>35</v>
      </c>
      <c r="E4856" s="18" t="s">
        <v>62</v>
      </c>
      <c r="F4856" s="18" t="s">
        <v>47</v>
      </c>
      <c r="G4856" s="18" t="s">
        <v>48</v>
      </c>
      <c r="H4856" s="24">
        <v>351340</v>
      </c>
      <c r="I4856" s="24">
        <f>T_reg.root.SK[[#This Row],[Volume, kg]]/1000</f>
        <v>351.34</v>
      </c>
      <c r="J4856" s="25">
        <v>0.25390000000000001</v>
      </c>
      <c r="K4856" s="25">
        <f t="shared" si="75"/>
        <v>89205.22600000001</v>
      </c>
      <c r="L4856" s="25">
        <v>2.2000000000000002</v>
      </c>
      <c r="M4856" s="24">
        <v>772348</v>
      </c>
      <c r="N4856" s="25">
        <f>IFERROR(T_reg.root.SK[[#This Row],[Price]]/T_reg.root.SK[[#This Row],[Starch content]],"")</f>
        <v>8.6648286727057897</v>
      </c>
    </row>
    <row r="4857" spans="1:14">
      <c r="A4857" s="21">
        <v>2025</v>
      </c>
      <c r="B4857" s="21" t="s">
        <v>17</v>
      </c>
      <c r="C4857" s="21" t="s">
        <v>1145</v>
      </c>
      <c r="D4857" s="21" t="s">
        <v>35</v>
      </c>
      <c r="E4857" s="18" t="s">
        <v>340</v>
      </c>
      <c r="F4857" s="18" t="s">
        <v>47</v>
      </c>
      <c r="G4857" s="18" t="s">
        <v>48</v>
      </c>
      <c r="H4857" s="24">
        <v>201500</v>
      </c>
      <c r="I4857" s="24">
        <f>T_reg.root.SK[[#This Row],[Volume, kg]]/1000</f>
        <v>201.5</v>
      </c>
      <c r="J4857" s="25">
        <v>0.23649999999999999</v>
      </c>
      <c r="K4857" s="25">
        <f t="shared" si="75"/>
        <v>47654.75</v>
      </c>
      <c r="L4857" s="25">
        <v>2.09</v>
      </c>
      <c r="M4857" s="24">
        <v>421462</v>
      </c>
      <c r="N4857" s="25">
        <f>IFERROR(T_reg.root.SK[[#This Row],[Price]]/T_reg.root.SK[[#This Row],[Starch content]],"")</f>
        <v>8.8372093023255811</v>
      </c>
    </row>
    <row r="4858" spans="1:14">
      <c r="A4858" s="21">
        <v>2025</v>
      </c>
      <c r="B4858" s="21" t="s">
        <v>17</v>
      </c>
      <c r="C4858" s="21" t="s">
        <v>1145</v>
      </c>
      <c r="D4858" s="21" t="s">
        <v>35</v>
      </c>
      <c r="E4858" s="18" t="s">
        <v>676</v>
      </c>
      <c r="F4858" s="18" t="s">
        <v>47</v>
      </c>
      <c r="G4858" s="18" t="s">
        <v>48</v>
      </c>
      <c r="H4858" s="24">
        <v>312360</v>
      </c>
      <c r="I4858" s="24">
        <f>T_reg.root.SK[[#This Row],[Volume, kg]]/1000</f>
        <v>312.36</v>
      </c>
      <c r="J4858" s="25">
        <v>0.26649999999999996</v>
      </c>
      <c r="K4858" s="25">
        <f t="shared" si="75"/>
        <v>83243.939999999988</v>
      </c>
      <c r="L4858" s="25">
        <v>2.27</v>
      </c>
      <c r="M4858" s="24">
        <v>708087</v>
      </c>
      <c r="N4858" s="25">
        <f>IFERROR(T_reg.root.SK[[#This Row],[Price]]/T_reg.root.SK[[#This Row],[Starch content]],"")</f>
        <v>8.5178236397748606</v>
      </c>
    </row>
    <row r="4859" spans="1:14">
      <c r="A4859" s="21">
        <v>2025</v>
      </c>
      <c r="B4859" s="21" t="s">
        <v>17</v>
      </c>
      <c r="C4859" s="21" t="s">
        <v>1145</v>
      </c>
      <c r="D4859" s="21" t="s">
        <v>35</v>
      </c>
      <c r="E4859" s="18" t="s">
        <v>469</v>
      </c>
      <c r="F4859" s="18" t="s">
        <v>47</v>
      </c>
      <c r="G4859" s="18" t="s">
        <v>48</v>
      </c>
      <c r="H4859" s="24">
        <v>31240</v>
      </c>
      <c r="I4859" s="24">
        <f>T_reg.root.SK[[#This Row],[Volume, kg]]/1000</f>
        <v>31.24</v>
      </c>
      <c r="J4859" s="25">
        <v>0.2727</v>
      </c>
      <c r="K4859" s="25">
        <f t="shared" si="75"/>
        <v>8519.1479999999992</v>
      </c>
      <c r="L4859" s="25">
        <v>2.2599999999999998</v>
      </c>
      <c r="M4859" s="24">
        <v>70699.5</v>
      </c>
      <c r="N4859" s="25">
        <f>IFERROR(T_reg.root.SK[[#This Row],[Price]]/T_reg.root.SK[[#This Row],[Starch content]],"")</f>
        <v>8.2874954162082872</v>
      </c>
    </row>
    <row r="4860" spans="1:14">
      <c r="A4860" s="21">
        <v>2025</v>
      </c>
      <c r="B4860" s="21" t="s">
        <v>17</v>
      </c>
      <c r="C4860" s="21" t="s">
        <v>1145</v>
      </c>
      <c r="D4860" s="21" t="s">
        <v>35</v>
      </c>
      <c r="E4860" s="18" t="s">
        <v>64</v>
      </c>
      <c r="F4860" s="18" t="s">
        <v>47</v>
      </c>
      <c r="G4860" s="18" t="s">
        <v>48</v>
      </c>
      <c r="H4860" s="24">
        <v>10300</v>
      </c>
      <c r="I4860" s="24">
        <f>T_reg.root.SK[[#This Row],[Volume, kg]]/1000</f>
        <v>10.3</v>
      </c>
      <c r="J4860" s="25">
        <v>0.24600000000000002</v>
      </c>
      <c r="K4860" s="25">
        <f t="shared" si="75"/>
        <v>2533.8000000000002</v>
      </c>
      <c r="L4860" s="25">
        <v>2.15</v>
      </c>
      <c r="M4860" s="24">
        <v>22145</v>
      </c>
      <c r="N4860" s="25">
        <f>IFERROR(T_reg.root.SK[[#This Row],[Price]]/T_reg.root.SK[[#This Row],[Starch content]],"")</f>
        <v>8.7398373983739823</v>
      </c>
    </row>
    <row r="4861" spans="1:14">
      <c r="A4861" s="21">
        <v>2025</v>
      </c>
      <c r="B4861" s="21" t="s">
        <v>17</v>
      </c>
      <c r="C4861" s="21" t="s">
        <v>1145</v>
      </c>
      <c r="D4861" s="21" t="s">
        <v>35</v>
      </c>
      <c r="E4861" s="18" t="s">
        <v>660</v>
      </c>
      <c r="F4861" s="18" t="s">
        <v>47</v>
      </c>
      <c r="G4861" s="18" t="s">
        <v>48</v>
      </c>
      <c r="H4861" s="24">
        <v>41820</v>
      </c>
      <c r="I4861" s="24">
        <f>T_reg.root.SK[[#This Row],[Volume, kg]]/1000</f>
        <v>41.82</v>
      </c>
      <c r="J4861" s="25">
        <v>0.2228</v>
      </c>
      <c r="K4861" s="25">
        <f t="shared" si="75"/>
        <v>9317.4959999999992</v>
      </c>
      <c r="L4861" s="25">
        <v>2.11</v>
      </c>
      <c r="M4861" s="24">
        <v>88349.5</v>
      </c>
      <c r="N4861" s="25">
        <f>IFERROR(T_reg.root.SK[[#This Row],[Price]]/T_reg.root.SK[[#This Row],[Starch content]],"")</f>
        <v>9.4703770197486534</v>
      </c>
    </row>
    <row r="4862" spans="1:14">
      <c r="A4862" s="21">
        <v>2025</v>
      </c>
      <c r="B4862" s="21" t="s">
        <v>17</v>
      </c>
      <c r="C4862" s="21" t="s">
        <v>1145</v>
      </c>
      <c r="D4862" s="21" t="s">
        <v>35</v>
      </c>
      <c r="E4862" s="18" t="s">
        <v>730</v>
      </c>
      <c r="F4862" s="18" t="s">
        <v>47</v>
      </c>
      <c r="G4862" s="18" t="s">
        <v>48</v>
      </c>
      <c r="H4862" s="24">
        <v>30300</v>
      </c>
      <c r="I4862" s="24">
        <f>T_reg.root.SK[[#This Row],[Volume, kg]]/1000</f>
        <v>30.3</v>
      </c>
      <c r="J4862" s="25">
        <v>0.24030000000000001</v>
      </c>
      <c r="K4862" s="25">
        <f t="shared" si="75"/>
        <v>7281.09</v>
      </c>
      <c r="L4862" s="25">
        <v>2.14</v>
      </c>
      <c r="M4862" s="24">
        <v>64925</v>
      </c>
      <c r="N4862" s="25">
        <f>IFERROR(T_reg.root.SK[[#This Row],[Price]]/T_reg.root.SK[[#This Row],[Starch content]],"")</f>
        <v>8.9055347482313767</v>
      </c>
    </row>
    <row r="4863" spans="1:14">
      <c r="A4863" s="21">
        <v>2025</v>
      </c>
      <c r="B4863" s="21" t="s">
        <v>17</v>
      </c>
      <c r="C4863" s="21" t="s">
        <v>1145</v>
      </c>
      <c r="D4863" s="21" t="s">
        <v>35</v>
      </c>
      <c r="E4863" s="18" t="s">
        <v>971</v>
      </c>
      <c r="F4863" s="18" t="s">
        <v>47</v>
      </c>
      <c r="G4863" s="18" t="s">
        <v>48</v>
      </c>
      <c r="H4863" s="24">
        <v>46730</v>
      </c>
      <c r="I4863" s="24">
        <f>T_reg.root.SK[[#This Row],[Volume, kg]]/1000</f>
        <v>46.73</v>
      </c>
      <c r="J4863" s="25">
        <v>0.25090000000000001</v>
      </c>
      <c r="K4863" s="25">
        <f t="shared" si="75"/>
        <v>11724.557000000001</v>
      </c>
      <c r="L4863" s="25">
        <v>2.19</v>
      </c>
      <c r="M4863" s="24">
        <v>102473</v>
      </c>
      <c r="N4863" s="25">
        <f>IFERROR(T_reg.root.SK[[#This Row],[Price]]/T_reg.root.SK[[#This Row],[Starch content]],"")</f>
        <v>8.7285771223595052</v>
      </c>
    </row>
    <row r="4864" spans="1:14">
      <c r="A4864" s="21">
        <v>2025</v>
      </c>
      <c r="B4864" s="21" t="s">
        <v>17</v>
      </c>
      <c r="C4864" s="21" t="s">
        <v>1145</v>
      </c>
      <c r="D4864" s="21" t="s">
        <v>35</v>
      </c>
      <c r="E4864" s="18" t="s">
        <v>66</v>
      </c>
      <c r="F4864" s="18" t="s">
        <v>47</v>
      </c>
      <c r="G4864" s="18" t="s">
        <v>48</v>
      </c>
      <c r="H4864" s="24">
        <v>304710</v>
      </c>
      <c r="I4864" s="24">
        <f>T_reg.root.SK[[#This Row],[Volume, kg]]/1000</f>
        <v>304.70999999999998</v>
      </c>
      <c r="J4864" s="25">
        <v>0.24679999999999999</v>
      </c>
      <c r="K4864" s="25">
        <f t="shared" si="75"/>
        <v>75202.428</v>
      </c>
      <c r="L4864" s="25">
        <v>2.19</v>
      </c>
      <c r="M4864" s="24">
        <v>667472.5</v>
      </c>
      <c r="N4864" s="25">
        <f>IFERROR(T_reg.root.SK[[#This Row],[Price]]/T_reg.root.SK[[#This Row],[Starch content]],"")</f>
        <v>8.8735818476499198</v>
      </c>
    </row>
    <row r="4865" spans="1:14">
      <c r="A4865" s="21">
        <v>2025</v>
      </c>
      <c r="B4865" s="21" t="s">
        <v>17</v>
      </c>
      <c r="C4865" s="21" t="s">
        <v>1145</v>
      </c>
      <c r="D4865" s="21" t="s">
        <v>35</v>
      </c>
      <c r="E4865" s="18" t="s">
        <v>380</v>
      </c>
      <c r="F4865" s="18" t="s">
        <v>47</v>
      </c>
      <c r="G4865" s="18" t="s">
        <v>48</v>
      </c>
      <c r="H4865" s="24">
        <v>12930</v>
      </c>
      <c r="I4865" s="24">
        <f>T_reg.root.SK[[#This Row],[Volume, kg]]/1000</f>
        <v>12.93</v>
      </c>
      <c r="J4865" s="25">
        <v>0.25159999999999999</v>
      </c>
      <c r="K4865" s="25">
        <f t="shared" si="75"/>
        <v>3253.1880000000001</v>
      </c>
      <c r="L4865" s="25">
        <v>2.25</v>
      </c>
      <c r="M4865" s="24">
        <v>29092.5</v>
      </c>
      <c r="N4865" s="25">
        <f>IFERROR(T_reg.root.SK[[#This Row],[Price]]/T_reg.root.SK[[#This Row],[Starch content]],"")</f>
        <v>8.9427662957074734</v>
      </c>
    </row>
    <row r="4866" spans="1:14">
      <c r="A4866" s="21">
        <v>2025</v>
      </c>
      <c r="B4866" s="21" t="s">
        <v>17</v>
      </c>
      <c r="C4866" s="21" t="s">
        <v>1145</v>
      </c>
      <c r="D4866" s="21" t="s">
        <v>35</v>
      </c>
      <c r="E4866" s="18" t="s">
        <v>68</v>
      </c>
      <c r="F4866" s="18" t="s">
        <v>47</v>
      </c>
      <c r="G4866" s="18" t="s">
        <v>48</v>
      </c>
      <c r="H4866" s="24">
        <v>62200</v>
      </c>
      <c r="I4866" s="24">
        <f>T_reg.root.SK[[#This Row],[Volume, kg]]/1000</f>
        <v>62.2</v>
      </c>
      <c r="J4866" s="25">
        <v>0.2359</v>
      </c>
      <c r="K4866" s="25">
        <f t="shared" si="75"/>
        <v>14672.98</v>
      </c>
      <c r="L4866" s="25">
        <v>2.13</v>
      </c>
      <c r="M4866" s="24">
        <v>132639.5</v>
      </c>
      <c r="N4866" s="25">
        <f>IFERROR(T_reg.root.SK[[#This Row],[Price]]/T_reg.root.SK[[#This Row],[Starch content]],"")</f>
        <v>9.0292496820686736</v>
      </c>
    </row>
    <row r="4867" spans="1:14">
      <c r="A4867" s="21">
        <v>2025</v>
      </c>
      <c r="B4867" s="21" t="s">
        <v>17</v>
      </c>
      <c r="C4867" s="21" t="s">
        <v>1145</v>
      </c>
      <c r="D4867" s="21" t="s">
        <v>35</v>
      </c>
      <c r="E4867" s="18" t="s">
        <v>70</v>
      </c>
      <c r="F4867" s="18" t="s">
        <v>47</v>
      </c>
      <c r="G4867" s="18" t="s">
        <v>48</v>
      </c>
      <c r="H4867" s="24">
        <v>396440</v>
      </c>
      <c r="I4867" s="24">
        <f>T_reg.root.SK[[#This Row],[Volume, kg]]/1000</f>
        <v>396.44</v>
      </c>
      <c r="J4867" s="25">
        <v>0.25700000000000001</v>
      </c>
      <c r="K4867" s="25">
        <f t="shared" ref="K4867:K4930" si="76">H4867*J4867</f>
        <v>101885.08</v>
      </c>
      <c r="L4867" s="25">
        <v>2.23</v>
      </c>
      <c r="M4867" s="24">
        <v>882958.5</v>
      </c>
      <c r="N4867" s="25">
        <f>IFERROR(T_reg.root.SK[[#This Row],[Price]]/T_reg.root.SK[[#This Row],[Starch content]],"")</f>
        <v>8.6770428015564196</v>
      </c>
    </row>
    <row r="4868" spans="1:14">
      <c r="A4868" s="21">
        <v>2025</v>
      </c>
      <c r="B4868" s="21" t="s">
        <v>17</v>
      </c>
      <c r="C4868" s="21" t="s">
        <v>1145</v>
      </c>
      <c r="D4868" s="21" t="s">
        <v>35</v>
      </c>
      <c r="E4868" s="18" t="s">
        <v>71</v>
      </c>
      <c r="F4868" s="18" t="s">
        <v>47</v>
      </c>
      <c r="G4868" s="18" t="s">
        <v>48</v>
      </c>
      <c r="H4868" s="24">
        <v>35260</v>
      </c>
      <c r="I4868" s="24">
        <f>T_reg.root.SK[[#This Row],[Volume, kg]]/1000</f>
        <v>35.26</v>
      </c>
      <c r="J4868" s="25">
        <v>0.28889999999999999</v>
      </c>
      <c r="K4868" s="25">
        <f t="shared" si="76"/>
        <v>10186.614</v>
      </c>
      <c r="L4868" s="25">
        <v>2.35</v>
      </c>
      <c r="M4868" s="24">
        <v>82899</v>
      </c>
      <c r="N4868" s="25">
        <f>IFERROR(T_reg.root.SK[[#This Row],[Price]]/T_reg.root.SK[[#This Row],[Starch content]],"")</f>
        <v>8.1343025268258913</v>
      </c>
    </row>
    <row r="4869" spans="1:14">
      <c r="A4869" s="21">
        <v>2025</v>
      </c>
      <c r="B4869" s="21" t="s">
        <v>17</v>
      </c>
      <c r="C4869" s="21" t="s">
        <v>1145</v>
      </c>
      <c r="D4869" s="21" t="s">
        <v>35</v>
      </c>
      <c r="E4869" s="18" t="s">
        <v>472</v>
      </c>
      <c r="F4869" s="18" t="s">
        <v>47</v>
      </c>
      <c r="G4869" s="18" t="s">
        <v>48</v>
      </c>
      <c r="H4869" s="24">
        <v>100000</v>
      </c>
      <c r="I4869" s="24">
        <f>T_reg.root.SK[[#This Row],[Volume, kg]]/1000</f>
        <v>100</v>
      </c>
      <c r="J4869" s="25">
        <v>0.24379999999999999</v>
      </c>
      <c r="K4869" s="25">
        <f t="shared" si="76"/>
        <v>24380</v>
      </c>
      <c r="L4869" s="25">
        <v>2.1800000000000002</v>
      </c>
      <c r="M4869" s="24">
        <v>218387</v>
      </c>
      <c r="N4869" s="25">
        <f>IFERROR(T_reg.root.SK[[#This Row],[Price]]/T_reg.root.SK[[#This Row],[Starch content]],"")</f>
        <v>8.9417555373256778</v>
      </c>
    </row>
    <row r="4870" spans="1:14">
      <c r="A4870" s="21">
        <v>2025</v>
      </c>
      <c r="B4870" s="21" t="s">
        <v>17</v>
      </c>
      <c r="C4870" s="21" t="s">
        <v>1145</v>
      </c>
      <c r="D4870" s="21" t="s">
        <v>35</v>
      </c>
      <c r="E4870" s="18" t="s">
        <v>661</v>
      </c>
      <c r="F4870" s="18" t="s">
        <v>47</v>
      </c>
      <c r="G4870" s="18" t="s">
        <v>48</v>
      </c>
      <c r="H4870" s="24">
        <v>10980</v>
      </c>
      <c r="I4870" s="24">
        <f>T_reg.root.SK[[#This Row],[Volume, kg]]/1000</f>
        <v>10.98</v>
      </c>
      <c r="J4870" s="25">
        <v>0.26</v>
      </c>
      <c r="K4870" s="25">
        <f t="shared" si="76"/>
        <v>2854.8</v>
      </c>
      <c r="L4870" s="25">
        <v>2.2000000000000002</v>
      </c>
      <c r="M4870" s="24">
        <v>24156</v>
      </c>
      <c r="N4870" s="25">
        <f>IFERROR(T_reg.root.SK[[#This Row],[Price]]/T_reg.root.SK[[#This Row],[Starch content]],"")</f>
        <v>8.4615384615384617</v>
      </c>
    </row>
    <row r="4871" spans="1:14">
      <c r="A4871" s="21">
        <v>2025</v>
      </c>
      <c r="B4871" s="21" t="s">
        <v>17</v>
      </c>
      <c r="C4871" s="21" t="s">
        <v>1145</v>
      </c>
      <c r="D4871" s="21" t="s">
        <v>35</v>
      </c>
      <c r="E4871" s="18" t="s">
        <v>74</v>
      </c>
      <c r="F4871" s="18" t="s">
        <v>47</v>
      </c>
      <c r="G4871" s="18" t="s">
        <v>48</v>
      </c>
      <c r="H4871" s="24">
        <v>88890</v>
      </c>
      <c r="I4871" s="24">
        <f>T_reg.root.SK[[#This Row],[Volume, kg]]/1000</f>
        <v>88.89</v>
      </c>
      <c r="J4871" s="25">
        <v>0.2432</v>
      </c>
      <c r="K4871" s="25">
        <f t="shared" si="76"/>
        <v>21618.047999999999</v>
      </c>
      <c r="L4871" s="25">
        <v>2.2000000000000002</v>
      </c>
      <c r="M4871" s="24">
        <v>195456.5</v>
      </c>
      <c r="N4871" s="25">
        <f>IFERROR(T_reg.root.SK[[#This Row],[Price]]/T_reg.root.SK[[#This Row],[Starch content]],"")</f>
        <v>9.0460526315789487</v>
      </c>
    </row>
    <row r="4872" spans="1:14">
      <c r="A4872" s="21">
        <v>2025</v>
      </c>
      <c r="B4872" s="21" t="s">
        <v>17</v>
      </c>
      <c r="C4872" s="21" t="s">
        <v>1145</v>
      </c>
      <c r="D4872" s="21" t="s">
        <v>35</v>
      </c>
      <c r="E4872" s="18" t="s">
        <v>382</v>
      </c>
      <c r="F4872" s="18" t="s">
        <v>47</v>
      </c>
      <c r="G4872" s="18" t="s">
        <v>48</v>
      </c>
      <c r="H4872" s="24">
        <v>6440</v>
      </c>
      <c r="I4872" s="24">
        <f>T_reg.root.SK[[#This Row],[Volume, kg]]/1000</f>
        <v>6.44</v>
      </c>
      <c r="J4872" s="25">
        <v>0.32450000000000001</v>
      </c>
      <c r="K4872" s="25">
        <f t="shared" si="76"/>
        <v>2089.7800000000002</v>
      </c>
      <c r="L4872" s="25">
        <v>2.6</v>
      </c>
      <c r="M4872" s="24">
        <v>16744</v>
      </c>
      <c r="N4872" s="25">
        <f>IFERROR(T_reg.root.SK[[#This Row],[Price]]/T_reg.root.SK[[#This Row],[Starch content]],"")</f>
        <v>8.0123266563944533</v>
      </c>
    </row>
    <row r="4873" spans="1:14">
      <c r="A4873" s="21">
        <v>2025</v>
      </c>
      <c r="B4873" s="21" t="s">
        <v>17</v>
      </c>
      <c r="C4873" s="21" t="s">
        <v>1145</v>
      </c>
      <c r="D4873" s="21" t="s">
        <v>35</v>
      </c>
      <c r="E4873" s="18" t="s">
        <v>473</v>
      </c>
      <c r="F4873" s="18" t="s">
        <v>47</v>
      </c>
      <c r="G4873" s="18" t="s">
        <v>48</v>
      </c>
      <c r="H4873" s="24">
        <v>19530</v>
      </c>
      <c r="I4873" s="24">
        <f>T_reg.root.SK[[#This Row],[Volume, kg]]/1000</f>
        <v>19.53</v>
      </c>
      <c r="J4873" s="25">
        <v>0.28789999999999999</v>
      </c>
      <c r="K4873" s="25">
        <f t="shared" si="76"/>
        <v>5622.6869999999999</v>
      </c>
      <c r="L4873" s="25">
        <v>2.42</v>
      </c>
      <c r="M4873" s="24">
        <v>47328</v>
      </c>
      <c r="N4873" s="25">
        <f>IFERROR(T_reg.root.SK[[#This Row],[Price]]/T_reg.root.SK[[#This Row],[Starch content]],"")</f>
        <v>8.4056964223688784</v>
      </c>
    </row>
    <row r="4874" spans="1:14">
      <c r="A4874" s="21">
        <v>2025</v>
      </c>
      <c r="B4874" s="21" t="s">
        <v>17</v>
      </c>
      <c r="C4874" s="21" t="s">
        <v>1145</v>
      </c>
      <c r="D4874" s="21" t="s">
        <v>35</v>
      </c>
      <c r="E4874" s="18" t="s">
        <v>76</v>
      </c>
      <c r="F4874" s="18" t="s">
        <v>47</v>
      </c>
      <c r="G4874" s="18" t="s">
        <v>48</v>
      </c>
      <c r="H4874" s="24">
        <v>55080</v>
      </c>
      <c r="I4874" s="24">
        <f>T_reg.root.SK[[#This Row],[Volume, kg]]/1000</f>
        <v>55.08</v>
      </c>
      <c r="J4874" s="25">
        <v>0.25750000000000001</v>
      </c>
      <c r="K4874" s="25">
        <f t="shared" si="76"/>
        <v>14183.1</v>
      </c>
      <c r="L4874" s="25">
        <v>2.27</v>
      </c>
      <c r="M4874" s="24">
        <v>124767</v>
      </c>
      <c r="N4874" s="25">
        <f>IFERROR(T_reg.root.SK[[#This Row],[Price]]/T_reg.root.SK[[#This Row],[Starch content]],"")</f>
        <v>8.8155339805825239</v>
      </c>
    </row>
    <row r="4875" spans="1:14">
      <c r="A4875" s="21">
        <v>2025</v>
      </c>
      <c r="B4875" s="21" t="s">
        <v>17</v>
      </c>
      <c r="C4875" s="21" t="s">
        <v>1145</v>
      </c>
      <c r="D4875" s="21" t="s">
        <v>35</v>
      </c>
      <c r="E4875" s="18" t="s">
        <v>77</v>
      </c>
      <c r="F4875" s="18" t="s">
        <v>47</v>
      </c>
      <c r="G4875" s="18" t="s">
        <v>48</v>
      </c>
      <c r="H4875" s="24">
        <v>96420</v>
      </c>
      <c r="I4875" s="24">
        <f>T_reg.root.SK[[#This Row],[Volume, kg]]/1000</f>
        <v>96.42</v>
      </c>
      <c r="J4875" s="25">
        <v>0.2261</v>
      </c>
      <c r="K4875" s="25">
        <f t="shared" si="76"/>
        <v>21800.561999999998</v>
      </c>
      <c r="L4875" s="25">
        <v>2.1</v>
      </c>
      <c r="M4875" s="24">
        <v>202574.5</v>
      </c>
      <c r="N4875" s="25">
        <f>IFERROR(T_reg.root.SK[[#This Row],[Price]]/T_reg.root.SK[[#This Row],[Starch content]],"")</f>
        <v>9.2879256965944279</v>
      </c>
    </row>
    <row r="4876" spans="1:14">
      <c r="A4876" s="21">
        <v>2025</v>
      </c>
      <c r="B4876" s="21" t="s">
        <v>17</v>
      </c>
      <c r="C4876" s="21" t="s">
        <v>1145</v>
      </c>
      <c r="D4876" s="21" t="s">
        <v>35</v>
      </c>
      <c r="E4876" s="18" t="s">
        <v>694</v>
      </c>
      <c r="F4876" s="18" t="s">
        <v>47</v>
      </c>
      <c r="G4876" s="18" t="s">
        <v>48</v>
      </c>
      <c r="H4876" s="24">
        <v>15730</v>
      </c>
      <c r="I4876" s="24">
        <f>T_reg.root.SK[[#This Row],[Volume, kg]]/1000</f>
        <v>15.73</v>
      </c>
      <c r="J4876" s="25">
        <v>0.27889999999999998</v>
      </c>
      <c r="K4876" s="25">
        <f t="shared" si="76"/>
        <v>4387.0969999999998</v>
      </c>
      <c r="L4876" s="25">
        <v>2.2999999999999998</v>
      </c>
      <c r="M4876" s="24">
        <v>36103.5</v>
      </c>
      <c r="N4876" s="25">
        <f>IFERROR(T_reg.root.SK[[#This Row],[Price]]/T_reg.root.SK[[#This Row],[Starch content]],"")</f>
        <v>8.2466833990677664</v>
      </c>
    </row>
    <row r="4877" spans="1:14">
      <c r="A4877" s="21">
        <v>2025</v>
      </c>
      <c r="B4877" s="21" t="s">
        <v>17</v>
      </c>
      <c r="C4877" s="21" t="s">
        <v>1145</v>
      </c>
      <c r="D4877" s="21" t="s">
        <v>35</v>
      </c>
      <c r="E4877" s="18" t="s">
        <v>927</v>
      </c>
      <c r="F4877" s="18" t="s">
        <v>47</v>
      </c>
      <c r="G4877" s="18" t="s">
        <v>48</v>
      </c>
      <c r="H4877" s="24">
        <v>9270</v>
      </c>
      <c r="I4877" s="24">
        <f>T_reg.root.SK[[#This Row],[Volume, kg]]/1000</f>
        <v>9.27</v>
      </c>
      <c r="J4877" s="25">
        <v>0.22450000000000001</v>
      </c>
      <c r="K4877" s="25">
        <f t="shared" si="76"/>
        <v>2081.1150000000002</v>
      </c>
      <c r="L4877" s="25">
        <v>2</v>
      </c>
      <c r="M4877" s="24">
        <v>18540</v>
      </c>
      <c r="N4877" s="25">
        <f>IFERROR(T_reg.root.SK[[#This Row],[Price]]/T_reg.root.SK[[#This Row],[Starch content]],"")</f>
        <v>8.908685968819599</v>
      </c>
    </row>
    <row r="4878" spans="1:14">
      <c r="A4878" s="21">
        <v>2025</v>
      </c>
      <c r="B4878" s="21" t="s">
        <v>17</v>
      </c>
      <c r="C4878" s="21" t="s">
        <v>1145</v>
      </c>
      <c r="D4878" s="21" t="s">
        <v>35</v>
      </c>
      <c r="E4878" s="18" t="s">
        <v>383</v>
      </c>
      <c r="F4878" s="18" t="s">
        <v>47</v>
      </c>
      <c r="G4878" s="18" t="s">
        <v>48</v>
      </c>
      <c r="H4878" s="24">
        <v>100850</v>
      </c>
      <c r="I4878" s="24">
        <f>T_reg.root.SK[[#This Row],[Volume, kg]]/1000</f>
        <v>100.85</v>
      </c>
      <c r="J4878" s="25">
        <v>0.26989999999999997</v>
      </c>
      <c r="K4878" s="25">
        <f t="shared" si="76"/>
        <v>27219.414999999997</v>
      </c>
      <c r="L4878" s="25">
        <v>2.31</v>
      </c>
      <c r="M4878" s="24">
        <v>233401.5</v>
      </c>
      <c r="N4878" s="25">
        <f>IFERROR(T_reg.root.SK[[#This Row],[Price]]/T_reg.root.SK[[#This Row],[Starch content]],"")</f>
        <v>8.5587254538718049</v>
      </c>
    </row>
    <row r="4879" spans="1:14">
      <c r="A4879" s="21">
        <v>2025</v>
      </c>
      <c r="B4879" s="21" t="s">
        <v>17</v>
      </c>
      <c r="C4879" s="21" t="s">
        <v>1145</v>
      </c>
      <c r="D4879" s="21" t="s">
        <v>35</v>
      </c>
      <c r="E4879" s="18" t="s">
        <v>82</v>
      </c>
      <c r="F4879" s="18" t="s">
        <v>83</v>
      </c>
      <c r="G4879" s="18" t="s">
        <v>48</v>
      </c>
      <c r="H4879" s="24">
        <v>56530</v>
      </c>
      <c r="I4879" s="24">
        <f>T_reg.root.SK[[#This Row],[Volume, kg]]/1000</f>
        <v>56.53</v>
      </c>
      <c r="J4879" s="25">
        <v>0.25040000000000001</v>
      </c>
      <c r="K4879" s="25">
        <f t="shared" si="76"/>
        <v>14155.112000000001</v>
      </c>
      <c r="L4879" s="25">
        <v>2.2200000000000002</v>
      </c>
      <c r="M4879" s="24">
        <v>125575</v>
      </c>
      <c r="N4879" s="25">
        <f>IFERROR(T_reg.root.SK[[#This Row],[Price]]/T_reg.root.SK[[#This Row],[Starch content]],"")</f>
        <v>8.8658146964856233</v>
      </c>
    </row>
    <row r="4880" spans="1:14">
      <c r="A4880" s="21">
        <v>2025</v>
      </c>
      <c r="B4880" s="21" t="s">
        <v>17</v>
      </c>
      <c r="C4880" s="21" t="s">
        <v>1145</v>
      </c>
      <c r="D4880" s="21" t="s">
        <v>35</v>
      </c>
      <c r="E4880" s="18" t="s">
        <v>972</v>
      </c>
      <c r="F4880" s="18" t="s">
        <v>973</v>
      </c>
      <c r="G4880" s="18" t="s">
        <v>48</v>
      </c>
      <c r="H4880" s="24">
        <v>54010</v>
      </c>
      <c r="I4880" s="24">
        <f>T_reg.root.SK[[#This Row],[Volume, kg]]/1000</f>
        <v>54.01</v>
      </c>
      <c r="J4880" s="25">
        <v>0.24670000000000003</v>
      </c>
      <c r="K4880" s="25">
        <f t="shared" si="76"/>
        <v>13324.267000000002</v>
      </c>
      <c r="L4880" s="25">
        <v>2.2400000000000002</v>
      </c>
      <c r="M4880" s="24">
        <v>120890</v>
      </c>
      <c r="N4880" s="25">
        <f>IFERROR(T_reg.root.SK[[#This Row],[Price]]/T_reg.root.SK[[#This Row],[Starch content]],"")</f>
        <v>9.0798540737738147</v>
      </c>
    </row>
    <row r="4881" spans="1:14">
      <c r="A4881" s="21">
        <v>2025</v>
      </c>
      <c r="B4881" s="21" t="s">
        <v>17</v>
      </c>
      <c r="C4881" s="21" t="s">
        <v>1145</v>
      </c>
      <c r="D4881" s="21" t="s">
        <v>39</v>
      </c>
      <c r="E4881" s="18" t="s">
        <v>88</v>
      </c>
      <c r="F4881" s="18" t="s">
        <v>89</v>
      </c>
      <c r="G4881" s="18" t="s">
        <v>90</v>
      </c>
      <c r="H4881" s="24">
        <v>3754490</v>
      </c>
      <c r="I4881" s="24">
        <f>T_reg.root.SK[[#This Row],[Volume, kg]]/1000</f>
        <v>3754.49</v>
      </c>
      <c r="J4881" s="25">
        <v>0.29389999999999999</v>
      </c>
      <c r="K4881" s="25">
        <f t="shared" si="76"/>
        <v>1103444.611</v>
      </c>
      <c r="L4881" s="25">
        <v>2.44</v>
      </c>
      <c r="M4881" s="24">
        <v>9147189.5</v>
      </c>
      <c r="N4881" s="25">
        <f>IFERROR(T_reg.root.SK[[#This Row],[Price]]/T_reg.root.SK[[#This Row],[Starch content]],"")</f>
        <v>8.3021435862538286</v>
      </c>
    </row>
    <row r="4882" spans="1:14">
      <c r="A4882" s="21">
        <v>2025</v>
      </c>
      <c r="B4882" s="21" t="s">
        <v>17</v>
      </c>
      <c r="C4882" s="21" t="s">
        <v>1145</v>
      </c>
      <c r="D4882" s="21" t="s">
        <v>39</v>
      </c>
      <c r="E4882" s="18" t="s">
        <v>552</v>
      </c>
      <c r="F4882" s="18" t="s">
        <v>95</v>
      </c>
      <c r="G4882" s="18" t="s">
        <v>48</v>
      </c>
      <c r="H4882" s="24">
        <v>4464450</v>
      </c>
      <c r="I4882" s="24">
        <f>T_reg.root.SK[[#This Row],[Volume, kg]]/1000</f>
        <v>4464.45</v>
      </c>
      <c r="J4882" s="25">
        <v>0.30549999999999999</v>
      </c>
      <c r="K4882" s="25">
        <f t="shared" si="76"/>
        <v>1363889.4749999999</v>
      </c>
      <c r="L4882" s="25">
        <v>2.4500000000000002</v>
      </c>
      <c r="M4882" s="24">
        <v>10958583.5</v>
      </c>
      <c r="N4882" s="25">
        <f>IFERROR(T_reg.root.SK[[#This Row],[Price]]/T_reg.root.SK[[#This Row],[Starch content]],"")</f>
        <v>8.0196399345335525</v>
      </c>
    </row>
    <row r="4883" spans="1:14">
      <c r="A4883" s="21">
        <v>2025</v>
      </c>
      <c r="B4883" s="21" t="s">
        <v>17</v>
      </c>
      <c r="C4883" s="21" t="s">
        <v>1145</v>
      </c>
      <c r="D4883" s="21" t="s">
        <v>35</v>
      </c>
      <c r="E4883" s="18" t="s">
        <v>681</v>
      </c>
      <c r="F4883" s="18" t="s">
        <v>95</v>
      </c>
      <c r="G4883" s="18" t="s">
        <v>48</v>
      </c>
      <c r="H4883" s="24">
        <v>9900</v>
      </c>
      <c r="I4883" s="24">
        <f>T_reg.root.SK[[#This Row],[Volume, kg]]/1000</f>
        <v>9.9</v>
      </c>
      <c r="J4883" s="25">
        <v>0.26150000000000001</v>
      </c>
      <c r="K4883" s="25">
        <f t="shared" si="76"/>
        <v>2588.85</v>
      </c>
      <c r="L4883" s="25">
        <v>2.2000000000000002</v>
      </c>
      <c r="M4883" s="24">
        <v>21780</v>
      </c>
      <c r="N4883" s="25">
        <f>IFERROR(T_reg.root.SK[[#This Row],[Price]]/T_reg.root.SK[[#This Row],[Starch content]],"")</f>
        <v>8.413001912045889</v>
      </c>
    </row>
    <row r="4884" spans="1:14">
      <c r="A4884" s="21">
        <v>2025</v>
      </c>
      <c r="B4884" s="21" t="s">
        <v>17</v>
      </c>
      <c r="C4884" s="21" t="s">
        <v>1145</v>
      </c>
      <c r="D4884" s="21" t="s">
        <v>35</v>
      </c>
      <c r="E4884" s="18" t="s">
        <v>97</v>
      </c>
      <c r="F4884" s="18" t="s">
        <v>95</v>
      </c>
      <c r="G4884" s="18" t="s">
        <v>48</v>
      </c>
      <c r="H4884" s="24">
        <v>0</v>
      </c>
      <c r="I4884" s="24">
        <f>T_reg.root.SK[[#This Row],[Volume, kg]]/1000</f>
        <v>0</v>
      </c>
      <c r="J4884" s="25">
        <v>0</v>
      </c>
      <c r="K4884" s="25">
        <f t="shared" si="76"/>
        <v>0</v>
      </c>
      <c r="L4884" s="25">
        <v>0</v>
      </c>
      <c r="M4884" s="24">
        <v>0</v>
      </c>
      <c r="N4884" s="25" t="str">
        <f>IFERROR(T_reg.root.SK[[#This Row],[Price]]/T_reg.root.SK[[#This Row],[Starch content]],"")</f>
        <v/>
      </c>
    </row>
    <row r="4885" spans="1:14">
      <c r="A4885" s="21">
        <v>2025</v>
      </c>
      <c r="B4885" s="21" t="s">
        <v>17</v>
      </c>
      <c r="C4885" s="21" t="s">
        <v>1145</v>
      </c>
      <c r="D4885" s="21" t="s">
        <v>39</v>
      </c>
      <c r="E4885" s="18" t="s">
        <v>98</v>
      </c>
      <c r="F4885" s="18" t="s">
        <v>99</v>
      </c>
      <c r="G4885" s="18" t="s">
        <v>42</v>
      </c>
      <c r="H4885" s="24">
        <v>4474230</v>
      </c>
      <c r="I4885" s="24">
        <f>T_reg.root.SK[[#This Row],[Volume, kg]]/1000</f>
        <v>4474.2299999999996</v>
      </c>
      <c r="J4885" s="25">
        <v>0.27179999999999999</v>
      </c>
      <c r="K4885" s="25">
        <f t="shared" si="76"/>
        <v>1216095.7139999999</v>
      </c>
      <c r="L4885" s="25">
        <v>2.31</v>
      </c>
      <c r="M4885" s="24">
        <v>10352389</v>
      </c>
      <c r="N4885" s="25">
        <f>IFERROR(T_reg.root.SK[[#This Row],[Price]]/T_reg.root.SK[[#This Row],[Starch content]],"")</f>
        <v>8.4988962472406193</v>
      </c>
    </row>
    <row r="4886" spans="1:14">
      <c r="A4886" s="21">
        <v>2025</v>
      </c>
      <c r="B4886" s="21" t="s">
        <v>17</v>
      </c>
      <c r="C4886" s="21" t="s">
        <v>1145</v>
      </c>
      <c r="D4886" s="21" t="s">
        <v>39</v>
      </c>
      <c r="E4886" s="18" t="s">
        <v>346</v>
      </c>
      <c r="F4886" s="18" t="s">
        <v>99</v>
      </c>
      <c r="G4886" s="18" t="s">
        <v>42</v>
      </c>
      <c r="H4886" s="24">
        <v>2868440</v>
      </c>
      <c r="I4886" s="24">
        <f>T_reg.root.SK[[#This Row],[Volume, kg]]/1000</f>
        <v>2868.44</v>
      </c>
      <c r="J4886" s="25">
        <v>0.27989999999999998</v>
      </c>
      <c r="K4886" s="25">
        <f t="shared" si="76"/>
        <v>802876.35599999991</v>
      </c>
      <c r="L4886" s="25">
        <v>2.34</v>
      </c>
      <c r="M4886" s="24">
        <v>6715366.5</v>
      </c>
      <c r="N4886" s="25">
        <f>IFERROR(T_reg.root.SK[[#This Row],[Price]]/T_reg.root.SK[[#This Row],[Starch content]],"")</f>
        <v>8.360128617363344</v>
      </c>
    </row>
    <row r="4887" spans="1:14">
      <c r="A4887" s="21">
        <v>2025</v>
      </c>
      <c r="B4887" s="21" t="s">
        <v>17</v>
      </c>
      <c r="C4887" s="21" t="s">
        <v>1145</v>
      </c>
      <c r="D4887" s="21" t="s">
        <v>39</v>
      </c>
      <c r="E4887" s="18" t="s">
        <v>101</v>
      </c>
      <c r="F4887" s="18" t="s">
        <v>102</v>
      </c>
      <c r="G4887" s="18" t="s">
        <v>103</v>
      </c>
      <c r="H4887" s="24">
        <v>106620</v>
      </c>
      <c r="I4887" s="24">
        <f>T_reg.root.SK[[#This Row],[Volume, kg]]/1000</f>
        <v>106.62</v>
      </c>
      <c r="J4887" s="25">
        <v>0.26739999999999997</v>
      </c>
      <c r="K4887" s="25">
        <f t="shared" si="76"/>
        <v>28510.187999999998</v>
      </c>
      <c r="L4887" s="25">
        <v>2.33</v>
      </c>
      <c r="M4887" s="24">
        <v>248835</v>
      </c>
      <c r="N4887" s="25">
        <f>IFERROR(T_reg.root.SK[[#This Row],[Price]]/T_reg.root.SK[[#This Row],[Starch content]],"")</f>
        <v>8.7135377711293955</v>
      </c>
    </row>
    <row r="4888" spans="1:14">
      <c r="A4888" s="21">
        <v>2025</v>
      </c>
      <c r="B4888" s="21" t="s">
        <v>17</v>
      </c>
      <c r="C4888" s="21" t="s">
        <v>1145</v>
      </c>
      <c r="D4888" s="21" t="s">
        <v>35</v>
      </c>
      <c r="E4888" s="18" t="s">
        <v>185</v>
      </c>
      <c r="F4888" s="18" t="s">
        <v>105</v>
      </c>
      <c r="G4888" s="18" t="s">
        <v>48</v>
      </c>
      <c r="H4888" s="24">
        <v>100890</v>
      </c>
      <c r="I4888" s="24">
        <f>T_reg.root.SK[[#This Row],[Volume, kg]]/1000</f>
        <v>100.89</v>
      </c>
      <c r="J4888" s="25">
        <v>0.25929999999999997</v>
      </c>
      <c r="K4888" s="25">
        <f t="shared" si="76"/>
        <v>26160.776999999998</v>
      </c>
      <c r="L4888" s="25">
        <v>2.27</v>
      </c>
      <c r="M4888" s="24">
        <v>228676.5</v>
      </c>
      <c r="N4888" s="25">
        <f>IFERROR(T_reg.root.SK[[#This Row],[Price]]/T_reg.root.SK[[#This Row],[Starch content]],"")</f>
        <v>8.7543386039336681</v>
      </c>
    </row>
    <row r="4889" spans="1:14">
      <c r="A4889" s="21">
        <v>2025</v>
      </c>
      <c r="B4889" s="21" t="s">
        <v>17</v>
      </c>
      <c r="C4889" s="21" t="s">
        <v>1145</v>
      </c>
      <c r="D4889" s="21" t="s">
        <v>35</v>
      </c>
      <c r="E4889" s="18" t="s">
        <v>287</v>
      </c>
      <c r="F4889" s="18" t="s">
        <v>105</v>
      </c>
      <c r="G4889" s="18" t="s">
        <v>48</v>
      </c>
      <c r="H4889" s="24">
        <v>15710</v>
      </c>
      <c r="I4889" s="24">
        <f>T_reg.root.SK[[#This Row],[Volume, kg]]/1000</f>
        <v>15.71</v>
      </c>
      <c r="J4889" s="25">
        <v>0.32040000000000002</v>
      </c>
      <c r="K4889" s="25">
        <f t="shared" si="76"/>
        <v>5033.4840000000004</v>
      </c>
      <c r="L4889" s="25">
        <v>2.5</v>
      </c>
      <c r="M4889" s="24">
        <v>39205.5</v>
      </c>
      <c r="N4889" s="25">
        <f>IFERROR(T_reg.root.SK[[#This Row],[Price]]/T_reg.root.SK[[#This Row],[Starch content]],"")</f>
        <v>7.8027465667915106</v>
      </c>
    </row>
    <row r="4890" spans="1:14">
      <c r="A4890" s="21">
        <v>2025</v>
      </c>
      <c r="B4890" s="21" t="s">
        <v>17</v>
      </c>
      <c r="C4890" s="21" t="s">
        <v>1145</v>
      </c>
      <c r="D4890" s="21" t="s">
        <v>35</v>
      </c>
      <c r="E4890" s="18" t="s">
        <v>733</v>
      </c>
      <c r="F4890" s="18" t="s">
        <v>105</v>
      </c>
      <c r="G4890" s="18" t="s">
        <v>48</v>
      </c>
      <c r="H4890" s="24">
        <v>168300</v>
      </c>
      <c r="I4890" s="24">
        <f>T_reg.root.SK[[#This Row],[Volume, kg]]/1000</f>
        <v>168.3</v>
      </c>
      <c r="J4890" s="25">
        <v>0.25629999999999997</v>
      </c>
      <c r="K4890" s="25">
        <f t="shared" si="76"/>
        <v>43135.289999999994</v>
      </c>
      <c r="L4890" s="25">
        <v>2.21</v>
      </c>
      <c r="M4890" s="24">
        <v>371740.5</v>
      </c>
      <c r="N4890" s="25">
        <f>IFERROR(T_reg.root.SK[[#This Row],[Price]]/T_reg.root.SK[[#This Row],[Starch content]],"")</f>
        <v>8.6227077643386671</v>
      </c>
    </row>
    <row r="4891" spans="1:14">
      <c r="A4891" s="21">
        <v>2025</v>
      </c>
      <c r="B4891" s="21" t="s">
        <v>17</v>
      </c>
      <c r="C4891" s="21" t="s">
        <v>1145</v>
      </c>
      <c r="D4891" s="21" t="s">
        <v>35</v>
      </c>
      <c r="E4891" s="18" t="s">
        <v>288</v>
      </c>
      <c r="F4891" s="18" t="s">
        <v>105</v>
      </c>
      <c r="G4891" s="18" t="s">
        <v>48</v>
      </c>
      <c r="H4891" s="24">
        <v>63550</v>
      </c>
      <c r="I4891" s="24">
        <f>T_reg.root.SK[[#This Row],[Volume, kg]]/1000</f>
        <v>63.55</v>
      </c>
      <c r="J4891" s="25">
        <v>0.26860000000000001</v>
      </c>
      <c r="K4891" s="25">
        <f t="shared" si="76"/>
        <v>17069.53</v>
      </c>
      <c r="L4891" s="25">
        <v>2.34</v>
      </c>
      <c r="M4891" s="24">
        <v>148942.5</v>
      </c>
      <c r="N4891" s="25">
        <f>IFERROR(T_reg.root.SK[[#This Row],[Price]]/T_reg.root.SK[[#This Row],[Starch content]],"")</f>
        <v>8.7118391660461647</v>
      </c>
    </row>
    <row r="4892" spans="1:14">
      <c r="A4892" s="21">
        <v>2025</v>
      </c>
      <c r="B4892" s="21" t="s">
        <v>17</v>
      </c>
      <c r="C4892" s="21" t="s">
        <v>1145</v>
      </c>
      <c r="D4892" s="21" t="s">
        <v>35</v>
      </c>
      <c r="E4892" s="18" t="s">
        <v>963</v>
      </c>
      <c r="F4892" s="18" t="s">
        <v>105</v>
      </c>
      <c r="G4892" s="18" t="s">
        <v>48</v>
      </c>
      <c r="H4892" s="24">
        <v>17800</v>
      </c>
      <c r="I4892" s="24">
        <f>T_reg.root.SK[[#This Row],[Volume, kg]]/1000</f>
        <v>17.8</v>
      </c>
      <c r="J4892" s="25">
        <v>0.25969999999999999</v>
      </c>
      <c r="K4892" s="25">
        <f t="shared" si="76"/>
        <v>4622.66</v>
      </c>
      <c r="L4892" s="25">
        <v>2.2799999999999998</v>
      </c>
      <c r="M4892" s="24">
        <v>40641</v>
      </c>
      <c r="N4892" s="25">
        <f>IFERROR(T_reg.root.SK[[#This Row],[Price]]/T_reg.root.SK[[#This Row],[Starch content]],"")</f>
        <v>8.7793608009241435</v>
      </c>
    </row>
    <row r="4893" spans="1:14">
      <c r="A4893" s="21">
        <v>2025</v>
      </c>
      <c r="B4893" s="21" t="s">
        <v>17</v>
      </c>
      <c r="C4893" s="21" t="s">
        <v>1145</v>
      </c>
      <c r="D4893" s="21" t="s">
        <v>35</v>
      </c>
      <c r="E4893" s="18" t="s">
        <v>683</v>
      </c>
      <c r="F4893" s="18" t="s">
        <v>105</v>
      </c>
      <c r="G4893" s="18" t="s">
        <v>48</v>
      </c>
      <c r="H4893" s="24">
        <v>60210</v>
      </c>
      <c r="I4893" s="24">
        <f>T_reg.root.SK[[#This Row],[Volume, kg]]/1000</f>
        <v>60.21</v>
      </c>
      <c r="J4893" s="25">
        <v>0.24559999999999998</v>
      </c>
      <c r="K4893" s="25">
        <f t="shared" si="76"/>
        <v>14787.575999999999</v>
      </c>
      <c r="L4893" s="25">
        <v>2.1800000000000002</v>
      </c>
      <c r="M4893" s="24">
        <v>131063.5</v>
      </c>
      <c r="N4893" s="25">
        <f>IFERROR(T_reg.root.SK[[#This Row],[Price]]/T_reg.root.SK[[#This Row],[Starch content]],"")</f>
        <v>8.8762214983713363</v>
      </c>
    </row>
    <row r="4894" spans="1:14">
      <c r="A4894" s="21">
        <v>2025</v>
      </c>
      <c r="B4894" s="21" t="s">
        <v>17</v>
      </c>
      <c r="C4894" s="21" t="s">
        <v>1145</v>
      </c>
      <c r="D4894" s="21" t="s">
        <v>35</v>
      </c>
      <c r="E4894" s="18" t="s">
        <v>108</v>
      </c>
      <c r="F4894" s="18" t="s">
        <v>105</v>
      </c>
      <c r="G4894" s="18" t="s">
        <v>48</v>
      </c>
      <c r="H4894" s="24">
        <v>30940</v>
      </c>
      <c r="I4894" s="24">
        <f>T_reg.root.SK[[#This Row],[Volume, kg]]/1000</f>
        <v>30.94</v>
      </c>
      <c r="J4894" s="25">
        <v>0.24600000000000002</v>
      </c>
      <c r="K4894" s="25">
        <f t="shared" si="76"/>
        <v>7611.2400000000007</v>
      </c>
      <c r="L4894" s="25">
        <v>2.2000000000000002</v>
      </c>
      <c r="M4894" s="24">
        <v>68205.5</v>
      </c>
      <c r="N4894" s="25">
        <f>IFERROR(T_reg.root.SK[[#This Row],[Price]]/T_reg.root.SK[[#This Row],[Starch content]],"")</f>
        <v>8.9430894308943092</v>
      </c>
    </row>
    <row r="4895" spans="1:14">
      <c r="A4895" s="21">
        <v>2025</v>
      </c>
      <c r="B4895" s="21" t="s">
        <v>17</v>
      </c>
      <c r="C4895" s="21" t="s">
        <v>1145</v>
      </c>
      <c r="D4895" s="21" t="s">
        <v>35</v>
      </c>
      <c r="E4895" s="18" t="s">
        <v>290</v>
      </c>
      <c r="F4895" s="18" t="s">
        <v>105</v>
      </c>
      <c r="G4895" s="18" t="s">
        <v>48</v>
      </c>
      <c r="H4895" s="24">
        <v>36410</v>
      </c>
      <c r="I4895" s="24">
        <f>T_reg.root.SK[[#This Row],[Volume, kg]]/1000</f>
        <v>36.409999999999997</v>
      </c>
      <c r="J4895" s="25">
        <v>0.28289999999999998</v>
      </c>
      <c r="K4895" s="25">
        <f t="shared" si="76"/>
        <v>10300.388999999999</v>
      </c>
      <c r="L4895" s="25">
        <v>2.41</v>
      </c>
      <c r="M4895" s="24">
        <v>87922</v>
      </c>
      <c r="N4895" s="25">
        <f>IFERROR(T_reg.root.SK[[#This Row],[Price]]/T_reg.root.SK[[#This Row],[Starch content]],"")</f>
        <v>8.518911276069284</v>
      </c>
    </row>
    <row r="4896" spans="1:14">
      <c r="A4896" s="21">
        <v>2025</v>
      </c>
      <c r="B4896" s="21" t="s">
        <v>17</v>
      </c>
      <c r="C4896" s="21" t="s">
        <v>1145</v>
      </c>
      <c r="D4896" s="21" t="s">
        <v>35</v>
      </c>
      <c r="E4896" s="18" t="s">
        <v>713</v>
      </c>
      <c r="F4896" s="18" t="s">
        <v>105</v>
      </c>
      <c r="G4896" s="18" t="s">
        <v>48</v>
      </c>
      <c r="H4896" s="24">
        <v>88160</v>
      </c>
      <c r="I4896" s="24">
        <f>T_reg.root.SK[[#This Row],[Volume, kg]]/1000</f>
        <v>88.16</v>
      </c>
      <c r="J4896" s="25">
        <v>0.26860000000000001</v>
      </c>
      <c r="K4896" s="25">
        <f t="shared" si="76"/>
        <v>23679.776000000002</v>
      </c>
      <c r="L4896" s="25">
        <v>2.29</v>
      </c>
      <c r="M4896" s="24">
        <v>201597</v>
      </c>
      <c r="N4896" s="25">
        <f>IFERROR(T_reg.root.SK[[#This Row],[Price]]/T_reg.root.SK[[#This Row],[Starch content]],"")</f>
        <v>8.5256887565152635</v>
      </c>
    </row>
    <row r="4897" spans="1:14">
      <c r="A4897" s="21">
        <v>2025</v>
      </c>
      <c r="B4897" s="21" t="s">
        <v>17</v>
      </c>
      <c r="C4897" s="21" t="s">
        <v>1145</v>
      </c>
      <c r="D4897" s="21" t="s">
        <v>35</v>
      </c>
      <c r="E4897" s="18" t="s">
        <v>109</v>
      </c>
      <c r="F4897" s="18" t="s">
        <v>105</v>
      </c>
      <c r="G4897" s="18" t="s">
        <v>48</v>
      </c>
      <c r="H4897" s="24">
        <v>318230</v>
      </c>
      <c r="I4897" s="24">
        <f>T_reg.root.SK[[#This Row],[Volume, kg]]/1000</f>
        <v>318.23</v>
      </c>
      <c r="J4897" s="25">
        <v>0.27140000000000003</v>
      </c>
      <c r="K4897" s="25">
        <f t="shared" si="76"/>
        <v>86367.622000000003</v>
      </c>
      <c r="L4897" s="25">
        <v>2.2999999999999998</v>
      </c>
      <c r="M4897" s="24">
        <v>730599</v>
      </c>
      <c r="N4897" s="25">
        <f>IFERROR(T_reg.root.SK[[#This Row],[Price]]/T_reg.root.SK[[#This Row],[Starch content]],"")</f>
        <v>8.4745762711864394</v>
      </c>
    </row>
    <row r="4898" spans="1:14">
      <c r="A4898" s="21">
        <v>2025</v>
      </c>
      <c r="B4898" s="21" t="s">
        <v>17</v>
      </c>
      <c r="C4898" s="21" t="s">
        <v>1145</v>
      </c>
      <c r="D4898" s="21" t="s">
        <v>35</v>
      </c>
      <c r="E4898" s="18" t="s">
        <v>232</v>
      </c>
      <c r="F4898" s="18" t="s">
        <v>105</v>
      </c>
      <c r="G4898" s="18" t="s">
        <v>48</v>
      </c>
      <c r="H4898" s="24">
        <v>14500</v>
      </c>
      <c r="I4898" s="24">
        <f>T_reg.root.SK[[#This Row],[Volume, kg]]/1000</f>
        <v>14.5</v>
      </c>
      <c r="J4898" s="25">
        <v>0.28470000000000001</v>
      </c>
      <c r="K4898" s="25">
        <f t="shared" si="76"/>
        <v>4128.1500000000005</v>
      </c>
      <c r="L4898" s="25">
        <v>2.42</v>
      </c>
      <c r="M4898" s="24">
        <v>35048.5</v>
      </c>
      <c r="N4898" s="25">
        <f>IFERROR(T_reg.root.SK[[#This Row],[Price]]/T_reg.root.SK[[#This Row],[Starch content]],"")</f>
        <v>8.5001756234632939</v>
      </c>
    </row>
    <row r="4899" spans="1:14">
      <c r="A4899" s="21">
        <v>2025</v>
      </c>
      <c r="B4899" s="21" t="s">
        <v>17</v>
      </c>
      <c r="C4899" s="21" t="s">
        <v>1145</v>
      </c>
      <c r="D4899" s="21" t="s">
        <v>35</v>
      </c>
      <c r="E4899" s="18" t="s">
        <v>294</v>
      </c>
      <c r="F4899" s="18" t="s">
        <v>105</v>
      </c>
      <c r="G4899" s="18" t="s">
        <v>48</v>
      </c>
      <c r="H4899" s="24">
        <v>65120</v>
      </c>
      <c r="I4899" s="24">
        <f>T_reg.root.SK[[#This Row],[Volume, kg]]/1000</f>
        <v>65.12</v>
      </c>
      <c r="J4899" s="25">
        <v>0.23129999999999998</v>
      </c>
      <c r="K4899" s="25">
        <f t="shared" si="76"/>
        <v>15062.255999999999</v>
      </c>
      <c r="L4899" s="25">
        <v>2.06</v>
      </c>
      <c r="M4899" s="24">
        <v>134205.5</v>
      </c>
      <c r="N4899" s="25">
        <f>IFERROR(T_reg.root.SK[[#This Row],[Price]]/T_reg.root.SK[[#This Row],[Starch content]],"")</f>
        <v>8.9061824470384785</v>
      </c>
    </row>
    <row r="4900" spans="1:14">
      <c r="A4900" s="21">
        <v>2025</v>
      </c>
      <c r="B4900" s="21" t="s">
        <v>17</v>
      </c>
      <c r="C4900" s="21" t="s">
        <v>1145</v>
      </c>
      <c r="D4900" s="21" t="s">
        <v>35</v>
      </c>
      <c r="E4900" s="18" t="s">
        <v>110</v>
      </c>
      <c r="F4900" s="18" t="s">
        <v>105</v>
      </c>
      <c r="G4900" s="18" t="s">
        <v>48</v>
      </c>
      <c r="H4900" s="24">
        <v>72760</v>
      </c>
      <c r="I4900" s="24">
        <f>T_reg.root.SK[[#This Row],[Volume, kg]]/1000</f>
        <v>72.760000000000005</v>
      </c>
      <c r="J4900" s="25">
        <v>0.27460000000000001</v>
      </c>
      <c r="K4900" s="25">
        <f t="shared" si="76"/>
        <v>19979.896000000001</v>
      </c>
      <c r="L4900" s="25">
        <v>2.33</v>
      </c>
      <c r="M4900" s="24">
        <v>169581.5</v>
      </c>
      <c r="N4900" s="25">
        <f>IFERROR(T_reg.root.SK[[#This Row],[Price]]/T_reg.root.SK[[#This Row],[Starch content]],"")</f>
        <v>8.4850691915513465</v>
      </c>
    </row>
    <row r="4901" spans="1:14">
      <c r="A4901" s="21">
        <v>2025</v>
      </c>
      <c r="B4901" s="21" t="s">
        <v>17</v>
      </c>
      <c r="C4901" s="21" t="s">
        <v>1145</v>
      </c>
      <c r="D4901" s="21" t="s">
        <v>35</v>
      </c>
      <c r="E4901" s="18" t="s">
        <v>734</v>
      </c>
      <c r="F4901" s="18" t="s">
        <v>105</v>
      </c>
      <c r="G4901" s="18" t="s">
        <v>48</v>
      </c>
      <c r="H4901" s="24">
        <v>79710</v>
      </c>
      <c r="I4901" s="24">
        <f>T_reg.root.SK[[#This Row],[Volume, kg]]/1000</f>
        <v>79.709999999999994</v>
      </c>
      <c r="J4901" s="25">
        <v>0.2366</v>
      </c>
      <c r="K4901" s="25">
        <f t="shared" si="76"/>
        <v>18859.385999999999</v>
      </c>
      <c r="L4901" s="25">
        <v>2.14</v>
      </c>
      <c r="M4901" s="24">
        <v>170888</v>
      </c>
      <c r="N4901" s="25">
        <f>IFERROR(T_reg.root.SK[[#This Row],[Price]]/T_reg.root.SK[[#This Row],[Starch content]],"")</f>
        <v>9.0448013524936606</v>
      </c>
    </row>
    <row r="4902" spans="1:14">
      <c r="A4902" s="21">
        <v>2025</v>
      </c>
      <c r="B4902" s="21" t="s">
        <v>17</v>
      </c>
      <c r="C4902" s="21" t="s">
        <v>1145</v>
      </c>
      <c r="D4902" s="21" t="s">
        <v>35</v>
      </c>
      <c r="E4902" s="18" t="s">
        <v>665</v>
      </c>
      <c r="F4902" s="18" t="s">
        <v>105</v>
      </c>
      <c r="G4902" s="18" t="s">
        <v>48</v>
      </c>
      <c r="H4902" s="24">
        <v>52630</v>
      </c>
      <c r="I4902" s="24">
        <f>T_reg.root.SK[[#This Row],[Volume, kg]]/1000</f>
        <v>52.63</v>
      </c>
      <c r="J4902" s="25">
        <v>0.252</v>
      </c>
      <c r="K4902" s="25">
        <f t="shared" si="76"/>
        <v>13262.76</v>
      </c>
      <c r="L4902" s="25">
        <v>2.17</v>
      </c>
      <c r="M4902" s="24">
        <v>114004.5</v>
      </c>
      <c r="N4902" s="25">
        <f>IFERROR(T_reg.root.SK[[#This Row],[Price]]/T_reg.root.SK[[#This Row],[Starch content]],"")</f>
        <v>8.6111111111111107</v>
      </c>
    </row>
    <row r="4903" spans="1:14">
      <c r="A4903" s="21">
        <v>2025</v>
      </c>
      <c r="B4903" s="21" t="s">
        <v>17</v>
      </c>
      <c r="C4903" s="21" t="s">
        <v>1145</v>
      </c>
      <c r="D4903" s="21" t="s">
        <v>35</v>
      </c>
      <c r="E4903" s="18" t="s">
        <v>803</v>
      </c>
      <c r="F4903" s="18" t="s">
        <v>105</v>
      </c>
      <c r="G4903" s="18" t="s">
        <v>48</v>
      </c>
      <c r="H4903" s="24">
        <v>18760</v>
      </c>
      <c r="I4903" s="24">
        <f>T_reg.root.SK[[#This Row],[Volume, kg]]/1000</f>
        <v>18.760000000000002</v>
      </c>
      <c r="J4903" s="25">
        <v>0.21239999999999998</v>
      </c>
      <c r="K4903" s="25">
        <f t="shared" si="76"/>
        <v>3984.6239999999998</v>
      </c>
      <c r="L4903" s="25">
        <v>2.0499999999999998</v>
      </c>
      <c r="M4903" s="24">
        <v>38473</v>
      </c>
      <c r="N4903" s="25">
        <f>IFERROR(T_reg.root.SK[[#This Row],[Price]]/T_reg.root.SK[[#This Row],[Starch content]],"")</f>
        <v>9.6516007532956696</v>
      </c>
    </row>
    <row r="4904" spans="1:14">
      <c r="A4904" s="21">
        <v>2025</v>
      </c>
      <c r="B4904" s="21" t="s">
        <v>17</v>
      </c>
      <c r="C4904" s="21" t="s">
        <v>1145</v>
      </c>
      <c r="D4904" s="21" t="s">
        <v>35</v>
      </c>
      <c r="E4904" s="18" t="s">
        <v>685</v>
      </c>
      <c r="F4904" s="18" t="s">
        <v>105</v>
      </c>
      <c r="G4904" s="18" t="s">
        <v>48</v>
      </c>
      <c r="H4904" s="24">
        <v>55320</v>
      </c>
      <c r="I4904" s="24">
        <f>T_reg.root.SK[[#This Row],[Volume, kg]]/1000</f>
        <v>55.32</v>
      </c>
      <c r="J4904" s="25">
        <v>0.27140000000000003</v>
      </c>
      <c r="K4904" s="25">
        <f t="shared" si="76"/>
        <v>15013.848000000002</v>
      </c>
      <c r="L4904" s="25">
        <v>2.27</v>
      </c>
      <c r="M4904" s="24">
        <v>125495</v>
      </c>
      <c r="N4904" s="25">
        <f>IFERROR(T_reg.root.SK[[#This Row],[Price]]/T_reg.root.SK[[#This Row],[Starch content]],"")</f>
        <v>8.3640383198231376</v>
      </c>
    </row>
    <row r="4905" spans="1:14">
      <c r="A4905" s="21">
        <v>2025</v>
      </c>
      <c r="B4905" s="21" t="s">
        <v>17</v>
      </c>
      <c r="C4905" s="21" t="s">
        <v>1145</v>
      </c>
      <c r="D4905" s="21" t="s">
        <v>35</v>
      </c>
      <c r="E4905" s="18" t="s">
        <v>974</v>
      </c>
      <c r="F4905" s="18" t="s">
        <v>105</v>
      </c>
      <c r="G4905" s="18" t="s">
        <v>48</v>
      </c>
      <c r="H4905" s="24">
        <v>76190</v>
      </c>
      <c r="I4905" s="24">
        <f>T_reg.root.SK[[#This Row],[Volume, kg]]/1000</f>
        <v>76.19</v>
      </c>
      <c r="J4905" s="25">
        <v>0.28749999999999998</v>
      </c>
      <c r="K4905" s="25">
        <f t="shared" si="76"/>
        <v>21904.625</v>
      </c>
      <c r="L4905" s="25">
        <v>2.36</v>
      </c>
      <c r="M4905" s="24">
        <v>179937.5</v>
      </c>
      <c r="N4905" s="25">
        <f>IFERROR(T_reg.root.SK[[#This Row],[Price]]/T_reg.root.SK[[#This Row],[Starch content]],"")</f>
        <v>8.2086956521739136</v>
      </c>
    </row>
    <row r="4906" spans="1:14">
      <c r="A4906" s="21">
        <v>2025</v>
      </c>
      <c r="B4906" s="21" t="s">
        <v>17</v>
      </c>
      <c r="C4906" s="21" t="s">
        <v>1145</v>
      </c>
      <c r="D4906" s="21" t="s">
        <v>35</v>
      </c>
      <c r="E4906" s="18" t="s">
        <v>116</v>
      </c>
      <c r="F4906" s="18" t="s">
        <v>105</v>
      </c>
      <c r="G4906" s="18" t="s">
        <v>48</v>
      </c>
      <c r="H4906" s="24">
        <v>38110</v>
      </c>
      <c r="I4906" s="24">
        <f>T_reg.root.SK[[#This Row],[Volume, kg]]/1000</f>
        <v>38.11</v>
      </c>
      <c r="J4906" s="25">
        <v>0.26039999999999996</v>
      </c>
      <c r="K4906" s="25">
        <f t="shared" si="76"/>
        <v>9923.8439999999991</v>
      </c>
      <c r="L4906" s="25">
        <v>2.23</v>
      </c>
      <c r="M4906" s="24">
        <v>85063</v>
      </c>
      <c r="N4906" s="25">
        <f>IFERROR(T_reg.root.SK[[#This Row],[Price]]/T_reg.root.SK[[#This Row],[Starch content]],"")</f>
        <v>8.5637480798771133</v>
      </c>
    </row>
    <row r="4907" spans="1:14">
      <c r="A4907" s="21">
        <v>2025</v>
      </c>
      <c r="B4907" s="21" t="s">
        <v>17</v>
      </c>
      <c r="C4907" s="21" t="s">
        <v>1145</v>
      </c>
      <c r="D4907" s="21" t="s">
        <v>35</v>
      </c>
      <c r="E4907" s="18" t="s">
        <v>117</v>
      </c>
      <c r="F4907" s="18" t="s">
        <v>105</v>
      </c>
      <c r="G4907" s="18" t="s">
        <v>48</v>
      </c>
      <c r="H4907" s="24">
        <v>15560</v>
      </c>
      <c r="I4907" s="24">
        <f>T_reg.root.SK[[#This Row],[Volume, kg]]/1000</f>
        <v>15.56</v>
      </c>
      <c r="J4907" s="25">
        <v>0.2394</v>
      </c>
      <c r="K4907" s="25">
        <f t="shared" si="76"/>
        <v>3725.0639999999999</v>
      </c>
      <c r="L4907" s="25">
        <v>2.11</v>
      </c>
      <c r="M4907" s="24">
        <v>32773</v>
      </c>
      <c r="N4907" s="25">
        <f>IFERROR(T_reg.root.SK[[#This Row],[Price]]/T_reg.root.SK[[#This Row],[Starch content]],"")</f>
        <v>8.8137009189640771</v>
      </c>
    </row>
    <row r="4908" spans="1:14">
      <c r="A4908" s="21">
        <v>2025</v>
      </c>
      <c r="B4908" s="21" t="s">
        <v>17</v>
      </c>
      <c r="C4908" s="21" t="s">
        <v>1145</v>
      </c>
      <c r="D4908" s="21" t="s">
        <v>35</v>
      </c>
      <c r="E4908" s="18" t="s">
        <v>118</v>
      </c>
      <c r="F4908" s="18" t="s">
        <v>105</v>
      </c>
      <c r="G4908" s="18" t="s">
        <v>48</v>
      </c>
      <c r="H4908" s="24">
        <v>112230</v>
      </c>
      <c r="I4908" s="24">
        <f>T_reg.root.SK[[#This Row],[Volume, kg]]/1000</f>
        <v>112.23</v>
      </c>
      <c r="J4908" s="25">
        <v>0.26700000000000002</v>
      </c>
      <c r="K4908" s="25">
        <f t="shared" si="76"/>
        <v>29965.410000000003</v>
      </c>
      <c r="L4908" s="25">
        <v>2.27</v>
      </c>
      <c r="M4908" s="24">
        <v>254504</v>
      </c>
      <c r="N4908" s="25">
        <f>IFERROR(T_reg.root.SK[[#This Row],[Price]]/T_reg.root.SK[[#This Row],[Starch content]],"")</f>
        <v>8.5018726591760299</v>
      </c>
    </row>
    <row r="4909" spans="1:14">
      <c r="A4909" s="21">
        <v>2025</v>
      </c>
      <c r="B4909" s="21" t="s">
        <v>17</v>
      </c>
      <c r="C4909" s="21" t="s">
        <v>1145</v>
      </c>
      <c r="D4909" s="21" t="s">
        <v>35</v>
      </c>
      <c r="E4909" s="18" t="s">
        <v>119</v>
      </c>
      <c r="F4909" s="18" t="s">
        <v>105</v>
      </c>
      <c r="G4909" s="18" t="s">
        <v>48</v>
      </c>
      <c r="H4909" s="24">
        <v>5040</v>
      </c>
      <c r="I4909" s="24">
        <f>T_reg.root.SK[[#This Row],[Volume, kg]]/1000</f>
        <v>5.04</v>
      </c>
      <c r="J4909" s="25">
        <v>0.27699999999999997</v>
      </c>
      <c r="K4909" s="25">
        <f t="shared" si="76"/>
        <v>1396.08</v>
      </c>
      <c r="L4909" s="25">
        <v>2.2999999999999998</v>
      </c>
      <c r="M4909" s="24">
        <v>11592</v>
      </c>
      <c r="N4909" s="25">
        <f>IFERROR(T_reg.root.SK[[#This Row],[Price]]/T_reg.root.SK[[#This Row],[Starch content]],"")</f>
        <v>8.3032490974729249</v>
      </c>
    </row>
    <row r="4910" spans="1:14">
      <c r="A4910" s="21">
        <v>2025</v>
      </c>
      <c r="B4910" s="21" t="s">
        <v>17</v>
      </c>
      <c r="C4910" s="21" t="s">
        <v>1145</v>
      </c>
      <c r="D4910" s="21" t="s">
        <v>35</v>
      </c>
      <c r="E4910" s="18" t="s">
        <v>122</v>
      </c>
      <c r="F4910" s="18" t="s">
        <v>105</v>
      </c>
      <c r="G4910" s="18" t="s">
        <v>48</v>
      </c>
      <c r="H4910" s="24">
        <v>286870</v>
      </c>
      <c r="I4910" s="24">
        <f>T_reg.root.SK[[#This Row],[Volume, kg]]/1000</f>
        <v>286.87</v>
      </c>
      <c r="J4910" s="25">
        <v>0.26179999999999998</v>
      </c>
      <c r="K4910" s="25">
        <f t="shared" si="76"/>
        <v>75102.565999999992</v>
      </c>
      <c r="L4910" s="25">
        <v>2.27</v>
      </c>
      <c r="M4910" s="24">
        <v>651127.5</v>
      </c>
      <c r="N4910" s="25">
        <f>IFERROR(T_reg.root.SK[[#This Row],[Price]]/T_reg.root.SK[[#This Row],[Starch content]],"")</f>
        <v>8.6707410236822007</v>
      </c>
    </row>
    <row r="4911" spans="1:14">
      <c r="A4911" s="21">
        <v>2025</v>
      </c>
      <c r="B4911" s="21" t="s">
        <v>17</v>
      </c>
      <c r="C4911" s="21" t="s">
        <v>1145</v>
      </c>
      <c r="D4911" s="21" t="s">
        <v>35</v>
      </c>
      <c r="E4911" s="18" t="s">
        <v>946</v>
      </c>
      <c r="F4911" s="18" t="s">
        <v>105</v>
      </c>
      <c r="G4911" s="18" t="s">
        <v>48</v>
      </c>
      <c r="H4911" s="24">
        <v>6140</v>
      </c>
      <c r="I4911" s="24">
        <f>T_reg.root.SK[[#This Row],[Volume, kg]]/1000</f>
        <v>6.14</v>
      </c>
      <c r="J4911" s="25">
        <v>0.26400000000000001</v>
      </c>
      <c r="K4911" s="25">
        <f t="shared" si="76"/>
        <v>1620.96</v>
      </c>
      <c r="L4911" s="25">
        <v>2.2999999999999998</v>
      </c>
      <c r="M4911" s="24">
        <v>14122</v>
      </c>
      <c r="N4911" s="25">
        <f>IFERROR(T_reg.root.SK[[#This Row],[Price]]/T_reg.root.SK[[#This Row],[Starch content]],"")</f>
        <v>8.712121212121211</v>
      </c>
    </row>
    <row r="4912" spans="1:14">
      <c r="A4912" s="21">
        <v>2025</v>
      </c>
      <c r="B4912" s="21" t="s">
        <v>17</v>
      </c>
      <c r="C4912" s="21" t="s">
        <v>1145</v>
      </c>
      <c r="D4912" s="21" t="s">
        <v>35</v>
      </c>
      <c r="E4912" s="18" t="s">
        <v>975</v>
      </c>
      <c r="F4912" s="18" t="s">
        <v>105</v>
      </c>
      <c r="G4912" s="18" t="s">
        <v>48</v>
      </c>
      <c r="H4912" s="24">
        <v>12200</v>
      </c>
      <c r="I4912" s="24">
        <f>T_reg.root.SK[[#This Row],[Volume, kg]]/1000</f>
        <v>12.2</v>
      </c>
      <c r="J4912" s="25">
        <v>0.24739999999999998</v>
      </c>
      <c r="K4912" s="25">
        <f t="shared" si="76"/>
        <v>3018.2799999999997</v>
      </c>
      <c r="L4912" s="25">
        <v>2.16</v>
      </c>
      <c r="M4912" s="24">
        <v>26308</v>
      </c>
      <c r="N4912" s="25">
        <f>IFERROR(T_reg.root.SK[[#This Row],[Price]]/T_reg.root.SK[[#This Row],[Starch content]],"")</f>
        <v>8.7308003233629758</v>
      </c>
    </row>
    <row r="4913" spans="1:14">
      <c r="A4913" s="21">
        <v>2025</v>
      </c>
      <c r="B4913" s="21" t="s">
        <v>17</v>
      </c>
      <c r="C4913" s="21" t="s">
        <v>1145</v>
      </c>
      <c r="D4913" s="21" t="s">
        <v>35</v>
      </c>
      <c r="E4913" s="18" t="s">
        <v>124</v>
      </c>
      <c r="F4913" s="18" t="s">
        <v>105</v>
      </c>
      <c r="G4913" s="18" t="s">
        <v>48</v>
      </c>
      <c r="H4913" s="24">
        <v>59230</v>
      </c>
      <c r="I4913" s="24">
        <f>T_reg.root.SK[[#This Row],[Volume, kg]]/1000</f>
        <v>59.23</v>
      </c>
      <c r="J4913" s="25">
        <v>0.27500000000000002</v>
      </c>
      <c r="K4913" s="25">
        <f t="shared" si="76"/>
        <v>16288.250000000002</v>
      </c>
      <c r="L4913" s="25">
        <v>2.2799999999999998</v>
      </c>
      <c r="M4913" s="24">
        <v>134859</v>
      </c>
      <c r="N4913" s="25">
        <f>IFERROR(T_reg.root.SK[[#This Row],[Price]]/T_reg.root.SK[[#This Row],[Starch content]],"")</f>
        <v>8.2909090909090892</v>
      </c>
    </row>
    <row r="4914" spans="1:14">
      <c r="A4914" s="21">
        <v>2025</v>
      </c>
      <c r="B4914" s="21" t="s">
        <v>17</v>
      </c>
      <c r="C4914" s="21" t="s">
        <v>1145</v>
      </c>
      <c r="D4914" s="21" t="s">
        <v>35</v>
      </c>
      <c r="E4914" s="18" t="s">
        <v>404</v>
      </c>
      <c r="F4914" s="18" t="s">
        <v>105</v>
      </c>
      <c r="G4914" s="18" t="s">
        <v>48</v>
      </c>
      <c r="H4914" s="24">
        <v>43120</v>
      </c>
      <c r="I4914" s="24">
        <f>T_reg.root.SK[[#This Row],[Volume, kg]]/1000</f>
        <v>43.12</v>
      </c>
      <c r="J4914" s="25">
        <v>0.2676</v>
      </c>
      <c r="K4914" s="25">
        <f t="shared" si="76"/>
        <v>11538.912</v>
      </c>
      <c r="L4914" s="25">
        <v>2.2799999999999998</v>
      </c>
      <c r="M4914" s="24">
        <v>98513</v>
      </c>
      <c r="N4914" s="25">
        <f>IFERROR(T_reg.root.SK[[#This Row],[Price]]/T_reg.root.SK[[#This Row],[Starch content]],"")</f>
        <v>8.5201793721973083</v>
      </c>
    </row>
    <row r="4915" spans="1:14">
      <c r="A4915" s="21">
        <v>2025</v>
      </c>
      <c r="B4915" s="21" t="s">
        <v>17</v>
      </c>
      <c r="C4915" s="21" t="s">
        <v>1145</v>
      </c>
      <c r="D4915" s="21" t="s">
        <v>35</v>
      </c>
      <c r="E4915" s="18" t="s">
        <v>486</v>
      </c>
      <c r="F4915" s="18" t="s">
        <v>105</v>
      </c>
      <c r="G4915" s="18" t="s">
        <v>48</v>
      </c>
      <c r="H4915" s="24">
        <v>25790</v>
      </c>
      <c r="I4915" s="24">
        <f>T_reg.root.SK[[#This Row],[Volume, kg]]/1000</f>
        <v>25.79</v>
      </c>
      <c r="J4915" s="25">
        <v>0.24329999999999999</v>
      </c>
      <c r="K4915" s="25">
        <f t="shared" si="76"/>
        <v>6274.7069999999994</v>
      </c>
      <c r="L4915" s="25">
        <v>2.12</v>
      </c>
      <c r="M4915" s="24">
        <v>54769.5</v>
      </c>
      <c r="N4915" s="25">
        <f>IFERROR(T_reg.root.SK[[#This Row],[Price]]/T_reg.root.SK[[#This Row],[Starch content]],"")</f>
        <v>8.713522400328813</v>
      </c>
    </row>
    <row r="4916" spans="1:14">
      <c r="A4916" s="21">
        <v>2025</v>
      </c>
      <c r="B4916" s="21" t="s">
        <v>17</v>
      </c>
      <c r="C4916" s="21" t="s">
        <v>1145</v>
      </c>
      <c r="D4916" s="21" t="s">
        <v>35</v>
      </c>
      <c r="E4916" s="18" t="s">
        <v>976</v>
      </c>
      <c r="F4916" s="18" t="s">
        <v>105</v>
      </c>
      <c r="G4916" s="18" t="s">
        <v>48</v>
      </c>
      <c r="H4916" s="24">
        <v>15450</v>
      </c>
      <c r="I4916" s="24">
        <f>T_reg.root.SK[[#This Row],[Volume, kg]]/1000</f>
        <v>15.45</v>
      </c>
      <c r="J4916" s="25">
        <v>0.29049999999999998</v>
      </c>
      <c r="K4916" s="25">
        <f t="shared" si="76"/>
        <v>4488.2249999999995</v>
      </c>
      <c r="L4916" s="25">
        <v>2.37</v>
      </c>
      <c r="M4916" s="24">
        <v>36540</v>
      </c>
      <c r="N4916" s="25">
        <f>IFERROR(T_reg.root.SK[[#This Row],[Price]]/T_reg.root.SK[[#This Row],[Starch content]],"")</f>
        <v>8.1583476764199663</v>
      </c>
    </row>
    <row r="4917" spans="1:14">
      <c r="A4917" s="21">
        <v>2025</v>
      </c>
      <c r="B4917" s="21" t="s">
        <v>17</v>
      </c>
      <c r="C4917" s="21" t="s">
        <v>1145</v>
      </c>
      <c r="D4917" s="21" t="s">
        <v>35</v>
      </c>
      <c r="E4917" s="18" t="s">
        <v>977</v>
      </c>
      <c r="F4917" s="18" t="s">
        <v>105</v>
      </c>
      <c r="G4917" s="18" t="s">
        <v>48</v>
      </c>
      <c r="H4917" s="24">
        <v>45580</v>
      </c>
      <c r="I4917" s="24">
        <f>T_reg.root.SK[[#This Row],[Volume, kg]]/1000</f>
        <v>45.58</v>
      </c>
      <c r="J4917" s="25">
        <v>0.25800000000000001</v>
      </c>
      <c r="K4917" s="25">
        <f t="shared" si="76"/>
        <v>11759.64</v>
      </c>
      <c r="L4917" s="25">
        <v>2.19</v>
      </c>
      <c r="M4917" s="24">
        <v>99772</v>
      </c>
      <c r="N4917" s="25">
        <f>IFERROR(T_reg.root.SK[[#This Row],[Price]]/T_reg.root.SK[[#This Row],[Starch content]],"")</f>
        <v>8.4883720930232549</v>
      </c>
    </row>
    <row r="4918" spans="1:14">
      <c r="A4918" s="21">
        <v>2025</v>
      </c>
      <c r="B4918" s="21" t="s">
        <v>17</v>
      </c>
      <c r="C4918" s="21" t="s">
        <v>1145</v>
      </c>
      <c r="D4918" s="21" t="s">
        <v>35</v>
      </c>
      <c r="E4918" s="18" t="s">
        <v>736</v>
      </c>
      <c r="F4918" s="18" t="s">
        <v>105</v>
      </c>
      <c r="G4918" s="18" t="s">
        <v>48</v>
      </c>
      <c r="H4918" s="24">
        <v>18770</v>
      </c>
      <c r="I4918" s="24">
        <f>T_reg.root.SK[[#This Row],[Volume, kg]]/1000</f>
        <v>18.77</v>
      </c>
      <c r="J4918" s="25">
        <v>0.30020000000000002</v>
      </c>
      <c r="K4918" s="25">
        <f t="shared" si="76"/>
        <v>5634.7540000000008</v>
      </c>
      <c r="L4918" s="25">
        <v>2.5</v>
      </c>
      <c r="M4918" s="24">
        <v>46925</v>
      </c>
      <c r="N4918" s="25">
        <f>IFERROR(T_reg.root.SK[[#This Row],[Price]]/T_reg.root.SK[[#This Row],[Starch content]],"")</f>
        <v>8.3277814790139892</v>
      </c>
    </row>
    <row r="4919" spans="1:14">
      <c r="A4919" s="21">
        <v>2025</v>
      </c>
      <c r="B4919" s="21" t="s">
        <v>17</v>
      </c>
      <c r="C4919" s="21" t="s">
        <v>1145</v>
      </c>
      <c r="D4919" s="21" t="s">
        <v>35</v>
      </c>
      <c r="E4919" s="18" t="s">
        <v>129</v>
      </c>
      <c r="F4919" s="18" t="s">
        <v>105</v>
      </c>
      <c r="G4919" s="18" t="s">
        <v>48</v>
      </c>
      <c r="H4919" s="24">
        <v>12190</v>
      </c>
      <c r="I4919" s="24">
        <f>T_reg.root.SK[[#This Row],[Volume, kg]]/1000</f>
        <v>12.19</v>
      </c>
      <c r="J4919" s="25">
        <v>0.26280000000000003</v>
      </c>
      <c r="K4919" s="25">
        <f t="shared" si="76"/>
        <v>3203.5320000000006</v>
      </c>
      <c r="L4919" s="25">
        <v>2.2200000000000002</v>
      </c>
      <c r="M4919" s="24">
        <v>27053</v>
      </c>
      <c r="N4919" s="25">
        <f>IFERROR(T_reg.root.SK[[#This Row],[Price]]/T_reg.root.SK[[#This Row],[Starch content]],"")</f>
        <v>8.4474885844748862</v>
      </c>
    </row>
    <row r="4920" spans="1:14">
      <c r="A4920" s="21">
        <v>2025</v>
      </c>
      <c r="B4920" s="21" t="s">
        <v>17</v>
      </c>
      <c r="C4920" s="21" t="s">
        <v>1145</v>
      </c>
      <c r="D4920" s="21" t="s">
        <v>35</v>
      </c>
      <c r="E4920" s="18" t="s">
        <v>978</v>
      </c>
      <c r="F4920" s="18" t="s">
        <v>105</v>
      </c>
      <c r="G4920" s="18" t="s">
        <v>48</v>
      </c>
      <c r="H4920" s="24">
        <v>9660</v>
      </c>
      <c r="I4920" s="24">
        <f>T_reg.root.SK[[#This Row],[Volume, kg]]/1000</f>
        <v>9.66</v>
      </c>
      <c r="J4920" s="25">
        <v>0.27949999999999997</v>
      </c>
      <c r="K4920" s="25">
        <f t="shared" si="76"/>
        <v>2699.97</v>
      </c>
      <c r="L4920" s="25">
        <v>2.2999999999999998</v>
      </c>
      <c r="M4920" s="24">
        <v>22218</v>
      </c>
      <c r="N4920" s="25">
        <f>IFERROR(T_reg.root.SK[[#This Row],[Price]]/T_reg.root.SK[[#This Row],[Starch content]],"")</f>
        <v>8.2289803220035775</v>
      </c>
    </row>
    <row r="4921" spans="1:14">
      <c r="A4921" s="21">
        <v>2025</v>
      </c>
      <c r="B4921" s="21" t="s">
        <v>17</v>
      </c>
      <c r="C4921" s="21" t="s">
        <v>1145</v>
      </c>
      <c r="D4921" s="21" t="s">
        <v>35</v>
      </c>
      <c r="E4921" s="18" t="s">
        <v>300</v>
      </c>
      <c r="F4921" s="18" t="s">
        <v>105</v>
      </c>
      <c r="G4921" s="18" t="s">
        <v>48</v>
      </c>
      <c r="H4921" s="24">
        <v>11380</v>
      </c>
      <c r="I4921" s="24">
        <f>T_reg.root.SK[[#This Row],[Volume, kg]]/1000</f>
        <v>11.38</v>
      </c>
      <c r="J4921" s="25">
        <v>0.30499999999999999</v>
      </c>
      <c r="K4921" s="25">
        <f t="shared" si="76"/>
        <v>3470.9</v>
      </c>
      <c r="L4921" s="25">
        <v>2.5499999999999998</v>
      </c>
      <c r="M4921" s="24">
        <v>29019</v>
      </c>
      <c r="N4921" s="25">
        <f>IFERROR(T_reg.root.SK[[#This Row],[Price]]/T_reg.root.SK[[#This Row],[Starch content]],"")</f>
        <v>8.3606557377049171</v>
      </c>
    </row>
    <row r="4922" spans="1:14">
      <c r="A4922" s="21">
        <v>2025</v>
      </c>
      <c r="B4922" s="21" t="s">
        <v>17</v>
      </c>
      <c r="C4922" s="21" t="s">
        <v>1145</v>
      </c>
      <c r="D4922" s="21" t="s">
        <v>35</v>
      </c>
      <c r="E4922" s="18" t="s">
        <v>755</v>
      </c>
      <c r="F4922" s="18" t="s">
        <v>105</v>
      </c>
      <c r="G4922" s="18" t="s">
        <v>48</v>
      </c>
      <c r="H4922" s="24">
        <v>143850</v>
      </c>
      <c r="I4922" s="24">
        <f>T_reg.root.SK[[#This Row],[Volume, kg]]/1000</f>
        <v>143.85</v>
      </c>
      <c r="J4922" s="25">
        <v>0.26129999999999998</v>
      </c>
      <c r="K4922" s="25">
        <f t="shared" si="76"/>
        <v>37588.004999999997</v>
      </c>
      <c r="L4922" s="25">
        <v>2.2400000000000002</v>
      </c>
      <c r="M4922" s="24">
        <v>321526</v>
      </c>
      <c r="N4922" s="25">
        <f>IFERROR(T_reg.root.SK[[#This Row],[Price]]/T_reg.root.SK[[#This Row],[Starch content]],"")</f>
        <v>8.5725220053578273</v>
      </c>
    </row>
    <row r="4923" spans="1:14">
      <c r="A4923" s="21">
        <v>2025</v>
      </c>
      <c r="B4923" s="21" t="s">
        <v>17</v>
      </c>
      <c r="C4923" s="21" t="s">
        <v>1145</v>
      </c>
      <c r="D4923" s="21" t="s">
        <v>35</v>
      </c>
      <c r="E4923" s="18" t="s">
        <v>717</v>
      </c>
      <c r="F4923" s="18" t="s">
        <v>105</v>
      </c>
      <c r="G4923" s="18" t="s">
        <v>48</v>
      </c>
      <c r="H4923" s="24">
        <v>52780</v>
      </c>
      <c r="I4923" s="24">
        <f>T_reg.root.SK[[#This Row],[Volume, kg]]/1000</f>
        <v>52.78</v>
      </c>
      <c r="J4923" s="25">
        <v>0.26629999999999998</v>
      </c>
      <c r="K4923" s="25">
        <f t="shared" si="76"/>
        <v>14055.313999999998</v>
      </c>
      <c r="L4923" s="25">
        <v>2.33</v>
      </c>
      <c r="M4923" s="24">
        <v>123158</v>
      </c>
      <c r="N4923" s="25">
        <f>IFERROR(T_reg.root.SK[[#This Row],[Price]]/T_reg.root.SK[[#This Row],[Starch content]],"")</f>
        <v>8.7495306045813006</v>
      </c>
    </row>
    <row r="4924" spans="1:14">
      <c r="A4924" s="21">
        <v>2025</v>
      </c>
      <c r="B4924" s="21" t="s">
        <v>17</v>
      </c>
      <c r="C4924" s="21" t="s">
        <v>1145</v>
      </c>
      <c r="D4924" s="21" t="s">
        <v>35</v>
      </c>
      <c r="E4924" s="18" t="s">
        <v>133</v>
      </c>
      <c r="F4924" s="18" t="s">
        <v>105</v>
      </c>
      <c r="G4924" s="18" t="s">
        <v>48</v>
      </c>
      <c r="H4924" s="24">
        <v>125810</v>
      </c>
      <c r="I4924" s="24">
        <f>T_reg.root.SK[[#This Row],[Volume, kg]]/1000</f>
        <v>125.81</v>
      </c>
      <c r="J4924" s="25">
        <v>0.2641</v>
      </c>
      <c r="K4924" s="25">
        <f t="shared" si="76"/>
        <v>33226.421000000002</v>
      </c>
      <c r="L4924" s="25">
        <v>2.31</v>
      </c>
      <c r="M4924" s="24">
        <v>291129</v>
      </c>
      <c r="N4924" s="25">
        <f>IFERROR(T_reg.root.SK[[#This Row],[Price]]/T_reg.root.SK[[#This Row],[Starch content]],"")</f>
        <v>8.7466868610374853</v>
      </c>
    </row>
    <row r="4925" spans="1:14">
      <c r="A4925" s="21">
        <v>2025</v>
      </c>
      <c r="B4925" s="21" t="s">
        <v>17</v>
      </c>
      <c r="C4925" s="21" t="s">
        <v>1145</v>
      </c>
      <c r="D4925" s="21" t="s">
        <v>35</v>
      </c>
      <c r="E4925" s="18" t="s">
        <v>301</v>
      </c>
      <c r="F4925" s="18" t="s">
        <v>105</v>
      </c>
      <c r="G4925" s="18" t="s">
        <v>48</v>
      </c>
      <c r="H4925" s="24">
        <v>46670</v>
      </c>
      <c r="I4925" s="24">
        <f>T_reg.root.SK[[#This Row],[Volume, kg]]/1000</f>
        <v>46.67</v>
      </c>
      <c r="J4925" s="25">
        <v>0.2261</v>
      </c>
      <c r="K4925" s="25">
        <f t="shared" si="76"/>
        <v>10552.087</v>
      </c>
      <c r="L4925" s="25">
        <v>2.0299999999999998</v>
      </c>
      <c r="M4925" s="24">
        <v>94601.5</v>
      </c>
      <c r="N4925" s="25">
        <f>IFERROR(T_reg.root.SK[[#This Row],[Price]]/T_reg.root.SK[[#This Row],[Starch content]],"")</f>
        <v>8.9783281733746119</v>
      </c>
    </row>
    <row r="4926" spans="1:14">
      <c r="A4926" s="21">
        <v>2025</v>
      </c>
      <c r="B4926" s="21" t="s">
        <v>17</v>
      </c>
      <c r="C4926" s="21" t="s">
        <v>1145</v>
      </c>
      <c r="D4926" s="21" t="s">
        <v>35</v>
      </c>
      <c r="E4926" s="18" t="s">
        <v>809</v>
      </c>
      <c r="F4926" s="18" t="s">
        <v>105</v>
      </c>
      <c r="G4926" s="18" t="s">
        <v>48</v>
      </c>
      <c r="H4926" s="24">
        <v>30150</v>
      </c>
      <c r="I4926" s="24">
        <f>T_reg.root.SK[[#This Row],[Volume, kg]]/1000</f>
        <v>30.15</v>
      </c>
      <c r="J4926" s="25">
        <v>0.2651</v>
      </c>
      <c r="K4926" s="25">
        <f t="shared" si="76"/>
        <v>7992.7650000000003</v>
      </c>
      <c r="L4926" s="25">
        <v>2.25</v>
      </c>
      <c r="M4926" s="24">
        <v>67699.5</v>
      </c>
      <c r="N4926" s="25">
        <f>IFERROR(T_reg.root.SK[[#This Row],[Price]]/T_reg.root.SK[[#This Row],[Starch content]],"")</f>
        <v>8.4873632591474912</v>
      </c>
    </row>
    <row r="4927" spans="1:14">
      <c r="A4927" s="21">
        <v>2025</v>
      </c>
      <c r="B4927" s="21" t="s">
        <v>17</v>
      </c>
      <c r="C4927" s="21" t="s">
        <v>1145</v>
      </c>
      <c r="D4927" s="21" t="s">
        <v>35</v>
      </c>
      <c r="E4927" s="18" t="s">
        <v>136</v>
      </c>
      <c r="F4927" s="18" t="s">
        <v>105</v>
      </c>
      <c r="G4927" s="18" t="s">
        <v>48</v>
      </c>
      <c r="H4927" s="24">
        <v>144700</v>
      </c>
      <c r="I4927" s="24">
        <f>T_reg.root.SK[[#This Row],[Volume, kg]]/1000</f>
        <v>144.69999999999999</v>
      </c>
      <c r="J4927" s="25">
        <v>0.24530000000000002</v>
      </c>
      <c r="K4927" s="25">
        <f t="shared" si="76"/>
        <v>35494.910000000003</v>
      </c>
      <c r="L4927" s="25">
        <v>2.2000000000000002</v>
      </c>
      <c r="M4927" s="24">
        <v>317647.5</v>
      </c>
      <c r="N4927" s="25">
        <f>IFERROR(T_reg.root.SK[[#This Row],[Price]]/T_reg.root.SK[[#This Row],[Starch content]],"")</f>
        <v>8.9686098654708513</v>
      </c>
    </row>
    <row r="4928" spans="1:14">
      <c r="A4928" s="21">
        <v>2025</v>
      </c>
      <c r="B4928" s="21" t="s">
        <v>17</v>
      </c>
      <c r="C4928" s="21" t="s">
        <v>1145</v>
      </c>
      <c r="D4928" s="21" t="s">
        <v>35</v>
      </c>
      <c r="E4928" s="18" t="s">
        <v>494</v>
      </c>
      <c r="F4928" s="18" t="s">
        <v>105</v>
      </c>
      <c r="G4928" s="18" t="s">
        <v>48</v>
      </c>
      <c r="H4928" s="24">
        <v>42550</v>
      </c>
      <c r="I4928" s="24">
        <f>T_reg.root.SK[[#This Row],[Volume, kg]]/1000</f>
        <v>42.55</v>
      </c>
      <c r="J4928" s="25">
        <v>0.23719999999999999</v>
      </c>
      <c r="K4928" s="25">
        <f t="shared" si="76"/>
        <v>10092.86</v>
      </c>
      <c r="L4928" s="25">
        <v>2.09</v>
      </c>
      <c r="M4928" s="24">
        <v>88871</v>
      </c>
      <c r="N4928" s="25">
        <f>IFERROR(T_reg.root.SK[[#This Row],[Price]]/T_reg.root.SK[[#This Row],[Starch content]],"")</f>
        <v>8.8111298482293421</v>
      </c>
    </row>
    <row r="4929" spans="1:14">
      <c r="A4929" s="21">
        <v>2025</v>
      </c>
      <c r="B4929" s="21" t="s">
        <v>17</v>
      </c>
      <c r="C4929" s="21" t="s">
        <v>1145</v>
      </c>
      <c r="D4929" s="21" t="s">
        <v>35</v>
      </c>
      <c r="E4929" s="18" t="s">
        <v>979</v>
      </c>
      <c r="F4929" s="18" t="s">
        <v>105</v>
      </c>
      <c r="G4929" s="18" t="s">
        <v>48</v>
      </c>
      <c r="H4929" s="24">
        <v>7350</v>
      </c>
      <c r="I4929" s="24">
        <f>T_reg.root.SK[[#This Row],[Volume, kg]]/1000</f>
        <v>7.35</v>
      </c>
      <c r="J4929" s="25">
        <v>0.29899999999999999</v>
      </c>
      <c r="K4929" s="25">
        <f t="shared" si="76"/>
        <v>2197.65</v>
      </c>
      <c r="L4929" s="25">
        <v>2.5</v>
      </c>
      <c r="M4929" s="24">
        <v>18375</v>
      </c>
      <c r="N4929" s="25">
        <f>IFERROR(T_reg.root.SK[[#This Row],[Price]]/T_reg.root.SK[[#This Row],[Starch content]],"")</f>
        <v>8.3612040133779271</v>
      </c>
    </row>
    <row r="4930" spans="1:14">
      <c r="A4930" s="21">
        <v>2025</v>
      </c>
      <c r="B4930" s="21" t="s">
        <v>17</v>
      </c>
      <c r="C4930" s="21" t="s">
        <v>1145</v>
      </c>
      <c r="D4930" s="21" t="s">
        <v>35</v>
      </c>
      <c r="E4930" s="18" t="s">
        <v>138</v>
      </c>
      <c r="F4930" s="18" t="s">
        <v>105</v>
      </c>
      <c r="G4930" s="18" t="s">
        <v>48</v>
      </c>
      <c r="H4930" s="24">
        <v>62080</v>
      </c>
      <c r="I4930" s="24">
        <f>T_reg.root.SK[[#This Row],[Volume, kg]]/1000</f>
        <v>62.08</v>
      </c>
      <c r="J4930" s="25">
        <v>0.25980000000000003</v>
      </c>
      <c r="K4930" s="25">
        <f t="shared" si="76"/>
        <v>16128.384000000002</v>
      </c>
      <c r="L4930" s="25">
        <v>2.25</v>
      </c>
      <c r="M4930" s="24">
        <v>139886.5</v>
      </c>
      <c r="N4930" s="25">
        <f>IFERROR(T_reg.root.SK[[#This Row],[Price]]/T_reg.root.SK[[#This Row],[Starch content]],"")</f>
        <v>8.6605080831408774</v>
      </c>
    </row>
    <row r="4931" spans="1:14">
      <c r="A4931" s="21">
        <v>2025</v>
      </c>
      <c r="B4931" s="21" t="s">
        <v>17</v>
      </c>
      <c r="C4931" s="21" t="s">
        <v>1145</v>
      </c>
      <c r="D4931" s="21" t="s">
        <v>35</v>
      </c>
      <c r="E4931" s="18" t="s">
        <v>243</v>
      </c>
      <c r="F4931" s="18" t="s">
        <v>105</v>
      </c>
      <c r="G4931" s="18" t="s">
        <v>48</v>
      </c>
      <c r="H4931" s="24">
        <v>18230</v>
      </c>
      <c r="I4931" s="24">
        <f>T_reg.root.SK[[#This Row],[Volume, kg]]/1000</f>
        <v>18.23</v>
      </c>
      <c r="J4931" s="25">
        <v>0.25429999999999997</v>
      </c>
      <c r="K4931" s="25">
        <f t="shared" ref="K4931:K4994" si="77">H4931*J4931</f>
        <v>4635.8889999999992</v>
      </c>
      <c r="L4931" s="25">
        <v>2.19</v>
      </c>
      <c r="M4931" s="24">
        <v>39996.5</v>
      </c>
      <c r="N4931" s="25">
        <f>IFERROR(T_reg.root.SK[[#This Row],[Price]]/T_reg.root.SK[[#This Row],[Starch content]],"")</f>
        <v>8.6118757373181296</v>
      </c>
    </row>
    <row r="4932" spans="1:14">
      <c r="A4932" s="21">
        <v>2025</v>
      </c>
      <c r="B4932" s="21" t="s">
        <v>17</v>
      </c>
      <c r="C4932" s="21" t="s">
        <v>1145</v>
      </c>
      <c r="D4932" s="21" t="s">
        <v>35</v>
      </c>
      <c r="E4932" s="18" t="s">
        <v>933</v>
      </c>
      <c r="F4932" s="18" t="s">
        <v>105</v>
      </c>
      <c r="G4932" s="18" t="s">
        <v>48</v>
      </c>
      <c r="H4932" s="24">
        <v>48170</v>
      </c>
      <c r="I4932" s="24">
        <f>T_reg.root.SK[[#This Row],[Volume, kg]]/1000</f>
        <v>48.17</v>
      </c>
      <c r="J4932" s="25">
        <v>0.26190000000000002</v>
      </c>
      <c r="K4932" s="25">
        <f t="shared" si="77"/>
        <v>12615.723000000002</v>
      </c>
      <c r="L4932" s="25">
        <v>2.29</v>
      </c>
      <c r="M4932" s="24">
        <v>110394.5</v>
      </c>
      <c r="N4932" s="25">
        <f>IFERROR(T_reg.root.SK[[#This Row],[Price]]/T_reg.root.SK[[#This Row],[Starch content]],"")</f>
        <v>8.7437953417334846</v>
      </c>
    </row>
    <row r="4933" spans="1:14">
      <c r="A4933" s="21">
        <v>2025</v>
      </c>
      <c r="B4933" s="21" t="s">
        <v>17</v>
      </c>
      <c r="C4933" s="21" t="s">
        <v>1145</v>
      </c>
      <c r="D4933" s="21" t="s">
        <v>35</v>
      </c>
      <c r="E4933" s="18" t="s">
        <v>310</v>
      </c>
      <c r="F4933" s="18" t="s">
        <v>105</v>
      </c>
      <c r="G4933" s="18" t="s">
        <v>48</v>
      </c>
      <c r="H4933" s="24">
        <v>57660</v>
      </c>
      <c r="I4933" s="24">
        <f>T_reg.root.SK[[#This Row],[Volume, kg]]/1000</f>
        <v>57.66</v>
      </c>
      <c r="J4933" s="25">
        <v>0.28300000000000003</v>
      </c>
      <c r="K4933" s="25">
        <f t="shared" si="77"/>
        <v>16317.780000000002</v>
      </c>
      <c r="L4933" s="25">
        <v>2.42</v>
      </c>
      <c r="M4933" s="24">
        <v>139306.5</v>
      </c>
      <c r="N4933" s="25">
        <f>IFERROR(T_reg.root.SK[[#This Row],[Price]]/T_reg.root.SK[[#This Row],[Starch content]],"")</f>
        <v>8.5512367491166064</v>
      </c>
    </row>
    <row r="4934" spans="1:14">
      <c r="A4934" s="21">
        <v>2025</v>
      </c>
      <c r="B4934" s="21" t="s">
        <v>17</v>
      </c>
      <c r="C4934" s="21" t="s">
        <v>1145</v>
      </c>
      <c r="D4934" s="21" t="s">
        <v>35</v>
      </c>
      <c r="E4934" s="18" t="s">
        <v>247</v>
      </c>
      <c r="F4934" s="18" t="s">
        <v>105</v>
      </c>
      <c r="G4934" s="18" t="s">
        <v>48</v>
      </c>
      <c r="H4934" s="24">
        <v>10100</v>
      </c>
      <c r="I4934" s="24">
        <f>T_reg.root.SK[[#This Row],[Volume, kg]]/1000</f>
        <v>10.1</v>
      </c>
      <c r="J4934" s="25">
        <v>0.28600000000000003</v>
      </c>
      <c r="K4934" s="25">
        <f t="shared" si="77"/>
        <v>2888.6000000000004</v>
      </c>
      <c r="L4934" s="25">
        <v>2.35</v>
      </c>
      <c r="M4934" s="24">
        <v>23735</v>
      </c>
      <c r="N4934" s="25">
        <f>IFERROR(T_reg.root.SK[[#This Row],[Price]]/T_reg.root.SK[[#This Row],[Starch content]],"")</f>
        <v>8.2167832167832167</v>
      </c>
    </row>
    <row r="4935" spans="1:14">
      <c r="A4935" s="21">
        <v>2025</v>
      </c>
      <c r="B4935" s="21" t="s">
        <v>17</v>
      </c>
      <c r="C4935" s="21" t="s">
        <v>1145</v>
      </c>
      <c r="D4935" s="21" t="s">
        <v>35</v>
      </c>
      <c r="E4935" s="18" t="s">
        <v>248</v>
      </c>
      <c r="F4935" s="18" t="s">
        <v>105</v>
      </c>
      <c r="G4935" s="18" t="s">
        <v>48</v>
      </c>
      <c r="H4935" s="24">
        <v>14830</v>
      </c>
      <c r="I4935" s="24">
        <f>T_reg.root.SK[[#This Row],[Volume, kg]]/1000</f>
        <v>14.83</v>
      </c>
      <c r="J4935" s="25">
        <v>0.27260000000000001</v>
      </c>
      <c r="K4935" s="25">
        <f t="shared" si="77"/>
        <v>4042.6580000000004</v>
      </c>
      <c r="L4935" s="25">
        <v>2.3199999999999998</v>
      </c>
      <c r="M4935" s="24">
        <v>34440</v>
      </c>
      <c r="N4935" s="25">
        <f>IFERROR(T_reg.root.SK[[#This Row],[Price]]/T_reg.root.SK[[#This Row],[Starch content]],"")</f>
        <v>8.5106382978723403</v>
      </c>
    </row>
    <row r="4936" spans="1:14">
      <c r="A4936" s="21">
        <v>2025</v>
      </c>
      <c r="B4936" s="21" t="s">
        <v>17</v>
      </c>
      <c r="C4936" s="21" t="s">
        <v>1145</v>
      </c>
      <c r="D4936" s="21" t="s">
        <v>35</v>
      </c>
      <c r="E4936" s="18" t="s">
        <v>143</v>
      </c>
      <c r="F4936" s="18" t="s">
        <v>105</v>
      </c>
      <c r="G4936" s="18" t="s">
        <v>48</v>
      </c>
      <c r="H4936" s="24">
        <v>76750</v>
      </c>
      <c r="I4936" s="24">
        <f>T_reg.root.SK[[#This Row],[Volume, kg]]/1000</f>
        <v>76.75</v>
      </c>
      <c r="J4936" s="25">
        <v>0.28179999999999999</v>
      </c>
      <c r="K4936" s="25">
        <f t="shared" si="77"/>
        <v>21628.149999999998</v>
      </c>
      <c r="L4936" s="25">
        <v>2.36</v>
      </c>
      <c r="M4936" s="24">
        <v>181153</v>
      </c>
      <c r="N4936" s="25">
        <f>IFERROR(T_reg.root.SK[[#This Row],[Price]]/T_reg.root.SK[[#This Row],[Starch content]],"")</f>
        <v>8.3747338537970197</v>
      </c>
    </row>
    <row r="4937" spans="1:14">
      <c r="A4937" s="21">
        <v>2025</v>
      </c>
      <c r="B4937" s="21" t="s">
        <v>17</v>
      </c>
      <c r="C4937" s="21" t="s">
        <v>1145</v>
      </c>
      <c r="D4937" s="21" t="s">
        <v>35</v>
      </c>
      <c r="E4937" s="18" t="s">
        <v>144</v>
      </c>
      <c r="F4937" s="18" t="s">
        <v>105</v>
      </c>
      <c r="G4937" s="18" t="s">
        <v>48</v>
      </c>
      <c r="H4937" s="24">
        <v>32800</v>
      </c>
      <c r="I4937" s="24">
        <f>T_reg.root.SK[[#This Row],[Volume, kg]]/1000</f>
        <v>32.799999999999997</v>
      </c>
      <c r="J4937" s="25">
        <v>0.2717</v>
      </c>
      <c r="K4937" s="25">
        <f t="shared" si="77"/>
        <v>8911.76</v>
      </c>
      <c r="L4937" s="25">
        <v>2.33</v>
      </c>
      <c r="M4937" s="24">
        <v>76293.5</v>
      </c>
      <c r="N4937" s="25">
        <f>IFERROR(T_reg.root.SK[[#This Row],[Price]]/T_reg.root.SK[[#This Row],[Starch content]],"")</f>
        <v>8.5756348914243663</v>
      </c>
    </row>
    <row r="4938" spans="1:14">
      <c r="A4938" s="21">
        <v>2025</v>
      </c>
      <c r="B4938" s="21" t="s">
        <v>17</v>
      </c>
      <c r="C4938" s="21" t="s">
        <v>1145</v>
      </c>
      <c r="D4938" s="21" t="s">
        <v>35</v>
      </c>
      <c r="E4938" s="18" t="s">
        <v>146</v>
      </c>
      <c r="F4938" s="18" t="s">
        <v>105</v>
      </c>
      <c r="G4938" s="18" t="s">
        <v>48</v>
      </c>
      <c r="H4938" s="24">
        <v>67150</v>
      </c>
      <c r="I4938" s="24">
        <f>T_reg.root.SK[[#This Row],[Volume, kg]]/1000</f>
        <v>67.150000000000006</v>
      </c>
      <c r="J4938" s="25">
        <v>0.2384</v>
      </c>
      <c r="K4938" s="25">
        <f t="shared" si="77"/>
        <v>16008.56</v>
      </c>
      <c r="L4938" s="25">
        <v>2.16</v>
      </c>
      <c r="M4938" s="24">
        <v>144933.5</v>
      </c>
      <c r="N4938" s="25">
        <f>IFERROR(T_reg.root.SK[[#This Row],[Price]]/T_reg.root.SK[[#This Row],[Starch content]],"")</f>
        <v>9.0604026845637584</v>
      </c>
    </row>
    <row r="4939" spans="1:14">
      <c r="A4939" s="21">
        <v>2025</v>
      </c>
      <c r="B4939" s="21" t="s">
        <v>17</v>
      </c>
      <c r="C4939" s="21" t="s">
        <v>1145</v>
      </c>
      <c r="D4939" s="21" t="s">
        <v>35</v>
      </c>
      <c r="E4939" s="18" t="s">
        <v>250</v>
      </c>
      <c r="F4939" s="18" t="s">
        <v>105</v>
      </c>
      <c r="G4939" s="18" t="s">
        <v>48</v>
      </c>
      <c r="H4939" s="24">
        <v>40760</v>
      </c>
      <c r="I4939" s="24">
        <f>T_reg.root.SK[[#This Row],[Volume, kg]]/1000</f>
        <v>40.76</v>
      </c>
      <c r="J4939" s="25">
        <v>0.25780000000000003</v>
      </c>
      <c r="K4939" s="25">
        <f t="shared" si="77"/>
        <v>10507.928000000002</v>
      </c>
      <c r="L4939" s="25">
        <v>2.19</v>
      </c>
      <c r="M4939" s="24">
        <v>89391</v>
      </c>
      <c r="N4939" s="25">
        <f>IFERROR(T_reg.root.SK[[#This Row],[Price]]/T_reg.root.SK[[#This Row],[Starch content]],"")</f>
        <v>8.4949573312645441</v>
      </c>
    </row>
    <row r="4940" spans="1:14">
      <c r="A4940" s="21">
        <v>2025</v>
      </c>
      <c r="B4940" s="21" t="s">
        <v>17</v>
      </c>
      <c r="C4940" s="21" t="s">
        <v>1145</v>
      </c>
      <c r="D4940" s="21" t="s">
        <v>35</v>
      </c>
      <c r="E4940" s="18" t="s">
        <v>363</v>
      </c>
      <c r="F4940" s="18" t="s">
        <v>105</v>
      </c>
      <c r="G4940" s="18" t="s">
        <v>48</v>
      </c>
      <c r="H4940" s="24">
        <v>10260</v>
      </c>
      <c r="I4940" s="24">
        <f>T_reg.root.SK[[#This Row],[Volume, kg]]/1000</f>
        <v>10.26</v>
      </c>
      <c r="J4940" s="25">
        <v>0.25650000000000001</v>
      </c>
      <c r="K4940" s="25">
        <f t="shared" si="77"/>
        <v>2631.69</v>
      </c>
      <c r="L4940" s="25">
        <v>2.2999999999999998</v>
      </c>
      <c r="M4940" s="24">
        <v>23598</v>
      </c>
      <c r="N4940" s="25">
        <f>IFERROR(T_reg.root.SK[[#This Row],[Price]]/T_reg.root.SK[[#This Row],[Starch content]],"")</f>
        <v>8.9668615984405449</v>
      </c>
    </row>
    <row r="4941" spans="1:14">
      <c r="A4941" s="21">
        <v>2025</v>
      </c>
      <c r="B4941" s="21" t="s">
        <v>17</v>
      </c>
      <c r="C4941" s="21" t="s">
        <v>1145</v>
      </c>
      <c r="D4941" s="21" t="s">
        <v>35</v>
      </c>
      <c r="E4941" s="18" t="s">
        <v>148</v>
      </c>
      <c r="F4941" s="18" t="s">
        <v>105</v>
      </c>
      <c r="G4941" s="18" t="s">
        <v>48</v>
      </c>
      <c r="H4941" s="24">
        <v>261990</v>
      </c>
      <c r="I4941" s="24">
        <f>T_reg.root.SK[[#This Row],[Volume, kg]]/1000</f>
        <v>261.99</v>
      </c>
      <c r="J4941" s="25">
        <v>0.251</v>
      </c>
      <c r="K4941" s="25">
        <f t="shared" si="77"/>
        <v>65759.490000000005</v>
      </c>
      <c r="L4941" s="25">
        <v>2.2000000000000002</v>
      </c>
      <c r="M4941" s="24">
        <v>575741.5</v>
      </c>
      <c r="N4941" s="25">
        <f>IFERROR(T_reg.root.SK[[#This Row],[Price]]/T_reg.root.SK[[#This Row],[Starch content]],"")</f>
        <v>8.7649402390438258</v>
      </c>
    </row>
    <row r="4942" spans="1:14">
      <c r="A4942" s="21">
        <v>2025</v>
      </c>
      <c r="B4942" s="21" t="s">
        <v>17</v>
      </c>
      <c r="C4942" s="21" t="s">
        <v>1145</v>
      </c>
      <c r="D4942" s="21" t="s">
        <v>35</v>
      </c>
      <c r="E4942" s="18" t="s">
        <v>790</v>
      </c>
      <c r="F4942" s="18" t="s">
        <v>105</v>
      </c>
      <c r="G4942" s="18" t="s">
        <v>48</v>
      </c>
      <c r="H4942" s="24">
        <v>11040</v>
      </c>
      <c r="I4942" s="24">
        <f>T_reg.root.SK[[#This Row],[Volume, kg]]/1000</f>
        <v>11.04</v>
      </c>
      <c r="J4942" s="25">
        <v>0.27800000000000002</v>
      </c>
      <c r="K4942" s="25">
        <f t="shared" si="77"/>
        <v>3069.1200000000003</v>
      </c>
      <c r="L4942" s="25">
        <v>2.4</v>
      </c>
      <c r="M4942" s="24">
        <v>26496</v>
      </c>
      <c r="N4942" s="25">
        <f>IFERROR(T_reg.root.SK[[#This Row],[Price]]/T_reg.root.SK[[#This Row],[Starch content]],"")</f>
        <v>8.6330935251798557</v>
      </c>
    </row>
    <row r="4943" spans="1:14">
      <c r="A4943" s="21">
        <v>2025</v>
      </c>
      <c r="B4943" s="21" t="s">
        <v>17</v>
      </c>
      <c r="C4943" s="21" t="s">
        <v>1145</v>
      </c>
      <c r="D4943" s="21" t="s">
        <v>35</v>
      </c>
      <c r="E4943" s="18" t="s">
        <v>314</v>
      </c>
      <c r="F4943" s="18" t="s">
        <v>105</v>
      </c>
      <c r="G4943" s="18" t="s">
        <v>48</v>
      </c>
      <c r="H4943" s="24">
        <v>262880</v>
      </c>
      <c r="I4943" s="24">
        <f>T_reg.root.SK[[#This Row],[Volume, kg]]/1000</f>
        <v>262.88</v>
      </c>
      <c r="J4943" s="25">
        <v>0.28610000000000002</v>
      </c>
      <c r="K4943" s="25">
        <f t="shared" si="77"/>
        <v>75209.968000000008</v>
      </c>
      <c r="L4943" s="25">
        <v>2.36</v>
      </c>
      <c r="M4943" s="24">
        <v>619392.5</v>
      </c>
      <c r="N4943" s="25">
        <f>IFERROR(T_reg.root.SK[[#This Row],[Price]]/T_reg.root.SK[[#This Row],[Starch content]],"")</f>
        <v>8.2488640335546997</v>
      </c>
    </row>
    <row r="4944" spans="1:14">
      <c r="A4944" s="21">
        <v>2025</v>
      </c>
      <c r="B4944" s="21" t="s">
        <v>17</v>
      </c>
      <c r="C4944" s="21" t="s">
        <v>1145</v>
      </c>
      <c r="D4944" s="21" t="s">
        <v>35</v>
      </c>
      <c r="E4944" s="18" t="s">
        <v>500</v>
      </c>
      <c r="F4944" s="18" t="s">
        <v>105</v>
      </c>
      <c r="G4944" s="18" t="s">
        <v>48</v>
      </c>
      <c r="H4944" s="24">
        <v>19290</v>
      </c>
      <c r="I4944" s="24">
        <f>T_reg.root.SK[[#This Row],[Volume, kg]]/1000</f>
        <v>19.29</v>
      </c>
      <c r="J4944" s="25">
        <v>0.29899999999999999</v>
      </c>
      <c r="K4944" s="25">
        <f t="shared" si="77"/>
        <v>5767.71</v>
      </c>
      <c r="L4944" s="25">
        <v>2.5</v>
      </c>
      <c r="M4944" s="24">
        <v>48136</v>
      </c>
      <c r="N4944" s="25">
        <f>IFERROR(T_reg.root.SK[[#This Row],[Price]]/T_reg.root.SK[[#This Row],[Starch content]],"")</f>
        <v>8.3612040133779271</v>
      </c>
    </row>
    <row r="4945" spans="1:14">
      <c r="A4945" s="21">
        <v>2025</v>
      </c>
      <c r="B4945" s="21" t="s">
        <v>17</v>
      </c>
      <c r="C4945" s="21" t="s">
        <v>1145</v>
      </c>
      <c r="D4945" s="21" t="s">
        <v>35</v>
      </c>
      <c r="E4945" s="18" t="s">
        <v>150</v>
      </c>
      <c r="F4945" s="18" t="s">
        <v>105</v>
      </c>
      <c r="G4945" s="18" t="s">
        <v>48</v>
      </c>
      <c r="H4945" s="24">
        <v>8050</v>
      </c>
      <c r="I4945" s="24">
        <f>T_reg.root.SK[[#This Row],[Volume, kg]]/1000</f>
        <v>8.0500000000000007</v>
      </c>
      <c r="J4945" s="25">
        <v>0.29100000000000004</v>
      </c>
      <c r="K4945" s="25">
        <f t="shared" si="77"/>
        <v>2342.5500000000002</v>
      </c>
      <c r="L4945" s="25">
        <v>2.35</v>
      </c>
      <c r="M4945" s="24">
        <v>18917.5</v>
      </c>
      <c r="N4945" s="25">
        <f>IFERROR(T_reg.root.SK[[#This Row],[Price]]/T_reg.root.SK[[#This Row],[Starch content]],"")</f>
        <v>8.0756013745704465</v>
      </c>
    </row>
    <row r="4946" spans="1:14">
      <c r="A4946" s="21">
        <v>2025</v>
      </c>
      <c r="B4946" s="21" t="s">
        <v>17</v>
      </c>
      <c r="C4946" s="21" t="s">
        <v>1145</v>
      </c>
      <c r="D4946" s="21" t="s">
        <v>35</v>
      </c>
      <c r="E4946" s="18" t="s">
        <v>151</v>
      </c>
      <c r="F4946" s="18" t="s">
        <v>105</v>
      </c>
      <c r="G4946" s="18" t="s">
        <v>48</v>
      </c>
      <c r="H4946" s="24">
        <v>259020</v>
      </c>
      <c r="I4946" s="24">
        <f>T_reg.root.SK[[#This Row],[Volume, kg]]/1000</f>
        <v>259.02</v>
      </c>
      <c r="J4946" s="25">
        <v>0.26219999999999999</v>
      </c>
      <c r="K4946" s="25">
        <f t="shared" si="77"/>
        <v>67915.043999999994</v>
      </c>
      <c r="L4946" s="25">
        <v>2.23</v>
      </c>
      <c r="M4946" s="24">
        <v>577790.5</v>
      </c>
      <c r="N4946" s="25">
        <f>IFERROR(T_reg.root.SK[[#This Row],[Price]]/T_reg.root.SK[[#This Row],[Starch content]],"")</f>
        <v>8.5049580472921438</v>
      </c>
    </row>
    <row r="4947" spans="1:14">
      <c r="A4947" s="21">
        <v>2025</v>
      </c>
      <c r="B4947" s="21" t="s">
        <v>17</v>
      </c>
      <c r="C4947" s="21" t="s">
        <v>1145</v>
      </c>
      <c r="D4947" s="21" t="s">
        <v>35</v>
      </c>
      <c r="E4947" s="18" t="s">
        <v>152</v>
      </c>
      <c r="F4947" s="18" t="s">
        <v>105</v>
      </c>
      <c r="G4947" s="18" t="s">
        <v>48</v>
      </c>
      <c r="H4947" s="24">
        <v>11400</v>
      </c>
      <c r="I4947" s="24">
        <f>T_reg.root.SK[[#This Row],[Volume, kg]]/1000</f>
        <v>11.4</v>
      </c>
      <c r="J4947" s="25">
        <v>0.26800000000000002</v>
      </c>
      <c r="K4947" s="25">
        <f t="shared" si="77"/>
        <v>3055.2000000000003</v>
      </c>
      <c r="L4947" s="25">
        <v>2.35</v>
      </c>
      <c r="M4947" s="24">
        <v>26790</v>
      </c>
      <c r="N4947" s="25">
        <f>IFERROR(T_reg.root.SK[[#This Row],[Price]]/T_reg.root.SK[[#This Row],[Starch content]],"")</f>
        <v>8.7686567164179099</v>
      </c>
    </row>
    <row r="4948" spans="1:14">
      <c r="A4948" s="21">
        <v>2025</v>
      </c>
      <c r="B4948" s="21" t="s">
        <v>17</v>
      </c>
      <c r="C4948" s="21" t="s">
        <v>1145</v>
      </c>
      <c r="D4948" s="21" t="s">
        <v>35</v>
      </c>
      <c r="E4948" s="18" t="s">
        <v>153</v>
      </c>
      <c r="F4948" s="18" t="s">
        <v>105</v>
      </c>
      <c r="G4948" s="18" t="s">
        <v>48</v>
      </c>
      <c r="H4948" s="24">
        <v>6860</v>
      </c>
      <c r="I4948" s="24">
        <f>T_reg.root.SK[[#This Row],[Volume, kg]]/1000</f>
        <v>6.86</v>
      </c>
      <c r="J4948" s="25">
        <v>0.23739999999999997</v>
      </c>
      <c r="K4948" s="25">
        <f t="shared" si="77"/>
        <v>1628.5639999999999</v>
      </c>
      <c r="L4948" s="25">
        <v>2.17</v>
      </c>
      <c r="M4948" s="24">
        <v>14858.5</v>
      </c>
      <c r="N4948" s="25">
        <f>IFERROR(T_reg.root.SK[[#This Row],[Price]]/T_reg.root.SK[[#This Row],[Starch content]],"")</f>
        <v>9.1406908171861847</v>
      </c>
    </row>
    <row r="4949" spans="1:14">
      <c r="A4949" s="21">
        <v>2025</v>
      </c>
      <c r="B4949" s="21" t="s">
        <v>17</v>
      </c>
      <c r="C4949" s="21" t="s">
        <v>1145</v>
      </c>
      <c r="D4949" s="21" t="s">
        <v>35</v>
      </c>
      <c r="E4949" s="18" t="s">
        <v>155</v>
      </c>
      <c r="F4949" s="18" t="s">
        <v>105</v>
      </c>
      <c r="G4949" s="18" t="s">
        <v>48</v>
      </c>
      <c r="H4949" s="24">
        <v>83160</v>
      </c>
      <c r="I4949" s="24">
        <f>T_reg.root.SK[[#This Row],[Volume, kg]]/1000</f>
        <v>83.16</v>
      </c>
      <c r="J4949" s="25">
        <v>0.2432</v>
      </c>
      <c r="K4949" s="25">
        <f t="shared" si="77"/>
        <v>20224.511999999999</v>
      </c>
      <c r="L4949" s="25">
        <v>2.15</v>
      </c>
      <c r="M4949" s="24">
        <v>178819</v>
      </c>
      <c r="N4949" s="25">
        <f>IFERROR(T_reg.root.SK[[#This Row],[Price]]/T_reg.root.SK[[#This Row],[Starch content]],"")</f>
        <v>8.8404605263157894</v>
      </c>
    </row>
    <row r="4950" spans="1:14">
      <c r="A4950" s="21">
        <v>2025</v>
      </c>
      <c r="B4950" s="21" t="s">
        <v>17</v>
      </c>
      <c r="C4950" s="21" t="s">
        <v>1145</v>
      </c>
      <c r="D4950" s="21" t="s">
        <v>35</v>
      </c>
      <c r="E4950" s="18" t="s">
        <v>159</v>
      </c>
      <c r="F4950" s="18" t="s">
        <v>105</v>
      </c>
      <c r="G4950" s="18" t="s">
        <v>48</v>
      </c>
      <c r="H4950" s="24">
        <v>828950</v>
      </c>
      <c r="I4950" s="24">
        <f>T_reg.root.SK[[#This Row],[Volume, kg]]/1000</f>
        <v>828.95</v>
      </c>
      <c r="J4950" s="25">
        <v>0.26200000000000001</v>
      </c>
      <c r="K4950" s="25">
        <f t="shared" si="77"/>
        <v>217184.90000000002</v>
      </c>
      <c r="L4950" s="25">
        <v>2.2599999999999998</v>
      </c>
      <c r="M4950" s="24">
        <v>1871394</v>
      </c>
      <c r="N4950" s="25">
        <f>IFERROR(T_reg.root.SK[[#This Row],[Price]]/T_reg.root.SK[[#This Row],[Starch content]],"")</f>
        <v>8.6259541984732806</v>
      </c>
    </row>
    <row r="4951" spans="1:14">
      <c r="A4951" s="21">
        <v>2025</v>
      </c>
      <c r="B4951" s="21" t="s">
        <v>17</v>
      </c>
      <c r="C4951" s="21" t="s">
        <v>1145</v>
      </c>
      <c r="D4951" s="21" t="s">
        <v>35</v>
      </c>
      <c r="E4951" s="18" t="s">
        <v>160</v>
      </c>
      <c r="F4951" s="18" t="s">
        <v>105</v>
      </c>
      <c r="G4951" s="18" t="s">
        <v>48</v>
      </c>
      <c r="H4951" s="24">
        <v>7340</v>
      </c>
      <c r="I4951" s="24">
        <f>T_reg.root.SK[[#This Row],[Volume, kg]]/1000</f>
        <v>7.34</v>
      </c>
      <c r="J4951" s="25">
        <v>0.24100000000000002</v>
      </c>
      <c r="K4951" s="25">
        <f t="shared" si="77"/>
        <v>1768.94</v>
      </c>
      <c r="L4951" s="25">
        <v>2.2000000000000002</v>
      </c>
      <c r="M4951" s="24">
        <v>16148</v>
      </c>
      <c r="N4951" s="25">
        <f>IFERROR(T_reg.root.SK[[#This Row],[Price]]/T_reg.root.SK[[#This Row],[Starch content]],"")</f>
        <v>9.1286307053941904</v>
      </c>
    </row>
    <row r="4952" spans="1:14">
      <c r="A4952" s="21">
        <v>2025</v>
      </c>
      <c r="B4952" s="21" t="s">
        <v>17</v>
      </c>
      <c r="C4952" s="21" t="s">
        <v>1145</v>
      </c>
      <c r="D4952" s="21" t="s">
        <v>35</v>
      </c>
      <c r="E4952" s="18" t="s">
        <v>162</v>
      </c>
      <c r="F4952" s="18" t="s">
        <v>105</v>
      </c>
      <c r="G4952" s="18" t="s">
        <v>48</v>
      </c>
      <c r="H4952" s="24">
        <v>75840</v>
      </c>
      <c r="I4952" s="24">
        <f>T_reg.root.SK[[#This Row],[Volume, kg]]/1000</f>
        <v>75.84</v>
      </c>
      <c r="J4952" s="25">
        <v>0.25</v>
      </c>
      <c r="K4952" s="25">
        <f t="shared" si="77"/>
        <v>18960</v>
      </c>
      <c r="L4952" s="25">
        <v>2.25</v>
      </c>
      <c r="M4952" s="24">
        <v>170530.5</v>
      </c>
      <c r="N4952" s="25">
        <f>IFERROR(T_reg.root.SK[[#This Row],[Price]]/T_reg.root.SK[[#This Row],[Starch content]],"")</f>
        <v>9</v>
      </c>
    </row>
    <row r="4953" spans="1:14">
      <c r="A4953" s="21">
        <v>2025</v>
      </c>
      <c r="B4953" s="21" t="s">
        <v>17</v>
      </c>
      <c r="C4953" s="21" t="s">
        <v>1145</v>
      </c>
      <c r="D4953" s="21" t="s">
        <v>35</v>
      </c>
      <c r="E4953" s="18" t="s">
        <v>163</v>
      </c>
      <c r="F4953" s="18" t="s">
        <v>105</v>
      </c>
      <c r="G4953" s="18" t="s">
        <v>48</v>
      </c>
      <c r="H4953" s="24">
        <v>58360</v>
      </c>
      <c r="I4953" s="24">
        <f>T_reg.root.SK[[#This Row],[Volume, kg]]/1000</f>
        <v>58.36</v>
      </c>
      <c r="J4953" s="25">
        <v>0.23629999999999998</v>
      </c>
      <c r="K4953" s="25">
        <f t="shared" si="77"/>
        <v>13790.467999999999</v>
      </c>
      <c r="L4953" s="25">
        <v>2.08</v>
      </c>
      <c r="M4953" s="24">
        <v>121540</v>
      </c>
      <c r="N4953" s="25">
        <f>IFERROR(T_reg.root.SK[[#This Row],[Price]]/T_reg.root.SK[[#This Row],[Starch content]],"")</f>
        <v>8.8023698688108354</v>
      </c>
    </row>
    <row r="4954" spans="1:14">
      <c r="A4954" s="21">
        <v>2025</v>
      </c>
      <c r="B4954" s="21" t="s">
        <v>17</v>
      </c>
      <c r="C4954" s="21" t="s">
        <v>1145</v>
      </c>
      <c r="D4954" s="21" t="s">
        <v>35</v>
      </c>
      <c r="E4954" s="18" t="s">
        <v>164</v>
      </c>
      <c r="F4954" s="18" t="s">
        <v>105</v>
      </c>
      <c r="G4954" s="18" t="s">
        <v>48</v>
      </c>
      <c r="H4954" s="24">
        <v>86760</v>
      </c>
      <c r="I4954" s="24">
        <f>T_reg.root.SK[[#This Row],[Volume, kg]]/1000</f>
        <v>86.76</v>
      </c>
      <c r="J4954" s="25">
        <v>0.2243</v>
      </c>
      <c r="K4954" s="25">
        <f t="shared" si="77"/>
        <v>19460.268</v>
      </c>
      <c r="L4954" s="25">
        <v>2.09</v>
      </c>
      <c r="M4954" s="24">
        <v>181683</v>
      </c>
      <c r="N4954" s="25">
        <f>IFERROR(T_reg.root.SK[[#This Row],[Price]]/T_reg.root.SK[[#This Row],[Starch content]],"")</f>
        <v>9.3178778421756565</v>
      </c>
    </row>
    <row r="4955" spans="1:14">
      <c r="A4955" s="21">
        <v>2025</v>
      </c>
      <c r="B4955" s="21" t="s">
        <v>17</v>
      </c>
      <c r="C4955" s="21" t="s">
        <v>1145</v>
      </c>
      <c r="D4955" s="21" t="s">
        <v>35</v>
      </c>
      <c r="E4955" s="18" t="s">
        <v>165</v>
      </c>
      <c r="F4955" s="18" t="s">
        <v>105</v>
      </c>
      <c r="G4955" s="18" t="s">
        <v>48</v>
      </c>
      <c r="H4955" s="24">
        <v>85230</v>
      </c>
      <c r="I4955" s="24">
        <f>T_reg.root.SK[[#This Row],[Volume, kg]]/1000</f>
        <v>85.23</v>
      </c>
      <c r="J4955" s="25">
        <v>0.23379999999999998</v>
      </c>
      <c r="K4955" s="25">
        <f t="shared" si="77"/>
        <v>19926.773999999998</v>
      </c>
      <c r="L4955" s="25">
        <v>2.15</v>
      </c>
      <c r="M4955" s="24">
        <v>183303.5</v>
      </c>
      <c r="N4955" s="25">
        <f>IFERROR(T_reg.root.SK[[#This Row],[Price]]/T_reg.root.SK[[#This Row],[Starch content]],"")</f>
        <v>9.1958939264328485</v>
      </c>
    </row>
    <row r="4956" spans="1:14">
      <c r="A4956" s="21">
        <v>2025</v>
      </c>
      <c r="B4956" s="21" t="s">
        <v>17</v>
      </c>
      <c r="C4956" s="21" t="s">
        <v>1145</v>
      </c>
      <c r="D4956" s="21" t="s">
        <v>35</v>
      </c>
      <c r="E4956" s="18" t="s">
        <v>257</v>
      </c>
      <c r="F4956" s="18" t="s">
        <v>105</v>
      </c>
      <c r="G4956" s="18" t="s">
        <v>48</v>
      </c>
      <c r="H4956" s="24">
        <v>43240</v>
      </c>
      <c r="I4956" s="24">
        <f>T_reg.root.SK[[#This Row],[Volume, kg]]/1000</f>
        <v>43.24</v>
      </c>
      <c r="J4956" s="25">
        <v>0.26739999999999997</v>
      </c>
      <c r="K4956" s="25">
        <f t="shared" si="77"/>
        <v>11562.375999999998</v>
      </c>
      <c r="L4956" s="25">
        <v>2.2799999999999998</v>
      </c>
      <c r="M4956" s="24">
        <v>98544.5</v>
      </c>
      <c r="N4956" s="25">
        <f>IFERROR(T_reg.root.SK[[#This Row],[Price]]/T_reg.root.SK[[#This Row],[Starch content]],"")</f>
        <v>8.526551982049364</v>
      </c>
    </row>
    <row r="4957" spans="1:14">
      <c r="A4957" s="21">
        <v>2025</v>
      </c>
      <c r="B4957" s="21" t="s">
        <v>17</v>
      </c>
      <c r="C4957" s="21" t="s">
        <v>1145</v>
      </c>
      <c r="D4957" s="21" t="s">
        <v>35</v>
      </c>
      <c r="E4957" s="18" t="s">
        <v>722</v>
      </c>
      <c r="F4957" s="18" t="s">
        <v>105</v>
      </c>
      <c r="G4957" s="18" t="s">
        <v>48</v>
      </c>
      <c r="H4957" s="24">
        <v>172930</v>
      </c>
      <c r="I4957" s="24">
        <f>T_reg.root.SK[[#This Row],[Volume, kg]]/1000</f>
        <v>172.93</v>
      </c>
      <c r="J4957" s="25">
        <v>0.30670000000000003</v>
      </c>
      <c r="K4957" s="25">
        <f t="shared" si="77"/>
        <v>53037.631000000008</v>
      </c>
      <c r="L4957" s="25">
        <v>2.4900000000000002</v>
      </c>
      <c r="M4957" s="24">
        <v>431047</v>
      </c>
      <c r="N4957" s="25">
        <f>IFERROR(T_reg.root.SK[[#This Row],[Price]]/T_reg.root.SK[[#This Row],[Starch content]],"")</f>
        <v>8.1186827518747968</v>
      </c>
    </row>
    <row r="4958" spans="1:14">
      <c r="A4958" s="21">
        <v>2025</v>
      </c>
      <c r="B4958" s="21" t="s">
        <v>17</v>
      </c>
      <c r="C4958" s="21" t="s">
        <v>1145</v>
      </c>
      <c r="D4958" s="21" t="s">
        <v>35</v>
      </c>
      <c r="E4958" s="18" t="s">
        <v>322</v>
      </c>
      <c r="F4958" s="18" t="s">
        <v>105</v>
      </c>
      <c r="G4958" s="18" t="s">
        <v>48</v>
      </c>
      <c r="H4958" s="24">
        <v>36580</v>
      </c>
      <c r="I4958" s="24">
        <f>T_reg.root.SK[[#This Row],[Volume, kg]]/1000</f>
        <v>36.58</v>
      </c>
      <c r="J4958" s="25">
        <v>0.28120000000000001</v>
      </c>
      <c r="K4958" s="25">
        <f t="shared" si="77"/>
        <v>10286.296</v>
      </c>
      <c r="L4958" s="25">
        <v>2.3199999999999998</v>
      </c>
      <c r="M4958" s="24">
        <v>85001</v>
      </c>
      <c r="N4958" s="25">
        <f>IFERROR(T_reg.root.SK[[#This Row],[Price]]/T_reg.root.SK[[#This Row],[Starch content]],"")</f>
        <v>8.2503556187766716</v>
      </c>
    </row>
    <row r="4959" spans="1:14">
      <c r="A4959" s="21">
        <v>2025</v>
      </c>
      <c r="B4959" s="21" t="s">
        <v>17</v>
      </c>
      <c r="C4959" s="21" t="s">
        <v>1145</v>
      </c>
      <c r="D4959" s="21" t="s">
        <v>35</v>
      </c>
      <c r="E4959" s="18" t="s">
        <v>812</v>
      </c>
      <c r="F4959" s="18" t="s">
        <v>105</v>
      </c>
      <c r="G4959" s="18" t="s">
        <v>48</v>
      </c>
      <c r="H4959" s="24">
        <v>47770</v>
      </c>
      <c r="I4959" s="24">
        <f>T_reg.root.SK[[#This Row],[Volume, kg]]/1000</f>
        <v>47.77</v>
      </c>
      <c r="J4959" s="25">
        <v>0.25390000000000001</v>
      </c>
      <c r="K4959" s="25">
        <f t="shared" si="77"/>
        <v>12128.803</v>
      </c>
      <c r="L4959" s="25">
        <v>2.2000000000000002</v>
      </c>
      <c r="M4959" s="24">
        <v>105208.5</v>
      </c>
      <c r="N4959" s="25">
        <f>IFERROR(T_reg.root.SK[[#This Row],[Price]]/T_reg.root.SK[[#This Row],[Starch content]],"")</f>
        <v>8.6648286727057897</v>
      </c>
    </row>
    <row r="4960" spans="1:14">
      <c r="A4960" s="21">
        <v>2025</v>
      </c>
      <c r="B4960" s="21" t="s">
        <v>17</v>
      </c>
      <c r="C4960" s="21" t="s">
        <v>1145</v>
      </c>
      <c r="D4960" s="21" t="s">
        <v>35</v>
      </c>
      <c r="E4960" s="18" t="s">
        <v>828</v>
      </c>
      <c r="F4960" s="18" t="s">
        <v>105</v>
      </c>
      <c r="G4960" s="18" t="s">
        <v>48</v>
      </c>
      <c r="H4960" s="24">
        <v>32560</v>
      </c>
      <c r="I4960" s="24">
        <f>T_reg.root.SK[[#This Row],[Volume, kg]]/1000</f>
        <v>32.56</v>
      </c>
      <c r="J4960" s="25">
        <v>0.28239999999999998</v>
      </c>
      <c r="K4960" s="25">
        <f t="shared" si="77"/>
        <v>9194.9439999999995</v>
      </c>
      <c r="L4960" s="25">
        <v>2.3199999999999998</v>
      </c>
      <c r="M4960" s="24">
        <v>75602.5</v>
      </c>
      <c r="N4960" s="25">
        <f>IFERROR(T_reg.root.SK[[#This Row],[Price]]/T_reg.root.SK[[#This Row],[Starch content]],"")</f>
        <v>8.215297450424929</v>
      </c>
    </row>
    <row r="4961" spans="1:14">
      <c r="A4961" s="21">
        <v>2025</v>
      </c>
      <c r="B4961" s="21" t="s">
        <v>17</v>
      </c>
      <c r="C4961" s="21" t="s">
        <v>1145</v>
      </c>
      <c r="D4961" s="21" t="s">
        <v>35</v>
      </c>
      <c r="E4961" s="18" t="s">
        <v>956</v>
      </c>
      <c r="F4961" s="18" t="s">
        <v>105</v>
      </c>
      <c r="G4961" s="18" t="s">
        <v>48</v>
      </c>
      <c r="H4961" s="24">
        <v>21830</v>
      </c>
      <c r="I4961" s="24">
        <f>T_reg.root.SK[[#This Row],[Volume, kg]]/1000</f>
        <v>21.83</v>
      </c>
      <c r="J4961" s="25">
        <v>0.29600000000000004</v>
      </c>
      <c r="K4961" s="25">
        <f t="shared" si="77"/>
        <v>6461.6800000000012</v>
      </c>
      <c r="L4961" s="25">
        <v>2.48</v>
      </c>
      <c r="M4961" s="24">
        <v>54068.5</v>
      </c>
      <c r="N4961" s="25">
        <f>IFERROR(T_reg.root.SK[[#This Row],[Price]]/T_reg.root.SK[[#This Row],[Starch content]],"")</f>
        <v>8.3783783783783772</v>
      </c>
    </row>
    <row r="4962" spans="1:14">
      <c r="A4962" s="21">
        <v>2025</v>
      </c>
      <c r="B4962" s="21" t="s">
        <v>17</v>
      </c>
      <c r="C4962" s="21" t="s">
        <v>1145</v>
      </c>
      <c r="D4962" s="21" t="s">
        <v>35</v>
      </c>
      <c r="E4962" s="18" t="s">
        <v>968</v>
      </c>
      <c r="F4962" s="18" t="s">
        <v>105</v>
      </c>
      <c r="G4962" s="18" t="s">
        <v>48</v>
      </c>
      <c r="H4962" s="24">
        <v>8440</v>
      </c>
      <c r="I4962" s="24">
        <f>T_reg.root.SK[[#This Row],[Volume, kg]]/1000</f>
        <v>8.44</v>
      </c>
      <c r="J4962" s="25">
        <v>0.26800000000000002</v>
      </c>
      <c r="K4962" s="25">
        <f t="shared" si="77"/>
        <v>2261.92</v>
      </c>
      <c r="L4962" s="25">
        <v>2.35</v>
      </c>
      <c r="M4962" s="24">
        <v>19834</v>
      </c>
      <c r="N4962" s="25">
        <f>IFERROR(T_reg.root.SK[[#This Row],[Price]]/T_reg.root.SK[[#This Row],[Starch content]],"")</f>
        <v>8.7686567164179099</v>
      </c>
    </row>
    <row r="4963" spans="1:14">
      <c r="A4963" s="21">
        <v>2025</v>
      </c>
      <c r="B4963" s="21" t="s">
        <v>17</v>
      </c>
      <c r="C4963" s="21" t="s">
        <v>1145</v>
      </c>
      <c r="D4963" s="21" t="s">
        <v>35</v>
      </c>
      <c r="E4963" s="18" t="s">
        <v>980</v>
      </c>
      <c r="F4963" s="18" t="s">
        <v>105</v>
      </c>
      <c r="G4963" s="18" t="s">
        <v>48</v>
      </c>
      <c r="H4963" s="24">
        <v>49990</v>
      </c>
      <c r="I4963" s="24">
        <f>T_reg.root.SK[[#This Row],[Volume, kg]]/1000</f>
        <v>49.99</v>
      </c>
      <c r="J4963" s="25">
        <v>0.2596</v>
      </c>
      <c r="K4963" s="25">
        <f t="shared" si="77"/>
        <v>12977.404</v>
      </c>
      <c r="L4963" s="25">
        <v>2.2000000000000002</v>
      </c>
      <c r="M4963" s="24">
        <v>110062</v>
      </c>
      <c r="N4963" s="25">
        <f>IFERROR(T_reg.root.SK[[#This Row],[Price]]/T_reg.root.SK[[#This Row],[Starch content]],"")</f>
        <v>8.4745762711864412</v>
      </c>
    </row>
    <row r="4964" spans="1:14">
      <c r="A4964" s="21">
        <v>2025</v>
      </c>
      <c r="B4964" s="21" t="s">
        <v>17</v>
      </c>
      <c r="C4964" s="21" t="s">
        <v>1145</v>
      </c>
      <c r="D4964" s="21" t="s">
        <v>35</v>
      </c>
      <c r="E4964" s="18" t="s">
        <v>981</v>
      </c>
      <c r="F4964" s="18" t="s">
        <v>105</v>
      </c>
      <c r="G4964" s="18" t="s">
        <v>48</v>
      </c>
      <c r="H4964" s="24">
        <v>100010</v>
      </c>
      <c r="I4964" s="24">
        <f>T_reg.root.SK[[#This Row],[Volume, kg]]/1000</f>
        <v>100.01</v>
      </c>
      <c r="J4964" s="25">
        <v>0.27239999999999998</v>
      </c>
      <c r="K4964" s="25">
        <f t="shared" si="77"/>
        <v>27242.723999999998</v>
      </c>
      <c r="L4964" s="25">
        <v>2.35</v>
      </c>
      <c r="M4964" s="24">
        <v>235304</v>
      </c>
      <c r="N4964" s="25">
        <f>IFERROR(T_reg.root.SK[[#This Row],[Price]]/T_reg.root.SK[[#This Row],[Starch content]],"")</f>
        <v>8.6270190895741568</v>
      </c>
    </row>
    <row r="4965" spans="1:14">
      <c r="A4965" s="21">
        <v>2025</v>
      </c>
      <c r="B4965" s="21" t="s">
        <v>17</v>
      </c>
      <c r="C4965" s="21" t="s">
        <v>1145</v>
      </c>
      <c r="D4965" s="21" t="s">
        <v>35</v>
      </c>
      <c r="E4965" s="18" t="s">
        <v>700</v>
      </c>
      <c r="F4965" s="18" t="s">
        <v>105</v>
      </c>
      <c r="G4965" s="18" t="s">
        <v>48</v>
      </c>
      <c r="H4965" s="24">
        <v>10190</v>
      </c>
      <c r="I4965" s="24">
        <f>T_reg.root.SK[[#This Row],[Volume, kg]]/1000</f>
        <v>10.19</v>
      </c>
      <c r="J4965" s="25">
        <v>0.29780000000000001</v>
      </c>
      <c r="K4965" s="25">
        <f t="shared" si="77"/>
        <v>3034.5819999999999</v>
      </c>
      <c r="L4965" s="25">
        <v>2.4700000000000002</v>
      </c>
      <c r="M4965" s="24">
        <v>25201</v>
      </c>
      <c r="N4965" s="25">
        <f>IFERROR(T_reg.root.SK[[#This Row],[Price]]/T_reg.root.SK[[#This Row],[Starch content]],"")</f>
        <v>8.2941571524513105</v>
      </c>
    </row>
    <row r="4966" spans="1:14">
      <c r="A4966" s="21">
        <v>2025</v>
      </c>
      <c r="B4966" s="21" t="s">
        <v>17</v>
      </c>
      <c r="C4966" s="21" t="s">
        <v>1145</v>
      </c>
      <c r="D4966" s="21" t="s">
        <v>35</v>
      </c>
      <c r="E4966" s="18" t="s">
        <v>174</v>
      </c>
      <c r="F4966" s="18" t="s">
        <v>105</v>
      </c>
      <c r="G4966" s="18" t="s">
        <v>48</v>
      </c>
      <c r="H4966" s="24">
        <v>60260</v>
      </c>
      <c r="I4966" s="24">
        <f>T_reg.root.SK[[#This Row],[Volume, kg]]/1000</f>
        <v>60.26</v>
      </c>
      <c r="J4966" s="25">
        <v>0.26550000000000001</v>
      </c>
      <c r="K4966" s="25">
        <f t="shared" si="77"/>
        <v>15999.03</v>
      </c>
      <c r="L4966" s="25">
        <v>2.25</v>
      </c>
      <c r="M4966" s="24">
        <v>135692</v>
      </c>
      <c r="N4966" s="25">
        <f>IFERROR(T_reg.root.SK[[#This Row],[Price]]/T_reg.root.SK[[#This Row],[Starch content]],"")</f>
        <v>8.4745762711864394</v>
      </c>
    </row>
    <row r="4967" spans="1:14">
      <c r="A4967" s="21">
        <v>2025</v>
      </c>
      <c r="B4967" s="21" t="s">
        <v>17</v>
      </c>
      <c r="C4967" s="21" t="s">
        <v>1145</v>
      </c>
      <c r="D4967" s="21" t="s">
        <v>35</v>
      </c>
      <c r="E4967" s="18" t="s">
        <v>175</v>
      </c>
      <c r="F4967" s="18" t="s">
        <v>105</v>
      </c>
      <c r="G4967" s="18" t="s">
        <v>48</v>
      </c>
      <c r="H4967" s="24">
        <v>13990</v>
      </c>
      <c r="I4967" s="24">
        <f>T_reg.root.SK[[#This Row],[Volume, kg]]/1000</f>
        <v>13.99</v>
      </c>
      <c r="J4967" s="25">
        <v>0.25459999999999999</v>
      </c>
      <c r="K4967" s="25">
        <f t="shared" si="77"/>
        <v>3561.8539999999998</v>
      </c>
      <c r="L4967" s="25">
        <v>2.2799999999999998</v>
      </c>
      <c r="M4967" s="24">
        <v>31882.5</v>
      </c>
      <c r="N4967" s="25">
        <f>IFERROR(T_reg.root.SK[[#This Row],[Price]]/T_reg.root.SK[[#This Row],[Starch content]],"")</f>
        <v>8.9552238805970141</v>
      </c>
    </row>
    <row r="4968" spans="1:14">
      <c r="A4968" s="21">
        <v>2025</v>
      </c>
      <c r="B4968" s="21" t="s">
        <v>17</v>
      </c>
      <c r="C4968" s="21" t="s">
        <v>1145</v>
      </c>
      <c r="D4968" s="21" t="s">
        <v>35</v>
      </c>
      <c r="E4968" s="18" t="s">
        <v>176</v>
      </c>
      <c r="F4968" s="18" t="s">
        <v>105</v>
      </c>
      <c r="G4968" s="18" t="s">
        <v>48</v>
      </c>
      <c r="H4968" s="24">
        <v>40300</v>
      </c>
      <c r="I4968" s="24">
        <f>T_reg.root.SK[[#This Row],[Volume, kg]]/1000</f>
        <v>40.299999999999997</v>
      </c>
      <c r="J4968" s="25">
        <v>0.27649999999999997</v>
      </c>
      <c r="K4968" s="25">
        <f t="shared" si="77"/>
        <v>11142.949999999999</v>
      </c>
      <c r="L4968" s="25">
        <v>2.3199999999999998</v>
      </c>
      <c r="M4968" s="24">
        <v>93481</v>
      </c>
      <c r="N4968" s="25">
        <f>IFERROR(T_reg.root.SK[[#This Row],[Price]]/T_reg.root.SK[[#This Row],[Starch content]],"")</f>
        <v>8.3905967450271248</v>
      </c>
    </row>
    <row r="4969" spans="1:14">
      <c r="A4969" s="21">
        <v>2025</v>
      </c>
      <c r="B4969" s="21" t="s">
        <v>17</v>
      </c>
      <c r="C4969" s="21" t="s">
        <v>1145</v>
      </c>
      <c r="D4969" s="21" t="s">
        <v>35</v>
      </c>
      <c r="E4969" s="18" t="s">
        <v>605</v>
      </c>
      <c r="F4969" s="18" t="s">
        <v>105</v>
      </c>
      <c r="G4969" s="18" t="s">
        <v>48</v>
      </c>
      <c r="H4969" s="24">
        <v>510930</v>
      </c>
      <c r="I4969" s="24">
        <f>T_reg.root.SK[[#This Row],[Volume, kg]]/1000</f>
        <v>510.93</v>
      </c>
      <c r="J4969" s="25">
        <v>0.26750000000000002</v>
      </c>
      <c r="K4969" s="25">
        <f t="shared" si="77"/>
        <v>136673.77499999999</v>
      </c>
      <c r="L4969" s="25">
        <v>2.29</v>
      </c>
      <c r="M4969" s="24">
        <v>1167504</v>
      </c>
      <c r="N4969" s="25">
        <f>IFERROR(T_reg.root.SK[[#This Row],[Price]]/T_reg.root.SK[[#This Row],[Starch content]],"")</f>
        <v>8.5607476635514015</v>
      </c>
    </row>
    <row r="4970" spans="1:14">
      <c r="A4970" s="21">
        <v>2025</v>
      </c>
      <c r="B4970" s="21" t="s">
        <v>17</v>
      </c>
      <c r="C4970" s="21" t="s">
        <v>1145</v>
      </c>
      <c r="D4970" s="21" t="s">
        <v>35</v>
      </c>
      <c r="E4970" s="18" t="s">
        <v>259</v>
      </c>
      <c r="F4970" s="18" t="s">
        <v>105</v>
      </c>
      <c r="G4970" s="18" t="s">
        <v>48</v>
      </c>
      <c r="H4970" s="24">
        <v>5010</v>
      </c>
      <c r="I4970" s="24">
        <f>T_reg.root.SK[[#This Row],[Volume, kg]]/1000</f>
        <v>5.01</v>
      </c>
      <c r="J4970" s="25">
        <v>0.27399999999999997</v>
      </c>
      <c r="K4970" s="25">
        <f t="shared" si="77"/>
        <v>1372.7399999999998</v>
      </c>
      <c r="L4970" s="25">
        <v>2.35</v>
      </c>
      <c r="M4970" s="24">
        <v>11773.5</v>
      </c>
      <c r="N4970" s="25">
        <f>IFERROR(T_reg.root.SK[[#This Row],[Price]]/T_reg.root.SK[[#This Row],[Starch content]],"")</f>
        <v>8.5766423357664241</v>
      </c>
    </row>
    <row r="4971" spans="1:14">
      <c r="A4971" s="21">
        <v>2025</v>
      </c>
      <c r="B4971" s="21" t="s">
        <v>17</v>
      </c>
      <c r="C4971" s="21" t="s">
        <v>1145</v>
      </c>
      <c r="D4971" s="21" t="s">
        <v>35</v>
      </c>
      <c r="E4971" s="18" t="s">
        <v>181</v>
      </c>
      <c r="F4971" s="18" t="s">
        <v>105</v>
      </c>
      <c r="G4971" s="18" t="s">
        <v>48</v>
      </c>
      <c r="H4971" s="24">
        <v>89060</v>
      </c>
      <c r="I4971" s="24">
        <f>T_reg.root.SK[[#This Row],[Volume, kg]]/1000</f>
        <v>89.06</v>
      </c>
      <c r="J4971" s="25">
        <v>0.25579999999999997</v>
      </c>
      <c r="K4971" s="25">
        <f t="shared" si="77"/>
        <v>22781.547999999999</v>
      </c>
      <c r="L4971" s="25">
        <v>2.19</v>
      </c>
      <c r="M4971" s="24">
        <v>194939</v>
      </c>
      <c r="N4971" s="25">
        <f>IFERROR(T_reg.root.SK[[#This Row],[Price]]/T_reg.root.SK[[#This Row],[Starch content]],"")</f>
        <v>8.5613760750586412</v>
      </c>
    </row>
    <row r="4972" spans="1:14">
      <c r="A4972" s="21">
        <v>2025</v>
      </c>
      <c r="B4972" s="21" t="s">
        <v>17</v>
      </c>
      <c r="C4972" s="21" t="s">
        <v>1145</v>
      </c>
      <c r="D4972" s="21" t="s">
        <v>35</v>
      </c>
      <c r="E4972" s="18" t="s">
        <v>182</v>
      </c>
      <c r="F4972" s="18" t="s">
        <v>105</v>
      </c>
      <c r="G4972" s="18" t="s">
        <v>48</v>
      </c>
      <c r="H4972" s="24">
        <v>68300</v>
      </c>
      <c r="I4972" s="24">
        <f>T_reg.root.SK[[#This Row],[Volume, kg]]/1000</f>
        <v>68.3</v>
      </c>
      <c r="J4972" s="25">
        <v>0.2525</v>
      </c>
      <c r="K4972" s="25">
        <f t="shared" si="77"/>
        <v>17245.75</v>
      </c>
      <c r="L4972" s="25">
        <v>2.21</v>
      </c>
      <c r="M4972" s="24">
        <v>151105</v>
      </c>
      <c r="N4972" s="25">
        <f>IFERROR(T_reg.root.SK[[#This Row],[Price]]/T_reg.root.SK[[#This Row],[Starch content]],"")</f>
        <v>8.7524752475247531</v>
      </c>
    </row>
    <row r="4973" spans="1:14">
      <c r="A4973" s="21">
        <v>2025</v>
      </c>
      <c r="B4973" s="21" t="s">
        <v>17</v>
      </c>
      <c r="C4973" s="21" t="s">
        <v>1145</v>
      </c>
      <c r="D4973" s="21" t="s">
        <v>35</v>
      </c>
      <c r="E4973" s="18" t="s">
        <v>740</v>
      </c>
      <c r="F4973" s="18" t="s">
        <v>105</v>
      </c>
      <c r="G4973" s="18" t="s">
        <v>48</v>
      </c>
      <c r="H4973" s="24">
        <v>7370</v>
      </c>
      <c r="I4973" s="24">
        <f>T_reg.root.SK[[#This Row],[Volume, kg]]/1000</f>
        <v>7.37</v>
      </c>
      <c r="J4973" s="25">
        <v>0.29549999999999998</v>
      </c>
      <c r="K4973" s="25">
        <f t="shared" si="77"/>
        <v>2177.835</v>
      </c>
      <c r="L4973" s="25">
        <v>2.5</v>
      </c>
      <c r="M4973" s="24">
        <v>18425</v>
      </c>
      <c r="N4973" s="25">
        <f>IFERROR(T_reg.root.SK[[#This Row],[Price]]/T_reg.root.SK[[#This Row],[Starch content]],"")</f>
        <v>8.4602368866328259</v>
      </c>
    </row>
    <row r="4974" spans="1:14">
      <c r="A4974" s="21">
        <v>2025</v>
      </c>
      <c r="B4974" s="21" t="s">
        <v>17</v>
      </c>
      <c r="C4974" s="21" t="s">
        <v>1145</v>
      </c>
      <c r="D4974" s="21" t="s">
        <v>35</v>
      </c>
      <c r="E4974" s="18" t="s">
        <v>757</v>
      </c>
      <c r="F4974" s="18" t="s">
        <v>105</v>
      </c>
      <c r="G4974" s="18" t="s">
        <v>48</v>
      </c>
      <c r="H4974" s="24">
        <v>65640</v>
      </c>
      <c r="I4974" s="24">
        <f>T_reg.root.SK[[#This Row],[Volume, kg]]/1000</f>
        <v>65.64</v>
      </c>
      <c r="J4974" s="25">
        <v>0.29100000000000004</v>
      </c>
      <c r="K4974" s="25">
        <f t="shared" si="77"/>
        <v>19101.240000000002</v>
      </c>
      <c r="L4974" s="25">
        <v>2.4500000000000002</v>
      </c>
      <c r="M4974" s="24">
        <v>160901.5</v>
      </c>
      <c r="N4974" s="25">
        <f>IFERROR(T_reg.root.SK[[#This Row],[Price]]/T_reg.root.SK[[#This Row],[Starch content]],"")</f>
        <v>8.4192439862542958</v>
      </c>
    </row>
    <row r="4975" spans="1:14">
      <c r="A4975" s="21">
        <v>2025</v>
      </c>
      <c r="B4975" s="21" t="s">
        <v>17</v>
      </c>
      <c r="C4975" s="21" t="s">
        <v>1145</v>
      </c>
      <c r="D4975" s="21" t="s">
        <v>35</v>
      </c>
      <c r="E4975" s="18" t="s">
        <v>829</v>
      </c>
      <c r="F4975" s="18" t="s">
        <v>105</v>
      </c>
      <c r="G4975" s="18" t="s">
        <v>48</v>
      </c>
      <c r="H4975" s="24">
        <v>110620</v>
      </c>
      <c r="I4975" s="24">
        <f>T_reg.root.SK[[#This Row],[Volume, kg]]/1000</f>
        <v>110.62</v>
      </c>
      <c r="J4975" s="25">
        <v>0.25619999999999998</v>
      </c>
      <c r="K4975" s="25">
        <f t="shared" si="77"/>
        <v>28340.843999999997</v>
      </c>
      <c r="L4975" s="25">
        <v>2.2799999999999998</v>
      </c>
      <c r="M4975" s="24">
        <v>252001</v>
      </c>
      <c r="N4975" s="25">
        <f>IFERROR(T_reg.root.SK[[#This Row],[Price]]/T_reg.root.SK[[#This Row],[Starch content]],"")</f>
        <v>8.899297423887587</v>
      </c>
    </row>
    <row r="4976" spans="1:14">
      <c r="A4976" s="21">
        <v>2025</v>
      </c>
      <c r="B4976" s="21" t="s">
        <v>17</v>
      </c>
      <c r="C4976" s="21" t="s">
        <v>1145</v>
      </c>
      <c r="D4976" s="21" t="s">
        <v>35</v>
      </c>
      <c r="E4976" s="18" t="s">
        <v>969</v>
      </c>
      <c r="F4976" s="18" t="s">
        <v>105</v>
      </c>
      <c r="G4976" s="18" t="s">
        <v>48</v>
      </c>
      <c r="H4976" s="24">
        <v>159210</v>
      </c>
      <c r="I4976" s="24">
        <f>T_reg.root.SK[[#This Row],[Volume, kg]]/1000</f>
        <v>159.21</v>
      </c>
      <c r="J4976" s="25">
        <v>0.26119999999999999</v>
      </c>
      <c r="K4976" s="25">
        <f t="shared" si="77"/>
        <v>41585.651999999995</v>
      </c>
      <c r="L4976" s="25">
        <v>2.21</v>
      </c>
      <c r="M4976" s="24">
        <v>351390</v>
      </c>
      <c r="N4976" s="25">
        <f>IFERROR(T_reg.root.SK[[#This Row],[Price]]/T_reg.root.SK[[#This Row],[Starch content]],"")</f>
        <v>8.460949464012252</v>
      </c>
    </row>
    <row r="4977" spans="1:14">
      <c r="A4977" s="21">
        <v>2025</v>
      </c>
      <c r="B4977" s="21" t="s">
        <v>17</v>
      </c>
      <c r="C4977" s="21" t="s">
        <v>1145</v>
      </c>
      <c r="D4977" s="21" t="s">
        <v>35</v>
      </c>
      <c r="E4977" s="18" t="s">
        <v>982</v>
      </c>
      <c r="F4977" s="18" t="s">
        <v>105</v>
      </c>
      <c r="G4977" s="18" t="s">
        <v>48</v>
      </c>
      <c r="H4977" s="24">
        <v>85210</v>
      </c>
      <c r="I4977" s="24">
        <f>T_reg.root.SK[[#This Row],[Volume, kg]]/1000</f>
        <v>85.21</v>
      </c>
      <c r="J4977" s="25">
        <v>0.24559999999999998</v>
      </c>
      <c r="K4977" s="25">
        <f t="shared" si="77"/>
        <v>20927.575999999997</v>
      </c>
      <c r="L4977" s="25">
        <v>2.23</v>
      </c>
      <c r="M4977" s="24">
        <v>189797</v>
      </c>
      <c r="N4977" s="25">
        <f>IFERROR(T_reg.root.SK[[#This Row],[Price]]/T_reg.root.SK[[#This Row],[Starch content]],"")</f>
        <v>9.0798045602605875</v>
      </c>
    </row>
    <row r="4978" spans="1:14">
      <c r="A4978" s="21">
        <v>2025</v>
      </c>
      <c r="B4978" s="21" t="s">
        <v>17</v>
      </c>
      <c r="C4978" s="21" t="s">
        <v>1145</v>
      </c>
      <c r="D4978" s="21" t="s">
        <v>35</v>
      </c>
      <c r="E4978" s="18" t="s">
        <v>183</v>
      </c>
      <c r="F4978" s="18" t="s">
        <v>105</v>
      </c>
      <c r="G4978" s="18" t="s">
        <v>48</v>
      </c>
      <c r="H4978" s="24">
        <v>396030</v>
      </c>
      <c r="I4978" s="24">
        <f>T_reg.root.SK[[#This Row],[Volume, kg]]/1000</f>
        <v>396.03</v>
      </c>
      <c r="J4978" s="25">
        <v>0.27210000000000001</v>
      </c>
      <c r="K4978" s="25">
        <f t="shared" si="77"/>
        <v>107759.76300000001</v>
      </c>
      <c r="L4978" s="25">
        <v>2.3199999999999998</v>
      </c>
      <c r="M4978" s="24">
        <v>918822.5</v>
      </c>
      <c r="N4978" s="25">
        <f>IFERROR(T_reg.root.SK[[#This Row],[Price]]/T_reg.root.SK[[#This Row],[Starch content]],"")</f>
        <v>8.5262771040058798</v>
      </c>
    </row>
    <row r="4979" spans="1:14">
      <c r="A4979" s="21">
        <v>2025</v>
      </c>
      <c r="B4979" s="21" t="s">
        <v>17</v>
      </c>
      <c r="C4979" s="21" t="s">
        <v>1145</v>
      </c>
      <c r="D4979" s="21" t="s">
        <v>35</v>
      </c>
      <c r="E4979" s="18" t="s">
        <v>370</v>
      </c>
      <c r="F4979" s="18" t="s">
        <v>187</v>
      </c>
      <c r="G4979" s="18" t="s">
        <v>48</v>
      </c>
      <c r="H4979" s="24">
        <v>18040</v>
      </c>
      <c r="I4979" s="24">
        <f>T_reg.root.SK[[#This Row],[Volume, kg]]/1000</f>
        <v>18.04</v>
      </c>
      <c r="J4979" s="25">
        <v>0.255</v>
      </c>
      <c r="K4979" s="25">
        <f t="shared" si="77"/>
        <v>4600.2</v>
      </c>
      <c r="L4979" s="25">
        <v>2.25</v>
      </c>
      <c r="M4979" s="24">
        <v>40613</v>
      </c>
      <c r="N4979" s="25">
        <f>IFERROR(T_reg.root.SK[[#This Row],[Price]]/T_reg.root.SK[[#This Row],[Starch content]],"")</f>
        <v>8.8235294117647065</v>
      </c>
    </row>
    <row r="4980" spans="1:14">
      <c r="A4980" s="21">
        <v>2025</v>
      </c>
      <c r="B4980" s="21" t="s">
        <v>17</v>
      </c>
      <c r="C4980" s="21" t="s">
        <v>1145</v>
      </c>
      <c r="D4980" s="21" t="s">
        <v>35</v>
      </c>
      <c r="E4980" s="18" t="s">
        <v>192</v>
      </c>
      <c r="F4980" s="18" t="s">
        <v>187</v>
      </c>
      <c r="G4980" s="18" t="s">
        <v>48</v>
      </c>
      <c r="H4980" s="24">
        <v>99360</v>
      </c>
      <c r="I4980" s="24">
        <f>T_reg.root.SK[[#This Row],[Volume, kg]]/1000</f>
        <v>99.36</v>
      </c>
      <c r="J4980" s="25">
        <v>0.2651</v>
      </c>
      <c r="K4980" s="25">
        <f t="shared" si="77"/>
        <v>26340.335999999999</v>
      </c>
      <c r="L4980" s="25">
        <v>2.2799999999999998</v>
      </c>
      <c r="M4980" s="24">
        <v>226093.5</v>
      </c>
      <c r="N4980" s="25">
        <f>IFERROR(T_reg.root.SK[[#This Row],[Price]]/T_reg.root.SK[[#This Row],[Starch content]],"")</f>
        <v>8.6005281026027909</v>
      </c>
    </row>
    <row r="4981" spans="1:14">
      <c r="A4981" s="21">
        <v>2025</v>
      </c>
      <c r="B4981" s="21" t="s">
        <v>17</v>
      </c>
      <c r="C4981" s="21" t="s">
        <v>1145</v>
      </c>
      <c r="D4981" s="21" t="s">
        <v>35</v>
      </c>
      <c r="E4981" s="18" t="s">
        <v>262</v>
      </c>
      <c r="F4981" s="18" t="s">
        <v>187</v>
      </c>
      <c r="G4981" s="18" t="s">
        <v>48</v>
      </c>
      <c r="H4981" s="24">
        <v>61710</v>
      </c>
      <c r="I4981" s="24">
        <f>T_reg.root.SK[[#This Row],[Volume, kg]]/1000</f>
        <v>61.71</v>
      </c>
      <c r="J4981" s="25">
        <v>0.23499999999999999</v>
      </c>
      <c r="K4981" s="25">
        <f t="shared" si="77"/>
        <v>14501.849999999999</v>
      </c>
      <c r="L4981" s="25">
        <v>2.08</v>
      </c>
      <c r="M4981" s="24">
        <v>128302</v>
      </c>
      <c r="N4981" s="25">
        <f>IFERROR(T_reg.root.SK[[#This Row],[Price]]/T_reg.root.SK[[#This Row],[Starch content]],"")</f>
        <v>8.8510638297872344</v>
      </c>
    </row>
    <row r="4982" spans="1:14">
      <c r="A4982" s="21">
        <v>2025</v>
      </c>
      <c r="B4982" s="21" t="s">
        <v>17</v>
      </c>
      <c r="C4982" s="21" t="s">
        <v>1145</v>
      </c>
      <c r="D4982" s="21" t="s">
        <v>35</v>
      </c>
      <c r="E4982" s="18" t="s">
        <v>195</v>
      </c>
      <c r="F4982" s="18" t="s">
        <v>187</v>
      </c>
      <c r="G4982" s="18" t="s">
        <v>48</v>
      </c>
      <c r="H4982" s="24">
        <v>7760</v>
      </c>
      <c r="I4982" s="24">
        <f>T_reg.root.SK[[#This Row],[Volume, kg]]/1000</f>
        <v>7.76</v>
      </c>
      <c r="J4982" s="25">
        <v>0.223</v>
      </c>
      <c r="K4982" s="25">
        <f t="shared" si="77"/>
        <v>1730.48</v>
      </c>
      <c r="L4982" s="25">
        <v>2.1</v>
      </c>
      <c r="M4982" s="24">
        <v>16296</v>
      </c>
      <c r="N4982" s="25">
        <f>IFERROR(T_reg.root.SK[[#This Row],[Price]]/T_reg.root.SK[[#This Row],[Starch content]],"")</f>
        <v>9.4170403587443943</v>
      </c>
    </row>
    <row r="4983" spans="1:14">
      <c r="A4983" s="21">
        <v>2025</v>
      </c>
      <c r="B4983" s="21" t="s">
        <v>17</v>
      </c>
      <c r="C4983" s="21" t="s">
        <v>1145</v>
      </c>
      <c r="D4983" s="21" t="s">
        <v>35</v>
      </c>
      <c r="E4983" s="18" t="s">
        <v>590</v>
      </c>
      <c r="F4983" s="18" t="s">
        <v>187</v>
      </c>
      <c r="G4983" s="18" t="s">
        <v>48</v>
      </c>
      <c r="H4983" s="24">
        <v>37060</v>
      </c>
      <c r="I4983" s="24">
        <f>T_reg.root.SK[[#This Row],[Volume, kg]]/1000</f>
        <v>37.06</v>
      </c>
      <c r="J4983" s="25">
        <v>0.30249999999999999</v>
      </c>
      <c r="K4983" s="25">
        <f t="shared" si="77"/>
        <v>11210.65</v>
      </c>
      <c r="L4983" s="25">
        <v>2.41</v>
      </c>
      <c r="M4983" s="24">
        <v>89394</v>
      </c>
      <c r="N4983" s="25">
        <f>IFERROR(T_reg.root.SK[[#This Row],[Price]]/T_reg.root.SK[[#This Row],[Starch content]],"")</f>
        <v>7.9669421487603316</v>
      </c>
    </row>
    <row r="4984" spans="1:14">
      <c r="A4984" s="21">
        <v>2025</v>
      </c>
      <c r="B4984" s="21" t="s">
        <v>17</v>
      </c>
      <c r="C4984" s="21" t="s">
        <v>1145</v>
      </c>
      <c r="D4984" s="21" t="s">
        <v>35</v>
      </c>
      <c r="E4984" s="18" t="s">
        <v>196</v>
      </c>
      <c r="F4984" s="18" t="s">
        <v>187</v>
      </c>
      <c r="G4984" s="18" t="s">
        <v>48</v>
      </c>
      <c r="H4984" s="24">
        <v>15240</v>
      </c>
      <c r="I4984" s="24">
        <f>T_reg.root.SK[[#This Row],[Volume, kg]]/1000</f>
        <v>15.24</v>
      </c>
      <c r="J4984" s="25">
        <v>0.23420000000000002</v>
      </c>
      <c r="K4984" s="25">
        <f t="shared" si="77"/>
        <v>3569.2080000000001</v>
      </c>
      <c r="L4984" s="25">
        <v>2.0699999999999998</v>
      </c>
      <c r="M4984" s="24">
        <v>31498.5</v>
      </c>
      <c r="N4984" s="25">
        <f>IFERROR(T_reg.root.SK[[#This Row],[Price]]/T_reg.root.SK[[#This Row],[Starch content]],"")</f>
        <v>8.8385994876174188</v>
      </c>
    </row>
    <row r="4985" spans="1:14">
      <c r="A4985" s="21">
        <v>2025</v>
      </c>
      <c r="B4985" s="21" t="s">
        <v>17</v>
      </c>
      <c r="C4985" s="21" t="s">
        <v>1145</v>
      </c>
      <c r="D4985" s="21" t="s">
        <v>35</v>
      </c>
      <c r="E4985" s="18" t="s">
        <v>201</v>
      </c>
      <c r="F4985" s="18" t="s">
        <v>187</v>
      </c>
      <c r="G4985" s="18" t="s">
        <v>48</v>
      </c>
      <c r="H4985" s="24">
        <v>32050</v>
      </c>
      <c r="I4985" s="24">
        <f>T_reg.root.SK[[#This Row],[Volume, kg]]/1000</f>
        <v>32.049999999999997</v>
      </c>
      <c r="J4985" s="25">
        <v>0.2681</v>
      </c>
      <c r="K4985" s="25">
        <f t="shared" si="77"/>
        <v>8592.6049999999996</v>
      </c>
      <c r="L4985" s="25">
        <v>2.2400000000000002</v>
      </c>
      <c r="M4985" s="24">
        <v>71843</v>
      </c>
      <c r="N4985" s="25">
        <f>IFERROR(T_reg.root.SK[[#This Row],[Price]]/T_reg.root.SK[[#This Row],[Starch content]],"")</f>
        <v>8.3550913838120113</v>
      </c>
    </row>
    <row r="4986" spans="1:14">
      <c r="A4986" s="21">
        <v>2025</v>
      </c>
      <c r="B4986" s="21" t="s">
        <v>17</v>
      </c>
      <c r="C4986" s="21" t="s">
        <v>1145</v>
      </c>
      <c r="D4986" s="21" t="s">
        <v>35</v>
      </c>
      <c r="E4986" s="18" t="s">
        <v>202</v>
      </c>
      <c r="F4986" s="18" t="s">
        <v>187</v>
      </c>
      <c r="G4986" s="18" t="s">
        <v>48</v>
      </c>
      <c r="H4986" s="24">
        <v>131930</v>
      </c>
      <c r="I4986" s="24">
        <f>T_reg.root.SK[[#This Row],[Volume, kg]]/1000</f>
        <v>131.93</v>
      </c>
      <c r="J4986" s="25">
        <v>0.23899999999999999</v>
      </c>
      <c r="K4986" s="25">
        <f t="shared" si="77"/>
        <v>31531.27</v>
      </c>
      <c r="L4986" s="25">
        <v>2.12</v>
      </c>
      <c r="M4986" s="24">
        <v>279524</v>
      </c>
      <c r="N4986" s="25">
        <f>IFERROR(T_reg.root.SK[[#This Row],[Price]]/T_reg.root.SK[[#This Row],[Starch content]],"")</f>
        <v>8.8702928870292901</v>
      </c>
    </row>
    <row r="4987" spans="1:14">
      <c r="A4987" s="21">
        <v>2025</v>
      </c>
      <c r="B4987" s="21" t="s">
        <v>17</v>
      </c>
      <c r="C4987" s="21" t="s">
        <v>1145</v>
      </c>
      <c r="D4987" s="21" t="s">
        <v>35</v>
      </c>
      <c r="E4987" s="18" t="s">
        <v>688</v>
      </c>
      <c r="F4987" s="18" t="s">
        <v>187</v>
      </c>
      <c r="G4987" s="18" t="s">
        <v>48</v>
      </c>
      <c r="H4987" s="24">
        <v>17920</v>
      </c>
      <c r="I4987" s="24">
        <f>T_reg.root.SK[[#This Row],[Volume, kg]]/1000</f>
        <v>17.920000000000002</v>
      </c>
      <c r="J4987" s="25">
        <v>0.2475</v>
      </c>
      <c r="K4987" s="25">
        <f t="shared" si="77"/>
        <v>4435.2</v>
      </c>
      <c r="L4987" s="25">
        <v>2.15</v>
      </c>
      <c r="M4987" s="24">
        <v>38528</v>
      </c>
      <c r="N4987" s="25">
        <f>IFERROR(T_reg.root.SK[[#This Row],[Price]]/T_reg.root.SK[[#This Row],[Starch content]],"")</f>
        <v>8.6868686868686869</v>
      </c>
    </row>
    <row r="4988" spans="1:14">
      <c r="A4988" s="21">
        <v>2025</v>
      </c>
      <c r="B4988" s="21" t="s">
        <v>17</v>
      </c>
      <c r="C4988" s="21" t="s">
        <v>1145</v>
      </c>
      <c r="D4988" s="21" t="s">
        <v>35</v>
      </c>
      <c r="E4988" s="18" t="s">
        <v>268</v>
      </c>
      <c r="F4988" s="18" t="s">
        <v>187</v>
      </c>
      <c r="G4988" s="18" t="s">
        <v>48</v>
      </c>
      <c r="H4988" s="24">
        <v>107730</v>
      </c>
      <c r="I4988" s="24">
        <f>T_reg.root.SK[[#This Row],[Volume, kg]]/1000</f>
        <v>107.73</v>
      </c>
      <c r="J4988" s="25">
        <v>0.24929999999999999</v>
      </c>
      <c r="K4988" s="25">
        <f t="shared" si="77"/>
        <v>26857.089</v>
      </c>
      <c r="L4988" s="25">
        <v>2.15</v>
      </c>
      <c r="M4988" s="24">
        <v>231269.5</v>
      </c>
      <c r="N4988" s="25">
        <f>IFERROR(T_reg.root.SK[[#This Row],[Price]]/T_reg.root.SK[[#This Row],[Starch content]],"")</f>
        <v>8.6241476133172874</v>
      </c>
    </row>
    <row r="4989" spans="1:14">
      <c r="A4989" s="21">
        <v>2025</v>
      </c>
      <c r="B4989" s="21" t="s">
        <v>17</v>
      </c>
      <c r="C4989" s="21" t="s">
        <v>1145</v>
      </c>
      <c r="D4989" s="21" t="s">
        <v>35</v>
      </c>
      <c r="E4989" s="18" t="s">
        <v>208</v>
      </c>
      <c r="F4989" s="18" t="s">
        <v>187</v>
      </c>
      <c r="G4989" s="18" t="s">
        <v>48</v>
      </c>
      <c r="H4989" s="24">
        <v>180940</v>
      </c>
      <c r="I4989" s="24">
        <f>T_reg.root.SK[[#This Row],[Volume, kg]]/1000</f>
        <v>180.94</v>
      </c>
      <c r="J4989" s="25">
        <v>0.25559999999999999</v>
      </c>
      <c r="K4989" s="25">
        <f t="shared" si="77"/>
        <v>46248.263999999996</v>
      </c>
      <c r="L4989" s="25">
        <v>2.2000000000000002</v>
      </c>
      <c r="M4989" s="24">
        <v>397604.5</v>
      </c>
      <c r="N4989" s="25">
        <f>IFERROR(T_reg.root.SK[[#This Row],[Price]]/T_reg.root.SK[[#This Row],[Starch content]],"")</f>
        <v>8.6071987480438192</v>
      </c>
    </row>
    <row r="4990" spans="1:14">
      <c r="A4990" s="21">
        <v>2025</v>
      </c>
      <c r="B4990" s="21" t="s">
        <v>17</v>
      </c>
      <c r="C4990" s="21" t="s">
        <v>1145</v>
      </c>
      <c r="D4990" s="21" t="s">
        <v>35</v>
      </c>
      <c r="E4990" s="18" t="s">
        <v>211</v>
      </c>
      <c r="F4990" s="18" t="s">
        <v>187</v>
      </c>
      <c r="G4990" s="18" t="s">
        <v>48</v>
      </c>
      <c r="H4990" s="24">
        <v>17950</v>
      </c>
      <c r="I4990" s="24">
        <f>T_reg.root.SK[[#This Row],[Volume, kg]]/1000</f>
        <v>17.95</v>
      </c>
      <c r="J4990" s="25">
        <v>0.27610000000000001</v>
      </c>
      <c r="K4990" s="25">
        <f t="shared" si="77"/>
        <v>4955.9949999999999</v>
      </c>
      <c r="L4990" s="25">
        <v>2.2799999999999998</v>
      </c>
      <c r="M4990" s="24">
        <v>40923.5</v>
      </c>
      <c r="N4990" s="25">
        <f>IFERROR(T_reg.root.SK[[#This Row],[Price]]/T_reg.root.SK[[#This Row],[Starch content]],"")</f>
        <v>8.2578775805867437</v>
      </c>
    </row>
    <row r="4991" spans="1:14">
      <c r="A4991" s="21">
        <v>2025</v>
      </c>
      <c r="B4991" s="21" t="s">
        <v>17</v>
      </c>
      <c r="C4991" s="21" t="s">
        <v>1145</v>
      </c>
      <c r="D4991" s="21" t="s">
        <v>35</v>
      </c>
      <c r="E4991" s="18" t="s">
        <v>214</v>
      </c>
      <c r="F4991" s="18" t="s">
        <v>187</v>
      </c>
      <c r="G4991" s="18" t="s">
        <v>48</v>
      </c>
      <c r="H4991" s="24">
        <v>28680</v>
      </c>
      <c r="I4991" s="24">
        <f>T_reg.root.SK[[#This Row],[Volume, kg]]/1000</f>
        <v>28.68</v>
      </c>
      <c r="J4991" s="25">
        <v>0.2482</v>
      </c>
      <c r="K4991" s="25">
        <f t="shared" si="77"/>
        <v>7118.3760000000002</v>
      </c>
      <c r="L4991" s="25">
        <v>2.2400000000000002</v>
      </c>
      <c r="M4991" s="24">
        <v>64112</v>
      </c>
      <c r="N4991" s="25">
        <f>IFERROR(T_reg.root.SK[[#This Row],[Price]]/T_reg.root.SK[[#This Row],[Starch content]],"")</f>
        <v>9.0249798549556814</v>
      </c>
    </row>
    <row r="4992" spans="1:14">
      <c r="A4992" s="21">
        <v>2025</v>
      </c>
      <c r="B4992" s="21" t="s">
        <v>17</v>
      </c>
      <c r="C4992" s="21" t="s">
        <v>1145</v>
      </c>
      <c r="D4992" s="21" t="s">
        <v>35</v>
      </c>
      <c r="E4992" s="18" t="s">
        <v>623</v>
      </c>
      <c r="F4992" s="18" t="s">
        <v>187</v>
      </c>
      <c r="G4992" s="18" t="s">
        <v>48</v>
      </c>
      <c r="H4992" s="24">
        <v>5300</v>
      </c>
      <c r="I4992" s="24">
        <f>T_reg.root.SK[[#This Row],[Volume, kg]]/1000</f>
        <v>5.3</v>
      </c>
      <c r="J4992" s="25">
        <v>0.27449999999999997</v>
      </c>
      <c r="K4992" s="25">
        <f t="shared" si="77"/>
        <v>1454.85</v>
      </c>
      <c r="L4992" s="25">
        <v>2.35</v>
      </c>
      <c r="M4992" s="24">
        <v>12455</v>
      </c>
      <c r="N4992" s="25">
        <f>IFERROR(T_reg.root.SK[[#This Row],[Price]]/T_reg.root.SK[[#This Row],[Starch content]],"")</f>
        <v>8.5610200364298734</v>
      </c>
    </row>
    <row r="4993" spans="1:14">
      <c r="A4993" s="21">
        <v>2025</v>
      </c>
      <c r="B4993" s="21" t="s">
        <v>17</v>
      </c>
      <c r="C4993" s="21" t="s">
        <v>1145</v>
      </c>
      <c r="D4993" s="21" t="s">
        <v>35</v>
      </c>
      <c r="E4993" s="18" t="s">
        <v>691</v>
      </c>
      <c r="F4993" s="18" t="s">
        <v>187</v>
      </c>
      <c r="G4993" s="18" t="s">
        <v>48</v>
      </c>
      <c r="H4993" s="24">
        <v>83370</v>
      </c>
      <c r="I4993" s="24">
        <f>T_reg.root.SK[[#This Row],[Volume, kg]]/1000</f>
        <v>83.37</v>
      </c>
      <c r="J4993" s="25">
        <v>0.27800000000000002</v>
      </c>
      <c r="K4993" s="25">
        <f t="shared" si="77"/>
        <v>23176.86</v>
      </c>
      <c r="L4993" s="25">
        <v>2.33</v>
      </c>
      <c r="M4993" s="24">
        <v>194476</v>
      </c>
      <c r="N4993" s="25">
        <f>IFERROR(T_reg.root.SK[[#This Row],[Price]]/T_reg.root.SK[[#This Row],[Starch content]],"")</f>
        <v>8.3812949640287773</v>
      </c>
    </row>
    <row r="4994" spans="1:14">
      <c r="A4994" s="21">
        <v>2025</v>
      </c>
      <c r="B4994" s="21" t="s">
        <v>19</v>
      </c>
      <c r="C4994" s="21" t="s">
        <v>1145</v>
      </c>
      <c r="D4994" s="21" t="s">
        <v>35</v>
      </c>
      <c r="E4994" s="18" t="s">
        <v>457</v>
      </c>
      <c r="F4994" s="18" t="s">
        <v>47</v>
      </c>
      <c r="G4994" s="18" t="s">
        <v>48</v>
      </c>
      <c r="H4994" s="24">
        <v>94830</v>
      </c>
      <c r="I4994" s="24">
        <f>T_reg.root.SK[[#This Row],[Volume, kg]]/1000</f>
        <v>94.83</v>
      </c>
      <c r="J4994" s="25">
        <v>0.26690000000000003</v>
      </c>
      <c r="K4994" s="25">
        <f t="shared" si="77"/>
        <v>25310.127000000004</v>
      </c>
      <c r="L4994" s="25">
        <v>2.2400000000000002</v>
      </c>
      <c r="M4994" s="24">
        <v>212333</v>
      </c>
      <c r="N4994" s="25">
        <f>IFERROR(T_reg.root.SK[[#This Row],[Price]]/T_reg.root.SK[[#This Row],[Starch content]],"")</f>
        <v>8.3926564256275764</v>
      </c>
    </row>
    <row r="4995" spans="1:14">
      <c r="A4995" s="21">
        <v>2025</v>
      </c>
      <c r="B4995" s="21" t="s">
        <v>19</v>
      </c>
      <c r="C4995" s="21" t="s">
        <v>1145</v>
      </c>
      <c r="D4995" s="21" t="s">
        <v>35</v>
      </c>
      <c r="E4995" s="18" t="s">
        <v>46</v>
      </c>
      <c r="F4995" s="18" t="s">
        <v>47</v>
      </c>
      <c r="G4995" s="18" t="s">
        <v>48</v>
      </c>
      <c r="H4995" s="24">
        <v>458910</v>
      </c>
      <c r="I4995" s="24">
        <f>T_reg.root.SK[[#This Row],[Volume, kg]]/1000</f>
        <v>458.91</v>
      </c>
      <c r="J4995" s="25">
        <v>0.26450000000000001</v>
      </c>
      <c r="K4995" s="25">
        <f t="shared" ref="K4995:K5058" si="78">H4995*J4995</f>
        <v>121381.69500000001</v>
      </c>
      <c r="L4995" s="25">
        <v>2.2200000000000002</v>
      </c>
      <c r="M4995" s="24">
        <v>1016743.5</v>
      </c>
      <c r="N4995" s="25">
        <f>IFERROR(T_reg.root.SK[[#This Row],[Price]]/T_reg.root.SK[[#This Row],[Starch content]],"")</f>
        <v>8.3931947069943291</v>
      </c>
    </row>
    <row r="4996" spans="1:14">
      <c r="A4996" s="21">
        <v>2025</v>
      </c>
      <c r="B4996" s="21" t="s">
        <v>19</v>
      </c>
      <c r="C4996" s="21" t="s">
        <v>1145</v>
      </c>
      <c r="D4996" s="21" t="s">
        <v>35</v>
      </c>
      <c r="E4996" s="18" t="s">
        <v>49</v>
      </c>
      <c r="F4996" s="18" t="s">
        <v>47</v>
      </c>
      <c r="G4996" s="18" t="s">
        <v>48</v>
      </c>
      <c r="H4996" s="24">
        <v>41100</v>
      </c>
      <c r="I4996" s="24">
        <f>T_reg.root.SK[[#This Row],[Volume, kg]]/1000</f>
        <v>41.1</v>
      </c>
      <c r="J4996" s="25">
        <v>0.28600000000000003</v>
      </c>
      <c r="K4996" s="25">
        <f t="shared" si="78"/>
        <v>11754.600000000002</v>
      </c>
      <c r="L4996" s="25">
        <v>2.36</v>
      </c>
      <c r="M4996" s="24">
        <v>97108</v>
      </c>
      <c r="N4996" s="25">
        <f>IFERROR(T_reg.root.SK[[#This Row],[Price]]/T_reg.root.SK[[#This Row],[Starch content]],"")</f>
        <v>8.2517482517482499</v>
      </c>
    </row>
    <row r="4997" spans="1:14">
      <c r="A4997" s="21">
        <v>2025</v>
      </c>
      <c r="B4997" s="21" t="s">
        <v>19</v>
      </c>
      <c r="C4997" s="21" t="s">
        <v>1145</v>
      </c>
      <c r="D4997" s="21" t="s">
        <v>35</v>
      </c>
      <c r="E4997" s="18" t="s">
        <v>51</v>
      </c>
      <c r="F4997" s="18" t="s">
        <v>47</v>
      </c>
      <c r="G4997" s="18" t="s">
        <v>48</v>
      </c>
      <c r="H4997" s="24">
        <v>79460</v>
      </c>
      <c r="I4997" s="24">
        <f>T_reg.root.SK[[#This Row],[Volume, kg]]/1000</f>
        <v>79.459999999999994</v>
      </c>
      <c r="J4997" s="25">
        <v>0.29039999999999999</v>
      </c>
      <c r="K4997" s="25">
        <f t="shared" si="78"/>
        <v>23075.184000000001</v>
      </c>
      <c r="L4997" s="25">
        <v>2.29</v>
      </c>
      <c r="M4997" s="24">
        <v>181993</v>
      </c>
      <c r="N4997" s="25">
        <f>IFERROR(T_reg.root.SK[[#This Row],[Price]]/T_reg.root.SK[[#This Row],[Starch content]],"")</f>
        <v>7.8856749311294774</v>
      </c>
    </row>
    <row r="4998" spans="1:14">
      <c r="A4998" s="21">
        <v>2025</v>
      </c>
      <c r="B4998" s="21" t="s">
        <v>19</v>
      </c>
      <c r="C4998" s="21" t="s">
        <v>1145</v>
      </c>
      <c r="D4998" s="21" t="s">
        <v>35</v>
      </c>
      <c r="E4998" s="18" t="s">
        <v>336</v>
      </c>
      <c r="F4998" s="18" t="s">
        <v>47</v>
      </c>
      <c r="G4998" s="18" t="s">
        <v>48</v>
      </c>
      <c r="H4998" s="24">
        <v>55480</v>
      </c>
      <c r="I4998" s="24">
        <f>T_reg.root.SK[[#This Row],[Volume, kg]]/1000</f>
        <v>55.48</v>
      </c>
      <c r="J4998" s="25">
        <v>0.26200000000000001</v>
      </c>
      <c r="K4998" s="25">
        <f t="shared" si="78"/>
        <v>14535.76</v>
      </c>
      <c r="L4998" s="25">
        <v>2.17</v>
      </c>
      <c r="M4998" s="24">
        <v>120501</v>
      </c>
      <c r="N4998" s="25">
        <f>IFERROR(T_reg.root.SK[[#This Row],[Price]]/T_reg.root.SK[[#This Row],[Starch content]],"")</f>
        <v>8.2824427480916025</v>
      </c>
    </row>
    <row r="4999" spans="1:14">
      <c r="A4999" s="21">
        <v>2025</v>
      </c>
      <c r="B4999" s="21" t="s">
        <v>19</v>
      </c>
      <c r="C4999" s="21" t="s">
        <v>1145</v>
      </c>
      <c r="D4999" s="21" t="s">
        <v>35</v>
      </c>
      <c r="E4999" s="18" t="s">
        <v>642</v>
      </c>
      <c r="F4999" s="18" t="s">
        <v>47</v>
      </c>
      <c r="G4999" s="18" t="s">
        <v>48</v>
      </c>
      <c r="H4999" s="24">
        <v>106340</v>
      </c>
      <c r="I4999" s="24">
        <f>T_reg.root.SK[[#This Row],[Volume, kg]]/1000</f>
        <v>106.34</v>
      </c>
      <c r="J4999" s="25">
        <v>0.2737</v>
      </c>
      <c r="K4999" s="25">
        <f t="shared" si="78"/>
        <v>29105.258000000002</v>
      </c>
      <c r="L4999" s="25">
        <v>2.25</v>
      </c>
      <c r="M4999" s="24">
        <v>238840.5</v>
      </c>
      <c r="N4999" s="25">
        <f>IFERROR(T_reg.root.SK[[#This Row],[Price]]/T_reg.root.SK[[#This Row],[Starch content]],"")</f>
        <v>8.2206795761782967</v>
      </c>
    </row>
    <row r="5000" spans="1:14">
      <c r="A5000" s="21">
        <v>2025</v>
      </c>
      <c r="B5000" s="21" t="s">
        <v>19</v>
      </c>
      <c r="C5000" s="21" t="s">
        <v>1145</v>
      </c>
      <c r="D5000" s="21" t="s">
        <v>35</v>
      </c>
      <c r="E5000" s="18" t="s">
        <v>52</v>
      </c>
      <c r="F5000" s="18" t="s">
        <v>47</v>
      </c>
      <c r="G5000" s="18" t="s">
        <v>48</v>
      </c>
      <c r="H5000" s="24">
        <v>18590</v>
      </c>
      <c r="I5000" s="24">
        <f>T_reg.root.SK[[#This Row],[Volume, kg]]/1000</f>
        <v>18.59</v>
      </c>
      <c r="J5000" s="25">
        <v>0.21590000000000001</v>
      </c>
      <c r="K5000" s="25">
        <f t="shared" si="78"/>
        <v>4013.5810000000001</v>
      </c>
      <c r="L5000" s="25">
        <v>1.99</v>
      </c>
      <c r="M5000" s="24">
        <v>37059.5</v>
      </c>
      <c r="N5000" s="25">
        <f>IFERROR(T_reg.root.SK[[#This Row],[Price]]/T_reg.root.SK[[#This Row],[Starch content]],"")</f>
        <v>9.2172301991662806</v>
      </c>
    </row>
    <row r="5001" spans="1:14">
      <c r="A5001" s="21">
        <v>2025</v>
      </c>
      <c r="B5001" s="21" t="s">
        <v>19</v>
      </c>
      <c r="C5001" s="21" t="s">
        <v>1145</v>
      </c>
      <c r="D5001" s="21" t="s">
        <v>35</v>
      </c>
      <c r="E5001" s="18" t="s">
        <v>78</v>
      </c>
      <c r="F5001" s="18" t="s">
        <v>47</v>
      </c>
      <c r="G5001" s="18" t="s">
        <v>48</v>
      </c>
      <c r="H5001" s="24">
        <v>23920</v>
      </c>
      <c r="I5001" s="24">
        <f>T_reg.root.SK[[#This Row],[Volume, kg]]/1000</f>
        <v>23.92</v>
      </c>
      <c r="J5001" s="25">
        <v>0.2707</v>
      </c>
      <c r="K5001" s="25">
        <f t="shared" si="78"/>
        <v>6475.1440000000002</v>
      </c>
      <c r="L5001" s="25">
        <v>2.14</v>
      </c>
      <c r="M5001" s="24">
        <v>51278</v>
      </c>
      <c r="N5001" s="25">
        <f>IFERROR(T_reg.root.SK[[#This Row],[Price]]/T_reg.root.SK[[#This Row],[Starch content]],"")</f>
        <v>7.9054303657185079</v>
      </c>
    </row>
    <row r="5002" spans="1:14">
      <c r="A5002" s="21">
        <v>2025</v>
      </c>
      <c r="B5002" s="21" t="s">
        <v>19</v>
      </c>
      <c r="C5002" s="21" t="s">
        <v>1145</v>
      </c>
      <c r="D5002" s="21" t="s">
        <v>35</v>
      </c>
      <c r="E5002" s="18" t="s">
        <v>53</v>
      </c>
      <c r="F5002" s="18" t="s">
        <v>47</v>
      </c>
      <c r="G5002" s="18" t="s">
        <v>48</v>
      </c>
      <c r="H5002" s="24">
        <v>62870</v>
      </c>
      <c r="I5002" s="24">
        <f>T_reg.root.SK[[#This Row],[Volume, kg]]/1000</f>
        <v>62.87</v>
      </c>
      <c r="J5002" s="25">
        <v>0.27039999999999997</v>
      </c>
      <c r="K5002" s="25">
        <f t="shared" si="78"/>
        <v>17000.047999999999</v>
      </c>
      <c r="L5002" s="25">
        <v>2.2599999999999998</v>
      </c>
      <c r="M5002" s="24">
        <v>141872.5</v>
      </c>
      <c r="N5002" s="25">
        <f>IFERROR(T_reg.root.SK[[#This Row],[Price]]/T_reg.root.SK[[#This Row],[Starch content]],"")</f>
        <v>8.3579881656804726</v>
      </c>
    </row>
    <row r="5003" spans="1:14">
      <c r="A5003" s="21">
        <v>2025</v>
      </c>
      <c r="B5003" s="21" t="s">
        <v>19</v>
      </c>
      <c r="C5003" s="21" t="s">
        <v>1145</v>
      </c>
      <c r="D5003" s="21" t="s">
        <v>35</v>
      </c>
      <c r="E5003" s="18" t="s">
        <v>624</v>
      </c>
      <c r="F5003" s="18" t="s">
        <v>47</v>
      </c>
      <c r="G5003" s="18" t="s">
        <v>48</v>
      </c>
      <c r="H5003" s="24">
        <v>36240</v>
      </c>
      <c r="I5003" s="24">
        <f>T_reg.root.SK[[#This Row],[Volume, kg]]/1000</f>
        <v>36.24</v>
      </c>
      <c r="J5003" s="25">
        <v>0.21929999999999999</v>
      </c>
      <c r="K5003" s="25">
        <f t="shared" si="78"/>
        <v>7947.4319999999998</v>
      </c>
      <c r="L5003" s="25">
        <v>1.95</v>
      </c>
      <c r="M5003" s="24">
        <v>70716</v>
      </c>
      <c r="N5003" s="25">
        <f>IFERROR(T_reg.root.SK[[#This Row],[Price]]/T_reg.root.SK[[#This Row],[Starch content]],"")</f>
        <v>8.891928864569083</v>
      </c>
    </row>
    <row r="5004" spans="1:14">
      <c r="A5004" s="21">
        <v>2025</v>
      </c>
      <c r="B5004" s="21" t="s">
        <v>19</v>
      </c>
      <c r="C5004" s="21" t="s">
        <v>1145</v>
      </c>
      <c r="D5004" s="21" t="s">
        <v>35</v>
      </c>
      <c r="E5004" s="18" t="s">
        <v>461</v>
      </c>
      <c r="F5004" s="18" t="s">
        <v>47</v>
      </c>
      <c r="G5004" s="18" t="s">
        <v>48</v>
      </c>
      <c r="H5004" s="24">
        <v>41040</v>
      </c>
      <c r="I5004" s="24">
        <f>T_reg.root.SK[[#This Row],[Volume, kg]]/1000</f>
        <v>41.04</v>
      </c>
      <c r="J5004" s="25">
        <v>0.27</v>
      </c>
      <c r="K5004" s="25">
        <f t="shared" si="78"/>
        <v>11080.800000000001</v>
      </c>
      <c r="L5004" s="25">
        <v>2.21</v>
      </c>
      <c r="M5004" s="24">
        <v>90500.5</v>
      </c>
      <c r="N5004" s="25">
        <f>IFERROR(T_reg.root.SK[[#This Row],[Price]]/T_reg.root.SK[[#This Row],[Starch content]],"")</f>
        <v>8.1851851851851851</v>
      </c>
    </row>
    <row r="5005" spans="1:14">
      <c r="A5005" s="21">
        <v>2025</v>
      </c>
      <c r="B5005" s="21" t="s">
        <v>19</v>
      </c>
      <c r="C5005" s="21" t="s">
        <v>1145</v>
      </c>
      <c r="D5005" s="21" t="s">
        <v>35</v>
      </c>
      <c r="E5005" s="18" t="s">
        <v>56</v>
      </c>
      <c r="F5005" s="18" t="s">
        <v>47</v>
      </c>
      <c r="G5005" s="18" t="s">
        <v>48</v>
      </c>
      <c r="H5005" s="24">
        <v>200270</v>
      </c>
      <c r="I5005" s="24">
        <f>T_reg.root.SK[[#This Row],[Volume, kg]]/1000</f>
        <v>200.27</v>
      </c>
      <c r="J5005" s="25">
        <v>0.25850000000000001</v>
      </c>
      <c r="K5005" s="25">
        <f t="shared" si="78"/>
        <v>51769.794999999998</v>
      </c>
      <c r="L5005" s="25">
        <v>2.15</v>
      </c>
      <c r="M5005" s="24">
        <v>430747.5</v>
      </c>
      <c r="N5005" s="25">
        <f>IFERROR(T_reg.root.SK[[#This Row],[Price]]/T_reg.root.SK[[#This Row],[Starch content]],"")</f>
        <v>8.3172147001934231</v>
      </c>
    </row>
    <row r="5006" spans="1:14">
      <c r="A5006" s="21">
        <v>2025</v>
      </c>
      <c r="B5006" s="21" t="s">
        <v>19</v>
      </c>
      <c r="C5006" s="21" t="s">
        <v>1145</v>
      </c>
      <c r="D5006" s="21" t="s">
        <v>35</v>
      </c>
      <c r="E5006" s="18" t="s">
        <v>462</v>
      </c>
      <c r="F5006" s="18" t="s">
        <v>47</v>
      </c>
      <c r="G5006" s="18" t="s">
        <v>48</v>
      </c>
      <c r="H5006" s="24">
        <v>9790</v>
      </c>
      <c r="I5006" s="24">
        <f>T_reg.root.SK[[#This Row],[Volume, kg]]/1000</f>
        <v>9.7899999999999991</v>
      </c>
      <c r="J5006" s="25">
        <v>0.21899999999999997</v>
      </c>
      <c r="K5006" s="25">
        <f t="shared" si="78"/>
        <v>2144.0099999999998</v>
      </c>
      <c r="L5006" s="25">
        <v>1.9</v>
      </c>
      <c r="M5006" s="24">
        <v>18601</v>
      </c>
      <c r="N5006" s="25">
        <f>IFERROR(T_reg.root.SK[[#This Row],[Price]]/T_reg.root.SK[[#This Row],[Starch content]],"")</f>
        <v>8.6757990867579924</v>
      </c>
    </row>
    <row r="5007" spans="1:14">
      <c r="A5007" s="21">
        <v>2025</v>
      </c>
      <c r="B5007" s="21" t="s">
        <v>19</v>
      </c>
      <c r="C5007" s="21" t="s">
        <v>1145</v>
      </c>
      <c r="D5007" s="21" t="s">
        <v>35</v>
      </c>
      <c r="E5007" s="18" t="s">
        <v>785</v>
      </c>
      <c r="F5007" s="18" t="s">
        <v>47</v>
      </c>
      <c r="G5007" s="18" t="s">
        <v>48</v>
      </c>
      <c r="H5007" s="24">
        <v>31080</v>
      </c>
      <c r="I5007" s="24">
        <f>T_reg.root.SK[[#This Row],[Volume, kg]]/1000</f>
        <v>31.08</v>
      </c>
      <c r="J5007" s="25">
        <v>0.26450000000000001</v>
      </c>
      <c r="K5007" s="25">
        <f t="shared" si="78"/>
        <v>8220.66</v>
      </c>
      <c r="L5007" s="25">
        <v>2.13</v>
      </c>
      <c r="M5007" s="24">
        <v>66309</v>
      </c>
      <c r="N5007" s="25">
        <f>IFERROR(T_reg.root.SK[[#This Row],[Price]]/T_reg.root.SK[[#This Row],[Starch content]],"")</f>
        <v>8.0529300567107747</v>
      </c>
    </row>
    <row r="5008" spans="1:14">
      <c r="A5008" s="21">
        <v>2025</v>
      </c>
      <c r="B5008" s="21" t="s">
        <v>19</v>
      </c>
      <c r="C5008" s="21" t="s">
        <v>1145</v>
      </c>
      <c r="D5008" s="21" t="s">
        <v>35</v>
      </c>
      <c r="E5008" s="18" t="s">
        <v>625</v>
      </c>
      <c r="F5008" s="18" t="s">
        <v>47</v>
      </c>
      <c r="G5008" s="18" t="s">
        <v>48</v>
      </c>
      <c r="H5008" s="24">
        <v>67560</v>
      </c>
      <c r="I5008" s="24">
        <f>T_reg.root.SK[[#This Row],[Volume, kg]]/1000</f>
        <v>67.56</v>
      </c>
      <c r="J5008" s="25">
        <v>0.23079999999999998</v>
      </c>
      <c r="K5008" s="25">
        <f t="shared" si="78"/>
        <v>15592.847999999998</v>
      </c>
      <c r="L5008" s="25">
        <v>2.0699999999999998</v>
      </c>
      <c r="M5008" s="24">
        <v>139924.5</v>
      </c>
      <c r="N5008" s="25">
        <f>IFERROR(T_reg.root.SK[[#This Row],[Price]]/T_reg.root.SK[[#This Row],[Starch content]],"")</f>
        <v>8.9688041594454067</v>
      </c>
    </row>
    <row r="5009" spans="1:14">
      <c r="A5009" s="21">
        <v>2025</v>
      </c>
      <c r="B5009" s="21" t="s">
        <v>19</v>
      </c>
      <c r="C5009" s="21" t="s">
        <v>1145</v>
      </c>
      <c r="D5009" s="21" t="s">
        <v>35</v>
      </c>
      <c r="E5009" s="18" t="s">
        <v>57</v>
      </c>
      <c r="F5009" s="18" t="s">
        <v>47</v>
      </c>
      <c r="G5009" s="18" t="s">
        <v>48</v>
      </c>
      <c r="H5009" s="24">
        <v>162740</v>
      </c>
      <c r="I5009" s="24">
        <f>T_reg.root.SK[[#This Row],[Volume, kg]]/1000</f>
        <v>162.74</v>
      </c>
      <c r="J5009" s="25">
        <v>0.25429999999999997</v>
      </c>
      <c r="K5009" s="25">
        <f t="shared" si="78"/>
        <v>41384.781999999992</v>
      </c>
      <c r="L5009" s="25">
        <v>2.16</v>
      </c>
      <c r="M5009" s="24">
        <v>350909</v>
      </c>
      <c r="N5009" s="25">
        <f>IFERROR(T_reg.root.SK[[#This Row],[Price]]/T_reg.root.SK[[#This Row],[Starch content]],"")</f>
        <v>8.493904836806923</v>
      </c>
    </row>
    <row r="5010" spans="1:14">
      <c r="A5010" s="21">
        <v>2025</v>
      </c>
      <c r="B5010" s="21" t="s">
        <v>19</v>
      </c>
      <c r="C5010" s="21" t="s">
        <v>1145</v>
      </c>
      <c r="D5010" s="21" t="s">
        <v>35</v>
      </c>
      <c r="E5010" s="18" t="s">
        <v>465</v>
      </c>
      <c r="F5010" s="18" t="s">
        <v>47</v>
      </c>
      <c r="G5010" s="18" t="s">
        <v>48</v>
      </c>
      <c r="H5010" s="24">
        <v>33390</v>
      </c>
      <c r="I5010" s="24">
        <f>T_reg.root.SK[[#This Row],[Volume, kg]]/1000</f>
        <v>33.39</v>
      </c>
      <c r="J5010" s="25">
        <v>0.28070000000000001</v>
      </c>
      <c r="K5010" s="25">
        <f t="shared" si="78"/>
        <v>9372.5730000000003</v>
      </c>
      <c r="L5010" s="25">
        <v>2.36</v>
      </c>
      <c r="M5010" s="24">
        <v>78909.5</v>
      </c>
      <c r="N5010" s="25">
        <f>IFERROR(T_reg.root.SK[[#This Row],[Price]]/T_reg.root.SK[[#This Row],[Starch content]],"")</f>
        <v>8.4075525472034194</v>
      </c>
    </row>
    <row r="5011" spans="1:14">
      <c r="A5011" s="21">
        <v>2025</v>
      </c>
      <c r="B5011" s="21" t="s">
        <v>19</v>
      </c>
      <c r="C5011" s="21" t="s">
        <v>1145</v>
      </c>
      <c r="D5011" s="21" t="s">
        <v>35</v>
      </c>
      <c r="E5011" s="18" t="s">
        <v>58</v>
      </c>
      <c r="F5011" s="18" t="s">
        <v>47</v>
      </c>
      <c r="G5011" s="18" t="s">
        <v>48</v>
      </c>
      <c r="H5011" s="24">
        <v>54550</v>
      </c>
      <c r="I5011" s="24">
        <f>T_reg.root.SK[[#This Row],[Volume, kg]]/1000</f>
        <v>54.55</v>
      </c>
      <c r="J5011" s="25">
        <v>0.22949999999999998</v>
      </c>
      <c r="K5011" s="25">
        <f t="shared" si="78"/>
        <v>12519.224999999999</v>
      </c>
      <c r="L5011" s="25">
        <v>2.0299999999999998</v>
      </c>
      <c r="M5011" s="24">
        <v>110987.5</v>
      </c>
      <c r="N5011" s="25">
        <f>IFERROR(T_reg.root.SK[[#This Row],[Price]]/T_reg.root.SK[[#This Row],[Starch content]],"")</f>
        <v>8.8453159041394329</v>
      </c>
    </row>
    <row r="5012" spans="1:14">
      <c r="A5012" s="21">
        <v>2025</v>
      </c>
      <c r="B5012" s="21" t="s">
        <v>19</v>
      </c>
      <c r="C5012" s="21" t="s">
        <v>1145</v>
      </c>
      <c r="D5012" s="21" t="s">
        <v>35</v>
      </c>
      <c r="E5012" s="18" t="s">
        <v>59</v>
      </c>
      <c r="F5012" s="18" t="s">
        <v>47</v>
      </c>
      <c r="G5012" s="18" t="s">
        <v>48</v>
      </c>
      <c r="H5012" s="24">
        <v>115390</v>
      </c>
      <c r="I5012" s="24">
        <f>T_reg.root.SK[[#This Row],[Volume, kg]]/1000</f>
        <v>115.39</v>
      </c>
      <c r="J5012" s="25">
        <v>0.25790000000000002</v>
      </c>
      <c r="K5012" s="25">
        <f t="shared" si="78"/>
        <v>29759.081000000002</v>
      </c>
      <c r="L5012" s="25">
        <v>2.19</v>
      </c>
      <c r="M5012" s="24">
        <v>252169.5</v>
      </c>
      <c r="N5012" s="25">
        <f>IFERROR(T_reg.root.SK[[#This Row],[Price]]/T_reg.root.SK[[#This Row],[Starch content]],"")</f>
        <v>8.4916634354400919</v>
      </c>
    </row>
    <row r="5013" spans="1:14">
      <c r="A5013" s="21">
        <v>2025</v>
      </c>
      <c r="B5013" s="21" t="s">
        <v>19</v>
      </c>
      <c r="C5013" s="21" t="s">
        <v>1145</v>
      </c>
      <c r="D5013" s="21" t="s">
        <v>35</v>
      </c>
      <c r="E5013" s="18" t="s">
        <v>60</v>
      </c>
      <c r="F5013" s="18" t="s">
        <v>47</v>
      </c>
      <c r="G5013" s="18" t="s">
        <v>48</v>
      </c>
      <c r="H5013" s="24">
        <v>79650</v>
      </c>
      <c r="I5013" s="24">
        <f>T_reg.root.SK[[#This Row],[Volume, kg]]/1000</f>
        <v>79.650000000000006</v>
      </c>
      <c r="J5013" s="25">
        <v>0.2482</v>
      </c>
      <c r="K5013" s="25">
        <f t="shared" si="78"/>
        <v>19769.13</v>
      </c>
      <c r="L5013" s="25">
        <v>2.15</v>
      </c>
      <c r="M5013" s="24">
        <v>170991</v>
      </c>
      <c r="N5013" s="25">
        <f>IFERROR(T_reg.root.SK[[#This Row],[Price]]/T_reg.root.SK[[#This Row],[Starch content]],"")</f>
        <v>8.6623690572119258</v>
      </c>
    </row>
    <row r="5014" spans="1:14">
      <c r="A5014" s="21">
        <v>2025</v>
      </c>
      <c r="B5014" s="21" t="s">
        <v>19</v>
      </c>
      <c r="C5014" s="21" t="s">
        <v>1145</v>
      </c>
      <c r="D5014" s="21" t="s">
        <v>35</v>
      </c>
      <c r="E5014" s="18" t="s">
        <v>643</v>
      </c>
      <c r="F5014" s="18" t="s">
        <v>47</v>
      </c>
      <c r="G5014" s="18" t="s">
        <v>48</v>
      </c>
      <c r="H5014" s="24">
        <v>86670</v>
      </c>
      <c r="I5014" s="24">
        <f>T_reg.root.SK[[#This Row],[Volume, kg]]/1000</f>
        <v>86.67</v>
      </c>
      <c r="J5014" s="25">
        <v>0.27200000000000002</v>
      </c>
      <c r="K5014" s="25">
        <f t="shared" si="78"/>
        <v>23574.240000000002</v>
      </c>
      <c r="L5014" s="25">
        <v>2.21</v>
      </c>
      <c r="M5014" s="24">
        <v>191959</v>
      </c>
      <c r="N5014" s="25">
        <f>IFERROR(T_reg.root.SK[[#This Row],[Price]]/T_reg.root.SK[[#This Row],[Starch content]],"")</f>
        <v>8.125</v>
      </c>
    </row>
    <row r="5015" spans="1:14">
      <c r="A5015" s="21">
        <v>2025</v>
      </c>
      <c r="B5015" s="21" t="s">
        <v>19</v>
      </c>
      <c r="C5015" s="21" t="s">
        <v>1145</v>
      </c>
      <c r="D5015" s="21" t="s">
        <v>35</v>
      </c>
      <c r="E5015" s="18" t="s">
        <v>548</v>
      </c>
      <c r="F5015" s="18" t="s">
        <v>47</v>
      </c>
      <c r="G5015" s="18" t="s">
        <v>48</v>
      </c>
      <c r="H5015" s="24">
        <v>30330</v>
      </c>
      <c r="I5015" s="24">
        <f>T_reg.root.SK[[#This Row],[Volume, kg]]/1000</f>
        <v>30.33</v>
      </c>
      <c r="J5015" s="25">
        <v>0.27410000000000001</v>
      </c>
      <c r="K5015" s="25">
        <f t="shared" si="78"/>
        <v>8313.4529999999995</v>
      </c>
      <c r="L5015" s="25">
        <v>2.25</v>
      </c>
      <c r="M5015" s="24">
        <v>68280</v>
      </c>
      <c r="N5015" s="25">
        <f>IFERROR(T_reg.root.SK[[#This Row],[Price]]/T_reg.root.SK[[#This Row],[Starch content]],"")</f>
        <v>8.2086829624224738</v>
      </c>
    </row>
    <row r="5016" spans="1:14">
      <c r="A5016" s="21">
        <v>2025</v>
      </c>
      <c r="B5016" s="21" t="s">
        <v>19</v>
      </c>
      <c r="C5016" s="21" t="s">
        <v>1145</v>
      </c>
      <c r="D5016" s="21" t="s">
        <v>35</v>
      </c>
      <c r="E5016" s="18" t="s">
        <v>710</v>
      </c>
      <c r="F5016" s="18" t="s">
        <v>47</v>
      </c>
      <c r="G5016" s="18" t="s">
        <v>48</v>
      </c>
      <c r="H5016" s="24">
        <v>9790</v>
      </c>
      <c r="I5016" s="24">
        <f>T_reg.root.SK[[#This Row],[Volume, kg]]/1000</f>
        <v>9.7899999999999991</v>
      </c>
      <c r="J5016" s="25">
        <v>0.20850000000000002</v>
      </c>
      <c r="K5016" s="25">
        <f t="shared" si="78"/>
        <v>2041.2150000000001</v>
      </c>
      <c r="L5016" s="25">
        <v>1.85</v>
      </c>
      <c r="M5016" s="24">
        <v>18111.5</v>
      </c>
      <c r="N5016" s="25">
        <f>IFERROR(T_reg.root.SK[[#This Row],[Price]]/T_reg.root.SK[[#This Row],[Starch content]],"")</f>
        <v>8.8729016786570742</v>
      </c>
    </row>
    <row r="5017" spans="1:14">
      <c r="A5017" s="21">
        <v>2025</v>
      </c>
      <c r="B5017" s="21" t="s">
        <v>19</v>
      </c>
      <c r="C5017" s="21" t="s">
        <v>1145</v>
      </c>
      <c r="D5017" s="21" t="s">
        <v>35</v>
      </c>
      <c r="E5017" s="18" t="s">
        <v>61</v>
      </c>
      <c r="F5017" s="18" t="s">
        <v>47</v>
      </c>
      <c r="G5017" s="18" t="s">
        <v>48</v>
      </c>
      <c r="H5017" s="24">
        <v>192200</v>
      </c>
      <c r="I5017" s="24">
        <f>T_reg.root.SK[[#This Row],[Volume, kg]]/1000</f>
        <v>192.2</v>
      </c>
      <c r="J5017" s="25">
        <v>0.2681</v>
      </c>
      <c r="K5017" s="25">
        <f t="shared" si="78"/>
        <v>51528.82</v>
      </c>
      <c r="L5017" s="25">
        <v>2.2200000000000002</v>
      </c>
      <c r="M5017" s="24">
        <v>427244</v>
      </c>
      <c r="N5017" s="25">
        <f>IFERROR(T_reg.root.SK[[#This Row],[Price]]/T_reg.root.SK[[#This Row],[Starch content]],"")</f>
        <v>8.2804923535994046</v>
      </c>
    </row>
    <row r="5018" spans="1:14">
      <c r="A5018" s="21">
        <v>2025</v>
      </c>
      <c r="B5018" s="21" t="s">
        <v>19</v>
      </c>
      <c r="C5018" s="21" t="s">
        <v>1145</v>
      </c>
      <c r="D5018" s="21" t="s">
        <v>35</v>
      </c>
      <c r="E5018" s="18" t="s">
        <v>657</v>
      </c>
      <c r="F5018" s="18" t="s">
        <v>47</v>
      </c>
      <c r="G5018" s="18" t="s">
        <v>48</v>
      </c>
      <c r="H5018" s="24">
        <v>7090</v>
      </c>
      <c r="I5018" s="24">
        <f>T_reg.root.SK[[#This Row],[Volume, kg]]/1000</f>
        <v>7.09</v>
      </c>
      <c r="J5018" s="25">
        <v>0.24850000000000003</v>
      </c>
      <c r="K5018" s="25">
        <f t="shared" si="78"/>
        <v>1761.8650000000002</v>
      </c>
      <c r="L5018" s="25">
        <v>2.0499999999999998</v>
      </c>
      <c r="M5018" s="24">
        <v>14534.5</v>
      </c>
      <c r="N5018" s="25">
        <f>IFERROR(T_reg.root.SK[[#This Row],[Price]]/T_reg.root.SK[[#This Row],[Starch content]],"")</f>
        <v>8.2494969818913457</v>
      </c>
    </row>
    <row r="5019" spans="1:14">
      <c r="A5019" s="21">
        <v>2025</v>
      </c>
      <c r="B5019" s="21" t="s">
        <v>19</v>
      </c>
      <c r="C5019" s="21" t="s">
        <v>1145</v>
      </c>
      <c r="D5019" s="21" t="s">
        <v>35</v>
      </c>
      <c r="E5019" s="18" t="s">
        <v>339</v>
      </c>
      <c r="F5019" s="18" t="s">
        <v>47</v>
      </c>
      <c r="G5019" s="18" t="s">
        <v>48</v>
      </c>
      <c r="H5019" s="24">
        <v>0</v>
      </c>
      <c r="I5019" s="24">
        <f>T_reg.root.SK[[#This Row],[Volume, kg]]/1000</f>
        <v>0</v>
      </c>
      <c r="J5019" s="25">
        <v>0</v>
      </c>
      <c r="K5019" s="25">
        <f t="shared" si="78"/>
        <v>0</v>
      </c>
      <c r="L5019" s="25">
        <v>0</v>
      </c>
      <c r="M5019" s="24">
        <v>0</v>
      </c>
      <c r="N5019" s="25" t="str">
        <f>IFERROR(T_reg.root.SK[[#This Row],[Price]]/T_reg.root.SK[[#This Row],[Starch content]],"")</f>
        <v/>
      </c>
    </row>
    <row r="5020" spans="1:14">
      <c r="A5020" s="21">
        <v>2025</v>
      </c>
      <c r="B5020" s="21" t="s">
        <v>19</v>
      </c>
      <c r="C5020" s="21" t="s">
        <v>1145</v>
      </c>
      <c r="D5020" s="21" t="s">
        <v>35</v>
      </c>
      <c r="E5020" s="18" t="s">
        <v>468</v>
      </c>
      <c r="F5020" s="18" t="s">
        <v>47</v>
      </c>
      <c r="G5020" s="18" t="s">
        <v>48</v>
      </c>
      <c r="H5020" s="24">
        <v>57050</v>
      </c>
      <c r="I5020" s="24">
        <f>T_reg.root.SK[[#This Row],[Volume, kg]]/1000</f>
        <v>57.05</v>
      </c>
      <c r="J5020" s="25">
        <v>0.2422</v>
      </c>
      <c r="K5020" s="25">
        <f t="shared" si="78"/>
        <v>13817.51</v>
      </c>
      <c r="L5020" s="25">
        <v>2.0699999999999998</v>
      </c>
      <c r="M5020" s="24">
        <v>118232</v>
      </c>
      <c r="N5020" s="25">
        <f>IFERROR(T_reg.root.SK[[#This Row],[Price]]/T_reg.root.SK[[#This Row],[Starch content]],"")</f>
        <v>8.5466556564822458</v>
      </c>
    </row>
    <row r="5021" spans="1:14">
      <c r="A5021" s="21">
        <v>2025</v>
      </c>
      <c r="B5021" s="21" t="s">
        <v>19</v>
      </c>
      <c r="C5021" s="21" t="s">
        <v>1145</v>
      </c>
      <c r="D5021" s="21" t="s">
        <v>35</v>
      </c>
      <c r="E5021" s="18" t="s">
        <v>62</v>
      </c>
      <c r="F5021" s="18" t="s">
        <v>47</v>
      </c>
      <c r="G5021" s="18" t="s">
        <v>48</v>
      </c>
      <c r="H5021" s="24">
        <v>429380</v>
      </c>
      <c r="I5021" s="24">
        <f>T_reg.root.SK[[#This Row],[Volume, kg]]/1000</f>
        <v>429.38</v>
      </c>
      <c r="J5021" s="25">
        <v>0.23800000000000002</v>
      </c>
      <c r="K5021" s="25">
        <f t="shared" si="78"/>
        <v>102192.44</v>
      </c>
      <c r="L5021" s="25">
        <v>2.0699999999999998</v>
      </c>
      <c r="M5021" s="24">
        <v>889813</v>
      </c>
      <c r="N5021" s="25">
        <f>IFERROR(T_reg.root.SK[[#This Row],[Price]]/T_reg.root.SK[[#This Row],[Starch content]],"")</f>
        <v>8.697478991596638</v>
      </c>
    </row>
    <row r="5022" spans="1:14">
      <c r="A5022" s="21">
        <v>2025</v>
      </c>
      <c r="B5022" s="21" t="s">
        <v>19</v>
      </c>
      <c r="C5022" s="21" t="s">
        <v>1145</v>
      </c>
      <c r="D5022" s="21" t="s">
        <v>35</v>
      </c>
      <c r="E5022" s="18" t="s">
        <v>63</v>
      </c>
      <c r="F5022" s="18" t="s">
        <v>47</v>
      </c>
      <c r="G5022" s="18" t="s">
        <v>48</v>
      </c>
      <c r="H5022" s="24">
        <v>58650</v>
      </c>
      <c r="I5022" s="24">
        <f>T_reg.root.SK[[#This Row],[Volume, kg]]/1000</f>
        <v>58.65</v>
      </c>
      <c r="J5022" s="25">
        <v>0.22270000000000001</v>
      </c>
      <c r="K5022" s="25">
        <f t="shared" si="78"/>
        <v>13061.355000000001</v>
      </c>
      <c r="L5022" s="25">
        <v>1.99</v>
      </c>
      <c r="M5022" s="24">
        <v>116774.5</v>
      </c>
      <c r="N5022" s="25">
        <f>IFERROR(T_reg.root.SK[[#This Row],[Price]]/T_reg.root.SK[[#This Row],[Starch content]],"")</f>
        <v>8.9357880556802876</v>
      </c>
    </row>
    <row r="5023" spans="1:14">
      <c r="A5023" s="21">
        <v>2025</v>
      </c>
      <c r="B5023" s="21" t="s">
        <v>19</v>
      </c>
      <c r="C5023" s="21" t="s">
        <v>1145</v>
      </c>
      <c r="D5023" s="21" t="s">
        <v>35</v>
      </c>
      <c r="E5023" s="18" t="s">
        <v>340</v>
      </c>
      <c r="F5023" s="18" t="s">
        <v>47</v>
      </c>
      <c r="G5023" s="18" t="s">
        <v>48</v>
      </c>
      <c r="H5023" s="24">
        <v>21370</v>
      </c>
      <c r="I5023" s="24">
        <f>T_reg.root.SK[[#This Row],[Volume, kg]]/1000</f>
        <v>21.37</v>
      </c>
      <c r="J5023" s="25">
        <v>0.26400000000000001</v>
      </c>
      <c r="K5023" s="25">
        <f t="shared" si="78"/>
        <v>5641.68</v>
      </c>
      <c r="L5023" s="25">
        <v>2.2799999999999998</v>
      </c>
      <c r="M5023" s="24">
        <v>48665.5</v>
      </c>
      <c r="N5023" s="25">
        <f>IFERROR(T_reg.root.SK[[#This Row],[Price]]/T_reg.root.SK[[#This Row],[Starch content]],"")</f>
        <v>8.6363636363636349</v>
      </c>
    </row>
    <row r="5024" spans="1:14">
      <c r="A5024" s="21">
        <v>2025</v>
      </c>
      <c r="B5024" s="21" t="s">
        <v>19</v>
      </c>
      <c r="C5024" s="21" t="s">
        <v>1145</v>
      </c>
      <c r="D5024" s="21" t="s">
        <v>35</v>
      </c>
      <c r="E5024" s="18" t="s">
        <v>676</v>
      </c>
      <c r="F5024" s="18" t="s">
        <v>47</v>
      </c>
      <c r="G5024" s="18" t="s">
        <v>48</v>
      </c>
      <c r="H5024" s="24">
        <v>259610</v>
      </c>
      <c r="I5024" s="24">
        <f>T_reg.root.SK[[#This Row],[Volume, kg]]/1000</f>
        <v>259.61</v>
      </c>
      <c r="J5024" s="25">
        <v>0.24559999999999998</v>
      </c>
      <c r="K5024" s="25">
        <f t="shared" si="78"/>
        <v>63760.215999999993</v>
      </c>
      <c r="L5024" s="25">
        <v>2.11</v>
      </c>
      <c r="M5024" s="24">
        <v>549072</v>
      </c>
      <c r="N5024" s="25">
        <f>IFERROR(T_reg.root.SK[[#This Row],[Price]]/T_reg.root.SK[[#This Row],[Starch content]],"")</f>
        <v>8.5912052117263844</v>
      </c>
    </row>
    <row r="5025" spans="1:14">
      <c r="A5025" s="21">
        <v>2025</v>
      </c>
      <c r="B5025" s="21" t="s">
        <v>19</v>
      </c>
      <c r="C5025" s="21" t="s">
        <v>1145</v>
      </c>
      <c r="D5025" s="21" t="s">
        <v>35</v>
      </c>
      <c r="E5025" s="18" t="s">
        <v>469</v>
      </c>
      <c r="F5025" s="18" t="s">
        <v>47</v>
      </c>
      <c r="G5025" s="18" t="s">
        <v>48</v>
      </c>
      <c r="H5025" s="24">
        <v>41490</v>
      </c>
      <c r="I5025" s="24">
        <f>T_reg.root.SK[[#This Row],[Volume, kg]]/1000</f>
        <v>41.49</v>
      </c>
      <c r="J5025" s="25">
        <v>0.2455</v>
      </c>
      <c r="K5025" s="25">
        <f t="shared" si="78"/>
        <v>10185.795</v>
      </c>
      <c r="L5025" s="25">
        <v>2.14</v>
      </c>
      <c r="M5025" s="24">
        <v>88805.5</v>
      </c>
      <c r="N5025" s="25">
        <f>IFERROR(T_reg.root.SK[[#This Row],[Price]]/T_reg.root.SK[[#This Row],[Starch content]],"")</f>
        <v>8.7169042769857441</v>
      </c>
    </row>
    <row r="5026" spans="1:14">
      <c r="A5026" s="21">
        <v>2025</v>
      </c>
      <c r="B5026" s="21" t="s">
        <v>19</v>
      </c>
      <c r="C5026" s="21" t="s">
        <v>1145</v>
      </c>
      <c r="D5026" s="21" t="s">
        <v>35</v>
      </c>
      <c r="E5026" s="18" t="s">
        <v>64</v>
      </c>
      <c r="F5026" s="18" t="s">
        <v>47</v>
      </c>
      <c r="G5026" s="18" t="s">
        <v>48</v>
      </c>
      <c r="H5026" s="24">
        <v>72150</v>
      </c>
      <c r="I5026" s="24">
        <f>T_reg.root.SK[[#This Row],[Volume, kg]]/1000</f>
        <v>72.150000000000006</v>
      </c>
      <c r="J5026" s="25">
        <v>0.27460000000000001</v>
      </c>
      <c r="K5026" s="25">
        <f t="shared" si="78"/>
        <v>19812.39</v>
      </c>
      <c r="L5026" s="25">
        <v>2.27</v>
      </c>
      <c r="M5026" s="24">
        <v>163545.5</v>
      </c>
      <c r="N5026" s="25">
        <f>IFERROR(T_reg.root.SK[[#This Row],[Price]]/T_reg.root.SK[[#This Row],[Starch content]],"")</f>
        <v>8.2665695557174068</v>
      </c>
    </row>
    <row r="5027" spans="1:14">
      <c r="A5027" s="21">
        <v>2025</v>
      </c>
      <c r="B5027" s="21" t="s">
        <v>19</v>
      </c>
      <c r="C5027" s="21" t="s">
        <v>1145</v>
      </c>
      <c r="D5027" s="21" t="s">
        <v>35</v>
      </c>
      <c r="E5027" s="18" t="s">
        <v>274</v>
      </c>
      <c r="F5027" s="18" t="s">
        <v>47</v>
      </c>
      <c r="G5027" s="18" t="s">
        <v>48</v>
      </c>
      <c r="H5027" s="24">
        <v>20320</v>
      </c>
      <c r="I5027" s="24">
        <f>T_reg.root.SK[[#This Row],[Volume, kg]]/1000</f>
        <v>20.32</v>
      </c>
      <c r="J5027" s="25">
        <v>0.23420000000000002</v>
      </c>
      <c r="K5027" s="25">
        <f t="shared" si="78"/>
        <v>4758.9440000000004</v>
      </c>
      <c r="L5027" s="25">
        <v>2.02</v>
      </c>
      <c r="M5027" s="24">
        <v>41084</v>
      </c>
      <c r="N5027" s="25">
        <f>IFERROR(T_reg.root.SK[[#This Row],[Price]]/T_reg.root.SK[[#This Row],[Starch content]],"")</f>
        <v>8.6251067463706228</v>
      </c>
    </row>
    <row r="5028" spans="1:14">
      <c r="A5028" s="21">
        <v>2025</v>
      </c>
      <c r="B5028" s="21" t="s">
        <v>19</v>
      </c>
      <c r="C5028" s="21" t="s">
        <v>1145</v>
      </c>
      <c r="D5028" s="21" t="s">
        <v>35</v>
      </c>
      <c r="E5028" s="18" t="s">
        <v>660</v>
      </c>
      <c r="F5028" s="18" t="s">
        <v>47</v>
      </c>
      <c r="G5028" s="18" t="s">
        <v>48</v>
      </c>
      <c r="H5028" s="24">
        <v>36380</v>
      </c>
      <c r="I5028" s="24">
        <f>T_reg.root.SK[[#This Row],[Volume, kg]]/1000</f>
        <v>36.380000000000003</v>
      </c>
      <c r="J5028" s="25">
        <v>0.25600000000000001</v>
      </c>
      <c r="K5028" s="25">
        <f t="shared" si="78"/>
        <v>9313.2800000000007</v>
      </c>
      <c r="L5028" s="25">
        <v>2.1800000000000002</v>
      </c>
      <c r="M5028" s="24">
        <v>79441.5</v>
      </c>
      <c r="N5028" s="25">
        <f>IFERROR(T_reg.root.SK[[#This Row],[Price]]/T_reg.root.SK[[#This Row],[Starch content]],"")</f>
        <v>8.515625</v>
      </c>
    </row>
    <row r="5029" spans="1:14">
      <c r="A5029" s="21">
        <v>2025</v>
      </c>
      <c r="B5029" s="21" t="s">
        <v>19</v>
      </c>
      <c r="C5029" s="21" t="s">
        <v>1145</v>
      </c>
      <c r="D5029" s="21" t="s">
        <v>35</v>
      </c>
      <c r="E5029" s="18" t="s">
        <v>730</v>
      </c>
      <c r="F5029" s="18" t="s">
        <v>47</v>
      </c>
      <c r="G5029" s="18" t="s">
        <v>48</v>
      </c>
      <c r="H5029" s="24">
        <v>34600</v>
      </c>
      <c r="I5029" s="24">
        <f>T_reg.root.SK[[#This Row],[Volume, kg]]/1000</f>
        <v>34.6</v>
      </c>
      <c r="J5029" s="25">
        <v>0.20649999999999999</v>
      </c>
      <c r="K5029" s="25">
        <f t="shared" si="78"/>
        <v>7144.9</v>
      </c>
      <c r="L5029" s="25">
        <v>1.9</v>
      </c>
      <c r="M5029" s="24">
        <v>65639.5</v>
      </c>
      <c r="N5029" s="25">
        <f>IFERROR(T_reg.root.SK[[#This Row],[Price]]/T_reg.root.SK[[#This Row],[Starch content]],"")</f>
        <v>9.2009685230024214</v>
      </c>
    </row>
    <row r="5030" spans="1:14">
      <c r="A5030" s="21">
        <v>2025</v>
      </c>
      <c r="B5030" s="21" t="s">
        <v>19</v>
      </c>
      <c r="C5030" s="21" t="s">
        <v>1145</v>
      </c>
      <c r="D5030" s="21" t="s">
        <v>35</v>
      </c>
      <c r="E5030" s="18" t="s">
        <v>971</v>
      </c>
      <c r="F5030" s="18" t="s">
        <v>47</v>
      </c>
      <c r="G5030" s="18" t="s">
        <v>48</v>
      </c>
      <c r="H5030" s="24">
        <v>58620</v>
      </c>
      <c r="I5030" s="24">
        <f>T_reg.root.SK[[#This Row],[Volume, kg]]/1000</f>
        <v>58.62</v>
      </c>
      <c r="J5030" s="25">
        <v>0.25209999999999999</v>
      </c>
      <c r="K5030" s="25">
        <f t="shared" si="78"/>
        <v>14778.101999999999</v>
      </c>
      <c r="L5030" s="25">
        <v>2.12</v>
      </c>
      <c r="M5030" s="24">
        <v>124545</v>
      </c>
      <c r="N5030" s="25">
        <f>IFERROR(T_reg.root.SK[[#This Row],[Price]]/T_reg.root.SK[[#This Row],[Starch content]],"")</f>
        <v>8.4093613645378831</v>
      </c>
    </row>
    <row r="5031" spans="1:14">
      <c r="A5031" s="21">
        <v>2025</v>
      </c>
      <c r="B5031" s="21" t="s">
        <v>19</v>
      </c>
      <c r="C5031" s="21" t="s">
        <v>1145</v>
      </c>
      <c r="D5031" s="21" t="s">
        <v>35</v>
      </c>
      <c r="E5031" s="18" t="s">
        <v>66</v>
      </c>
      <c r="F5031" s="18" t="s">
        <v>47</v>
      </c>
      <c r="G5031" s="18" t="s">
        <v>48</v>
      </c>
      <c r="H5031" s="24">
        <v>387690</v>
      </c>
      <c r="I5031" s="24">
        <f>T_reg.root.SK[[#This Row],[Volume, kg]]/1000</f>
        <v>387.69</v>
      </c>
      <c r="J5031" s="25">
        <v>0.26200000000000001</v>
      </c>
      <c r="K5031" s="25">
        <f t="shared" si="78"/>
        <v>101574.78</v>
      </c>
      <c r="L5031" s="25">
        <v>2.1800000000000002</v>
      </c>
      <c r="M5031" s="24">
        <v>846610</v>
      </c>
      <c r="N5031" s="25">
        <f>IFERROR(T_reg.root.SK[[#This Row],[Price]]/T_reg.root.SK[[#This Row],[Starch content]],"")</f>
        <v>8.3206106870229011</v>
      </c>
    </row>
    <row r="5032" spans="1:14">
      <c r="A5032" s="21">
        <v>2025</v>
      </c>
      <c r="B5032" s="21" t="s">
        <v>19</v>
      </c>
      <c r="C5032" s="21" t="s">
        <v>1145</v>
      </c>
      <c r="D5032" s="21" t="s">
        <v>35</v>
      </c>
      <c r="E5032" s="18" t="s">
        <v>341</v>
      </c>
      <c r="F5032" s="18" t="s">
        <v>47</v>
      </c>
      <c r="G5032" s="18" t="s">
        <v>48</v>
      </c>
      <c r="H5032" s="24">
        <v>51000</v>
      </c>
      <c r="I5032" s="24">
        <f>T_reg.root.SK[[#This Row],[Volume, kg]]/1000</f>
        <v>51</v>
      </c>
      <c r="J5032" s="25">
        <v>0.2288</v>
      </c>
      <c r="K5032" s="25">
        <f t="shared" si="78"/>
        <v>11668.8</v>
      </c>
      <c r="L5032" s="25">
        <v>2.0699999999999998</v>
      </c>
      <c r="M5032" s="24">
        <v>105599.5</v>
      </c>
      <c r="N5032" s="25">
        <f>IFERROR(T_reg.root.SK[[#This Row],[Price]]/T_reg.root.SK[[#This Row],[Starch content]],"")</f>
        <v>9.0472027972027966</v>
      </c>
    </row>
    <row r="5033" spans="1:14">
      <c r="A5033" s="21">
        <v>2025</v>
      </c>
      <c r="B5033" s="21" t="s">
        <v>19</v>
      </c>
      <c r="C5033" s="21" t="s">
        <v>1145</v>
      </c>
      <c r="D5033" s="21" t="s">
        <v>35</v>
      </c>
      <c r="E5033" s="18" t="s">
        <v>68</v>
      </c>
      <c r="F5033" s="18" t="s">
        <v>47</v>
      </c>
      <c r="G5033" s="18" t="s">
        <v>48</v>
      </c>
      <c r="H5033" s="24">
        <v>129820</v>
      </c>
      <c r="I5033" s="24">
        <f>T_reg.root.SK[[#This Row],[Volume, kg]]/1000</f>
        <v>129.82</v>
      </c>
      <c r="J5033" s="25">
        <v>0.25800000000000001</v>
      </c>
      <c r="K5033" s="25">
        <f t="shared" si="78"/>
        <v>33493.56</v>
      </c>
      <c r="L5033" s="25">
        <v>2.17</v>
      </c>
      <c r="M5033" s="24">
        <v>281588.5</v>
      </c>
      <c r="N5033" s="25">
        <f>IFERROR(T_reg.root.SK[[#This Row],[Price]]/T_reg.root.SK[[#This Row],[Starch content]],"")</f>
        <v>8.4108527131782935</v>
      </c>
    </row>
    <row r="5034" spans="1:14">
      <c r="A5034" s="21">
        <v>2025</v>
      </c>
      <c r="B5034" s="21" t="s">
        <v>19</v>
      </c>
      <c r="C5034" s="21" t="s">
        <v>1145</v>
      </c>
      <c r="D5034" s="21" t="s">
        <v>35</v>
      </c>
      <c r="E5034" s="18" t="s">
        <v>70</v>
      </c>
      <c r="F5034" s="18" t="s">
        <v>47</v>
      </c>
      <c r="G5034" s="18" t="s">
        <v>48</v>
      </c>
      <c r="H5034" s="24">
        <v>302430</v>
      </c>
      <c r="I5034" s="24">
        <f>T_reg.root.SK[[#This Row],[Volume, kg]]/1000</f>
        <v>302.43</v>
      </c>
      <c r="J5034" s="25">
        <v>0.25140000000000001</v>
      </c>
      <c r="K5034" s="25">
        <f t="shared" si="78"/>
        <v>76030.902000000002</v>
      </c>
      <c r="L5034" s="25">
        <v>2.14</v>
      </c>
      <c r="M5034" s="24">
        <v>646826</v>
      </c>
      <c r="N5034" s="25">
        <f>IFERROR(T_reg.root.SK[[#This Row],[Price]]/T_reg.root.SK[[#This Row],[Starch content]],"")</f>
        <v>8.5123309466984889</v>
      </c>
    </row>
    <row r="5035" spans="1:14">
      <c r="A5035" s="21">
        <v>2025</v>
      </c>
      <c r="B5035" s="21" t="s">
        <v>19</v>
      </c>
      <c r="C5035" s="21" t="s">
        <v>1145</v>
      </c>
      <c r="D5035" s="21" t="s">
        <v>35</v>
      </c>
      <c r="E5035" s="18" t="s">
        <v>72</v>
      </c>
      <c r="F5035" s="18" t="s">
        <v>47</v>
      </c>
      <c r="G5035" s="18" t="s">
        <v>48</v>
      </c>
      <c r="H5035" s="24">
        <v>33060</v>
      </c>
      <c r="I5035" s="24">
        <f>T_reg.root.SK[[#This Row],[Volume, kg]]/1000</f>
        <v>33.06</v>
      </c>
      <c r="J5035" s="25">
        <v>0.26280000000000003</v>
      </c>
      <c r="K5035" s="25">
        <f t="shared" si="78"/>
        <v>8688.1680000000015</v>
      </c>
      <c r="L5035" s="25">
        <v>2.17</v>
      </c>
      <c r="M5035" s="24">
        <v>71868</v>
      </c>
      <c r="N5035" s="25">
        <f>IFERROR(T_reg.root.SK[[#This Row],[Price]]/T_reg.root.SK[[#This Row],[Starch content]],"")</f>
        <v>8.2572298325722961</v>
      </c>
    </row>
    <row r="5036" spans="1:14">
      <c r="A5036" s="21">
        <v>2025</v>
      </c>
      <c r="B5036" s="21" t="s">
        <v>19</v>
      </c>
      <c r="C5036" s="21" t="s">
        <v>1145</v>
      </c>
      <c r="D5036" s="21" t="s">
        <v>35</v>
      </c>
      <c r="E5036" s="18" t="s">
        <v>472</v>
      </c>
      <c r="F5036" s="18" t="s">
        <v>47</v>
      </c>
      <c r="G5036" s="18" t="s">
        <v>48</v>
      </c>
      <c r="H5036" s="24">
        <v>183940</v>
      </c>
      <c r="I5036" s="24">
        <f>T_reg.root.SK[[#This Row],[Volume, kg]]/1000</f>
        <v>183.94</v>
      </c>
      <c r="J5036" s="25">
        <v>0.2465</v>
      </c>
      <c r="K5036" s="25">
        <f t="shared" si="78"/>
        <v>45341.21</v>
      </c>
      <c r="L5036" s="25">
        <v>2.13</v>
      </c>
      <c r="M5036" s="24">
        <v>391630.5</v>
      </c>
      <c r="N5036" s="25">
        <f>IFERROR(T_reg.root.SK[[#This Row],[Price]]/T_reg.root.SK[[#This Row],[Starch content]],"")</f>
        <v>8.6409736308316418</v>
      </c>
    </row>
    <row r="5037" spans="1:14">
      <c r="A5037" s="21">
        <v>2025</v>
      </c>
      <c r="B5037" s="21" t="s">
        <v>19</v>
      </c>
      <c r="C5037" s="21" t="s">
        <v>1145</v>
      </c>
      <c r="D5037" s="21" t="s">
        <v>35</v>
      </c>
      <c r="E5037" s="18" t="s">
        <v>661</v>
      </c>
      <c r="F5037" s="18" t="s">
        <v>47</v>
      </c>
      <c r="G5037" s="18" t="s">
        <v>48</v>
      </c>
      <c r="H5037" s="24">
        <v>18040</v>
      </c>
      <c r="I5037" s="24">
        <f>T_reg.root.SK[[#This Row],[Volume, kg]]/1000</f>
        <v>18.04</v>
      </c>
      <c r="J5037" s="25">
        <v>0.27310000000000001</v>
      </c>
      <c r="K5037" s="25">
        <f t="shared" si="78"/>
        <v>4926.7240000000002</v>
      </c>
      <c r="L5037" s="25">
        <v>2.3199999999999998</v>
      </c>
      <c r="M5037" s="24">
        <v>41888</v>
      </c>
      <c r="N5037" s="25">
        <f>IFERROR(T_reg.root.SK[[#This Row],[Price]]/T_reg.root.SK[[#This Row],[Starch content]],"")</f>
        <v>8.4950567557671182</v>
      </c>
    </row>
    <row r="5038" spans="1:14">
      <c r="A5038" s="21">
        <v>2025</v>
      </c>
      <c r="B5038" s="21" t="s">
        <v>19</v>
      </c>
      <c r="C5038" s="21" t="s">
        <v>1145</v>
      </c>
      <c r="D5038" s="21" t="s">
        <v>35</v>
      </c>
      <c r="E5038" s="18" t="s">
        <v>73</v>
      </c>
      <c r="F5038" s="18" t="s">
        <v>47</v>
      </c>
      <c r="G5038" s="18" t="s">
        <v>48</v>
      </c>
      <c r="H5038" s="24">
        <v>77740</v>
      </c>
      <c r="I5038" s="24">
        <f>T_reg.root.SK[[#This Row],[Volume, kg]]/1000</f>
        <v>77.739999999999995</v>
      </c>
      <c r="J5038" s="25">
        <v>0.25509999999999999</v>
      </c>
      <c r="K5038" s="25">
        <f t="shared" si="78"/>
        <v>19831.473999999998</v>
      </c>
      <c r="L5038" s="25">
        <v>2.23</v>
      </c>
      <c r="M5038" s="24">
        <v>173254</v>
      </c>
      <c r="N5038" s="25">
        <f>IFERROR(T_reg.root.SK[[#This Row],[Price]]/T_reg.root.SK[[#This Row],[Starch content]],"")</f>
        <v>8.7416699333594678</v>
      </c>
    </row>
    <row r="5039" spans="1:14">
      <c r="A5039" s="21">
        <v>2025</v>
      </c>
      <c r="B5039" s="21" t="s">
        <v>19</v>
      </c>
      <c r="C5039" s="21" t="s">
        <v>1145</v>
      </c>
      <c r="D5039" s="21" t="s">
        <v>35</v>
      </c>
      <c r="E5039" s="18" t="s">
        <v>74</v>
      </c>
      <c r="F5039" s="18" t="s">
        <v>47</v>
      </c>
      <c r="G5039" s="18" t="s">
        <v>48</v>
      </c>
      <c r="H5039" s="24">
        <v>100080</v>
      </c>
      <c r="I5039" s="24">
        <f>T_reg.root.SK[[#This Row],[Volume, kg]]/1000</f>
        <v>100.08</v>
      </c>
      <c r="J5039" s="25">
        <v>0.2455</v>
      </c>
      <c r="K5039" s="25">
        <f t="shared" si="78"/>
        <v>24569.64</v>
      </c>
      <c r="L5039" s="25">
        <v>2.11</v>
      </c>
      <c r="M5039" s="24">
        <v>211010.5</v>
      </c>
      <c r="N5039" s="25">
        <f>IFERROR(T_reg.root.SK[[#This Row],[Price]]/T_reg.root.SK[[#This Row],[Starch content]],"")</f>
        <v>8.5947046843177191</v>
      </c>
    </row>
    <row r="5040" spans="1:14">
      <c r="A5040" s="21">
        <v>2025</v>
      </c>
      <c r="B5040" s="21" t="s">
        <v>19</v>
      </c>
      <c r="C5040" s="21" t="s">
        <v>1145</v>
      </c>
      <c r="D5040" s="21" t="s">
        <v>35</v>
      </c>
      <c r="E5040" s="18" t="s">
        <v>75</v>
      </c>
      <c r="F5040" s="18" t="s">
        <v>47</v>
      </c>
      <c r="G5040" s="18" t="s">
        <v>48</v>
      </c>
      <c r="H5040" s="24">
        <v>16400</v>
      </c>
      <c r="I5040" s="24">
        <f>T_reg.root.SK[[#This Row],[Volume, kg]]/1000</f>
        <v>16.399999999999999</v>
      </c>
      <c r="J5040" s="25">
        <v>0.23829999999999998</v>
      </c>
      <c r="K5040" s="25">
        <f t="shared" si="78"/>
        <v>3908.12</v>
      </c>
      <c r="L5040" s="25">
        <v>2.14</v>
      </c>
      <c r="M5040" s="24">
        <v>35037</v>
      </c>
      <c r="N5040" s="25">
        <f>IFERROR(T_reg.root.SK[[#This Row],[Price]]/T_reg.root.SK[[#This Row],[Starch content]],"")</f>
        <v>8.9802769618128426</v>
      </c>
    </row>
    <row r="5041" spans="1:14">
      <c r="A5041" s="21">
        <v>2025</v>
      </c>
      <c r="B5041" s="21" t="s">
        <v>19</v>
      </c>
      <c r="C5041" s="21" t="s">
        <v>1145</v>
      </c>
      <c r="D5041" s="21" t="s">
        <v>35</v>
      </c>
      <c r="E5041" s="18" t="s">
        <v>76</v>
      </c>
      <c r="F5041" s="18" t="s">
        <v>47</v>
      </c>
      <c r="G5041" s="18" t="s">
        <v>48</v>
      </c>
      <c r="H5041" s="24">
        <v>39270</v>
      </c>
      <c r="I5041" s="24">
        <f>T_reg.root.SK[[#This Row],[Volume, kg]]/1000</f>
        <v>39.270000000000003</v>
      </c>
      <c r="J5041" s="25">
        <v>0.27279999999999999</v>
      </c>
      <c r="K5041" s="25">
        <f t="shared" si="78"/>
        <v>10712.856</v>
      </c>
      <c r="L5041" s="25">
        <v>2.29</v>
      </c>
      <c r="M5041" s="24">
        <v>89826.5</v>
      </c>
      <c r="N5041" s="25">
        <f>IFERROR(T_reg.root.SK[[#This Row],[Price]]/T_reg.root.SK[[#This Row],[Starch content]],"")</f>
        <v>8.3944281524926687</v>
      </c>
    </row>
    <row r="5042" spans="1:14">
      <c r="A5042" s="21">
        <v>2025</v>
      </c>
      <c r="B5042" s="21" t="s">
        <v>19</v>
      </c>
      <c r="C5042" s="21" t="s">
        <v>1145</v>
      </c>
      <c r="D5042" s="21" t="s">
        <v>35</v>
      </c>
      <c r="E5042" s="18" t="s">
        <v>765</v>
      </c>
      <c r="F5042" s="18" t="s">
        <v>47</v>
      </c>
      <c r="G5042" s="18" t="s">
        <v>48</v>
      </c>
      <c r="H5042" s="24">
        <v>9800</v>
      </c>
      <c r="I5042" s="24">
        <f>T_reg.root.SK[[#This Row],[Volume, kg]]/1000</f>
        <v>9.8000000000000007</v>
      </c>
      <c r="J5042" s="25">
        <v>0.27550000000000002</v>
      </c>
      <c r="K5042" s="25">
        <f t="shared" si="78"/>
        <v>2699.9</v>
      </c>
      <c r="L5042" s="25">
        <v>2.25</v>
      </c>
      <c r="M5042" s="24">
        <v>22050</v>
      </c>
      <c r="N5042" s="25">
        <f>IFERROR(T_reg.root.SK[[#This Row],[Price]]/T_reg.root.SK[[#This Row],[Starch content]],"")</f>
        <v>8.1669691470054442</v>
      </c>
    </row>
    <row r="5043" spans="1:14">
      <c r="A5043" s="21">
        <v>2025</v>
      </c>
      <c r="B5043" s="21" t="s">
        <v>19</v>
      </c>
      <c r="C5043" s="21" t="s">
        <v>1145</v>
      </c>
      <c r="D5043" s="21" t="s">
        <v>35</v>
      </c>
      <c r="E5043" s="18" t="s">
        <v>77</v>
      </c>
      <c r="F5043" s="18" t="s">
        <v>47</v>
      </c>
      <c r="G5043" s="18" t="s">
        <v>48</v>
      </c>
      <c r="H5043" s="24">
        <v>13210</v>
      </c>
      <c r="I5043" s="24">
        <f>T_reg.root.SK[[#This Row],[Volume, kg]]/1000</f>
        <v>13.21</v>
      </c>
      <c r="J5043" s="25">
        <v>0.2167</v>
      </c>
      <c r="K5043" s="25">
        <f t="shared" si="78"/>
        <v>2862.607</v>
      </c>
      <c r="L5043" s="25">
        <v>2.0499999999999998</v>
      </c>
      <c r="M5043" s="24">
        <v>27080.5</v>
      </c>
      <c r="N5043" s="25">
        <f>IFERROR(T_reg.root.SK[[#This Row],[Price]]/T_reg.root.SK[[#This Row],[Starch content]],"")</f>
        <v>9.4600830641439764</v>
      </c>
    </row>
    <row r="5044" spans="1:14">
      <c r="A5044" s="21">
        <v>2025</v>
      </c>
      <c r="B5044" s="21" t="s">
        <v>19</v>
      </c>
      <c r="C5044" s="21" t="s">
        <v>1145</v>
      </c>
      <c r="D5044" s="21" t="s">
        <v>35</v>
      </c>
      <c r="E5044" s="18" t="s">
        <v>476</v>
      </c>
      <c r="F5044" s="18" t="s">
        <v>47</v>
      </c>
      <c r="G5044" s="18" t="s">
        <v>48</v>
      </c>
      <c r="H5044" s="24">
        <v>54800</v>
      </c>
      <c r="I5044" s="24">
        <f>T_reg.root.SK[[#This Row],[Volume, kg]]/1000</f>
        <v>54.8</v>
      </c>
      <c r="J5044" s="25">
        <v>0.26940000000000003</v>
      </c>
      <c r="K5044" s="25">
        <f t="shared" si="78"/>
        <v>14763.12</v>
      </c>
      <c r="L5044" s="25">
        <v>2.17</v>
      </c>
      <c r="M5044" s="24">
        <v>119130.5</v>
      </c>
      <c r="N5044" s="25">
        <f>IFERROR(T_reg.root.SK[[#This Row],[Price]]/T_reg.root.SK[[#This Row],[Starch content]],"")</f>
        <v>8.0549368968077193</v>
      </c>
    </row>
    <row r="5045" spans="1:14">
      <c r="A5045" s="21">
        <v>2025</v>
      </c>
      <c r="B5045" s="21" t="s">
        <v>19</v>
      </c>
      <c r="C5045" s="21" t="s">
        <v>1145</v>
      </c>
      <c r="D5045" s="21" t="s">
        <v>35</v>
      </c>
      <c r="E5045" s="18" t="s">
        <v>927</v>
      </c>
      <c r="F5045" s="18" t="s">
        <v>47</v>
      </c>
      <c r="G5045" s="18" t="s">
        <v>48</v>
      </c>
      <c r="H5045" s="24">
        <v>25560</v>
      </c>
      <c r="I5045" s="24">
        <f>T_reg.root.SK[[#This Row],[Volume, kg]]/1000</f>
        <v>25.56</v>
      </c>
      <c r="J5045" s="25">
        <v>0.26789999999999997</v>
      </c>
      <c r="K5045" s="25">
        <f t="shared" si="78"/>
        <v>6847.5239999999994</v>
      </c>
      <c r="L5045" s="25">
        <v>2.25</v>
      </c>
      <c r="M5045" s="24">
        <v>57510</v>
      </c>
      <c r="N5045" s="25">
        <f>IFERROR(T_reg.root.SK[[#This Row],[Price]]/T_reg.root.SK[[#This Row],[Starch content]],"")</f>
        <v>8.3986562150055999</v>
      </c>
    </row>
    <row r="5046" spans="1:14">
      <c r="A5046" s="21">
        <v>2025</v>
      </c>
      <c r="B5046" s="21" t="s">
        <v>19</v>
      </c>
      <c r="C5046" s="21" t="s">
        <v>1145</v>
      </c>
      <c r="D5046" s="21" t="s">
        <v>35</v>
      </c>
      <c r="E5046" s="18" t="s">
        <v>983</v>
      </c>
      <c r="F5046" s="18" t="s">
        <v>47</v>
      </c>
      <c r="G5046" s="18" t="s">
        <v>48</v>
      </c>
      <c r="H5046" s="24">
        <v>25670</v>
      </c>
      <c r="I5046" s="24">
        <f>T_reg.root.SK[[#This Row],[Volume, kg]]/1000</f>
        <v>25.67</v>
      </c>
      <c r="J5046" s="25">
        <v>0.23569999999999999</v>
      </c>
      <c r="K5046" s="25">
        <f t="shared" si="78"/>
        <v>6050.4189999999999</v>
      </c>
      <c r="L5046" s="25">
        <v>1.98</v>
      </c>
      <c r="M5046" s="24">
        <v>50869</v>
      </c>
      <c r="N5046" s="25">
        <f>IFERROR(T_reg.root.SK[[#This Row],[Price]]/T_reg.root.SK[[#This Row],[Starch content]],"")</f>
        <v>8.400509121764955</v>
      </c>
    </row>
    <row r="5047" spans="1:14">
      <c r="A5047" s="21">
        <v>2025</v>
      </c>
      <c r="B5047" s="21" t="s">
        <v>19</v>
      </c>
      <c r="C5047" s="21" t="s">
        <v>1145</v>
      </c>
      <c r="D5047" s="21" t="s">
        <v>35</v>
      </c>
      <c r="E5047" s="18" t="s">
        <v>383</v>
      </c>
      <c r="F5047" s="18" t="s">
        <v>47</v>
      </c>
      <c r="G5047" s="18" t="s">
        <v>48</v>
      </c>
      <c r="H5047" s="24">
        <v>70470</v>
      </c>
      <c r="I5047" s="24">
        <f>T_reg.root.SK[[#This Row],[Volume, kg]]/1000</f>
        <v>70.47</v>
      </c>
      <c r="J5047" s="25">
        <v>0.26030000000000003</v>
      </c>
      <c r="K5047" s="25">
        <f t="shared" si="78"/>
        <v>18343.341000000004</v>
      </c>
      <c r="L5047" s="25">
        <v>2.23</v>
      </c>
      <c r="M5047" s="24">
        <v>157029.5</v>
      </c>
      <c r="N5047" s="25">
        <f>IFERROR(T_reg.root.SK[[#This Row],[Price]]/T_reg.root.SK[[#This Row],[Starch content]],"")</f>
        <v>8.5670380330388003</v>
      </c>
    </row>
    <row r="5048" spans="1:14">
      <c r="A5048" s="21">
        <v>2025</v>
      </c>
      <c r="B5048" s="21" t="s">
        <v>19</v>
      </c>
      <c r="C5048" s="21" t="s">
        <v>1145</v>
      </c>
      <c r="D5048" s="21" t="s">
        <v>35</v>
      </c>
      <c r="E5048" s="18" t="s">
        <v>972</v>
      </c>
      <c r="F5048" s="18" t="s">
        <v>973</v>
      </c>
      <c r="G5048" s="18" t="s">
        <v>48</v>
      </c>
      <c r="H5048" s="24">
        <v>75750</v>
      </c>
      <c r="I5048" s="24">
        <f>T_reg.root.SK[[#This Row],[Volume, kg]]/1000</f>
        <v>75.75</v>
      </c>
      <c r="J5048" s="25">
        <v>0.29559999999999997</v>
      </c>
      <c r="K5048" s="25">
        <f t="shared" si="78"/>
        <v>22391.699999999997</v>
      </c>
      <c r="L5048" s="25">
        <v>2.34</v>
      </c>
      <c r="M5048" s="24">
        <v>177374</v>
      </c>
      <c r="N5048" s="25">
        <f>IFERROR(T_reg.root.SK[[#This Row],[Price]]/T_reg.root.SK[[#This Row],[Starch content]],"")</f>
        <v>7.9161028416779438</v>
      </c>
    </row>
    <row r="5049" spans="1:14">
      <c r="A5049" s="21">
        <v>2025</v>
      </c>
      <c r="B5049" s="21" t="s">
        <v>19</v>
      </c>
      <c r="C5049" s="21" t="s">
        <v>1145</v>
      </c>
      <c r="D5049" s="21" t="s">
        <v>39</v>
      </c>
      <c r="E5049" s="18" t="s">
        <v>85</v>
      </c>
      <c r="F5049" s="18" t="s">
        <v>86</v>
      </c>
      <c r="G5049" s="18" t="s">
        <v>87</v>
      </c>
      <c r="H5049" s="24">
        <v>467820</v>
      </c>
      <c r="I5049" s="24">
        <f>T_reg.root.SK[[#This Row],[Volume, kg]]/1000</f>
        <v>467.82</v>
      </c>
      <c r="J5049" s="25">
        <v>0.2437</v>
      </c>
      <c r="K5049" s="25">
        <f t="shared" si="78"/>
        <v>114007.734</v>
      </c>
      <c r="L5049" s="25">
        <v>2.2000000000000002</v>
      </c>
      <c r="M5049" s="24">
        <v>1027837</v>
      </c>
      <c r="N5049" s="25">
        <f>IFERROR(T_reg.root.SK[[#This Row],[Price]]/T_reg.root.SK[[#This Row],[Starch content]],"")</f>
        <v>9.0274928190398036</v>
      </c>
    </row>
    <row r="5050" spans="1:14">
      <c r="A5050" s="21">
        <v>2025</v>
      </c>
      <c r="B5050" s="21" t="s">
        <v>19</v>
      </c>
      <c r="C5050" s="21" t="s">
        <v>1145</v>
      </c>
      <c r="D5050" s="21" t="s">
        <v>39</v>
      </c>
      <c r="E5050" s="18" t="s">
        <v>88</v>
      </c>
      <c r="F5050" s="18" t="s">
        <v>89</v>
      </c>
      <c r="G5050" s="18" t="s">
        <v>90</v>
      </c>
      <c r="H5050" s="24">
        <v>3737910</v>
      </c>
      <c r="I5050" s="24">
        <f>T_reg.root.SK[[#This Row],[Volume, kg]]/1000</f>
        <v>3737.91</v>
      </c>
      <c r="J5050" s="25">
        <v>0.27960000000000002</v>
      </c>
      <c r="K5050" s="25">
        <f t="shared" si="78"/>
        <v>1045119.6360000001</v>
      </c>
      <c r="L5050" s="25">
        <v>2.39</v>
      </c>
      <c r="M5050" s="24">
        <v>8919895.5</v>
      </c>
      <c r="N5050" s="25">
        <f>IFERROR(T_reg.root.SK[[#This Row],[Price]]/T_reg.root.SK[[#This Row],[Starch content]],"")</f>
        <v>8.547925608011445</v>
      </c>
    </row>
    <row r="5051" spans="1:14">
      <c r="A5051" s="21">
        <v>2025</v>
      </c>
      <c r="B5051" s="21" t="s">
        <v>19</v>
      </c>
      <c r="C5051" s="21" t="s">
        <v>1145</v>
      </c>
      <c r="D5051" s="21" t="s">
        <v>35</v>
      </c>
      <c r="E5051" s="18" t="s">
        <v>93</v>
      </c>
      <c r="F5051" s="18" t="s">
        <v>92</v>
      </c>
      <c r="G5051" s="18" t="s">
        <v>48</v>
      </c>
      <c r="H5051" s="24">
        <v>9950</v>
      </c>
      <c r="I5051" s="24">
        <f>T_reg.root.SK[[#This Row],[Volume, kg]]/1000</f>
        <v>9.9499999999999993</v>
      </c>
      <c r="J5051" s="25">
        <v>0.27250000000000002</v>
      </c>
      <c r="K5051" s="25">
        <f t="shared" si="78"/>
        <v>2711.375</v>
      </c>
      <c r="L5051" s="25">
        <v>2.2999999999999998</v>
      </c>
      <c r="M5051" s="24">
        <v>22885</v>
      </c>
      <c r="N5051" s="25">
        <f>IFERROR(T_reg.root.SK[[#This Row],[Price]]/T_reg.root.SK[[#This Row],[Starch content]],"")</f>
        <v>8.4403669724770634</v>
      </c>
    </row>
    <row r="5052" spans="1:14">
      <c r="A5052" s="21">
        <v>2025</v>
      </c>
      <c r="B5052" s="21" t="s">
        <v>19</v>
      </c>
      <c r="C5052" s="21" t="s">
        <v>1145</v>
      </c>
      <c r="D5052" s="21" t="s">
        <v>39</v>
      </c>
      <c r="E5052" s="18" t="s">
        <v>552</v>
      </c>
      <c r="F5052" s="18" t="s">
        <v>95</v>
      </c>
      <c r="G5052" s="18" t="s">
        <v>48</v>
      </c>
      <c r="H5052" s="24">
        <v>7649910</v>
      </c>
      <c r="I5052" s="24">
        <f>T_reg.root.SK[[#This Row],[Volume, kg]]/1000</f>
        <v>7649.91</v>
      </c>
      <c r="J5052" s="25">
        <v>0.2918</v>
      </c>
      <c r="K5052" s="25">
        <f t="shared" si="78"/>
        <v>2232243.7379999999</v>
      </c>
      <c r="L5052" s="25">
        <v>2.4300000000000002</v>
      </c>
      <c r="M5052" s="24">
        <v>18587928.5</v>
      </c>
      <c r="N5052" s="25">
        <f>IFERROR(T_reg.root.SK[[#This Row],[Price]]/T_reg.root.SK[[#This Row],[Starch content]],"")</f>
        <v>8.3276216586703224</v>
      </c>
    </row>
    <row r="5053" spans="1:14">
      <c r="A5053" s="21">
        <v>2025</v>
      </c>
      <c r="B5053" s="21" t="s">
        <v>19</v>
      </c>
      <c r="C5053" s="21" t="s">
        <v>1145</v>
      </c>
      <c r="D5053" s="21" t="s">
        <v>35</v>
      </c>
      <c r="E5053" s="18" t="s">
        <v>681</v>
      </c>
      <c r="F5053" s="18" t="s">
        <v>95</v>
      </c>
      <c r="G5053" s="18" t="s">
        <v>48</v>
      </c>
      <c r="H5053" s="24">
        <v>102450</v>
      </c>
      <c r="I5053" s="24">
        <f>T_reg.root.SK[[#This Row],[Volume, kg]]/1000</f>
        <v>102.45</v>
      </c>
      <c r="J5053" s="25">
        <v>0.26919999999999999</v>
      </c>
      <c r="K5053" s="25">
        <f t="shared" si="78"/>
        <v>27579.54</v>
      </c>
      <c r="L5053" s="25">
        <v>2.21</v>
      </c>
      <c r="M5053" s="24">
        <v>226925</v>
      </c>
      <c r="N5053" s="25">
        <f>IFERROR(T_reg.root.SK[[#This Row],[Price]]/T_reg.root.SK[[#This Row],[Starch content]],"")</f>
        <v>8.209509658246656</v>
      </c>
    </row>
    <row r="5054" spans="1:14">
      <c r="A5054" s="21">
        <v>2025</v>
      </c>
      <c r="B5054" s="21" t="s">
        <v>19</v>
      </c>
      <c r="C5054" s="21" t="s">
        <v>1145</v>
      </c>
      <c r="D5054" s="21" t="s">
        <v>35</v>
      </c>
      <c r="E5054" s="18" t="s">
        <v>984</v>
      </c>
      <c r="F5054" s="18" t="s">
        <v>95</v>
      </c>
      <c r="G5054" s="18" t="s">
        <v>48</v>
      </c>
      <c r="H5054" s="24">
        <v>35370</v>
      </c>
      <c r="I5054" s="24">
        <f>T_reg.root.SK[[#This Row],[Volume, kg]]/1000</f>
        <v>35.369999999999997</v>
      </c>
      <c r="J5054" s="25">
        <v>0.2555</v>
      </c>
      <c r="K5054" s="25">
        <f t="shared" si="78"/>
        <v>9037.0349999999999</v>
      </c>
      <c r="L5054" s="25">
        <v>2.17</v>
      </c>
      <c r="M5054" s="24">
        <v>76614</v>
      </c>
      <c r="N5054" s="25">
        <f>IFERROR(T_reg.root.SK[[#This Row],[Price]]/T_reg.root.SK[[#This Row],[Starch content]],"")</f>
        <v>8.493150684931507</v>
      </c>
    </row>
    <row r="5055" spans="1:14">
      <c r="A5055" s="21">
        <v>2025</v>
      </c>
      <c r="B5055" s="21" t="s">
        <v>19</v>
      </c>
      <c r="C5055" s="21" t="s">
        <v>1145</v>
      </c>
      <c r="D5055" s="21" t="s">
        <v>35</v>
      </c>
      <c r="E5055" s="18" t="s">
        <v>391</v>
      </c>
      <c r="F5055" s="18" t="s">
        <v>95</v>
      </c>
      <c r="G5055" s="18" t="s">
        <v>48</v>
      </c>
      <c r="H5055" s="24">
        <v>176680</v>
      </c>
      <c r="I5055" s="24">
        <f>T_reg.root.SK[[#This Row],[Volume, kg]]/1000</f>
        <v>176.68</v>
      </c>
      <c r="J5055" s="25">
        <v>0.27500000000000002</v>
      </c>
      <c r="K5055" s="25">
        <f t="shared" si="78"/>
        <v>48587.000000000007</v>
      </c>
      <c r="L5055" s="25">
        <v>2.2599999999999998</v>
      </c>
      <c r="M5055" s="24">
        <v>399847.5</v>
      </c>
      <c r="N5055" s="25">
        <f>IFERROR(T_reg.root.SK[[#This Row],[Price]]/T_reg.root.SK[[#This Row],[Starch content]],"")</f>
        <v>8.2181818181818169</v>
      </c>
    </row>
    <row r="5056" spans="1:14">
      <c r="A5056" s="21">
        <v>2025</v>
      </c>
      <c r="B5056" s="21" t="s">
        <v>19</v>
      </c>
      <c r="C5056" s="21" t="s">
        <v>1145</v>
      </c>
      <c r="D5056" s="21" t="s">
        <v>39</v>
      </c>
      <c r="E5056" s="18" t="s">
        <v>98</v>
      </c>
      <c r="F5056" s="18" t="s">
        <v>99</v>
      </c>
      <c r="G5056" s="18" t="s">
        <v>42</v>
      </c>
      <c r="H5056" s="24">
        <v>4359970</v>
      </c>
      <c r="I5056" s="24">
        <f>T_reg.root.SK[[#This Row],[Volume, kg]]/1000</f>
        <v>4359.97</v>
      </c>
      <c r="J5056" s="25">
        <v>0.27560000000000001</v>
      </c>
      <c r="K5056" s="25">
        <f t="shared" si="78"/>
        <v>1201607.7320000001</v>
      </c>
      <c r="L5056" s="25">
        <v>2.37</v>
      </c>
      <c r="M5056" s="24">
        <v>10332623</v>
      </c>
      <c r="N5056" s="25">
        <f>IFERROR(T_reg.root.SK[[#This Row],[Price]]/T_reg.root.SK[[#This Row],[Starch content]],"")</f>
        <v>8.599419448476052</v>
      </c>
    </row>
    <row r="5057" spans="1:14">
      <c r="A5057" s="21">
        <v>2025</v>
      </c>
      <c r="B5057" s="21" t="s">
        <v>19</v>
      </c>
      <c r="C5057" s="21" t="s">
        <v>1145</v>
      </c>
      <c r="D5057" s="21" t="s">
        <v>39</v>
      </c>
      <c r="E5057" s="18" t="s">
        <v>346</v>
      </c>
      <c r="F5057" s="18" t="s">
        <v>99</v>
      </c>
      <c r="G5057" s="18" t="s">
        <v>42</v>
      </c>
      <c r="H5057" s="24">
        <v>3156220</v>
      </c>
      <c r="I5057" s="24">
        <f>T_reg.root.SK[[#This Row],[Volume, kg]]/1000</f>
        <v>3156.22</v>
      </c>
      <c r="J5057" s="25">
        <v>0.2656</v>
      </c>
      <c r="K5057" s="25">
        <f t="shared" si="78"/>
        <v>838292.03200000001</v>
      </c>
      <c r="L5057" s="25">
        <v>2.29</v>
      </c>
      <c r="M5057" s="24">
        <v>7242905.5</v>
      </c>
      <c r="N5057" s="25">
        <f>IFERROR(T_reg.root.SK[[#This Row],[Price]]/T_reg.root.SK[[#This Row],[Starch content]],"")</f>
        <v>8.6219879518072293</v>
      </c>
    </row>
    <row r="5058" spans="1:14">
      <c r="A5058" s="21">
        <v>2025</v>
      </c>
      <c r="B5058" s="21" t="s">
        <v>19</v>
      </c>
      <c r="C5058" s="21" t="s">
        <v>1145</v>
      </c>
      <c r="D5058" s="21" t="s">
        <v>35</v>
      </c>
      <c r="E5058" s="18" t="s">
        <v>280</v>
      </c>
      <c r="F5058" s="18" t="s">
        <v>281</v>
      </c>
      <c r="G5058" s="18" t="s">
        <v>38</v>
      </c>
      <c r="H5058" s="24">
        <v>32540</v>
      </c>
      <c r="I5058" s="24">
        <f>T_reg.root.SK[[#This Row],[Volume, kg]]/1000</f>
        <v>32.54</v>
      </c>
      <c r="J5058" s="25">
        <v>0.28260000000000002</v>
      </c>
      <c r="K5058" s="25">
        <f t="shared" si="78"/>
        <v>9195.8040000000001</v>
      </c>
      <c r="L5058" s="25">
        <v>2.23</v>
      </c>
      <c r="M5058" s="24">
        <v>72716</v>
      </c>
      <c r="N5058" s="25">
        <f>IFERROR(T_reg.root.SK[[#This Row],[Price]]/T_reg.root.SK[[#This Row],[Starch content]],"")</f>
        <v>7.891012031139419</v>
      </c>
    </row>
    <row r="5059" spans="1:14">
      <c r="A5059" s="21">
        <v>2025</v>
      </c>
      <c r="B5059" s="21" t="s">
        <v>19</v>
      </c>
      <c r="C5059" s="21" t="s">
        <v>1145</v>
      </c>
      <c r="D5059" s="21" t="s">
        <v>39</v>
      </c>
      <c r="E5059" s="18" t="s">
        <v>101</v>
      </c>
      <c r="F5059" s="18" t="s">
        <v>102</v>
      </c>
      <c r="G5059" s="18" t="s">
        <v>103</v>
      </c>
      <c r="H5059" s="24">
        <v>83740</v>
      </c>
      <c r="I5059" s="24">
        <f>T_reg.root.SK[[#This Row],[Volume, kg]]/1000</f>
        <v>83.74</v>
      </c>
      <c r="J5059" s="25">
        <v>0.23980000000000001</v>
      </c>
      <c r="K5059" s="25">
        <f t="shared" ref="K5059:K5122" si="79">H5059*J5059</f>
        <v>20080.852000000003</v>
      </c>
      <c r="L5059" s="25">
        <v>2.2000000000000002</v>
      </c>
      <c r="M5059" s="24">
        <v>184125</v>
      </c>
      <c r="N5059" s="25">
        <f>IFERROR(T_reg.root.SK[[#This Row],[Price]]/T_reg.root.SK[[#This Row],[Starch content]],"")</f>
        <v>9.1743119266055047</v>
      </c>
    </row>
    <row r="5060" spans="1:14">
      <c r="A5060" s="21">
        <v>2025</v>
      </c>
      <c r="B5060" s="21" t="s">
        <v>19</v>
      </c>
      <c r="C5060" s="21" t="s">
        <v>1145</v>
      </c>
      <c r="D5060" s="21" t="s">
        <v>35</v>
      </c>
      <c r="E5060" s="18" t="s">
        <v>985</v>
      </c>
      <c r="F5060" s="18" t="s">
        <v>283</v>
      </c>
      <c r="G5060" s="18" t="s">
        <v>48</v>
      </c>
      <c r="H5060" s="24">
        <v>27730</v>
      </c>
      <c r="I5060" s="24">
        <f>T_reg.root.SK[[#This Row],[Volume, kg]]/1000</f>
        <v>27.73</v>
      </c>
      <c r="J5060" s="25">
        <v>0.26910000000000001</v>
      </c>
      <c r="K5060" s="25">
        <f t="shared" si="79"/>
        <v>7462.143</v>
      </c>
      <c r="L5060" s="25">
        <v>2.2000000000000002</v>
      </c>
      <c r="M5060" s="24">
        <v>60971</v>
      </c>
      <c r="N5060" s="25">
        <f>IFERROR(T_reg.root.SK[[#This Row],[Price]]/T_reg.root.SK[[#This Row],[Starch content]],"")</f>
        <v>8.1753994797473055</v>
      </c>
    </row>
    <row r="5061" spans="1:14">
      <c r="A5061" s="21">
        <v>2025</v>
      </c>
      <c r="B5061" s="21" t="s">
        <v>19</v>
      </c>
      <c r="C5061" s="21" t="s">
        <v>1145</v>
      </c>
      <c r="D5061" s="21" t="s">
        <v>35</v>
      </c>
      <c r="E5061" s="18" t="s">
        <v>185</v>
      </c>
      <c r="F5061" s="18" t="s">
        <v>105</v>
      </c>
      <c r="G5061" s="18" t="s">
        <v>48</v>
      </c>
      <c r="H5061" s="24">
        <v>161740</v>
      </c>
      <c r="I5061" s="24">
        <f>T_reg.root.SK[[#This Row],[Volume, kg]]/1000</f>
        <v>161.74</v>
      </c>
      <c r="J5061" s="25">
        <v>0.26829999999999998</v>
      </c>
      <c r="K5061" s="25">
        <f t="shared" si="79"/>
        <v>43394.841999999997</v>
      </c>
      <c r="L5061" s="25">
        <v>2.2599999999999998</v>
      </c>
      <c r="M5061" s="24">
        <v>365118</v>
      </c>
      <c r="N5061" s="25">
        <f>IFERROR(T_reg.root.SK[[#This Row],[Price]]/T_reg.root.SK[[#This Row],[Starch content]],"")</f>
        <v>8.4234066343645164</v>
      </c>
    </row>
    <row r="5062" spans="1:14">
      <c r="A5062" s="21">
        <v>2025</v>
      </c>
      <c r="B5062" s="21" t="s">
        <v>19</v>
      </c>
      <c r="C5062" s="21" t="s">
        <v>1145</v>
      </c>
      <c r="D5062" s="21" t="s">
        <v>35</v>
      </c>
      <c r="E5062" s="18" t="s">
        <v>287</v>
      </c>
      <c r="F5062" s="18" t="s">
        <v>105</v>
      </c>
      <c r="G5062" s="18" t="s">
        <v>48</v>
      </c>
      <c r="H5062" s="24">
        <v>11610</v>
      </c>
      <c r="I5062" s="24">
        <f>T_reg.root.SK[[#This Row],[Volume, kg]]/1000</f>
        <v>11.61</v>
      </c>
      <c r="J5062" s="25">
        <v>0.29549999999999998</v>
      </c>
      <c r="K5062" s="25">
        <f t="shared" si="79"/>
        <v>3430.7549999999997</v>
      </c>
      <c r="L5062" s="25">
        <v>2.42</v>
      </c>
      <c r="M5062" s="24">
        <v>28123.5</v>
      </c>
      <c r="N5062" s="25">
        <f>IFERROR(T_reg.root.SK[[#This Row],[Price]]/T_reg.root.SK[[#This Row],[Starch content]],"")</f>
        <v>8.1895093062605753</v>
      </c>
    </row>
    <row r="5063" spans="1:14">
      <c r="A5063" s="21">
        <v>2025</v>
      </c>
      <c r="B5063" s="21" t="s">
        <v>19</v>
      </c>
      <c r="C5063" s="21" t="s">
        <v>1145</v>
      </c>
      <c r="D5063" s="21" t="s">
        <v>35</v>
      </c>
      <c r="E5063" s="18" t="s">
        <v>684</v>
      </c>
      <c r="F5063" s="18" t="s">
        <v>105</v>
      </c>
      <c r="G5063" s="18" t="s">
        <v>48</v>
      </c>
      <c r="H5063" s="24">
        <v>64280</v>
      </c>
      <c r="I5063" s="24">
        <f>T_reg.root.SK[[#This Row],[Volume, kg]]/1000</f>
        <v>64.28</v>
      </c>
      <c r="J5063" s="25">
        <v>0.25519999999999998</v>
      </c>
      <c r="K5063" s="25">
        <f t="shared" si="79"/>
        <v>16404.255999999998</v>
      </c>
      <c r="L5063" s="25">
        <v>2.15</v>
      </c>
      <c r="M5063" s="24">
        <v>138166.5</v>
      </c>
      <c r="N5063" s="25">
        <f>IFERROR(T_reg.root.SK[[#This Row],[Price]]/T_reg.root.SK[[#This Row],[Starch content]],"")</f>
        <v>8.4247648902821322</v>
      </c>
    </row>
    <row r="5064" spans="1:14">
      <c r="A5064" s="21">
        <v>2025</v>
      </c>
      <c r="B5064" s="21" t="s">
        <v>19</v>
      </c>
      <c r="C5064" s="21" t="s">
        <v>1145</v>
      </c>
      <c r="D5064" s="21" t="s">
        <v>35</v>
      </c>
      <c r="E5064" s="18" t="s">
        <v>733</v>
      </c>
      <c r="F5064" s="18" t="s">
        <v>105</v>
      </c>
      <c r="G5064" s="18" t="s">
        <v>48</v>
      </c>
      <c r="H5064" s="24">
        <v>99280</v>
      </c>
      <c r="I5064" s="24">
        <f>T_reg.root.SK[[#This Row],[Volume, kg]]/1000</f>
        <v>99.28</v>
      </c>
      <c r="J5064" s="25">
        <v>0.26050000000000001</v>
      </c>
      <c r="K5064" s="25">
        <f t="shared" si="79"/>
        <v>25862.440000000002</v>
      </c>
      <c r="L5064" s="25">
        <v>2.17</v>
      </c>
      <c r="M5064" s="24">
        <v>215132.5</v>
      </c>
      <c r="N5064" s="25">
        <f>IFERROR(T_reg.root.SK[[#This Row],[Price]]/T_reg.root.SK[[#This Row],[Starch content]],"")</f>
        <v>8.3301343570057576</v>
      </c>
    </row>
    <row r="5065" spans="1:14">
      <c r="A5065" s="21">
        <v>2025</v>
      </c>
      <c r="B5065" s="21" t="s">
        <v>19</v>
      </c>
      <c r="C5065" s="21" t="s">
        <v>1145</v>
      </c>
      <c r="D5065" s="21" t="s">
        <v>35</v>
      </c>
      <c r="E5065" s="18" t="s">
        <v>986</v>
      </c>
      <c r="F5065" s="18" t="s">
        <v>105</v>
      </c>
      <c r="G5065" s="18" t="s">
        <v>48</v>
      </c>
      <c r="H5065" s="24">
        <v>7490</v>
      </c>
      <c r="I5065" s="24">
        <f>T_reg.root.SK[[#This Row],[Volume, kg]]/1000</f>
        <v>7.49</v>
      </c>
      <c r="J5065" s="25">
        <v>0.27500000000000002</v>
      </c>
      <c r="K5065" s="25">
        <f t="shared" si="79"/>
        <v>2059.75</v>
      </c>
      <c r="L5065" s="25">
        <v>2.25</v>
      </c>
      <c r="M5065" s="24">
        <v>16852.5</v>
      </c>
      <c r="N5065" s="25">
        <f>IFERROR(T_reg.root.SK[[#This Row],[Price]]/T_reg.root.SK[[#This Row],[Starch content]],"")</f>
        <v>8.1818181818181817</v>
      </c>
    </row>
    <row r="5066" spans="1:14">
      <c r="A5066" s="21">
        <v>2025</v>
      </c>
      <c r="B5066" s="21" t="s">
        <v>19</v>
      </c>
      <c r="C5066" s="21" t="s">
        <v>1145</v>
      </c>
      <c r="D5066" s="21" t="s">
        <v>35</v>
      </c>
      <c r="E5066" s="18" t="s">
        <v>944</v>
      </c>
      <c r="F5066" s="18" t="s">
        <v>105</v>
      </c>
      <c r="G5066" s="18" t="s">
        <v>48</v>
      </c>
      <c r="H5066" s="24">
        <v>11440</v>
      </c>
      <c r="I5066" s="24">
        <f>T_reg.root.SK[[#This Row],[Volume, kg]]/1000</f>
        <v>11.44</v>
      </c>
      <c r="J5066" s="25">
        <v>0.21249999999999999</v>
      </c>
      <c r="K5066" s="25">
        <f t="shared" si="79"/>
        <v>2431</v>
      </c>
      <c r="L5066" s="25">
        <v>1.98</v>
      </c>
      <c r="M5066" s="24">
        <v>22597.5</v>
      </c>
      <c r="N5066" s="25">
        <f>IFERROR(T_reg.root.SK[[#This Row],[Price]]/T_reg.root.SK[[#This Row],[Starch content]],"")</f>
        <v>9.3176470588235301</v>
      </c>
    </row>
    <row r="5067" spans="1:14">
      <c r="A5067" s="21">
        <v>2025</v>
      </c>
      <c r="B5067" s="21" t="s">
        <v>19</v>
      </c>
      <c r="C5067" s="21" t="s">
        <v>1145</v>
      </c>
      <c r="D5067" s="21" t="s">
        <v>35</v>
      </c>
      <c r="E5067" s="18" t="s">
        <v>683</v>
      </c>
      <c r="F5067" s="18" t="s">
        <v>105</v>
      </c>
      <c r="G5067" s="18" t="s">
        <v>48</v>
      </c>
      <c r="H5067" s="24">
        <v>40620</v>
      </c>
      <c r="I5067" s="24">
        <f>T_reg.root.SK[[#This Row],[Volume, kg]]/1000</f>
        <v>40.619999999999997</v>
      </c>
      <c r="J5067" s="25">
        <v>0.25579999999999997</v>
      </c>
      <c r="K5067" s="25">
        <f t="shared" si="79"/>
        <v>10390.596</v>
      </c>
      <c r="L5067" s="25">
        <v>2.09</v>
      </c>
      <c r="M5067" s="24">
        <v>84876</v>
      </c>
      <c r="N5067" s="25">
        <f>IFERROR(T_reg.root.SK[[#This Row],[Price]]/T_reg.root.SK[[#This Row],[Starch content]],"")</f>
        <v>8.1704456606724012</v>
      </c>
    </row>
    <row r="5068" spans="1:14">
      <c r="A5068" s="21">
        <v>2025</v>
      </c>
      <c r="B5068" s="21" t="s">
        <v>19</v>
      </c>
      <c r="C5068" s="21" t="s">
        <v>1145</v>
      </c>
      <c r="D5068" s="21" t="s">
        <v>35</v>
      </c>
      <c r="E5068" s="18" t="s">
        <v>987</v>
      </c>
      <c r="F5068" s="18" t="s">
        <v>105</v>
      </c>
      <c r="G5068" s="18" t="s">
        <v>48</v>
      </c>
      <c r="H5068" s="24">
        <v>10640</v>
      </c>
      <c r="I5068" s="24">
        <f>T_reg.root.SK[[#This Row],[Volume, kg]]/1000</f>
        <v>10.64</v>
      </c>
      <c r="J5068" s="25">
        <v>0.20949999999999999</v>
      </c>
      <c r="K5068" s="25">
        <f t="shared" si="79"/>
        <v>2229.08</v>
      </c>
      <c r="L5068" s="25">
        <v>1.85</v>
      </c>
      <c r="M5068" s="24">
        <v>19684</v>
      </c>
      <c r="N5068" s="25">
        <f>IFERROR(T_reg.root.SK[[#This Row],[Price]]/T_reg.root.SK[[#This Row],[Starch content]],"")</f>
        <v>8.8305489260143197</v>
      </c>
    </row>
    <row r="5069" spans="1:14">
      <c r="A5069" s="21">
        <v>2025</v>
      </c>
      <c r="B5069" s="21" t="s">
        <v>19</v>
      </c>
      <c r="C5069" s="21" t="s">
        <v>1145</v>
      </c>
      <c r="D5069" s="21" t="s">
        <v>35</v>
      </c>
      <c r="E5069" s="18" t="s">
        <v>108</v>
      </c>
      <c r="F5069" s="18" t="s">
        <v>105</v>
      </c>
      <c r="G5069" s="18" t="s">
        <v>48</v>
      </c>
      <c r="H5069" s="24">
        <v>15870</v>
      </c>
      <c r="I5069" s="24">
        <f>T_reg.root.SK[[#This Row],[Volume, kg]]/1000</f>
        <v>15.87</v>
      </c>
      <c r="J5069" s="25">
        <v>0.21289999999999998</v>
      </c>
      <c r="K5069" s="25">
        <f t="shared" si="79"/>
        <v>3378.7229999999995</v>
      </c>
      <c r="L5069" s="25">
        <v>1.93</v>
      </c>
      <c r="M5069" s="24">
        <v>30565.5</v>
      </c>
      <c r="N5069" s="25">
        <f>IFERROR(T_reg.root.SK[[#This Row],[Price]]/T_reg.root.SK[[#This Row],[Starch content]],"")</f>
        <v>9.0652888680131518</v>
      </c>
    </row>
    <row r="5070" spans="1:14">
      <c r="A5070" s="21">
        <v>2025</v>
      </c>
      <c r="B5070" s="21" t="s">
        <v>19</v>
      </c>
      <c r="C5070" s="21" t="s">
        <v>1145</v>
      </c>
      <c r="D5070" s="21" t="s">
        <v>35</v>
      </c>
      <c r="E5070" s="18" t="s">
        <v>823</v>
      </c>
      <c r="F5070" s="18" t="s">
        <v>105</v>
      </c>
      <c r="G5070" s="18" t="s">
        <v>48</v>
      </c>
      <c r="H5070" s="24">
        <v>22620</v>
      </c>
      <c r="I5070" s="24">
        <f>T_reg.root.SK[[#This Row],[Volume, kg]]/1000</f>
        <v>22.62</v>
      </c>
      <c r="J5070" s="25">
        <v>0.2316</v>
      </c>
      <c r="K5070" s="25">
        <f t="shared" si="79"/>
        <v>5238.7920000000004</v>
      </c>
      <c r="L5070" s="25">
        <v>1.94</v>
      </c>
      <c r="M5070" s="24">
        <v>43963</v>
      </c>
      <c r="N5070" s="25">
        <f>IFERROR(T_reg.root.SK[[#This Row],[Price]]/T_reg.root.SK[[#This Row],[Starch content]],"")</f>
        <v>8.376511226252159</v>
      </c>
    </row>
    <row r="5071" spans="1:14">
      <c r="A5071" s="21">
        <v>2025</v>
      </c>
      <c r="B5071" s="21" t="s">
        <v>19</v>
      </c>
      <c r="C5071" s="21" t="s">
        <v>1145</v>
      </c>
      <c r="D5071" s="21" t="s">
        <v>35</v>
      </c>
      <c r="E5071" s="18" t="s">
        <v>713</v>
      </c>
      <c r="F5071" s="18" t="s">
        <v>105</v>
      </c>
      <c r="G5071" s="18" t="s">
        <v>48</v>
      </c>
      <c r="H5071" s="24">
        <v>35500</v>
      </c>
      <c r="I5071" s="24">
        <f>T_reg.root.SK[[#This Row],[Volume, kg]]/1000</f>
        <v>35.5</v>
      </c>
      <c r="J5071" s="25">
        <v>0.22409999999999999</v>
      </c>
      <c r="K5071" s="25">
        <f t="shared" si="79"/>
        <v>7955.55</v>
      </c>
      <c r="L5071" s="25">
        <v>2.02</v>
      </c>
      <c r="M5071" s="24">
        <v>71790</v>
      </c>
      <c r="N5071" s="25">
        <f>IFERROR(T_reg.root.SK[[#This Row],[Price]]/T_reg.root.SK[[#This Row],[Starch content]],"")</f>
        <v>9.013833110218652</v>
      </c>
    </row>
    <row r="5072" spans="1:14">
      <c r="A5072" s="21">
        <v>2025</v>
      </c>
      <c r="B5072" s="21" t="s">
        <v>19</v>
      </c>
      <c r="C5072" s="21" t="s">
        <v>1145</v>
      </c>
      <c r="D5072" s="21" t="s">
        <v>35</v>
      </c>
      <c r="E5072" s="18" t="s">
        <v>631</v>
      </c>
      <c r="F5072" s="18" t="s">
        <v>105</v>
      </c>
      <c r="G5072" s="18" t="s">
        <v>48</v>
      </c>
      <c r="H5072" s="24">
        <v>50470</v>
      </c>
      <c r="I5072" s="24">
        <f>T_reg.root.SK[[#This Row],[Volume, kg]]/1000</f>
        <v>50.47</v>
      </c>
      <c r="J5072" s="25">
        <v>0.254</v>
      </c>
      <c r="K5072" s="25">
        <f t="shared" si="79"/>
        <v>12819.380000000001</v>
      </c>
      <c r="L5072" s="25">
        <v>2.19</v>
      </c>
      <c r="M5072" s="24">
        <v>110676.5</v>
      </c>
      <c r="N5072" s="25">
        <f>IFERROR(T_reg.root.SK[[#This Row],[Price]]/T_reg.root.SK[[#This Row],[Starch content]],"")</f>
        <v>8.6220472440944871</v>
      </c>
    </row>
    <row r="5073" spans="1:14">
      <c r="A5073" s="21">
        <v>2025</v>
      </c>
      <c r="B5073" s="21" t="s">
        <v>19</v>
      </c>
      <c r="C5073" s="21" t="s">
        <v>1145</v>
      </c>
      <c r="D5073" s="21" t="s">
        <v>35</v>
      </c>
      <c r="E5073" s="18" t="s">
        <v>109</v>
      </c>
      <c r="F5073" s="18" t="s">
        <v>105</v>
      </c>
      <c r="G5073" s="18" t="s">
        <v>48</v>
      </c>
      <c r="H5073" s="24">
        <v>212660</v>
      </c>
      <c r="I5073" s="24">
        <f>T_reg.root.SK[[#This Row],[Volume, kg]]/1000</f>
        <v>212.66</v>
      </c>
      <c r="J5073" s="25">
        <v>0.2737</v>
      </c>
      <c r="K5073" s="25">
        <f t="shared" si="79"/>
        <v>58205.042000000001</v>
      </c>
      <c r="L5073" s="25">
        <v>2.2799999999999998</v>
      </c>
      <c r="M5073" s="24">
        <v>484337</v>
      </c>
      <c r="N5073" s="25">
        <f>IFERROR(T_reg.root.SK[[#This Row],[Price]]/T_reg.root.SK[[#This Row],[Starch content]],"")</f>
        <v>8.3302886371940073</v>
      </c>
    </row>
    <row r="5074" spans="1:14">
      <c r="A5074" s="21">
        <v>2025</v>
      </c>
      <c r="B5074" s="21" t="s">
        <v>19</v>
      </c>
      <c r="C5074" s="21" t="s">
        <v>1145</v>
      </c>
      <c r="D5074" s="21" t="s">
        <v>35</v>
      </c>
      <c r="E5074" s="18" t="s">
        <v>931</v>
      </c>
      <c r="F5074" s="18" t="s">
        <v>105</v>
      </c>
      <c r="G5074" s="18" t="s">
        <v>48</v>
      </c>
      <c r="H5074" s="24">
        <v>37430</v>
      </c>
      <c r="I5074" s="24">
        <f>T_reg.root.SK[[#This Row],[Volume, kg]]/1000</f>
        <v>37.43</v>
      </c>
      <c r="J5074" s="25">
        <v>0.2833</v>
      </c>
      <c r="K5074" s="25">
        <f t="shared" si="79"/>
        <v>10603.919</v>
      </c>
      <c r="L5074" s="25">
        <v>2.35</v>
      </c>
      <c r="M5074" s="24">
        <v>87868.5</v>
      </c>
      <c r="N5074" s="25">
        <f>IFERROR(T_reg.root.SK[[#This Row],[Price]]/T_reg.root.SK[[#This Row],[Starch content]],"")</f>
        <v>8.29509354041652</v>
      </c>
    </row>
    <row r="5075" spans="1:14">
      <c r="A5075" s="21">
        <v>2025</v>
      </c>
      <c r="B5075" s="21" t="s">
        <v>19</v>
      </c>
      <c r="C5075" s="21" t="s">
        <v>1145</v>
      </c>
      <c r="D5075" s="21" t="s">
        <v>35</v>
      </c>
      <c r="E5075" s="18" t="s">
        <v>734</v>
      </c>
      <c r="F5075" s="18" t="s">
        <v>105</v>
      </c>
      <c r="G5075" s="18" t="s">
        <v>48</v>
      </c>
      <c r="H5075" s="24">
        <v>96110</v>
      </c>
      <c r="I5075" s="24">
        <f>T_reg.root.SK[[#This Row],[Volume, kg]]/1000</f>
        <v>96.11</v>
      </c>
      <c r="J5075" s="25">
        <v>0.25219999999999998</v>
      </c>
      <c r="K5075" s="25">
        <f t="shared" si="79"/>
        <v>24238.941999999999</v>
      </c>
      <c r="L5075" s="25">
        <v>2.16</v>
      </c>
      <c r="M5075" s="24">
        <v>207247</v>
      </c>
      <c r="N5075" s="25">
        <f>IFERROR(T_reg.root.SK[[#This Row],[Price]]/T_reg.root.SK[[#This Row],[Starch content]],"")</f>
        <v>8.5646312450436177</v>
      </c>
    </row>
    <row r="5076" spans="1:14">
      <c r="A5076" s="21">
        <v>2025</v>
      </c>
      <c r="B5076" s="21" t="s">
        <v>19</v>
      </c>
      <c r="C5076" s="21" t="s">
        <v>1145</v>
      </c>
      <c r="D5076" s="21" t="s">
        <v>35</v>
      </c>
      <c r="E5076" s="18" t="s">
        <v>803</v>
      </c>
      <c r="F5076" s="18" t="s">
        <v>105</v>
      </c>
      <c r="G5076" s="18" t="s">
        <v>48</v>
      </c>
      <c r="H5076" s="24">
        <v>38840</v>
      </c>
      <c r="I5076" s="24">
        <f>T_reg.root.SK[[#This Row],[Volume, kg]]/1000</f>
        <v>38.840000000000003</v>
      </c>
      <c r="J5076" s="25">
        <v>0.2581</v>
      </c>
      <c r="K5076" s="25">
        <f t="shared" si="79"/>
        <v>10024.603999999999</v>
      </c>
      <c r="L5076" s="25">
        <v>2.1</v>
      </c>
      <c r="M5076" s="24">
        <v>81376</v>
      </c>
      <c r="N5076" s="25">
        <f>IFERROR(T_reg.root.SK[[#This Row],[Price]]/T_reg.root.SK[[#This Row],[Starch content]],"")</f>
        <v>8.1363812475784592</v>
      </c>
    </row>
    <row r="5077" spans="1:14">
      <c r="A5077" s="21">
        <v>2025</v>
      </c>
      <c r="B5077" s="21" t="s">
        <v>19</v>
      </c>
      <c r="C5077" s="21" t="s">
        <v>1145</v>
      </c>
      <c r="D5077" s="21" t="s">
        <v>35</v>
      </c>
      <c r="E5077" s="18" t="s">
        <v>600</v>
      </c>
      <c r="F5077" s="18" t="s">
        <v>105</v>
      </c>
      <c r="G5077" s="18" t="s">
        <v>48</v>
      </c>
      <c r="H5077" s="24">
        <v>44500</v>
      </c>
      <c r="I5077" s="24">
        <f>T_reg.root.SK[[#This Row],[Volume, kg]]/1000</f>
        <v>44.5</v>
      </c>
      <c r="J5077" s="25">
        <v>0.2802</v>
      </c>
      <c r="K5077" s="25">
        <f t="shared" si="79"/>
        <v>12468.9</v>
      </c>
      <c r="L5077" s="25">
        <v>2.27</v>
      </c>
      <c r="M5077" s="24">
        <v>101171</v>
      </c>
      <c r="N5077" s="25">
        <f>IFERROR(T_reg.root.SK[[#This Row],[Price]]/T_reg.root.SK[[#This Row],[Starch content]],"")</f>
        <v>8.1013561741613138</v>
      </c>
    </row>
    <row r="5078" spans="1:14">
      <c r="A5078" s="21">
        <v>2025</v>
      </c>
      <c r="B5078" s="21" t="s">
        <v>19</v>
      </c>
      <c r="C5078" s="21" t="s">
        <v>1145</v>
      </c>
      <c r="D5078" s="21" t="s">
        <v>35</v>
      </c>
      <c r="E5078" s="18" t="s">
        <v>988</v>
      </c>
      <c r="F5078" s="18" t="s">
        <v>105</v>
      </c>
      <c r="G5078" s="18" t="s">
        <v>48</v>
      </c>
      <c r="H5078" s="24">
        <v>19770</v>
      </c>
      <c r="I5078" s="24">
        <f>T_reg.root.SK[[#This Row],[Volume, kg]]/1000</f>
        <v>19.77</v>
      </c>
      <c r="J5078" s="25">
        <v>0.25829999999999997</v>
      </c>
      <c r="K5078" s="25">
        <f t="shared" si="79"/>
        <v>5106.5909999999994</v>
      </c>
      <c r="L5078" s="25">
        <v>2.1</v>
      </c>
      <c r="M5078" s="24">
        <v>41500.5</v>
      </c>
      <c r="N5078" s="25">
        <f>IFERROR(T_reg.root.SK[[#This Row],[Price]]/T_reg.root.SK[[#This Row],[Starch content]],"")</f>
        <v>8.1300813008130088</v>
      </c>
    </row>
    <row r="5079" spans="1:14">
      <c r="A5079" s="21">
        <v>2025</v>
      </c>
      <c r="B5079" s="21" t="s">
        <v>19</v>
      </c>
      <c r="C5079" s="21" t="s">
        <v>1145</v>
      </c>
      <c r="D5079" s="21" t="s">
        <v>35</v>
      </c>
      <c r="E5079" s="18" t="s">
        <v>685</v>
      </c>
      <c r="F5079" s="18" t="s">
        <v>105</v>
      </c>
      <c r="G5079" s="18" t="s">
        <v>48</v>
      </c>
      <c r="H5079" s="24">
        <v>39650</v>
      </c>
      <c r="I5079" s="24">
        <f>T_reg.root.SK[[#This Row],[Volume, kg]]/1000</f>
        <v>39.65</v>
      </c>
      <c r="J5079" s="25">
        <v>0.25390000000000001</v>
      </c>
      <c r="K5079" s="25">
        <f t="shared" si="79"/>
        <v>10067.135</v>
      </c>
      <c r="L5079" s="25">
        <v>2.15</v>
      </c>
      <c r="M5079" s="24">
        <v>85133</v>
      </c>
      <c r="N5079" s="25">
        <f>IFERROR(T_reg.root.SK[[#This Row],[Price]]/T_reg.root.SK[[#This Row],[Starch content]],"")</f>
        <v>8.4679007483261124</v>
      </c>
    </row>
    <row r="5080" spans="1:14">
      <c r="A5080" s="21">
        <v>2025</v>
      </c>
      <c r="B5080" s="21" t="s">
        <v>19</v>
      </c>
      <c r="C5080" s="21" t="s">
        <v>1145</v>
      </c>
      <c r="D5080" s="21" t="s">
        <v>35</v>
      </c>
      <c r="E5080" s="18" t="s">
        <v>974</v>
      </c>
      <c r="F5080" s="18" t="s">
        <v>105</v>
      </c>
      <c r="G5080" s="18" t="s">
        <v>48</v>
      </c>
      <c r="H5080" s="24">
        <v>59360</v>
      </c>
      <c r="I5080" s="24">
        <f>T_reg.root.SK[[#This Row],[Volume, kg]]/1000</f>
        <v>59.36</v>
      </c>
      <c r="J5080" s="25">
        <v>0.25569999999999998</v>
      </c>
      <c r="K5080" s="25">
        <f t="shared" si="79"/>
        <v>15178.351999999999</v>
      </c>
      <c r="L5080" s="25">
        <v>2.16</v>
      </c>
      <c r="M5080" s="24">
        <v>128229.5</v>
      </c>
      <c r="N5080" s="25">
        <f>IFERROR(T_reg.root.SK[[#This Row],[Price]]/T_reg.root.SK[[#This Row],[Starch content]],"")</f>
        <v>8.4473992960500599</v>
      </c>
    </row>
    <row r="5081" spans="1:14">
      <c r="A5081" s="21">
        <v>2025</v>
      </c>
      <c r="B5081" s="21" t="s">
        <v>19</v>
      </c>
      <c r="C5081" s="21" t="s">
        <v>1145</v>
      </c>
      <c r="D5081" s="21" t="s">
        <v>35</v>
      </c>
      <c r="E5081" s="18" t="s">
        <v>236</v>
      </c>
      <c r="F5081" s="18" t="s">
        <v>105</v>
      </c>
      <c r="G5081" s="18" t="s">
        <v>48</v>
      </c>
      <c r="H5081" s="24">
        <v>60500</v>
      </c>
      <c r="I5081" s="24">
        <f>T_reg.root.SK[[#This Row],[Volume, kg]]/1000</f>
        <v>60.5</v>
      </c>
      <c r="J5081" s="25">
        <v>0.27149999999999996</v>
      </c>
      <c r="K5081" s="25">
        <f t="shared" si="79"/>
        <v>16425.749999999996</v>
      </c>
      <c r="L5081" s="25">
        <v>2.27</v>
      </c>
      <c r="M5081" s="24">
        <v>137449.5</v>
      </c>
      <c r="N5081" s="25">
        <f>IFERROR(T_reg.root.SK[[#This Row],[Price]]/T_reg.root.SK[[#This Row],[Starch content]],"")</f>
        <v>8.3609576427255998</v>
      </c>
    </row>
    <row r="5082" spans="1:14">
      <c r="A5082" s="21">
        <v>2025</v>
      </c>
      <c r="B5082" s="21" t="s">
        <v>19</v>
      </c>
      <c r="C5082" s="21" t="s">
        <v>1145</v>
      </c>
      <c r="D5082" s="21" t="s">
        <v>35</v>
      </c>
      <c r="E5082" s="18" t="s">
        <v>116</v>
      </c>
      <c r="F5082" s="18" t="s">
        <v>105</v>
      </c>
      <c r="G5082" s="18" t="s">
        <v>48</v>
      </c>
      <c r="H5082" s="24">
        <v>33620</v>
      </c>
      <c r="I5082" s="24">
        <f>T_reg.root.SK[[#This Row],[Volume, kg]]/1000</f>
        <v>33.619999999999997</v>
      </c>
      <c r="J5082" s="25">
        <v>0.2611</v>
      </c>
      <c r="K5082" s="25">
        <f t="shared" si="79"/>
        <v>8778.1820000000007</v>
      </c>
      <c r="L5082" s="25">
        <v>2.17</v>
      </c>
      <c r="M5082" s="24">
        <v>73029.5</v>
      </c>
      <c r="N5082" s="25">
        <f>IFERROR(T_reg.root.SK[[#This Row],[Price]]/T_reg.root.SK[[#This Row],[Starch content]],"")</f>
        <v>8.310991957104557</v>
      </c>
    </row>
    <row r="5083" spans="1:14">
      <c r="A5083" s="21">
        <v>2025</v>
      </c>
      <c r="B5083" s="21" t="s">
        <v>19</v>
      </c>
      <c r="C5083" s="21" t="s">
        <v>1145</v>
      </c>
      <c r="D5083" s="21" t="s">
        <v>35</v>
      </c>
      <c r="E5083" s="18" t="s">
        <v>989</v>
      </c>
      <c r="F5083" s="18" t="s">
        <v>105</v>
      </c>
      <c r="G5083" s="18" t="s">
        <v>48</v>
      </c>
      <c r="H5083" s="24">
        <v>13370</v>
      </c>
      <c r="I5083" s="24">
        <f>T_reg.root.SK[[#This Row],[Volume, kg]]/1000</f>
        <v>13.37</v>
      </c>
      <c r="J5083" s="25">
        <v>0.2505</v>
      </c>
      <c r="K5083" s="25">
        <f t="shared" si="79"/>
        <v>3349.1849999999999</v>
      </c>
      <c r="L5083" s="25">
        <v>2.1</v>
      </c>
      <c r="M5083" s="24">
        <v>28077</v>
      </c>
      <c r="N5083" s="25">
        <f>IFERROR(T_reg.root.SK[[#This Row],[Price]]/T_reg.root.SK[[#This Row],[Starch content]],"")</f>
        <v>8.3832335329341312</v>
      </c>
    </row>
    <row r="5084" spans="1:14">
      <c r="A5084" s="21">
        <v>2025</v>
      </c>
      <c r="B5084" s="21" t="s">
        <v>19</v>
      </c>
      <c r="C5084" s="21" t="s">
        <v>1145</v>
      </c>
      <c r="D5084" s="21" t="s">
        <v>35</v>
      </c>
      <c r="E5084" s="18" t="s">
        <v>118</v>
      </c>
      <c r="F5084" s="18" t="s">
        <v>105</v>
      </c>
      <c r="G5084" s="18" t="s">
        <v>48</v>
      </c>
      <c r="H5084" s="24">
        <v>239740</v>
      </c>
      <c r="I5084" s="24">
        <f>T_reg.root.SK[[#This Row],[Volume, kg]]/1000</f>
        <v>239.74</v>
      </c>
      <c r="J5084" s="25">
        <v>0.25140000000000001</v>
      </c>
      <c r="K5084" s="25">
        <f t="shared" si="79"/>
        <v>60270.636000000006</v>
      </c>
      <c r="L5084" s="25">
        <v>2.14</v>
      </c>
      <c r="M5084" s="24">
        <v>513055.5</v>
      </c>
      <c r="N5084" s="25">
        <f>IFERROR(T_reg.root.SK[[#This Row],[Price]]/T_reg.root.SK[[#This Row],[Starch content]],"")</f>
        <v>8.5123309466984889</v>
      </c>
    </row>
    <row r="5085" spans="1:14">
      <c r="A5085" s="21">
        <v>2025</v>
      </c>
      <c r="B5085" s="21" t="s">
        <v>19</v>
      </c>
      <c r="C5085" s="21" t="s">
        <v>1145</v>
      </c>
      <c r="D5085" s="21" t="s">
        <v>35</v>
      </c>
      <c r="E5085" s="18" t="s">
        <v>122</v>
      </c>
      <c r="F5085" s="18" t="s">
        <v>105</v>
      </c>
      <c r="G5085" s="18" t="s">
        <v>48</v>
      </c>
      <c r="H5085" s="24">
        <v>352330</v>
      </c>
      <c r="I5085" s="24">
        <f>T_reg.root.SK[[#This Row],[Volume, kg]]/1000</f>
        <v>352.33</v>
      </c>
      <c r="J5085" s="25">
        <v>0.2581</v>
      </c>
      <c r="K5085" s="25">
        <f t="shared" si="79"/>
        <v>90936.372999999992</v>
      </c>
      <c r="L5085" s="25">
        <v>2.17</v>
      </c>
      <c r="M5085" s="24">
        <v>764693</v>
      </c>
      <c r="N5085" s="25">
        <f>IFERROR(T_reg.root.SK[[#This Row],[Price]]/T_reg.root.SK[[#This Row],[Starch content]],"")</f>
        <v>8.4075939558310733</v>
      </c>
    </row>
    <row r="5086" spans="1:14">
      <c r="A5086" s="21">
        <v>2025</v>
      </c>
      <c r="B5086" s="21" t="s">
        <v>19</v>
      </c>
      <c r="C5086" s="21" t="s">
        <v>1145</v>
      </c>
      <c r="D5086" s="21" t="s">
        <v>35</v>
      </c>
      <c r="E5086" s="18" t="s">
        <v>826</v>
      </c>
      <c r="F5086" s="18" t="s">
        <v>105</v>
      </c>
      <c r="G5086" s="18" t="s">
        <v>48</v>
      </c>
      <c r="H5086" s="24">
        <v>57320</v>
      </c>
      <c r="I5086" s="24">
        <f>T_reg.root.SK[[#This Row],[Volume, kg]]/1000</f>
        <v>57.32</v>
      </c>
      <c r="J5086" s="25">
        <v>0.27329999999999999</v>
      </c>
      <c r="K5086" s="25">
        <f t="shared" si="79"/>
        <v>15665.555999999999</v>
      </c>
      <c r="L5086" s="25">
        <v>2.2999999999999998</v>
      </c>
      <c r="M5086" s="24">
        <v>131892.5</v>
      </c>
      <c r="N5086" s="25">
        <f>IFERROR(T_reg.root.SK[[#This Row],[Price]]/T_reg.root.SK[[#This Row],[Starch content]],"")</f>
        <v>8.4156604463959024</v>
      </c>
    </row>
    <row r="5087" spans="1:14">
      <c r="A5087" s="21">
        <v>2025</v>
      </c>
      <c r="B5087" s="21" t="s">
        <v>19</v>
      </c>
      <c r="C5087" s="21" t="s">
        <v>1145</v>
      </c>
      <c r="D5087" s="21" t="s">
        <v>35</v>
      </c>
      <c r="E5087" s="18" t="s">
        <v>946</v>
      </c>
      <c r="F5087" s="18" t="s">
        <v>105</v>
      </c>
      <c r="G5087" s="18" t="s">
        <v>48</v>
      </c>
      <c r="H5087" s="24">
        <v>91150</v>
      </c>
      <c r="I5087" s="24">
        <f>T_reg.root.SK[[#This Row],[Volume, kg]]/1000</f>
        <v>91.15</v>
      </c>
      <c r="J5087" s="25">
        <v>0.27160000000000001</v>
      </c>
      <c r="K5087" s="25">
        <f t="shared" si="79"/>
        <v>24756.34</v>
      </c>
      <c r="L5087" s="25">
        <v>2.23</v>
      </c>
      <c r="M5087" s="24">
        <v>203282.5</v>
      </c>
      <c r="N5087" s="25">
        <f>IFERROR(T_reg.root.SK[[#This Row],[Price]]/T_reg.root.SK[[#This Row],[Starch content]],"")</f>
        <v>8.2106038291605294</v>
      </c>
    </row>
    <row r="5088" spans="1:14">
      <c r="A5088" s="21">
        <v>2025</v>
      </c>
      <c r="B5088" s="21" t="s">
        <v>19</v>
      </c>
      <c r="C5088" s="21" t="s">
        <v>1145</v>
      </c>
      <c r="D5088" s="21" t="s">
        <v>35</v>
      </c>
      <c r="E5088" s="18" t="s">
        <v>975</v>
      </c>
      <c r="F5088" s="18" t="s">
        <v>105</v>
      </c>
      <c r="G5088" s="18" t="s">
        <v>48</v>
      </c>
      <c r="H5088" s="24">
        <v>135790</v>
      </c>
      <c r="I5088" s="24">
        <f>T_reg.root.SK[[#This Row],[Volume, kg]]/1000</f>
        <v>135.79</v>
      </c>
      <c r="J5088" s="25">
        <v>0.27960000000000002</v>
      </c>
      <c r="K5088" s="25">
        <f t="shared" si="79"/>
        <v>37966.884000000005</v>
      </c>
      <c r="L5088" s="25">
        <v>2.2599999999999998</v>
      </c>
      <c r="M5088" s="24">
        <v>306481</v>
      </c>
      <c r="N5088" s="25">
        <f>IFERROR(T_reg.root.SK[[#This Row],[Price]]/T_reg.root.SK[[#This Row],[Starch content]],"")</f>
        <v>8.0829756795422014</v>
      </c>
    </row>
    <row r="5089" spans="1:14">
      <c r="A5089" s="21">
        <v>2025</v>
      </c>
      <c r="B5089" s="21" t="s">
        <v>19</v>
      </c>
      <c r="C5089" s="21" t="s">
        <v>1145</v>
      </c>
      <c r="D5089" s="21" t="s">
        <v>35</v>
      </c>
      <c r="E5089" s="18" t="s">
        <v>990</v>
      </c>
      <c r="F5089" s="18" t="s">
        <v>105</v>
      </c>
      <c r="G5089" s="18" t="s">
        <v>48</v>
      </c>
      <c r="H5089" s="24">
        <v>8280</v>
      </c>
      <c r="I5089" s="24">
        <f>T_reg.root.SK[[#This Row],[Volume, kg]]/1000</f>
        <v>8.2799999999999994</v>
      </c>
      <c r="J5089" s="25">
        <v>0.251</v>
      </c>
      <c r="K5089" s="25">
        <f t="shared" si="79"/>
        <v>2078.2800000000002</v>
      </c>
      <c r="L5089" s="25">
        <v>2.0499999999999998</v>
      </c>
      <c r="M5089" s="24">
        <v>16974</v>
      </c>
      <c r="N5089" s="25">
        <f>IFERROR(T_reg.root.SK[[#This Row],[Price]]/T_reg.root.SK[[#This Row],[Starch content]],"")</f>
        <v>8.1673306772908365</v>
      </c>
    </row>
    <row r="5090" spans="1:14">
      <c r="A5090" s="21">
        <v>2025</v>
      </c>
      <c r="B5090" s="21" t="s">
        <v>19</v>
      </c>
      <c r="C5090" s="21" t="s">
        <v>1145</v>
      </c>
      <c r="D5090" s="21" t="s">
        <v>35</v>
      </c>
      <c r="E5090" s="18" t="s">
        <v>239</v>
      </c>
      <c r="F5090" s="18" t="s">
        <v>105</v>
      </c>
      <c r="G5090" s="18" t="s">
        <v>48</v>
      </c>
      <c r="H5090" s="24">
        <v>37560</v>
      </c>
      <c r="I5090" s="24">
        <f>T_reg.root.SK[[#This Row],[Volume, kg]]/1000</f>
        <v>37.56</v>
      </c>
      <c r="J5090" s="25">
        <v>0.28079999999999999</v>
      </c>
      <c r="K5090" s="25">
        <f t="shared" si="79"/>
        <v>10546.848</v>
      </c>
      <c r="L5090" s="25">
        <v>2.2400000000000002</v>
      </c>
      <c r="M5090" s="24">
        <v>84050.5</v>
      </c>
      <c r="N5090" s="25">
        <f>IFERROR(T_reg.root.SK[[#This Row],[Price]]/T_reg.root.SK[[#This Row],[Starch content]],"")</f>
        <v>7.9772079772079785</v>
      </c>
    </row>
    <row r="5091" spans="1:14">
      <c r="A5091" s="21">
        <v>2025</v>
      </c>
      <c r="B5091" s="21" t="s">
        <v>19</v>
      </c>
      <c r="C5091" s="21" t="s">
        <v>1145</v>
      </c>
      <c r="D5091" s="21" t="s">
        <v>35</v>
      </c>
      <c r="E5091" s="18" t="s">
        <v>124</v>
      </c>
      <c r="F5091" s="18" t="s">
        <v>105</v>
      </c>
      <c r="G5091" s="18" t="s">
        <v>48</v>
      </c>
      <c r="H5091" s="24">
        <v>17240</v>
      </c>
      <c r="I5091" s="24">
        <f>T_reg.root.SK[[#This Row],[Volume, kg]]/1000</f>
        <v>17.239999999999998</v>
      </c>
      <c r="J5091" s="25">
        <v>0.29359999999999997</v>
      </c>
      <c r="K5091" s="25">
        <f t="shared" si="79"/>
        <v>5061.6639999999998</v>
      </c>
      <c r="L5091" s="25">
        <v>2.39</v>
      </c>
      <c r="M5091" s="24">
        <v>41257.5</v>
      </c>
      <c r="N5091" s="25">
        <f>IFERROR(T_reg.root.SK[[#This Row],[Price]]/T_reg.root.SK[[#This Row],[Starch content]],"")</f>
        <v>8.1403269754768406</v>
      </c>
    </row>
    <row r="5092" spans="1:14">
      <c r="A5092" s="21">
        <v>2025</v>
      </c>
      <c r="B5092" s="21" t="s">
        <v>19</v>
      </c>
      <c r="C5092" s="21" t="s">
        <v>1145</v>
      </c>
      <c r="D5092" s="21" t="s">
        <v>35</v>
      </c>
      <c r="E5092" s="18" t="s">
        <v>486</v>
      </c>
      <c r="F5092" s="18" t="s">
        <v>105</v>
      </c>
      <c r="G5092" s="18" t="s">
        <v>48</v>
      </c>
      <c r="H5092" s="24">
        <v>45190</v>
      </c>
      <c r="I5092" s="24">
        <f>T_reg.root.SK[[#This Row],[Volume, kg]]/1000</f>
        <v>45.19</v>
      </c>
      <c r="J5092" s="25">
        <v>0.29089999999999999</v>
      </c>
      <c r="K5092" s="25">
        <f t="shared" si="79"/>
        <v>13145.770999999999</v>
      </c>
      <c r="L5092" s="25">
        <v>2.37</v>
      </c>
      <c r="M5092" s="24">
        <v>106929</v>
      </c>
      <c r="N5092" s="25">
        <f>IFERROR(T_reg.root.SK[[#This Row],[Price]]/T_reg.root.SK[[#This Row],[Starch content]],"")</f>
        <v>8.1471295977999318</v>
      </c>
    </row>
    <row r="5093" spans="1:14">
      <c r="A5093" s="21">
        <v>2025</v>
      </c>
      <c r="B5093" s="21" t="s">
        <v>19</v>
      </c>
      <c r="C5093" s="21" t="s">
        <v>1145</v>
      </c>
      <c r="D5093" s="21" t="s">
        <v>35</v>
      </c>
      <c r="E5093" s="18" t="s">
        <v>125</v>
      </c>
      <c r="F5093" s="18" t="s">
        <v>105</v>
      </c>
      <c r="G5093" s="18" t="s">
        <v>48</v>
      </c>
      <c r="H5093" s="24">
        <v>5460</v>
      </c>
      <c r="I5093" s="24">
        <f>T_reg.root.SK[[#This Row],[Volume, kg]]/1000</f>
        <v>5.46</v>
      </c>
      <c r="J5093" s="25">
        <v>0.27149999999999996</v>
      </c>
      <c r="K5093" s="25">
        <f t="shared" si="79"/>
        <v>1482.3899999999999</v>
      </c>
      <c r="L5093" s="25">
        <v>2.15</v>
      </c>
      <c r="M5093" s="24">
        <v>11739</v>
      </c>
      <c r="N5093" s="25">
        <f>IFERROR(T_reg.root.SK[[#This Row],[Price]]/T_reg.root.SK[[#This Row],[Starch content]],"")</f>
        <v>7.9189686924493561</v>
      </c>
    </row>
    <row r="5094" spans="1:14">
      <c r="A5094" s="21">
        <v>2025</v>
      </c>
      <c r="B5094" s="21" t="s">
        <v>19</v>
      </c>
      <c r="C5094" s="21" t="s">
        <v>1145</v>
      </c>
      <c r="D5094" s="21" t="s">
        <v>35</v>
      </c>
      <c r="E5094" s="18" t="s">
        <v>976</v>
      </c>
      <c r="F5094" s="18" t="s">
        <v>105</v>
      </c>
      <c r="G5094" s="18" t="s">
        <v>48</v>
      </c>
      <c r="H5094" s="24">
        <v>16330</v>
      </c>
      <c r="I5094" s="24">
        <f>T_reg.root.SK[[#This Row],[Volume, kg]]/1000</f>
        <v>16.329999999999998</v>
      </c>
      <c r="J5094" s="25">
        <v>0.29880000000000001</v>
      </c>
      <c r="K5094" s="25">
        <f t="shared" si="79"/>
        <v>4879.4040000000005</v>
      </c>
      <c r="L5094" s="25">
        <v>2.42</v>
      </c>
      <c r="M5094" s="24">
        <v>39582</v>
      </c>
      <c r="N5094" s="25">
        <f>IFERROR(T_reg.root.SK[[#This Row],[Price]]/T_reg.root.SK[[#This Row],[Starch content]],"")</f>
        <v>8.0990629183400262</v>
      </c>
    </row>
    <row r="5095" spans="1:14">
      <c r="A5095" s="21">
        <v>2025</v>
      </c>
      <c r="B5095" s="21" t="s">
        <v>19</v>
      </c>
      <c r="C5095" s="21" t="s">
        <v>1145</v>
      </c>
      <c r="D5095" s="21" t="s">
        <v>35</v>
      </c>
      <c r="E5095" s="18" t="s">
        <v>977</v>
      </c>
      <c r="F5095" s="18" t="s">
        <v>105</v>
      </c>
      <c r="G5095" s="18" t="s">
        <v>48</v>
      </c>
      <c r="H5095" s="24">
        <v>47170</v>
      </c>
      <c r="I5095" s="24">
        <f>T_reg.root.SK[[#This Row],[Volume, kg]]/1000</f>
        <v>47.17</v>
      </c>
      <c r="J5095" s="25">
        <v>0.23800000000000002</v>
      </c>
      <c r="K5095" s="25">
        <f t="shared" si="79"/>
        <v>11226.460000000001</v>
      </c>
      <c r="L5095" s="25">
        <v>2.08</v>
      </c>
      <c r="M5095" s="24">
        <v>98022</v>
      </c>
      <c r="N5095" s="25">
        <f>IFERROR(T_reg.root.SK[[#This Row],[Price]]/T_reg.root.SK[[#This Row],[Starch content]],"")</f>
        <v>8.7394957983193269</v>
      </c>
    </row>
    <row r="5096" spans="1:14">
      <c r="A5096" s="21">
        <v>2025</v>
      </c>
      <c r="B5096" s="21" t="s">
        <v>19</v>
      </c>
      <c r="C5096" s="21" t="s">
        <v>1145</v>
      </c>
      <c r="D5096" s="21" t="s">
        <v>35</v>
      </c>
      <c r="E5096" s="18" t="s">
        <v>240</v>
      </c>
      <c r="F5096" s="18" t="s">
        <v>105</v>
      </c>
      <c r="G5096" s="18" t="s">
        <v>48</v>
      </c>
      <c r="H5096" s="24">
        <v>17940</v>
      </c>
      <c r="I5096" s="24">
        <f>T_reg.root.SK[[#This Row],[Volume, kg]]/1000</f>
        <v>17.940000000000001</v>
      </c>
      <c r="J5096" s="25">
        <v>0.2838</v>
      </c>
      <c r="K5096" s="25">
        <f t="shared" si="79"/>
        <v>5091.3720000000003</v>
      </c>
      <c r="L5096" s="25">
        <v>2.31</v>
      </c>
      <c r="M5096" s="24">
        <v>41390</v>
      </c>
      <c r="N5096" s="25">
        <f>IFERROR(T_reg.root.SK[[#This Row],[Price]]/T_reg.root.SK[[#This Row],[Starch content]],"")</f>
        <v>8.1395348837209305</v>
      </c>
    </row>
    <row r="5097" spans="1:14">
      <c r="A5097" s="21">
        <v>2025</v>
      </c>
      <c r="B5097" s="21" t="s">
        <v>19</v>
      </c>
      <c r="C5097" s="21" t="s">
        <v>1145</v>
      </c>
      <c r="D5097" s="21" t="s">
        <v>35</v>
      </c>
      <c r="E5097" s="18" t="s">
        <v>127</v>
      </c>
      <c r="F5097" s="18" t="s">
        <v>105</v>
      </c>
      <c r="G5097" s="18" t="s">
        <v>48</v>
      </c>
      <c r="H5097" s="24">
        <v>8620</v>
      </c>
      <c r="I5097" s="24">
        <f>T_reg.root.SK[[#This Row],[Volume, kg]]/1000</f>
        <v>8.6199999999999992</v>
      </c>
      <c r="J5097" s="25">
        <v>0.21100000000000002</v>
      </c>
      <c r="K5097" s="25">
        <f t="shared" si="79"/>
        <v>1818.8200000000002</v>
      </c>
      <c r="L5097" s="25">
        <v>1.85</v>
      </c>
      <c r="M5097" s="24">
        <v>15947</v>
      </c>
      <c r="N5097" s="25">
        <f>IFERROR(T_reg.root.SK[[#This Row],[Price]]/T_reg.root.SK[[#This Row],[Starch content]],"")</f>
        <v>8.7677725118483405</v>
      </c>
    </row>
    <row r="5098" spans="1:14">
      <c r="A5098" s="21">
        <v>2025</v>
      </c>
      <c r="B5098" s="21" t="s">
        <v>19</v>
      </c>
      <c r="C5098" s="21" t="s">
        <v>1145</v>
      </c>
      <c r="D5098" s="21" t="s">
        <v>35</v>
      </c>
      <c r="E5098" s="18" t="s">
        <v>602</v>
      </c>
      <c r="F5098" s="18" t="s">
        <v>105</v>
      </c>
      <c r="G5098" s="18" t="s">
        <v>48</v>
      </c>
      <c r="H5098" s="24">
        <v>6330</v>
      </c>
      <c r="I5098" s="24">
        <f>T_reg.root.SK[[#This Row],[Volume, kg]]/1000</f>
        <v>6.33</v>
      </c>
      <c r="J5098" s="25">
        <v>0.26750000000000002</v>
      </c>
      <c r="K5098" s="25">
        <f t="shared" si="79"/>
        <v>1693.2750000000001</v>
      </c>
      <c r="L5098" s="25">
        <v>2.25</v>
      </c>
      <c r="M5098" s="24">
        <v>14242.5</v>
      </c>
      <c r="N5098" s="25">
        <f>IFERROR(T_reg.root.SK[[#This Row],[Price]]/T_reg.root.SK[[#This Row],[Starch content]],"")</f>
        <v>8.4112149532710276</v>
      </c>
    </row>
    <row r="5099" spans="1:14">
      <c r="A5099" s="21">
        <v>2025</v>
      </c>
      <c r="B5099" s="21" t="s">
        <v>19</v>
      </c>
      <c r="C5099" s="21" t="s">
        <v>1145</v>
      </c>
      <c r="D5099" s="21" t="s">
        <v>35</v>
      </c>
      <c r="E5099" s="18" t="s">
        <v>770</v>
      </c>
      <c r="F5099" s="18" t="s">
        <v>105</v>
      </c>
      <c r="G5099" s="18" t="s">
        <v>48</v>
      </c>
      <c r="H5099" s="24">
        <v>39460</v>
      </c>
      <c r="I5099" s="24">
        <f>T_reg.root.SK[[#This Row],[Volume, kg]]/1000</f>
        <v>39.46</v>
      </c>
      <c r="J5099" s="25">
        <v>0.2379</v>
      </c>
      <c r="K5099" s="25">
        <f t="shared" si="79"/>
        <v>9387.5339999999997</v>
      </c>
      <c r="L5099" s="25">
        <v>2.0099999999999998</v>
      </c>
      <c r="M5099" s="24">
        <v>79429.5</v>
      </c>
      <c r="N5099" s="25">
        <f>IFERROR(T_reg.root.SK[[#This Row],[Price]]/T_reg.root.SK[[#This Row],[Starch content]],"")</f>
        <v>8.4489281210592679</v>
      </c>
    </row>
    <row r="5100" spans="1:14">
      <c r="A5100" s="21">
        <v>2025</v>
      </c>
      <c r="B5100" s="21" t="s">
        <v>19</v>
      </c>
      <c r="C5100" s="21" t="s">
        <v>1145</v>
      </c>
      <c r="D5100" s="21" t="s">
        <v>35</v>
      </c>
      <c r="E5100" s="18" t="s">
        <v>129</v>
      </c>
      <c r="F5100" s="18" t="s">
        <v>105</v>
      </c>
      <c r="G5100" s="18" t="s">
        <v>48</v>
      </c>
      <c r="H5100" s="24">
        <v>5640</v>
      </c>
      <c r="I5100" s="24">
        <f>T_reg.root.SK[[#This Row],[Volume, kg]]/1000</f>
        <v>5.64</v>
      </c>
      <c r="J5100" s="25">
        <v>0.2</v>
      </c>
      <c r="K5100" s="25">
        <f t="shared" si="79"/>
        <v>1128</v>
      </c>
      <c r="L5100" s="25">
        <v>1.95</v>
      </c>
      <c r="M5100" s="24">
        <v>10998</v>
      </c>
      <c r="N5100" s="25">
        <f>IFERROR(T_reg.root.SK[[#This Row],[Price]]/T_reg.root.SK[[#This Row],[Starch content]],"")</f>
        <v>9.75</v>
      </c>
    </row>
    <row r="5101" spans="1:14">
      <c r="A5101" s="21">
        <v>2025</v>
      </c>
      <c r="B5101" s="21" t="s">
        <v>19</v>
      </c>
      <c r="C5101" s="21" t="s">
        <v>1145</v>
      </c>
      <c r="D5101" s="21" t="s">
        <v>35</v>
      </c>
      <c r="E5101" s="18" t="s">
        <v>603</v>
      </c>
      <c r="F5101" s="18" t="s">
        <v>105</v>
      </c>
      <c r="G5101" s="18" t="s">
        <v>48</v>
      </c>
      <c r="H5101" s="24">
        <v>31200</v>
      </c>
      <c r="I5101" s="24">
        <f>T_reg.root.SK[[#This Row],[Volume, kg]]/1000</f>
        <v>31.2</v>
      </c>
      <c r="J5101" s="25">
        <v>0.23730000000000001</v>
      </c>
      <c r="K5101" s="25">
        <f t="shared" si="79"/>
        <v>7403.76</v>
      </c>
      <c r="L5101" s="25">
        <v>2.15</v>
      </c>
      <c r="M5101" s="24">
        <v>66949.5</v>
      </c>
      <c r="N5101" s="25">
        <f>IFERROR(T_reg.root.SK[[#This Row],[Price]]/T_reg.root.SK[[#This Row],[Starch content]],"")</f>
        <v>9.0602612726506528</v>
      </c>
    </row>
    <row r="5102" spans="1:14">
      <c r="A5102" s="21">
        <v>2025</v>
      </c>
      <c r="B5102" s="21" t="s">
        <v>19</v>
      </c>
      <c r="C5102" s="21" t="s">
        <v>1145</v>
      </c>
      <c r="D5102" s="21" t="s">
        <v>35</v>
      </c>
      <c r="E5102" s="18" t="s">
        <v>807</v>
      </c>
      <c r="F5102" s="18" t="s">
        <v>105</v>
      </c>
      <c r="G5102" s="18" t="s">
        <v>48</v>
      </c>
      <c r="H5102" s="24">
        <v>34200</v>
      </c>
      <c r="I5102" s="24">
        <f>T_reg.root.SK[[#This Row],[Volume, kg]]/1000</f>
        <v>34.200000000000003</v>
      </c>
      <c r="J5102" s="25">
        <v>0.27289999999999998</v>
      </c>
      <c r="K5102" s="25">
        <f t="shared" si="79"/>
        <v>9333.1799999999985</v>
      </c>
      <c r="L5102" s="25">
        <v>2.2599999999999998</v>
      </c>
      <c r="M5102" s="24">
        <v>77231</v>
      </c>
      <c r="N5102" s="25">
        <f>IFERROR(T_reg.root.SK[[#This Row],[Price]]/T_reg.root.SK[[#This Row],[Starch content]],"")</f>
        <v>8.2814217662147307</v>
      </c>
    </row>
    <row r="5103" spans="1:14">
      <c r="A5103" s="21">
        <v>2025</v>
      </c>
      <c r="B5103" s="21" t="s">
        <v>19</v>
      </c>
      <c r="C5103" s="21" t="s">
        <v>1145</v>
      </c>
      <c r="D5103" s="21" t="s">
        <v>35</v>
      </c>
      <c r="E5103" s="18" t="s">
        <v>755</v>
      </c>
      <c r="F5103" s="18" t="s">
        <v>105</v>
      </c>
      <c r="G5103" s="18" t="s">
        <v>48</v>
      </c>
      <c r="H5103" s="24">
        <v>16300</v>
      </c>
      <c r="I5103" s="24">
        <f>T_reg.root.SK[[#This Row],[Volume, kg]]/1000</f>
        <v>16.3</v>
      </c>
      <c r="J5103" s="25">
        <v>0.2913</v>
      </c>
      <c r="K5103" s="25">
        <f t="shared" si="79"/>
        <v>4748.1900000000005</v>
      </c>
      <c r="L5103" s="25">
        <v>2.36</v>
      </c>
      <c r="M5103" s="24">
        <v>38397.5</v>
      </c>
      <c r="N5103" s="25">
        <f>IFERROR(T_reg.root.SK[[#This Row],[Price]]/T_reg.root.SK[[#This Row],[Starch content]],"")</f>
        <v>8.1016134569172671</v>
      </c>
    </row>
    <row r="5104" spans="1:14">
      <c r="A5104" s="21">
        <v>2025</v>
      </c>
      <c r="B5104" s="21" t="s">
        <v>19</v>
      </c>
      <c r="C5104" s="21" t="s">
        <v>1145</v>
      </c>
      <c r="D5104" s="21" t="s">
        <v>35</v>
      </c>
      <c r="E5104" s="18" t="s">
        <v>717</v>
      </c>
      <c r="F5104" s="18" t="s">
        <v>105</v>
      </c>
      <c r="G5104" s="18" t="s">
        <v>48</v>
      </c>
      <c r="H5104" s="24">
        <v>83080</v>
      </c>
      <c r="I5104" s="24">
        <f>T_reg.root.SK[[#This Row],[Volume, kg]]/1000</f>
        <v>83.08</v>
      </c>
      <c r="J5104" s="25">
        <v>0.30230000000000001</v>
      </c>
      <c r="K5104" s="25">
        <f t="shared" si="79"/>
        <v>25115.084000000003</v>
      </c>
      <c r="L5104" s="25">
        <v>2.36</v>
      </c>
      <c r="M5104" s="24">
        <v>196340.5</v>
      </c>
      <c r="N5104" s="25">
        <f>IFERROR(T_reg.root.SK[[#This Row],[Price]]/T_reg.root.SK[[#This Row],[Starch content]],"")</f>
        <v>7.8068144227588485</v>
      </c>
    </row>
    <row r="5105" spans="1:14">
      <c r="A5105" s="21">
        <v>2025</v>
      </c>
      <c r="B5105" s="21" t="s">
        <v>19</v>
      </c>
      <c r="C5105" s="21" t="s">
        <v>1145</v>
      </c>
      <c r="D5105" s="21" t="s">
        <v>35</v>
      </c>
      <c r="E5105" s="18" t="s">
        <v>949</v>
      </c>
      <c r="F5105" s="18" t="s">
        <v>105</v>
      </c>
      <c r="G5105" s="18" t="s">
        <v>48</v>
      </c>
      <c r="H5105" s="24">
        <v>4660</v>
      </c>
      <c r="I5105" s="24">
        <f>T_reg.root.SK[[#This Row],[Volume, kg]]/1000</f>
        <v>4.66</v>
      </c>
      <c r="J5105" s="25">
        <v>0.25</v>
      </c>
      <c r="K5105" s="25">
        <f t="shared" si="79"/>
        <v>1165</v>
      </c>
      <c r="L5105" s="25">
        <v>2.1</v>
      </c>
      <c r="M5105" s="24">
        <v>9786</v>
      </c>
      <c r="N5105" s="25">
        <f>IFERROR(T_reg.root.SK[[#This Row],[Price]]/T_reg.root.SK[[#This Row],[Starch content]],"")</f>
        <v>8.4</v>
      </c>
    </row>
    <row r="5106" spans="1:14">
      <c r="A5106" s="21">
        <v>2025</v>
      </c>
      <c r="B5106" s="21" t="s">
        <v>19</v>
      </c>
      <c r="C5106" s="21" t="s">
        <v>1145</v>
      </c>
      <c r="D5106" s="21" t="s">
        <v>35</v>
      </c>
      <c r="E5106" s="18" t="s">
        <v>301</v>
      </c>
      <c r="F5106" s="18" t="s">
        <v>105</v>
      </c>
      <c r="G5106" s="18" t="s">
        <v>48</v>
      </c>
      <c r="H5106" s="24">
        <v>47180</v>
      </c>
      <c r="I5106" s="24">
        <f>T_reg.root.SK[[#This Row],[Volume, kg]]/1000</f>
        <v>47.18</v>
      </c>
      <c r="J5106" s="25">
        <v>0.2492</v>
      </c>
      <c r="K5106" s="25">
        <f t="shared" si="79"/>
        <v>11757.255999999999</v>
      </c>
      <c r="L5106" s="25">
        <v>2.06</v>
      </c>
      <c r="M5106" s="24">
        <v>97287.5</v>
      </c>
      <c r="N5106" s="25">
        <f>IFERROR(T_reg.root.SK[[#This Row],[Price]]/T_reg.root.SK[[#This Row],[Starch content]],"")</f>
        <v>8.26645264847512</v>
      </c>
    </row>
    <row r="5107" spans="1:14">
      <c r="A5107" s="21">
        <v>2025</v>
      </c>
      <c r="B5107" s="21" t="s">
        <v>19</v>
      </c>
      <c r="C5107" s="21" t="s">
        <v>1145</v>
      </c>
      <c r="D5107" s="21" t="s">
        <v>35</v>
      </c>
      <c r="E5107" s="18" t="s">
        <v>134</v>
      </c>
      <c r="F5107" s="18" t="s">
        <v>105</v>
      </c>
      <c r="G5107" s="18" t="s">
        <v>48</v>
      </c>
      <c r="H5107" s="24">
        <v>56290</v>
      </c>
      <c r="I5107" s="24">
        <f>T_reg.root.SK[[#This Row],[Volume, kg]]/1000</f>
        <v>56.29</v>
      </c>
      <c r="J5107" s="25">
        <v>0.2311</v>
      </c>
      <c r="K5107" s="25">
        <f t="shared" si="79"/>
        <v>13008.619000000001</v>
      </c>
      <c r="L5107" s="25">
        <v>1.97</v>
      </c>
      <c r="M5107" s="24">
        <v>111002.5</v>
      </c>
      <c r="N5107" s="25">
        <f>IFERROR(T_reg.root.SK[[#This Row],[Price]]/T_reg.root.SK[[#This Row],[Starch content]],"")</f>
        <v>8.5244482907832104</v>
      </c>
    </row>
    <row r="5108" spans="1:14">
      <c r="A5108" s="21">
        <v>2025</v>
      </c>
      <c r="B5108" s="21" t="s">
        <v>19</v>
      </c>
      <c r="C5108" s="21" t="s">
        <v>1145</v>
      </c>
      <c r="D5108" s="21" t="s">
        <v>35</v>
      </c>
      <c r="E5108" s="18" t="s">
        <v>932</v>
      </c>
      <c r="F5108" s="18" t="s">
        <v>105</v>
      </c>
      <c r="G5108" s="18" t="s">
        <v>48</v>
      </c>
      <c r="H5108" s="24">
        <v>53080</v>
      </c>
      <c r="I5108" s="24">
        <f>T_reg.root.SK[[#This Row],[Volume, kg]]/1000</f>
        <v>53.08</v>
      </c>
      <c r="J5108" s="25">
        <v>0.23199999999999998</v>
      </c>
      <c r="K5108" s="25">
        <f t="shared" si="79"/>
        <v>12314.56</v>
      </c>
      <c r="L5108" s="25">
        <v>2.12</v>
      </c>
      <c r="M5108" s="24">
        <v>112359</v>
      </c>
      <c r="N5108" s="25">
        <f>IFERROR(T_reg.root.SK[[#This Row],[Price]]/T_reg.root.SK[[#This Row],[Starch content]],"")</f>
        <v>9.1379310344827598</v>
      </c>
    </row>
    <row r="5109" spans="1:14">
      <c r="A5109" s="21">
        <v>2025</v>
      </c>
      <c r="B5109" s="21" t="s">
        <v>19</v>
      </c>
      <c r="C5109" s="21" t="s">
        <v>1145</v>
      </c>
      <c r="D5109" s="21" t="s">
        <v>35</v>
      </c>
      <c r="E5109" s="18" t="s">
        <v>136</v>
      </c>
      <c r="F5109" s="18" t="s">
        <v>105</v>
      </c>
      <c r="G5109" s="18" t="s">
        <v>48</v>
      </c>
      <c r="H5109" s="24">
        <v>145330</v>
      </c>
      <c r="I5109" s="24">
        <f>T_reg.root.SK[[#This Row],[Volume, kg]]/1000</f>
        <v>145.33000000000001</v>
      </c>
      <c r="J5109" s="25">
        <v>0.26569999999999999</v>
      </c>
      <c r="K5109" s="25">
        <f t="shared" si="79"/>
        <v>38614.180999999997</v>
      </c>
      <c r="L5109" s="25">
        <v>2.2200000000000002</v>
      </c>
      <c r="M5109" s="24">
        <v>323304.5</v>
      </c>
      <c r="N5109" s="25">
        <f>IFERROR(T_reg.root.SK[[#This Row],[Price]]/T_reg.root.SK[[#This Row],[Starch content]],"")</f>
        <v>8.355287918705308</v>
      </c>
    </row>
    <row r="5110" spans="1:14">
      <c r="A5110" s="21">
        <v>2025</v>
      </c>
      <c r="B5110" s="21" t="s">
        <v>19</v>
      </c>
      <c r="C5110" s="21" t="s">
        <v>1145</v>
      </c>
      <c r="D5110" s="21" t="s">
        <v>35</v>
      </c>
      <c r="E5110" s="18" t="s">
        <v>138</v>
      </c>
      <c r="F5110" s="18" t="s">
        <v>105</v>
      </c>
      <c r="G5110" s="18" t="s">
        <v>48</v>
      </c>
      <c r="H5110" s="24">
        <v>59940</v>
      </c>
      <c r="I5110" s="24">
        <f>T_reg.root.SK[[#This Row],[Volume, kg]]/1000</f>
        <v>59.94</v>
      </c>
      <c r="J5110" s="25">
        <v>0.25840000000000002</v>
      </c>
      <c r="K5110" s="25">
        <f t="shared" si="79"/>
        <v>15488.496000000001</v>
      </c>
      <c r="L5110" s="25">
        <v>2.2000000000000002</v>
      </c>
      <c r="M5110" s="24">
        <v>131889.5</v>
      </c>
      <c r="N5110" s="25">
        <f>IFERROR(T_reg.root.SK[[#This Row],[Price]]/T_reg.root.SK[[#This Row],[Starch content]],"")</f>
        <v>8.5139318885448922</v>
      </c>
    </row>
    <row r="5111" spans="1:14">
      <c r="A5111" s="21">
        <v>2025</v>
      </c>
      <c r="B5111" s="21" t="s">
        <v>19</v>
      </c>
      <c r="C5111" s="21" t="s">
        <v>1145</v>
      </c>
      <c r="D5111" s="21" t="s">
        <v>35</v>
      </c>
      <c r="E5111" s="18" t="s">
        <v>719</v>
      </c>
      <c r="F5111" s="18" t="s">
        <v>105</v>
      </c>
      <c r="G5111" s="18" t="s">
        <v>48</v>
      </c>
      <c r="H5111" s="24">
        <v>32700</v>
      </c>
      <c r="I5111" s="24">
        <f>T_reg.root.SK[[#This Row],[Volume, kg]]/1000</f>
        <v>32.700000000000003</v>
      </c>
      <c r="J5111" s="25">
        <v>0.21280000000000002</v>
      </c>
      <c r="K5111" s="25">
        <f t="shared" si="79"/>
        <v>6958.56</v>
      </c>
      <c r="L5111" s="25">
        <v>1.87</v>
      </c>
      <c r="M5111" s="24">
        <v>61128.5</v>
      </c>
      <c r="N5111" s="25">
        <f>IFERROR(T_reg.root.SK[[#This Row],[Price]]/T_reg.root.SK[[#This Row],[Starch content]],"")</f>
        <v>8.7875939849624061</v>
      </c>
    </row>
    <row r="5112" spans="1:14">
      <c r="A5112" s="21">
        <v>2025</v>
      </c>
      <c r="B5112" s="21" t="s">
        <v>19</v>
      </c>
      <c r="C5112" s="21" t="s">
        <v>1145</v>
      </c>
      <c r="D5112" s="21" t="s">
        <v>35</v>
      </c>
      <c r="E5112" s="18" t="s">
        <v>243</v>
      </c>
      <c r="F5112" s="18" t="s">
        <v>105</v>
      </c>
      <c r="G5112" s="18" t="s">
        <v>48</v>
      </c>
      <c r="H5112" s="24">
        <v>42820</v>
      </c>
      <c r="I5112" s="24">
        <f>T_reg.root.SK[[#This Row],[Volume, kg]]/1000</f>
        <v>42.82</v>
      </c>
      <c r="J5112" s="25">
        <v>0.2361</v>
      </c>
      <c r="K5112" s="25">
        <f t="shared" si="79"/>
        <v>10109.802</v>
      </c>
      <c r="L5112" s="25">
        <v>2.13</v>
      </c>
      <c r="M5112" s="24">
        <v>91208</v>
      </c>
      <c r="N5112" s="25">
        <f>IFERROR(T_reg.root.SK[[#This Row],[Price]]/T_reg.root.SK[[#This Row],[Starch content]],"")</f>
        <v>9.0216010165184244</v>
      </c>
    </row>
    <row r="5113" spans="1:14">
      <c r="A5113" s="21">
        <v>2025</v>
      </c>
      <c r="B5113" s="21" t="s">
        <v>19</v>
      </c>
      <c r="C5113" s="21" t="s">
        <v>1145</v>
      </c>
      <c r="D5113" s="21" t="s">
        <v>35</v>
      </c>
      <c r="E5113" s="18" t="s">
        <v>306</v>
      </c>
      <c r="F5113" s="18" t="s">
        <v>105</v>
      </c>
      <c r="G5113" s="18" t="s">
        <v>48</v>
      </c>
      <c r="H5113" s="24">
        <v>28960</v>
      </c>
      <c r="I5113" s="24">
        <f>T_reg.root.SK[[#This Row],[Volume, kg]]/1000</f>
        <v>28.96</v>
      </c>
      <c r="J5113" s="25">
        <v>0.26050000000000001</v>
      </c>
      <c r="K5113" s="25">
        <f t="shared" si="79"/>
        <v>7544.08</v>
      </c>
      <c r="L5113" s="25">
        <v>2.25</v>
      </c>
      <c r="M5113" s="24">
        <v>65160</v>
      </c>
      <c r="N5113" s="25">
        <f>IFERROR(T_reg.root.SK[[#This Row],[Price]]/T_reg.root.SK[[#This Row],[Starch content]],"")</f>
        <v>8.6372360844529741</v>
      </c>
    </row>
    <row r="5114" spans="1:14">
      <c r="A5114" s="21">
        <v>2025</v>
      </c>
      <c r="B5114" s="21" t="s">
        <v>19</v>
      </c>
      <c r="C5114" s="21" t="s">
        <v>1145</v>
      </c>
      <c r="D5114" s="21" t="s">
        <v>35</v>
      </c>
      <c r="E5114" s="18" t="s">
        <v>307</v>
      </c>
      <c r="F5114" s="18" t="s">
        <v>105</v>
      </c>
      <c r="G5114" s="18" t="s">
        <v>48</v>
      </c>
      <c r="H5114" s="24">
        <v>43310</v>
      </c>
      <c r="I5114" s="24">
        <f>T_reg.root.SK[[#This Row],[Volume, kg]]/1000</f>
        <v>43.31</v>
      </c>
      <c r="J5114" s="25">
        <v>0.23039999999999999</v>
      </c>
      <c r="K5114" s="25">
        <f t="shared" si="79"/>
        <v>9978.6239999999998</v>
      </c>
      <c r="L5114" s="25">
        <v>2.04</v>
      </c>
      <c r="M5114" s="24">
        <v>88316</v>
      </c>
      <c r="N5114" s="25">
        <f>IFERROR(T_reg.root.SK[[#This Row],[Price]]/T_reg.root.SK[[#This Row],[Starch content]],"")</f>
        <v>8.8541666666666679</v>
      </c>
    </row>
    <row r="5115" spans="1:14">
      <c r="A5115" s="21">
        <v>2025</v>
      </c>
      <c r="B5115" s="21" t="s">
        <v>19</v>
      </c>
      <c r="C5115" s="21" t="s">
        <v>1145</v>
      </c>
      <c r="D5115" s="21" t="s">
        <v>35</v>
      </c>
      <c r="E5115" s="18" t="s">
        <v>245</v>
      </c>
      <c r="F5115" s="18" t="s">
        <v>105</v>
      </c>
      <c r="G5115" s="18" t="s">
        <v>48</v>
      </c>
      <c r="H5115" s="24">
        <v>53860</v>
      </c>
      <c r="I5115" s="24">
        <f>T_reg.root.SK[[#This Row],[Volume, kg]]/1000</f>
        <v>53.86</v>
      </c>
      <c r="J5115" s="25">
        <v>0.2127</v>
      </c>
      <c r="K5115" s="25">
        <f t="shared" si="79"/>
        <v>11456.022000000001</v>
      </c>
      <c r="L5115" s="25">
        <v>1.89</v>
      </c>
      <c r="M5115" s="24">
        <v>101897.5</v>
      </c>
      <c r="N5115" s="25">
        <f>IFERROR(T_reg.root.SK[[#This Row],[Price]]/T_reg.root.SK[[#This Row],[Starch content]],"")</f>
        <v>8.885754583921015</v>
      </c>
    </row>
    <row r="5116" spans="1:14">
      <c r="A5116" s="21">
        <v>2025</v>
      </c>
      <c r="B5116" s="21" t="s">
        <v>19</v>
      </c>
      <c r="C5116" s="21" t="s">
        <v>1145</v>
      </c>
      <c r="D5116" s="21" t="s">
        <v>35</v>
      </c>
      <c r="E5116" s="18" t="s">
        <v>933</v>
      </c>
      <c r="F5116" s="18" t="s">
        <v>105</v>
      </c>
      <c r="G5116" s="18" t="s">
        <v>48</v>
      </c>
      <c r="H5116" s="24">
        <v>28030</v>
      </c>
      <c r="I5116" s="24">
        <f>T_reg.root.SK[[#This Row],[Volume, kg]]/1000</f>
        <v>28.03</v>
      </c>
      <c r="J5116" s="25">
        <v>0.27960000000000002</v>
      </c>
      <c r="K5116" s="25">
        <f t="shared" si="79"/>
        <v>7837.1880000000001</v>
      </c>
      <c r="L5116" s="25">
        <v>2.2000000000000002</v>
      </c>
      <c r="M5116" s="24">
        <v>61621.5</v>
      </c>
      <c r="N5116" s="25">
        <f>IFERROR(T_reg.root.SK[[#This Row],[Price]]/T_reg.root.SK[[#This Row],[Starch content]],"")</f>
        <v>7.8683834048640922</v>
      </c>
    </row>
    <row r="5117" spans="1:14">
      <c r="A5117" s="21">
        <v>2025</v>
      </c>
      <c r="B5117" s="21" t="s">
        <v>19</v>
      </c>
      <c r="C5117" s="21" t="s">
        <v>1145</v>
      </c>
      <c r="D5117" s="21" t="s">
        <v>35</v>
      </c>
      <c r="E5117" s="18" t="s">
        <v>143</v>
      </c>
      <c r="F5117" s="18" t="s">
        <v>105</v>
      </c>
      <c r="G5117" s="18" t="s">
        <v>48</v>
      </c>
      <c r="H5117" s="24">
        <v>31500</v>
      </c>
      <c r="I5117" s="24">
        <f>T_reg.root.SK[[#This Row],[Volume, kg]]/1000</f>
        <v>31.5</v>
      </c>
      <c r="J5117" s="25">
        <v>0.25780000000000003</v>
      </c>
      <c r="K5117" s="25">
        <f t="shared" si="79"/>
        <v>8120.7000000000007</v>
      </c>
      <c r="L5117" s="25">
        <v>2.14</v>
      </c>
      <c r="M5117" s="24">
        <v>67331</v>
      </c>
      <c r="N5117" s="25">
        <f>IFERROR(T_reg.root.SK[[#This Row],[Price]]/T_reg.root.SK[[#This Row],[Starch content]],"")</f>
        <v>8.3010085337470905</v>
      </c>
    </row>
    <row r="5118" spans="1:14">
      <c r="A5118" s="21">
        <v>2025</v>
      </c>
      <c r="B5118" s="21" t="s">
        <v>19</v>
      </c>
      <c r="C5118" s="21" t="s">
        <v>1145</v>
      </c>
      <c r="D5118" s="21" t="s">
        <v>35</v>
      </c>
      <c r="E5118" s="18" t="s">
        <v>144</v>
      </c>
      <c r="F5118" s="18" t="s">
        <v>105</v>
      </c>
      <c r="G5118" s="18" t="s">
        <v>48</v>
      </c>
      <c r="H5118" s="24">
        <v>100000</v>
      </c>
      <c r="I5118" s="24">
        <f>T_reg.root.SK[[#This Row],[Volume, kg]]/1000</f>
        <v>100</v>
      </c>
      <c r="J5118" s="25">
        <v>0.25750000000000001</v>
      </c>
      <c r="K5118" s="25">
        <f t="shared" si="79"/>
        <v>25750</v>
      </c>
      <c r="L5118" s="25">
        <v>2.1800000000000002</v>
      </c>
      <c r="M5118" s="24">
        <v>218336.5</v>
      </c>
      <c r="N5118" s="25">
        <f>IFERROR(T_reg.root.SK[[#This Row],[Price]]/T_reg.root.SK[[#This Row],[Starch content]],"")</f>
        <v>8.4660194174757279</v>
      </c>
    </row>
    <row r="5119" spans="1:14">
      <c r="A5119" s="21">
        <v>2025</v>
      </c>
      <c r="B5119" s="21" t="s">
        <v>19</v>
      </c>
      <c r="C5119" s="21" t="s">
        <v>1145</v>
      </c>
      <c r="D5119" s="21" t="s">
        <v>35</v>
      </c>
      <c r="E5119" s="18" t="s">
        <v>145</v>
      </c>
      <c r="F5119" s="18" t="s">
        <v>105</v>
      </c>
      <c r="G5119" s="18" t="s">
        <v>48</v>
      </c>
      <c r="H5119" s="24">
        <v>8340</v>
      </c>
      <c r="I5119" s="24">
        <f>T_reg.root.SK[[#This Row],[Volume, kg]]/1000</f>
        <v>8.34</v>
      </c>
      <c r="J5119" s="25">
        <v>0.31</v>
      </c>
      <c r="K5119" s="25">
        <f t="shared" si="79"/>
        <v>2585.4</v>
      </c>
      <c r="L5119" s="25">
        <v>2.4</v>
      </c>
      <c r="M5119" s="24">
        <v>20016</v>
      </c>
      <c r="N5119" s="25">
        <f>IFERROR(T_reg.root.SK[[#This Row],[Price]]/T_reg.root.SK[[#This Row],[Starch content]],"")</f>
        <v>7.7419354838709671</v>
      </c>
    </row>
    <row r="5120" spans="1:14">
      <c r="A5120" s="21">
        <v>2025</v>
      </c>
      <c r="B5120" s="21" t="s">
        <v>19</v>
      </c>
      <c r="C5120" s="21" t="s">
        <v>1145</v>
      </c>
      <c r="D5120" s="21" t="s">
        <v>35</v>
      </c>
      <c r="E5120" s="18" t="s">
        <v>146</v>
      </c>
      <c r="F5120" s="18" t="s">
        <v>105</v>
      </c>
      <c r="G5120" s="18" t="s">
        <v>48</v>
      </c>
      <c r="H5120" s="24">
        <v>275270</v>
      </c>
      <c r="I5120" s="24">
        <f>T_reg.root.SK[[#This Row],[Volume, kg]]/1000</f>
        <v>275.27</v>
      </c>
      <c r="J5120" s="25">
        <v>0.249</v>
      </c>
      <c r="K5120" s="25">
        <f t="shared" si="79"/>
        <v>68542.23</v>
      </c>
      <c r="L5120" s="25">
        <v>2.12</v>
      </c>
      <c r="M5120" s="24">
        <v>582522</v>
      </c>
      <c r="N5120" s="25">
        <f>IFERROR(T_reg.root.SK[[#This Row],[Price]]/T_reg.root.SK[[#This Row],[Starch content]],"")</f>
        <v>8.5140562248995995</v>
      </c>
    </row>
    <row r="5121" spans="1:14">
      <c r="A5121" s="21">
        <v>2025</v>
      </c>
      <c r="B5121" s="21" t="s">
        <v>19</v>
      </c>
      <c r="C5121" s="21" t="s">
        <v>1145</v>
      </c>
      <c r="D5121" s="21" t="s">
        <v>35</v>
      </c>
      <c r="E5121" s="18" t="s">
        <v>250</v>
      </c>
      <c r="F5121" s="18" t="s">
        <v>105</v>
      </c>
      <c r="G5121" s="18" t="s">
        <v>48</v>
      </c>
      <c r="H5121" s="24">
        <v>92500</v>
      </c>
      <c r="I5121" s="24">
        <f>T_reg.root.SK[[#This Row],[Volume, kg]]/1000</f>
        <v>92.5</v>
      </c>
      <c r="J5121" s="25">
        <v>0.2802</v>
      </c>
      <c r="K5121" s="25">
        <f t="shared" si="79"/>
        <v>25918.5</v>
      </c>
      <c r="L5121" s="25">
        <v>2.3199999999999998</v>
      </c>
      <c r="M5121" s="24">
        <v>214670</v>
      </c>
      <c r="N5121" s="25">
        <f>IFERROR(T_reg.root.SK[[#This Row],[Price]]/T_reg.root.SK[[#This Row],[Starch content]],"")</f>
        <v>8.2798001427551746</v>
      </c>
    </row>
    <row r="5122" spans="1:14">
      <c r="A5122" s="21">
        <v>2025</v>
      </c>
      <c r="B5122" s="21" t="s">
        <v>19</v>
      </c>
      <c r="C5122" s="21" t="s">
        <v>1145</v>
      </c>
      <c r="D5122" s="21" t="s">
        <v>35</v>
      </c>
      <c r="E5122" s="18" t="s">
        <v>147</v>
      </c>
      <c r="F5122" s="18" t="s">
        <v>105</v>
      </c>
      <c r="G5122" s="18" t="s">
        <v>48</v>
      </c>
      <c r="H5122" s="24">
        <v>18840</v>
      </c>
      <c r="I5122" s="24">
        <f>T_reg.root.SK[[#This Row],[Volume, kg]]/1000</f>
        <v>18.84</v>
      </c>
      <c r="J5122" s="25">
        <v>0.27379999999999999</v>
      </c>
      <c r="K5122" s="25">
        <f t="shared" si="79"/>
        <v>5158.3919999999998</v>
      </c>
      <c r="L5122" s="25">
        <v>2.33</v>
      </c>
      <c r="M5122" s="24">
        <v>43827</v>
      </c>
      <c r="N5122" s="25">
        <f>IFERROR(T_reg.root.SK[[#This Row],[Price]]/T_reg.root.SK[[#This Row],[Starch content]],"")</f>
        <v>8.5098612125639157</v>
      </c>
    </row>
    <row r="5123" spans="1:14">
      <c r="A5123" s="21">
        <v>2025</v>
      </c>
      <c r="B5123" s="21" t="s">
        <v>19</v>
      </c>
      <c r="C5123" s="21" t="s">
        <v>1145</v>
      </c>
      <c r="D5123" s="21" t="s">
        <v>35</v>
      </c>
      <c r="E5123" s="18" t="s">
        <v>991</v>
      </c>
      <c r="F5123" s="18" t="s">
        <v>105</v>
      </c>
      <c r="G5123" s="18" t="s">
        <v>48</v>
      </c>
      <c r="H5123" s="24">
        <v>30630</v>
      </c>
      <c r="I5123" s="24">
        <f>T_reg.root.SK[[#This Row],[Volume, kg]]/1000</f>
        <v>30.63</v>
      </c>
      <c r="J5123" s="25">
        <v>0.27440000000000003</v>
      </c>
      <c r="K5123" s="25">
        <f t="shared" ref="K5123:K5186" si="80">H5123*J5123</f>
        <v>8404.8720000000012</v>
      </c>
      <c r="L5123" s="25">
        <v>2.21</v>
      </c>
      <c r="M5123" s="24">
        <v>67789.5</v>
      </c>
      <c r="N5123" s="25">
        <f>IFERROR(T_reg.root.SK[[#This Row],[Price]]/T_reg.root.SK[[#This Row],[Starch content]],"")</f>
        <v>8.0539358600583082</v>
      </c>
    </row>
    <row r="5124" spans="1:14">
      <c r="A5124" s="21">
        <v>2025</v>
      </c>
      <c r="B5124" s="21" t="s">
        <v>19</v>
      </c>
      <c r="C5124" s="21" t="s">
        <v>1145</v>
      </c>
      <c r="D5124" s="21" t="s">
        <v>35</v>
      </c>
      <c r="E5124" s="18" t="s">
        <v>148</v>
      </c>
      <c r="F5124" s="18" t="s">
        <v>105</v>
      </c>
      <c r="G5124" s="18" t="s">
        <v>48</v>
      </c>
      <c r="H5124" s="24">
        <v>74620</v>
      </c>
      <c r="I5124" s="24">
        <f>T_reg.root.SK[[#This Row],[Volume, kg]]/1000</f>
        <v>74.62</v>
      </c>
      <c r="J5124" s="25">
        <v>0.2384</v>
      </c>
      <c r="K5124" s="25">
        <f t="shared" si="80"/>
        <v>17789.407999999999</v>
      </c>
      <c r="L5124" s="25">
        <v>2.0699999999999998</v>
      </c>
      <c r="M5124" s="24">
        <v>154738</v>
      </c>
      <c r="N5124" s="25">
        <f>IFERROR(T_reg.root.SK[[#This Row],[Price]]/T_reg.root.SK[[#This Row],[Starch content]],"")</f>
        <v>8.6828859060402674</v>
      </c>
    </row>
    <row r="5125" spans="1:14">
      <c r="A5125" s="21">
        <v>2025</v>
      </c>
      <c r="B5125" s="21" t="s">
        <v>19</v>
      </c>
      <c r="C5125" s="21" t="s">
        <v>1145</v>
      </c>
      <c r="D5125" s="21" t="s">
        <v>35</v>
      </c>
      <c r="E5125" s="18" t="s">
        <v>790</v>
      </c>
      <c r="F5125" s="18" t="s">
        <v>105</v>
      </c>
      <c r="G5125" s="18" t="s">
        <v>48</v>
      </c>
      <c r="H5125" s="24">
        <v>19080</v>
      </c>
      <c r="I5125" s="24">
        <f>T_reg.root.SK[[#This Row],[Volume, kg]]/1000</f>
        <v>19.079999999999998</v>
      </c>
      <c r="J5125" s="25">
        <v>0.27029999999999998</v>
      </c>
      <c r="K5125" s="25">
        <f t="shared" si="80"/>
        <v>5157.3239999999996</v>
      </c>
      <c r="L5125" s="25">
        <v>2.14</v>
      </c>
      <c r="M5125" s="24">
        <v>40782</v>
      </c>
      <c r="N5125" s="25">
        <f>IFERROR(T_reg.root.SK[[#This Row],[Price]]/T_reg.root.SK[[#This Row],[Starch content]],"")</f>
        <v>7.9171291157972634</v>
      </c>
    </row>
    <row r="5126" spans="1:14">
      <c r="A5126" s="21">
        <v>2025</v>
      </c>
      <c r="B5126" s="21" t="s">
        <v>19</v>
      </c>
      <c r="C5126" s="21" t="s">
        <v>1145</v>
      </c>
      <c r="D5126" s="21" t="s">
        <v>35</v>
      </c>
      <c r="E5126" s="18" t="s">
        <v>314</v>
      </c>
      <c r="F5126" s="18" t="s">
        <v>105</v>
      </c>
      <c r="G5126" s="18" t="s">
        <v>48</v>
      </c>
      <c r="H5126" s="24">
        <v>74090</v>
      </c>
      <c r="I5126" s="24">
        <f>T_reg.root.SK[[#This Row],[Volume, kg]]/1000</f>
        <v>74.09</v>
      </c>
      <c r="J5126" s="25">
        <v>0.29719999999999996</v>
      </c>
      <c r="K5126" s="25">
        <f t="shared" si="80"/>
        <v>22019.547999999999</v>
      </c>
      <c r="L5126" s="25">
        <v>2.4</v>
      </c>
      <c r="M5126" s="24">
        <v>177774.5</v>
      </c>
      <c r="N5126" s="25">
        <f>IFERROR(T_reg.root.SK[[#This Row],[Price]]/T_reg.root.SK[[#This Row],[Starch content]],"")</f>
        <v>8.0753701211305522</v>
      </c>
    </row>
    <row r="5127" spans="1:14">
      <c r="A5127" s="21">
        <v>2025</v>
      </c>
      <c r="B5127" s="21" t="s">
        <v>19</v>
      </c>
      <c r="C5127" s="21" t="s">
        <v>1145</v>
      </c>
      <c r="D5127" s="21" t="s">
        <v>35</v>
      </c>
      <c r="E5127" s="18" t="s">
        <v>687</v>
      </c>
      <c r="F5127" s="18" t="s">
        <v>105</v>
      </c>
      <c r="G5127" s="18" t="s">
        <v>48</v>
      </c>
      <c r="H5127" s="24">
        <v>70670</v>
      </c>
      <c r="I5127" s="24">
        <f>T_reg.root.SK[[#This Row],[Volume, kg]]/1000</f>
        <v>70.67</v>
      </c>
      <c r="J5127" s="25">
        <v>0.25459999999999999</v>
      </c>
      <c r="K5127" s="25">
        <f t="shared" si="80"/>
        <v>17992.581999999999</v>
      </c>
      <c r="L5127" s="25">
        <v>2.09</v>
      </c>
      <c r="M5127" s="24">
        <v>147517.5</v>
      </c>
      <c r="N5127" s="25">
        <f>IFERROR(T_reg.root.SK[[#This Row],[Price]]/T_reg.root.SK[[#This Row],[Starch content]],"")</f>
        <v>8.2089552238805972</v>
      </c>
    </row>
    <row r="5128" spans="1:14">
      <c r="A5128" s="21">
        <v>2025</v>
      </c>
      <c r="B5128" s="21" t="s">
        <v>19</v>
      </c>
      <c r="C5128" s="21" t="s">
        <v>1145</v>
      </c>
      <c r="D5128" s="21" t="s">
        <v>35</v>
      </c>
      <c r="E5128" s="18" t="s">
        <v>150</v>
      </c>
      <c r="F5128" s="18" t="s">
        <v>105</v>
      </c>
      <c r="G5128" s="18" t="s">
        <v>48</v>
      </c>
      <c r="H5128" s="24">
        <v>117200</v>
      </c>
      <c r="I5128" s="24">
        <f>T_reg.root.SK[[#This Row],[Volume, kg]]/1000</f>
        <v>117.2</v>
      </c>
      <c r="J5128" s="25">
        <v>0.25309999999999999</v>
      </c>
      <c r="K5128" s="25">
        <f t="shared" si="80"/>
        <v>29663.32</v>
      </c>
      <c r="L5128" s="25">
        <v>2.16</v>
      </c>
      <c r="M5128" s="24">
        <v>252695</v>
      </c>
      <c r="N5128" s="25">
        <f>IFERROR(T_reg.root.SK[[#This Row],[Price]]/T_reg.root.SK[[#This Row],[Starch content]],"")</f>
        <v>8.5341762149348099</v>
      </c>
    </row>
    <row r="5129" spans="1:14">
      <c r="A5129" s="21">
        <v>2025</v>
      </c>
      <c r="B5129" s="21" t="s">
        <v>19</v>
      </c>
      <c r="C5129" s="21" t="s">
        <v>1145</v>
      </c>
      <c r="D5129" s="21" t="s">
        <v>35</v>
      </c>
      <c r="E5129" s="18" t="s">
        <v>151</v>
      </c>
      <c r="F5129" s="18" t="s">
        <v>105</v>
      </c>
      <c r="G5129" s="18" t="s">
        <v>48</v>
      </c>
      <c r="H5129" s="24">
        <v>244210</v>
      </c>
      <c r="I5129" s="24">
        <f>T_reg.root.SK[[#This Row],[Volume, kg]]/1000</f>
        <v>244.21</v>
      </c>
      <c r="J5129" s="25">
        <v>0.26550000000000001</v>
      </c>
      <c r="K5129" s="25">
        <f t="shared" si="80"/>
        <v>64837.755000000005</v>
      </c>
      <c r="L5129" s="25">
        <v>2.19</v>
      </c>
      <c r="M5129" s="24">
        <v>534190</v>
      </c>
      <c r="N5129" s="25">
        <f>IFERROR(T_reg.root.SK[[#This Row],[Price]]/T_reg.root.SK[[#This Row],[Starch content]],"")</f>
        <v>8.2485875706214689</v>
      </c>
    </row>
    <row r="5130" spans="1:14">
      <c r="A5130" s="21">
        <v>2025</v>
      </c>
      <c r="B5130" s="21" t="s">
        <v>19</v>
      </c>
      <c r="C5130" s="21" t="s">
        <v>1145</v>
      </c>
      <c r="D5130" s="21" t="s">
        <v>35</v>
      </c>
      <c r="E5130" s="18" t="s">
        <v>254</v>
      </c>
      <c r="F5130" s="18" t="s">
        <v>105</v>
      </c>
      <c r="G5130" s="18" t="s">
        <v>48</v>
      </c>
      <c r="H5130" s="24">
        <v>7020</v>
      </c>
      <c r="I5130" s="24">
        <f>T_reg.root.SK[[#This Row],[Volume, kg]]/1000</f>
        <v>7.02</v>
      </c>
      <c r="J5130" s="25">
        <v>0.255</v>
      </c>
      <c r="K5130" s="25">
        <f t="shared" si="80"/>
        <v>1790.1000000000001</v>
      </c>
      <c r="L5130" s="25">
        <v>2.15</v>
      </c>
      <c r="M5130" s="24">
        <v>15093</v>
      </c>
      <c r="N5130" s="25">
        <f>IFERROR(T_reg.root.SK[[#This Row],[Price]]/T_reg.root.SK[[#This Row],[Starch content]],"")</f>
        <v>8.4313725490196081</v>
      </c>
    </row>
    <row r="5131" spans="1:14">
      <c r="A5131" s="21">
        <v>2025</v>
      </c>
      <c r="B5131" s="21" t="s">
        <v>19</v>
      </c>
      <c r="C5131" s="21" t="s">
        <v>1145</v>
      </c>
      <c r="D5131" s="21" t="s">
        <v>35</v>
      </c>
      <c r="E5131" s="18" t="s">
        <v>155</v>
      </c>
      <c r="F5131" s="18" t="s">
        <v>105</v>
      </c>
      <c r="G5131" s="18" t="s">
        <v>48</v>
      </c>
      <c r="H5131" s="24">
        <v>113330</v>
      </c>
      <c r="I5131" s="24">
        <f>T_reg.root.SK[[#This Row],[Volume, kg]]/1000</f>
        <v>113.33</v>
      </c>
      <c r="J5131" s="25">
        <v>0.26440000000000002</v>
      </c>
      <c r="K5131" s="25">
        <f t="shared" si="80"/>
        <v>29964.452000000001</v>
      </c>
      <c r="L5131" s="25">
        <v>2.2000000000000002</v>
      </c>
      <c r="M5131" s="24">
        <v>248866.5</v>
      </c>
      <c r="N5131" s="25">
        <f>IFERROR(T_reg.root.SK[[#This Row],[Price]]/T_reg.root.SK[[#This Row],[Starch content]],"")</f>
        <v>8.3207261724659602</v>
      </c>
    </row>
    <row r="5132" spans="1:14">
      <c r="A5132" s="21">
        <v>2025</v>
      </c>
      <c r="B5132" s="21" t="s">
        <v>19</v>
      </c>
      <c r="C5132" s="21" t="s">
        <v>1145</v>
      </c>
      <c r="D5132" s="21" t="s">
        <v>35</v>
      </c>
      <c r="E5132" s="18" t="s">
        <v>992</v>
      </c>
      <c r="F5132" s="18" t="s">
        <v>105</v>
      </c>
      <c r="G5132" s="18" t="s">
        <v>48</v>
      </c>
      <c r="H5132" s="24">
        <v>9390</v>
      </c>
      <c r="I5132" s="24">
        <f>T_reg.root.SK[[#This Row],[Volume, kg]]/1000</f>
        <v>9.39</v>
      </c>
      <c r="J5132" s="25">
        <v>0.27489999999999998</v>
      </c>
      <c r="K5132" s="25">
        <f t="shared" si="80"/>
        <v>2581.3109999999997</v>
      </c>
      <c r="L5132" s="25">
        <v>2.3199999999999998</v>
      </c>
      <c r="M5132" s="24">
        <v>21815.5</v>
      </c>
      <c r="N5132" s="25">
        <f>IFERROR(T_reg.root.SK[[#This Row],[Price]]/T_reg.root.SK[[#This Row],[Starch content]],"")</f>
        <v>8.4394325209166965</v>
      </c>
    </row>
    <row r="5133" spans="1:14">
      <c r="A5133" s="21">
        <v>2025</v>
      </c>
      <c r="B5133" s="21" t="s">
        <v>19</v>
      </c>
      <c r="C5133" s="21" t="s">
        <v>1145</v>
      </c>
      <c r="D5133" s="21" t="s">
        <v>35</v>
      </c>
      <c r="E5133" s="18" t="s">
        <v>158</v>
      </c>
      <c r="F5133" s="18" t="s">
        <v>105</v>
      </c>
      <c r="G5133" s="18" t="s">
        <v>48</v>
      </c>
      <c r="H5133" s="24">
        <v>17970</v>
      </c>
      <c r="I5133" s="24">
        <f>T_reg.root.SK[[#This Row],[Volume, kg]]/1000</f>
        <v>17.97</v>
      </c>
      <c r="J5133" s="25">
        <v>0.25800000000000001</v>
      </c>
      <c r="K5133" s="25">
        <f t="shared" si="80"/>
        <v>4636.26</v>
      </c>
      <c r="L5133" s="25">
        <v>2.13</v>
      </c>
      <c r="M5133" s="24">
        <v>38208</v>
      </c>
      <c r="N5133" s="25">
        <f>IFERROR(T_reg.root.SK[[#This Row],[Price]]/T_reg.root.SK[[#This Row],[Starch content]],"")</f>
        <v>8.2558139534883708</v>
      </c>
    </row>
    <row r="5134" spans="1:14">
      <c r="A5134" s="21">
        <v>2025</v>
      </c>
      <c r="B5134" s="21" t="s">
        <v>19</v>
      </c>
      <c r="C5134" s="21" t="s">
        <v>1145</v>
      </c>
      <c r="D5134" s="21" t="s">
        <v>35</v>
      </c>
      <c r="E5134" s="18" t="s">
        <v>159</v>
      </c>
      <c r="F5134" s="18" t="s">
        <v>105</v>
      </c>
      <c r="G5134" s="18" t="s">
        <v>48</v>
      </c>
      <c r="H5134" s="24">
        <v>599030</v>
      </c>
      <c r="I5134" s="24">
        <f>T_reg.root.SK[[#This Row],[Volume, kg]]/1000</f>
        <v>599.03</v>
      </c>
      <c r="J5134" s="25">
        <v>0.26369999999999999</v>
      </c>
      <c r="K5134" s="25">
        <f t="shared" si="80"/>
        <v>157964.21099999998</v>
      </c>
      <c r="L5134" s="25">
        <v>2.2200000000000002</v>
      </c>
      <c r="M5134" s="24">
        <v>1328958.5</v>
      </c>
      <c r="N5134" s="25">
        <f>IFERROR(T_reg.root.SK[[#This Row],[Price]]/T_reg.root.SK[[#This Row],[Starch content]],"")</f>
        <v>8.4186575654152449</v>
      </c>
    </row>
    <row r="5135" spans="1:14">
      <c r="A5135" s="21">
        <v>2025</v>
      </c>
      <c r="B5135" s="21" t="s">
        <v>19</v>
      </c>
      <c r="C5135" s="21" t="s">
        <v>1145</v>
      </c>
      <c r="D5135" s="21" t="s">
        <v>35</v>
      </c>
      <c r="E5135" s="18" t="s">
        <v>255</v>
      </c>
      <c r="F5135" s="18" t="s">
        <v>105</v>
      </c>
      <c r="G5135" s="18" t="s">
        <v>48</v>
      </c>
      <c r="H5135" s="24">
        <v>28540</v>
      </c>
      <c r="I5135" s="24">
        <f>T_reg.root.SK[[#This Row],[Volume, kg]]/1000</f>
        <v>28.54</v>
      </c>
      <c r="J5135" s="25">
        <v>0.30120000000000002</v>
      </c>
      <c r="K5135" s="25">
        <f t="shared" si="80"/>
        <v>8596.2480000000014</v>
      </c>
      <c r="L5135" s="25">
        <v>2.4</v>
      </c>
      <c r="M5135" s="24">
        <v>68496</v>
      </c>
      <c r="N5135" s="25">
        <f>IFERROR(T_reg.root.SK[[#This Row],[Price]]/T_reg.root.SK[[#This Row],[Starch content]],"")</f>
        <v>7.9681274900398398</v>
      </c>
    </row>
    <row r="5136" spans="1:14">
      <c r="A5136" s="21">
        <v>2025</v>
      </c>
      <c r="B5136" s="21" t="s">
        <v>19</v>
      </c>
      <c r="C5136" s="21" t="s">
        <v>1145</v>
      </c>
      <c r="D5136" s="21" t="s">
        <v>35</v>
      </c>
      <c r="E5136" s="18" t="s">
        <v>161</v>
      </c>
      <c r="F5136" s="18" t="s">
        <v>105</v>
      </c>
      <c r="G5136" s="18" t="s">
        <v>48</v>
      </c>
      <c r="H5136" s="24">
        <v>76150</v>
      </c>
      <c r="I5136" s="24">
        <f>T_reg.root.SK[[#This Row],[Volume, kg]]/1000</f>
        <v>76.150000000000006</v>
      </c>
      <c r="J5136" s="25">
        <v>0.23149999999999998</v>
      </c>
      <c r="K5136" s="25">
        <f t="shared" si="80"/>
        <v>17628.724999999999</v>
      </c>
      <c r="L5136" s="25">
        <v>1.96</v>
      </c>
      <c r="M5136" s="24">
        <v>149052.5</v>
      </c>
      <c r="N5136" s="25">
        <f>IFERROR(T_reg.root.SK[[#This Row],[Price]]/T_reg.root.SK[[#This Row],[Starch content]],"")</f>
        <v>8.4665226781857452</v>
      </c>
    </row>
    <row r="5137" spans="1:14">
      <c r="A5137" s="21">
        <v>2025</v>
      </c>
      <c r="B5137" s="21" t="s">
        <v>19</v>
      </c>
      <c r="C5137" s="21" t="s">
        <v>1145</v>
      </c>
      <c r="D5137" s="21" t="s">
        <v>35</v>
      </c>
      <c r="E5137" s="18" t="s">
        <v>162</v>
      </c>
      <c r="F5137" s="18" t="s">
        <v>105</v>
      </c>
      <c r="G5137" s="18" t="s">
        <v>48</v>
      </c>
      <c r="H5137" s="24">
        <v>124920</v>
      </c>
      <c r="I5137" s="24">
        <f>T_reg.root.SK[[#This Row],[Volume, kg]]/1000</f>
        <v>124.92</v>
      </c>
      <c r="J5137" s="25">
        <v>0.25869999999999999</v>
      </c>
      <c r="K5137" s="25">
        <f t="shared" si="80"/>
        <v>32316.803999999996</v>
      </c>
      <c r="L5137" s="25">
        <v>2.16</v>
      </c>
      <c r="M5137" s="24">
        <v>270098</v>
      </c>
      <c r="N5137" s="25">
        <f>IFERROR(T_reg.root.SK[[#This Row],[Price]]/T_reg.root.SK[[#This Row],[Starch content]],"")</f>
        <v>8.3494395052184007</v>
      </c>
    </row>
    <row r="5138" spans="1:14">
      <c r="A5138" s="21">
        <v>2025</v>
      </c>
      <c r="B5138" s="21" t="s">
        <v>19</v>
      </c>
      <c r="C5138" s="21" t="s">
        <v>1145</v>
      </c>
      <c r="D5138" s="21" t="s">
        <v>35</v>
      </c>
      <c r="E5138" s="18" t="s">
        <v>163</v>
      </c>
      <c r="F5138" s="18" t="s">
        <v>105</v>
      </c>
      <c r="G5138" s="18" t="s">
        <v>48</v>
      </c>
      <c r="H5138" s="24">
        <v>65020</v>
      </c>
      <c r="I5138" s="24">
        <f>T_reg.root.SK[[#This Row],[Volume, kg]]/1000</f>
        <v>65.02</v>
      </c>
      <c r="J5138" s="25">
        <v>0.24050000000000002</v>
      </c>
      <c r="K5138" s="25">
        <f t="shared" si="80"/>
        <v>15637.310000000001</v>
      </c>
      <c r="L5138" s="25">
        <v>2.1</v>
      </c>
      <c r="M5138" s="24">
        <v>136579</v>
      </c>
      <c r="N5138" s="25">
        <f>IFERROR(T_reg.root.SK[[#This Row],[Price]]/T_reg.root.SK[[#This Row],[Starch content]],"")</f>
        <v>8.7318087318087318</v>
      </c>
    </row>
    <row r="5139" spans="1:14">
      <c r="A5139" s="21">
        <v>2025</v>
      </c>
      <c r="B5139" s="21" t="s">
        <v>19</v>
      </c>
      <c r="C5139" s="21" t="s">
        <v>1145</v>
      </c>
      <c r="D5139" s="21" t="s">
        <v>35</v>
      </c>
      <c r="E5139" s="18" t="s">
        <v>165</v>
      </c>
      <c r="F5139" s="18" t="s">
        <v>105</v>
      </c>
      <c r="G5139" s="18" t="s">
        <v>48</v>
      </c>
      <c r="H5139" s="24">
        <v>30130</v>
      </c>
      <c r="I5139" s="24">
        <f>T_reg.root.SK[[#This Row],[Volume, kg]]/1000</f>
        <v>30.13</v>
      </c>
      <c r="J5139" s="25">
        <v>0.28610000000000002</v>
      </c>
      <c r="K5139" s="25">
        <f t="shared" si="80"/>
        <v>8620.1930000000011</v>
      </c>
      <c r="L5139" s="25">
        <v>2.39</v>
      </c>
      <c r="M5139" s="24">
        <v>72056</v>
      </c>
      <c r="N5139" s="25">
        <f>IFERROR(T_reg.root.SK[[#This Row],[Price]]/T_reg.root.SK[[#This Row],[Starch content]],"")</f>
        <v>8.3537224746592091</v>
      </c>
    </row>
    <row r="5140" spans="1:14">
      <c r="A5140" s="21">
        <v>2025</v>
      </c>
      <c r="B5140" s="21" t="s">
        <v>19</v>
      </c>
      <c r="C5140" s="21" t="s">
        <v>1145</v>
      </c>
      <c r="D5140" s="21" t="s">
        <v>35</v>
      </c>
      <c r="E5140" s="18" t="s">
        <v>954</v>
      </c>
      <c r="F5140" s="18" t="s">
        <v>105</v>
      </c>
      <c r="G5140" s="18" t="s">
        <v>48</v>
      </c>
      <c r="H5140" s="24">
        <v>19950</v>
      </c>
      <c r="I5140" s="24">
        <f>T_reg.root.SK[[#This Row],[Volume, kg]]/1000</f>
        <v>19.95</v>
      </c>
      <c r="J5140" s="25">
        <v>0.2475</v>
      </c>
      <c r="K5140" s="25">
        <f t="shared" si="80"/>
        <v>4937.625</v>
      </c>
      <c r="L5140" s="25">
        <v>2.08</v>
      </c>
      <c r="M5140" s="24">
        <v>41450</v>
      </c>
      <c r="N5140" s="25">
        <f>IFERROR(T_reg.root.SK[[#This Row],[Price]]/T_reg.root.SK[[#This Row],[Starch content]],"")</f>
        <v>8.4040404040404049</v>
      </c>
    </row>
    <row r="5141" spans="1:14">
      <c r="A5141" s="21">
        <v>2025</v>
      </c>
      <c r="B5141" s="21" t="s">
        <v>19</v>
      </c>
      <c r="C5141" s="21" t="s">
        <v>1145</v>
      </c>
      <c r="D5141" s="21" t="s">
        <v>35</v>
      </c>
      <c r="E5141" s="18" t="s">
        <v>620</v>
      </c>
      <c r="F5141" s="18" t="s">
        <v>105</v>
      </c>
      <c r="G5141" s="18" t="s">
        <v>48</v>
      </c>
      <c r="H5141" s="24">
        <v>68120</v>
      </c>
      <c r="I5141" s="24">
        <f>T_reg.root.SK[[#This Row],[Volume, kg]]/1000</f>
        <v>68.12</v>
      </c>
      <c r="J5141" s="25">
        <v>0.25530000000000003</v>
      </c>
      <c r="K5141" s="25">
        <f t="shared" si="80"/>
        <v>17391.036</v>
      </c>
      <c r="L5141" s="25">
        <v>2.19</v>
      </c>
      <c r="M5141" s="24">
        <v>148866.5</v>
      </c>
      <c r="N5141" s="25">
        <f>IFERROR(T_reg.root.SK[[#This Row],[Price]]/T_reg.root.SK[[#This Row],[Starch content]],"")</f>
        <v>8.5781433607520547</v>
      </c>
    </row>
    <row r="5142" spans="1:14">
      <c r="A5142" s="21">
        <v>2025</v>
      </c>
      <c r="B5142" s="21" t="s">
        <v>19</v>
      </c>
      <c r="C5142" s="21" t="s">
        <v>1145</v>
      </c>
      <c r="D5142" s="21" t="s">
        <v>35</v>
      </c>
      <c r="E5142" s="18" t="s">
        <v>993</v>
      </c>
      <c r="F5142" s="18" t="s">
        <v>105</v>
      </c>
      <c r="G5142" s="18" t="s">
        <v>48</v>
      </c>
      <c r="H5142" s="24">
        <v>36650</v>
      </c>
      <c r="I5142" s="24">
        <f>T_reg.root.SK[[#This Row],[Volume, kg]]/1000</f>
        <v>36.65</v>
      </c>
      <c r="J5142" s="25">
        <v>0.30280000000000001</v>
      </c>
      <c r="K5142" s="25">
        <f t="shared" si="80"/>
        <v>11097.62</v>
      </c>
      <c r="L5142" s="25">
        <v>2.41</v>
      </c>
      <c r="M5142" s="24">
        <v>88180.5</v>
      </c>
      <c r="N5142" s="25">
        <f>IFERROR(T_reg.root.SK[[#This Row],[Price]]/T_reg.root.SK[[#This Row],[Starch content]],"")</f>
        <v>7.9590488771466319</v>
      </c>
    </row>
    <row r="5143" spans="1:14">
      <c r="A5143" s="21">
        <v>2025</v>
      </c>
      <c r="B5143" s="21" t="s">
        <v>19</v>
      </c>
      <c r="C5143" s="21" t="s">
        <v>1145</v>
      </c>
      <c r="D5143" s="21" t="s">
        <v>35</v>
      </c>
      <c r="E5143" s="18" t="s">
        <v>257</v>
      </c>
      <c r="F5143" s="18" t="s">
        <v>105</v>
      </c>
      <c r="G5143" s="18" t="s">
        <v>48</v>
      </c>
      <c r="H5143" s="24">
        <v>17570</v>
      </c>
      <c r="I5143" s="24">
        <f>T_reg.root.SK[[#This Row],[Volume, kg]]/1000</f>
        <v>17.57</v>
      </c>
      <c r="J5143" s="25">
        <v>0.27600000000000002</v>
      </c>
      <c r="K5143" s="25">
        <f t="shared" si="80"/>
        <v>4849.3200000000006</v>
      </c>
      <c r="L5143" s="25">
        <v>2.2799999999999998</v>
      </c>
      <c r="M5143" s="24">
        <v>39972</v>
      </c>
      <c r="N5143" s="25">
        <f>IFERROR(T_reg.root.SK[[#This Row],[Price]]/T_reg.root.SK[[#This Row],[Starch content]],"")</f>
        <v>8.2608695652173907</v>
      </c>
    </row>
    <row r="5144" spans="1:14">
      <c r="A5144" s="21">
        <v>2025</v>
      </c>
      <c r="B5144" s="21" t="s">
        <v>19</v>
      </c>
      <c r="C5144" s="21" t="s">
        <v>1145</v>
      </c>
      <c r="D5144" s="21" t="s">
        <v>35</v>
      </c>
      <c r="E5144" s="18" t="s">
        <v>739</v>
      </c>
      <c r="F5144" s="18" t="s">
        <v>105</v>
      </c>
      <c r="G5144" s="18" t="s">
        <v>48</v>
      </c>
      <c r="H5144" s="24">
        <v>137040</v>
      </c>
      <c r="I5144" s="24">
        <f>T_reg.root.SK[[#This Row],[Volume, kg]]/1000</f>
        <v>137.04</v>
      </c>
      <c r="J5144" s="25">
        <v>0.26719999999999999</v>
      </c>
      <c r="K5144" s="25">
        <f t="shared" si="80"/>
        <v>36617.087999999996</v>
      </c>
      <c r="L5144" s="25">
        <v>2.2200000000000002</v>
      </c>
      <c r="M5144" s="24">
        <v>304121</v>
      </c>
      <c r="N5144" s="25">
        <f>IFERROR(T_reg.root.SK[[#This Row],[Price]]/T_reg.root.SK[[#This Row],[Starch content]],"")</f>
        <v>8.3083832335329344</v>
      </c>
    </row>
    <row r="5145" spans="1:14">
      <c r="A5145" s="21">
        <v>2025</v>
      </c>
      <c r="B5145" s="21" t="s">
        <v>19</v>
      </c>
      <c r="C5145" s="21" t="s">
        <v>1145</v>
      </c>
      <c r="D5145" s="21" t="s">
        <v>35</v>
      </c>
      <c r="E5145" s="18" t="s">
        <v>170</v>
      </c>
      <c r="F5145" s="18" t="s">
        <v>105</v>
      </c>
      <c r="G5145" s="18" t="s">
        <v>48</v>
      </c>
      <c r="H5145" s="24">
        <v>77400</v>
      </c>
      <c r="I5145" s="24">
        <f>T_reg.root.SK[[#This Row],[Volume, kg]]/1000</f>
        <v>77.400000000000006</v>
      </c>
      <c r="J5145" s="25">
        <v>0.2616</v>
      </c>
      <c r="K5145" s="25">
        <f t="shared" si="80"/>
        <v>20247.84</v>
      </c>
      <c r="L5145" s="25">
        <v>2.17</v>
      </c>
      <c r="M5145" s="24">
        <v>167896</v>
      </c>
      <c r="N5145" s="25">
        <f>IFERROR(T_reg.root.SK[[#This Row],[Price]]/T_reg.root.SK[[#This Row],[Starch content]],"")</f>
        <v>8.2951070336391428</v>
      </c>
    </row>
    <row r="5146" spans="1:14">
      <c r="A5146" s="21">
        <v>2025</v>
      </c>
      <c r="B5146" s="21" t="s">
        <v>19</v>
      </c>
      <c r="C5146" s="21" t="s">
        <v>1145</v>
      </c>
      <c r="D5146" s="21" t="s">
        <v>35</v>
      </c>
      <c r="E5146" s="18" t="s">
        <v>722</v>
      </c>
      <c r="F5146" s="18" t="s">
        <v>105</v>
      </c>
      <c r="G5146" s="18" t="s">
        <v>48</v>
      </c>
      <c r="H5146" s="24">
        <v>60230</v>
      </c>
      <c r="I5146" s="24">
        <f>T_reg.root.SK[[#This Row],[Volume, kg]]/1000</f>
        <v>60.23</v>
      </c>
      <c r="J5146" s="25">
        <v>0.25719999999999998</v>
      </c>
      <c r="K5146" s="25">
        <f t="shared" si="80"/>
        <v>15491.155999999999</v>
      </c>
      <c r="L5146" s="25">
        <v>2.14</v>
      </c>
      <c r="M5146" s="24">
        <v>128780.5</v>
      </c>
      <c r="N5146" s="25">
        <f>IFERROR(T_reg.root.SK[[#This Row],[Price]]/T_reg.root.SK[[#This Row],[Starch content]],"")</f>
        <v>8.320373250388803</v>
      </c>
    </row>
    <row r="5147" spans="1:14">
      <c r="A5147" s="21">
        <v>2025</v>
      </c>
      <c r="B5147" s="21" t="s">
        <v>19</v>
      </c>
      <c r="C5147" s="21" t="s">
        <v>1145</v>
      </c>
      <c r="D5147" s="21" t="s">
        <v>35</v>
      </c>
      <c r="E5147" s="18" t="s">
        <v>172</v>
      </c>
      <c r="F5147" s="18" t="s">
        <v>105</v>
      </c>
      <c r="G5147" s="18" t="s">
        <v>48</v>
      </c>
      <c r="H5147" s="24">
        <v>10710</v>
      </c>
      <c r="I5147" s="24">
        <f>T_reg.root.SK[[#This Row],[Volume, kg]]/1000</f>
        <v>10.71</v>
      </c>
      <c r="J5147" s="25">
        <v>0.26750000000000002</v>
      </c>
      <c r="K5147" s="25">
        <f t="shared" si="80"/>
        <v>2864.9250000000002</v>
      </c>
      <c r="L5147" s="25">
        <v>2.2999999999999998</v>
      </c>
      <c r="M5147" s="24">
        <v>24633</v>
      </c>
      <c r="N5147" s="25">
        <f>IFERROR(T_reg.root.SK[[#This Row],[Price]]/T_reg.root.SK[[#This Row],[Starch content]],"")</f>
        <v>8.5981308411214936</v>
      </c>
    </row>
    <row r="5148" spans="1:14">
      <c r="A5148" s="21">
        <v>2025</v>
      </c>
      <c r="B5148" s="21" t="s">
        <v>19</v>
      </c>
      <c r="C5148" s="21" t="s">
        <v>1145</v>
      </c>
      <c r="D5148" s="21" t="s">
        <v>35</v>
      </c>
      <c r="E5148" s="18" t="s">
        <v>321</v>
      </c>
      <c r="F5148" s="18" t="s">
        <v>105</v>
      </c>
      <c r="G5148" s="18" t="s">
        <v>48</v>
      </c>
      <c r="H5148" s="24">
        <v>29010</v>
      </c>
      <c r="I5148" s="24">
        <f>T_reg.root.SK[[#This Row],[Volume, kg]]/1000</f>
        <v>29.01</v>
      </c>
      <c r="J5148" s="25">
        <v>0.2823</v>
      </c>
      <c r="K5148" s="25">
        <f t="shared" si="80"/>
        <v>8189.5230000000001</v>
      </c>
      <c r="L5148" s="25">
        <v>2.2200000000000002</v>
      </c>
      <c r="M5148" s="24">
        <v>64439.5</v>
      </c>
      <c r="N5148" s="25">
        <f>IFERROR(T_reg.root.SK[[#This Row],[Price]]/T_reg.root.SK[[#This Row],[Starch content]],"")</f>
        <v>7.8639744952178541</v>
      </c>
    </row>
    <row r="5149" spans="1:14">
      <c r="A5149" s="21">
        <v>2025</v>
      </c>
      <c r="B5149" s="21" t="s">
        <v>19</v>
      </c>
      <c r="C5149" s="21" t="s">
        <v>1145</v>
      </c>
      <c r="D5149" s="21" t="s">
        <v>35</v>
      </c>
      <c r="E5149" s="18" t="s">
        <v>322</v>
      </c>
      <c r="F5149" s="18" t="s">
        <v>105</v>
      </c>
      <c r="G5149" s="18" t="s">
        <v>48</v>
      </c>
      <c r="H5149" s="24">
        <v>123010</v>
      </c>
      <c r="I5149" s="24">
        <f>T_reg.root.SK[[#This Row],[Volume, kg]]/1000</f>
        <v>123.01</v>
      </c>
      <c r="J5149" s="25">
        <v>0.29059999999999997</v>
      </c>
      <c r="K5149" s="25">
        <f t="shared" si="80"/>
        <v>35746.705999999998</v>
      </c>
      <c r="L5149" s="25">
        <v>2.34</v>
      </c>
      <c r="M5149" s="24">
        <v>287352</v>
      </c>
      <c r="N5149" s="25">
        <f>IFERROR(T_reg.root.SK[[#This Row],[Price]]/T_reg.root.SK[[#This Row],[Starch content]],"")</f>
        <v>8.05230557467309</v>
      </c>
    </row>
    <row r="5150" spans="1:14">
      <c r="A5150" s="21">
        <v>2025</v>
      </c>
      <c r="B5150" s="21" t="s">
        <v>19</v>
      </c>
      <c r="C5150" s="21" t="s">
        <v>1145</v>
      </c>
      <c r="D5150" s="21" t="s">
        <v>35</v>
      </c>
      <c r="E5150" s="18" t="s">
        <v>173</v>
      </c>
      <c r="F5150" s="18" t="s">
        <v>105</v>
      </c>
      <c r="G5150" s="18" t="s">
        <v>48</v>
      </c>
      <c r="H5150" s="24">
        <v>94870</v>
      </c>
      <c r="I5150" s="24">
        <f>T_reg.root.SK[[#This Row],[Volume, kg]]/1000</f>
        <v>94.87</v>
      </c>
      <c r="J5150" s="25">
        <v>0.25519999999999998</v>
      </c>
      <c r="K5150" s="25">
        <f t="shared" si="80"/>
        <v>24210.823999999997</v>
      </c>
      <c r="L5150" s="25">
        <v>2.19</v>
      </c>
      <c r="M5150" s="24">
        <v>207294.5</v>
      </c>
      <c r="N5150" s="25">
        <f>IFERROR(T_reg.root.SK[[#This Row],[Price]]/T_reg.root.SK[[#This Row],[Starch content]],"")</f>
        <v>8.5815047021943585</v>
      </c>
    </row>
    <row r="5151" spans="1:14">
      <c r="A5151" s="21">
        <v>2025</v>
      </c>
      <c r="B5151" s="21" t="s">
        <v>19</v>
      </c>
      <c r="C5151" s="21" t="s">
        <v>1145</v>
      </c>
      <c r="D5151" s="21" t="s">
        <v>35</v>
      </c>
      <c r="E5151" s="18" t="s">
        <v>935</v>
      </c>
      <c r="F5151" s="18" t="s">
        <v>105</v>
      </c>
      <c r="G5151" s="18" t="s">
        <v>48</v>
      </c>
      <c r="H5151" s="24">
        <v>31520</v>
      </c>
      <c r="I5151" s="24">
        <f>T_reg.root.SK[[#This Row],[Volume, kg]]/1000</f>
        <v>31.52</v>
      </c>
      <c r="J5151" s="25">
        <v>0.2407</v>
      </c>
      <c r="K5151" s="25">
        <f t="shared" si="80"/>
        <v>7586.8639999999996</v>
      </c>
      <c r="L5151" s="25">
        <v>2.02</v>
      </c>
      <c r="M5151" s="24">
        <v>63532</v>
      </c>
      <c r="N5151" s="25">
        <f>IFERROR(T_reg.root.SK[[#This Row],[Price]]/T_reg.root.SK[[#This Row],[Starch content]],"")</f>
        <v>8.3921894474449523</v>
      </c>
    </row>
    <row r="5152" spans="1:14">
      <c r="A5152" s="21">
        <v>2025</v>
      </c>
      <c r="B5152" s="21" t="s">
        <v>19</v>
      </c>
      <c r="C5152" s="21" t="s">
        <v>1145</v>
      </c>
      <c r="D5152" s="21" t="s">
        <v>35</v>
      </c>
      <c r="E5152" s="18" t="s">
        <v>828</v>
      </c>
      <c r="F5152" s="18" t="s">
        <v>105</v>
      </c>
      <c r="G5152" s="18" t="s">
        <v>48</v>
      </c>
      <c r="H5152" s="24">
        <v>103160</v>
      </c>
      <c r="I5152" s="24">
        <f>T_reg.root.SK[[#This Row],[Volume, kg]]/1000</f>
        <v>103.16</v>
      </c>
      <c r="J5152" s="25">
        <v>0.27410000000000001</v>
      </c>
      <c r="K5152" s="25">
        <f t="shared" si="80"/>
        <v>28276.156000000003</v>
      </c>
      <c r="L5152" s="25">
        <v>2.23</v>
      </c>
      <c r="M5152" s="24">
        <v>230180.5</v>
      </c>
      <c r="N5152" s="25">
        <f>IFERROR(T_reg.root.SK[[#This Row],[Price]]/T_reg.root.SK[[#This Row],[Starch content]],"")</f>
        <v>8.1357168916453837</v>
      </c>
    </row>
    <row r="5153" spans="1:14">
      <c r="A5153" s="21">
        <v>2025</v>
      </c>
      <c r="B5153" s="21" t="s">
        <v>19</v>
      </c>
      <c r="C5153" s="21" t="s">
        <v>1145</v>
      </c>
      <c r="D5153" s="21" t="s">
        <v>35</v>
      </c>
      <c r="E5153" s="18" t="s">
        <v>968</v>
      </c>
      <c r="F5153" s="18" t="s">
        <v>105</v>
      </c>
      <c r="G5153" s="18" t="s">
        <v>48</v>
      </c>
      <c r="H5153" s="24">
        <v>76540</v>
      </c>
      <c r="I5153" s="24">
        <f>T_reg.root.SK[[#This Row],[Volume, kg]]/1000</f>
        <v>76.540000000000006</v>
      </c>
      <c r="J5153" s="25">
        <v>0.27039999999999997</v>
      </c>
      <c r="K5153" s="25">
        <f t="shared" si="80"/>
        <v>20696.415999999997</v>
      </c>
      <c r="L5153" s="25">
        <v>2.2799999999999998</v>
      </c>
      <c r="M5153" s="24">
        <v>174752</v>
      </c>
      <c r="N5153" s="25">
        <f>IFERROR(T_reg.root.SK[[#This Row],[Price]]/T_reg.root.SK[[#This Row],[Starch content]],"")</f>
        <v>8.4319526627218941</v>
      </c>
    </row>
    <row r="5154" spans="1:14">
      <c r="A5154" s="21">
        <v>2025</v>
      </c>
      <c r="B5154" s="21" t="s">
        <v>19</v>
      </c>
      <c r="C5154" s="21" t="s">
        <v>1145</v>
      </c>
      <c r="D5154" s="21" t="s">
        <v>35</v>
      </c>
      <c r="E5154" s="18" t="s">
        <v>980</v>
      </c>
      <c r="F5154" s="18" t="s">
        <v>105</v>
      </c>
      <c r="G5154" s="18" t="s">
        <v>48</v>
      </c>
      <c r="H5154" s="24">
        <v>29730</v>
      </c>
      <c r="I5154" s="24">
        <f>T_reg.root.SK[[#This Row],[Volume, kg]]/1000</f>
        <v>29.73</v>
      </c>
      <c r="J5154" s="25">
        <v>0.2964</v>
      </c>
      <c r="K5154" s="25">
        <f t="shared" si="80"/>
        <v>8811.9719999999998</v>
      </c>
      <c r="L5154" s="25">
        <v>2.2799999999999998</v>
      </c>
      <c r="M5154" s="24">
        <v>67871.5</v>
      </c>
      <c r="N5154" s="25">
        <f>IFERROR(T_reg.root.SK[[#This Row],[Price]]/T_reg.root.SK[[#This Row],[Starch content]],"")</f>
        <v>7.6923076923076916</v>
      </c>
    </row>
    <row r="5155" spans="1:14">
      <c r="A5155" s="21">
        <v>2025</v>
      </c>
      <c r="B5155" s="21" t="s">
        <v>19</v>
      </c>
      <c r="C5155" s="21" t="s">
        <v>1145</v>
      </c>
      <c r="D5155" s="21" t="s">
        <v>35</v>
      </c>
      <c r="E5155" s="18" t="s">
        <v>981</v>
      </c>
      <c r="F5155" s="18" t="s">
        <v>105</v>
      </c>
      <c r="G5155" s="18" t="s">
        <v>48</v>
      </c>
      <c r="H5155" s="24">
        <v>42340</v>
      </c>
      <c r="I5155" s="24">
        <f>T_reg.root.SK[[#This Row],[Volume, kg]]/1000</f>
        <v>42.34</v>
      </c>
      <c r="J5155" s="25">
        <v>0.29120000000000001</v>
      </c>
      <c r="K5155" s="25">
        <f t="shared" si="80"/>
        <v>12329.408000000001</v>
      </c>
      <c r="L5155" s="25">
        <v>2.4</v>
      </c>
      <c r="M5155" s="24">
        <v>101642</v>
      </c>
      <c r="N5155" s="25">
        <f>IFERROR(T_reg.root.SK[[#This Row],[Price]]/T_reg.root.SK[[#This Row],[Starch content]],"")</f>
        <v>8.2417582417582409</v>
      </c>
    </row>
    <row r="5156" spans="1:14">
      <c r="A5156" s="21">
        <v>2025</v>
      </c>
      <c r="B5156" s="21" t="s">
        <v>19</v>
      </c>
      <c r="C5156" s="21" t="s">
        <v>1145</v>
      </c>
      <c r="D5156" s="21" t="s">
        <v>35</v>
      </c>
      <c r="E5156" s="18" t="s">
        <v>994</v>
      </c>
      <c r="F5156" s="18" t="s">
        <v>105</v>
      </c>
      <c r="G5156" s="18" t="s">
        <v>48</v>
      </c>
      <c r="H5156" s="24">
        <v>20230</v>
      </c>
      <c r="I5156" s="24">
        <f>T_reg.root.SK[[#This Row],[Volume, kg]]/1000</f>
        <v>20.23</v>
      </c>
      <c r="J5156" s="25">
        <v>0.29350000000000004</v>
      </c>
      <c r="K5156" s="25">
        <f t="shared" si="80"/>
        <v>5937.505000000001</v>
      </c>
      <c r="L5156" s="25">
        <v>2.42</v>
      </c>
      <c r="M5156" s="24">
        <v>49006</v>
      </c>
      <c r="N5156" s="25">
        <f>IFERROR(T_reg.root.SK[[#This Row],[Price]]/T_reg.root.SK[[#This Row],[Starch content]],"")</f>
        <v>8.2453151618398621</v>
      </c>
    </row>
    <row r="5157" spans="1:14">
      <c r="A5157" s="21">
        <v>2025</v>
      </c>
      <c r="B5157" s="21" t="s">
        <v>19</v>
      </c>
      <c r="C5157" s="21" t="s">
        <v>1145</v>
      </c>
      <c r="D5157" s="21" t="s">
        <v>35</v>
      </c>
      <c r="E5157" s="18" t="s">
        <v>507</v>
      </c>
      <c r="F5157" s="18" t="s">
        <v>105</v>
      </c>
      <c r="G5157" s="18" t="s">
        <v>48</v>
      </c>
      <c r="H5157" s="24">
        <v>116680</v>
      </c>
      <c r="I5157" s="24">
        <f>T_reg.root.SK[[#This Row],[Volume, kg]]/1000</f>
        <v>116.68</v>
      </c>
      <c r="J5157" s="25">
        <v>0.24559999999999998</v>
      </c>
      <c r="K5157" s="25">
        <f t="shared" si="80"/>
        <v>28656.607999999997</v>
      </c>
      <c r="L5157" s="25">
        <v>2.08</v>
      </c>
      <c r="M5157" s="24">
        <v>243246</v>
      </c>
      <c r="N5157" s="25">
        <f>IFERROR(T_reg.root.SK[[#This Row],[Price]]/T_reg.root.SK[[#This Row],[Starch content]],"")</f>
        <v>8.4690553745928341</v>
      </c>
    </row>
    <row r="5158" spans="1:14">
      <c r="A5158" s="21">
        <v>2025</v>
      </c>
      <c r="B5158" s="21" t="s">
        <v>19</v>
      </c>
      <c r="C5158" s="21" t="s">
        <v>1145</v>
      </c>
      <c r="D5158" s="21" t="s">
        <v>35</v>
      </c>
      <c r="E5158" s="18" t="s">
        <v>174</v>
      </c>
      <c r="F5158" s="18" t="s">
        <v>105</v>
      </c>
      <c r="G5158" s="18" t="s">
        <v>48</v>
      </c>
      <c r="H5158" s="24">
        <v>230780</v>
      </c>
      <c r="I5158" s="24">
        <f>T_reg.root.SK[[#This Row],[Volume, kg]]/1000</f>
        <v>230.78</v>
      </c>
      <c r="J5158" s="25">
        <v>0.2402</v>
      </c>
      <c r="K5158" s="25">
        <f t="shared" si="80"/>
        <v>55433.356</v>
      </c>
      <c r="L5158" s="25">
        <v>2.0499999999999998</v>
      </c>
      <c r="M5158" s="24">
        <v>473137</v>
      </c>
      <c r="N5158" s="25">
        <f>IFERROR(T_reg.root.SK[[#This Row],[Price]]/T_reg.root.SK[[#This Row],[Starch content]],"")</f>
        <v>8.5345545378850947</v>
      </c>
    </row>
    <row r="5159" spans="1:14">
      <c r="A5159" s="21">
        <v>2025</v>
      </c>
      <c r="B5159" s="21" t="s">
        <v>19</v>
      </c>
      <c r="C5159" s="21" t="s">
        <v>1145</v>
      </c>
      <c r="D5159" s="21" t="s">
        <v>35</v>
      </c>
      <c r="E5159" s="18" t="s">
        <v>508</v>
      </c>
      <c r="F5159" s="18" t="s">
        <v>105</v>
      </c>
      <c r="G5159" s="18" t="s">
        <v>48</v>
      </c>
      <c r="H5159" s="24">
        <v>21940</v>
      </c>
      <c r="I5159" s="24">
        <f>T_reg.root.SK[[#This Row],[Volume, kg]]/1000</f>
        <v>21.94</v>
      </c>
      <c r="J5159" s="25">
        <v>0.24969999999999998</v>
      </c>
      <c r="K5159" s="25">
        <f t="shared" si="80"/>
        <v>5478.4179999999997</v>
      </c>
      <c r="L5159" s="25">
        <v>2.15</v>
      </c>
      <c r="M5159" s="24">
        <v>47182</v>
      </c>
      <c r="N5159" s="25">
        <f>IFERROR(T_reg.root.SK[[#This Row],[Price]]/T_reg.root.SK[[#This Row],[Starch content]],"")</f>
        <v>8.6103323988786542</v>
      </c>
    </row>
    <row r="5160" spans="1:14">
      <c r="A5160" s="21">
        <v>2025</v>
      </c>
      <c r="B5160" s="21" t="s">
        <v>19</v>
      </c>
      <c r="C5160" s="21" t="s">
        <v>1145</v>
      </c>
      <c r="D5160" s="21" t="s">
        <v>35</v>
      </c>
      <c r="E5160" s="18" t="s">
        <v>175</v>
      </c>
      <c r="F5160" s="18" t="s">
        <v>105</v>
      </c>
      <c r="G5160" s="18" t="s">
        <v>48</v>
      </c>
      <c r="H5160" s="24">
        <v>108380</v>
      </c>
      <c r="I5160" s="24">
        <f>T_reg.root.SK[[#This Row],[Volume, kg]]/1000</f>
        <v>108.38</v>
      </c>
      <c r="J5160" s="25">
        <v>0.2656</v>
      </c>
      <c r="K5160" s="25">
        <f t="shared" si="80"/>
        <v>28785.727999999999</v>
      </c>
      <c r="L5160" s="25">
        <v>2.21</v>
      </c>
      <c r="M5160" s="24">
        <v>239546.5</v>
      </c>
      <c r="N5160" s="25">
        <f>IFERROR(T_reg.root.SK[[#This Row],[Price]]/T_reg.root.SK[[#This Row],[Starch content]],"")</f>
        <v>8.3207831325301207</v>
      </c>
    </row>
    <row r="5161" spans="1:14">
      <c r="A5161" s="21">
        <v>2025</v>
      </c>
      <c r="B5161" s="21" t="s">
        <v>19</v>
      </c>
      <c r="C5161" s="21" t="s">
        <v>1145</v>
      </c>
      <c r="D5161" s="21" t="s">
        <v>35</v>
      </c>
      <c r="E5161" s="18" t="s">
        <v>176</v>
      </c>
      <c r="F5161" s="18" t="s">
        <v>105</v>
      </c>
      <c r="G5161" s="18" t="s">
        <v>48</v>
      </c>
      <c r="H5161" s="24">
        <v>20720</v>
      </c>
      <c r="I5161" s="24">
        <f>T_reg.root.SK[[#This Row],[Volume, kg]]/1000</f>
        <v>20.72</v>
      </c>
      <c r="J5161" s="25">
        <v>0.27029999999999998</v>
      </c>
      <c r="K5161" s="25">
        <f t="shared" si="80"/>
        <v>5600.616</v>
      </c>
      <c r="L5161" s="25">
        <v>2.25</v>
      </c>
      <c r="M5161" s="24">
        <v>46610.5</v>
      </c>
      <c r="N5161" s="25">
        <f>IFERROR(T_reg.root.SK[[#This Row],[Price]]/T_reg.root.SK[[#This Row],[Starch content]],"")</f>
        <v>8.3240843507214208</v>
      </c>
    </row>
    <row r="5162" spans="1:14">
      <c r="A5162" s="21">
        <v>2025</v>
      </c>
      <c r="B5162" s="21" t="s">
        <v>19</v>
      </c>
      <c r="C5162" s="21" t="s">
        <v>1145</v>
      </c>
      <c r="D5162" s="21" t="s">
        <v>35</v>
      </c>
      <c r="E5162" s="18" t="s">
        <v>605</v>
      </c>
      <c r="F5162" s="18" t="s">
        <v>105</v>
      </c>
      <c r="G5162" s="18" t="s">
        <v>48</v>
      </c>
      <c r="H5162" s="24">
        <v>572150</v>
      </c>
      <c r="I5162" s="24">
        <f>T_reg.root.SK[[#This Row],[Volume, kg]]/1000</f>
        <v>572.15</v>
      </c>
      <c r="J5162" s="25">
        <v>0.25850000000000001</v>
      </c>
      <c r="K5162" s="25">
        <f t="shared" si="80"/>
        <v>147900.77499999999</v>
      </c>
      <c r="L5162" s="25">
        <v>2.17</v>
      </c>
      <c r="M5162" s="24">
        <v>1243666</v>
      </c>
      <c r="N5162" s="25">
        <f>IFERROR(T_reg.root.SK[[#This Row],[Price]]/T_reg.root.SK[[#This Row],[Starch content]],"")</f>
        <v>8.3945841392649907</v>
      </c>
    </row>
    <row r="5163" spans="1:14">
      <c r="A5163" s="21">
        <v>2025</v>
      </c>
      <c r="B5163" s="21" t="s">
        <v>19</v>
      </c>
      <c r="C5163" s="21" t="s">
        <v>1145</v>
      </c>
      <c r="D5163" s="21" t="s">
        <v>35</v>
      </c>
      <c r="E5163" s="18" t="s">
        <v>259</v>
      </c>
      <c r="F5163" s="18" t="s">
        <v>105</v>
      </c>
      <c r="G5163" s="18" t="s">
        <v>48</v>
      </c>
      <c r="H5163" s="24">
        <v>37290</v>
      </c>
      <c r="I5163" s="24">
        <f>T_reg.root.SK[[#This Row],[Volume, kg]]/1000</f>
        <v>37.29</v>
      </c>
      <c r="J5163" s="25">
        <v>0.26590000000000003</v>
      </c>
      <c r="K5163" s="25">
        <f t="shared" si="80"/>
        <v>9915.4110000000001</v>
      </c>
      <c r="L5163" s="25">
        <v>2.21</v>
      </c>
      <c r="M5163" s="24">
        <v>82446.5</v>
      </c>
      <c r="N5163" s="25">
        <f>IFERROR(T_reg.root.SK[[#This Row],[Price]]/T_reg.root.SK[[#This Row],[Starch content]],"")</f>
        <v>8.3113952613764557</v>
      </c>
    </row>
    <row r="5164" spans="1:14">
      <c r="A5164" s="21">
        <v>2025</v>
      </c>
      <c r="B5164" s="21" t="s">
        <v>19</v>
      </c>
      <c r="C5164" s="21" t="s">
        <v>1145</v>
      </c>
      <c r="D5164" s="21" t="s">
        <v>35</v>
      </c>
      <c r="E5164" s="18" t="s">
        <v>181</v>
      </c>
      <c r="F5164" s="18" t="s">
        <v>105</v>
      </c>
      <c r="G5164" s="18" t="s">
        <v>48</v>
      </c>
      <c r="H5164" s="24">
        <v>135430</v>
      </c>
      <c r="I5164" s="24">
        <f>T_reg.root.SK[[#This Row],[Volume, kg]]/1000</f>
        <v>135.43</v>
      </c>
      <c r="J5164" s="25">
        <v>0.22460000000000002</v>
      </c>
      <c r="K5164" s="25">
        <f t="shared" si="80"/>
        <v>30417.578000000001</v>
      </c>
      <c r="L5164" s="25">
        <v>1.97</v>
      </c>
      <c r="M5164" s="24">
        <v>266849</v>
      </c>
      <c r="N5164" s="25">
        <f>IFERROR(T_reg.root.SK[[#This Row],[Price]]/T_reg.root.SK[[#This Row],[Starch content]],"")</f>
        <v>8.7711487088156712</v>
      </c>
    </row>
    <row r="5165" spans="1:14">
      <c r="A5165" s="21">
        <v>2025</v>
      </c>
      <c r="B5165" s="21" t="s">
        <v>19</v>
      </c>
      <c r="C5165" s="21" t="s">
        <v>1145</v>
      </c>
      <c r="D5165" s="21" t="s">
        <v>35</v>
      </c>
      <c r="E5165" s="18" t="s">
        <v>509</v>
      </c>
      <c r="F5165" s="18" t="s">
        <v>105</v>
      </c>
      <c r="G5165" s="18" t="s">
        <v>48</v>
      </c>
      <c r="H5165" s="24">
        <v>26690</v>
      </c>
      <c r="I5165" s="24">
        <f>T_reg.root.SK[[#This Row],[Volume, kg]]/1000</f>
        <v>26.69</v>
      </c>
      <c r="J5165" s="25">
        <v>0.27949999999999997</v>
      </c>
      <c r="K5165" s="25">
        <f t="shared" si="80"/>
        <v>7459.8549999999996</v>
      </c>
      <c r="L5165" s="25">
        <v>2.3199999999999998</v>
      </c>
      <c r="M5165" s="24">
        <v>61947.5</v>
      </c>
      <c r="N5165" s="25">
        <f>IFERROR(T_reg.root.SK[[#This Row],[Price]]/T_reg.root.SK[[#This Row],[Starch content]],"")</f>
        <v>8.300536672629697</v>
      </c>
    </row>
    <row r="5166" spans="1:14">
      <c r="A5166" s="21">
        <v>2025</v>
      </c>
      <c r="B5166" s="21" t="s">
        <v>19</v>
      </c>
      <c r="C5166" s="21" t="s">
        <v>1145</v>
      </c>
      <c r="D5166" s="21" t="s">
        <v>35</v>
      </c>
      <c r="E5166" s="18" t="s">
        <v>182</v>
      </c>
      <c r="F5166" s="18" t="s">
        <v>105</v>
      </c>
      <c r="G5166" s="18" t="s">
        <v>48</v>
      </c>
      <c r="H5166" s="24">
        <v>49060</v>
      </c>
      <c r="I5166" s="24">
        <f>T_reg.root.SK[[#This Row],[Volume, kg]]/1000</f>
        <v>49.06</v>
      </c>
      <c r="J5166" s="25">
        <v>0.2702</v>
      </c>
      <c r="K5166" s="25">
        <f t="shared" si="80"/>
        <v>13256.012000000001</v>
      </c>
      <c r="L5166" s="25">
        <v>2.1800000000000002</v>
      </c>
      <c r="M5166" s="24">
        <v>106981</v>
      </c>
      <c r="N5166" s="25">
        <f>IFERROR(T_reg.root.SK[[#This Row],[Price]]/T_reg.root.SK[[#This Row],[Starch content]],"")</f>
        <v>8.0680977054034049</v>
      </c>
    </row>
    <row r="5167" spans="1:14">
      <c r="A5167" s="21">
        <v>2025</v>
      </c>
      <c r="B5167" s="21" t="s">
        <v>19</v>
      </c>
      <c r="C5167" s="21" t="s">
        <v>1145</v>
      </c>
      <c r="D5167" s="21" t="s">
        <v>35</v>
      </c>
      <c r="E5167" s="18" t="s">
        <v>772</v>
      </c>
      <c r="F5167" s="18" t="s">
        <v>105</v>
      </c>
      <c r="G5167" s="18" t="s">
        <v>48</v>
      </c>
      <c r="H5167" s="24">
        <v>62420</v>
      </c>
      <c r="I5167" s="24">
        <f>T_reg.root.SK[[#This Row],[Volume, kg]]/1000</f>
        <v>62.42</v>
      </c>
      <c r="J5167" s="25">
        <v>0.31659999999999999</v>
      </c>
      <c r="K5167" s="25">
        <f t="shared" si="80"/>
        <v>19762.171999999999</v>
      </c>
      <c r="L5167" s="25">
        <v>2.54</v>
      </c>
      <c r="M5167" s="24">
        <v>158607.5</v>
      </c>
      <c r="N5167" s="25">
        <f>IFERROR(T_reg.root.SK[[#This Row],[Price]]/T_reg.root.SK[[#This Row],[Starch content]],"")</f>
        <v>8.0227416298168031</v>
      </c>
    </row>
    <row r="5168" spans="1:14">
      <c r="A5168" s="21">
        <v>2025</v>
      </c>
      <c r="B5168" s="21" t="s">
        <v>19</v>
      </c>
      <c r="C5168" s="21" t="s">
        <v>1145</v>
      </c>
      <c r="D5168" s="21" t="s">
        <v>35</v>
      </c>
      <c r="E5168" s="18" t="s">
        <v>640</v>
      </c>
      <c r="F5168" s="18" t="s">
        <v>105</v>
      </c>
      <c r="G5168" s="18" t="s">
        <v>48</v>
      </c>
      <c r="H5168" s="24">
        <v>5970</v>
      </c>
      <c r="I5168" s="24">
        <f>T_reg.root.SK[[#This Row],[Volume, kg]]/1000</f>
        <v>5.97</v>
      </c>
      <c r="J5168" s="25">
        <v>0.23670000000000002</v>
      </c>
      <c r="K5168" s="25">
        <f t="shared" si="80"/>
        <v>1413.0990000000002</v>
      </c>
      <c r="L5168" s="25">
        <v>2</v>
      </c>
      <c r="M5168" s="24">
        <v>11940</v>
      </c>
      <c r="N5168" s="25">
        <f>IFERROR(T_reg.root.SK[[#This Row],[Price]]/T_reg.root.SK[[#This Row],[Starch content]],"")</f>
        <v>8.4495141529362048</v>
      </c>
    </row>
    <row r="5169" spans="1:14">
      <c r="A5169" s="21">
        <v>2025</v>
      </c>
      <c r="B5169" s="21" t="s">
        <v>19</v>
      </c>
      <c r="C5169" s="21" t="s">
        <v>1145</v>
      </c>
      <c r="D5169" s="21" t="s">
        <v>35</v>
      </c>
      <c r="E5169" s="18" t="s">
        <v>648</v>
      </c>
      <c r="F5169" s="18" t="s">
        <v>105</v>
      </c>
      <c r="G5169" s="18" t="s">
        <v>48</v>
      </c>
      <c r="H5169" s="24">
        <v>61710</v>
      </c>
      <c r="I5169" s="24">
        <f>T_reg.root.SK[[#This Row],[Volume, kg]]/1000</f>
        <v>61.71</v>
      </c>
      <c r="J5169" s="25">
        <v>0.2011</v>
      </c>
      <c r="K5169" s="25">
        <f t="shared" si="80"/>
        <v>12409.880999999999</v>
      </c>
      <c r="L5169" s="25">
        <v>1.86</v>
      </c>
      <c r="M5169" s="24">
        <v>115052</v>
      </c>
      <c r="N5169" s="25">
        <f>IFERROR(T_reg.root.SK[[#This Row],[Price]]/T_reg.root.SK[[#This Row],[Starch content]],"")</f>
        <v>9.2491297861760327</v>
      </c>
    </row>
    <row r="5170" spans="1:14">
      <c r="A5170" s="21">
        <v>2025</v>
      </c>
      <c r="B5170" s="21" t="s">
        <v>19</v>
      </c>
      <c r="C5170" s="21" t="s">
        <v>1145</v>
      </c>
      <c r="D5170" s="21" t="s">
        <v>35</v>
      </c>
      <c r="E5170" s="18" t="s">
        <v>939</v>
      </c>
      <c r="F5170" s="18" t="s">
        <v>105</v>
      </c>
      <c r="G5170" s="18" t="s">
        <v>48</v>
      </c>
      <c r="H5170" s="24">
        <v>35810</v>
      </c>
      <c r="I5170" s="24">
        <f>T_reg.root.SK[[#This Row],[Volume, kg]]/1000</f>
        <v>35.81</v>
      </c>
      <c r="J5170" s="25">
        <v>0.2984</v>
      </c>
      <c r="K5170" s="25">
        <f t="shared" si="80"/>
        <v>10685.704</v>
      </c>
      <c r="L5170" s="25">
        <v>2.35</v>
      </c>
      <c r="M5170" s="24">
        <v>84228.5</v>
      </c>
      <c r="N5170" s="25">
        <f>IFERROR(T_reg.root.SK[[#This Row],[Price]]/T_reg.root.SK[[#This Row],[Starch content]],"")</f>
        <v>7.8753351206434319</v>
      </c>
    </row>
    <row r="5171" spans="1:14">
      <c r="A5171" s="21">
        <v>2025</v>
      </c>
      <c r="B5171" s="21" t="s">
        <v>19</v>
      </c>
      <c r="C5171" s="21" t="s">
        <v>1145</v>
      </c>
      <c r="D5171" s="21" t="s">
        <v>35</v>
      </c>
      <c r="E5171" s="18" t="s">
        <v>969</v>
      </c>
      <c r="F5171" s="18" t="s">
        <v>105</v>
      </c>
      <c r="G5171" s="18" t="s">
        <v>48</v>
      </c>
      <c r="H5171" s="24">
        <v>274020</v>
      </c>
      <c r="I5171" s="24">
        <f>T_reg.root.SK[[#This Row],[Volume, kg]]/1000</f>
        <v>274.02</v>
      </c>
      <c r="J5171" s="25">
        <v>0.26129999999999998</v>
      </c>
      <c r="K5171" s="25">
        <f t="shared" si="80"/>
        <v>71601.425999999992</v>
      </c>
      <c r="L5171" s="25">
        <v>2.1800000000000002</v>
      </c>
      <c r="M5171" s="24">
        <v>596072</v>
      </c>
      <c r="N5171" s="25">
        <f>IFERROR(T_reg.root.SK[[#This Row],[Price]]/T_reg.root.SK[[#This Row],[Starch content]],"")</f>
        <v>8.3429008802143141</v>
      </c>
    </row>
    <row r="5172" spans="1:14">
      <c r="A5172" s="21">
        <v>2025</v>
      </c>
      <c r="B5172" s="21" t="s">
        <v>19</v>
      </c>
      <c r="C5172" s="21" t="s">
        <v>1145</v>
      </c>
      <c r="D5172" s="21" t="s">
        <v>35</v>
      </c>
      <c r="E5172" s="18" t="s">
        <v>183</v>
      </c>
      <c r="F5172" s="18" t="s">
        <v>105</v>
      </c>
      <c r="G5172" s="18" t="s">
        <v>48</v>
      </c>
      <c r="H5172" s="24">
        <v>337560</v>
      </c>
      <c r="I5172" s="24">
        <f>T_reg.root.SK[[#This Row],[Volume, kg]]/1000</f>
        <v>337.56</v>
      </c>
      <c r="J5172" s="25">
        <v>0.2752</v>
      </c>
      <c r="K5172" s="25">
        <f t="shared" si="80"/>
        <v>92896.512000000002</v>
      </c>
      <c r="L5172" s="25">
        <v>2.2599999999999998</v>
      </c>
      <c r="M5172" s="24">
        <v>763133.5</v>
      </c>
      <c r="N5172" s="25">
        <f>IFERROR(T_reg.root.SK[[#This Row],[Price]]/T_reg.root.SK[[#This Row],[Starch content]],"")</f>
        <v>8.2122093023255811</v>
      </c>
    </row>
    <row r="5173" spans="1:14">
      <c r="A5173" s="21">
        <v>2025</v>
      </c>
      <c r="B5173" s="21" t="s">
        <v>19</v>
      </c>
      <c r="C5173" s="21" t="s">
        <v>1145</v>
      </c>
      <c r="D5173" s="21" t="s">
        <v>35</v>
      </c>
      <c r="E5173" s="18" t="s">
        <v>190</v>
      </c>
      <c r="F5173" s="18" t="s">
        <v>187</v>
      </c>
      <c r="G5173" s="18" t="s">
        <v>48</v>
      </c>
      <c r="H5173" s="24">
        <v>28770</v>
      </c>
      <c r="I5173" s="24">
        <f>T_reg.root.SK[[#This Row],[Volume, kg]]/1000</f>
        <v>28.77</v>
      </c>
      <c r="J5173" s="25">
        <v>0.2243</v>
      </c>
      <c r="K5173" s="25">
        <f t="shared" si="80"/>
        <v>6453.1109999999999</v>
      </c>
      <c r="L5173" s="25">
        <v>1.99</v>
      </c>
      <c r="M5173" s="24">
        <v>57111.5</v>
      </c>
      <c r="N5173" s="25">
        <f>IFERROR(T_reg.root.SK[[#This Row],[Price]]/T_reg.root.SK[[#This Row],[Starch content]],"")</f>
        <v>8.872046366473473</v>
      </c>
    </row>
    <row r="5174" spans="1:14">
      <c r="A5174" s="21">
        <v>2025</v>
      </c>
      <c r="B5174" s="21" t="s">
        <v>19</v>
      </c>
      <c r="C5174" s="21" t="s">
        <v>1145</v>
      </c>
      <c r="D5174" s="21" t="s">
        <v>35</v>
      </c>
      <c r="E5174" s="18" t="s">
        <v>649</v>
      </c>
      <c r="F5174" s="18" t="s">
        <v>187</v>
      </c>
      <c r="G5174" s="18" t="s">
        <v>48</v>
      </c>
      <c r="H5174" s="24">
        <v>28680</v>
      </c>
      <c r="I5174" s="24">
        <f>T_reg.root.SK[[#This Row],[Volume, kg]]/1000</f>
        <v>28.68</v>
      </c>
      <c r="J5174" s="25">
        <v>0.26019999999999999</v>
      </c>
      <c r="K5174" s="25">
        <f t="shared" si="80"/>
        <v>7462.5360000000001</v>
      </c>
      <c r="L5174" s="25">
        <v>2.23</v>
      </c>
      <c r="M5174" s="24">
        <v>63934.5</v>
      </c>
      <c r="N5174" s="25">
        <f>IFERROR(T_reg.root.SK[[#This Row],[Price]]/T_reg.root.SK[[#This Row],[Starch content]],"")</f>
        <v>8.5703305149884716</v>
      </c>
    </row>
    <row r="5175" spans="1:14">
      <c r="A5175" s="21">
        <v>2025</v>
      </c>
      <c r="B5175" s="21" t="s">
        <v>19</v>
      </c>
      <c r="C5175" s="21" t="s">
        <v>1145</v>
      </c>
      <c r="D5175" s="21" t="s">
        <v>35</v>
      </c>
      <c r="E5175" s="18" t="s">
        <v>192</v>
      </c>
      <c r="F5175" s="18" t="s">
        <v>187</v>
      </c>
      <c r="G5175" s="18" t="s">
        <v>48</v>
      </c>
      <c r="H5175" s="24">
        <v>150790</v>
      </c>
      <c r="I5175" s="24">
        <f>T_reg.root.SK[[#This Row],[Volume, kg]]/1000</f>
        <v>150.79</v>
      </c>
      <c r="J5175" s="25">
        <v>0.26679999999999998</v>
      </c>
      <c r="K5175" s="25">
        <f t="shared" si="80"/>
        <v>40230.771999999997</v>
      </c>
      <c r="L5175" s="25">
        <v>2.23</v>
      </c>
      <c r="M5175" s="24">
        <v>336276.5</v>
      </c>
      <c r="N5175" s="25">
        <f>IFERROR(T_reg.root.SK[[#This Row],[Price]]/T_reg.root.SK[[#This Row],[Starch content]],"")</f>
        <v>8.3583208395802107</v>
      </c>
    </row>
    <row r="5176" spans="1:14">
      <c r="A5176" s="21">
        <v>2025</v>
      </c>
      <c r="B5176" s="21" t="s">
        <v>19</v>
      </c>
      <c r="C5176" s="21" t="s">
        <v>1145</v>
      </c>
      <c r="D5176" s="21" t="s">
        <v>35</v>
      </c>
      <c r="E5176" s="18" t="s">
        <v>995</v>
      </c>
      <c r="F5176" s="18" t="s">
        <v>187</v>
      </c>
      <c r="G5176" s="18" t="s">
        <v>48</v>
      </c>
      <c r="H5176" s="24">
        <v>12470</v>
      </c>
      <c r="I5176" s="24">
        <f>T_reg.root.SK[[#This Row],[Volume, kg]]/1000</f>
        <v>12.47</v>
      </c>
      <c r="J5176" s="25">
        <v>0.28000000000000003</v>
      </c>
      <c r="K5176" s="25">
        <f t="shared" si="80"/>
        <v>3491.6000000000004</v>
      </c>
      <c r="L5176" s="25">
        <v>2.25</v>
      </c>
      <c r="M5176" s="24">
        <v>28057.5</v>
      </c>
      <c r="N5176" s="25">
        <f>IFERROR(T_reg.root.SK[[#This Row],[Price]]/T_reg.root.SK[[#This Row],[Starch content]],"")</f>
        <v>8.0357142857142847</v>
      </c>
    </row>
    <row r="5177" spans="1:14">
      <c r="A5177" s="21">
        <v>2025</v>
      </c>
      <c r="B5177" s="21" t="s">
        <v>19</v>
      </c>
      <c r="C5177" s="21" t="s">
        <v>1145</v>
      </c>
      <c r="D5177" s="21" t="s">
        <v>35</v>
      </c>
      <c r="E5177" s="18" t="s">
        <v>262</v>
      </c>
      <c r="F5177" s="18" t="s">
        <v>187</v>
      </c>
      <c r="G5177" s="18" t="s">
        <v>48</v>
      </c>
      <c r="H5177" s="24">
        <v>117420</v>
      </c>
      <c r="I5177" s="24">
        <f>T_reg.root.SK[[#This Row],[Volume, kg]]/1000</f>
        <v>117.42</v>
      </c>
      <c r="J5177" s="25">
        <v>0.23559999999999998</v>
      </c>
      <c r="K5177" s="25">
        <f t="shared" si="80"/>
        <v>27664.151999999998</v>
      </c>
      <c r="L5177" s="25">
        <v>2.0699999999999998</v>
      </c>
      <c r="M5177" s="24">
        <v>242505</v>
      </c>
      <c r="N5177" s="25">
        <f>IFERROR(T_reg.root.SK[[#This Row],[Price]]/T_reg.root.SK[[#This Row],[Starch content]],"")</f>
        <v>8.786078098471986</v>
      </c>
    </row>
    <row r="5178" spans="1:14">
      <c r="A5178" s="21">
        <v>2025</v>
      </c>
      <c r="B5178" s="21" t="s">
        <v>19</v>
      </c>
      <c r="C5178" s="21" t="s">
        <v>1145</v>
      </c>
      <c r="D5178" s="21" t="s">
        <v>35</v>
      </c>
      <c r="E5178" s="18" t="s">
        <v>194</v>
      </c>
      <c r="F5178" s="18" t="s">
        <v>187</v>
      </c>
      <c r="G5178" s="18" t="s">
        <v>48</v>
      </c>
      <c r="H5178" s="24">
        <v>7200</v>
      </c>
      <c r="I5178" s="24">
        <f>T_reg.root.SK[[#This Row],[Volume, kg]]/1000</f>
        <v>7.2</v>
      </c>
      <c r="J5178" s="25">
        <v>0.29849999999999999</v>
      </c>
      <c r="K5178" s="25">
        <f t="shared" si="80"/>
        <v>2149.1999999999998</v>
      </c>
      <c r="L5178" s="25">
        <v>2.35</v>
      </c>
      <c r="M5178" s="24">
        <v>16920</v>
      </c>
      <c r="N5178" s="25">
        <f>IFERROR(T_reg.root.SK[[#This Row],[Price]]/T_reg.root.SK[[#This Row],[Starch content]],"")</f>
        <v>7.8726968174204357</v>
      </c>
    </row>
    <row r="5179" spans="1:14">
      <c r="A5179" s="21">
        <v>2025</v>
      </c>
      <c r="B5179" s="21" t="s">
        <v>19</v>
      </c>
      <c r="C5179" s="21" t="s">
        <v>1145</v>
      </c>
      <c r="D5179" s="21" t="s">
        <v>35</v>
      </c>
      <c r="E5179" s="18" t="s">
        <v>195</v>
      </c>
      <c r="F5179" s="18" t="s">
        <v>187</v>
      </c>
      <c r="G5179" s="18" t="s">
        <v>48</v>
      </c>
      <c r="H5179" s="24">
        <v>8690</v>
      </c>
      <c r="I5179" s="24">
        <f>T_reg.root.SK[[#This Row],[Volume, kg]]/1000</f>
        <v>8.69</v>
      </c>
      <c r="J5179" s="25">
        <v>0.20800000000000002</v>
      </c>
      <c r="K5179" s="25">
        <f t="shared" si="80"/>
        <v>1807.5200000000002</v>
      </c>
      <c r="L5179" s="25">
        <v>2</v>
      </c>
      <c r="M5179" s="24">
        <v>17380</v>
      </c>
      <c r="N5179" s="25">
        <f>IFERROR(T_reg.root.SK[[#This Row],[Price]]/T_reg.root.SK[[#This Row],[Starch content]],"")</f>
        <v>9.615384615384615</v>
      </c>
    </row>
    <row r="5180" spans="1:14">
      <c r="A5180" s="21">
        <v>2025</v>
      </c>
      <c r="B5180" s="21" t="s">
        <v>19</v>
      </c>
      <c r="C5180" s="21" t="s">
        <v>1145</v>
      </c>
      <c r="D5180" s="21" t="s">
        <v>35</v>
      </c>
      <c r="E5180" s="18" t="s">
        <v>519</v>
      </c>
      <c r="F5180" s="18" t="s">
        <v>187</v>
      </c>
      <c r="G5180" s="18" t="s">
        <v>48</v>
      </c>
      <c r="H5180" s="24">
        <v>28420</v>
      </c>
      <c r="I5180" s="24">
        <f>T_reg.root.SK[[#This Row],[Volume, kg]]/1000</f>
        <v>28.42</v>
      </c>
      <c r="J5180" s="25">
        <v>0.26450000000000001</v>
      </c>
      <c r="K5180" s="25">
        <f t="shared" si="80"/>
        <v>7517.09</v>
      </c>
      <c r="L5180" s="25">
        <v>2.27</v>
      </c>
      <c r="M5180" s="24">
        <v>64394</v>
      </c>
      <c r="N5180" s="25">
        <f>IFERROR(T_reg.root.SK[[#This Row],[Price]]/T_reg.root.SK[[#This Row],[Starch content]],"")</f>
        <v>8.5822306238185249</v>
      </c>
    </row>
    <row r="5181" spans="1:14">
      <c r="A5181" s="21">
        <v>2025</v>
      </c>
      <c r="B5181" s="21" t="s">
        <v>19</v>
      </c>
      <c r="C5181" s="21" t="s">
        <v>1145</v>
      </c>
      <c r="D5181" s="21" t="s">
        <v>35</v>
      </c>
      <c r="E5181" s="18" t="s">
        <v>590</v>
      </c>
      <c r="F5181" s="18" t="s">
        <v>187</v>
      </c>
      <c r="G5181" s="18" t="s">
        <v>48</v>
      </c>
      <c r="H5181" s="24">
        <v>28000</v>
      </c>
      <c r="I5181" s="24">
        <f>T_reg.root.SK[[#This Row],[Volume, kg]]/1000</f>
        <v>28</v>
      </c>
      <c r="J5181" s="25">
        <v>0.30280000000000001</v>
      </c>
      <c r="K5181" s="25">
        <f t="shared" si="80"/>
        <v>8478.4</v>
      </c>
      <c r="L5181" s="25">
        <v>2.48</v>
      </c>
      <c r="M5181" s="24">
        <v>69490.5</v>
      </c>
      <c r="N5181" s="25">
        <f>IFERROR(T_reg.root.SK[[#This Row],[Price]]/T_reg.root.SK[[#This Row],[Starch content]],"")</f>
        <v>8.1902245706737116</v>
      </c>
    </row>
    <row r="5182" spans="1:14">
      <c r="A5182" s="21">
        <v>2025</v>
      </c>
      <c r="B5182" s="21" t="s">
        <v>19</v>
      </c>
      <c r="C5182" s="21" t="s">
        <v>1145</v>
      </c>
      <c r="D5182" s="21" t="s">
        <v>35</v>
      </c>
      <c r="E5182" s="18" t="s">
        <v>264</v>
      </c>
      <c r="F5182" s="18" t="s">
        <v>187</v>
      </c>
      <c r="G5182" s="18" t="s">
        <v>48</v>
      </c>
      <c r="H5182" s="24">
        <v>25570</v>
      </c>
      <c r="I5182" s="24">
        <f>T_reg.root.SK[[#This Row],[Volume, kg]]/1000</f>
        <v>25.57</v>
      </c>
      <c r="J5182" s="25">
        <v>0.26119999999999999</v>
      </c>
      <c r="K5182" s="25">
        <f t="shared" si="80"/>
        <v>6678.884</v>
      </c>
      <c r="L5182" s="25">
        <v>2.15</v>
      </c>
      <c r="M5182" s="24">
        <v>54955</v>
      </c>
      <c r="N5182" s="25">
        <f>IFERROR(T_reg.root.SK[[#This Row],[Price]]/T_reg.root.SK[[#This Row],[Starch content]],"")</f>
        <v>8.2312404287901995</v>
      </c>
    </row>
    <row r="5183" spans="1:14">
      <c r="A5183" s="21">
        <v>2025</v>
      </c>
      <c r="B5183" s="21" t="s">
        <v>19</v>
      </c>
      <c r="C5183" s="21" t="s">
        <v>1145</v>
      </c>
      <c r="D5183" s="21" t="s">
        <v>35</v>
      </c>
      <c r="E5183" s="18" t="s">
        <v>196</v>
      </c>
      <c r="F5183" s="18" t="s">
        <v>187</v>
      </c>
      <c r="G5183" s="18" t="s">
        <v>48</v>
      </c>
      <c r="H5183" s="24">
        <v>140700</v>
      </c>
      <c r="I5183" s="24">
        <f>T_reg.root.SK[[#This Row],[Volume, kg]]/1000</f>
        <v>140.69999999999999</v>
      </c>
      <c r="J5183" s="25">
        <v>0.2737</v>
      </c>
      <c r="K5183" s="25">
        <f t="shared" si="80"/>
        <v>38509.589999999997</v>
      </c>
      <c r="L5183" s="25">
        <v>2.2400000000000002</v>
      </c>
      <c r="M5183" s="24">
        <v>314824.5</v>
      </c>
      <c r="N5183" s="25">
        <f>IFERROR(T_reg.root.SK[[#This Row],[Price]]/T_reg.root.SK[[#This Row],[Starch content]],"")</f>
        <v>8.1841432225063944</v>
      </c>
    </row>
    <row r="5184" spans="1:14">
      <c r="A5184" s="21">
        <v>2025</v>
      </c>
      <c r="B5184" s="21" t="s">
        <v>19</v>
      </c>
      <c r="C5184" s="21" t="s">
        <v>1145</v>
      </c>
      <c r="D5184" s="21" t="s">
        <v>35</v>
      </c>
      <c r="E5184" s="18" t="s">
        <v>524</v>
      </c>
      <c r="F5184" s="18" t="s">
        <v>187</v>
      </c>
      <c r="G5184" s="18" t="s">
        <v>48</v>
      </c>
      <c r="H5184" s="24">
        <v>8370</v>
      </c>
      <c r="I5184" s="24">
        <f>T_reg.root.SK[[#This Row],[Volume, kg]]/1000</f>
        <v>8.3699999999999992</v>
      </c>
      <c r="J5184" s="25">
        <v>0.30099999999999999</v>
      </c>
      <c r="K5184" s="25">
        <f t="shared" si="80"/>
        <v>2519.37</v>
      </c>
      <c r="L5184" s="25">
        <v>2.2999999999999998</v>
      </c>
      <c r="M5184" s="24">
        <v>19251</v>
      </c>
      <c r="N5184" s="25">
        <f>IFERROR(T_reg.root.SK[[#This Row],[Price]]/T_reg.root.SK[[#This Row],[Starch content]],"")</f>
        <v>7.6411960132890364</v>
      </c>
    </row>
    <row r="5185" spans="1:14">
      <c r="A5185" s="21">
        <v>2025</v>
      </c>
      <c r="B5185" s="21" t="s">
        <v>19</v>
      </c>
      <c r="C5185" s="21" t="s">
        <v>1145</v>
      </c>
      <c r="D5185" s="21" t="s">
        <v>35</v>
      </c>
      <c r="E5185" s="18" t="s">
        <v>525</v>
      </c>
      <c r="F5185" s="18" t="s">
        <v>187</v>
      </c>
      <c r="G5185" s="18" t="s">
        <v>48</v>
      </c>
      <c r="H5185" s="24">
        <v>31030</v>
      </c>
      <c r="I5185" s="24">
        <f>T_reg.root.SK[[#This Row],[Volume, kg]]/1000</f>
        <v>31.03</v>
      </c>
      <c r="J5185" s="25">
        <v>0.26479999999999998</v>
      </c>
      <c r="K5185" s="25">
        <f t="shared" si="80"/>
        <v>8216.7439999999988</v>
      </c>
      <c r="L5185" s="25">
        <v>2.2200000000000002</v>
      </c>
      <c r="M5185" s="24">
        <v>68791</v>
      </c>
      <c r="N5185" s="25">
        <f>IFERROR(T_reg.root.SK[[#This Row],[Price]]/T_reg.root.SK[[#This Row],[Starch content]],"")</f>
        <v>8.3836858006042316</v>
      </c>
    </row>
    <row r="5186" spans="1:14">
      <c r="A5186" s="21">
        <v>2025</v>
      </c>
      <c r="B5186" s="21" t="s">
        <v>19</v>
      </c>
      <c r="C5186" s="21" t="s">
        <v>1145</v>
      </c>
      <c r="D5186" s="21" t="s">
        <v>35</v>
      </c>
      <c r="E5186" s="18" t="s">
        <v>200</v>
      </c>
      <c r="F5186" s="18" t="s">
        <v>187</v>
      </c>
      <c r="G5186" s="18" t="s">
        <v>48</v>
      </c>
      <c r="H5186" s="24">
        <v>50260</v>
      </c>
      <c r="I5186" s="24">
        <f>T_reg.root.SK[[#This Row],[Volume, kg]]/1000</f>
        <v>50.26</v>
      </c>
      <c r="J5186" s="25">
        <v>0.26129999999999998</v>
      </c>
      <c r="K5186" s="25">
        <f t="shared" si="80"/>
        <v>13132.937999999998</v>
      </c>
      <c r="L5186" s="25">
        <v>2.17</v>
      </c>
      <c r="M5186" s="24">
        <v>109000</v>
      </c>
      <c r="N5186" s="25">
        <f>IFERROR(T_reg.root.SK[[#This Row],[Price]]/T_reg.root.SK[[#This Row],[Starch content]],"")</f>
        <v>8.3046306926903952</v>
      </c>
    </row>
    <row r="5187" spans="1:14">
      <c r="A5187" s="21">
        <v>2025</v>
      </c>
      <c r="B5187" s="21" t="s">
        <v>19</v>
      </c>
      <c r="C5187" s="21" t="s">
        <v>1145</v>
      </c>
      <c r="D5187" s="21" t="s">
        <v>35</v>
      </c>
      <c r="E5187" s="18" t="s">
        <v>201</v>
      </c>
      <c r="F5187" s="18" t="s">
        <v>187</v>
      </c>
      <c r="G5187" s="18" t="s">
        <v>48</v>
      </c>
      <c r="H5187" s="24">
        <v>241300</v>
      </c>
      <c r="I5187" s="24">
        <f>T_reg.root.SK[[#This Row],[Volume, kg]]/1000</f>
        <v>241.3</v>
      </c>
      <c r="J5187" s="25">
        <v>0.27289999999999998</v>
      </c>
      <c r="K5187" s="25">
        <f t="shared" ref="K5187:K5250" si="81">H5187*J5187</f>
        <v>65850.76999999999</v>
      </c>
      <c r="L5187" s="25">
        <v>2.2200000000000002</v>
      </c>
      <c r="M5187" s="24">
        <v>536778</v>
      </c>
      <c r="N5187" s="25">
        <f>IFERROR(T_reg.root.SK[[#This Row],[Price]]/T_reg.root.SK[[#This Row],[Starch content]],"")</f>
        <v>8.1348479296445593</v>
      </c>
    </row>
    <row r="5188" spans="1:14">
      <c r="A5188" s="21">
        <v>2025</v>
      </c>
      <c r="B5188" s="21" t="s">
        <v>19</v>
      </c>
      <c r="C5188" s="21" t="s">
        <v>1145</v>
      </c>
      <c r="D5188" s="21" t="s">
        <v>35</v>
      </c>
      <c r="E5188" s="18" t="s">
        <v>702</v>
      </c>
      <c r="F5188" s="18" t="s">
        <v>187</v>
      </c>
      <c r="G5188" s="18" t="s">
        <v>48</v>
      </c>
      <c r="H5188" s="24">
        <v>18910</v>
      </c>
      <c r="I5188" s="24">
        <f>T_reg.root.SK[[#This Row],[Volume, kg]]/1000</f>
        <v>18.91</v>
      </c>
      <c r="J5188" s="25">
        <v>0.28770000000000001</v>
      </c>
      <c r="K5188" s="25">
        <f t="shared" si="81"/>
        <v>5440.4070000000002</v>
      </c>
      <c r="L5188" s="25">
        <v>2.4</v>
      </c>
      <c r="M5188" s="24">
        <v>45411.5</v>
      </c>
      <c r="N5188" s="25">
        <f>IFERROR(T_reg.root.SK[[#This Row],[Price]]/T_reg.root.SK[[#This Row],[Starch content]],"")</f>
        <v>8.3420229405630852</v>
      </c>
    </row>
    <row r="5189" spans="1:14">
      <c r="A5189" s="21">
        <v>2025</v>
      </c>
      <c r="B5189" s="21" t="s">
        <v>19</v>
      </c>
      <c r="C5189" s="21" t="s">
        <v>1145</v>
      </c>
      <c r="D5189" s="21" t="s">
        <v>35</v>
      </c>
      <c r="E5189" s="18" t="s">
        <v>202</v>
      </c>
      <c r="F5189" s="18" t="s">
        <v>187</v>
      </c>
      <c r="G5189" s="18" t="s">
        <v>48</v>
      </c>
      <c r="H5189" s="24">
        <v>14150</v>
      </c>
      <c r="I5189" s="24">
        <f>T_reg.root.SK[[#This Row],[Volume, kg]]/1000</f>
        <v>14.15</v>
      </c>
      <c r="J5189" s="25">
        <v>0.22210000000000002</v>
      </c>
      <c r="K5189" s="25">
        <f t="shared" si="81"/>
        <v>3142.7150000000001</v>
      </c>
      <c r="L5189" s="25">
        <v>1.99</v>
      </c>
      <c r="M5189" s="24">
        <v>28216.5</v>
      </c>
      <c r="N5189" s="25">
        <f>IFERROR(T_reg.root.SK[[#This Row],[Price]]/T_reg.root.SK[[#This Row],[Starch content]],"")</f>
        <v>8.9599279603782076</v>
      </c>
    </row>
    <row r="5190" spans="1:14">
      <c r="A5190" s="21">
        <v>2025</v>
      </c>
      <c r="B5190" s="21" t="s">
        <v>19</v>
      </c>
      <c r="C5190" s="21" t="s">
        <v>1145</v>
      </c>
      <c r="D5190" s="21" t="s">
        <v>35</v>
      </c>
      <c r="E5190" s="18" t="s">
        <v>203</v>
      </c>
      <c r="F5190" s="18" t="s">
        <v>187</v>
      </c>
      <c r="G5190" s="18" t="s">
        <v>48</v>
      </c>
      <c r="H5190" s="24">
        <v>25600</v>
      </c>
      <c r="I5190" s="24">
        <f>T_reg.root.SK[[#This Row],[Volume, kg]]/1000</f>
        <v>25.6</v>
      </c>
      <c r="J5190" s="25">
        <v>0.2671</v>
      </c>
      <c r="K5190" s="25">
        <f t="shared" si="81"/>
        <v>6837.76</v>
      </c>
      <c r="L5190" s="25">
        <v>2.2000000000000002</v>
      </c>
      <c r="M5190" s="24">
        <v>56235</v>
      </c>
      <c r="N5190" s="25">
        <f>IFERROR(T_reg.root.SK[[#This Row],[Price]]/T_reg.root.SK[[#This Row],[Starch content]],"")</f>
        <v>8.2366154998128049</v>
      </c>
    </row>
    <row r="5191" spans="1:14">
      <c r="A5191" s="21">
        <v>2025</v>
      </c>
      <c r="B5191" s="21" t="s">
        <v>19</v>
      </c>
      <c r="C5191" s="21" t="s">
        <v>1145</v>
      </c>
      <c r="D5191" s="21" t="s">
        <v>35</v>
      </c>
      <c r="E5191" s="18" t="s">
        <v>374</v>
      </c>
      <c r="F5191" s="18" t="s">
        <v>187</v>
      </c>
      <c r="G5191" s="18" t="s">
        <v>48</v>
      </c>
      <c r="H5191" s="24">
        <v>38270</v>
      </c>
      <c r="I5191" s="24">
        <f>T_reg.root.SK[[#This Row],[Volume, kg]]/1000</f>
        <v>38.270000000000003</v>
      </c>
      <c r="J5191" s="25">
        <v>0.27329999999999999</v>
      </c>
      <c r="K5191" s="25">
        <f t="shared" si="81"/>
        <v>10459.190999999999</v>
      </c>
      <c r="L5191" s="25">
        <v>2.1800000000000002</v>
      </c>
      <c r="M5191" s="24">
        <v>83246.5</v>
      </c>
      <c r="N5191" s="25">
        <f>IFERROR(T_reg.root.SK[[#This Row],[Price]]/T_reg.root.SK[[#This Row],[Starch content]],"")</f>
        <v>7.9765825100622036</v>
      </c>
    </row>
    <row r="5192" spans="1:14">
      <c r="A5192" s="21">
        <v>2025</v>
      </c>
      <c r="B5192" s="21" t="s">
        <v>19</v>
      </c>
      <c r="C5192" s="21" t="s">
        <v>1145</v>
      </c>
      <c r="D5192" s="21" t="s">
        <v>35</v>
      </c>
      <c r="E5192" s="18" t="s">
        <v>688</v>
      </c>
      <c r="F5192" s="18" t="s">
        <v>187</v>
      </c>
      <c r="G5192" s="18" t="s">
        <v>48</v>
      </c>
      <c r="H5192" s="24">
        <v>40730</v>
      </c>
      <c r="I5192" s="24">
        <f>T_reg.root.SK[[#This Row],[Volume, kg]]/1000</f>
        <v>40.729999999999997</v>
      </c>
      <c r="J5192" s="25">
        <v>0.26039999999999996</v>
      </c>
      <c r="K5192" s="25">
        <f t="shared" si="81"/>
        <v>10606.091999999999</v>
      </c>
      <c r="L5192" s="25">
        <v>2.23</v>
      </c>
      <c r="M5192" s="24">
        <v>91017.5</v>
      </c>
      <c r="N5192" s="25">
        <f>IFERROR(T_reg.root.SK[[#This Row],[Price]]/T_reg.root.SK[[#This Row],[Starch content]],"")</f>
        <v>8.5637480798771133</v>
      </c>
    </row>
    <row r="5193" spans="1:14">
      <c r="A5193" s="21">
        <v>2025</v>
      </c>
      <c r="B5193" s="21" t="s">
        <v>19</v>
      </c>
      <c r="C5193" s="21" t="s">
        <v>1145</v>
      </c>
      <c r="D5193" s="21" t="s">
        <v>35</v>
      </c>
      <c r="E5193" s="18" t="s">
        <v>268</v>
      </c>
      <c r="F5193" s="18" t="s">
        <v>187</v>
      </c>
      <c r="G5193" s="18" t="s">
        <v>48</v>
      </c>
      <c r="H5193" s="24">
        <v>165440</v>
      </c>
      <c r="I5193" s="24">
        <f>T_reg.root.SK[[#This Row],[Volume, kg]]/1000</f>
        <v>165.44</v>
      </c>
      <c r="J5193" s="25">
        <v>0.25569999999999998</v>
      </c>
      <c r="K5193" s="25">
        <f t="shared" si="81"/>
        <v>42303.007999999994</v>
      </c>
      <c r="L5193" s="25">
        <v>2.13</v>
      </c>
      <c r="M5193" s="24">
        <v>352999</v>
      </c>
      <c r="N5193" s="25">
        <f>IFERROR(T_reg.root.SK[[#This Row],[Price]]/T_reg.root.SK[[#This Row],[Starch content]],"")</f>
        <v>8.3300743058271411</v>
      </c>
    </row>
    <row r="5194" spans="1:14">
      <c r="A5194" s="21">
        <v>2025</v>
      </c>
      <c r="B5194" s="21" t="s">
        <v>19</v>
      </c>
      <c r="C5194" s="21" t="s">
        <v>1145</v>
      </c>
      <c r="D5194" s="21" t="s">
        <v>35</v>
      </c>
      <c r="E5194" s="18" t="s">
        <v>208</v>
      </c>
      <c r="F5194" s="18" t="s">
        <v>187</v>
      </c>
      <c r="G5194" s="18" t="s">
        <v>48</v>
      </c>
      <c r="H5194" s="24">
        <v>48260</v>
      </c>
      <c r="I5194" s="24">
        <f>T_reg.root.SK[[#This Row],[Volume, kg]]/1000</f>
        <v>48.26</v>
      </c>
      <c r="J5194" s="25">
        <v>0.26729999999999998</v>
      </c>
      <c r="K5194" s="25">
        <f t="shared" si="81"/>
        <v>12899.897999999999</v>
      </c>
      <c r="L5194" s="25">
        <v>2.2200000000000002</v>
      </c>
      <c r="M5194" s="24">
        <v>107227.5</v>
      </c>
      <c r="N5194" s="25">
        <f>IFERROR(T_reg.root.SK[[#This Row],[Price]]/T_reg.root.SK[[#This Row],[Starch content]],"")</f>
        <v>8.3052749719416408</v>
      </c>
    </row>
    <row r="5195" spans="1:14">
      <c r="A5195" s="21">
        <v>2025</v>
      </c>
      <c r="B5195" s="21" t="s">
        <v>19</v>
      </c>
      <c r="C5195" s="21" t="s">
        <v>1145</v>
      </c>
      <c r="D5195" s="21" t="s">
        <v>35</v>
      </c>
      <c r="E5195" s="18" t="s">
        <v>689</v>
      </c>
      <c r="F5195" s="18" t="s">
        <v>187</v>
      </c>
      <c r="G5195" s="18" t="s">
        <v>48</v>
      </c>
      <c r="H5195" s="24">
        <v>15090</v>
      </c>
      <c r="I5195" s="24">
        <f>T_reg.root.SK[[#This Row],[Volume, kg]]/1000</f>
        <v>15.09</v>
      </c>
      <c r="J5195" s="25">
        <v>0.3034</v>
      </c>
      <c r="K5195" s="25">
        <f t="shared" si="81"/>
        <v>4578.3060000000005</v>
      </c>
      <c r="L5195" s="25">
        <v>2.2999999999999998</v>
      </c>
      <c r="M5195" s="24">
        <v>34707</v>
      </c>
      <c r="N5195" s="25">
        <f>IFERROR(T_reg.root.SK[[#This Row],[Price]]/T_reg.root.SK[[#This Row],[Starch content]],"")</f>
        <v>7.5807514831905065</v>
      </c>
    </row>
    <row r="5196" spans="1:14">
      <c r="A5196" s="21">
        <v>2025</v>
      </c>
      <c r="B5196" s="21" t="s">
        <v>19</v>
      </c>
      <c r="C5196" s="21" t="s">
        <v>1145</v>
      </c>
      <c r="D5196" s="21" t="s">
        <v>35</v>
      </c>
      <c r="E5196" s="18" t="s">
        <v>704</v>
      </c>
      <c r="F5196" s="18" t="s">
        <v>187</v>
      </c>
      <c r="G5196" s="18" t="s">
        <v>48</v>
      </c>
      <c r="H5196" s="24">
        <v>15680</v>
      </c>
      <c r="I5196" s="24">
        <f>T_reg.root.SK[[#This Row],[Volume, kg]]/1000</f>
        <v>15.68</v>
      </c>
      <c r="J5196" s="25">
        <v>0.28439999999999999</v>
      </c>
      <c r="K5196" s="25">
        <f t="shared" si="81"/>
        <v>4459.3919999999998</v>
      </c>
      <c r="L5196" s="25">
        <v>2.23</v>
      </c>
      <c r="M5196" s="24">
        <v>34913.5</v>
      </c>
      <c r="N5196" s="25">
        <f>IFERROR(T_reg.root.SK[[#This Row],[Price]]/T_reg.root.SK[[#This Row],[Starch content]],"")</f>
        <v>7.8410689170182843</v>
      </c>
    </row>
    <row r="5197" spans="1:14">
      <c r="A5197" s="21">
        <v>2025</v>
      </c>
      <c r="B5197" s="21" t="s">
        <v>19</v>
      </c>
      <c r="C5197" s="21" t="s">
        <v>1145</v>
      </c>
      <c r="D5197" s="21" t="s">
        <v>35</v>
      </c>
      <c r="E5197" s="18" t="s">
        <v>214</v>
      </c>
      <c r="F5197" s="18" t="s">
        <v>187</v>
      </c>
      <c r="G5197" s="18" t="s">
        <v>48</v>
      </c>
      <c r="H5197" s="24">
        <v>87100</v>
      </c>
      <c r="I5197" s="24">
        <f>T_reg.root.SK[[#This Row],[Volume, kg]]/1000</f>
        <v>87.1</v>
      </c>
      <c r="J5197" s="25">
        <v>0.26539999999999997</v>
      </c>
      <c r="K5197" s="25">
        <f t="shared" si="81"/>
        <v>23116.339999999997</v>
      </c>
      <c r="L5197" s="25">
        <v>2.19</v>
      </c>
      <c r="M5197" s="24">
        <v>190723.5</v>
      </c>
      <c r="N5197" s="25">
        <f>IFERROR(T_reg.root.SK[[#This Row],[Price]]/T_reg.root.SK[[#This Row],[Starch content]],"")</f>
        <v>8.2516955538809356</v>
      </c>
    </row>
    <row r="5198" spans="1:14">
      <c r="A5198" s="21">
        <v>2025</v>
      </c>
      <c r="B5198" s="21" t="s">
        <v>19</v>
      </c>
      <c r="C5198" s="21" t="s">
        <v>1145</v>
      </c>
      <c r="D5198" s="21" t="s">
        <v>35</v>
      </c>
      <c r="E5198" s="18" t="s">
        <v>542</v>
      </c>
      <c r="F5198" s="18" t="s">
        <v>187</v>
      </c>
      <c r="G5198" s="18" t="s">
        <v>48</v>
      </c>
      <c r="H5198" s="24">
        <v>10200</v>
      </c>
      <c r="I5198" s="24">
        <f>T_reg.root.SK[[#This Row],[Volume, kg]]/1000</f>
        <v>10.199999999999999</v>
      </c>
      <c r="J5198" s="25">
        <v>0.28350000000000003</v>
      </c>
      <c r="K5198" s="25">
        <f t="shared" si="81"/>
        <v>2891.7000000000003</v>
      </c>
      <c r="L5198" s="25">
        <v>2.25</v>
      </c>
      <c r="M5198" s="24">
        <v>22950</v>
      </c>
      <c r="N5198" s="25">
        <f>IFERROR(T_reg.root.SK[[#This Row],[Price]]/T_reg.root.SK[[#This Row],[Starch content]],"")</f>
        <v>7.9365079365079358</v>
      </c>
    </row>
    <row r="5199" spans="1:14">
      <c r="A5199" s="21">
        <v>2025</v>
      </c>
      <c r="B5199" s="21" t="s">
        <v>19</v>
      </c>
      <c r="C5199" s="21" t="s">
        <v>1145</v>
      </c>
      <c r="D5199" s="21" t="s">
        <v>35</v>
      </c>
      <c r="E5199" s="18" t="s">
        <v>216</v>
      </c>
      <c r="F5199" s="18" t="s">
        <v>187</v>
      </c>
      <c r="G5199" s="18" t="s">
        <v>48</v>
      </c>
      <c r="H5199" s="24">
        <v>82450</v>
      </c>
      <c r="I5199" s="24">
        <f>T_reg.root.SK[[#This Row],[Volume, kg]]/1000</f>
        <v>82.45</v>
      </c>
      <c r="J5199" s="25">
        <v>0.27029999999999998</v>
      </c>
      <c r="K5199" s="25">
        <f t="shared" si="81"/>
        <v>22286.234999999997</v>
      </c>
      <c r="L5199" s="25">
        <v>2.2799999999999998</v>
      </c>
      <c r="M5199" s="24">
        <v>187868.5</v>
      </c>
      <c r="N5199" s="25">
        <f>IFERROR(T_reg.root.SK[[#This Row],[Price]]/T_reg.root.SK[[#This Row],[Starch content]],"")</f>
        <v>8.4350721420643726</v>
      </c>
    </row>
    <row r="5200" spans="1:14">
      <c r="A5200" s="21">
        <v>2025</v>
      </c>
      <c r="B5200" s="21" t="s">
        <v>19</v>
      </c>
      <c r="C5200" s="21" t="s">
        <v>1145</v>
      </c>
      <c r="D5200" s="21" t="s">
        <v>35</v>
      </c>
      <c r="E5200" s="18" t="s">
        <v>761</v>
      </c>
      <c r="F5200" s="18" t="s">
        <v>187</v>
      </c>
      <c r="G5200" s="18" t="s">
        <v>48</v>
      </c>
      <c r="H5200" s="24">
        <v>24920</v>
      </c>
      <c r="I5200" s="24">
        <f>T_reg.root.SK[[#This Row],[Volume, kg]]/1000</f>
        <v>24.92</v>
      </c>
      <c r="J5200" s="25">
        <v>0.28339999999999999</v>
      </c>
      <c r="K5200" s="25">
        <f>H5200*J5200</f>
        <v>7062.3279999999995</v>
      </c>
      <c r="L5200" s="25">
        <v>2.2599999999999998</v>
      </c>
      <c r="M5200" s="24">
        <v>56281</v>
      </c>
      <c r="N5200" s="25">
        <f>IFERROR(T_reg.root.SK[[#This Row],[Price]]/T_reg.root.SK[[#This Row],[Starch content]],"")</f>
        <v>7.9745942131263226</v>
      </c>
    </row>
    <row r="5201" spans="1:14">
      <c r="A5201" s="21">
        <v>2025</v>
      </c>
      <c r="B5201" s="21" t="s">
        <v>20</v>
      </c>
      <c r="C5201" s="21" t="s">
        <v>1145</v>
      </c>
      <c r="D5201" s="21" t="s">
        <v>35</v>
      </c>
      <c r="E5201" s="17" t="s">
        <v>185</v>
      </c>
      <c r="F5201" s="18" t="s">
        <v>105</v>
      </c>
      <c r="G5201" s="18" t="s">
        <v>48</v>
      </c>
      <c r="H5201" s="24">
        <v>28550</v>
      </c>
      <c r="I5201" s="24">
        <f>T_reg.root.SK[[#This Row],[Volume, kg]]/1000</f>
        <v>28.55</v>
      </c>
      <c r="J5201" s="25">
        <v>0.25800000000000001</v>
      </c>
      <c r="K5201" s="25">
        <f t="shared" si="81"/>
        <v>7365.9000000000005</v>
      </c>
      <c r="L5201" s="25">
        <v>2.1</v>
      </c>
      <c r="M5201" s="24">
        <v>59867</v>
      </c>
      <c r="N5201" s="25">
        <f>IFERROR(T_reg.root.SK[[#This Row],[Price]]/T_reg.root.SK[[#This Row],[Starch content]],"")</f>
        <v>8.1395348837209305</v>
      </c>
    </row>
    <row r="5202" spans="1:14">
      <c r="A5202" s="21">
        <v>2025</v>
      </c>
      <c r="B5202" s="21" t="s">
        <v>20</v>
      </c>
      <c r="C5202" s="21" t="s">
        <v>1145</v>
      </c>
      <c r="D5202" s="21" t="s">
        <v>35</v>
      </c>
      <c r="E5202" s="17" t="s">
        <v>996</v>
      </c>
      <c r="F5202" s="18" t="s">
        <v>187</v>
      </c>
      <c r="G5202" s="18" t="s">
        <v>48</v>
      </c>
      <c r="H5202" s="24">
        <v>56150</v>
      </c>
      <c r="I5202" s="24">
        <f>T_reg.root.SK[[#This Row],[Volume, kg]]/1000</f>
        <v>56.15</v>
      </c>
      <c r="J5202" s="25">
        <v>0.23300000000000001</v>
      </c>
      <c r="K5202" s="25">
        <f t="shared" si="81"/>
        <v>13082.95</v>
      </c>
      <c r="L5202" s="25">
        <v>1.88</v>
      </c>
      <c r="M5202" s="24">
        <v>105536</v>
      </c>
      <c r="N5202" s="25">
        <f>IFERROR(T_reg.root.SK[[#This Row],[Price]]/T_reg.root.SK[[#This Row],[Starch content]],"")</f>
        <v>8.0686695278969953</v>
      </c>
    </row>
    <row r="5203" spans="1:14">
      <c r="A5203" s="21">
        <v>2025</v>
      </c>
      <c r="B5203" s="21" t="s">
        <v>20</v>
      </c>
      <c r="C5203" s="21" t="s">
        <v>1145</v>
      </c>
      <c r="D5203" s="21" t="s">
        <v>35</v>
      </c>
      <c r="E5203" s="17" t="s">
        <v>330</v>
      </c>
      <c r="F5203" s="18" t="s">
        <v>187</v>
      </c>
      <c r="G5203" s="18" t="s">
        <v>48</v>
      </c>
      <c r="H5203" s="24">
        <v>10120</v>
      </c>
      <c r="I5203" s="24">
        <f>T_reg.root.SK[[#This Row],[Volume, kg]]/1000</f>
        <v>10.119999999999999</v>
      </c>
      <c r="J5203" s="25">
        <v>0.29299999999999998</v>
      </c>
      <c r="K5203" s="25">
        <f t="shared" si="81"/>
        <v>2965.16</v>
      </c>
      <c r="L5203" s="25">
        <v>2.25</v>
      </c>
      <c r="M5203" s="24">
        <v>22770</v>
      </c>
      <c r="N5203" s="25">
        <f>IFERROR(T_reg.root.SK[[#This Row],[Price]]/T_reg.root.SK[[#This Row],[Starch content]],"")</f>
        <v>7.6791808873720138</v>
      </c>
    </row>
    <row r="5204" spans="1:14">
      <c r="A5204" s="21">
        <v>2025</v>
      </c>
      <c r="B5204" s="21" t="s">
        <v>20</v>
      </c>
      <c r="C5204" s="21" t="s">
        <v>1145</v>
      </c>
      <c r="D5204" s="21" t="s">
        <v>35</v>
      </c>
      <c r="E5204" s="17" t="s">
        <v>784</v>
      </c>
      <c r="F5204" s="18" t="s">
        <v>47</v>
      </c>
      <c r="G5204" s="18" t="s">
        <v>48</v>
      </c>
      <c r="H5204" s="24">
        <v>0</v>
      </c>
      <c r="I5204" s="24">
        <f>T_reg.root.SK[[#This Row],[Volume, kg]]/1000</f>
        <v>0</v>
      </c>
      <c r="J5204" s="25" t="s">
        <v>1147</v>
      </c>
      <c r="K5204" s="25">
        <v>0</v>
      </c>
      <c r="L5204" s="25">
        <v>0</v>
      </c>
      <c r="M5204" s="24">
        <v>0</v>
      </c>
      <c r="N5204" s="25" t="str">
        <f>IFERROR(T_reg.root.SK[[#This Row],[Price]]/T_reg.root.SK[[#This Row],[Starch content]],"")</f>
        <v/>
      </c>
    </row>
    <row r="5205" spans="1:14">
      <c r="A5205" s="21">
        <v>2025</v>
      </c>
      <c r="B5205" s="21" t="s">
        <v>20</v>
      </c>
      <c r="C5205" s="21" t="s">
        <v>1145</v>
      </c>
      <c r="D5205" s="21" t="s">
        <v>35</v>
      </c>
      <c r="E5205" s="17" t="s">
        <v>579</v>
      </c>
      <c r="F5205" s="18" t="s">
        <v>187</v>
      </c>
      <c r="G5205" s="18" t="s">
        <v>48</v>
      </c>
      <c r="H5205" s="24">
        <v>83710</v>
      </c>
      <c r="I5205" s="24">
        <f>T_reg.root.SK[[#This Row],[Volume, kg]]/1000</f>
        <v>83.71</v>
      </c>
      <c r="J5205" s="25">
        <v>0.28299999999999997</v>
      </c>
      <c r="K5205" s="25">
        <f t="shared" si="81"/>
        <v>23689.929999999997</v>
      </c>
      <c r="L5205" s="25">
        <v>2.2000000000000002</v>
      </c>
      <c r="M5205" s="24">
        <v>184397.5</v>
      </c>
      <c r="N5205" s="25">
        <f>IFERROR(T_reg.root.SK[[#This Row],[Price]]/T_reg.root.SK[[#This Row],[Starch content]],"")</f>
        <v>7.7738515901060081</v>
      </c>
    </row>
    <row r="5206" spans="1:14">
      <c r="A5206" s="21">
        <v>2025</v>
      </c>
      <c r="B5206" s="21" t="s">
        <v>20</v>
      </c>
      <c r="C5206" s="21" t="s">
        <v>1145</v>
      </c>
      <c r="D5206" s="21" t="s">
        <v>35</v>
      </c>
      <c r="E5206" s="17" t="s">
        <v>188</v>
      </c>
      <c r="F5206" s="18" t="s">
        <v>187</v>
      </c>
      <c r="G5206" s="18" t="s">
        <v>48</v>
      </c>
      <c r="H5206" s="24">
        <v>60160</v>
      </c>
      <c r="I5206" s="24">
        <f>T_reg.root.SK[[#This Row],[Volume, kg]]/1000</f>
        <v>60.16</v>
      </c>
      <c r="J5206" s="25">
        <v>0.24099999999999999</v>
      </c>
      <c r="K5206" s="25">
        <f t="shared" si="81"/>
        <v>14498.56</v>
      </c>
      <c r="L5206" s="25">
        <v>1.99</v>
      </c>
      <c r="M5206" s="24">
        <v>119987.5</v>
      </c>
      <c r="N5206" s="25">
        <f>IFERROR(T_reg.root.SK[[#This Row],[Price]]/T_reg.root.SK[[#This Row],[Starch content]],"")</f>
        <v>8.2572614107883826</v>
      </c>
    </row>
    <row r="5207" spans="1:14">
      <c r="A5207" s="21">
        <v>2025</v>
      </c>
      <c r="B5207" s="21" t="s">
        <v>20</v>
      </c>
      <c r="C5207" s="21" t="s">
        <v>1145</v>
      </c>
      <c r="D5207" s="21" t="s">
        <v>35</v>
      </c>
      <c r="E5207" s="17" t="s">
        <v>733</v>
      </c>
      <c r="F5207" s="18" t="s">
        <v>105</v>
      </c>
      <c r="G5207" s="18" t="s">
        <v>48</v>
      </c>
      <c r="H5207" s="24">
        <v>9760</v>
      </c>
      <c r="I5207" s="24">
        <f>T_reg.root.SK[[#This Row],[Volume, kg]]/1000</f>
        <v>9.76</v>
      </c>
      <c r="J5207" s="25">
        <v>0.19400000000000001</v>
      </c>
      <c r="K5207" s="25">
        <f t="shared" si="81"/>
        <v>1893.44</v>
      </c>
      <c r="L5207" s="25">
        <v>1.6</v>
      </c>
      <c r="M5207" s="24">
        <v>15616</v>
      </c>
      <c r="N5207" s="25">
        <f>IFERROR(T_reg.root.SK[[#This Row],[Price]]/T_reg.root.SK[[#This Row],[Starch content]],"")</f>
        <v>8.247422680412372</v>
      </c>
    </row>
    <row r="5208" spans="1:14">
      <c r="A5208" s="21">
        <v>2025</v>
      </c>
      <c r="B5208" s="21" t="s">
        <v>20</v>
      </c>
      <c r="C5208" s="21" t="s">
        <v>1145</v>
      </c>
      <c r="D5208" s="21" t="s">
        <v>35</v>
      </c>
      <c r="E5208" s="17" t="s">
        <v>288</v>
      </c>
      <c r="F5208" s="18" t="s">
        <v>105</v>
      </c>
      <c r="G5208" s="18" t="s">
        <v>48</v>
      </c>
      <c r="H5208" s="24">
        <v>10570</v>
      </c>
      <c r="I5208" s="24">
        <f>T_reg.root.SK[[#This Row],[Volume, kg]]/1000</f>
        <v>10.57</v>
      </c>
      <c r="J5208" s="25">
        <v>0.23899999999999999</v>
      </c>
      <c r="K5208" s="25">
        <f t="shared" si="81"/>
        <v>2526.23</v>
      </c>
      <c r="L5208" s="25">
        <v>1.85</v>
      </c>
      <c r="M5208" s="24">
        <v>19554.5</v>
      </c>
      <c r="N5208" s="25">
        <f>IFERROR(T_reg.root.SK[[#This Row],[Price]]/T_reg.root.SK[[#This Row],[Starch content]],"")</f>
        <v>7.7405857740585784</v>
      </c>
    </row>
    <row r="5209" spans="1:14">
      <c r="A5209" s="21">
        <v>2025</v>
      </c>
      <c r="B5209" s="21" t="s">
        <v>20</v>
      </c>
      <c r="C5209" s="21" t="s">
        <v>1145</v>
      </c>
      <c r="D5209" s="21" t="s">
        <v>35</v>
      </c>
      <c r="E5209" s="17" t="s">
        <v>190</v>
      </c>
      <c r="F5209" s="18" t="s">
        <v>187</v>
      </c>
      <c r="G5209" s="18" t="s">
        <v>48</v>
      </c>
      <c r="H5209" s="24">
        <v>25850</v>
      </c>
      <c r="I5209" s="24">
        <f>T_reg.root.SK[[#This Row],[Volume, kg]]/1000</f>
        <v>25.85</v>
      </c>
      <c r="J5209" s="25">
        <v>0.23699999999999999</v>
      </c>
      <c r="K5209" s="25">
        <f t="shared" si="81"/>
        <v>6126.45</v>
      </c>
      <c r="L5209" s="25">
        <v>1.83</v>
      </c>
      <c r="M5209" s="24">
        <v>47261.5</v>
      </c>
      <c r="N5209" s="25">
        <f>IFERROR(T_reg.root.SK[[#This Row],[Price]]/T_reg.root.SK[[#This Row],[Starch content]],"")</f>
        <v>7.7215189873417724</v>
      </c>
    </row>
    <row r="5210" spans="1:14">
      <c r="A5210" s="21">
        <v>2025</v>
      </c>
      <c r="B5210" s="21" t="s">
        <v>20</v>
      </c>
      <c r="C5210" s="21" t="s">
        <v>1145</v>
      </c>
      <c r="D5210" s="21" t="s">
        <v>35</v>
      </c>
      <c r="E5210" s="17" t="s">
        <v>683</v>
      </c>
      <c r="F5210" s="18" t="s">
        <v>105</v>
      </c>
      <c r="G5210" s="18" t="s">
        <v>48</v>
      </c>
      <c r="H5210" s="24">
        <v>40650</v>
      </c>
      <c r="I5210" s="24">
        <f>T_reg.root.SK[[#This Row],[Volume, kg]]/1000</f>
        <v>40.65</v>
      </c>
      <c r="J5210" s="25">
        <v>0.219</v>
      </c>
      <c r="K5210" s="25">
        <f t="shared" si="81"/>
        <v>8902.35</v>
      </c>
      <c r="L5210" s="25">
        <v>1.82</v>
      </c>
      <c r="M5210" s="24">
        <v>74112</v>
      </c>
      <c r="N5210" s="25">
        <f>IFERROR(T_reg.root.SK[[#This Row],[Price]]/T_reg.root.SK[[#This Row],[Starch content]],"")</f>
        <v>8.3105022831050235</v>
      </c>
    </row>
    <row r="5211" spans="1:14">
      <c r="A5211" s="21">
        <v>2025</v>
      </c>
      <c r="B5211" s="21" t="s">
        <v>20</v>
      </c>
      <c r="C5211" s="21" t="s">
        <v>1145</v>
      </c>
      <c r="D5211" s="21" t="s">
        <v>35</v>
      </c>
      <c r="E5211" s="17" t="s">
        <v>987</v>
      </c>
      <c r="F5211" s="18" t="s">
        <v>105</v>
      </c>
      <c r="G5211" s="18" t="s">
        <v>48</v>
      </c>
      <c r="H5211" s="24">
        <v>40320</v>
      </c>
      <c r="I5211" s="24">
        <f>T_reg.root.SK[[#This Row],[Volume, kg]]/1000</f>
        <v>40.32</v>
      </c>
      <c r="J5211" s="25">
        <v>0.26300000000000001</v>
      </c>
      <c r="K5211" s="25">
        <f t="shared" si="81"/>
        <v>10604.16</v>
      </c>
      <c r="L5211" s="25">
        <v>2.06</v>
      </c>
      <c r="M5211" s="24">
        <v>83056</v>
      </c>
      <c r="N5211" s="25">
        <f>IFERROR(T_reg.root.SK[[#This Row],[Price]]/T_reg.root.SK[[#This Row],[Starch content]],"")</f>
        <v>7.832699619771863</v>
      </c>
    </row>
    <row r="5212" spans="1:14">
      <c r="A5212" s="21">
        <v>2025</v>
      </c>
      <c r="B5212" s="21" t="s">
        <v>20</v>
      </c>
      <c r="C5212" s="21" t="s">
        <v>1145</v>
      </c>
      <c r="D5212" s="21" t="s">
        <v>35</v>
      </c>
      <c r="E5212" s="17" t="s">
        <v>289</v>
      </c>
      <c r="F5212" s="18" t="s">
        <v>105</v>
      </c>
      <c r="G5212" s="18" t="s">
        <v>48</v>
      </c>
      <c r="H5212" s="24">
        <v>102960</v>
      </c>
      <c r="I5212" s="24">
        <f>T_reg.root.SK[[#This Row],[Volume, kg]]/1000</f>
        <v>102.96</v>
      </c>
      <c r="J5212" s="25">
        <v>0.25</v>
      </c>
      <c r="K5212" s="25">
        <f t="shared" si="81"/>
        <v>25740</v>
      </c>
      <c r="L5212" s="25">
        <v>1.97</v>
      </c>
      <c r="M5212" s="24">
        <v>203007</v>
      </c>
      <c r="N5212" s="25">
        <f>IFERROR(T_reg.root.SK[[#This Row],[Price]]/T_reg.root.SK[[#This Row],[Starch content]],"")</f>
        <v>7.88</v>
      </c>
    </row>
    <row r="5213" spans="1:14">
      <c r="A5213" s="21">
        <v>2025</v>
      </c>
      <c r="B5213" s="21" t="s">
        <v>20</v>
      </c>
      <c r="C5213" s="21" t="s">
        <v>1145</v>
      </c>
      <c r="D5213" s="21" t="s">
        <v>35</v>
      </c>
      <c r="E5213" s="17" t="s">
        <v>46</v>
      </c>
      <c r="F5213" s="18" t="s">
        <v>47</v>
      </c>
      <c r="G5213" s="18" t="s">
        <v>48</v>
      </c>
      <c r="H5213" s="24">
        <v>172840</v>
      </c>
      <c r="I5213" s="24">
        <f>T_reg.root.SK[[#This Row],[Volume, kg]]/1000</f>
        <v>172.84</v>
      </c>
      <c r="J5213" s="25">
        <v>0.27</v>
      </c>
      <c r="K5213" s="25">
        <f t="shared" si="81"/>
        <v>46666.8</v>
      </c>
      <c r="L5213" s="25">
        <v>2.12</v>
      </c>
      <c r="M5213" s="24">
        <v>366974.5</v>
      </c>
      <c r="N5213" s="25">
        <f>IFERROR(T_reg.root.SK[[#This Row],[Price]]/T_reg.root.SK[[#This Row],[Starch content]],"")</f>
        <v>7.8518518518518521</v>
      </c>
    </row>
    <row r="5214" spans="1:14">
      <c r="A5214" s="21">
        <v>2025</v>
      </c>
      <c r="B5214" s="21" t="s">
        <v>20</v>
      </c>
      <c r="C5214" s="21" t="s">
        <v>1145</v>
      </c>
      <c r="D5214" s="21" t="s">
        <v>35</v>
      </c>
      <c r="E5214" s="17" t="s">
        <v>108</v>
      </c>
      <c r="F5214" s="18" t="s">
        <v>105</v>
      </c>
      <c r="G5214" s="18" t="s">
        <v>48</v>
      </c>
      <c r="H5214" s="24">
        <v>71550</v>
      </c>
      <c r="I5214" s="24">
        <f>T_reg.root.SK[[#This Row],[Volume, kg]]/1000</f>
        <v>71.55</v>
      </c>
      <c r="J5214" s="25">
        <v>0.214</v>
      </c>
      <c r="K5214" s="25">
        <f t="shared" si="81"/>
        <v>15311.699999999999</v>
      </c>
      <c r="L5214" s="25">
        <v>1.8</v>
      </c>
      <c r="M5214" s="24">
        <v>128729</v>
      </c>
      <c r="N5214" s="25">
        <f>IFERROR(T_reg.root.SK[[#This Row],[Price]]/T_reg.root.SK[[#This Row],[Starch content]],"")</f>
        <v>8.4112149532710276</v>
      </c>
    </row>
    <row r="5215" spans="1:14">
      <c r="A5215" s="21">
        <v>2025</v>
      </c>
      <c r="B5215" s="21" t="s">
        <v>20</v>
      </c>
      <c r="C5215" s="21" t="s">
        <v>1145</v>
      </c>
      <c r="D5215" s="21" t="s">
        <v>35</v>
      </c>
      <c r="E5215" s="17" t="s">
        <v>49</v>
      </c>
      <c r="F5215" s="18" t="s">
        <v>47</v>
      </c>
      <c r="G5215" s="18" t="s">
        <v>48</v>
      </c>
      <c r="H5215" s="24">
        <v>5650</v>
      </c>
      <c r="I5215" s="24">
        <f>T_reg.root.SK[[#This Row],[Volume, kg]]/1000</f>
        <v>5.65</v>
      </c>
      <c r="J5215" s="25">
        <v>0.215</v>
      </c>
      <c r="K5215" s="25">
        <f t="shared" si="81"/>
        <v>1214.75</v>
      </c>
      <c r="L5215" s="25">
        <v>1.75</v>
      </c>
      <c r="M5215" s="24">
        <v>9887.5</v>
      </c>
      <c r="N5215" s="25">
        <f>IFERROR(T_reg.root.SK[[#This Row],[Price]]/T_reg.root.SK[[#This Row],[Starch content]],"")</f>
        <v>8.1395348837209305</v>
      </c>
    </row>
    <row r="5216" spans="1:14">
      <c r="A5216" s="21">
        <v>2025</v>
      </c>
      <c r="B5216" s="21" t="s">
        <v>20</v>
      </c>
      <c r="C5216" s="21" t="s">
        <v>1145</v>
      </c>
      <c r="D5216" s="21" t="s">
        <v>35</v>
      </c>
      <c r="E5216" s="17" t="s">
        <v>50</v>
      </c>
      <c r="F5216" s="18" t="s">
        <v>47</v>
      </c>
      <c r="G5216" s="18" t="s">
        <v>48</v>
      </c>
      <c r="H5216" s="24">
        <v>17310</v>
      </c>
      <c r="I5216" s="24">
        <f>T_reg.root.SK[[#This Row],[Volume, kg]]/1000</f>
        <v>17.309999999999999</v>
      </c>
      <c r="J5216" s="25">
        <v>0.218</v>
      </c>
      <c r="K5216" s="25">
        <f t="shared" si="81"/>
        <v>3773.58</v>
      </c>
      <c r="L5216" s="25">
        <v>1.81</v>
      </c>
      <c r="M5216" s="24">
        <v>31412</v>
      </c>
      <c r="N5216" s="25">
        <f>IFERROR(T_reg.root.SK[[#This Row],[Price]]/T_reg.root.SK[[#This Row],[Starch content]],"")</f>
        <v>8.3027522935779814</v>
      </c>
    </row>
    <row r="5217" spans="1:14">
      <c r="A5217" s="21">
        <v>2025</v>
      </c>
      <c r="B5217" s="21" t="s">
        <v>20</v>
      </c>
      <c r="C5217" s="21" t="s">
        <v>1145</v>
      </c>
      <c r="D5217" s="21" t="s">
        <v>35</v>
      </c>
      <c r="E5217" s="17" t="s">
        <v>823</v>
      </c>
      <c r="F5217" s="18" t="s">
        <v>105</v>
      </c>
      <c r="G5217" s="18" t="s">
        <v>48</v>
      </c>
      <c r="H5217" s="24">
        <v>147210</v>
      </c>
      <c r="I5217" s="24">
        <f>T_reg.root.SK[[#This Row],[Volume, kg]]/1000</f>
        <v>147.21</v>
      </c>
      <c r="J5217" s="25">
        <v>0.222</v>
      </c>
      <c r="K5217" s="25">
        <f t="shared" si="81"/>
        <v>32680.62</v>
      </c>
      <c r="L5217" s="25">
        <v>1.88</v>
      </c>
      <c r="M5217" s="24">
        <v>276326.5</v>
      </c>
      <c r="N5217" s="25">
        <f>IFERROR(T_reg.root.SK[[#This Row],[Price]]/T_reg.root.SK[[#This Row],[Starch content]],"")</f>
        <v>8.4684684684684672</v>
      </c>
    </row>
    <row r="5218" spans="1:14">
      <c r="A5218" s="21">
        <v>2025</v>
      </c>
      <c r="B5218" s="21" t="s">
        <v>20</v>
      </c>
      <c r="C5218" s="21" t="s">
        <v>1145</v>
      </c>
      <c r="D5218" s="21" t="s">
        <v>35</v>
      </c>
      <c r="E5218" s="17" t="s">
        <v>758</v>
      </c>
      <c r="F5218" s="18" t="s">
        <v>187</v>
      </c>
      <c r="G5218" s="18" t="s">
        <v>48</v>
      </c>
      <c r="H5218" s="24">
        <v>23550</v>
      </c>
      <c r="I5218" s="24">
        <f>T_reg.root.SK[[#This Row],[Volume, kg]]/1000</f>
        <v>23.55</v>
      </c>
      <c r="J5218" s="25">
        <v>0.23300000000000001</v>
      </c>
      <c r="K5218" s="25">
        <f t="shared" si="81"/>
        <v>5487.1500000000005</v>
      </c>
      <c r="L5218" s="25">
        <v>1.82</v>
      </c>
      <c r="M5218" s="24">
        <v>42786.5</v>
      </c>
      <c r="N5218" s="25">
        <f>IFERROR(T_reg.root.SK[[#This Row],[Price]]/T_reg.root.SK[[#This Row],[Starch content]],"")</f>
        <v>7.8111587982832615</v>
      </c>
    </row>
    <row r="5219" spans="1:14">
      <c r="A5219" s="21">
        <v>2025</v>
      </c>
      <c r="B5219" s="21" t="s">
        <v>20</v>
      </c>
      <c r="C5219" s="21" t="s">
        <v>1145</v>
      </c>
      <c r="D5219" s="21" t="s">
        <v>35</v>
      </c>
      <c r="E5219" s="17" t="s">
        <v>291</v>
      </c>
      <c r="F5219" s="18" t="s">
        <v>105</v>
      </c>
      <c r="G5219" s="18" t="s">
        <v>48</v>
      </c>
      <c r="H5219" s="24">
        <v>59380</v>
      </c>
      <c r="I5219" s="24">
        <f>T_reg.root.SK[[#This Row],[Volume, kg]]/1000</f>
        <v>59.38</v>
      </c>
      <c r="J5219" s="25">
        <v>0.27</v>
      </c>
      <c r="K5219" s="25">
        <f t="shared" si="81"/>
        <v>16032.6</v>
      </c>
      <c r="L5219" s="25">
        <v>2.11</v>
      </c>
      <c r="M5219" s="24">
        <v>125177</v>
      </c>
      <c r="N5219" s="25">
        <f>IFERROR(T_reg.root.SK[[#This Row],[Price]]/T_reg.root.SK[[#This Row],[Starch content]],"")</f>
        <v>7.814814814814814</v>
      </c>
    </row>
    <row r="5220" spans="1:14">
      <c r="A5220" s="21">
        <v>2025</v>
      </c>
      <c r="B5220" s="21" t="s">
        <v>20</v>
      </c>
      <c r="C5220" s="21" t="s">
        <v>1145</v>
      </c>
      <c r="D5220" s="21" t="s">
        <v>35</v>
      </c>
      <c r="E5220" s="17" t="s">
        <v>631</v>
      </c>
      <c r="F5220" s="18" t="s">
        <v>105</v>
      </c>
      <c r="G5220" s="18" t="s">
        <v>48</v>
      </c>
      <c r="H5220" s="24">
        <v>56380</v>
      </c>
      <c r="I5220" s="24">
        <f>T_reg.root.SK[[#This Row],[Volume, kg]]/1000</f>
        <v>56.38</v>
      </c>
      <c r="J5220" s="25">
        <v>0.28599999999999998</v>
      </c>
      <c r="K5220" s="25">
        <f t="shared" si="81"/>
        <v>16124.679999999998</v>
      </c>
      <c r="L5220" s="25">
        <v>2.17</v>
      </c>
      <c r="M5220" s="24">
        <v>122349.5</v>
      </c>
      <c r="N5220" s="25">
        <f>IFERROR(T_reg.root.SK[[#This Row],[Price]]/T_reg.root.SK[[#This Row],[Starch content]],"")</f>
        <v>7.5874125874125875</v>
      </c>
    </row>
    <row r="5221" spans="1:14">
      <c r="A5221" s="21">
        <v>2025</v>
      </c>
      <c r="B5221" s="21" t="s">
        <v>20</v>
      </c>
      <c r="C5221" s="21" t="s">
        <v>1145</v>
      </c>
      <c r="D5221" s="21" t="s">
        <v>35</v>
      </c>
      <c r="E5221" s="17" t="s">
        <v>109</v>
      </c>
      <c r="F5221" s="18" t="s">
        <v>105</v>
      </c>
      <c r="G5221" s="18" t="s">
        <v>48</v>
      </c>
      <c r="H5221" s="24">
        <v>210050</v>
      </c>
      <c r="I5221" s="24">
        <f>T_reg.root.SK[[#This Row],[Volume, kg]]/1000</f>
        <v>210.05</v>
      </c>
      <c r="J5221" s="25">
        <v>0.25800000000000001</v>
      </c>
      <c r="K5221" s="25">
        <f t="shared" si="81"/>
        <v>54192.9</v>
      </c>
      <c r="L5221" s="25">
        <v>2.04</v>
      </c>
      <c r="M5221" s="24">
        <v>428706.5</v>
      </c>
      <c r="N5221" s="25">
        <f>IFERROR(T_reg.root.SK[[#This Row],[Price]]/T_reg.root.SK[[#This Row],[Starch content]],"")</f>
        <v>7.9069767441860463</v>
      </c>
    </row>
    <row r="5222" spans="1:14">
      <c r="A5222" s="21">
        <v>2025</v>
      </c>
      <c r="B5222" s="21" t="s">
        <v>20</v>
      </c>
      <c r="C5222" s="21" t="s">
        <v>1145</v>
      </c>
      <c r="D5222" s="21" t="s">
        <v>35</v>
      </c>
      <c r="E5222" s="17" t="s">
        <v>292</v>
      </c>
      <c r="F5222" s="18" t="s">
        <v>105</v>
      </c>
      <c r="G5222" s="18" t="s">
        <v>48</v>
      </c>
      <c r="H5222" s="24">
        <v>10800</v>
      </c>
      <c r="I5222" s="24">
        <f>T_reg.root.SK[[#This Row],[Volume, kg]]/1000</f>
        <v>10.8</v>
      </c>
      <c r="J5222" s="25">
        <v>0.19900000000000001</v>
      </c>
      <c r="K5222" s="25">
        <f t="shared" si="81"/>
        <v>2149.2000000000003</v>
      </c>
      <c r="L5222" s="25">
        <v>1.8</v>
      </c>
      <c r="M5222" s="24">
        <v>19440</v>
      </c>
      <c r="N5222" s="25">
        <f>IFERROR(T_reg.root.SK[[#This Row],[Price]]/T_reg.root.SK[[#This Row],[Starch content]],"")</f>
        <v>9.0452261306532655</v>
      </c>
    </row>
    <row r="5223" spans="1:14">
      <c r="A5223" s="21">
        <v>2025</v>
      </c>
      <c r="B5223" s="21" t="s">
        <v>20</v>
      </c>
      <c r="C5223" s="21" t="s">
        <v>1145</v>
      </c>
      <c r="D5223" s="21" t="s">
        <v>35</v>
      </c>
      <c r="E5223" s="17" t="s">
        <v>350</v>
      </c>
      <c r="F5223" s="18" t="s">
        <v>105</v>
      </c>
      <c r="G5223" s="18" t="s">
        <v>48</v>
      </c>
      <c r="H5223" s="24">
        <v>82180</v>
      </c>
      <c r="I5223" s="24">
        <f>T_reg.root.SK[[#This Row],[Volume, kg]]/1000</f>
        <v>82.18</v>
      </c>
      <c r="J5223" s="25">
        <v>0.27600000000000002</v>
      </c>
      <c r="K5223" s="25">
        <f t="shared" si="81"/>
        <v>22681.68</v>
      </c>
      <c r="L5223" s="25">
        <v>2.14</v>
      </c>
      <c r="M5223" s="24">
        <v>175824</v>
      </c>
      <c r="N5223" s="25">
        <f>IFERROR(T_reg.root.SK[[#This Row],[Price]]/T_reg.root.SK[[#This Row],[Starch content]],"")</f>
        <v>7.7536231884057969</v>
      </c>
    </row>
    <row r="5224" spans="1:14">
      <c r="A5224" s="21">
        <v>2025</v>
      </c>
      <c r="B5224" s="21" t="s">
        <v>20</v>
      </c>
      <c r="C5224" s="21" t="s">
        <v>1145</v>
      </c>
      <c r="D5224" s="21" t="s">
        <v>35</v>
      </c>
      <c r="E5224" s="17" t="s">
        <v>51</v>
      </c>
      <c r="F5224" s="18" t="s">
        <v>47</v>
      </c>
      <c r="G5224" s="18" t="s">
        <v>48</v>
      </c>
      <c r="H5224" s="24">
        <v>20280</v>
      </c>
      <c r="I5224" s="24">
        <f>T_reg.root.SK[[#This Row],[Volume, kg]]/1000</f>
        <v>20.28</v>
      </c>
      <c r="J5224" s="25">
        <v>0.26500000000000001</v>
      </c>
      <c r="K5224" s="25">
        <f t="shared" si="81"/>
        <v>5374.2</v>
      </c>
      <c r="L5224" s="25">
        <v>2.11</v>
      </c>
      <c r="M5224" s="24">
        <v>42790</v>
      </c>
      <c r="N5224" s="25">
        <f>IFERROR(T_reg.root.SK[[#This Row],[Price]]/T_reg.root.SK[[#This Row],[Starch content]],"")</f>
        <v>7.9622641509433958</v>
      </c>
    </row>
    <row r="5225" spans="1:14">
      <c r="A5225" s="21">
        <v>2025</v>
      </c>
      <c r="B5225" s="21" t="s">
        <v>20</v>
      </c>
      <c r="C5225" s="21" t="s">
        <v>1145</v>
      </c>
      <c r="D5225" s="21" t="s">
        <v>35</v>
      </c>
      <c r="E5225" s="17" t="s">
        <v>336</v>
      </c>
      <c r="F5225" s="18" t="s">
        <v>47</v>
      </c>
      <c r="G5225" s="18" t="s">
        <v>48</v>
      </c>
      <c r="H5225" s="24">
        <v>39340</v>
      </c>
      <c r="I5225" s="24">
        <f>T_reg.root.SK[[#This Row],[Volume, kg]]/1000</f>
        <v>39.340000000000003</v>
      </c>
      <c r="J5225" s="25">
        <v>0.26100000000000001</v>
      </c>
      <c r="K5225" s="25">
        <f t="shared" si="81"/>
        <v>10267.74</v>
      </c>
      <c r="L5225" s="25">
        <v>2.08</v>
      </c>
      <c r="M5225" s="24">
        <v>81684</v>
      </c>
      <c r="N5225" s="25">
        <f>IFERROR(T_reg.root.SK[[#This Row],[Price]]/T_reg.root.SK[[#This Row],[Starch content]],"")</f>
        <v>7.9693486590038312</v>
      </c>
    </row>
    <row r="5226" spans="1:14">
      <c r="A5226" s="21">
        <v>2025</v>
      </c>
      <c r="B5226" s="21" t="s">
        <v>20</v>
      </c>
      <c r="C5226" s="21" t="s">
        <v>1145</v>
      </c>
      <c r="D5226" s="21" t="s">
        <v>35</v>
      </c>
      <c r="E5226" s="17" t="s">
        <v>642</v>
      </c>
      <c r="F5226" s="18" t="s">
        <v>47</v>
      </c>
      <c r="G5226" s="18" t="s">
        <v>48</v>
      </c>
      <c r="H5226" s="24">
        <v>40880</v>
      </c>
      <c r="I5226" s="24">
        <f>T_reg.root.SK[[#This Row],[Volume, kg]]/1000</f>
        <v>40.880000000000003</v>
      </c>
      <c r="J5226" s="25">
        <v>0.255</v>
      </c>
      <c r="K5226" s="25">
        <f t="shared" si="81"/>
        <v>10424.4</v>
      </c>
      <c r="L5226" s="25">
        <v>2.08</v>
      </c>
      <c r="M5226" s="24">
        <v>84826</v>
      </c>
      <c r="N5226" s="25">
        <f>IFERROR(T_reg.root.SK[[#This Row],[Price]]/T_reg.root.SK[[#This Row],[Starch content]],"")</f>
        <v>8.1568627450980387</v>
      </c>
    </row>
    <row r="5227" spans="1:14">
      <c r="A5227" s="21">
        <v>2025</v>
      </c>
      <c r="B5227" s="21" t="s">
        <v>20</v>
      </c>
      <c r="C5227" s="21" t="s">
        <v>1145</v>
      </c>
      <c r="D5227" s="21" t="s">
        <v>35</v>
      </c>
      <c r="E5227" s="17" t="s">
        <v>192</v>
      </c>
      <c r="F5227" s="18" t="s">
        <v>187</v>
      </c>
      <c r="G5227" s="18" t="s">
        <v>48</v>
      </c>
      <c r="H5227" s="24">
        <v>137230</v>
      </c>
      <c r="I5227" s="24">
        <f>T_reg.root.SK[[#This Row],[Volume, kg]]/1000</f>
        <v>137.22999999999999</v>
      </c>
      <c r="J5227" s="25">
        <v>0.26300000000000001</v>
      </c>
      <c r="K5227" s="25">
        <f t="shared" si="81"/>
        <v>36091.49</v>
      </c>
      <c r="L5227" s="25">
        <v>2.09</v>
      </c>
      <c r="M5227" s="24">
        <v>286207.5</v>
      </c>
      <c r="N5227" s="25">
        <f>IFERROR(T_reg.root.SK[[#This Row],[Price]]/T_reg.root.SK[[#This Row],[Starch content]],"")</f>
        <v>7.9467680608365008</v>
      </c>
    </row>
    <row r="5228" spans="1:14">
      <c r="A5228" s="21">
        <v>2025</v>
      </c>
      <c r="B5228" s="21" t="s">
        <v>20</v>
      </c>
      <c r="C5228" s="21" t="s">
        <v>1145</v>
      </c>
      <c r="D5228" s="21" t="s">
        <v>35</v>
      </c>
      <c r="E5228" s="17" t="s">
        <v>513</v>
      </c>
      <c r="F5228" s="18" t="s">
        <v>187</v>
      </c>
      <c r="G5228" s="18" t="s">
        <v>48</v>
      </c>
      <c r="H5228" s="24">
        <v>20330</v>
      </c>
      <c r="I5228" s="24">
        <f>T_reg.root.SK[[#This Row],[Volume, kg]]/1000</f>
        <v>20.329999999999998</v>
      </c>
      <c r="J5228" s="25">
        <v>0.26200000000000001</v>
      </c>
      <c r="K5228" s="25">
        <f t="shared" si="81"/>
        <v>5326.46</v>
      </c>
      <c r="L5228" s="25">
        <v>2.08</v>
      </c>
      <c r="M5228" s="24">
        <v>42187.5</v>
      </c>
      <c r="N5228" s="25">
        <f>IFERROR(T_reg.root.SK[[#This Row],[Price]]/T_reg.root.SK[[#This Row],[Starch content]],"")</f>
        <v>7.9389312977099236</v>
      </c>
    </row>
    <row r="5229" spans="1:14">
      <c r="A5229" s="21">
        <v>2025</v>
      </c>
      <c r="B5229" s="21" t="s">
        <v>20</v>
      </c>
      <c r="C5229" s="21" t="s">
        <v>1145</v>
      </c>
      <c r="D5229" s="21" t="s">
        <v>35</v>
      </c>
      <c r="E5229" s="17" t="s">
        <v>514</v>
      </c>
      <c r="F5229" s="18" t="s">
        <v>187</v>
      </c>
      <c r="G5229" s="18" t="s">
        <v>48</v>
      </c>
      <c r="H5229" s="24">
        <v>24400</v>
      </c>
      <c r="I5229" s="24">
        <f>T_reg.root.SK[[#This Row],[Volume, kg]]/1000</f>
        <v>24.4</v>
      </c>
      <c r="J5229" s="25">
        <v>0.24299999999999999</v>
      </c>
      <c r="K5229" s="25">
        <f t="shared" si="81"/>
        <v>5929.2</v>
      </c>
      <c r="L5229" s="25">
        <v>2.02</v>
      </c>
      <c r="M5229" s="24">
        <v>49180</v>
      </c>
      <c r="N5229" s="25">
        <f>IFERROR(T_reg.root.SK[[#This Row],[Price]]/T_reg.root.SK[[#This Row],[Starch content]],"")</f>
        <v>8.3127572016460913</v>
      </c>
    </row>
    <row r="5230" spans="1:14">
      <c r="A5230" s="21">
        <v>2025</v>
      </c>
      <c r="B5230" s="21" t="s">
        <v>20</v>
      </c>
      <c r="C5230" s="21" t="s">
        <v>1145</v>
      </c>
      <c r="D5230" s="21" t="s">
        <v>35</v>
      </c>
      <c r="E5230" s="17" t="s">
        <v>52</v>
      </c>
      <c r="F5230" s="18" t="s">
        <v>47</v>
      </c>
      <c r="G5230" s="18" t="s">
        <v>48</v>
      </c>
      <c r="H5230" s="24">
        <v>14660</v>
      </c>
      <c r="I5230" s="24">
        <f>T_reg.root.SK[[#This Row],[Volume, kg]]/1000</f>
        <v>14.66</v>
      </c>
      <c r="J5230" s="25">
        <v>0.20300000000000001</v>
      </c>
      <c r="K5230" s="25">
        <f t="shared" si="81"/>
        <v>2975.98</v>
      </c>
      <c r="L5230" s="25">
        <v>1.82</v>
      </c>
      <c r="M5230" s="24">
        <v>26753</v>
      </c>
      <c r="N5230" s="25">
        <f>IFERROR(T_reg.root.SK[[#This Row],[Price]]/T_reg.root.SK[[#This Row],[Starch content]],"")</f>
        <v>8.9655172413793096</v>
      </c>
    </row>
    <row r="5231" spans="1:14">
      <c r="A5231" s="21">
        <v>2025</v>
      </c>
      <c r="B5231" s="21" t="s">
        <v>20</v>
      </c>
      <c r="C5231" s="21" t="s">
        <v>1145</v>
      </c>
      <c r="D5231" s="21" t="s">
        <v>35</v>
      </c>
      <c r="E5231" s="17" t="s">
        <v>701</v>
      </c>
      <c r="F5231" s="18" t="s">
        <v>187</v>
      </c>
      <c r="G5231" s="18" t="s">
        <v>48</v>
      </c>
      <c r="H5231" s="24">
        <v>38550</v>
      </c>
      <c r="I5231" s="24">
        <f>T_reg.root.SK[[#This Row],[Volume, kg]]/1000</f>
        <v>38.549999999999997</v>
      </c>
      <c r="J5231" s="25">
        <v>0.20200000000000001</v>
      </c>
      <c r="K5231" s="25">
        <f t="shared" si="81"/>
        <v>7787.1</v>
      </c>
      <c r="L5231" s="25">
        <v>1.66</v>
      </c>
      <c r="M5231" s="24">
        <v>64032.5</v>
      </c>
      <c r="N5231" s="25">
        <f>IFERROR(T_reg.root.SK[[#This Row],[Price]]/T_reg.root.SK[[#This Row],[Starch content]],"")</f>
        <v>8.2178217821782162</v>
      </c>
    </row>
    <row r="5232" spans="1:14">
      <c r="A5232" s="21">
        <v>2025</v>
      </c>
      <c r="B5232" s="21" t="s">
        <v>20</v>
      </c>
      <c r="C5232" s="21" t="s">
        <v>1145</v>
      </c>
      <c r="D5232" s="21" t="s">
        <v>35</v>
      </c>
      <c r="E5232" s="17" t="s">
        <v>276</v>
      </c>
      <c r="F5232" s="18" t="s">
        <v>95</v>
      </c>
      <c r="G5232" s="18" t="s">
        <v>48</v>
      </c>
      <c r="H5232" s="24">
        <v>246860</v>
      </c>
      <c r="I5232" s="24">
        <f>T_reg.root.SK[[#This Row],[Volume, kg]]/1000</f>
        <v>246.86</v>
      </c>
      <c r="J5232" s="25">
        <v>0.21</v>
      </c>
      <c r="K5232" s="25">
        <f t="shared" si="81"/>
        <v>51840.6</v>
      </c>
      <c r="L5232" s="25">
        <v>1.82</v>
      </c>
      <c r="M5232" s="24">
        <v>448142.5</v>
      </c>
      <c r="N5232" s="25">
        <f>IFERROR(T_reg.root.SK[[#This Row],[Price]]/T_reg.root.SK[[#This Row],[Starch content]],"")</f>
        <v>8.6666666666666679</v>
      </c>
    </row>
    <row r="5233" spans="1:14">
      <c r="A5233" s="21">
        <v>2025</v>
      </c>
      <c r="B5233" s="21" t="s">
        <v>20</v>
      </c>
      <c r="C5233" s="21" t="s">
        <v>1145</v>
      </c>
      <c r="D5233" s="21" t="s">
        <v>35</v>
      </c>
      <c r="E5233" s="17" t="s">
        <v>734</v>
      </c>
      <c r="F5233" s="18" t="s">
        <v>105</v>
      </c>
      <c r="G5233" s="18" t="s">
        <v>48</v>
      </c>
      <c r="H5233" s="24">
        <v>89410</v>
      </c>
      <c r="I5233" s="24">
        <f>T_reg.root.SK[[#This Row],[Volume, kg]]/1000</f>
        <v>89.41</v>
      </c>
      <c r="J5233" s="25">
        <v>0.23599999999999999</v>
      </c>
      <c r="K5233" s="25">
        <f t="shared" si="81"/>
        <v>21100.76</v>
      </c>
      <c r="L5233" s="25">
        <v>1.95</v>
      </c>
      <c r="M5233" s="24">
        <v>174706.5</v>
      </c>
      <c r="N5233" s="25">
        <f>IFERROR(T_reg.root.SK[[#This Row],[Price]]/T_reg.root.SK[[#This Row],[Starch content]],"")</f>
        <v>8.2627118644067803</v>
      </c>
    </row>
    <row r="5234" spans="1:14">
      <c r="A5234" s="21">
        <v>2025</v>
      </c>
      <c r="B5234" s="21" t="s">
        <v>20</v>
      </c>
      <c r="C5234" s="21" t="s">
        <v>1145</v>
      </c>
      <c r="D5234" s="21" t="s">
        <v>35</v>
      </c>
      <c r="E5234" s="17" t="s">
        <v>995</v>
      </c>
      <c r="F5234" s="18" t="s">
        <v>187</v>
      </c>
      <c r="G5234" s="18" t="s">
        <v>48</v>
      </c>
      <c r="H5234" s="24">
        <v>10720</v>
      </c>
      <c r="I5234" s="24">
        <f>T_reg.root.SK[[#This Row],[Volume, kg]]/1000</f>
        <v>10.72</v>
      </c>
      <c r="J5234" s="25">
        <v>0.23</v>
      </c>
      <c r="K5234" s="25">
        <f t="shared" si="81"/>
        <v>2465.6</v>
      </c>
      <c r="L5234" s="25">
        <v>1.8</v>
      </c>
      <c r="M5234" s="24">
        <v>19296</v>
      </c>
      <c r="N5234" s="25">
        <f>IFERROR(T_reg.root.SK[[#This Row],[Price]]/T_reg.root.SK[[#This Row],[Starch content]],"")</f>
        <v>7.8260869565217392</v>
      </c>
    </row>
    <row r="5235" spans="1:14">
      <c r="A5235" s="21">
        <v>2025</v>
      </c>
      <c r="B5235" s="21" t="s">
        <v>20</v>
      </c>
      <c r="C5235" s="21" t="s">
        <v>1145</v>
      </c>
      <c r="D5235" s="21" t="s">
        <v>35</v>
      </c>
      <c r="E5235" s="17" t="s">
        <v>112</v>
      </c>
      <c r="F5235" s="18" t="s">
        <v>105</v>
      </c>
      <c r="G5235" s="18" t="s">
        <v>48</v>
      </c>
      <c r="H5235" s="24">
        <v>33720</v>
      </c>
      <c r="I5235" s="24">
        <f>T_reg.root.SK[[#This Row],[Volume, kg]]/1000</f>
        <v>33.72</v>
      </c>
      <c r="J5235" s="25">
        <v>0.247</v>
      </c>
      <c r="K5235" s="25">
        <f t="shared" si="81"/>
        <v>8328.84</v>
      </c>
      <c r="L5235" s="25">
        <v>2</v>
      </c>
      <c r="M5235" s="24">
        <v>67440</v>
      </c>
      <c r="N5235" s="25">
        <f>IFERROR(T_reg.root.SK[[#This Row],[Price]]/T_reg.root.SK[[#This Row],[Starch content]],"")</f>
        <v>8.097165991902834</v>
      </c>
    </row>
    <row r="5236" spans="1:14">
      <c r="A5236" s="21">
        <v>2025</v>
      </c>
      <c r="B5236" s="21" t="s">
        <v>20</v>
      </c>
      <c r="C5236" s="21" t="s">
        <v>1145</v>
      </c>
      <c r="D5236" s="21" t="s">
        <v>35</v>
      </c>
      <c r="E5236" s="17" t="s">
        <v>665</v>
      </c>
      <c r="F5236" s="18" t="s">
        <v>105</v>
      </c>
      <c r="G5236" s="18" t="s">
        <v>48</v>
      </c>
      <c r="H5236" s="24">
        <v>67040</v>
      </c>
      <c r="I5236" s="24">
        <f>T_reg.root.SK[[#This Row],[Volume, kg]]/1000</f>
        <v>67.040000000000006</v>
      </c>
      <c r="J5236" s="25">
        <v>0.23</v>
      </c>
      <c r="K5236" s="25">
        <f t="shared" si="81"/>
        <v>15419.2</v>
      </c>
      <c r="L5236" s="25">
        <v>1.92</v>
      </c>
      <c r="M5236" s="24">
        <v>128902</v>
      </c>
      <c r="N5236" s="25">
        <f>IFERROR(T_reg.root.SK[[#This Row],[Price]]/T_reg.root.SK[[#This Row],[Starch content]],"")</f>
        <v>8.3478260869565215</v>
      </c>
    </row>
    <row r="5237" spans="1:14">
      <c r="A5237" s="21">
        <v>2025</v>
      </c>
      <c r="B5237" s="21" t="s">
        <v>20</v>
      </c>
      <c r="C5237" s="21" t="s">
        <v>1145</v>
      </c>
      <c r="D5237" s="21" t="s">
        <v>35</v>
      </c>
      <c r="E5237" s="17" t="s">
        <v>78</v>
      </c>
      <c r="F5237" s="18" t="s">
        <v>47</v>
      </c>
      <c r="G5237" s="18" t="s">
        <v>48</v>
      </c>
      <c r="H5237" s="24">
        <v>68680</v>
      </c>
      <c r="I5237" s="24">
        <f>T_reg.root.SK[[#This Row],[Volume, kg]]/1000</f>
        <v>68.680000000000007</v>
      </c>
      <c r="J5237" s="25">
        <v>0.23799999999999999</v>
      </c>
      <c r="K5237" s="25">
        <f t="shared" si="81"/>
        <v>16345.84</v>
      </c>
      <c r="L5237" s="25">
        <v>1.98</v>
      </c>
      <c r="M5237" s="24">
        <v>135770</v>
      </c>
      <c r="N5237" s="25">
        <f>IFERROR(T_reg.root.SK[[#This Row],[Price]]/T_reg.root.SK[[#This Row],[Starch content]],"")</f>
        <v>8.3193277310924376</v>
      </c>
    </row>
    <row r="5238" spans="1:14">
      <c r="A5238" s="21">
        <v>2025</v>
      </c>
      <c r="B5238" s="21" t="s">
        <v>20</v>
      </c>
      <c r="C5238" s="21" t="s">
        <v>1145</v>
      </c>
      <c r="D5238" s="21" t="s">
        <v>35</v>
      </c>
      <c r="E5238" s="17" t="s">
        <v>262</v>
      </c>
      <c r="F5238" s="18" t="s">
        <v>187</v>
      </c>
      <c r="G5238" s="18" t="s">
        <v>48</v>
      </c>
      <c r="H5238" s="24">
        <v>59260</v>
      </c>
      <c r="I5238" s="24">
        <f>T_reg.root.SK[[#This Row],[Volume, kg]]/1000</f>
        <v>59.26</v>
      </c>
      <c r="J5238" s="25">
        <v>0.23200000000000001</v>
      </c>
      <c r="K5238" s="25">
        <f t="shared" si="81"/>
        <v>13748.320000000002</v>
      </c>
      <c r="L5238" s="25">
        <v>1.84</v>
      </c>
      <c r="M5238" s="24">
        <v>109188</v>
      </c>
      <c r="N5238" s="25">
        <f>IFERROR(T_reg.root.SK[[#This Row],[Price]]/T_reg.root.SK[[#This Row],[Starch content]],"")</f>
        <v>7.931034482758621</v>
      </c>
    </row>
    <row r="5239" spans="1:14">
      <c r="A5239" s="21">
        <v>2025</v>
      </c>
      <c r="B5239" s="21" t="s">
        <v>20</v>
      </c>
      <c r="C5239" s="21" t="s">
        <v>1145</v>
      </c>
      <c r="D5239" s="21" t="s">
        <v>35</v>
      </c>
      <c r="E5239" s="17" t="s">
        <v>803</v>
      </c>
      <c r="F5239" s="18" t="s">
        <v>105</v>
      </c>
      <c r="G5239" s="18" t="s">
        <v>48</v>
      </c>
      <c r="H5239" s="24">
        <v>154150</v>
      </c>
      <c r="I5239" s="24">
        <f>T_reg.root.SK[[#This Row],[Volume, kg]]/1000</f>
        <v>154.15</v>
      </c>
      <c r="J5239" s="25">
        <v>0.247</v>
      </c>
      <c r="K5239" s="25">
        <f t="shared" si="81"/>
        <v>38075.050000000003</v>
      </c>
      <c r="L5239" s="25">
        <v>1.97</v>
      </c>
      <c r="M5239" s="24">
        <v>303149.5</v>
      </c>
      <c r="N5239" s="25">
        <f>IFERROR(T_reg.root.SK[[#This Row],[Price]]/T_reg.root.SK[[#This Row],[Starch content]],"")</f>
        <v>7.9757085020242915</v>
      </c>
    </row>
    <row r="5240" spans="1:14">
      <c r="A5240" s="21">
        <v>2025</v>
      </c>
      <c r="B5240" s="21" t="s">
        <v>20</v>
      </c>
      <c r="C5240" s="21" t="s">
        <v>1145</v>
      </c>
      <c r="D5240" s="21" t="s">
        <v>35</v>
      </c>
      <c r="E5240" s="17" t="s">
        <v>53</v>
      </c>
      <c r="F5240" s="18" t="s">
        <v>47</v>
      </c>
      <c r="G5240" s="18" t="s">
        <v>48</v>
      </c>
      <c r="H5240" s="24">
        <v>12930</v>
      </c>
      <c r="I5240" s="24">
        <f>T_reg.root.SK[[#This Row],[Volume, kg]]/1000</f>
        <v>12.93</v>
      </c>
      <c r="J5240" s="25">
        <v>0.27300000000000002</v>
      </c>
      <c r="K5240" s="25">
        <f t="shared" si="81"/>
        <v>3529.8900000000003</v>
      </c>
      <c r="L5240" s="25">
        <v>2.1800000000000002</v>
      </c>
      <c r="M5240" s="24">
        <v>28160</v>
      </c>
      <c r="N5240" s="25">
        <f>IFERROR(T_reg.root.SK[[#This Row],[Price]]/T_reg.root.SK[[#This Row],[Starch content]],"")</f>
        <v>7.9853479853479854</v>
      </c>
    </row>
    <row r="5241" spans="1:14">
      <c r="A5241" s="21">
        <v>2025</v>
      </c>
      <c r="B5241" s="21" t="s">
        <v>20</v>
      </c>
      <c r="C5241" s="21" t="s">
        <v>1145</v>
      </c>
      <c r="D5241" s="21" t="s">
        <v>35</v>
      </c>
      <c r="E5241" s="17" t="s">
        <v>624</v>
      </c>
      <c r="F5241" s="18" t="s">
        <v>47</v>
      </c>
      <c r="G5241" s="18" t="s">
        <v>48</v>
      </c>
      <c r="H5241" s="24">
        <v>49550</v>
      </c>
      <c r="I5241" s="24">
        <f>T_reg.root.SK[[#This Row],[Volume, kg]]/1000</f>
        <v>49.55</v>
      </c>
      <c r="J5241" s="25">
        <v>0.23400000000000001</v>
      </c>
      <c r="K5241" s="25">
        <f t="shared" si="81"/>
        <v>11594.7</v>
      </c>
      <c r="L5241" s="25">
        <v>1.97</v>
      </c>
      <c r="M5241" s="24">
        <v>97685.5</v>
      </c>
      <c r="N5241" s="25">
        <f>IFERROR(T_reg.root.SK[[#This Row],[Price]]/T_reg.root.SK[[#This Row],[Starch content]],"")</f>
        <v>8.4188034188034173</v>
      </c>
    </row>
    <row r="5242" spans="1:14">
      <c r="A5242" s="21">
        <v>2025</v>
      </c>
      <c r="B5242" s="21" t="s">
        <v>20</v>
      </c>
      <c r="C5242" s="21" t="s">
        <v>1145</v>
      </c>
      <c r="D5242" s="21" t="s">
        <v>35</v>
      </c>
      <c r="E5242" s="17" t="s">
        <v>194</v>
      </c>
      <c r="F5242" s="18" t="s">
        <v>187</v>
      </c>
      <c r="G5242" s="18" t="s">
        <v>48</v>
      </c>
      <c r="H5242" s="24">
        <v>39500</v>
      </c>
      <c r="I5242" s="24">
        <f>T_reg.root.SK[[#This Row],[Volume, kg]]/1000</f>
        <v>39.5</v>
      </c>
      <c r="J5242" s="25">
        <v>0.26500000000000001</v>
      </c>
      <c r="K5242" s="25">
        <f t="shared" si="81"/>
        <v>10467.5</v>
      </c>
      <c r="L5242" s="25">
        <v>2.08</v>
      </c>
      <c r="M5242" s="24">
        <v>82047.5</v>
      </c>
      <c r="N5242" s="25">
        <f>IFERROR(T_reg.root.SK[[#This Row],[Price]]/T_reg.root.SK[[#This Row],[Starch content]],"")</f>
        <v>7.8490566037735849</v>
      </c>
    </row>
    <row r="5243" spans="1:14">
      <c r="A5243" s="21">
        <v>2025</v>
      </c>
      <c r="B5243" s="21" t="s">
        <v>20</v>
      </c>
      <c r="C5243" s="21" t="s">
        <v>1145</v>
      </c>
      <c r="D5243" s="21" t="s">
        <v>35</v>
      </c>
      <c r="E5243" s="17" t="s">
        <v>234</v>
      </c>
      <c r="F5243" s="18" t="s">
        <v>105</v>
      </c>
      <c r="G5243" s="18" t="s">
        <v>48</v>
      </c>
      <c r="H5243" s="24">
        <v>218330</v>
      </c>
      <c r="I5243" s="24">
        <f>T_reg.root.SK[[#This Row],[Volume, kg]]/1000</f>
        <v>218.33</v>
      </c>
      <c r="J5243" s="25">
        <v>0.247</v>
      </c>
      <c r="K5243" s="25">
        <f t="shared" si="81"/>
        <v>53927.51</v>
      </c>
      <c r="L5243" s="25">
        <v>1.98</v>
      </c>
      <c r="M5243" s="24">
        <v>432744</v>
      </c>
      <c r="N5243" s="25">
        <f>IFERROR(T_reg.root.SK[[#This Row],[Price]]/T_reg.root.SK[[#This Row],[Starch content]],"")</f>
        <v>8.0161943319838063</v>
      </c>
    </row>
    <row r="5244" spans="1:14">
      <c r="A5244" s="21">
        <v>2025</v>
      </c>
      <c r="B5244" s="21" t="s">
        <v>20</v>
      </c>
      <c r="C5244" s="21" t="s">
        <v>1145</v>
      </c>
      <c r="D5244" s="21" t="s">
        <v>35</v>
      </c>
      <c r="E5244" s="17" t="s">
        <v>402</v>
      </c>
      <c r="F5244" s="18" t="s">
        <v>105</v>
      </c>
      <c r="G5244" s="18" t="s">
        <v>48</v>
      </c>
      <c r="H5244" s="24">
        <v>50240</v>
      </c>
      <c r="I5244" s="24">
        <f>T_reg.root.SK[[#This Row],[Volume, kg]]/1000</f>
        <v>50.24</v>
      </c>
      <c r="J5244" s="25">
        <v>0.26200000000000001</v>
      </c>
      <c r="K5244" s="25">
        <f t="shared" si="81"/>
        <v>13162.880000000001</v>
      </c>
      <c r="L5244" s="25">
        <v>2.02</v>
      </c>
      <c r="M5244" s="24">
        <v>101708.5</v>
      </c>
      <c r="N5244" s="25">
        <f>IFERROR(T_reg.root.SK[[#This Row],[Price]]/T_reg.root.SK[[#This Row],[Starch content]],"")</f>
        <v>7.7099236641221376</v>
      </c>
    </row>
    <row r="5245" spans="1:14">
      <c r="A5245" s="21">
        <v>2025</v>
      </c>
      <c r="B5245" s="21" t="s">
        <v>20</v>
      </c>
      <c r="C5245" s="21" t="s">
        <v>1145</v>
      </c>
      <c r="D5245" s="21" t="s">
        <v>35</v>
      </c>
      <c r="E5245" s="17" t="s">
        <v>666</v>
      </c>
      <c r="F5245" s="18" t="s">
        <v>105</v>
      </c>
      <c r="G5245" s="18" t="s">
        <v>48</v>
      </c>
      <c r="H5245" s="24">
        <v>10910</v>
      </c>
      <c r="I5245" s="24">
        <f>T_reg.root.SK[[#This Row],[Volume, kg]]/1000</f>
        <v>10.91</v>
      </c>
      <c r="J5245" s="25">
        <v>0.255</v>
      </c>
      <c r="K5245" s="25">
        <f t="shared" si="81"/>
        <v>2782.05</v>
      </c>
      <c r="L5245" s="25">
        <v>1.9</v>
      </c>
      <c r="M5245" s="24">
        <v>20729</v>
      </c>
      <c r="N5245" s="25">
        <f>IFERROR(T_reg.root.SK[[#This Row],[Price]]/T_reg.root.SK[[#This Row],[Starch content]],"")</f>
        <v>7.450980392156862</v>
      </c>
    </row>
    <row r="5246" spans="1:14">
      <c r="A5246" s="21">
        <v>2025</v>
      </c>
      <c r="B5246" s="21" t="s">
        <v>20</v>
      </c>
      <c r="C5246" s="21" t="s">
        <v>1145</v>
      </c>
      <c r="D5246" s="21" t="s">
        <v>39</v>
      </c>
      <c r="E5246" s="17" t="s">
        <v>997</v>
      </c>
      <c r="F5246" s="18" t="s">
        <v>998</v>
      </c>
      <c r="G5246" s="18" t="s">
        <v>87</v>
      </c>
      <c r="H5246" s="24">
        <v>734270</v>
      </c>
      <c r="I5246" s="24">
        <f>T_reg.root.SK[[#This Row],[Volume, kg]]/1000</f>
        <v>734.27</v>
      </c>
      <c r="J5246" s="25">
        <v>0.25</v>
      </c>
      <c r="K5246" s="25">
        <f t="shared" si="81"/>
        <v>183567.5</v>
      </c>
      <c r="L5246" s="25">
        <v>1.99</v>
      </c>
      <c r="M5246" s="24">
        <v>1464562</v>
      </c>
      <c r="N5246" s="25">
        <f>IFERROR(T_reg.root.SK[[#This Row],[Price]]/T_reg.root.SK[[#This Row],[Starch content]],"")</f>
        <v>7.96</v>
      </c>
    </row>
    <row r="5247" spans="1:14">
      <c r="A5247" s="21">
        <v>2025</v>
      </c>
      <c r="B5247" s="21" t="s">
        <v>20</v>
      </c>
      <c r="C5247" s="21" t="s">
        <v>1145</v>
      </c>
      <c r="D5247" s="21" t="s">
        <v>35</v>
      </c>
      <c r="E5247" s="17" t="s">
        <v>587</v>
      </c>
      <c r="F5247" s="18" t="s">
        <v>187</v>
      </c>
      <c r="G5247" s="18" t="s">
        <v>48</v>
      </c>
      <c r="H5247" s="24">
        <v>14100</v>
      </c>
      <c r="I5247" s="24">
        <f>T_reg.root.SK[[#This Row],[Volume, kg]]/1000</f>
        <v>14.1</v>
      </c>
      <c r="J5247" s="25">
        <v>0.216</v>
      </c>
      <c r="K5247" s="25">
        <f t="shared" si="81"/>
        <v>3045.6</v>
      </c>
      <c r="L5247" s="25">
        <v>1.85</v>
      </c>
      <c r="M5247" s="24">
        <v>26050</v>
      </c>
      <c r="N5247" s="25">
        <f>IFERROR(T_reg.root.SK[[#This Row],[Price]]/T_reg.root.SK[[#This Row],[Starch content]],"")</f>
        <v>8.5648148148148149</v>
      </c>
    </row>
    <row r="5248" spans="1:14">
      <c r="A5248" s="21">
        <v>2025</v>
      </c>
      <c r="B5248" s="21" t="s">
        <v>20</v>
      </c>
      <c r="C5248" s="21" t="s">
        <v>1145</v>
      </c>
      <c r="D5248" s="21" t="s">
        <v>35</v>
      </c>
      <c r="E5248" s="17" t="s">
        <v>600</v>
      </c>
      <c r="F5248" s="18" t="s">
        <v>105</v>
      </c>
      <c r="G5248" s="18" t="s">
        <v>48</v>
      </c>
      <c r="H5248" s="24">
        <v>113700</v>
      </c>
      <c r="I5248" s="24">
        <f>T_reg.root.SK[[#This Row],[Volume, kg]]/1000</f>
        <v>113.7</v>
      </c>
      <c r="J5248" s="25">
        <v>0.23100000000000001</v>
      </c>
      <c r="K5248" s="25">
        <f t="shared" si="81"/>
        <v>26264.7</v>
      </c>
      <c r="L5248" s="25">
        <v>1.92</v>
      </c>
      <c r="M5248" s="24">
        <v>218042.5</v>
      </c>
      <c r="N5248" s="25">
        <f>IFERROR(T_reg.root.SK[[#This Row],[Price]]/T_reg.root.SK[[#This Row],[Starch content]],"")</f>
        <v>8.3116883116883109</v>
      </c>
    </row>
    <row r="5249" spans="1:14">
      <c r="A5249" s="21">
        <v>2025</v>
      </c>
      <c r="B5249" s="21" t="s">
        <v>20</v>
      </c>
      <c r="C5249" s="21" t="s">
        <v>1145</v>
      </c>
      <c r="D5249" s="21" t="s">
        <v>35</v>
      </c>
      <c r="E5249" s="17" t="s">
        <v>988</v>
      </c>
      <c r="F5249" s="18" t="s">
        <v>105</v>
      </c>
      <c r="G5249" s="18" t="s">
        <v>48</v>
      </c>
      <c r="H5249" s="24">
        <v>14400</v>
      </c>
      <c r="I5249" s="24">
        <f>T_reg.root.SK[[#This Row],[Volume, kg]]/1000</f>
        <v>14.4</v>
      </c>
      <c r="J5249" s="25">
        <v>0.248</v>
      </c>
      <c r="K5249" s="25">
        <f t="shared" si="81"/>
        <v>3571.2</v>
      </c>
      <c r="L5249" s="25">
        <v>2.0299999999999998</v>
      </c>
      <c r="M5249" s="24">
        <v>29202</v>
      </c>
      <c r="N5249" s="25">
        <f>IFERROR(T_reg.root.SK[[#This Row],[Price]]/T_reg.root.SK[[#This Row],[Starch content]],"")</f>
        <v>8.185483870967742</v>
      </c>
    </row>
    <row r="5250" spans="1:14">
      <c r="A5250" s="21">
        <v>2025</v>
      </c>
      <c r="B5250" s="21" t="s">
        <v>20</v>
      </c>
      <c r="C5250" s="21" t="s">
        <v>1145</v>
      </c>
      <c r="D5250" s="21" t="s">
        <v>35</v>
      </c>
      <c r="E5250" s="17" t="s">
        <v>685</v>
      </c>
      <c r="F5250" s="18" t="s">
        <v>105</v>
      </c>
      <c r="G5250" s="18" t="s">
        <v>48</v>
      </c>
      <c r="H5250" s="24">
        <v>46780</v>
      </c>
      <c r="I5250" s="24">
        <f>T_reg.root.SK[[#This Row],[Volume, kg]]/1000</f>
        <v>46.78</v>
      </c>
      <c r="J5250" s="25">
        <v>0.26100000000000001</v>
      </c>
      <c r="K5250" s="25">
        <f t="shared" si="81"/>
        <v>12209.58</v>
      </c>
      <c r="L5250" s="25">
        <v>2.1</v>
      </c>
      <c r="M5250" s="24">
        <v>98272</v>
      </c>
      <c r="N5250" s="25">
        <f>IFERROR(T_reg.root.SK[[#This Row],[Price]]/T_reg.root.SK[[#This Row],[Starch content]],"")</f>
        <v>8.0459770114942533</v>
      </c>
    </row>
    <row r="5251" spans="1:14">
      <c r="A5251" s="21">
        <v>2025</v>
      </c>
      <c r="B5251" s="21" t="s">
        <v>20</v>
      </c>
      <c r="C5251" s="21" t="s">
        <v>1145</v>
      </c>
      <c r="D5251" s="21" t="s">
        <v>35</v>
      </c>
      <c r="E5251" s="17" t="s">
        <v>681</v>
      </c>
      <c r="F5251" s="18" t="s">
        <v>95</v>
      </c>
      <c r="G5251" s="18" t="s">
        <v>48</v>
      </c>
      <c r="H5251" s="24">
        <v>64400</v>
      </c>
      <c r="I5251" s="24">
        <f>T_reg.root.SK[[#This Row],[Volume, kg]]/1000</f>
        <v>64.400000000000006</v>
      </c>
      <c r="J5251" s="25">
        <v>0.26500000000000001</v>
      </c>
      <c r="K5251" s="25">
        <f t="shared" ref="K5251:K5314" si="82">H5251*J5251</f>
        <v>17066</v>
      </c>
      <c r="L5251" s="25">
        <v>2.02</v>
      </c>
      <c r="M5251" s="24">
        <v>130023</v>
      </c>
      <c r="N5251" s="25">
        <f>IFERROR(T_reg.root.SK[[#This Row],[Price]]/T_reg.root.SK[[#This Row],[Starch content]],"")</f>
        <v>7.6226415094339623</v>
      </c>
    </row>
    <row r="5252" spans="1:14">
      <c r="A5252" s="21">
        <v>2025</v>
      </c>
      <c r="B5252" s="21" t="s">
        <v>20</v>
      </c>
      <c r="C5252" s="21" t="s">
        <v>1145</v>
      </c>
      <c r="D5252" s="21" t="s">
        <v>35</v>
      </c>
      <c r="E5252" s="17" t="s">
        <v>974</v>
      </c>
      <c r="F5252" s="18" t="s">
        <v>105</v>
      </c>
      <c r="G5252" s="18" t="s">
        <v>48</v>
      </c>
      <c r="H5252" s="24">
        <v>74790</v>
      </c>
      <c r="I5252" s="24">
        <f>T_reg.root.SK[[#This Row],[Volume, kg]]/1000</f>
        <v>74.790000000000006</v>
      </c>
      <c r="J5252" s="25">
        <v>0.24399999999999999</v>
      </c>
      <c r="K5252" s="25">
        <f t="shared" si="82"/>
        <v>18248.759999999998</v>
      </c>
      <c r="L5252" s="25">
        <v>2</v>
      </c>
      <c r="M5252" s="24">
        <v>149721</v>
      </c>
      <c r="N5252" s="25">
        <f>IFERROR(T_reg.root.SK[[#This Row],[Price]]/T_reg.root.SK[[#This Row],[Starch content]],"")</f>
        <v>8.1967213114754092</v>
      </c>
    </row>
    <row r="5253" spans="1:14">
      <c r="A5253" s="21">
        <v>2025</v>
      </c>
      <c r="B5253" s="21" t="s">
        <v>20</v>
      </c>
      <c r="C5253" s="21" t="s">
        <v>1145</v>
      </c>
      <c r="D5253" s="21" t="s">
        <v>35</v>
      </c>
      <c r="E5253" s="17" t="s">
        <v>236</v>
      </c>
      <c r="F5253" s="18" t="s">
        <v>105</v>
      </c>
      <c r="G5253" s="18" t="s">
        <v>48</v>
      </c>
      <c r="H5253" s="24">
        <v>27680</v>
      </c>
      <c r="I5253" s="24">
        <f>T_reg.root.SK[[#This Row],[Volume, kg]]/1000</f>
        <v>27.68</v>
      </c>
      <c r="J5253" s="25">
        <v>0.23400000000000001</v>
      </c>
      <c r="K5253" s="25">
        <f t="shared" si="82"/>
        <v>6477.1200000000008</v>
      </c>
      <c r="L5253" s="25">
        <v>1.82</v>
      </c>
      <c r="M5253" s="24">
        <v>50270.5</v>
      </c>
      <c r="N5253" s="25">
        <f>IFERROR(T_reg.root.SK[[#This Row],[Price]]/T_reg.root.SK[[#This Row],[Starch content]],"")</f>
        <v>7.7777777777777777</v>
      </c>
    </row>
    <row r="5254" spans="1:14">
      <c r="A5254" s="21">
        <v>2025</v>
      </c>
      <c r="B5254" s="21" t="s">
        <v>20</v>
      </c>
      <c r="C5254" s="21" t="s">
        <v>1145</v>
      </c>
      <c r="D5254" s="21" t="s">
        <v>35</v>
      </c>
      <c r="E5254" s="17" t="s">
        <v>115</v>
      </c>
      <c r="F5254" s="18" t="s">
        <v>105</v>
      </c>
      <c r="G5254" s="18" t="s">
        <v>48</v>
      </c>
      <c r="H5254" s="24">
        <v>112760</v>
      </c>
      <c r="I5254" s="24">
        <f>T_reg.root.SK[[#This Row],[Volume, kg]]/1000</f>
        <v>112.76</v>
      </c>
      <c r="J5254" s="25">
        <v>0.253</v>
      </c>
      <c r="K5254" s="25">
        <f t="shared" si="82"/>
        <v>28528.28</v>
      </c>
      <c r="L5254" s="25">
        <v>2.0099999999999998</v>
      </c>
      <c r="M5254" s="24">
        <v>227089.5</v>
      </c>
      <c r="N5254" s="25">
        <f>IFERROR(T_reg.root.SK[[#This Row],[Price]]/T_reg.root.SK[[#This Row],[Starch content]],"")</f>
        <v>7.9446640316205528</v>
      </c>
    </row>
    <row r="5255" spans="1:14">
      <c r="A5255" s="21">
        <v>2025</v>
      </c>
      <c r="B5255" s="21" t="s">
        <v>20</v>
      </c>
      <c r="C5255" s="21" t="s">
        <v>1145</v>
      </c>
      <c r="D5255" s="21" t="s">
        <v>35</v>
      </c>
      <c r="E5255" s="17" t="s">
        <v>116</v>
      </c>
      <c r="F5255" s="18" t="s">
        <v>105</v>
      </c>
      <c r="G5255" s="18" t="s">
        <v>48</v>
      </c>
      <c r="H5255" s="24">
        <v>7790</v>
      </c>
      <c r="I5255" s="24">
        <f>T_reg.root.SK[[#This Row],[Volume, kg]]/1000</f>
        <v>7.79</v>
      </c>
      <c r="J5255" s="25">
        <v>0.24099999999999999</v>
      </c>
      <c r="K5255" s="25">
        <f t="shared" si="82"/>
        <v>1877.3899999999999</v>
      </c>
      <c r="L5255" s="25">
        <v>2</v>
      </c>
      <c r="M5255" s="24">
        <v>15580</v>
      </c>
      <c r="N5255" s="25">
        <f>IFERROR(T_reg.root.SK[[#This Row],[Price]]/T_reg.root.SK[[#This Row],[Starch content]],"")</f>
        <v>8.2987551867219924</v>
      </c>
    </row>
    <row r="5256" spans="1:14">
      <c r="A5256" s="21">
        <v>2025</v>
      </c>
      <c r="B5256" s="21" t="s">
        <v>20</v>
      </c>
      <c r="C5256" s="21" t="s">
        <v>1145</v>
      </c>
      <c r="D5256" s="21" t="s">
        <v>35</v>
      </c>
      <c r="E5256" s="17" t="s">
        <v>296</v>
      </c>
      <c r="F5256" s="18" t="s">
        <v>105</v>
      </c>
      <c r="G5256" s="18" t="s">
        <v>48</v>
      </c>
      <c r="H5256" s="24">
        <v>279130</v>
      </c>
      <c r="I5256" s="24">
        <f>T_reg.root.SK[[#This Row],[Volume, kg]]/1000</f>
        <v>279.13</v>
      </c>
      <c r="J5256" s="25">
        <v>0.251</v>
      </c>
      <c r="K5256" s="25">
        <f t="shared" si="82"/>
        <v>70061.63</v>
      </c>
      <c r="L5256" s="25">
        <v>1.95</v>
      </c>
      <c r="M5256" s="24">
        <v>545603.5</v>
      </c>
      <c r="N5256" s="25">
        <f>IFERROR(T_reg.root.SK[[#This Row],[Price]]/T_reg.root.SK[[#This Row],[Starch content]],"")</f>
        <v>7.7689243027888448</v>
      </c>
    </row>
    <row r="5257" spans="1:14">
      <c r="A5257" s="21">
        <v>2025</v>
      </c>
      <c r="B5257" s="21" t="s">
        <v>20</v>
      </c>
      <c r="C5257" s="21" t="s">
        <v>1145</v>
      </c>
      <c r="D5257" s="21" t="s">
        <v>35</v>
      </c>
      <c r="E5257" s="17" t="s">
        <v>989</v>
      </c>
      <c r="F5257" s="18" t="s">
        <v>105</v>
      </c>
      <c r="G5257" s="18" t="s">
        <v>48</v>
      </c>
      <c r="H5257" s="24">
        <v>137950</v>
      </c>
      <c r="I5257" s="24">
        <f>T_reg.root.SK[[#This Row],[Volume, kg]]/1000</f>
        <v>137.94999999999999</v>
      </c>
      <c r="J5257" s="25">
        <v>0.22700000000000001</v>
      </c>
      <c r="K5257" s="25">
        <f t="shared" si="82"/>
        <v>31314.65</v>
      </c>
      <c r="L5257" s="25">
        <v>1.89</v>
      </c>
      <c r="M5257" s="24">
        <v>261319.5</v>
      </c>
      <c r="N5257" s="25">
        <f>IFERROR(T_reg.root.SK[[#This Row],[Price]]/T_reg.root.SK[[#This Row],[Starch content]],"")</f>
        <v>8.3259911894273113</v>
      </c>
    </row>
    <row r="5258" spans="1:14">
      <c r="A5258" s="21">
        <v>2025</v>
      </c>
      <c r="B5258" s="21" t="s">
        <v>20</v>
      </c>
      <c r="C5258" s="21" t="s">
        <v>1145</v>
      </c>
      <c r="D5258" s="21" t="s">
        <v>35</v>
      </c>
      <c r="E5258" s="17" t="s">
        <v>561</v>
      </c>
      <c r="F5258" s="18" t="s">
        <v>105</v>
      </c>
      <c r="G5258" s="18" t="s">
        <v>48</v>
      </c>
      <c r="H5258" s="24">
        <v>34680</v>
      </c>
      <c r="I5258" s="24">
        <f>T_reg.root.SK[[#This Row],[Volume, kg]]/1000</f>
        <v>34.68</v>
      </c>
      <c r="J5258" s="25">
        <v>0.26200000000000001</v>
      </c>
      <c r="K5258" s="25">
        <f t="shared" si="82"/>
        <v>9086.16</v>
      </c>
      <c r="L5258" s="25">
        <v>2.0099999999999998</v>
      </c>
      <c r="M5258" s="24">
        <v>69804</v>
      </c>
      <c r="N5258" s="25">
        <f>IFERROR(T_reg.root.SK[[#This Row],[Price]]/T_reg.root.SK[[#This Row],[Starch content]],"")</f>
        <v>7.6717557251908381</v>
      </c>
    </row>
    <row r="5259" spans="1:14">
      <c r="A5259" s="21">
        <v>2025</v>
      </c>
      <c r="B5259" s="21" t="s">
        <v>20</v>
      </c>
      <c r="C5259" s="21" t="s">
        <v>1145</v>
      </c>
      <c r="D5259" s="21" t="s">
        <v>35</v>
      </c>
      <c r="E5259" s="17" t="s">
        <v>56</v>
      </c>
      <c r="F5259" s="18" t="s">
        <v>47</v>
      </c>
      <c r="G5259" s="18" t="s">
        <v>48</v>
      </c>
      <c r="H5259" s="24">
        <v>50400</v>
      </c>
      <c r="I5259" s="24">
        <f>T_reg.root.SK[[#This Row],[Volume, kg]]/1000</f>
        <v>50.4</v>
      </c>
      <c r="J5259" s="25">
        <v>0.245</v>
      </c>
      <c r="K5259" s="25">
        <f t="shared" si="82"/>
        <v>12348</v>
      </c>
      <c r="L5259" s="25">
        <v>2</v>
      </c>
      <c r="M5259" s="24">
        <v>100865.5</v>
      </c>
      <c r="N5259" s="25">
        <f>IFERROR(T_reg.root.SK[[#This Row],[Price]]/T_reg.root.SK[[#This Row],[Starch content]],"")</f>
        <v>8.1632653061224492</v>
      </c>
    </row>
    <row r="5260" spans="1:14">
      <c r="A5260" s="21">
        <v>2025</v>
      </c>
      <c r="B5260" s="21" t="s">
        <v>20</v>
      </c>
      <c r="C5260" s="21" t="s">
        <v>1145</v>
      </c>
      <c r="D5260" s="21" t="s">
        <v>35</v>
      </c>
      <c r="E5260" s="17" t="s">
        <v>118</v>
      </c>
      <c r="F5260" s="18" t="s">
        <v>105</v>
      </c>
      <c r="G5260" s="18" t="s">
        <v>48</v>
      </c>
      <c r="H5260" s="24">
        <v>815070</v>
      </c>
      <c r="I5260" s="24">
        <f>T_reg.root.SK[[#This Row],[Volume, kg]]/1000</f>
        <v>815.07</v>
      </c>
      <c r="J5260" s="25">
        <v>0.246</v>
      </c>
      <c r="K5260" s="25">
        <f t="shared" si="82"/>
        <v>200507.22</v>
      </c>
      <c r="L5260" s="25">
        <v>1.96</v>
      </c>
      <c r="M5260" s="24">
        <v>1597854</v>
      </c>
      <c r="N5260" s="25">
        <f>IFERROR(T_reg.root.SK[[#This Row],[Price]]/T_reg.root.SK[[#This Row],[Starch content]],"")</f>
        <v>7.9674796747967482</v>
      </c>
    </row>
    <row r="5261" spans="1:14">
      <c r="A5261" s="21">
        <v>2025</v>
      </c>
      <c r="B5261" s="21" t="s">
        <v>20</v>
      </c>
      <c r="C5261" s="21" t="s">
        <v>1145</v>
      </c>
      <c r="D5261" s="21" t="s">
        <v>35</v>
      </c>
      <c r="E5261" s="17" t="s">
        <v>120</v>
      </c>
      <c r="F5261" s="18" t="s">
        <v>105</v>
      </c>
      <c r="G5261" s="18" t="s">
        <v>48</v>
      </c>
      <c r="H5261" s="24">
        <v>36550</v>
      </c>
      <c r="I5261" s="24">
        <f>T_reg.root.SK[[#This Row],[Volume, kg]]/1000</f>
        <v>36.549999999999997</v>
      </c>
      <c r="J5261" s="25">
        <v>0.25800000000000001</v>
      </c>
      <c r="K5261" s="25">
        <f t="shared" si="82"/>
        <v>9429.9</v>
      </c>
      <c r="L5261" s="25">
        <v>2</v>
      </c>
      <c r="M5261" s="24">
        <v>72976.5</v>
      </c>
      <c r="N5261" s="25">
        <f>IFERROR(T_reg.root.SK[[#This Row],[Price]]/T_reg.root.SK[[#This Row],[Starch content]],"")</f>
        <v>7.7519379844961236</v>
      </c>
    </row>
    <row r="5262" spans="1:14">
      <c r="A5262" s="21">
        <v>2025</v>
      </c>
      <c r="B5262" s="21" t="s">
        <v>20</v>
      </c>
      <c r="C5262" s="21" t="s">
        <v>1145</v>
      </c>
      <c r="D5262" s="21" t="s">
        <v>35</v>
      </c>
      <c r="E5262" s="17" t="s">
        <v>121</v>
      </c>
      <c r="F5262" s="18" t="s">
        <v>105</v>
      </c>
      <c r="G5262" s="18" t="s">
        <v>48</v>
      </c>
      <c r="H5262" s="24">
        <v>9680</v>
      </c>
      <c r="I5262" s="24">
        <f>T_reg.root.SK[[#This Row],[Volume, kg]]/1000</f>
        <v>9.68</v>
      </c>
      <c r="J5262" s="25">
        <v>0.27200000000000002</v>
      </c>
      <c r="K5262" s="25">
        <f t="shared" si="82"/>
        <v>2632.96</v>
      </c>
      <c r="L5262" s="25">
        <v>2.1</v>
      </c>
      <c r="M5262" s="24">
        <v>20328</v>
      </c>
      <c r="N5262" s="25">
        <f>IFERROR(T_reg.root.SK[[#This Row],[Price]]/T_reg.root.SK[[#This Row],[Starch content]],"")</f>
        <v>7.7205882352941178</v>
      </c>
    </row>
    <row r="5263" spans="1:14">
      <c r="A5263" s="21">
        <v>2025</v>
      </c>
      <c r="B5263" s="21" t="s">
        <v>20</v>
      </c>
      <c r="C5263" s="21" t="s">
        <v>1145</v>
      </c>
      <c r="D5263" s="21" t="s">
        <v>35</v>
      </c>
      <c r="E5263" s="17" t="s">
        <v>122</v>
      </c>
      <c r="F5263" s="18" t="s">
        <v>105</v>
      </c>
      <c r="G5263" s="18" t="s">
        <v>48</v>
      </c>
      <c r="H5263" s="24">
        <v>254370</v>
      </c>
      <c r="I5263" s="24">
        <f>T_reg.root.SK[[#This Row],[Volume, kg]]/1000</f>
        <v>254.37</v>
      </c>
      <c r="J5263" s="25">
        <v>0.252</v>
      </c>
      <c r="K5263" s="25">
        <f t="shared" si="82"/>
        <v>64101.24</v>
      </c>
      <c r="L5263" s="25">
        <v>2.0299999999999998</v>
      </c>
      <c r="M5263" s="24">
        <v>516043.5</v>
      </c>
      <c r="N5263" s="25">
        <f>IFERROR(T_reg.root.SK[[#This Row],[Price]]/T_reg.root.SK[[#This Row],[Starch content]],"")</f>
        <v>8.0555555555555554</v>
      </c>
    </row>
    <row r="5264" spans="1:14">
      <c r="A5264" s="21">
        <v>2025</v>
      </c>
      <c r="B5264" s="21" t="s">
        <v>20</v>
      </c>
      <c r="C5264" s="21" t="s">
        <v>1145</v>
      </c>
      <c r="D5264" s="21" t="s">
        <v>35</v>
      </c>
      <c r="E5264" s="17" t="s">
        <v>123</v>
      </c>
      <c r="F5264" s="18" t="s">
        <v>105</v>
      </c>
      <c r="G5264" s="18" t="s">
        <v>48</v>
      </c>
      <c r="H5264" s="24">
        <v>45540</v>
      </c>
      <c r="I5264" s="24">
        <f>T_reg.root.SK[[#This Row],[Volume, kg]]/1000</f>
        <v>45.54</v>
      </c>
      <c r="J5264" s="25">
        <v>0.26400000000000001</v>
      </c>
      <c r="K5264" s="25">
        <f t="shared" si="82"/>
        <v>12022.560000000001</v>
      </c>
      <c r="L5264" s="25">
        <v>1.98</v>
      </c>
      <c r="M5264" s="24">
        <v>90094.5</v>
      </c>
      <c r="N5264" s="25">
        <f>IFERROR(T_reg.root.SK[[#This Row],[Price]]/T_reg.root.SK[[#This Row],[Starch content]],"")</f>
        <v>7.5</v>
      </c>
    </row>
    <row r="5265" spans="1:14">
      <c r="A5265" s="21">
        <v>2025</v>
      </c>
      <c r="B5265" s="21" t="s">
        <v>20</v>
      </c>
      <c r="C5265" s="21" t="s">
        <v>1145</v>
      </c>
      <c r="D5265" s="21" t="s">
        <v>39</v>
      </c>
      <c r="E5265" s="17" t="s">
        <v>98</v>
      </c>
      <c r="F5265" s="18" t="s">
        <v>99</v>
      </c>
      <c r="G5265" s="18" t="s">
        <v>42</v>
      </c>
      <c r="H5265" s="24">
        <v>4157400</v>
      </c>
      <c r="I5265" s="24">
        <f>T_reg.root.SK[[#This Row],[Volume, kg]]/1000</f>
        <v>4157.3999999999996</v>
      </c>
      <c r="J5265" s="25">
        <v>0.252</v>
      </c>
      <c r="K5265" s="25">
        <f t="shared" si="82"/>
        <v>1047664.8</v>
      </c>
      <c r="L5265" s="25">
        <v>2.04</v>
      </c>
      <c r="M5265" s="24">
        <v>8484203</v>
      </c>
      <c r="N5265" s="25">
        <f>IFERROR(T_reg.root.SK[[#This Row],[Price]]/T_reg.root.SK[[#This Row],[Starch content]],"")</f>
        <v>8.0952380952380949</v>
      </c>
    </row>
    <row r="5266" spans="1:14">
      <c r="A5266" s="21">
        <v>2025</v>
      </c>
      <c r="B5266" s="21" t="s">
        <v>20</v>
      </c>
      <c r="C5266" s="21" t="s">
        <v>1145</v>
      </c>
      <c r="D5266" s="21" t="s">
        <v>35</v>
      </c>
      <c r="E5266" s="17" t="s">
        <v>238</v>
      </c>
      <c r="F5266" s="18" t="s">
        <v>105</v>
      </c>
      <c r="G5266" s="18" t="s">
        <v>48</v>
      </c>
      <c r="H5266" s="24">
        <v>35200</v>
      </c>
      <c r="I5266" s="24">
        <f>T_reg.root.SK[[#This Row],[Volume, kg]]/1000</f>
        <v>35.200000000000003</v>
      </c>
      <c r="J5266" s="25">
        <v>0.215</v>
      </c>
      <c r="K5266" s="25">
        <f t="shared" si="82"/>
        <v>7568</v>
      </c>
      <c r="L5266" s="25">
        <v>1.75</v>
      </c>
      <c r="M5266" s="24">
        <v>61434.5</v>
      </c>
      <c r="N5266" s="25">
        <f>IFERROR(T_reg.root.SK[[#This Row],[Price]]/T_reg.root.SK[[#This Row],[Starch content]],"")</f>
        <v>8.1395348837209305</v>
      </c>
    </row>
    <row r="5267" spans="1:14">
      <c r="A5267" s="21">
        <v>2025</v>
      </c>
      <c r="B5267" s="21" t="s">
        <v>20</v>
      </c>
      <c r="C5267" s="21" t="s">
        <v>1145</v>
      </c>
      <c r="D5267" s="21" t="s">
        <v>39</v>
      </c>
      <c r="E5267" s="17" t="s">
        <v>346</v>
      </c>
      <c r="F5267" s="18" t="s">
        <v>99</v>
      </c>
      <c r="G5267" s="18" t="s">
        <v>42</v>
      </c>
      <c r="H5267" s="24">
        <v>4905940</v>
      </c>
      <c r="I5267" s="24">
        <f>T_reg.root.SK[[#This Row],[Volume, kg]]/1000</f>
        <v>4905.9399999999996</v>
      </c>
      <c r="J5267" s="25">
        <v>0.254</v>
      </c>
      <c r="K5267" s="25">
        <f t="shared" si="82"/>
        <v>1246108.76</v>
      </c>
      <c r="L5267" s="25">
        <v>2.0499999999999998</v>
      </c>
      <c r="M5267" s="24">
        <v>10047832</v>
      </c>
      <c r="N5267" s="25">
        <f>IFERROR(T_reg.root.SK[[#This Row],[Price]]/T_reg.root.SK[[#This Row],[Starch content]],"")</f>
        <v>8.0708661417322833</v>
      </c>
    </row>
    <row r="5268" spans="1:14">
      <c r="A5268" s="21">
        <v>2025</v>
      </c>
      <c r="B5268" s="21" t="s">
        <v>20</v>
      </c>
      <c r="C5268" s="21" t="s">
        <v>1145</v>
      </c>
      <c r="D5268" s="21" t="s">
        <v>35</v>
      </c>
      <c r="E5268" s="17" t="s">
        <v>785</v>
      </c>
      <c r="F5268" s="18" t="s">
        <v>47</v>
      </c>
      <c r="G5268" s="18" t="s">
        <v>48</v>
      </c>
      <c r="H5268" s="24">
        <v>59390</v>
      </c>
      <c r="I5268" s="24">
        <f>T_reg.root.SK[[#This Row],[Volume, kg]]/1000</f>
        <v>59.39</v>
      </c>
      <c r="J5268" s="25">
        <v>0.24399999999999999</v>
      </c>
      <c r="K5268" s="25">
        <f t="shared" si="82"/>
        <v>14491.16</v>
      </c>
      <c r="L5268" s="25">
        <v>1.99</v>
      </c>
      <c r="M5268" s="24">
        <v>118251.5</v>
      </c>
      <c r="N5268" s="25">
        <f>IFERROR(T_reg.root.SK[[#This Row],[Price]]/T_reg.root.SK[[#This Row],[Starch content]],"")</f>
        <v>8.1557377049180335</v>
      </c>
    </row>
    <row r="5269" spans="1:14">
      <c r="A5269" s="21">
        <v>2025</v>
      </c>
      <c r="B5269" s="21" t="s">
        <v>20</v>
      </c>
      <c r="C5269" s="21" t="s">
        <v>1145</v>
      </c>
      <c r="D5269" s="21" t="s">
        <v>35</v>
      </c>
      <c r="E5269" s="17" t="s">
        <v>826</v>
      </c>
      <c r="F5269" s="18" t="s">
        <v>105</v>
      </c>
      <c r="G5269" s="18" t="s">
        <v>48</v>
      </c>
      <c r="H5269" s="24">
        <v>69930</v>
      </c>
      <c r="I5269" s="24">
        <f>T_reg.root.SK[[#This Row],[Volume, kg]]/1000</f>
        <v>69.930000000000007</v>
      </c>
      <c r="J5269" s="25">
        <v>0.23300000000000001</v>
      </c>
      <c r="K5269" s="25">
        <f t="shared" si="82"/>
        <v>16293.69</v>
      </c>
      <c r="L5269" s="25">
        <v>1.92</v>
      </c>
      <c r="M5269" s="24">
        <v>134279</v>
      </c>
      <c r="N5269" s="25">
        <f>IFERROR(T_reg.root.SK[[#This Row],[Price]]/T_reg.root.SK[[#This Row],[Starch content]],"")</f>
        <v>8.2403433476394845</v>
      </c>
    </row>
    <row r="5270" spans="1:14">
      <c r="A5270" s="21">
        <v>2025</v>
      </c>
      <c r="B5270" s="21" t="s">
        <v>20</v>
      </c>
      <c r="C5270" s="21" t="s">
        <v>1145</v>
      </c>
      <c r="D5270" s="21" t="s">
        <v>35</v>
      </c>
      <c r="E5270" s="17" t="s">
        <v>946</v>
      </c>
      <c r="F5270" s="18" t="s">
        <v>105</v>
      </c>
      <c r="G5270" s="18" t="s">
        <v>48</v>
      </c>
      <c r="H5270" s="24">
        <v>69700</v>
      </c>
      <c r="I5270" s="24">
        <f>T_reg.root.SK[[#This Row],[Volume, kg]]/1000</f>
        <v>69.7</v>
      </c>
      <c r="J5270" s="25">
        <v>0.254</v>
      </c>
      <c r="K5270" s="25">
        <f t="shared" si="82"/>
        <v>17703.8</v>
      </c>
      <c r="L5270" s="25">
        <v>2</v>
      </c>
      <c r="M5270" s="24">
        <v>139742</v>
      </c>
      <c r="N5270" s="25">
        <f>IFERROR(T_reg.root.SK[[#This Row],[Price]]/T_reg.root.SK[[#This Row],[Starch content]],"")</f>
        <v>7.8740157480314963</v>
      </c>
    </row>
    <row r="5271" spans="1:14">
      <c r="A5271" s="21">
        <v>2025</v>
      </c>
      <c r="B5271" s="21" t="s">
        <v>20</v>
      </c>
      <c r="C5271" s="21" t="s">
        <v>1145</v>
      </c>
      <c r="D5271" s="21" t="s">
        <v>35</v>
      </c>
      <c r="E5271" s="17" t="s">
        <v>975</v>
      </c>
      <c r="F5271" s="18" t="s">
        <v>105</v>
      </c>
      <c r="G5271" s="18" t="s">
        <v>48</v>
      </c>
      <c r="H5271" s="24">
        <v>223280</v>
      </c>
      <c r="I5271" s="24">
        <f>T_reg.root.SK[[#This Row],[Volume, kg]]/1000</f>
        <v>223.28</v>
      </c>
      <c r="J5271" s="25">
        <v>0.251</v>
      </c>
      <c r="K5271" s="25">
        <f t="shared" si="82"/>
        <v>56043.28</v>
      </c>
      <c r="L5271" s="25">
        <v>2</v>
      </c>
      <c r="M5271" s="24">
        <v>447397</v>
      </c>
      <c r="N5271" s="25">
        <f>IFERROR(T_reg.root.SK[[#This Row],[Price]]/T_reg.root.SK[[#This Row],[Starch content]],"")</f>
        <v>7.9681274900398407</v>
      </c>
    </row>
    <row r="5272" spans="1:14">
      <c r="A5272" s="21">
        <v>2025</v>
      </c>
      <c r="B5272" s="21" t="s">
        <v>20</v>
      </c>
      <c r="C5272" s="21" t="s">
        <v>1145</v>
      </c>
      <c r="D5272" s="21" t="s">
        <v>35</v>
      </c>
      <c r="E5272" s="17" t="s">
        <v>990</v>
      </c>
      <c r="F5272" s="18" t="s">
        <v>105</v>
      </c>
      <c r="G5272" s="18" t="s">
        <v>48</v>
      </c>
      <c r="H5272" s="24">
        <v>17850</v>
      </c>
      <c r="I5272" s="24">
        <f>T_reg.root.SK[[#This Row],[Volume, kg]]/1000</f>
        <v>17.850000000000001</v>
      </c>
      <c r="J5272" s="25">
        <v>0.26100000000000001</v>
      </c>
      <c r="K5272" s="25">
        <f t="shared" si="82"/>
        <v>4658.8500000000004</v>
      </c>
      <c r="L5272" s="25">
        <v>2.11</v>
      </c>
      <c r="M5272" s="24">
        <v>37600.5</v>
      </c>
      <c r="N5272" s="25">
        <f>IFERROR(T_reg.root.SK[[#This Row],[Price]]/T_reg.root.SK[[#This Row],[Starch content]],"")</f>
        <v>8.0842911877394634</v>
      </c>
    </row>
    <row r="5273" spans="1:14">
      <c r="A5273" s="21">
        <v>2025</v>
      </c>
      <c r="B5273" s="21" t="s">
        <v>20</v>
      </c>
      <c r="C5273" s="21" t="s">
        <v>1145</v>
      </c>
      <c r="D5273" s="21" t="s">
        <v>35</v>
      </c>
      <c r="E5273" s="17" t="s">
        <v>239</v>
      </c>
      <c r="F5273" s="18" t="s">
        <v>105</v>
      </c>
      <c r="G5273" s="18" t="s">
        <v>48</v>
      </c>
      <c r="H5273" s="24">
        <v>57640</v>
      </c>
      <c r="I5273" s="24">
        <f>T_reg.root.SK[[#This Row],[Volume, kg]]/1000</f>
        <v>57.64</v>
      </c>
      <c r="J5273" s="25">
        <v>0.23699999999999999</v>
      </c>
      <c r="K5273" s="25">
        <f t="shared" si="82"/>
        <v>13660.679999999998</v>
      </c>
      <c r="L5273" s="25">
        <v>1.95</v>
      </c>
      <c r="M5273" s="24">
        <v>112252</v>
      </c>
      <c r="N5273" s="25">
        <f>IFERROR(T_reg.root.SK[[#This Row],[Price]]/T_reg.root.SK[[#This Row],[Starch content]],"")</f>
        <v>8.2278481012658222</v>
      </c>
    </row>
    <row r="5274" spans="1:14">
      <c r="A5274" s="21">
        <v>2025</v>
      </c>
      <c r="B5274" s="21" t="s">
        <v>20</v>
      </c>
      <c r="C5274" s="21" t="s">
        <v>1145</v>
      </c>
      <c r="D5274" s="21" t="s">
        <v>35</v>
      </c>
      <c r="E5274" s="17" t="s">
        <v>124</v>
      </c>
      <c r="F5274" s="18" t="s">
        <v>105</v>
      </c>
      <c r="G5274" s="18" t="s">
        <v>48</v>
      </c>
      <c r="H5274" s="24">
        <v>7230</v>
      </c>
      <c r="I5274" s="24">
        <f>T_reg.root.SK[[#This Row],[Volume, kg]]/1000</f>
        <v>7.23</v>
      </c>
      <c r="J5274" s="25">
        <v>0.22800000000000001</v>
      </c>
      <c r="K5274" s="25">
        <f t="shared" si="82"/>
        <v>1648.44</v>
      </c>
      <c r="L5274" s="25">
        <v>1.9</v>
      </c>
      <c r="M5274" s="24">
        <v>13737</v>
      </c>
      <c r="N5274" s="25">
        <f>IFERROR(T_reg.root.SK[[#This Row],[Price]]/T_reg.root.SK[[#This Row],[Starch content]],"")</f>
        <v>8.3333333333333321</v>
      </c>
    </row>
    <row r="5275" spans="1:14">
      <c r="A5275" s="21">
        <v>2025</v>
      </c>
      <c r="B5275" s="21" t="s">
        <v>20</v>
      </c>
      <c r="C5275" s="21" t="s">
        <v>1145</v>
      </c>
      <c r="D5275" s="21" t="s">
        <v>35</v>
      </c>
      <c r="E5275" s="17" t="s">
        <v>616</v>
      </c>
      <c r="F5275" s="18" t="s">
        <v>105</v>
      </c>
      <c r="G5275" s="18" t="s">
        <v>48</v>
      </c>
      <c r="H5275" s="24">
        <v>86090</v>
      </c>
      <c r="I5275" s="24">
        <f>T_reg.root.SK[[#This Row],[Volume, kg]]/1000</f>
        <v>86.09</v>
      </c>
      <c r="J5275" s="25">
        <v>0.26900000000000002</v>
      </c>
      <c r="K5275" s="25">
        <f t="shared" si="82"/>
        <v>23158.210000000003</v>
      </c>
      <c r="L5275" s="25">
        <v>2.12</v>
      </c>
      <c r="M5275" s="24">
        <v>182846</v>
      </c>
      <c r="N5275" s="25">
        <f>IFERROR(T_reg.root.SK[[#This Row],[Price]]/T_reg.root.SK[[#This Row],[Starch content]],"")</f>
        <v>7.8810408921933082</v>
      </c>
    </row>
    <row r="5276" spans="1:14">
      <c r="A5276" s="21">
        <v>2025</v>
      </c>
      <c r="B5276" s="21" t="s">
        <v>20</v>
      </c>
      <c r="C5276" s="21" t="s">
        <v>1145</v>
      </c>
      <c r="D5276" s="21" t="s">
        <v>35</v>
      </c>
      <c r="E5276" s="17" t="s">
        <v>486</v>
      </c>
      <c r="F5276" s="18" t="s">
        <v>105</v>
      </c>
      <c r="G5276" s="18" t="s">
        <v>48</v>
      </c>
      <c r="H5276" s="24">
        <v>53940</v>
      </c>
      <c r="I5276" s="24">
        <f>T_reg.root.SK[[#This Row],[Volume, kg]]/1000</f>
        <v>53.94</v>
      </c>
      <c r="J5276" s="25">
        <v>0.26600000000000001</v>
      </c>
      <c r="K5276" s="25">
        <f t="shared" si="82"/>
        <v>14348.04</v>
      </c>
      <c r="L5276" s="25">
        <v>2.0699999999999998</v>
      </c>
      <c r="M5276" s="24">
        <v>111772.5</v>
      </c>
      <c r="N5276" s="25">
        <f>IFERROR(T_reg.root.SK[[#This Row],[Price]]/T_reg.root.SK[[#This Row],[Starch content]],"")</f>
        <v>7.7819548872180437</v>
      </c>
    </row>
    <row r="5277" spans="1:14">
      <c r="A5277" s="21">
        <v>2025</v>
      </c>
      <c r="B5277" s="21" t="s">
        <v>20</v>
      </c>
      <c r="C5277" s="21" t="s">
        <v>1145</v>
      </c>
      <c r="D5277" s="21" t="s">
        <v>35</v>
      </c>
      <c r="E5277" s="17" t="s">
        <v>57</v>
      </c>
      <c r="F5277" s="18" t="s">
        <v>47</v>
      </c>
      <c r="G5277" s="18" t="s">
        <v>48</v>
      </c>
      <c r="H5277" s="24">
        <v>75810</v>
      </c>
      <c r="I5277" s="24">
        <f>T_reg.root.SK[[#This Row],[Volume, kg]]/1000</f>
        <v>75.81</v>
      </c>
      <c r="J5277" s="25">
        <v>0.252</v>
      </c>
      <c r="K5277" s="25">
        <f t="shared" si="82"/>
        <v>19104.12</v>
      </c>
      <c r="L5277" s="25">
        <v>2.0699999999999998</v>
      </c>
      <c r="M5277" s="24">
        <v>156715.5</v>
      </c>
      <c r="N5277" s="25">
        <f>IFERROR(T_reg.root.SK[[#This Row],[Price]]/T_reg.root.SK[[#This Row],[Starch content]],"")</f>
        <v>8.2142857142857135</v>
      </c>
    </row>
    <row r="5278" spans="1:14">
      <c r="A5278" s="21">
        <v>2025</v>
      </c>
      <c r="B5278" s="21" t="s">
        <v>20</v>
      </c>
      <c r="C5278" s="21" t="s">
        <v>1145</v>
      </c>
      <c r="D5278" s="21" t="s">
        <v>35</v>
      </c>
      <c r="E5278" s="17" t="s">
        <v>379</v>
      </c>
      <c r="F5278" s="18" t="s">
        <v>47</v>
      </c>
      <c r="G5278" s="18" t="s">
        <v>48</v>
      </c>
      <c r="H5278" s="24">
        <v>9730</v>
      </c>
      <c r="I5278" s="24">
        <f>T_reg.root.SK[[#This Row],[Volume, kg]]/1000</f>
        <v>9.73</v>
      </c>
      <c r="J5278" s="25">
        <v>0.23400000000000001</v>
      </c>
      <c r="K5278" s="25">
        <f t="shared" si="82"/>
        <v>2276.8200000000002</v>
      </c>
      <c r="L5278" s="25">
        <v>1.95</v>
      </c>
      <c r="M5278" s="24">
        <v>18973.5</v>
      </c>
      <c r="N5278" s="25">
        <f>IFERROR(T_reg.root.SK[[#This Row],[Price]]/T_reg.root.SK[[#This Row],[Starch content]],"")</f>
        <v>8.3333333333333321</v>
      </c>
    </row>
    <row r="5279" spans="1:14">
      <c r="A5279" s="21">
        <v>2025</v>
      </c>
      <c r="B5279" s="21" t="s">
        <v>20</v>
      </c>
      <c r="C5279" s="21" t="s">
        <v>1145</v>
      </c>
      <c r="D5279" s="21" t="s">
        <v>35</v>
      </c>
      <c r="E5279" s="17" t="s">
        <v>125</v>
      </c>
      <c r="F5279" s="18" t="s">
        <v>105</v>
      </c>
      <c r="G5279" s="18" t="s">
        <v>48</v>
      </c>
      <c r="H5279" s="24">
        <v>25910</v>
      </c>
      <c r="I5279" s="24">
        <f>T_reg.root.SK[[#This Row],[Volume, kg]]/1000</f>
        <v>25.91</v>
      </c>
      <c r="J5279" s="25">
        <v>0.23499999999999999</v>
      </c>
      <c r="K5279" s="25">
        <f t="shared" si="82"/>
        <v>6088.8499999999995</v>
      </c>
      <c r="L5279" s="25">
        <v>1.97</v>
      </c>
      <c r="M5279" s="24">
        <v>51056.5</v>
      </c>
      <c r="N5279" s="25">
        <f>IFERROR(T_reg.root.SK[[#This Row],[Price]]/T_reg.root.SK[[#This Row],[Starch content]],"")</f>
        <v>8.3829787234042552</v>
      </c>
    </row>
    <row r="5280" spans="1:14">
      <c r="A5280" s="21">
        <v>2025</v>
      </c>
      <c r="B5280" s="21" t="s">
        <v>20</v>
      </c>
      <c r="C5280" s="21" t="s">
        <v>1145</v>
      </c>
      <c r="D5280" s="21" t="s">
        <v>35</v>
      </c>
      <c r="E5280" s="17" t="s">
        <v>976</v>
      </c>
      <c r="F5280" s="18" t="s">
        <v>105</v>
      </c>
      <c r="G5280" s="18" t="s">
        <v>48</v>
      </c>
      <c r="H5280" s="24">
        <v>16670</v>
      </c>
      <c r="I5280" s="24">
        <f>T_reg.root.SK[[#This Row],[Volume, kg]]/1000</f>
        <v>16.670000000000002</v>
      </c>
      <c r="J5280" s="25">
        <v>0.247</v>
      </c>
      <c r="K5280" s="25">
        <f t="shared" si="82"/>
        <v>4117.49</v>
      </c>
      <c r="L5280" s="25">
        <v>2</v>
      </c>
      <c r="M5280" s="24">
        <v>33352.5</v>
      </c>
      <c r="N5280" s="25">
        <f>IFERROR(T_reg.root.SK[[#This Row],[Price]]/T_reg.root.SK[[#This Row],[Starch content]],"")</f>
        <v>8.097165991902834</v>
      </c>
    </row>
    <row r="5281" spans="1:14">
      <c r="A5281" s="21">
        <v>2025</v>
      </c>
      <c r="B5281" s="21" t="s">
        <v>20</v>
      </c>
      <c r="C5281" s="21" t="s">
        <v>1145</v>
      </c>
      <c r="D5281" s="21" t="s">
        <v>35</v>
      </c>
      <c r="E5281" s="17" t="s">
        <v>977</v>
      </c>
      <c r="F5281" s="18" t="s">
        <v>105</v>
      </c>
      <c r="G5281" s="18" t="s">
        <v>48</v>
      </c>
      <c r="H5281" s="24">
        <v>30530</v>
      </c>
      <c r="I5281" s="24">
        <f>T_reg.root.SK[[#This Row],[Volume, kg]]/1000</f>
        <v>30.53</v>
      </c>
      <c r="J5281" s="25">
        <v>0.252</v>
      </c>
      <c r="K5281" s="25">
        <f t="shared" si="82"/>
        <v>7693.56</v>
      </c>
      <c r="L5281" s="25">
        <v>2.04</v>
      </c>
      <c r="M5281" s="24">
        <v>62182</v>
      </c>
      <c r="N5281" s="25">
        <f>IFERROR(T_reg.root.SK[[#This Row],[Price]]/T_reg.root.SK[[#This Row],[Starch content]],"")</f>
        <v>8.0952380952380949</v>
      </c>
    </row>
    <row r="5282" spans="1:14">
      <c r="A5282" s="21">
        <v>2025</v>
      </c>
      <c r="B5282" s="21" t="s">
        <v>20</v>
      </c>
      <c r="C5282" s="21" t="s">
        <v>1145</v>
      </c>
      <c r="D5282" s="21" t="s">
        <v>35</v>
      </c>
      <c r="E5282" s="17" t="s">
        <v>240</v>
      </c>
      <c r="F5282" s="18" t="s">
        <v>105</v>
      </c>
      <c r="G5282" s="18" t="s">
        <v>48</v>
      </c>
      <c r="H5282" s="24">
        <v>9820</v>
      </c>
      <c r="I5282" s="24">
        <f>T_reg.root.SK[[#This Row],[Volume, kg]]/1000</f>
        <v>9.82</v>
      </c>
      <c r="J5282" s="25">
        <v>0.25600000000000001</v>
      </c>
      <c r="K5282" s="25">
        <f t="shared" si="82"/>
        <v>2513.92</v>
      </c>
      <c r="L5282" s="25">
        <v>1.95</v>
      </c>
      <c r="M5282" s="24">
        <v>19149</v>
      </c>
      <c r="N5282" s="25">
        <f>IFERROR(T_reg.root.SK[[#This Row],[Price]]/T_reg.root.SK[[#This Row],[Starch content]],"")</f>
        <v>7.6171875</v>
      </c>
    </row>
    <row r="5283" spans="1:14">
      <c r="A5283" s="21">
        <v>2025</v>
      </c>
      <c r="B5283" s="21" t="s">
        <v>20</v>
      </c>
      <c r="C5283" s="21" t="s">
        <v>1145</v>
      </c>
      <c r="D5283" s="21" t="s">
        <v>35</v>
      </c>
      <c r="E5283" s="17" t="s">
        <v>709</v>
      </c>
      <c r="F5283" s="18" t="s">
        <v>47</v>
      </c>
      <c r="G5283" s="18" t="s">
        <v>48</v>
      </c>
      <c r="H5283" s="24">
        <v>11400</v>
      </c>
      <c r="I5283" s="24">
        <f>T_reg.root.SK[[#This Row],[Volume, kg]]/1000</f>
        <v>11.4</v>
      </c>
      <c r="J5283" s="25">
        <v>0.29399999999999998</v>
      </c>
      <c r="K5283" s="25">
        <f t="shared" si="82"/>
        <v>3351.6</v>
      </c>
      <c r="L5283" s="25">
        <v>2.2000000000000002</v>
      </c>
      <c r="M5283" s="24">
        <v>25080</v>
      </c>
      <c r="N5283" s="25">
        <f>IFERROR(T_reg.root.SK[[#This Row],[Price]]/T_reg.root.SK[[#This Row],[Starch content]],"")</f>
        <v>7.4829931972789128</v>
      </c>
    </row>
    <row r="5284" spans="1:14">
      <c r="A5284" s="21">
        <v>2025</v>
      </c>
      <c r="B5284" s="21" t="s">
        <v>20</v>
      </c>
      <c r="C5284" s="21" t="s">
        <v>1145</v>
      </c>
      <c r="D5284" s="21" t="s">
        <v>35</v>
      </c>
      <c r="E5284" s="17" t="s">
        <v>736</v>
      </c>
      <c r="F5284" s="18" t="s">
        <v>105</v>
      </c>
      <c r="G5284" s="18" t="s">
        <v>48</v>
      </c>
      <c r="H5284" s="24">
        <v>49950</v>
      </c>
      <c r="I5284" s="24">
        <f>T_reg.root.SK[[#This Row],[Volume, kg]]/1000</f>
        <v>49.95</v>
      </c>
      <c r="J5284" s="25">
        <v>0.246</v>
      </c>
      <c r="K5284" s="25">
        <f t="shared" si="82"/>
        <v>12287.7</v>
      </c>
      <c r="L5284" s="25">
        <v>1.93</v>
      </c>
      <c r="M5284" s="24">
        <v>96516</v>
      </c>
      <c r="N5284" s="25">
        <f>IFERROR(T_reg.root.SK[[#This Row],[Price]]/T_reg.root.SK[[#This Row],[Starch content]],"")</f>
        <v>7.845528455284553</v>
      </c>
    </row>
    <row r="5285" spans="1:14">
      <c r="A5285" s="21">
        <v>2025</v>
      </c>
      <c r="B5285" s="21" t="s">
        <v>20</v>
      </c>
      <c r="C5285" s="21" t="s">
        <v>1145</v>
      </c>
      <c r="D5285" s="21" t="s">
        <v>35</v>
      </c>
      <c r="E5285" s="17" t="s">
        <v>999</v>
      </c>
      <c r="F5285" s="18" t="s">
        <v>105</v>
      </c>
      <c r="G5285" s="18" t="s">
        <v>48</v>
      </c>
      <c r="H5285" s="24">
        <v>140110</v>
      </c>
      <c r="I5285" s="24">
        <f>T_reg.root.SK[[#This Row],[Volume, kg]]/1000</f>
        <v>140.11000000000001</v>
      </c>
      <c r="J5285" s="25">
        <v>0.24</v>
      </c>
      <c r="K5285" s="25">
        <f t="shared" si="82"/>
        <v>33626.400000000001</v>
      </c>
      <c r="L5285" s="25">
        <v>1.88</v>
      </c>
      <c r="M5285" s="24">
        <v>263573</v>
      </c>
      <c r="N5285" s="25">
        <f>IFERROR(T_reg.root.SK[[#This Row],[Price]]/T_reg.root.SK[[#This Row],[Starch content]],"")</f>
        <v>7.833333333333333</v>
      </c>
    </row>
    <row r="5286" spans="1:14">
      <c r="A5286" s="21">
        <v>2025</v>
      </c>
      <c r="B5286" s="21" t="s">
        <v>20</v>
      </c>
      <c r="C5286" s="21" t="s">
        <v>1145</v>
      </c>
      <c r="D5286" s="21" t="s">
        <v>35</v>
      </c>
      <c r="E5286" s="17" t="s">
        <v>465</v>
      </c>
      <c r="F5286" s="18" t="s">
        <v>47</v>
      </c>
      <c r="G5286" s="18" t="s">
        <v>48</v>
      </c>
      <c r="H5286" s="24">
        <v>25190</v>
      </c>
      <c r="I5286" s="24">
        <f>T_reg.root.SK[[#This Row],[Volume, kg]]/1000</f>
        <v>25.19</v>
      </c>
      <c r="J5286" s="25">
        <v>0.254</v>
      </c>
      <c r="K5286" s="25">
        <f t="shared" si="82"/>
        <v>6398.26</v>
      </c>
      <c r="L5286" s="25">
        <v>2.02</v>
      </c>
      <c r="M5286" s="24">
        <v>50823</v>
      </c>
      <c r="N5286" s="25">
        <f>IFERROR(T_reg.root.SK[[#This Row],[Price]]/T_reg.root.SK[[#This Row],[Starch content]],"")</f>
        <v>7.9527559055118111</v>
      </c>
    </row>
    <row r="5287" spans="1:14">
      <c r="A5287" s="21">
        <v>2025</v>
      </c>
      <c r="B5287" s="21" t="s">
        <v>20</v>
      </c>
      <c r="C5287" s="21" t="s">
        <v>1145</v>
      </c>
      <c r="D5287" s="21" t="s">
        <v>35</v>
      </c>
      <c r="E5287" s="17" t="s">
        <v>58</v>
      </c>
      <c r="F5287" s="18" t="s">
        <v>47</v>
      </c>
      <c r="G5287" s="18" t="s">
        <v>48</v>
      </c>
      <c r="H5287" s="24">
        <v>74380</v>
      </c>
      <c r="I5287" s="24">
        <f>T_reg.root.SK[[#This Row],[Volume, kg]]/1000</f>
        <v>74.38</v>
      </c>
      <c r="J5287" s="25">
        <v>0.24</v>
      </c>
      <c r="K5287" s="25">
        <f t="shared" si="82"/>
        <v>17851.2</v>
      </c>
      <c r="L5287" s="25">
        <v>1.9</v>
      </c>
      <c r="M5287" s="24">
        <v>141635.5</v>
      </c>
      <c r="N5287" s="25">
        <f>IFERROR(T_reg.root.SK[[#This Row],[Price]]/T_reg.root.SK[[#This Row],[Starch content]],"")</f>
        <v>7.916666666666667</v>
      </c>
    </row>
    <row r="5288" spans="1:14">
      <c r="A5288" s="21">
        <v>2025</v>
      </c>
      <c r="B5288" s="21" t="s">
        <v>20</v>
      </c>
      <c r="C5288" s="21" t="s">
        <v>1145</v>
      </c>
      <c r="D5288" s="21" t="s">
        <v>35</v>
      </c>
      <c r="E5288" s="17" t="s">
        <v>601</v>
      </c>
      <c r="F5288" s="18" t="s">
        <v>105</v>
      </c>
      <c r="G5288" s="18" t="s">
        <v>48</v>
      </c>
      <c r="H5288" s="24">
        <v>17010</v>
      </c>
      <c r="I5288" s="24">
        <f>T_reg.root.SK[[#This Row],[Volume, kg]]/1000</f>
        <v>17.010000000000002</v>
      </c>
      <c r="J5288" s="25">
        <v>0.23300000000000001</v>
      </c>
      <c r="K5288" s="25">
        <f t="shared" si="82"/>
        <v>3963.3300000000004</v>
      </c>
      <c r="L5288" s="25">
        <v>1.91</v>
      </c>
      <c r="M5288" s="24">
        <v>32414</v>
      </c>
      <c r="N5288" s="25">
        <f>IFERROR(T_reg.root.SK[[#This Row],[Price]]/T_reg.root.SK[[#This Row],[Starch content]],"")</f>
        <v>8.1974248927038627</v>
      </c>
    </row>
    <row r="5289" spans="1:14">
      <c r="A5289" s="21">
        <v>2025</v>
      </c>
      <c r="B5289" s="21" t="s">
        <v>20</v>
      </c>
      <c r="C5289" s="21" t="s">
        <v>1145</v>
      </c>
      <c r="D5289" s="21" t="s">
        <v>35</v>
      </c>
      <c r="E5289" s="17" t="s">
        <v>590</v>
      </c>
      <c r="F5289" s="18" t="s">
        <v>187</v>
      </c>
      <c r="G5289" s="18" t="s">
        <v>48</v>
      </c>
      <c r="H5289" s="24">
        <v>29670</v>
      </c>
      <c r="I5289" s="24">
        <f>T_reg.root.SK[[#This Row],[Volume, kg]]/1000</f>
        <v>29.67</v>
      </c>
      <c r="J5289" s="25">
        <v>0.27100000000000002</v>
      </c>
      <c r="K5289" s="25">
        <f t="shared" si="82"/>
        <v>8040.5700000000006</v>
      </c>
      <c r="L5289" s="25">
        <v>2.02</v>
      </c>
      <c r="M5289" s="24">
        <v>59804.5</v>
      </c>
      <c r="N5289" s="25">
        <f>IFERROR(T_reg.root.SK[[#This Row],[Price]]/T_reg.root.SK[[#This Row],[Starch content]],"")</f>
        <v>7.4538745387453869</v>
      </c>
    </row>
    <row r="5290" spans="1:14">
      <c r="A5290" s="21">
        <v>2025</v>
      </c>
      <c r="B5290" s="21" t="s">
        <v>20</v>
      </c>
      <c r="C5290" s="21" t="s">
        <v>1145</v>
      </c>
      <c r="D5290" s="21" t="s">
        <v>35</v>
      </c>
      <c r="E5290" s="17" t="s">
        <v>127</v>
      </c>
      <c r="F5290" s="18" t="s">
        <v>105</v>
      </c>
      <c r="G5290" s="18" t="s">
        <v>48</v>
      </c>
      <c r="H5290" s="24">
        <v>162830</v>
      </c>
      <c r="I5290" s="24">
        <f>T_reg.root.SK[[#This Row],[Volume, kg]]/1000</f>
        <v>162.83000000000001</v>
      </c>
      <c r="J5290" s="25">
        <v>0.25</v>
      </c>
      <c r="K5290" s="25">
        <f t="shared" si="82"/>
        <v>40707.5</v>
      </c>
      <c r="L5290" s="25">
        <v>1.99</v>
      </c>
      <c r="M5290" s="24">
        <v>323733</v>
      </c>
      <c r="N5290" s="25">
        <f>IFERROR(T_reg.root.SK[[#This Row],[Price]]/T_reg.root.SK[[#This Row],[Starch content]],"")</f>
        <v>7.96</v>
      </c>
    </row>
    <row r="5291" spans="1:14">
      <c r="A5291" s="21">
        <v>2025</v>
      </c>
      <c r="B5291" s="21" t="s">
        <v>20</v>
      </c>
      <c r="C5291" s="21" t="s">
        <v>1145</v>
      </c>
      <c r="D5291" s="21" t="s">
        <v>35</v>
      </c>
      <c r="E5291" s="17" t="s">
        <v>264</v>
      </c>
      <c r="F5291" s="18" t="s">
        <v>187</v>
      </c>
      <c r="G5291" s="18" t="s">
        <v>48</v>
      </c>
      <c r="H5291" s="24">
        <v>10040</v>
      </c>
      <c r="I5291" s="24">
        <f>T_reg.root.SK[[#This Row],[Volume, kg]]/1000</f>
        <v>10.039999999999999</v>
      </c>
      <c r="J5291" s="25">
        <v>0.221</v>
      </c>
      <c r="K5291" s="25">
        <f t="shared" si="82"/>
        <v>2218.84</v>
      </c>
      <c r="L5291" s="25">
        <v>1.85</v>
      </c>
      <c r="M5291" s="24">
        <v>18574</v>
      </c>
      <c r="N5291" s="25">
        <f>IFERROR(T_reg.root.SK[[#This Row],[Price]]/T_reg.root.SK[[#This Row],[Starch content]],"")</f>
        <v>8.3710407239819009</v>
      </c>
    </row>
    <row r="5292" spans="1:14">
      <c r="A5292" s="21">
        <v>2025</v>
      </c>
      <c r="B5292" s="21" t="s">
        <v>20</v>
      </c>
      <c r="C5292" s="21" t="s">
        <v>1145</v>
      </c>
      <c r="D5292" s="21" t="s">
        <v>35</v>
      </c>
      <c r="E5292" s="17" t="s">
        <v>60</v>
      </c>
      <c r="F5292" s="18" t="s">
        <v>47</v>
      </c>
      <c r="G5292" s="18" t="s">
        <v>48</v>
      </c>
      <c r="H5292" s="24">
        <v>0</v>
      </c>
      <c r="I5292" s="24">
        <f>T_reg.root.SK[[#This Row],[Volume, kg]]/1000</f>
        <v>0</v>
      </c>
      <c r="J5292" s="25" t="s">
        <v>1147</v>
      </c>
      <c r="K5292" s="25">
        <v>0</v>
      </c>
      <c r="L5292" s="25">
        <v>0</v>
      </c>
      <c r="M5292" s="24">
        <v>0</v>
      </c>
      <c r="N5292" s="25" t="str">
        <f>IFERROR(T_reg.root.SK[[#This Row],[Price]]/T_reg.root.SK[[#This Row],[Starch content]],"")</f>
        <v/>
      </c>
    </row>
    <row r="5293" spans="1:14">
      <c r="A5293" s="21">
        <v>2025</v>
      </c>
      <c r="B5293" s="21" t="s">
        <v>20</v>
      </c>
      <c r="C5293" s="21" t="s">
        <v>1145</v>
      </c>
      <c r="D5293" s="21" t="s">
        <v>35</v>
      </c>
      <c r="E5293" s="17" t="s">
        <v>129</v>
      </c>
      <c r="F5293" s="18" t="s">
        <v>105</v>
      </c>
      <c r="G5293" s="18" t="s">
        <v>48</v>
      </c>
      <c r="H5293" s="24">
        <v>9280</v>
      </c>
      <c r="I5293" s="24">
        <f>T_reg.root.SK[[#This Row],[Volume, kg]]/1000</f>
        <v>9.2799999999999994</v>
      </c>
      <c r="J5293" s="25">
        <v>0.30399999999999999</v>
      </c>
      <c r="K5293" s="25">
        <f t="shared" si="82"/>
        <v>2821.12</v>
      </c>
      <c r="L5293" s="25">
        <v>2.2999999999999998</v>
      </c>
      <c r="M5293" s="24">
        <v>21344</v>
      </c>
      <c r="N5293" s="25">
        <f>IFERROR(T_reg.root.SK[[#This Row],[Price]]/T_reg.root.SK[[#This Row],[Starch content]],"")</f>
        <v>7.5657894736842097</v>
      </c>
    </row>
    <row r="5294" spans="1:14">
      <c r="A5294" s="21">
        <v>2025</v>
      </c>
      <c r="B5294" s="21" t="s">
        <v>20</v>
      </c>
      <c r="C5294" s="21" t="s">
        <v>1145</v>
      </c>
      <c r="D5294" s="21" t="s">
        <v>35</v>
      </c>
      <c r="E5294" s="17" t="s">
        <v>131</v>
      </c>
      <c r="F5294" s="18" t="s">
        <v>105</v>
      </c>
      <c r="G5294" s="18" t="s">
        <v>48</v>
      </c>
      <c r="H5294" s="24">
        <v>29990</v>
      </c>
      <c r="I5294" s="24">
        <f>T_reg.root.SK[[#This Row],[Volume, kg]]/1000</f>
        <v>29.99</v>
      </c>
      <c r="J5294" s="25">
        <v>0.24399999999999999</v>
      </c>
      <c r="K5294" s="25">
        <f t="shared" si="82"/>
        <v>7317.5599999999995</v>
      </c>
      <c r="L5294" s="25">
        <v>2.0099999999999998</v>
      </c>
      <c r="M5294" s="24">
        <v>60188</v>
      </c>
      <c r="N5294" s="25">
        <f>IFERROR(T_reg.root.SK[[#This Row],[Price]]/T_reg.root.SK[[#This Row],[Starch content]],"")</f>
        <v>8.2377049180327866</v>
      </c>
    </row>
    <row r="5295" spans="1:14">
      <c r="A5295" s="21">
        <v>2025</v>
      </c>
      <c r="B5295" s="21" t="s">
        <v>20</v>
      </c>
      <c r="C5295" s="21" t="s">
        <v>1145</v>
      </c>
      <c r="D5295" s="21" t="s">
        <v>35</v>
      </c>
      <c r="E5295" s="17" t="s">
        <v>966</v>
      </c>
      <c r="F5295" s="18" t="s">
        <v>105</v>
      </c>
      <c r="G5295" s="18" t="s">
        <v>48</v>
      </c>
      <c r="H5295" s="24">
        <v>13760</v>
      </c>
      <c r="I5295" s="24">
        <f>T_reg.root.SK[[#This Row],[Volume, kg]]/1000</f>
        <v>13.76</v>
      </c>
      <c r="J5295" s="25">
        <v>0.23899999999999999</v>
      </c>
      <c r="K5295" s="25">
        <f t="shared" si="82"/>
        <v>3288.64</v>
      </c>
      <c r="L5295" s="25">
        <v>1.85</v>
      </c>
      <c r="M5295" s="24">
        <v>25456</v>
      </c>
      <c r="N5295" s="25">
        <f>IFERROR(T_reg.root.SK[[#This Row],[Price]]/T_reg.root.SK[[#This Row],[Starch content]],"")</f>
        <v>7.7405857740585784</v>
      </c>
    </row>
    <row r="5296" spans="1:14">
      <c r="A5296" s="21">
        <v>2025</v>
      </c>
      <c r="B5296" s="21" t="s">
        <v>20</v>
      </c>
      <c r="C5296" s="21" t="s">
        <v>1145</v>
      </c>
      <c r="D5296" s="21" t="s">
        <v>35</v>
      </c>
      <c r="E5296" s="17" t="s">
        <v>196</v>
      </c>
      <c r="F5296" s="18" t="s">
        <v>187</v>
      </c>
      <c r="G5296" s="18" t="s">
        <v>48</v>
      </c>
      <c r="H5296" s="24">
        <v>153300</v>
      </c>
      <c r="I5296" s="24">
        <f>T_reg.root.SK[[#This Row],[Volume, kg]]/1000</f>
        <v>153.30000000000001</v>
      </c>
      <c r="J5296" s="25">
        <v>0.251</v>
      </c>
      <c r="K5296" s="25">
        <f t="shared" si="82"/>
        <v>38478.300000000003</v>
      </c>
      <c r="L5296" s="25">
        <v>2.0099999999999998</v>
      </c>
      <c r="M5296" s="24">
        <v>308277</v>
      </c>
      <c r="N5296" s="25">
        <f>IFERROR(T_reg.root.SK[[#This Row],[Price]]/T_reg.root.SK[[#This Row],[Starch content]],"")</f>
        <v>8.0079681274900398</v>
      </c>
    </row>
    <row r="5297" spans="1:14">
      <c r="A5297" s="21">
        <v>2025</v>
      </c>
      <c r="B5297" s="21" t="s">
        <v>20</v>
      </c>
      <c r="C5297" s="21" t="s">
        <v>1145</v>
      </c>
      <c r="D5297" s="21" t="s">
        <v>35</v>
      </c>
      <c r="E5297" s="17" t="s">
        <v>467</v>
      </c>
      <c r="F5297" s="18" t="s">
        <v>47</v>
      </c>
      <c r="G5297" s="18" t="s">
        <v>48</v>
      </c>
      <c r="H5297" s="24">
        <v>26830</v>
      </c>
      <c r="I5297" s="24">
        <f>T_reg.root.SK[[#This Row],[Volume, kg]]/1000</f>
        <v>26.83</v>
      </c>
      <c r="J5297" s="25">
        <v>0.25</v>
      </c>
      <c r="K5297" s="25">
        <f t="shared" si="82"/>
        <v>6707.5</v>
      </c>
      <c r="L5297" s="25">
        <v>2</v>
      </c>
      <c r="M5297" s="24">
        <v>53578</v>
      </c>
      <c r="N5297" s="25">
        <f>IFERROR(T_reg.root.SK[[#This Row],[Price]]/T_reg.root.SK[[#This Row],[Starch content]],"")</f>
        <v>8</v>
      </c>
    </row>
    <row r="5298" spans="1:14">
      <c r="A5298" s="21">
        <v>2025</v>
      </c>
      <c r="B5298" s="21" t="s">
        <v>20</v>
      </c>
      <c r="C5298" s="21" t="s">
        <v>1145</v>
      </c>
      <c r="D5298" s="21" t="s">
        <v>35</v>
      </c>
      <c r="E5298" s="17" t="s">
        <v>807</v>
      </c>
      <c r="F5298" s="18" t="s">
        <v>105</v>
      </c>
      <c r="G5298" s="18" t="s">
        <v>48</v>
      </c>
      <c r="H5298" s="24">
        <v>174010</v>
      </c>
      <c r="I5298" s="24">
        <f>T_reg.root.SK[[#This Row],[Volume, kg]]/1000</f>
        <v>174.01</v>
      </c>
      <c r="J5298" s="25">
        <v>0.245</v>
      </c>
      <c r="K5298" s="25">
        <f t="shared" si="82"/>
        <v>42632.45</v>
      </c>
      <c r="L5298" s="25">
        <v>1.97</v>
      </c>
      <c r="M5298" s="24">
        <v>343496.5</v>
      </c>
      <c r="N5298" s="25">
        <f>IFERROR(T_reg.root.SK[[#This Row],[Price]]/T_reg.root.SK[[#This Row],[Starch content]],"")</f>
        <v>8.0408163265306118</v>
      </c>
    </row>
    <row r="5299" spans="1:14">
      <c r="A5299" s="21">
        <v>2025</v>
      </c>
      <c r="B5299" s="21" t="s">
        <v>20</v>
      </c>
      <c r="C5299" s="21" t="s">
        <v>1145</v>
      </c>
      <c r="D5299" s="21" t="s">
        <v>35</v>
      </c>
      <c r="E5299" s="17" t="s">
        <v>1000</v>
      </c>
      <c r="F5299" s="18" t="s">
        <v>105</v>
      </c>
      <c r="G5299" s="18" t="s">
        <v>48</v>
      </c>
      <c r="H5299" s="24">
        <v>36600</v>
      </c>
      <c r="I5299" s="24">
        <f>T_reg.root.SK[[#This Row],[Volume, kg]]/1000</f>
        <v>36.6</v>
      </c>
      <c r="J5299" s="25">
        <v>0.26500000000000001</v>
      </c>
      <c r="K5299" s="25">
        <f t="shared" si="82"/>
        <v>9699</v>
      </c>
      <c r="L5299" s="25">
        <v>1.98</v>
      </c>
      <c r="M5299" s="24">
        <v>72562.5</v>
      </c>
      <c r="N5299" s="25">
        <f>IFERROR(T_reg.root.SK[[#This Row],[Price]]/T_reg.root.SK[[#This Row],[Starch content]],"")</f>
        <v>7.4716981132075464</v>
      </c>
    </row>
    <row r="5300" spans="1:14">
      <c r="A5300" s="21">
        <v>2025</v>
      </c>
      <c r="B5300" s="21" t="s">
        <v>20</v>
      </c>
      <c r="C5300" s="21" t="s">
        <v>1145</v>
      </c>
      <c r="D5300" s="21" t="s">
        <v>35</v>
      </c>
      <c r="E5300" s="17" t="s">
        <v>755</v>
      </c>
      <c r="F5300" s="18" t="s">
        <v>105</v>
      </c>
      <c r="G5300" s="18" t="s">
        <v>48</v>
      </c>
      <c r="H5300" s="24">
        <v>34940</v>
      </c>
      <c r="I5300" s="24">
        <f>T_reg.root.SK[[#This Row],[Volume, kg]]/1000</f>
        <v>34.94</v>
      </c>
      <c r="J5300" s="25">
        <v>0.25</v>
      </c>
      <c r="K5300" s="25">
        <f t="shared" si="82"/>
        <v>8735</v>
      </c>
      <c r="L5300" s="25">
        <v>2</v>
      </c>
      <c r="M5300" s="24">
        <v>69880</v>
      </c>
      <c r="N5300" s="25">
        <f>IFERROR(T_reg.root.SK[[#This Row],[Price]]/T_reg.root.SK[[#This Row],[Starch content]],"")</f>
        <v>8</v>
      </c>
    </row>
    <row r="5301" spans="1:14">
      <c r="A5301" s="21">
        <v>2025</v>
      </c>
      <c r="B5301" s="21" t="s">
        <v>20</v>
      </c>
      <c r="C5301" s="21" t="s">
        <v>1145</v>
      </c>
      <c r="D5301" s="21" t="s">
        <v>35</v>
      </c>
      <c r="E5301" s="17" t="s">
        <v>524</v>
      </c>
      <c r="F5301" s="18" t="s">
        <v>187</v>
      </c>
      <c r="G5301" s="18" t="s">
        <v>48</v>
      </c>
      <c r="H5301" s="24">
        <v>23510</v>
      </c>
      <c r="I5301" s="24">
        <f>T_reg.root.SK[[#This Row],[Volume, kg]]/1000</f>
        <v>23.51</v>
      </c>
      <c r="J5301" s="25">
        <v>0.218</v>
      </c>
      <c r="K5301" s="25">
        <f t="shared" si="82"/>
        <v>5125.18</v>
      </c>
      <c r="L5301" s="25">
        <v>1.83</v>
      </c>
      <c r="M5301" s="24">
        <v>43011</v>
      </c>
      <c r="N5301" s="25">
        <f>IFERROR(T_reg.root.SK[[#This Row],[Price]]/T_reg.root.SK[[#This Row],[Starch content]],"")</f>
        <v>8.3944954128440372</v>
      </c>
    </row>
    <row r="5302" spans="1:14">
      <c r="A5302" s="21">
        <v>2025</v>
      </c>
      <c r="B5302" s="21" t="s">
        <v>20</v>
      </c>
      <c r="C5302" s="21" t="s">
        <v>1145</v>
      </c>
      <c r="D5302" s="21" t="s">
        <v>35</v>
      </c>
      <c r="E5302" s="17" t="s">
        <v>525</v>
      </c>
      <c r="F5302" s="18" t="s">
        <v>187</v>
      </c>
      <c r="G5302" s="18" t="s">
        <v>48</v>
      </c>
      <c r="H5302" s="24">
        <v>154080</v>
      </c>
      <c r="I5302" s="24">
        <f>T_reg.root.SK[[#This Row],[Volume, kg]]/1000</f>
        <v>154.08000000000001</v>
      </c>
      <c r="J5302" s="25">
        <v>0.249</v>
      </c>
      <c r="K5302" s="25">
        <f t="shared" si="82"/>
        <v>38365.919999999998</v>
      </c>
      <c r="L5302" s="25">
        <v>1.99</v>
      </c>
      <c r="M5302" s="24">
        <v>306087.5</v>
      </c>
      <c r="N5302" s="25">
        <f>IFERROR(T_reg.root.SK[[#This Row],[Price]]/T_reg.root.SK[[#This Row],[Starch content]],"")</f>
        <v>7.9919678714859437</v>
      </c>
    </row>
    <row r="5303" spans="1:14">
      <c r="A5303" s="21">
        <v>2025</v>
      </c>
      <c r="B5303" s="21" t="s">
        <v>20</v>
      </c>
      <c r="C5303" s="21" t="s">
        <v>1145</v>
      </c>
      <c r="D5303" s="21" t="s">
        <v>35</v>
      </c>
      <c r="E5303" s="17" t="s">
        <v>241</v>
      </c>
      <c r="F5303" s="18" t="s">
        <v>105</v>
      </c>
      <c r="G5303" s="18" t="s">
        <v>48</v>
      </c>
      <c r="H5303" s="24">
        <v>108600</v>
      </c>
      <c r="I5303" s="24">
        <f>T_reg.root.SK[[#This Row],[Volume, kg]]/1000</f>
        <v>108.6</v>
      </c>
      <c r="J5303" s="25">
        <v>0.254</v>
      </c>
      <c r="K5303" s="25">
        <f t="shared" si="82"/>
        <v>27584.400000000001</v>
      </c>
      <c r="L5303" s="25">
        <v>2</v>
      </c>
      <c r="M5303" s="24">
        <v>216784</v>
      </c>
      <c r="N5303" s="25">
        <f>IFERROR(T_reg.root.SK[[#This Row],[Price]]/T_reg.root.SK[[#This Row],[Starch content]],"")</f>
        <v>7.8740157480314963</v>
      </c>
    </row>
    <row r="5304" spans="1:14">
      <c r="A5304" s="21">
        <v>2025</v>
      </c>
      <c r="B5304" s="21" t="s">
        <v>20</v>
      </c>
      <c r="C5304" s="21" t="s">
        <v>1145</v>
      </c>
      <c r="D5304" s="21" t="s">
        <v>35</v>
      </c>
      <c r="E5304" s="17" t="s">
        <v>717</v>
      </c>
      <c r="F5304" s="18" t="s">
        <v>105</v>
      </c>
      <c r="G5304" s="18" t="s">
        <v>48</v>
      </c>
      <c r="H5304" s="24">
        <v>47070</v>
      </c>
      <c r="I5304" s="24">
        <f>T_reg.root.SK[[#This Row],[Volume, kg]]/1000</f>
        <v>47.07</v>
      </c>
      <c r="J5304" s="25">
        <v>0.27800000000000002</v>
      </c>
      <c r="K5304" s="25">
        <f t="shared" si="82"/>
        <v>13085.460000000001</v>
      </c>
      <c r="L5304" s="25">
        <v>2.1</v>
      </c>
      <c r="M5304" s="24">
        <v>98988.5</v>
      </c>
      <c r="N5304" s="25">
        <f>IFERROR(T_reg.root.SK[[#This Row],[Price]]/T_reg.root.SK[[#This Row],[Starch content]],"")</f>
        <v>7.5539568345323733</v>
      </c>
    </row>
    <row r="5305" spans="1:14">
      <c r="A5305" s="21">
        <v>2025</v>
      </c>
      <c r="B5305" s="21" t="s">
        <v>20</v>
      </c>
      <c r="C5305" s="21" t="s">
        <v>1145</v>
      </c>
      <c r="D5305" s="21" t="s">
        <v>35</v>
      </c>
      <c r="E5305" s="17" t="s">
        <v>1001</v>
      </c>
      <c r="F5305" s="18" t="s">
        <v>105</v>
      </c>
      <c r="G5305" s="18" t="s">
        <v>48</v>
      </c>
      <c r="H5305" s="24">
        <v>71770</v>
      </c>
      <c r="I5305" s="24">
        <f>T_reg.root.SK[[#This Row],[Volume, kg]]/1000</f>
        <v>71.77</v>
      </c>
      <c r="J5305" s="25">
        <v>0.246</v>
      </c>
      <c r="K5305" s="25">
        <f t="shared" si="82"/>
        <v>17655.419999999998</v>
      </c>
      <c r="L5305" s="25">
        <v>2.02</v>
      </c>
      <c r="M5305" s="24">
        <v>145203.5</v>
      </c>
      <c r="N5305" s="25">
        <f>IFERROR(T_reg.root.SK[[#This Row],[Price]]/T_reg.root.SK[[#This Row],[Starch content]],"")</f>
        <v>8.2113821138211378</v>
      </c>
    </row>
    <row r="5306" spans="1:14">
      <c r="A5306" s="21">
        <v>2025</v>
      </c>
      <c r="B5306" s="21" t="s">
        <v>20</v>
      </c>
      <c r="C5306" s="21" t="s">
        <v>1145</v>
      </c>
      <c r="D5306" s="21" t="s">
        <v>35</v>
      </c>
      <c r="E5306" s="17" t="s">
        <v>133</v>
      </c>
      <c r="F5306" s="18" t="s">
        <v>105</v>
      </c>
      <c r="G5306" s="18" t="s">
        <v>48</v>
      </c>
      <c r="H5306" s="24">
        <v>120080</v>
      </c>
      <c r="I5306" s="24">
        <f>T_reg.root.SK[[#This Row],[Volume, kg]]/1000</f>
        <v>120.08</v>
      </c>
      <c r="J5306" s="25">
        <v>0.26300000000000001</v>
      </c>
      <c r="K5306" s="25">
        <f t="shared" si="82"/>
        <v>31581.040000000001</v>
      </c>
      <c r="L5306" s="25">
        <v>2.0699999999999998</v>
      </c>
      <c r="M5306" s="24">
        <v>248982</v>
      </c>
      <c r="N5306" s="25">
        <f>IFERROR(T_reg.root.SK[[#This Row],[Price]]/T_reg.root.SK[[#This Row],[Starch content]],"")</f>
        <v>7.8707224334600747</v>
      </c>
    </row>
    <row r="5307" spans="1:14">
      <c r="A5307" s="21">
        <v>2025</v>
      </c>
      <c r="B5307" s="21" t="s">
        <v>20</v>
      </c>
      <c r="C5307" s="21" t="s">
        <v>1145</v>
      </c>
      <c r="D5307" s="21" t="s">
        <v>35</v>
      </c>
      <c r="E5307" s="17" t="s">
        <v>301</v>
      </c>
      <c r="F5307" s="18" t="s">
        <v>105</v>
      </c>
      <c r="G5307" s="18" t="s">
        <v>48</v>
      </c>
      <c r="H5307" s="24">
        <v>75900</v>
      </c>
      <c r="I5307" s="24">
        <f>T_reg.root.SK[[#This Row],[Volume, kg]]/1000</f>
        <v>75.900000000000006</v>
      </c>
      <c r="J5307" s="25">
        <v>0.23699999999999999</v>
      </c>
      <c r="K5307" s="25">
        <f t="shared" si="82"/>
        <v>17988.3</v>
      </c>
      <c r="L5307" s="25">
        <v>1.98</v>
      </c>
      <c r="M5307" s="24">
        <v>150612</v>
      </c>
      <c r="N5307" s="25">
        <f>IFERROR(T_reg.root.SK[[#This Row],[Price]]/T_reg.root.SK[[#This Row],[Starch content]],"")</f>
        <v>8.3544303797468356</v>
      </c>
    </row>
    <row r="5308" spans="1:14">
      <c r="A5308" s="21">
        <v>2025</v>
      </c>
      <c r="B5308" s="21" t="s">
        <v>20</v>
      </c>
      <c r="C5308" s="21" t="s">
        <v>1145</v>
      </c>
      <c r="D5308" s="21" t="s">
        <v>35</v>
      </c>
      <c r="E5308" s="17" t="s">
        <v>134</v>
      </c>
      <c r="F5308" s="18" t="s">
        <v>105</v>
      </c>
      <c r="G5308" s="18" t="s">
        <v>48</v>
      </c>
      <c r="H5308" s="24">
        <v>16430</v>
      </c>
      <c r="I5308" s="24">
        <f>T_reg.root.SK[[#This Row],[Volume, kg]]/1000</f>
        <v>16.43</v>
      </c>
      <c r="J5308" s="25">
        <v>0.27800000000000002</v>
      </c>
      <c r="K5308" s="25">
        <f t="shared" si="82"/>
        <v>4567.54</v>
      </c>
      <c r="L5308" s="25">
        <v>2.2000000000000002</v>
      </c>
      <c r="M5308" s="24">
        <v>36160.5</v>
      </c>
      <c r="N5308" s="25">
        <f>IFERROR(T_reg.root.SK[[#This Row],[Price]]/T_reg.root.SK[[#This Row],[Starch content]],"")</f>
        <v>7.9136690647482011</v>
      </c>
    </row>
    <row r="5309" spans="1:14">
      <c r="A5309" s="21">
        <v>2025</v>
      </c>
      <c r="B5309" s="21" t="s">
        <v>20</v>
      </c>
      <c r="C5309" s="21" t="s">
        <v>1145</v>
      </c>
      <c r="D5309" s="21" t="s">
        <v>35</v>
      </c>
      <c r="E5309" s="17" t="s">
        <v>636</v>
      </c>
      <c r="F5309" s="18" t="s">
        <v>105</v>
      </c>
      <c r="G5309" s="18" t="s">
        <v>48</v>
      </c>
      <c r="H5309" s="24">
        <v>81390</v>
      </c>
      <c r="I5309" s="24">
        <f>T_reg.root.SK[[#This Row],[Volume, kg]]/1000</f>
        <v>81.39</v>
      </c>
      <c r="J5309" s="25">
        <v>0.22500000000000001</v>
      </c>
      <c r="K5309" s="25">
        <f t="shared" si="82"/>
        <v>18312.75</v>
      </c>
      <c r="L5309" s="25">
        <v>1.83</v>
      </c>
      <c r="M5309" s="24">
        <v>149319</v>
      </c>
      <c r="N5309" s="25">
        <f>IFERROR(T_reg.root.SK[[#This Row],[Price]]/T_reg.root.SK[[#This Row],[Starch content]],"")</f>
        <v>8.1333333333333329</v>
      </c>
    </row>
    <row r="5310" spans="1:14">
      <c r="A5310" s="21">
        <v>2025</v>
      </c>
      <c r="B5310" s="21" t="s">
        <v>20</v>
      </c>
      <c r="C5310" s="21" t="s">
        <v>1145</v>
      </c>
      <c r="D5310" s="21" t="s">
        <v>35</v>
      </c>
      <c r="E5310" s="17" t="s">
        <v>950</v>
      </c>
      <c r="F5310" s="18" t="s">
        <v>105</v>
      </c>
      <c r="G5310" s="18" t="s">
        <v>48</v>
      </c>
      <c r="H5310" s="24">
        <v>11750</v>
      </c>
      <c r="I5310" s="24">
        <f>T_reg.root.SK[[#This Row],[Volume, kg]]/1000</f>
        <v>11.75</v>
      </c>
      <c r="J5310" s="25">
        <v>0.24</v>
      </c>
      <c r="K5310" s="25">
        <f t="shared" si="82"/>
        <v>2820</v>
      </c>
      <c r="L5310" s="25">
        <v>1.95</v>
      </c>
      <c r="M5310" s="24">
        <v>22912.5</v>
      </c>
      <c r="N5310" s="25">
        <f>IFERROR(T_reg.root.SK[[#This Row],[Price]]/T_reg.root.SK[[#This Row],[Starch content]],"")</f>
        <v>8.125</v>
      </c>
    </row>
    <row r="5311" spans="1:14">
      <c r="A5311" s="21">
        <v>2025</v>
      </c>
      <c r="B5311" s="21" t="s">
        <v>20</v>
      </c>
      <c r="C5311" s="21" t="s">
        <v>1145</v>
      </c>
      <c r="D5311" s="21" t="s">
        <v>35</v>
      </c>
      <c r="E5311" s="17" t="s">
        <v>972</v>
      </c>
      <c r="F5311" s="18" t="s">
        <v>973</v>
      </c>
      <c r="G5311" s="18" t="s">
        <v>48</v>
      </c>
      <c r="H5311" s="24">
        <v>58700</v>
      </c>
      <c r="I5311" s="24">
        <f>T_reg.root.SK[[#This Row],[Volume, kg]]/1000</f>
        <v>58.7</v>
      </c>
      <c r="J5311" s="25">
        <v>0.27700000000000002</v>
      </c>
      <c r="K5311" s="25">
        <f t="shared" si="82"/>
        <v>16259.900000000001</v>
      </c>
      <c r="L5311" s="25">
        <v>2.15</v>
      </c>
      <c r="M5311" s="24">
        <v>126034.5</v>
      </c>
      <c r="N5311" s="25">
        <f>IFERROR(T_reg.root.SK[[#This Row],[Price]]/T_reg.root.SK[[#This Row],[Starch content]],"")</f>
        <v>7.7617328519855588</v>
      </c>
    </row>
    <row r="5312" spans="1:14">
      <c r="A5312" s="21">
        <v>2025</v>
      </c>
      <c r="B5312" s="21" t="s">
        <v>20</v>
      </c>
      <c r="C5312" s="21" t="s">
        <v>1145</v>
      </c>
      <c r="D5312" s="21" t="s">
        <v>35</v>
      </c>
      <c r="E5312" s="17" t="s">
        <v>199</v>
      </c>
      <c r="F5312" s="18" t="s">
        <v>187</v>
      </c>
      <c r="G5312" s="18" t="s">
        <v>48</v>
      </c>
      <c r="H5312" s="24">
        <v>37780</v>
      </c>
      <c r="I5312" s="24">
        <f>T_reg.root.SK[[#This Row],[Volume, kg]]/1000</f>
        <v>37.78</v>
      </c>
      <c r="J5312" s="25">
        <v>0.246</v>
      </c>
      <c r="K5312" s="25">
        <f t="shared" si="82"/>
        <v>9293.8799999999992</v>
      </c>
      <c r="L5312" s="25">
        <v>1.98</v>
      </c>
      <c r="M5312" s="24">
        <v>74925</v>
      </c>
      <c r="N5312" s="25">
        <f>IFERROR(T_reg.root.SK[[#This Row],[Price]]/T_reg.root.SK[[#This Row],[Starch content]],"")</f>
        <v>8.0487804878048781</v>
      </c>
    </row>
    <row r="5313" spans="1:14">
      <c r="A5313" s="21">
        <v>2025</v>
      </c>
      <c r="B5313" s="21" t="s">
        <v>20</v>
      </c>
      <c r="C5313" s="21" t="s">
        <v>1145</v>
      </c>
      <c r="D5313" s="21" t="s">
        <v>35</v>
      </c>
      <c r="E5313" s="17" t="s">
        <v>1002</v>
      </c>
      <c r="F5313" s="18" t="s">
        <v>187</v>
      </c>
      <c r="G5313" s="18" t="s">
        <v>48</v>
      </c>
      <c r="H5313" s="24">
        <v>17880</v>
      </c>
      <c r="I5313" s="24">
        <f>T_reg.root.SK[[#This Row],[Volume, kg]]/1000</f>
        <v>17.88</v>
      </c>
      <c r="J5313" s="25">
        <v>0.23200000000000001</v>
      </c>
      <c r="K5313" s="25">
        <f t="shared" si="82"/>
        <v>4148.16</v>
      </c>
      <c r="L5313" s="25">
        <v>1.92</v>
      </c>
      <c r="M5313" s="24">
        <v>34363</v>
      </c>
      <c r="N5313" s="25">
        <f>IFERROR(T_reg.root.SK[[#This Row],[Price]]/T_reg.root.SK[[#This Row],[Starch content]],"")</f>
        <v>8.275862068965516</v>
      </c>
    </row>
    <row r="5314" spans="1:14">
      <c r="A5314" s="21">
        <v>2025</v>
      </c>
      <c r="B5314" s="21" t="s">
        <v>20</v>
      </c>
      <c r="C5314" s="21" t="s">
        <v>1145</v>
      </c>
      <c r="D5314" s="21" t="s">
        <v>35</v>
      </c>
      <c r="E5314" s="17" t="s">
        <v>657</v>
      </c>
      <c r="F5314" s="18" t="s">
        <v>47</v>
      </c>
      <c r="G5314" s="18" t="s">
        <v>48</v>
      </c>
      <c r="H5314" s="24">
        <v>19890</v>
      </c>
      <c r="I5314" s="24">
        <f>T_reg.root.SK[[#This Row],[Volume, kg]]/1000</f>
        <v>19.89</v>
      </c>
      <c r="J5314" s="25">
        <v>0.24199999999999999</v>
      </c>
      <c r="K5314" s="25">
        <f t="shared" si="82"/>
        <v>4813.38</v>
      </c>
      <c r="L5314" s="25">
        <v>2</v>
      </c>
      <c r="M5314" s="24">
        <v>39767</v>
      </c>
      <c r="N5314" s="25">
        <f>IFERROR(T_reg.root.SK[[#This Row],[Price]]/T_reg.root.SK[[#This Row],[Starch content]],"")</f>
        <v>8.2644628099173563</v>
      </c>
    </row>
    <row r="5315" spans="1:14">
      <c r="A5315" s="21">
        <v>2025</v>
      </c>
      <c r="B5315" s="21" t="s">
        <v>20</v>
      </c>
      <c r="C5315" s="21" t="s">
        <v>1145</v>
      </c>
      <c r="D5315" s="21" t="s">
        <v>35</v>
      </c>
      <c r="E5315" s="17" t="s">
        <v>136</v>
      </c>
      <c r="F5315" s="18" t="s">
        <v>105</v>
      </c>
      <c r="G5315" s="18" t="s">
        <v>48</v>
      </c>
      <c r="H5315" s="24">
        <v>122750</v>
      </c>
      <c r="I5315" s="24">
        <f>T_reg.root.SK[[#This Row],[Volume, kg]]/1000</f>
        <v>122.75</v>
      </c>
      <c r="J5315" s="25">
        <v>0.251</v>
      </c>
      <c r="K5315" s="25">
        <f t="shared" ref="K5315:K5378" si="83">H5315*J5315</f>
        <v>30810.25</v>
      </c>
      <c r="L5315" s="25">
        <v>2.02</v>
      </c>
      <c r="M5315" s="24">
        <v>248154</v>
      </c>
      <c r="N5315" s="25">
        <f>IFERROR(T_reg.root.SK[[#This Row],[Price]]/T_reg.root.SK[[#This Row],[Starch content]],"")</f>
        <v>8.047808764940239</v>
      </c>
    </row>
    <row r="5316" spans="1:14">
      <c r="A5316" s="21">
        <v>2025</v>
      </c>
      <c r="B5316" s="21" t="s">
        <v>20</v>
      </c>
      <c r="C5316" s="21" t="s">
        <v>1145</v>
      </c>
      <c r="D5316" s="21" t="s">
        <v>35</v>
      </c>
      <c r="E5316" s="17" t="s">
        <v>200</v>
      </c>
      <c r="F5316" s="18" t="s">
        <v>187</v>
      </c>
      <c r="G5316" s="18" t="s">
        <v>48</v>
      </c>
      <c r="H5316" s="24">
        <v>86510</v>
      </c>
      <c r="I5316" s="24">
        <f>T_reg.root.SK[[#This Row],[Volume, kg]]/1000</f>
        <v>86.51</v>
      </c>
      <c r="J5316" s="25">
        <v>0.27700000000000002</v>
      </c>
      <c r="K5316" s="25">
        <f t="shared" si="83"/>
        <v>23963.27</v>
      </c>
      <c r="L5316" s="25">
        <v>2.15</v>
      </c>
      <c r="M5316" s="24">
        <v>186394</v>
      </c>
      <c r="N5316" s="25">
        <f>IFERROR(T_reg.root.SK[[#This Row],[Price]]/T_reg.root.SK[[#This Row],[Starch content]],"")</f>
        <v>7.7617328519855588</v>
      </c>
    </row>
    <row r="5317" spans="1:14">
      <c r="A5317" s="21">
        <v>2025</v>
      </c>
      <c r="B5317" s="21" t="s">
        <v>20</v>
      </c>
      <c r="C5317" s="21" t="s">
        <v>1145</v>
      </c>
      <c r="D5317" s="21" t="s">
        <v>35</v>
      </c>
      <c r="E5317" s="17" t="s">
        <v>138</v>
      </c>
      <c r="F5317" s="18" t="s">
        <v>105</v>
      </c>
      <c r="G5317" s="18" t="s">
        <v>48</v>
      </c>
      <c r="H5317" s="24">
        <v>189310</v>
      </c>
      <c r="I5317" s="24">
        <f>T_reg.root.SK[[#This Row],[Volume, kg]]/1000</f>
        <v>189.31</v>
      </c>
      <c r="J5317" s="25">
        <v>0.24199999999999999</v>
      </c>
      <c r="K5317" s="25">
        <f t="shared" si="83"/>
        <v>45813.02</v>
      </c>
      <c r="L5317" s="25">
        <v>1.98</v>
      </c>
      <c r="M5317" s="24">
        <v>375597</v>
      </c>
      <c r="N5317" s="25">
        <f>IFERROR(T_reg.root.SK[[#This Row],[Price]]/T_reg.root.SK[[#This Row],[Starch content]],"")</f>
        <v>8.1818181818181817</v>
      </c>
    </row>
    <row r="5318" spans="1:14">
      <c r="A5318" s="21">
        <v>2025</v>
      </c>
      <c r="B5318" s="21" t="s">
        <v>20</v>
      </c>
      <c r="C5318" s="21" t="s">
        <v>1145</v>
      </c>
      <c r="D5318" s="21" t="s">
        <v>35</v>
      </c>
      <c r="E5318" s="17" t="s">
        <v>468</v>
      </c>
      <c r="F5318" s="18" t="s">
        <v>47</v>
      </c>
      <c r="G5318" s="18" t="s">
        <v>48</v>
      </c>
      <c r="H5318" s="24">
        <v>68680</v>
      </c>
      <c r="I5318" s="24">
        <f>T_reg.root.SK[[#This Row],[Volume, kg]]/1000</f>
        <v>68.680000000000007</v>
      </c>
      <c r="J5318" s="25">
        <v>0.23100000000000001</v>
      </c>
      <c r="K5318" s="25">
        <f t="shared" si="83"/>
        <v>15865.08</v>
      </c>
      <c r="L5318" s="25">
        <v>1.93</v>
      </c>
      <c r="M5318" s="24">
        <v>132614</v>
      </c>
      <c r="N5318" s="25">
        <f>IFERROR(T_reg.root.SK[[#This Row],[Price]]/T_reg.root.SK[[#This Row],[Starch content]],"")</f>
        <v>8.3549783549783552</v>
      </c>
    </row>
    <row r="5319" spans="1:14">
      <c r="A5319" s="21">
        <v>2025</v>
      </c>
      <c r="B5319" s="21" t="s">
        <v>20</v>
      </c>
      <c r="C5319" s="21" t="s">
        <v>1145</v>
      </c>
      <c r="D5319" s="21" t="s">
        <v>35</v>
      </c>
      <c r="E5319" s="17" t="s">
        <v>201</v>
      </c>
      <c r="F5319" s="18" t="s">
        <v>187</v>
      </c>
      <c r="G5319" s="18" t="s">
        <v>48</v>
      </c>
      <c r="H5319" s="24">
        <v>158690</v>
      </c>
      <c r="I5319" s="24">
        <f>T_reg.root.SK[[#This Row],[Volume, kg]]/1000</f>
        <v>158.69</v>
      </c>
      <c r="J5319" s="25">
        <v>0.25900000000000001</v>
      </c>
      <c r="K5319" s="25">
        <f t="shared" si="83"/>
        <v>41100.71</v>
      </c>
      <c r="L5319" s="25">
        <v>2.0099999999999998</v>
      </c>
      <c r="M5319" s="24">
        <v>318504.5</v>
      </c>
      <c r="N5319" s="25">
        <f>IFERROR(T_reg.root.SK[[#This Row],[Price]]/T_reg.root.SK[[#This Row],[Starch content]],"")</f>
        <v>7.7606177606177598</v>
      </c>
    </row>
    <row r="5320" spans="1:14">
      <c r="A5320" s="21">
        <v>2025</v>
      </c>
      <c r="B5320" s="21" t="s">
        <v>20</v>
      </c>
      <c r="C5320" s="21" t="s">
        <v>1145</v>
      </c>
      <c r="D5320" s="21" t="s">
        <v>35</v>
      </c>
      <c r="E5320" s="17" t="s">
        <v>984</v>
      </c>
      <c r="F5320" s="18" t="s">
        <v>95</v>
      </c>
      <c r="G5320" s="18" t="s">
        <v>48</v>
      </c>
      <c r="H5320" s="24">
        <v>33820</v>
      </c>
      <c r="I5320" s="24">
        <f>T_reg.root.SK[[#This Row],[Volume, kg]]/1000</f>
        <v>33.82</v>
      </c>
      <c r="J5320" s="25">
        <v>0.24</v>
      </c>
      <c r="K5320" s="25">
        <f t="shared" si="83"/>
        <v>8116.7999999999993</v>
      </c>
      <c r="L5320" s="25">
        <v>1.96</v>
      </c>
      <c r="M5320" s="24">
        <v>66257.5</v>
      </c>
      <c r="N5320" s="25">
        <f>IFERROR(T_reg.root.SK[[#This Row],[Price]]/T_reg.root.SK[[#This Row],[Starch content]],"")</f>
        <v>8.1666666666666661</v>
      </c>
    </row>
    <row r="5321" spans="1:14">
      <c r="A5321" s="21">
        <v>2025</v>
      </c>
      <c r="B5321" s="21" t="s">
        <v>20</v>
      </c>
      <c r="C5321" s="21" t="s">
        <v>1145</v>
      </c>
      <c r="D5321" s="21" t="s">
        <v>35</v>
      </c>
      <c r="E5321" s="17" t="s">
        <v>702</v>
      </c>
      <c r="F5321" s="18" t="s">
        <v>187</v>
      </c>
      <c r="G5321" s="18" t="s">
        <v>48</v>
      </c>
      <c r="H5321" s="24">
        <v>41260</v>
      </c>
      <c r="I5321" s="24">
        <f>T_reg.root.SK[[#This Row],[Volume, kg]]/1000</f>
        <v>41.26</v>
      </c>
      <c r="J5321" s="25">
        <v>0.23799999999999999</v>
      </c>
      <c r="K5321" s="25">
        <f t="shared" si="83"/>
        <v>9819.8799999999992</v>
      </c>
      <c r="L5321" s="25">
        <v>1.83</v>
      </c>
      <c r="M5321" s="24">
        <v>75641</v>
      </c>
      <c r="N5321" s="25">
        <f>IFERROR(T_reg.root.SK[[#This Row],[Price]]/T_reg.root.SK[[#This Row],[Starch content]],"")</f>
        <v>7.6890756302521011</v>
      </c>
    </row>
    <row r="5322" spans="1:14">
      <c r="A5322" s="21">
        <v>2025</v>
      </c>
      <c r="B5322" s="21" t="s">
        <v>20</v>
      </c>
      <c r="C5322" s="21" t="s">
        <v>1145</v>
      </c>
      <c r="D5322" s="21" t="s">
        <v>35</v>
      </c>
      <c r="E5322" s="17" t="s">
        <v>303</v>
      </c>
      <c r="F5322" s="18" t="s">
        <v>105</v>
      </c>
      <c r="G5322" s="18" t="s">
        <v>48</v>
      </c>
      <c r="H5322" s="24">
        <v>174690</v>
      </c>
      <c r="I5322" s="24">
        <f>T_reg.root.SK[[#This Row],[Volume, kg]]/1000</f>
        <v>174.69</v>
      </c>
      <c r="J5322" s="25">
        <v>0.22900000000000001</v>
      </c>
      <c r="K5322" s="25">
        <f t="shared" si="83"/>
        <v>40004.01</v>
      </c>
      <c r="L5322" s="25">
        <v>1.85</v>
      </c>
      <c r="M5322" s="24">
        <v>323133.5</v>
      </c>
      <c r="N5322" s="25">
        <f>IFERROR(T_reg.root.SK[[#This Row],[Price]]/T_reg.root.SK[[#This Row],[Starch content]],"")</f>
        <v>8.0786026200873362</v>
      </c>
    </row>
    <row r="5323" spans="1:14">
      <c r="A5323" s="21">
        <v>2025</v>
      </c>
      <c r="B5323" s="21" t="s">
        <v>20</v>
      </c>
      <c r="C5323" s="21" t="s">
        <v>1145</v>
      </c>
      <c r="D5323" s="21" t="s">
        <v>35</v>
      </c>
      <c r="E5323" s="17" t="s">
        <v>332</v>
      </c>
      <c r="F5323" s="18" t="s">
        <v>187</v>
      </c>
      <c r="G5323" s="18" t="s">
        <v>48</v>
      </c>
      <c r="H5323" s="24">
        <v>30700</v>
      </c>
      <c r="I5323" s="24">
        <f>T_reg.root.SK[[#This Row],[Volume, kg]]/1000</f>
        <v>30.7</v>
      </c>
      <c r="J5323" s="25">
        <v>0.223</v>
      </c>
      <c r="K5323" s="25">
        <f t="shared" si="83"/>
        <v>6846.1</v>
      </c>
      <c r="L5323" s="25">
        <v>1.75</v>
      </c>
      <c r="M5323" s="24">
        <v>53758.5</v>
      </c>
      <c r="N5323" s="25">
        <f>IFERROR(T_reg.root.SK[[#This Row],[Price]]/T_reg.root.SK[[#This Row],[Starch content]],"")</f>
        <v>7.8475336322869955</v>
      </c>
    </row>
    <row r="5324" spans="1:14">
      <c r="A5324" s="21">
        <v>2025</v>
      </c>
      <c r="B5324" s="21" t="s">
        <v>20</v>
      </c>
      <c r="C5324" s="21" t="s">
        <v>1145</v>
      </c>
      <c r="D5324" s="21" t="s">
        <v>35</v>
      </c>
      <c r="E5324" s="17" t="s">
        <v>202</v>
      </c>
      <c r="F5324" s="18" t="s">
        <v>187</v>
      </c>
      <c r="G5324" s="18" t="s">
        <v>48</v>
      </c>
      <c r="H5324" s="24">
        <v>75460</v>
      </c>
      <c r="I5324" s="24">
        <f>T_reg.root.SK[[#This Row],[Volume, kg]]/1000</f>
        <v>75.459999999999994</v>
      </c>
      <c r="J5324" s="25">
        <v>0.24099999999999999</v>
      </c>
      <c r="K5324" s="25">
        <f t="shared" si="83"/>
        <v>18185.86</v>
      </c>
      <c r="L5324" s="25">
        <v>1.95</v>
      </c>
      <c r="M5324" s="24">
        <v>146922.5</v>
      </c>
      <c r="N5324" s="25">
        <f>IFERROR(T_reg.root.SK[[#This Row],[Price]]/T_reg.root.SK[[#This Row],[Starch content]],"")</f>
        <v>8.0912863070539416</v>
      </c>
    </row>
    <row r="5325" spans="1:14">
      <c r="A5325" s="21">
        <v>2025</v>
      </c>
      <c r="B5325" s="21" t="s">
        <v>20</v>
      </c>
      <c r="C5325" s="21" t="s">
        <v>1145</v>
      </c>
      <c r="D5325" s="21" t="s">
        <v>35</v>
      </c>
      <c r="E5325" s="17" t="s">
        <v>719</v>
      </c>
      <c r="F5325" s="18" t="s">
        <v>105</v>
      </c>
      <c r="G5325" s="18" t="s">
        <v>48</v>
      </c>
      <c r="H5325" s="24">
        <v>45540</v>
      </c>
      <c r="I5325" s="24">
        <f>T_reg.root.SK[[#This Row],[Volume, kg]]/1000</f>
        <v>45.54</v>
      </c>
      <c r="J5325" s="25">
        <v>0.25</v>
      </c>
      <c r="K5325" s="25">
        <f t="shared" si="83"/>
        <v>11385</v>
      </c>
      <c r="L5325" s="25">
        <v>1.98</v>
      </c>
      <c r="M5325" s="24">
        <v>89987</v>
      </c>
      <c r="N5325" s="25">
        <f>IFERROR(T_reg.root.SK[[#This Row],[Price]]/T_reg.root.SK[[#This Row],[Starch content]],"")</f>
        <v>7.92</v>
      </c>
    </row>
    <row r="5326" spans="1:14">
      <c r="A5326" s="21">
        <v>2025</v>
      </c>
      <c r="B5326" s="21" t="s">
        <v>20</v>
      </c>
      <c r="C5326" s="21" t="s">
        <v>1145</v>
      </c>
      <c r="D5326" s="21" t="s">
        <v>35</v>
      </c>
      <c r="E5326" s="17" t="s">
        <v>62</v>
      </c>
      <c r="F5326" s="18" t="s">
        <v>47</v>
      </c>
      <c r="G5326" s="18" t="s">
        <v>48</v>
      </c>
      <c r="H5326" s="24">
        <v>190580</v>
      </c>
      <c r="I5326" s="24">
        <f>T_reg.root.SK[[#This Row],[Volume, kg]]/1000</f>
        <v>190.58</v>
      </c>
      <c r="J5326" s="25">
        <v>0.23599999999999999</v>
      </c>
      <c r="K5326" s="25">
        <f t="shared" si="83"/>
        <v>44976.88</v>
      </c>
      <c r="L5326" s="25">
        <v>1.94</v>
      </c>
      <c r="M5326" s="24">
        <v>370080</v>
      </c>
      <c r="N5326" s="25">
        <f>IFERROR(T_reg.root.SK[[#This Row],[Price]]/T_reg.root.SK[[#This Row],[Starch content]],"")</f>
        <v>8.2203389830508478</v>
      </c>
    </row>
    <row r="5327" spans="1:14">
      <c r="A5327" s="21">
        <v>2025</v>
      </c>
      <c r="B5327" s="21" t="s">
        <v>20</v>
      </c>
      <c r="C5327" s="21" t="s">
        <v>1145</v>
      </c>
      <c r="D5327" s="21" t="s">
        <v>35</v>
      </c>
      <c r="E5327" s="17" t="s">
        <v>243</v>
      </c>
      <c r="F5327" s="18" t="s">
        <v>105</v>
      </c>
      <c r="G5327" s="18" t="s">
        <v>48</v>
      </c>
      <c r="H5327" s="24">
        <v>9180</v>
      </c>
      <c r="I5327" s="24">
        <f>T_reg.root.SK[[#This Row],[Volume, kg]]/1000</f>
        <v>9.18</v>
      </c>
      <c r="J5327" s="25">
        <v>0.24</v>
      </c>
      <c r="K5327" s="25">
        <f t="shared" si="83"/>
        <v>2203.1999999999998</v>
      </c>
      <c r="L5327" s="25">
        <v>1.95</v>
      </c>
      <c r="M5327" s="24">
        <v>17901</v>
      </c>
      <c r="N5327" s="25">
        <f>IFERROR(T_reg.root.SK[[#This Row],[Price]]/T_reg.root.SK[[#This Row],[Starch content]],"")</f>
        <v>8.125</v>
      </c>
    </row>
    <row r="5328" spans="1:14">
      <c r="A5328" s="21">
        <v>2025</v>
      </c>
      <c r="B5328" s="21" t="s">
        <v>20</v>
      </c>
      <c r="C5328" s="21" t="s">
        <v>1145</v>
      </c>
      <c r="D5328" s="21" t="s">
        <v>35</v>
      </c>
      <c r="E5328" s="17" t="s">
        <v>1003</v>
      </c>
      <c r="F5328" s="18" t="s">
        <v>105</v>
      </c>
      <c r="G5328" s="18" t="s">
        <v>48</v>
      </c>
      <c r="H5328" s="24">
        <v>83800</v>
      </c>
      <c r="I5328" s="24">
        <f>T_reg.root.SK[[#This Row],[Volume, kg]]/1000</f>
        <v>83.8</v>
      </c>
      <c r="J5328" s="25">
        <v>0.27</v>
      </c>
      <c r="K5328" s="25">
        <f t="shared" si="83"/>
        <v>22626</v>
      </c>
      <c r="L5328" s="25">
        <v>2.12</v>
      </c>
      <c r="M5328" s="24">
        <v>177513</v>
      </c>
      <c r="N5328" s="25">
        <f>IFERROR(T_reg.root.SK[[#This Row],[Price]]/T_reg.root.SK[[#This Row],[Starch content]],"")</f>
        <v>7.8518518518518521</v>
      </c>
    </row>
    <row r="5329" spans="1:14">
      <c r="A5329" s="21">
        <v>2025</v>
      </c>
      <c r="B5329" s="21" t="s">
        <v>20</v>
      </c>
      <c r="C5329" s="21" t="s">
        <v>1145</v>
      </c>
      <c r="D5329" s="21" t="s">
        <v>35</v>
      </c>
      <c r="E5329" s="17" t="s">
        <v>307</v>
      </c>
      <c r="F5329" s="18" t="s">
        <v>105</v>
      </c>
      <c r="G5329" s="18" t="s">
        <v>48</v>
      </c>
      <c r="H5329" s="24">
        <v>59930</v>
      </c>
      <c r="I5329" s="24">
        <f>T_reg.root.SK[[#This Row],[Volume, kg]]/1000</f>
        <v>59.93</v>
      </c>
      <c r="J5329" s="25">
        <v>0.249</v>
      </c>
      <c r="K5329" s="25">
        <f t="shared" si="83"/>
        <v>14922.57</v>
      </c>
      <c r="L5329" s="25">
        <v>1.94</v>
      </c>
      <c r="M5329" s="24">
        <v>115994</v>
      </c>
      <c r="N5329" s="25">
        <f>IFERROR(T_reg.root.SK[[#This Row],[Price]]/T_reg.root.SK[[#This Row],[Starch content]],"")</f>
        <v>7.7911646586345382</v>
      </c>
    </row>
    <row r="5330" spans="1:14">
      <c r="A5330" s="21">
        <v>2025</v>
      </c>
      <c r="B5330" s="21" t="s">
        <v>20</v>
      </c>
      <c r="C5330" s="21" t="s">
        <v>1145</v>
      </c>
      <c r="D5330" s="21" t="s">
        <v>35</v>
      </c>
      <c r="E5330" s="17" t="s">
        <v>308</v>
      </c>
      <c r="F5330" s="18" t="s">
        <v>105</v>
      </c>
      <c r="G5330" s="18" t="s">
        <v>48</v>
      </c>
      <c r="H5330" s="24">
        <v>129390</v>
      </c>
      <c r="I5330" s="24">
        <f>T_reg.root.SK[[#This Row],[Volume, kg]]/1000</f>
        <v>129.38999999999999</v>
      </c>
      <c r="J5330" s="25">
        <v>0.25</v>
      </c>
      <c r="K5330" s="25">
        <f t="shared" si="83"/>
        <v>32347.5</v>
      </c>
      <c r="L5330" s="25">
        <v>1.98</v>
      </c>
      <c r="M5330" s="24">
        <v>255631</v>
      </c>
      <c r="N5330" s="25">
        <f>IFERROR(T_reg.root.SK[[#This Row],[Price]]/T_reg.root.SK[[#This Row],[Starch content]],"")</f>
        <v>7.92</v>
      </c>
    </row>
    <row r="5331" spans="1:14">
      <c r="A5331" s="21">
        <v>2025</v>
      </c>
      <c r="B5331" s="21" t="s">
        <v>20</v>
      </c>
      <c r="C5331" s="21" t="s">
        <v>1145</v>
      </c>
      <c r="D5331" s="21" t="s">
        <v>35</v>
      </c>
      <c r="E5331" s="17" t="s">
        <v>637</v>
      </c>
      <c r="F5331" s="18" t="s">
        <v>105</v>
      </c>
      <c r="G5331" s="18" t="s">
        <v>48</v>
      </c>
      <c r="H5331" s="24">
        <v>130660</v>
      </c>
      <c r="I5331" s="24">
        <f>T_reg.root.SK[[#This Row],[Volume, kg]]/1000</f>
        <v>130.66</v>
      </c>
      <c r="J5331" s="25">
        <v>0.245</v>
      </c>
      <c r="K5331" s="25">
        <f t="shared" si="83"/>
        <v>32011.7</v>
      </c>
      <c r="L5331" s="25">
        <v>1.97</v>
      </c>
      <c r="M5331" s="24">
        <v>257024</v>
      </c>
      <c r="N5331" s="25">
        <f>IFERROR(T_reg.root.SK[[#This Row],[Price]]/T_reg.root.SK[[#This Row],[Starch content]],"")</f>
        <v>8.0408163265306118</v>
      </c>
    </row>
    <row r="5332" spans="1:14">
      <c r="A5332" s="21">
        <v>2025</v>
      </c>
      <c r="B5332" s="21" t="s">
        <v>20</v>
      </c>
      <c r="C5332" s="21" t="s">
        <v>1145</v>
      </c>
      <c r="D5332" s="21" t="s">
        <v>35</v>
      </c>
      <c r="E5332" s="17" t="s">
        <v>777</v>
      </c>
      <c r="F5332" s="18" t="s">
        <v>187</v>
      </c>
      <c r="G5332" s="18" t="s">
        <v>48</v>
      </c>
      <c r="H5332" s="24">
        <v>71280</v>
      </c>
      <c r="I5332" s="24">
        <f>T_reg.root.SK[[#This Row],[Volume, kg]]/1000</f>
        <v>71.28</v>
      </c>
      <c r="J5332" s="25">
        <v>0.27900000000000003</v>
      </c>
      <c r="K5332" s="25">
        <f t="shared" si="83"/>
        <v>19887.120000000003</v>
      </c>
      <c r="L5332" s="25">
        <v>2.11</v>
      </c>
      <c r="M5332" s="24">
        <v>150140</v>
      </c>
      <c r="N5332" s="25">
        <f>IFERROR(T_reg.root.SK[[#This Row],[Price]]/T_reg.root.SK[[#This Row],[Starch content]],"")</f>
        <v>7.5627240143369168</v>
      </c>
    </row>
    <row r="5333" spans="1:14">
      <c r="A5333" s="21">
        <v>2025</v>
      </c>
      <c r="B5333" s="21" t="s">
        <v>20</v>
      </c>
      <c r="C5333" s="21" t="s">
        <v>1145</v>
      </c>
      <c r="D5333" s="21" t="s">
        <v>35</v>
      </c>
      <c r="E5333" s="17" t="s">
        <v>245</v>
      </c>
      <c r="F5333" s="18" t="s">
        <v>105</v>
      </c>
      <c r="G5333" s="18" t="s">
        <v>48</v>
      </c>
      <c r="H5333" s="24">
        <v>12040</v>
      </c>
      <c r="I5333" s="24">
        <f>T_reg.root.SK[[#This Row],[Volume, kg]]/1000</f>
        <v>12.04</v>
      </c>
      <c r="J5333" s="25">
        <v>0.23100000000000001</v>
      </c>
      <c r="K5333" s="25">
        <f t="shared" si="83"/>
        <v>2781.2400000000002</v>
      </c>
      <c r="L5333" s="25">
        <v>1.95</v>
      </c>
      <c r="M5333" s="24">
        <v>23478</v>
      </c>
      <c r="N5333" s="25">
        <f>IFERROR(T_reg.root.SK[[#This Row],[Price]]/T_reg.root.SK[[#This Row],[Starch content]],"")</f>
        <v>8.4415584415584402</v>
      </c>
    </row>
    <row r="5334" spans="1:14">
      <c r="A5334" s="21">
        <v>2025</v>
      </c>
      <c r="B5334" s="21" t="s">
        <v>20</v>
      </c>
      <c r="C5334" s="21" t="s">
        <v>1145</v>
      </c>
      <c r="D5334" s="21" t="s">
        <v>35</v>
      </c>
      <c r="E5334" s="17" t="s">
        <v>738</v>
      </c>
      <c r="F5334" s="18" t="s">
        <v>105</v>
      </c>
      <c r="G5334" s="18" t="s">
        <v>48</v>
      </c>
      <c r="H5334" s="24">
        <v>28860</v>
      </c>
      <c r="I5334" s="24">
        <f>T_reg.root.SK[[#This Row],[Volume, kg]]/1000</f>
        <v>28.86</v>
      </c>
      <c r="J5334" s="25">
        <v>0.23599999999999999</v>
      </c>
      <c r="K5334" s="25">
        <f t="shared" si="83"/>
        <v>6810.96</v>
      </c>
      <c r="L5334" s="25">
        <v>1.93</v>
      </c>
      <c r="M5334" s="24">
        <v>55737.5</v>
      </c>
      <c r="N5334" s="25">
        <f>IFERROR(T_reg.root.SK[[#This Row],[Price]]/T_reg.root.SK[[#This Row],[Starch content]],"")</f>
        <v>8.1779661016949152</v>
      </c>
    </row>
    <row r="5335" spans="1:14">
      <c r="A5335" s="21">
        <v>2025</v>
      </c>
      <c r="B5335" s="21" t="s">
        <v>20</v>
      </c>
      <c r="C5335" s="21" t="s">
        <v>1145</v>
      </c>
      <c r="D5335" s="21" t="s">
        <v>35</v>
      </c>
      <c r="E5335" s="17" t="s">
        <v>933</v>
      </c>
      <c r="F5335" s="18" t="s">
        <v>105</v>
      </c>
      <c r="G5335" s="18" t="s">
        <v>48</v>
      </c>
      <c r="H5335" s="24">
        <v>112410</v>
      </c>
      <c r="I5335" s="24">
        <f>T_reg.root.SK[[#This Row],[Volume, kg]]/1000</f>
        <v>112.41</v>
      </c>
      <c r="J5335" s="25">
        <v>0.25800000000000001</v>
      </c>
      <c r="K5335" s="25">
        <f t="shared" si="83"/>
        <v>29001.780000000002</v>
      </c>
      <c r="L5335" s="25">
        <v>2.0299999999999998</v>
      </c>
      <c r="M5335" s="24">
        <v>227862.5</v>
      </c>
      <c r="N5335" s="25">
        <f>IFERROR(T_reg.root.SK[[#This Row],[Price]]/T_reg.root.SK[[#This Row],[Starch content]],"")</f>
        <v>7.8682170542635648</v>
      </c>
    </row>
    <row r="5336" spans="1:14">
      <c r="A5336" s="21">
        <v>2025</v>
      </c>
      <c r="B5336" s="21" t="s">
        <v>20</v>
      </c>
      <c r="C5336" s="21" t="s">
        <v>1145</v>
      </c>
      <c r="D5336" s="21" t="s">
        <v>35</v>
      </c>
      <c r="E5336" s="17" t="s">
        <v>1004</v>
      </c>
      <c r="F5336" s="18" t="s">
        <v>105</v>
      </c>
      <c r="G5336" s="18" t="s">
        <v>48</v>
      </c>
      <c r="H5336" s="24">
        <v>33110</v>
      </c>
      <c r="I5336" s="24">
        <f>T_reg.root.SK[[#This Row],[Volume, kg]]/1000</f>
        <v>33.11</v>
      </c>
      <c r="J5336" s="25">
        <v>0.27300000000000002</v>
      </c>
      <c r="K5336" s="25">
        <f t="shared" si="83"/>
        <v>9039.0300000000007</v>
      </c>
      <c r="L5336" s="25">
        <v>2.12</v>
      </c>
      <c r="M5336" s="24">
        <v>70127.5</v>
      </c>
      <c r="N5336" s="25">
        <f>IFERROR(T_reg.root.SK[[#This Row],[Price]]/T_reg.root.SK[[#This Row],[Starch content]],"")</f>
        <v>7.7655677655677655</v>
      </c>
    </row>
    <row r="5337" spans="1:14">
      <c r="A5337" s="21">
        <v>2025</v>
      </c>
      <c r="B5337" s="21" t="s">
        <v>20</v>
      </c>
      <c r="C5337" s="21" t="s">
        <v>1145</v>
      </c>
      <c r="D5337" s="21" t="s">
        <v>35</v>
      </c>
      <c r="E5337" s="17" t="s">
        <v>310</v>
      </c>
      <c r="F5337" s="18" t="s">
        <v>105</v>
      </c>
      <c r="G5337" s="18" t="s">
        <v>48</v>
      </c>
      <c r="H5337" s="24">
        <v>74170</v>
      </c>
      <c r="I5337" s="24">
        <f>T_reg.root.SK[[#This Row],[Volume, kg]]/1000</f>
        <v>74.17</v>
      </c>
      <c r="J5337" s="25">
        <v>0.27100000000000002</v>
      </c>
      <c r="K5337" s="25">
        <f t="shared" si="83"/>
        <v>20100.07</v>
      </c>
      <c r="L5337" s="25">
        <v>2.0499999999999998</v>
      </c>
      <c r="M5337" s="24">
        <v>152314</v>
      </c>
      <c r="N5337" s="25">
        <f>IFERROR(T_reg.root.SK[[#This Row],[Price]]/T_reg.root.SK[[#This Row],[Starch content]],"")</f>
        <v>7.5645756457564568</v>
      </c>
    </row>
    <row r="5338" spans="1:14">
      <c r="A5338" s="21">
        <v>2025</v>
      </c>
      <c r="B5338" s="21" t="s">
        <v>20</v>
      </c>
      <c r="C5338" s="21" t="s">
        <v>1145</v>
      </c>
      <c r="D5338" s="21" t="s">
        <v>35</v>
      </c>
      <c r="E5338" s="17" t="s">
        <v>247</v>
      </c>
      <c r="F5338" s="18" t="s">
        <v>105</v>
      </c>
      <c r="G5338" s="18" t="s">
        <v>48</v>
      </c>
      <c r="H5338" s="24">
        <v>23670</v>
      </c>
      <c r="I5338" s="24">
        <f>T_reg.root.SK[[#This Row],[Volume, kg]]/1000</f>
        <v>23.67</v>
      </c>
      <c r="J5338" s="25">
        <v>0.21</v>
      </c>
      <c r="K5338" s="25">
        <f t="shared" si="83"/>
        <v>4970.7</v>
      </c>
      <c r="L5338" s="25">
        <v>1.77</v>
      </c>
      <c r="M5338" s="24">
        <v>41865</v>
      </c>
      <c r="N5338" s="25">
        <f>IFERROR(T_reg.root.SK[[#This Row],[Price]]/T_reg.root.SK[[#This Row],[Starch content]],"")</f>
        <v>8.4285714285714288</v>
      </c>
    </row>
    <row r="5339" spans="1:14">
      <c r="A5339" s="21">
        <v>2025</v>
      </c>
      <c r="B5339" s="21" t="s">
        <v>20</v>
      </c>
      <c r="C5339" s="21" t="s">
        <v>1145</v>
      </c>
      <c r="D5339" s="21" t="s">
        <v>35</v>
      </c>
      <c r="E5339" s="17" t="s">
        <v>340</v>
      </c>
      <c r="F5339" s="18" t="s">
        <v>47</v>
      </c>
      <c r="G5339" s="18" t="s">
        <v>48</v>
      </c>
      <c r="H5339" s="24">
        <v>34490</v>
      </c>
      <c r="I5339" s="24">
        <f>T_reg.root.SK[[#This Row],[Volume, kg]]/1000</f>
        <v>34.49</v>
      </c>
      <c r="J5339" s="25">
        <v>0.27100000000000002</v>
      </c>
      <c r="K5339" s="25">
        <f t="shared" si="83"/>
        <v>9346.7900000000009</v>
      </c>
      <c r="L5339" s="25">
        <v>2.1</v>
      </c>
      <c r="M5339" s="24">
        <v>72505</v>
      </c>
      <c r="N5339" s="25">
        <f>IFERROR(T_reg.root.SK[[#This Row],[Price]]/T_reg.root.SK[[#This Row],[Starch content]],"")</f>
        <v>7.7490774907749076</v>
      </c>
    </row>
    <row r="5340" spans="1:14">
      <c r="A5340" s="21">
        <v>2025</v>
      </c>
      <c r="B5340" s="21" t="s">
        <v>20</v>
      </c>
      <c r="C5340" s="21" t="s">
        <v>1145</v>
      </c>
      <c r="D5340" s="21" t="s">
        <v>35</v>
      </c>
      <c r="E5340" s="17" t="s">
        <v>498</v>
      </c>
      <c r="F5340" s="18" t="s">
        <v>105</v>
      </c>
      <c r="G5340" s="18" t="s">
        <v>48</v>
      </c>
      <c r="H5340" s="24">
        <v>24170</v>
      </c>
      <c r="I5340" s="24">
        <f>T_reg.root.SK[[#This Row],[Volume, kg]]/1000</f>
        <v>24.17</v>
      </c>
      <c r="J5340" s="25">
        <v>0.26</v>
      </c>
      <c r="K5340" s="25">
        <f t="shared" si="83"/>
        <v>6284.2</v>
      </c>
      <c r="L5340" s="25">
        <v>2.0499999999999998</v>
      </c>
      <c r="M5340" s="24">
        <v>49470</v>
      </c>
      <c r="N5340" s="25">
        <f>IFERROR(T_reg.root.SK[[#This Row],[Price]]/T_reg.root.SK[[#This Row],[Starch content]],"")</f>
        <v>7.8846153846153832</v>
      </c>
    </row>
    <row r="5341" spans="1:14">
      <c r="A5341" s="21">
        <v>2025</v>
      </c>
      <c r="B5341" s="21" t="s">
        <v>20</v>
      </c>
      <c r="C5341" s="21" t="s">
        <v>1145</v>
      </c>
      <c r="D5341" s="21" t="s">
        <v>35</v>
      </c>
      <c r="E5341" s="17" t="s">
        <v>530</v>
      </c>
      <c r="F5341" s="18" t="s">
        <v>187</v>
      </c>
      <c r="G5341" s="18" t="s">
        <v>48</v>
      </c>
      <c r="H5341" s="24">
        <v>66310</v>
      </c>
      <c r="I5341" s="24">
        <f>T_reg.root.SK[[#This Row],[Volume, kg]]/1000</f>
        <v>66.31</v>
      </c>
      <c r="J5341" s="25">
        <v>0.23799999999999999</v>
      </c>
      <c r="K5341" s="25">
        <f t="shared" si="83"/>
        <v>15781.779999999999</v>
      </c>
      <c r="L5341" s="25">
        <v>1.94</v>
      </c>
      <c r="M5341" s="24">
        <v>128649</v>
      </c>
      <c r="N5341" s="25">
        <f>IFERROR(T_reg.root.SK[[#This Row],[Price]]/T_reg.root.SK[[#This Row],[Starch content]],"")</f>
        <v>8.1512605042016801</v>
      </c>
    </row>
    <row r="5342" spans="1:14">
      <c r="A5342" s="21">
        <v>2025</v>
      </c>
      <c r="B5342" s="21" t="s">
        <v>20</v>
      </c>
      <c r="C5342" s="21" t="s">
        <v>1145</v>
      </c>
      <c r="D5342" s="21" t="s">
        <v>35</v>
      </c>
      <c r="E5342" s="17" t="s">
        <v>676</v>
      </c>
      <c r="F5342" s="18" t="s">
        <v>47</v>
      </c>
      <c r="G5342" s="18" t="s">
        <v>48</v>
      </c>
      <c r="H5342" s="24">
        <v>460400</v>
      </c>
      <c r="I5342" s="24">
        <f>T_reg.root.SK[[#This Row],[Volume, kg]]/1000</f>
        <v>460.4</v>
      </c>
      <c r="J5342" s="25">
        <v>0.27300000000000002</v>
      </c>
      <c r="K5342" s="25">
        <f t="shared" si="83"/>
        <v>125689.20000000001</v>
      </c>
      <c r="L5342" s="25">
        <v>2.12</v>
      </c>
      <c r="M5342" s="24">
        <v>976811.5</v>
      </c>
      <c r="N5342" s="25">
        <f>IFERROR(T_reg.root.SK[[#This Row],[Price]]/T_reg.root.SK[[#This Row],[Starch content]],"")</f>
        <v>7.7655677655677655</v>
      </c>
    </row>
    <row r="5343" spans="1:14">
      <c r="A5343" s="21">
        <v>2025</v>
      </c>
      <c r="B5343" s="21" t="s">
        <v>20</v>
      </c>
      <c r="C5343" s="21" t="s">
        <v>1145</v>
      </c>
      <c r="D5343" s="21" t="s">
        <v>35</v>
      </c>
      <c r="E5343" s="17" t="s">
        <v>594</v>
      </c>
      <c r="F5343" s="18" t="s">
        <v>187</v>
      </c>
      <c r="G5343" s="18" t="s">
        <v>48</v>
      </c>
      <c r="H5343" s="24">
        <v>100470</v>
      </c>
      <c r="I5343" s="24">
        <f>T_reg.root.SK[[#This Row],[Volume, kg]]/1000</f>
        <v>100.47</v>
      </c>
      <c r="J5343" s="25">
        <v>0.23</v>
      </c>
      <c r="K5343" s="25">
        <f t="shared" si="83"/>
        <v>23108.100000000002</v>
      </c>
      <c r="L5343" s="25">
        <v>1.91</v>
      </c>
      <c r="M5343" s="24">
        <v>191806.5</v>
      </c>
      <c r="N5343" s="25">
        <f>IFERROR(T_reg.root.SK[[#This Row],[Price]]/T_reg.root.SK[[#This Row],[Starch content]],"")</f>
        <v>8.3043478260869552</v>
      </c>
    </row>
    <row r="5344" spans="1:14">
      <c r="A5344" s="21">
        <v>2025</v>
      </c>
      <c r="B5344" s="21" t="s">
        <v>20</v>
      </c>
      <c r="C5344" s="21" t="s">
        <v>1145</v>
      </c>
      <c r="D5344" s="21" t="s">
        <v>35</v>
      </c>
      <c r="E5344" s="17" t="s">
        <v>646</v>
      </c>
      <c r="F5344" s="18" t="s">
        <v>105</v>
      </c>
      <c r="G5344" s="18" t="s">
        <v>48</v>
      </c>
      <c r="H5344" s="24">
        <v>39510</v>
      </c>
      <c r="I5344" s="24">
        <f>T_reg.root.SK[[#This Row],[Volume, kg]]/1000</f>
        <v>39.51</v>
      </c>
      <c r="J5344" s="25">
        <v>0.26800000000000002</v>
      </c>
      <c r="K5344" s="25">
        <f t="shared" si="83"/>
        <v>10588.68</v>
      </c>
      <c r="L5344" s="25">
        <v>2.0699999999999998</v>
      </c>
      <c r="M5344" s="24">
        <v>81907</v>
      </c>
      <c r="N5344" s="25">
        <f>IFERROR(T_reg.root.SK[[#This Row],[Price]]/T_reg.root.SK[[#This Row],[Starch content]],"")</f>
        <v>7.723880597014924</v>
      </c>
    </row>
    <row r="5345" spans="1:14">
      <c r="A5345" s="21">
        <v>2025</v>
      </c>
      <c r="B5345" s="21" t="s">
        <v>20</v>
      </c>
      <c r="C5345" s="21" t="s">
        <v>1145</v>
      </c>
      <c r="D5345" s="21" t="s">
        <v>35</v>
      </c>
      <c r="E5345" s="17" t="s">
        <v>144</v>
      </c>
      <c r="F5345" s="18" t="s">
        <v>105</v>
      </c>
      <c r="G5345" s="18" t="s">
        <v>48</v>
      </c>
      <c r="H5345" s="24">
        <v>55700</v>
      </c>
      <c r="I5345" s="24">
        <f>T_reg.root.SK[[#This Row],[Volume, kg]]/1000</f>
        <v>55.7</v>
      </c>
      <c r="J5345" s="25">
        <v>0.22</v>
      </c>
      <c r="K5345" s="25">
        <f t="shared" si="83"/>
        <v>12254</v>
      </c>
      <c r="L5345" s="25">
        <v>1.79</v>
      </c>
      <c r="M5345" s="24">
        <v>99886</v>
      </c>
      <c r="N5345" s="25">
        <f>IFERROR(T_reg.root.SK[[#This Row],[Price]]/T_reg.root.SK[[#This Row],[Starch content]],"")</f>
        <v>8.1363636363636367</v>
      </c>
    </row>
    <row r="5346" spans="1:14">
      <c r="A5346" s="21">
        <v>2025</v>
      </c>
      <c r="B5346" s="21" t="s">
        <v>20</v>
      </c>
      <c r="C5346" s="21" t="s">
        <v>1145</v>
      </c>
      <c r="D5346" s="21" t="s">
        <v>35</v>
      </c>
      <c r="E5346" s="17" t="s">
        <v>361</v>
      </c>
      <c r="F5346" s="18" t="s">
        <v>105</v>
      </c>
      <c r="G5346" s="18" t="s">
        <v>48</v>
      </c>
      <c r="H5346" s="24">
        <v>27420</v>
      </c>
      <c r="I5346" s="24">
        <f>T_reg.root.SK[[#This Row],[Volume, kg]]/1000</f>
        <v>27.42</v>
      </c>
      <c r="J5346" s="25">
        <v>0.28899999999999998</v>
      </c>
      <c r="K5346" s="25">
        <f t="shared" si="83"/>
        <v>7924.3799999999992</v>
      </c>
      <c r="L5346" s="25">
        <v>2.2000000000000002</v>
      </c>
      <c r="M5346" s="24">
        <v>60324</v>
      </c>
      <c r="N5346" s="25">
        <f>IFERROR(T_reg.root.SK[[#This Row],[Price]]/T_reg.root.SK[[#This Row],[Starch content]],"")</f>
        <v>7.6124567474048455</v>
      </c>
    </row>
    <row r="5347" spans="1:14">
      <c r="A5347" s="21">
        <v>2025</v>
      </c>
      <c r="B5347" s="21" t="s">
        <v>20</v>
      </c>
      <c r="C5347" s="21" t="s">
        <v>1145</v>
      </c>
      <c r="D5347" s="21" t="s">
        <v>35</v>
      </c>
      <c r="E5347" s="17" t="s">
        <v>265</v>
      </c>
      <c r="F5347" s="18" t="s">
        <v>187</v>
      </c>
      <c r="G5347" s="18" t="s">
        <v>48</v>
      </c>
      <c r="H5347" s="24">
        <v>18460</v>
      </c>
      <c r="I5347" s="24">
        <f>T_reg.root.SK[[#This Row],[Volume, kg]]/1000</f>
        <v>18.46</v>
      </c>
      <c r="J5347" s="25">
        <v>0.28399999999999997</v>
      </c>
      <c r="K5347" s="25">
        <f t="shared" si="83"/>
        <v>5242.6399999999994</v>
      </c>
      <c r="L5347" s="25">
        <v>2.23</v>
      </c>
      <c r="M5347" s="24">
        <v>41102</v>
      </c>
      <c r="N5347" s="25">
        <f>IFERROR(T_reg.root.SK[[#This Row],[Price]]/T_reg.root.SK[[#This Row],[Starch content]],"")</f>
        <v>7.8521126760563389</v>
      </c>
    </row>
    <row r="5348" spans="1:14">
      <c r="A5348" s="21">
        <v>2025</v>
      </c>
      <c r="B5348" s="21" t="s">
        <v>20</v>
      </c>
      <c r="C5348" s="21" t="s">
        <v>1145</v>
      </c>
      <c r="D5348" s="21" t="s">
        <v>35</v>
      </c>
      <c r="E5348" s="17" t="s">
        <v>145</v>
      </c>
      <c r="F5348" s="18" t="s">
        <v>105</v>
      </c>
      <c r="G5348" s="18" t="s">
        <v>48</v>
      </c>
      <c r="H5348" s="24">
        <v>37370</v>
      </c>
      <c r="I5348" s="24">
        <f>T_reg.root.SK[[#This Row],[Volume, kg]]/1000</f>
        <v>37.369999999999997</v>
      </c>
      <c r="J5348" s="25">
        <v>0.28100000000000003</v>
      </c>
      <c r="K5348" s="25">
        <f t="shared" si="83"/>
        <v>10500.970000000001</v>
      </c>
      <c r="L5348" s="25">
        <v>2.2000000000000002</v>
      </c>
      <c r="M5348" s="24">
        <v>82338.5</v>
      </c>
      <c r="N5348" s="25">
        <f>IFERROR(T_reg.root.SK[[#This Row],[Price]]/T_reg.root.SK[[#This Row],[Starch content]],"")</f>
        <v>7.8291814946619214</v>
      </c>
    </row>
    <row r="5349" spans="1:14">
      <c r="A5349" s="21">
        <v>2025</v>
      </c>
      <c r="B5349" s="21" t="s">
        <v>20</v>
      </c>
      <c r="C5349" s="21" t="s">
        <v>1145</v>
      </c>
      <c r="D5349" s="21" t="s">
        <v>35</v>
      </c>
      <c r="E5349" s="17" t="s">
        <v>146</v>
      </c>
      <c r="F5349" s="18" t="s">
        <v>105</v>
      </c>
      <c r="G5349" s="18" t="s">
        <v>48</v>
      </c>
      <c r="H5349" s="24">
        <v>1054920</v>
      </c>
      <c r="I5349" s="24">
        <f>T_reg.root.SK[[#This Row],[Volume, kg]]/1000</f>
        <v>1054.92</v>
      </c>
      <c r="J5349" s="25">
        <v>0.247</v>
      </c>
      <c r="K5349" s="25">
        <f t="shared" si="83"/>
        <v>260565.24</v>
      </c>
      <c r="L5349" s="25">
        <v>1.97</v>
      </c>
      <c r="M5349" s="24">
        <v>2078801</v>
      </c>
      <c r="N5349" s="25">
        <f>IFERROR(T_reg.root.SK[[#This Row],[Price]]/T_reg.root.SK[[#This Row],[Starch content]],"")</f>
        <v>7.9757085020242915</v>
      </c>
    </row>
    <row r="5350" spans="1:14">
      <c r="A5350" s="21">
        <v>2025</v>
      </c>
      <c r="B5350" s="21" t="s">
        <v>20</v>
      </c>
      <c r="C5350" s="21" t="s">
        <v>1145</v>
      </c>
      <c r="D5350" s="21" t="s">
        <v>35</v>
      </c>
      <c r="E5350" s="17" t="s">
        <v>569</v>
      </c>
      <c r="F5350" s="18" t="s">
        <v>105</v>
      </c>
      <c r="G5350" s="18" t="s">
        <v>48</v>
      </c>
      <c r="H5350" s="24">
        <v>53370</v>
      </c>
      <c r="I5350" s="24">
        <f>T_reg.root.SK[[#This Row],[Volume, kg]]/1000</f>
        <v>53.37</v>
      </c>
      <c r="J5350" s="25">
        <v>0.251</v>
      </c>
      <c r="K5350" s="25">
        <f t="shared" si="83"/>
        <v>13395.87</v>
      </c>
      <c r="L5350" s="25">
        <v>1.92</v>
      </c>
      <c r="M5350" s="24">
        <v>102216.5</v>
      </c>
      <c r="N5350" s="25">
        <f>IFERROR(T_reg.root.SK[[#This Row],[Price]]/T_reg.root.SK[[#This Row],[Starch content]],"")</f>
        <v>7.6494023904382464</v>
      </c>
    </row>
    <row r="5351" spans="1:14">
      <c r="A5351" s="21">
        <v>2025</v>
      </c>
      <c r="B5351" s="21" t="s">
        <v>20</v>
      </c>
      <c r="C5351" s="21" t="s">
        <v>1145</v>
      </c>
      <c r="D5351" s="21" t="s">
        <v>35</v>
      </c>
      <c r="E5351" s="17" t="s">
        <v>250</v>
      </c>
      <c r="F5351" s="18" t="s">
        <v>105</v>
      </c>
      <c r="G5351" s="18" t="s">
        <v>48</v>
      </c>
      <c r="H5351" s="24">
        <v>0</v>
      </c>
      <c r="I5351" s="24">
        <f>T_reg.root.SK[[#This Row],[Volume, kg]]/1000</f>
        <v>0</v>
      </c>
      <c r="J5351" s="25" t="s">
        <v>1147</v>
      </c>
      <c r="K5351" s="25">
        <v>0</v>
      </c>
      <c r="L5351" s="25">
        <v>0</v>
      </c>
      <c r="M5351" s="24">
        <v>0</v>
      </c>
      <c r="N5351" s="25" t="str">
        <f>IFERROR(T_reg.root.SK[[#This Row],[Price]]/T_reg.root.SK[[#This Row],[Starch content]],"")</f>
        <v/>
      </c>
    </row>
    <row r="5352" spans="1:14">
      <c r="A5352" s="21">
        <v>2025</v>
      </c>
      <c r="B5352" s="21" t="s">
        <v>20</v>
      </c>
      <c r="C5352" s="21" t="s">
        <v>1145</v>
      </c>
      <c r="D5352" s="21" t="s">
        <v>35</v>
      </c>
      <c r="E5352" s="17" t="s">
        <v>374</v>
      </c>
      <c r="F5352" s="18" t="s">
        <v>187</v>
      </c>
      <c r="G5352" s="18" t="s">
        <v>48</v>
      </c>
      <c r="H5352" s="24">
        <v>37840</v>
      </c>
      <c r="I5352" s="24">
        <f>T_reg.root.SK[[#This Row],[Volume, kg]]/1000</f>
        <v>37.840000000000003</v>
      </c>
      <c r="J5352" s="25">
        <v>0.246</v>
      </c>
      <c r="K5352" s="25">
        <f t="shared" si="83"/>
        <v>9308.64</v>
      </c>
      <c r="L5352" s="25">
        <v>1.98</v>
      </c>
      <c r="M5352" s="24">
        <v>75107.5</v>
      </c>
      <c r="N5352" s="25">
        <f>IFERROR(T_reg.root.SK[[#This Row],[Price]]/T_reg.root.SK[[#This Row],[Starch content]],"")</f>
        <v>8.0487804878048781</v>
      </c>
    </row>
    <row r="5353" spans="1:14">
      <c r="A5353" s="21">
        <v>2025</v>
      </c>
      <c r="B5353" s="21" t="s">
        <v>20</v>
      </c>
      <c r="C5353" s="21" t="s">
        <v>1145</v>
      </c>
      <c r="D5353" s="21" t="s">
        <v>35</v>
      </c>
      <c r="E5353" s="17" t="s">
        <v>660</v>
      </c>
      <c r="F5353" s="18" t="s">
        <v>47</v>
      </c>
      <c r="G5353" s="18" t="s">
        <v>48</v>
      </c>
      <c r="H5353" s="24">
        <v>48820</v>
      </c>
      <c r="I5353" s="24">
        <f>T_reg.root.SK[[#This Row],[Volume, kg]]/1000</f>
        <v>48.82</v>
      </c>
      <c r="J5353" s="25">
        <v>0.221</v>
      </c>
      <c r="K5353" s="25">
        <f t="shared" si="83"/>
        <v>10789.22</v>
      </c>
      <c r="L5353" s="25">
        <v>1.83</v>
      </c>
      <c r="M5353" s="24">
        <v>89222.5</v>
      </c>
      <c r="N5353" s="25">
        <f>IFERROR(T_reg.root.SK[[#This Row],[Price]]/T_reg.root.SK[[#This Row],[Starch content]],"")</f>
        <v>8.2805429864253401</v>
      </c>
    </row>
    <row r="5354" spans="1:14">
      <c r="A5354" s="21">
        <v>2025</v>
      </c>
      <c r="B5354" s="21" t="s">
        <v>20</v>
      </c>
      <c r="C5354" s="21" t="s">
        <v>1145</v>
      </c>
      <c r="D5354" s="21" t="s">
        <v>35</v>
      </c>
      <c r="E5354" s="17" t="s">
        <v>703</v>
      </c>
      <c r="F5354" s="18" t="s">
        <v>187</v>
      </c>
      <c r="G5354" s="18" t="s">
        <v>48</v>
      </c>
      <c r="H5354" s="24">
        <v>37630</v>
      </c>
      <c r="I5354" s="24">
        <f>T_reg.root.SK[[#This Row],[Volume, kg]]/1000</f>
        <v>37.630000000000003</v>
      </c>
      <c r="J5354" s="25">
        <v>0.23</v>
      </c>
      <c r="K5354" s="25">
        <f t="shared" si="83"/>
        <v>8654.9</v>
      </c>
      <c r="L5354" s="25">
        <v>1.9</v>
      </c>
      <c r="M5354" s="24">
        <v>71507.5</v>
      </c>
      <c r="N5354" s="25">
        <f>IFERROR(T_reg.root.SK[[#This Row],[Price]]/T_reg.root.SK[[#This Row],[Starch content]],"")</f>
        <v>8.2608695652173907</v>
      </c>
    </row>
    <row r="5355" spans="1:14">
      <c r="A5355" s="21">
        <v>2025</v>
      </c>
      <c r="B5355" s="21" t="s">
        <v>20</v>
      </c>
      <c r="C5355" s="21" t="s">
        <v>1145</v>
      </c>
      <c r="D5355" s="21" t="s">
        <v>35</v>
      </c>
      <c r="E5355" s="17" t="s">
        <v>730</v>
      </c>
      <c r="F5355" s="18" t="s">
        <v>47</v>
      </c>
      <c r="G5355" s="18" t="s">
        <v>48</v>
      </c>
      <c r="H5355" s="24">
        <v>14540</v>
      </c>
      <c r="I5355" s="24">
        <f>T_reg.root.SK[[#This Row],[Volume, kg]]/1000</f>
        <v>14.54</v>
      </c>
      <c r="J5355" s="25">
        <v>0.249</v>
      </c>
      <c r="K5355" s="25">
        <f t="shared" si="83"/>
        <v>3620.46</v>
      </c>
      <c r="L5355" s="25">
        <v>2.0499999999999998</v>
      </c>
      <c r="M5355" s="24">
        <v>29786</v>
      </c>
      <c r="N5355" s="25">
        <f>IFERROR(T_reg.root.SK[[#This Row],[Price]]/T_reg.root.SK[[#This Row],[Starch content]],"")</f>
        <v>8.2329317269076299</v>
      </c>
    </row>
    <row r="5356" spans="1:14">
      <c r="A5356" s="21">
        <v>2025</v>
      </c>
      <c r="B5356" s="21" t="s">
        <v>20</v>
      </c>
      <c r="C5356" s="21" t="s">
        <v>1145</v>
      </c>
      <c r="D5356" s="21" t="s">
        <v>35</v>
      </c>
      <c r="E5356" s="17" t="s">
        <v>796</v>
      </c>
      <c r="F5356" s="18" t="s">
        <v>187</v>
      </c>
      <c r="G5356" s="18" t="s">
        <v>48</v>
      </c>
      <c r="H5356" s="24">
        <v>58760</v>
      </c>
      <c r="I5356" s="24">
        <f>T_reg.root.SK[[#This Row],[Volume, kg]]/1000</f>
        <v>58.76</v>
      </c>
      <c r="J5356" s="25">
        <v>0.25900000000000001</v>
      </c>
      <c r="K5356" s="25">
        <f t="shared" si="83"/>
        <v>15218.84</v>
      </c>
      <c r="L5356" s="25">
        <v>2.0499999999999998</v>
      </c>
      <c r="M5356" s="24">
        <v>120194</v>
      </c>
      <c r="N5356" s="25">
        <f>IFERROR(T_reg.root.SK[[#This Row],[Price]]/T_reg.root.SK[[#This Row],[Starch content]],"")</f>
        <v>7.9150579150579139</v>
      </c>
    </row>
    <row r="5357" spans="1:14">
      <c r="A5357" s="21">
        <v>2025</v>
      </c>
      <c r="B5357" s="21" t="s">
        <v>20</v>
      </c>
      <c r="C5357" s="21" t="s">
        <v>1145</v>
      </c>
      <c r="D5357" s="21" t="s">
        <v>35</v>
      </c>
      <c r="E5357" s="17" t="s">
        <v>985</v>
      </c>
      <c r="F5357" s="18" t="s">
        <v>283</v>
      </c>
      <c r="G5357" s="18" t="s">
        <v>48</v>
      </c>
      <c r="H5357" s="24">
        <v>98430</v>
      </c>
      <c r="I5357" s="24">
        <f>T_reg.root.SK[[#This Row],[Volume, kg]]/1000</f>
        <v>98.43</v>
      </c>
      <c r="J5357" s="25">
        <v>0.28899999999999998</v>
      </c>
      <c r="K5357" s="25">
        <f t="shared" si="83"/>
        <v>28446.269999999997</v>
      </c>
      <c r="L5357" s="25">
        <v>2.2000000000000002</v>
      </c>
      <c r="M5357" s="24">
        <v>216919.5</v>
      </c>
      <c r="N5357" s="25">
        <f>IFERROR(T_reg.root.SK[[#This Row],[Price]]/T_reg.root.SK[[#This Row],[Starch content]],"")</f>
        <v>7.6124567474048455</v>
      </c>
    </row>
    <row r="5358" spans="1:14">
      <c r="A5358" s="21">
        <v>2025</v>
      </c>
      <c r="B5358" s="21" t="s">
        <v>20</v>
      </c>
      <c r="C5358" s="21" t="s">
        <v>1145</v>
      </c>
      <c r="D5358" s="21" t="s">
        <v>35</v>
      </c>
      <c r="E5358" s="17" t="s">
        <v>363</v>
      </c>
      <c r="F5358" s="18" t="s">
        <v>105</v>
      </c>
      <c r="G5358" s="18" t="s">
        <v>48</v>
      </c>
      <c r="H5358" s="24">
        <v>38670</v>
      </c>
      <c r="I5358" s="24">
        <f>T_reg.root.SK[[#This Row],[Volume, kg]]/1000</f>
        <v>38.67</v>
      </c>
      <c r="J5358" s="25">
        <v>0.23499999999999999</v>
      </c>
      <c r="K5358" s="25">
        <f t="shared" si="83"/>
        <v>9087.4499999999989</v>
      </c>
      <c r="L5358" s="25">
        <v>1.92</v>
      </c>
      <c r="M5358" s="24">
        <v>74343.5</v>
      </c>
      <c r="N5358" s="25">
        <f>IFERROR(T_reg.root.SK[[#This Row],[Price]]/T_reg.root.SK[[#This Row],[Starch content]],"")</f>
        <v>8.1702127659574462</v>
      </c>
    </row>
    <row r="5359" spans="1:14">
      <c r="A5359" s="21">
        <v>2025</v>
      </c>
      <c r="B5359" s="21" t="s">
        <v>20</v>
      </c>
      <c r="C5359" s="21" t="s">
        <v>1145</v>
      </c>
      <c r="D5359" s="21" t="s">
        <v>35</v>
      </c>
      <c r="E5359" s="17" t="s">
        <v>991</v>
      </c>
      <c r="F5359" s="18" t="s">
        <v>105</v>
      </c>
      <c r="G5359" s="18" t="s">
        <v>48</v>
      </c>
      <c r="H5359" s="24">
        <v>15220</v>
      </c>
      <c r="I5359" s="24">
        <f>T_reg.root.SK[[#This Row],[Volume, kg]]/1000</f>
        <v>15.22</v>
      </c>
      <c r="J5359" s="25">
        <v>0.219</v>
      </c>
      <c r="K5359" s="25">
        <f t="shared" si="83"/>
        <v>3333.18</v>
      </c>
      <c r="L5359" s="25">
        <v>1.87</v>
      </c>
      <c r="M5359" s="24">
        <v>28391</v>
      </c>
      <c r="N5359" s="25">
        <f>IFERROR(T_reg.root.SK[[#This Row],[Price]]/T_reg.root.SK[[#This Row],[Starch content]],"")</f>
        <v>8.5388127853881279</v>
      </c>
    </row>
    <row r="5360" spans="1:14">
      <c r="A5360" s="21">
        <v>2025</v>
      </c>
      <c r="B5360" s="21" t="s">
        <v>20</v>
      </c>
      <c r="C5360" s="21" t="s">
        <v>1145</v>
      </c>
      <c r="D5360" s="21" t="s">
        <v>35</v>
      </c>
      <c r="E5360" s="17" t="s">
        <v>1005</v>
      </c>
      <c r="F5360" s="18" t="s">
        <v>105</v>
      </c>
      <c r="G5360" s="18" t="s">
        <v>48</v>
      </c>
      <c r="H5360" s="24">
        <v>16590</v>
      </c>
      <c r="I5360" s="24">
        <f>T_reg.root.SK[[#This Row],[Volume, kg]]/1000</f>
        <v>16.59</v>
      </c>
      <c r="J5360" s="25">
        <v>0.26200000000000001</v>
      </c>
      <c r="K5360" s="25">
        <f t="shared" si="83"/>
        <v>4346.58</v>
      </c>
      <c r="L5360" s="25">
        <v>2.0499999999999998</v>
      </c>
      <c r="M5360" s="24">
        <v>34009.5</v>
      </c>
      <c r="N5360" s="25">
        <f>IFERROR(T_reg.root.SK[[#This Row],[Price]]/T_reg.root.SK[[#This Row],[Starch content]],"")</f>
        <v>7.8244274809160297</v>
      </c>
    </row>
    <row r="5361" spans="1:14">
      <c r="A5361" s="21">
        <v>2025</v>
      </c>
      <c r="B5361" s="21" t="s">
        <v>20</v>
      </c>
      <c r="C5361" s="21" t="s">
        <v>1145</v>
      </c>
      <c r="D5361" s="21" t="s">
        <v>35</v>
      </c>
      <c r="E5361" s="17" t="s">
        <v>148</v>
      </c>
      <c r="F5361" s="18" t="s">
        <v>105</v>
      </c>
      <c r="G5361" s="18" t="s">
        <v>48</v>
      </c>
      <c r="H5361" s="24">
        <v>205800</v>
      </c>
      <c r="I5361" s="24">
        <f>T_reg.root.SK[[#This Row],[Volume, kg]]/1000</f>
        <v>205.8</v>
      </c>
      <c r="J5361" s="25">
        <v>0.23899999999999999</v>
      </c>
      <c r="K5361" s="25">
        <f t="shared" si="83"/>
        <v>49186.2</v>
      </c>
      <c r="L5361" s="25">
        <v>1.94</v>
      </c>
      <c r="M5361" s="24">
        <v>400046</v>
      </c>
      <c r="N5361" s="25">
        <f>IFERROR(T_reg.root.SK[[#This Row],[Price]]/T_reg.root.SK[[#This Row],[Starch content]],"")</f>
        <v>8.1171548117154817</v>
      </c>
    </row>
    <row r="5362" spans="1:14">
      <c r="A5362" s="21">
        <v>2025</v>
      </c>
      <c r="B5362" s="21" t="s">
        <v>20</v>
      </c>
      <c r="C5362" s="21" t="s">
        <v>1145</v>
      </c>
      <c r="D5362" s="21" t="s">
        <v>35</v>
      </c>
      <c r="E5362" s="17" t="s">
        <v>364</v>
      </c>
      <c r="F5362" s="18" t="s">
        <v>105</v>
      </c>
      <c r="G5362" s="18" t="s">
        <v>48</v>
      </c>
      <c r="H5362" s="24">
        <v>73700</v>
      </c>
      <c r="I5362" s="24">
        <f>T_reg.root.SK[[#This Row],[Volume, kg]]/1000</f>
        <v>73.7</v>
      </c>
      <c r="J5362" s="25">
        <v>0.22900000000000001</v>
      </c>
      <c r="K5362" s="25">
        <f t="shared" si="83"/>
        <v>16877.3</v>
      </c>
      <c r="L5362" s="25">
        <v>1.92</v>
      </c>
      <c r="M5362" s="24">
        <v>141735.5</v>
      </c>
      <c r="N5362" s="25">
        <f>IFERROR(T_reg.root.SK[[#This Row],[Price]]/T_reg.root.SK[[#This Row],[Starch content]],"")</f>
        <v>8.3842794759825328</v>
      </c>
    </row>
    <row r="5363" spans="1:14">
      <c r="A5363" s="21">
        <v>2025</v>
      </c>
      <c r="B5363" s="21" t="s">
        <v>20</v>
      </c>
      <c r="C5363" s="21" t="s">
        <v>1145</v>
      </c>
      <c r="D5363" s="21" t="s">
        <v>35</v>
      </c>
      <c r="E5363" s="17" t="s">
        <v>341</v>
      </c>
      <c r="F5363" s="18" t="s">
        <v>47</v>
      </c>
      <c r="G5363" s="18" t="s">
        <v>48</v>
      </c>
      <c r="H5363" s="24">
        <v>29390</v>
      </c>
      <c r="I5363" s="24">
        <f>T_reg.root.SK[[#This Row],[Volume, kg]]/1000</f>
        <v>29.39</v>
      </c>
      <c r="J5363" s="25">
        <v>0.214</v>
      </c>
      <c r="K5363" s="25">
        <f t="shared" si="83"/>
        <v>6289.46</v>
      </c>
      <c r="L5363" s="25">
        <v>1.86</v>
      </c>
      <c r="M5363" s="24">
        <v>54697</v>
      </c>
      <c r="N5363" s="25">
        <f>IFERROR(T_reg.root.SK[[#This Row],[Price]]/T_reg.root.SK[[#This Row],[Starch content]],"")</f>
        <v>8.6915887850467293</v>
      </c>
    </row>
    <row r="5364" spans="1:14">
      <c r="A5364" s="21">
        <v>2025</v>
      </c>
      <c r="B5364" s="21" t="s">
        <v>20</v>
      </c>
      <c r="C5364" s="21" t="s">
        <v>1145</v>
      </c>
      <c r="D5364" s="21" t="s">
        <v>35</v>
      </c>
      <c r="E5364" s="17" t="s">
        <v>313</v>
      </c>
      <c r="F5364" s="18" t="s">
        <v>105</v>
      </c>
      <c r="G5364" s="18" t="s">
        <v>48</v>
      </c>
      <c r="H5364" s="24">
        <v>47680</v>
      </c>
      <c r="I5364" s="24">
        <f>T_reg.root.SK[[#This Row],[Volume, kg]]/1000</f>
        <v>47.68</v>
      </c>
      <c r="J5364" s="25">
        <v>0.255</v>
      </c>
      <c r="K5364" s="25">
        <f t="shared" si="83"/>
        <v>12158.4</v>
      </c>
      <c r="L5364" s="25">
        <v>2.04</v>
      </c>
      <c r="M5364" s="24">
        <v>97285</v>
      </c>
      <c r="N5364" s="25">
        <f>IFERROR(T_reg.root.SK[[#This Row],[Price]]/T_reg.root.SK[[#This Row],[Starch content]],"")</f>
        <v>8</v>
      </c>
    </row>
    <row r="5365" spans="1:14">
      <c r="A5365" s="21">
        <v>2025</v>
      </c>
      <c r="B5365" s="21" t="s">
        <v>20</v>
      </c>
      <c r="C5365" s="21" t="s">
        <v>1145</v>
      </c>
      <c r="D5365" s="21" t="s">
        <v>35</v>
      </c>
      <c r="E5365" s="17" t="s">
        <v>208</v>
      </c>
      <c r="F5365" s="18" t="s">
        <v>187</v>
      </c>
      <c r="G5365" s="18" t="s">
        <v>48</v>
      </c>
      <c r="H5365" s="24">
        <v>126610</v>
      </c>
      <c r="I5365" s="24">
        <f>T_reg.root.SK[[#This Row],[Volume, kg]]/1000</f>
        <v>126.61</v>
      </c>
      <c r="J5365" s="25">
        <v>0.23599999999999999</v>
      </c>
      <c r="K5365" s="25">
        <f t="shared" si="83"/>
        <v>29879.96</v>
      </c>
      <c r="L5365" s="25">
        <v>1.91</v>
      </c>
      <c r="M5365" s="24">
        <v>242085</v>
      </c>
      <c r="N5365" s="25">
        <f>IFERROR(T_reg.root.SK[[#This Row],[Price]]/T_reg.root.SK[[#This Row],[Starch content]],"")</f>
        <v>8.0932203389830502</v>
      </c>
    </row>
    <row r="5366" spans="1:14">
      <c r="A5366" s="21">
        <v>2025</v>
      </c>
      <c r="B5366" s="21" t="s">
        <v>20</v>
      </c>
      <c r="C5366" s="21" t="s">
        <v>1145</v>
      </c>
      <c r="D5366" s="21" t="s">
        <v>35</v>
      </c>
      <c r="E5366" s="17" t="s">
        <v>500</v>
      </c>
      <c r="F5366" s="18" t="s">
        <v>105</v>
      </c>
      <c r="G5366" s="18" t="s">
        <v>48</v>
      </c>
      <c r="H5366" s="24">
        <v>11910</v>
      </c>
      <c r="I5366" s="24">
        <f>T_reg.root.SK[[#This Row],[Volume, kg]]/1000</f>
        <v>11.91</v>
      </c>
      <c r="J5366" s="25">
        <v>0.26200000000000001</v>
      </c>
      <c r="K5366" s="25">
        <f t="shared" si="83"/>
        <v>3120.42</v>
      </c>
      <c r="L5366" s="25">
        <v>2.08</v>
      </c>
      <c r="M5366" s="24">
        <v>24722.5</v>
      </c>
      <c r="N5366" s="25">
        <f>IFERROR(T_reg.root.SK[[#This Row],[Price]]/T_reg.root.SK[[#This Row],[Starch content]],"")</f>
        <v>7.9389312977099236</v>
      </c>
    </row>
    <row r="5367" spans="1:14">
      <c r="A5367" s="21">
        <v>2025</v>
      </c>
      <c r="B5367" s="21" t="s">
        <v>20</v>
      </c>
      <c r="C5367" s="21" t="s">
        <v>1145</v>
      </c>
      <c r="D5367" s="21" t="s">
        <v>35</v>
      </c>
      <c r="E5367" s="17" t="s">
        <v>687</v>
      </c>
      <c r="F5367" s="18" t="s">
        <v>105</v>
      </c>
      <c r="G5367" s="18" t="s">
        <v>48</v>
      </c>
      <c r="H5367" s="24">
        <v>142420</v>
      </c>
      <c r="I5367" s="24">
        <f>T_reg.root.SK[[#This Row],[Volume, kg]]/1000</f>
        <v>142.41999999999999</v>
      </c>
      <c r="J5367" s="25">
        <v>0.24</v>
      </c>
      <c r="K5367" s="25">
        <f t="shared" si="83"/>
        <v>34180.799999999996</v>
      </c>
      <c r="L5367" s="25">
        <v>1.96</v>
      </c>
      <c r="M5367" s="24">
        <v>279102.5</v>
      </c>
      <c r="N5367" s="25">
        <f>IFERROR(T_reg.root.SK[[#This Row],[Price]]/T_reg.root.SK[[#This Row],[Starch content]],"")</f>
        <v>8.1666666666666661</v>
      </c>
    </row>
    <row r="5368" spans="1:14">
      <c r="A5368" s="21">
        <v>2025</v>
      </c>
      <c r="B5368" s="21" t="s">
        <v>20</v>
      </c>
      <c r="C5368" s="21" t="s">
        <v>1145</v>
      </c>
      <c r="D5368" s="21" t="s">
        <v>35</v>
      </c>
      <c r="E5368" s="17" t="s">
        <v>150</v>
      </c>
      <c r="F5368" s="18" t="s">
        <v>105</v>
      </c>
      <c r="G5368" s="18" t="s">
        <v>48</v>
      </c>
      <c r="H5368" s="24">
        <v>79900</v>
      </c>
      <c r="I5368" s="24">
        <f>T_reg.root.SK[[#This Row],[Volume, kg]]/1000</f>
        <v>79.900000000000006</v>
      </c>
      <c r="J5368" s="25">
        <v>0.23799999999999999</v>
      </c>
      <c r="K5368" s="25">
        <f t="shared" si="83"/>
        <v>19016.2</v>
      </c>
      <c r="L5368" s="25">
        <v>1.95</v>
      </c>
      <c r="M5368" s="24">
        <v>155928.5</v>
      </c>
      <c r="N5368" s="25">
        <f>IFERROR(T_reg.root.SK[[#This Row],[Price]]/T_reg.root.SK[[#This Row],[Starch content]],"")</f>
        <v>8.1932773109243691</v>
      </c>
    </row>
    <row r="5369" spans="1:14">
      <c r="A5369" s="21">
        <v>2025</v>
      </c>
      <c r="B5369" s="21" t="s">
        <v>20</v>
      </c>
      <c r="C5369" s="21" t="s">
        <v>1145</v>
      </c>
      <c r="D5369" s="21" t="s">
        <v>35</v>
      </c>
      <c r="E5369" s="17" t="s">
        <v>471</v>
      </c>
      <c r="F5369" s="18" t="s">
        <v>47</v>
      </c>
      <c r="G5369" s="18" t="s">
        <v>48</v>
      </c>
      <c r="H5369" s="24">
        <v>91710</v>
      </c>
      <c r="I5369" s="24">
        <f>T_reg.root.SK[[#This Row],[Volume, kg]]/1000</f>
        <v>91.71</v>
      </c>
      <c r="J5369" s="25">
        <v>0.23100000000000001</v>
      </c>
      <c r="K5369" s="25">
        <f t="shared" si="83"/>
        <v>21185.010000000002</v>
      </c>
      <c r="L5369" s="25">
        <v>1.92</v>
      </c>
      <c r="M5369" s="24">
        <v>176219.5</v>
      </c>
      <c r="N5369" s="25">
        <f>IFERROR(T_reg.root.SK[[#This Row],[Price]]/T_reg.root.SK[[#This Row],[Starch content]],"")</f>
        <v>8.3116883116883109</v>
      </c>
    </row>
    <row r="5370" spans="1:14">
      <c r="A5370" s="21">
        <v>2025</v>
      </c>
      <c r="B5370" s="21" t="s">
        <v>20</v>
      </c>
      <c r="C5370" s="21" t="s">
        <v>1145</v>
      </c>
      <c r="D5370" s="21" t="s">
        <v>35</v>
      </c>
      <c r="E5370" s="17" t="s">
        <v>151</v>
      </c>
      <c r="F5370" s="18" t="s">
        <v>105</v>
      </c>
      <c r="G5370" s="18" t="s">
        <v>48</v>
      </c>
      <c r="H5370" s="24">
        <v>453150</v>
      </c>
      <c r="I5370" s="24">
        <f>T_reg.root.SK[[#This Row],[Volume, kg]]/1000</f>
        <v>453.15</v>
      </c>
      <c r="J5370" s="25">
        <v>0.252</v>
      </c>
      <c r="K5370" s="25">
        <f t="shared" si="83"/>
        <v>114193.8</v>
      </c>
      <c r="L5370" s="25">
        <v>2.0299999999999998</v>
      </c>
      <c r="M5370" s="24">
        <v>919838</v>
      </c>
      <c r="N5370" s="25">
        <f>IFERROR(T_reg.root.SK[[#This Row],[Price]]/T_reg.root.SK[[#This Row],[Starch content]],"")</f>
        <v>8.0555555555555554</v>
      </c>
    </row>
    <row r="5371" spans="1:14">
      <c r="A5371" s="21">
        <v>2025</v>
      </c>
      <c r="B5371" s="21" t="s">
        <v>20</v>
      </c>
      <c r="C5371" s="21" t="s">
        <v>1145</v>
      </c>
      <c r="D5371" s="21" t="s">
        <v>35</v>
      </c>
      <c r="E5371" s="17" t="s">
        <v>669</v>
      </c>
      <c r="F5371" s="18" t="s">
        <v>105</v>
      </c>
      <c r="G5371" s="18" t="s">
        <v>48</v>
      </c>
      <c r="H5371" s="24">
        <v>23560</v>
      </c>
      <c r="I5371" s="24">
        <f>T_reg.root.SK[[#This Row],[Volume, kg]]/1000</f>
        <v>23.56</v>
      </c>
      <c r="J5371" s="25">
        <v>0.27500000000000002</v>
      </c>
      <c r="K5371" s="25">
        <f t="shared" si="83"/>
        <v>6479.0000000000009</v>
      </c>
      <c r="L5371" s="25">
        <v>2.11</v>
      </c>
      <c r="M5371" s="24">
        <v>49773</v>
      </c>
      <c r="N5371" s="25">
        <f>IFERROR(T_reg.root.SK[[#This Row],[Price]]/T_reg.root.SK[[#This Row],[Starch content]],"")</f>
        <v>7.672727272727272</v>
      </c>
    </row>
    <row r="5372" spans="1:14">
      <c r="A5372" s="21">
        <v>2025</v>
      </c>
      <c r="B5372" s="21" t="s">
        <v>20</v>
      </c>
      <c r="C5372" s="21" t="s">
        <v>1145</v>
      </c>
      <c r="D5372" s="21" t="s">
        <v>35</v>
      </c>
      <c r="E5372" s="17" t="s">
        <v>70</v>
      </c>
      <c r="F5372" s="18" t="s">
        <v>47</v>
      </c>
      <c r="G5372" s="18" t="s">
        <v>48</v>
      </c>
      <c r="H5372" s="24">
        <v>177390</v>
      </c>
      <c r="I5372" s="24">
        <f>T_reg.root.SK[[#This Row],[Volume, kg]]/1000</f>
        <v>177.39</v>
      </c>
      <c r="J5372" s="25">
        <v>0.25</v>
      </c>
      <c r="K5372" s="25">
        <f t="shared" si="83"/>
        <v>44347.5</v>
      </c>
      <c r="L5372" s="25">
        <v>2</v>
      </c>
      <c r="M5372" s="24">
        <v>355138.5</v>
      </c>
      <c r="N5372" s="25">
        <f>IFERROR(T_reg.root.SK[[#This Row],[Price]]/T_reg.root.SK[[#This Row],[Starch content]],"")</f>
        <v>8</v>
      </c>
    </row>
    <row r="5373" spans="1:14">
      <c r="A5373" s="21">
        <v>2025</v>
      </c>
      <c r="B5373" s="21" t="s">
        <v>20</v>
      </c>
      <c r="C5373" s="21" t="s">
        <v>1145</v>
      </c>
      <c r="D5373" s="21" t="s">
        <v>35</v>
      </c>
      <c r="E5373" s="17" t="s">
        <v>71</v>
      </c>
      <c r="F5373" s="18" t="s">
        <v>47</v>
      </c>
      <c r="G5373" s="18" t="s">
        <v>48</v>
      </c>
      <c r="H5373" s="24">
        <v>27570</v>
      </c>
      <c r="I5373" s="24">
        <f>T_reg.root.SK[[#This Row],[Volume, kg]]/1000</f>
        <v>27.57</v>
      </c>
      <c r="J5373" s="25">
        <v>0.28499999999999998</v>
      </c>
      <c r="K5373" s="25">
        <f t="shared" si="83"/>
        <v>7857.4499999999989</v>
      </c>
      <c r="L5373" s="25">
        <v>2.21</v>
      </c>
      <c r="M5373" s="24">
        <v>60799</v>
      </c>
      <c r="N5373" s="25">
        <f>IFERROR(T_reg.root.SK[[#This Row],[Price]]/T_reg.root.SK[[#This Row],[Starch content]],"")</f>
        <v>7.7543859649122808</v>
      </c>
    </row>
    <row r="5374" spans="1:14">
      <c r="A5374" s="21">
        <v>2025</v>
      </c>
      <c r="B5374" s="21" t="s">
        <v>20</v>
      </c>
      <c r="C5374" s="21" t="s">
        <v>1145</v>
      </c>
      <c r="D5374" s="21" t="s">
        <v>35</v>
      </c>
      <c r="E5374" s="17" t="s">
        <v>391</v>
      </c>
      <c r="F5374" s="18" t="s">
        <v>95</v>
      </c>
      <c r="G5374" s="18" t="s">
        <v>48</v>
      </c>
      <c r="H5374" s="24">
        <v>27760</v>
      </c>
      <c r="I5374" s="24">
        <f>T_reg.root.SK[[#This Row],[Volume, kg]]/1000</f>
        <v>27.76</v>
      </c>
      <c r="J5374" s="25">
        <v>0.24</v>
      </c>
      <c r="K5374" s="25">
        <f t="shared" si="83"/>
        <v>6662.4</v>
      </c>
      <c r="L5374" s="25">
        <v>1.95</v>
      </c>
      <c r="M5374" s="24">
        <v>54206</v>
      </c>
      <c r="N5374" s="25">
        <f>IFERROR(T_reg.root.SK[[#This Row],[Price]]/T_reg.root.SK[[#This Row],[Starch content]],"")</f>
        <v>8.125</v>
      </c>
    </row>
    <row r="5375" spans="1:14">
      <c r="A5375" s="21">
        <v>2025</v>
      </c>
      <c r="B5375" s="21" t="s">
        <v>20</v>
      </c>
      <c r="C5375" s="21" t="s">
        <v>1145</v>
      </c>
      <c r="D5375" s="21" t="s">
        <v>35</v>
      </c>
      <c r="E5375" s="17" t="s">
        <v>472</v>
      </c>
      <c r="F5375" s="18" t="s">
        <v>47</v>
      </c>
      <c r="G5375" s="18" t="s">
        <v>48</v>
      </c>
      <c r="H5375" s="24">
        <v>170900</v>
      </c>
      <c r="I5375" s="24">
        <f>T_reg.root.SK[[#This Row],[Volume, kg]]/1000</f>
        <v>170.9</v>
      </c>
      <c r="J5375" s="25">
        <v>0.23699999999999999</v>
      </c>
      <c r="K5375" s="25">
        <f t="shared" si="83"/>
        <v>40503.299999999996</v>
      </c>
      <c r="L5375" s="25">
        <v>1.92</v>
      </c>
      <c r="M5375" s="24">
        <v>328360</v>
      </c>
      <c r="N5375" s="25">
        <f>IFERROR(T_reg.root.SK[[#This Row],[Price]]/T_reg.root.SK[[#This Row],[Starch content]],"")</f>
        <v>8.1012658227848107</v>
      </c>
    </row>
    <row r="5376" spans="1:14">
      <c r="A5376" s="21">
        <v>2025</v>
      </c>
      <c r="B5376" s="21" t="s">
        <v>20</v>
      </c>
      <c r="C5376" s="21" t="s">
        <v>1145</v>
      </c>
      <c r="D5376" s="21" t="s">
        <v>35</v>
      </c>
      <c r="E5376" s="17" t="s">
        <v>153</v>
      </c>
      <c r="F5376" s="18" t="s">
        <v>105</v>
      </c>
      <c r="G5376" s="18" t="s">
        <v>48</v>
      </c>
      <c r="H5376" s="24">
        <v>3660</v>
      </c>
      <c r="I5376" s="24">
        <f>T_reg.root.SK[[#This Row],[Volume, kg]]/1000</f>
        <v>3.66</v>
      </c>
      <c r="J5376" s="25">
        <v>0.23699999999999999</v>
      </c>
      <c r="K5376" s="25">
        <f t="shared" si="83"/>
        <v>867.42</v>
      </c>
      <c r="L5376" s="25">
        <v>1.95</v>
      </c>
      <c r="M5376" s="24">
        <v>7137</v>
      </c>
      <c r="N5376" s="25">
        <f>IFERROR(T_reg.root.SK[[#This Row],[Price]]/T_reg.root.SK[[#This Row],[Starch content]],"")</f>
        <v>8.2278481012658222</v>
      </c>
    </row>
    <row r="5377" spans="1:14">
      <c r="A5377" s="21">
        <v>2025</v>
      </c>
      <c r="B5377" s="21" t="s">
        <v>20</v>
      </c>
      <c r="C5377" s="21" t="s">
        <v>1145</v>
      </c>
      <c r="D5377" s="21" t="s">
        <v>35</v>
      </c>
      <c r="E5377" s="17" t="s">
        <v>154</v>
      </c>
      <c r="F5377" s="18" t="s">
        <v>105</v>
      </c>
      <c r="G5377" s="18" t="s">
        <v>48</v>
      </c>
      <c r="H5377" s="24">
        <v>25880</v>
      </c>
      <c r="I5377" s="24">
        <f>T_reg.root.SK[[#This Row],[Volume, kg]]/1000</f>
        <v>25.88</v>
      </c>
      <c r="J5377" s="25">
        <v>0.252</v>
      </c>
      <c r="K5377" s="25">
        <f t="shared" si="83"/>
        <v>6521.76</v>
      </c>
      <c r="L5377" s="25">
        <v>2.02</v>
      </c>
      <c r="M5377" s="24">
        <v>52203</v>
      </c>
      <c r="N5377" s="25">
        <f>IFERROR(T_reg.root.SK[[#This Row],[Price]]/T_reg.root.SK[[#This Row],[Starch content]],"")</f>
        <v>8.0158730158730158</v>
      </c>
    </row>
    <row r="5378" spans="1:14">
      <c r="A5378" s="21">
        <v>2025</v>
      </c>
      <c r="B5378" s="21" t="s">
        <v>20</v>
      </c>
      <c r="C5378" s="21" t="s">
        <v>1145</v>
      </c>
      <c r="D5378" s="21" t="s">
        <v>35</v>
      </c>
      <c r="E5378" s="17" t="s">
        <v>155</v>
      </c>
      <c r="F5378" s="18" t="s">
        <v>105</v>
      </c>
      <c r="G5378" s="18" t="s">
        <v>48</v>
      </c>
      <c r="H5378" s="24">
        <v>113030</v>
      </c>
      <c r="I5378" s="24">
        <f>T_reg.root.SK[[#This Row],[Volume, kg]]/1000</f>
        <v>113.03</v>
      </c>
      <c r="J5378" s="25">
        <v>0.247</v>
      </c>
      <c r="K5378" s="25">
        <f t="shared" si="83"/>
        <v>27918.41</v>
      </c>
      <c r="L5378" s="25">
        <v>1.96</v>
      </c>
      <c r="M5378" s="24">
        <v>221951</v>
      </c>
      <c r="N5378" s="25">
        <f>IFERROR(T_reg.root.SK[[#This Row],[Price]]/T_reg.root.SK[[#This Row],[Starch content]],"")</f>
        <v>7.9352226720647776</v>
      </c>
    </row>
    <row r="5379" spans="1:14">
      <c r="A5379" s="21">
        <v>2025</v>
      </c>
      <c r="B5379" s="21" t="s">
        <v>20</v>
      </c>
      <c r="C5379" s="21" t="s">
        <v>1145</v>
      </c>
      <c r="D5379" s="21" t="s">
        <v>35</v>
      </c>
      <c r="E5379" s="17" t="s">
        <v>74</v>
      </c>
      <c r="F5379" s="18" t="s">
        <v>47</v>
      </c>
      <c r="G5379" s="18" t="s">
        <v>48</v>
      </c>
      <c r="H5379" s="24">
        <v>23900</v>
      </c>
      <c r="I5379" s="24">
        <f>T_reg.root.SK[[#This Row],[Volume, kg]]/1000</f>
        <v>23.9</v>
      </c>
      <c r="J5379" s="25">
        <v>0.26</v>
      </c>
      <c r="K5379" s="25">
        <f t="shared" ref="K5379:K5442" si="84">H5379*J5379</f>
        <v>6214</v>
      </c>
      <c r="L5379" s="25">
        <v>2.1</v>
      </c>
      <c r="M5379" s="24">
        <v>50190</v>
      </c>
      <c r="N5379" s="25">
        <f>IFERROR(T_reg.root.SK[[#This Row],[Price]]/T_reg.root.SK[[#This Row],[Starch content]],"")</f>
        <v>8.0769230769230766</v>
      </c>
    </row>
    <row r="5380" spans="1:14">
      <c r="A5380" s="21">
        <v>2025</v>
      </c>
      <c r="B5380" s="21" t="s">
        <v>20</v>
      </c>
      <c r="C5380" s="21" t="s">
        <v>1145</v>
      </c>
      <c r="D5380" s="21" t="s">
        <v>35</v>
      </c>
      <c r="E5380" s="17" t="s">
        <v>992</v>
      </c>
      <c r="F5380" s="18" t="s">
        <v>105</v>
      </c>
      <c r="G5380" s="18" t="s">
        <v>48</v>
      </c>
      <c r="H5380" s="24">
        <v>61490</v>
      </c>
      <c r="I5380" s="24">
        <f>T_reg.root.SK[[#This Row],[Volume, kg]]/1000</f>
        <v>61.49</v>
      </c>
      <c r="J5380" s="25">
        <v>0.27</v>
      </c>
      <c r="K5380" s="25">
        <f t="shared" si="84"/>
        <v>16602.300000000003</v>
      </c>
      <c r="L5380" s="25">
        <v>2.11</v>
      </c>
      <c r="M5380" s="24">
        <v>129575</v>
      </c>
      <c r="N5380" s="25">
        <f>IFERROR(T_reg.root.SK[[#This Row],[Price]]/T_reg.root.SK[[#This Row],[Starch content]],"")</f>
        <v>7.814814814814814</v>
      </c>
    </row>
    <row r="5381" spans="1:14">
      <c r="A5381" s="21">
        <v>2025</v>
      </c>
      <c r="B5381" s="21" t="s">
        <v>20</v>
      </c>
      <c r="C5381" s="21" t="s">
        <v>1145</v>
      </c>
      <c r="D5381" s="21" t="s">
        <v>39</v>
      </c>
      <c r="E5381" s="17" t="s">
        <v>552</v>
      </c>
      <c r="F5381" s="18" t="s">
        <v>95</v>
      </c>
      <c r="G5381" s="18" t="s">
        <v>48</v>
      </c>
      <c r="H5381" s="24">
        <v>8392330</v>
      </c>
      <c r="I5381" s="24">
        <f>T_reg.root.SK[[#This Row],[Volume, kg]]/1000</f>
        <v>8392.33</v>
      </c>
      <c r="J5381" s="25">
        <v>0.26900000000000002</v>
      </c>
      <c r="K5381" s="25">
        <f t="shared" si="84"/>
        <v>2257536.77</v>
      </c>
      <c r="L5381" s="25">
        <v>2.12</v>
      </c>
      <c r="M5381" s="24">
        <v>17807275.5</v>
      </c>
      <c r="N5381" s="25">
        <f>IFERROR(T_reg.root.SK[[#This Row],[Price]]/T_reg.root.SK[[#This Row],[Starch content]],"")</f>
        <v>7.8810408921933082</v>
      </c>
    </row>
    <row r="5382" spans="1:14">
      <c r="A5382" s="21">
        <v>2025</v>
      </c>
      <c r="B5382" s="21" t="s">
        <v>20</v>
      </c>
      <c r="C5382" s="21" t="s">
        <v>1145</v>
      </c>
      <c r="D5382" s="21" t="s">
        <v>35</v>
      </c>
      <c r="E5382" s="17" t="s">
        <v>473</v>
      </c>
      <c r="F5382" s="18" t="s">
        <v>47</v>
      </c>
      <c r="G5382" s="18" t="s">
        <v>48</v>
      </c>
      <c r="H5382" s="24">
        <v>7720</v>
      </c>
      <c r="I5382" s="24">
        <f>T_reg.root.SK[[#This Row],[Volume, kg]]/1000</f>
        <v>7.72</v>
      </c>
      <c r="J5382" s="25">
        <v>0.25800000000000001</v>
      </c>
      <c r="K5382" s="25">
        <f t="shared" si="84"/>
        <v>1991.76</v>
      </c>
      <c r="L5382" s="25">
        <v>2.1</v>
      </c>
      <c r="M5382" s="24">
        <v>16212</v>
      </c>
      <c r="N5382" s="25">
        <f>IFERROR(T_reg.root.SK[[#This Row],[Price]]/T_reg.root.SK[[#This Row],[Starch content]],"")</f>
        <v>8.1395348837209305</v>
      </c>
    </row>
    <row r="5383" spans="1:14">
      <c r="A5383" s="21">
        <v>2025</v>
      </c>
      <c r="B5383" s="21" t="s">
        <v>20</v>
      </c>
      <c r="C5383" s="21" t="s">
        <v>1145</v>
      </c>
      <c r="D5383" s="21" t="s">
        <v>35</v>
      </c>
      <c r="E5383" s="17" t="s">
        <v>704</v>
      </c>
      <c r="F5383" s="18" t="s">
        <v>187</v>
      </c>
      <c r="G5383" s="18" t="s">
        <v>48</v>
      </c>
      <c r="H5383" s="24">
        <v>44860</v>
      </c>
      <c r="I5383" s="24">
        <f>T_reg.root.SK[[#This Row],[Volume, kg]]/1000</f>
        <v>44.86</v>
      </c>
      <c r="J5383" s="25">
        <v>0.24399999999999999</v>
      </c>
      <c r="K5383" s="25">
        <f t="shared" si="84"/>
        <v>10945.84</v>
      </c>
      <c r="L5383" s="25">
        <v>1.98</v>
      </c>
      <c r="M5383" s="24">
        <v>88740</v>
      </c>
      <c r="N5383" s="25">
        <f>IFERROR(T_reg.root.SK[[#This Row],[Price]]/T_reg.root.SK[[#This Row],[Starch content]],"")</f>
        <v>8.1147540983606561</v>
      </c>
    </row>
    <row r="5384" spans="1:14">
      <c r="A5384" s="21">
        <v>2025</v>
      </c>
      <c r="B5384" s="21" t="s">
        <v>20</v>
      </c>
      <c r="C5384" s="21" t="s">
        <v>1145</v>
      </c>
      <c r="D5384" s="21" t="s">
        <v>35</v>
      </c>
      <c r="E5384" s="17" t="s">
        <v>210</v>
      </c>
      <c r="F5384" s="18" t="s">
        <v>187</v>
      </c>
      <c r="G5384" s="18" t="s">
        <v>48</v>
      </c>
      <c r="H5384" s="24">
        <v>43700</v>
      </c>
      <c r="I5384" s="24">
        <f>T_reg.root.SK[[#This Row],[Volume, kg]]/1000</f>
        <v>43.7</v>
      </c>
      <c r="J5384" s="25">
        <v>0.247</v>
      </c>
      <c r="K5384" s="25">
        <f t="shared" si="84"/>
        <v>10793.9</v>
      </c>
      <c r="L5384" s="25">
        <v>1.99</v>
      </c>
      <c r="M5384" s="24">
        <v>86920</v>
      </c>
      <c r="N5384" s="25">
        <f>IFERROR(T_reg.root.SK[[#This Row],[Price]]/T_reg.root.SK[[#This Row],[Starch content]],"")</f>
        <v>8.0566801619433193</v>
      </c>
    </row>
    <row r="5385" spans="1:14">
      <c r="A5385" s="21">
        <v>2025</v>
      </c>
      <c r="B5385" s="21" t="s">
        <v>20</v>
      </c>
      <c r="C5385" s="21" t="s">
        <v>1145</v>
      </c>
      <c r="D5385" s="21" t="s">
        <v>35</v>
      </c>
      <c r="E5385" s="17" t="s">
        <v>934</v>
      </c>
      <c r="F5385" s="18" t="s">
        <v>105</v>
      </c>
      <c r="G5385" s="18" t="s">
        <v>48</v>
      </c>
      <c r="H5385" s="24">
        <v>164070</v>
      </c>
      <c r="I5385" s="24">
        <f>T_reg.root.SK[[#This Row],[Volume, kg]]/1000</f>
        <v>164.07</v>
      </c>
      <c r="J5385" s="25">
        <v>0.23400000000000001</v>
      </c>
      <c r="K5385" s="25">
        <f t="shared" si="84"/>
        <v>38392.380000000005</v>
      </c>
      <c r="L5385" s="25">
        <v>1.92</v>
      </c>
      <c r="M5385" s="24">
        <v>315681</v>
      </c>
      <c r="N5385" s="25">
        <f>IFERROR(T_reg.root.SK[[#This Row],[Price]]/T_reg.root.SK[[#This Row],[Starch content]],"")</f>
        <v>8.2051282051282044</v>
      </c>
    </row>
    <row r="5386" spans="1:14">
      <c r="A5386" s="21">
        <v>2025</v>
      </c>
      <c r="B5386" s="21" t="s">
        <v>20</v>
      </c>
      <c r="C5386" s="21" t="s">
        <v>1145</v>
      </c>
      <c r="D5386" s="21" t="s">
        <v>35</v>
      </c>
      <c r="E5386" s="17" t="s">
        <v>159</v>
      </c>
      <c r="F5386" s="18" t="s">
        <v>105</v>
      </c>
      <c r="G5386" s="18" t="s">
        <v>48</v>
      </c>
      <c r="H5386" s="24">
        <v>516630</v>
      </c>
      <c r="I5386" s="24">
        <f>T_reg.root.SK[[#This Row],[Volume, kg]]/1000</f>
        <v>516.63</v>
      </c>
      <c r="J5386" s="25">
        <v>0.254</v>
      </c>
      <c r="K5386" s="25">
        <f t="shared" si="84"/>
        <v>131224.01999999999</v>
      </c>
      <c r="L5386" s="25">
        <v>2.0099999999999998</v>
      </c>
      <c r="M5386" s="24">
        <v>1039548.5</v>
      </c>
      <c r="N5386" s="25">
        <f>IFERROR(T_reg.root.SK[[#This Row],[Price]]/T_reg.root.SK[[#This Row],[Starch content]],"")</f>
        <v>7.9133858267716528</v>
      </c>
    </row>
    <row r="5387" spans="1:14">
      <c r="A5387" s="21">
        <v>2025</v>
      </c>
      <c r="B5387" s="21" t="s">
        <v>20</v>
      </c>
      <c r="C5387" s="21" t="s">
        <v>1145</v>
      </c>
      <c r="D5387" s="21" t="s">
        <v>35</v>
      </c>
      <c r="E5387" s="17" t="s">
        <v>75</v>
      </c>
      <c r="F5387" s="18" t="s">
        <v>47</v>
      </c>
      <c r="G5387" s="18" t="s">
        <v>48</v>
      </c>
      <c r="H5387" s="24">
        <v>31640</v>
      </c>
      <c r="I5387" s="24">
        <f>T_reg.root.SK[[#This Row],[Volume, kg]]/1000</f>
        <v>31.64</v>
      </c>
      <c r="J5387" s="25">
        <v>0.26500000000000001</v>
      </c>
      <c r="K5387" s="25">
        <f t="shared" si="84"/>
        <v>8384.6</v>
      </c>
      <c r="L5387" s="25">
        <v>2.12</v>
      </c>
      <c r="M5387" s="24">
        <v>67140.5</v>
      </c>
      <c r="N5387" s="25">
        <f>IFERROR(T_reg.root.SK[[#This Row],[Price]]/T_reg.root.SK[[#This Row],[Starch content]],"")</f>
        <v>8</v>
      </c>
    </row>
    <row r="5388" spans="1:14">
      <c r="A5388" s="21">
        <v>2025</v>
      </c>
      <c r="B5388" s="21" t="s">
        <v>20</v>
      </c>
      <c r="C5388" s="21" t="s">
        <v>1145</v>
      </c>
      <c r="D5388" s="21" t="s">
        <v>35</v>
      </c>
      <c r="E5388" s="17" t="s">
        <v>255</v>
      </c>
      <c r="F5388" s="18" t="s">
        <v>105</v>
      </c>
      <c r="G5388" s="18" t="s">
        <v>48</v>
      </c>
      <c r="H5388" s="24">
        <v>63790</v>
      </c>
      <c r="I5388" s="24">
        <f>T_reg.root.SK[[#This Row],[Volume, kg]]/1000</f>
        <v>63.79</v>
      </c>
      <c r="J5388" s="25">
        <v>0.30199999999999999</v>
      </c>
      <c r="K5388" s="25">
        <f t="shared" si="84"/>
        <v>19264.579999999998</v>
      </c>
      <c r="L5388" s="25">
        <v>2.2599999999999998</v>
      </c>
      <c r="M5388" s="24">
        <v>144367</v>
      </c>
      <c r="N5388" s="25">
        <f>IFERROR(T_reg.root.SK[[#This Row],[Price]]/T_reg.root.SK[[#This Row],[Starch content]],"")</f>
        <v>7.4834437086092711</v>
      </c>
    </row>
    <row r="5389" spans="1:14">
      <c r="A5389" s="21">
        <v>2025</v>
      </c>
      <c r="B5389" s="21" t="s">
        <v>20</v>
      </c>
      <c r="C5389" s="21" t="s">
        <v>1145</v>
      </c>
      <c r="D5389" s="21" t="s">
        <v>35</v>
      </c>
      <c r="E5389" s="17" t="s">
        <v>211</v>
      </c>
      <c r="F5389" s="18" t="s">
        <v>187</v>
      </c>
      <c r="G5389" s="18" t="s">
        <v>48</v>
      </c>
      <c r="H5389" s="24">
        <v>202210</v>
      </c>
      <c r="I5389" s="24">
        <f>T_reg.root.SK[[#This Row],[Volume, kg]]/1000</f>
        <v>202.21</v>
      </c>
      <c r="J5389" s="25">
        <v>0.25800000000000001</v>
      </c>
      <c r="K5389" s="25">
        <f t="shared" si="84"/>
        <v>52170.18</v>
      </c>
      <c r="L5389" s="25">
        <v>2.0299999999999998</v>
      </c>
      <c r="M5389" s="24">
        <v>410752.5</v>
      </c>
      <c r="N5389" s="25">
        <f>IFERROR(T_reg.root.SK[[#This Row],[Price]]/T_reg.root.SK[[#This Row],[Starch content]],"")</f>
        <v>7.8682170542635648</v>
      </c>
    </row>
    <row r="5390" spans="1:14">
      <c r="A5390" s="21">
        <v>2025</v>
      </c>
      <c r="B5390" s="21" t="s">
        <v>20</v>
      </c>
      <c r="C5390" s="21" t="s">
        <v>1145</v>
      </c>
      <c r="D5390" s="21" t="s">
        <v>35</v>
      </c>
      <c r="E5390" s="17" t="s">
        <v>721</v>
      </c>
      <c r="F5390" s="18" t="s">
        <v>105</v>
      </c>
      <c r="G5390" s="18" t="s">
        <v>48</v>
      </c>
      <c r="H5390" s="24">
        <v>97800</v>
      </c>
      <c r="I5390" s="24">
        <f>T_reg.root.SK[[#This Row],[Volume, kg]]/1000</f>
        <v>97.8</v>
      </c>
      <c r="J5390" s="25">
        <v>0.20899999999999999</v>
      </c>
      <c r="K5390" s="25">
        <f t="shared" si="84"/>
        <v>20440.2</v>
      </c>
      <c r="L5390" s="25">
        <v>1.75</v>
      </c>
      <c r="M5390" s="24">
        <v>170701.5</v>
      </c>
      <c r="N5390" s="25">
        <f>IFERROR(T_reg.root.SK[[#This Row],[Price]]/T_reg.root.SK[[#This Row],[Starch content]],"")</f>
        <v>8.3732057416267942</v>
      </c>
    </row>
    <row r="5391" spans="1:14">
      <c r="A5391" s="21">
        <v>2025</v>
      </c>
      <c r="B5391" s="21" t="s">
        <v>20</v>
      </c>
      <c r="C5391" s="21" t="s">
        <v>1145</v>
      </c>
      <c r="D5391" s="21" t="s">
        <v>35</v>
      </c>
      <c r="E5391" s="17" t="s">
        <v>161</v>
      </c>
      <c r="F5391" s="18" t="s">
        <v>105</v>
      </c>
      <c r="G5391" s="18" t="s">
        <v>48</v>
      </c>
      <c r="H5391" s="24">
        <v>181030</v>
      </c>
      <c r="I5391" s="24">
        <f>T_reg.root.SK[[#This Row],[Volume, kg]]/1000</f>
        <v>181.03</v>
      </c>
      <c r="J5391" s="25">
        <v>0.22500000000000001</v>
      </c>
      <c r="K5391" s="25">
        <f t="shared" si="84"/>
        <v>40731.75</v>
      </c>
      <c r="L5391" s="25">
        <v>1.85</v>
      </c>
      <c r="M5391" s="24">
        <v>335402.5</v>
      </c>
      <c r="N5391" s="25">
        <f>IFERROR(T_reg.root.SK[[#This Row],[Price]]/T_reg.root.SK[[#This Row],[Starch content]],"")</f>
        <v>8.2222222222222232</v>
      </c>
    </row>
    <row r="5392" spans="1:14">
      <c r="A5392" s="21">
        <v>2025</v>
      </c>
      <c r="B5392" s="21" t="s">
        <v>20</v>
      </c>
      <c r="C5392" s="21" t="s">
        <v>1145</v>
      </c>
      <c r="D5392" s="21" t="s">
        <v>35</v>
      </c>
      <c r="E5392" s="17" t="s">
        <v>162</v>
      </c>
      <c r="F5392" s="18" t="s">
        <v>105</v>
      </c>
      <c r="G5392" s="18" t="s">
        <v>48</v>
      </c>
      <c r="H5392" s="24">
        <v>20830</v>
      </c>
      <c r="I5392" s="24">
        <f>T_reg.root.SK[[#This Row],[Volume, kg]]/1000</f>
        <v>20.83</v>
      </c>
      <c r="J5392" s="25">
        <v>0.22800000000000001</v>
      </c>
      <c r="K5392" s="25">
        <f t="shared" si="84"/>
        <v>4749.24</v>
      </c>
      <c r="L5392" s="25">
        <v>1.95</v>
      </c>
      <c r="M5392" s="24">
        <v>40697.5</v>
      </c>
      <c r="N5392" s="25">
        <f>IFERROR(T_reg.root.SK[[#This Row],[Price]]/T_reg.root.SK[[#This Row],[Starch content]],"")</f>
        <v>8.5526315789473681</v>
      </c>
    </row>
    <row r="5393" spans="1:14">
      <c r="A5393" s="21">
        <v>2025</v>
      </c>
      <c r="B5393" s="21" t="s">
        <v>20</v>
      </c>
      <c r="C5393" s="21" t="s">
        <v>1145</v>
      </c>
      <c r="D5393" s="21" t="s">
        <v>35</v>
      </c>
      <c r="E5393" s="17" t="s">
        <v>163</v>
      </c>
      <c r="F5393" s="18" t="s">
        <v>105</v>
      </c>
      <c r="G5393" s="18" t="s">
        <v>48</v>
      </c>
      <c r="H5393" s="24">
        <v>78270</v>
      </c>
      <c r="I5393" s="24">
        <f>T_reg.root.SK[[#This Row],[Volume, kg]]/1000</f>
        <v>78.27</v>
      </c>
      <c r="J5393" s="25">
        <v>0.27700000000000002</v>
      </c>
      <c r="K5393" s="25">
        <f t="shared" si="84"/>
        <v>21680.79</v>
      </c>
      <c r="L5393" s="25">
        <v>2.17</v>
      </c>
      <c r="M5393" s="24">
        <v>169471.5</v>
      </c>
      <c r="N5393" s="25">
        <f>IFERROR(T_reg.root.SK[[#This Row],[Price]]/T_reg.root.SK[[#This Row],[Starch content]],"")</f>
        <v>7.8339350180505409</v>
      </c>
    </row>
    <row r="5394" spans="1:14">
      <c r="A5394" s="21">
        <v>2025</v>
      </c>
      <c r="B5394" s="21" t="s">
        <v>20</v>
      </c>
      <c r="C5394" s="21" t="s">
        <v>1145</v>
      </c>
      <c r="D5394" s="21" t="s">
        <v>35</v>
      </c>
      <c r="E5394" s="17" t="s">
        <v>165</v>
      </c>
      <c r="F5394" s="18" t="s">
        <v>105</v>
      </c>
      <c r="G5394" s="18" t="s">
        <v>48</v>
      </c>
      <c r="H5394" s="24">
        <v>37280</v>
      </c>
      <c r="I5394" s="24">
        <f>T_reg.root.SK[[#This Row],[Volume, kg]]/1000</f>
        <v>37.28</v>
      </c>
      <c r="J5394" s="25">
        <v>0.26600000000000001</v>
      </c>
      <c r="K5394" s="25">
        <f t="shared" si="84"/>
        <v>9916.4800000000014</v>
      </c>
      <c r="L5394" s="25">
        <v>1.99</v>
      </c>
      <c r="M5394" s="24">
        <v>74152.5</v>
      </c>
      <c r="N5394" s="25">
        <f>IFERROR(T_reg.root.SK[[#This Row],[Price]]/T_reg.root.SK[[#This Row],[Starch content]],"")</f>
        <v>7.481203007518797</v>
      </c>
    </row>
    <row r="5395" spans="1:14">
      <c r="A5395" s="21">
        <v>2025</v>
      </c>
      <c r="B5395" s="21" t="s">
        <v>20</v>
      </c>
      <c r="C5395" s="21" t="s">
        <v>1145</v>
      </c>
      <c r="D5395" s="21" t="s">
        <v>35</v>
      </c>
      <c r="E5395" s="17" t="s">
        <v>739</v>
      </c>
      <c r="F5395" s="18" t="s">
        <v>105</v>
      </c>
      <c r="G5395" s="18" t="s">
        <v>48</v>
      </c>
      <c r="H5395" s="24">
        <v>55800</v>
      </c>
      <c r="I5395" s="24">
        <f>T_reg.root.SK[[#This Row],[Volume, kg]]/1000</f>
        <v>55.8</v>
      </c>
      <c r="J5395" s="25">
        <v>0.247</v>
      </c>
      <c r="K5395" s="25">
        <f t="shared" si="84"/>
        <v>13782.6</v>
      </c>
      <c r="L5395" s="25">
        <v>2.04</v>
      </c>
      <c r="M5395" s="24">
        <v>113918.5</v>
      </c>
      <c r="N5395" s="25">
        <f>IFERROR(T_reg.root.SK[[#This Row],[Price]]/T_reg.root.SK[[#This Row],[Starch content]],"")</f>
        <v>8.2591093117408914</v>
      </c>
    </row>
    <row r="5396" spans="1:14">
      <c r="A5396" s="21">
        <v>2025</v>
      </c>
      <c r="B5396" s="21" t="s">
        <v>20</v>
      </c>
      <c r="C5396" s="21" t="s">
        <v>1145</v>
      </c>
      <c r="D5396" s="21" t="s">
        <v>35</v>
      </c>
      <c r="E5396" s="17" t="s">
        <v>503</v>
      </c>
      <c r="F5396" s="18" t="s">
        <v>105</v>
      </c>
      <c r="G5396" s="18" t="s">
        <v>48</v>
      </c>
      <c r="H5396" s="24">
        <v>14810</v>
      </c>
      <c r="I5396" s="24">
        <f>T_reg.root.SK[[#This Row],[Volume, kg]]/1000</f>
        <v>14.81</v>
      </c>
      <c r="J5396" s="25">
        <v>0.27700000000000002</v>
      </c>
      <c r="K5396" s="25">
        <f t="shared" si="84"/>
        <v>4102.3700000000008</v>
      </c>
      <c r="L5396" s="25">
        <v>2.12</v>
      </c>
      <c r="M5396" s="24">
        <v>31344</v>
      </c>
      <c r="N5396" s="25">
        <f>IFERROR(T_reg.root.SK[[#This Row],[Price]]/T_reg.root.SK[[#This Row],[Starch content]],"")</f>
        <v>7.6534296028880862</v>
      </c>
    </row>
    <row r="5397" spans="1:14">
      <c r="A5397" s="21">
        <v>2025</v>
      </c>
      <c r="B5397" s="21" t="s">
        <v>20</v>
      </c>
      <c r="C5397" s="21" t="s">
        <v>1145</v>
      </c>
      <c r="D5397" s="21" t="s">
        <v>35</v>
      </c>
      <c r="E5397" s="17" t="s">
        <v>170</v>
      </c>
      <c r="F5397" s="18" t="s">
        <v>105</v>
      </c>
      <c r="G5397" s="18" t="s">
        <v>48</v>
      </c>
      <c r="H5397" s="24">
        <v>23000</v>
      </c>
      <c r="I5397" s="24">
        <f>T_reg.root.SK[[#This Row],[Volume, kg]]/1000</f>
        <v>23</v>
      </c>
      <c r="J5397" s="25">
        <v>0.23499999999999999</v>
      </c>
      <c r="K5397" s="25">
        <f t="shared" si="84"/>
        <v>5405</v>
      </c>
      <c r="L5397" s="25">
        <v>1.9</v>
      </c>
      <c r="M5397" s="24">
        <v>43698.5</v>
      </c>
      <c r="N5397" s="25">
        <f>IFERROR(T_reg.root.SK[[#This Row],[Price]]/T_reg.root.SK[[#This Row],[Starch content]],"")</f>
        <v>8.085106382978724</v>
      </c>
    </row>
    <row r="5398" spans="1:14">
      <c r="A5398" s="21">
        <v>2025</v>
      </c>
      <c r="B5398" s="21" t="s">
        <v>20</v>
      </c>
      <c r="C5398" s="21" t="s">
        <v>1145</v>
      </c>
      <c r="D5398" s="21" t="s">
        <v>35</v>
      </c>
      <c r="E5398" s="17" t="s">
        <v>722</v>
      </c>
      <c r="F5398" s="18" t="s">
        <v>105</v>
      </c>
      <c r="G5398" s="18" t="s">
        <v>48</v>
      </c>
      <c r="H5398" s="24">
        <v>19180</v>
      </c>
      <c r="I5398" s="24">
        <f>T_reg.root.SK[[#This Row],[Volume, kg]]/1000</f>
        <v>19.18</v>
      </c>
      <c r="J5398" s="25">
        <v>0.25</v>
      </c>
      <c r="K5398" s="25">
        <f t="shared" si="84"/>
        <v>4795</v>
      </c>
      <c r="L5398" s="25">
        <v>2.0299999999999998</v>
      </c>
      <c r="M5398" s="24">
        <v>38922</v>
      </c>
      <c r="N5398" s="25">
        <f>IFERROR(T_reg.root.SK[[#This Row],[Price]]/T_reg.root.SK[[#This Row],[Starch content]],"")</f>
        <v>8.1199999999999992</v>
      </c>
    </row>
    <row r="5399" spans="1:14">
      <c r="A5399" s="21">
        <v>2025</v>
      </c>
      <c r="B5399" s="21" t="s">
        <v>20</v>
      </c>
      <c r="C5399" s="21" t="s">
        <v>1145</v>
      </c>
      <c r="D5399" s="21" t="s">
        <v>35</v>
      </c>
      <c r="E5399" s="17" t="s">
        <v>214</v>
      </c>
      <c r="F5399" s="18" t="s">
        <v>187</v>
      </c>
      <c r="G5399" s="18" t="s">
        <v>48</v>
      </c>
      <c r="H5399" s="24">
        <v>91620</v>
      </c>
      <c r="I5399" s="24">
        <f>T_reg.root.SK[[#This Row],[Volume, kg]]/1000</f>
        <v>91.62</v>
      </c>
      <c r="J5399" s="25">
        <v>0.25600000000000001</v>
      </c>
      <c r="K5399" s="25">
        <f t="shared" si="84"/>
        <v>23454.720000000001</v>
      </c>
      <c r="L5399" s="25">
        <v>2.0699999999999998</v>
      </c>
      <c r="M5399" s="24">
        <v>189880</v>
      </c>
      <c r="N5399" s="25">
        <f>IFERROR(T_reg.root.SK[[#This Row],[Price]]/T_reg.root.SK[[#This Row],[Starch content]],"")</f>
        <v>8.0859375</v>
      </c>
    </row>
    <row r="5400" spans="1:14">
      <c r="A5400" s="21">
        <v>2025</v>
      </c>
      <c r="B5400" s="21" t="s">
        <v>20</v>
      </c>
      <c r="C5400" s="21" t="s">
        <v>1145</v>
      </c>
      <c r="D5400" s="21" t="s">
        <v>35</v>
      </c>
      <c r="E5400" s="17" t="s">
        <v>321</v>
      </c>
      <c r="F5400" s="18" t="s">
        <v>105</v>
      </c>
      <c r="G5400" s="18" t="s">
        <v>48</v>
      </c>
      <c r="H5400" s="24">
        <v>82240</v>
      </c>
      <c r="I5400" s="24">
        <f>T_reg.root.SK[[#This Row],[Volume, kg]]/1000</f>
        <v>82.24</v>
      </c>
      <c r="J5400" s="25">
        <v>0.26800000000000002</v>
      </c>
      <c r="K5400" s="25">
        <f t="shared" si="84"/>
        <v>22040.32</v>
      </c>
      <c r="L5400" s="25">
        <v>2.1</v>
      </c>
      <c r="M5400" s="24">
        <v>173076</v>
      </c>
      <c r="N5400" s="25">
        <f>IFERROR(T_reg.root.SK[[#This Row],[Price]]/T_reg.root.SK[[#This Row],[Starch content]],"")</f>
        <v>7.8358208955223878</v>
      </c>
    </row>
    <row r="5401" spans="1:14">
      <c r="A5401" s="21">
        <v>2025</v>
      </c>
      <c r="B5401" s="21" t="s">
        <v>20</v>
      </c>
      <c r="C5401" s="21" t="s">
        <v>1145</v>
      </c>
      <c r="D5401" s="21" t="s">
        <v>35</v>
      </c>
      <c r="E5401" s="17" t="s">
        <v>173</v>
      </c>
      <c r="F5401" s="18" t="s">
        <v>105</v>
      </c>
      <c r="G5401" s="18" t="s">
        <v>48</v>
      </c>
      <c r="H5401" s="24">
        <v>51130</v>
      </c>
      <c r="I5401" s="24">
        <f>T_reg.root.SK[[#This Row],[Volume, kg]]/1000</f>
        <v>51.13</v>
      </c>
      <c r="J5401" s="25">
        <v>0.248</v>
      </c>
      <c r="K5401" s="25">
        <f t="shared" si="84"/>
        <v>12680.24</v>
      </c>
      <c r="L5401" s="25">
        <v>1.97</v>
      </c>
      <c r="M5401" s="24">
        <v>100955</v>
      </c>
      <c r="N5401" s="25">
        <f>IFERROR(T_reg.root.SK[[#This Row],[Price]]/T_reg.root.SK[[#This Row],[Starch content]],"")</f>
        <v>7.943548387096774</v>
      </c>
    </row>
    <row r="5402" spans="1:14">
      <c r="A5402" s="21">
        <v>2025</v>
      </c>
      <c r="B5402" s="21" t="s">
        <v>20</v>
      </c>
      <c r="C5402" s="21" t="s">
        <v>1145</v>
      </c>
      <c r="D5402" s="21" t="s">
        <v>35</v>
      </c>
      <c r="E5402" s="17" t="s">
        <v>324</v>
      </c>
      <c r="F5402" s="18" t="s">
        <v>105</v>
      </c>
      <c r="G5402" s="18" t="s">
        <v>48</v>
      </c>
      <c r="H5402" s="24">
        <v>29170</v>
      </c>
      <c r="I5402" s="24">
        <f>T_reg.root.SK[[#This Row],[Volume, kg]]/1000</f>
        <v>29.17</v>
      </c>
      <c r="J5402" s="25">
        <v>0.23799999999999999</v>
      </c>
      <c r="K5402" s="25">
        <f t="shared" si="84"/>
        <v>6942.46</v>
      </c>
      <c r="L5402" s="25">
        <v>1.91</v>
      </c>
      <c r="M5402" s="24">
        <v>55820.5</v>
      </c>
      <c r="N5402" s="25">
        <f>IFERROR(T_reg.root.SK[[#This Row],[Price]]/T_reg.root.SK[[#This Row],[Starch content]],"")</f>
        <v>8.0252100840336134</v>
      </c>
    </row>
    <row r="5403" spans="1:14">
      <c r="A5403" s="21">
        <v>2025</v>
      </c>
      <c r="B5403" s="21" t="s">
        <v>20</v>
      </c>
      <c r="C5403" s="21" t="s">
        <v>1145</v>
      </c>
      <c r="D5403" s="21" t="s">
        <v>35</v>
      </c>
      <c r="E5403" s="17" t="s">
        <v>828</v>
      </c>
      <c r="F5403" s="18" t="s">
        <v>105</v>
      </c>
      <c r="G5403" s="18" t="s">
        <v>48</v>
      </c>
      <c r="H5403" s="24">
        <v>61280</v>
      </c>
      <c r="I5403" s="24">
        <f>T_reg.root.SK[[#This Row],[Volume, kg]]/1000</f>
        <v>61.28</v>
      </c>
      <c r="J5403" s="25">
        <v>0.26800000000000002</v>
      </c>
      <c r="K5403" s="25">
        <f t="shared" si="84"/>
        <v>16423.04</v>
      </c>
      <c r="L5403" s="25">
        <v>2.1</v>
      </c>
      <c r="M5403" s="24">
        <v>128547.5</v>
      </c>
      <c r="N5403" s="25">
        <f>IFERROR(T_reg.root.SK[[#This Row],[Price]]/T_reg.root.SK[[#This Row],[Starch content]],"")</f>
        <v>7.8358208955223878</v>
      </c>
    </row>
    <row r="5404" spans="1:14">
      <c r="A5404" s="21">
        <v>2025</v>
      </c>
      <c r="B5404" s="21" t="s">
        <v>20</v>
      </c>
      <c r="C5404" s="21" t="s">
        <v>1145</v>
      </c>
      <c r="D5404" s="21" t="s">
        <v>35</v>
      </c>
      <c r="E5404" s="17" t="s">
        <v>936</v>
      </c>
      <c r="F5404" s="18" t="s">
        <v>105</v>
      </c>
      <c r="G5404" s="18" t="s">
        <v>48</v>
      </c>
      <c r="H5404" s="24">
        <v>21170</v>
      </c>
      <c r="I5404" s="24">
        <f>T_reg.root.SK[[#This Row],[Volume, kg]]/1000</f>
        <v>21.17</v>
      </c>
      <c r="J5404" s="25">
        <v>0.25800000000000001</v>
      </c>
      <c r="K5404" s="25">
        <f t="shared" si="84"/>
        <v>5461.8600000000006</v>
      </c>
      <c r="L5404" s="25">
        <v>2.0699999999999998</v>
      </c>
      <c r="M5404" s="24">
        <v>43892.5</v>
      </c>
      <c r="N5404" s="25">
        <f>IFERROR(T_reg.root.SK[[#This Row],[Price]]/T_reg.root.SK[[#This Row],[Starch content]],"")</f>
        <v>8.0232558139534884</v>
      </c>
    </row>
    <row r="5405" spans="1:14">
      <c r="A5405" s="21">
        <v>2025</v>
      </c>
      <c r="B5405" s="21" t="s">
        <v>20</v>
      </c>
      <c r="C5405" s="21" t="s">
        <v>1145</v>
      </c>
      <c r="D5405" s="21" t="s">
        <v>35</v>
      </c>
      <c r="E5405" s="17" t="s">
        <v>937</v>
      </c>
      <c r="F5405" s="18" t="s">
        <v>105</v>
      </c>
      <c r="G5405" s="18" t="s">
        <v>48</v>
      </c>
      <c r="H5405" s="24">
        <v>20610</v>
      </c>
      <c r="I5405" s="24">
        <f>T_reg.root.SK[[#This Row],[Volume, kg]]/1000</f>
        <v>20.61</v>
      </c>
      <c r="J5405" s="25">
        <v>0.22</v>
      </c>
      <c r="K5405" s="25">
        <f t="shared" si="84"/>
        <v>4534.2</v>
      </c>
      <c r="L5405" s="25">
        <v>1.75</v>
      </c>
      <c r="M5405" s="24">
        <v>36067.5</v>
      </c>
      <c r="N5405" s="25">
        <f>IFERROR(T_reg.root.SK[[#This Row],[Price]]/T_reg.root.SK[[#This Row],[Starch content]],"")</f>
        <v>7.9545454545454541</v>
      </c>
    </row>
    <row r="5406" spans="1:14">
      <c r="A5406" s="21">
        <v>2025</v>
      </c>
      <c r="B5406" s="21" t="s">
        <v>20</v>
      </c>
      <c r="C5406" s="21" t="s">
        <v>1145</v>
      </c>
      <c r="D5406" s="21" t="s">
        <v>35</v>
      </c>
      <c r="E5406" s="17" t="s">
        <v>938</v>
      </c>
      <c r="F5406" s="18" t="s">
        <v>105</v>
      </c>
      <c r="G5406" s="18" t="s">
        <v>48</v>
      </c>
      <c r="H5406" s="24">
        <v>315400</v>
      </c>
      <c r="I5406" s="24">
        <f>T_reg.root.SK[[#This Row],[Volume, kg]]/1000</f>
        <v>315.39999999999998</v>
      </c>
      <c r="J5406" s="25">
        <v>0.24199999999999999</v>
      </c>
      <c r="K5406" s="25">
        <f t="shared" si="84"/>
        <v>76326.8</v>
      </c>
      <c r="L5406" s="25">
        <v>1.94</v>
      </c>
      <c r="M5406" s="24">
        <v>611148</v>
      </c>
      <c r="N5406" s="25">
        <f>IFERROR(T_reg.root.SK[[#This Row],[Price]]/T_reg.root.SK[[#This Row],[Starch content]],"")</f>
        <v>8.0165289256198342</v>
      </c>
    </row>
    <row r="5407" spans="1:14">
      <c r="A5407" s="21">
        <v>2025</v>
      </c>
      <c r="B5407" s="21" t="s">
        <v>20</v>
      </c>
      <c r="C5407" s="21" t="s">
        <v>1145</v>
      </c>
      <c r="D5407" s="21" t="s">
        <v>35</v>
      </c>
      <c r="E5407" s="17" t="s">
        <v>942</v>
      </c>
      <c r="F5407" s="18" t="s">
        <v>47</v>
      </c>
      <c r="G5407" s="18" t="s">
        <v>48</v>
      </c>
      <c r="H5407" s="24">
        <v>10620</v>
      </c>
      <c r="I5407" s="24">
        <f>T_reg.root.SK[[#This Row],[Volume, kg]]/1000</f>
        <v>10.62</v>
      </c>
      <c r="J5407" s="25">
        <v>0.185</v>
      </c>
      <c r="K5407" s="25">
        <f t="shared" si="84"/>
        <v>1964.7</v>
      </c>
      <c r="L5407" s="25">
        <v>1.65</v>
      </c>
      <c r="M5407" s="24">
        <v>17523</v>
      </c>
      <c r="N5407" s="25">
        <f>IFERROR(T_reg.root.SK[[#This Row],[Price]]/T_reg.root.SK[[#This Row],[Starch content]],"")</f>
        <v>8.9189189189189193</v>
      </c>
    </row>
    <row r="5408" spans="1:14">
      <c r="A5408" s="21">
        <v>2025</v>
      </c>
      <c r="B5408" s="21" t="s">
        <v>20</v>
      </c>
      <c r="C5408" s="21" t="s">
        <v>1145</v>
      </c>
      <c r="D5408" s="21" t="s">
        <v>35</v>
      </c>
      <c r="E5408" s="17" t="s">
        <v>968</v>
      </c>
      <c r="F5408" s="18" t="s">
        <v>105</v>
      </c>
      <c r="G5408" s="18" t="s">
        <v>48</v>
      </c>
      <c r="H5408" s="24">
        <v>14050</v>
      </c>
      <c r="I5408" s="24">
        <f>T_reg.root.SK[[#This Row],[Volume, kg]]/1000</f>
        <v>14.05</v>
      </c>
      <c r="J5408" s="25">
        <v>0.26300000000000001</v>
      </c>
      <c r="K5408" s="25">
        <f t="shared" si="84"/>
        <v>3695.15</v>
      </c>
      <c r="L5408" s="25">
        <v>2.0499999999999998</v>
      </c>
      <c r="M5408" s="24">
        <v>28860</v>
      </c>
      <c r="N5408" s="25">
        <f>IFERROR(T_reg.root.SK[[#This Row],[Price]]/T_reg.root.SK[[#This Row],[Starch content]],"")</f>
        <v>7.7946768060836495</v>
      </c>
    </row>
    <row r="5409" spans="1:14">
      <c r="A5409" s="21">
        <v>2025</v>
      </c>
      <c r="B5409" s="21" t="s">
        <v>20</v>
      </c>
      <c r="C5409" s="21" t="s">
        <v>1145</v>
      </c>
      <c r="D5409" s="21" t="s">
        <v>35</v>
      </c>
      <c r="E5409" s="17" t="s">
        <v>980</v>
      </c>
      <c r="F5409" s="18" t="s">
        <v>105</v>
      </c>
      <c r="G5409" s="18" t="s">
        <v>48</v>
      </c>
      <c r="H5409" s="24">
        <v>49730</v>
      </c>
      <c r="I5409" s="24">
        <f>T_reg.root.SK[[#This Row],[Volume, kg]]/1000</f>
        <v>49.73</v>
      </c>
      <c r="J5409" s="25">
        <v>0.25900000000000001</v>
      </c>
      <c r="K5409" s="25">
        <f t="shared" si="84"/>
        <v>12880.07</v>
      </c>
      <c r="L5409" s="25">
        <v>2.06</v>
      </c>
      <c r="M5409" s="24">
        <v>102490.5</v>
      </c>
      <c r="N5409" s="25">
        <f>IFERROR(T_reg.root.SK[[#This Row],[Price]]/T_reg.root.SK[[#This Row],[Starch content]],"")</f>
        <v>7.9536679536679538</v>
      </c>
    </row>
    <row r="5410" spans="1:14">
      <c r="A5410" s="21">
        <v>2025</v>
      </c>
      <c r="B5410" s="21" t="s">
        <v>20</v>
      </c>
      <c r="C5410" s="21" t="s">
        <v>1145</v>
      </c>
      <c r="D5410" s="21" t="s">
        <v>35</v>
      </c>
      <c r="E5410" s="17" t="s">
        <v>981</v>
      </c>
      <c r="F5410" s="18" t="s">
        <v>105</v>
      </c>
      <c r="G5410" s="18" t="s">
        <v>48</v>
      </c>
      <c r="H5410" s="24">
        <v>53130</v>
      </c>
      <c r="I5410" s="24">
        <f>T_reg.root.SK[[#This Row],[Volume, kg]]/1000</f>
        <v>53.13</v>
      </c>
      <c r="J5410" s="25">
        <v>0.24299999999999999</v>
      </c>
      <c r="K5410" s="25">
        <f t="shared" si="84"/>
        <v>12910.59</v>
      </c>
      <c r="L5410" s="25">
        <v>1.99</v>
      </c>
      <c r="M5410" s="24">
        <v>105737</v>
      </c>
      <c r="N5410" s="25">
        <f>IFERROR(T_reg.root.SK[[#This Row],[Price]]/T_reg.root.SK[[#This Row],[Starch content]],"")</f>
        <v>8.189300411522634</v>
      </c>
    </row>
    <row r="5411" spans="1:14">
      <c r="A5411" s="21">
        <v>2025</v>
      </c>
      <c r="B5411" s="21" t="s">
        <v>20</v>
      </c>
      <c r="C5411" s="21" t="s">
        <v>1145</v>
      </c>
      <c r="D5411" s="21" t="s">
        <v>35</v>
      </c>
      <c r="E5411" s="17" t="s">
        <v>994</v>
      </c>
      <c r="F5411" s="18" t="s">
        <v>105</v>
      </c>
      <c r="G5411" s="18" t="s">
        <v>48</v>
      </c>
      <c r="H5411" s="24">
        <v>39500</v>
      </c>
      <c r="I5411" s="24">
        <f>T_reg.root.SK[[#This Row],[Volume, kg]]/1000</f>
        <v>39.5</v>
      </c>
      <c r="J5411" s="25">
        <v>0.26300000000000001</v>
      </c>
      <c r="K5411" s="25">
        <f t="shared" si="84"/>
        <v>10388.5</v>
      </c>
      <c r="L5411" s="25">
        <v>2.0499999999999998</v>
      </c>
      <c r="M5411" s="24">
        <v>80994.5</v>
      </c>
      <c r="N5411" s="25">
        <f>IFERROR(T_reg.root.SK[[#This Row],[Price]]/T_reg.root.SK[[#This Row],[Starch content]],"")</f>
        <v>7.7946768060836495</v>
      </c>
    </row>
    <row r="5412" spans="1:14">
      <c r="A5412" s="21">
        <v>2025</v>
      </c>
      <c r="B5412" s="21" t="s">
        <v>20</v>
      </c>
      <c r="C5412" s="21" t="s">
        <v>1145</v>
      </c>
      <c r="D5412" s="21" t="s">
        <v>35</v>
      </c>
      <c r="E5412" s="17" t="s">
        <v>326</v>
      </c>
      <c r="F5412" s="18" t="s">
        <v>105</v>
      </c>
      <c r="G5412" s="18" t="s">
        <v>48</v>
      </c>
      <c r="H5412" s="24">
        <v>14200</v>
      </c>
      <c r="I5412" s="24">
        <f>T_reg.root.SK[[#This Row],[Volume, kg]]/1000</f>
        <v>14.2</v>
      </c>
      <c r="J5412" s="25">
        <v>0.28399999999999997</v>
      </c>
      <c r="K5412" s="25">
        <f t="shared" si="84"/>
        <v>4032.7999999999997</v>
      </c>
      <c r="L5412" s="25">
        <v>2.15</v>
      </c>
      <c r="M5412" s="24">
        <v>30530</v>
      </c>
      <c r="N5412" s="25">
        <f>IFERROR(T_reg.root.SK[[#This Row],[Price]]/T_reg.root.SK[[#This Row],[Starch content]],"")</f>
        <v>7.570422535211268</v>
      </c>
    </row>
    <row r="5413" spans="1:14">
      <c r="A5413" s="21">
        <v>2025</v>
      </c>
      <c r="B5413" s="21" t="s">
        <v>20</v>
      </c>
      <c r="C5413" s="21" t="s">
        <v>1145</v>
      </c>
      <c r="D5413" s="21" t="s">
        <v>35</v>
      </c>
      <c r="E5413" s="17" t="s">
        <v>507</v>
      </c>
      <c r="F5413" s="18" t="s">
        <v>105</v>
      </c>
      <c r="G5413" s="18" t="s">
        <v>48</v>
      </c>
      <c r="H5413" s="24">
        <v>123480</v>
      </c>
      <c r="I5413" s="24">
        <f>T_reg.root.SK[[#This Row],[Volume, kg]]/1000</f>
        <v>123.48</v>
      </c>
      <c r="J5413" s="25">
        <v>0.27200000000000002</v>
      </c>
      <c r="K5413" s="25">
        <f t="shared" si="84"/>
        <v>33586.560000000005</v>
      </c>
      <c r="L5413" s="25">
        <v>2.09</v>
      </c>
      <c r="M5413" s="24">
        <v>258541.5</v>
      </c>
      <c r="N5413" s="25">
        <f>IFERROR(T_reg.root.SK[[#This Row],[Price]]/T_reg.root.SK[[#This Row],[Starch content]],"")</f>
        <v>7.6838235294117636</v>
      </c>
    </row>
    <row r="5414" spans="1:14">
      <c r="A5414" s="21">
        <v>2025</v>
      </c>
      <c r="B5414" s="21" t="s">
        <v>20</v>
      </c>
      <c r="C5414" s="21" t="s">
        <v>1145</v>
      </c>
      <c r="D5414" s="21" t="s">
        <v>35</v>
      </c>
      <c r="E5414" s="17" t="s">
        <v>174</v>
      </c>
      <c r="F5414" s="18" t="s">
        <v>105</v>
      </c>
      <c r="G5414" s="18" t="s">
        <v>48</v>
      </c>
      <c r="H5414" s="24">
        <v>78360</v>
      </c>
      <c r="I5414" s="24">
        <f>T_reg.root.SK[[#This Row],[Volume, kg]]/1000</f>
        <v>78.36</v>
      </c>
      <c r="J5414" s="25">
        <v>0.26100000000000001</v>
      </c>
      <c r="K5414" s="25">
        <f t="shared" si="84"/>
        <v>20451.96</v>
      </c>
      <c r="L5414" s="25">
        <v>2.0699999999999998</v>
      </c>
      <c r="M5414" s="24">
        <v>162107</v>
      </c>
      <c r="N5414" s="25">
        <f>IFERROR(T_reg.root.SK[[#This Row],[Price]]/T_reg.root.SK[[#This Row],[Starch content]],"")</f>
        <v>7.9310344827586201</v>
      </c>
    </row>
    <row r="5415" spans="1:14">
      <c r="A5415" s="21">
        <v>2025</v>
      </c>
      <c r="B5415" s="21" t="s">
        <v>20</v>
      </c>
      <c r="C5415" s="21" t="s">
        <v>1145</v>
      </c>
      <c r="D5415" s="21" t="s">
        <v>35</v>
      </c>
      <c r="E5415" s="17" t="s">
        <v>77</v>
      </c>
      <c r="F5415" s="18" t="s">
        <v>47</v>
      </c>
      <c r="G5415" s="18" t="s">
        <v>48</v>
      </c>
      <c r="H5415" s="24">
        <v>32150</v>
      </c>
      <c r="I5415" s="24">
        <f>T_reg.root.SK[[#This Row],[Volume, kg]]/1000</f>
        <v>32.15</v>
      </c>
      <c r="J5415" s="25">
        <v>0.23499999999999999</v>
      </c>
      <c r="K5415" s="25">
        <f t="shared" si="84"/>
        <v>7555.25</v>
      </c>
      <c r="L5415" s="25">
        <v>1.85</v>
      </c>
      <c r="M5415" s="24">
        <v>59469.5</v>
      </c>
      <c r="N5415" s="25">
        <f>IFERROR(T_reg.root.SK[[#This Row],[Price]]/T_reg.root.SK[[#This Row],[Starch content]],"")</f>
        <v>7.8723404255319158</v>
      </c>
    </row>
    <row r="5416" spans="1:14">
      <c r="A5416" s="21">
        <v>2025</v>
      </c>
      <c r="B5416" s="21" t="s">
        <v>20</v>
      </c>
      <c r="C5416" s="21" t="s">
        <v>1145</v>
      </c>
      <c r="D5416" s="21" t="s">
        <v>35</v>
      </c>
      <c r="E5416" s="17" t="s">
        <v>476</v>
      </c>
      <c r="F5416" s="18" t="s">
        <v>47</v>
      </c>
      <c r="G5416" s="18" t="s">
        <v>48</v>
      </c>
      <c r="H5416" s="24">
        <v>20330</v>
      </c>
      <c r="I5416" s="24">
        <f>T_reg.root.SK[[#This Row],[Volume, kg]]/1000</f>
        <v>20.329999999999998</v>
      </c>
      <c r="J5416" s="25">
        <v>0.24099999999999999</v>
      </c>
      <c r="K5416" s="25">
        <f t="shared" si="84"/>
        <v>4899.53</v>
      </c>
      <c r="L5416" s="25">
        <v>2</v>
      </c>
      <c r="M5416" s="24">
        <v>40672.5</v>
      </c>
      <c r="N5416" s="25">
        <f>IFERROR(T_reg.root.SK[[#This Row],[Price]]/T_reg.root.SK[[#This Row],[Starch content]],"")</f>
        <v>8.2987551867219924</v>
      </c>
    </row>
    <row r="5417" spans="1:14">
      <c r="A5417" s="21">
        <v>2025</v>
      </c>
      <c r="B5417" s="21" t="s">
        <v>20</v>
      </c>
      <c r="C5417" s="21" t="s">
        <v>1145</v>
      </c>
      <c r="D5417" s="21" t="s">
        <v>39</v>
      </c>
      <c r="E5417" s="17" t="s">
        <v>88</v>
      </c>
      <c r="F5417" s="18" t="s">
        <v>89</v>
      </c>
      <c r="G5417" s="18" t="s">
        <v>90</v>
      </c>
      <c r="H5417" s="24">
        <v>4467030</v>
      </c>
      <c r="I5417" s="24">
        <f>T_reg.root.SK[[#This Row],[Volume, kg]]/1000</f>
        <v>4467.03</v>
      </c>
      <c r="J5417" s="25">
        <v>0.26</v>
      </c>
      <c r="K5417" s="25">
        <f t="shared" si="84"/>
        <v>1161427.8</v>
      </c>
      <c r="L5417" s="25">
        <v>2.0499999999999998</v>
      </c>
      <c r="M5417" s="24">
        <v>9138684.5</v>
      </c>
      <c r="N5417" s="25">
        <f>IFERROR(T_reg.root.SK[[#This Row],[Price]]/T_reg.root.SK[[#This Row],[Starch content]],"")</f>
        <v>7.8846153846153832</v>
      </c>
    </row>
    <row r="5418" spans="1:14">
      <c r="A5418" s="21">
        <v>2025</v>
      </c>
      <c r="B5418" s="21" t="s">
        <v>20</v>
      </c>
      <c r="C5418" s="21" t="s">
        <v>1145</v>
      </c>
      <c r="D5418" s="21" t="s">
        <v>35</v>
      </c>
      <c r="E5418" s="17" t="s">
        <v>761</v>
      </c>
      <c r="F5418" s="18" t="s">
        <v>187</v>
      </c>
      <c r="G5418" s="18" t="s">
        <v>48</v>
      </c>
      <c r="H5418" s="24">
        <v>141690</v>
      </c>
      <c r="I5418" s="24">
        <f>T_reg.root.SK[[#This Row],[Volume, kg]]/1000</f>
        <v>141.69</v>
      </c>
      <c r="J5418" s="25">
        <v>0.27</v>
      </c>
      <c r="K5418" s="25">
        <f t="shared" si="84"/>
        <v>38256.300000000003</v>
      </c>
      <c r="L5418" s="25">
        <v>2.11</v>
      </c>
      <c r="M5418" s="24">
        <v>298638.5</v>
      </c>
      <c r="N5418" s="25">
        <f>IFERROR(T_reg.root.SK[[#This Row],[Price]]/T_reg.root.SK[[#This Row],[Starch content]],"")</f>
        <v>7.814814814814814</v>
      </c>
    </row>
    <row r="5419" spans="1:14">
      <c r="A5419" s="21">
        <v>2025</v>
      </c>
      <c r="B5419" s="21" t="s">
        <v>20</v>
      </c>
      <c r="C5419" s="21" t="s">
        <v>1145</v>
      </c>
      <c r="D5419" s="21" t="s">
        <v>35</v>
      </c>
      <c r="E5419" s="17" t="s">
        <v>577</v>
      </c>
      <c r="F5419" s="18" t="s">
        <v>105</v>
      </c>
      <c r="G5419" s="18" t="s">
        <v>48</v>
      </c>
      <c r="H5419" s="24">
        <v>25410</v>
      </c>
      <c r="I5419" s="24">
        <f>T_reg.root.SK[[#This Row],[Volume, kg]]/1000</f>
        <v>25.41</v>
      </c>
      <c r="J5419" s="25">
        <v>0.22800000000000001</v>
      </c>
      <c r="K5419" s="25">
        <f t="shared" si="84"/>
        <v>5793.4800000000005</v>
      </c>
      <c r="L5419" s="25">
        <v>1.77</v>
      </c>
      <c r="M5419" s="24">
        <v>45070</v>
      </c>
      <c r="N5419" s="25">
        <f>IFERROR(T_reg.root.SK[[#This Row],[Price]]/T_reg.root.SK[[#This Row],[Starch content]],"")</f>
        <v>7.7631578947368416</v>
      </c>
    </row>
    <row r="5420" spans="1:14">
      <c r="A5420" s="21">
        <v>2025</v>
      </c>
      <c r="B5420" s="21" t="s">
        <v>20</v>
      </c>
      <c r="C5420" s="21" t="s">
        <v>1145</v>
      </c>
      <c r="D5420" s="21" t="s">
        <v>35</v>
      </c>
      <c r="E5420" s="17" t="s">
        <v>175</v>
      </c>
      <c r="F5420" s="18" t="s">
        <v>105</v>
      </c>
      <c r="G5420" s="18" t="s">
        <v>48</v>
      </c>
      <c r="H5420" s="24">
        <v>70870</v>
      </c>
      <c r="I5420" s="24">
        <f>T_reg.root.SK[[#This Row],[Volume, kg]]/1000</f>
        <v>70.87</v>
      </c>
      <c r="J5420" s="25">
        <v>0.24199999999999999</v>
      </c>
      <c r="K5420" s="25">
        <f t="shared" si="84"/>
        <v>17150.54</v>
      </c>
      <c r="L5420" s="25">
        <v>1.97</v>
      </c>
      <c r="M5420" s="24">
        <v>139675</v>
      </c>
      <c r="N5420" s="25">
        <f>IFERROR(T_reg.root.SK[[#This Row],[Price]]/T_reg.root.SK[[#This Row],[Starch content]],"")</f>
        <v>8.1404958677685944</v>
      </c>
    </row>
    <row r="5421" spans="1:14">
      <c r="A5421" s="21">
        <v>2025</v>
      </c>
      <c r="B5421" s="21" t="s">
        <v>20</v>
      </c>
      <c r="C5421" s="21" t="s">
        <v>1145</v>
      </c>
      <c r="D5421" s="21" t="s">
        <v>35</v>
      </c>
      <c r="E5421" s="17" t="s">
        <v>176</v>
      </c>
      <c r="F5421" s="18" t="s">
        <v>105</v>
      </c>
      <c r="G5421" s="18" t="s">
        <v>48</v>
      </c>
      <c r="H5421" s="24">
        <v>33260</v>
      </c>
      <c r="I5421" s="24">
        <f>T_reg.root.SK[[#This Row],[Volume, kg]]/1000</f>
        <v>33.26</v>
      </c>
      <c r="J5421" s="25">
        <v>0.221</v>
      </c>
      <c r="K5421" s="25">
        <f t="shared" si="84"/>
        <v>7350.46</v>
      </c>
      <c r="L5421" s="25">
        <v>1.86</v>
      </c>
      <c r="M5421" s="24">
        <v>61836.5</v>
      </c>
      <c r="N5421" s="25">
        <f>IFERROR(T_reg.root.SK[[#This Row],[Price]]/T_reg.root.SK[[#This Row],[Starch content]],"")</f>
        <v>8.4162895927601813</v>
      </c>
    </row>
    <row r="5422" spans="1:14">
      <c r="A5422" s="21">
        <v>2025</v>
      </c>
      <c r="B5422" s="21" t="s">
        <v>20</v>
      </c>
      <c r="C5422" s="21" t="s">
        <v>1145</v>
      </c>
      <c r="D5422" s="21" t="s">
        <v>35</v>
      </c>
      <c r="E5422" s="17" t="s">
        <v>605</v>
      </c>
      <c r="F5422" s="18" t="s">
        <v>105</v>
      </c>
      <c r="G5422" s="18" t="s">
        <v>48</v>
      </c>
      <c r="H5422" s="24">
        <v>151180</v>
      </c>
      <c r="I5422" s="24">
        <f>T_reg.root.SK[[#This Row],[Volume, kg]]/1000</f>
        <v>151.18</v>
      </c>
      <c r="J5422" s="25">
        <v>0.23899999999999999</v>
      </c>
      <c r="K5422" s="25">
        <f t="shared" si="84"/>
        <v>36132.019999999997</v>
      </c>
      <c r="L5422" s="25">
        <v>1.93</v>
      </c>
      <c r="M5422" s="24">
        <v>292379</v>
      </c>
      <c r="N5422" s="25">
        <f>IFERROR(T_reg.root.SK[[#This Row],[Price]]/T_reg.root.SK[[#This Row],[Starch content]],"")</f>
        <v>8.07531380753138</v>
      </c>
    </row>
    <row r="5423" spans="1:14">
      <c r="A5423" s="21">
        <v>2025</v>
      </c>
      <c r="B5423" s="21" t="s">
        <v>20</v>
      </c>
      <c r="C5423" s="21" t="s">
        <v>1145</v>
      </c>
      <c r="D5423" s="21" t="s">
        <v>35</v>
      </c>
      <c r="E5423" s="17" t="s">
        <v>509</v>
      </c>
      <c r="F5423" s="18" t="s">
        <v>105</v>
      </c>
      <c r="G5423" s="18" t="s">
        <v>48</v>
      </c>
      <c r="H5423" s="24">
        <v>44410</v>
      </c>
      <c r="I5423" s="24">
        <f>T_reg.root.SK[[#This Row],[Volume, kg]]/1000</f>
        <v>44.41</v>
      </c>
      <c r="J5423" s="25">
        <v>0.249</v>
      </c>
      <c r="K5423" s="25">
        <f t="shared" si="84"/>
        <v>11058.09</v>
      </c>
      <c r="L5423" s="25">
        <v>2</v>
      </c>
      <c r="M5423" s="24">
        <v>88875.5</v>
      </c>
      <c r="N5423" s="25">
        <f>IFERROR(T_reg.root.SK[[#This Row],[Price]]/T_reg.root.SK[[#This Row],[Starch content]],"")</f>
        <v>8.0321285140562253</v>
      </c>
    </row>
    <row r="5424" spans="1:14">
      <c r="A5424" s="21">
        <v>2025</v>
      </c>
      <c r="B5424" s="21" t="s">
        <v>20</v>
      </c>
      <c r="C5424" s="21" t="s">
        <v>1145</v>
      </c>
      <c r="D5424" s="21" t="s">
        <v>35</v>
      </c>
      <c r="E5424" s="17" t="s">
        <v>182</v>
      </c>
      <c r="F5424" s="18" t="s">
        <v>105</v>
      </c>
      <c r="G5424" s="18" t="s">
        <v>48</v>
      </c>
      <c r="H5424" s="24">
        <v>76330</v>
      </c>
      <c r="I5424" s="24">
        <f>T_reg.root.SK[[#This Row],[Volume, kg]]/1000</f>
        <v>76.33</v>
      </c>
      <c r="J5424" s="25">
        <v>0.248</v>
      </c>
      <c r="K5424" s="25">
        <f t="shared" si="84"/>
        <v>18929.84</v>
      </c>
      <c r="L5424" s="25">
        <v>1.99</v>
      </c>
      <c r="M5424" s="24">
        <v>152160.5</v>
      </c>
      <c r="N5424" s="25">
        <f>IFERROR(T_reg.root.SK[[#This Row],[Price]]/T_reg.root.SK[[#This Row],[Starch content]],"")</f>
        <v>8.0241935483870961</v>
      </c>
    </row>
    <row r="5425" spans="1:14">
      <c r="A5425" s="21">
        <v>2025</v>
      </c>
      <c r="B5425" s="21" t="s">
        <v>20</v>
      </c>
      <c r="C5425" s="21" t="s">
        <v>1145</v>
      </c>
      <c r="D5425" s="21" t="s">
        <v>35</v>
      </c>
      <c r="E5425" s="17" t="s">
        <v>757</v>
      </c>
      <c r="F5425" s="18" t="s">
        <v>105</v>
      </c>
      <c r="G5425" s="18" t="s">
        <v>48</v>
      </c>
      <c r="H5425" s="24">
        <v>0</v>
      </c>
      <c r="I5425" s="24">
        <f>T_reg.root.SK[[#This Row],[Volume, kg]]/1000</f>
        <v>0</v>
      </c>
      <c r="J5425" s="25" t="s">
        <v>1147</v>
      </c>
      <c r="K5425" s="25">
        <v>0</v>
      </c>
      <c r="L5425" s="25">
        <v>0</v>
      </c>
      <c r="M5425" s="24">
        <v>0</v>
      </c>
      <c r="N5425" s="25" t="str">
        <f>IFERROR(T_reg.root.SK[[#This Row],[Price]]/T_reg.root.SK[[#This Row],[Starch content]],"")</f>
        <v/>
      </c>
    </row>
    <row r="5426" spans="1:14">
      <c r="A5426" s="21">
        <v>2025</v>
      </c>
      <c r="B5426" s="21" t="s">
        <v>20</v>
      </c>
      <c r="C5426" s="21" t="s">
        <v>1145</v>
      </c>
      <c r="D5426" s="21" t="s">
        <v>35</v>
      </c>
      <c r="E5426" s="17" t="s">
        <v>741</v>
      </c>
      <c r="F5426" s="18" t="s">
        <v>105</v>
      </c>
      <c r="G5426" s="18" t="s">
        <v>48</v>
      </c>
      <c r="H5426" s="24">
        <v>4600</v>
      </c>
      <c r="I5426" s="24">
        <f>T_reg.root.SK[[#This Row],[Volume, kg]]/1000</f>
        <v>4.5999999999999996</v>
      </c>
      <c r="J5426" s="25">
        <v>0.20899999999999999</v>
      </c>
      <c r="K5426" s="25">
        <f t="shared" si="84"/>
        <v>961.4</v>
      </c>
      <c r="L5426" s="25">
        <v>1.7</v>
      </c>
      <c r="M5426" s="24">
        <v>7820</v>
      </c>
      <c r="N5426" s="25">
        <f>IFERROR(T_reg.root.SK[[#This Row],[Price]]/T_reg.root.SK[[#This Row],[Starch content]],"")</f>
        <v>8.133971291866029</v>
      </c>
    </row>
    <row r="5427" spans="1:14">
      <c r="A5427" s="21">
        <v>2025</v>
      </c>
      <c r="B5427" s="21" t="s">
        <v>20</v>
      </c>
      <c r="C5427" s="21" t="s">
        <v>1145</v>
      </c>
      <c r="D5427" s="21" t="s">
        <v>35</v>
      </c>
      <c r="E5427" s="17" t="s">
        <v>640</v>
      </c>
      <c r="F5427" s="18" t="s">
        <v>105</v>
      </c>
      <c r="G5427" s="18" t="s">
        <v>48</v>
      </c>
      <c r="H5427" s="24">
        <v>55990</v>
      </c>
      <c r="I5427" s="24">
        <f>T_reg.root.SK[[#This Row],[Volume, kg]]/1000</f>
        <v>55.99</v>
      </c>
      <c r="J5427" s="25">
        <v>0.224</v>
      </c>
      <c r="K5427" s="25">
        <f t="shared" si="84"/>
        <v>12541.76</v>
      </c>
      <c r="L5427" s="25">
        <v>1.82</v>
      </c>
      <c r="M5427" s="24">
        <v>102099</v>
      </c>
      <c r="N5427" s="25">
        <f>IFERROR(T_reg.root.SK[[#This Row],[Price]]/T_reg.root.SK[[#This Row],[Starch content]],"")</f>
        <v>8.125</v>
      </c>
    </row>
    <row r="5428" spans="1:14">
      <c r="A5428" s="21">
        <v>2025</v>
      </c>
      <c r="B5428" s="21" t="s">
        <v>20</v>
      </c>
      <c r="C5428" s="21" t="s">
        <v>1145</v>
      </c>
      <c r="D5428" s="21" t="s">
        <v>35</v>
      </c>
      <c r="E5428" s="17" t="s">
        <v>641</v>
      </c>
      <c r="F5428" s="18" t="s">
        <v>105</v>
      </c>
      <c r="G5428" s="18" t="s">
        <v>48</v>
      </c>
      <c r="H5428" s="24">
        <v>79210</v>
      </c>
      <c r="I5428" s="24">
        <f>T_reg.root.SK[[#This Row],[Volume, kg]]/1000</f>
        <v>79.209999999999994</v>
      </c>
      <c r="J5428" s="25">
        <v>0.23799999999999999</v>
      </c>
      <c r="K5428" s="25">
        <f t="shared" si="84"/>
        <v>18851.98</v>
      </c>
      <c r="L5428" s="25">
        <v>1.93</v>
      </c>
      <c r="M5428" s="24">
        <v>153152.5</v>
      </c>
      <c r="N5428" s="25">
        <f>IFERROR(T_reg.root.SK[[#This Row],[Price]]/T_reg.root.SK[[#This Row],[Starch content]],"")</f>
        <v>8.1092436974789912</v>
      </c>
    </row>
    <row r="5429" spans="1:14">
      <c r="A5429" s="21">
        <v>2025</v>
      </c>
      <c r="B5429" s="21" t="s">
        <v>20</v>
      </c>
      <c r="C5429" s="21" t="s">
        <v>1145</v>
      </c>
      <c r="D5429" s="21" t="s">
        <v>35</v>
      </c>
      <c r="E5429" s="17" t="s">
        <v>705</v>
      </c>
      <c r="F5429" s="18" t="s">
        <v>187</v>
      </c>
      <c r="G5429" s="18" t="s">
        <v>48</v>
      </c>
      <c r="H5429" s="24">
        <v>62030</v>
      </c>
      <c r="I5429" s="24">
        <f>T_reg.root.SK[[#This Row],[Volume, kg]]/1000</f>
        <v>62.03</v>
      </c>
      <c r="J5429" s="25">
        <v>0.25</v>
      </c>
      <c r="K5429" s="25">
        <f t="shared" si="84"/>
        <v>15507.5</v>
      </c>
      <c r="L5429" s="25">
        <v>2.0099999999999998</v>
      </c>
      <c r="M5429" s="24">
        <v>124628.5</v>
      </c>
      <c r="N5429" s="25">
        <f>IFERROR(T_reg.root.SK[[#This Row],[Price]]/T_reg.root.SK[[#This Row],[Starch content]],"")</f>
        <v>8.0399999999999991</v>
      </c>
    </row>
    <row r="5430" spans="1:14">
      <c r="A5430" s="21">
        <v>2025</v>
      </c>
      <c r="B5430" s="21" t="s">
        <v>20</v>
      </c>
      <c r="C5430" s="21" t="s">
        <v>1145</v>
      </c>
      <c r="D5430" s="21" t="s">
        <v>35</v>
      </c>
      <c r="E5430" s="17" t="s">
        <v>939</v>
      </c>
      <c r="F5430" s="18" t="s">
        <v>105</v>
      </c>
      <c r="G5430" s="18" t="s">
        <v>48</v>
      </c>
      <c r="H5430" s="24">
        <v>35410</v>
      </c>
      <c r="I5430" s="24">
        <f>T_reg.root.SK[[#This Row],[Volume, kg]]/1000</f>
        <v>35.409999999999997</v>
      </c>
      <c r="J5430" s="25">
        <v>0.26100000000000001</v>
      </c>
      <c r="K5430" s="25">
        <f t="shared" si="84"/>
        <v>9242.01</v>
      </c>
      <c r="L5430" s="25">
        <v>2.0499999999999998</v>
      </c>
      <c r="M5430" s="24">
        <v>72739</v>
      </c>
      <c r="N5430" s="25">
        <f>IFERROR(T_reg.root.SK[[#This Row],[Price]]/T_reg.root.SK[[#This Row],[Starch content]],"")</f>
        <v>7.854406130268198</v>
      </c>
    </row>
    <row r="5431" spans="1:14">
      <c r="A5431" s="21">
        <v>2025</v>
      </c>
      <c r="B5431" s="21" t="s">
        <v>20</v>
      </c>
      <c r="C5431" s="21" t="s">
        <v>1145</v>
      </c>
      <c r="D5431" s="21" t="s">
        <v>35</v>
      </c>
      <c r="E5431" s="17" t="s">
        <v>969</v>
      </c>
      <c r="F5431" s="18" t="s">
        <v>105</v>
      </c>
      <c r="G5431" s="18" t="s">
        <v>48</v>
      </c>
      <c r="H5431" s="24">
        <v>216480</v>
      </c>
      <c r="I5431" s="24">
        <f>T_reg.root.SK[[#This Row],[Volume, kg]]/1000</f>
        <v>216.48</v>
      </c>
      <c r="J5431" s="25">
        <v>0.24</v>
      </c>
      <c r="K5431" s="25">
        <f t="shared" si="84"/>
        <v>51955.199999999997</v>
      </c>
      <c r="L5431" s="25">
        <v>1.95</v>
      </c>
      <c r="M5431" s="24">
        <v>421055.5</v>
      </c>
      <c r="N5431" s="25">
        <f>IFERROR(T_reg.root.SK[[#This Row],[Price]]/T_reg.root.SK[[#This Row],[Starch content]],"")</f>
        <v>8.125</v>
      </c>
    </row>
    <row r="5432" spans="1:14">
      <c r="A5432" s="21">
        <v>2025</v>
      </c>
      <c r="B5432" s="21" t="s">
        <v>20</v>
      </c>
      <c r="C5432" s="21" t="s">
        <v>1145</v>
      </c>
      <c r="D5432" s="21" t="s">
        <v>35</v>
      </c>
      <c r="E5432" s="17" t="s">
        <v>183</v>
      </c>
      <c r="F5432" s="18" t="s">
        <v>105</v>
      </c>
      <c r="G5432" s="18" t="s">
        <v>48</v>
      </c>
      <c r="H5432" s="24">
        <v>75160</v>
      </c>
      <c r="I5432" s="24">
        <f>T_reg.root.SK[[#This Row],[Volume, kg]]/1000</f>
        <v>75.16</v>
      </c>
      <c r="J5432" s="25">
        <v>0.27500000000000002</v>
      </c>
      <c r="K5432" s="25">
        <f t="shared" si="84"/>
        <v>20669</v>
      </c>
      <c r="L5432" s="25">
        <v>2.15</v>
      </c>
      <c r="M5432" s="24">
        <v>161881</v>
      </c>
      <c r="N5432" s="25">
        <f>IFERROR(T_reg.root.SK[[#This Row],[Price]]/T_reg.root.SK[[#This Row],[Starch content]],"")</f>
        <v>7.8181818181818175</v>
      </c>
    </row>
    <row r="5433" spans="1:14">
      <c r="A5433" s="21">
        <v>2025</v>
      </c>
      <c r="B5433" s="21" t="s">
        <v>20</v>
      </c>
      <c r="C5433" s="21" t="s">
        <v>1145</v>
      </c>
      <c r="D5433" s="21" t="s">
        <v>35</v>
      </c>
      <c r="E5433" s="17" t="s">
        <v>217</v>
      </c>
      <c r="F5433" s="18" t="s">
        <v>187</v>
      </c>
      <c r="G5433" s="18" t="s">
        <v>48</v>
      </c>
      <c r="H5433" s="24">
        <v>94940</v>
      </c>
      <c r="I5433" s="24">
        <f>T_reg.root.SK[[#This Row],[Volume, kg]]/1000</f>
        <v>94.94</v>
      </c>
      <c r="J5433" s="25">
        <v>0.26</v>
      </c>
      <c r="K5433" s="25">
        <f t="shared" si="84"/>
        <v>24684.400000000001</v>
      </c>
      <c r="L5433" s="25">
        <v>2.0699999999999998</v>
      </c>
      <c r="M5433" s="24">
        <v>196676.5</v>
      </c>
      <c r="N5433" s="25">
        <f>IFERROR(T_reg.root.SK[[#This Row],[Price]]/T_reg.root.SK[[#This Row],[Starch content]],"")</f>
        <v>7.9615384615384608</v>
      </c>
    </row>
    <row r="5434" spans="1:14">
      <c r="A5434" s="21">
        <v>2025</v>
      </c>
      <c r="B5434" s="21" t="s">
        <v>20</v>
      </c>
      <c r="C5434" s="21" t="s">
        <v>1145</v>
      </c>
      <c r="D5434" s="21" t="s">
        <v>35</v>
      </c>
      <c r="E5434" s="17" t="s">
        <v>383</v>
      </c>
      <c r="F5434" s="18" t="s">
        <v>47</v>
      </c>
      <c r="G5434" s="18" t="s">
        <v>48</v>
      </c>
      <c r="H5434" s="24">
        <v>38690</v>
      </c>
      <c r="I5434" s="24">
        <f>T_reg.root.SK[[#This Row],[Volume, kg]]/1000</f>
        <v>38.69</v>
      </c>
      <c r="J5434" s="25">
        <v>0.23400000000000001</v>
      </c>
      <c r="K5434" s="25">
        <f t="shared" si="84"/>
        <v>9053.4600000000009</v>
      </c>
      <c r="L5434" s="25">
        <v>1.94</v>
      </c>
      <c r="M5434" s="24">
        <v>74943</v>
      </c>
      <c r="N5434" s="25">
        <f>IFERROR(T_reg.root.SK[[#This Row],[Price]]/T_reg.root.SK[[#This Row],[Starch content]],"")</f>
        <v>8.2905982905982896</v>
      </c>
    </row>
    <row r="5435" spans="1:14">
      <c r="A5435" s="21">
        <v>2025</v>
      </c>
      <c r="B5435" s="21" t="s">
        <v>21</v>
      </c>
      <c r="C5435" s="21" t="s">
        <v>1145</v>
      </c>
      <c r="D5435" s="21" t="s">
        <v>35</v>
      </c>
      <c r="E5435" s="18" t="s">
        <v>185</v>
      </c>
      <c r="F5435" s="18" t="s">
        <v>105</v>
      </c>
      <c r="G5435" s="18" t="s">
        <v>48</v>
      </c>
      <c r="H5435" s="24">
        <v>77410</v>
      </c>
      <c r="I5435" s="24">
        <f>T_reg.root.SK[[#This Row],[Volume, kg]]/1000</f>
        <v>77.41</v>
      </c>
      <c r="J5435" s="25">
        <v>0.21199999999999999</v>
      </c>
      <c r="K5435" s="25">
        <f t="shared" si="84"/>
        <v>16410.919999999998</v>
      </c>
      <c r="L5435" s="25">
        <v>1.78</v>
      </c>
      <c r="M5435" s="24">
        <v>138105</v>
      </c>
      <c r="N5435" s="25">
        <f>IFERROR(T_reg.root.SK[[#This Row],[Price]]/T_reg.root.SK[[#This Row],[Starch content]],"")</f>
        <v>8.3962264150943398</v>
      </c>
    </row>
    <row r="5436" spans="1:14">
      <c r="A5436" s="21">
        <v>2025</v>
      </c>
      <c r="B5436" s="21" t="s">
        <v>21</v>
      </c>
      <c r="C5436" s="21" t="s">
        <v>1145</v>
      </c>
      <c r="D5436" s="21" t="s">
        <v>35</v>
      </c>
      <c r="E5436" s="18" t="s">
        <v>287</v>
      </c>
      <c r="F5436" s="18" t="s">
        <v>105</v>
      </c>
      <c r="G5436" s="18" t="s">
        <v>48</v>
      </c>
      <c r="H5436" s="24">
        <v>24650</v>
      </c>
      <c r="I5436" s="24">
        <f>T_reg.root.SK[[#This Row],[Volume, kg]]/1000</f>
        <v>24.65</v>
      </c>
      <c r="J5436" s="25">
        <v>0.22940000000000002</v>
      </c>
      <c r="K5436" s="25">
        <f t="shared" si="84"/>
        <v>5654.7100000000009</v>
      </c>
      <c r="L5436" s="25">
        <v>1.91</v>
      </c>
      <c r="M5436" s="24">
        <v>46993</v>
      </c>
      <c r="N5436" s="25">
        <f>IFERROR(T_reg.root.SK[[#This Row],[Price]]/T_reg.root.SK[[#This Row],[Starch content]],"")</f>
        <v>8.3260680034873573</v>
      </c>
    </row>
    <row r="5437" spans="1:14">
      <c r="A5437" s="21">
        <v>2025</v>
      </c>
      <c r="B5437" s="21" t="s">
        <v>21</v>
      </c>
      <c r="C5437" s="21" t="s">
        <v>1145</v>
      </c>
      <c r="D5437" s="21" t="s">
        <v>35</v>
      </c>
      <c r="E5437" s="18" t="s">
        <v>457</v>
      </c>
      <c r="F5437" s="18" t="s">
        <v>47</v>
      </c>
      <c r="G5437" s="18" t="s">
        <v>48</v>
      </c>
      <c r="H5437" s="24">
        <v>10670</v>
      </c>
      <c r="I5437" s="24">
        <f>T_reg.root.SK[[#This Row],[Volume, kg]]/1000</f>
        <v>10.67</v>
      </c>
      <c r="J5437" s="25">
        <v>0.23100000000000001</v>
      </c>
      <c r="K5437" s="25">
        <f t="shared" si="84"/>
        <v>2464.77</v>
      </c>
      <c r="L5437" s="25">
        <v>1.9</v>
      </c>
      <c r="M5437" s="24">
        <v>20273</v>
      </c>
      <c r="N5437" s="25">
        <f>IFERROR(T_reg.root.SK[[#This Row],[Price]]/T_reg.root.SK[[#This Row],[Starch content]],"")</f>
        <v>8.2251082251082241</v>
      </c>
    </row>
    <row r="5438" spans="1:14">
      <c r="A5438" s="21">
        <v>2025</v>
      </c>
      <c r="B5438" s="21" t="s">
        <v>21</v>
      </c>
      <c r="C5438" s="21" t="s">
        <v>1145</v>
      </c>
      <c r="D5438" s="21" t="s">
        <v>35</v>
      </c>
      <c r="E5438" s="18" t="s">
        <v>695</v>
      </c>
      <c r="F5438" s="18" t="s">
        <v>283</v>
      </c>
      <c r="G5438" s="18" t="s">
        <v>48</v>
      </c>
      <c r="H5438" s="24">
        <v>11320</v>
      </c>
      <c r="I5438" s="24">
        <f>T_reg.root.SK[[#This Row],[Volume, kg]]/1000</f>
        <v>11.32</v>
      </c>
      <c r="J5438" s="25">
        <v>0.23749999999999999</v>
      </c>
      <c r="K5438" s="25">
        <f t="shared" si="84"/>
        <v>2688.5</v>
      </c>
      <c r="L5438" s="25">
        <v>1.85</v>
      </c>
      <c r="M5438" s="24">
        <v>20942</v>
      </c>
      <c r="N5438" s="25">
        <f>IFERROR(T_reg.root.SK[[#This Row],[Price]]/T_reg.root.SK[[#This Row],[Starch content]],"")</f>
        <v>7.7894736842105274</v>
      </c>
    </row>
    <row r="5439" spans="1:14">
      <c r="A5439" s="21">
        <v>2025</v>
      </c>
      <c r="B5439" s="21" t="s">
        <v>21</v>
      </c>
      <c r="C5439" s="21" t="s">
        <v>1145</v>
      </c>
      <c r="D5439" s="21" t="s">
        <v>35</v>
      </c>
      <c r="E5439" s="18" t="s">
        <v>684</v>
      </c>
      <c r="F5439" s="18" t="s">
        <v>105</v>
      </c>
      <c r="G5439" s="18" t="s">
        <v>48</v>
      </c>
      <c r="H5439" s="24">
        <v>20100</v>
      </c>
      <c r="I5439" s="24">
        <f>T_reg.root.SK[[#This Row],[Volume, kg]]/1000</f>
        <v>20.100000000000001</v>
      </c>
      <c r="J5439" s="25">
        <v>0.25290000000000001</v>
      </c>
      <c r="K5439" s="25">
        <f t="shared" si="84"/>
        <v>5083.29</v>
      </c>
      <c r="L5439" s="25">
        <v>2.02</v>
      </c>
      <c r="M5439" s="24">
        <v>40590</v>
      </c>
      <c r="N5439" s="25">
        <f>IFERROR(T_reg.root.SK[[#This Row],[Price]]/T_reg.root.SK[[#This Row],[Starch content]],"")</f>
        <v>7.9873467773823643</v>
      </c>
    </row>
    <row r="5440" spans="1:14">
      <c r="A5440" s="21">
        <v>2025</v>
      </c>
      <c r="B5440" s="21" t="s">
        <v>21</v>
      </c>
      <c r="C5440" s="21" t="s">
        <v>1145</v>
      </c>
      <c r="D5440" s="21" t="s">
        <v>35</v>
      </c>
      <c r="E5440" s="18" t="s">
        <v>104</v>
      </c>
      <c r="F5440" s="18" t="s">
        <v>105</v>
      </c>
      <c r="G5440" s="18" t="s">
        <v>48</v>
      </c>
      <c r="H5440" s="24">
        <v>8230</v>
      </c>
      <c r="I5440" s="24">
        <f>T_reg.root.SK[[#This Row],[Volume, kg]]/1000</f>
        <v>8.23</v>
      </c>
      <c r="J5440" s="25">
        <v>0.21350000000000002</v>
      </c>
      <c r="K5440" s="25">
        <f t="shared" si="84"/>
        <v>1757.1050000000002</v>
      </c>
      <c r="L5440" s="25">
        <v>1.75</v>
      </c>
      <c r="M5440" s="24">
        <v>14402.5</v>
      </c>
      <c r="N5440" s="25">
        <f>IFERROR(T_reg.root.SK[[#This Row],[Price]]/T_reg.root.SK[[#This Row],[Starch content]],"")</f>
        <v>8.1967213114754092</v>
      </c>
    </row>
    <row r="5441" spans="1:14">
      <c r="A5441" s="21">
        <v>2025</v>
      </c>
      <c r="B5441" s="21" t="s">
        <v>21</v>
      </c>
      <c r="C5441" s="21" t="s">
        <v>1145</v>
      </c>
      <c r="D5441" s="21" t="s">
        <v>35</v>
      </c>
      <c r="E5441" s="18" t="s">
        <v>186</v>
      </c>
      <c r="F5441" s="18" t="s">
        <v>187</v>
      </c>
      <c r="G5441" s="18" t="s">
        <v>48</v>
      </c>
      <c r="H5441" s="24">
        <v>43450</v>
      </c>
      <c r="I5441" s="24">
        <f>T_reg.root.SK[[#This Row],[Volume, kg]]/1000</f>
        <v>43.45</v>
      </c>
      <c r="J5441" s="25">
        <v>0.21609999999999999</v>
      </c>
      <c r="K5441" s="25">
        <f t="shared" si="84"/>
        <v>9389.5450000000001</v>
      </c>
      <c r="L5441" s="25">
        <v>1.77</v>
      </c>
      <c r="M5441" s="24">
        <v>76850</v>
      </c>
      <c r="N5441" s="25">
        <f>IFERROR(T_reg.root.SK[[#This Row],[Price]]/T_reg.root.SK[[#This Row],[Starch content]],"")</f>
        <v>8.1906524757056918</v>
      </c>
    </row>
    <row r="5442" spans="1:14">
      <c r="A5442" s="21">
        <v>2025</v>
      </c>
      <c r="B5442" s="21" t="s">
        <v>21</v>
      </c>
      <c r="C5442" s="21" t="s">
        <v>1145</v>
      </c>
      <c r="D5442" s="21" t="s">
        <v>35</v>
      </c>
      <c r="E5442" s="18" t="s">
        <v>733</v>
      </c>
      <c r="F5442" s="18" t="s">
        <v>105</v>
      </c>
      <c r="G5442" s="18" t="s">
        <v>48</v>
      </c>
      <c r="H5442" s="24">
        <v>103980</v>
      </c>
      <c r="I5442" s="24">
        <f>T_reg.root.SK[[#This Row],[Volume, kg]]/1000</f>
        <v>103.98</v>
      </c>
      <c r="J5442" s="25">
        <v>0.192</v>
      </c>
      <c r="K5442" s="25">
        <f t="shared" si="84"/>
        <v>19964.16</v>
      </c>
      <c r="L5442" s="25">
        <v>1.69</v>
      </c>
      <c r="M5442" s="24">
        <v>175589</v>
      </c>
      <c r="N5442" s="25">
        <f>IFERROR(T_reg.root.SK[[#This Row],[Price]]/T_reg.root.SK[[#This Row],[Starch content]],"")</f>
        <v>8.8020833333333321</v>
      </c>
    </row>
    <row r="5443" spans="1:14">
      <c r="A5443" s="21">
        <v>2025</v>
      </c>
      <c r="B5443" s="21" t="s">
        <v>21</v>
      </c>
      <c r="C5443" s="21" t="s">
        <v>1145</v>
      </c>
      <c r="D5443" s="21" t="s">
        <v>35</v>
      </c>
      <c r="E5443" s="18" t="s">
        <v>1006</v>
      </c>
      <c r="F5443" s="18" t="s">
        <v>105</v>
      </c>
      <c r="G5443" s="18" t="s">
        <v>48</v>
      </c>
      <c r="H5443" s="24">
        <v>20140</v>
      </c>
      <c r="I5443" s="24">
        <f>T_reg.root.SK[[#This Row],[Volume, kg]]/1000</f>
        <v>20.14</v>
      </c>
      <c r="J5443" s="25">
        <v>0.20670000000000002</v>
      </c>
      <c r="K5443" s="25">
        <f t="shared" ref="K5443:K5506" si="85">H5443*J5443</f>
        <v>4162.9380000000001</v>
      </c>
      <c r="L5443" s="25">
        <v>1.75</v>
      </c>
      <c r="M5443" s="24">
        <v>35242</v>
      </c>
      <c r="N5443" s="25">
        <f>IFERROR(T_reg.root.SK[[#This Row],[Price]]/T_reg.root.SK[[#This Row],[Starch content]],"")</f>
        <v>8.4663763909046921</v>
      </c>
    </row>
    <row r="5444" spans="1:14">
      <c r="A5444" s="21">
        <v>2025</v>
      </c>
      <c r="B5444" s="21" t="s">
        <v>21</v>
      </c>
      <c r="C5444" s="21" t="s">
        <v>1145</v>
      </c>
      <c r="D5444" s="21" t="s">
        <v>35</v>
      </c>
      <c r="E5444" s="18" t="s">
        <v>963</v>
      </c>
      <c r="F5444" s="18" t="s">
        <v>105</v>
      </c>
      <c r="G5444" s="18" t="s">
        <v>48</v>
      </c>
      <c r="H5444" s="24">
        <v>26170</v>
      </c>
      <c r="I5444" s="24">
        <f>T_reg.root.SK[[#This Row],[Volume, kg]]/1000</f>
        <v>26.17</v>
      </c>
      <c r="J5444" s="25">
        <v>0.25170000000000003</v>
      </c>
      <c r="K5444" s="25">
        <f t="shared" si="85"/>
        <v>6586.9890000000005</v>
      </c>
      <c r="L5444" s="25">
        <v>2.0099999999999998</v>
      </c>
      <c r="M5444" s="24">
        <v>52600</v>
      </c>
      <c r="N5444" s="25">
        <f>IFERROR(T_reg.root.SK[[#This Row],[Price]]/T_reg.root.SK[[#This Row],[Starch content]],"")</f>
        <v>7.9856972586412374</v>
      </c>
    </row>
    <row r="5445" spans="1:14">
      <c r="A5445" s="21">
        <v>2025</v>
      </c>
      <c r="B5445" s="21" t="s">
        <v>21</v>
      </c>
      <c r="C5445" s="21" t="s">
        <v>1145</v>
      </c>
      <c r="D5445" s="21" t="s">
        <v>35</v>
      </c>
      <c r="E5445" s="18" t="s">
        <v>987</v>
      </c>
      <c r="F5445" s="18" t="s">
        <v>105</v>
      </c>
      <c r="G5445" s="18" t="s">
        <v>48</v>
      </c>
      <c r="H5445" s="24">
        <v>57690</v>
      </c>
      <c r="I5445" s="24">
        <f>T_reg.root.SK[[#This Row],[Volume, kg]]/1000</f>
        <v>57.69</v>
      </c>
      <c r="J5445" s="25">
        <v>0.25690000000000002</v>
      </c>
      <c r="K5445" s="25">
        <f t="shared" si="85"/>
        <v>14820.561000000002</v>
      </c>
      <c r="L5445" s="25">
        <v>2.0299999999999998</v>
      </c>
      <c r="M5445" s="24">
        <v>117136</v>
      </c>
      <c r="N5445" s="25">
        <f>IFERROR(T_reg.root.SK[[#This Row],[Price]]/T_reg.root.SK[[#This Row],[Starch content]],"")</f>
        <v>7.9019073569482279</v>
      </c>
    </row>
    <row r="5446" spans="1:14">
      <c r="A5446" s="21">
        <v>2025</v>
      </c>
      <c r="B5446" s="21" t="s">
        <v>21</v>
      </c>
      <c r="C5446" s="21" t="s">
        <v>1145</v>
      </c>
      <c r="D5446" s="21" t="s">
        <v>35</v>
      </c>
      <c r="E5446" s="18" t="s">
        <v>1007</v>
      </c>
      <c r="F5446" s="18" t="s">
        <v>47</v>
      </c>
      <c r="G5446" s="18" t="s">
        <v>48</v>
      </c>
      <c r="H5446" s="24">
        <v>41420</v>
      </c>
      <c r="I5446" s="24">
        <f>T_reg.root.SK[[#This Row],[Volume, kg]]/1000</f>
        <v>41.42</v>
      </c>
      <c r="J5446" s="25">
        <v>0.23579999999999998</v>
      </c>
      <c r="K5446" s="25">
        <f t="shared" si="85"/>
        <v>9766.8359999999993</v>
      </c>
      <c r="L5446" s="25">
        <v>1.94</v>
      </c>
      <c r="M5446" s="24">
        <v>80173</v>
      </c>
      <c r="N5446" s="25">
        <f>IFERROR(T_reg.root.SK[[#This Row],[Price]]/T_reg.root.SK[[#This Row],[Starch content]],"")</f>
        <v>8.2273112807463953</v>
      </c>
    </row>
    <row r="5447" spans="1:14">
      <c r="A5447" s="21">
        <v>2025</v>
      </c>
      <c r="B5447" s="21" t="s">
        <v>21</v>
      </c>
      <c r="C5447" s="21" t="s">
        <v>1145</v>
      </c>
      <c r="D5447" s="21" t="s">
        <v>35</v>
      </c>
      <c r="E5447" s="18" t="s">
        <v>289</v>
      </c>
      <c r="F5447" s="18" t="s">
        <v>105</v>
      </c>
      <c r="G5447" s="18" t="s">
        <v>48</v>
      </c>
      <c r="H5447" s="24">
        <v>28530</v>
      </c>
      <c r="I5447" s="24">
        <f>T_reg.root.SK[[#This Row],[Volume, kg]]/1000</f>
        <v>28.53</v>
      </c>
      <c r="J5447" s="25">
        <v>0.22039999999999998</v>
      </c>
      <c r="K5447" s="25">
        <f t="shared" si="85"/>
        <v>6288.0119999999997</v>
      </c>
      <c r="L5447" s="25">
        <v>1.85</v>
      </c>
      <c r="M5447" s="24">
        <v>52780.5</v>
      </c>
      <c r="N5447" s="25">
        <f>IFERROR(T_reg.root.SK[[#This Row],[Price]]/T_reg.root.SK[[#This Row],[Starch content]],"")</f>
        <v>8.3938294010889294</v>
      </c>
    </row>
    <row r="5448" spans="1:14">
      <c r="A5448" s="21">
        <v>2025</v>
      </c>
      <c r="B5448" s="21" t="s">
        <v>21</v>
      </c>
      <c r="C5448" s="21" t="s">
        <v>1145</v>
      </c>
      <c r="D5448" s="21" t="s">
        <v>35</v>
      </c>
      <c r="E5448" s="18" t="s">
        <v>46</v>
      </c>
      <c r="F5448" s="18" t="s">
        <v>47</v>
      </c>
      <c r="G5448" s="18" t="s">
        <v>48</v>
      </c>
      <c r="H5448" s="24">
        <v>235700</v>
      </c>
      <c r="I5448" s="24">
        <f>T_reg.root.SK[[#This Row],[Volume, kg]]/1000</f>
        <v>235.7</v>
      </c>
      <c r="J5448" s="25">
        <v>0.20610000000000001</v>
      </c>
      <c r="K5448" s="25">
        <f t="shared" si="85"/>
        <v>48577.770000000004</v>
      </c>
      <c r="L5448" s="25">
        <v>1.76</v>
      </c>
      <c r="M5448" s="24">
        <v>414261.5</v>
      </c>
      <c r="N5448" s="25">
        <f>IFERROR(T_reg.root.SK[[#This Row],[Price]]/T_reg.root.SK[[#This Row],[Starch content]],"")</f>
        <v>8.5395439107229496</v>
      </c>
    </row>
    <row r="5449" spans="1:14">
      <c r="A5449" s="21">
        <v>2025</v>
      </c>
      <c r="B5449" s="21" t="s">
        <v>21</v>
      </c>
      <c r="C5449" s="21" t="s">
        <v>1145</v>
      </c>
      <c r="D5449" s="21" t="s">
        <v>35</v>
      </c>
      <c r="E5449" s="18" t="s">
        <v>108</v>
      </c>
      <c r="F5449" s="18" t="s">
        <v>105</v>
      </c>
      <c r="G5449" s="18" t="s">
        <v>48</v>
      </c>
      <c r="H5449" s="24">
        <v>105040</v>
      </c>
      <c r="I5449" s="24">
        <f>T_reg.root.SK[[#This Row],[Volume, kg]]/1000</f>
        <v>105.04</v>
      </c>
      <c r="J5449" s="25">
        <v>0.21719999999999998</v>
      </c>
      <c r="K5449" s="25">
        <f t="shared" si="85"/>
        <v>22814.687999999998</v>
      </c>
      <c r="L5449" s="25">
        <v>1.8</v>
      </c>
      <c r="M5449" s="24">
        <v>188630.5</v>
      </c>
      <c r="N5449" s="25">
        <f>IFERROR(T_reg.root.SK[[#This Row],[Price]]/T_reg.root.SK[[#This Row],[Starch content]],"")</f>
        <v>8.2872928176795586</v>
      </c>
    </row>
    <row r="5450" spans="1:14">
      <c r="A5450" s="21">
        <v>2025</v>
      </c>
      <c r="B5450" s="21" t="s">
        <v>21</v>
      </c>
      <c r="C5450" s="21" t="s">
        <v>1145</v>
      </c>
      <c r="D5450" s="21" t="s">
        <v>35</v>
      </c>
      <c r="E5450" s="18" t="s">
        <v>49</v>
      </c>
      <c r="F5450" s="18" t="s">
        <v>47</v>
      </c>
      <c r="G5450" s="18" t="s">
        <v>48</v>
      </c>
      <c r="H5450" s="24">
        <v>49660</v>
      </c>
      <c r="I5450" s="24">
        <f>T_reg.root.SK[[#This Row],[Volume, kg]]/1000</f>
        <v>49.66</v>
      </c>
      <c r="J5450" s="25">
        <v>0.22120000000000001</v>
      </c>
      <c r="K5450" s="25">
        <f t="shared" si="85"/>
        <v>10984.792000000001</v>
      </c>
      <c r="L5450" s="25">
        <v>1.84</v>
      </c>
      <c r="M5450" s="24">
        <v>91571</v>
      </c>
      <c r="N5450" s="25">
        <f>IFERROR(T_reg.root.SK[[#This Row],[Price]]/T_reg.root.SK[[#This Row],[Starch content]],"")</f>
        <v>8.3182640144665463</v>
      </c>
    </row>
    <row r="5451" spans="1:14">
      <c r="A5451" s="21">
        <v>2025</v>
      </c>
      <c r="B5451" s="21" t="s">
        <v>21</v>
      </c>
      <c r="C5451" s="21" t="s">
        <v>1145</v>
      </c>
      <c r="D5451" s="21" t="s">
        <v>35</v>
      </c>
      <c r="E5451" s="18" t="s">
        <v>291</v>
      </c>
      <c r="F5451" s="18" t="s">
        <v>105</v>
      </c>
      <c r="G5451" s="18" t="s">
        <v>48</v>
      </c>
      <c r="H5451" s="24">
        <v>20960</v>
      </c>
      <c r="I5451" s="24">
        <f>T_reg.root.SK[[#This Row],[Volume, kg]]/1000</f>
        <v>20.96</v>
      </c>
      <c r="J5451" s="25">
        <v>0.22070000000000001</v>
      </c>
      <c r="K5451" s="25">
        <f t="shared" si="85"/>
        <v>4625.8720000000003</v>
      </c>
      <c r="L5451" s="25">
        <v>1.87</v>
      </c>
      <c r="M5451" s="24">
        <v>39097.5</v>
      </c>
      <c r="N5451" s="25">
        <f>IFERROR(T_reg.root.SK[[#This Row],[Price]]/T_reg.root.SK[[#This Row],[Starch content]],"")</f>
        <v>8.4730403262347078</v>
      </c>
    </row>
    <row r="5452" spans="1:14">
      <c r="A5452" s="21">
        <v>2025</v>
      </c>
      <c r="B5452" s="21" t="s">
        <v>21</v>
      </c>
      <c r="C5452" s="21" t="s">
        <v>1145</v>
      </c>
      <c r="D5452" s="21" t="s">
        <v>35</v>
      </c>
      <c r="E5452" s="18" t="s">
        <v>512</v>
      </c>
      <c r="F5452" s="18" t="s">
        <v>187</v>
      </c>
      <c r="G5452" s="18" t="s">
        <v>48</v>
      </c>
      <c r="H5452" s="24">
        <v>20430</v>
      </c>
      <c r="I5452" s="24">
        <f>T_reg.root.SK[[#This Row],[Volume, kg]]/1000</f>
        <v>20.43</v>
      </c>
      <c r="J5452" s="25">
        <v>0.18479999999999999</v>
      </c>
      <c r="K5452" s="25">
        <f t="shared" si="85"/>
        <v>3775.4639999999999</v>
      </c>
      <c r="L5452" s="25">
        <v>1.63</v>
      </c>
      <c r="M5452" s="24">
        <v>33201</v>
      </c>
      <c r="N5452" s="25">
        <f>IFERROR(T_reg.root.SK[[#This Row],[Price]]/T_reg.root.SK[[#This Row],[Starch content]],"")</f>
        <v>8.8203463203463208</v>
      </c>
    </row>
    <row r="5453" spans="1:14">
      <c r="A5453" s="21">
        <v>2025</v>
      </c>
      <c r="B5453" s="21" t="s">
        <v>21</v>
      </c>
      <c r="C5453" s="21" t="s">
        <v>1145</v>
      </c>
      <c r="D5453" s="21" t="s">
        <v>35</v>
      </c>
      <c r="E5453" s="18" t="s">
        <v>109</v>
      </c>
      <c r="F5453" s="18" t="s">
        <v>105</v>
      </c>
      <c r="G5453" s="18" t="s">
        <v>48</v>
      </c>
      <c r="H5453" s="24">
        <v>14870</v>
      </c>
      <c r="I5453" s="24">
        <f>T_reg.root.SK[[#This Row],[Volume, kg]]/1000</f>
        <v>14.87</v>
      </c>
      <c r="J5453" s="25">
        <v>0.28350000000000003</v>
      </c>
      <c r="K5453" s="25">
        <f t="shared" si="85"/>
        <v>4215.6450000000004</v>
      </c>
      <c r="L5453" s="25">
        <v>2.15</v>
      </c>
      <c r="M5453" s="24">
        <v>31970.5</v>
      </c>
      <c r="N5453" s="25">
        <f>IFERROR(T_reg.root.SK[[#This Row],[Price]]/T_reg.root.SK[[#This Row],[Starch content]],"")</f>
        <v>7.583774250440916</v>
      </c>
    </row>
    <row r="5454" spans="1:14">
      <c r="A5454" s="21">
        <v>2025</v>
      </c>
      <c r="B5454" s="21" t="s">
        <v>21</v>
      </c>
      <c r="C5454" s="21" t="s">
        <v>1145</v>
      </c>
      <c r="D5454" s="21" t="s">
        <v>35</v>
      </c>
      <c r="E5454" s="18" t="s">
        <v>292</v>
      </c>
      <c r="F5454" s="18" t="s">
        <v>105</v>
      </c>
      <c r="G5454" s="18" t="s">
        <v>48</v>
      </c>
      <c r="H5454" s="24">
        <v>47920</v>
      </c>
      <c r="I5454" s="24">
        <f>T_reg.root.SK[[#This Row],[Volume, kg]]/1000</f>
        <v>47.92</v>
      </c>
      <c r="J5454" s="25">
        <v>0.22969999999999999</v>
      </c>
      <c r="K5454" s="25">
        <f t="shared" si="85"/>
        <v>11007.224</v>
      </c>
      <c r="L5454" s="25">
        <v>1.78</v>
      </c>
      <c r="M5454" s="24">
        <v>85432.5</v>
      </c>
      <c r="N5454" s="25">
        <f>IFERROR(T_reg.root.SK[[#This Row],[Price]]/T_reg.root.SK[[#This Row],[Starch content]],"")</f>
        <v>7.7492381367000442</v>
      </c>
    </row>
    <row r="5455" spans="1:14">
      <c r="A5455" s="21">
        <v>2025</v>
      </c>
      <c r="B5455" s="21" t="s">
        <v>21</v>
      </c>
      <c r="C5455" s="21" t="s">
        <v>1145</v>
      </c>
      <c r="D5455" s="21" t="s">
        <v>35</v>
      </c>
      <c r="E5455" s="18" t="s">
        <v>82</v>
      </c>
      <c r="F5455" s="18" t="s">
        <v>83</v>
      </c>
      <c r="G5455" s="18" t="s">
        <v>48</v>
      </c>
      <c r="H5455" s="24">
        <v>8070</v>
      </c>
      <c r="I5455" s="24">
        <f>T_reg.root.SK[[#This Row],[Volume, kg]]/1000</f>
        <v>8.07</v>
      </c>
      <c r="J5455" s="25">
        <v>0.23250000000000001</v>
      </c>
      <c r="K5455" s="25">
        <f t="shared" si="85"/>
        <v>1876.2750000000001</v>
      </c>
      <c r="L5455" s="25">
        <v>1.9</v>
      </c>
      <c r="M5455" s="24">
        <v>15333</v>
      </c>
      <c r="N5455" s="25">
        <f>IFERROR(T_reg.root.SK[[#This Row],[Price]]/T_reg.root.SK[[#This Row],[Starch content]],"")</f>
        <v>8.172043010752688</v>
      </c>
    </row>
    <row r="5456" spans="1:14">
      <c r="A5456" s="21">
        <v>2025</v>
      </c>
      <c r="B5456" s="21" t="s">
        <v>21</v>
      </c>
      <c r="C5456" s="21" t="s">
        <v>1145</v>
      </c>
      <c r="D5456" s="21" t="s">
        <v>35</v>
      </c>
      <c r="E5456" s="18" t="s">
        <v>110</v>
      </c>
      <c r="F5456" s="18" t="s">
        <v>105</v>
      </c>
      <c r="G5456" s="18" t="s">
        <v>48</v>
      </c>
      <c r="H5456" s="24">
        <v>36400</v>
      </c>
      <c r="I5456" s="24">
        <f>T_reg.root.SK[[#This Row],[Volume, kg]]/1000</f>
        <v>36.4</v>
      </c>
      <c r="J5456" s="25">
        <v>0.18809999999999999</v>
      </c>
      <c r="K5456" s="25">
        <f t="shared" si="85"/>
        <v>6846.8399999999992</v>
      </c>
      <c r="L5456" s="25">
        <v>1.69</v>
      </c>
      <c r="M5456" s="24">
        <v>61544</v>
      </c>
      <c r="N5456" s="25">
        <f>IFERROR(T_reg.root.SK[[#This Row],[Price]]/T_reg.root.SK[[#This Row],[Starch content]],"")</f>
        <v>8.9845826687931947</v>
      </c>
    </row>
    <row r="5457" spans="1:14">
      <c r="A5457" s="21">
        <v>2025</v>
      </c>
      <c r="B5457" s="21" t="s">
        <v>21</v>
      </c>
      <c r="C5457" s="21" t="s">
        <v>1145</v>
      </c>
      <c r="D5457" s="21" t="s">
        <v>35</v>
      </c>
      <c r="E5457" s="18" t="s">
        <v>513</v>
      </c>
      <c r="F5457" s="18" t="s">
        <v>187</v>
      </c>
      <c r="G5457" s="18" t="s">
        <v>48</v>
      </c>
      <c r="H5457" s="24">
        <v>66280</v>
      </c>
      <c r="I5457" s="24">
        <f>T_reg.root.SK[[#This Row],[Volume, kg]]/1000</f>
        <v>66.28</v>
      </c>
      <c r="J5457" s="25">
        <v>0.26750000000000002</v>
      </c>
      <c r="K5457" s="25">
        <f t="shared" si="85"/>
        <v>17729.900000000001</v>
      </c>
      <c r="L5457" s="25">
        <v>2.0099999999999998</v>
      </c>
      <c r="M5457" s="24">
        <v>133315</v>
      </c>
      <c r="N5457" s="25">
        <f>IFERROR(T_reg.root.SK[[#This Row],[Price]]/T_reg.root.SK[[#This Row],[Starch content]],"")</f>
        <v>7.5140186915887837</v>
      </c>
    </row>
    <row r="5458" spans="1:14">
      <c r="A5458" s="21">
        <v>2025</v>
      </c>
      <c r="B5458" s="21" t="s">
        <v>21</v>
      </c>
      <c r="C5458" s="21" t="s">
        <v>1145</v>
      </c>
      <c r="D5458" s="21" t="s">
        <v>35</v>
      </c>
      <c r="E5458" s="18" t="s">
        <v>514</v>
      </c>
      <c r="F5458" s="18" t="s">
        <v>187</v>
      </c>
      <c r="G5458" s="18" t="s">
        <v>48</v>
      </c>
      <c r="H5458" s="24">
        <v>8940</v>
      </c>
      <c r="I5458" s="24">
        <f>T_reg.root.SK[[#This Row],[Volume, kg]]/1000</f>
        <v>8.94</v>
      </c>
      <c r="J5458" s="25">
        <v>0.26</v>
      </c>
      <c r="K5458" s="25">
        <f t="shared" si="85"/>
        <v>2324.4</v>
      </c>
      <c r="L5458" s="25">
        <v>2</v>
      </c>
      <c r="M5458" s="24">
        <v>17880</v>
      </c>
      <c r="N5458" s="25">
        <f>IFERROR(T_reg.root.SK[[#This Row],[Price]]/T_reg.root.SK[[#This Row],[Starch content]],"")</f>
        <v>7.6923076923076916</v>
      </c>
    </row>
    <row r="5459" spans="1:14">
      <c r="A5459" s="21">
        <v>2025</v>
      </c>
      <c r="B5459" s="21" t="s">
        <v>21</v>
      </c>
      <c r="C5459" s="21" t="s">
        <v>1145</v>
      </c>
      <c r="D5459" s="21" t="s">
        <v>35</v>
      </c>
      <c r="E5459" s="18" t="s">
        <v>52</v>
      </c>
      <c r="F5459" s="18" t="s">
        <v>47</v>
      </c>
      <c r="G5459" s="18" t="s">
        <v>48</v>
      </c>
      <c r="H5459" s="24">
        <v>10270</v>
      </c>
      <c r="I5459" s="24">
        <f>T_reg.root.SK[[#This Row],[Volume, kg]]/1000</f>
        <v>10.27</v>
      </c>
      <c r="J5459" s="25">
        <v>0.16600000000000001</v>
      </c>
      <c r="K5459" s="25">
        <f t="shared" si="85"/>
        <v>1704.8200000000002</v>
      </c>
      <c r="L5459" s="25">
        <v>1.55</v>
      </c>
      <c r="M5459" s="24">
        <v>15918.5</v>
      </c>
      <c r="N5459" s="25">
        <f>IFERROR(T_reg.root.SK[[#This Row],[Price]]/T_reg.root.SK[[#This Row],[Starch content]],"")</f>
        <v>9.3373493975903621</v>
      </c>
    </row>
    <row r="5460" spans="1:14">
      <c r="A5460" s="21">
        <v>2025</v>
      </c>
      <c r="B5460" s="21" t="s">
        <v>21</v>
      </c>
      <c r="C5460" s="21" t="s">
        <v>1145</v>
      </c>
      <c r="D5460" s="21" t="s">
        <v>35</v>
      </c>
      <c r="E5460" s="18" t="s">
        <v>701</v>
      </c>
      <c r="F5460" s="18" t="s">
        <v>187</v>
      </c>
      <c r="G5460" s="18" t="s">
        <v>48</v>
      </c>
      <c r="H5460" s="24">
        <v>68170</v>
      </c>
      <c r="I5460" s="24">
        <f>T_reg.root.SK[[#This Row],[Volume, kg]]/1000</f>
        <v>68.17</v>
      </c>
      <c r="J5460" s="25">
        <v>0.2016</v>
      </c>
      <c r="K5460" s="25">
        <f t="shared" si="85"/>
        <v>13743.072</v>
      </c>
      <c r="L5460" s="25">
        <v>1.66</v>
      </c>
      <c r="M5460" s="24">
        <v>113010.5</v>
      </c>
      <c r="N5460" s="25">
        <f>IFERROR(T_reg.root.SK[[#This Row],[Price]]/T_reg.root.SK[[#This Row],[Starch content]],"")</f>
        <v>8.2341269841269842</v>
      </c>
    </row>
    <row r="5461" spans="1:14">
      <c r="A5461" s="21">
        <v>2025</v>
      </c>
      <c r="B5461" s="21" t="s">
        <v>21</v>
      </c>
      <c r="C5461" s="21" t="s">
        <v>1145</v>
      </c>
      <c r="D5461" s="21" t="s">
        <v>35</v>
      </c>
      <c r="E5461" s="18" t="s">
        <v>734</v>
      </c>
      <c r="F5461" s="18" t="s">
        <v>105</v>
      </c>
      <c r="G5461" s="18" t="s">
        <v>48</v>
      </c>
      <c r="H5461" s="24">
        <v>138550</v>
      </c>
      <c r="I5461" s="24">
        <f>T_reg.root.SK[[#This Row],[Volume, kg]]/1000</f>
        <v>138.55000000000001</v>
      </c>
      <c r="J5461" s="25">
        <v>0.22839999999999999</v>
      </c>
      <c r="K5461" s="25">
        <f t="shared" si="85"/>
        <v>31644.82</v>
      </c>
      <c r="L5461" s="25">
        <v>1.86</v>
      </c>
      <c r="M5461" s="24">
        <v>258161.5</v>
      </c>
      <c r="N5461" s="25">
        <f>IFERROR(T_reg.root.SK[[#This Row],[Price]]/T_reg.root.SK[[#This Row],[Starch content]],"")</f>
        <v>8.1436077057793348</v>
      </c>
    </row>
    <row r="5462" spans="1:14">
      <c r="A5462" s="21">
        <v>2025</v>
      </c>
      <c r="B5462" s="21" t="s">
        <v>21</v>
      </c>
      <c r="C5462" s="21" t="s">
        <v>1145</v>
      </c>
      <c r="D5462" s="21" t="s">
        <v>35</v>
      </c>
      <c r="E5462" s="18" t="s">
        <v>586</v>
      </c>
      <c r="F5462" s="18" t="s">
        <v>187</v>
      </c>
      <c r="G5462" s="18" t="s">
        <v>48</v>
      </c>
      <c r="H5462" s="24">
        <v>25060</v>
      </c>
      <c r="I5462" s="24">
        <f>T_reg.root.SK[[#This Row],[Volume, kg]]/1000</f>
        <v>25.06</v>
      </c>
      <c r="J5462" s="25">
        <v>0.22010000000000002</v>
      </c>
      <c r="K5462" s="25">
        <f t="shared" si="85"/>
        <v>5515.7060000000001</v>
      </c>
      <c r="L5462" s="25">
        <v>1.85</v>
      </c>
      <c r="M5462" s="24">
        <v>46468.5</v>
      </c>
      <c r="N5462" s="25">
        <f>IFERROR(T_reg.root.SK[[#This Row],[Price]]/T_reg.root.SK[[#This Row],[Starch content]],"")</f>
        <v>8.405270331667424</v>
      </c>
    </row>
    <row r="5463" spans="1:14">
      <c r="A5463" s="21">
        <v>2025</v>
      </c>
      <c r="B5463" s="21" t="s">
        <v>21</v>
      </c>
      <c r="C5463" s="21" t="s">
        <v>1145</v>
      </c>
      <c r="D5463" s="21" t="s">
        <v>35</v>
      </c>
      <c r="E5463" s="18" t="s">
        <v>112</v>
      </c>
      <c r="F5463" s="18" t="s">
        <v>105</v>
      </c>
      <c r="G5463" s="18" t="s">
        <v>48</v>
      </c>
      <c r="H5463" s="24">
        <v>36900</v>
      </c>
      <c r="I5463" s="24">
        <f>T_reg.root.SK[[#This Row],[Volume, kg]]/1000</f>
        <v>36.9</v>
      </c>
      <c r="J5463" s="25">
        <v>0.21350000000000002</v>
      </c>
      <c r="K5463" s="25">
        <f t="shared" si="85"/>
        <v>7878.1500000000005</v>
      </c>
      <c r="L5463" s="25">
        <v>1.81</v>
      </c>
      <c r="M5463" s="24">
        <v>66792.5</v>
      </c>
      <c r="N5463" s="25">
        <f>IFERROR(T_reg.root.SK[[#This Row],[Price]]/T_reg.root.SK[[#This Row],[Starch content]],"")</f>
        <v>8.4777517564402807</v>
      </c>
    </row>
    <row r="5464" spans="1:14">
      <c r="A5464" s="21">
        <v>2025</v>
      </c>
      <c r="B5464" s="21" t="s">
        <v>21</v>
      </c>
      <c r="C5464" s="21" t="s">
        <v>1145</v>
      </c>
      <c r="D5464" s="21" t="s">
        <v>35</v>
      </c>
      <c r="E5464" s="18" t="s">
        <v>78</v>
      </c>
      <c r="F5464" s="18" t="s">
        <v>47</v>
      </c>
      <c r="G5464" s="18" t="s">
        <v>48</v>
      </c>
      <c r="H5464" s="24">
        <v>23620</v>
      </c>
      <c r="I5464" s="24">
        <f>T_reg.root.SK[[#This Row],[Volume, kg]]/1000</f>
        <v>23.62</v>
      </c>
      <c r="J5464" s="25">
        <v>0.2361</v>
      </c>
      <c r="K5464" s="25">
        <f t="shared" si="85"/>
        <v>5576.6819999999998</v>
      </c>
      <c r="L5464" s="25">
        <v>1.89</v>
      </c>
      <c r="M5464" s="24">
        <v>44534</v>
      </c>
      <c r="N5464" s="25">
        <f>IFERROR(T_reg.root.SK[[#This Row],[Price]]/T_reg.root.SK[[#This Row],[Starch content]],"")</f>
        <v>8.0050825921219815</v>
      </c>
    </row>
    <row r="5465" spans="1:14">
      <c r="A5465" s="21">
        <v>2025</v>
      </c>
      <c r="B5465" s="21" t="s">
        <v>21</v>
      </c>
      <c r="C5465" s="21" t="s">
        <v>1145</v>
      </c>
      <c r="D5465" s="21" t="s">
        <v>35</v>
      </c>
      <c r="E5465" s="18" t="s">
        <v>262</v>
      </c>
      <c r="F5465" s="18" t="s">
        <v>187</v>
      </c>
      <c r="G5465" s="18" t="s">
        <v>48</v>
      </c>
      <c r="H5465" s="24">
        <v>107960</v>
      </c>
      <c r="I5465" s="24">
        <f>T_reg.root.SK[[#This Row],[Volume, kg]]/1000</f>
        <v>107.96</v>
      </c>
      <c r="J5465" s="25">
        <v>0.24179999999999999</v>
      </c>
      <c r="K5465" s="25">
        <f t="shared" si="85"/>
        <v>26104.727999999999</v>
      </c>
      <c r="L5465" s="25">
        <v>1.93</v>
      </c>
      <c r="M5465" s="24">
        <v>208507</v>
      </c>
      <c r="N5465" s="25">
        <f>IFERROR(T_reg.root.SK[[#This Row],[Price]]/T_reg.root.SK[[#This Row],[Starch content]],"")</f>
        <v>7.9818031430934662</v>
      </c>
    </row>
    <row r="5466" spans="1:14">
      <c r="A5466" s="21">
        <v>2025</v>
      </c>
      <c r="B5466" s="21" t="s">
        <v>21</v>
      </c>
      <c r="C5466" s="21" t="s">
        <v>1145</v>
      </c>
      <c r="D5466" s="21" t="s">
        <v>35</v>
      </c>
      <c r="E5466" s="18" t="s">
        <v>803</v>
      </c>
      <c r="F5466" s="18" t="s">
        <v>105</v>
      </c>
      <c r="G5466" s="18" t="s">
        <v>48</v>
      </c>
      <c r="H5466" s="24">
        <v>128660</v>
      </c>
      <c r="I5466" s="24">
        <f>T_reg.root.SK[[#This Row],[Volume, kg]]/1000</f>
        <v>128.66</v>
      </c>
      <c r="J5466" s="25">
        <v>0.21859999999999999</v>
      </c>
      <c r="K5466" s="25">
        <f t="shared" si="85"/>
        <v>28125.075999999997</v>
      </c>
      <c r="L5466" s="25">
        <v>1.78</v>
      </c>
      <c r="M5466" s="24">
        <v>228777.5</v>
      </c>
      <c r="N5466" s="25">
        <f>IFERROR(T_reg.root.SK[[#This Row],[Price]]/T_reg.root.SK[[#This Row],[Starch content]],"")</f>
        <v>8.1427264409881062</v>
      </c>
    </row>
    <row r="5467" spans="1:14">
      <c r="A5467" s="21">
        <v>2025</v>
      </c>
      <c r="B5467" s="21" t="s">
        <v>21</v>
      </c>
      <c r="C5467" s="21" t="s">
        <v>1145</v>
      </c>
      <c r="D5467" s="21" t="s">
        <v>35</v>
      </c>
      <c r="E5467" s="18" t="s">
        <v>621</v>
      </c>
      <c r="F5467" s="18" t="s">
        <v>187</v>
      </c>
      <c r="G5467" s="18" t="s">
        <v>48</v>
      </c>
      <c r="H5467" s="24">
        <v>43230</v>
      </c>
      <c r="I5467" s="24">
        <f>T_reg.root.SK[[#This Row],[Volume, kg]]/1000</f>
        <v>43.23</v>
      </c>
      <c r="J5467" s="25">
        <v>0.22020000000000001</v>
      </c>
      <c r="K5467" s="25">
        <f t="shared" si="85"/>
        <v>9519.246000000001</v>
      </c>
      <c r="L5467" s="25">
        <v>1.81</v>
      </c>
      <c r="M5467" s="24">
        <v>78367.5</v>
      </c>
      <c r="N5467" s="25">
        <f>IFERROR(T_reg.root.SK[[#This Row],[Price]]/T_reg.root.SK[[#This Row],[Starch content]],"")</f>
        <v>8.2198001816530422</v>
      </c>
    </row>
    <row r="5468" spans="1:14">
      <c r="A5468" s="21">
        <v>2025</v>
      </c>
      <c r="B5468" s="21" t="s">
        <v>21</v>
      </c>
      <c r="C5468" s="21" t="s">
        <v>1145</v>
      </c>
      <c r="D5468" s="21" t="s">
        <v>35</v>
      </c>
      <c r="E5468" s="18" t="s">
        <v>233</v>
      </c>
      <c r="F5468" s="18" t="s">
        <v>105</v>
      </c>
      <c r="G5468" s="18" t="s">
        <v>48</v>
      </c>
      <c r="H5468" s="24">
        <v>45810</v>
      </c>
      <c r="I5468" s="24">
        <f>T_reg.root.SK[[#This Row],[Volume, kg]]/1000</f>
        <v>45.81</v>
      </c>
      <c r="J5468" s="25">
        <v>0.2147</v>
      </c>
      <c r="K5468" s="25">
        <f t="shared" si="85"/>
        <v>9835.4069999999992</v>
      </c>
      <c r="L5468" s="25">
        <v>1.81</v>
      </c>
      <c r="M5468" s="24">
        <v>83045.5</v>
      </c>
      <c r="N5468" s="25">
        <f>IFERROR(T_reg.root.SK[[#This Row],[Price]]/T_reg.root.SK[[#This Row],[Starch content]],"")</f>
        <v>8.4303679552864459</v>
      </c>
    </row>
    <row r="5469" spans="1:14">
      <c r="A5469" s="21">
        <v>2025</v>
      </c>
      <c r="B5469" s="21" t="s">
        <v>21</v>
      </c>
      <c r="C5469" s="21" t="s">
        <v>1145</v>
      </c>
      <c r="D5469" s="21" t="s">
        <v>35</v>
      </c>
      <c r="E5469" s="18" t="s">
        <v>482</v>
      </c>
      <c r="F5469" s="18" t="s">
        <v>105</v>
      </c>
      <c r="G5469" s="18" t="s">
        <v>48</v>
      </c>
      <c r="H5469" s="24">
        <v>4900</v>
      </c>
      <c r="I5469" s="24">
        <f>T_reg.root.SK[[#This Row],[Volume, kg]]/1000</f>
        <v>4.9000000000000004</v>
      </c>
      <c r="J5469" s="25">
        <v>0.19600000000000001</v>
      </c>
      <c r="K5469" s="25">
        <f t="shared" si="85"/>
        <v>960.40000000000009</v>
      </c>
      <c r="L5469" s="25">
        <v>1.7</v>
      </c>
      <c r="M5469" s="24">
        <v>8330</v>
      </c>
      <c r="N5469" s="25">
        <f>IFERROR(T_reg.root.SK[[#This Row],[Price]]/T_reg.root.SK[[#This Row],[Starch content]],"")</f>
        <v>8.6734693877551017</v>
      </c>
    </row>
    <row r="5470" spans="1:14">
      <c r="A5470" s="21">
        <v>2025</v>
      </c>
      <c r="B5470" s="21" t="s">
        <v>21</v>
      </c>
      <c r="C5470" s="21" t="s">
        <v>1145</v>
      </c>
      <c r="D5470" s="21" t="s">
        <v>35</v>
      </c>
      <c r="E5470" s="18" t="s">
        <v>194</v>
      </c>
      <c r="F5470" s="18" t="s">
        <v>187</v>
      </c>
      <c r="G5470" s="18" t="s">
        <v>48</v>
      </c>
      <c r="H5470" s="24">
        <v>58460</v>
      </c>
      <c r="I5470" s="24">
        <f>T_reg.root.SK[[#This Row],[Volume, kg]]/1000</f>
        <v>58.46</v>
      </c>
      <c r="J5470" s="25">
        <v>0.25409999999999999</v>
      </c>
      <c r="K5470" s="25">
        <f t="shared" si="85"/>
        <v>14854.686</v>
      </c>
      <c r="L5470" s="25">
        <v>1.97</v>
      </c>
      <c r="M5470" s="24">
        <v>115433</v>
      </c>
      <c r="N5470" s="25">
        <f>IFERROR(T_reg.root.SK[[#This Row],[Price]]/T_reg.root.SK[[#This Row],[Starch content]],"")</f>
        <v>7.7528532073986618</v>
      </c>
    </row>
    <row r="5471" spans="1:14">
      <c r="A5471" s="21">
        <v>2025</v>
      </c>
      <c r="B5471" s="21" t="s">
        <v>21</v>
      </c>
      <c r="C5471" s="21" t="s">
        <v>1145</v>
      </c>
      <c r="D5471" s="21" t="s">
        <v>35</v>
      </c>
      <c r="E5471" s="18" t="s">
        <v>234</v>
      </c>
      <c r="F5471" s="18" t="s">
        <v>105</v>
      </c>
      <c r="G5471" s="18" t="s">
        <v>48</v>
      </c>
      <c r="H5471" s="24">
        <v>100110</v>
      </c>
      <c r="I5471" s="24">
        <f>T_reg.root.SK[[#This Row],[Volume, kg]]/1000</f>
        <v>100.11</v>
      </c>
      <c r="J5471" s="25">
        <v>0.20480000000000001</v>
      </c>
      <c r="K5471" s="25">
        <f t="shared" si="85"/>
        <v>20502.528000000002</v>
      </c>
      <c r="L5471" s="25">
        <v>1.76</v>
      </c>
      <c r="M5471" s="24">
        <v>176584</v>
      </c>
      <c r="N5471" s="25">
        <f>IFERROR(T_reg.root.SK[[#This Row],[Price]]/T_reg.root.SK[[#This Row],[Starch content]],"")</f>
        <v>8.59375</v>
      </c>
    </row>
    <row r="5472" spans="1:14">
      <c r="A5472" s="21">
        <v>2025</v>
      </c>
      <c r="B5472" s="21" t="s">
        <v>21</v>
      </c>
      <c r="C5472" s="21" t="s">
        <v>1145</v>
      </c>
      <c r="D5472" s="21" t="s">
        <v>35</v>
      </c>
      <c r="E5472" s="18" t="s">
        <v>459</v>
      </c>
      <c r="F5472" s="18" t="s">
        <v>47</v>
      </c>
      <c r="G5472" s="18" t="s">
        <v>48</v>
      </c>
      <c r="H5472" s="24">
        <v>9220</v>
      </c>
      <c r="I5472" s="24">
        <f>T_reg.root.SK[[#This Row],[Volume, kg]]/1000</f>
        <v>9.2200000000000006</v>
      </c>
      <c r="J5472" s="25">
        <v>0.18350000000000002</v>
      </c>
      <c r="K5472" s="25">
        <f t="shared" si="85"/>
        <v>1691.8700000000001</v>
      </c>
      <c r="L5472" s="25">
        <v>1.65</v>
      </c>
      <c r="M5472" s="24">
        <v>15213</v>
      </c>
      <c r="N5472" s="25">
        <f>IFERROR(T_reg.root.SK[[#This Row],[Price]]/T_reg.root.SK[[#This Row],[Starch content]],"")</f>
        <v>8.9918256130790173</v>
      </c>
    </row>
    <row r="5473" spans="1:14">
      <c r="A5473" s="21">
        <v>2025</v>
      </c>
      <c r="B5473" s="21" t="s">
        <v>21</v>
      </c>
      <c r="C5473" s="21" t="s">
        <v>1145</v>
      </c>
      <c r="D5473" s="21" t="s">
        <v>35</v>
      </c>
      <c r="E5473" s="18" t="s">
        <v>402</v>
      </c>
      <c r="F5473" s="18" t="s">
        <v>105</v>
      </c>
      <c r="G5473" s="18" t="s">
        <v>48</v>
      </c>
      <c r="H5473" s="24">
        <v>9520</v>
      </c>
      <c r="I5473" s="24">
        <f>T_reg.root.SK[[#This Row],[Volume, kg]]/1000</f>
        <v>9.52</v>
      </c>
      <c r="J5473" s="25">
        <v>0.27</v>
      </c>
      <c r="K5473" s="25">
        <f t="shared" si="85"/>
        <v>2570.4</v>
      </c>
      <c r="L5473" s="25">
        <v>2.1</v>
      </c>
      <c r="M5473" s="24">
        <v>19992</v>
      </c>
      <c r="N5473" s="25">
        <f>IFERROR(T_reg.root.SK[[#This Row],[Price]]/T_reg.root.SK[[#This Row],[Starch content]],"")</f>
        <v>7.7777777777777777</v>
      </c>
    </row>
    <row r="5474" spans="1:14">
      <c r="A5474" s="21">
        <v>2025</v>
      </c>
      <c r="B5474" s="21" t="s">
        <v>21</v>
      </c>
      <c r="C5474" s="21" t="s">
        <v>1145</v>
      </c>
      <c r="D5474" s="21" t="s">
        <v>35</v>
      </c>
      <c r="E5474" s="18" t="s">
        <v>113</v>
      </c>
      <c r="F5474" s="18" t="s">
        <v>105</v>
      </c>
      <c r="G5474" s="18" t="s">
        <v>48</v>
      </c>
      <c r="H5474" s="24">
        <v>54980</v>
      </c>
      <c r="I5474" s="24">
        <f>T_reg.root.SK[[#This Row],[Volume, kg]]/1000</f>
        <v>54.98</v>
      </c>
      <c r="J5474" s="25">
        <v>0.25950000000000001</v>
      </c>
      <c r="K5474" s="25">
        <f t="shared" si="85"/>
        <v>14267.310000000001</v>
      </c>
      <c r="L5474" s="25">
        <v>2.0299999999999998</v>
      </c>
      <c r="M5474" s="24">
        <v>111775.5</v>
      </c>
      <c r="N5474" s="25">
        <f>IFERROR(T_reg.root.SK[[#This Row],[Price]]/T_reg.root.SK[[#This Row],[Starch content]],"")</f>
        <v>7.8227360308285157</v>
      </c>
    </row>
    <row r="5475" spans="1:14">
      <c r="A5475" s="21">
        <v>2025</v>
      </c>
      <c r="B5475" s="21" t="s">
        <v>21</v>
      </c>
      <c r="C5475" s="21" t="s">
        <v>1145</v>
      </c>
      <c r="D5475" s="21" t="s">
        <v>39</v>
      </c>
      <c r="E5475" s="18" t="s">
        <v>997</v>
      </c>
      <c r="F5475" s="18" t="s">
        <v>998</v>
      </c>
      <c r="G5475" s="18" t="s">
        <v>87</v>
      </c>
      <c r="H5475" s="24">
        <v>649780</v>
      </c>
      <c r="I5475" s="24">
        <f>T_reg.root.SK[[#This Row],[Volume, kg]]/1000</f>
        <v>649.78</v>
      </c>
      <c r="J5475" s="25">
        <v>0.22640000000000002</v>
      </c>
      <c r="K5475" s="25">
        <f t="shared" si="85"/>
        <v>147110.19200000001</v>
      </c>
      <c r="L5475" s="25">
        <v>1.91</v>
      </c>
      <c r="M5475" s="24">
        <v>1240825.5</v>
      </c>
      <c r="N5475" s="25">
        <f>IFERROR(T_reg.root.SK[[#This Row],[Price]]/T_reg.root.SK[[#This Row],[Starch content]],"")</f>
        <v>8.436395759717314</v>
      </c>
    </row>
    <row r="5476" spans="1:14">
      <c r="A5476" s="21">
        <v>2025</v>
      </c>
      <c r="B5476" s="21" t="s">
        <v>21</v>
      </c>
      <c r="C5476" s="21" t="s">
        <v>1145</v>
      </c>
      <c r="D5476" s="21" t="s">
        <v>35</v>
      </c>
      <c r="E5476" s="18" t="s">
        <v>600</v>
      </c>
      <c r="F5476" s="18" t="s">
        <v>105</v>
      </c>
      <c r="G5476" s="18" t="s">
        <v>48</v>
      </c>
      <c r="H5476" s="24">
        <v>8450</v>
      </c>
      <c r="I5476" s="24">
        <f>T_reg.root.SK[[#This Row],[Volume, kg]]/1000</f>
        <v>8.4499999999999993</v>
      </c>
      <c r="J5476" s="25">
        <v>0.20600000000000002</v>
      </c>
      <c r="K5476" s="25">
        <f t="shared" si="85"/>
        <v>1740.7</v>
      </c>
      <c r="L5476" s="25">
        <v>1.75</v>
      </c>
      <c r="M5476" s="24">
        <v>14787.5</v>
      </c>
      <c r="N5476" s="25">
        <f>IFERROR(T_reg.root.SK[[#This Row],[Price]]/T_reg.root.SK[[#This Row],[Starch content]],"")</f>
        <v>8.4951456310679596</v>
      </c>
    </row>
    <row r="5477" spans="1:14">
      <c r="A5477" s="21">
        <v>2025</v>
      </c>
      <c r="B5477" s="21" t="s">
        <v>21</v>
      </c>
      <c r="C5477" s="21" t="s">
        <v>1145</v>
      </c>
      <c r="D5477" s="21" t="s">
        <v>35</v>
      </c>
      <c r="E5477" s="18" t="s">
        <v>988</v>
      </c>
      <c r="F5477" s="18" t="s">
        <v>105</v>
      </c>
      <c r="G5477" s="18" t="s">
        <v>48</v>
      </c>
      <c r="H5477" s="24">
        <v>52860</v>
      </c>
      <c r="I5477" s="24">
        <f>T_reg.root.SK[[#This Row],[Volume, kg]]/1000</f>
        <v>52.86</v>
      </c>
      <c r="J5477" s="25">
        <v>0.2167</v>
      </c>
      <c r="K5477" s="25">
        <f t="shared" si="85"/>
        <v>11454.762000000001</v>
      </c>
      <c r="L5477" s="25">
        <v>1.81</v>
      </c>
      <c r="M5477" s="24">
        <v>95612</v>
      </c>
      <c r="N5477" s="25">
        <f>IFERROR(T_reg.root.SK[[#This Row],[Price]]/T_reg.root.SK[[#This Row],[Starch content]],"")</f>
        <v>8.3525611444393171</v>
      </c>
    </row>
    <row r="5478" spans="1:14">
      <c r="A5478" s="21">
        <v>2025</v>
      </c>
      <c r="B5478" s="21" t="s">
        <v>21</v>
      </c>
      <c r="C5478" s="21" t="s">
        <v>1145</v>
      </c>
      <c r="D5478" s="21" t="s">
        <v>35</v>
      </c>
      <c r="E5478" s="18" t="s">
        <v>235</v>
      </c>
      <c r="F5478" s="18" t="s">
        <v>105</v>
      </c>
      <c r="G5478" s="18" t="s">
        <v>48</v>
      </c>
      <c r="H5478" s="24">
        <v>36800</v>
      </c>
      <c r="I5478" s="24">
        <f>T_reg.root.SK[[#This Row],[Volume, kg]]/1000</f>
        <v>36.799999999999997</v>
      </c>
      <c r="J5478" s="25">
        <v>0.1855</v>
      </c>
      <c r="K5478" s="25">
        <f t="shared" si="85"/>
        <v>6826.4</v>
      </c>
      <c r="L5478" s="25">
        <v>1.68</v>
      </c>
      <c r="M5478" s="24">
        <v>61721.5</v>
      </c>
      <c r="N5478" s="25">
        <f>IFERROR(T_reg.root.SK[[#This Row],[Price]]/T_reg.root.SK[[#This Row],[Starch content]],"")</f>
        <v>9.0566037735849054</v>
      </c>
    </row>
    <row r="5479" spans="1:14">
      <c r="A5479" s="21">
        <v>2025</v>
      </c>
      <c r="B5479" s="21" t="s">
        <v>21</v>
      </c>
      <c r="C5479" s="21" t="s">
        <v>1145</v>
      </c>
      <c r="D5479" s="21" t="s">
        <v>35</v>
      </c>
      <c r="E5479" s="18" t="s">
        <v>685</v>
      </c>
      <c r="F5479" s="18" t="s">
        <v>105</v>
      </c>
      <c r="G5479" s="18" t="s">
        <v>48</v>
      </c>
      <c r="H5479" s="24">
        <v>26030</v>
      </c>
      <c r="I5479" s="24">
        <f>T_reg.root.SK[[#This Row],[Volume, kg]]/1000</f>
        <v>26.03</v>
      </c>
      <c r="J5479" s="25">
        <v>0.2084</v>
      </c>
      <c r="K5479" s="25">
        <f t="shared" si="85"/>
        <v>5424.652</v>
      </c>
      <c r="L5479" s="25">
        <v>1.78</v>
      </c>
      <c r="M5479" s="24">
        <v>46216.5</v>
      </c>
      <c r="N5479" s="25">
        <f>IFERROR(T_reg.root.SK[[#This Row],[Price]]/T_reg.root.SK[[#This Row],[Starch content]],"")</f>
        <v>8.5412667946257201</v>
      </c>
    </row>
    <row r="5480" spans="1:14">
      <c r="A5480" s="21">
        <v>2025</v>
      </c>
      <c r="B5480" s="21" t="s">
        <v>21</v>
      </c>
      <c r="C5480" s="21" t="s">
        <v>1145</v>
      </c>
      <c r="D5480" s="21" t="s">
        <v>35</v>
      </c>
      <c r="E5480" s="18" t="s">
        <v>236</v>
      </c>
      <c r="F5480" s="18" t="s">
        <v>105</v>
      </c>
      <c r="G5480" s="18" t="s">
        <v>48</v>
      </c>
      <c r="H5480" s="24">
        <v>17980</v>
      </c>
      <c r="I5480" s="24">
        <f>T_reg.root.SK[[#This Row],[Volume, kg]]/1000</f>
        <v>17.98</v>
      </c>
      <c r="J5480" s="25">
        <v>0.22870000000000001</v>
      </c>
      <c r="K5480" s="25">
        <f t="shared" si="85"/>
        <v>4112.0259999999998</v>
      </c>
      <c r="L5480" s="25">
        <v>1.78</v>
      </c>
      <c r="M5480" s="24">
        <v>32000</v>
      </c>
      <c r="N5480" s="25">
        <f>IFERROR(T_reg.root.SK[[#This Row],[Price]]/T_reg.root.SK[[#This Row],[Starch content]],"")</f>
        <v>7.7831219938784431</v>
      </c>
    </row>
    <row r="5481" spans="1:14">
      <c r="A5481" s="21">
        <v>2025</v>
      </c>
      <c r="B5481" s="21" t="s">
        <v>21</v>
      </c>
      <c r="C5481" s="21" t="s">
        <v>1145</v>
      </c>
      <c r="D5481" s="21" t="s">
        <v>35</v>
      </c>
      <c r="E5481" s="18" t="s">
        <v>115</v>
      </c>
      <c r="F5481" s="18" t="s">
        <v>105</v>
      </c>
      <c r="G5481" s="18" t="s">
        <v>48</v>
      </c>
      <c r="H5481" s="24">
        <v>9070</v>
      </c>
      <c r="I5481" s="24">
        <f>T_reg.root.SK[[#This Row],[Volume, kg]]/1000</f>
        <v>9.07</v>
      </c>
      <c r="J5481" s="25">
        <v>0.26200000000000001</v>
      </c>
      <c r="K5481" s="25">
        <f t="shared" si="85"/>
        <v>2376.34</v>
      </c>
      <c r="L5481" s="25">
        <v>1.95</v>
      </c>
      <c r="M5481" s="24">
        <v>17686.5</v>
      </c>
      <c r="N5481" s="25">
        <f>IFERROR(T_reg.root.SK[[#This Row],[Price]]/T_reg.root.SK[[#This Row],[Starch content]],"")</f>
        <v>7.4427480916030531</v>
      </c>
    </row>
    <row r="5482" spans="1:14">
      <c r="A5482" s="21">
        <v>2025</v>
      </c>
      <c r="B5482" s="21" t="s">
        <v>21</v>
      </c>
      <c r="C5482" s="21" t="s">
        <v>1145</v>
      </c>
      <c r="D5482" s="21" t="s">
        <v>35</v>
      </c>
      <c r="E5482" s="18" t="s">
        <v>296</v>
      </c>
      <c r="F5482" s="18" t="s">
        <v>105</v>
      </c>
      <c r="G5482" s="18" t="s">
        <v>48</v>
      </c>
      <c r="H5482" s="24">
        <v>122320</v>
      </c>
      <c r="I5482" s="24">
        <f>T_reg.root.SK[[#This Row],[Volume, kg]]/1000</f>
        <v>122.32</v>
      </c>
      <c r="J5482" s="25">
        <v>0.20519999999999999</v>
      </c>
      <c r="K5482" s="25">
        <f t="shared" si="85"/>
        <v>25100.063999999998</v>
      </c>
      <c r="L5482" s="25">
        <v>1.75</v>
      </c>
      <c r="M5482" s="24">
        <v>214381.5</v>
      </c>
      <c r="N5482" s="25">
        <f>IFERROR(T_reg.root.SK[[#This Row],[Price]]/T_reg.root.SK[[#This Row],[Starch content]],"")</f>
        <v>8.5282651072124764</v>
      </c>
    </row>
    <row r="5483" spans="1:14">
      <c r="A5483" s="21">
        <v>2025</v>
      </c>
      <c r="B5483" s="21" t="s">
        <v>21</v>
      </c>
      <c r="C5483" s="21" t="s">
        <v>1145</v>
      </c>
      <c r="D5483" s="21" t="s">
        <v>35</v>
      </c>
      <c r="E5483" s="18" t="s">
        <v>478</v>
      </c>
      <c r="F5483" s="18" t="s">
        <v>92</v>
      </c>
      <c r="G5483" s="18" t="s">
        <v>48</v>
      </c>
      <c r="H5483" s="24">
        <v>14190</v>
      </c>
      <c r="I5483" s="24">
        <f>T_reg.root.SK[[#This Row],[Volume, kg]]/1000</f>
        <v>14.19</v>
      </c>
      <c r="J5483" s="25">
        <v>0.2175</v>
      </c>
      <c r="K5483" s="25">
        <f t="shared" si="85"/>
        <v>3086.3249999999998</v>
      </c>
      <c r="L5483" s="25">
        <v>1.85</v>
      </c>
      <c r="M5483" s="24">
        <v>26251.5</v>
      </c>
      <c r="N5483" s="25">
        <f>IFERROR(T_reg.root.SK[[#This Row],[Price]]/T_reg.root.SK[[#This Row],[Starch content]],"")</f>
        <v>8.5057471264367823</v>
      </c>
    </row>
    <row r="5484" spans="1:14">
      <c r="A5484" s="21">
        <v>2025</v>
      </c>
      <c r="B5484" s="21" t="s">
        <v>21</v>
      </c>
      <c r="C5484" s="21" t="s">
        <v>1145</v>
      </c>
      <c r="D5484" s="21" t="s">
        <v>35</v>
      </c>
      <c r="E5484" s="18" t="s">
        <v>679</v>
      </c>
      <c r="F5484" s="18" t="s">
        <v>92</v>
      </c>
      <c r="G5484" s="18" t="s">
        <v>48</v>
      </c>
      <c r="H5484" s="24">
        <v>10010</v>
      </c>
      <c r="I5484" s="24">
        <f>T_reg.root.SK[[#This Row],[Volume, kg]]/1000</f>
        <v>10.01</v>
      </c>
      <c r="J5484" s="25">
        <v>0.20449999999999999</v>
      </c>
      <c r="K5484" s="25">
        <f t="shared" si="85"/>
        <v>2047.0449999999998</v>
      </c>
      <c r="L5484" s="25">
        <v>1.75</v>
      </c>
      <c r="M5484" s="24">
        <v>17517.5</v>
      </c>
      <c r="N5484" s="25">
        <f>IFERROR(T_reg.root.SK[[#This Row],[Price]]/T_reg.root.SK[[#This Row],[Starch content]],"")</f>
        <v>8.5574572127139366</v>
      </c>
    </row>
    <row r="5485" spans="1:14">
      <c r="A5485" s="21">
        <v>2025</v>
      </c>
      <c r="B5485" s="21" t="s">
        <v>21</v>
      </c>
      <c r="C5485" s="21" t="s">
        <v>1145</v>
      </c>
      <c r="D5485" s="21" t="s">
        <v>35</v>
      </c>
      <c r="E5485" s="18" t="s">
        <v>561</v>
      </c>
      <c r="F5485" s="18" t="s">
        <v>105</v>
      </c>
      <c r="G5485" s="18" t="s">
        <v>48</v>
      </c>
      <c r="H5485" s="24">
        <v>21100</v>
      </c>
      <c r="I5485" s="24">
        <f>T_reg.root.SK[[#This Row],[Volume, kg]]/1000</f>
        <v>21.1</v>
      </c>
      <c r="J5485" s="25">
        <v>0.25390000000000001</v>
      </c>
      <c r="K5485" s="25">
        <f t="shared" si="85"/>
        <v>5357.29</v>
      </c>
      <c r="L5485" s="25">
        <v>1.98</v>
      </c>
      <c r="M5485" s="24">
        <v>41708.5</v>
      </c>
      <c r="N5485" s="25">
        <f>IFERROR(T_reg.root.SK[[#This Row],[Price]]/T_reg.root.SK[[#This Row],[Starch content]],"")</f>
        <v>7.7983458054352104</v>
      </c>
    </row>
    <row r="5486" spans="1:14">
      <c r="A5486" s="21">
        <v>2025</v>
      </c>
      <c r="B5486" s="21" t="s">
        <v>21</v>
      </c>
      <c r="C5486" s="21" t="s">
        <v>1145</v>
      </c>
      <c r="D5486" s="21" t="s">
        <v>35</v>
      </c>
      <c r="E5486" s="18" t="s">
        <v>118</v>
      </c>
      <c r="F5486" s="18" t="s">
        <v>105</v>
      </c>
      <c r="G5486" s="18" t="s">
        <v>48</v>
      </c>
      <c r="H5486" s="24">
        <v>586380</v>
      </c>
      <c r="I5486" s="24">
        <f>T_reg.root.SK[[#This Row],[Volume, kg]]/1000</f>
        <v>586.38</v>
      </c>
      <c r="J5486" s="25">
        <v>0.1993</v>
      </c>
      <c r="K5486" s="25">
        <f t="shared" si="85"/>
        <v>116865.534</v>
      </c>
      <c r="L5486" s="25">
        <v>1.74</v>
      </c>
      <c r="M5486" s="24">
        <v>1022155</v>
      </c>
      <c r="N5486" s="25">
        <f>IFERROR(T_reg.root.SK[[#This Row],[Price]]/T_reg.root.SK[[#This Row],[Starch content]],"")</f>
        <v>8.7305569493226294</v>
      </c>
    </row>
    <row r="5487" spans="1:14">
      <c r="A5487" s="21">
        <v>2025</v>
      </c>
      <c r="B5487" s="21" t="s">
        <v>21</v>
      </c>
      <c r="C5487" s="21" t="s">
        <v>1145</v>
      </c>
      <c r="D5487" s="21" t="s">
        <v>39</v>
      </c>
      <c r="E5487" s="18" t="s">
        <v>101</v>
      </c>
      <c r="F5487" s="18" t="s">
        <v>102</v>
      </c>
      <c r="G5487" s="18" t="s">
        <v>103</v>
      </c>
      <c r="H5487" s="24">
        <v>461450</v>
      </c>
      <c r="I5487" s="24">
        <f>T_reg.root.SK[[#This Row],[Volume, kg]]/1000</f>
        <v>461.45</v>
      </c>
      <c r="J5487" s="25">
        <v>0.21050000000000002</v>
      </c>
      <c r="K5487" s="25">
        <f t="shared" si="85"/>
        <v>97135.225000000006</v>
      </c>
      <c r="L5487" s="25">
        <v>1.88</v>
      </c>
      <c r="M5487" s="24">
        <v>867391.5</v>
      </c>
      <c r="N5487" s="25">
        <f>IFERROR(T_reg.root.SK[[#This Row],[Price]]/T_reg.root.SK[[#This Row],[Starch content]],"")</f>
        <v>8.9311163895486914</v>
      </c>
    </row>
    <row r="5488" spans="1:14">
      <c r="A5488" s="21">
        <v>2025</v>
      </c>
      <c r="B5488" s="21" t="s">
        <v>21</v>
      </c>
      <c r="C5488" s="21" t="s">
        <v>1145</v>
      </c>
      <c r="D5488" s="21" t="s">
        <v>35</v>
      </c>
      <c r="E5488" s="18" t="s">
        <v>122</v>
      </c>
      <c r="F5488" s="18" t="s">
        <v>105</v>
      </c>
      <c r="G5488" s="18" t="s">
        <v>48</v>
      </c>
      <c r="H5488" s="24">
        <v>198190</v>
      </c>
      <c r="I5488" s="24">
        <f>T_reg.root.SK[[#This Row],[Volume, kg]]/1000</f>
        <v>198.19</v>
      </c>
      <c r="J5488" s="25">
        <v>0.2366</v>
      </c>
      <c r="K5488" s="25">
        <f t="shared" si="85"/>
        <v>46891.754000000001</v>
      </c>
      <c r="L5488" s="25">
        <v>1.9</v>
      </c>
      <c r="M5488" s="24">
        <v>375611.5</v>
      </c>
      <c r="N5488" s="25">
        <f>IFERROR(T_reg.root.SK[[#This Row],[Price]]/T_reg.root.SK[[#This Row],[Starch content]],"")</f>
        <v>8.0304311073541843</v>
      </c>
    </row>
    <row r="5489" spans="1:14">
      <c r="A5489" s="21">
        <v>2025</v>
      </c>
      <c r="B5489" s="21" t="s">
        <v>21</v>
      </c>
      <c r="C5489" s="21" t="s">
        <v>1145</v>
      </c>
      <c r="D5489" s="21" t="s">
        <v>35</v>
      </c>
      <c r="E5489" s="18" t="s">
        <v>123</v>
      </c>
      <c r="F5489" s="18" t="s">
        <v>105</v>
      </c>
      <c r="G5489" s="18" t="s">
        <v>48</v>
      </c>
      <c r="H5489" s="24">
        <v>35940</v>
      </c>
      <c r="I5489" s="24">
        <f>T_reg.root.SK[[#This Row],[Volume, kg]]/1000</f>
        <v>35.94</v>
      </c>
      <c r="J5489" s="25">
        <v>0.2155</v>
      </c>
      <c r="K5489" s="25">
        <f t="shared" si="85"/>
        <v>7745.07</v>
      </c>
      <c r="L5489" s="25">
        <v>1.82</v>
      </c>
      <c r="M5489" s="24">
        <v>65267</v>
      </c>
      <c r="N5489" s="25">
        <f>IFERROR(T_reg.root.SK[[#This Row],[Price]]/T_reg.root.SK[[#This Row],[Starch content]],"")</f>
        <v>8.445475638051045</v>
      </c>
    </row>
    <row r="5490" spans="1:14">
      <c r="A5490" s="21">
        <v>2025</v>
      </c>
      <c r="B5490" s="21" t="s">
        <v>21</v>
      </c>
      <c r="C5490" s="21" t="s">
        <v>1145</v>
      </c>
      <c r="D5490" s="21" t="s">
        <v>39</v>
      </c>
      <c r="E5490" s="18" t="s">
        <v>98</v>
      </c>
      <c r="F5490" s="18" t="s">
        <v>99</v>
      </c>
      <c r="G5490" s="18" t="s">
        <v>42</v>
      </c>
      <c r="H5490" s="24">
        <v>3115670</v>
      </c>
      <c r="I5490" s="24">
        <f>T_reg.root.SK[[#This Row],[Volume, kg]]/1000</f>
        <v>3115.67</v>
      </c>
      <c r="J5490" s="25">
        <v>0.22670000000000001</v>
      </c>
      <c r="K5490" s="25">
        <f t="shared" si="85"/>
        <v>706322.38900000008</v>
      </c>
      <c r="L5490" s="25">
        <v>1.91</v>
      </c>
      <c r="M5490" s="24">
        <v>5936491.5</v>
      </c>
      <c r="N5490" s="25">
        <f>IFERROR(T_reg.root.SK[[#This Row],[Price]]/T_reg.root.SK[[#This Row],[Starch content]],"")</f>
        <v>8.4252315835906479</v>
      </c>
    </row>
    <row r="5491" spans="1:14">
      <c r="A5491" s="21">
        <v>2025</v>
      </c>
      <c r="B5491" s="21" t="s">
        <v>21</v>
      </c>
      <c r="C5491" s="21" t="s">
        <v>1145</v>
      </c>
      <c r="D5491" s="21" t="s">
        <v>35</v>
      </c>
      <c r="E5491" s="18" t="s">
        <v>238</v>
      </c>
      <c r="F5491" s="18" t="s">
        <v>105</v>
      </c>
      <c r="G5491" s="18" t="s">
        <v>48</v>
      </c>
      <c r="H5491" s="24">
        <v>86750</v>
      </c>
      <c r="I5491" s="24">
        <f>T_reg.root.SK[[#This Row],[Volume, kg]]/1000</f>
        <v>86.75</v>
      </c>
      <c r="J5491" s="25">
        <v>0.2054</v>
      </c>
      <c r="K5491" s="25">
        <f t="shared" si="85"/>
        <v>17818.45</v>
      </c>
      <c r="L5491" s="25">
        <v>1.71</v>
      </c>
      <c r="M5491" s="24">
        <v>148022.5</v>
      </c>
      <c r="N5491" s="25">
        <f>IFERROR(T_reg.root.SK[[#This Row],[Price]]/T_reg.root.SK[[#This Row],[Starch content]],"")</f>
        <v>8.3252190847127547</v>
      </c>
    </row>
    <row r="5492" spans="1:14">
      <c r="A5492" s="21">
        <v>2025</v>
      </c>
      <c r="B5492" s="21" t="s">
        <v>21</v>
      </c>
      <c r="C5492" s="21" t="s">
        <v>1145</v>
      </c>
      <c r="D5492" s="21" t="s">
        <v>39</v>
      </c>
      <c r="E5492" s="18" t="s">
        <v>346</v>
      </c>
      <c r="F5492" s="18" t="s">
        <v>99</v>
      </c>
      <c r="G5492" s="18" t="s">
        <v>42</v>
      </c>
      <c r="H5492" s="24">
        <v>2086360</v>
      </c>
      <c r="I5492" s="24">
        <f>T_reg.root.SK[[#This Row],[Volume, kg]]/1000</f>
        <v>2086.36</v>
      </c>
      <c r="J5492" s="25">
        <v>0.2316</v>
      </c>
      <c r="K5492" s="25">
        <f t="shared" si="85"/>
        <v>483200.97600000002</v>
      </c>
      <c r="L5492" s="25">
        <v>1.92</v>
      </c>
      <c r="M5492" s="24">
        <v>3996268</v>
      </c>
      <c r="N5492" s="25">
        <f>IFERROR(T_reg.root.SK[[#This Row],[Price]]/T_reg.root.SK[[#This Row],[Starch content]],"")</f>
        <v>8.290155440414507</v>
      </c>
    </row>
    <row r="5493" spans="1:14">
      <c r="A5493" s="21">
        <v>2025</v>
      </c>
      <c r="B5493" s="21" t="s">
        <v>21</v>
      </c>
      <c r="C5493" s="21" t="s">
        <v>1145</v>
      </c>
      <c r="D5493" s="21" t="s">
        <v>35</v>
      </c>
      <c r="E5493" s="18" t="s">
        <v>826</v>
      </c>
      <c r="F5493" s="18" t="s">
        <v>105</v>
      </c>
      <c r="G5493" s="18" t="s">
        <v>48</v>
      </c>
      <c r="H5493" s="24">
        <v>27500</v>
      </c>
      <c r="I5493" s="24">
        <f>T_reg.root.SK[[#This Row],[Volume, kg]]/1000</f>
        <v>27.5</v>
      </c>
      <c r="J5493" s="25">
        <v>0.19059999999999999</v>
      </c>
      <c r="K5493" s="25">
        <f t="shared" si="85"/>
        <v>5241.5</v>
      </c>
      <c r="L5493" s="25">
        <v>1.71</v>
      </c>
      <c r="M5493" s="24">
        <v>47042</v>
      </c>
      <c r="N5493" s="25">
        <f>IFERROR(T_reg.root.SK[[#This Row],[Price]]/T_reg.root.SK[[#This Row],[Starch content]],"")</f>
        <v>8.9716684155299049</v>
      </c>
    </row>
    <row r="5494" spans="1:14">
      <c r="A5494" s="21">
        <v>2025</v>
      </c>
      <c r="B5494" s="21" t="s">
        <v>21</v>
      </c>
      <c r="C5494" s="21" t="s">
        <v>1145</v>
      </c>
      <c r="D5494" s="21" t="s">
        <v>35</v>
      </c>
      <c r="E5494" s="18" t="s">
        <v>946</v>
      </c>
      <c r="F5494" s="18" t="s">
        <v>105</v>
      </c>
      <c r="G5494" s="18" t="s">
        <v>48</v>
      </c>
      <c r="H5494" s="24">
        <v>25110</v>
      </c>
      <c r="I5494" s="24">
        <f>T_reg.root.SK[[#This Row],[Volume, kg]]/1000</f>
        <v>25.11</v>
      </c>
      <c r="J5494" s="25">
        <v>0.20170000000000002</v>
      </c>
      <c r="K5494" s="25">
        <f t="shared" si="85"/>
        <v>5064.6870000000008</v>
      </c>
      <c r="L5494" s="25">
        <v>1.76</v>
      </c>
      <c r="M5494" s="24">
        <v>44076.5</v>
      </c>
      <c r="N5494" s="25">
        <f>IFERROR(T_reg.root.SK[[#This Row],[Price]]/T_reg.root.SK[[#This Row],[Starch content]],"")</f>
        <v>8.7258304412493803</v>
      </c>
    </row>
    <row r="5495" spans="1:14">
      <c r="A5495" s="21">
        <v>2025</v>
      </c>
      <c r="B5495" s="21" t="s">
        <v>21</v>
      </c>
      <c r="C5495" s="21" t="s">
        <v>1145</v>
      </c>
      <c r="D5495" s="21" t="s">
        <v>35</v>
      </c>
      <c r="E5495" s="18" t="s">
        <v>975</v>
      </c>
      <c r="F5495" s="18" t="s">
        <v>105</v>
      </c>
      <c r="G5495" s="18" t="s">
        <v>48</v>
      </c>
      <c r="H5495" s="24">
        <v>165890</v>
      </c>
      <c r="I5495" s="24">
        <f>T_reg.root.SK[[#This Row],[Volume, kg]]/1000</f>
        <v>165.89</v>
      </c>
      <c r="J5495" s="25">
        <v>0.2029</v>
      </c>
      <c r="K5495" s="25">
        <f t="shared" si="85"/>
        <v>33659.080999999998</v>
      </c>
      <c r="L5495" s="25">
        <v>1.75</v>
      </c>
      <c r="M5495" s="24">
        <v>291067</v>
      </c>
      <c r="N5495" s="25">
        <f>IFERROR(T_reg.root.SK[[#This Row],[Price]]/T_reg.root.SK[[#This Row],[Starch content]],"")</f>
        <v>8.6249383932971906</v>
      </c>
    </row>
    <row r="5496" spans="1:14">
      <c r="A5496" s="21">
        <v>2025</v>
      </c>
      <c r="B5496" s="21" t="s">
        <v>21</v>
      </c>
      <c r="C5496" s="21" t="s">
        <v>1145</v>
      </c>
      <c r="D5496" s="21" t="s">
        <v>35</v>
      </c>
      <c r="E5496" s="18" t="s">
        <v>239</v>
      </c>
      <c r="F5496" s="18" t="s">
        <v>105</v>
      </c>
      <c r="G5496" s="18" t="s">
        <v>48</v>
      </c>
      <c r="H5496" s="24">
        <v>28700</v>
      </c>
      <c r="I5496" s="24">
        <f>T_reg.root.SK[[#This Row],[Volume, kg]]/1000</f>
        <v>28.7</v>
      </c>
      <c r="J5496" s="25">
        <v>0.2402</v>
      </c>
      <c r="K5496" s="25">
        <f t="shared" si="85"/>
        <v>6893.74</v>
      </c>
      <c r="L5496" s="25">
        <v>1.95</v>
      </c>
      <c r="M5496" s="24">
        <v>55944.5</v>
      </c>
      <c r="N5496" s="25">
        <f>IFERROR(T_reg.root.SK[[#This Row],[Price]]/T_reg.root.SK[[#This Row],[Starch content]],"")</f>
        <v>8.1182348043297257</v>
      </c>
    </row>
    <row r="5497" spans="1:14">
      <c r="A5497" s="21">
        <v>2025</v>
      </c>
      <c r="B5497" s="21" t="s">
        <v>21</v>
      </c>
      <c r="C5497" s="21" t="s">
        <v>1145</v>
      </c>
      <c r="D5497" s="21" t="s">
        <v>35</v>
      </c>
      <c r="E5497" s="18" t="s">
        <v>625</v>
      </c>
      <c r="F5497" s="18" t="s">
        <v>47</v>
      </c>
      <c r="G5497" s="18" t="s">
        <v>48</v>
      </c>
      <c r="H5497" s="24">
        <v>62290</v>
      </c>
      <c r="I5497" s="24">
        <f>T_reg.root.SK[[#This Row],[Volume, kg]]/1000</f>
        <v>62.29</v>
      </c>
      <c r="J5497" s="25">
        <v>0.22750000000000001</v>
      </c>
      <c r="K5497" s="25">
        <f t="shared" si="85"/>
        <v>14170.975</v>
      </c>
      <c r="L5497" s="25">
        <v>1.87</v>
      </c>
      <c r="M5497" s="24">
        <v>116347.5</v>
      </c>
      <c r="N5497" s="25">
        <f>IFERROR(T_reg.root.SK[[#This Row],[Price]]/T_reg.root.SK[[#This Row],[Starch content]],"")</f>
        <v>8.2197802197802208</v>
      </c>
    </row>
    <row r="5498" spans="1:14">
      <c r="A5498" s="21">
        <v>2025</v>
      </c>
      <c r="B5498" s="21" t="s">
        <v>21</v>
      </c>
      <c r="C5498" s="21" t="s">
        <v>1145</v>
      </c>
      <c r="D5498" s="21" t="s">
        <v>35</v>
      </c>
      <c r="E5498" s="18" t="s">
        <v>124</v>
      </c>
      <c r="F5498" s="18" t="s">
        <v>105</v>
      </c>
      <c r="G5498" s="18" t="s">
        <v>48</v>
      </c>
      <c r="H5498" s="24">
        <v>1580</v>
      </c>
      <c r="I5498" s="24">
        <f>T_reg.root.SK[[#This Row],[Volume, kg]]/1000</f>
        <v>1.58</v>
      </c>
      <c r="J5498" s="25">
        <v>0.23449999999999999</v>
      </c>
      <c r="K5498" s="25">
        <f t="shared" si="85"/>
        <v>370.51</v>
      </c>
      <c r="L5498" s="25">
        <v>1.9</v>
      </c>
      <c r="M5498" s="24">
        <v>3002</v>
      </c>
      <c r="N5498" s="25">
        <f>IFERROR(T_reg.root.SK[[#This Row],[Price]]/T_reg.root.SK[[#This Row],[Starch content]],"")</f>
        <v>8.1023454157782524</v>
      </c>
    </row>
    <row r="5499" spans="1:14">
      <c r="A5499" s="21">
        <v>2025</v>
      </c>
      <c r="B5499" s="21" t="s">
        <v>21</v>
      </c>
      <c r="C5499" s="21" t="s">
        <v>1145</v>
      </c>
      <c r="D5499" s="21" t="s">
        <v>35</v>
      </c>
      <c r="E5499" s="18" t="s">
        <v>563</v>
      </c>
      <c r="F5499" s="18" t="s">
        <v>105</v>
      </c>
      <c r="G5499" s="18" t="s">
        <v>48</v>
      </c>
      <c r="H5499" s="24">
        <v>9390</v>
      </c>
      <c r="I5499" s="24">
        <f>T_reg.root.SK[[#This Row],[Volume, kg]]/1000</f>
        <v>9.39</v>
      </c>
      <c r="J5499" s="25">
        <v>0.26850000000000002</v>
      </c>
      <c r="K5499" s="25">
        <f t="shared" si="85"/>
        <v>2521.2150000000001</v>
      </c>
      <c r="L5499" s="25">
        <v>2.1</v>
      </c>
      <c r="M5499" s="24">
        <v>19719</v>
      </c>
      <c r="N5499" s="25">
        <f>IFERROR(T_reg.root.SK[[#This Row],[Price]]/T_reg.root.SK[[#This Row],[Starch content]],"")</f>
        <v>7.8212290502793298</v>
      </c>
    </row>
    <row r="5500" spans="1:14">
      <c r="A5500" s="21">
        <v>2025</v>
      </c>
      <c r="B5500" s="21" t="s">
        <v>21</v>
      </c>
      <c r="C5500" s="21" t="s">
        <v>1145</v>
      </c>
      <c r="D5500" s="21" t="s">
        <v>35</v>
      </c>
      <c r="E5500" s="18" t="s">
        <v>715</v>
      </c>
      <c r="F5500" s="18" t="s">
        <v>105</v>
      </c>
      <c r="G5500" s="18" t="s">
        <v>48</v>
      </c>
      <c r="H5500" s="24">
        <v>72020</v>
      </c>
      <c r="I5500" s="24">
        <f>T_reg.root.SK[[#This Row],[Volume, kg]]/1000</f>
        <v>72.02</v>
      </c>
      <c r="J5500" s="25">
        <v>0.22760000000000002</v>
      </c>
      <c r="K5500" s="25">
        <f t="shared" si="85"/>
        <v>16391.752</v>
      </c>
      <c r="L5500" s="25">
        <v>1.89</v>
      </c>
      <c r="M5500" s="24">
        <v>136053.5</v>
      </c>
      <c r="N5500" s="25">
        <f>IFERROR(T_reg.root.SK[[#This Row],[Price]]/T_reg.root.SK[[#This Row],[Starch content]],"")</f>
        <v>8.3040421792618613</v>
      </c>
    </row>
    <row r="5501" spans="1:14">
      <c r="A5501" s="21">
        <v>2025</v>
      </c>
      <c r="B5501" s="21" t="s">
        <v>21</v>
      </c>
      <c r="C5501" s="21" t="s">
        <v>1145</v>
      </c>
      <c r="D5501" s="21" t="s">
        <v>35</v>
      </c>
      <c r="E5501" s="18" t="s">
        <v>125</v>
      </c>
      <c r="F5501" s="18" t="s">
        <v>105</v>
      </c>
      <c r="G5501" s="18" t="s">
        <v>48</v>
      </c>
      <c r="H5501" s="24">
        <v>19510</v>
      </c>
      <c r="I5501" s="24">
        <f>T_reg.root.SK[[#This Row],[Volume, kg]]/1000</f>
        <v>19.510000000000002</v>
      </c>
      <c r="J5501" s="25">
        <v>0.16969999999999999</v>
      </c>
      <c r="K5501" s="25">
        <f t="shared" si="85"/>
        <v>3310.8469999999998</v>
      </c>
      <c r="L5501" s="25">
        <v>1.55</v>
      </c>
      <c r="M5501" s="24">
        <v>30240.5</v>
      </c>
      <c r="N5501" s="25">
        <f>IFERROR(T_reg.root.SK[[#This Row],[Price]]/T_reg.root.SK[[#This Row],[Starch content]],"")</f>
        <v>9.1337654684737775</v>
      </c>
    </row>
    <row r="5502" spans="1:14">
      <c r="A5502" s="21">
        <v>2025</v>
      </c>
      <c r="B5502" s="21" t="s">
        <v>21</v>
      </c>
      <c r="C5502" s="21" t="s">
        <v>1145</v>
      </c>
      <c r="D5502" s="21" t="s">
        <v>35</v>
      </c>
      <c r="E5502" s="18" t="s">
        <v>1008</v>
      </c>
      <c r="F5502" s="18" t="s">
        <v>105</v>
      </c>
      <c r="G5502" s="18" t="s">
        <v>48</v>
      </c>
      <c r="H5502" s="24">
        <v>51670</v>
      </c>
      <c r="I5502" s="24">
        <f>T_reg.root.SK[[#This Row],[Volume, kg]]/1000</f>
        <v>51.67</v>
      </c>
      <c r="J5502" s="25">
        <v>0.24739999999999998</v>
      </c>
      <c r="K5502" s="25">
        <f t="shared" si="85"/>
        <v>12783.157999999999</v>
      </c>
      <c r="L5502" s="25">
        <v>1.99</v>
      </c>
      <c r="M5502" s="24">
        <v>102769.5</v>
      </c>
      <c r="N5502" s="25">
        <f>IFERROR(T_reg.root.SK[[#This Row],[Price]]/T_reg.root.SK[[#This Row],[Starch content]],"")</f>
        <v>8.0436540016168152</v>
      </c>
    </row>
    <row r="5503" spans="1:14">
      <c r="A5503" s="21">
        <v>2025</v>
      </c>
      <c r="B5503" s="21" t="s">
        <v>21</v>
      </c>
      <c r="C5503" s="21" t="s">
        <v>1145</v>
      </c>
      <c r="D5503" s="21" t="s">
        <v>35</v>
      </c>
      <c r="E5503" s="18" t="s">
        <v>813</v>
      </c>
      <c r="F5503" s="18" t="s">
        <v>187</v>
      </c>
      <c r="G5503" s="18" t="s">
        <v>48</v>
      </c>
      <c r="H5503" s="24">
        <v>9820</v>
      </c>
      <c r="I5503" s="24">
        <f>T_reg.root.SK[[#This Row],[Volume, kg]]/1000</f>
        <v>9.82</v>
      </c>
      <c r="J5503" s="25">
        <v>0.22450000000000001</v>
      </c>
      <c r="K5503" s="25">
        <f t="shared" si="85"/>
        <v>2204.59</v>
      </c>
      <c r="L5503" s="25">
        <v>1.8</v>
      </c>
      <c r="M5503" s="24">
        <v>17676</v>
      </c>
      <c r="N5503" s="25">
        <f>IFERROR(T_reg.root.SK[[#This Row],[Price]]/T_reg.root.SK[[#This Row],[Starch content]],"")</f>
        <v>8.0178173719376389</v>
      </c>
    </row>
    <row r="5504" spans="1:14">
      <c r="A5504" s="21">
        <v>2025</v>
      </c>
      <c r="B5504" s="21" t="s">
        <v>21</v>
      </c>
      <c r="C5504" s="21" t="s">
        <v>1145</v>
      </c>
      <c r="D5504" s="21" t="s">
        <v>35</v>
      </c>
      <c r="E5504" s="18" t="s">
        <v>977</v>
      </c>
      <c r="F5504" s="18" t="s">
        <v>105</v>
      </c>
      <c r="G5504" s="18" t="s">
        <v>48</v>
      </c>
      <c r="H5504" s="24">
        <v>25010</v>
      </c>
      <c r="I5504" s="24">
        <f>T_reg.root.SK[[#This Row],[Volume, kg]]/1000</f>
        <v>25.01</v>
      </c>
      <c r="J5504" s="25">
        <v>0.19239999999999999</v>
      </c>
      <c r="K5504" s="25">
        <f t="shared" si="85"/>
        <v>4811.924</v>
      </c>
      <c r="L5504" s="25">
        <v>1.7</v>
      </c>
      <c r="M5504" s="24">
        <v>42628</v>
      </c>
      <c r="N5504" s="25">
        <f>IFERROR(T_reg.root.SK[[#This Row],[Price]]/T_reg.root.SK[[#This Row],[Starch content]],"")</f>
        <v>8.8357588357588366</v>
      </c>
    </row>
    <row r="5505" spans="1:14">
      <c r="A5505" s="21">
        <v>2025</v>
      </c>
      <c r="B5505" s="21" t="s">
        <v>21</v>
      </c>
      <c r="C5505" s="21" t="s">
        <v>1145</v>
      </c>
      <c r="D5505" s="21" t="s">
        <v>35</v>
      </c>
      <c r="E5505" s="18" t="s">
        <v>240</v>
      </c>
      <c r="F5505" s="18" t="s">
        <v>105</v>
      </c>
      <c r="G5505" s="18" t="s">
        <v>48</v>
      </c>
      <c r="H5505" s="24">
        <v>22110</v>
      </c>
      <c r="I5505" s="24">
        <f>T_reg.root.SK[[#This Row],[Volume, kg]]/1000</f>
        <v>22.11</v>
      </c>
      <c r="J5505" s="25">
        <v>0.24679999999999999</v>
      </c>
      <c r="K5505" s="25">
        <f t="shared" si="85"/>
        <v>5456.7479999999996</v>
      </c>
      <c r="L5505" s="25">
        <v>1.94</v>
      </c>
      <c r="M5505" s="24">
        <v>42874</v>
      </c>
      <c r="N5505" s="25">
        <f>IFERROR(T_reg.root.SK[[#This Row],[Price]]/T_reg.root.SK[[#This Row],[Starch content]],"")</f>
        <v>7.8606158833063207</v>
      </c>
    </row>
    <row r="5506" spans="1:14">
      <c r="A5506" s="21">
        <v>2025</v>
      </c>
      <c r="B5506" s="21" t="s">
        <v>21</v>
      </c>
      <c r="C5506" s="21" t="s">
        <v>1145</v>
      </c>
      <c r="D5506" s="21" t="s">
        <v>35</v>
      </c>
      <c r="E5506" s="18" t="s">
        <v>736</v>
      </c>
      <c r="F5506" s="18" t="s">
        <v>105</v>
      </c>
      <c r="G5506" s="18" t="s">
        <v>48</v>
      </c>
      <c r="H5506" s="24">
        <v>221780</v>
      </c>
      <c r="I5506" s="24">
        <f>T_reg.root.SK[[#This Row],[Volume, kg]]/1000</f>
        <v>221.78</v>
      </c>
      <c r="J5506" s="25">
        <v>0.2278</v>
      </c>
      <c r="K5506" s="25">
        <f t="shared" si="85"/>
        <v>50521.484000000004</v>
      </c>
      <c r="L5506" s="25">
        <v>1.86</v>
      </c>
      <c r="M5506" s="24">
        <v>413532</v>
      </c>
      <c r="N5506" s="25">
        <f>IFERROR(T_reg.root.SK[[#This Row],[Price]]/T_reg.root.SK[[#This Row],[Starch content]],"")</f>
        <v>8.1650570676031613</v>
      </c>
    </row>
    <row r="5507" spans="1:14">
      <c r="A5507" s="21">
        <v>2025</v>
      </c>
      <c r="B5507" s="21" t="s">
        <v>21</v>
      </c>
      <c r="C5507" s="21" t="s">
        <v>1145</v>
      </c>
      <c r="D5507" s="21" t="s">
        <v>35</v>
      </c>
      <c r="E5507" s="18" t="s">
        <v>465</v>
      </c>
      <c r="F5507" s="18" t="s">
        <v>47</v>
      </c>
      <c r="G5507" s="18" t="s">
        <v>48</v>
      </c>
      <c r="H5507" s="24">
        <v>52400</v>
      </c>
      <c r="I5507" s="24">
        <f>T_reg.root.SK[[#This Row],[Volume, kg]]/1000</f>
        <v>52.4</v>
      </c>
      <c r="J5507" s="25">
        <v>0.22120000000000001</v>
      </c>
      <c r="K5507" s="25">
        <f t="shared" ref="K5507:K5570" si="86">H5507*J5507</f>
        <v>11590.880000000001</v>
      </c>
      <c r="L5507" s="25">
        <v>1.85</v>
      </c>
      <c r="M5507" s="24">
        <v>97027.5</v>
      </c>
      <c r="N5507" s="25">
        <f>IFERROR(T_reg.root.SK[[#This Row],[Price]]/T_reg.root.SK[[#This Row],[Starch content]],"")</f>
        <v>8.3634719710669074</v>
      </c>
    </row>
    <row r="5508" spans="1:14">
      <c r="A5508" s="21">
        <v>2025</v>
      </c>
      <c r="B5508" s="21" t="s">
        <v>21</v>
      </c>
      <c r="C5508" s="21" t="s">
        <v>1145</v>
      </c>
      <c r="D5508" s="21" t="s">
        <v>35</v>
      </c>
      <c r="E5508" s="18" t="s">
        <v>58</v>
      </c>
      <c r="F5508" s="18" t="s">
        <v>47</v>
      </c>
      <c r="G5508" s="18" t="s">
        <v>48</v>
      </c>
      <c r="H5508" s="24">
        <v>68310</v>
      </c>
      <c r="I5508" s="24">
        <f>T_reg.root.SK[[#This Row],[Volume, kg]]/1000</f>
        <v>68.31</v>
      </c>
      <c r="J5508" s="25">
        <v>0.2366</v>
      </c>
      <c r="K5508" s="25">
        <f t="shared" si="86"/>
        <v>16162.146000000001</v>
      </c>
      <c r="L5508" s="25">
        <v>1.91</v>
      </c>
      <c r="M5508" s="24">
        <v>130133.5</v>
      </c>
      <c r="N5508" s="25">
        <f>IFERROR(T_reg.root.SK[[#This Row],[Price]]/T_reg.root.SK[[#This Row],[Starch content]],"")</f>
        <v>8.0726965342349946</v>
      </c>
    </row>
    <row r="5509" spans="1:14">
      <c r="A5509" s="21">
        <v>2025</v>
      </c>
      <c r="B5509" s="21" t="s">
        <v>21</v>
      </c>
      <c r="C5509" s="21" t="s">
        <v>1145</v>
      </c>
      <c r="D5509" s="21" t="s">
        <v>35</v>
      </c>
      <c r="E5509" s="18" t="s">
        <v>590</v>
      </c>
      <c r="F5509" s="18" t="s">
        <v>187</v>
      </c>
      <c r="G5509" s="18" t="s">
        <v>48</v>
      </c>
      <c r="H5509" s="24">
        <v>100830</v>
      </c>
      <c r="I5509" s="24">
        <f>T_reg.root.SK[[#This Row],[Volume, kg]]/1000</f>
        <v>100.83</v>
      </c>
      <c r="J5509" s="25">
        <v>0.26300000000000001</v>
      </c>
      <c r="K5509" s="25">
        <f t="shared" si="86"/>
        <v>26518.29</v>
      </c>
      <c r="L5509" s="25">
        <v>2.0099999999999998</v>
      </c>
      <c r="M5509" s="24">
        <v>202574.5</v>
      </c>
      <c r="N5509" s="25">
        <f>IFERROR(T_reg.root.SK[[#This Row],[Price]]/T_reg.root.SK[[#This Row],[Starch content]],"")</f>
        <v>7.6425855513307974</v>
      </c>
    </row>
    <row r="5510" spans="1:14">
      <c r="A5510" s="21">
        <v>2025</v>
      </c>
      <c r="B5510" s="21" t="s">
        <v>21</v>
      </c>
      <c r="C5510" s="21" t="s">
        <v>1145</v>
      </c>
      <c r="D5510" s="21" t="s">
        <v>35</v>
      </c>
      <c r="E5510" s="18" t="s">
        <v>337</v>
      </c>
      <c r="F5510" s="18" t="s">
        <v>47</v>
      </c>
      <c r="G5510" s="18" t="s">
        <v>48</v>
      </c>
      <c r="H5510" s="24">
        <v>7480</v>
      </c>
      <c r="I5510" s="24">
        <f>T_reg.root.SK[[#This Row],[Volume, kg]]/1000</f>
        <v>7.48</v>
      </c>
      <c r="J5510" s="25">
        <v>0.21899999999999997</v>
      </c>
      <c r="K5510" s="25">
        <f t="shared" si="86"/>
        <v>1638.12</v>
      </c>
      <c r="L5510" s="25">
        <v>1.8</v>
      </c>
      <c r="M5510" s="24">
        <v>13464</v>
      </c>
      <c r="N5510" s="25">
        <f>IFERROR(T_reg.root.SK[[#This Row],[Price]]/T_reg.root.SK[[#This Row],[Starch content]],"")</f>
        <v>8.2191780821917817</v>
      </c>
    </row>
    <row r="5511" spans="1:14">
      <c r="A5511" s="21">
        <v>2025</v>
      </c>
      <c r="B5511" s="21" t="s">
        <v>21</v>
      </c>
      <c r="C5511" s="21" t="s">
        <v>1145</v>
      </c>
      <c r="D5511" s="21" t="s">
        <v>35</v>
      </c>
      <c r="E5511" s="18" t="s">
        <v>127</v>
      </c>
      <c r="F5511" s="18" t="s">
        <v>105</v>
      </c>
      <c r="G5511" s="18" t="s">
        <v>48</v>
      </c>
      <c r="H5511" s="24">
        <v>36620</v>
      </c>
      <c r="I5511" s="24">
        <f>T_reg.root.SK[[#This Row],[Volume, kg]]/1000</f>
        <v>36.619999999999997</v>
      </c>
      <c r="J5511" s="25">
        <v>0.21350000000000002</v>
      </c>
      <c r="K5511" s="25">
        <f t="shared" si="86"/>
        <v>7818.3700000000008</v>
      </c>
      <c r="L5511" s="25">
        <v>1.81</v>
      </c>
      <c r="M5511" s="24">
        <v>66157.5</v>
      </c>
      <c r="N5511" s="25">
        <f>IFERROR(T_reg.root.SK[[#This Row],[Price]]/T_reg.root.SK[[#This Row],[Starch content]],"")</f>
        <v>8.4777517564402807</v>
      </c>
    </row>
    <row r="5512" spans="1:14">
      <c r="A5512" s="21">
        <v>2025</v>
      </c>
      <c r="B5512" s="21" t="s">
        <v>21</v>
      </c>
      <c r="C5512" s="21" t="s">
        <v>1145</v>
      </c>
      <c r="D5512" s="21" t="s">
        <v>35</v>
      </c>
      <c r="E5512" s="18" t="s">
        <v>635</v>
      </c>
      <c r="F5512" s="18" t="s">
        <v>105</v>
      </c>
      <c r="G5512" s="18" t="s">
        <v>48</v>
      </c>
      <c r="H5512" s="24">
        <v>26220</v>
      </c>
      <c r="I5512" s="24">
        <f>T_reg.root.SK[[#This Row],[Volume, kg]]/1000</f>
        <v>26.22</v>
      </c>
      <c r="J5512" s="25">
        <v>0.2107</v>
      </c>
      <c r="K5512" s="25">
        <f t="shared" si="86"/>
        <v>5524.5540000000001</v>
      </c>
      <c r="L5512" s="25">
        <v>1.72</v>
      </c>
      <c r="M5512" s="24">
        <v>44972</v>
      </c>
      <c r="N5512" s="25">
        <f>IFERROR(T_reg.root.SK[[#This Row],[Price]]/T_reg.root.SK[[#This Row],[Starch content]],"")</f>
        <v>8.1632653061224492</v>
      </c>
    </row>
    <row r="5513" spans="1:14">
      <c r="A5513" s="21">
        <v>2025</v>
      </c>
      <c r="B5513" s="21" t="s">
        <v>21</v>
      </c>
      <c r="C5513" s="21" t="s">
        <v>1145</v>
      </c>
      <c r="D5513" s="21" t="s">
        <v>35</v>
      </c>
      <c r="E5513" s="18" t="s">
        <v>129</v>
      </c>
      <c r="F5513" s="18" t="s">
        <v>105</v>
      </c>
      <c r="G5513" s="18" t="s">
        <v>48</v>
      </c>
      <c r="H5513" s="24">
        <v>46250</v>
      </c>
      <c r="I5513" s="24">
        <f>T_reg.root.SK[[#This Row],[Volume, kg]]/1000</f>
        <v>46.25</v>
      </c>
      <c r="J5513" s="25">
        <v>0.22769999999999999</v>
      </c>
      <c r="K5513" s="25">
        <f t="shared" si="86"/>
        <v>10531.125</v>
      </c>
      <c r="L5513" s="25">
        <v>1.88</v>
      </c>
      <c r="M5513" s="24">
        <v>86787.5</v>
      </c>
      <c r="N5513" s="25">
        <f>IFERROR(T_reg.root.SK[[#This Row],[Price]]/T_reg.root.SK[[#This Row],[Starch content]],"")</f>
        <v>8.2564778216952135</v>
      </c>
    </row>
    <row r="5514" spans="1:14">
      <c r="A5514" s="21">
        <v>2025</v>
      </c>
      <c r="B5514" s="21" t="s">
        <v>21</v>
      </c>
      <c r="C5514" s="21" t="s">
        <v>1145</v>
      </c>
      <c r="D5514" s="21" t="s">
        <v>35</v>
      </c>
      <c r="E5514" s="18" t="s">
        <v>131</v>
      </c>
      <c r="F5514" s="18" t="s">
        <v>105</v>
      </c>
      <c r="G5514" s="18" t="s">
        <v>48</v>
      </c>
      <c r="H5514" s="24">
        <v>13850</v>
      </c>
      <c r="I5514" s="24">
        <f>T_reg.root.SK[[#This Row],[Volume, kg]]/1000</f>
        <v>13.85</v>
      </c>
      <c r="J5514" s="25">
        <v>0.20989999999999998</v>
      </c>
      <c r="K5514" s="25">
        <f t="shared" si="86"/>
        <v>2907.1149999999998</v>
      </c>
      <c r="L5514" s="25">
        <v>1.76</v>
      </c>
      <c r="M5514" s="24">
        <v>24336</v>
      </c>
      <c r="N5514" s="25">
        <f>IFERROR(T_reg.root.SK[[#This Row],[Price]]/T_reg.root.SK[[#This Row],[Starch content]],"")</f>
        <v>8.384945212005718</v>
      </c>
    </row>
    <row r="5515" spans="1:14">
      <c r="A5515" s="21">
        <v>2025</v>
      </c>
      <c r="B5515" s="21" t="s">
        <v>21</v>
      </c>
      <c r="C5515" s="21" t="s">
        <v>1145</v>
      </c>
      <c r="D5515" s="21" t="s">
        <v>35</v>
      </c>
      <c r="E5515" s="18" t="s">
        <v>523</v>
      </c>
      <c r="F5515" s="18" t="s">
        <v>187</v>
      </c>
      <c r="G5515" s="18" t="s">
        <v>48</v>
      </c>
      <c r="H5515" s="24">
        <v>27770</v>
      </c>
      <c r="I5515" s="24">
        <f>T_reg.root.SK[[#This Row],[Volume, kg]]/1000</f>
        <v>27.77</v>
      </c>
      <c r="J5515" s="25">
        <v>0.22940000000000002</v>
      </c>
      <c r="K5515" s="25">
        <f t="shared" si="86"/>
        <v>6370.438000000001</v>
      </c>
      <c r="L5515" s="25">
        <v>1.91</v>
      </c>
      <c r="M5515" s="24">
        <v>53008.5</v>
      </c>
      <c r="N5515" s="25">
        <f>IFERROR(T_reg.root.SK[[#This Row],[Price]]/T_reg.root.SK[[#This Row],[Starch content]],"")</f>
        <v>8.3260680034873573</v>
      </c>
    </row>
    <row r="5516" spans="1:14">
      <c r="A5516" s="21">
        <v>2025</v>
      </c>
      <c r="B5516" s="21" t="s">
        <v>21</v>
      </c>
      <c r="C5516" s="21" t="s">
        <v>1145</v>
      </c>
      <c r="D5516" s="21" t="s">
        <v>35</v>
      </c>
      <c r="E5516" s="18" t="s">
        <v>132</v>
      </c>
      <c r="F5516" s="18" t="s">
        <v>105</v>
      </c>
      <c r="G5516" s="18" t="s">
        <v>48</v>
      </c>
      <c r="H5516" s="24">
        <v>7620</v>
      </c>
      <c r="I5516" s="24">
        <f>T_reg.root.SK[[#This Row],[Volume, kg]]/1000</f>
        <v>7.62</v>
      </c>
      <c r="J5516" s="25">
        <v>0.19800000000000001</v>
      </c>
      <c r="K5516" s="25">
        <f t="shared" si="86"/>
        <v>1508.76</v>
      </c>
      <c r="L5516" s="25">
        <v>1.7</v>
      </c>
      <c r="M5516" s="24">
        <v>12954</v>
      </c>
      <c r="N5516" s="25">
        <f>IFERROR(T_reg.root.SK[[#This Row],[Price]]/T_reg.root.SK[[#This Row],[Starch content]],"")</f>
        <v>8.5858585858585847</v>
      </c>
    </row>
    <row r="5517" spans="1:14">
      <c r="A5517" s="21">
        <v>2025</v>
      </c>
      <c r="B5517" s="21" t="s">
        <v>21</v>
      </c>
      <c r="C5517" s="21" t="s">
        <v>1145</v>
      </c>
      <c r="D5517" s="21" t="s">
        <v>35</v>
      </c>
      <c r="E5517" s="18" t="s">
        <v>603</v>
      </c>
      <c r="F5517" s="18" t="s">
        <v>105</v>
      </c>
      <c r="G5517" s="18" t="s">
        <v>48</v>
      </c>
      <c r="H5517" s="24">
        <v>19740</v>
      </c>
      <c r="I5517" s="24">
        <f>T_reg.root.SK[[#This Row],[Volume, kg]]/1000</f>
        <v>19.739999999999998</v>
      </c>
      <c r="J5517" s="25">
        <v>0.20710000000000001</v>
      </c>
      <c r="K5517" s="25">
        <f t="shared" si="86"/>
        <v>4088.154</v>
      </c>
      <c r="L5517" s="25">
        <v>1.7</v>
      </c>
      <c r="M5517" s="24">
        <v>33521</v>
      </c>
      <c r="N5517" s="25">
        <f>IFERROR(T_reg.root.SK[[#This Row],[Price]]/T_reg.root.SK[[#This Row],[Starch content]],"")</f>
        <v>8.2085948816996623</v>
      </c>
    </row>
    <row r="5518" spans="1:14">
      <c r="A5518" s="21">
        <v>2025</v>
      </c>
      <c r="B5518" s="21" t="s">
        <v>21</v>
      </c>
      <c r="C5518" s="21" t="s">
        <v>1145</v>
      </c>
      <c r="D5518" s="21" t="s">
        <v>35</v>
      </c>
      <c r="E5518" s="18" t="s">
        <v>196</v>
      </c>
      <c r="F5518" s="18" t="s">
        <v>187</v>
      </c>
      <c r="G5518" s="18" t="s">
        <v>48</v>
      </c>
      <c r="H5518" s="24">
        <v>24870</v>
      </c>
      <c r="I5518" s="24">
        <f>T_reg.root.SK[[#This Row],[Volume, kg]]/1000</f>
        <v>24.87</v>
      </c>
      <c r="J5518" s="25">
        <v>0.25329999999999997</v>
      </c>
      <c r="K5518" s="25">
        <f t="shared" si="86"/>
        <v>6299.570999999999</v>
      </c>
      <c r="L5518" s="25">
        <v>2.02</v>
      </c>
      <c r="M5518" s="24">
        <v>50193.5</v>
      </c>
      <c r="N5518" s="25">
        <f>IFERROR(T_reg.root.SK[[#This Row],[Price]]/T_reg.root.SK[[#This Row],[Starch content]],"")</f>
        <v>7.9747335175681018</v>
      </c>
    </row>
    <row r="5519" spans="1:14">
      <c r="A5519" s="21">
        <v>2025</v>
      </c>
      <c r="B5519" s="21" t="s">
        <v>21</v>
      </c>
      <c r="C5519" s="21" t="s">
        <v>1145</v>
      </c>
      <c r="D5519" s="21" t="s">
        <v>35</v>
      </c>
      <c r="E5519" s="18" t="s">
        <v>467</v>
      </c>
      <c r="F5519" s="18" t="s">
        <v>47</v>
      </c>
      <c r="G5519" s="18" t="s">
        <v>48</v>
      </c>
      <c r="H5519" s="24">
        <v>30640</v>
      </c>
      <c r="I5519" s="24">
        <f>T_reg.root.SK[[#This Row],[Volume, kg]]/1000</f>
        <v>30.64</v>
      </c>
      <c r="J5519" s="25">
        <v>0.19159999999999999</v>
      </c>
      <c r="K5519" s="25">
        <f t="shared" si="86"/>
        <v>5870.6239999999998</v>
      </c>
      <c r="L5519" s="25">
        <v>1.7</v>
      </c>
      <c r="M5519" s="24">
        <v>52115</v>
      </c>
      <c r="N5519" s="25">
        <f>IFERROR(T_reg.root.SK[[#This Row],[Price]]/T_reg.root.SK[[#This Row],[Starch content]],"")</f>
        <v>8.8726513569937371</v>
      </c>
    </row>
    <row r="5520" spans="1:14">
      <c r="A5520" s="21">
        <v>2025</v>
      </c>
      <c r="B5520" s="21" t="s">
        <v>21</v>
      </c>
      <c r="C5520" s="21" t="s">
        <v>1145</v>
      </c>
      <c r="D5520" s="21" t="s">
        <v>35</v>
      </c>
      <c r="E5520" s="18" t="s">
        <v>610</v>
      </c>
      <c r="F5520" s="18" t="s">
        <v>187</v>
      </c>
      <c r="G5520" s="18" t="s">
        <v>48</v>
      </c>
      <c r="H5520" s="24">
        <v>9580</v>
      </c>
      <c r="I5520" s="24">
        <f>T_reg.root.SK[[#This Row],[Volume, kg]]/1000</f>
        <v>9.58</v>
      </c>
      <c r="J5520" s="25">
        <v>0.21629999999999999</v>
      </c>
      <c r="K5520" s="25">
        <f t="shared" si="86"/>
        <v>2072.154</v>
      </c>
      <c r="L5520" s="25">
        <v>1.84</v>
      </c>
      <c r="M5520" s="24">
        <v>17614</v>
      </c>
      <c r="N5520" s="25">
        <f>IFERROR(T_reg.root.SK[[#This Row],[Price]]/T_reg.root.SK[[#This Row],[Starch content]],"")</f>
        <v>8.5067036523347213</v>
      </c>
    </row>
    <row r="5521" spans="1:14">
      <c r="A5521" s="21">
        <v>2025</v>
      </c>
      <c r="B5521" s="21" t="s">
        <v>21</v>
      </c>
      <c r="C5521" s="21" t="s">
        <v>1145</v>
      </c>
      <c r="D5521" s="21" t="s">
        <v>35</v>
      </c>
      <c r="E5521" s="18" t="s">
        <v>807</v>
      </c>
      <c r="F5521" s="18" t="s">
        <v>105</v>
      </c>
      <c r="G5521" s="18" t="s">
        <v>48</v>
      </c>
      <c r="H5521" s="24">
        <v>64230</v>
      </c>
      <c r="I5521" s="24">
        <f>T_reg.root.SK[[#This Row],[Volume, kg]]/1000</f>
        <v>64.23</v>
      </c>
      <c r="J5521" s="25">
        <v>0.20180000000000001</v>
      </c>
      <c r="K5521" s="25">
        <f t="shared" si="86"/>
        <v>12961.614</v>
      </c>
      <c r="L5521" s="25">
        <v>1.75</v>
      </c>
      <c r="M5521" s="24">
        <v>112281</v>
      </c>
      <c r="N5521" s="25">
        <f>IFERROR(T_reg.root.SK[[#This Row],[Price]]/T_reg.root.SK[[#This Row],[Starch content]],"")</f>
        <v>8.67195242814668</v>
      </c>
    </row>
    <row r="5522" spans="1:14">
      <c r="A5522" s="21">
        <v>2025</v>
      </c>
      <c r="B5522" s="21" t="s">
        <v>21</v>
      </c>
      <c r="C5522" s="21" t="s">
        <v>1145</v>
      </c>
      <c r="D5522" s="21" t="s">
        <v>35</v>
      </c>
      <c r="E5522" s="18" t="s">
        <v>1009</v>
      </c>
      <c r="F5522" s="18" t="s">
        <v>105</v>
      </c>
      <c r="G5522" s="18" t="s">
        <v>48</v>
      </c>
      <c r="H5522" s="24">
        <v>13930</v>
      </c>
      <c r="I5522" s="24">
        <f>T_reg.root.SK[[#This Row],[Volume, kg]]/1000</f>
        <v>13.93</v>
      </c>
      <c r="J5522" s="25">
        <v>0.20809999999999998</v>
      </c>
      <c r="K5522" s="25">
        <f t="shared" si="86"/>
        <v>2898.8329999999996</v>
      </c>
      <c r="L5522" s="25">
        <v>1.79</v>
      </c>
      <c r="M5522" s="24">
        <v>24987.5</v>
      </c>
      <c r="N5522" s="25">
        <f>IFERROR(T_reg.root.SK[[#This Row],[Price]]/T_reg.root.SK[[#This Row],[Starch content]],"")</f>
        <v>8.6016338298894777</v>
      </c>
    </row>
    <row r="5523" spans="1:14">
      <c r="A5523" s="21">
        <v>2025</v>
      </c>
      <c r="B5523" s="21" t="s">
        <v>21</v>
      </c>
      <c r="C5523" s="21" t="s">
        <v>1145</v>
      </c>
      <c r="D5523" s="21" t="s">
        <v>35</v>
      </c>
      <c r="E5523" s="18" t="s">
        <v>1000</v>
      </c>
      <c r="F5523" s="18" t="s">
        <v>105</v>
      </c>
      <c r="G5523" s="18" t="s">
        <v>48</v>
      </c>
      <c r="H5523" s="24">
        <v>16330</v>
      </c>
      <c r="I5523" s="24">
        <f>T_reg.root.SK[[#This Row],[Volume, kg]]/1000</f>
        <v>16.329999999999998</v>
      </c>
      <c r="J5523" s="25">
        <v>0.23329999999999998</v>
      </c>
      <c r="K5523" s="25">
        <f t="shared" si="86"/>
        <v>3809.7889999999998</v>
      </c>
      <c r="L5523" s="25">
        <v>1.9</v>
      </c>
      <c r="M5523" s="24">
        <v>31027</v>
      </c>
      <c r="N5523" s="25">
        <f>IFERROR(T_reg.root.SK[[#This Row],[Price]]/T_reg.root.SK[[#This Row],[Starch content]],"")</f>
        <v>8.1440205743677669</v>
      </c>
    </row>
    <row r="5524" spans="1:14">
      <c r="A5524" s="21">
        <v>2025</v>
      </c>
      <c r="B5524" s="21" t="s">
        <v>21</v>
      </c>
      <c r="C5524" s="21" t="s">
        <v>1145</v>
      </c>
      <c r="D5524" s="21" t="s">
        <v>35</v>
      </c>
      <c r="E5524" s="18" t="s">
        <v>61</v>
      </c>
      <c r="F5524" s="18" t="s">
        <v>47</v>
      </c>
      <c r="G5524" s="18" t="s">
        <v>48</v>
      </c>
      <c r="H5524" s="24">
        <v>19940</v>
      </c>
      <c r="I5524" s="24">
        <f>T_reg.root.SK[[#This Row],[Volume, kg]]/1000</f>
        <v>19.940000000000001</v>
      </c>
      <c r="J5524" s="25">
        <v>0.2293</v>
      </c>
      <c r="K5524" s="25">
        <f t="shared" si="86"/>
        <v>4572.2420000000002</v>
      </c>
      <c r="L5524" s="25">
        <v>1.88</v>
      </c>
      <c r="M5524" s="24">
        <v>37552.5</v>
      </c>
      <c r="N5524" s="25">
        <f>IFERROR(T_reg.root.SK[[#This Row],[Price]]/T_reg.root.SK[[#This Row],[Starch content]],"")</f>
        <v>8.1988661142607935</v>
      </c>
    </row>
    <row r="5525" spans="1:14">
      <c r="A5525" s="21">
        <v>2025</v>
      </c>
      <c r="B5525" s="21" t="s">
        <v>21</v>
      </c>
      <c r="C5525" s="21" t="s">
        <v>1145</v>
      </c>
      <c r="D5525" s="21" t="s">
        <v>35</v>
      </c>
      <c r="E5525" s="18" t="s">
        <v>525</v>
      </c>
      <c r="F5525" s="18" t="s">
        <v>187</v>
      </c>
      <c r="G5525" s="18" t="s">
        <v>48</v>
      </c>
      <c r="H5525" s="24">
        <v>4300</v>
      </c>
      <c r="I5525" s="24">
        <f>T_reg.root.SK[[#This Row],[Volume, kg]]/1000</f>
        <v>4.3</v>
      </c>
      <c r="J5525" s="25">
        <v>0.23250000000000001</v>
      </c>
      <c r="K5525" s="25">
        <f t="shared" si="86"/>
        <v>999.75</v>
      </c>
      <c r="L5525" s="25">
        <v>1.9</v>
      </c>
      <c r="M5525" s="24">
        <v>8170</v>
      </c>
      <c r="N5525" s="25">
        <f>IFERROR(T_reg.root.SK[[#This Row],[Price]]/T_reg.root.SK[[#This Row],[Starch content]],"")</f>
        <v>8.172043010752688</v>
      </c>
    </row>
    <row r="5526" spans="1:14">
      <c r="A5526" s="21">
        <v>2025</v>
      </c>
      <c r="B5526" s="21" t="s">
        <v>21</v>
      </c>
      <c r="C5526" s="21" t="s">
        <v>1145</v>
      </c>
      <c r="D5526" s="21" t="s">
        <v>35</v>
      </c>
      <c r="E5526" s="18" t="s">
        <v>241</v>
      </c>
      <c r="F5526" s="18" t="s">
        <v>105</v>
      </c>
      <c r="G5526" s="18" t="s">
        <v>48</v>
      </c>
      <c r="H5526" s="24">
        <v>16240</v>
      </c>
      <c r="I5526" s="24">
        <f>T_reg.root.SK[[#This Row],[Volume, kg]]/1000</f>
        <v>16.239999999999998</v>
      </c>
      <c r="J5526" s="25">
        <v>0.24600000000000002</v>
      </c>
      <c r="K5526" s="25">
        <f t="shared" si="86"/>
        <v>3995.0400000000004</v>
      </c>
      <c r="L5526" s="25">
        <v>1.99</v>
      </c>
      <c r="M5526" s="24">
        <v>32241</v>
      </c>
      <c r="N5526" s="25">
        <f>IFERROR(T_reg.root.SK[[#This Row],[Price]]/T_reg.root.SK[[#This Row],[Starch content]],"")</f>
        <v>8.0894308943089417</v>
      </c>
    </row>
    <row r="5527" spans="1:14">
      <c r="A5527" s="21">
        <v>2025</v>
      </c>
      <c r="B5527" s="21" t="s">
        <v>21</v>
      </c>
      <c r="C5527" s="21" t="s">
        <v>1145</v>
      </c>
      <c r="D5527" s="21" t="s">
        <v>35</v>
      </c>
      <c r="E5527" s="18" t="s">
        <v>1001</v>
      </c>
      <c r="F5527" s="18" t="s">
        <v>105</v>
      </c>
      <c r="G5527" s="18" t="s">
        <v>48</v>
      </c>
      <c r="H5527" s="24">
        <v>46560</v>
      </c>
      <c r="I5527" s="24">
        <f>T_reg.root.SK[[#This Row],[Volume, kg]]/1000</f>
        <v>46.56</v>
      </c>
      <c r="J5527" s="25">
        <v>0.23550000000000001</v>
      </c>
      <c r="K5527" s="25">
        <f t="shared" si="86"/>
        <v>10964.880000000001</v>
      </c>
      <c r="L5527" s="25">
        <v>1.93</v>
      </c>
      <c r="M5527" s="24">
        <v>89849.5</v>
      </c>
      <c r="N5527" s="25">
        <f>IFERROR(T_reg.root.SK[[#This Row],[Price]]/T_reg.root.SK[[#This Row],[Starch content]],"")</f>
        <v>8.1953290870488313</v>
      </c>
    </row>
    <row r="5528" spans="1:14">
      <c r="A5528" s="21">
        <v>2025</v>
      </c>
      <c r="B5528" s="21" t="s">
        <v>21</v>
      </c>
      <c r="C5528" s="21" t="s">
        <v>1145</v>
      </c>
      <c r="D5528" s="21" t="s">
        <v>35</v>
      </c>
      <c r="E5528" s="18" t="s">
        <v>301</v>
      </c>
      <c r="F5528" s="18" t="s">
        <v>105</v>
      </c>
      <c r="G5528" s="18" t="s">
        <v>48</v>
      </c>
      <c r="H5528" s="24">
        <v>52560</v>
      </c>
      <c r="I5528" s="24">
        <f>T_reg.root.SK[[#This Row],[Volume, kg]]/1000</f>
        <v>52.56</v>
      </c>
      <c r="J5528" s="25">
        <v>0.26769999999999999</v>
      </c>
      <c r="K5528" s="25">
        <f t="shared" si="86"/>
        <v>14070.312</v>
      </c>
      <c r="L5528" s="25">
        <v>2.08</v>
      </c>
      <c r="M5528" s="24">
        <v>109428</v>
      </c>
      <c r="N5528" s="25">
        <f>IFERROR(T_reg.root.SK[[#This Row],[Price]]/T_reg.root.SK[[#This Row],[Starch content]],"")</f>
        <v>7.7698916697796045</v>
      </c>
    </row>
    <row r="5529" spans="1:14">
      <c r="A5529" s="21">
        <v>2025</v>
      </c>
      <c r="B5529" s="21" t="s">
        <v>21</v>
      </c>
      <c r="C5529" s="21" t="s">
        <v>1145</v>
      </c>
      <c r="D5529" s="21" t="s">
        <v>35</v>
      </c>
      <c r="E5529" s="18" t="s">
        <v>725</v>
      </c>
      <c r="F5529" s="18" t="s">
        <v>187</v>
      </c>
      <c r="G5529" s="18" t="s">
        <v>48</v>
      </c>
      <c r="H5529" s="24">
        <v>18670</v>
      </c>
      <c r="I5529" s="24">
        <f>T_reg.root.SK[[#This Row],[Volume, kg]]/1000</f>
        <v>18.670000000000002</v>
      </c>
      <c r="J5529" s="25">
        <v>0.18739999999999998</v>
      </c>
      <c r="K5529" s="25">
        <f t="shared" si="86"/>
        <v>3498.7579999999998</v>
      </c>
      <c r="L5529" s="25">
        <v>1.69</v>
      </c>
      <c r="M5529" s="24">
        <v>31627.5</v>
      </c>
      <c r="N5529" s="25">
        <f>IFERROR(T_reg.root.SK[[#This Row],[Price]]/T_reg.root.SK[[#This Row],[Starch content]],"")</f>
        <v>9.018143009605124</v>
      </c>
    </row>
    <row r="5530" spans="1:14">
      <c r="A5530" s="21">
        <v>2025</v>
      </c>
      <c r="B5530" s="21" t="s">
        <v>21</v>
      </c>
      <c r="C5530" s="21" t="s">
        <v>1145</v>
      </c>
      <c r="D5530" s="21" t="s">
        <v>35</v>
      </c>
      <c r="E5530" s="18" t="s">
        <v>372</v>
      </c>
      <c r="F5530" s="18" t="s">
        <v>187</v>
      </c>
      <c r="G5530" s="18" t="s">
        <v>48</v>
      </c>
      <c r="H5530" s="24">
        <v>42900</v>
      </c>
      <c r="I5530" s="24">
        <f>T_reg.root.SK[[#This Row],[Volume, kg]]/1000</f>
        <v>42.9</v>
      </c>
      <c r="J5530" s="25">
        <v>0.19600000000000001</v>
      </c>
      <c r="K5530" s="25">
        <f t="shared" si="86"/>
        <v>8408.4</v>
      </c>
      <c r="L5530" s="25">
        <v>1.7</v>
      </c>
      <c r="M5530" s="24">
        <v>73106</v>
      </c>
      <c r="N5530" s="25">
        <f>IFERROR(T_reg.root.SK[[#This Row],[Price]]/T_reg.root.SK[[#This Row],[Starch content]],"")</f>
        <v>8.6734693877551017</v>
      </c>
    </row>
    <row r="5531" spans="1:14">
      <c r="A5531" s="21">
        <v>2025</v>
      </c>
      <c r="B5531" s="21" t="s">
        <v>21</v>
      </c>
      <c r="C5531" s="21" t="s">
        <v>1145</v>
      </c>
      <c r="D5531" s="21" t="s">
        <v>35</v>
      </c>
      <c r="E5531" s="18" t="s">
        <v>932</v>
      </c>
      <c r="F5531" s="18" t="s">
        <v>105</v>
      </c>
      <c r="G5531" s="18" t="s">
        <v>48</v>
      </c>
      <c r="H5531" s="24">
        <v>53390</v>
      </c>
      <c r="I5531" s="24">
        <f>T_reg.root.SK[[#This Row],[Volume, kg]]/1000</f>
        <v>53.39</v>
      </c>
      <c r="J5531" s="25">
        <v>0.17579999999999998</v>
      </c>
      <c r="K5531" s="25">
        <f t="shared" si="86"/>
        <v>9385.9619999999995</v>
      </c>
      <c r="L5531" s="25">
        <v>1.62</v>
      </c>
      <c r="M5531" s="24">
        <v>86703.5</v>
      </c>
      <c r="N5531" s="25">
        <f>IFERROR(T_reg.root.SK[[#This Row],[Price]]/T_reg.root.SK[[#This Row],[Starch content]],"")</f>
        <v>9.2150170648464176</v>
      </c>
    </row>
    <row r="5532" spans="1:14">
      <c r="A5532" s="21">
        <v>2025</v>
      </c>
      <c r="B5532" s="21" t="s">
        <v>21</v>
      </c>
      <c r="C5532" s="21" t="s">
        <v>1145</v>
      </c>
      <c r="D5532" s="21" t="s">
        <v>35</v>
      </c>
      <c r="E5532" s="18" t="s">
        <v>972</v>
      </c>
      <c r="F5532" s="18" t="s">
        <v>973</v>
      </c>
      <c r="G5532" s="18" t="s">
        <v>48</v>
      </c>
      <c r="H5532" s="24">
        <v>129140</v>
      </c>
      <c r="I5532" s="24">
        <f>T_reg.root.SK[[#This Row],[Volume, kg]]/1000</f>
        <v>129.13999999999999</v>
      </c>
      <c r="J5532" s="25">
        <v>0.22170000000000001</v>
      </c>
      <c r="K5532" s="25">
        <f t="shared" si="86"/>
        <v>28630.338</v>
      </c>
      <c r="L5532" s="25">
        <v>1.82</v>
      </c>
      <c r="M5532" s="24">
        <v>234634.5</v>
      </c>
      <c r="N5532" s="25">
        <f>IFERROR(T_reg.root.SK[[#This Row],[Price]]/T_reg.root.SK[[#This Row],[Starch content]],"")</f>
        <v>8.2092918358141631</v>
      </c>
    </row>
    <row r="5533" spans="1:14">
      <c r="A5533" s="21">
        <v>2025</v>
      </c>
      <c r="B5533" s="21" t="s">
        <v>21</v>
      </c>
      <c r="C5533" s="21" t="s">
        <v>1145</v>
      </c>
      <c r="D5533" s="21" t="s">
        <v>35</v>
      </c>
      <c r="E5533" s="18" t="s">
        <v>136</v>
      </c>
      <c r="F5533" s="18" t="s">
        <v>105</v>
      </c>
      <c r="G5533" s="18" t="s">
        <v>48</v>
      </c>
      <c r="H5533" s="24">
        <v>145610</v>
      </c>
      <c r="I5533" s="24">
        <f>T_reg.root.SK[[#This Row],[Volume, kg]]/1000</f>
        <v>145.61000000000001</v>
      </c>
      <c r="J5533" s="25">
        <v>0.20489999999999997</v>
      </c>
      <c r="K5533" s="25">
        <f t="shared" si="86"/>
        <v>29835.488999999994</v>
      </c>
      <c r="L5533" s="25">
        <v>1.74</v>
      </c>
      <c r="M5533" s="24">
        <v>253949.5</v>
      </c>
      <c r="N5533" s="25">
        <f>IFERROR(T_reg.root.SK[[#This Row],[Price]]/T_reg.root.SK[[#This Row],[Starch content]],"")</f>
        <v>8.4919472913616403</v>
      </c>
    </row>
    <row r="5534" spans="1:14">
      <c r="A5534" s="21">
        <v>2025</v>
      </c>
      <c r="B5534" s="21" t="s">
        <v>21</v>
      </c>
      <c r="C5534" s="21" t="s">
        <v>1145</v>
      </c>
      <c r="D5534" s="21" t="s">
        <v>35</v>
      </c>
      <c r="E5534" s="18" t="s">
        <v>493</v>
      </c>
      <c r="F5534" s="18" t="s">
        <v>105</v>
      </c>
      <c r="G5534" s="18" t="s">
        <v>48</v>
      </c>
      <c r="H5534" s="24">
        <v>52420</v>
      </c>
      <c r="I5534" s="24">
        <f>T_reg.root.SK[[#This Row],[Volume, kg]]/1000</f>
        <v>52.42</v>
      </c>
      <c r="J5534" s="25">
        <v>0.25079999999999997</v>
      </c>
      <c r="K5534" s="25">
        <f t="shared" si="86"/>
        <v>13146.935999999998</v>
      </c>
      <c r="L5534" s="25">
        <v>2</v>
      </c>
      <c r="M5534" s="24">
        <v>104858</v>
      </c>
      <c r="N5534" s="25">
        <f>IFERROR(T_reg.root.SK[[#This Row],[Price]]/T_reg.root.SK[[#This Row],[Starch content]],"")</f>
        <v>7.9744816586921861</v>
      </c>
    </row>
    <row r="5535" spans="1:14">
      <c r="A5535" s="21">
        <v>2025</v>
      </c>
      <c r="B5535" s="21" t="s">
        <v>21</v>
      </c>
      <c r="C5535" s="21" t="s">
        <v>1145</v>
      </c>
      <c r="D5535" s="21" t="s">
        <v>35</v>
      </c>
      <c r="E5535" s="18" t="s">
        <v>200</v>
      </c>
      <c r="F5535" s="18" t="s">
        <v>187</v>
      </c>
      <c r="G5535" s="18" t="s">
        <v>48</v>
      </c>
      <c r="H5535" s="24">
        <v>46470</v>
      </c>
      <c r="I5535" s="24">
        <f>T_reg.root.SK[[#This Row],[Volume, kg]]/1000</f>
        <v>46.47</v>
      </c>
      <c r="J5535" s="25">
        <v>0.29020000000000001</v>
      </c>
      <c r="K5535" s="25">
        <f t="shared" si="86"/>
        <v>13485.594000000001</v>
      </c>
      <c r="L5535" s="25">
        <v>2.2000000000000002</v>
      </c>
      <c r="M5535" s="24">
        <v>102099</v>
      </c>
      <c r="N5535" s="25">
        <f>IFERROR(T_reg.root.SK[[#This Row],[Price]]/T_reg.root.SK[[#This Row],[Starch content]],"")</f>
        <v>7.580978635423846</v>
      </c>
    </row>
    <row r="5536" spans="1:14">
      <c r="A5536" s="21">
        <v>2025</v>
      </c>
      <c r="B5536" s="21" t="s">
        <v>21</v>
      </c>
      <c r="C5536" s="21" t="s">
        <v>1145</v>
      </c>
      <c r="D5536" s="21" t="s">
        <v>35</v>
      </c>
      <c r="E5536" s="18" t="s">
        <v>138</v>
      </c>
      <c r="F5536" s="18" t="s">
        <v>105</v>
      </c>
      <c r="G5536" s="18" t="s">
        <v>48</v>
      </c>
      <c r="H5536" s="24">
        <v>98320</v>
      </c>
      <c r="I5536" s="24">
        <f>T_reg.root.SK[[#This Row],[Volume, kg]]/1000</f>
        <v>98.32</v>
      </c>
      <c r="J5536" s="25">
        <v>0.22399999999999998</v>
      </c>
      <c r="K5536" s="25">
        <f t="shared" si="86"/>
        <v>22023.679999999997</v>
      </c>
      <c r="L5536" s="25">
        <v>1.84</v>
      </c>
      <c r="M5536" s="24">
        <v>180832</v>
      </c>
      <c r="N5536" s="25">
        <f>IFERROR(T_reg.root.SK[[#This Row],[Price]]/T_reg.root.SK[[#This Row],[Starch content]],"")</f>
        <v>8.2142857142857153</v>
      </c>
    </row>
    <row r="5537" spans="1:14">
      <c r="A5537" s="21">
        <v>2025</v>
      </c>
      <c r="B5537" s="21" t="s">
        <v>21</v>
      </c>
      <c r="C5537" s="21" t="s">
        <v>1145</v>
      </c>
      <c r="D5537" s="21" t="s">
        <v>35</v>
      </c>
      <c r="E5537" s="18" t="s">
        <v>468</v>
      </c>
      <c r="F5537" s="18" t="s">
        <v>47</v>
      </c>
      <c r="G5537" s="18" t="s">
        <v>48</v>
      </c>
      <c r="H5537" s="24">
        <v>14690</v>
      </c>
      <c r="I5537" s="24">
        <f>T_reg.root.SK[[#This Row],[Volume, kg]]/1000</f>
        <v>14.69</v>
      </c>
      <c r="J5537" s="25">
        <v>0.21059999999999998</v>
      </c>
      <c r="K5537" s="25">
        <f t="shared" si="86"/>
        <v>3093.7139999999999</v>
      </c>
      <c r="L5537" s="25">
        <v>1.68</v>
      </c>
      <c r="M5537" s="24">
        <v>24721</v>
      </c>
      <c r="N5537" s="25">
        <f>IFERROR(T_reg.root.SK[[#This Row],[Price]]/T_reg.root.SK[[#This Row],[Starch content]],"")</f>
        <v>7.9772079772079776</v>
      </c>
    </row>
    <row r="5538" spans="1:14">
      <c r="A5538" s="21">
        <v>2025</v>
      </c>
      <c r="B5538" s="21" t="s">
        <v>21</v>
      </c>
      <c r="C5538" s="21" t="s">
        <v>1145</v>
      </c>
      <c r="D5538" s="21" t="s">
        <v>35</v>
      </c>
      <c r="E5538" s="18" t="s">
        <v>201</v>
      </c>
      <c r="F5538" s="18" t="s">
        <v>187</v>
      </c>
      <c r="G5538" s="18" t="s">
        <v>48</v>
      </c>
      <c r="H5538" s="24">
        <v>58300</v>
      </c>
      <c r="I5538" s="24">
        <f>T_reg.root.SK[[#This Row],[Volume, kg]]/1000</f>
        <v>58.3</v>
      </c>
      <c r="J5538" s="25">
        <v>0.2432</v>
      </c>
      <c r="K5538" s="25">
        <f t="shared" si="86"/>
        <v>14178.56</v>
      </c>
      <c r="L5538" s="25">
        <v>1.95</v>
      </c>
      <c r="M5538" s="24">
        <v>113855.5</v>
      </c>
      <c r="N5538" s="25">
        <f>IFERROR(T_reg.root.SK[[#This Row],[Price]]/T_reg.root.SK[[#This Row],[Starch content]],"")</f>
        <v>8.0180921052631575</v>
      </c>
    </row>
    <row r="5539" spans="1:14">
      <c r="A5539" s="21">
        <v>2025</v>
      </c>
      <c r="B5539" s="21" t="s">
        <v>21</v>
      </c>
      <c r="C5539" s="21" t="s">
        <v>1145</v>
      </c>
      <c r="D5539" s="21" t="s">
        <v>35</v>
      </c>
      <c r="E5539" s="18" t="s">
        <v>742</v>
      </c>
      <c r="F5539" s="18" t="s">
        <v>187</v>
      </c>
      <c r="G5539" s="18" t="s">
        <v>48</v>
      </c>
      <c r="H5539" s="24">
        <v>8090</v>
      </c>
      <c r="I5539" s="24">
        <f>T_reg.root.SK[[#This Row],[Volume, kg]]/1000</f>
        <v>8.09</v>
      </c>
      <c r="J5539" s="25">
        <v>0.27800000000000002</v>
      </c>
      <c r="K5539" s="25">
        <f t="shared" si="86"/>
        <v>2249.02</v>
      </c>
      <c r="L5539" s="25">
        <v>2.15</v>
      </c>
      <c r="M5539" s="24">
        <v>17393.5</v>
      </c>
      <c r="N5539" s="25">
        <f>IFERROR(T_reg.root.SK[[#This Row],[Price]]/T_reg.root.SK[[#This Row],[Starch content]],"")</f>
        <v>7.7338129496402868</v>
      </c>
    </row>
    <row r="5540" spans="1:14">
      <c r="A5540" s="21">
        <v>2025</v>
      </c>
      <c r="B5540" s="21" t="s">
        <v>21</v>
      </c>
      <c r="C5540" s="21" t="s">
        <v>1145</v>
      </c>
      <c r="D5540" s="21" t="s">
        <v>35</v>
      </c>
      <c r="E5540" s="18" t="s">
        <v>984</v>
      </c>
      <c r="F5540" s="18" t="s">
        <v>95</v>
      </c>
      <c r="G5540" s="18" t="s">
        <v>48</v>
      </c>
      <c r="H5540" s="24">
        <v>28140</v>
      </c>
      <c r="I5540" s="24">
        <f>T_reg.root.SK[[#This Row],[Volume, kg]]/1000</f>
        <v>28.14</v>
      </c>
      <c r="J5540" s="25">
        <v>0.20149999999999998</v>
      </c>
      <c r="K5540" s="25">
        <f t="shared" si="86"/>
        <v>5670.2099999999991</v>
      </c>
      <c r="L5540" s="25">
        <v>1.71</v>
      </c>
      <c r="M5540" s="24">
        <v>48006.5</v>
      </c>
      <c r="N5540" s="25">
        <f>IFERROR(T_reg.root.SK[[#This Row],[Price]]/T_reg.root.SK[[#This Row],[Starch content]],"")</f>
        <v>8.486352357320099</v>
      </c>
    </row>
    <row r="5541" spans="1:14">
      <c r="A5541" s="21">
        <v>2025</v>
      </c>
      <c r="B5541" s="21" t="s">
        <v>21</v>
      </c>
      <c r="C5541" s="21" t="s">
        <v>1145</v>
      </c>
      <c r="D5541" s="21" t="s">
        <v>35</v>
      </c>
      <c r="E5541" s="18" t="s">
        <v>303</v>
      </c>
      <c r="F5541" s="18" t="s">
        <v>105</v>
      </c>
      <c r="G5541" s="18" t="s">
        <v>48</v>
      </c>
      <c r="H5541" s="24">
        <v>17570</v>
      </c>
      <c r="I5541" s="24">
        <f>T_reg.root.SK[[#This Row],[Volume, kg]]/1000</f>
        <v>17.57</v>
      </c>
      <c r="J5541" s="25">
        <v>0.21989999999999998</v>
      </c>
      <c r="K5541" s="25">
        <f t="shared" si="86"/>
        <v>3863.6429999999996</v>
      </c>
      <c r="L5541" s="25">
        <v>1.8</v>
      </c>
      <c r="M5541" s="24">
        <v>31626</v>
      </c>
      <c r="N5541" s="25">
        <f>IFERROR(T_reg.root.SK[[#This Row],[Price]]/T_reg.root.SK[[#This Row],[Starch content]],"")</f>
        <v>8.1855388813096877</v>
      </c>
    </row>
    <row r="5542" spans="1:14">
      <c r="A5542" s="21">
        <v>2025</v>
      </c>
      <c r="B5542" s="21" t="s">
        <v>21</v>
      </c>
      <c r="C5542" s="21" t="s">
        <v>1145</v>
      </c>
      <c r="D5542" s="21" t="s">
        <v>35</v>
      </c>
      <c r="E5542" s="18" t="s">
        <v>304</v>
      </c>
      <c r="F5542" s="18" t="s">
        <v>105</v>
      </c>
      <c r="G5542" s="18" t="s">
        <v>48</v>
      </c>
      <c r="H5542" s="24">
        <v>120750</v>
      </c>
      <c r="I5542" s="24">
        <f>T_reg.root.SK[[#This Row],[Volume, kg]]/1000</f>
        <v>120.75</v>
      </c>
      <c r="J5542" s="25">
        <v>0.20329999999999998</v>
      </c>
      <c r="K5542" s="25">
        <f t="shared" si="86"/>
        <v>24548.474999999999</v>
      </c>
      <c r="L5542" s="25">
        <v>1.74</v>
      </c>
      <c r="M5542" s="24">
        <v>210661.5</v>
      </c>
      <c r="N5542" s="25">
        <f>IFERROR(T_reg.root.SK[[#This Row],[Price]]/T_reg.root.SK[[#This Row],[Starch content]],"")</f>
        <v>8.5587801278898183</v>
      </c>
    </row>
    <row r="5543" spans="1:14">
      <c r="A5543" s="21">
        <v>2025</v>
      </c>
      <c r="B5543" s="21" t="s">
        <v>21</v>
      </c>
      <c r="C5543" s="21" t="s">
        <v>1145</v>
      </c>
      <c r="D5543" s="21" t="s">
        <v>35</v>
      </c>
      <c r="E5543" s="18" t="s">
        <v>359</v>
      </c>
      <c r="F5543" s="18" t="s">
        <v>105</v>
      </c>
      <c r="G5543" s="18" t="s">
        <v>48</v>
      </c>
      <c r="H5543" s="24">
        <v>6470</v>
      </c>
      <c r="I5543" s="24">
        <f>T_reg.root.SK[[#This Row],[Volume, kg]]/1000</f>
        <v>6.47</v>
      </c>
      <c r="J5543" s="25">
        <v>0.222</v>
      </c>
      <c r="K5543" s="25">
        <f t="shared" si="86"/>
        <v>1436.34</v>
      </c>
      <c r="L5543" s="25">
        <v>1.75</v>
      </c>
      <c r="M5543" s="24">
        <v>11322.5</v>
      </c>
      <c r="N5543" s="25">
        <f>IFERROR(T_reg.root.SK[[#This Row],[Price]]/T_reg.root.SK[[#This Row],[Starch content]],"")</f>
        <v>7.8828828828828827</v>
      </c>
    </row>
    <row r="5544" spans="1:14">
      <c r="A5544" s="21">
        <v>2025</v>
      </c>
      <c r="B5544" s="21" t="s">
        <v>21</v>
      </c>
      <c r="C5544" s="21" t="s">
        <v>1145</v>
      </c>
      <c r="D5544" s="21" t="s">
        <v>35</v>
      </c>
      <c r="E5544" s="18" t="s">
        <v>719</v>
      </c>
      <c r="F5544" s="18" t="s">
        <v>105</v>
      </c>
      <c r="G5544" s="18" t="s">
        <v>48</v>
      </c>
      <c r="H5544" s="24">
        <v>25960</v>
      </c>
      <c r="I5544" s="24">
        <f>T_reg.root.SK[[#This Row],[Volume, kg]]/1000</f>
        <v>25.96</v>
      </c>
      <c r="J5544" s="25">
        <v>0.23929999999999998</v>
      </c>
      <c r="K5544" s="25">
        <f t="shared" si="86"/>
        <v>6212.2279999999992</v>
      </c>
      <c r="L5544" s="25">
        <v>1.95</v>
      </c>
      <c r="M5544" s="24">
        <v>50622</v>
      </c>
      <c r="N5544" s="25">
        <f>IFERROR(T_reg.root.SK[[#This Row],[Price]]/T_reg.root.SK[[#This Row],[Starch content]],"")</f>
        <v>8.1487672377768501</v>
      </c>
    </row>
    <row r="5545" spans="1:14">
      <c r="A5545" s="21">
        <v>2025</v>
      </c>
      <c r="B5545" s="21" t="s">
        <v>21</v>
      </c>
      <c r="C5545" s="21" t="s">
        <v>1145</v>
      </c>
      <c r="D5545" s="21" t="s">
        <v>35</v>
      </c>
      <c r="E5545" s="18" t="s">
        <v>308</v>
      </c>
      <c r="F5545" s="18" t="s">
        <v>105</v>
      </c>
      <c r="G5545" s="18" t="s">
        <v>48</v>
      </c>
      <c r="H5545" s="24">
        <v>46700</v>
      </c>
      <c r="I5545" s="24">
        <f>T_reg.root.SK[[#This Row],[Volume, kg]]/1000</f>
        <v>46.7</v>
      </c>
      <c r="J5545" s="25">
        <v>0.24129999999999999</v>
      </c>
      <c r="K5545" s="25">
        <f t="shared" si="86"/>
        <v>11268.71</v>
      </c>
      <c r="L5545" s="25">
        <v>1.95</v>
      </c>
      <c r="M5545" s="24">
        <v>91105</v>
      </c>
      <c r="N5545" s="25">
        <f>IFERROR(T_reg.root.SK[[#This Row],[Price]]/T_reg.root.SK[[#This Row],[Starch content]],"")</f>
        <v>8.0812266887691671</v>
      </c>
    </row>
    <row r="5546" spans="1:14">
      <c r="A5546" s="21">
        <v>2025</v>
      </c>
      <c r="B5546" s="21" t="s">
        <v>21</v>
      </c>
      <c r="C5546" s="21" t="s">
        <v>1145</v>
      </c>
      <c r="D5546" s="21" t="s">
        <v>35</v>
      </c>
      <c r="E5546" s="18" t="s">
        <v>777</v>
      </c>
      <c r="F5546" s="18" t="s">
        <v>187</v>
      </c>
      <c r="G5546" s="18" t="s">
        <v>48</v>
      </c>
      <c r="H5546" s="24">
        <v>17700</v>
      </c>
      <c r="I5546" s="24">
        <f>T_reg.root.SK[[#This Row],[Volume, kg]]/1000</f>
        <v>17.7</v>
      </c>
      <c r="J5546" s="25">
        <v>0.1905</v>
      </c>
      <c r="K5546" s="25">
        <f t="shared" si="86"/>
        <v>3371.85</v>
      </c>
      <c r="L5546" s="25">
        <v>1.65</v>
      </c>
      <c r="M5546" s="24">
        <v>29155</v>
      </c>
      <c r="N5546" s="25">
        <f>IFERROR(T_reg.root.SK[[#This Row],[Price]]/T_reg.root.SK[[#This Row],[Starch content]],"")</f>
        <v>8.6614173228346445</v>
      </c>
    </row>
    <row r="5547" spans="1:14">
      <c r="A5547" s="21">
        <v>2025</v>
      </c>
      <c r="B5547" s="21" t="s">
        <v>21</v>
      </c>
      <c r="C5547" s="21" t="s">
        <v>1145</v>
      </c>
      <c r="D5547" s="21" t="s">
        <v>35</v>
      </c>
      <c r="E5547" s="18" t="s">
        <v>309</v>
      </c>
      <c r="F5547" s="18" t="s">
        <v>105</v>
      </c>
      <c r="G5547" s="18" t="s">
        <v>48</v>
      </c>
      <c r="H5547" s="24">
        <v>42300</v>
      </c>
      <c r="I5547" s="24">
        <f>T_reg.root.SK[[#This Row],[Volume, kg]]/1000</f>
        <v>42.3</v>
      </c>
      <c r="J5547" s="25">
        <v>0.20739999999999997</v>
      </c>
      <c r="K5547" s="25">
        <f t="shared" si="86"/>
        <v>8773.0199999999986</v>
      </c>
      <c r="L5547" s="25">
        <v>1.79</v>
      </c>
      <c r="M5547" s="24">
        <v>75622</v>
      </c>
      <c r="N5547" s="25">
        <f>IFERROR(T_reg.root.SK[[#This Row],[Price]]/T_reg.root.SK[[#This Row],[Starch content]],"")</f>
        <v>8.6306653809064624</v>
      </c>
    </row>
    <row r="5548" spans="1:14">
      <c r="A5548" s="21">
        <v>2025</v>
      </c>
      <c r="B5548" s="21" t="s">
        <v>21</v>
      </c>
      <c r="C5548" s="21" t="s">
        <v>1145</v>
      </c>
      <c r="D5548" s="21" t="s">
        <v>35</v>
      </c>
      <c r="E5548" s="18" t="s">
        <v>246</v>
      </c>
      <c r="F5548" s="18" t="s">
        <v>105</v>
      </c>
      <c r="G5548" s="18" t="s">
        <v>48</v>
      </c>
      <c r="H5548" s="24">
        <v>12670</v>
      </c>
      <c r="I5548" s="24">
        <f>T_reg.root.SK[[#This Row],[Volume, kg]]/1000</f>
        <v>12.67</v>
      </c>
      <c r="J5548" s="25">
        <v>0.16829999999999998</v>
      </c>
      <c r="K5548" s="25">
        <f t="shared" si="86"/>
        <v>2132.3609999999999</v>
      </c>
      <c r="L5548" s="25">
        <v>1.58</v>
      </c>
      <c r="M5548" s="24">
        <v>20059</v>
      </c>
      <c r="N5548" s="25">
        <f>IFERROR(T_reg.root.SK[[#This Row],[Price]]/T_reg.root.SK[[#This Row],[Starch content]],"")</f>
        <v>9.3879976232917421</v>
      </c>
    </row>
    <row r="5549" spans="1:14">
      <c r="A5549" s="21">
        <v>2025</v>
      </c>
      <c r="B5549" s="21" t="s">
        <v>21</v>
      </c>
      <c r="C5549" s="21" t="s">
        <v>1145</v>
      </c>
      <c r="D5549" s="21" t="s">
        <v>35</v>
      </c>
      <c r="E5549" s="18" t="s">
        <v>933</v>
      </c>
      <c r="F5549" s="18" t="s">
        <v>105</v>
      </c>
      <c r="G5549" s="18" t="s">
        <v>48</v>
      </c>
      <c r="H5549" s="24">
        <v>16330</v>
      </c>
      <c r="I5549" s="24">
        <f>T_reg.root.SK[[#This Row],[Volume, kg]]/1000</f>
        <v>16.329999999999998</v>
      </c>
      <c r="J5549" s="25">
        <v>0.16309999999999999</v>
      </c>
      <c r="K5549" s="25">
        <f t="shared" si="86"/>
        <v>2663.4229999999998</v>
      </c>
      <c r="L5549" s="25">
        <v>1.53</v>
      </c>
      <c r="M5549" s="24">
        <v>24931</v>
      </c>
      <c r="N5549" s="25">
        <f>IFERROR(T_reg.root.SK[[#This Row],[Price]]/T_reg.root.SK[[#This Row],[Starch content]],"")</f>
        <v>9.3807480073574503</v>
      </c>
    </row>
    <row r="5550" spans="1:14">
      <c r="A5550" s="21">
        <v>2025</v>
      </c>
      <c r="B5550" s="21" t="s">
        <v>21</v>
      </c>
      <c r="C5550" s="21" t="s">
        <v>1145</v>
      </c>
      <c r="D5550" s="21" t="s">
        <v>35</v>
      </c>
      <c r="E5550" s="18" t="s">
        <v>1004</v>
      </c>
      <c r="F5550" s="18" t="s">
        <v>105</v>
      </c>
      <c r="G5550" s="18" t="s">
        <v>48</v>
      </c>
      <c r="H5550" s="24">
        <v>42380</v>
      </c>
      <c r="I5550" s="24">
        <f>T_reg.root.SK[[#This Row],[Volume, kg]]/1000</f>
        <v>42.38</v>
      </c>
      <c r="J5550" s="25">
        <v>0.1734</v>
      </c>
      <c r="K5550" s="25">
        <f t="shared" si="86"/>
        <v>7348.692</v>
      </c>
      <c r="L5550" s="25">
        <v>1.61</v>
      </c>
      <c r="M5550" s="24">
        <v>68184.5</v>
      </c>
      <c r="N5550" s="25">
        <f>IFERROR(T_reg.root.SK[[#This Row],[Price]]/T_reg.root.SK[[#This Row],[Starch content]],"")</f>
        <v>9.2848904267589401</v>
      </c>
    </row>
    <row r="5551" spans="1:14">
      <c r="A5551" s="21">
        <v>2025</v>
      </c>
      <c r="B5551" s="21" t="s">
        <v>21</v>
      </c>
      <c r="C5551" s="21" t="s">
        <v>1145</v>
      </c>
      <c r="D5551" s="21" t="s">
        <v>35</v>
      </c>
      <c r="E5551" s="18" t="s">
        <v>1010</v>
      </c>
      <c r="F5551" s="18" t="s">
        <v>105</v>
      </c>
      <c r="G5551" s="18" t="s">
        <v>48</v>
      </c>
      <c r="H5551" s="24">
        <v>78770</v>
      </c>
      <c r="I5551" s="24">
        <f>T_reg.root.SK[[#This Row],[Volume, kg]]/1000</f>
        <v>78.77</v>
      </c>
      <c r="J5551" s="25">
        <v>0.24340000000000001</v>
      </c>
      <c r="K5551" s="25">
        <f t="shared" si="86"/>
        <v>19172.618000000002</v>
      </c>
      <c r="L5551" s="25">
        <v>1.96</v>
      </c>
      <c r="M5551" s="24">
        <v>154415.5</v>
      </c>
      <c r="N5551" s="25">
        <f>IFERROR(T_reg.root.SK[[#This Row],[Price]]/T_reg.root.SK[[#This Row],[Starch content]],"")</f>
        <v>8.0525883319638449</v>
      </c>
    </row>
    <row r="5552" spans="1:14">
      <c r="A5552" s="21">
        <v>2025</v>
      </c>
      <c r="B5552" s="21" t="s">
        <v>21</v>
      </c>
      <c r="C5552" s="21" t="s">
        <v>1145</v>
      </c>
      <c r="D5552" s="21" t="s">
        <v>35</v>
      </c>
      <c r="E5552" s="18" t="s">
        <v>310</v>
      </c>
      <c r="F5552" s="18" t="s">
        <v>105</v>
      </c>
      <c r="G5552" s="18" t="s">
        <v>48</v>
      </c>
      <c r="H5552" s="24">
        <v>95050</v>
      </c>
      <c r="I5552" s="24">
        <f>T_reg.root.SK[[#This Row],[Volume, kg]]/1000</f>
        <v>95.05</v>
      </c>
      <c r="J5552" s="25">
        <v>0.25379999999999997</v>
      </c>
      <c r="K5552" s="25">
        <f t="shared" si="86"/>
        <v>24123.69</v>
      </c>
      <c r="L5552" s="25">
        <v>1.96</v>
      </c>
      <c r="M5552" s="24">
        <v>186345.5</v>
      </c>
      <c r="N5552" s="25">
        <f>IFERROR(T_reg.root.SK[[#This Row],[Price]]/T_reg.root.SK[[#This Row],[Starch content]],"")</f>
        <v>7.7226162332545316</v>
      </c>
    </row>
    <row r="5553" spans="1:14">
      <c r="A5553" s="21">
        <v>2025</v>
      </c>
      <c r="B5553" s="21" t="s">
        <v>21</v>
      </c>
      <c r="C5553" s="21" t="s">
        <v>1145</v>
      </c>
      <c r="D5553" s="21" t="s">
        <v>35</v>
      </c>
      <c r="E5553" s="18" t="s">
        <v>247</v>
      </c>
      <c r="F5553" s="18" t="s">
        <v>105</v>
      </c>
      <c r="G5553" s="18" t="s">
        <v>48</v>
      </c>
      <c r="H5553" s="24">
        <v>9300</v>
      </c>
      <c r="I5553" s="24">
        <f>T_reg.root.SK[[#This Row],[Volume, kg]]/1000</f>
        <v>9.3000000000000007</v>
      </c>
      <c r="J5553" s="25">
        <v>0.20379999999999998</v>
      </c>
      <c r="K5553" s="25">
        <f t="shared" si="86"/>
        <v>1895.34</v>
      </c>
      <c r="L5553" s="25">
        <v>1.78</v>
      </c>
      <c r="M5553" s="24">
        <v>16573.5</v>
      </c>
      <c r="N5553" s="25">
        <f>IFERROR(T_reg.root.SK[[#This Row],[Price]]/T_reg.root.SK[[#This Row],[Starch content]],"")</f>
        <v>8.7340529931305202</v>
      </c>
    </row>
    <row r="5554" spans="1:14">
      <c r="A5554" s="21">
        <v>2025</v>
      </c>
      <c r="B5554" s="21" t="s">
        <v>21</v>
      </c>
      <c r="C5554" s="21" t="s">
        <v>1145</v>
      </c>
      <c r="D5554" s="21" t="s">
        <v>35</v>
      </c>
      <c r="E5554" s="18" t="s">
        <v>340</v>
      </c>
      <c r="F5554" s="18" t="s">
        <v>47</v>
      </c>
      <c r="G5554" s="18" t="s">
        <v>48</v>
      </c>
      <c r="H5554" s="24">
        <v>136430</v>
      </c>
      <c r="I5554" s="24">
        <f>T_reg.root.SK[[#This Row],[Volume, kg]]/1000</f>
        <v>136.43</v>
      </c>
      <c r="J5554" s="25">
        <v>0.18479999999999999</v>
      </c>
      <c r="K5554" s="25">
        <f t="shared" si="86"/>
        <v>25212.263999999999</v>
      </c>
      <c r="L5554" s="25">
        <v>1.67</v>
      </c>
      <c r="M5554" s="24">
        <v>227706.5</v>
      </c>
      <c r="N5554" s="25">
        <f>IFERROR(T_reg.root.SK[[#This Row],[Price]]/T_reg.root.SK[[#This Row],[Starch content]],"")</f>
        <v>9.0367965367965368</v>
      </c>
    </row>
    <row r="5555" spans="1:14">
      <c r="A5555" s="21">
        <v>2025</v>
      </c>
      <c r="B5555" s="21" t="s">
        <v>21</v>
      </c>
      <c r="C5555" s="21" t="s">
        <v>1145</v>
      </c>
      <c r="D5555" s="21" t="s">
        <v>35</v>
      </c>
      <c r="E5555" s="18" t="s">
        <v>676</v>
      </c>
      <c r="F5555" s="18" t="s">
        <v>47</v>
      </c>
      <c r="G5555" s="18" t="s">
        <v>48</v>
      </c>
      <c r="H5555" s="24">
        <v>78540</v>
      </c>
      <c r="I5555" s="24">
        <f>T_reg.root.SK[[#This Row],[Volume, kg]]/1000</f>
        <v>78.540000000000006</v>
      </c>
      <c r="J5555" s="25">
        <v>0.23230000000000001</v>
      </c>
      <c r="K5555" s="25">
        <f t="shared" si="86"/>
        <v>18244.842000000001</v>
      </c>
      <c r="L5555" s="25">
        <v>1.91</v>
      </c>
      <c r="M5555" s="24">
        <v>149736</v>
      </c>
      <c r="N5555" s="25">
        <f>IFERROR(T_reg.root.SK[[#This Row],[Price]]/T_reg.root.SK[[#This Row],[Starch content]],"")</f>
        <v>8.2221265604821347</v>
      </c>
    </row>
    <row r="5556" spans="1:14">
      <c r="A5556" s="21">
        <v>2025</v>
      </c>
      <c r="B5556" s="21" t="s">
        <v>21</v>
      </c>
      <c r="C5556" s="21" t="s">
        <v>1145</v>
      </c>
      <c r="D5556" s="21" t="s">
        <v>35</v>
      </c>
      <c r="E5556" s="18" t="s">
        <v>142</v>
      </c>
      <c r="F5556" s="18" t="s">
        <v>105</v>
      </c>
      <c r="G5556" s="18" t="s">
        <v>48</v>
      </c>
      <c r="H5556" s="24">
        <v>17010</v>
      </c>
      <c r="I5556" s="24">
        <f>T_reg.root.SK[[#This Row],[Volume, kg]]/1000</f>
        <v>17.010000000000002</v>
      </c>
      <c r="J5556" s="25">
        <v>0.19980000000000001</v>
      </c>
      <c r="K5556" s="25">
        <f t="shared" si="86"/>
        <v>3398.598</v>
      </c>
      <c r="L5556" s="25">
        <v>1.75</v>
      </c>
      <c r="M5556" s="24">
        <v>29694.5</v>
      </c>
      <c r="N5556" s="25">
        <f>IFERROR(T_reg.root.SK[[#This Row],[Price]]/T_reg.root.SK[[#This Row],[Starch content]],"")</f>
        <v>8.7587587587587592</v>
      </c>
    </row>
    <row r="5557" spans="1:14">
      <c r="A5557" s="21">
        <v>2025</v>
      </c>
      <c r="B5557" s="21" t="s">
        <v>21</v>
      </c>
      <c r="C5557" s="21" t="s">
        <v>1145</v>
      </c>
      <c r="D5557" s="21" t="s">
        <v>35</v>
      </c>
      <c r="E5557" s="18" t="s">
        <v>469</v>
      </c>
      <c r="F5557" s="18" t="s">
        <v>47</v>
      </c>
      <c r="G5557" s="18" t="s">
        <v>48</v>
      </c>
      <c r="H5557" s="24">
        <v>7790</v>
      </c>
      <c r="I5557" s="24">
        <f>T_reg.root.SK[[#This Row],[Volume, kg]]/1000</f>
        <v>7.79</v>
      </c>
      <c r="J5557" s="25">
        <v>0.19800000000000001</v>
      </c>
      <c r="K5557" s="25">
        <f t="shared" si="86"/>
        <v>1542.42</v>
      </c>
      <c r="L5557" s="25">
        <v>1.75</v>
      </c>
      <c r="M5557" s="24">
        <v>13632.5</v>
      </c>
      <c r="N5557" s="25">
        <f>IFERROR(T_reg.root.SK[[#This Row],[Price]]/T_reg.root.SK[[#This Row],[Starch content]],"")</f>
        <v>8.8383838383838373</v>
      </c>
    </row>
    <row r="5558" spans="1:14">
      <c r="A5558" s="21">
        <v>2025</v>
      </c>
      <c r="B5558" s="21" t="s">
        <v>21</v>
      </c>
      <c r="C5558" s="21" t="s">
        <v>1145</v>
      </c>
      <c r="D5558" s="21" t="s">
        <v>35</v>
      </c>
      <c r="E5558" s="18" t="s">
        <v>143</v>
      </c>
      <c r="F5558" s="18" t="s">
        <v>105</v>
      </c>
      <c r="G5558" s="18" t="s">
        <v>48</v>
      </c>
      <c r="H5558" s="24">
        <v>23400</v>
      </c>
      <c r="I5558" s="24">
        <f>T_reg.root.SK[[#This Row],[Volume, kg]]/1000</f>
        <v>23.4</v>
      </c>
      <c r="J5558" s="25">
        <v>0.2046</v>
      </c>
      <c r="K5558" s="25">
        <f t="shared" si="86"/>
        <v>4787.6400000000003</v>
      </c>
      <c r="L5558" s="25">
        <v>1.75</v>
      </c>
      <c r="M5558" s="24">
        <v>40891.5</v>
      </c>
      <c r="N5558" s="25">
        <f>IFERROR(T_reg.root.SK[[#This Row],[Price]]/T_reg.root.SK[[#This Row],[Starch content]],"")</f>
        <v>8.5532746823069399</v>
      </c>
    </row>
    <row r="5559" spans="1:14">
      <c r="A5559" s="21">
        <v>2025</v>
      </c>
      <c r="B5559" s="21" t="s">
        <v>21</v>
      </c>
      <c r="C5559" s="21" t="s">
        <v>1145</v>
      </c>
      <c r="D5559" s="21" t="s">
        <v>35</v>
      </c>
      <c r="E5559" s="18" t="s">
        <v>265</v>
      </c>
      <c r="F5559" s="18" t="s">
        <v>187</v>
      </c>
      <c r="G5559" s="18" t="s">
        <v>48</v>
      </c>
      <c r="H5559" s="24">
        <v>9680</v>
      </c>
      <c r="I5559" s="24">
        <f>T_reg.root.SK[[#This Row],[Volume, kg]]/1000</f>
        <v>9.68</v>
      </c>
      <c r="J5559" s="25">
        <v>0.28149999999999997</v>
      </c>
      <c r="K5559" s="25">
        <f t="shared" si="86"/>
        <v>2724.9199999999996</v>
      </c>
      <c r="L5559" s="25">
        <v>2.15</v>
      </c>
      <c r="M5559" s="24">
        <v>20812</v>
      </c>
      <c r="N5559" s="25">
        <f>IFERROR(T_reg.root.SK[[#This Row],[Price]]/T_reg.root.SK[[#This Row],[Starch content]],"")</f>
        <v>7.6376554174067497</v>
      </c>
    </row>
    <row r="5560" spans="1:14">
      <c r="A5560" s="21">
        <v>2025</v>
      </c>
      <c r="B5560" s="21" t="s">
        <v>21</v>
      </c>
      <c r="C5560" s="21" t="s">
        <v>1145</v>
      </c>
      <c r="D5560" s="21" t="s">
        <v>35</v>
      </c>
      <c r="E5560" s="18" t="s">
        <v>146</v>
      </c>
      <c r="F5560" s="18" t="s">
        <v>105</v>
      </c>
      <c r="G5560" s="18" t="s">
        <v>48</v>
      </c>
      <c r="H5560" s="24">
        <v>1291690</v>
      </c>
      <c r="I5560" s="24">
        <f>T_reg.root.SK[[#This Row],[Volume, kg]]/1000</f>
        <v>1291.69</v>
      </c>
      <c r="J5560" s="25">
        <v>0.21850000000000003</v>
      </c>
      <c r="K5560" s="25">
        <f t="shared" si="86"/>
        <v>282234.26500000001</v>
      </c>
      <c r="L5560" s="25">
        <v>1.81</v>
      </c>
      <c r="M5560" s="24">
        <v>2335240.5</v>
      </c>
      <c r="N5560" s="25">
        <f>IFERROR(T_reg.root.SK[[#This Row],[Price]]/T_reg.root.SK[[#This Row],[Starch content]],"")</f>
        <v>8.283752860411898</v>
      </c>
    </row>
    <row r="5561" spans="1:14">
      <c r="A5561" s="21">
        <v>2025</v>
      </c>
      <c r="B5561" s="21" t="s">
        <v>21</v>
      </c>
      <c r="C5561" s="21" t="s">
        <v>1145</v>
      </c>
      <c r="D5561" s="21" t="s">
        <v>35</v>
      </c>
      <c r="E5561" s="18" t="s">
        <v>569</v>
      </c>
      <c r="F5561" s="18" t="s">
        <v>105</v>
      </c>
      <c r="G5561" s="18" t="s">
        <v>48</v>
      </c>
      <c r="H5561" s="24">
        <v>16320</v>
      </c>
      <c r="I5561" s="24">
        <f>T_reg.root.SK[[#This Row],[Volume, kg]]/1000</f>
        <v>16.32</v>
      </c>
      <c r="J5561" s="25">
        <v>0.2175</v>
      </c>
      <c r="K5561" s="25">
        <f t="shared" si="86"/>
        <v>3549.6</v>
      </c>
      <c r="L5561" s="25">
        <v>1.82</v>
      </c>
      <c r="M5561" s="24">
        <v>29781.5</v>
      </c>
      <c r="N5561" s="25">
        <f>IFERROR(T_reg.root.SK[[#This Row],[Price]]/T_reg.root.SK[[#This Row],[Starch content]],"")</f>
        <v>8.3678160919540225</v>
      </c>
    </row>
    <row r="5562" spans="1:14">
      <c r="A5562" s="21">
        <v>2025</v>
      </c>
      <c r="B5562" s="21" t="s">
        <v>21</v>
      </c>
      <c r="C5562" s="21" t="s">
        <v>1145</v>
      </c>
      <c r="D5562" s="21" t="s">
        <v>35</v>
      </c>
      <c r="E5562" s="18" t="s">
        <v>250</v>
      </c>
      <c r="F5562" s="18" t="s">
        <v>105</v>
      </c>
      <c r="G5562" s="18" t="s">
        <v>48</v>
      </c>
      <c r="H5562" s="24">
        <v>59320</v>
      </c>
      <c r="I5562" s="24">
        <f>T_reg.root.SK[[#This Row],[Volume, kg]]/1000</f>
        <v>59.32</v>
      </c>
      <c r="J5562" s="25">
        <v>0.25670000000000004</v>
      </c>
      <c r="K5562" s="25">
        <f t="shared" si="86"/>
        <v>15227.444000000003</v>
      </c>
      <c r="L5562" s="25">
        <v>2.04</v>
      </c>
      <c r="M5562" s="24">
        <v>120791</v>
      </c>
      <c r="N5562" s="25">
        <f>IFERROR(T_reg.root.SK[[#This Row],[Price]]/T_reg.root.SK[[#This Row],[Starch content]],"")</f>
        <v>7.9470198675496677</v>
      </c>
    </row>
    <row r="5563" spans="1:14">
      <c r="A5563" s="21">
        <v>2025</v>
      </c>
      <c r="B5563" s="21" t="s">
        <v>21</v>
      </c>
      <c r="C5563" s="21" t="s">
        <v>1145</v>
      </c>
      <c r="D5563" s="21" t="s">
        <v>35</v>
      </c>
      <c r="E5563" s="18" t="s">
        <v>796</v>
      </c>
      <c r="F5563" s="18" t="s">
        <v>187</v>
      </c>
      <c r="G5563" s="18" t="s">
        <v>48</v>
      </c>
      <c r="H5563" s="24">
        <v>13160</v>
      </c>
      <c r="I5563" s="24">
        <f>T_reg.root.SK[[#This Row],[Volume, kg]]/1000</f>
        <v>13.16</v>
      </c>
      <c r="J5563" s="25">
        <v>0.23800000000000002</v>
      </c>
      <c r="K5563" s="25">
        <f t="shared" si="86"/>
        <v>3132.0800000000004</v>
      </c>
      <c r="L5563" s="25">
        <v>1.92</v>
      </c>
      <c r="M5563" s="24">
        <v>25268.5</v>
      </c>
      <c r="N5563" s="25">
        <f>IFERROR(T_reg.root.SK[[#This Row],[Price]]/T_reg.root.SK[[#This Row],[Starch content]],"")</f>
        <v>8.0672268907563023</v>
      </c>
    </row>
    <row r="5564" spans="1:14">
      <c r="A5564" s="21">
        <v>2025</v>
      </c>
      <c r="B5564" s="21" t="s">
        <v>21</v>
      </c>
      <c r="C5564" s="21" t="s">
        <v>1145</v>
      </c>
      <c r="D5564" s="21" t="s">
        <v>35</v>
      </c>
      <c r="E5564" s="18" t="s">
        <v>1011</v>
      </c>
      <c r="F5564" s="18" t="s">
        <v>1012</v>
      </c>
      <c r="G5564" s="18" t="s">
        <v>1013</v>
      </c>
      <c r="H5564" s="24">
        <v>40830</v>
      </c>
      <c r="I5564" s="24">
        <f>T_reg.root.SK[[#This Row],[Volume, kg]]/1000</f>
        <v>40.83</v>
      </c>
      <c r="J5564" s="25">
        <v>0.20219999999999999</v>
      </c>
      <c r="K5564" s="25">
        <f t="shared" si="86"/>
        <v>8255.8259999999991</v>
      </c>
      <c r="L5564" s="25">
        <v>1.74</v>
      </c>
      <c r="M5564" s="24">
        <v>70882</v>
      </c>
      <c r="N5564" s="25">
        <f>IFERROR(T_reg.root.SK[[#This Row],[Price]]/T_reg.root.SK[[#This Row],[Starch content]],"")</f>
        <v>8.6053412462908021</v>
      </c>
    </row>
    <row r="5565" spans="1:14">
      <c r="A5565" s="21">
        <v>2025</v>
      </c>
      <c r="B5565" s="21" t="s">
        <v>21</v>
      </c>
      <c r="C5565" s="21" t="s">
        <v>1145</v>
      </c>
      <c r="D5565" s="21" t="s">
        <v>35</v>
      </c>
      <c r="E5565" s="18" t="s">
        <v>985</v>
      </c>
      <c r="F5565" s="18" t="s">
        <v>283</v>
      </c>
      <c r="G5565" s="18" t="s">
        <v>48</v>
      </c>
      <c r="H5565" s="24">
        <v>203970</v>
      </c>
      <c r="I5565" s="24">
        <f>T_reg.root.SK[[#This Row],[Volume, kg]]/1000</f>
        <v>203.97</v>
      </c>
      <c r="J5565" s="25">
        <v>0.23879999999999998</v>
      </c>
      <c r="K5565" s="25">
        <f t="shared" si="86"/>
        <v>48708.036</v>
      </c>
      <c r="L5565" s="25">
        <v>1.92</v>
      </c>
      <c r="M5565" s="24">
        <v>392034</v>
      </c>
      <c r="N5565" s="25">
        <f>IFERROR(T_reg.root.SK[[#This Row],[Price]]/T_reg.root.SK[[#This Row],[Starch content]],"")</f>
        <v>8.0402010050251267</v>
      </c>
    </row>
    <row r="5566" spans="1:14">
      <c r="A5566" s="21">
        <v>2025</v>
      </c>
      <c r="B5566" s="21" t="s">
        <v>21</v>
      </c>
      <c r="C5566" s="21" t="s">
        <v>1145</v>
      </c>
      <c r="D5566" s="21" t="s">
        <v>35</v>
      </c>
      <c r="E5566" s="18" t="s">
        <v>991</v>
      </c>
      <c r="F5566" s="18" t="s">
        <v>105</v>
      </c>
      <c r="G5566" s="18" t="s">
        <v>48</v>
      </c>
      <c r="H5566" s="24">
        <v>9880</v>
      </c>
      <c r="I5566" s="24">
        <f>T_reg.root.SK[[#This Row],[Volume, kg]]/1000</f>
        <v>9.8800000000000008</v>
      </c>
      <c r="J5566" s="25">
        <v>0.25800000000000001</v>
      </c>
      <c r="K5566" s="25">
        <f t="shared" si="86"/>
        <v>2549.04</v>
      </c>
      <c r="L5566" s="25">
        <v>2.0499999999999998</v>
      </c>
      <c r="M5566" s="24">
        <v>20254</v>
      </c>
      <c r="N5566" s="25">
        <f>IFERROR(T_reg.root.SK[[#This Row],[Price]]/T_reg.root.SK[[#This Row],[Starch content]],"")</f>
        <v>7.9457364341085261</v>
      </c>
    </row>
    <row r="5567" spans="1:14">
      <c r="A5567" s="21">
        <v>2025</v>
      </c>
      <c r="B5567" s="21" t="s">
        <v>21</v>
      </c>
      <c r="C5567" s="21" t="s">
        <v>1145</v>
      </c>
      <c r="D5567" s="21" t="s">
        <v>35</v>
      </c>
      <c r="E5567" s="18" t="s">
        <v>148</v>
      </c>
      <c r="F5567" s="18" t="s">
        <v>105</v>
      </c>
      <c r="G5567" s="18" t="s">
        <v>48</v>
      </c>
      <c r="H5567" s="24">
        <v>50130</v>
      </c>
      <c r="I5567" s="24">
        <f>T_reg.root.SK[[#This Row],[Volume, kg]]/1000</f>
        <v>50.13</v>
      </c>
      <c r="J5567" s="25">
        <v>0.2059</v>
      </c>
      <c r="K5567" s="25">
        <f t="shared" si="86"/>
        <v>10321.767</v>
      </c>
      <c r="L5567" s="25">
        <v>1.76</v>
      </c>
      <c r="M5567" s="24">
        <v>88304</v>
      </c>
      <c r="N5567" s="25">
        <f>IFERROR(T_reg.root.SK[[#This Row],[Price]]/T_reg.root.SK[[#This Row],[Starch content]],"")</f>
        <v>8.547838756677999</v>
      </c>
    </row>
    <row r="5568" spans="1:14">
      <c r="A5568" s="21">
        <v>2025</v>
      </c>
      <c r="B5568" s="21" t="s">
        <v>21</v>
      </c>
      <c r="C5568" s="21" t="s">
        <v>1145</v>
      </c>
      <c r="D5568" s="21" t="s">
        <v>35</v>
      </c>
      <c r="E5568" s="18" t="s">
        <v>604</v>
      </c>
      <c r="F5568" s="18" t="s">
        <v>105</v>
      </c>
      <c r="G5568" s="18" t="s">
        <v>48</v>
      </c>
      <c r="H5568" s="24">
        <v>27490</v>
      </c>
      <c r="I5568" s="24">
        <f>T_reg.root.SK[[#This Row],[Volume, kg]]/1000</f>
        <v>27.49</v>
      </c>
      <c r="J5568" s="25">
        <v>0.19600000000000001</v>
      </c>
      <c r="K5568" s="25">
        <f t="shared" si="86"/>
        <v>5388.04</v>
      </c>
      <c r="L5568" s="25">
        <v>1.7</v>
      </c>
      <c r="M5568" s="24">
        <v>46787</v>
      </c>
      <c r="N5568" s="25">
        <f>IFERROR(T_reg.root.SK[[#This Row],[Price]]/T_reg.root.SK[[#This Row],[Starch content]],"")</f>
        <v>8.6734693877551017</v>
      </c>
    </row>
    <row r="5569" spans="1:14">
      <c r="A5569" s="21">
        <v>2025</v>
      </c>
      <c r="B5569" s="21" t="s">
        <v>21</v>
      </c>
      <c r="C5569" s="21" t="s">
        <v>1145</v>
      </c>
      <c r="D5569" s="21" t="s">
        <v>35</v>
      </c>
      <c r="E5569" s="18" t="s">
        <v>208</v>
      </c>
      <c r="F5569" s="18" t="s">
        <v>187</v>
      </c>
      <c r="G5569" s="18" t="s">
        <v>48</v>
      </c>
      <c r="H5569" s="24">
        <v>10130</v>
      </c>
      <c r="I5569" s="24">
        <f>T_reg.root.SK[[#This Row],[Volume, kg]]/1000</f>
        <v>10.130000000000001</v>
      </c>
      <c r="J5569" s="25">
        <v>0.19</v>
      </c>
      <c r="K5569" s="25">
        <f t="shared" si="86"/>
        <v>1924.7</v>
      </c>
      <c r="L5569" s="25">
        <v>1.6</v>
      </c>
      <c r="M5569" s="24">
        <v>16208</v>
      </c>
      <c r="N5569" s="25">
        <f>IFERROR(T_reg.root.SK[[#This Row],[Price]]/T_reg.root.SK[[#This Row],[Starch content]],"")</f>
        <v>8.4210526315789469</v>
      </c>
    </row>
    <row r="5570" spans="1:14">
      <c r="A5570" s="21">
        <v>2025</v>
      </c>
      <c r="B5570" s="21" t="s">
        <v>21</v>
      </c>
      <c r="C5570" s="21" t="s">
        <v>1145</v>
      </c>
      <c r="D5570" s="21" t="s">
        <v>35</v>
      </c>
      <c r="E5570" s="18" t="s">
        <v>500</v>
      </c>
      <c r="F5570" s="18" t="s">
        <v>105</v>
      </c>
      <c r="G5570" s="18" t="s">
        <v>48</v>
      </c>
      <c r="H5570" s="24">
        <v>21270</v>
      </c>
      <c r="I5570" s="24">
        <f>T_reg.root.SK[[#This Row],[Volume, kg]]/1000</f>
        <v>21.27</v>
      </c>
      <c r="J5570" s="25">
        <v>0.24909999999999999</v>
      </c>
      <c r="K5570" s="25">
        <f t="shared" si="86"/>
        <v>5298.357</v>
      </c>
      <c r="L5570" s="25">
        <v>1.97</v>
      </c>
      <c r="M5570" s="24">
        <v>41972.5</v>
      </c>
      <c r="N5570" s="25">
        <f>IFERROR(T_reg.root.SK[[#This Row],[Price]]/T_reg.root.SK[[#This Row],[Starch content]],"")</f>
        <v>7.9084704937775996</v>
      </c>
    </row>
    <row r="5571" spans="1:14">
      <c r="A5571" s="21">
        <v>2025</v>
      </c>
      <c r="B5571" s="21" t="s">
        <v>21</v>
      </c>
      <c r="C5571" s="21" t="s">
        <v>1145</v>
      </c>
      <c r="D5571" s="21" t="s">
        <v>35</v>
      </c>
      <c r="E5571" s="18" t="s">
        <v>150</v>
      </c>
      <c r="F5571" s="18" t="s">
        <v>105</v>
      </c>
      <c r="G5571" s="18" t="s">
        <v>48</v>
      </c>
      <c r="H5571" s="24">
        <v>11970</v>
      </c>
      <c r="I5571" s="24">
        <f>T_reg.root.SK[[#This Row],[Volume, kg]]/1000</f>
        <v>11.97</v>
      </c>
      <c r="J5571" s="25">
        <v>0.22039999999999998</v>
      </c>
      <c r="K5571" s="25">
        <f t="shared" ref="K5571:K5634" si="87">H5571*J5571</f>
        <v>2638.1879999999996</v>
      </c>
      <c r="L5571" s="25">
        <v>1.81</v>
      </c>
      <c r="M5571" s="24">
        <v>21657</v>
      </c>
      <c r="N5571" s="25">
        <f>IFERROR(T_reg.root.SK[[#This Row],[Price]]/T_reg.root.SK[[#This Row],[Starch content]],"")</f>
        <v>8.212341197822143</v>
      </c>
    </row>
    <row r="5572" spans="1:14">
      <c r="A5572" s="21">
        <v>2025</v>
      </c>
      <c r="B5572" s="21" t="s">
        <v>21</v>
      </c>
      <c r="C5572" s="21" t="s">
        <v>1145</v>
      </c>
      <c r="D5572" s="21" t="s">
        <v>35</v>
      </c>
      <c r="E5572" s="18" t="s">
        <v>151</v>
      </c>
      <c r="F5572" s="18" t="s">
        <v>105</v>
      </c>
      <c r="G5572" s="18" t="s">
        <v>48</v>
      </c>
      <c r="H5572" s="24">
        <v>361880</v>
      </c>
      <c r="I5572" s="24">
        <f>T_reg.root.SK[[#This Row],[Volume, kg]]/1000</f>
        <v>361.88</v>
      </c>
      <c r="J5572" s="25">
        <v>0.20350000000000001</v>
      </c>
      <c r="K5572" s="25">
        <f t="shared" si="87"/>
        <v>73642.58</v>
      </c>
      <c r="L5572" s="25">
        <v>1.76</v>
      </c>
      <c r="M5572" s="24">
        <v>636715.5</v>
      </c>
      <c r="N5572" s="25">
        <f>IFERROR(T_reg.root.SK[[#This Row],[Price]]/T_reg.root.SK[[#This Row],[Starch content]],"")</f>
        <v>8.6486486486486474</v>
      </c>
    </row>
    <row r="5573" spans="1:14">
      <c r="A5573" s="21">
        <v>2025</v>
      </c>
      <c r="B5573" s="21" t="s">
        <v>21</v>
      </c>
      <c r="C5573" s="21" t="s">
        <v>1145</v>
      </c>
      <c r="D5573" s="21" t="s">
        <v>35</v>
      </c>
      <c r="E5573" s="18" t="s">
        <v>1014</v>
      </c>
      <c r="F5573" s="18" t="s">
        <v>95</v>
      </c>
      <c r="G5573" s="18" t="s">
        <v>48</v>
      </c>
      <c r="H5573" s="24">
        <v>38590</v>
      </c>
      <c r="I5573" s="24">
        <f>T_reg.root.SK[[#This Row],[Volume, kg]]/1000</f>
        <v>38.590000000000003</v>
      </c>
      <c r="J5573" s="25">
        <v>0.25159999999999999</v>
      </c>
      <c r="K5573" s="25">
        <f t="shared" si="87"/>
        <v>9709.2439999999988</v>
      </c>
      <c r="L5573" s="25">
        <v>2.02</v>
      </c>
      <c r="M5573" s="24">
        <v>78015.5</v>
      </c>
      <c r="N5573" s="25">
        <f>IFERROR(T_reg.root.SK[[#This Row],[Price]]/T_reg.root.SK[[#This Row],[Starch content]],"")</f>
        <v>8.0286168521462642</v>
      </c>
    </row>
    <row r="5574" spans="1:14">
      <c r="A5574" s="21">
        <v>2025</v>
      </c>
      <c r="B5574" s="21" t="s">
        <v>21</v>
      </c>
      <c r="C5574" s="21" t="s">
        <v>1145</v>
      </c>
      <c r="D5574" s="21" t="s">
        <v>35</v>
      </c>
      <c r="E5574" s="18" t="s">
        <v>316</v>
      </c>
      <c r="F5574" s="18" t="s">
        <v>105</v>
      </c>
      <c r="G5574" s="18" t="s">
        <v>48</v>
      </c>
      <c r="H5574" s="24">
        <v>13870</v>
      </c>
      <c r="I5574" s="24">
        <f>T_reg.root.SK[[#This Row],[Volume, kg]]/1000</f>
        <v>13.87</v>
      </c>
      <c r="J5574" s="25">
        <v>0.23079999999999998</v>
      </c>
      <c r="K5574" s="25">
        <f t="shared" si="87"/>
        <v>3201.1959999999999</v>
      </c>
      <c r="L5574" s="25">
        <v>1.9</v>
      </c>
      <c r="M5574" s="24">
        <v>26298.5</v>
      </c>
      <c r="N5574" s="25">
        <f>IFERROR(T_reg.root.SK[[#This Row],[Price]]/T_reg.root.SK[[#This Row],[Starch content]],"")</f>
        <v>8.2322357019064132</v>
      </c>
    </row>
    <row r="5575" spans="1:14">
      <c r="A5575" s="21">
        <v>2025</v>
      </c>
      <c r="B5575" s="21" t="s">
        <v>21</v>
      </c>
      <c r="C5575" s="21" t="s">
        <v>1145</v>
      </c>
      <c r="D5575" s="21" t="s">
        <v>35</v>
      </c>
      <c r="E5575" s="18" t="s">
        <v>70</v>
      </c>
      <c r="F5575" s="18" t="s">
        <v>47</v>
      </c>
      <c r="G5575" s="18" t="s">
        <v>48</v>
      </c>
      <c r="H5575" s="24">
        <v>102590</v>
      </c>
      <c r="I5575" s="24">
        <f>T_reg.root.SK[[#This Row],[Volume, kg]]/1000</f>
        <v>102.59</v>
      </c>
      <c r="J5575" s="25">
        <v>0.21249999999999999</v>
      </c>
      <c r="K5575" s="25">
        <f t="shared" si="87"/>
        <v>21800.375</v>
      </c>
      <c r="L5575" s="25">
        <v>1.8</v>
      </c>
      <c r="M5575" s="24">
        <v>184359.5</v>
      </c>
      <c r="N5575" s="25">
        <f>IFERROR(T_reg.root.SK[[#This Row],[Price]]/T_reg.root.SK[[#This Row],[Starch content]],"")</f>
        <v>8.4705882352941178</v>
      </c>
    </row>
    <row r="5576" spans="1:14">
      <c r="A5576" s="21">
        <v>2025</v>
      </c>
      <c r="B5576" s="21" t="s">
        <v>21</v>
      </c>
      <c r="C5576" s="21" t="s">
        <v>1145</v>
      </c>
      <c r="D5576" s="21" t="s">
        <v>35</v>
      </c>
      <c r="E5576" s="18" t="s">
        <v>71</v>
      </c>
      <c r="F5576" s="18" t="s">
        <v>47</v>
      </c>
      <c r="G5576" s="18" t="s">
        <v>48</v>
      </c>
      <c r="H5576" s="24">
        <v>24780</v>
      </c>
      <c r="I5576" s="24">
        <f>T_reg.root.SK[[#This Row],[Volume, kg]]/1000</f>
        <v>24.78</v>
      </c>
      <c r="J5576" s="25">
        <v>0.2455</v>
      </c>
      <c r="K5576" s="25">
        <f t="shared" si="87"/>
        <v>6083.49</v>
      </c>
      <c r="L5576" s="25">
        <v>1.98</v>
      </c>
      <c r="M5576" s="24">
        <v>49024</v>
      </c>
      <c r="N5576" s="25">
        <f>IFERROR(T_reg.root.SK[[#This Row],[Price]]/T_reg.root.SK[[#This Row],[Starch content]],"")</f>
        <v>8.0651731160896123</v>
      </c>
    </row>
    <row r="5577" spans="1:14">
      <c r="A5577" s="21">
        <v>2025</v>
      </c>
      <c r="B5577" s="21" t="s">
        <v>21</v>
      </c>
      <c r="C5577" s="21" t="s">
        <v>1145</v>
      </c>
      <c r="D5577" s="21" t="s">
        <v>35</v>
      </c>
      <c r="E5577" s="18" t="s">
        <v>152</v>
      </c>
      <c r="F5577" s="18" t="s">
        <v>105</v>
      </c>
      <c r="G5577" s="18" t="s">
        <v>48</v>
      </c>
      <c r="H5577" s="24">
        <v>60350</v>
      </c>
      <c r="I5577" s="24">
        <f>T_reg.root.SK[[#This Row],[Volume, kg]]/1000</f>
        <v>60.35</v>
      </c>
      <c r="J5577" s="25">
        <v>0.1764</v>
      </c>
      <c r="K5577" s="25">
        <f t="shared" si="87"/>
        <v>10645.74</v>
      </c>
      <c r="L5577" s="25">
        <v>1.63</v>
      </c>
      <c r="M5577" s="24">
        <v>98570.5</v>
      </c>
      <c r="N5577" s="25">
        <f>IFERROR(T_reg.root.SK[[#This Row],[Price]]/T_reg.root.SK[[#This Row],[Starch content]],"")</f>
        <v>9.2403628117913819</v>
      </c>
    </row>
    <row r="5578" spans="1:14">
      <c r="A5578" s="21">
        <v>2025</v>
      </c>
      <c r="B5578" s="21" t="s">
        <v>21</v>
      </c>
      <c r="C5578" s="21" t="s">
        <v>1145</v>
      </c>
      <c r="D5578" s="21" t="s">
        <v>35</v>
      </c>
      <c r="E5578" s="18" t="s">
        <v>472</v>
      </c>
      <c r="F5578" s="18" t="s">
        <v>47</v>
      </c>
      <c r="G5578" s="18" t="s">
        <v>48</v>
      </c>
      <c r="H5578" s="24">
        <v>51620</v>
      </c>
      <c r="I5578" s="24">
        <f>T_reg.root.SK[[#This Row],[Volume, kg]]/1000</f>
        <v>51.62</v>
      </c>
      <c r="J5578" s="25">
        <v>0.21729999999999999</v>
      </c>
      <c r="K5578" s="25">
        <f t="shared" si="87"/>
        <v>11217.026</v>
      </c>
      <c r="L5578" s="25">
        <v>1.76</v>
      </c>
      <c r="M5578" s="24">
        <v>90661</v>
      </c>
      <c r="N5578" s="25">
        <f>IFERROR(T_reg.root.SK[[#This Row],[Price]]/T_reg.root.SK[[#This Row],[Starch content]],"")</f>
        <v>8.0994017487344685</v>
      </c>
    </row>
    <row r="5579" spans="1:14">
      <c r="A5579" s="21">
        <v>2025</v>
      </c>
      <c r="B5579" s="21" t="s">
        <v>21</v>
      </c>
      <c r="C5579" s="21" t="s">
        <v>1145</v>
      </c>
      <c r="D5579" s="21" t="s">
        <v>35</v>
      </c>
      <c r="E5579" s="18" t="s">
        <v>317</v>
      </c>
      <c r="F5579" s="18" t="s">
        <v>105</v>
      </c>
      <c r="G5579" s="18" t="s">
        <v>48</v>
      </c>
      <c r="H5579" s="24">
        <v>10330</v>
      </c>
      <c r="I5579" s="24">
        <f>T_reg.root.SK[[#This Row],[Volume, kg]]/1000</f>
        <v>10.33</v>
      </c>
      <c r="J5579" s="25">
        <v>0.191</v>
      </c>
      <c r="K5579" s="25">
        <f t="shared" si="87"/>
        <v>1973.03</v>
      </c>
      <c r="L5579" s="25">
        <v>1.7</v>
      </c>
      <c r="M5579" s="24">
        <v>17561</v>
      </c>
      <c r="N5579" s="25">
        <f>IFERROR(T_reg.root.SK[[#This Row],[Price]]/T_reg.root.SK[[#This Row],[Starch content]],"")</f>
        <v>8.9005235602094235</v>
      </c>
    </row>
    <row r="5580" spans="1:14">
      <c r="A5580" s="21">
        <v>2025</v>
      </c>
      <c r="B5580" s="21" t="s">
        <v>21</v>
      </c>
      <c r="C5580" s="21" t="s">
        <v>1145</v>
      </c>
      <c r="D5580" s="21" t="s">
        <v>35</v>
      </c>
      <c r="E5580" s="18" t="s">
        <v>155</v>
      </c>
      <c r="F5580" s="18" t="s">
        <v>105</v>
      </c>
      <c r="G5580" s="18" t="s">
        <v>48</v>
      </c>
      <c r="H5580" s="24">
        <v>22090</v>
      </c>
      <c r="I5580" s="24">
        <f>T_reg.root.SK[[#This Row],[Volume, kg]]/1000</f>
        <v>22.09</v>
      </c>
      <c r="J5580" s="25">
        <v>0.24280000000000002</v>
      </c>
      <c r="K5580" s="25">
        <f t="shared" si="87"/>
        <v>5363.4520000000002</v>
      </c>
      <c r="L5580" s="25">
        <v>1.89</v>
      </c>
      <c r="M5580" s="24">
        <v>41760</v>
      </c>
      <c r="N5580" s="25">
        <f>IFERROR(T_reg.root.SK[[#This Row],[Price]]/T_reg.root.SK[[#This Row],[Starch content]],"")</f>
        <v>7.7841845140032939</v>
      </c>
    </row>
    <row r="5581" spans="1:14">
      <c r="A5581" s="21">
        <v>2025</v>
      </c>
      <c r="B5581" s="21" t="s">
        <v>21</v>
      </c>
      <c r="C5581" s="21" t="s">
        <v>1145</v>
      </c>
      <c r="D5581" s="21" t="s">
        <v>35</v>
      </c>
      <c r="E5581" s="18" t="s">
        <v>73</v>
      </c>
      <c r="F5581" s="18" t="s">
        <v>47</v>
      </c>
      <c r="G5581" s="18" t="s">
        <v>48</v>
      </c>
      <c r="H5581" s="24">
        <v>23100</v>
      </c>
      <c r="I5581" s="24">
        <f>T_reg.root.SK[[#This Row],[Volume, kg]]/1000</f>
        <v>23.1</v>
      </c>
      <c r="J5581" s="25">
        <v>0.17550000000000002</v>
      </c>
      <c r="K5581" s="25">
        <f t="shared" si="87"/>
        <v>4054.05</v>
      </c>
      <c r="L5581" s="25">
        <v>1.64</v>
      </c>
      <c r="M5581" s="24">
        <v>37930.5</v>
      </c>
      <c r="N5581" s="25">
        <f>IFERROR(T_reg.root.SK[[#This Row],[Price]]/T_reg.root.SK[[#This Row],[Starch content]],"")</f>
        <v>9.3447293447293429</v>
      </c>
    </row>
    <row r="5582" spans="1:14">
      <c r="A5582" s="21">
        <v>2025</v>
      </c>
      <c r="B5582" s="21" t="s">
        <v>21</v>
      </c>
      <c r="C5582" s="21" t="s">
        <v>1145</v>
      </c>
      <c r="D5582" s="21" t="s">
        <v>39</v>
      </c>
      <c r="E5582" s="18" t="s">
        <v>552</v>
      </c>
      <c r="F5582" s="18" t="s">
        <v>95</v>
      </c>
      <c r="G5582" s="18" t="s">
        <v>48</v>
      </c>
      <c r="H5582" s="24">
        <v>2017450</v>
      </c>
      <c r="I5582" s="24">
        <f>T_reg.root.SK[[#This Row],[Volume, kg]]/1000</f>
        <v>2017.45</v>
      </c>
      <c r="J5582" s="25">
        <v>0.23010000000000003</v>
      </c>
      <c r="K5582" s="25">
        <f t="shared" si="87"/>
        <v>464215.24500000005</v>
      </c>
      <c r="L5582" s="25">
        <v>1.92</v>
      </c>
      <c r="M5582" s="24">
        <v>3870727</v>
      </c>
      <c r="N5582" s="25">
        <f>IFERROR(T_reg.root.SK[[#This Row],[Price]]/T_reg.root.SK[[#This Row],[Starch content]],"")</f>
        <v>8.3441981747066478</v>
      </c>
    </row>
    <row r="5583" spans="1:14">
      <c r="A5583" s="21">
        <v>2025</v>
      </c>
      <c r="B5583" s="21" t="s">
        <v>21</v>
      </c>
      <c r="C5583" s="21" t="s">
        <v>1145</v>
      </c>
      <c r="D5583" s="21" t="s">
        <v>35</v>
      </c>
      <c r="E5583" s="18" t="s">
        <v>210</v>
      </c>
      <c r="F5583" s="18" t="s">
        <v>187</v>
      </c>
      <c r="G5583" s="18" t="s">
        <v>48</v>
      </c>
      <c r="H5583" s="24">
        <v>13450</v>
      </c>
      <c r="I5583" s="24">
        <f>T_reg.root.SK[[#This Row],[Volume, kg]]/1000</f>
        <v>13.45</v>
      </c>
      <c r="J5583" s="25">
        <v>0.24850000000000003</v>
      </c>
      <c r="K5583" s="25">
        <f t="shared" si="87"/>
        <v>3342.3250000000003</v>
      </c>
      <c r="L5583" s="25">
        <v>1.98</v>
      </c>
      <c r="M5583" s="24">
        <v>26581</v>
      </c>
      <c r="N5583" s="25">
        <f>IFERROR(T_reg.root.SK[[#This Row],[Price]]/T_reg.root.SK[[#This Row],[Starch content]],"")</f>
        <v>7.9678068410462766</v>
      </c>
    </row>
    <row r="5584" spans="1:14">
      <c r="A5584" s="21">
        <v>2025</v>
      </c>
      <c r="B5584" s="21" t="s">
        <v>21</v>
      </c>
      <c r="C5584" s="21" t="s">
        <v>1145</v>
      </c>
      <c r="D5584" s="21" t="s">
        <v>35</v>
      </c>
      <c r="E5584" s="18" t="s">
        <v>934</v>
      </c>
      <c r="F5584" s="18" t="s">
        <v>105</v>
      </c>
      <c r="G5584" s="18" t="s">
        <v>48</v>
      </c>
      <c r="H5584" s="24">
        <v>13910</v>
      </c>
      <c r="I5584" s="24">
        <f>T_reg.root.SK[[#This Row],[Volume, kg]]/1000</f>
        <v>13.91</v>
      </c>
      <c r="J5584" s="25">
        <v>0.17929999999999999</v>
      </c>
      <c r="K5584" s="25">
        <f t="shared" si="87"/>
        <v>2494.0629999999996</v>
      </c>
      <c r="L5584" s="25">
        <v>1.65</v>
      </c>
      <c r="M5584" s="24">
        <v>22958</v>
      </c>
      <c r="N5584" s="25">
        <f>IFERROR(T_reg.root.SK[[#This Row],[Price]]/T_reg.root.SK[[#This Row],[Starch content]],"")</f>
        <v>9.2024539877300615</v>
      </c>
    </row>
    <row r="5585" spans="1:14">
      <c r="A5585" s="21">
        <v>2025</v>
      </c>
      <c r="B5585" s="21" t="s">
        <v>21</v>
      </c>
      <c r="C5585" s="21" t="s">
        <v>1145</v>
      </c>
      <c r="D5585" s="21" t="s">
        <v>35</v>
      </c>
      <c r="E5585" s="18" t="s">
        <v>159</v>
      </c>
      <c r="F5585" s="18" t="s">
        <v>105</v>
      </c>
      <c r="G5585" s="18" t="s">
        <v>48</v>
      </c>
      <c r="H5585" s="24">
        <v>306410</v>
      </c>
      <c r="I5585" s="24">
        <f>T_reg.root.SK[[#This Row],[Volume, kg]]/1000</f>
        <v>306.41000000000003</v>
      </c>
      <c r="J5585" s="25">
        <v>0.20530000000000001</v>
      </c>
      <c r="K5585" s="25">
        <f t="shared" si="87"/>
        <v>62905.973000000005</v>
      </c>
      <c r="L5585" s="25">
        <v>1.76</v>
      </c>
      <c r="M5585" s="24">
        <v>539175.5</v>
      </c>
      <c r="N5585" s="25">
        <f>IFERROR(T_reg.root.SK[[#This Row],[Price]]/T_reg.root.SK[[#This Row],[Starch content]],"")</f>
        <v>8.5728202630297119</v>
      </c>
    </row>
    <row r="5586" spans="1:14">
      <c r="A5586" s="21">
        <v>2025</v>
      </c>
      <c r="B5586" s="21" t="s">
        <v>21</v>
      </c>
      <c r="C5586" s="21" t="s">
        <v>1145</v>
      </c>
      <c r="D5586" s="21" t="s">
        <v>35</v>
      </c>
      <c r="E5586" s="18" t="s">
        <v>333</v>
      </c>
      <c r="F5586" s="18" t="s">
        <v>187</v>
      </c>
      <c r="G5586" s="18" t="s">
        <v>48</v>
      </c>
      <c r="H5586" s="24">
        <v>11250</v>
      </c>
      <c r="I5586" s="24">
        <f>T_reg.root.SK[[#This Row],[Volume, kg]]/1000</f>
        <v>11.25</v>
      </c>
      <c r="J5586" s="25">
        <v>0.24399999999999999</v>
      </c>
      <c r="K5586" s="25">
        <f t="shared" si="87"/>
        <v>2745</v>
      </c>
      <c r="L5586" s="25">
        <v>1.95</v>
      </c>
      <c r="M5586" s="24">
        <v>21937.5</v>
      </c>
      <c r="N5586" s="25">
        <f>IFERROR(T_reg.root.SK[[#This Row],[Price]]/T_reg.root.SK[[#This Row],[Starch content]],"")</f>
        <v>7.9918032786885247</v>
      </c>
    </row>
    <row r="5587" spans="1:14">
      <c r="A5587" s="21">
        <v>2025</v>
      </c>
      <c r="B5587" s="21" t="s">
        <v>21</v>
      </c>
      <c r="C5587" s="21" t="s">
        <v>1145</v>
      </c>
      <c r="D5587" s="21" t="s">
        <v>35</v>
      </c>
      <c r="E5587" s="18" t="s">
        <v>255</v>
      </c>
      <c r="F5587" s="18" t="s">
        <v>105</v>
      </c>
      <c r="G5587" s="18" t="s">
        <v>48</v>
      </c>
      <c r="H5587" s="24">
        <v>14690</v>
      </c>
      <c r="I5587" s="24">
        <f>T_reg.root.SK[[#This Row],[Volume, kg]]/1000</f>
        <v>14.69</v>
      </c>
      <c r="J5587" s="25">
        <v>0.21289999999999998</v>
      </c>
      <c r="K5587" s="25">
        <f t="shared" si="87"/>
        <v>3127.5009999999997</v>
      </c>
      <c r="L5587" s="25">
        <v>1.8</v>
      </c>
      <c r="M5587" s="24">
        <v>26480</v>
      </c>
      <c r="N5587" s="25">
        <f>IFERROR(T_reg.root.SK[[#This Row],[Price]]/T_reg.root.SK[[#This Row],[Starch content]],"")</f>
        <v>8.4546735556599355</v>
      </c>
    </row>
    <row r="5588" spans="1:14">
      <c r="A5588" s="21">
        <v>2025</v>
      </c>
      <c r="B5588" s="21" t="s">
        <v>21</v>
      </c>
      <c r="C5588" s="21" t="s">
        <v>1145</v>
      </c>
      <c r="D5588" s="21" t="s">
        <v>35</v>
      </c>
      <c r="E5588" s="18" t="s">
        <v>160</v>
      </c>
      <c r="F5588" s="18" t="s">
        <v>105</v>
      </c>
      <c r="G5588" s="18" t="s">
        <v>48</v>
      </c>
      <c r="H5588" s="24">
        <v>35250</v>
      </c>
      <c r="I5588" s="24">
        <f>T_reg.root.SK[[#This Row],[Volume, kg]]/1000</f>
        <v>35.25</v>
      </c>
      <c r="J5588" s="25">
        <v>0.19390000000000002</v>
      </c>
      <c r="K5588" s="25">
        <f t="shared" si="87"/>
        <v>6834.9750000000004</v>
      </c>
      <c r="L5588" s="25">
        <v>1.7</v>
      </c>
      <c r="M5588" s="24">
        <v>59827</v>
      </c>
      <c r="N5588" s="25">
        <f>IFERROR(T_reg.root.SK[[#This Row],[Price]]/T_reg.root.SK[[#This Row],[Starch content]],"")</f>
        <v>8.7674058793192362</v>
      </c>
    </row>
    <row r="5589" spans="1:14">
      <c r="A5589" s="21">
        <v>2025</v>
      </c>
      <c r="B5589" s="21" t="s">
        <v>21</v>
      </c>
      <c r="C5589" s="21" t="s">
        <v>1145</v>
      </c>
      <c r="D5589" s="21" t="s">
        <v>35</v>
      </c>
      <c r="E5589" s="18" t="s">
        <v>211</v>
      </c>
      <c r="F5589" s="18" t="s">
        <v>187</v>
      </c>
      <c r="G5589" s="18" t="s">
        <v>48</v>
      </c>
      <c r="H5589" s="24">
        <v>309530</v>
      </c>
      <c r="I5589" s="24">
        <f>T_reg.root.SK[[#This Row],[Volume, kg]]/1000</f>
        <v>309.52999999999997</v>
      </c>
      <c r="J5589" s="25">
        <v>0.22239999999999999</v>
      </c>
      <c r="K5589" s="25">
        <f t="shared" si="87"/>
        <v>68839.471999999994</v>
      </c>
      <c r="L5589" s="25">
        <v>1.83</v>
      </c>
      <c r="M5589" s="24">
        <v>567315.5</v>
      </c>
      <c r="N5589" s="25">
        <f>IFERROR(T_reg.root.SK[[#This Row],[Price]]/T_reg.root.SK[[#This Row],[Starch content]],"")</f>
        <v>8.2284172661870514</v>
      </c>
    </row>
    <row r="5590" spans="1:14">
      <c r="A5590" s="21">
        <v>2025</v>
      </c>
      <c r="B5590" s="21" t="s">
        <v>21</v>
      </c>
      <c r="C5590" s="21" t="s">
        <v>1145</v>
      </c>
      <c r="D5590" s="21" t="s">
        <v>35</v>
      </c>
      <c r="E5590" s="18" t="s">
        <v>721</v>
      </c>
      <c r="F5590" s="18" t="s">
        <v>105</v>
      </c>
      <c r="G5590" s="18" t="s">
        <v>48</v>
      </c>
      <c r="H5590" s="24">
        <v>77440</v>
      </c>
      <c r="I5590" s="24">
        <f>T_reg.root.SK[[#This Row],[Volume, kg]]/1000</f>
        <v>77.44</v>
      </c>
      <c r="J5590" s="25">
        <v>0.1928</v>
      </c>
      <c r="K5590" s="25">
        <f t="shared" si="87"/>
        <v>14930.432000000001</v>
      </c>
      <c r="L5590" s="25">
        <v>1.72</v>
      </c>
      <c r="M5590" s="24">
        <v>133097.5</v>
      </c>
      <c r="N5590" s="25">
        <f>IFERROR(T_reg.root.SK[[#This Row],[Price]]/T_reg.root.SK[[#This Row],[Starch content]],"")</f>
        <v>8.9211618257261414</v>
      </c>
    </row>
    <row r="5591" spans="1:14">
      <c r="A5591" s="21">
        <v>2025</v>
      </c>
      <c r="B5591" s="21" t="s">
        <v>21</v>
      </c>
      <c r="C5591" s="21" t="s">
        <v>1145</v>
      </c>
      <c r="D5591" s="21" t="s">
        <v>35</v>
      </c>
      <c r="E5591" s="18" t="s">
        <v>161</v>
      </c>
      <c r="F5591" s="18" t="s">
        <v>105</v>
      </c>
      <c r="G5591" s="18" t="s">
        <v>48</v>
      </c>
      <c r="H5591" s="24">
        <v>121640</v>
      </c>
      <c r="I5591" s="24">
        <f>T_reg.root.SK[[#This Row],[Volume, kg]]/1000</f>
        <v>121.64</v>
      </c>
      <c r="J5591" s="25">
        <v>0.21329999999999999</v>
      </c>
      <c r="K5591" s="25">
        <f t="shared" si="87"/>
        <v>25945.811999999998</v>
      </c>
      <c r="L5591" s="25">
        <v>1.79</v>
      </c>
      <c r="M5591" s="24">
        <v>217822</v>
      </c>
      <c r="N5591" s="25">
        <f>IFERROR(T_reg.root.SK[[#This Row],[Price]]/T_reg.root.SK[[#This Row],[Starch content]],"")</f>
        <v>8.3919362400375057</v>
      </c>
    </row>
    <row r="5592" spans="1:14">
      <c r="A5592" s="21">
        <v>2025</v>
      </c>
      <c r="B5592" s="21" t="s">
        <v>21</v>
      </c>
      <c r="C5592" s="21" t="s">
        <v>1145</v>
      </c>
      <c r="D5592" s="21" t="s">
        <v>35</v>
      </c>
      <c r="E5592" s="18" t="s">
        <v>162</v>
      </c>
      <c r="F5592" s="18" t="s">
        <v>105</v>
      </c>
      <c r="G5592" s="18" t="s">
        <v>48</v>
      </c>
      <c r="H5592" s="24">
        <v>29950</v>
      </c>
      <c r="I5592" s="24">
        <f>T_reg.root.SK[[#This Row],[Volume, kg]]/1000</f>
        <v>29.95</v>
      </c>
      <c r="J5592" s="25">
        <v>0.20899999999999999</v>
      </c>
      <c r="K5592" s="25">
        <f t="shared" si="87"/>
        <v>6259.55</v>
      </c>
      <c r="L5592" s="25">
        <v>1.77</v>
      </c>
      <c r="M5592" s="24">
        <v>52955</v>
      </c>
      <c r="N5592" s="25">
        <f>IFERROR(T_reg.root.SK[[#This Row],[Price]]/T_reg.root.SK[[#This Row],[Starch content]],"")</f>
        <v>8.4688995215311014</v>
      </c>
    </row>
    <row r="5593" spans="1:14">
      <c r="A5593" s="21">
        <v>2025</v>
      </c>
      <c r="B5593" s="21" t="s">
        <v>21</v>
      </c>
      <c r="C5593" s="21" t="s">
        <v>1145</v>
      </c>
      <c r="D5593" s="21" t="s">
        <v>35</v>
      </c>
      <c r="E5593" s="18" t="s">
        <v>163</v>
      </c>
      <c r="F5593" s="18" t="s">
        <v>105</v>
      </c>
      <c r="G5593" s="18" t="s">
        <v>48</v>
      </c>
      <c r="H5593" s="24">
        <v>54920</v>
      </c>
      <c r="I5593" s="24">
        <f>T_reg.root.SK[[#This Row],[Volume, kg]]/1000</f>
        <v>54.92</v>
      </c>
      <c r="J5593" s="25">
        <v>0.21629999999999999</v>
      </c>
      <c r="K5593" s="25">
        <f t="shared" si="87"/>
        <v>11879.196</v>
      </c>
      <c r="L5593" s="25">
        <v>1.8</v>
      </c>
      <c r="M5593" s="24">
        <v>99023.5</v>
      </c>
      <c r="N5593" s="25">
        <f>IFERROR(T_reg.root.SK[[#This Row],[Price]]/T_reg.root.SK[[#This Row],[Starch content]],"")</f>
        <v>8.3217753120665741</v>
      </c>
    </row>
    <row r="5594" spans="1:14">
      <c r="A5594" s="21">
        <v>2025</v>
      </c>
      <c r="B5594" s="21" t="s">
        <v>21</v>
      </c>
      <c r="C5594" s="21" t="s">
        <v>1145</v>
      </c>
      <c r="D5594" s="21" t="s">
        <v>35</v>
      </c>
      <c r="E5594" s="18" t="s">
        <v>165</v>
      </c>
      <c r="F5594" s="18" t="s">
        <v>105</v>
      </c>
      <c r="G5594" s="18" t="s">
        <v>48</v>
      </c>
      <c r="H5594" s="24">
        <v>39270</v>
      </c>
      <c r="I5594" s="24">
        <f>T_reg.root.SK[[#This Row],[Volume, kg]]/1000</f>
        <v>39.270000000000003</v>
      </c>
      <c r="J5594" s="25">
        <v>0.2571</v>
      </c>
      <c r="K5594" s="25">
        <f t="shared" si="87"/>
        <v>10096.316999999999</v>
      </c>
      <c r="L5594" s="25">
        <v>1.93</v>
      </c>
      <c r="M5594" s="24">
        <v>75599.5</v>
      </c>
      <c r="N5594" s="25">
        <f>IFERROR(T_reg.root.SK[[#This Row],[Price]]/T_reg.root.SK[[#This Row],[Starch content]],"")</f>
        <v>7.5068066900038897</v>
      </c>
    </row>
    <row r="5595" spans="1:14">
      <c r="A5595" s="21">
        <v>2025</v>
      </c>
      <c r="B5595" s="21" t="s">
        <v>21</v>
      </c>
      <c r="C5595" s="21" t="s">
        <v>1145</v>
      </c>
      <c r="D5595" s="21" t="s">
        <v>35</v>
      </c>
      <c r="E5595" s="18" t="s">
        <v>76</v>
      </c>
      <c r="F5595" s="18" t="s">
        <v>47</v>
      </c>
      <c r="G5595" s="18" t="s">
        <v>48</v>
      </c>
      <c r="H5595" s="24">
        <v>7620</v>
      </c>
      <c r="I5595" s="24">
        <f>T_reg.root.SK[[#This Row],[Volume, kg]]/1000</f>
        <v>7.62</v>
      </c>
      <c r="J5595" s="25">
        <v>0.22</v>
      </c>
      <c r="K5595" s="25">
        <f t="shared" si="87"/>
        <v>1676.4</v>
      </c>
      <c r="L5595" s="25">
        <v>1.85</v>
      </c>
      <c r="M5595" s="24">
        <v>14097</v>
      </c>
      <c r="N5595" s="25">
        <f>IFERROR(T_reg.root.SK[[#This Row],[Price]]/T_reg.root.SK[[#This Row],[Starch content]],"")</f>
        <v>8.4090909090909101</v>
      </c>
    </row>
    <row r="5596" spans="1:14">
      <c r="A5596" s="21">
        <v>2025</v>
      </c>
      <c r="B5596" s="21" t="s">
        <v>21</v>
      </c>
      <c r="C5596" s="21" t="s">
        <v>1145</v>
      </c>
      <c r="D5596" s="21" t="s">
        <v>35</v>
      </c>
      <c r="E5596" s="18" t="s">
        <v>168</v>
      </c>
      <c r="F5596" s="18" t="s">
        <v>105</v>
      </c>
      <c r="G5596" s="18" t="s">
        <v>48</v>
      </c>
      <c r="H5596" s="24">
        <v>10070</v>
      </c>
      <c r="I5596" s="24">
        <f>T_reg.root.SK[[#This Row],[Volume, kg]]/1000</f>
        <v>10.07</v>
      </c>
      <c r="J5596" s="25">
        <v>0.247</v>
      </c>
      <c r="K5596" s="25">
        <f t="shared" si="87"/>
        <v>2487.29</v>
      </c>
      <c r="L5596" s="25">
        <v>2</v>
      </c>
      <c r="M5596" s="24">
        <v>20140</v>
      </c>
      <c r="N5596" s="25">
        <f>IFERROR(T_reg.root.SK[[#This Row],[Price]]/T_reg.root.SK[[#This Row],[Starch content]],"")</f>
        <v>8.097165991902834</v>
      </c>
    </row>
    <row r="5597" spans="1:14">
      <c r="A5597" s="21">
        <v>2025</v>
      </c>
      <c r="B5597" s="21" t="s">
        <v>21</v>
      </c>
      <c r="C5597" s="21" t="s">
        <v>1145</v>
      </c>
      <c r="D5597" s="21" t="s">
        <v>35</v>
      </c>
      <c r="E5597" s="18" t="s">
        <v>257</v>
      </c>
      <c r="F5597" s="18" t="s">
        <v>105</v>
      </c>
      <c r="G5597" s="18" t="s">
        <v>48</v>
      </c>
      <c r="H5597" s="24">
        <v>37910</v>
      </c>
      <c r="I5597" s="24">
        <f>T_reg.root.SK[[#This Row],[Volume, kg]]/1000</f>
        <v>37.909999999999997</v>
      </c>
      <c r="J5597" s="25">
        <v>0.19239999999999999</v>
      </c>
      <c r="K5597" s="25">
        <f t="shared" si="87"/>
        <v>7293.8839999999991</v>
      </c>
      <c r="L5597" s="25">
        <v>1.71</v>
      </c>
      <c r="M5597" s="24">
        <v>65011</v>
      </c>
      <c r="N5597" s="25">
        <f>IFERROR(T_reg.root.SK[[#This Row],[Price]]/T_reg.root.SK[[#This Row],[Starch content]],"")</f>
        <v>8.8877338877338889</v>
      </c>
    </row>
    <row r="5598" spans="1:14">
      <c r="A5598" s="21">
        <v>2025</v>
      </c>
      <c r="B5598" s="21" t="s">
        <v>21</v>
      </c>
      <c r="C5598" s="21" t="s">
        <v>1145</v>
      </c>
      <c r="D5598" s="21" t="s">
        <v>35</v>
      </c>
      <c r="E5598" s="18" t="s">
        <v>502</v>
      </c>
      <c r="F5598" s="18" t="s">
        <v>105</v>
      </c>
      <c r="G5598" s="18" t="s">
        <v>48</v>
      </c>
      <c r="H5598" s="24">
        <v>17270</v>
      </c>
      <c r="I5598" s="24">
        <f>T_reg.root.SK[[#This Row],[Volume, kg]]/1000</f>
        <v>17.27</v>
      </c>
      <c r="J5598" s="25">
        <v>0.21809999999999999</v>
      </c>
      <c r="K5598" s="25">
        <f t="shared" si="87"/>
        <v>3766.587</v>
      </c>
      <c r="L5598" s="25">
        <v>1.77</v>
      </c>
      <c r="M5598" s="24">
        <v>30620.5</v>
      </c>
      <c r="N5598" s="25">
        <f>IFERROR(T_reg.root.SK[[#This Row],[Price]]/T_reg.root.SK[[#This Row],[Starch content]],"")</f>
        <v>8.1155433287482808</v>
      </c>
    </row>
    <row r="5599" spans="1:14">
      <c r="A5599" s="21">
        <v>2025</v>
      </c>
      <c r="B5599" s="21" t="s">
        <v>21</v>
      </c>
      <c r="C5599" s="21" t="s">
        <v>1145</v>
      </c>
      <c r="D5599" s="21" t="s">
        <v>35</v>
      </c>
      <c r="E5599" s="18" t="s">
        <v>739</v>
      </c>
      <c r="F5599" s="18" t="s">
        <v>105</v>
      </c>
      <c r="G5599" s="18" t="s">
        <v>48</v>
      </c>
      <c r="H5599" s="24">
        <v>207540</v>
      </c>
      <c r="I5599" s="24">
        <f>T_reg.root.SK[[#This Row],[Volume, kg]]/1000</f>
        <v>207.54</v>
      </c>
      <c r="J5599" s="25">
        <v>0.23530000000000001</v>
      </c>
      <c r="K5599" s="25">
        <f t="shared" si="87"/>
        <v>48834.162000000004</v>
      </c>
      <c r="L5599" s="25">
        <v>1.93</v>
      </c>
      <c r="M5599" s="24">
        <v>399597.5</v>
      </c>
      <c r="N5599" s="25">
        <f>IFERROR(T_reg.root.SK[[#This Row],[Price]]/T_reg.root.SK[[#This Row],[Starch content]],"")</f>
        <v>8.202294942626434</v>
      </c>
    </row>
    <row r="5600" spans="1:14">
      <c r="A5600" s="21">
        <v>2025</v>
      </c>
      <c r="B5600" s="21" t="s">
        <v>21</v>
      </c>
      <c r="C5600" s="21" t="s">
        <v>1145</v>
      </c>
      <c r="D5600" s="21" t="s">
        <v>35</v>
      </c>
      <c r="E5600" s="18" t="s">
        <v>722</v>
      </c>
      <c r="F5600" s="18" t="s">
        <v>105</v>
      </c>
      <c r="G5600" s="18" t="s">
        <v>48</v>
      </c>
      <c r="H5600" s="24">
        <v>11010</v>
      </c>
      <c r="I5600" s="24">
        <f>T_reg.root.SK[[#This Row],[Volume, kg]]/1000</f>
        <v>11.01</v>
      </c>
      <c r="J5600" s="25">
        <v>0.27250000000000002</v>
      </c>
      <c r="K5600" s="25">
        <f t="shared" si="87"/>
        <v>3000.2250000000004</v>
      </c>
      <c r="L5600" s="25">
        <v>2.1</v>
      </c>
      <c r="M5600" s="24">
        <v>23121</v>
      </c>
      <c r="N5600" s="25">
        <f>IFERROR(T_reg.root.SK[[#This Row],[Price]]/T_reg.root.SK[[#This Row],[Starch content]],"")</f>
        <v>7.7064220183486238</v>
      </c>
    </row>
    <row r="5601" spans="1:14">
      <c r="A5601" s="21">
        <v>2025</v>
      </c>
      <c r="B5601" s="21" t="s">
        <v>21</v>
      </c>
      <c r="C5601" s="21" t="s">
        <v>1145</v>
      </c>
      <c r="D5601" s="21" t="s">
        <v>35</v>
      </c>
      <c r="E5601" s="18" t="s">
        <v>269</v>
      </c>
      <c r="F5601" s="18" t="s">
        <v>187</v>
      </c>
      <c r="G5601" s="18" t="s">
        <v>48</v>
      </c>
      <c r="H5601" s="24">
        <v>50100</v>
      </c>
      <c r="I5601" s="24">
        <f>T_reg.root.SK[[#This Row],[Volume, kg]]/1000</f>
        <v>50.1</v>
      </c>
      <c r="J5601" s="25">
        <v>0.1948</v>
      </c>
      <c r="K5601" s="25">
        <f t="shared" si="87"/>
        <v>9759.48</v>
      </c>
      <c r="L5601" s="25">
        <v>1.7</v>
      </c>
      <c r="M5601" s="24">
        <v>85123.5</v>
      </c>
      <c r="N5601" s="25">
        <f>IFERROR(T_reg.root.SK[[#This Row],[Price]]/T_reg.root.SK[[#This Row],[Starch content]],"")</f>
        <v>8.7268993839835733</v>
      </c>
    </row>
    <row r="5602" spans="1:14">
      <c r="A5602" s="21">
        <v>2025</v>
      </c>
      <c r="B5602" s="21" t="s">
        <v>21</v>
      </c>
      <c r="C5602" s="21" t="s">
        <v>1145</v>
      </c>
      <c r="D5602" s="21" t="s">
        <v>35</v>
      </c>
      <c r="E5602" s="18" t="s">
        <v>539</v>
      </c>
      <c r="F5602" s="18" t="s">
        <v>187</v>
      </c>
      <c r="G5602" s="18" t="s">
        <v>48</v>
      </c>
      <c r="H5602" s="24">
        <v>10500</v>
      </c>
      <c r="I5602" s="24">
        <f>T_reg.root.SK[[#This Row],[Volume, kg]]/1000</f>
        <v>10.5</v>
      </c>
      <c r="J5602" s="25">
        <v>0.2225</v>
      </c>
      <c r="K5602" s="25">
        <f t="shared" si="87"/>
        <v>2336.25</v>
      </c>
      <c r="L5602" s="25">
        <v>1.85</v>
      </c>
      <c r="M5602" s="24">
        <v>19425</v>
      </c>
      <c r="N5602" s="25">
        <f>IFERROR(T_reg.root.SK[[#This Row],[Price]]/T_reg.root.SK[[#This Row],[Starch content]],"")</f>
        <v>8.3146067415730336</v>
      </c>
    </row>
    <row r="5603" spans="1:14">
      <c r="A5603" s="21">
        <v>2025</v>
      </c>
      <c r="B5603" s="21" t="s">
        <v>21</v>
      </c>
      <c r="C5603" s="21" t="s">
        <v>1145</v>
      </c>
      <c r="D5603" s="21" t="s">
        <v>35</v>
      </c>
      <c r="E5603" s="18" t="s">
        <v>214</v>
      </c>
      <c r="F5603" s="18" t="s">
        <v>187</v>
      </c>
      <c r="G5603" s="18" t="s">
        <v>48</v>
      </c>
      <c r="H5603" s="24">
        <v>28150</v>
      </c>
      <c r="I5603" s="24">
        <f>T_reg.root.SK[[#This Row],[Volume, kg]]/1000</f>
        <v>28.15</v>
      </c>
      <c r="J5603" s="25">
        <v>0.25819999999999999</v>
      </c>
      <c r="K5603" s="25">
        <f t="shared" si="87"/>
        <v>7268.33</v>
      </c>
      <c r="L5603" s="25">
        <v>2.0299999999999998</v>
      </c>
      <c r="M5603" s="24">
        <v>57190</v>
      </c>
      <c r="N5603" s="25">
        <f>IFERROR(T_reg.root.SK[[#This Row],[Price]]/T_reg.root.SK[[#This Row],[Starch content]],"")</f>
        <v>7.8621223857474822</v>
      </c>
    </row>
    <row r="5604" spans="1:14">
      <c r="A5604" s="21">
        <v>2025</v>
      </c>
      <c r="B5604" s="21" t="s">
        <v>21</v>
      </c>
      <c r="C5604" s="21" t="s">
        <v>1145</v>
      </c>
      <c r="D5604" s="21" t="s">
        <v>35</v>
      </c>
      <c r="E5604" s="18" t="s">
        <v>321</v>
      </c>
      <c r="F5604" s="18" t="s">
        <v>105</v>
      </c>
      <c r="G5604" s="18" t="s">
        <v>48</v>
      </c>
      <c r="H5604" s="24">
        <v>30220</v>
      </c>
      <c r="I5604" s="24">
        <f>T_reg.root.SK[[#This Row],[Volume, kg]]/1000</f>
        <v>30.22</v>
      </c>
      <c r="J5604" s="25">
        <v>0.2165</v>
      </c>
      <c r="K5604" s="25">
        <f t="shared" si="87"/>
        <v>6542.63</v>
      </c>
      <c r="L5604" s="25">
        <v>1.84</v>
      </c>
      <c r="M5604" s="24">
        <v>55621.5</v>
      </c>
      <c r="N5604" s="25">
        <f>IFERROR(T_reg.root.SK[[#This Row],[Price]]/T_reg.root.SK[[#This Row],[Starch content]],"")</f>
        <v>8.4988452655889155</v>
      </c>
    </row>
    <row r="5605" spans="1:14">
      <c r="A5605" s="21">
        <v>2025</v>
      </c>
      <c r="B5605" s="21" t="s">
        <v>21</v>
      </c>
      <c r="C5605" s="21" t="s">
        <v>1145</v>
      </c>
      <c r="D5605" s="21" t="s">
        <v>35</v>
      </c>
      <c r="E5605" s="18" t="s">
        <v>173</v>
      </c>
      <c r="F5605" s="18" t="s">
        <v>105</v>
      </c>
      <c r="G5605" s="18" t="s">
        <v>48</v>
      </c>
      <c r="H5605" s="24">
        <v>11360</v>
      </c>
      <c r="I5605" s="24">
        <f>T_reg.root.SK[[#This Row],[Volume, kg]]/1000</f>
        <v>11.36</v>
      </c>
      <c r="J5605" s="25">
        <v>0.19839999999999999</v>
      </c>
      <c r="K5605" s="25">
        <f t="shared" si="87"/>
        <v>2253.8240000000001</v>
      </c>
      <c r="L5605" s="25">
        <v>1.65</v>
      </c>
      <c r="M5605" s="24">
        <v>18744</v>
      </c>
      <c r="N5605" s="25">
        <f>IFERROR(T_reg.root.SK[[#This Row],[Price]]/T_reg.root.SK[[#This Row],[Starch content]],"")</f>
        <v>8.316532258064516</v>
      </c>
    </row>
    <row r="5606" spans="1:14">
      <c r="A5606" s="21">
        <v>2025</v>
      </c>
      <c r="B5606" s="21" t="s">
        <v>21</v>
      </c>
      <c r="C5606" s="21" t="s">
        <v>1145</v>
      </c>
      <c r="D5606" s="21" t="s">
        <v>35</v>
      </c>
      <c r="E5606" s="18" t="s">
        <v>324</v>
      </c>
      <c r="F5606" s="18" t="s">
        <v>105</v>
      </c>
      <c r="G5606" s="18" t="s">
        <v>48</v>
      </c>
      <c r="H5606" s="24">
        <v>41110</v>
      </c>
      <c r="I5606" s="24">
        <f>T_reg.root.SK[[#This Row],[Volume, kg]]/1000</f>
        <v>41.11</v>
      </c>
      <c r="J5606" s="25">
        <v>0.21879999999999999</v>
      </c>
      <c r="K5606" s="25">
        <f t="shared" si="87"/>
        <v>8994.8680000000004</v>
      </c>
      <c r="L5606" s="25">
        <v>1.76</v>
      </c>
      <c r="M5606" s="24">
        <v>72193.5</v>
      </c>
      <c r="N5606" s="25">
        <f>IFERROR(T_reg.root.SK[[#This Row],[Price]]/T_reg.root.SK[[#This Row],[Starch content]],"")</f>
        <v>8.0438756855575875</v>
      </c>
    </row>
    <row r="5607" spans="1:14">
      <c r="A5607" s="21">
        <v>2025</v>
      </c>
      <c r="B5607" s="21" t="s">
        <v>21</v>
      </c>
      <c r="C5607" s="21" t="s">
        <v>1145</v>
      </c>
      <c r="D5607" s="21" t="s">
        <v>35</v>
      </c>
      <c r="E5607" s="18" t="s">
        <v>623</v>
      </c>
      <c r="F5607" s="18" t="s">
        <v>187</v>
      </c>
      <c r="G5607" s="18" t="s">
        <v>48</v>
      </c>
      <c r="H5607" s="24">
        <v>26320</v>
      </c>
      <c r="I5607" s="24">
        <f>T_reg.root.SK[[#This Row],[Volume, kg]]/1000</f>
        <v>26.32</v>
      </c>
      <c r="J5607" s="25">
        <v>0.215</v>
      </c>
      <c r="K5607" s="25">
        <f t="shared" si="87"/>
        <v>5658.8</v>
      </c>
      <c r="L5607" s="25">
        <v>1.81</v>
      </c>
      <c r="M5607" s="24">
        <v>47627</v>
      </c>
      <c r="N5607" s="25">
        <f>IFERROR(T_reg.root.SK[[#This Row],[Price]]/T_reg.root.SK[[#This Row],[Starch content]],"")</f>
        <v>8.4186046511627914</v>
      </c>
    </row>
    <row r="5608" spans="1:14">
      <c r="A5608" s="21">
        <v>2025</v>
      </c>
      <c r="B5608" s="21" t="s">
        <v>21</v>
      </c>
      <c r="C5608" s="21" t="s">
        <v>1145</v>
      </c>
      <c r="D5608" s="21" t="s">
        <v>35</v>
      </c>
      <c r="E5608" s="18" t="s">
        <v>691</v>
      </c>
      <c r="F5608" s="18" t="s">
        <v>187</v>
      </c>
      <c r="G5608" s="18" t="s">
        <v>48</v>
      </c>
      <c r="H5608" s="24">
        <v>8470</v>
      </c>
      <c r="I5608" s="24">
        <f>T_reg.root.SK[[#This Row],[Volume, kg]]/1000</f>
        <v>8.4700000000000006</v>
      </c>
      <c r="J5608" s="25">
        <v>0.2155</v>
      </c>
      <c r="K5608" s="25">
        <f t="shared" si="87"/>
        <v>1825.2850000000001</v>
      </c>
      <c r="L5608" s="25">
        <v>1.8</v>
      </c>
      <c r="M5608" s="24">
        <v>15246</v>
      </c>
      <c r="N5608" s="25">
        <f>IFERROR(T_reg.root.SK[[#This Row],[Price]]/T_reg.root.SK[[#This Row],[Starch content]],"")</f>
        <v>8.3526682134570773</v>
      </c>
    </row>
    <row r="5609" spans="1:14">
      <c r="A5609" s="21">
        <v>2025</v>
      </c>
      <c r="B5609" s="21" t="s">
        <v>21</v>
      </c>
      <c r="C5609" s="21" t="s">
        <v>1145</v>
      </c>
      <c r="D5609" s="21" t="s">
        <v>35</v>
      </c>
      <c r="E5609" s="18" t="s">
        <v>935</v>
      </c>
      <c r="F5609" s="18" t="s">
        <v>105</v>
      </c>
      <c r="G5609" s="18" t="s">
        <v>48</v>
      </c>
      <c r="H5609" s="24">
        <v>79960</v>
      </c>
      <c r="I5609" s="24">
        <f>T_reg.root.SK[[#This Row],[Volume, kg]]/1000</f>
        <v>79.959999999999994</v>
      </c>
      <c r="J5609" s="25">
        <v>0.2321</v>
      </c>
      <c r="K5609" s="25">
        <f t="shared" si="87"/>
        <v>18558.716</v>
      </c>
      <c r="L5609" s="25">
        <v>1.9</v>
      </c>
      <c r="M5609" s="24">
        <v>152040.5</v>
      </c>
      <c r="N5609" s="25">
        <f>IFERROR(T_reg.root.SK[[#This Row],[Price]]/T_reg.root.SK[[#This Row],[Starch content]],"")</f>
        <v>8.1861266695389912</v>
      </c>
    </row>
    <row r="5610" spans="1:14">
      <c r="A5610" s="21">
        <v>2025</v>
      </c>
      <c r="B5610" s="21" t="s">
        <v>21</v>
      </c>
      <c r="C5610" s="21" t="s">
        <v>1145</v>
      </c>
      <c r="D5610" s="21" t="s">
        <v>35</v>
      </c>
      <c r="E5610" s="18" t="s">
        <v>938</v>
      </c>
      <c r="F5610" s="18" t="s">
        <v>105</v>
      </c>
      <c r="G5610" s="18" t="s">
        <v>48</v>
      </c>
      <c r="H5610" s="24">
        <v>145940</v>
      </c>
      <c r="I5610" s="24">
        <f>T_reg.root.SK[[#This Row],[Volume, kg]]/1000</f>
        <v>145.94</v>
      </c>
      <c r="J5610" s="25">
        <v>0.2039</v>
      </c>
      <c r="K5610" s="25">
        <f t="shared" si="87"/>
        <v>29757.166000000001</v>
      </c>
      <c r="L5610" s="25">
        <v>1.73</v>
      </c>
      <c r="M5610" s="24">
        <v>251986.5</v>
      </c>
      <c r="N5610" s="25">
        <f>IFERROR(T_reg.root.SK[[#This Row],[Price]]/T_reg.root.SK[[#This Row],[Starch content]],"")</f>
        <v>8.4845512506130465</v>
      </c>
    </row>
    <row r="5611" spans="1:14">
      <c r="A5611" s="21">
        <v>2025</v>
      </c>
      <c r="B5611" s="21" t="s">
        <v>21</v>
      </c>
      <c r="C5611" s="21" t="s">
        <v>1145</v>
      </c>
      <c r="D5611" s="21" t="s">
        <v>35</v>
      </c>
      <c r="E5611" s="18" t="s">
        <v>958</v>
      </c>
      <c r="F5611" s="18" t="s">
        <v>105</v>
      </c>
      <c r="G5611" s="18" t="s">
        <v>48</v>
      </c>
      <c r="H5611" s="24">
        <v>2200</v>
      </c>
      <c r="I5611" s="24">
        <f>T_reg.root.SK[[#This Row],[Volume, kg]]/1000</f>
        <v>2.2000000000000002</v>
      </c>
      <c r="J5611" s="25">
        <v>0.1865</v>
      </c>
      <c r="K5611" s="25">
        <f t="shared" si="87"/>
        <v>410.3</v>
      </c>
      <c r="L5611" s="25">
        <v>1.7</v>
      </c>
      <c r="M5611" s="24">
        <v>3740</v>
      </c>
      <c r="N5611" s="25">
        <f>IFERROR(T_reg.root.SK[[#This Row],[Price]]/T_reg.root.SK[[#This Row],[Starch content]],"")</f>
        <v>9.1152815013404815</v>
      </c>
    </row>
    <row r="5612" spans="1:14">
      <c r="A5612" s="21">
        <v>2025</v>
      </c>
      <c r="B5612" s="21" t="s">
        <v>21</v>
      </c>
      <c r="C5612" s="21" t="s">
        <v>1145</v>
      </c>
      <c r="D5612" s="21" t="s">
        <v>35</v>
      </c>
      <c r="E5612" s="18" t="s">
        <v>968</v>
      </c>
      <c r="F5612" s="18" t="s">
        <v>105</v>
      </c>
      <c r="G5612" s="18" t="s">
        <v>48</v>
      </c>
      <c r="H5612" s="24">
        <v>48050</v>
      </c>
      <c r="I5612" s="24">
        <f>T_reg.root.SK[[#This Row],[Volume, kg]]/1000</f>
        <v>48.05</v>
      </c>
      <c r="J5612" s="25">
        <v>0.21510000000000001</v>
      </c>
      <c r="K5612" s="25">
        <f t="shared" si="87"/>
        <v>10335.555</v>
      </c>
      <c r="L5612" s="25">
        <v>1.85</v>
      </c>
      <c r="M5612" s="24">
        <v>88695.5</v>
      </c>
      <c r="N5612" s="25">
        <f>IFERROR(T_reg.root.SK[[#This Row],[Price]]/T_reg.root.SK[[#This Row],[Starch content]],"")</f>
        <v>8.6006508600650857</v>
      </c>
    </row>
    <row r="5613" spans="1:14">
      <c r="A5613" s="21">
        <v>2025</v>
      </c>
      <c r="B5613" s="21" t="s">
        <v>21</v>
      </c>
      <c r="C5613" s="21" t="s">
        <v>1145</v>
      </c>
      <c r="D5613" s="21" t="s">
        <v>35</v>
      </c>
      <c r="E5613" s="18" t="s">
        <v>980</v>
      </c>
      <c r="F5613" s="18" t="s">
        <v>105</v>
      </c>
      <c r="G5613" s="18" t="s">
        <v>48</v>
      </c>
      <c r="H5613" s="24">
        <v>20620</v>
      </c>
      <c r="I5613" s="24">
        <f>T_reg.root.SK[[#This Row],[Volume, kg]]/1000</f>
        <v>20.62</v>
      </c>
      <c r="J5613" s="25">
        <v>0.21329999999999999</v>
      </c>
      <c r="K5613" s="25">
        <f t="shared" si="87"/>
        <v>4398.2460000000001</v>
      </c>
      <c r="L5613" s="25">
        <v>1.76</v>
      </c>
      <c r="M5613" s="24">
        <v>36329</v>
      </c>
      <c r="N5613" s="25">
        <f>IFERROR(T_reg.root.SK[[#This Row],[Price]]/T_reg.root.SK[[#This Row],[Starch content]],"")</f>
        <v>8.2512892639474931</v>
      </c>
    </row>
    <row r="5614" spans="1:14">
      <c r="A5614" s="21">
        <v>2025</v>
      </c>
      <c r="B5614" s="21" t="s">
        <v>21</v>
      </c>
      <c r="C5614" s="21" t="s">
        <v>1145</v>
      </c>
      <c r="D5614" s="21" t="s">
        <v>35</v>
      </c>
      <c r="E5614" s="18" t="s">
        <v>1015</v>
      </c>
      <c r="F5614" s="18" t="s">
        <v>105</v>
      </c>
      <c r="G5614" s="18" t="s">
        <v>48</v>
      </c>
      <c r="H5614" s="24">
        <v>57510</v>
      </c>
      <c r="I5614" s="24">
        <f>T_reg.root.SK[[#This Row],[Volume, kg]]/1000</f>
        <v>57.51</v>
      </c>
      <c r="J5614" s="25">
        <v>0.27399999999999997</v>
      </c>
      <c r="K5614" s="25">
        <f t="shared" si="87"/>
        <v>15757.739999999998</v>
      </c>
      <c r="L5614" s="25">
        <v>2.1</v>
      </c>
      <c r="M5614" s="24">
        <v>121011.5</v>
      </c>
      <c r="N5614" s="25">
        <f>IFERROR(T_reg.root.SK[[#This Row],[Price]]/T_reg.root.SK[[#This Row],[Starch content]],"")</f>
        <v>7.6642335766423368</v>
      </c>
    </row>
    <row r="5615" spans="1:14">
      <c r="A5615" s="21">
        <v>2025</v>
      </c>
      <c r="B5615" s="21" t="s">
        <v>21</v>
      </c>
      <c r="C5615" s="21" t="s">
        <v>1145</v>
      </c>
      <c r="D5615" s="21" t="s">
        <v>35</v>
      </c>
      <c r="E5615" s="18" t="s">
        <v>507</v>
      </c>
      <c r="F5615" s="18" t="s">
        <v>105</v>
      </c>
      <c r="G5615" s="18" t="s">
        <v>48</v>
      </c>
      <c r="H5615" s="24">
        <v>26750</v>
      </c>
      <c r="I5615" s="24">
        <f>T_reg.root.SK[[#This Row],[Volume, kg]]/1000</f>
        <v>26.75</v>
      </c>
      <c r="J5615" s="25">
        <v>0.2681</v>
      </c>
      <c r="K5615" s="25">
        <f t="shared" si="87"/>
        <v>7171.6750000000002</v>
      </c>
      <c r="L5615" s="25">
        <v>2</v>
      </c>
      <c r="M5615" s="24">
        <v>53500</v>
      </c>
      <c r="N5615" s="25">
        <f>IFERROR(T_reg.root.SK[[#This Row],[Price]]/T_reg.root.SK[[#This Row],[Starch content]],"")</f>
        <v>7.4599030212607236</v>
      </c>
    </row>
    <row r="5616" spans="1:14">
      <c r="A5616" s="21">
        <v>2025</v>
      </c>
      <c r="B5616" s="21" t="s">
        <v>21</v>
      </c>
      <c r="C5616" s="21" t="s">
        <v>1145</v>
      </c>
      <c r="D5616" s="21" t="s">
        <v>35</v>
      </c>
      <c r="E5616" s="18" t="s">
        <v>174</v>
      </c>
      <c r="F5616" s="18" t="s">
        <v>105</v>
      </c>
      <c r="G5616" s="18" t="s">
        <v>48</v>
      </c>
      <c r="H5616" s="24">
        <v>171880</v>
      </c>
      <c r="I5616" s="24">
        <f>T_reg.root.SK[[#This Row],[Volume, kg]]/1000</f>
        <v>171.88</v>
      </c>
      <c r="J5616" s="25">
        <v>0.23089999999999999</v>
      </c>
      <c r="K5616" s="25">
        <f t="shared" si="87"/>
        <v>39687.091999999997</v>
      </c>
      <c r="L5616" s="25">
        <v>1.89</v>
      </c>
      <c r="M5616" s="24">
        <v>324574.5</v>
      </c>
      <c r="N5616" s="25">
        <f>IFERROR(T_reg.root.SK[[#This Row],[Price]]/T_reg.root.SK[[#This Row],[Starch content]],"")</f>
        <v>8.1853616284105666</v>
      </c>
    </row>
    <row r="5617" spans="1:14">
      <c r="A5617" s="21">
        <v>2025</v>
      </c>
      <c r="B5617" s="21" t="s">
        <v>21</v>
      </c>
      <c r="C5617" s="21" t="s">
        <v>1145</v>
      </c>
      <c r="D5617" s="21" t="s">
        <v>35</v>
      </c>
      <c r="E5617" s="18" t="s">
        <v>77</v>
      </c>
      <c r="F5617" s="18" t="s">
        <v>47</v>
      </c>
      <c r="G5617" s="18" t="s">
        <v>48</v>
      </c>
      <c r="H5617" s="24">
        <v>67190</v>
      </c>
      <c r="I5617" s="24">
        <f>T_reg.root.SK[[#This Row],[Volume, kg]]/1000</f>
        <v>67.19</v>
      </c>
      <c r="J5617" s="25">
        <v>0.18890000000000001</v>
      </c>
      <c r="K5617" s="25">
        <f t="shared" si="87"/>
        <v>12692.191000000001</v>
      </c>
      <c r="L5617" s="25">
        <v>1.69</v>
      </c>
      <c r="M5617" s="24">
        <v>113815</v>
      </c>
      <c r="N5617" s="25">
        <f>IFERROR(T_reg.root.SK[[#This Row],[Price]]/T_reg.root.SK[[#This Row],[Starch content]],"")</f>
        <v>8.9465325569084158</v>
      </c>
    </row>
    <row r="5618" spans="1:14">
      <c r="A5618" s="21">
        <v>2025</v>
      </c>
      <c r="B5618" s="21" t="s">
        <v>21</v>
      </c>
      <c r="C5618" s="21" t="s">
        <v>1145</v>
      </c>
      <c r="D5618" s="21" t="s">
        <v>35</v>
      </c>
      <c r="E5618" s="18" t="s">
        <v>726</v>
      </c>
      <c r="F5618" s="18" t="s">
        <v>187</v>
      </c>
      <c r="G5618" s="18" t="s">
        <v>48</v>
      </c>
      <c r="H5618" s="24">
        <v>12770</v>
      </c>
      <c r="I5618" s="24">
        <f>T_reg.root.SK[[#This Row],[Volume, kg]]/1000</f>
        <v>12.77</v>
      </c>
      <c r="J5618" s="25">
        <v>0.21350000000000002</v>
      </c>
      <c r="K5618" s="25">
        <f t="shared" si="87"/>
        <v>2726.3950000000004</v>
      </c>
      <c r="L5618" s="25">
        <v>1.8</v>
      </c>
      <c r="M5618" s="24">
        <v>22986</v>
      </c>
      <c r="N5618" s="25">
        <f>IFERROR(T_reg.root.SK[[#This Row],[Price]]/T_reg.root.SK[[#This Row],[Starch content]],"")</f>
        <v>8.4309133489461345</v>
      </c>
    </row>
    <row r="5619" spans="1:14">
      <c r="A5619" s="21">
        <v>2025</v>
      </c>
      <c r="B5619" s="21" t="s">
        <v>21</v>
      </c>
      <c r="C5619" s="21" t="s">
        <v>1145</v>
      </c>
      <c r="D5619" s="21" t="s">
        <v>39</v>
      </c>
      <c r="E5619" s="18" t="s">
        <v>88</v>
      </c>
      <c r="F5619" s="18" t="s">
        <v>89</v>
      </c>
      <c r="G5619" s="18" t="s">
        <v>90</v>
      </c>
      <c r="H5619" s="24">
        <v>4093810</v>
      </c>
      <c r="I5619" s="24">
        <f>T_reg.root.SK[[#This Row],[Volume, kg]]/1000</f>
        <v>4093.81</v>
      </c>
      <c r="J5619" s="25">
        <v>0.22969999999999999</v>
      </c>
      <c r="K5619" s="25">
        <f t="shared" si="87"/>
        <v>940348.15700000001</v>
      </c>
      <c r="L5619" s="25">
        <v>1.93</v>
      </c>
      <c r="M5619" s="24">
        <v>7881173</v>
      </c>
      <c r="N5619" s="25">
        <f>IFERROR(T_reg.root.SK[[#This Row],[Price]]/T_reg.root.SK[[#This Row],[Starch content]],"")</f>
        <v>8.4022638223770141</v>
      </c>
    </row>
    <row r="5620" spans="1:14">
      <c r="A5620" s="21">
        <v>2025</v>
      </c>
      <c r="B5620" s="21" t="s">
        <v>21</v>
      </c>
      <c r="C5620" s="21" t="s">
        <v>1145</v>
      </c>
      <c r="D5620" s="21" t="s">
        <v>35</v>
      </c>
      <c r="E5620" s="18" t="s">
        <v>761</v>
      </c>
      <c r="F5620" s="18" t="s">
        <v>187</v>
      </c>
      <c r="G5620" s="18" t="s">
        <v>48</v>
      </c>
      <c r="H5620" s="24">
        <v>85840</v>
      </c>
      <c r="I5620" s="24">
        <f>T_reg.root.SK[[#This Row],[Volume, kg]]/1000</f>
        <v>85.84</v>
      </c>
      <c r="J5620" s="25">
        <v>0.2288</v>
      </c>
      <c r="K5620" s="25">
        <f t="shared" si="87"/>
        <v>19640.191999999999</v>
      </c>
      <c r="L5620" s="25">
        <v>1.88</v>
      </c>
      <c r="M5620" s="24">
        <v>161749</v>
      </c>
      <c r="N5620" s="25">
        <f>IFERROR(T_reg.root.SK[[#This Row],[Price]]/T_reg.root.SK[[#This Row],[Starch content]],"")</f>
        <v>8.2167832167832167</v>
      </c>
    </row>
    <row r="5621" spans="1:14">
      <c r="A5621" s="21">
        <v>2025</v>
      </c>
      <c r="B5621" s="21" t="s">
        <v>21</v>
      </c>
      <c r="C5621" s="21" t="s">
        <v>1145</v>
      </c>
      <c r="D5621" s="21" t="s">
        <v>35</v>
      </c>
      <c r="E5621" s="18" t="s">
        <v>577</v>
      </c>
      <c r="F5621" s="18" t="s">
        <v>105</v>
      </c>
      <c r="G5621" s="18" t="s">
        <v>48</v>
      </c>
      <c r="H5621" s="24">
        <v>35760</v>
      </c>
      <c r="I5621" s="24">
        <f>T_reg.root.SK[[#This Row],[Volume, kg]]/1000</f>
        <v>35.76</v>
      </c>
      <c r="J5621" s="25">
        <v>0.2394</v>
      </c>
      <c r="K5621" s="25">
        <f t="shared" si="87"/>
        <v>8560.9439999999995</v>
      </c>
      <c r="L5621" s="25">
        <v>1.86</v>
      </c>
      <c r="M5621" s="24">
        <v>66373</v>
      </c>
      <c r="N5621" s="25">
        <f>IFERROR(T_reg.root.SK[[#This Row],[Price]]/T_reg.root.SK[[#This Row],[Starch content]],"")</f>
        <v>7.7694235588972438</v>
      </c>
    </row>
    <row r="5622" spans="1:14">
      <c r="A5622" s="21">
        <v>2025</v>
      </c>
      <c r="B5622" s="21" t="s">
        <v>21</v>
      </c>
      <c r="C5622" s="21" t="s">
        <v>1145</v>
      </c>
      <c r="D5622" s="21" t="s">
        <v>35</v>
      </c>
      <c r="E5622" s="18" t="s">
        <v>175</v>
      </c>
      <c r="F5622" s="18" t="s">
        <v>105</v>
      </c>
      <c r="G5622" s="18" t="s">
        <v>48</v>
      </c>
      <c r="H5622" s="24">
        <v>44350</v>
      </c>
      <c r="I5622" s="24">
        <f>T_reg.root.SK[[#This Row],[Volume, kg]]/1000</f>
        <v>44.35</v>
      </c>
      <c r="J5622" s="25">
        <v>0.21359999999999998</v>
      </c>
      <c r="K5622" s="25">
        <f t="shared" si="87"/>
        <v>9473.16</v>
      </c>
      <c r="L5622" s="25">
        <v>1.81</v>
      </c>
      <c r="M5622" s="24">
        <v>80335.5</v>
      </c>
      <c r="N5622" s="25">
        <f>IFERROR(T_reg.root.SK[[#This Row],[Price]]/T_reg.root.SK[[#This Row],[Starch content]],"")</f>
        <v>8.473782771535582</v>
      </c>
    </row>
    <row r="5623" spans="1:14">
      <c r="A5623" s="21">
        <v>2025</v>
      </c>
      <c r="B5623" s="21" t="s">
        <v>21</v>
      </c>
      <c r="C5623" s="21" t="s">
        <v>1145</v>
      </c>
      <c r="D5623" s="21" t="s">
        <v>35</v>
      </c>
      <c r="E5623" s="18" t="s">
        <v>176</v>
      </c>
      <c r="F5623" s="18" t="s">
        <v>105</v>
      </c>
      <c r="G5623" s="18" t="s">
        <v>48</v>
      </c>
      <c r="H5623" s="24">
        <v>71370</v>
      </c>
      <c r="I5623" s="24">
        <f>T_reg.root.SK[[#This Row],[Volume, kg]]/1000</f>
        <v>71.37</v>
      </c>
      <c r="J5623" s="25">
        <v>0.21760000000000002</v>
      </c>
      <c r="K5623" s="25">
        <f t="shared" si="87"/>
        <v>15530.112000000001</v>
      </c>
      <c r="L5623" s="25">
        <v>1.82</v>
      </c>
      <c r="M5623" s="24">
        <v>129561.5</v>
      </c>
      <c r="N5623" s="25">
        <f>IFERROR(T_reg.root.SK[[#This Row],[Price]]/T_reg.root.SK[[#This Row],[Starch content]],"")</f>
        <v>8.3639705882352935</v>
      </c>
    </row>
    <row r="5624" spans="1:14">
      <c r="A5624" s="21">
        <v>2025</v>
      </c>
      <c r="B5624" s="21" t="s">
        <v>21</v>
      </c>
      <c r="C5624" s="21" t="s">
        <v>1145</v>
      </c>
      <c r="D5624" s="21" t="s">
        <v>35</v>
      </c>
      <c r="E5624" s="18" t="s">
        <v>178</v>
      </c>
      <c r="F5624" s="18" t="s">
        <v>105</v>
      </c>
      <c r="G5624" s="18" t="s">
        <v>48</v>
      </c>
      <c r="H5624" s="24">
        <v>36140</v>
      </c>
      <c r="I5624" s="24">
        <f>T_reg.root.SK[[#This Row],[Volume, kg]]/1000</f>
        <v>36.14</v>
      </c>
      <c r="J5624" s="25">
        <v>0.2177</v>
      </c>
      <c r="K5624" s="25">
        <f t="shared" si="87"/>
        <v>7867.6779999999999</v>
      </c>
      <c r="L5624" s="25">
        <v>1.84</v>
      </c>
      <c r="M5624" s="24">
        <v>66386</v>
      </c>
      <c r="N5624" s="25">
        <f>IFERROR(T_reg.root.SK[[#This Row],[Price]]/T_reg.root.SK[[#This Row],[Starch content]],"")</f>
        <v>8.4519981626090956</v>
      </c>
    </row>
    <row r="5625" spans="1:14">
      <c r="A5625" s="21">
        <v>2025</v>
      </c>
      <c r="B5625" s="21" t="s">
        <v>21</v>
      </c>
      <c r="C5625" s="21" t="s">
        <v>1145</v>
      </c>
      <c r="D5625" s="21" t="s">
        <v>35</v>
      </c>
      <c r="E5625" s="18" t="s">
        <v>605</v>
      </c>
      <c r="F5625" s="18" t="s">
        <v>105</v>
      </c>
      <c r="G5625" s="18" t="s">
        <v>48</v>
      </c>
      <c r="H5625" s="24">
        <v>159580</v>
      </c>
      <c r="I5625" s="24">
        <f>T_reg.root.SK[[#This Row],[Volume, kg]]/1000</f>
        <v>159.58000000000001</v>
      </c>
      <c r="J5625" s="25">
        <v>0.23010000000000003</v>
      </c>
      <c r="K5625" s="25">
        <f t="shared" si="87"/>
        <v>36719.358000000007</v>
      </c>
      <c r="L5625" s="25">
        <v>1.87</v>
      </c>
      <c r="M5625" s="24">
        <v>297979</v>
      </c>
      <c r="N5625" s="25">
        <f>IFERROR(T_reg.root.SK[[#This Row],[Price]]/T_reg.root.SK[[#This Row],[Starch content]],"")</f>
        <v>8.1269013472403291</v>
      </c>
    </row>
    <row r="5626" spans="1:14">
      <c r="A5626" s="21">
        <v>2025</v>
      </c>
      <c r="B5626" s="21" t="s">
        <v>21</v>
      </c>
      <c r="C5626" s="21" t="s">
        <v>1145</v>
      </c>
      <c r="D5626" s="21" t="s">
        <v>35</v>
      </c>
      <c r="E5626" s="18" t="s">
        <v>259</v>
      </c>
      <c r="F5626" s="18" t="s">
        <v>105</v>
      </c>
      <c r="G5626" s="18" t="s">
        <v>48</v>
      </c>
      <c r="H5626" s="24">
        <v>56540</v>
      </c>
      <c r="I5626" s="24">
        <f>T_reg.root.SK[[#This Row],[Volume, kg]]/1000</f>
        <v>56.54</v>
      </c>
      <c r="J5626" s="25">
        <v>0.18629999999999999</v>
      </c>
      <c r="K5626" s="25">
        <f t="shared" si="87"/>
        <v>10533.402</v>
      </c>
      <c r="L5626" s="25">
        <v>1.65</v>
      </c>
      <c r="M5626" s="24">
        <v>93524.5</v>
      </c>
      <c r="N5626" s="25">
        <f>IFERROR(T_reg.root.SK[[#This Row],[Price]]/T_reg.root.SK[[#This Row],[Starch content]],"")</f>
        <v>8.8566827697262482</v>
      </c>
    </row>
    <row r="5627" spans="1:14">
      <c r="A5627" s="21">
        <v>2025</v>
      </c>
      <c r="B5627" s="21" t="s">
        <v>21</v>
      </c>
      <c r="C5627" s="21" t="s">
        <v>1145</v>
      </c>
      <c r="D5627" s="21" t="s">
        <v>35</v>
      </c>
      <c r="E5627" s="18" t="s">
        <v>329</v>
      </c>
      <c r="F5627" s="18" t="s">
        <v>105</v>
      </c>
      <c r="G5627" s="18" t="s">
        <v>48</v>
      </c>
      <c r="H5627" s="24">
        <v>107230</v>
      </c>
      <c r="I5627" s="24">
        <f>T_reg.root.SK[[#This Row],[Volume, kg]]/1000</f>
        <v>107.23</v>
      </c>
      <c r="J5627" s="25">
        <v>0.1971</v>
      </c>
      <c r="K5627" s="25">
        <f t="shared" si="87"/>
        <v>21135.032999999999</v>
      </c>
      <c r="L5627" s="25">
        <v>1.69</v>
      </c>
      <c r="M5627" s="24">
        <v>181613.5</v>
      </c>
      <c r="N5627" s="25">
        <f>IFERROR(T_reg.root.SK[[#This Row],[Price]]/T_reg.root.SK[[#This Row],[Starch content]],"")</f>
        <v>8.5743277524099444</v>
      </c>
    </row>
    <row r="5628" spans="1:14">
      <c r="A5628" s="21">
        <v>2025</v>
      </c>
      <c r="B5628" s="21" t="s">
        <v>21</v>
      </c>
      <c r="C5628" s="21" t="s">
        <v>1145</v>
      </c>
      <c r="D5628" s="21" t="s">
        <v>35</v>
      </c>
      <c r="E5628" s="18" t="s">
        <v>179</v>
      </c>
      <c r="F5628" s="18" t="s">
        <v>105</v>
      </c>
      <c r="G5628" s="18" t="s">
        <v>48</v>
      </c>
      <c r="H5628" s="24">
        <v>20780</v>
      </c>
      <c r="I5628" s="24">
        <f>T_reg.root.SK[[#This Row],[Volume, kg]]/1000</f>
        <v>20.78</v>
      </c>
      <c r="J5628" s="25">
        <v>0.1804</v>
      </c>
      <c r="K5628" s="25">
        <f t="shared" si="87"/>
        <v>3748.712</v>
      </c>
      <c r="L5628" s="25">
        <v>1.64</v>
      </c>
      <c r="M5628" s="24">
        <v>34181.5</v>
      </c>
      <c r="N5628" s="25">
        <f>IFERROR(T_reg.root.SK[[#This Row],[Price]]/T_reg.root.SK[[#This Row],[Starch content]],"")</f>
        <v>9.0909090909090899</v>
      </c>
    </row>
    <row r="5629" spans="1:14">
      <c r="A5629" s="21">
        <v>2025</v>
      </c>
      <c r="B5629" s="21" t="s">
        <v>21</v>
      </c>
      <c r="C5629" s="21" t="s">
        <v>1145</v>
      </c>
      <c r="D5629" s="21" t="s">
        <v>35</v>
      </c>
      <c r="E5629" s="18" t="s">
        <v>181</v>
      </c>
      <c r="F5629" s="18" t="s">
        <v>105</v>
      </c>
      <c r="G5629" s="18" t="s">
        <v>48</v>
      </c>
      <c r="H5629" s="24">
        <v>54560</v>
      </c>
      <c r="I5629" s="24">
        <f>T_reg.root.SK[[#This Row],[Volume, kg]]/1000</f>
        <v>54.56</v>
      </c>
      <c r="J5629" s="25">
        <v>0.218</v>
      </c>
      <c r="K5629" s="25">
        <f t="shared" si="87"/>
        <v>11894.08</v>
      </c>
      <c r="L5629" s="25">
        <v>1.84</v>
      </c>
      <c r="M5629" s="24">
        <v>100375</v>
      </c>
      <c r="N5629" s="25">
        <f>IFERROR(T_reg.root.SK[[#This Row],[Price]]/T_reg.root.SK[[#This Row],[Starch content]],"")</f>
        <v>8.4403669724770651</v>
      </c>
    </row>
    <row r="5630" spans="1:14">
      <c r="A5630" s="21">
        <v>2025</v>
      </c>
      <c r="B5630" s="21" t="s">
        <v>21</v>
      </c>
      <c r="C5630" s="21" t="s">
        <v>1145</v>
      </c>
      <c r="D5630" s="21" t="s">
        <v>35</v>
      </c>
      <c r="E5630" s="18" t="s">
        <v>640</v>
      </c>
      <c r="F5630" s="18" t="s">
        <v>105</v>
      </c>
      <c r="G5630" s="18" t="s">
        <v>48</v>
      </c>
      <c r="H5630" s="24">
        <v>9100</v>
      </c>
      <c r="I5630" s="24">
        <f>T_reg.root.SK[[#This Row],[Volume, kg]]/1000</f>
        <v>9.1</v>
      </c>
      <c r="J5630" s="25">
        <v>0.24100000000000002</v>
      </c>
      <c r="K5630" s="25">
        <f t="shared" si="87"/>
        <v>2193.1000000000004</v>
      </c>
      <c r="L5630" s="25">
        <v>1.95</v>
      </c>
      <c r="M5630" s="24">
        <v>17745</v>
      </c>
      <c r="N5630" s="25">
        <f>IFERROR(T_reg.root.SK[[#This Row],[Price]]/T_reg.root.SK[[#This Row],[Starch content]],"")</f>
        <v>8.0912863070539416</v>
      </c>
    </row>
    <row r="5631" spans="1:14">
      <c r="A5631" s="21">
        <v>2025</v>
      </c>
      <c r="B5631" s="21" t="s">
        <v>21</v>
      </c>
      <c r="C5631" s="21" t="s">
        <v>1145</v>
      </c>
      <c r="D5631" s="21" t="s">
        <v>35</v>
      </c>
      <c r="E5631" s="18" t="s">
        <v>829</v>
      </c>
      <c r="F5631" s="18" t="s">
        <v>105</v>
      </c>
      <c r="G5631" s="18" t="s">
        <v>48</v>
      </c>
      <c r="H5631" s="24">
        <v>26160</v>
      </c>
      <c r="I5631" s="24">
        <f>T_reg.root.SK[[#This Row],[Volume, kg]]/1000</f>
        <v>26.16</v>
      </c>
      <c r="J5631" s="25">
        <v>0.1963</v>
      </c>
      <c r="K5631" s="25">
        <f t="shared" si="87"/>
        <v>5135.2079999999996</v>
      </c>
      <c r="L5631" s="25">
        <v>1.73</v>
      </c>
      <c r="M5631" s="24">
        <v>45168.5</v>
      </c>
      <c r="N5631" s="25">
        <f>IFERROR(T_reg.root.SK[[#This Row],[Price]]/T_reg.root.SK[[#This Row],[Starch content]],"")</f>
        <v>8.8130412633723889</v>
      </c>
    </row>
    <row r="5632" spans="1:14">
      <c r="A5632" s="21">
        <v>2025</v>
      </c>
      <c r="B5632" s="21" t="s">
        <v>21</v>
      </c>
      <c r="C5632" s="21" t="s">
        <v>1145</v>
      </c>
      <c r="D5632" s="21" t="s">
        <v>35</v>
      </c>
      <c r="E5632" s="18" t="s">
        <v>927</v>
      </c>
      <c r="F5632" s="18" t="s">
        <v>47</v>
      </c>
      <c r="G5632" s="18" t="s">
        <v>48</v>
      </c>
      <c r="H5632" s="24">
        <v>8990</v>
      </c>
      <c r="I5632" s="24">
        <f>T_reg.root.SK[[#This Row],[Volume, kg]]/1000</f>
        <v>8.99</v>
      </c>
      <c r="J5632" s="25">
        <v>0.23100000000000001</v>
      </c>
      <c r="K5632" s="25">
        <f t="shared" si="87"/>
        <v>2076.69</v>
      </c>
      <c r="L5632" s="25">
        <v>1.9</v>
      </c>
      <c r="M5632" s="24">
        <v>17081</v>
      </c>
      <c r="N5632" s="25">
        <f>IFERROR(T_reg.root.SK[[#This Row],[Price]]/T_reg.root.SK[[#This Row],[Starch content]],"")</f>
        <v>8.2251082251082241</v>
      </c>
    </row>
    <row r="5633" spans="1:14">
      <c r="A5633" s="21">
        <v>2025</v>
      </c>
      <c r="B5633" s="21" t="s">
        <v>21</v>
      </c>
      <c r="C5633" s="21" t="s">
        <v>1145</v>
      </c>
      <c r="D5633" s="21" t="s">
        <v>35</v>
      </c>
      <c r="E5633" s="18" t="s">
        <v>959</v>
      </c>
      <c r="F5633" s="18" t="s">
        <v>105</v>
      </c>
      <c r="G5633" s="18" t="s">
        <v>48</v>
      </c>
      <c r="H5633" s="24">
        <v>116970</v>
      </c>
      <c r="I5633" s="24">
        <f>T_reg.root.SK[[#This Row],[Volume, kg]]/1000</f>
        <v>116.97</v>
      </c>
      <c r="J5633" s="25">
        <v>0.2455</v>
      </c>
      <c r="K5633" s="25">
        <f t="shared" si="87"/>
        <v>28716.134999999998</v>
      </c>
      <c r="L5633" s="25">
        <v>1.94</v>
      </c>
      <c r="M5633" s="24">
        <v>226918</v>
      </c>
      <c r="N5633" s="25">
        <f>IFERROR(T_reg.root.SK[[#This Row],[Price]]/T_reg.root.SK[[#This Row],[Starch content]],"")</f>
        <v>7.9022403258655807</v>
      </c>
    </row>
    <row r="5634" spans="1:14">
      <c r="A5634" s="21">
        <v>2025</v>
      </c>
      <c r="B5634" s="21" t="s">
        <v>21</v>
      </c>
      <c r="C5634" s="21" t="s">
        <v>1145</v>
      </c>
      <c r="D5634" s="21" t="s">
        <v>35</v>
      </c>
      <c r="E5634" s="18" t="s">
        <v>969</v>
      </c>
      <c r="F5634" s="18" t="s">
        <v>105</v>
      </c>
      <c r="G5634" s="18" t="s">
        <v>48</v>
      </c>
      <c r="H5634" s="24">
        <v>125830</v>
      </c>
      <c r="I5634" s="24">
        <f>T_reg.root.SK[[#This Row],[Volume, kg]]/1000</f>
        <v>125.83</v>
      </c>
      <c r="J5634" s="25">
        <v>0.21210000000000001</v>
      </c>
      <c r="K5634" s="25">
        <f t="shared" si="87"/>
        <v>26688.543000000001</v>
      </c>
      <c r="L5634" s="25">
        <v>1.81</v>
      </c>
      <c r="M5634" s="24">
        <v>227788</v>
      </c>
      <c r="N5634" s="25">
        <f>IFERROR(T_reg.root.SK[[#This Row],[Price]]/T_reg.root.SK[[#This Row],[Starch content]],"")</f>
        <v>8.5337105139085327</v>
      </c>
    </row>
    <row r="5635" spans="1:14">
      <c r="A5635" s="21">
        <v>2025</v>
      </c>
      <c r="B5635" s="21" t="s">
        <v>21</v>
      </c>
      <c r="C5635" s="21" t="s">
        <v>1145</v>
      </c>
      <c r="D5635" s="21" t="s">
        <v>35</v>
      </c>
      <c r="E5635" s="18" t="s">
        <v>1016</v>
      </c>
      <c r="F5635" s="18" t="s">
        <v>105</v>
      </c>
      <c r="G5635" s="18" t="s">
        <v>48</v>
      </c>
      <c r="H5635" s="24">
        <v>57420</v>
      </c>
      <c r="I5635" s="24">
        <f>T_reg.root.SK[[#This Row],[Volume, kg]]/1000</f>
        <v>57.42</v>
      </c>
      <c r="J5635" s="25">
        <v>0.19359999999999999</v>
      </c>
      <c r="K5635" s="25">
        <f t="shared" ref="K5635:K5647" si="88">H5635*J5635</f>
        <v>11116.511999999999</v>
      </c>
      <c r="L5635" s="25">
        <v>1.71</v>
      </c>
      <c r="M5635" s="24">
        <v>98110</v>
      </c>
      <c r="N5635" s="25">
        <f>IFERROR(T_reg.root.SK[[#This Row],[Price]]/T_reg.root.SK[[#This Row],[Starch content]],"")</f>
        <v>8.8326446280991728</v>
      </c>
    </row>
    <row r="5636" spans="1:14">
      <c r="A5636" s="21">
        <v>2025</v>
      </c>
      <c r="B5636" s="21" t="s">
        <v>21</v>
      </c>
      <c r="C5636" s="21" t="s">
        <v>1145</v>
      </c>
      <c r="D5636" s="21" t="s">
        <v>35</v>
      </c>
      <c r="E5636" s="18" t="s">
        <v>578</v>
      </c>
      <c r="F5636" s="18" t="s">
        <v>105</v>
      </c>
      <c r="G5636" s="18" t="s">
        <v>48</v>
      </c>
      <c r="H5636" s="24">
        <v>7440</v>
      </c>
      <c r="I5636" s="24">
        <f>T_reg.root.SK[[#This Row],[Volume, kg]]/1000</f>
        <v>7.44</v>
      </c>
      <c r="J5636" s="25">
        <v>0.20449999999999999</v>
      </c>
      <c r="K5636" s="25">
        <f t="shared" si="88"/>
        <v>1521.48</v>
      </c>
      <c r="L5636" s="25">
        <v>1.7</v>
      </c>
      <c r="M5636" s="24">
        <v>12648</v>
      </c>
      <c r="N5636" s="25">
        <f>IFERROR(T_reg.root.SK[[#This Row],[Price]]/T_reg.root.SK[[#This Row],[Starch content]],"")</f>
        <v>8.3129584352078236</v>
      </c>
    </row>
    <row r="5637" spans="1:14">
      <c r="A5637" s="21">
        <v>2025</v>
      </c>
      <c r="B5637" s="21" t="s">
        <v>21</v>
      </c>
      <c r="C5637" s="21" t="s">
        <v>1145</v>
      </c>
      <c r="D5637" s="21" t="s">
        <v>35</v>
      </c>
      <c r="E5637" s="18" t="s">
        <v>183</v>
      </c>
      <c r="F5637" s="18" t="s">
        <v>105</v>
      </c>
      <c r="G5637" s="18" t="s">
        <v>48</v>
      </c>
      <c r="H5637" s="24">
        <v>36570</v>
      </c>
      <c r="I5637" s="24">
        <f>T_reg.root.SK[[#This Row],[Volume, kg]]/1000</f>
        <v>36.57</v>
      </c>
      <c r="J5637" s="25">
        <v>0.17530000000000001</v>
      </c>
      <c r="K5637" s="25">
        <f t="shared" si="88"/>
        <v>6410.7210000000005</v>
      </c>
      <c r="L5637" s="25">
        <v>1.63</v>
      </c>
      <c r="M5637" s="24">
        <v>59516.5</v>
      </c>
      <c r="N5637" s="25">
        <f>IFERROR(T_reg.root.SK[[#This Row],[Price]]/T_reg.root.SK[[#This Row],[Starch content]],"")</f>
        <v>9.298345693097545</v>
      </c>
    </row>
    <row r="5638" spans="1:14">
      <c r="A5638" s="21">
        <v>2025</v>
      </c>
      <c r="B5638" s="21" t="s">
        <v>21</v>
      </c>
      <c r="C5638" s="21" t="s">
        <v>1145</v>
      </c>
      <c r="D5638" s="21" t="s">
        <v>35</v>
      </c>
      <c r="E5638" s="18" t="s">
        <v>217</v>
      </c>
      <c r="F5638" s="18" t="s">
        <v>187</v>
      </c>
      <c r="G5638" s="18" t="s">
        <v>48</v>
      </c>
      <c r="H5638" s="24">
        <v>11610</v>
      </c>
      <c r="I5638" s="24">
        <f>T_reg.root.SK[[#This Row],[Volume, kg]]/1000</f>
        <v>11.61</v>
      </c>
      <c r="J5638" s="25">
        <v>0.2535</v>
      </c>
      <c r="K5638" s="25">
        <f t="shared" si="88"/>
        <v>2943.1350000000002</v>
      </c>
      <c r="L5638" s="25">
        <v>1.9</v>
      </c>
      <c r="M5638" s="24">
        <v>22059</v>
      </c>
      <c r="N5638" s="25">
        <f>IFERROR(T_reg.root.SK[[#This Row],[Price]]/T_reg.root.SK[[#This Row],[Starch content]],"")</f>
        <v>7.4950690335305712</v>
      </c>
    </row>
    <row r="5639" spans="1:14">
      <c r="A5639" s="21">
        <v>2025</v>
      </c>
      <c r="B5639" s="21" t="s">
        <v>21</v>
      </c>
      <c r="C5639" s="21" t="s">
        <v>1145</v>
      </c>
      <c r="D5639" s="21" t="s">
        <v>35</v>
      </c>
      <c r="E5639" s="18" t="s">
        <v>383</v>
      </c>
      <c r="F5639" s="18" t="s">
        <v>47</v>
      </c>
      <c r="G5639" s="18" t="s">
        <v>48</v>
      </c>
      <c r="H5639" s="24">
        <v>23430</v>
      </c>
      <c r="I5639" s="24">
        <f>T_reg.root.SK[[#This Row],[Volume, kg]]/1000</f>
        <v>23.43</v>
      </c>
      <c r="J5639" s="25">
        <v>0.2034</v>
      </c>
      <c r="K5639" s="25">
        <f t="shared" si="88"/>
        <v>4765.6620000000003</v>
      </c>
      <c r="L5639" s="25">
        <v>1.76</v>
      </c>
      <c r="M5639" s="24">
        <v>41281</v>
      </c>
      <c r="N5639" s="25">
        <f>IFERROR(T_reg.root.SK[[#This Row],[Price]]/T_reg.root.SK[[#This Row],[Starch content]],"")</f>
        <v>8.652900688298919</v>
      </c>
    </row>
    <row r="5640" spans="1:14">
      <c r="A5640" s="21">
        <v>2025</v>
      </c>
      <c r="B5640" s="21" t="s">
        <v>21</v>
      </c>
      <c r="C5640" s="21" t="s">
        <v>1145</v>
      </c>
      <c r="D5640" s="21" t="s">
        <v>35</v>
      </c>
      <c r="E5640" s="17" t="s">
        <v>242</v>
      </c>
      <c r="F5640" s="18" t="s">
        <v>105</v>
      </c>
      <c r="G5640" s="18" t="s">
        <v>48</v>
      </c>
      <c r="H5640" s="24">
        <v>0</v>
      </c>
      <c r="I5640" s="24">
        <f>T_reg.root.SK[[#This Row],[Volume, kg]]/1000</f>
        <v>0</v>
      </c>
      <c r="J5640" s="29" t="s">
        <v>1147</v>
      </c>
      <c r="K5640" s="25">
        <v>0</v>
      </c>
      <c r="L5640" s="25">
        <v>0</v>
      </c>
      <c r="M5640" s="24">
        <v>0</v>
      </c>
      <c r="N5640" s="24">
        <v>0</v>
      </c>
    </row>
    <row r="5641" spans="1:14">
      <c r="A5641" s="21">
        <v>2025</v>
      </c>
      <c r="B5641" s="21" t="s">
        <v>21</v>
      </c>
      <c r="C5641" s="21" t="s">
        <v>1145</v>
      </c>
      <c r="D5641" s="21" t="s">
        <v>35</v>
      </c>
      <c r="E5641" s="17" t="s">
        <v>527</v>
      </c>
      <c r="F5641" s="18" t="s">
        <v>187</v>
      </c>
      <c r="G5641" s="18" t="s">
        <v>48</v>
      </c>
      <c r="H5641" s="24">
        <v>0</v>
      </c>
      <c r="I5641" s="24">
        <f>T_reg.root.SK[[#This Row],[Volume, kg]]/1000</f>
        <v>0</v>
      </c>
      <c r="J5641" s="29" t="s">
        <v>1147</v>
      </c>
      <c r="K5641" s="25">
        <v>0</v>
      </c>
      <c r="L5641" s="25">
        <v>0</v>
      </c>
      <c r="M5641" s="24">
        <v>0</v>
      </c>
      <c r="N5641" s="24">
        <v>0</v>
      </c>
    </row>
    <row r="5642" spans="1:14">
      <c r="A5642" s="21">
        <v>2025</v>
      </c>
      <c r="B5642" s="21" t="s">
        <v>21</v>
      </c>
      <c r="C5642" s="21" t="s">
        <v>1145</v>
      </c>
      <c r="D5642" s="21" t="s">
        <v>35</v>
      </c>
      <c r="E5642" s="17" t="s">
        <v>944</v>
      </c>
      <c r="F5642" s="18" t="s">
        <v>105</v>
      </c>
      <c r="G5642" s="18" t="s">
        <v>48</v>
      </c>
      <c r="H5642" s="24">
        <v>0</v>
      </c>
      <c r="I5642" s="24">
        <f>T_reg.root.SK[[#This Row],[Volume, kg]]/1000</f>
        <v>0</v>
      </c>
      <c r="J5642" s="29" t="s">
        <v>1147</v>
      </c>
      <c r="K5642" s="25">
        <v>0</v>
      </c>
      <c r="L5642" s="25">
        <v>0</v>
      </c>
      <c r="M5642" s="24">
        <v>0</v>
      </c>
      <c r="N5642" s="24">
        <v>0</v>
      </c>
    </row>
    <row r="5643" spans="1:14">
      <c r="A5643" s="21">
        <v>2025</v>
      </c>
      <c r="B5643" s="21" t="s">
        <v>21</v>
      </c>
      <c r="C5643" s="21" t="s">
        <v>1145</v>
      </c>
      <c r="D5643" s="21" t="s">
        <v>35</v>
      </c>
      <c r="E5643" s="17" t="s">
        <v>995</v>
      </c>
      <c r="F5643" s="18" t="s">
        <v>187</v>
      </c>
      <c r="G5643" s="18" t="s">
        <v>48</v>
      </c>
      <c r="H5643" s="24">
        <v>0</v>
      </c>
      <c r="I5643" s="24">
        <f>T_reg.root.SK[[#This Row],[Volume, kg]]/1000</f>
        <v>0</v>
      </c>
      <c r="J5643" s="29" t="s">
        <v>1147</v>
      </c>
      <c r="K5643" s="25">
        <v>0</v>
      </c>
      <c r="L5643" s="25">
        <v>0</v>
      </c>
      <c r="M5643" s="24">
        <v>0</v>
      </c>
      <c r="N5643" s="24">
        <v>0</v>
      </c>
    </row>
    <row r="5644" spans="1:14">
      <c r="A5644" s="21">
        <v>2025</v>
      </c>
      <c r="B5644" s="21" t="s">
        <v>21</v>
      </c>
      <c r="C5644" s="21" t="s">
        <v>1145</v>
      </c>
      <c r="D5644" s="21" t="s">
        <v>35</v>
      </c>
      <c r="E5644" s="17" t="s">
        <v>461</v>
      </c>
      <c r="F5644" s="18" t="s">
        <v>47</v>
      </c>
      <c r="G5644" s="18" t="s">
        <v>48</v>
      </c>
      <c r="H5644" s="24">
        <v>0</v>
      </c>
      <c r="I5644" s="24">
        <f>T_reg.root.SK[[#This Row],[Volume, kg]]/1000</f>
        <v>0</v>
      </c>
      <c r="J5644" s="29" t="s">
        <v>1147</v>
      </c>
      <c r="K5644" s="25">
        <v>0</v>
      </c>
      <c r="L5644" s="25">
        <v>0</v>
      </c>
      <c r="M5644" s="24">
        <v>0</v>
      </c>
      <c r="N5644" s="24">
        <v>0</v>
      </c>
    </row>
    <row r="5645" spans="1:14">
      <c r="A5645" s="21">
        <v>2025</v>
      </c>
      <c r="B5645" s="21" t="s">
        <v>21</v>
      </c>
      <c r="C5645" s="21" t="s">
        <v>1145</v>
      </c>
      <c r="D5645" s="21" t="s">
        <v>35</v>
      </c>
      <c r="E5645" s="17" t="s">
        <v>147</v>
      </c>
      <c r="F5645" s="18" t="s">
        <v>105</v>
      </c>
      <c r="G5645" s="18" t="s">
        <v>48</v>
      </c>
      <c r="H5645" s="24">
        <v>0</v>
      </c>
      <c r="I5645" s="24">
        <f>T_reg.root.SK[[#This Row],[Volume, kg]]/1000</f>
        <v>0</v>
      </c>
      <c r="J5645" s="29" t="s">
        <v>1147</v>
      </c>
      <c r="K5645" s="25">
        <v>0</v>
      </c>
      <c r="L5645" s="25">
        <v>0</v>
      </c>
      <c r="M5645" s="24">
        <v>0</v>
      </c>
      <c r="N5645" s="24">
        <v>0</v>
      </c>
    </row>
    <row r="5646" spans="1:14">
      <c r="A5646" s="21">
        <v>2025</v>
      </c>
      <c r="B5646" s="21" t="s">
        <v>21</v>
      </c>
      <c r="C5646" s="21" t="s">
        <v>1145</v>
      </c>
      <c r="D5646" s="21" t="s">
        <v>35</v>
      </c>
      <c r="E5646" s="17" t="s">
        <v>570</v>
      </c>
      <c r="F5646" s="18" t="s">
        <v>105</v>
      </c>
      <c r="G5646" s="18" t="s">
        <v>48</v>
      </c>
      <c r="H5646" s="24">
        <v>0</v>
      </c>
      <c r="I5646" s="24">
        <f>T_reg.root.SK[[#This Row],[Volume, kg]]/1000</f>
        <v>0</v>
      </c>
      <c r="J5646" s="29" t="s">
        <v>1147</v>
      </c>
      <c r="K5646" s="25">
        <v>0</v>
      </c>
      <c r="L5646" s="25">
        <v>0</v>
      </c>
      <c r="M5646" s="24">
        <v>0</v>
      </c>
      <c r="N5646" s="24">
        <v>0</v>
      </c>
    </row>
    <row r="5647" spans="1:14">
      <c r="A5647" s="21">
        <v>2025</v>
      </c>
      <c r="B5647" s="21" t="s">
        <v>22</v>
      </c>
      <c r="C5647" s="21" t="s">
        <v>1145</v>
      </c>
      <c r="D5647" s="21" t="s">
        <v>35</v>
      </c>
      <c r="E5647" s="17" t="s">
        <v>287</v>
      </c>
      <c r="F5647" s="18" t="s">
        <v>105</v>
      </c>
      <c r="G5647" s="18" t="s">
        <v>48</v>
      </c>
      <c r="H5647" s="24">
        <v>25250</v>
      </c>
      <c r="I5647" s="24">
        <f>T_reg.root.SK[[#This Row],[Volume, kg]]/1000</f>
        <v>25.25</v>
      </c>
      <c r="J5647" s="25">
        <v>0.23579999999999998</v>
      </c>
      <c r="K5647" s="25">
        <f t="shared" ref="K5647:K5710" si="89">H5647*J5647</f>
        <v>5953.95</v>
      </c>
      <c r="L5647" s="25">
        <v>1.88</v>
      </c>
      <c r="M5647" s="24">
        <v>47466.5</v>
      </c>
      <c r="N5647" s="25">
        <f>IFERROR(T_reg.root.SK[[#This Row],[Price]]/T_reg.root.SK[[#This Row],[Starch content]],"")</f>
        <v>7.9728583545377436</v>
      </c>
    </row>
    <row r="5648" spans="1:14">
      <c r="A5648" s="21">
        <v>2025</v>
      </c>
      <c r="B5648" s="21" t="s">
        <v>22</v>
      </c>
      <c r="C5648" s="21" t="s">
        <v>1145</v>
      </c>
      <c r="D5648" s="21" t="s">
        <v>35</v>
      </c>
      <c r="E5648" s="17" t="s">
        <v>480</v>
      </c>
      <c r="F5648" s="18" t="s">
        <v>105</v>
      </c>
      <c r="G5648" s="18" t="s">
        <v>48</v>
      </c>
      <c r="H5648" s="24">
        <v>139650</v>
      </c>
      <c r="I5648" s="24">
        <f>T_reg.root.SK[[#This Row],[Volume, kg]]/1000</f>
        <v>139.65</v>
      </c>
      <c r="J5648" s="25">
        <v>0.19980000000000001</v>
      </c>
      <c r="K5648" s="25">
        <f t="shared" si="89"/>
        <v>27902.07</v>
      </c>
      <c r="L5648" s="25">
        <v>1.7</v>
      </c>
      <c r="M5648" s="24">
        <v>236733</v>
      </c>
      <c r="N5648" s="25">
        <f>IFERROR(T_reg.root.SK[[#This Row],[Price]]/T_reg.root.SK[[#This Row],[Starch content]],"")</f>
        <v>8.5085085085085073</v>
      </c>
    </row>
    <row r="5649" spans="1:14">
      <c r="A5649" s="21">
        <v>2025</v>
      </c>
      <c r="B5649" s="21" t="s">
        <v>22</v>
      </c>
      <c r="C5649" s="21" t="s">
        <v>1145</v>
      </c>
      <c r="D5649" s="21" t="s">
        <v>35</v>
      </c>
      <c r="E5649" s="17" t="s">
        <v>457</v>
      </c>
      <c r="F5649" s="18" t="s">
        <v>47</v>
      </c>
      <c r="G5649" s="18" t="s">
        <v>48</v>
      </c>
      <c r="H5649" s="24">
        <v>49500</v>
      </c>
      <c r="I5649" s="24">
        <f>T_reg.root.SK[[#This Row],[Volume, kg]]/1000</f>
        <v>49.5</v>
      </c>
      <c r="J5649" s="25">
        <v>0.2162</v>
      </c>
      <c r="K5649" s="25">
        <f t="shared" si="89"/>
        <v>10701.9</v>
      </c>
      <c r="L5649" s="25">
        <v>1.79</v>
      </c>
      <c r="M5649" s="24">
        <v>88453.5</v>
      </c>
      <c r="N5649" s="25">
        <f>IFERROR(T_reg.root.SK[[#This Row],[Price]]/T_reg.root.SK[[#This Row],[Starch content]],"")</f>
        <v>8.279370952821461</v>
      </c>
    </row>
    <row r="5650" spans="1:14">
      <c r="A5650" s="21">
        <v>2025</v>
      </c>
      <c r="B5650" s="21" t="s">
        <v>22</v>
      </c>
      <c r="C5650" s="21" t="s">
        <v>1145</v>
      </c>
      <c r="D5650" s="21" t="s">
        <v>35</v>
      </c>
      <c r="E5650" s="17" t="s">
        <v>579</v>
      </c>
      <c r="F5650" s="18" t="s">
        <v>187</v>
      </c>
      <c r="G5650" s="18" t="s">
        <v>48</v>
      </c>
      <c r="H5650" s="24">
        <v>7310</v>
      </c>
      <c r="I5650" s="24">
        <f>T_reg.root.SK[[#This Row],[Volume, kg]]/1000</f>
        <v>7.31</v>
      </c>
      <c r="J5650" s="25">
        <v>0.16250000000000001</v>
      </c>
      <c r="K5650" s="25">
        <f t="shared" si="89"/>
        <v>1187.875</v>
      </c>
      <c r="L5650" s="25">
        <v>1.5</v>
      </c>
      <c r="M5650" s="24">
        <v>10965</v>
      </c>
      <c r="N5650" s="25">
        <f>IFERROR(T_reg.root.SK[[#This Row],[Price]]/T_reg.root.SK[[#This Row],[Starch content]],"")</f>
        <v>9.2307692307692299</v>
      </c>
    </row>
    <row r="5651" spans="1:14">
      <c r="A5651" s="21">
        <v>2025</v>
      </c>
      <c r="B5651" s="21" t="s">
        <v>22</v>
      </c>
      <c r="C5651" s="21" t="s">
        <v>1145</v>
      </c>
      <c r="D5651" s="21" t="s">
        <v>35</v>
      </c>
      <c r="E5651" s="17" t="s">
        <v>775</v>
      </c>
      <c r="F5651" s="18" t="s">
        <v>187</v>
      </c>
      <c r="G5651" s="18" t="s">
        <v>48</v>
      </c>
      <c r="H5651" s="24">
        <v>17410</v>
      </c>
      <c r="I5651" s="24">
        <f>T_reg.root.SK[[#This Row],[Volume, kg]]/1000</f>
        <v>17.41</v>
      </c>
      <c r="J5651" s="25">
        <v>0.20350000000000001</v>
      </c>
      <c r="K5651" s="25">
        <f t="shared" si="89"/>
        <v>3542.9350000000004</v>
      </c>
      <c r="L5651" s="25">
        <v>1.73</v>
      </c>
      <c r="M5651" s="24">
        <v>30084</v>
      </c>
      <c r="N5651" s="25">
        <f>IFERROR(T_reg.root.SK[[#This Row],[Price]]/T_reg.root.SK[[#This Row],[Starch content]],"")</f>
        <v>8.5012285012284998</v>
      </c>
    </row>
    <row r="5652" spans="1:14">
      <c r="A5652" s="21">
        <v>2025</v>
      </c>
      <c r="B5652" s="21" t="s">
        <v>22</v>
      </c>
      <c r="C5652" s="21" t="s">
        <v>1145</v>
      </c>
      <c r="D5652" s="21" t="s">
        <v>35</v>
      </c>
      <c r="E5652" s="17" t="s">
        <v>684</v>
      </c>
      <c r="F5652" s="18" t="s">
        <v>105</v>
      </c>
      <c r="G5652" s="18" t="s">
        <v>48</v>
      </c>
      <c r="H5652" s="24">
        <v>16310</v>
      </c>
      <c r="I5652" s="24">
        <f>T_reg.root.SK[[#This Row],[Volume, kg]]/1000</f>
        <v>16.309999999999999</v>
      </c>
      <c r="J5652" s="25">
        <v>0.23929999999999998</v>
      </c>
      <c r="K5652" s="25">
        <f t="shared" si="89"/>
        <v>3902.9829999999997</v>
      </c>
      <c r="L5652" s="25">
        <v>1.88</v>
      </c>
      <c r="M5652" s="24">
        <v>30682.5</v>
      </c>
      <c r="N5652" s="25">
        <f>IFERROR(T_reg.root.SK[[#This Row],[Price]]/T_reg.root.SK[[#This Row],[Starch content]],"")</f>
        <v>7.8562473882156292</v>
      </c>
    </row>
    <row r="5653" spans="1:14">
      <c r="A5653" s="21">
        <v>2025</v>
      </c>
      <c r="B5653" s="21" t="s">
        <v>22</v>
      </c>
      <c r="C5653" s="21" t="s">
        <v>1145</v>
      </c>
      <c r="D5653" s="21" t="s">
        <v>35</v>
      </c>
      <c r="E5653" s="17" t="s">
        <v>104</v>
      </c>
      <c r="F5653" s="18" t="s">
        <v>105</v>
      </c>
      <c r="G5653" s="18" t="s">
        <v>48</v>
      </c>
      <c r="H5653" s="24">
        <v>8540</v>
      </c>
      <c r="I5653" s="24">
        <f>T_reg.root.SK[[#This Row],[Volume, kg]]/1000</f>
        <v>8.5399999999999991</v>
      </c>
      <c r="J5653" s="25">
        <v>0.19800000000000001</v>
      </c>
      <c r="K5653" s="25">
        <f t="shared" si="89"/>
        <v>1690.92</v>
      </c>
      <c r="L5653" s="25">
        <v>1.7</v>
      </c>
      <c r="M5653" s="24">
        <v>14518</v>
      </c>
      <c r="N5653" s="25">
        <f>IFERROR(T_reg.root.SK[[#This Row],[Price]]/T_reg.root.SK[[#This Row],[Starch content]],"")</f>
        <v>8.5858585858585847</v>
      </c>
    </row>
    <row r="5654" spans="1:14">
      <c r="A5654" s="21">
        <v>2025</v>
      </c>
      <c r="B5654" s="21" t="s">
        <v>22</v>
      </c>
      <c r="C5654" s="21" t="s">
        <v>1145</v>
      </c>
      <c r="D5654" s="21" t="s">
        <v>35</v>
      </c>
      <c r="E5654" s="17" t="s">
        <v>186</v>
      </c>
      <c r="F5654" s="18" t="s">
        <v>187</v>
      </c>
      <c r="G5654" s="18" t="s">
        <v>48</v>
      </c>
      <c r="H5654" s="24">
        <v>126040</v>
      </c>
      <c r="I5654" s="24">
        <f>T_reg.root.SK[[#This Row],[Volume, kg]]/1000</f>
        <v>126.04</v>
      </c>
      <c r="J5654" s="25">
        <v>0.21879999999999999</v>
      </c>
      <c r="K5654" s="25">
        <f t="shared" si="89"/>
        <v>27577.552</v>
      </c>
      <c r="L5654" s="25">
        <v>1.79</v>
      </c>
      <c r="M5654" s="24">
        <v>225620</v>
      </c>
      <c r="N5654" s="25">
        <f>IFERROR(T_reg.root.SK[[#This Row],[Price]]/T_reg.root.SK[[#This Row],[Starch content]],"")</f>
        <v>8.1809872029250457</v>
      </c>
    </row>
    <row r="5655" spans="1:14">
      <c r="A5655" s="21">
        <v>2025</v>
      </c>
      <c r="B5655" s="21" t="s">
        <v>22</v>
      </c>
      <c r="C5655" s="21" t="s">
        <v>1145</v>
      </c>
      <c r="D5655" s="21" t="s">
        <v>35</v>
      </c>
      <c r="E5655" s="17" t="s">
        <v>733</v>
      </c>
      <c r="F5655" s="18" t="s">
        <v>105</v>
      </c>
      <c r="G5655" s="18" t="s">
        <v>48</v>
      </c>
      <c r="H5655" s="24">
        <v>87730</v>
      </c>
      <c r="I5655" s="24">
        <f>T_reg.root.SK[[#This Row],[Volume, kg]]/1000</f>
        <v>87.73</v>
      </c>
      <c r="J5655" s="25">
        <v>0.2102</v>
      </c>
      <c r="K5655" s="25">
        <f t="shared" si="89"/>
        <v>18440.846000000001</v>
      </c>
      <c r="L5655" s="25">
        <v>1.75</v>
      </c>
      <c r="M5655" s="24">
        <v>153832.5</v>
      </c>
      <c r="N5655" s="25">
        <f>IFERROR(T_reg.root.SK[[#This Row],[Price]]/T_reg.root.SK[[#This Row],[Starch content]],"")</f>
        <v>8.3254043767840145</v>
      </c>
    </row>
    <row r="5656" spans="1:14">
      <c r="A5656" s="21">
        <v>2025</v>
      </c>
      <c r="B5656" s="21" t="s">
        <v>22</v>
      </c>
      <c r="C5656" s="21" t="s">
        <v>1145</v>
      </c>
      <c r="D5656" s="21" t="s">
        <v>35</v>
      </c>
      <c r="E5656" s="17" t="s">
        <v>944</v>
      </c>
      <c r="F5656" s="18" t="s">
        <v>105</v>
      </c>
      <c r="G5656" s="18" t="s">
        <v>48</v>
      </c>
      <c r="H5656" s="24">
        <v>0</v>
      </c>
      <c r="I5656" s="24">
        <f>T_reg.root.SK[[#This Row],[Volume, kg]]/1000</f>
        <v>0</v>
      </c>
      <c r="J5656" s="25">
        <v>0</v>
      </c>
      <c r="K5656" s="25">
        <f t="shared" si="89"/>
        <v>0</v>
      </c>
      <c r="L5656" s="25">
        <v>0</v>
      </c>
      <c r="M5656" s="24">
        <v>0</v>
      </c>
      <c r="N5656" s="25" t="str">
        <f>IFERROR(T_reg.root.SK[[#This Row],[Price]]/T_reg.root.SK[[#This Row],[Starch content]],"")</f>
        <v/>
      </c>
    </row>
    <row r="5657" spans="1:14">
      <c r="A5657" s="21">
        <v>2025</v>
      </c>
      <c r="B5657" s="21" t="s">
        <v>22</v>
      </c>
      <c r="C5657" s="21" t="s">
        <v>1145</v>
      </c>
      <c r="D5657" s="21" t="s">
        <v>35</v>
      </c>
      <c r="E5657" s="17" t="s">
        <v>1006</v>
      </c>
      <c r="F5657" s="18" t="s">
        <v>105</v>
      </c>
      <c r="G5657" s="18" t="s">
        <v>48</v>
      </c>
      <c r="H5657" s="24">
        <v>76670</v>
      </c>
      <c r="I5657" s="24">
        <f>T_reg.root.SK[[#This Row],[Volume, kg]]/1000</f>
        <v>76.67</v>
      </c>
      <c r="J5657" s="25">
        <v>0.1807</v>
      </c>
      <c r="K5657" s="25">
        <f t="shared" si="89"/>
        <v>13854.269</v>
      </c>
      <c r="L5657" s="25">
        <v>1.61</v>
      </c>
      <c r="M5657" s="24">
        <v>123292</v>
      </c>
      <c r="N5657" s="25">
        <f>IFERROR(T_reg.root.SK[[#This Row],[Price]]/T_reg.root.SK[[#This Row],[Starch content]],"")</f>
        <v>8.9097952407304923</v>
      </c>
    </row>
    <row r="5658" spans="1:14">
      <c r="A5658" s="21">
        <v>2025</v>
      </c>
      <c r="B5658" s="21" t="s">
        <v>22</v>
      </c>
      <c r="C5658" s="21" t="s">
        <v>1145</v>
      </c>
      <c r="D5658" s="21" t="s">
        <v>35</v>
      </c>
      <c r="E5658" s="17" t="s">
        <v>580</v>
      </c>
      <c r="F5658" s="18" t="s">
        <v>187</v>
      </c>
      <c r="G5658" s="18" t="s">
        <v>48</v>
      </c>
      <c r="H5658" s="24">
        <v>39700</v>
      </c>
      <c r="I5658" s="24">
        <f>T_reg.root.SK[[#This Row],[Volume, kg]]/1000</f>
        <v>39.700000000000003</v>
      </c>
      <c r="J5658" s="25">
        <v>0.1946</v>
      </c>
      <c r="K5658" s="25">
        <f t="shared" si="89"/>
        <v>7725.62</v>
      </c>
      <c r="L5658" s="25">
        <v>1.69</v>
      </c>
      <c r="M5658" s="24">
        <v>66950</v>
      </c>
      <c r="N5658" s="25">
        <f>IFERROR(T_reg.root.SK[[#This Row],[Price]]/T_reg.root.SK[[#This Row],[Starch content]],"")</f>
        <v>8.6844809866392598</v>
      </c>
    </row>
    <row r="5659" spans="1:14">
      <c r="A5659" s="21">
        <v>2025</v>
      </c>
      <c r="B5659" s="21" t="s">
        <v>22</v>
      </c>
      <c r="C5659" s="21" t="s">
        <v>1145</v>
      </c>
      <c r="D5659" s="21" t="s">
        <v>35</v>
      </c>
      <c r="E5659" s="17" t="s">
        <v>987</v>
      </c>
      <c r="F5659" s="18" t="s">
        <v>105</v>
      </c>
      <c r="G5659" s="18" t="s">
        <v>48</v>
      </c>
      <c r="H5659" s="24">
        <v>31650</v>
      </c>
      <c r="I5659" s="24">
        <f>T_reg.root.SK[[#This Row],[Volume, kg]]/1000</f>
        <v>31.65</v>
      </c>
      <c r="J5659" s="25">
        <v>0.21969999999999998</v>
      </c>
      <c r="K5659" s="25">
        <f t="shared" si="89"/>
        <v>6953.5049999999992</v>
      </c>
      <c r="L5659" s="25">
        <v>1.8</v>
      </c>
      <c r="M5659" s="24">
        <v>57058</v>
      </c>
      <c r="N5659" s="25">
        <f>IFERROR(T_reg.root.SK[[#This Row],[Price]]/T_reg.root.SK[[#This Row],[Starch content]],"")</f>
        <v>8.192990441511153</v>
      </c>
    </row>
    <row r="5660" spans="1:14">
      <c r="A5660" s="21">
        <v>2025</v>
      </c>
      <c r="B5660" s="21" t="s">
        <v>22</v>
      </c>
      <c r="C5660" s="21" t="s">
        <v>1145</v>
      </c>
      <c r="D5660" s="21" t="s">
        <v>35</v>
      </c>
      <c r="E5660" s="17" t="s">
        <v>289</v>
      </c>
      <c r="F5660" s="18" t="s">
        <v>105</v>
      </c>
      <c r="G5660" s="18" t="s">
        <v>48</v>
      </c>
      <c r="H5660" s="24">
        <v>141060</v>
      </c>
      <c r="I5660" s="24">
        <f>T_reg.root.SK[[#This Row],[Volume, kg]]/1000</f>
        <v>141.06</v>
      </c>
      <c r="J5660" s="25">
        <v>0.1913</v>
      </c>
      <c r="K5660" s="25">
        <f t="shared" si="89"/>
        <v>26984.777999999998</v>
      </c>
      <c r="L5660" s="25">
        <v>1.66</v>
      </c>
      <c r="M5660" s="24">
        <v>233734.5</v>
      </c>
      <c r="N5660" s="25">
        <f>IFERROR(T_reg.root.SK[[#This Row],[Price]]/T_reg.root.SK[[#This Row],[Starch content]],"")</f>
        <v>8.6774699424986927</v>
      </c>
    </row>
    <row r="5661" spans="1:14">
      <c r="A5661" s="21">
        <v>2025</v>
      </c>
      <c r="B5661" s="21" t="s">
        <v>22</v>
      </c>
      <c r="C5661" s="21" t="s">
        <v>1145</v>
      </c>
      <c r="D5661" s="21" t="s">
        <v>35</v>
      </c>
      <c r="E5661" s="17" t="s">
        <v>370</v>
      </c>
      <c r="F5661" s="18" t="s">
        <v>187</v>
      </c>
      <c r="G5661" s="18" t="s">
        <v>48</v>
      </c>
      <c r="H5661" s="24">
        <v>41160</v>
      </c>
      <c r="I5661" s="24">
        <f>T_reg.root.SK[[#This Row],[Volume, kg]]/1000</f>
        <v>41.16</v>
      </c>
      <c r="J5661" s="25">
        <v>0.20550000000000002</v>
      </c>
      <c r="K5661" s="25">
        <f t="shared" si="89"/>
        <v>8458.380000000001</v>
      </c>
      <c r="L5661" s="25">
        <v>1.72</v>
      </c>
      <c r="M5661" s="24">
        <v>70676</v>
      </c>
      <c r="N5661" s="25">
        <f>IFERROR(T_reg.root.SK[[#This Row],[Price]]/T_reg.root.SK[[#This Row],[Starch content]],"")</f>
        <v>8.3698296836982955</v>
      </c>
    </row>
    <row r="5662" spans="1:14">
      <c r="A5662" s="21">
        <v>2025</v>
      </c>
      <c r="B5662" s="21" t="s">
        <v>22</v>
      </c>
      <c r="C5662" s="21" t="s">
        <v>1145</v>
      </c>
      <c r="D5662" s="21" t="s">
        <v>35</v>
      </c>
      <c r="E5662" s="17" t="s">
        <v>46</v>
      </c>
      <c r="F5662" s="18" t="s">
        <v>47</v>
      </c>
      <c r="G5662" s="18" t="s">
        <v>48</v>
      </c>
      <c r="H5662" s="24">
        <v>83810</v>
      </c>
      <c r="I5662" s="24">
        <f>T_reg.root.SK[[#This Row],[Volume, kg]]/1000</f>
        <v>83.81</v>
      </c>
      <c r="J5662" s="25">
        <v>0.18429999999999999</v>
      </c>
      <c r="K5662" s="25">
        <f t="shared" si="89"/>
        <v>15446.182999999999</v>
      </c>
      <c r="L5662" s="25">
        <v>1.62</v>
      </c>
      <c r="M5662" s="24">
        <v>135449</v>
      </c>
      <c r="N5662" s="25">
        <f>IFERROR(T_reg.root.SK[[#This Row],[Price]]/T_reg.root.SK[[#This Row],[Starch content]],"")</f>
        <v>8.7900162778079221</v>
      </c>
    </row>
    <row r="5663" spans="1:14">
      <c r="A5663" s="21">
        <v>2025</v>
      </c>
      <c r="B5663" s="21" t="s">
        <v>22</v>
      </c>
      <c r="C5663" s="21" t="s">
        <v>1145</v>
      </c>
      <c r="D5663" s="21" t="s">
        <v>35</v>
      </c>
      <c r="E5663" s="17" t="s">
        <v>581</v>
      </c>
      <c r="F5663" s="18" t="s">
        <v>187</v>
      </c>
      <c r="G5663" s="18" t="s">
        <v>48</v>
      </c>
      <c r="H5663" s="24">
        <v>312350</v>
      </c>
      <c r="I5663" s="24">
        <f>T_reg.root.SK[[#This Row],[Volume, kg]]/1000</f>
        <v>312.35000000000002</v>
      </c>
      <c r="J5663" s="25">
        <v>0.20050000000000001</v>
      </c>
      <c r="K5663" s="25">
        <f t="shared" si="89"/>
        <v>62626.175000000003</v>
      </c>
      <c r="L5663" s="25">
        <v>1.7</v>
      </c>
      <c r="M5663" s="24">
        <v>532286.5</v>
      </c>
      <c r="N5663" s="25">
        <f>IFERROR(T_reg.root.SK[[#This Row],[Price]]/T_reg.root.SK[[#This Row],[Starch content]],"")</f>
        <v>8.4788029925187018</v>
      </c>
    </row>
    <row r="5664" spans="1:14">
      <c r="A5664" s="21">
        <v>2025</v>
      </c>
      <c r="B5664" s="21" t="s">
        <v>22</v>
      </c>
      <c r="C5664" s="21" t="s">
        <v>1145</v>
      </c>
      <c r="D5664" s="21" t="s">
        <v>35</v>
      </c>
      <c r="E5664" s="17" t="s">
        <v>108</v>
      </c>
      <c r="F5664" s="18" t="s">
        <v>105</v>
      </c>
      <c r="G5664" s="18" t="s">
        <v>48</v>
      </c>
      <c r="H5664" s="24">
        <v>41400</v>
      </c>
      <c r="I5664" s="24">
        <f>T_reg.root.SK[[#This Row],[Volume, kg]]/1000</f>
        <v>41.4</v>
      </c>
      <c r="J5664" s="25">
        <v>0.17730000000000001</v>
      </c>
      <c r="K5664" s="25">
        <f t="shared" si="89"/>
        <v>7340.22</v>
      </c>
      <c r="L5664" s="25">
        <v>1.59</v>
      </c>
      <c r="M5664" s="24">
        <v>65886.5</v>
      </c>
      <c r="N5664" s="25">
        <f>IFERROR(T_reg.root.SK[[#This Row],[Price]]/T_reg.root.SK[[#This Row],[Starch content]],"")</f>
        <v>8.9678510998307956</v>
      </c>
    </row>
    <row r="5665" spans="1:14">
      <c r="A5665" s="21">
        <v>2025</v>
      </c>
      <c r="B5665" s="21" t="s">
        <v>22</v>
      </c>
      <c r="C5665" s="21" t="s">
        <v>1145</v>
      </c>
      <c r="D5665" s="21" t="s">
        <v>35</v>
      </c>
      <c r="E5665" s="17" t="s">
        <v>49</v>
      </c>
      <c r="F5665" s="18" t="s">
        <v>47</v>
      </c>
      <c r="G5665" s="18" t="s">
        <v>48</v>
      </c>
      <c r="H5665" s="24">
        <v>74370</v>
      </c>
      <c r="I5665" s="24">
        <f>T_reg.root.SK[[#This Row],[Volume, kg]]/1000</f>
        <v>74.37</v>
      </c>
      <c r="J5665" s="25">
        <v>0.1827</v>
      </c>
      <c r="K5665" s="25">
        <f t="shared" si="89"/>
        <v>13587.398999999999</v>
      </c>
      <c r="L5665" s="25">
        <v>1.62</v>
      </c>
      <c r="M5665" s="24">
        <v>120407</v>
      </c>
      <c r="N5665" s="25">
        <f>IFERROR(T_reg.root.SK[[#This Row],[Price]]/T_reg.root.SK[[#This Row],[Starch content]],"")</f>
        <v>8.8669950738916263</v>
      </c>
    </row>
    <row r="5666" spans="1:14">
      <c r="A5666" s="21">
        <v>2025</v>
      </c>
      <c r="B5666" s="21" t="s">
        <v>22</v>
      </c>
      <c r="C5666" s="21" t="s">
        <v>1145</v>
      </c>
      <c r="D5666" s="21" t="s">
        <v>35</v>
      </c>
      <c r="E5666" s="17" t="s">
        <v>290</v>
      </c>
      <c r="F5666" s="18" t="s">
        <v>105</v>
      </c>
      <c r="G5666" s="18" t="s">
        <v>48</v>
      </c>
      <c r="H5666" s="24">
        <v>17910</v>
      </c>
      <c r="I5666" s="24">
        <f>T_reg.root.SK[[#This Row],[Volume, kg]]/1000</f>
        <v>17.91</v>
      </c>
      <c r="J5666" s="25">
        <v>0.1993</v>
      </c>
      <c r="K5666" s="25">
        <f t="shared" si="89"/>
        <v>3569.4630000000002</v>
      </c>
      <c r="L5666" s="25">
        <v>1.7</v>
      </c>
      <c r="M5666" s="24">
        <v>30450</v>
      </c>
      <c r="N5666" s="25">
        <f>IFERROR(T_reg.root.SK[[#This Row],[Price]]/T_reg.root.SK[[#This Row],[Starch content]],"")</f>
        <v>8.5298544907175113</v>
      </c>
    </row>
    <row r="5667" spans="1:14">
      <c r="A5667" s="21">
        <v>2025</v>
      </c>
      <c r="B5667" s="21" t="s">
        <v>22</v>
      </c>
      <c r="C5667" s="21" t="s">
        <v>1145</v>
      </c>
      <c r="D5667" s="21" t="s">
        <v>35</v>
      </c>
      <c r="E5667" s="17" t="s">
        <v>713</v>
      </c>
      <c r="F5667" s="18" t="s">
        <v>105</v>
      </c>
      <c r="G5667" s="18" t="s">
        <v>48</v>
      </c>
      <c r="H5667" s="24">
        <v>9140</v>
      </c>
      <c r="I5667" s="24">
        <f>T_reg.root.SK[[#This Row],[Volume, kg]]/1000</f>
        <v>9.14</v>
      </c>
      <c r="J5667" s="25">
        <v>0.17199999999999999</v>
      </c>
      <c r="K5667" s="25">
        <f t="shared" si="89"/>
        <v>1572.08</v>
      </c>
      <c r="L5667" s="25">
        <v>1.55</v>
      </c>
      <c r="M5667" s="24">
        <v>14167</v>
      </c>
      <c r="N5667" s="25">
        <f>IFERROR(T_reg.root.SK[[#This Row],[Price]]/T_reg.root.SK[[#This Row],[Starch content]],"")</f>
        <v>9.0116279069767451</v>
      </c>
    </row>
    <row r="5668" spans="1:14">
      <c r="A5668" s="21">
        <v>2025</v>
      </c>
      <c r="B5668" s="21" t="s">
        <v>22</v>
      </c>
      <c r="C5668" s="21" t="s">
        <v>1145</v>
      </c>
      <c r="D5668" s="21" t="s">
        <v>35</v>
      </c>
      <c r="E5668" s="17" t="s">
        <v>794</v>
      </c>
      <c r="F5668" s="18" t="s">
        <v>187</v>
      </c>
      <c r="G5668" s="18" t="s">
        <v>48</v>
      </c>
      <c r="H5668" s="24">
        <v>112210</v>
      </c>
      <c r="I5668" s="24">
        <f>T_reg.root.SK[[#This Row],[Volume, kg]]/1000</f>
        <v>112.21</v>
      </c>
      <c r="J5668" s="25">
        <v>0.20489999999999997</v>
      </c>
      <c r="K5668" s="25">
        <f t="shared" si="89"/>
        <v>22991.828999999998</v>
      </c>
      <c r="L5668" s="25">
        <v>1.72</v>
      </c>
      <c r="M5668" s="24">
        <v>192745.5</v>
      </c>
      <c r="N5668" s="25">
        <f>IFERROR(T_reg.root.SK[[#This Row],[Price]]/T_reg.root.SK[[#This Row],[Starch content]],"")</f>
        <v>8.3943387018057596</v>
      </c>
    </row>
    <row r="5669" spans="1:14">
      <c r="A5669" s="21">
        <v>2025</v>
      </c>
      <c r="B5669" s="21" t="s">
        <v>22</v>
      </c>
      <c r="C5669" s="21" t="s">
        <v>1145</v>
      </c>
      <c r="D5669" s="21" t="s">
        <v>35</v>
      </c>
      <c r="E5669" s="17" t="s">
        <v>512</v>
      </c>
      <c r="F5669" s="18" t="s">
        <v>187</v>
      </c>
      <c r="G5669" s="18" t="s">
        <v>48</v>
      </c>
      <c r="H5669" s="24">
        <v>132380</v>
      </c>
      <c r="I5669" s="24">
        <f>T_reg.root.SK[[#This Row],[Volume, kg]]/1000</f>
        <v>132.38</v>
      </c>
      <c r="J5669" s="25">
        <v>0.18109999999999998</v>
      </c>
      <c r="K5669" s="25">
        <f t="shared" si="89"/>
        <v>23974.017999999996</v>
      </c>
      <c r="L5669" s="25">
        <v>1.61</v>
      </c>
      <c r="M5669" s="24">
        <v>212595</v>
      </c>
      <c r="N5669" s="25">
        <f>IFERROR(T_reg.root.SK[[#This Row],[Price]]/T_reg.root.SK[[#This Row],[Starch content]],"")</f>
        <v>8.8901159580342366</v>
      </c>
    </row>
    <row r="5670" spans="1:14">
      <c r="A5670" s="21">
        <v>2025</v>
      </c>
      <c r="B5670" s="21" t="s">
        <v>22</v>
      </c>
      <c r="C5670" s="21" t="s">
        <v>1145</v>
      </c>
      <c r="D5670" s="21" t="s">
        <v>35</v>
      </c>
      <c r="E5670" s="17" t="s">
        <v>109</v>
      </c>
      <c r="F5670" s="18" t="s">
        <v>105</v>
      </c>
      <c r="G5670" s="18" t="s">
        <v>48</v>
      </c>
      <c r="H5670" s="24">
        <v>173870</v>
      </c>
      <c r="I5670" s="24">
        <f>T_reg.root.SK[[#This Row],[Volume, kg]]/1000</f>
        <v>173.87</v>
      </c>
      <c r="J5670" s="25">
        <v>0.1948</v>
      </c>
      <c r="K5670" s="25">
        <f t="shared" si="89"/>
        <v>33869.875999999997</v>
      </c>
      <c r="L5670" s="25">
        <v>1.67</v>
      </c>
      <c r="M5670" s="24">
        <v>290759</v>
      </c>
      <c r="N5670" s="25">
        <f>IFERROR(T_reg.root.SK[[#This Row],[Price]]/T_reg.root.SK[[#This Row],[Starch content]],"")</f>
        <v>8.5728952772073921</v>
      </c>
    </row>
    <row r="5671" spans="1:14">
      <c r="A5671" s="21">
        <v>2025</v>
      </c>
      <c r="B5671" s="21" t="s">
        <v>22</v>
      </c>
      <c r="C5671" s="21" t="s">
        <v>1145</v>
      </c>
      <c r="D5671" s="21" t="s">
        <v>39</v>
      </c>
      <c r="E5671" s="17" t="s">
        <v>1017</v>
      </c>
      <c r="F5671" s="18" t="s">
        <v>1018</v>
      </c>
      <c r="G5671" s="18" t="s">
        <v>103</v>
      </c>
      <c r="H5671" s="24">
        <v>134790</v>
      </c>
      <c r="I5671" s="24">
        <f>T_reg.root.SK[[#This Row],[Volume, kg]]/1000</f>
        <v>134.79</v>
      </c>
      <c r="J5671" s="25">
        <v>0.18059999999999998</v>
      </c>
      <c r="K5671" s="25">
        <f t="shared" si="89"/>
        <v>24343.073999999997</v>
      </c>
      <c r="L5671" s="25">
        <v>1.81</v>
      </c>
      <c r="M5671" s="24">
        <v>243781.5</v>
      </c>
      <c r="N5671" s="25">
        <f>IFERROR(T_reg.root.SK[[#This Row],[Price]]/T_reg.root.SK[[#This Row],[Starch content]],"")</f>
        <v>10.02214839424142</v>
      </c>
    </row>
    <row r="5672" spans="1:14">
      <c r="A5672" s="21">
        <v>2025</v>
      </c>
      <c r="B5672" s="21" t="s">
        <v>22</v>
      </c>
      <c r="C5672" s="21" t="s">
        <v>1145</v>
      </c>
      <c r="D5672" s="21" t="s">
        <v>35</v>
      </c>
      <c r="E5672" s="17" t="s">
        <v>82</v>
      </c>
      <c r="F5672" s="18" t="s">
        <v>83</v>
      </c>
      <c r="G5672" s="18" t="s">
        <v>48</v>
      </c>
      <c r="H5672" s="24">
        <v>0</v>
      </c>
      <c r="I5672" s="24">
        <f>T_reg.root.SK[[#This Row],[Volume, kg]]/1000</f>
        <v>0</v>
      </c>
      <c r="J5672" s="25">
        <v>0</v>
      </c>
      <c r="K5672" s="25">
        <f t="shared" si="89"/>
        <v>0</v>
      </c>
      <c r="L5672" s="25">
        <v>0</v>
      </c>
      <c r="M5672" s="24">
        <v>0</v>
      </c>
      <c r="N5672" s="25" t="str">
        <f>IFERROR(T_reg.root.SK[[#This Row],[Price]]/T_reg.root.SK[[#This Row],[Starch content]],"")</f>
        <v/>
      </c>
    </row>
    <row r="5673" spans="1:14">
      <c r="A5673" s="21">
        <v>2025</v>
      </c>
      <c r="B5673" s="21" t="s">
        <v>22</v>
      </c>
      <c r="C5673" s="21" t="s">
        <v>1145</v>
      </c>
      <c r="D5673" s="21" t="s">
        <v>35</v>
      </c>
      <c r="E5673" s="17" t="s">
        <v>351</v>
      </c>
      <c r="F5673" s="18" t="s">
        <v>105</v>
      </c>
      <c r="G5673" s="18" t="s">
        <v>48</v>
      </c>
      <c r="H5673" s="24">
        <v>92780</v>
      </c>
      <c r="I5673" s="24">
        <f>T_reg.root.SK[[#This Row],[Volume, kg]]/1000</f>
        <v>92.78</v>
      </c>
      <c r="J5673" s="25">
        <v>0.20610000000000001</v>
      </c>
      <c r="K5673" s="25">
        <f t="shared" si="89"/>
        <v>19121.957999999999</v>
      </c>
      <c r="L5673" s="25">
        <v>1.73</v>
      </c>
      <c r="M5673" s="24">
        <v>160913.5</v>
      </c>
      <c r="N5673" s="25">
        <f>IFERROR(T_reg.root.SK[[#This Row],[Price]]/T_reg.root.SK[[#This Row],[Starch content]],"")</f>
        <v>8.3939835031538088</v>
      </c>
    </row>
    <row r="5674" spans="1:14">
      <c r="A5674" s="21">
        <v>2025</v>
      </c>
      <c r="B5674" s="21" t="s">
        <v>22</v>
      </c>
      <c r="C5674" s="21" t="s">
        <v>1145</v>
      </c>
      <c r="D5674" s="21" t="s">
        <v>35</v>
      </c>
      <c r="E5674" s="17" t="s">
        <v>294</v>
      </c>
      <c r="F5674" s="18" t="s">
        <v>105</v>
      </c>
      <c r="G5674" s="18" t="s">
        <v>48</v>
      </c>
      <c r="H5674" s="24">
        <v>68820</v>
      </c>
      <c r="I5674" s="24">
        <f>T_reg.root.SK[[#This Row],[Volume, kg]]/1000</f>
        <v>68.819999999999993</v>
      </c>
      <c r="J5674" s="25">
        <v>0.19309999999999999</v>
      </c>
      <c r="K5674" s="25">
        <f t="shared" si="89"/>
        <v>13289.142</v>
      </c>
      <c r="L5674" s="25">
        <v>1.66</v>
      </c>
      <c r="M5674" s="24">
        <v>114549.5</v>
      </c>
      <c r="N5674" s="25">
        <f>IFERROR(T_reg.root.SK[[#This Row],[Price]]/T_reg.root.SK[[#This Row],[Starch content]],"")</f>
        <v>8.5965820818228895</v>
      </c>
    </row>
    <row r="5675" spans="1:14">
      <c r="A5675" s="21">
        <v>2025</v>
      </c>
      <c r="B5675" s="21" t="s">
        <v>22</v>
      </c>
      <c r="C5675" s="21" t="s">
        <v>1145</v>
      </c>
      <c r="D5675" s="21" t="s">
        <v>35</v>
      </c>
      <c r="E5675" s="17" t="s">
        <v>110</v>
      </c>
      <c r="F5675" s="18" t="s">
        <v>105</v>
      </c>
      <c r="G5675" s="18" t="s">
        <v>48</v>
      </c>
      <c r="H5675" s="24">
        <v>21560</v>
      </c>
      <c r="I5675" s="24">
        <f>T_reg.root.SK[[#This Row],[Volume, kg]]/1000</f>
        <v>21.56</v>
      </c>
      <c r="J5675" s="25">
        <v>0.16889999999999999</v>
      </c>
      <c r="K5675" s="25">
        <f t="shared" si="89"/>
        <v>3641.4839999999999</v>
      </c>
      <c r="L5675" s="25">
        <v>1.56</v>
      </c>
      <c r="M5675" s="24">
        <v>33640.5</v>
      </c>
      <c r="N5675" s="25">
        <f>IFERROR(T_reg.root.SK[[#This Row],[Price]]/T_reg.root.SK[[#This Row],[Starch content]],"")</f>
        <v>9.2362344582593252</v>
      </c>
    </row>
    <row r="5676" spans="1:14">
      <c r="A5676" s="21">
        <v>2025</v>
      </c>
      <c r="B5676" s="21" t="s">
        <v>22</v>
      </c>
      <c r="C5676" s="21" t="s">
        <v>1145</v>
      </c>
      <c r="D5676" s="21" t="s">
        <v>35</v>
      </c>
      <c r="E5676" s="17" t="s">
        <v>261</v>
      </c>
      <c r="F5676" s="18" t="s">
        <v>187</v>
      </c>
      <c r="G5676" s="18" t="s">
        <v>48</v>
      </c>
      <c r="H5676" s="24">
        <v>74510</v>
      </c>
      <c r="I5676" s="24">
        <f>T_reg.root.SK[[#This Row],[Volume, kg]]/1000</f>
        <v>74.510000000000005</v>
      </c>
      <c r="J5676" s="25">
        <v>0.2195</v>
      </c>
      <c r="K5676" s="25">
        <f t="shared" si="89"/>
        <v>16354.945</v>
      </c>
      <c r="L5676" s="25">
        <v>1.79</v>
      </c>
      <c r="M5676" s="24">
        <v>133610</v>
      </c>
      <c r="N5676" s="25">
        <f>IFERROR(T_reg.root.SK[[#This Row],[Price]]/T_reg.root.SK[[#This Row],[Starch content]],"")</f>
        <v>8.1548974943052386</v>
      </c>
    </row>
    <row r="5677" spans="1:14">
      <c r="A5677" s="21">
        <v>2025</v>
      </c>
      <c r="B5677" s="21" t="s">
        <v>22</v>
      </c>
      <c r="C5677" s="21" t="s">
        <v>1145</v>
      </c>
      <c r="D5677" s="21" t="s">
        <v>35</v>
      </c>
      <c r="E5677" s="17" t="s">
        <v>336</v>
      </c>
      <c r="F5677" s="18" t="s">
        <v>47</v>
      </c>
      <c r="G5677" s="18" t="s">
        <v>48</v>
      </c>
      <c r="H5677" s="24">
        <v>5350</v>
      </c>
      <c r="I5677" s="24">
        <f>T_reg.root.SK[[#This Row],[Volume, kg]]/1000</f>
        <v>5.35</v>
      </c>
      <c r="J5677" s="25">
        <v>0.23850000000000002</v>
      </c>
      <c r="K5677" s="25">
        <f t="shared" si="89"/>
        <v>1275.9750000000001</v>
      </c>
      <c r="L5677" s="25">
        <v>1.9</v>
      </c>
      <c r="M5677" s="24">
        <v>10165</v>
      </c>
      <c r="N5677" s="25">
        <f>IFERROR(T_reg.root.SK[[#This Row],[Price]]/T_reg.root.SK[[#This Row],[Starch content]],"")</f>
        <v>7.9664570230607961</v>
      </c>
    </row>
    <row r="5678" spans="1:14">
      <c r="A5678" s="21">
        <v>2025</v>
      </c>
      <c r="B5678" s="21" t="s">
        <v>22</v>
      </c>
      <c r="C5678" s="21" t="s">
        <v>1145</v>
      </c>
      <c r="D5678" s="21" t="s">
        <v>35</v>
      </c>
      <c r="E5678" s="17" t="s">
        <v>584</v>
      </c>
      <c r="F5678" s="18" t="s">
        <v>187</v>
      </c>
      <c r="G5678" s="18" t="s">
        <v>48</v>
      </c>
      <c r="H5678" s="24">
        <v>37700</v>
      </c>
      <c r="I5678" s="24">
        <f>T_reg.root.SK[[#This Row],[Volume, kg]]/1000</f>
        <v>37.700000000000003</v>
      </c>
      <c r="J5678" s="25">
        <v>0.17230000000000001</v>
      </c>
      <c r="K5678" s="25">
        <f t="shared" si="89"/>
        <v>6495.71</v>
      </c>
      <c r="L5678" s="25">
        <v>1.56</v>
      </c>
      <c r="M5678" s="24">
        <v>58886</v>
      </c>
      <c r="N5678" s="25">
        <f>IFERROR(T_reg.root.SK[[#This Row],[Price]]/T_reg.root.SK[[#This Row],[Starch content]],"")</f>
        <v>9.0539756239117821</v>
      </c>
    </row>
    <row r="5679" spans="1:14">
      <c r="A5679" s="21">
        <v>2025</v>
      </c>
      <c r="B5679" s="21" t="s">
        <v>22</v>
      </c>
      <c r="C5679" s="21" t="s">
        <v>1145</v>
      </c>
      <c r="D5679" s="21" t="s">
        <v>35</v>
      </c>
      <c r="E5679" s="17" t="s">
        <v>1019</v>
      </c>
      <c r="F5679" s="18" t="s">
        <v>105</v>
      </c>
      <c r="G5679" s="18" t="s">
        <v>48</v>
      </c>
      <c r="H5679" s="24">
        <v>8620</v>
      </c>
      <c r="I5679" s="24">
        <f>T_reg.root.SK[[#This Row],[Volume, kg]]/1000</f>
        <v>8.6199999999999992</v>
      </c>
      <c r="J5679" s="25">
        <v>0.2535</v>
      </c>
      <c r="K5679" s="25">
        <f t="shared" si="89"/>
        <v>2185.17</v>
      </c>
      <c r="L5679" s="25">
        <v>1.95</v>
      </c>
      <c r="M5679" s="24">
        <v>16809</v>
      </c>
      <c r="N5679" s="25">
        <f>IFERROR(T_reg.root.SK[[#This Row],[Price]]/T_reg.root.SK[[#This Row],[Starch content]],"")</f>
        <v>7.6923076923076916</v>
      </c>
    </row>
    <row r="5680" spans="1:14">
      <c r="A5680" s="21">
        <v>2025</v>
      </c>
      <c r="B5680" s="21" t="s">
        <v>22</v>
      </c>
      <c r="C5680" s="21" t="s">
        <v>1145</v>
      </c>
      <c r="D5680" s="21" t="s">
        <v>35</v>
      </c>
      <c r="E5680" s="17" t="s">
        <v>642</v>
      </c>
      <c r="F5680" s="18" t="s">
        <v>47</v>
      </c>
      <c r="G5680" s="18" t="s">
        <v>48</v>
      </c>
      <c r="H5680" s="24">
        <v>69120</v>
      </c>
      <c r="I5680" s="24">
        <f>T_reg.root.SK[[#This Row],[Volume, kg]]/1000</f>
        <v>69.12</v>
      </c>
      <c r="J5680" s="25">
        <v>0.2286</v>
      </c>
      <c r="K5680" s="25">
        <f t="shared" si="89"/>
        <v>15800.832</v>
      </c>
      <c r="L5680" s="25">
        <v>1.84</v>
      </c>
      <c r="M5680" s="24">
        <v>127342</v>
      </c>
      <c r="N5680" s="25">
        <f>IFERROR(T_reg.root.SK[[#This Row],[Price]]/T_reg.root.SK[[#This Row],[Starch content]],"")</f>
        <v>8.0489938757655306</v>
      </c>
    </row>
    <row r="5681" spans="1:14">
      <c r="A5681" s="21">
        <v>2025</v>
      </c>
      <c r="B5681" s="21" t="s">
        <v>22</v>
      </c>
      <c r="C5681" s="21" t="s">
        <v>1145</v>
      </c>
      <c r="D5681" s="21" t="s">
        <v>35</v>
      </c>
      <c r="E5681" s="17" t="s">
        <v>192</v>
      </c>
      <c r="F5681" s="18" t="s">
        <v>187</v>
      </c>
      <c r="G5681" s="18" t="s">
        <v>48</v>
      </c>
      <c r="H5681" s="24">
        <v>2420</v>
      </c>
      <c r="I5681" s="24">
        <f>T_reg.root.SK[[#This Row],[Volume, kg]]/1000</f>
        <v>2.42</v>
      </c>
      <c r="J5681" s="25">
        <v>0.16329999999999997</v>
      </c>
      <c r="K5681" s="25">
        <f t="shared" si="89"/>
        <v>395.18599999999992</v>
      </c>
      <c r="L5681" s="25">
        <v>1.5</v>
      </c>
      <c r="M5681" s="24">
        <v>3630</v>
      </c>
      <c r="N5681" s="25">
        <f>IFERROR(T_reg.root.SK[[#This Row],[Price]]/T_reg.root.SK[[#This Row],[Starch content]],"")</f>
        <v>9.1855480710349067</v>
      </c>
    </row>
    <row r="5682" spans="1:14">
      <c r="A5682" s="21">
        <v>2025</v>
      </c>
      <c r="B5682" s="21" t="s">
        <v>22</v>
      </c>
      <c r="C5682" s="21" t="s">
        <v>1145</v>
      </c>
      <c r="D5682" s="21" t="s">
        <v>35</v>
      </c>
      <c r="E5682" s="17" t="s">
        <v>513</v>
      </c>
      <c r="F5682" s="18" t="s">
        <v>187</v>
      </c>
      <c r="G5682" s="18" t="s">
        <v>48</v>
      </c>
      <c r="H5682" s="24">
        <v>162710</v>
      </c>
      <c r="I5682" s="24">
        <f>T_reg.root.SK[[#This Row],[Volume, kg]]/1000</f>
        <v>162.71</v>
      </c>
      <c r="J5682" s="25">
        <v>0.21170000000000003</v>
      </c>
      <c r="K5682" s="25">
        <f t="shared" si="89"/>
        <v>34445.707000000002</v>
      </c>
      <c r="L5682" s="25">
        <v>1.76</v>
      </c>
      <c r="M5682" s="24">
        <v>286301.5</v>
      </c>
      <c r="N5682" s="25">
        <f>IFERROR(T_reg.root.SK[[#This Row],[Price]]/T_reg.root.SK[[#This Row],[Starch content]],"")</f>
        <v>8.3136513934813401</v>
      </c>
    </row>
    <row r="5683" spans="1:14">
      <c r="A5683" s="21">
        <v>2025</v>
      </c>
      <c r="B5683" s="21" t="s">
        <v>22</v>
      </c>
      <c r="C5683" s="21" t="s">
        <v>1145</v>
      </c>
      <c r="D5683" s="21" t="s">
        <v>35</v>
      </c>
      <c r="E5683" s="17" t="s">
        <v>514</v>
      </c>
      <c r="F5683" s="18" t="s">
        <v>187</v>
      </c>
      <c r="G5683" s="18" t="s">
        <v>48</v>
      </c>
      <c r="H5683" s="24">
        <v>14490</v>
      </c>
      <c r="I5683" s="24">
        <f>T_reg.root.SK[[#This Row],[Volume, kg]]/1000</f>
        <v>14.49</v>
      </c>
      <c r="J5683" s="25">
        <v>0.2354</v>
      </c>
      <c r="K5683" s="25">
        <f t="shared" si="89"/>
        <v>3410.9459999999999</v>
      </c>
      <c r="L5683" s="25">
        <v>1.87</v>
      </c>
      <c r="M5683" s="24">
        <v>27137.5</v>
      </c>
      <c r="N5683" s="25">
        <f>IFERROR(T_reg.root.SK[[#This Row],[Price]]/T_reg.root.SK[[#This Row],[Starch content]],"")</f>
        <v>7.94392523364486</v>
      </c>
    </row>
    <row r="5684" spans="1:14">
      <c r="A5684" s="21">
        <v>2025</v>
      </c>
      <c r="B5684" s="21" t="s">
        <v>22</v>
      </c>
      <c r="C5684" s="21" t="s">
        <v>1145</v>
      </c>
      <c r="D5684" s="21" t="s">
        <v>35</v>
      </c>
      <c r="E5684" s="17" t="s">
        <v>52</v>
      </c>
      <c r="F5684" s="18" t="s">
        <v>47</v>
      </c>
      <c r="G5684" s="18" t="s">
        <v>48</v>
      </c>
      <c r="H5684" s="24">
        <v>46110</v>
      </c>
      <c r="I5684" s="24">
        <f>T_reg.root.SK[[#This Row],[Volume, kg]]/1000</f>
        <v>46.11</v>
      </c>
      <c r="J5684" s="25">
        <v>0.18899999999999997</v>
      </c>
      <c r="K5684" s="25">
        <f t="shared" si="89"/>
        <v>8714.7899999999991</v>
      </c>
      <c r="L5684" s="25">
        <v>1.64</v>
      </c>
      <c r="M5684" s="24">
        <v>75505</v>
      </c>
      <c r="N5684" s="25">
        <f>IFERROR(T_reg.root.SK[[#This Row],[Price]]/T_reg.root.SK[[#This Row],[Starch content]],"")</f>
        <v>8.6772486772486772</v>
      </c>
    </row>
    <row r="5685" spans="1:14">
      <c r="A5685" s="21">
        <v>2025</v>
      </c>
      <c r="B5685" s="21" t="s">
        <v>22</v>
      </c>
      <c r="C5685" s="21" t="s">
        <v>1145</v>
      </c>
      <c r="D5685" s="21" t="s">
        <v>35</v>
      </c>
      <c r="E5685" s="17" t="s">
        <v>701</v>
      </c>
      <c r="F5685" s="18" t="s">
        <v>187</v>
      </c>
      <c r="G5685" s="18" t="s">
        <v>48</v>
      </c>
      <c r="H5685" s="24">
        <v>128780</v>
      </c>
      <c r="I5685" s="24">
        <f>T_reg.root.SK[[#This Row],[Volume, kg]]/1000</f>
        <v>128.78</v>
      </c>
      <c r="J5685" s="25">
        <v>0.20079999999999998</v>
      </c>
      <c r="K5685" s="25">
        <f t="shared" si="89"/>
        <v>25859.023999999998</v>
      </c>
      <c r="L5685" s="25">
        <v>1.7</v>
      </c>
      <c r="M5685" s="24">
        <v>218424</v>
      </c>
      <c r="N5685" s="25">
        <f>IFERROR(T_reg.root.SK[[#This Row],[Price]]/T_reg.root.SK[[#This Row],[Starch content]],"")</f>
        <v>8.4661354581673312</v>
      </c>
    </row>
    <row r="5686" spans="1:14">
      <c r="A5686" s="21">
        <v>2025</v>
      </c>
      <c r="B5686" s="21" t="s">
        <v>22</v>
      </c>
      <c r="C5686" s="21" t="s">
        <v>1145</v>
      </c>
      <c r="D5686" s="21" t="s">
        <v>39</v>
      </c>
      <c r="E5686" s="17" t="s">
        <v>1020</v>
      </c>
      <c r="F5686" s="18" t="s">
        <v>1021</v>
      </c>
      <c r="G5686" s="18" t="s">
        <v>1022</v>
      </c>
      <c r="H5686" s="24">
        <v>1564860</v>
      </c>
      <c r="I5686" s="24">
        <f>T_reg.root.SK[[#This Row],[Volume, kg]]/1000</f>
        <v>1564.86</v>
      </c>
      <c r="J5686" s="25">
        <v>0.16930000000000001</v>
      </c>
      <c r="K5686" s="25">
        <f t="shared" si="89"/>
        <v>264930.79800000001</v>
      </c>
      <c r="L5686" s="25">
        <v>1.75</v>
      </c>
      <c r="M5686" s="24">
        <v>2732441</v>
      </c>
      <c r="N5686" s="25">
        <f>IFERROR(T_reg.root.SK[[#This Row],[Price]]/T_reg.root.SK[[#This Row],[Starch content]],"")</f>
        <v>10.336680448907265</v>
      </c>
    </row>
    <row r="5687" spans="1:14">
      <c r="A5687" s="21">
        <v>2025</v>
      </c>
      <c r="B5687" s="21" t="s">
        <v>22</v>
      </c>
      <c r="C5687" s="21" t="s">
        <v>1145</v>
      </c>
      <c r="D5687" s="21" t="s">
        <v>35</v>
      </c>
      <c r="E5687" s="17" t="s">
        <v>734</v>
      </c>
      <c r="F5687" s="18" t="s">
        <v>105</v>
      </c>
      <c r="G5687" s="18" t="s">
        <v>48</v>
      </c>
      <c r="H5687" s="24">
        <v>27130</v>
      </c>
      <c r="I5687" s="24">
        <f>T_reg.root.SK[[#This Row],[Volume, kg]]/1000</f>
        <v>27.13</v>
      </c>
      <c r="J5687" s="25">
        <v>0.21249999999999999</v>
      </c>
      <c r="K5687" s="25">
        <f t="shared" si="89"/>
        <v>5765.125</v>
      </c>
      <c r="L5687" s="25">
        <v>1.75</v>
      </c>
      <c r="M5687" s="24">
        <v>47477.5</v>
      </c>
      <c r="N5687" s="25">
        <f>IFERROR(T_reg.root.SK[[#This Row],[Price]]/T_reg.root.SK[[#This Row],[Starch content]],"")</f>
        <v>8.2352941176470598</v>
      </c>
    </row>
    <row r="5688" spans="1:14">
      <c r="A5688" s="21">
        <v>2025</v>
      </c>
      <c r="B5688" s="21" t="s">
        <v>22</v>
      </c>
      <c r="C5688" s="21" t="s">
        <v>1145</v>
      </c>
      <c r="D5688" s="21" t="s">
        <v>35</v>
      </c>
      <c r="E5688" s="17" t="s">
        <v>193</v>
      </c>
      <c r="F5688" s="18" t="s">
        <v>187</v>
      </c>
      <c r="G5688" s="18" t="s">
        <v>48</v>
      </c>
      <c r="H5688" s="24">
        <v>36660</v>
      </c>
      <c r="I5688" s="24">
        <f>T_reg.root.SK[[#This Row],[Volume, kg]]/1000</f>
        <v>36.659999999999997</v>
      </c>
      <c r="J5688" s="25">
        <v>0.1787</v>
      </c>
      <c r="K5688" s="25">
        <f t="shared" si="89"/>
        <v>6551.1419999999998</v>
      </c>
      <c r="L5688" s="25">
        <v>1.61</v>
      </c>
      <c r="M5688" s="24">
        <v>59091</v>
      </c>
      <c r="N5688" s="25">
        <f>IFERROR(T_reg.root.SK[[#This Row],[Price]]/T_reg.root.SK[[#This Row],[Starch content]],"")</f>
        <v>9.0095131505316175</v>
      </c>
    </row>
    <row r="5689" spans="1:14">
      <c r="A5689" s="21">
        <v>2025</v>
      </c>
      <c r="B5689" s="21" t="s">
        <v>22</v>
      </c>
      <c r="C5689" s="21" t="s">
        <v>1145</v>
      </c>
      <c r="D5689" s="21" t="s">
        <v>35</v>
      </c>
      <c r="E5689" s="17" t="s">
        <v>586</v>
      </c>
      <c r="F5689" s="18" t="s">
        <v>187</v>
      </c>
      <c r="G5689" s="18" t="s">
        <v>48</v>
      </c>
      <c r="H5689" s="24">
        <v>179700</v>
      </c>
      <c r="I5689" s="24">
        <f>T_reg.root.SK[[#This Row],[Volume, kg]]/1000</f>
        <v>179.7</v>
      </c>
      <c r="J5689" s="25">
        <v>0.19829999999999998</v>
      </c>
      <c r="K5689" s="25">
        <f t="shared" si="89"/>
        <v>35634.509999999995</v>
      </c>
      <c r="L5689" s="25">
        <v>1.7</v>
      </c>
      <c r="M5689" s="24">
        <v>304828.5</v>
      </c>
      <c r="N5689" s="25">
        <f>IFERROR(T_reg.root.SK[[#This Row],[Price]]/T_reg.root.SK[[#This Row],[Starch content]],"")</f>
        <v>8.5728693898134143</v>
      </c>
    </row>
    <row r="5690" spans="1:14">
      <c r="A5690" s="21">
        <v>2025</v>
      </c>
      <c r="B5690" s="21" t="s">
        <v>22</v>
      </c>
      <c r="C5690" s="21" t="s">
        <v>1145</v>
      </c>
      <c r="D5690" s="21" t="s">
        <v>35</v>
      </c>
      <c r="E5690" s="17" t="s">
        <v>112</v>
      </c>
      <c r="F5690" s="18" t="s">
        <v>105</v>
      </c>
      <c r="G5690" s="18" t="s">
        <v>48</v>
      </c>
      <c r="H5690" s="24">
        <v>162410</v>
      </c>
      <c r="I5690" s="24">
        <f>T_reg.root.SK[[#This Row],[Volume, kg]]/1000</f>
        <v>162.41</v>
      </c>
      <c r="J5690" s="25">
        <v>0.19769999999999999</v>
      </c>
      <c r="K5690" s="25">
        <f t="shared" si="89"/>
        <v>32108.456999999999</v>
      </c>
      <c r="L5690" s="25">
        <v>1.69</v>
      </c>
      <c r="M5690" s="24">
        <v>274443.5</v>
      </c>
      <c r="N5690" s="25">
        <f>IFERROR(T_reg.root.SK[[#This Row],[Price]]/T_reg.root.SK[[#This Row],[Starch content]],"")</f>
        <v>8.5483055134041486</v>
      </c>
    </row>
    <row r="5691" spans="1:14">
      <c r="A5691" s="21">
        <v>2025</v>
      </c>
      <c r="B5691" s="21" t="s">
        <v>22</v>
      </c>
      <c r="C5691" s="21" t="s">
        <v>1145</v>
      </c>
      <c r="D5691" s="21" t="s">
        <v>35</v>
      </c>
      <c r="E5691" s="17" t="s">
        <v>78</v>
      </c>
      <c r="F5691" s="18" t="s">
        <v>47</v>
      </c>
      <c r="G5691" s="18" t="s">
        <v>48</v>
      </c>
      <c r="H5691" s="24">
        <v>11730</v>
      </c>
      <c r="I5691" s="24">
        <f>T_reg.root.SK[[#This Row],[Volume, kg]]/1000</f>
        <v>11.73</v>
      </c>
      <c r="J5691" s="25">
        <v>0.22850000000000001</v>
      </c>
      <c r="K5691" s="25">
        <f t="shared" si="89"/>
        <v>2680.3050000000003</v>
      </c>
      <c r="L5691" s="25">
        <v>1.85</v>
      </c>
      <c r="M5691" s="24">
        <v>21700.5</v>
      </c>
      <c r="N5691" s="25">
        <f>IFERROR(T_reg.root.SK[[#This Row],[Price]]/T_reg.root.SK[[#This Row],[Starch content]],"")</f>
        <v>8.0962800875273526</v>
      </c>
    </row>
    <row r="5692" spans="1:14">
      <c r="A5692" s="21">
        <v>2025</v>
      </c>
      <c r="B5692" s="21" t="s">
        <v>22</v>
      </c>
      <c r="C5692" s="21" t="s">
        <v>1145</v>
      </c>
      <c r="D5692" s="21" t="s">
        <v>35</v>
      </c>
      <c r="E5692" s="17" t="s">
        <v>262</v>
      </c>
      <c r="F5692" s="18" t="s">
        <v>187</v>
      </c>
      <c r="G5692" s="18" t="s">
        <v>48</v>
      </c>
      <c r="H5692" s="24">
        <v>52330</v>
      </c>
      <c r="I5692" s="24">
        <f>T_reg.root.SK[[#This Row],[Volume, kg]]/1000</f>
        <v>52.33</v>
      </c>
      <c r="J5692" s="25">
        <v>0.21960000000000002</v>
      </c>
      <c r="K5692" s="25">
        <f t="shared" si="89"/>
        <v>11491.668000000001</v>
      </c>
      <c r="L5692" s="25">
        <v>1.8</v>
      </c>
      <c r="M5692" s="24">
        <v>94144</v>
      </c>
      <c r="N5692" s="25">
        <f>IFERROR(T_reg.root.SK[[#This Row],[Price]]/T_reg.root.SK[[#This Row],[Starch content]],"")</f>
        <v>8.1967213114754092</v>
      </c>
    </row>
    <row r="5693" spans="1:14">
      <c r="A5693" s="21">
        <v>2025</v>
      </c>
      <c r="B5693" s="21" t="s">
        <v>22</v>
      </c>
      <c r="C5693" s="21" t="s">
        <v>1145</v>
      </c>
      <c r="D5693" s="21" t="s">
        <v>35</v>
      </c>
      <c r="E5693" s="17" t="s">
        <v>803</v>
      </c>
      <c r="F5693" s="18" t="s">
        <v>105</v>
      </c>
      <c r="G5693" s="18" t="s">
        <v>48</v>
      </c>
      <c r="H5693" s="24">
        <v>9820</v>
      </c>
      <c r="I5693" s="24">
        <f>T_reg.root.SK[[#This Row],[Volume, kg]]/1000</f>
        <v>9.82</v>
      </c>
      <c r="J5693" s="25">
        <v>0.24350000000000002</v>
      </c>
      <c r="K5693" s="25">
        <f t="shared" si="89"/>
        <v>2391.17</v>
      </c>
      <c r="L5693" s="25">
        <v>1.9</v>
      </c>
      <c r="M5693" s="24">
        <v>18658</v>
      </c>
      <c r="N5693" s="25">
        <f>IFERROR(T_reg.root.SK[[#This Row],[Price]]/T_reg.root.SK[[#This Row],[Starch content]],"")</f>
        <v>7.8028747433264876</v>
      </c>
    </row>
    <row r="5694" spans="1:14">
      <c r="A5694" s="21">
        <v>2025</v>
      </c>
      <c r="B5694" s="21" t="s">
        <v>22</v>
      </c>
      <c r="C5694" s="21" t="s">
        <v>1145</v>
      </c>
      <c r="D5694" s="21" t="s">
        <v>35</v>
      </c>
      <c r="E5694" s="17" t="s">
        <v>621</v>
      </c>
      <c r="F5694" s="18" t="s">
        <v>187</v>
      </c>
      <c r="G5694" s="18" t="s">
        <v>48</v>
      </c>
      <c r="H5694" s="24">
        <v>31530</v>
      </c>
      <c r="I5694" s="24">
        <f>T_reg.root.SK[[#This Row],[Volume, kg]]/1000</f>
        <v>31.53</v>
      </c>
      <c r="J5694" s="25">
        <v>0.2089</v>
      </c>
      <c r="K5694" s="25">
        <f t="shared" si="89"/>
        <v>6586.6170000000002</v>
      </c>
      <c r="L5694" s="25">
        <v>1.75</v>
      </c>
      <c r="M5694" s="24">
        <v>55144.5</v>
      </c>
      <c r="N5694" s="25">
        <f>IFERROR(T_reg.root.SK[[#This Row],[Price]]/T_reg.root.SK[[#This Row],[Starch content]],"")</f>
        <v>8.3772139779798938</v>
      </c>
    </row>
    <row r="5695" spans="1:14">
      <c r="A5695" s="21">
        <v>2025</v>
      </c>
      <c r="B5695" s="21" t="s">
        <v>22</v>
      </c>
      <c r="C5695" s="21" t="s">
        <v>1145</v>
      </c>
      <c r="D5695" s="21" t="s">
        <v>35</v>
      </c>
      <c r="E5695" s="17" t="s">
        <v>233</v>
      </c>
      <c r="F5695" s="18" t="s">
        <v>105</v>
      </c>
      <c r="G5695" s="18" t="s">
        <v>48</v>
      </c>
      <c r="H5695" s="24">
        <v>35350</v>
      </c>
      <c r="I5695" s="24">
        <f>T_reg.root.SK[[#This Row],[Volume, kg]]/1000</f>
        <v>35.35</v>
      </c>
      <c r="J5695" s="25">
        <v>0.19159999999999999</v>
      </c>
      <c r="K5695" s="25">
        <f t="shared" si="89"/>
        <v>6773.0599999999995</v>
      </c>
      <c r="L5695" s="25">
        <v>1.68</v>
      </c>
      <c r="M5695" s="24">
        <v>59217</v>
      </c>
      <c r="N5695" s="25">
        <f>IFERROR(T_reg.root.SK[[#This Row],[Price]]/T_reg.root.SK[[#This Row],[Starch content]],"")</f>
        <v>8.7682672233820451</v>
      </c>
    </row>
    <row r="5696" spans="1:14">
      <c r="A5696" s="21">
        <v>2025</v>
      </c>
      <c r="B5696" s="21" t="s">
        <v>22</v>
      </c>
      <c r="C5696" s="21" t="s">
        <v>1145</v>
      </c>
      <c r="D5696" s="21" t="s">
        <v>39</v>
      </c>
      <c r="E5696" s="17" t="s">
        <v>284</v>
      </c>
      <c r="F5696" s="18" t="s">
        <v>285</v>
      </c>
      <c r="G5696" s="18" t="s">
        <v>286</v>
      </c>
      <c r="H5696" s="24">
        <v>1345870</v>
      </c>
      <c r="I5696" s="24">
        <f>T_reg.root.SK[[#This Row],[Volume, kg]]/1000</f>
        <v>1345.87</v>
      </c>
      <c r="J5696" s="25">
        <v>0.22</v>
      </c>
      <c r="K5696" s="25">
        <f t="shared" si="89"/>
        <v>296091.40000000002</v>
      </c>
      <c r="L5696" s="25">
        <v>1.99</v>
      </c>
      <c r="M5696" s="24">
        <v>2678178</v>
      </c>
      <c r="N5696" s="25">
        <f>IFERROR(T_reg.root.SK[[#This Row],[Price]]/T_reg.root.SK[[#This Row],[Starch content]],"")</f>
        <v>9.045454545454545</v>
      </c>
    </row>
    <row r="5697" spans="1:14">
      <c r="A5697" s="21">
        <v>2025</v>
      </c>
      <c r="B5697" s="21" t="s">
        <v>22</v>
      </c>
      <c r="C5697" s="21" t="s">
        <v>1145</v>
      </c>
      <c r="D5697" s="21" t="s">
        <v>35</v>
      </c>
      <c r="E5697" s="17" t="s">
        <v>194</v>
      </c>
      <c r="F5697" s="18" t="s">
        <v>187</v>
      </c>
      <c r="G5697" s="18" t="s">
        <v>48</v>
      </c>
      <c r="H5697" s="24">
        <v>9850</v>
      </c>
      <c r="I5697" s="24">
        <f>T_reg.root.SK[[#This Row],[Volume, kg]]/1000</f>
        <v>9.85</v>
      </c>
      <c r="J5697" s="25">
        <v>0.22649999999999998</v>
      </c>
      <c r="K5697" s="25">
        <f t="shared" si="89"/>
        <v>2231.0249999999996</v>
      </c>
      <c r="L5697" s="25">
        <v>1.85</v>
      </c>
      <c r="M5697" s="24">
        <v>18222.5</v>
      </c>
      <c r="N5697" s="25">
        <f>IFERROR(T_reg.root.SK[[#This Row],[Price]]/T_reg.root.SK[[#This Row],[Starch content]],"")</f>
        <v>8.1677704194260503</v>
      </c>
    </row>
    <row r="5698" spans="1:14">
      <c r="A5698" s="21">
        <v>2025</v>
      </c>
      <c r="B5698" s="21" t="s">
        <v>22</v>
      </c>
      <c r="C5698" s="21" t="s">
        <v>1145</v>
      </c>
      <c r="D5698" s="21" t="s">
        <v>35</v>
      </c>
      <c r="E5698" s="17" t="s">
        <v>234</v>
      </c>
      <c r="F5698" s="18" t="s">
        <v>105</v>
      </c>
      <c r="G5698" s="18" t="s">
        <v>48</v>
      </c>
      <c r="H5698" s="24">
        <v>72920</v>
      </c>
      <c r="I5698" s="24">
        <f>T_reg.root.SK[[#This Row],[Volume, kg]]/1000</f>
        <v>72.92</v>
      </c>
      <c r="J5698" s="25">
        <v>0.18379999999999999</v>
      </c>
      <c r="K5698" s="25">
        <f t="shared" si="89"/>
        <v>13402.696</v>
      </c>
      <c r="L5698" s="25">
        <v>1.62</v>
      </c>
      <c r="M5698" s="24">
        <v>118253.5</v>
      </c>
      <c r="N5698" s="25">
        <f>IFERROR(T_reg.root.SK[[#This Row],[Price]]/T_reg.root.SK[[#This Row],[Starch content]],"")</f>
        <v>8.8139281828074001</v>
      </c>
    </row>
    <row r="5699" spans="1:14">
      <c r="A5699" s="21">
        <v>2025</v>
      </c>
      <c r="B5699" s="21" t="s">
        <v>22</v>
      </c>
      <c r="C5699" s="21" t="s">
        <v>1145</v>
      </c>
      <c r="D5699" s="21" t="s">
        <v>35</v>
      </c>
      <c r="E5699" s="17" t="s">
        <v>768</v>
      </c>
      <c r="F5699" s="18" t="s">
        <v>105</v>
      </c>
      <c r="G5699" s="18" t="s">
        <v>48</v>
      </c>
      <c r="H5699" s="24">
        <v>4720</v>
      </c>
      <c r="I5699" s="24">
        <f>T_reg.root.SK[[#This Row],[Volume, kg]]/1000</f>
        <v>4.72</v>
      </c>
      <c r="J5699" s="25">
        <v>0.16649999999999998</v>
      </c>
      <c r="K5699" s="25">
        <f t="shared" si="89"/>
        <v>785.87999999999988</v>
      </c>
      <c r="L5699" s="25">
        <v>1.55</v>
      </c>
      <c r="M5699" s="24">
        <v>7316</v>
      </c>
      <c r="N5699" s="25">
        <f>IFERROR(T_reg.root.SK[[#This Row],[Price]]/T_reg.root.SK[[#This Row],[Starch content]],"")</f>
        <v>9.3093093093093113</v>
      </c>
    </row>
    <row r="5700" spans="1:14">
      <c r="A5700" s="21">
        <v>2025</v>
      </c>
      <c r="B5700" s="21" t="s">
        <v>22</v>
      </c>
      <c r="C5700" s="21" t="s">
        <v>1145</v>
      </c>
      <c r="D5700" s="21" t="s">
        <v>39</v>
      </c>
      <c r="E5700" s="17" t="s">
        <v>997</v>
      </c>
      <c r="F5700" s="18" t="s">
        <v>998</v>
      </c>
      <c r="G5700" s="18" t="s">
        <v>87</v>
      </c>
      <c r="H5700" s="24">
        <v>4334310</v>
      </c>
      <c r="I5700" s="24">
        <f>T_reg.root.SK[[#This Row],[Volume, kg]]/1000</f>
        <v>4334.3100000000004</v>
      </c>
      <c r="J5700" s="25">
        <v>0.1993</v>
      </c>
      <c r="K5700" s="25">
        <f t="shared" si="89"/>
        <v>863827.98300000001</v>
      </c>
      <c r="L5700" s="25">
        <v>1.91</v>
      </c>
      <c r="M5700" s="24">
        <v>8287563.5</v>
      </c>
      <c r="N5700" s="25">
        <f>IFERROR(T_reg.root.SK[[#This Row],[Price]]/T_reg.root.SK[[#This Row],[Starch content]],"")</f>
        <v>9.5835423983943802</v>
      </c>
    </row>
    <row r="5701" spans="1:14">
      <c r="A5701" s="21">
        <v>2025</v>
      </c>
      <c r="B5701" s="21" t="s">
        <v>22</v>
      </c>
      <c r="C5701" s="21" t="s">
        <v>1145</v>
      </c>
      <c r="D5701" s="21" t="s">
        <v>35</v>
      </c>
      <c r="E5701" s="17" t="s">
        <v>1023</v>
      </c>
      <c r="F5701" s="18" t="s">
        <v>105</v>
      </c>
      <c r="G5701" s="18" t="s">
        <v>48</v>
      </c>
      <c r="H5701" s="24">
        <v>24640</v>
      </c>
      <c r="I5701" s="24">
        <f>T_reg.root.SK[[#This Row],[Volume, kg]]/1000</f>
        <v>24.64</v>
      </c>
      <c r="J5701" s="25">
        <v>0.24260000000000001</v>
      </c>
      <c r="K5701" s="25">
        <f t="shared" si="89"/>
        <v>5977.6640000000007</v>
      </c>
      <c r="L5701" s="25">
        <v>1.9</v>
      </c>
      <c r="M5701" s="24">
        <v>46896</v>
      </c>
      <c r="N5701" s="25">
        <f>IFERROR(T_reg.root.SK[[#This Row],[Price]]/T_reg.root.SK[[#This Row],[Starch content]],"")</f>
        <v>7.8318219291014008</v>
      </c>
    </row>
    <row r="5702" spans="1:14">
      <c r="A5702" s="21">
        <v>2025</v>
      </c>
      <c r="B5702" s="21" t="s">
        <v>22</v>
      </c>
      <c r="C5702" s="21" t="s">
        <v>1145</v>
      </c>
      <c r="D5702" s="21" t="s">
        <v>35</v>
      </c>
      <c r="E5702" s="17" t="s">
        <v>558</v>
      </c>
      <c r="F5702" s="18" t="s">
        <v>105</v>
      </c>
      <c r="G5702" s="18" t="s">
        <v>48</v>
      </c>
      <c r="H5702" s="24">
        <v>16450</v>
      </c>
      <c r="I5702" s="24">
        <f>T_reg.root.SK[[#This Row],[Volume, kg]]/1000</f>
        <v>16.45</v>
      </c>
      <c r="J5702" s="25">
        <v>0.1827</v>
      </c>
      <c r="K5702" s="25">
        <f t="shared" si="89"/>
        <v>3005.415</v>
      </c>
      <c r="L5702" s="25">
        <v>1.62</v>
      </c>
      <c r="M5702" s="24">
        <v>26650</v>
      </c>
      <c r="N5702" s="25">
        <f>IFERROR(T_reg.root.SK[[#This Row],[Price]]/T_reg.root.SK[[#This Row],[Starch content]],"")</f>
        <v>8.8669950738916263</v>
      </c>
    </row>
    <row r="5703" spans="1:14">
      <c r="A5703" s="21">
        <v>2025</v>
      </c>
      <c r="B5703" s="21" t="s">
        <v>22</v>
      </c>
      <c r="C5703" s="21" t="s">
        <v>1145</v>
      </c>
      <c r="D5703" s="21" t="s">
        <v>35</v>
      </c>
      <c r="E5703" s="17" t="s">
        <v>988</v>
      </c>
      <c r="F5703" s="18" t="s">
        <v>105</v>
      </c>
      <c r="G5703" s="18" t="s">
        <v>48</v>
      </c>
      <c r="H5703" s="24">
        <v>34480</v>
      </c>
      <c r="I5703" s="24">
        <f>T_reg.root.SK[[#This Row],[Volume, kg]]/1000</f>
        <v>34.479999999999997</v>
      </c>
      <c r="J5703" s="25">
        <v>0.2271</v>
      </c>
      <c r="K5703" s="25">
        <f t="shared" si="89"/>
        <v>7830.4079999999994</v>
      </c>
      <c r="L5703" s="25">
        <v>1.83</v>
      </c>
      <c r="M5703" s="24">
        <v>63158.5</v>
      </c>
      <c r="N5703" s="25">
        <f>IFERROR(T_reg.root.SK[[#This Row],[Price]]/T_reg.root.SK[[#This Row],[Starch content]],"")</f>
        <v>8.0581241743725229</v>
      </c>
    </row>
    <row r="5704" spans="1:14">
      <c r="A5704" s="21">
        <v>2025</v>
      </c>
      <c r="B5704" s="21" t="s">
        <v>22</v>
      </c>
      <c r="C5704" s="21" t="s">
        <v>1145</v>
      </c>
      <c r="D5704" s="21" t="s">
        <v>35</v>
      </c>
      <c r="E5704" s="17" t="s">
        <v>235</v>
      </c>
      <c r="F5704" s="18" t="s">
        <v>105</v>
      </c>
      <c r="G5704" s="18" t="s">
        <v>48</v>
      </c>
      <c r="H5704" s="24">
        <v>137860</v>
      </c>
      <c r="I5704" s="24">
        <f>T_reg.root.SK[[#This Row],[Volume, kg]]/1000</f>
        <v>137.86000000000001</v>
      </c>
      <c r="J5704" s="25">
        <v>0.23430000000000001</v>
      </c>
      <c r="K5704" s="25">
        <f t="shared" si="89"/>
        <v>32300.598000000002</v>
      </c>
      <c r="L5704" s="25">
        <v>1.87</v>
      </c>
      <c r="M5704" s="24">
        <v>257702</v>
      </c>
      <c r="N5704" s="25">
        <f>IFERROR(T_reg.root.SK[[#This Row],[Price]]/T_reg.root.SK[[#This Row],[Starch content]],"")</f>
        <v>7.9812206572769959</v>
      </c>
    </row>
    <row r="5705" spans="1:14">
      <c r="A5705" s="21">
        <v>2025</v>
      </c>
      <c r="B5705" s="21" t="s">
        <v>22</v>
      </c>
      <c r="C5705" s="21" t="s">
        <v>1145</v>
      </c>
      <c r="D5705" s="21" t="s">
        <v>35</v>
      </c>
      <c r="E5705" s="17" t="s">
        <v>681</v>
      </c>
      <c r="F5705" s="18" t="s">
        <v>95</v>
      </c>
      <c r="G5705" s="18" t="s">
        <v>48</v>
      </c>
      <c r="H5705" s="24">
        <v>38230</v>
      </c>
      <c r="I5705" s="24">
        <f>T_reg.root.SK[[#This Row],[Volume, kg]]/1000</f>
        <v>38.229999999999997</v>
      </c>
      <c r="J5705" s="25">
        <v>0.19359999999999999</v>
      </c>
      <c r="K5705" s="25">
        <f t="shared" si="89"/>
        <v>7401.3279999999995</v>
      </c>
      <c r="L5705" s="25">
        <v>1.66</v>
      </c>
      <c r="M5705" s="24">
        <v>63597</v>
      </c>
      <c r="N5705" s="25">
        <f>IFERROR(T_reg.root.SK[[#This Row],[Price]]/T_reg.root.SK[[#This Row],[Starch content]],"")</f>
        <v>8.5743801652892557</v>
      </c>
    </row>
    <row r="5706" spans="1:14">
      <c r="A5706" s="21">
        <v>2025</v>
      </c>
      <c r="B5706" s="21" t="s">
        <v>22</v>
      </c>
      <c r="C5706" s="21" t="s">
        <v>1145</v>
      </c>
      <c r="D5706" s="21" t="s">
        <v>39</v>
      </c>
      <c r="E5706" s="17" t="s">
        <v>797</v>
      </c>
      <c r="F5706" s="18" t="s">
        <v>798</v>
      </c>
      <c r="G5706" s="18" t="s">
        <v>799</v>
      </c>
      <c r="H5706" s="24">
        <v>626560</v>
      </c>
      <c r="I5706" s="24">
        <f>T_reg.root.SK[[#This Row],[Volume, kg]]/1000</f>
        <v>626.55999999999995</v>
      </c>
      <c r="J5706" s="25">
        <v>0.16390000000000002</v>
      </c>
      <c r="K5706" s="25">
        <f t="shared" si="89"/>
        <v>102693.18400000001</v>
      </c>
      <c r="L5706" s="25">
        <v>1.72</v>
      </c>
      <c r="M5706" s="24">
        <v>1078423</v>
      </c>
      <c r="N5706" s="25">
        <f>IFERROR(T_reg.root.SK[[#This Row],[Price]]/T_reg.root.SK[[#This Row],[Starch content]],"")</f>
        <v>10.494203782794386</v>
      </c>
    </row>
    <row r="5707" spans="1:14">
      <c r="A5707" s="21">
        <v>2025</v>
      </c>
      <c r="B5707" s="21" t="s">
        <v>22</v>
      </c>
      <c r="C5707" s="21" t="s">
        <v>1145</v>
      </c>
      <c r="D5707" s="21" t="s">
        <v>35</v>
      </c>
      <c r="E5707" s="17" t="s">
        <v>974</v>
      </c>
      <c r="F5707" s="18" t="s">
        <v>105</v>
      </c>
      <c r="G5707" s="18" t="s">
        <v>48</v>
      </c>
      <c r="H5707" s="24">
        <v>136510</v>
      </c>
      <c r="I5707" s="24">
        <f>T_reg.root.SK[[#This Row],[Volume, kg]]/1000</f>
        <v>136.51</v>
      </c>
      <c r="J5707" s="25">
        <v>0.21289999999999998</v>
      </c>
      <c r="K5707" s="25">
        <f t="shared" si="89"/>
        <v>29062.978999999996</v>
      </c>
      <c r="L5707" s="25">
        <v>1.76</v>
      </c>
      <c r="M5707" s="24">
        <v>240418</v>
      </c>
      <c r="N5707" s="25">
        <f>IFERROR(T_reg.root.SK[[#This Row],[Price]]/T_reg.root.SK[[#This Row],[Starch content]],"")</f>
        <v>8.2667919210897143</v>
      </c>
    </row>
    <row r="5708" spans="1:14">
      <c r="A5708" s="21">
        <v>2025</v>
      </c>
      <c r="B5708" s="21" t="s">
        <v>22</v>
      </c>
      <c r="C5708" s="21" t="s">
        <v>1145</v>
      </c>
      <c r="D5708" s="21" t="s">
        <v>35</v>
      </c>
      <c r="E5708" s="17" t="s">
        <v>115</v>
      </c>
      <c r="F5708" s="18" t="s">
        <v>105</v>
      </c>
      <c r="G5708" s="18" t="s">
        <v>48</v>
      </c>
      <c r="H5708" s="24">
        <v>106630</v>
      </c>
      <c r="I5708" s="24">
        <f>T_reg.root.SK[[#This Row],[Volume, kg]]/1000</f>
        <v>106.63</v>
      </c>
      <c r="J5708" s="25">
        <v>0.22469999999999998</v>
      </c>
      <c r="K5708" s="25">
        <f t="shared" si="89"/>
        <v>23959.760999999999</v>
      </c>
      <c r="L5708" s="25">
        <v>1.82</v>
      </c>
      <c r="M5708" s="24">
        <v>194371</v>
      </c>
      <c r="N5708" s="25">
        <f>IFERROR(T_reg.root.SK[[#This Row],[Price]]/T_reg.root.SK[[#This Row],[Starch content]],"")</f>
        <v>8.0996884735202492</v>
      </c>
    </row>
    <row r="5709" spans="1:14">
      <c r="A5709" s="21">
        <v>2025</v>
      </c>
      <c r="B5709" s="21" t="s">
        <v>22</v>
      </c>
      <c r="C5709" s="21" t="s">
        <v>1145</v>
      </c>
      <c r="D5709" s="21" t="s">
        <v>35</v>
      </c>
      <c r="E5709" s="17" t="s">
        <v>116</v>
      </c>
      <c r="F5709" s="18" t="s">
        <v>105</v>
      </c>
      <c r="G5709" s="18" t="s">
        <v>48</v>
      </c>
      <c r="H5709" s="24">
        <v>9420</v>
      </c>
      <c r="I5709" s="24">
        <f>T_reg.root.SK[[#This Row],[Volume, kg]]/1000</f>
        <v>9.42</v>
      </c>
      <c r="J5709" s="25">
        <v>0.16149999999999998</v>
      </c>
      <c r="K5709" s="25">
        <f t="shared" si="89"/>
        <v>1521.3299999999997</v>
      </c>
      <c r="L5709" s="25">
        <v>1.5</v>
      </c>
      <c r="M5709" s="24">
        <v>14130</v>
      </c>
      <c r="N5709" s="25">
        <f>IFERROR(T_reg.root.SK[[#This Row],[Price]]/T_reg.root.SK[[#This Row],[Starch content]],"")</f>
        <v>9.2879256965944279</v>
      </c>
    </row>
    <row r="5710" spans="1:14">
      <c r="A5710" s="21">
        <v>2025</v>
      </c>
      <c r="B5710" s="21" t="s">
        <v>22</v>
      </c>
      <c r="C5710" s="21" t="s">
        <v>1145</v>
      </c>
      <c r="D5710" s="21" t="s">
        <v>35</v>
      </c>
      <c r="E5710" s="17" t="s">
        <v>296</v>
      </c>
      <c r="F5710" s="18" t="s">
        <v>105</v>
      </c>
      <c r="G5710" s="18" t="s">
        <v>48</v>
      </c>
      <c r="H5710" s="24">
        <v>201860</v>
      </c>
      <c r="I5710" s="24">
        <f>T_reg.root.SK[[#This Row],[Volume, kg]]/1000</f>
        <v>201.86</v>
      </c>
      <c r="J5710" s="25">
        <v>0.20280000000000001</v>
      </c>
      <c r="K5710" s="25">
        <f t="shared" si="89"/>
        <v>40937.207999999999</v>
      </c>
      <c r="L5710" s="25">
        <v>1.71</v>
      </c>
      <c r="M5710" s="24">
        <v>345569</v>
      </c>
      <c r="N5710" s="25">
        <f>IFERROR(T_reg.root.SK[[#This Row],[Price]]/T_reg.root.SK[[#This Row],[Starch content]],"")</f>
        <v>8.4319526627218924</v>
      </c>
    </row>
    <row r="5711" spans="1:14">
      <c r="A5711" s="21">
        <v>2025</v>
      </c>
      <c r="B5711" s="21" t="s">
        <v>22</v>
      </c>
      <c r="C5711" s="21" t="s">
        <v>1145</v>
      </c>
      <c r="D5711" s="21" t="s">
        <v>39</v>
      </c>
      <c r="E5711" s="17" t="s">
        <v>782</v>
      </c>
      <c r="F5711" s="18" t="s">
        <v>783</v>
      </c>
      <c r="G5711" s="18" t="s">
        <v>87</v>
      </c>
      <c r="H5711" s="24">
        <v>775610</v>
      </c>
      <c r="I5711" s="24">
        <f>T_reg.root.SK[[#This Row],[Volume, kg]]/1000</f>
        <v>775.61</v>
      </c>
      <c r="J5711" s="25">
        <v>0.16469999999999999</v>
      </c>
      <c r="K5711" s="25">
        <f t="shared" ref="K5711:K5774" si="90">H5711*J5711</f>
        <v>127742.96699999999</v>
      </c>
      <c r="L5711" s="25">
        <v>1.72</v>
      </c>
      <c r="M5711" s="24">
        <v>1331680.5</v>
      </c>
      <c r="N5711" s="25">
        <f>IFERROR(T_reg.root.SK[[#This Row],[Price]]/T_reg.root.SK[[#This Row],[Starch content]],"")</f>
        <v>10.443230115361263</v>
      </c>
    </row>
    <row r="5712" spans="1:14">
      <c r="A5712" s="21">
        <v>2025</v>
      </c>
      <c r="B5712" s="21" t="s">
        <v>22</v>
      </c>
      <c r="C5712" s="21" t="s">
        <v>1145</v>
      </c>
      <c r="D5712" s="21" t="s">
        <v>35</v>
      </c>
      <c r="E5712" s="17" t="s">
        <v>462</v>
      </c>
      <c r="F5712" s="18" t="s">
        <v>47</v>
      </c>
      <c r="G5712" s="18" t="s">
        <v>48</v>
      </c>
      <c r="H5712" s="24">
        <v>7700</v>
      </c>
      <c r="I5712" s="24">
        <f>T_reg.root.SK[[#This Row],[Volume, kg]]/1000</f>
        <v>7.7</v>
      </c>
      <c r="J5712" s="25">
        <v>0.20800000000000002</v>
      </c>
      <c r="K5712" s="25">
        <f t="shared" si="90"/>
        <v>1601.6000000000001</v>
      </c>
      <c r="L5712" s="25">
        <v>1.75</v>
      </c>
      <c r="M5712" s="24">
        <v>13475</v>
      </c>
      <c r="N5712" s="25">
        <f>IFERROR(T_reg.root.SK[[#This Row],[Price]]/T_reg.root.SK[[#This Row],[Starch content]],"")</f>
        <v>8.4134615384615383</v>
      </c>
    </row>
    <row r="5713" spans="1:14">
      <c r="A5713" s="21">
        <v>2025</v>
      </c>
      <c r="B5713" s="21" t="s">
        <v>22</v>
      </c>
      <c r="C5713" s="21" t="s">
        <v>1145</v>
      </c>
      <c r="D5713" s="21" t="s">
        <v>35</v>
      </c>
      <c r="E5713" s="17" t="s">
        <v>118</v>
      </c>
      <c r="F5713" s="18" t="s">
        <v>105</v>
      </c>
      <c r="G5713" s="18" t="s">
        <v>48</v>
      </c>
      <c r="H5713" s="24">
        <v>329380</v>
      </c>
      <c r="I5713" s="24">
        <f>T_reg.root.SK[[#This Row],[Volume, kg]]/1000</f>
        <v>329.38</v>
      </c>
      <c r="J5713" s="25">
        <v>0.20039999999999999</v>
      </c>
      <c r="K5713" s="25">
        <f t="shared" si="90"/>
        <v>66007.751999999993</v>
      </c>
      <c r="L5713" s="25">
        <v>1.7</v>
      </c>
      <c r="M5713" s="24">
        <v>560044</v>
      </c>
      <c r="N5713" s="25">
        <f>IFERROR(T_reg.root.SK[[#This Row],[Price]]/T_reg.root.SK[[#This Row],[Starch content]],"")</f>
        <v>8.4830339321357293</v>
      </c>
    </row>
    <row r="5714" spans="1:14">
      <c r="A5714" s="21">
        <v>2025</v>
      </c>
      <c r="B5714" s="21" t="s">
        <v>22</v>
      </c>
      <c r="C5714" s="21" t="s">
        <v>1145</v>
      </c>
      <c r="D5714" s="21" t="s">
        <v>35</v>
      </c>
      <c r="E5714" s="17" t="s">
        <v>119</v>
      </c>
      <c r="F5714" s="18" t="s">
        <v>105</v>
      </c>
      <c r="G5714" s="18" t="s">
        <v>48</v>
      </c>
      <c r="H5714" s="24">
        <v>24070</v>
      </c>
      <c r="I5714" s="24">
        <f>T_reg.root.SK[[#This Row],[Volume, kg]]/1000</f>
        <v>24.07</v>
      </c>
      <c r="J5714" s="25">
        <v>0.2195</v>
      </c>
      <c r="K5714" s="25">
        <f t="shared" si="90"/>
        <v>5283.3649999999998</v>
      </c>
      <c r="L5714" s="25">
        <v>1.8</v>
      </c>
      <c r="M5714" s="24">
        <v>43321</v>
      </c>
      <c r="N5714" s="25">
        <f>IFERROR(T_reg.root.SK[[#This Row],[Price]]/T_reg.root.SK[[#This Row],[Starch content]],"")</f>
        <v>8.2004555808656043</v>
      </c>
    </row>
    <row r="5715" spans="1:14">
      <c r="A5715" s="21">
        <v>2025</v>
      </c>
      <c r="B5715" s="21" t="s">
        <v>22</v>
      </c>
      <c r="C5715" s="21" t="s">
        <v>1145</v>
      </c>
      <c r="D5715" s="21" t="s">
        <v>39</v>
      </c>
      <c r="E5715" s="17" t="s">
        <v>101</v>
      </c>
      <c r="F5715" s="18" t="s">
        <v>102</v>
      </c>
      <c r="G5715" s="18" t="s">
        <v>103</v>
      </c>
      <c r="H5715" s="24">
        <v>2533550</v>
      </c>
      <c r="I5715" s="24">
        <f>T_reg.root.SK[[#This Row],[Volume, kg]]/1000</f>
        <v>2533.5500000000002</v>
      </c>
      <c r="J5715" s="25">
        <v>0.19829999999999998</v>
      </c>
      <c r="K5715" s="25">
        <f t="shared" si="90"/>
        <v>502402.96499999997</v>
      </c>
      <c r="L5715" s="25">
        <v>1.87</v>
      </c>
      <c r="M5715" s="24">
        <v>4726806.5</v>
      </c>
      <c r="N5715" s="25">
        <f>IFERROR(T_reg.root.SK[[#This Row],[Price]]/T_reg.root.SK[[#This Row],[Starch content]],"")</f>
        <v>9.430156328794757</v>
      </c>
    </row>
    <row r="5716" spans="1:14">
      <c r="A5716" s="21">
        <v>2025</v>
      </c>
      <c r="B5716" s="21" t="s">
        <v>22</v>
      </c>
      <c r="C5716" s="21" t="s">
        <v>1145</v>
      </c>
      <c r="D5716" s="21" t="s">
        <v>35</v>
      </c>
      <c r="E5716" s="17" t="s">
        <v>122</v>
      </c>
      <c r="F5716" s="18" t="s">
        <v>105</v>
      </c>
      <c r="G5716" s="18" t="s">
        <v>48</v>
      </c>
      <c r="H5716" s="24">
        <v>177070</v>
      </c>
      <c r="I5716" s="24">
        <f>T_reg.root.SK[[#This Row],[Volume, kg]]/1000</f>
        <v>177.07</v>
      </c>
      <c r="J5716" s="25">
        <v>0.20309999999999997</v>
      </c>
      <c r="K5716" s="25">
        <f t="shared" si="90"/>
        <v>35962.916999999994</v>
      </c>
      <c r="L5716" s="25">
        <v>1.72</v>
      </c>
      <c r="M5716" s="24">
        <v>304383.5</v>
      </c>
      <c r="N5716" s="25">
        <f>IFERROR(T_reg.root.SK[[#This Row],[Price]]/T_reg.root.SK[[#This Row],[Starch content]],"")</f>
        <v>8.4687346134908914</v>
      </c>
    </row>
    <row r="5717" spans="1:14">
      <c r="A5717" s="21">
        <v>2025</v>
      </c>
      <c r="B5717" s="21" t="s">
        <v>22</v>
      </c>
      <c r="C5717" s="21" t="s">
        <v>1145</v>
      </c>
      <c r="D5717" s="21" t="s">
        <v>39</v>
      </c>
      <c r="E5717" s="17" t="s">
        <v>98</v>
      </c>
      <c r="F5717" s="18" t="s">
        <v>99</v>
      </c>
      <c r="G5717" s="18" t="s">
        <v>42</v>
      </c>
      <c r="H5717" s="24">
        <v>7504630</v>
      </c>
      <c r="I5717" s="24">
        <f>T_reg.root.SK[[#This Row],[Volume, kg]]/1000</f>
        <v>7504.63</v>
      </c>
      <c r="J5717" s="25">
        <v>0.18420000000000003</v>
      </c>
      <c r="K5717" s="25">
        <f t="shared" si="90"/>
        <v>1382352.8460000001</v>
      </c>
      <c r="L5717" s="25">
        <v>1.83</v>
      </c>
      <c r="M5717" s="24">
        <v>13746086</v>
      </c>
      <c r="N5717" s="25">
        <f>IFERROR(T_reg.root.SK[[#This Row],[Price]]/T_reg.root.SK[[#This Row],[Starch content]],"")</f>
        <v>9.9348534201954379</v>
      </c>
    </row>
    <row r="5718" spans="1:14">
      <c r="A5718" s="21">
        <v>2025</v>
      </c>
      <c r="B5718" s="21" t="s">
        <v>22</v>
      </c>
      <c r="C5718" s="21" t="s">
        <v>1145</v>
      </c>
      <c r="D5718" s="21" t="s">
        <v>39</v>
      </c>
      <c r="E5718" s="17" t="s">
        <v>346</v>
      </c>
      <c r="F5718" s="18" t="s">
        <v>99</v>
      </c>
      <c r="G5718" s="18" t="s">
        <v>42</v>
      </c>
      <c r="H5718" s="24">
        <v>3977360</v>
      </c>
      <c r="I5718" s="24">
        <f>T_reg.root.SK[[#This Row],[Volume, kg]]/1000</f>
        <v>3977.36</v>
      </c>
      <c r="J5718" s="25">
        <v>0.18170000000000003</v>
      </c>
      <c r="K5718" s="25">
        <f t="shared" si="90"/>
        <v>722686.31200000015</v>
      </c>
      <c r="L5718" s="25">
        <v>1.79</v>
      </c>
      <c r="M5718" s="24">
        <v>7112484.5</v>
      </c>
      <c r="N5718" s="25">
        <f>IFERROR(T_reg.root.SK[[#This Row],[Price]]/T_reg.root.SK[[#This Row],[Starch content]],"")</f>
        <v>9.851403412217941</v>
      </c>
    </row>
    <row r="5719" spans="1:14">
      <c r="A5719" s="21">
        <v>2025</v>
      </c>
      <c r="B5719" s="21" t="s">
        <v>22</v>
      </c>
      <c r="C5719" s="21" t="s">
        <v>1145</v>
      </c>
      <c r="D5719" s="21" t="s">
        <v>35</v>
      </c>
      <c r="E5719" s="17" t="s">
        <v>735</v>
      </c>
      <c r="F5719" s="18" t="s">
        <v>105</v>
      </c>
      <c r="G5719" s="18" t="s">
        <v>48</v>
      </c>
      <c r="H5719" s="24">
        <v>51950</v>
      </c>
      <c r="I5719" s="24">
        <f>T_reg.root.SK[[#This Row],[Volume, kg]]/1000</f>
        <v>51.95</v>
      </c>
      <c r="J5719" s="25">
        <v>0.1971</v>
      </c>
      <c r="K5719" s="25">
        <f t="shared" si="90"/>
        <v>10239.344999999999</v>
      </c>
      <c r="L5719" s="25">
        <v>1.68</v>
      </c>
      <c r="M5719" s="24">
        <v>87327</v>
      </c>
      <c r="N5719" s="25">
        <f>IFERROR(T_reg.root.SK[[#This Row],[Price]]/T_reg.root.SK[[#This Row],[Starch content]],"")</f>
        <v>8.5235920852359204</v>
      </c>
    </row>
    <row r="5720" spans="1:14">
      <c r="A5720" s="21">
        <v>2025</v>
      </c>
      <c r="B5720" s="21" t="s">
        <v>22</v>
      </c>
      <c r="C5720" s="21" t="s">
        <v>1145</v>
      </c>
      <c r="D5720" s="21" t="s">
        <v>35</v>
      </c>
      <c r="E5720" s="17" t="s">
        <v>826</v>
      </c>
      <c r="F5720" s="18" t="s">
        <v>105</v>
      </c>
      <c r="G5720" s="18" t="s">
        <v>48</v>
      </c>
      <c r="H5720" s="24">
        <v>64440</v>
      </c>
      <c r="I5720" s="24">
        <f>T_reg.root.SK[[#This Row],[Volume, kg]]/1000</f>
        <v>64.44</v>
      </c>
      <c r="J5720" s="25">
        <v>0.20370000000000002</v>
      </c>
      <c r="K5720" s="25">
        <f t="shared" si="90"/>
        <v>13126.428000000002</v>
      </c>
      <c r="L5720" s="25">
        <v>1.72</v>
      </c>
      <c r="M5720" s="24">
        <v>110654</v>
      </c>
      <c r="N5720" s="25">
        <f>IFERROR(T_reg.root.SK[[#This Row],[Price]]/T_reg.root.SK[[#This Row],[Starch content]],"")</f>
        <v>8.4437898870888546</v>
      </c>
    </row>
    <row r="5721" spans="1:14">
      <c r="A5721" s="21">
        <v>2025</v>
      </c>
      <c r="B5721" s="21" t="s">
        <v>22</v>
      </c>
      <c r="C5721" s="21" t="s">
        <v>1145</v>
      </c>
      <c r="D5721" s="21" t="s">
        <v>35</v>
      </c>
      <c r="E5721" s="17" t="s">
        <v>946</v>
      </c>
      <c r="F5721" s="18" t="s">
        <v>105</v>
      </c>
      <c r="G5721" s="18" t="s">
        <v>48</v>
      </c>
      <c r="H5721" s="24">
        <v>63600</v>
      </c>
      <c r="I5721" s="24">
        <f>T_reg.root.SK[[#This Row],[Volume, kg]]/1000</f>
        <v>63.6</v>
      </c>
      <c r="J5721" s="25">
        <v>0.22039999999999998</v>
      </c>
      <c r="K5721" s="25">
        <f t="shared" si="90"/>
        <v>14017.439999999999</v>
      </c>
      <c r="L5721" s="25">
        <v>1.81</v>
      </c>
      <c r="M5721" s="24">
        <v>114994.5</v>
      </c>
      <c r="N5721" s="25">
        <f>IFERROR(T_reg.root.SK[[#This Row],[Price]]/T_reg.root.SK[[#This Row],[Starch content]],"")</f>
        <v>8.212341197822143</v>
      </c>
    </row>
    <row r="5722" spans="1:14">
      <c r="A5722" s="21">
        <v>2025</v>
      </c>
      <c r="B5722" s="21" t="s">
        <v>22</v>
      </c>
      <c r="C5722" s="21" t="s">
        <v>1145</v>
      </c>
      <c r="D5722" s="21" t="s">
        <v>35</v>
      </c>
      <c r="E5722" s="17" t="s">
        <v>975</v>
      </c>
      <c r="F5722" s="18" t="s">
        <v>105</v>
      </c>
      <c r="G5722" s="18" t="s">
        <v>48</v>
      </c>
      <c r="H5722" s="24">
        <v>264130</v>
      </c>
      <c r="I5722" s="24">
        <f>T_reg.root.SK[[#This Row],[Volume, kg]]/1000</f>
        <v>264.13</v>
      </c>
      <c r="J5722" s="25">
        <v>0.20039999999999999</v>
      </c>
      <c r="K5722" s="25">
        <f t="shared" si="90"/>
        <v>52931.652000000002</v>
      </c>
      <c r="L5722" s="25">
        <v>1.7</v>
      </c>
      <c r="M5722" s="24">
        <v>449145.5</v>
      </c>
      <c r="N5722" s="25">
        <f>IFERROR(T_reg.root.SK[[#This Row],[Price]]/T_reg.root.SK[[#This Row],[Starch content]],"")</f>
        <v>8.4830339321357293</v>
      </c>
    </row>
    <row r="5723" spans="1:14">
      <c r="A5723" s="21">
        <v>2025</v>
      </c>
      <c r="B5723" s="21" t="s">
        <v>22</v>
      </c>
      <c r="C5723" s="21" t="s">
        <v>1145</v>
      </c>
      <c r="D5723" s="21" t="s">
        <v>35</v>
      </c>
      <c r="E5723" s="17" t="s">
        <v>239</v>
      </c>
      <c r="F5723" s="18" t="s">
        <v>105</v>
      </c>
      <c r="G5723" s="18" t="s">
        <v>48</v>
      </c>
      <c r="H5723" s="24">
        <v>45910</v>
      </c>
      <c r="I5723" s="24">
        <f>T_reg.root.SK[[#This Row],[Volume, kg]]/1000</f>
        <v>45.91</v>
      </c>
      <c r="J5723" s="25">
        <v>0.16399999999999998</v>
      </c>
      <c r="K5723" s="25">
        <f t="shared" si="90"/>
        <v>7529.2399999999989</v>
      </c>
      <c r="L5723" s="25">
        <v>1.51</v>
      </c>
      <c r="M5723" s="24">
        <v>69394.5</v>
      </c>
      <c r="N5723" s="25">
        <f>IFERROR(T_reg.root.SK[[#This Row],[Price]]/T_reg.root.SK[[#This Row],[Starch content]],"")</f>
        <v>9.2073170731707332</v>
      </c>
    </row>
    <row r="5724" spans="1:14">
      <c r="A5724" s="21">
        <v>2025</v>
      </c>
      <c r="B5724" s="21" t="s">
        <v>22</v>
      </c>
      <c r="C5724" s="21" t="s">
        <v>1145</v>
      </c>
      <c r="D5724" s="21" t="s">
        <v>35</v>
      </c>
      <c r="E5724" s="17" t="s">
        <v>124</v>
      </c>
      <c r="F5724" s="18" t="s">
        <v>105</v>
      </c>
      <c r="G5724" s="18" t="s">
        <v>48</v>
      </c>
      <c r="H5724" s="24">
        <v>53370</v>
      </c>
      <c r="I5724" s="24">
        <f>T_reg.root.SK[[#This Row],[Volume, kg]]/1000</f>
        <v>53.37</v>
      </c>
      <c r="J5724" s="25">
        <v>0.19409999999999999</v>
      </c>
      <c r="K5724" s="25">
        <f t="shared" si="90"/>
        <v>10359.117</v>
      </c>
      <c r="L5724" s="25">
        <v>1.67</v>
      </c>
      <c r="M5724" s="24">
        <v>89027.5</v>
      </c>
      <c r="N5724" s="25">
        <f>IFERROR(T_reg.root.SK[[#This Row],[Price]]/T_reg.root.SK[[#This Row],[Starch content]],"")</f>
        <v>8.6038124678001022</v>
      </c>
    </row>
    <row r="5725" spans="1:14">
      <c r="A5725" s="21">
        <v>2025</v>
      </c>
      <c r="B5725" s="21" t="s">
        <v>22</v>
      </c>
      <c r="C5725" s="21" t="s">
        <v>1145</v>
      </c>
      <c r="D5725" s="21" t="s">
        <v>35</v>
      </c>
      <c r="E5725" s="17" t="s">
        <v>57</v>
      </c>
      <c r="F5725" s="18" t="s">
        <v>47</v>
      </c>
      <c r="G5725" s="18" t="s">
        <v>48</v>
      </c>
      <c r="H5725" s="24">
        <v>25110</v>
      </c>
      <c r="I5725" s="24">
        <f>T_reg.root.SK[[#This Row],[Volume, kg]]/1000</f>
        <v>25.11</v>
      </c>
      <c r="J5725" s="25">
        <v>0.18870000000000001</v>
      </c>
      <c r="K5725" s="25">
        <f t="shared" si="90"/>
        <v>4738.2570000000005</v>
      </c>
      <c r="L5725" s="25">
        <v>1.63</v>
      </c>
      <c r="M5725" s="24">
        <v>41049</v>
      </c>
      <c r="N5725" s="25">
        <f>IFERROR(T_reg.root.SK[[#This Row],[Price]]/T_reg.root.SK[[#This Row],[Starch content]],"")</f>
        <v>8.6380498145204019</v>
      </c>
    </row>
    <row r="5726" spans="1:14">
      <c r="A5726" s="21">
        <v>2025</v>
      </c>
      <c r="B5726" s="21" t="s">
        <v>22</v>
      </c>
      <c r="C5726" s="21" t="s">
        <v>1145</v>
      </c>
      <c r="D5726" s="21" t="s">
        <v>35</v>
      </c>
      <c r="E5726" s="17" t="s">
        <v>487</v>
      </c>
      <c r="F5726" s="18" t="s">
        <v>105</v>
      </c>
      <c r="G5726" s="18" t="s">
        <v>48</v>
      </c>
      <c r="H5726" s="24">
        <v>40890</v>
      </c>
      <c r="I5726" s="24">
        <f>T_reg.root.SK[[#This Row],[Volume, kg]]/1000</f>
        <v>40.89</v>
      </c>
      <c r="J5726" s="25">
        <v>0.18809999999999999</v>
      </c>
      <c r="K5726" s="25">
        <f t="shared" si="90"/>
        <v>7691.4089999999997</v>
      </c>
      <c r="L5726" s="25">
        <v>1.64</v>
      </c>
      <c r="M5726" s="24">
        <v>66952.5</v>
      </c>
      <c r="N5726" s="25">
        <f>IFERROR(T_reg.root.SK[[#This Row],[Price]]/T_reg.root.SK[[#This Row],[Starch content]],"")</f>
        <v>8.7187666135034547</v>
      </c>
    </row>
    <row r="5727" spans="1:14">
      <c r="A5727" s="21">
        <v>2025</v>
      </c>
      <c r="B5727" s="21" t="s">
        <v>22</v>
      </c>
      <c r="C5727" s="21" t="s">
        <v>1145</v>
      </c>
      <c r="D5727" s="21" t="s">
        <v>35</v>
      </c>
      <c r="E5727" s="17" t="s">
        <v>379</v>
      </c>
      <c r="F5727" s="18" t="s">
        <v>47</v>
      </c>
      <c r="G5727" s="18" t="s">
        <v>48</v>
      </c>
      <c r="H5727" s="24">
        <v>10000</v>
      </c>
      <c r="I5727" s="24">
        <f>T_reg.root.SK[[#This Row],[Volume, kg]]/1000</f>
        <v>10</v>
      </c>
      <c r="J5727" s="25">
        <v>0.21030000000000001</v>
      </c>
      <c r="K5727" s="25">
        <f t="shared" si="90"/>
        <v>2103</v>
      </c>
      <c r="L5727" s="25">
        <v>1.76</v>
      </c>
      <c r="M5727" s="24">
        <v>17613</v>
      </c>
      <c r="N5727" s="25">
        <f>IFERROR(T_reg.root.SK[[#This Row],[Price]]/T_reg.root.SK[[#This Row],[Starch content]],"")</f>
        <v>8.3689966714217778</v>
      </c>
    </row>
    <row r="5728" spans="1:14">
      <c r="A5728" s="21">
        <v>2025</v>
      </c>
      <c r="B5728" s="21" t="s">
        <v>22</v>
      </c>
      <c r="C5728" s="21" t="s">
        <v>1145</v>
      </c>
      <c r="D5728" s="21" t="s">
        <v>35</v>
      </c>
      <c r="E5728" s="17" t="s">
        <v>125</v>
      </c>
      <c r="F5728" s="18" t="s">
        <v>105</v>
      </c>
      <c r="G5728" s="18" t="s">
        <v>48</v>
      </c>
      <c r="H5728" s="24">
        <v>17620</v>
      </c>
      <c r="I5728" s="24">
        <f>T_reg.root.SK[[#This Row],[Volume, kg]]/1000</f>
        <v>17.62</v>
      </c>
      <c r="J5728" s="25">
        <v>0.24199999999999999</v>
      </c>
      <c r="K5728" s="25">
        <f t="shared" si="90"/>
        <v>4264.04</v>
      </c>
      <c r="L5728" s="25">
        <v>1.92</v>
      </c>
      <c r="M5728" s="24">
        <v>33847</v>
      </c>
      <c r="N5728" s="25">
        <f>IFERROR(T_reg.root.SK[[#This Row],[Price]]/T_reg.root.SK[[#This Row],[Starch content]],"")</f>
        <v>7.9338842975206614</v>
      </c>
    </row>
    <row r="5729" spans="1:14">
      <c r="A5729" s="21">
        <v>2025</v>
      </c>
      <c r="B5729" s="21" t="s">
        <v>22</v>
      </c>
      <c r="C5729" s="21" t="s">
        <v>1145</v>
      </c>
      <c r="D5729" s="21" t="s">
        <v>35</v>
      </c>
      <c r="E5729" s="17" t="s">
        <v>977</v>
      </c>
      <c r="F5729" s="18" t="s">
        <v>105</v>
      </c>
      <c r="G5729" s="18" t="s">
        <v>48</v>
      </c>
      <c r="H5729" s="24">
        <v>62980</v>
      </c>
      <c r="I5729" s="24">
        <f>T_reg.root.SK[[#This Row],[Volume, kg]]/1000</f>
        <v>62.98</v>
      </c>
      <c r="J5729" s="25">
        <v>0.1736</v>
      </c>
      <c r="K5729" s="25">
        <f t="shared" si="90"/>
        <v>10933.328</v>
      </c>
      <c r="L5729" s="25">
        <v>1.58</v>
      </c>
      <c r="M5729" s="24">
        <v>99259</v>
      </c>
      <c r="N5729" s="25">
        <f>IFERROR(T_reg.root.SK[[#This Row],[Price]]/T_reg.root.SK[[#This Row],[Starch content]],"")</f>
        <v>9.1013824884792633</v>
      </c>
    </row>
    <row r="5730" spans="1:14">
      <c r="A5730" s="21">
        <v>2025</v>
      </c>
      <c r="B5730" s="21" t="s">
        <v>22</v>
      </c>
      <c r="C5730" s="21" t="s">
        <v>1145</v>
      </c>
      <c r="D5730" s="21" t="s">
        <v>35</v>
      </c>
      <c r="E5730" s="17" t="s">
        <v>736</v>
      </c>
      <c r="F5730" s="18" t="s">
        <v>105</v>
      </c>
      <c r="G5730" s="18" t="s">
        <v>48</v>
      </c>
      <c r="H5730" s="24">
        <v>304540</v>
      </c>
      <c r="I5730" s="24">
        <f>T_reg.root.SK[[#This Row],[Volume, kg]]/1000</f>
        <v>304.54000000000002</v>
      </c>
      <c r="J5730" s="25">
        <v>0.21780000000000002</v>
      </c>
      <c r="K5730" s="25">
        <f t="shared" si="90"/>
        <v>66328.812000000005</v>
      </c>
      <c r="L5730" s="25">
        <v>1.79</v>
      </c>
      <c r="M5730" s="24">
        <v>544907.5</v>
      </c>
      <c r="N5730" s="25">
        <f>IFERROR(T_reg.root.SK[[#This Row],[Price]]/T_reg.root.SK[[#This Row],[Starch content]],"")</f>
        <v>8.2185491276400366</v>
      </c>
    </row>
    <row r="5731" spans="1:14">
      <c r="A5731" s="21">
        <v>2025</v>
      </c>
      <c r="B5731" s="21" t="s">
        <v>22</v>
      </c>
      <c r="C5731" s="21" t="s">
        <v>1145</v>
      </c>
      <c r="D5731" s="21" t="s">
        <v>35</v>
      </c>
      <c r="E5731" s="17" t="s">
        <v>465</v>
      </c>
      <c r="F5731" s="18" t="s">
        <v>47</v>
      </c>
      <c r="G5731" s="18" t="s">
        <v>48</v>
      </c>
      <c r="H5731" s="24">
        <v>55050</v>
      </c>
      <c r="I5731" s="24">
        <f>T_reg.root.SK[[#This Row],[Volume, kg]]/1000</f>
        <v>55.05</v>
      </c>
      <c r="J5731" s="25">
        <v>0.2321</v>
      </c>
      <c r="K5731" s="25">
        <f t="shared" si="90"/>
        <v>12777.105</v>
      </c>
      <c r="L5731" s="25">
        <v>1.87</v>
      </c>
      <c r="M5731" s="24">
        <v>103071.5</v>
      </c>
      <c r="N5731" s="25">
        <f>IFERROR(T_reg.root.SK[[#This Row],[Price]]/T_reg.root.SK[[#This Row],[Starch content]],"")</f>
        <v>8.0568720379146921</v>
      </c>
    </row>
    <row r="5732" spans="1:14">
      <c r="A5732" s="21">
        <v>2025</v>
      </c>
      <c r="B5732" s="21" t="s">
        <v>22</v>
      </c>
      <c r="C5732" s="21" t="s">
        <v>1145</v>
      </c>
      <c r="D5732" s="21" t="s">
        <v>35</v>
      </c>
      <c r="E5732" s="17" t="s">
        <v>58</v>
      </c>
      <c r="F5732" s="18" t="s">
        <v>47</v>
      </c>
      <c r="G5732" s="18" t="s">
        <v>48</v>
      </c>
      <c r="H5732" s="24">
        <v>52720</v>
      </c>
      <c r="I5732" s="24">
        <f>T_reg.root.SK[[#This Row],[Volume, kg]]/1000</f>
        <v>52.72</v>
      </c>
      <c r="J5732" s="25">
        <v>0.19969999999999999</v>
      </c>
      <c r="K5732" s="25">
        <f t="shared" si="90"/>
        <v>10528.183999999999</v>
      </c>
      <c r="L5732" s="25">
        <v>1.7</v>
      </c>
      <c r="M5732" s="24">
        <v>89568.5</v>
      </c>
      <c r="N5732" s="25">
        <f>IFERROR(T_reg.root.SK[[#This Row],[Price]]/T_reg.root.SK[[#This Row],[Starch content]],"")</f>
        <v>8.5127691537305967</v>
      </c>
    </row>
    <row r="5733" spans="1:14">
      <c r="A5733" s="21">
        <v>2025</v>
      </c>
      <c r="B5733" s="21" t="s">
        <v>22</v>
      </c>
      <c r="C5733" s="21" t="s">
        <v>1145</v>
      </c>
      <c r="D5733" s="21" t="s">
        <v>35</v>
      </c>
      <c r="E5733" s="17" t="s">
        <v>126</v>
      </c>
      <c r="F5733" s="18" t="s">
        <v>105</v>
      </c>
      <c r="G5733" s="18" t="s">
        <v>48</v>
      </c>
      <c r="H5733" s="24">
        <v>3140</v>
      </c>
      <c r="I5733" s="24">
        <f>T_reg.root.SK[[#This Row],[Volume, kg]]/1000</f>
        <v>3.14</v>
      </c>
      <c r="J5733" s="25">
        <v>0.22949999999999998</v>
      </c>
      <c r="K5733" s="25">
        <f t="shared" si="90"/>
        <v>720.63</v>
      </c>
      <c r="L5733" s="25">
        <v>1.85</v>
      </c>
      <c r="M5733" s="24">
        <v>5809</v>
      </c>
      <c r="N5733" s="25">
        <f>IFERROR(T_reg.root.SK[[#This Row],[Price]]/T_reg.root.SK[[#This Row],[Starch content]],"")</f>
        <v>8.0610021786492378</v>
      </c>
    </row>
    <row r="5734" spans="1:14">
      <c r="A5734" s="21">
        <v>2025</v>
      </c>
      <c r="B5734" s="21" t="s">
        <v>22</v>
      </c>
      <c r="C5734" s="21" t="s">
        <v>1145</v>
      </c>
      <c r="D5734" s="21" t="s">
        <v>35</v>
      </c>
      <c r="E5734" s="17" t="s">
        <v>590</v>
      </c>
      <c r="F5734" s="18" t="s">
        <v>187</v>
      </c>
      <c r="G5734" s="18" t="s">
        <v>48</v>
      </c>
      <c r="H5734" s="24">
        <v>59910</v>
      </c>
      <c r="I5734" s="24">
        <f>T_reg.root.SK[[#This Row],[Volume, kg]]/1000</f>
        <v>59.91</v>
      </c>
      <c r="J5734" s="25">
        <v>0.26250000000000001</v>
      </c>
      <c r="K5734" s="25">
        <f t="shared" si="90"/>
        <v>15726.375</v>
      </c>
      <c r="L5734" s="25">
        <v>2.0099999999999998</v>
      </c>
      <c r="M5734" s="24">
        <v>120697</v>
      </c>
      <c r="N5734" s="25">
        <f>IFERROR(T_reg.root.SK[[#This Row],[Price]]/T_reg.root.SK[[#This Row],[Starch content]],"")</f>
        <v>7.6571428571428557</v>
      </c>
    </row>
    <row r="5735" spans="1:14">
      <c r="A5735" s="21">
        <v>2025</v>
      </c>
      <c r="B5735" s="21" t="s">
        <v>22</v>
      </c>
      <c r="C5735" s="21" t="s">
        <v>1145</v>
      </c>
      <c r="D5735" s="21" t="s">
        <v>35</v>
      </c>
      <c r="E5735" s="17" t="s">
        <v>337</v>
      </c>
      <c r="F5735" s="18" t="s">
        <v>47</v>
      </c>
      <c r="G5735" s="18" t="s">
        <v>48</v>
      </c>
      <c r="H5735" s="24">
        <v>20050</v>
      </c>
      <c r="I5735" s="24">
        <f>T_reg.root.SK[[#This Row],[Volume, kg]]/1000</f>
        <v>20.05</v>
      </c>
      <c r="J5735" s="25">
        <v>0.2261</v>
      </c>
      <c r="K5735" s="25">
        <f t="shared" si="90"/>
        <v>4533.3050000000003</v>
      </c>
      <c r="L5735" s="25">
        <v>1.83</v>
      </c>
      <c r="M5735" s="24">
        <v>36611</v>
      </c>
      <c r="N5735" s="25">
        <f>IFERROR(T_reg.root.SK[[#This Row],[Price]]/T_reg.root.SK[[#This Row],[Starch content]],"")</f>
        <v>8.0937638213180012</v>
      </c>
    </row>
    <row r="5736" spans="1:14">
      <c r="A5736" s="21">
        <v>2025</v>
      </c>
      <c r="B5736" s="21" t="s">
        <v>22</v>
      </c>
      <c r="C5736" s="21" t="s">
        <v>1145</v>
      </c>
      <c r="D5736" s="21" t="s">
        <v>35</v>
      </c>
      <c r="E5736" s="17" t="s">
        <v>521</v>
      </c>
      <c r="F5736" s="18" t="s">
        <v>187</v>
      </c>
      <c r="G5736" s="18" t="s">
        <v>48</v>
      </c>
      <c r="H5736" s="24">
        <v>92900</v>
      </c>
      <c r="I5736" s="24">
        <f>T_reg.root.SK[[#This Row],[Volume, kg]]/1000</f>
        <v>92.9</v>
      </c>
      <c r="J5736" s="25">
        <v>0.21190000000000001</v>
      </c>
      <c r="K5736" s="25">
        <f t="shared" si="90"/>
        <v>19685.510000000002</v>
      </c>
      <c r="L5736" s="25">
        <v>1.76</v>
      </c>
      <c r="M5736" s="24">
        <v>163765</v>
      </c>
      <c r="N5736" s="25">
        <f>IFERROR(T_reg.root.SK[[#This Row],[Price]]/T_reg.root.SK[[#This Row],[Starch content]],"")</f>
        <v>8.3058046248230291</v>
      </c>
    </row>
    <row r="5737" spans="1:14">
      <c r="A5737" s="21">
        <v>2025</v>
      </c>
      <c r="B5737" s="21" t="s">
        <v>22</v>
      </c>
      <c r="C5737" s="21" t="s">
        <v>1145</v>
      </c>
      <c r="D5737" s="21" t="s">
        <v>35</v>
      </c>
      <c r="E5737" s="17" t="s">
        <v>264</v>
      </c>
      <c r="F5737" s="18" t="s">
        <v>187</v>
      </c>
      <c r="G5737" s="18" t="s">
        <v>48</v>
      </c>
      <c r="H5737" s="24">
        <v>40980</v>
      </c>
      <c r="I5737" s="24">
        <f>T_reg.root.SK[[#This Row],[Volume, kg]]/1000</f>
        <v>40.98</v>
      </c>
      <c r="J5737" s="25">
        <v>0.2021</v>
      </c>
      <c r="K5737" s="25">
        <f t="shared" si="90"/>
        <v>8282.0580000000009</v>
      </c>
      <c r="L5737" s="25">
        <v>1.71</v>
      </c>
      <c r="M5737" s="24">
        <v>70153</v>
      </c>
      <c r="N5737" s="25">
        <f>IFERROR(T_reg.root.SK[[#This Row],[Price]]/T_reg.root.SK[[#This Row],[Starch content]],"")</f>
        <v>8.4611578426521525</v>
      </c>
    </row>
    <row r="5738" spans="1:14">
      <c r="A5738" s="21">
        <v>2025</v>
      </c>
      <c r="B5738" s="21" t="s">
        <v>22</v>
      </c>
      <c r="C5738" s="21" t="s">
        <v>1145</v>
      </c>
      <c r="D5738" s="21" t="s">
        <v>35</v>
      </c>
      <c r="E5738" s="17" t="s">
        <v>602</v>
      </c>
      <c r="F5738" s="18" t="s">
        <v>105</v>
      </c>
      <c r="G5738" s="18" t="s">
        <v>48</v>
      </c>
      <c r="H5738" s="24">
        <v>31460</v>
      </c>
      <c r="I5738" s="24">
        <f>T_reg.root.SK[[#This Row],[Volume, kg]]/1000</f>
        <v>31.46</v>
      </c>
      <c r="J5738" s="25">
        <v>0.18579999999999999</v>
      </c>
      <c r="K5738" s="25">
        <f t="shared" si="90"/>
        <v>5845.268</v>
      </c>
      <c r="L5738" s="25">
        <v>1.63</v>
      </c>
      <c r="M5738" s="24">
        <v>51126.5</v>
      </c>
      <c r="N5738" s="25">
        <f>IFERROR(T_reg.root.SK[[#This Row],[Price]]/T_reg.root.SK[[#This Row],[Starch content]],"")</f>
        <v>8.7728740581270177</v>
      </c>
    </row>
    <row r="5739" spans="1:14">
      <c r="A5739" s="21">
        <v>2025</v>
      </c>
      <c r="B5739" s="21" t="s">
        <v>22</v>
      </c>
      <c r="C5739" s="21" t="s">
        <v>1145</v>
      </c>
      <c r="D5739" s="21" t="s">
        <v>35</v>
      </c>
      <c r="E5739" s="17" t="s">
        <v>129</v>
      </c>
      <c r="F5739" s="18" t="s">
        <v>105</v>
      </c>
      <c r="G5739" s="18" t="s">
        <v>48</v>
      </c>
      <c r="H5739" s="24">
        <v>31590</v>
      </c>
      <c r="I5739" s="24">
        <f>T_reg.root.SK[[#This Row],[Volume, kg]]/1000</f>
        <v>31.59</v>
      </c>
      <c r="J5739" s="25">
        <v>0.20879999999999999</v>
      </c>
      <c r="K5739" s="25">
        <f t="shared" si="90"/>
        <v>6595.9919999999993</v>
      </c>
      <c r="L5739" s="25">
        <v>1.75</v>
      </c>
      <c r="M5739" s="24">
        <v>55220.5</v>
      </c>
      <c r="N5739" s="25">
        <f>IFERROR(T_reg.root.SK[[#This Row],[Price]]/T_reg.root.SK[[#This Row],[Starch content]],"")</f>
        <v>8.381226053639848</v>
      </c>
    </row>
    <row r="5740" spans="1:14">
      <c r="A5740" s="21">
        <v>2025</v>
      </c>
      <c r="B5740" s="21" t="s">
        <v>22</v>
      </c>
      <c r="C5740" s="21" t="s">
        <v>1145</v>
      </c>
      <c r="D5740" s="21" t="s">
        <v>35</v>
      </c>
      <c r="E5740" s="17" t="s">
        <v>131</v>
      </c>
      <c r="F5740" s="18" t="s">
        <v>105</v>
      </c>
      <c r="G5740" s="18" t="s">
        <v>48</v>
      </c>
      <c r="H5740" s="24">
        <v>27650</v>
      </c>
      <c r="I5740" s="24">
        <f>T_reg.root.SK[[#This Row],[Volume, kg]]/1000</f>
        <v>27.65</v>
      </c>
      <c r="J5740" s="25">
        <v>0.2339</v>
      </c>
      <c r="K5740" s="25">
        <f t="shared" si="90"/>
        <v>6467.335</v>
      </c>
      <c r="L5740" s="25">
        <v>1.87</v>
      </c>
      <c r="M5740" s="24">
        <v>51726.5</v>
      </c>
      <c r="N5740" s="25">
        <f>IFERROR(T_reg.root.SK[[#This Row],[Price]]/T_reg.root.SK[[#This Row],[Starch content]],"")</f>
        <v>7.9948696023941865</v>
      </c>
    </row>
    <row r="5741" spans="1:14">
      <c r="A5741" s="21">
        <v>2025</v>
      </c>
      <c r="B5741" s="21" t="s">
        <v>22</v>
      </c>
      <c r="C5741" s="21" t="s">
        <v>1145</v>
      </c>
      <c r="D5741" s="21" t="s">
        <v>35</v>
      </c>
      <c r="E5741" s="17" t="s">
        <v>523</v>
      </c>
      <c r="F5741" s="18" t="s">
        <v>187</v>
      </c>
      <c r="G5741" s="18" t="s">
        <v>48</v>
      </c>
      <c r="H5741" s="24">
        <v>38660</v>
      </c>
      <c r="I5741" s="24">
        <f>T_reg.root.SK[[#This Row],[Volume, kg]]/1000</f>
        <v>38.659999999999997</v>
      </c>
      <c r="J5741" s="25">
        <v>0.19390000000000002</v>
      </c>
      <c r="K5741" s="25">
        <f t="shared" si="90"/>
        <v>7496.1740000000009</v>
      </c>
      <c r="L5741" s="25">
        <v>1.67</v>
      </c>
      <c r="M5741" s="24">
        <v>64622</v>
      </c>
      <c r="N5741" s="25">
        <f>IFERROR(T_reg.root.SK[[#This Row],[Price]]/T_reg.root.SK[[#This Row],[Starch content]],"")</f>
        <v>8.6126869520371319</v>
      </c>
    </row>
    <row r="5742" spans="1:14">
      <c r="A5742" s="21">
        <v>2025</v>
      </c>
      <c r="B5742" s="21" t="s">
        <v>22</v>
      </c>
      <c r="C5742" s="21" t="s">
        <v>1145</v>
      </c>
      <c r="D5742" s="21" t="s">
        <v>35</v>
      </c>
      <c r="E5742" s="17" t="s">
        <v>548</v>
      </c>
      <c r="F5742" s="18" t="s">
        <v>47</v>
      </c>
      <c r="G5742" s="18" t="s">
        <v>48</v>
      </c>
      <c r="H5742" s="24">
        <v>9630</v>
      </c>
      <c r="I5742" s="24">
        <f>T_reg.root.SK[[#This Row],[Volume, kg]]/1000</f>
        <v>9.6300000000000008</v>
      </c>
      <c r="J5742" s="25">
        <v>0.22850000000000001</v>
      </c>
      <c r="K5742" s="25">
        <f t="shared" si="90"/>
        <v>2200.4549999999999</v>
      </c>
      <c r="L5742" s="25">
        <v>1.85</v>
      </c>
      <c r="M5742" s="24">
        <v>17815.5</v>
      </c>
      <c r="N5742" s="25">
        <f>IFERROR(T_reg.root.SK[[#This Row],[Price]]/T_reg.root.SK[[#This Row],[Starch content]],"")</f>
        <v>8.0962800875273526</v>
      </c>
    </row>
    <row r="5743" spans="1:14">
      <c r="A5743" s="21">
        <v>2025</v>
      </c>
      <c r="B5743" s="21" t="s">
        <v>22</v>
      </c>
      <c r="C5743" s="21" t="s">
        <v>1145</v>
      </c>
      <c r="D5743" s="21" t="s">
        <v>35</v>
      </c>
      <c r="E5743" s="17" t="s">
        <v>489</v>
      </c>
      <c r="F5743" s="18" t="s">
        <v>105</v>
      </c>
      <c r="G5743" s="18" t="s">
        <v>48</v>
      </c>
      <c r="H5743" s="24">
        <v>13790</v>
      </c>
      <c r="I5743" s="24">
        <f>T_reg.root.SK[[#This Row],[Volume, kg]]/1000</f>
        <v>13.79</v>
      </c>
      <c r="J5743" s="25">
        <v>0.23600000000000002</v>
      </c>
      <c r="K5743" s="25">
        <f t="shared" si="90"/>
        <v>3254.44</v>
      </c>
      <c r="L5743" s="25">
        <v>1.87</v>
      </c>
      <c r="M5743" s="24">
        <v>25854</v>
      </c>
      <c r="N5743" s="25">
        <f>IFERROR(T_reg.root.SK[[#This Row],[Price]]/T_reg.root.SK[[#This Row],[Starch content]],"")</f>
        <v>7.9237288135593218</v>
      </c>
    </row>
    <row r="5744" spans="1:14">
      <c r="A5744" s="21">
        <v>2025</v>
      </c>
      <c r="B5744" s="21" t="s">
        <v>22</v>
      </c>
      <c r="C5744" s="21" t="s">
        <v>1145</v>
      </c>
      <c r="D5744" s="21" t="s">
        <v>35</v>
      </c>
      <c r="E5744" s="17" t="s">
        <v>603</v>
      </c>
      <c r="F5744" s="18" t="s">
        <v>105</v>
      </c>
      <c r="G5744" s="18" t="s">
        <v>48</v>
      </c>
      <c r="H5744" s="24">
        <v>6750</v>
      </c>
      <c r="I5744" s="24">
        <f>T_reg.root.SK[[#This Row],[Volume, kg]]/1000</f>
        <v>6.75</v>
      </c>
      <c r="J5744" s="25">
        <v>0.17800000000000002</v>
      </c>
      <c r="K5744" s="25">
        <f t="shared" si="90"/>
        <v>1201.5000000000002</v>
      </c>
      <c r="L5744" s="25">
        <v>1.6</v>
      </c>
      <c r="M5744" s="24">
        <v>10800</v>
      </c>
      <c r="N5744" s="25">
        <f>IFERROR(T_reg.root.SK[[#This Row],[Price]]/T_reg.root.SK[[#This Row],[Starch content]],"")</f>
        <v>8.9887640449438191</v>
      </c>
    </row>
    <row r="5745" spans="1:14">
      <c r="A5745" s="21">
        <v>2025</v>
      </c>
      <c r="B5745" s="21" t="s">
        <v>22</v>
      </c>
      <c r="C5745" s="21" t="s">
        <v>1145</v>
      </c>
      <c r="D5745" s="21" t="s">
        <v>35</v>
      </c>
      <c r="E5745" s="17" t="s">
        <v>196</v>
      </c>
      <c r="F5745" s="18" t="s">
        <v>187</v>
      </c>
      <c r="G5745" s="18" t="s">
        <v>48</v>
      </c>
      <c r="H5745" s="24">
        <v>84520</v>
      </c>
      <c r="I5745" s="24">
        <f>T_reg.root.SK[[#This Row],[Volume, kg]]/1000</f>
        <v>84.52</v>
      </c>
      <c r="J5745" s="25">
        <v>0.2036</v>
      </c>
      <c r="K5745" s="25">
        <f t="shared" si="90"/>
        <v>17208.272000000001</v>
      </c>
      <c r="L5745" s="25">
        <v>1.72</v>
      </c>
      <c r="M5745" s="24">
        <v>145157.5</v>
      </c>
      <c r="N5745" s="25">
        <f>IFERROR(T_reg.root.SK[[#This Row],[Price]]/T_reg.root.SK[[#This Row],[Starch content]],"")</f>
        <v>8.4479371316306473</v>
      </c>
    </row>
    <row r="5746" spans="1:14">
      <c r="A5746" s="21">
        <v>2025</v>
      </c>
      <c r="B5746" s="21" t="s">
        <v>22</v>
      </c>
      <c r="C5746" s="21" t="s">
        <v>1145</v>
      </c>
      <c r="D5746" s="21" t="s">
        <v>35</v>
      </c>
      <c r="E5746" s="17" t="s">
        <v>617</v>
      </c>
      <c r="F5746" s="18" t="s">
        <v>105</v>
      </c>
      <c r="G5746" s="18" t="s">
        <v>48</v>
      </c>
      <c r="H5746" s="24">
        <v>80100</v>
      </c>
      <c r="I5746" s="24">
        <f>T_reg.root.SK[[#This Row],[Volume, kg]]/1000</f>
        <v>80.099999999999994</v>
      </c>
      <c r="J5746" s="25">
        <v>0.23769999999999999</v>
      </c>
      <c r="K5746" s="25">
        <f t="shared" si="90"/>
        <v>19039.77</v>
      </c>
      <c r="L5746" s="25">
        <v>1.89</v>
      </c>
      <c r="M5746" s="24">
        <v>151600.5</v>
      </c>
      <c r="N5746" s="25">
        <f>IFERROR(T_reg.root.SK[[#This Row],[Price]]/T_reg.root.SK[[#This Row],[Starch content]],"")</f>
        <v>7.9511989903239373</v>
      </c>
    </row>
    <row r="5747" spans="1:14">
      <c r="A5747" s="21">
        <v>2025</v>
      </c>
      <c r="B5747" s="21" t="s">
        <v>22</v>
      </c>
      <c r="C5747" s="21" t="s">
        <v>1145</v>
      </c>
      <c r="D5747" s="21" t="s">
        <v>35</v>
      </c>
      <c r="E5747" s="17" t="s">
        <v>807</v>
      </c>
      <c r="F5747" s="18" t="s">
        <v>105</v>
      </c>
      <c r="G5747" s="18" t="s">
        <v>48</v>
      </c>
      <c r="H5747" s="24">
        <v>48080</v>
      </c>
      <c r="I5747" s="24">
        <f>T_reg.root.SK[[#This Row],[Volume, kg]]/1000</f>
        <v>48.08</v>
      </c>
      <c r="J5747" s="25">
        <v>0.1925</v>
      </c>
      <c r="K5747" s="25">
        <f t="shared" si="90"/>
        <v>9255.4</v>
      </c>
      <c r="L5747" s="25">
        <v>1.65</v>
      </c>
      <c r="M5747" s="24">
        <v>79261.5</v>
      </c>
      <c r="N5747" s="25">
        <f>IFERROR(T_reg.root.SK[[#This Row],[Price]]/T_reg.root.SK[[#This Row],[Starch content]],"")</f>
        <v>8.5714285714285712</v>
      </c>
    </row>
    <row r="5748" spans="1:14">
      <c r="A5748" s="21">
        <v>2025</v>
      </c>
      <c r="B5748" s="21" t="s">
        <v>22</v>
      </c>
      <c r="C5748" s="21" t="s">
        <v>1145</v>
      </c>
      <c r="D5748" s="21" t="s">
        <v>35</v>
      </c>
      <c r="E5748" s="17" t="s">
        <v>1009</v>
      </c>
      <c r="F5748" s="18" t="s">
        <v>105</v>
      </c>
      <c r="G5748" s="18" t="s">
        <v>48</v>
      </c>
      <c r="H5748" s="24">
        <v>2820</v>
      </c>
      <c r="I5748" s="24">
        <f>T_reg.root.SK[[#This Row],[Volume, kg]]/1000</f>
        <v>2.82</v>
      </c>
      <c r="J5748" s="25">
        <v>0.20949999999999999</v>
      </c>
      <c r="K5748" s="25">
        <f t="shared" si="90"/>
        <v>590.79</v>
      </c>
      <c r="L5748" s="25">
        <v>1.75</v>
      </c>
      <c r="M5748" s="24">
        <v>4935</v>
      </c>
      <c r="N5748" s="25">
        <f>IFERROR(T_reg.root.SK[[#This Row],[Price]]/T_reg.root.SK[[#This Row],[Starch content]],"")</f>
        <v>8.3532219570405726</v>
      </c>
    </row>
    <row r="5749" spans="1:14">
      <c r="A5749" s="21">
        <v>2025</v>
      </c>
      <c r="B5749" s="21" t="s">
        <v>22</v>
      </c>
      <c r="C5749" s="21" t="s">
        <v>1145</v>
      </c>
      <c r="D5749" s="21" t="s">
        <v>35</v>
      </c>
      <c r="E5749" s="17" t="s">
        <v>61</v>
      </c>
      <c r="F5749" s="18" t="s">
        <v>47</v>
      </c>
      <c r="G5749" s="18" t="s">
        <v>48</v>
      </c>
      <c r="H5749" s="24">
        <v>9920</v>
      </c>
      <c r="I5749" s="24">
        <f>T_reg.root.SK[[#This Row],[Volume, kg]]/1000</f>
        <v>9.92</v>
      </c>
      <c r="J5749" s="25">
        <v>0.15</v>
      </c>
      <c r="K5749" s="25">
        <f t="shared" si="90"/>
        <v>1488</v>
      </c>
      <c r="L5749" s="25">
        <v>1.45</v>
      </c>
      <c r="M5749" s="24">
        <v>14384</v>
      </c>
      <c r="N5749" s="25">
        <f>IFERROR(T_reg.root.SK[[#This Row],[Price]]/T_reg.root.SK[[#This Row],[Starch content]],"")</f>
        <v>9.6666666666666661</v>
      </c>
    </row>
    <row r="5750" spans="1:14">
      <c r="A5750" s="21">
        <v>2025</v>
      </c>
      <c r="B5750" s="21" t="s">
        <v>22</v>
      </c>
      <c r="C5750" s="21" t="s">
        <v>1145</v>
      </c>
      <c r="D5750" s="21" t="s">
        <v>35</v>
      </c>
      <c r="E5750" s="17" t="s">
        <v>755</v>
      </c>
      <c r="F5750" s="18" t="s">
        <v>105</v>
      </c>
      <c r="G5750" s="18" t="s">
        <v>48</v>
      </c>
      <c r="H5750" s="24">
        <v>28290</v>
      </c>
      <c r="I5750" s="24">
        <f>T_reg.root.SK[[#This Row],[Volume, kg]]/1000</f>
        <v>28.29</v>
      </c>
      <c r="J5750" s="25">
        <v>0.19539999999999999</v>
      </c>
      <c r="K5750" s="25">
        <f t="shared" si="90"/>
        <v>5527.866</v>
      </c>
      <c r="L5750" s="25">
        <v>1.67</v>
      </c>
      <c r="M5750" s="24">
        <v>47310</v>
      </c>
      <c r="N5750" s="25">
        <f>IFERROR(T_reg.root.SK[[#This Row],[Price]]/T_reg.root.SK[[#This Row],[Starch content]],"")</f>
        <v>8.5465711361310142</v>
      </c>
    </row>
    <row r="5751" spans="1:14">
      <c r="A5751" s="21">
        <v>2025</v>
      </c>
      <c r="B5751" s="21" t="s">
        <v>22</v>
      </c>
      <c r="C5751" s="21" t="s">
        <v>1145</v>
      </c>
      <c r="D5751" s="21" t="s">
        <v>35</v>
      </c>
      <c r="E5751" s="17" t="s">
        <v>524</v>
      </c>
      <c r="F5751" s="18" t="s">
        <v>187</v>
      </c>
      <c r="G5751" s="18" t="s">
        <v>48</v>
      </c>
      <c r="H5751" s="24">
        <v>0</v>
      </c>
      <c r="I5751" s="24">
        <f>T_reg.root.SK[[#This Row],[Volume, kg]]/1000</f>
        <v>0</v>
      </c>
      <c r="J5751" s="25">
        <v>0</v>
      </c>
      <c r="K5751" s="25">
        <f t="shared" si="90"/>
        <v>0</v>
      </c>
      <c r="L5751" s="25">
        <v>0</v>
      </c>
      <c r="M5751" s="24">
        <v>0</v>
      </c>
      <c r="N5751" s="25" t="str">
        <f>IFERROR(T_reg.root.SK[[#This Row],[Price]]/T_reg.root.SK[[#This Row],[Starch content]],"")</f>
        <v/>
      </c>
    </row>
    <row r="5752" spans="1:14">
      <c r="A5752" s="21">
        <v>2025</v>
      </c>
      <c r="B5752" s="21" t="s">
        <v>22</v>
      </c>
      <c r="C5752" s="21" t="s">
        <v>1145</v>
      </c>
      <c r="D5752" s="21" t="s">
        <v>35</v>
      </c>
      <c r="E5752" s="17" t="s">
        <v>525</v>
      </c>
      <c r="F5752" s="18" t="s">
        <v>187</v>
      </c>
      <c r="G5752" s="18" t="s">
        <v>48</v>
      </c>
      <c r="H5752" s="24">
        <v>12190</v>
      </c>
      <c r="I5752" s="24">
        <f>T_reg.root.SK[[#This Row],[Volume, kg]]/1000</f>
        <v>12.19</v>
      </c>
      <c r="J5752" s="25">
        <v>0.20480000000000001</v>
      </c>
      <c r="K5752" s="25">
        <f t="shared" si="90"/>
        <v>2496.5120000000002</v>
      </c>
      <c r="L5752" s="25">
        <v>1.73</v>
      </c>
      <c r="M5752" s="24">
        <v>21113</v>
      </c>
      <c r="N5752" s="25">
        <f>IFERROR(T_reg.root.SK[[#This Row],[Price]]/T_reg.root.SK[[#This Row],[Starch content]],"")</f>
        <v>8.447265625</v>
      </c>
    </row>
    <row r="5753" spans="1:14">
      <c r="A5753" s="21">
        <v>2025</v>
      </c>
      <c r="B5753" s="21" t="s">
        <v>22</v>
      </c>
      <c r="C5753" s="21" t="s">
        <v>1145</v>
      </c>
      <c r="D5753" s="21" t="s">
        <v>35</v>
      </c>
      <c r="E5753" s="17" t="s">
        <v>591</v>
      </c>
      <c r="F5753" s="18" t="s">
        <v>187</v>
      </c>
      <c r="G5753" s="18" t="s">
        <v>48</v>
      </c>
      <c r="H5753" s="24">
        <v>4950</v>
      </c>
      <c r="I5753" s="24">
        <f>T_reg.root.SK[[#This Row],[Volume, kg]]/1000</f>
        <v>4.95</v>
      </c>
      <c r="J5753" s="25">
        <v>0.16500000000000001</v>
      </c>
      <c r="K5753" s="25">
        <f t="shared" si="90"/>
        <v>816.75</v>
      </c>
      <c r="L5753" s="25">
        <v>1.55</v>
      </c>
      <c r="M5753" s="24">
        <v>7672.5</v>
      </c>
      <c r="N5753" s="25">
        <f>IFERROR(T_reg.root.SK[[#This Row],[Price]]/T_reg.root.SK[[#This Row],[Starch content]],"")</f>
        <v>9.3939393939393945</v>
      </c>
    </row>
    <row r="5754" spans="1:14">
      <c r="A5754" s="21">
        <v>2025</v>
      </c>
      <c r="B5754" s="21" t="s">
        <v>22</v>
      </c>
      <c r="C5754" s="21" t="s">
        <v>1145</v>
      </c>
      <c r="D5754" s="21" t="s">
        <v>35</v>
      </c>
      <c r="E5754" s="17" t="s">
        <v>301</v>
      </c>
      <c r="F5754" s="18" t="s">
        <v>105</v>
      </c>
      <c r="G5754" s="18" t="s">
        <v>48</v>
      </c>
      <c r="H5754" s="24">
        <v>45480</v>
      </c>
      <c r="I5754" s="24">
        <f>T_reg.root.SK[[#This Row],[Volume, kg]]/1000</f>
        <v>45.48</v>
      </c>
      <c r="J5754" s="25">
        <v>0.1855</v>
      </c>
      <c r="K5754" s="25">
        <f t="shared" si="90"/>
        <v>8436.5399999999991</v>
      </c>
      <c r="L5754" s="25">
        <v>1.63</v>
      </c>
      <c r="M5754" s="24">
        <v>74069.5</v>
      </c>
      <c r="N5754" s="25">
        <f>IFERROR(T_reg.root.SK[[#This Row],[Price]]/T_reg.root.SK[[#This Row],[Starch content]],"")</f>
        <v>8.7870619946091644</v>
      </c>
    </row>
    <row r="5755" spans="1:14">
      <c r="A5755" s="21">
        <v>2025</v>
      </c>
      <c r="B5755" s="21" t="s">
        <v>22</v>
      </c>
      <c r="C5755" s="21" t="s">
        <v>1145</v>
      </c>
      <c r="D5755" s="21" t="s">
        <v>35</v>
      </c>
      <c r="E5755" s="17" t="s">
        <v>372</v>
      </c>
      <c r="F5755" s="18" t="s">
        <v>187</v>
      </c>
      <c r="G5755" s="18" t="s">
        <v>48</v>
      </c>
      <c r="H5755" s="24">
        <v>0</v>
      </c>
      <c r="I5755" s="24">
        <f>T_reg.root.SK[[#This Row],[Volume, kg]]/1000</f>
        <v>0</v>
      </c>
      <c r="J5755" s="25">
        <v>0</v>
      </c>
      <c r="K5755" s="25">
        <f t="shared" si="90"/>
        <v>0</v>
      </c>
      <c r="L5755" s="25">
        <v>0</v>
      </c>
      <c r="M5755" s="24">
        <v>0</v>
      </c>
      <c r="N5755" s="25" t="str">
        <f>IFERROR(T_reg.root.SK[[#This Row],[Price]]/T_reg.root.SK[[#This Row],[Starch content]],"")</f>
        <v/>
      </c>
    </row>
    <row r="5756" spans="1:14">
      <c r="A5756" s="21">
        <v>2025</v>
      </c>
      <c r="B5756" s="21" t="s">
        <v>22</v>
      </c>
      <c r="C5756" s="21" t="s">
        <v>1145</v>
      </c>
      <c r="D5756" s="21" t="s">
        <v>35</v>
      </c>
      <c r="E5756" s="17" t="s">
        <v>389</v>
      </c>
      <c r="F5756" s="18" t="s">
        <v>92</v>
      </c>
      <c r="G5756" s="18" t="s">
        <v>48</v>
      </c>
      <c r="H5756" s="24">
        <v>70970</v>
      </c>
      <c r="I5756" s="24">
        <f>T_reg.root.SK[[#This Row],[Volume, kg]]/1000</f>
        <v>70.97</v>
      </c>
      <c r="J5756" s="25">
        <v>0.20319999999999999</v>
      </c>
      <c r="K5756" s="25">
        <f t="shared" si="90"/>
        <v>14421.103999999999</v>
      </c>
      <c r="L5756" s="25">
        <v>1.71</v>
      </c>
      <c r="M5756" s="24">
        <v>121543</v>
      </c>
      <c r="N5756" s="25">
        <f>IFERROR(T_reg.root.SK[[#This Row],[Price]]/T_reg.root.SK[[#This Row],[Starch content]],"")</f>
        <v>8.4153543307086611</v>
      </c>
    </row>
    <row r="5757" spans="1:14">
      <c r="A5757" s="21">
        <v>2025</v>
      </c>
      <c r="B5757" s="21" t="s">
        <v>22</v>
      </c>
      <c r="C5757" s="21" t="s">
        <v>1145</v>
      </c>
      <c r="D5757" s="21" t="s">
        <v>35</v>
      </c>
      <c r="E5757" s="17" t="s">
        <v>932</v>
      </c>
      <c r="F5757" s="18" t="s">
        <v>105</v>
      </c>
      <c r="G5757" s="18" t="s">
        <v>48</v>
      </c>
      <c r="H5757" s="24">
        <v>11330</v>
      </c>
      <c r="I5757" s="24">
        <f>T_reg.root.SK[[#This Row],[Volume, kg]]/1000</f>
        <v>11.33</v>
      </c>
      <c r="J5757" s="25">
        <v>0.18049999999999999</v>
      </c>
      <c r="K5757" s="25">
        <f t="shared" si="90"/>
        <v>2045.0649999999998</v>
      </c>
      <c r="L5757" s="25">
        <v>1.6</v>
      </c>
      <c r="M5757" s="24">
        <v>18128</v>
      </c>
      <c r="N5757" s="25">
        <f>IFERROR(T_reg.root.SK[[#This Row],[Price]]/T_reg.root.SK[[#This Row],[Starch content]],"")</f>
        <v>8.86426592797784</v>
      </c>
    </row>
    <row r="5758" spans="1:14">
      <c r="A5758" s="21">
        <v>2025</v>
      </c>
      <c r="B5758" s="21" t="s">
        <v>22</v>
      </c>
      <c r="C5758" s="21" t="s">
        <v>1145</v>
      </c>
      <c r="D5758" s="21" t="s">
        <v>35</v>
      </c>
      <c r="E5758" s="17" t="s">
        <v>972</v>
      </c>
      <c r="F5758" s="18" t="s">
        <v>973</v>
      </c>
      <c r="G5758" s="18" t="s">
        <v>48</v>
      </c>
      <c r="H5758" s="24">
        <v>89100</v>
      </c>
      <c r="I5758" s="24">
        <f>T_reg.root.SK[[#This Row],[Volume, kg]]/1000</f>
        <v>89.1</v>
      </c>
      <c r="J5758" s="25">
        <v>0.19539999999999999</v>
      </c>
      <c r="K5758" s="25">
        <f t="shared" si="90"/>
        <v>17410.14</v>
      </c>
      <c r="L5758" s="25">
        <v>1.69</v>
      </c>
      <c r="M5758" s="24">
        <v>150365</v>
      </c>
      <c r="N5758" s="25">
        <f>IFERROR(T_reg.root.SK[[#This Row],[Price]]/T_reg.root.SK[[#This Row],[Starch content]],"")</f>
        <v>8.6489252814739004</v>
      </c>
    </row>
    <row r="5759" spans="1:14">
      <c r="A5759" s="21">
        <v>2025</v>
      </c>
      <c r="B5759" s="21" t="s">
        <v>22</v>
      </c>
      <c r="C5759" s="21" t="s">
        <v>1145</v>
      </c>
      <c r="D5759" s="21" t="s">
        <v>35</v>
      </c>
      <c r="E5759" s="17" t="s">
        <v>1024</v>
      </c>
      <c r="F5759" s="18" t="s">
        <v>105</v>
      </c>
      <c r="G5759" s="18" t="s">
        <v>48</v>
      </c>
      <c r="H5759" s="24">
        <v>23040</v>
      </c>
      <c r="I5759" s="24">
        <f>T_reg.root.SK[[#This Row],[Volume, kg]]/1000</f>
        <v>23.04</v>
      </c>
      <c r="J5759" s="25">
        <v>0.17620000000000002</v>
      </c>
      <c r="K5759" s="25">
        <f t="shared" si="90"/>
        <v>4059.6480000000006</v>
      </c>
      <c r="L5759" s="25">
        <v>1.59</v>
      </c>
      <c r="M5759" s="24">
        <v>36677</v>
      </c>
      <c r="N5759" s="25">
        <f>IFERROR(T_reg.root.SK[[#This Row],[Price]]/T_reg.root.SK[[#This Row],[Starch content]],"")</f>
        <v>9.0238365493757087</v>
      </c>
    </row>
    <row r="5760" spans="1:14">
      <c r="A5760" s="21">
        <v>2025</v>
      </c>
      <c r="B5760" s="21" t="s">
        <v>22</v>
      </c>
      <c r="C5760" s="21" t="s">
        <v>1145</v>
      </c>
      <c r="D5760" s="21" t="s">
        <v>35</v>
      </c>
      <c r="E5760" s="17" t="s">
        <v>136</v>
      </c>
      <c r="F5760" s="18" t="s">
        <v>105</v>
      </c>
      <c r="G5760" s="18" t="s">
        <v>48</v>
      </c>
      <c r="H5760" s="24">
        <v>6590</v>
      </c>
      <c r="I5760" s="24">
        <f>T_reg.root.SK[[#This Row],[Volume, kg]]/1000</f>
        <v>6.59</v>
      </c>
      <c r="J5760" s="25">
        <v>0.17850000000000002</v>
      </c>
      <c r="K5760" s="25">
        <f t="shared" si="90"/>
        <v>1176.3150000000001</v>
      </c>
      <c r="L5760" s="25">
        <v>1.6</v>
      </c>
      <c r="M5760" s="24">
        <v>10544</v>
      </c>
      <c r="N5760" s="25">
        <f>IFERROR(T_reg.root.SK[[#This Row],[Price]]/T_reg.root.SK[[#This Row],[Starch content]],"")</f>
        <v>8.9635854341736696</v>
      </c>
    </row>
    <row r="5761" spans="1:14">
      <c r="A5761" s="21">
        <v>2025</v>
      </c>
      <c r="B5761" s="21" t="s">
        <v>22</v>
      </c>
      <c r="C5761" s="21" t="s">
        <v>1145</v>
      </c>
      <c r="D5761" s="21" t="s">
        <v>35</v>
      </c>
      <c r="E5761" s="17" t="s">
        <v>493</v>
      </c>
      <c r="F5761" s="18" t="s">
        <v>105</v>
      </c>
      <c r="G5761" s="18" t="s">
        <v>48</v>
      </c>
      <c r="H5761" s="24">
        <v>38440</v>
      </c>
      <c r="I5761" s="24">
        <f>T_reg.root.SK[[#This Row],[Volume, kg]]/1000</f>
        <v>38.44</v>
      </c>
      <c r="J5761" s="25">
        <v>0.2112</v>
      </c>
      <c r="K5761" s="25">
        <f t="shared" si="90"/>
        <v>8118.5280000000002</v>
      </c>
      <c r="L5761" s="25">
        <v>1.76</v>
      </c>
      <c r="M5761" s="24">
        <v>67502.5</v>
      </c>
      <c r="N5761" s="25">
        <f>IFERROR(T_reg.root.SK[[#This Row],[Price]]/T_reg.root.SK[[#This Row],[Starch content]],"")</f>
        <v>8.3333333333333339</v>
      </c>
    </row>
    <row r="5762" spans="1:14">
      <c r="A5762" s="21">
        <v>2025</v>
      </c>
      <c r="B5762" s="21" t="s">
        <v>22</v>
      </c>
      <c r="C5762" s="21" t="s">
        <v>1145</v>
      </c>
      <c r="D5762" s="21" t="s">
        <v>35</v>
      </c>
      <c r="E5762" s="17" t="s">
        <v>242</v>
      </c>
      <c r="F5762" s="18" t="s">
        <v>105</v>
      </c>
      <c r="G5762" s="18" t="s">
        <v>48</v>
      </c>
      <c r="H5762" s="24">
        <v>40180</v>
      </c>
      <c r="I5762" s="24">
        <f>T_reg.root.SK[[#This Row],[Volume, kg]]/1000</f>
        <v>40.18</v>
      </c>
      <c r="J5762" s="25">
        <v>0.2402</v>
      </c>
      <c r="K5762" s="25">
        <f t="shared" si="90"/>
        <v>9651.235999999999</v>
      </c>
      <c r="L5762" s="25">
        <v>1.9</v>
      </c>
      <c r="M5762" s="24">
        <v>76529</v>
      </c>
      <c r="N5762" s="25">
        <f>IFERROR(T_reg.root.SK[[#This Row],[Price]]/T_reg.root.SK[[#This Row],[Starch content]],"")</f>
        <v>7.9100749375520394</v>
      </c>
    </row>
    <row r="5763" spans="1:14">
      <c r="A5763" s="21">
        <v>2025</v>
      </c>
      <c r="B5763" s="21" t="s">
        <v>22</v>
      </c>
      <c r="C5763" s="21" t="s">
        <v>1145</v>
      </c>
      <c r="D5763" s="21" t="s">
        <v>35</v>
      </c>
      <c r="E5763" s="17" t="s">
        <v>339</v>
      </c>
      <c r="F5763" s="18" t="s">
        <v>47</v>
      </c>
      <c r="G5763" s="18" t="s">
        <v>48</v>
      </c>
      <c r="H5763" s="24">
        <v>37420</v>
      </c>
      <c r="I5763" s="24">
        <f>T_reg.root.SK[[#This Row],[Volume, kg]]/1000</f>
        <v>37.42</v>
      </c>
      <c r="J5763" s="25">
        <v>0.18760000000000002</v>
      </c>
      <c r="K5763" s="25">
        <f t="shared" si="90"/>
        <v>7019.9920000000002</v>
      </c>
      <c r="L5763" s="25">
        <v>1.64</v>
      </c>
      <c r="M5763" s="24">
        <v>61227</v>
      </c>
      <c r="N5763" s="25">
        <f>IFERROR(T_reg.root.SK[[#This Row],[Price]]/T_reg.root.SK[[#This Row],[Starch content]],"")</f>
        <v>8.7420042643923228</v>
      </c>
    </row>
    <row r="5764" spans="1:14">
      <c r="A5764" s="21">
        <v>2025</v>
      </c>
      <c r="B5764" s="21" t="s">
        <v>22</v>
      </c>
      <c r="C5764" s="21" t="s">
        <v>1145</v>
      </c>
      <c r="D5764" s="21" t="s">
        <v>35</v>
      </c>
      <c r="E5764" s="17" t="s">
        <v>468</v>
      </c>
      <c r="F5764" s="18" t="s">
        <v>47</v>
      </c>
      <c r="G5764" s="18" t="s">
        <v>48</v>
      </c>
      <c r="H5764" s="24">
        <v>19940</v>
      </c>
      <c r="I5764" s="24">
        <f>T_reg.root.SK[[#This Row],[Volume, kg]]/1000</f>
        <v>19.940000000000001</v>
      </c>
      <c r="J5764" s="25">
        <v>0.17670000000000002</v>
      </c>
      <c r="K5764" s="25">
        <f t="shared" si="90"/>
        <v>3523.3980000000006</v>
      </c>
      <c r="L5764" s="25">
        <v>1.6</v>
      </c>
      <c r="M5764" s="24">
        <v>31904</v>
      </c>
      <c r="N5764" s="25">
        <f>IFERROR(T_reg.root.SK[[#This Row],[Price]]/T_reg.root.SK[[#This Row],[Starch content]],"")</f>
        <v>9.0548953027730601</v>
      </c>
    </row>
    <row r="5765" spans="1:14">
      <c r="A5765" s="21">
        <v>2025</v>
      </c>
      <c r="B5765" s="21" t="s">
        <v>22</v>
      </c>
      <c r="C5765" s="21" t="s">
        <v>1145</v>
      </c>
      <c r="D5765" s="21" t="s">
        <v>35</v>
      </c>
      <c r="E5765" s="17" t="s">
        <v>201</v>
      </c>
      <c r="F5765" s="18" t="s">
        <v>187</v>
      </c>
      <c r="G5765" s="18" t="s">
        <v>48</v>
      </c>
      <c r="H5765" s="24">
        <v>17960</v>
      </c>
      <c r="I5765" s="24">
        <f>T_reg.root.SK[[#This Row],[Volume, kg]]/1000</f>
        <v>17.96</v>
      </c>
      <c r="J5765" s="25">
        <v>0.17120000000000002</v>
      </c>
      <c r="K5765" s="25">
        <f t="shared" si="90"/>
        <v>3074.7520000000004</v>
      </c>
      <c r="L5765" s="25">
        <v>1.56</v>
      </c>
      <c r="M5765" s="24">
        <v>28038</v>
      </c>
      <c r="N5765" s="25">
        <f>IFERROR(T_reg.root.SK[[#This Row],[Price]]/T_reg.root.SK[[#This Row],[Starch content]],"")</f>
        <v>9.1121495327102799</v>
      </c>
    </row>
    <row r="5766" spans="1:14">
      <c r="A5766" s="21">
        <v>2025</v>
      </c>
      <c r="B5766" s="21" t="s">
        <v>22</v>
      </c>
      <c r="C5766" s="21" t="s">
        <v>1145</v>
      </c>
      <c r="D5766" s="21" t="s">
        <v>35</v>
      </c>
      <c r="E5766" s="17" t="s">
        <v>984</v>
      </c>
      <c r="F5766" s="18" t="s">
        <v>95</v>
      </c>
      <c r="G5766" s="18" t="s">
        <v>48</v>
      </c>
      <c r="H5766" s="24">
        <v>117520</v>
      </c>
      <c r="I5766" s="24">
        <f>T_reg.root.SK[[#This Row],[Volume, kg]]/1000</f>
        <v>117.52</v>
      </c>
      <c r="J5766" s="25">
        <v>0.2205</v>
      </c>
      <c r="K5766" s="25">
        <f t="shared" si="90"/>
        <v>25913.16</v>
      </c>
      <c r="L5766" s="25">
        <v>1.8</v>
      </c>
      <c r="M5766" s="24">
        <v>211666.5</v>
      </c>
      <c r="N5766" s="25">
        <f>IFERROR(T_reg.root.SK[[#This Row],[Price]]/T_reg.root.SK[[#This Row],[Starch content]],"")</f>
        <v>8.1632653061224492</v>
      </c>
    </row>
    <row r="5767" spans="1:14">
      <c r="A5767" s="21">
        <v>2025</v>
      </c>
      <c r="B5767" s="21" t="s">
        <v>22</v>
      </c>
      <c r="C5767" s="21" t="s">
        <v>1145</v>
      </c>
      <c r="D5767" s="21" t="s">
        <v>35</v>
      </c>
      <c r="E5767" s="17" t="s">
        <v>702</v>
      </c>
      <c r="F5767" s="18" t="s">
        <v>187</v>
      </c>
      <c r="G5767" s="18" t="s">
        <v>48</v>
      </c>
      <c r="H5767" s="24">
        <v>41090</v>
      </c>
      <c r="I5767" s="24">
        <f>T_reg.root.SK[[#This Row],[Volume, kg]]/1000</f>
        <v>41.09</v>
      </c>
      <c r="J5767" s="25">
        <v>0.188</v>
      </c>
      <c r="K5767" s="25">
        <f t="shared" si="90"/>
        <v>7724.92</v>
      </c>
      <c r="L5767" s="25">
        <v>1.63</v>
      </c>
      <c r="M5767" s="24">
        <v>67120.5</v>
      </c>
      <c r="N5767" s="25">
        <f>IFERROR(T_reg.root.SK[[#This Row],[Price]]/T_reg.root.SK[[#This Row],[Starch content]],"")</f>
        <v>8.6702127659574462</v>
      </c>
    </row>
    <row r="5768" spans="1:14">
      <c r="A5768" s="21">
        <v>2025</v>
      </c>
      <c r="B5768" s="21" t="s">
        <v>22</v>
      </c>
      <c r="C5768" s="21" t="s">
        <v>1145</v>
      </c>
      <c r="D5768" s="21" t="s">
        <v>35</v>
      </c>
      <c r="E5768" s="17" t="s">
        <v>303</v>
      </c>
      <c r="F5768" s="18" t="s">
        <v>105</v>
      </c>
      <c r="G5768" s="18" t="s">
        <v>48</v>
      </c>
      <c r="H5768" s="24">
        <v>8110</v>
      </c>
      <c r="I5768" s="24">
        <f>T_reg.root.SK[[#This Row],[Volume, kg]]/1000</f>
        <v>8.11</v>
      </c>
      <c r="J5768" s="25">
        <v>0.18899999999999997</v>
      </c>
      <c r="K5768" s="25">
        <f t="shared" si="90"/>
        <v>1532.7899999999997</v>
      </c>
      <c r="L5768" s="25">
        <v>1.65</v>
      </c>
      <c r="M5768" s="24">
        <v>13381.5</v>
      </c>
      <c r="N5768" s="25">
        <f>IFERROR(T_reg.root.SK[[#This Row],[Price]]/T_reg.root.SK[[#This Row],[Starch content]],"")</f>
        <v>8.7301587301587311</v>
      </c>
    </row>
    <row r="5769" spans="1:14">
      <c r="A5769" s="21">
        <v>2025</v>
      </c>
      <c r="B5769" s="21" t="s">
        <v>22</v>
      </c>
      <c r="C5769" s="21" t="s">
        <v>1145</v>
      </c>
      <c r="D5769" s="21" t="s">
        <v>35</v>
      </c>
      <c r="E5769" s="17" t="s">
        <v>304</v>
      </c>
      <c r="F5769" s="18" t="s">
        <v>105</v>
      </c>
      <c r="G5769" s="18" t="s">
        <v>48</v>
      </c>
      <c r="H5769" s="24">
        <v>83470</v>
      </c>
      <c r="I5769" s="24">
        <f>T_reg.root.SK[[#This Row],[Volume, kg]]/1000</f>
        <v>83.47</v>
      </c>
      <c r="J5769" s="25">
        <v>0.18780000000000002</v>
      </c>
      <c r="K5769" s="25">
        <f t="shared" si="90"/>
        <v>15675.666000000001</v>
      </c>
      <c r="L5769" s="25">
        <v>1.65</v>
      </c>
      <c r="M5769" s="24">
        <v>137554</v>
      </c>
      <c r="N5769" s="25">
        <f>IFERROR(T_reg.root.SK[[#This Row],[Price]]/T_reg.root.SK[[#This Row],[Starch content]],"")</f>
        <v>8.7859424920127775</v>
      </c>
    </row>
    <row r="5770" spans="1:14">
      <c r="A5770" s="21">
        <v>2025</v>
      </c>
      <c r="B5770" s="21" t="s">
        <v>22</v>
      </c>
      <c r="C5770" s="21" t="s">
        <v>1145</v>
      </c>
      <c r="D5770" s="21" t="s">
        <v>35</v>
      </c>
      <c r="E5770" s="17" t="s">
        <v>332</v>
      </c>
      <c r="F5770" s="18" t="s">
        <v>187</v>
      </c>
      <c r="G5770" s="18" t="s">
        <v>48</v>
      </c>
      <c r="H5770" s="24">
        <v>9060</v>
      </c>
      <c r="I5770" s="24">
        <f>T_reg.root.SK[[#This Row],[Volume, kg]]/1000</f>
        <v>9.06</v>
      </c>
      <c r="J5770" s="25">
        <v>0.17100000000000001</v>
      </c>
      <c r="K5770" s="25">
        <f t="shared" si="90"/>
        <v>1549.2600000000002</v>
      </c>
      <c r="L5770" s="25">
        <v>1.55</v>
      </c>
      <c r="M5770" s="24">
        <v>14043</v>
      </c>
      <c r="N5770" s="25">
        <f>IFERROR(T_reg.root.SK[[#This Row],[Price]]/T_reg.root.SK[[#This Row],[Starch content]],"")</f>
        <v>9.064327485380117</v>
      </c>
    </row>
    <row r="5771" spans="1:14">
      <c r="A5771" s="21">
        <v>2025</v>
      </c>
      <c r="B5771" s="21" t="s">
        <v>22</v>
      </c>
      <c r="C5771" s="21" t="s">
        <v>1145</v>
      </c>
      <c r="D5771" s="21" t="s">
        <v>35</v>
      </c>
      <c r="E5771" s="17" t="s">
        <v>719</v>
      </c>
      <c r="F5771" s="18" t="s">
        <v>105</v>
      </c>
      <c r="G5771" s="18" t="s">
        <v>48</v>
      </c>
      <c r="H5771" s="24">
        <v>0</v>
      </c>
      <c r="I5771" s="24">
        <f>T_reg.root.SK[[#This Row],[Volume, kg]]/1000</f>
        <v>0</v>
      </c>
      <c r="J5771" s="25">
        <v>0</v>
      </c>
      <c r="K5771" s="25">
        <f t="shared" si="90"/>
        <v>0</v>
      </c>
      <c r="L5771" s="25">
        <v>0</v>
      </c>
      <c r="M5771" s="24">
        <v>0</v>
      </c>
      <c r="N5771" s="25" t="str">
        <f>IFERROR(T_reg.root.SK[[#This Row],[Price]]/T_reg.root.SK[[#This Row],[Starch content]],"")</f>
        <v/>
      </c>
    </row>
    <row r="5772" spans="1:14">
      <c r="A5772" s="21">
        <v>2025</v>
      </c>
      <c r="B5772" s="21" t="s">
        <v>22</v>
      </c>
      <c r="C5772" s="21" t="s">
        <v>1145</v>
      </c>
      <c r="D5772" s="21" t="s">
        <v>35</v>
      </c>
      <c r="E5772" s="17" t="s">
        <v>593</v>
      </c>
      <c r="F5772" s="18" t="s">
        <v>187</v>
      </c>
      <c r="G5772" s="18" t="s">
        <v>48</v>
      </c>
      <c r="H5772" s="24">
        <v>32500</v>
      </c>
      <c r="I5772" s="24">
        <f>T_reg.root.SK[[#This Row],[Volume, kg]]/1000</f>
        <v>32.5</v>
      </c>
      <c r="J5772" s="25">
        <v>0.21390000000000001</v>
      </c>
      <c r="K5772" s="25">
        <f t="shared" si="90"/>
        <v>6951.75</v>
      </c>
      <c r="L5772" s="25">
        <v>1.77</v>
      </c>
      <c r="M5772" s="24">
        <v>57585.5</v>
      </c>
      <c r="N5772" s="25">
        <f>IFERROR(T_reg.root.SK[[#This Row],[Price]]/T_reg.root.SK[[#This Row],[Starch content]],"")</f>
        <v>8.2748948106591858</v>
      </c>
    </row>
    <row r="5773" spans="1:14">
      <c r="A5773" s="21">
        <v>2025</v>
      </c>
      <c r="B5773" s="21" t="s">
        <v>22</v>
      </c>
      <c r="C5773" s="21" t="s">
        <v>1145</v>
      </c>
      <c r="D5773" s="21" t="s">
        <v>35</v>
      </c>
      <c r="E5773" s="17" t="s">
        <v>777</v>
      </c>
      <c r="F5773" s="18" t="s">
        <v>187</v>
      </c>
      <c r="G5773" s="18" t="s">
        <v>48</v>
      </c>
      <c r="H5773" s="24">
        <v>120570</v>
      </c>
      <c r="I5773" s="24">
        <f>T_reg.root.SK[[#This Row],[Volume, kg]]/1000</f>
        <v>120.57</v>
      </c>
      <c r="J5773" s="25">
        <v>0.19600000000000001</v>
      </c>
      <c r="K5773" s="25">
        <f t="shared" si="90"/>
        <v>23631.72</v>
      </c>
      <c r="L5773" s="25">
        <v>1.68</v>
      </c>
      <c r="M5773" s="24">
        <v>202712.5</v>
      </c>
      <c r="N5773" s="25">
        <f>IFERROR(T_reg.root.SK[[#This Row],[Price]]/T_reg.root.SK[[#This Row],[Starch content]],"")</f>
        <v>8.5714285714285712</v>
      </c>
    </row>
    <row r="5774" spans="1:14">
      <c r="A5774" s="21">
        <v>2025</v>
      </c>
      <c r="B5774" s="21" t="s">
        <v>22</v>
      </c>
      <c r="C5774" s="21" t="s">
        <v>1145</v>
      </c>
      <c r="D5774" s="21" t="s">
        <v>35</v>
      </c>
      <c r="E5774" s="17" t="s">
        <v>204</v>
      </c>
      <c r="F5774" s="18" t="s">
        <v>187</v>
      </c>
      <c r="G5774" s="18" t="s">
        <v>48</v>
      </c>
      <c r="H5774" s="24">
        <v>3790</v>
      </c>
      <c r="I5774" s="24">
        <f>T_reg.root.SK[[#This Row],[Volume, kg]]/1000</f>
        <v>3.79</v>
      </c>
      <c r="J5774" s="25">
        <v>0.156</v>
      </c>
      <c r="K5774" s="25">
        <f t="shared" si="90"/>
        <v>591.24</v>
      </c>
      <c r="L5774" s="25">
        <v>1.5</v>
      </c>
      <c r="M5774" s="24">
        <v>5685</v>
      </c>
      <c r="N5774" s="25">
        <f>IFERROR(T_reg.root.SK[[#This Row],[Price]]/T_reg.root.SK[[#This Row],[Starch content]],"")</f>
        <v>9.615384615384615</v>
      </c>
    </row>
    <row r="5775" spans="1:14">
      <c r="A5775" s="21">
        <v>2025</v>
      </c>
      <c r="B5775" s="21" t="s">
        <v>22</v>
      </c>
      <c r="C5775" s="21" t="s">
        <v>1145</v>
      </c>
      <c r="D5775" s="21" t="s">
        <v>35</v>
      </c>
      <c r="E5775" s="17" t="s">
        <v>405</v>
      </c>
      <c r="F5775" s="18" t="s">
        <v>105</v>
      </c>
      <c r="G5775" s="18" t="s">
        <v>48</v>
      </c>
      <c r="H5775" s="24">
        <v>10270</v>
      </c>
      <c r="I5775" s="24">
        <f>T_reg.root.SK[[#This Row],[Volume, kg]]/1000</f>
        <v>10.27</v>
      </c>
      <c r="J5775" s="25">
        <v>0.183</v>
      </c>
      <c r="K5775" s="25">
        <f t="shared" ref="K5775:K5838" si="91">H5775*J5775</f>
        <v>1879.4099999999999</v>
      </c>
      <c r="L5775" s="25">
        <v>1.6</v>
      </c>
      <c r="M5775" s="24">
        <v>16432</v>
      </c>
      <c r="N5775" s="25">
        <f>IFERROR(T_reg.root.SK[[#This Row],[Price]]/T_reg.root.SK[[#This Row],[Starch content]],"")</f>
        <v>8.7431693989071047</v>
      </c>
    </row>
    <row r="5776" spans="1:14">
      <c r="A5776" s="21">
        <v>2025</v>
      </c>
      <c r="B5776" s="21" t="s">
        <v>22</v>
      </c>
      <c r="C5776" s="21" t="s">
        <v>1145</v>
      </c>
      <c r="D5776" s="21" t="s">
        <v>35</v>
      </c>
      <c r="E5776" s="17" t="s">
        <v>1025</v>
      </c>
      <c r="F5776" s="18" t="s">
        <v>95</v>
      </c>
      <c r="G5776" s="18" t="s">
        <v>48</v>
      </c>
      <c r="H5776" s="24">
        <v>84010</v>
      </c>
      <c r="I5776" s="24">
        <f>T_reg.root.SK[[#This Row],[Volume, kg]]/1000</f>
        <v>84.01</v>
      </c>
      <c r="J5776" s="25">
        <v>0.23569999999999999</v>
      </c>
      <c r="K5776" s="25">
        <f t="shared" si="91"/>
        <v>19801.156999999999</v>
      </c>
      <c r="L5776" s="25">
        <v>1.88</v>
      </c>
      <c r="M5776" s="24">
        <v>158141</v>
      </c>
      <c r="N5776" s="25">
        <f>IFERROR(T_reg.root.SK[[#This Row],[Price]]/T_reg.root.SK[[#This Row],[Starch content]],"")</f>
        <v>7.9762409843020787</v>
      </c>
    </row>
    <row r="5777" spans="1:14">
      <c r="A5777" s="21">
        <v>2025</v>
      </c>
      <c r="B5777" s="21" t="s">
        <v>22</v>
      </c>
      <c r="C5777" s="21" t="s">
        <v>1145</v>
      </c>
      <c r="D5777" s="21" t="s">
        <v>35</v>
      </c>
      <c r="E5777" s="17" t="s">
        <v>933</v>
      </c>
      <c r="F5777" s="18" t="s">
        <v>105</v>
      </c>
      <c r="G5777" s="18" t="s">
        <v>48</v>
      </c>
      <c r="H5777" s="24">
        <v>191810</v>
      </c>
      <c r="I5777" s="24">
        <f>T_reg.root.SK[[#This Row],[Volume, kg]]/1000</f>
        <v>191.81</v>
      </c>
      <c r="J5777" s="25">
        <v>0.19690000000000002</v>
      </c>
      <c r="K5777" s="25">
        <f t="shared" si="91"/>
        <v>37767.389000000003</v>
      </c>
      <c r="L5777" s="25">
        <v>1.68</v>
      </c>
      <c r="M5777" s="24">
        <v>323194.5</v>
      </c>
      <c r="N5777" s="25">
        <f>IFERROR(T_reg.root.SK[[#This Row],[Price]]/T_reg.root.SK[[#This Row],[Starch content]],"")</f>
        <v>8.5322498730319953</v>
      </c>
    </row>
    <row r="5778" spans="1:14">
      <c r="A5778" s="21">
        <v>2025</v>
      </c>
      <c r="B5778" s="21" t="s">
        <v>22</v>
      </c>
      <c r="C5778" s="21" t="s">
        <v>1145</v>
      </c>
      <c r="D5778" s="21" t="s">
        <v>35</v>
      </c>
      <c r="E5778" s="17" t="s">
        <v>1010</v>
      </c>
      <c r="F5778" s="18" t="s">
        <v>105</v>
      </c>
      <c r="G5778" s="18" t="s">
        <v>48</v>
      </c>
      <c r="H5778" s="24">
        <v>71940</v>
      </c>
      <c r="I5778" s="24">
        <f>T_reg.root.SK[[#This Row],[Volume, kg]]/1000</f>
        <v>71.94</v>
      </c>
      <c r="J5778" s="25">
        <v>0.1741</v>
      </c>
      <c r="K5778" s="25">
        <f t="shared" si="91"/>
        <v>12524.754000000001</v>
      </c>
      <c r="L5778" s="25">
        <v>1.58</v>
      </c>
      <c r="M5778" s="24">
        <v>113488.5</v>
      </c>
      <c r="N5778" s="25">
        <f>IFERROR(T_reg.root.SK[[#This Row],[Price]]/T_reg.root.SK[[#This Row],[Starch content]],"")</f>
        <v>9.0752441125789769</v>
      </c>
    </row>
    <row r="5779" spans="1:14">
      <c r="A5779" s="21">
        <v>2025</v>
      </c>
      <c r="B5779" s="21" t="s">
        <v>22</v>
      </c>
      <c r="C5779" s="21" t="s">
        <v>1145</v>
      </c>
      <c r="D5779" s="21" t="s">
        <v>35</v>
      </c>
      <c r="E5779" s="17" t="s">
        <v>310</v>
      </c>
      <c r="F5779" s="18" t="s">
        <v>105</v>
      </c>
      <c r="G5779" s="18" t="s">
        <v>48</v>
      </c>
      <c r="H5779" s="24">
        <v>54370</v>
      </c>
      <c r="I5779" s="24">
        <f>T_reg.root.SK[[#This Row],[Volume, kg]]/1000</f>
        <v>54.37</v>
      </c>
      <c r="J5779" s="25">
        <v>0.23899999999999999</v>
      </c>
      <c r="K5779" s="25">
        <f t="shared" si="91"/>
        <v>12994.43</v>
      </c>
      <c r="L5779" s="25">
        <v>1.9</v>
      </c>
      <c r="M5779" s="24">
        <v>103304.5</v>
      </c>
      <c r="N5779" s="25">
        <f>IFERROR(T_reg.root.SK[[#This Row],[Price]]/T_reg.root.SK[[#This Row],[Starch content]],"")</f>
        <v>7.9497907949790791</v>
      </c>
    </row>
    <row r="5780" spans="1:14">
      <c r="A5780" s="21">
        <v>2025</v>
      </c>
      <c r="B5780" s="21" t="s">
        <v>22</v>
      </c>
      <c r="C5780" s="21" t="s">
        <v>1145</v>
      </c>
      <c r="D5780" s="21" t="s">
        <v>35</v>
      </c>
      <c r="E5780" s="17" t="s">
        <v>247</v>
      </c>
      <c r="F5780" s="18" t="s">
        <v>105</v>
      </c>
      <c r="G5780" s="18" t="s">
        <v>48</v>
      </c>
      <c r="H5780" s="24">
        <v>116100</v>
      </c>
      <c r="I5780" s="24">
        <f>T_reg.root.SK[[#This Row],[Volume, kg]]/1000</f>
        <v>116.1</v>
      </c>
      <c r="J5780" s="25">
        <v>0.19</v>
      </c>
      <c r="K5780" s="25">
        <f t="shared" si="91"/>
        <v>22059</v>
      </c>
      <c r="L5780" s="25">
        <v>1.65</v>
      </c>
      <c r="M5780" s="24">
        <v>191820</v>
      </c>
      <c r="N5780" s="25">
        <f>IFERROR(T_reg.root.SK[[#This Row],[Price]]/T_reg.root.SK[[#This Row],[Starch content]],"")</f>
        <v>8.6842105263157894</v>
      </c>
    </row>
    <row r="5781" spans="1:14">
      <c r="A5781" s="21">
        <v>2025</v>
      </c>
      <c r="B5781" s="21" t="s">
        <v>22</v>
      </c>
      <c r="C5781" s="21" t="s">
        <v>1145</v>
      </c>
      <c r="D5781" s="21" t="s">
        <v>35</v>
      </c>
      <c r="E5781" s="17" t="s">
        <v>340</v>
      </c>
      <c r="F5781" s="18" t="s">
        <v>47</v>
      </c>
      <c r="G5781" s="18" t="s">
        <v>48</v>
      </c>
      <c r="H5781" s="24">
        <v>19670</v>
      </c>
      <c r="I5781" s="24">
        <f>T_reg.root.SK[[#This Row],[Volume, kg]]/1000</f>
        <v>19.670000000000002</v>
      </c>
      <c r="J5781" s="25">
        <v>0.217</v>
      </c>
      <c r="K5781" s="25">
        <f t="shared" si="91"/>
        <v>4268.3900000000003</v>
      </c>
      <c r="L5781" s="25">
        <v>1.78</v>
      </c>
      <c r="M5781" s="24">
        <v>34940.5</v>
      </c>
      <c r="N5781" s="25">
        <f>IFERROR(T_reg.root.SK[[#This Row],[Price]]/T_reg.root.SK[[#This Row],[Starch content]],"")</f>
        <v>8.2027649769585249</v>
      </c>
    </row>
    <row r="5782" spans="1:14">
      <c r="A5782" s="21">
        <v>2025</v>
      </c>
      <c r="B5782" s="21" t="s">
        <v>22</v>
      </c>
      <c r="C5782" s="21" t="s">
        <v>1145</v>
      </c>
      <c r="D5782" s="21" t="s">
        <v>35</v>
      </c>
      <c r="E5782" s="17" t="s">
        <v>498</v>
      </c>
      <c r="F5782" s="18" t="s">
        <v>105</v>
      </c>
      <c r="G5782" s="18" t="s">
        <v>48</v>
      </c>
      <c r="H5782" s="24">
        <v>0</v>
      </c>
      <c r="I5782" s="24">
        <f>T_reg.root.SK[[#This Row],[Volume, kg]]/1000</f>
        <v>0</v>
      </c>
      <c r="J5782" s="25">
        <v>0</v>
      </c>
      <c r="K5782" s="25">
        <f t="shared" si="91"/>
        <v>0</v>
      </c>
      <c r="L5782" s="25">
        <v>0</v>
      </c>
      <c r="M5782" s="24">
        <v>0</v>
      </c>
      <c r="N5782" s="25" t="str">
        <f>IFERROR(T_reg.root.SK[[#This Row],[Price]]/T_reg.root.SK[[#This Row],[Starch content]],"")</f>
        <v/>
      </c>
    </row>
    <row r="5783" spans="1:14">
      <c r="A5783" s="21">
        <v>2025</v>
      </c>
      <c r="B5783" s="21" t="s">
        <v>22</v>
      </c>
      <c r="C5783" s="21" t="s">
        <v>1145</v>
      </c>
      <c r="D5783" s="21" t="s">
        <v>35</v>
      </c>
      <c r="E5783" s="17" t="s">
        <v>530</v>
      </c>
      <c r="F5783" s="18" t="s">
        <v>187</v>
      </c>
      <c r="G5783" s="18" t="s">
        <v>48</v>
      </c>
      <c r="H5783" s="24">
        <v>0</v>
      </c>
      <c r="I5783" s="24">
        <f>T_reg.root.SK[[#This Row],[Volume, kg]]/1000</f>
        <v>0</v>
      </c>
      <c r="J5783" s="25">
        <v>0</v>
      </c>
      <c r="K5783" s="25">
        <f t="shared" si="91"/>
        <v>0</v>
      </c>
      <c r="L5783" s="25">
        <v>0</v>
      </c>
      <c r="M5783" s="24">
        <v>0</v>
      </c>
      <c r="N5783" s="25" t="str">
        <f>IFERROR(T_reg.root.SK[[#This Row],[Price]]/T_reg.root.SK[[#This Row],[Starch content]],"")</f>
        <v/>
      </c>
    </row>
    <row r="5784" spans="1:14">
      <c r="A5784" s="21">
        <v>2025</v>
      </c>
      <c r="B5784" s="21" t="s">
        <v>22</v>
      </c>
      <c r="C5784" s="21" t="s">
        <v>1145</v>
      </c>
      <c r="D5784" s="21" t="s">
        <v>35</v>
      </c>
      <c r="E5784" s="17" t="s">
        <v>142</v>
      </c>
      <c r="F5784" s="18" t="s">
        <v>105</v>
      </c>
      <c r="G5784" s="18" t="s">
        <v>48</v>
      </c>
      <c r="H5784" s="24">
        <v>31880</v>
      </c>
      <c r="I5784" s="24">
        <f>T_reg.root.SK[[#This Row],[Volume, kg]]/1000</f>
        <v>31.88</v>
      </c>
      <c r="J5784" s="25">
        <v>0.18989999999999999</v>
      </c>
      <c r="K5784" s="25">
        <f t="shared" si="91"/>
        <v>6054.0119999999997</v>
      </c>
      <c r="L5784" s="25">
        <v>1.65</v>
      </c>
      <c r="M5784" s="24">
        <v>52506.5</v>
      </c>
      <c r="N5784" s="25">
        <f>IFERROR(T_reg.root.SK[[#This Row],[Price]]/T_reg.root.SK[[#This Row],[Starch content]],"")</f>
        <v>8.6887835703001581</v>
      </c>
    </row>
    <row r="5785" spans="1:14">
      <c r="A5785" s="21">
        <v>2025</v>
      </c>
      <c r="B5785" s="21" t="s">
        <v>22</v>
      </c>
      <c r="C5785" s="21" t="s">
        <v>1145</v>
      </c>
      <c r="D5785" s="21" t="s">
        <v>35</v>
      </c>
      <c r="E5785" s="17" t="s">
        <v>248</v>
      </c>
      <c r="F5785" s="18" t="s">
        <v>105</v>
      </c>
      <c r="G5785" s="18" t="s">
        <v>48</v>
      </c>
      <c r="H5785" s="24">
        <v>3470</v>
      </c>
      <c r="I5785" s="24">
        <f>T_reg.root.SK[[#This Row],[Volume, kg]]/1000</f>
        <v>3.47</v>
      </c>
      <c r="J5785" s="25">
        <v>0.23449999999999999</v>
      </c>
      <c r="K5785" s="25">
        <f t="shared" si="91"/>
        <v>813.71499999999992</v>
      </c>
      <c r="L5785" s="25">
        <v>1.85</v>
      </c>
      <c r="M5785" s="24">
        <v>6419.5</v>
      </c>
      <c r="N5785" s="25">
        <f>IFERROR(T_reg.root.SK[[#This Row],[Price]]/T_reg.root.SK[[#This Row],[Starch content]],"")</f>
        <v>7.889125799573562</v>
      </c>
    </row>
    <row r="5786" spans="1:14">
      <c r="A5786" s="21">
        <v>2025</v>
      </c>
      <c r="B5786" s="21" t="s">
        <v>22</v>
      </c>
      <c r="C5786" s="21" t="s">
        <v>1145</v>
      </c>
      <c r="D5786" s="21" t="s">
        <v>35</v>
      </c>
      <c r="E5786" s="17" t="s">
        <v>143</v>
      </c>
      <c r="F5786" s="18" t="s">
        <v>105</v>
      </c>
      <c r="G5786" s="18" t="s">
        <v>48</v>
      </c>
      <c r="H5786" s="24">
        <v>6070</v>
      </c>
      <c r="I5786" s="24">
        <f>T_reg.root.SK[[#This Row],[Volume, kg]]/1000</f>
        <v>6.07</v>
      </c>
      <c r="J5786" s="25">
        <v>0.1923</v>
      </c>
      <c r="K5786" s="25">
        <f t="shared" si="91"/>
        <v>1167.261</v>
      </c>
      <c r="L5786" s="25">
        <v>1.65</v>
      </c>
      <c r="M5786" s="24">
        <v>10015.5</v>
      </c>
      <c r="N5786" s="25">
        <f>IFERROR(T_reg.root.SK[[#This Row],[Price]]/T_reg.root.SK[[#This Row],[Starch content]],"")</f>
        <v>8.5803432137285487</v>
      </c>
    </row>
    <row r="5787" spans="1:14">
      <c r="A5787" s="21">
        <v>2025</v>
      </c>
      <c r="B5787" s="21" t="s">
        <v>22</v>
      </c>
      <c r="C5787" s="21" t="s">
        <v>1145</v>
      </c>
      <c r="D5787" s="21" t="s">
        <v>35</v>
      </c>
      <c r="E5787" s="17" t="s">
        <v>144</v>
      </c>
      <c r="F5787" s="18" t="s">
        <v>105</v>
      </c>
      <c r="G5787" s="18" t="s">
        <v>48</v>
      </c>
      <c r="H5787" s="24">
        <v>42280</v>
      </c>
      <c r="I5787" s="24">
        <f>T_reg.root.SK[[#This Row],[Volume, kg]]/1000</f>
        <v>42.28</v>
      </c>
      <c r="J5787" s="25">
        <v>0.18410000000000001</v>
      </c>
      <c r="K5787" s="25">
        <f t="shared" si="91"/>
        <v>7783.7480000000005</v>
      </c>
      <c r="L5787" s="25">
        <v>1.64</v>
      </c>
      <c r="M5787" s="24">
        <v>69223.5</v>
      </c>
      <c r="N5787" s="25">
        <f>IFERROR(T_reg.root.SK[[#This Row],[Price]]/T_reg.root.SK[[#This Row],[Starch content]],"")</f>
        <v>8.9082020640955992</v>
      </c>
    </row>
    <row r="5788" spans="1:14">
      <c r="A5788" s="21">
        <v>2025</v>
      </c>
      <c r="B5788" s="21" t="s">
        <v>22</v>
      </c>
      <c r="C5788" s="21" t="s">
        <v>1145</v>
      </c>
      <c r="D5788" s="21" t="s">
        <v>35</v>
      </c>
      <c r="E5788" s="17" t="s">
        <v>265</v>
      </c>
      <c r="F5788" s="18" t="s">
        <v>187</v>
      </c>
      <c r="G5788" s="18" t="s">
        <v>48</v>
      </c>
      <c r="H5788" s="24">
        <v>20120</v>
      </c>
      <c r="I5788" s="24">
        <f>T_reg.root.SK[[#This Row],[Volume, kg]]/1000</f>
        <v>20.12</v>
      </c>
      <c r="J5788" s="25">
        <v>0.22989999999999999</v>
      </c>
      <c r="K5788" s="25">
        <f t="shared" si="91"/>
        <v>4625.5879999999997</v>
      </c>
      <c r="L5788" s="25">
        <v>1.85</v>
      </c>
      <c r="M5788" s="24">
        <v>37195</v>
      </c>
      <c r="N5788" s="25">
        <f>IFERROR(T_reg.root.SK[[#This Row],[Price]]/T_reg.root.SK[[#This Row],[Starch content]],"")</f>
        <v>8.0469769464984786</v>
      </c>
    </row>
    <row r="5789" spans="1:14">
      <c r="A5789" s="21">
        <v>2025</v>
      </c>
      <c r="B5789" s="21" t="s">
        <v>22</v>
      </c>
      <c r="C5789" s="21" t="s">
        <v>1145</v>
      </c>
      <c r="D5789" s="21" t="s">
        <v>35</v>
      </c>
      <c r="E5789" s="17" t="s">
        <v>146</v>
      </c>
      <c r="F5789" s="18" t="s">
        <v>105</v>
      </c>
      <c r="G5789" s="18" t="s">
        <v>48</v>
      </c>
      <c r="H5789" s="24">
        <v>424480</v>
      </c>
      <c r="I5789" s="24">
        <f>T_reg.root.SK[[#This Row],[Volume, kg]]/1000</f>
        <v>424.48</v>
      </c>
      <c r="J5789" s="25">
        <v>0.21890000000000001</v>
      </c>
      <c r="K5789" s="25">
        <f t="shared" si="91"/>
        <v>92918.672000000006</v>
      </c>
      <c r="L5789" s="25">
        <v>1.8</v>
      </c>
      <c r="M5789" s="24">
        <v>762893.5</v>
      </c>
      <c r="N5789" s="25">
        <f>IFERROR(T_reg.root.SK[[#This Row],[Price]]/T_reg.root.SK[[#This Row],[Starch content]],"")</f>
        <v>8.2229328460484243</v>
      </c>
    </row>
    <row r="5790" spans="1:14">
      <c r="A5790" s="21">
        <v>2025</v>
      </c>
      <c r="B5790" s="21" t="s">
        <v>22</v>
      </c>
      <c r="C5790" s="21" t="s">
        <v>1145</v>
      </c>
      <c r="D5790" s="21" t="s">
        <v>35</v>
      </c>
      <c r="E5790" s="17" t="s">
        <v>778</v>
      </c>
      <c r="F5790" s="18" t="s">
        <v>187</v>
      </c>
      <c r="G5790" s="18" t="s">
        <v>48</v>
      </c>
      <c r="H5790" s="24">
        <v>23690</v>
      </c>
      <c r="I5790" s="24">
        <f>T_reg.root.SK[[#This Row],[Volume, kg]]/1000</f>
        <v>23.69</v>
      </c>
      <c r="J5790" s="25">
        <v>0.1953</v>
      </c>
      <c r="K5790" s="25">
        <f t="shared" si="91"/>
        <v>4626.6570000000002</v>
      </c>
      <c r="L5790" s="25">
        <v>1.68</v>
      </c>
      <c r="M5790" s="24">
        <v>39803</v>
      </c>
      <c r="N5790" s="25">
        <f>IFERROR(T_reg.root.SK[[#This Row],[Price]]/T_reg.root.SK[[#This Row],[Starch content]],"")</f>
        <v>8.6021505376344081</v>
      </c>
    </row>
    <row r="5791" spans="1:14">
      <c r="A5791" s="21">
        <v>2025</v>
      </c>
      <c r="B5791" s="21" t="s">
        <v>22</v>
      </c>
      <c r="C5791" s="21" t="s">
        <v>1145</v>
      </c>
      <c r="D5791" s="21" t="s">
        <v>35</v>
      </c>
      <c r="E5791" s="17" t="s">
        <v>703</v>
      </c>
      <c r="F5791" s="18" t="s">
        <v>187</v>
      </c>
      <c r="G5791" s="18" t="s">
        <v>48</v>
      </c>
      <c r="H5791" s="24">
        <v>25300</v>
      </c>
      <c r="I5791" s="24">
        <f>T_reg.root.SK[[#This Row],[Volume, kg]]/1000</f>
        <v>25.3</v>
      </c>
      <c r="J5791" s="25">
        <v>0.20860000000000001</v>
      </c>
      <c r="K5791" s="25">
        <f t="shared" si="91"/>
        <v>5277.58</v>
      </c>
      <c r="L5791" s="25">
        <v>1.73</v>
      </c>
      <c r="M5791" s="24">
        <v>43883</v>
      </c>
      <c r="N5791" s="25">
        <f>IFERROR(T_reg.root.SK[[#This Row],[Price]]/T_reg.root.SK[[#This Row],[Starch content]],"")</f>
        <v>8.2933844678811113</v>
      </c>
    </row>
    <row r="5792" spans="1:14">
      <c r="A5792" s="21">
        <v>2025</v>
      </c>
      <c r="B5792" s="21" t="s">
        <v>22</v>
      </c>
      <c r="C5792" s="21" t="s">
        <v>1145</v>
      </c>
      <c r="D5792" s="21" t="s">
        <v>35</v>
      </c>
      <c r="E5792" s="17" t="s">
        <v>796</v>
      </c>
      <c r="F5792" s="18" t="s">
        <v>187</v>
      </c>
      <c r="G5792" s="18" t="s">
        <v>48</v>
      </c>
      <c r="H5792" s="24">
        <v>0</v>
      </c>
      <c r="I5792" s="24">
        <f>T_reg.root.SK[[#This Row],[Volume, kg]]/1000</f>
        <v>0</v>
      </c>
      <c r="J5792" s="25">
        <v>0</v>
      </c>
      <c r="K5792" s="25">
        <f t="shared" si="91"/>
        <v>0</v>
      </c>
      <c r="L5792" s="25">
        <v>0</v>
      </c>
      <c r="M5792" s="24">
        <v>0</v>
      </c>
      <c r="N5792" s="25" t="str">
        <f>IFERROR(T_reg.root.SK[[#This Row],[Price]]/T_reg.root.SK[[#This Row],[Starch content]],"")</f>
        <v/>
      </c>
    </row>
    <row r="5793" spans="1:14">
      <c r="A5793" s="21">
        <v>2025</v>
      </c>
      <c r="B5793" s="21" t="s">
        <v>22</v>
      </c>
      <c r="C5793" s="21" t="s">
        <v>1145</v>
      </c>
      <c r="D5793" s="21" t="s">
        <v>35</v>
      </c>
      <c r="E5793" s="17" t="s">
        <v>952</v>
      </c>
      <c r="F5793" s="18" t="s">
        <v>105</v>
      </c>
      <c r="G5793" s="18" t="s">
        <v>48</v>
      </c>
      <c r="H5793" s="24">
        <v>48250</v>
      </c>
      <c r="I5793" s="24">
        <f>T_reg.root.SK[[#This Row],[Volume, kg]]/1000</f>
        <v>48.25</v>
      </c>
      <c r="J5793" s="25">
        <v>0.15620000000000001</v>
      </c>
      <c r="K5793" s="25">
        <f t="shared" si="91"/>
        <v>7536.6500000000005</v>
      </c>
      <c r="L5793" s="25">
        <v>1.49</v>
      </c>
      <c r="M5793" s="24">
        <v>71885.5</v>
      </c>
      <c r="N5793" s="25">
        <f>IFERROR(T_reg.root.SK[[#This Row],[Price]]/T_reg.root.SK[[#This Row],[Starch content]],"")</f>
        <v>9.5390524967989752</v>
      </c>
    </row>
    <row r="5794" spans="1:14">
      <c r="A5794" s="21">
        <v>2025</v>
      </c>
      <c r="B5794" s="21" t="s">
        <v>22</v>
      </c>
      <c r="C5794" s="21" t="s">
        <v>1145</v>
      </c>
      <c r="D5794" s="21" t="s">
        <v>35</v>
      </c>
      <c r="E5794" s="17" t="s">
        <v>1011</v>
      </c>
      <c r="F5794" s="18" t="s">
        <v>1012</v>
      </c>
      <c r="G5794" s="18" t="s">
        <v>1013</v>
      </c>
      <c r="H5794" s="24">
        <v>21810</v>
      </c>
      <c r="I5794" s="24">
        <f>T_reg.root.SK[[#This Row],[Volume, kg]]/1000</f>
        <v>21.81</v>
      </c>
      <c r="J5794" s="25">
        <v>0.18940000000000001</v>
      </c>
      <c r="K5794" s="25">
        <f t="shared" si="91"/>
        <v>4130.8140000000003</v>
      </c>
      <c r="L5794" s="25">
        <v>1.65</v>
      </c>
      <c r="M5794" s="24">
        <v>35933</v>
      </c>
      <c r="N5794" s="25">
        <f>IFERROR(T_reg.root.SK[[#This Row],[Price]]/T_reg.root.SK[[#This Row],[Starch content]],"")</f>
        <v>8.7117212249208009</v>
      </c>
    </row>
    <row r="5795" spans="1:14">
      <c r="A5795" s="21">
        <v>2025</v>
      </c>
      <c r="B5795" s="21" t="s">
        <v>22</v>
      </c>
      <c r="C5795" s="21" t="s">
        <v>1145</v>
      </c>
      <c r="D5795" s="21" t="s">
        <v>35</v>
      </c>
      <c r="E5795" s="17" t="s">
        <v>971</v>
      </c>
      <c r="F5795" s="18" t="s">
        <v>47</v>
      </c>
      <c r="G5795" s="18" t="s">
        <v>48</v>
      </c>
      <c r="H5795" s="24">
        <v>10100</v>
      </c>
      <c r="I5795" s="24">
        <f>T_reg.root.SK[[#This Row],[Volume, kg]]/1000</f>
        <v>10.1</v>
      </c>
      <c r="J5795" s="25">
        <v>0.16850000000000001</v>
      </c>
      <c r="K5795" s="25">
        <f t="shared" si="91"/>
        <v>1701.8500000000001</v>
      </c>
      <c r="L5795" s="25">
        <v>1.55</v>
      </c>
      <c r="M5795" s="24">
        <v>15655</v>
      </c>
      <c r="N5795" s="25">
        <f>IFERROR(T_reg.root.SK[[#This Row],[Price]]/T_reg.root.SK[[#This Row],[Starch content]],"")</f>
        <v>9.1988130563798212</v>
      </c>
    </row>
    <row r="5796" spans="1:14">
      <c r="A5796" s="21">
        <v>2025</v>
      </c>
      <c r="B5796" s="21" t="s">
        <v>22</v>
      </c>
      <c r="C5796" s="21" t="s">
        <v>1145</v>
      </c>
      <c r="D5796" s="21" t="s">
        <v>35</v>
      </c>
      <c r="E5796" s="17" t="s">
        <v>985</v>
      </c>
      <c r="F5796" s="18" t="s">
        <v>283</v>
      </c>
      <c r="G5796" s="18" t="s">
        <v>48</v>
      </c>
      <c r="H5796" s="24">
        <v>102960</v>
      </c>
      <c r="I5796" s="24">
        <f>T_reg.root.SK[[#This Row],[Volume, kg]]/1000</f>
        <v>102.96</v>
      </c>
      <c r="J5796" s="25">
        <v>0.19940000000000002</v>
      </c>
      <c r="K5796" s="25">
        <f t="shared" si="91"/>
        <v>20530.224000000002</v>
      </c>
      <c r="L5796" s="25">
        <v>1.71</v>
      </c>
      <c r="M5796" s="24">
        <v>175632.5</v>
      </c>
      <c r="N5796" s="25">
        <f>IFERROR(T_reg.root.SK[[#This Row],[Price]]/T_reg.root.SK[[#This Row],[Starch content]],"")</f>
        <v>8.5757271815446323</v>
      </c>
    </row>
    <row r="5797" spans="1:14">
      <c r="A5797" s="21">
        <v>2025</v>
      </c>
      <c r="B5797" s="21" t="s">
        <v>22</v>
      </c>
      <c r="C5797" s="21" t="s">
        <v>1145</v>
      </c>
      <c r="D5797" s="21" t="s">
        <v>35</v>
      </c>
      <c r="E5797" s="17" t="s">
        <v>618</v>
      </c>
      <c r="F5797" s="18" t="s">
        <v>105</v>
      </c>
      <c r="G5797" s="18" t="s">
        <v>48</v>
      </c>
      <c r="H5797" s="24">
        <v>126380</v>
      </c>
      <c r="I5797" s="24">
        <f>T_reg.root.SK[[#This Row],[Volume, kg]]/1000</f>
        <v>126.38</v>
      </c>
      <c r="J5797" s="25">
        <v>0.1913</v>
      </c>
      <c r="K5797" s="25">
        <f t="shared" si="91"/>
        <v>24176.493999999999</v>
      </c>
      <c r="L5797" s="25">
        <v>1.66</v>
      </c>
      <c r="M5797" s="24">
        <v>209195</v>
      </c>
      <c r="N5797" s="25">
        <f>IFERROR(T_reg.root.SK[[#This Row],[Price]]/T_reg.root.SK[[#This Row],[Starch content]],"")</f>
        <v>8.6774699424986927</v>
      </c>
    </row>
    <row r="5798" spans="1:14">
      <c r="A5798" s="21">
        <v>2025</v>
      </c>
      <c r="B5798" s="21" t="s">
        <v>22</v>
      </c>
      <c r="C5798" s="21" t="s">
        <v>1145</v>
      </c>
      <c r="D5798" s="21" t="s">
        <v>35</v>
      </c>
      <c r="E5798" s="17" t="s">
        <v>1005</v>
      </c>
      <c r="F5798" s="18" t="s">
        <v>105</v>
      </c>
      <c r="G5798" s="18" t="s">
        <v>48</v>
      </c>
      <c r="H5798" s="24">
        <v>0</v>
      </c>
      <c r="I5798" s="24">
        <f>T_reg.root.SK[[#This Row],[Volume, kg]]/1000</f>
        <v>0</v>
      </c>
      <c r="J5798" s="25">
        <v>0</v>
      </c>
      <c r="K5798" s="25">
        <f t="shared" si="91"/>
        <v>0</v>
      </c>
      <c r="L5798" s="25">
        <v>0</v>
      </c>
      <c r="M5798" s="24">
        <v>0</v>
      </c>
      <c r="N5798" s="25" t="str">
        <f>IFERROR(T_reg.root.SK[[#This Row],[Price]]/T_reg.root.SK[[#This Row],[Starch content]],"")</f>
        <v/>
      </c>
    </row>
    <row r="5799" spans="1:14">
      <c r="A5799" s="21">
        <v>2025</v>
      </c>
      <c r="B5799" s="21" t="s">
        <v>22</v>
      </c>
      <c r="C5799" s="21" t="s">
        <v>1145</v>
      </c>
      <c r="D5799" s="21" t="s">
        <v>35</v>
      </c>
      <c r="E5799" s="17" t="s">
        <v>148</v>
      </c>
      <c r="F5799" s="18" t="s">
        <v>105</v>
      </c>
      <c r="G5799" s="18" t="s">
        <v>48</v>
      </c>
      <c r="H5799" s="24">
        <v>176850</v>
      </c>
      <c r="I5799" s="24">
        <f>T_reg.root.SK[[#This Row],[Volume, kg]]/1000</f>
        <v>176.85</v>
      </c>
      <c r="J5799" s="25">
        <v>0.19190000000000002</v>
      </c>
      <c r="K5799" s="25">
        <f t="shared" si="91"/>
        <v>33937.514999999999</v>
      </c>
      <c r="L5799" s="25">
        <v>1.66</v>
      </c>
      <c r="M5799" s="24">
        <v>294239.5</v>
      </c>
      <c r="N5799" s="25">
        <f>IFERROR(T_reg.root.SK[[#This Row],[Price]]/T_reg.root.SK[[#This Row],[Starch content]],"")</f>
        <v>8.6503387180823328</v>
      </c>
    </row>
    <row r="5800" spans="1:14">
      <c r="A5800" s="21">
        <v>2025</v>
      </c>
      <c r="B5800" s="21" t="s">
        <v>22</v>
      </c>
      <c r="C5800" s="21" t="s">
        <v>1145</v>
      </c>
      <c r="D5800" s="21" t="s">
        <v>35</v>
      </c>
      <c r="E5800" s="17" t="s">
        <v>268</v>
      </c>
      <c r="F5800" s="18" t="s">
        <v>187</v>
      </c>
      <c r="G5800" s="18" t="s">
        <v>48</v>
      </c>
      <c r="H5800" s="24">
        <v>6690</v>
      </c>
      <c r="I5800" s="24">
        <f>T_reg.root.SK[[#This Row],[Volume, kg]]/1000</f>
        <v>6.69</v>
      </c>
      <c r="J5800" s="25">
        <v>0.22399999999999998</v>
      </c>
      <c r="K5800" s="25">
        <f t="shared" si="91"/>
        <v>1498.56</v>
      </c>
      <c r="L5800" s="25">
        <v>1.8</v>
      </c>
      <c r="M5800" s="24">
        <v>12042</v>
      </c>
      <c r="N5800" s="25">
        <f>IFERROR(T_reg.root.SK[[#This Row],[Price]]/T_reg.root.SK[[#This Row],[Starch content]],"")</f>
        <v>8.0357142857142865</v>
      </c>
    </row>
    <row r="5801" spans="1:14">
      <c r="A5801" s="21">
        <v>2025</v>
      </c>
      <c r="B5801" s="21" t="s">
        <v>22</v>
      </c>
      <c r="C5801" s="21" t="s">
        <v>1145</v>
      </c>
      <c r="D5801" s="21" t="s">
        <v>35</v>
      </c>
      <c r="E5801" s="17" t="s">
        <v>91</v>
      </c>
      <c r="F5801" s="18" t="s">
        <v>92</v>
      </c>
      <c r="G5801" s="18" t="s">
        <v>48</v>
      </c>
      <c r="H5801" s="24">
        <v>66570</v>
      </c>
      <c r="I5801" s="24">
        <f>T_reg.root.SK[[#This Row],[Volume, kg]]/1000</f>
        <v>66.569999999999993</v>
      </c>
      <c r="J5801" s="25">
        <v>0.222</v>
      </c>
      <c r="K5801" s="25">
        <f t="shared" si="91"/>
        <v>14778.54</v>
      </c>
      <c r="L5801" s="25">
        <v>1.81</v>
      </c>
      <c r="M5801" s="24">
        <v>120762.5</v>
      </c>
      <c r="N5801" s="25">
        <f>IFERROR(T_reg.root.SK[[#This Row],[Price]]/T_reg.root.SK[[#This Row],[Starch content]],"")</f>
        <v>8.1531531531531538</v>
      </c>
    </row>
    <row r="5802" spans="1:14">
      <c r="A5802" s="21">
        <v>2025</v>
      </c>
      <c r="B5802" s="21" t="s">
        <v>22</v>
      </c>
      <c r="C5802" s="21" t="s">
        <v>1145</v>
      </c>
      <c r="D5802" s="21" t="s">
        <v>35</v>
      </c>
      <c r="E5802" s="17" t="s">
        <v>815</v>
      </c>
      <c r="F5802" s="18" t="s">
        <v>187</v>
      </c>
      <c r="G5802" s="18" t="s">
        <v>48</v>
      </c>
      <c r="H5802" s="24">
        <v>59160</v>
      </c>
      <c r="I5802" s="24">
        <f>T_reg.root.SK[[#This Row],[Volume, kg]]/1000</f>
        <v>59.16</v>
      </c>
      <c r="J5802" s="25">
        <v>0.19589999999999999</v>
      </c>
      <c r="K5802" s="25">
        <f t="shared" si="91"/>
        <v>11589.444</v>
      </c>
      <c r="L5802" s="25">
        <v>1.68</v>
      </c>
      <c r="M5802" s="24">
        <v>99326.5</v>
      </c>
      <c r="N5802" s="25">
        <f>IFERROR(T_reg.root.SK[[#This Row],[Price]]/T_reg.root.SK[[#This Row],[Starch content]],"")</f>
        <v>8.5758039816232774</v>
      </c>
    </row>
    <row r="5803" spans="1:14">
      <c r="A5803" s="21">
        <v>2025</v>
      </c>
      <c r="B5803" s="21" t="s">
        <v>22</v>
      </c>
      <c r="C5803" s="21" t="s">
        <v>1145</v>
      </c>
      <c r="D5803" s="21" t="s">
        <v>35</v>
      </c>
      <c r="E5803" s="17" t="s">
        <v>604</v>
      </c>
      <c r="F5803" s="18" t="s">
        <v>105</v>
      </c>
      <c r="G5803" s="18" t="s">
        <v>48</v>
      </c>
      <c r="H5803" s="24">
        <v>8580</v>
      </c>
      <c r="I5803" s="24">
        <f>T_reg.root.SK[[#This Row],[Volume, kg]]/1000</f>
        <v>8.58</v>
      </c>
      <c r="J5803" s="25">
        <v>0.214</v>
      </c>
      <c r="K5803" s="25">
        <f t="shared" si="91"/>
        <v>1836.12</v>
      </c>
      <c r="L5803" s="25">
        <v>1.75</v>
      </c>
      <c r="M5803" s="24">
        <v>15015</v>
      </c>
      <c r="N5803" s="25">
        <f>IFERROR(T_reg.root.SK[[#This Row],[Price]]/T_reg.root.SK[[#This Row],[Starch content]],"")</f>
        <v>8.1775700934579447</v>
      </c>
    </row>
    <row r="5804" spans="1:14">
      <c r="A5804" s="21">
        <v>2025</v>
      </c>
      <c r="B5804" s="21" t="s">
        <v>22</v>
      </c>
      <c r="C5804" s="21" t="s">
        <v>1145</v>
      </c>
      <c r="D5804" s="21" t="s">
        <v>35</v>
      </c>
      <c r="E5804" s="17" t="s">
        <v>208</v>
      </c>
      <c r="F5804" s="18" t="s">
        <v>187</v>
      </c>
      <c r="G5804" s="18" t="s">
        <v>48</v>
      </c>
      <c r="H5804" s="24">
        <v>97180</v>
      </c>
      <c r="I5804" s="24">
        <f>T_reg.root.SK[[#This Row],[Volume, kg]]/1000</f>
        <v>97.18</v>
      </c>
      <c r="J5804" s="25">
        <v>0.2271</v>
      </c>
      <c r="K5804" s="25">
        <f t="shared" si="91"/>
        <v>22069.578000000001</v>
      </c>
      <c r="L5804" s="25">
        <v>1.84</v>
      </c>
      <c r="M5804" s="24">
        <v>178478</v>
      </c>
      <c r="N5804" s="25">
        <f>IFERROR(T_reg.root.SK[[#This Row],[Price]]/T_reg.root.SK[[#This Row],[Starch content]],"")</f>
        <v>8.1021576398062525</v>
      </c>
    </row>
    <row r="5805" spans="1:14">
      <c r="A5805" s="21">
        <v>2025</v>
      </c>
      <c r="B5805" s="21" t="s">
        <v>22</v>
      </c>
      <c r="C5805" s="21" t="s">
        <v>1145</v>
      </c>
      <c r="D5805" s="21" t="s">
        <v>35</v>
      </c>
      <c r="E5805" s="17" t="s">
        <v>314</v>
      </c>
      <c r="F5805" s="18" t="s">
        <v>105</v>
      </c>
      <c r="G5805" s="18" t="s">
        <v>48</v>
      </c>
      <c r="H5805" s="24">
        <v>21830</v>
      </c>
      <c r="I5805" s="24">
        <f>T_reg.root.SK[[#This Row],[Volume, kg]]/1000</f>
        <v>21.83</v>
      </c>
      <c r="J5805" s="25">
        <v>0.1963</v>
      </c>
      <c r="K5805" s="25">
        <f t="shared" si="91"/>
        <v>4285.2290000000003</v>
      </c>
      <c r="L5805" s="25">
        <v>1.69</v>
      </c>
      <c r="M5805" s="24">
        <v>36787</v>
      </c>
      <c r="N5805" s="25">
        <f>IFERROR(T_reg.root.SK[[#This Row],[Price]]/T_reg.root.SK[[#This Row],[Starch content]],"")</f>
        <v>8.6092715231788084</v>
      </c>
    </row>
    <row r="5806" spans="1:14">
      <c r="A5806" s="21">
        <v>2025</v>
      </c>
      <c r="B5806" s="21" t="s">
        <v>22</v>
      </c>
      <c r="C5806" s="21" t="s">
        <v>1145</v>
      </c>
      <c r="D5806" s="21" t="s">
        <v>35</v>
      </c>
      <c r="E5806" s="17" t="s">
        <v>500</v>
      </c>
      <c r="F5806" s="18" t="s">
        <v>105</v>
      </c>
      <c r="G5806" s="18" t="s">
        <v>48</v>
      </c>
      <c r="H5806" s="24">
        <v>22060</v>
      </c>
      <c r="I5806" s="24">
        <f>T_reg.root.SK[[#This Row],[Volume, kg]]/1000</f>
        <v>22.06</v>
      </c>
      <c r="J5806" s="25">
        <v>0.24149999999999999</v>
      </c>
      <c r="K5806" s="25">
        <f t="shared" si="91"/>
        <v>5327.49</v>
      </c>
      <c r="L5806" s="25">
        <v>1.9</v>
      </c>
      <c r="M5806" s="24">
        <v>41957.5</v>
      </c>
      <c r="N5806" s="25">
        <f>IFERROR(T_reg.root.SK[[#This Row],[Price]]/T_reg.root.SK[[#This Row],[Starch content]],"")</f>
        <v>7.8674948240165632</v>
      </c>
    </row>
    <row r="5807" spans="1:14">
      <c r="A5807" s="21">
        <v>2025</v>
      </c>
      <c r="B5807" s="21" t="s">
        <v>22</v>
      </c>
      <c r="C5807" s="21" t="s">
        <v>1145</v>
      </c>
      <c r="D5807" s="21" t="s">
        <v>35</v>
      </c>
      <c r="E5807" s="17" t="s">
        <v>150</v>
      </c>
      <c r="F5807" s="18" t="s">
        <v>105</v>
      </c>
      <c r="G5807" s="18" t="s">
        <v>48</v>
      </c>
      <c r="H5807" s="24">
        <v>295060</v>
      </c>
      <c r="I5807" s="24">
        <f>T_reg.root.SK[[#This Row],[Volume, kg]]/1000</f>
        <v>295.06</v>
      </c>
      <c r="J5807" s="25">
        <v>0.2016</v>
      </c>
      <c r="K5807" s="25">
        <f t="shared" si="91"/>
        <v>59484.095999999998</v>
      </c>
      <c r="L5807" s="25">
        <v>1.71</v>
      </c>
      <c r="M5807" s="24">
        <v>504187</v>
      </c>
      <c r="N5807" s="25">
        <f>IFERROR(T_reg.root.SK[[#This Row],[Price]]/T_reg.root.SK[[#This Row],[Starch content]],"")</f>
        <v>8.4821428571428577</v>
      </c>
    </row>
    <row r="5808" spans="1:14">
      <c r="A5808" s="21">
        <v>2025</v>
      </c>
      <c r="B5808" s="21" t="s">
        <v>22</v>
      </c>
      <c r="C5808" s="21" t="s">
        <v>1145</v>
      </c>
      <c r="D5808" s="21" t="s">
        <v>35</v>
      </c>
      <c r="E5808" s="17" t="s">
        <v>151</v>
      </c>
      <c r="F5808" s="18" t="s">
        <v>105</v>
      </c>
      <c r="G5808" s="18" t="s">
        <v>48</v>
      </c>
      <c r="H5808" s="24">
        <v>190960</v>
      </c>
      <c r="I5808" s="24">
        <f>T_reg.root.SK[[#This Row],[Volume, kg]]/1000</f>
        <v>190.96</v>
      </c>
      <c r="J5808" s="25">
        <v>0.21299999999999999</v>
      </c>
      <c r="K5808" s="25">
        <f t="shared" si="91"/>
        <v>40674.479999999996</v>
      </c>
      <c r="L5808" s="25">
        <v>1.76</v>
      </c>
      <c r="M5808" s="24">
        <v>337000</v>
      </c>
      <c r="N5808" s="25">
        <f>IFERROR(T_reg.root.SK[[#This Row],[Price]]/T_reg.root.SK[[#This Row],[Starch content]],"")</f>
        <v>8.262910798122066</v>
      </c>
    </row>
    <row r="5809" spans="1:14">
      <c r="A5809" s="21">
        <v>2025</v>
      </c>
      <c r="B5809" s="21" t="s">
        <v>22</v>
      </c>
      <c r="C5809" s="21" t="s">
        <v>1145</v>
      </c>
      <c r="D5809" s="21" t="s">
        <v>35</v>
      </c>
      <c r="E5809" s="17" t="s">
        <v>316</v>
      </c>
      <c r="F5809" s="18" t="s">
        <v>105</v>
      </c>
      <c r="G5809" s="18" t="s">
        <v>48</v>
      </c>
      <c r="H5809" s="24">
        <v>16700</v>
      </c>
      <c r="I5809" s="24">
        <f>T_reg.root.SK[[#This Row],[Volume, kg]]/1000</f>
        <v>16.7</v>
      </c>
      <c r="J5809" s="25">
        <v>0.2064</v>
      </c>
      <c r="K5809" s="25">
        <f t="shared" si="91"/>
        <v>3446.88</v>
      </c>
      <c r="L5809" s="25">
        <v>1.74</v>
      </c>
      <c r="M5809" s="24">
        <v>28989</v>
      </c>
      <c r="N5809" s="25">
        <f>IFERROR(T_reg.root.SK[[#This Row],[Price]]/T_reg.root.SK[[#This Row],[Starch content]],"")</f>
        <v>8.4302325581395348</v>
      </c>
    </row>
    <row r="5810" spans="1:14">
      <c r="A5810" s="21">
        <v>2025</v>
      </c>
      <c r="B5810" s="21" t="s">
        <v>22</v>
      </c>
      <c r="C5810" s="21" t="s">
        <v>1145</v>
      </c>
      <c r="D5810" s="21" t="s">
        <v>35</v>
      </c>
      <c r="E5810" s="17" t="s">
        <v>70</v>
      </c>
      <c r="F5810" s="18" t="s">
        <v>47</v>
      </c>
      <c r="G5810" s="18" t="s">
        <v>48</v>
      </c>
      <c r="H5810" s="24">
        <v>51250</v>
      </c>
      <c r="I5810" s="24">
        <f>T_reg.root.SK[[#This Row],[Volume, kg]]/1000</f>
        <v>51.25</v>
      </c>
      <c r="J5810" s="25">
        <v>0.17460000000000001</v>
      </c>
      <c r="K5810" s="25">
        <f t="shared" si="91"/>
        <v>8948.25</v>
      </c>
      <c r="L5810" s="25">
        <v>1.57</v>
      </c>
      <c r="M5810" s="24">
        <v>80486.5</v>
      </c>
      <c r="N5810" s="25">
        <f>IFERROR(T_reg.root.SK[[#This Row],[Price]]/T_reg.root.SK[[#This Row],[Starch content]],"")</f>
        <v>8.9919816723940436</v>
      </c>
    </row>
    <row r="5811" spans="1:14">
      <c r="A5811" s="21">
        <v>2025</v>
      </c>
      <c r="B5811" s="21" t="s">
        <v>22</v>
      </c>
      <c r="C5811" s="21" t="s">
        <v>1145</v>
      </c>
      <c r="D5811" s="21" t="s">
        <v>35</v>
      </c>
      <c r="E5811" s="17" t="s">
        <v>72</v>
      </c>
      <c r="F5811" s="18" t="s">
        <v>47</v>
      </c>
      <c r="G5811" s="18" t="s">
        <v>48</v>
      </c>
      <c r="H5811" s="24">
        <v>7560</v>
      </c>
      <c r="I5811" s="24">
        <f>T_reg.root.SK[[#This Row],[Volume, kg]]/1000</f>
        <v>7.56</v>
      </c>
      <c r="J5811" s="25">
        <v>0.153</v>
      </c>
      <c r="K5811" s="25">
        <f t="shared" si="91"/>
        <v>1156.68</v>
      </c>
      <c r="L5811" s="25">
        <v>1.45</v>
      </c>
      <c r="M5811" s="24">
        <v>10962</v>
      </c>
      <c r="N5811" s="25">
        <f>IFERROR(T_reg.root.SK[[#This Row],[Price]]/T_reg.root.SK[[#This Row],[Starch content]],"")</f>
        <v>9.477124183006536</v>
      </c>
    </row>
    <row r="5812" spans="1:14">
      <c r="A5812" s="21">
        <v>2025</v>
      </c>
      <c r="B5812" s="21" t="s">
        <v>22</v>
      </c>
      <c r="C5812" s="21" t="s">
        <v>1145</v>
      </c>
      <c r="D5812" s="21" t="s">
        <v>35</v>
      </c>
      <c r="E5812" s="17" t="s">
        <v>152</v>
      </c>
      <c r="F5812" s="18" t="s">
        <v>105</v>
      </c>
      <c r="G5812" s="18" t="s">
        <v>48</v>
      </c>
      <c r="H5812" s="24">
        <v>95330</v>
      </c>
      <c r="I5812" s="24">
        <f>T_reg.root.SK[[#This Row],[Volume, kg]]/1000</f>
        <v>95.33</v>
      </c>
      <c r="J5812" s="25">
        <v>0.18940000000000001</v>
      </c>
      <c r="K5812" s="25">
        <f t="shared" si="91"/>
        <v>18055.502</v>
      </c>
      <c r="L5812" s="25">
        <v>1.65</v>
      </c>
      <c r="M5812" s="24">
        <v>157010.5</v>
      </c>
      <c r="N5812" s="25">
        <f>IFERROR(T_reg.root.SK[[#This Row],[Price]]/T_reg.root.SK[[#This Row],[Starch content]],"")</f>
        <v>8.7117212249208009</v>
      </c>
    </row>
    <row r="5813" spans="1:14">
      <c r="A5813" s="21">
        <v>2025</v>
      </c>
      <c r="B5813" s="21" t="s">
        <v>22</v>
      </c>
      <c r="C5813" s="21" t="s">
        <v>1145</v>
      </c>
      <c r="D5813" s="21" t="s">
        <v>35</v>
      </c>
      <c r="E5813" s="17" t="s">
        <v>953</v>
      </c>
      <c r="F5813" s="18" t="s">
        <v>105</v>
      </c>
      <c r="G5813" s="18" t="s">
        <v>48</v>
      </c>
      <c r="H5813" s="24">
        <v>20470</v>
      </c>
      <c r="I5813" s="24">
        <f>T_reg.root.SK[[#This Row],[Volume, kg]]/1000</f>
        <v>20.47</v>
      </c>
      <c r="J5813" s="25">
        <v>0.19719999999999999</v>
      </c>
      <c r="K5813" s="25">
        <f t="shared" si="91"/>
        <v>4036.6839999999997</v>
      </c>
      <c r="L5813" s="25">
        <v>1.7</v>
      </c>
      <c r="M5813" s="24">
        <v>34799</v>
      </c>
      <c r="N5813" s="25">
        <f>IFERROR(T_reg.root.SK[[#This Row],[Price]]/T_reg.root.SK[[#This Row],[Starch content]],"")</f>
        <v>8.6206896551724146</v>
      </c>
    </row>
    <row r="5814" spans="1:14">
      <c r="A5814" s="21">
        <v>2025</v>
      </c>
      <c r="B5814" s="21" t="s">
        <v>22</v>
      </c>
      <c r="C5814" s="21" t="s">
        <v>1145</v>
      </c>
      <c r="D5814" s="21" t="s">
        <v>35</v>
      </c>
      <c r="E5814" s="17" t="s">
        <v>689</v>
      </c>
      <c r="F5814" s="18" t="s">
        <v>187</v>
      </c>
      <c r="G5814" s="18" t="s">
        <v>48</v>
      </c>
      <c r="H5814" s="24">
        <v>71410</v>
      </c>
      <c r="I5814" s="24">
        <f>T_reg.root.SK[[#This Row],[Volume, kg]]/1000</f>
        <v>71.41</v>
      </c>
      <c r="J5814" s="25">
        <v>0.19079999999999997</v>
      </c>
      <c r="K5814" s="25">
        <f t="shared" si="91"/>
        <v>13625.027999999998</v>
      </c>
      <c r="L5814" s="25">
        <v>1.66</v>
      </c>
      <c r="M5814" s="24">
        <v>118824</v>
      </c>
      <c r="N5814" s="25">
        <f>IFERROR(T_reg.root.SK[[#This Row],[Price]]/T_reg.root.SK[[#This Row],[Starch content]],"")</f>
        <v>8.7002096436058718</v>
      </c>
    </row>
    <row r="5815" spans="1:14">
      <c r="A5815" s="21">
        <v>2025</v>
      </c>
      <c r="B5815" s="21" t="s">
        <v>22</v>
      </c>
      <c r="C5815" s="21" t="s">
        <v>1145</v>
      </c>
      <c r="D5815" s="21" t="s">
        <v>35</v>
      </c>
      <c r="E5815" s="17" t="s">
        <v>154</v>
      </c>
      <c r="F5815" s="18" t="s">
        <v>105</v>
      </c>
      <c r="G5815" s="18" t="s">
        <v>48</v>
      </c>
      <c r="H5815" s="24">
        <v>28300</v>
      </c>
      <c r="I5815" s="24">
        <f>T_reg.root.SK[[#This Row],[Volume, kg]]/1000</f>
        <v>28.3</v>
      </c>
      <c r="J5815" s="25">
        <v>0.2122</v>
      </c>
      <c r="K5815" s="25">
        <f t="shared" si="91"/>
        <v>6005.26</v>
      </c>
      <c r="L5815" s="25">
        <v>1.75</v>
      </c>
      <c r="M5815" s="24">
        <v>49634</v>
      </c>
      <c r="N5815" s="25">
        <f>IFERROR(T_reg.root.SK[[#This Row],[Price]]/T_reg.root.SK[[#This Row],[Starch content]],"")</f>
        <v>8.2469368520263906</v>
      </c>
    </row>
    <row r="5816" spans="1:14">
      <c r="A5816" s="21">
        <v>2025</v>
      </c>
      <c r="B5816" s="21" t="s">
        <v>22</v>
      </c>
      <c r="C5816" s="21" t="s">
        <v>1145</v>
      </c>
      <c r="D5816" s="21" t="s">
        <v>35</v>
      </c>
      <c r="E5816" s="17" t="s">
        <v>73</v>
      </c>
      <c r="F5816" s="18" t="s">
        <v>47</v>
      </c>
      <c r="G5816" s="18" t="s">
        <v>48</v>
      </c>
      <c r="H5816" s="24">
        <v>4040</v>
      </c>
      <c r="I5816" s="24">
        <f>T_reg.root.SK[[#This Row],[Volume, kg]]/1000</f>
        <v>4.04</v>
      </c>
      <c r="J5816" s="25">
        <v>0.20699999999999999</v>
      </c>
      <c r="K5816" s="25">
        <f t="shared" si="91"/>
        <v>836.28</v>
      </c>
      <c r="L5816" s="25">
        <v>1.75</v>
      </c>
      <c r="M5816" s="24">
        <v>7070</v>
      </c>
      <c r="N5816" s="25">
        <f>IFERROR(T_reg.root.SK[[#This Row],[Price]]/T_reg.root.SK[[#This Row],[Starch content]],"")</f>
        <v>8.454106280193237</v>
      </c>
    </row>
    <row r="5817" spans="1:14">
      <c r="A5817" s="21">
        <v>2025</v>
      </c>
      <c r="B5817" s="21" t="s">
        <v>22</v>
      </c>
      <c r="C5817" s="21" t="s">
        <v>1145</v>
      </c>
      <c r="D5817" s="21" t="s">
        <v>39</v>
      </c>
      <c r="E5817" s="17" t="s">
        <v>552</v>
      </c>
      <c r="F5817" s="18" t="s">
        <v>95</v>
      </c>
      <c r="G5817" s="18" t="s">
        <v>48</v>
      </c>
      <c r="H5817" s="24">
        <v>4510370</v>
      </c>
      <c r="I5817" s="24">
        <f>T_reg.root.SK[[#This Row],[Volume, kg]]/1000</f>
        <v>4510.37</v>
      </c>
      <c r="J5817" s="25">
        <v>0.19269999999999998</v>
      </c>
      <c r="K5817" s="25">
        <f t="shared" si="91"/>
        <v>869148.29899999988</v>
      </c>
      <c r="L5817" s="25">
        <v>1.83</v>
      </c>
      <c r="M5817" s="24">
        <v>8253905.5</v>
      </c>
      <c r="N5817" s="25">
        <f>IFERROR(T_reg.root.SK[[#This Row],[Price]]/T_reg.root.SK[[#This Row],[Starch content]],"")</f>
        <v>9.4966268811624293</v>
      </c>
    </row>
    <row r="5818" spans="1:14">
      <c r="A5818" s="21">
        <v>2025</v>
      </c>
      <c r="B5818" s="21" t="s">
        <v>22</v>
      </c>
      <c r="C5818" s="21" t="s">
        <v>1145</v>
      </c>
      <c r="D5818" s="21" t="s">
        <v>35</v>
      </c>
      <c r="E5818" s="17" t="s">
        <v>210</v>
      </c>
      <c r="F5818" s="18" t="s">
        <v>187</v>
      </c>
      <c r="G5818" s="18" t="s">
        <v>48</v>
      </c>
      <c r="H5818" s="24">
        <v>0</v>
      </c>
      <c r="I5818" s="24">
        <f>T_reg.root.SK[[#This Row],[Volume, kg]]/1000</f>
        <v>0</v>
      </c>
      <c r="J5818" s="25">
        <v>0</v>
      </c>
      <c r="K5818" s="25">
        <f t="shared" si="91"/>
        <v>0</v>
      </c>
      <c r="L5818" s="25">
        <v>0</v>
      </c>
      <c r="M5818" s="24">
        <v>0</v>
      </c>
      <c r="N5818" s="25" t="str">
        <f>IFERROR(T_reg.root.SK[[#This Row],[Price]]/T_reg.root.SK[[#This Row],[Starch content]],"")</f>
        <v/>
      </c>
    </row>
    <row r="5819" spans="1:14">
      <c r="A5819" s="21">
        <v>2025</v>
      </c>
      <c r="B5819" s="21" t="s">
        <v>22</v>
      </c>
      <c r="C5819" s="21" t="s">
        <v>1145</v>
      </c>
      <c r="D5819" s="21" t="s">
        <v>35</v>
      </c>
      <c r="E5819" s="17" t="s">
        <v>159</v>
      </c>
      <c r="F5819" s="18" t="s">
        <v>105</v>
      </c>
      <c r="G5819" s="18" t="s">
        <v>48</v>
      </c>
      <c r="H5819" s="24">
        <v>31900</v>
      </c>
      <c r="I5819" s="24">
        <f>T_reg.root.SK[[#This Row],[Volume, kg]]/1000</f>
        <v>31.9</v>
      </c>
      <c r="J5819" s="25">
        <v>0.23749999999999999</v>
      </c>
      <c r="K5819" s="25">
        <f t="shared" si="91"/>
        <v>7576.25</v>
      </c>
      <c r="L5819" s="25">
        <v>1.88</v>
      </c>
      <c r="M5819" s="24">
        <v>60063</v>
      </c>
      <c r="N5819" s="25">
        <f>IFERROR(T_reg.root.SK[[#This Row],[Price]]/T_reg.root.SK[[#This Row],[Starch content]],"")</f>
        <v>7.9157894736842103</v>
      </c>
    </row>
    <row r="5820" spans="1:14">
      <c r="A5820" s="21">
        <v>2025</v>
      </c>
      <c r="B5820" s="21" t="s">
        <v>22</v>
      </c>
      <c r="C5820" s="21" t="s">
        <v>1145</v>
      </c>
      <c r="D5820" s="21" t="s">
        <v>35</v>
      </c>
      <c r="E5820" s="17" t="s">
        <v>75</v>
      </c>
      <c r="F5820" s="18" t="s">
        <v>47</v>
      </c>
      <c r="G5820" s="18" t="s">
        <v>48</v>
      </c>
      <c r="H5820" s="24">
        <v>6840</v>
      </c>
      <c r="I5820" s="24">
        <f>T_reg.root.SK[[#This Row],[Volume, kg]]/1000</f>
        <v>6.84</v>
      </c>
      <c r="J5820" s="25">
        <v>0.19649999999999998</v>
      </c>
      <c r="K5820" s="25">
        <f t="shared" si="91"/>
        <v>1344.06</v>
      </c>
      <c r="L5820" s="25">
        <v>1.7</v>
      </c>
      <c r="M5820" s="24">
        <v>11628</v>
      </c>
      <c r="N5820" s="25">
        <f>IFERROR(T_reg.root.SK[[#This Row],[Price]]/T_reg.root.SK[[#This Row],[Starch content]],"")</f>
        <v>8.6513994910941481</v>
      </c>
    </row>
    <row r="5821" spans="1:14">
      <c r="A5821" s="21">
        <v>2025</v>
      </c>
      <c r="B5821" s="21" t="s">
        <v>22</v>
      </c>
      <c r="C5821" s="21" t="s">
        <v>1145</v>
      </c>
      <c r="D5821" s="21" t="s">
        <v>35</v>
      </c>
      <c r="E5821" s="17" t="s">
        <v>501</v>
      </c>
      <c r="F5821" s="18" t="s">
        <v>105</v>
      </c>
      <c r="G5821" s="18" t="s">
        <v>48</v>
      </c>
      <c r="H5821" s="24">
        <v>7380</v>
      </c>
      <c r="I5821" s="24">
        <f>T_reg.root.SK[[#This Row],[Volume, kg]]/1000</f>
        <v>7.38</v>
      </c>
      <c r="J5821" s="25">
        <v>0.2041</v>
      </c>
      <c r="K5821" s="25">
        <f t="shared" si="91"/>
        <v>1506.258</v>
      </c>
      <c r="L5821" s="25">
        <v>1.71</v>
      </c>
      <c r="M5821" s="24">
        <v>12646.5</v>
      </c>
      <c r="N5821" s="25">
        <f>IFERROR(T_reg.root.SK[[#This Row],[Price]]/T_reg.root.SK[[#This Row],[Starch content]],"")</f>
        <v>8.3782459578637916</v>
      </c>
    </row>
    <row r="5822" spans="1:14">
      <c r="A5822" s="21">
        <v>2025</v>
      </c>
      <c r="B5822" s="21" t="s">
        <v>22</v>
      </c>
      <c r="C5822" s="21" t="s">
        <v>1145</v>
      </c>
      <c r="D5822" s="21" t="s">
        <v>35</v>
      </c>
      <c r="E5822" s="17" t="s">
        <v>743</v>
      </c>
      <c r="F5822" s="18" t="s">
        <v>187</v>
      </c>
      <c r="G5822" s="18" t="s">
        <v>48</v>
      </c>
      <c r="H5822" s="24">
        <v>10580</v>
      </c>
      <c r="I5822" s="24">
        <f>T_reg.root.SK[[#This Row],[Volume, kg]]/1000</f>
        <v>10.58</v>
      </c>
      <c r="J5822" s="25">
        <v>0.2155</v>
      </c>
      <c r="K5822" s="25">
        <f t="shared" si="91"/>
        <v>2279.9899999999998</v>
      </c>
      <c r="L5822" s="25">
        <v>1.8</v>
      </c>
      <c r="M5822" s="24">
        <v>19044</v>
      </c>
      <c r="N5822" s="25">
        <f>IFERROR(T_reg.root.SK[[#This Row],[Price]]/T_reg.root.SK[[#This Row],[Starch content]],"")</f>
        <v>8.3526682134570773</v>
      </c>
    </row>
    <row r="5823" spans="1:14">
      <c r="A5823" s="21">
        <v>2025</v>
      </c>
      <c r="B5823" s="21" t="s">
        <v>22</v>
      </c>
      <c r="C5823" s="21" t="s">
        <v>1145</v>
      </c>
      <c r="D5823" s="21" t="s">
        <v>35</v>
      </c>
      <c r="E5823" s="17" t="s">
        <v>160</v>
      </c>
      <c r="F5823" s="18" t="s">
        <v>105</v>
      </c>
      <c r="G5823" s="18" t="s">
        <v>48</v>
      </c>
      <c r="H5823" s="24">
        <v>0</v>
      </c>
      <c r="I5823" s="24">
        <f>T_reg.root.SK[[#This Row],[Volume, kg]]/1000</f>
        <v>0</v>
      </c>
      <c r="J5823" s="25">
        <v>0</v>
      </c>
      <c r="K5823" s="25">
        <f t="shared" si="91"/>
        <v>0</v>
      </c>
      <c r="L5823" s="25">
        <v>0</v>
      </c>
      <c r="M5823" s="24">
        <v>0</v>
      </c>
      <c r="N5823" s="25" t="str">
        <f>IFERROR(T_reg.root.SK[[#This Row],[Price]]/T_reg.root.SK[[#This Row],[Starch content]],"")</f>
        <v/>
      </c>
    </row>
    <row r="5824" spans="1:14">
      <c r="A5824" s="21">
        <v>2025</v>
      </c>
      <c r="B5824" s="21" t="s">
        <v>22</v>
      </c>
      <c r="C5824" s="21" t="s">
        <v>1145</v>
      </c>
      <c r="D5824" s="21" t="s">
        <v>35</v>
      </c>
      <c r="E5824" s="17" t="s">
        <v>211</v>
      </c>
      <c r="F5824" s="18" t="s">
        <v>187</v>
      </c>
      <c r="G5824" s="18" t="s">
        <v>48</v>
      </c>
      <c r="H5824" s="24">
        <v>311910</v>
      </c>
      <c r="I5824" s="24">
        <f>T_reg.root.SK[[#This Row],[Volume, kg]]/1000</f>
        <v>311.91000000000003</v>
      </c>
      <c r="J5824" s="25">
        <v>0.2273</v>
      </c>
      <c r="K5824" s="25">
        <f t="shared" si="91"/>
        <v>70897.142999999996</v>
      </c>
      <c r="L5824" s="25">
        <v>1.84</v>
      </c>
      <c r="M5824" s="24">
        <v>573198.5</v>
      </c>
      <c r="N5824" s="25">
        <f>IFERROR(T_reg.root.SK[[#This Row],[Price]]/T_reg.root.SK[[#This Row],[Starch content]],"")</f>
        <v>8.0950285965684117</v>
      </c>
    </row>
    <row r="5825" spans="1:14">
      <c r="A5825" s="21">
        <v>2025</v>
      </c>
      <c r="B5825" s="21" t="s">
        <v>22</v>
      </c>
      <c r="C5825" s="21" t="s">
        <v>1145</v>
      </c>
      <c r="D5825" s="21" t="s">
        <v>35</v>
      </c>
      <c r="E5825" s="17" t="s">
        <v>721</v>
      </c>
      <c r="F5825" s="18" t="s">
        <v>105</v>
      </c>
      <c r="G5825" s="18" t="s">
        <v>48</v>
      </c>
      <c r="H5825" s="24">
        <v>0</v>
      </c>
      <c r="I5825" s="24">
        <f>T_reg.root.SK[[#This Row],[Volume, kg]]/1000</f>
        <v>0</v>
      </c>
      <c r="J5825" s="25">
        <v>0</v>
      </c>
      <c r="K5825" s="25">
        <f t="shared" si="91"/>
        <v>0</v>
      </c>
      <c r="L5825" s="25">
        <v>0</v>
      </c>
      <c r="M5825" s="24">
        <v>0</v>
      </c>
      <c r="N5825" s="25" t="str">
        <f>IFERROR(T_reg.root.SK[[#This Row],[Price]]/T_reg.root.SK[[#This Row],[Starch content]],"")</f>
        <v/>
      </c>
    </row>
    <row r="5826" spans="1:14">
      <c r="A5826" s="21">
        <v>2025</v>
      </c>
      <c r="B5826" s="21" t="s">
        <v>22</v>
      </c>
      <c r="C5826" s="21" t="s">
        <v>1145</v>
      </c>
      <c r="D5826" s="21" t="s">
        <v>35</v>
      </c>
      <c r="E5826" s="17" t="s">
        <v>162</v>
      </c>
      <c r="F5826" s="18" t="s">
        <v>105</v>
      </c>
      <c r="G5826" s="18" t="s">
        <v>48</v>
      </c>
      <c r="H5826" s="24">
        <v>106330</v>
      </c>
      <c r="I5826" s="24">
        <f>T_reg.root.SK[[#This Row],[Volume, kg]]/1000</f>
        <v>106.33</v>
      </c>
      <c r="J5826" s="25">
        <v>0.21010000000000001</v>
      </c>
      <c r="K5826" s="25">
        <f t="shared" si="91"/>
        <v>22339.933000000001</v>
      </c>
      <c r="L5826" s="25">
        <v>1.75</v>
      </c>
      <c r="M5826" s="24">
        <v>186578.5</v>
      </c>
      <c r="N5826" s="25">
        <f>IFERROR(T_reg.root.SK[[#This Row],[Price]]/T_reg.root.SK[[#This Row],[Starch content]],"")</f>
        <v>8.3293669681104241</v>
      </c>
    </row>
    <row r="5827" spans="1:14">
      <c r="A5827" s="21">
        <v>2025</v>
      </c>
      <c r="B5827" s="21" t="s">
        <v>22</v>
      </c>
      <c r="C5827" s="21" t="s">
        <v>1145</v>
      </c>
      <c r="D5827" s="21" t="s">
        <v>35</v>
      </c>
      <c r="E5827" s="17" t="s">
        <v>163</v>
      </c>
      <c r="F5827" s="18" t="s">
        <v>105</v>
      </c>
      <c r="G5827" s="18" t="s">
        <v>48</v>
      </c>
      <c r="H5827" s="24">
        <v>69890</v>
      </c>
      <c r="I5827" s="24">
        <f>T_reg.root.SK[[#This Row],[Volume, kg]]/1000</f>
        <v>69.89</v>
      </c>
      <c r="J5827" s="25">
        <v>0.17249999999999999</v>
      </c>
      <c r="K5827" s="25">
        <f t="shared" si="91"/>
        <v>12056.025</v>
      </c>
      <c r="L5827" s="25">
        <v>1.56</v>
      </c>
      <c r="M5827" s="24">
        <v>109342</v>
      </c>
      <c r="N5827" s="25">
        <f>IFERROR(T_reg.root.SK[[#This Row],[Price]]/T_reg.root.SK[[#This Row],[Starch content]],"")</f>
        <v>9.0434782608695663</v>
      </c>
    </row>
    <row r="5828" spans="1:14">
      <c r="A5828" s="21">
        <v>2025</v>
      </c>
      <c r="B5828" s="21" t="s">
        <v>22</v>
      </c>
      <c r="C5828" s="21" t="s">
        <v>1145</v>
      </c>
      <c r="D5828" s="21" t="s">
        <v>35</v>
      </c>
      <c r="E5828" s="17" t="s">
        <v>165</v>
      </c>
      <c r="F5828" s="18" t="s">
        <v>105</v>
      </c>
      <c r="G5828" s="18" t="s">
        <v>48</v>
      </c>
      <c r="H5828" s="24">
        <v>27910</v>
      </c>
      <c r="I5828" s="24">
        <f>T_reg.root.SK[[#This Row],[Volume, kg]]/1000</f>
        <v>27.91</v>
      </c>
      <c r="J5828" s="25">
        <v>0.17559999999999998</v>
      </c>
      <c r="K5828" s="25">
        <f t="shared" si="91"/>
        <v>4900.9959999999992</v>
      </c>
      <c r="L5828" s="25">
        <v>1.58</v>
      </c>
      <c r="M5828" s="24">
        <v>44050.5</v>
      </c>
      <c r="N5828" s="25">
        <f>IFERROR(T_reg.root.SK[[#This Row],[Price]]/T_reg.root.SK[[#This Row],[Starch content]],"")</f>
        <v>8.9977220956719837</v>
      </c>
    </row>
    <row r="5829" spans="1:14">
      <c r="A5829" s="21">
        <v>2025</v>
      </c>
      <c r="B5829" s="21" t="s">
        <v>22</v>
      </c>
      <c r="C5829" s="21" t="s">
        <v>1145</v>
      </c>
      <c r="D5829" s="21" t="s">
        <v>35</v>
      </c>
      <c r="E5829" s="17" t="s">
        <v>573</v>
      </c>
      <c r="F5829" s="18" t="s">
        <v>105</v>
      </c>
      <c r="G5829" s="18" t="s">
        <v>48</v>
      </c>
      <c r="H5829" s="24">
        <v>86060</v>
      </c>
      <c r="I5829" s="24">
        <f>T_reg.root.SK[[#This Row],[Volume, kg]]/1000</f>
        <v>86.06</v>
      </c>
      <c r="J5829" s="25">
        <v>0.19350000000000001</v>
      </c>
      <c r="K5829" s="25">
        <f t="shared" si="91"/>
        <v>16652.61</v>
      </c>
      <c r="L5829" s="25">
        <v>1.67</v>
      </c>
      <c r="M5829" s="24">
        <v>143523</v>
      </c>
      <c r="N5829" s="25">
        <f>IFERROR(T_reg.root.SK[[#This Row],[Price]]/T_reg.root.SK[[#This Row],[Starch content]],"")</f>
        <v>8.6304909560723502</v>
      </c>
    </row>
    <row r="5830" spans="1:14">
      <c r="A5830" s="21">
        <v>2025</v>
      </c>
      <c r="B5830" s="21" t="s">
        <v>22</v>
      </c>
      <c r="C5830" s="21" t="s">
        <v>1145</v>
      </c>
      <c r="D5830" s="21" t="s">
        <v>35</v>
      </c>
      <c r="E5830" s="17" t="s">
        <v>257</v>
      </c>
      <c r="F5830" s="18" t="s">
        <v>105</v>
      </c>
      <c r="G5830" s="18" t="s">
        <v>48</v>
      </c>
      <c r="H5830" s="24">
        <v>72020</v>
      </c>
      <c r="I5830" s="24">
        <f>T_reg.root.SK[[#This Row],[Volume, kg]]/1000</f>
        <v>72.02</v>
      </c>
      <c r="J5830" s="25">
        <v>0.17219999999999999</v>
      </c>
      <c r="K5830" s="25">
        <f t="shared" si="91"/>
        <v>12401.843999999999</v>
      </c>
      <c r="L5830" s="25">
        <v>1.55</v>
      </c>
      <c r="M5830" s="24">
        <v>111749.5</v>
      </c>
      <c r="N5830" s="25">
        <f>IFERROR(T_reg.root.SK[[#This Row],[Price]]/T_reg.root.SK[[#This Row],[Starch content]],"")</f>
        <v>9.0011614401858306</v>
      </c>
    </row>
    <row r="5831" spans="1:14">
      <c r="A5831" s="21">
        <v>2025</v>
      </c>
      <c r="B5831" s="21" t="s">
        <v>22</v>
      </c>
      <c r="C5831" s="21" t="s">
        <v>1145</v>
      </c>
      <c r="D5831" s="21" t="s">
        <v>35</v>
      </c>
      <c r="E5831" s="17" t="s">
        <v>670</v>
      </c>
      <c r="F5831" s="18" t="s">
        <v>105</v>
      </c>
      <c r="G5831" s="18" t="s">
        <v>48</v>
      </c>
      <c r="H5831" s="24">
        <v>136370</v>
      </c>
      <c r="I5831" s="24">
        <f>T_reg.root.SK[[#This Row],[Volume, kg]]/1000</f>
        <v>136.37</v>
      </c>
      <c r="J5831" s="25">
        <v>0.25679999999999997</v>
      </c>
      <c r="K5831" s="25">
        <f t="shared" si="91"/>
        <v>35019.815999999999</v>
      </c>
      <c r="L5831" s="25">
        <v>1.99</v>
      </c>
      <c r="M5831" s="24">
        <v>271620</v>
      </c>
      <c r="N5831" s="25">
        <f>IFERROR(T_reg.root.SK[[#This Row],[Price]]/T_reg.root.SK[[#This Row],[Starch content]],"")</f>
        <v>7.749221183800624</v>
      </c>
    </row>
    <row r="5832" spans="1:14">
      <c r="A5832" s="21">
        <v>2025</v>
      </c>
      <c r="B5832" s="21" t="s">
        <v>22</v>
      </c>
      <c r="C5832" s="21" t="s">
        <v>1145</v>
      </c>
      <c r="D5832" s="21" t="s">
        <v>35</v>
      </c>
      <c r="E5832" s="17" t="s">
        <v>672</v>
      </c>
      <c r="F5832" s="18" t="s">
        <v>187</v>
      </c>
      <c r="G5832" s="18" t="s">
        <v>48</v>
      </c>
      <c r="H5832" s="24">
        <v>25170</v>
      </c>
      <c r="I5832" s="24">
        <f>T_reg.root.SK[[#This Row],[Volume, kg]]/1000</f>
        <v>25.17</v>
      </c>
      <c r="J5832" s="25">
        <v>0.16739999999999999</v>
      </c>
      <c r="K5832" s="25">
        <f t="shared" si="91"/>
        <v>4213.4579999999996</v>
      </c>
      <c r="L5832" s="25">
        <v>1.53</v>
      </c>
      <c r="M5832" s="24">
        <v>38589.5</v>
      </c>
      <c r="N5832" s="25">
        <f>IFERROR(T_reg.root.SK[[#This Row],[Price]]/T_reg.root.SK[[#This Row],[Starch content]],"")</f>
        <v>9.1397849462365599</v>
      </c>
    </row>
    <row r="5833" spans="1:14">
      <c r="A5833" s="21">
        <v>2025</v>
      </c>
      <c r="B5833" s="21" t="s">
        <v>22</v>
      </c>
      <c r="C5833" s="21" t="s">
        <v>1145</v>
      </c>
      <c r="D5833" s="21" t="s">
        <v>35</v>
      </c>
      <c r="E5833" s="17" t="s">
        <v>502</v>
      </c>
      <c r="F5833" s="18" t="s">
        <v>105</v>
      </c>
      <c r="G5833" s="18" t="s">
        <v>48</v>
      </c>
      <c r="H5833" s="24">
        <v>13910</v>
      </c>
      <c r="I5833" s="24">
        <f>T_reg.root.SK[[#This Row],[Volume, kg]]/1000</f>
        <v>13.91</v>
      </c>
      <c r="J5833" s="25">
        <v>0.2218</v>
      </c>
      <c r="K5833" s="25">
        <f t="shared" si="91"/>
        <v>3085.2379999999998</v>
      </c>
      <c r="L5833" s="25">
        <v>1.8</v>
      </c>
      <c r="M5833" s="24">
        <v>25080.5</v>
      </c>
      <c r="N5833" s="25">
        <f>IFERROR(T_reg.root.SK[[#This Row],[Price]]/T_reg.root.SK[[#This Row],[Starch content]],"")</f>
        <v>8.1154192966636618</v>
      </c>
    </row>
    <row r="5834" spans="1:14">
      <c r="A5834" s="21">
        <v>2025</v>
      </c>
      <c r="B5834" s="21" t="s">
        <v>22</v>
      </c>
      <c r="C5834" s="21" t="s">
        <v>1145</v>
      </c>
      <c r="D5834" s="21" t="s">
        <v>35</v>
      </c>
      <c r="E5834" s="17" t="s">
        <v>613</v>
      </c>
      <c r="F5834" s="18" t="s">
        <v>187</v>
      </c>
      <c r="G5834" s="18" t="s">
        <v>48</v>
      </c>
      <c r="H5834" s="24">
        <v>6090</v>
      </c>
      <c r="I5834" s="24">
        <f>T_reg.root.SK[[#This Row],[Volume, kg]]/1000</f>
        <v>6.09</v>
      </c>
      <c r="J5834" s="25">
        <v>0.15770000000000001</v>
      </c>
      <c r="K5834" s="25">
        <f t="shared" si="91"/>
        <v>960.39300000000003</v>
      </c>
      <c r="L5834" s="25">
        <v>1.5</v>
      </c>
      <c r="M5834" s="24">
        <v>9135</v>
      </c>
      <c r="N5834" s="25">
        <f>IFERROR(T_reg.root.SK[[#This Row],[Price]]/T_reg.root.SK[[#This Row],[Starch content]],"")</f>
        <v>9.5117311350665812</v>
      </c>
    </row>
    <row r="5835" spans="1:14">
      <c r="A5835" s="21">
        <v>2025</v>
      </c>
      <c r="B5835" s="21" t="s">
        <v>22</v>
      </c>
      <c r="C5835" s="21" t="s">
        <v>1145</v>
      </c>
      <c r="D5835" s="21" t="s">
        <v>35</v>
      </c>
      <c r="E5835" s="17" t="s">
        <v>739</v>
      </c>
      <c r="F5835" s="18" t="s">
        <v>105</v>
      </c>
      <c r="G5835" s="18" t="s">
        <v>48</v>
      </c>
      <c r="H5835" s="24">
        <v>108680</v>
      </c>
      <c r="I5835" s="24">
        <f>T_reg.root.SK[[#This Row],[Volume, kg]]/1000</f>
        <v>108.68</v>
      </c>
      <c r="J5835" s="25">
        <v>0.23399999999999999</v>
      </c>
      <c r="K5835" s="25">
        <f t="shared" si="91"/>
        <v>25431.119999999999</v>
      </c>
      <c r="L5835" s="25">
        <v>1.87</v>
      </c>
      <c r="M5835" s="24">
        <v>203205</v>
      </c>
      <c r="N5835" s="25">
        <f>IFERROR(T_reg.root.SK[[#This Row],[Price]]/T_reg.root.SK[[#This Row],[Starch content]],"")</f>
        <v>7.9914529914529924</v>
      </c>
    </row>
    <row r="5836" spans="1:14">
      <c r="A5836" s="21">
        <v>2025</v>
      </c>
      <c r="B5836" s="21" t="s">
        <v>22</v>
      </c>
      <c r="C5836" s="21" t="s">
        <v>1145</v>
      </c>
      <c r="D5836" s="21" t="s">
        <v>35</v>
      </c>
      <c r="E5836" s="17" t="s">
        <v>503</v>
      </c>
      <c r="F5836" s="18" t="s">
        <v>105</v>
      </c>
      <c r="G5836" s="18" t="s">
        <v>48</v>
      </c>
      <c r="H5836" s="24">
        <v>13550</v>
      </c>
      <c r="I5836" s="24">
        <f>T_reg.root.SK[[#This Row],[Volume, kg]]/1000</f>
        <v>13.55</v>
      </c>
      <c r="J5836" s="25">
        <v>0.14749999999999999</v>
      </c>
      <c r="K5836" s="25">
        <f t="shared" si="91"/>
        <v>1998.625</v>
      </c>
      <c r="L5836" s="25">
        <v>1.45</v>
      </c>
      <c r="M5836" s="24">
        <v>19666</v>
      </c>
      <c r="N5836" s="25">
        <f>IFERROR(T_reg.root.SK[[#This Row],[Price]]/T_reg.root.SK[[#This Row],[Starch content]],"")</f>
        <v>9.8305084745762716</v>
      </c>
    </row>
    <row r="5837" spans="1:14">
      <c r="A5837" s="21">
        <v>2025</v>
      </c>
      <c r="B5837" s="21" t="s">
        <v>22</v>
      </c>
      <c r="C5837" s="21" t="s">
        <v>1145</v>
      </c>
      <c r="D5837" s="21" t="s">
        <v>35</v>
      </c>
      <c r="E5837" s="17" t="s">
        <v>170</v>
      </c>
      <c r="F5837" s="18" t="s">
        <v>105</v>
      </c>
      <c r="G5837" s="18" t="s">
        <v>48</v>
      </c>
      <c r="H5837" s="24">
        <v>67830</v>
      </c>
      <c r="I5837" s="24">
        <f>T_reg.root.SK[[#This Row],[Volume, kg]]/1000</f>
        <v>67.83</v>
      </c>
      <c r="J5837" s="25">
        <v>0.28210000000000002</v>
      </c>
      <c r="K5837" s="25">
        <f t="shared" si="91"/>
        <v>19134.843000000001</v>
      </c>
      <c r="L5837" s="25">
        <v>2.12</v>
      </c>
      <c r="M5837" s="24">
        <v>143481</v>
      </c>
      <c r="N5837" s="25">
        <f>IFERROR(T_reg.root.SK[[#This Row],[Price]]/T_reg.root.SK[[#This Row],[Starch content]],"")</f>
        <v>7.5150655795817087</v>
      </c>
    </row>
    <row r="5838" spans="1:14">
      <c r="A5838" s="21">
        <v>2025</v>
      </c>
      <c r="B5838" s="21" t="s">
        <v>22</v>
      </c>
      <c r="C5838" s="21" t="s">
        <v>1145</v>
      </c>
      <c r="D5838" s="21" t="s">
        <v>35</v>
      </c>
      <c r="E5838" s="17" t="s">
        <v>537</v>
      </c>
      <c r="F5838" s="18" t="s">
        <v>187</v>
      </c>
      <c r="G5838" s="18" t="s">
        <v>48</v>
      </c>
      <c r="H5838" s="24">
        <v>27100</v>
      </c>
      <c r="I5838" s="24">
        <f>T_reg.root.SK[[#This Row],[Volume, kg]]/1000</f>
        <v>27.1</v>
      </c>
      <c r="J5838" s="25">
        <v>0.19440000000000002</v>
      </c>
      <c r="K5838" s="25">
        <f t="shared" si="91"/>
        <v>5268.2400000000007</v>
      </c>
      <c r="L5838" s="25">
        <v>1.68</v>
      </c>
      <c r="M5838" s="24">
        <v>45538</v>
      </c>
      <c r="N5838" s="25">
        <f>IFERROR(T_reg.root.SK[[#This Row],[Price]]/T_reg.root.SK[[#This Row],[Starch content]],"")</f>
        <v>8.6419753086419746</v>
      </c>
    </row>
    <row r="5839" spans="1:14">
      <c r="A5839" s="21">
        <v>2025</v>
      </c>
      <c r="B5839" s="21" t="s">
        <v>22</v>
      </c>
      <c r="C5839" s="21" t="s">
        <v>1145</v>
      </c>
      <c r="D5839" s="21" t="s">
        <v>35</v>
      </c>
      <c r="E5839" s="17" t="s">
        <v>722</v>
      </c>
      <c r="F5839" s="18" t="s">
        <v>105</v>
      </c>
      <c r="G5839" s="18" t="s">
        <v>48</v>
      </c>
      <c r="H5839" s="24">
        <v>21260</v>
      </c>
      <c r="I5839" s="24">
        <f>T_reg.root.SK[[#This Row],[Volume, kg]]/1000</f>
        <v>21.26</v>
      </c>
      <c r="J5839" s="25">
        <v>0.18909999999999999</v>
      </c>
      <c r="K5839" s="25">
        <f t="shared" ref="K5839:K5902" si="92">H5839*J5839</f>
        <v>4020.2659999999996</v>
      </c>
      <c r="L5839" s="25">
        <v>1.66</v>
      </c>
      <c r="M5839" s="24">
        <v>35201</v>
      </c>
      <c r="N5839" s="25">
        <f>IFERROR(T_reg.root.SK[[#This Row],[Price]]/T_reg.root.SK[[#This Row],[Starch content]],"")</f>
        <v>8.7784241142252775</v>
      </c>
    </row>
    <row r="5840" spans="1:14">
      <c r="A5840" s="21">
        <v>2025</v>
      </c>
      <c r="B5840" s="21" t="s">
        <v>22</v>
      </c>
      <c r="C5840" s="21" t="s">
        <v>1145</v>
      </c>
      <c r="D5840" s="21" t="s">
        <v>35</v>
      </c>
      <c r="E5840" s="17" t="s">
        <v>172</v>
      </c>
      <c r="F5840" s="18" t="s">
        <v>105</v>
      </c>
      <c r="G5840" s="18" t="s">
        <v>48</v>
      </c>
      <c r="H5840" s="24">
        <v>22540</v>
      </c>
      <c r="I5840" s="24">
        <f>T_reg.root.SK[[#This Row],[Volume, kg]]/1000</f>
        <v>22.54</v>
      </c>
      <c r="J5840" s="25">
        <v>0.17649999999999999</v>
      </c>
      <c r="K5840" s="25">
        <f t="shared" si="92"/>
        <v>3978.31</v>
      </c>
      <c r="L5840" s="25">
        <v>1.58</v>
      </c>
      <c r="M5840" s="24">
        <v>35594</v>
      </c>
      <c r="N5840" s="25">
        <f>IFERROR(T_reg.root.SK[[#This Row],[Price]]/T_reg.root.SK[[#This Row],[Starch content]],"")</f>
        <v>8.9518413597733719</v>
      </c>
    </row>
    <row r="5841" spans="1:14">
      <c r="A5841" s="21">
        <v>2025</v>
      </c>
      <c r="B5841" s="21" t="s">
        <v>22</v>
      </c>
      <c r="C5841" s="21" t="s">
        <v>1145</v>
      </c>
      <c r="D5841" s="21" t="s">
        <v>35</v>
      </c>
      <c r="E5841" s="17" t="s">
        <v>269</v>
      </c>
      <c r="F5841" s="18" t="s">
        <v>187</v>
      </c>
      <c r="G5841" s="18" t="s">
        <v>48</v>
      </c>
      <c r="H5841" s="24">
        <v>203100</v>
      </c>
      <c r="I5841" s="24">
        <f>T_reg.root.SK[[#This Row],[Volume, kg]]/1000</f>
        <v>203.1</v>
      </c>
      <c r="J5841" s="25">
        <v>0.20679999999999998</v>
      </c>
      <c r="K5841" s="25">
        <f t="shared" si="92"/>
        <v>42001.079999999994</v>
      </c>
      <c r="L5841" s="25">
        <v>1.73</v>
      </c>
      <c r="M5841" s="24">
        <v>351933.5</v>
      </c>
      <c r="N5841" s="25">
        <f>IFERROR(T_reg.root.SK[[#This Row],[Price]]/T_reg.root.SK[[#This Row],[Starch content]],"")</f>
        <v>8.3655705996131537</v>
      </c>
    </row>
    <row r="5842" spans="1:14">
      <c r="A5842" s="21">
        <v>2025</v>
      </c>
      <c r="B5842" s="21" t="s">
        <v>22</v>
      </c>
      <c r="C5842" s="21" t="s">
        <v>1145</v>
      </c>
      <c r="D5842" s="21" t="s">
        <v>35</v>
      </c>
      <c r="E5842" s="17" t="s">
        <v>214</v>
      </c>
      <c r="F5842" s="18" t="s">
        <v>187</v>
      </c>
      <c r="G5842" s="18" t="s">
        <v>48</v>
      </c>
      <c r="H5842" s="24">
        <v>61380</v>
      </c>
      <c r="I5842" s="24">
        <f>T_reg.root.SK[[#This Row],[Volume, kg]]/1000</f>
        <v>61.38</v>
      </c>
      <c r="J5842" s="25">
        <v>0.24480000000000002</v>
      </c>
      <c r="K5842" s="25">
        <f t="shared" si="92"/>
        <v>15025.824000000001</v>
      </c>
      <c r="L5842" s="25">
        <v>1.93</v>
      </c>
      <c r="M5842" s="24">
        <v>118191</v>
      </c>
      <c r="N5842" s="25">
        <f>IFERROR(T_reg.root.SK[[#This Row],[Price]]/T_reg.root.SK[[#This Row],[Starch content]],"")</f>
        <v>7.8839869281045747</v>
      </c>
    </row>
    <row r="5843" spans="1:14">
      <c r="A5843" s="21">
        <v>2025</v>
      </c>
      <c r="B5843" s="21" t="s">
        <v>22</v>
      </c>
      <c r="C5843" s="21" t="s">
        <v>1145</v>
      </c>
      <c r="D5843" s="21" t="s">
        <v>35</v>
      </c>
      <c r="E5843" s="17" t="s">
        <v>322</v>
      </c>
      <c r="F5843" s="18" t="s">
        <v>105</v>
      </c>
      <c r="G5843" s="18" t="s">
        <v>48</v>
      </c>
      <c r="H5843" s="24">
        <v>69920</v>
      </c>
      <c r="I5843" s="24">
        <f>T_reg.root.SK[[#This Row],[Volume, kg]]/1000</f>
        <v>69.92</v>
      </c>
      <c r="J5843" s="25">
        <v>0.17620000000000002</v>
      </c>
      <c r="K5843" s="25">
        <f t="shared" si="92"/>
        <v>12319.904000000002</v>
      </c>
      <c r="L5843" s="25">
        <v>1.58</v>
      </c>
      <c r="M5843" s="24">
        <v>110346.5</v>
      </c>
      <c r="N5843" s="25">
        <f>IFERROR(T_reg.root.SK[[#This Row],[Price]]/T_reg.root.SK[[#This Row],[Starch content]],"")</f>
        <v>8.9670828603859238</v>
      </c>
    </row>
    <row r="5844" spans="1:14">
      <c r="A5844" s="21">
        <v>2025</v>
      </c>
      <c r="B5844" s="21" t="s">
        <v>22</v>
      </c>
      <c r="C5844" s="21" t="s">
        <v>1145</v>
      </c>
      <c r="D5844" s="21" t="s">
        <v>35</v>
      </c>
      <c r="E5844" s="17" t="s">
        <v>506</v>
      </c>
      <c r="F5844" s="18" t="s">
        <v>105</v>
      </c>
      <c r="G5844" s="18" t="s">
        <v>48</v>
      </c>
      <c r="H5844" s="24">
        <v>9490</v>
      </c>
      <c r="I5844" s="24">
        <f>T_reg.root.SK[[#This Row],[Volume, kg]]/1000</f>
        <v>9.49</v>
      </c>
      <c r="J5844" s="25">
        <v>0.20300000000000001</v>
      </c>
      <c r="K5844" s="25">
        <f t="shared" si="92"/>
        <v>1926.47</v>
      </c>
      <c r="L5844" s="25">
        <v>1.7</v>
      </c>
      <c r="M5844" s="24">
        <v>16133</v>
      </c>
      <c r="N5844" s="25">
        <f>IFERROR(T_reg.root.SK[[#This Row],[Price]]/T_reg.root.SK[[#This Row],[Starch content]],"")</f>
        <v>8.3743842364532011</v>
      </c>
    </row>
    <row r="5845" spans="1:14">
      <c r="A5845" s="21">
        <v>2025</v>
      </c>
      <c r="B5845" s="21" t="s">
        <v>22</v>
      </c>
      <c r="C5845" s="21" t="s">
        <v>1145</v>
      </c>
      <c r="D5845" s="21" t="s">
        <v>35</v>
      </c>
      <c r="E5845" s="17" t="s">
        <v>623</v>
      </c>
      <c r="F5845" s="18" t="s">
        <v>187</v>
      </c>
      <c r="G5845" s="18" t="s">
        <v>48</v>
      </c>
      <c r="H5845" s="24">
        <v>17690</v>
      </c>
      <c r="I5845" s="24">
        <f>T_reg.root.SK[[#This Row],[Volume, kg]]/1000</f>
        <v>17.690000000000001</v>
      </c>
      <c r="J5845" s="25">
        <v>0.18059999999999998</v>
      </c>
      <c r="K5845" s="25">
        <f t="shared" si="92"/>
        <v>3194.8139999999999</v>
      </c>
      <c r="L5845" s="25">
        <v>1.59</v>
      </c>
      <c r="M5845" s="24">
        <v>28155.5</v>
      </c>
      <c r="N5845" s="25">
        <f>IFERROR(T_reg.root.SK[[#This Row],[Price]]/T_reg.root.SK[[#This Row],[Starch content]],"")</f>
        <v>8.8039867109634571</v>
      </c>
    </row>
    <row r="5846" spans="1:14">
      <c r="A5846" s="21">
        <v>2025</v>
      </c>
      <c r="B5846" s="21" t="s">
        <v>22</v>
      </c>
      <c r="C5846" s="21" t="s">
        <v>1145</v>
      </c>
      <c r="D5846" s="21" t="s">
        <v>35</v>
      </c>
      <c r="E5846" s="17" t="s">
        <v>691</v>
      </c>
      <c r="F5846" s="18" t="s">
        <v>187</v>
      </c>
      <c r="G5846" s="18" t="s">
        <v>48</v>
      </c>
      <c r="H5846" s="24">
        <v>26250</v>
      </c>
      <c r="I5846" s="24">
        <f>T_reg.root.SK[[#This Row],[Volume, kg]]/1000</f>
        <v>26.25</v>
      </c>
      <c r="J5846" s="25">
        <v>0.24739999999999998</v>
      </c>
      <c r="K5846" s="25">
        <f t="shared" si="92"/>
        <v>6494.2499999999991</v>
      </c>
      <c r="L5846" s="25">
        <v>1.93</v>
      </c>
      <c r="M5846" s="24">
        <v>50722</v>
      </c>
      <c r="N5846" s="25">
        <f>IFERROR(T_reg.root.SK[[#This Row],[Price]]/T_reg.root.SK[[#This Row],[Starch content]],"")</f>
        <v>7.8011317704122884</v>
      </c>
    </row>
    <row r="5847" spans="1:14">
      <c r="A5847" s="21">
        <v>2025</v>
      </c>
      <c r="B5847" s="21" t="s">
        <v>22</v>
      </c>
      <c r="C5847" s="21" t="s">
        <v>1145</v>
      </c>
      <c r="D5847" s="21" t="s">
        <v>35</v>
      </c>
      <c r="E5847" s="17" t="s">
        <v>792</v>
      </c>
      <c r="F5847" s="18" t="s">
        <v>105</v>
      </c>
      <c r="G5847" s="18" t="s">
        <v>48</v>
      </c>
      <c r="H5847" s="24">
        <v>32260</v>
      </c>
      <c r="I5847" s="24">
        <f>T_reg.root.SK[[#This Row],[Volume, kg]]/1000</f>
        <v>32.26</v>
      </c>
      <c r="J5847" s="25">
        <v>0.22640000000000002</v>
      </c>
      <c r="K5847" s="25">
        <f t="shared" si="92"/>
        <v>7303.6640000000007</v>
      </c>
      <c r="L5847" s="25">
        <v>1.83</v>
      </c>
      <c r="M5847" s="24">
        <v>59023.5</v>
      </c>
      <c r="N5847" s="25">
        <f>IFERROR(T_reg.root.SK[[#This Row],[Price]]/T_reg.root.SK[[#This Row],[Starch content]],"")</f>
        <v>8.0830388692579493</v>
      </c>
    </row>
    <row r="5848" spans="1:14">
      <c r="A5848" s="21">
        <v>2025</v>
      </c>
      <c r="B5848" s="21" t="s">
        <v>22</v>
      </c>
      <c r="C5848" s="21" t="s">
        <v>1145</v>
      </c>
      <c r="D5848" s="21" t="s">
        <v>35</v>
      </c>
      <c r="E5848" s="17" t="s">
        <v>760</v>
      </c>
      <c r="F5848" s="18" t="s">
        <v>187</v>
      </c>
      <c r="G5848" s="18" t="s">
        <v>48</v>
      </c>
      <c r="H5848" s="24">
        <v>99750</v>
      </c>
      <c r="I5848" s="24">
        <f>T_reg.root.SK[[#This Row],[Volume, kg]]/1000</f>
        <v>99.75</v>
      </c>
      <c r="J5848" s="25">
        <v>0.188</v>
      </c>
      <c r="K5848" s="25">
        <f t="shared" si="92"/>
        <v>18753</v>
      </c>
      <c r="L5848" s="25">
        <v>1.64</v>
      </c>
      <c r="M5848" s="24">
        <v>163429.5</v>
      </c>
      <c r="N5848" s="25">
        <f>IFERROR(T_reg.root.SK[[#This Row],[Price]]/T_reg.root.SK[[#This Row],[Starch content]],"")</f>
        <v>8.7234042553191475</v>
      </c>
    </row>
    <row r="5849" spans="1:14">
      <c r="A5849" s="21">
        <v>2025</v>
      </c>
      <c r="B5849" s="21" t="s">
        <v>22</v>
      </c>
      <c r="C5849" s="21" t="s">
        <v>1145</v>
      </c>
      <c r="D5849" s="21" t="s">
        <v>35</v>
      </c>
      <c r="E5849" s="17" t="s">
        <v>938</v>
      </c>
      <c r="F5849" s="18" t="s">
        <v>105</v>
      </c>
      <c r="G5849" s="18" t="s">
        <v>48</v>
      </c>
      <c r="H5849" s="24">
        <v>196200</v>
      </c>
      <c r="I5849" s="24">
        <f>T_reg.root.SK[[#This Row],[Volume, kg]]/1000</f>
        <v>196.2</v>
      </c>
      <c r="J5849" s="25">
        <v>0.2082</v>
      </c>
      <c r="K5849" s="25">
        <f t="shared" si="92"/>
        <v>40848.839999999997</v>
      </c>
      <c r="L5849" s="25">
        <v>1.74</v>
      </c>
      <c r="M5849" s="24">
        <v>342249.5</v>
      </c>
      <c r="N5849" s="25">
        <f>IFERROR(T_reg.root.SK[[#This Row],[Price]]/T_reg.root.SK[[#This Row],[Starch content]],"")</f>
        <v>8.3573487031700289</v>
      </c>
    </row>
    <row r="5850" spans="1:14">
      <c r="A5850" s="21">
        <v>2025</v>
      </c>
      <c r="B5850" s="21" t="s">
        <v>22</v>
      </c>
      <c r="C5850" s="21" t="s">
        <v>1145</v>
      </c>
      <c r="D5850" s="21" t="s">
        <v>35</v>
      </c>
      <c r="E5850" s="17" t="s">
        <v>980</v>
      </c>
      <c r="F5850" s="18" t="s">
        <v>105</v>
      </c>
      <c r="G5850" s="18" t="s">
        <v>48</v>
      </c>
      <c r="H5850" s="24">
        <v>49900</v>
      </c>
      <c r="I5850" s="24">
        <f>T_reg.root.SK[[#This Row],[Volume, kg]]/1000</f>
        <v>49.9</v>
      </c>
      <c r="J5850" s="25">
        <v>0.2109</v>
      </c>
      <c r="K5850" s="25">
        <f t="shared" si="92"/>
        <v>10523.91</v>
      </c>
      <c r="L5850" s="25">
        <v>1.77</v>
      </c>
      <c r="M5850" s="24">
        <v>88304</v>
      </c>
      <c r="N5850" s="25">
        <f>IFERROR(T_reg.root.SK[[#This Row],[Price]]/T_reg.root.SK[[#This Row],[Starch content]],"")</f>
        <v>8.3926031294452343</v>
      </c>
    </row>
    <row r="5851" spans="1:14">
      <c r="A5851" s="21">
        <v>2025</v>
      </c>
      <c r="B5851" s="21" t="s">
        <v>22</v>
      </c>
      <c r="C5851" s="21" t="s">
        <v>1145</v>
      </c>
      <c r="D5851" s="21" t="s">
        <v>35</v>
      </c>
      <c r="E5851" s="17" t="s">
        <v>981</v>
      </c>
      <c r="F5851" s="18" t="s">
        <v>105</v>
      </c>
      <c r="G5851" s="18" t="s">
        <v>48</v>
      </c>
      <c r="H5851" s="24">
        <v>36230</v>
      </c>
      <c r="I5851" s="24">
        <f>T_reg.root.SK[[#This Row],[Volume, kg]]/1000</f>
        <v>36.229999999999997</v>
      </c>
      <c r="J5851" s="25">
        <v>0.20949999999999999</v>
      </c>
      <c r="K5851" s="25">
        <f t="shared" si="92"/>
        <v>7590.1849999999995</v>
      </c>
      <c r="L5851" s="25">
        <v>1.75</v>
      </c>
      <c r="M5851" s="24">
        <v>63239.5</v>
      </c>
      <c r="N5851" s="25">
        <f>IFERROR(T_reg.root.SK[[#This Row],[Price]]/T_reg.root.SK[[#This Row],[Starch content]],"")</f>
        <v>8.3532219570405726</v>
      </c>
    </row>
    <row r="5852" spans="1:14">
      <c r="A5852" s="21">
        <v>2025</v>
      </c>
      <c r="B5852" s="21" t="s">
        <v>22</v>
      </c>
      <c r="C5852" s="21" t="s">
        <v>1145</v>
      </c>
      <c r="D5852" s="21" t="s">
        <v>35</v>
      </c>
      <c r="E5852" s="17" t="s">
        <v>1015</v>
      </c>
      <c r="F5852" s="18" t="s">
        <v>105</v>
      </c>
      <c r="G5852" s="18" t="s">
        <v>48</v>
      </c>
      <c r="H5852" s="24">
        <v>76030</v>
      </c>
      <c r="I5852" s="24">
        <f>T_reg.root.SK[[#This Row],[Volume, kg]]/1000</f>
        <v>76.03</v>
      </c>
      <c r="J5852" s="25">
        <v>0.2359</v>
      </c>
      <c r="K5852" s="25">
        <f t="shared" si="92"/>
        <v>17935.476999999999</v>
      </c>
      <c r="L5852" s="25">
        <v>1.89</v>
      </c>
      <c r="M5852" s="24">
        <v>143460</v>
      </c>
      <c r="N5852" s="25">
        <f>IFERROR(T_reg.root.SK[[#This Row],[Price]]/T_reg.root.SK[[#This Row],[Starch content]],"")</f>
        <v>8.0118694362017795</v>
      </c>
    </row>
    <row r="5853" spans="1:14">
      <c r="A5853" s="21">
        <v>2025</v>
      </c>
      <c r="B5853" s="21" t="s">
        <v>22</v>
      </c>
      <c r="C5853" s="21" t="s">
        <v>1145</v>
      </c>
      <c r="D5853" s="21" t="s">
        <v>35</v>
      </c>
      <c r="E5853" s="17" t="s">
        <v>1026</v>
      </c>
      <c r="F5853" s="18" t="s">
        <v>105</v>
      </c>
      <c r="G5853" s="18" t="s">
        <v>48</v>
      </c>
      <c r="H5853" s="24">
        <v>34810</v>
      </c>
      <c r="I5853" s="24">
        <f>T_reg.root.SK[[#This Row],[Volume, kg]]/1000</f>
        <v>34.81</v>
      </c>
      <c r="J5853" s="25">
        <v>0.20379999999999998</v>
      </c>
      <c r="K5853" s="25">
        <f t="shared" si="92"/>
        <v>7094.2779999999993</v>
      </c>
      <c r="L5853" s="25">
        <v>1.72</v>
      </c>
      <c r="M5853" s="24">
        <v>60044.5</v>
      </c>
      <c r="N5853" s="25">
        <f>IFERROR(T_reg.root.SK[[#This Row],[Price]]/T_reg.root.SK[[#This Row],[Starch content]],"")</f>
        <v>8.4396467124631993</v>
      </c>
    </row>
    <row r="5854" spans="1:14">
      <c r="A5854" s="21">
        <v>2025</v>
      </c>
      <c r="B5854" s="21" t="s">
        <v>22</v>
      </c>
      <c r="C5854" s="21" t="s">
        <v>1145</v>
      </c>
      <c r="D5854" s="21" t="s">
        <v>35</v>
      </c>
      <c r="E5854" s="17" t="s">
        <v>1027</v>
      </c>
      <c r="F5854" s="18" t="s">
        <v>187</v>
      </c>
      <c r="G5854" s="18" t="s">
        <v>48</v>
      </c>
      <c r="H5854" s="24">
        <v>68720</v>
      </c>
      <c r="I5854" s="24">
        <f>T_reg.root.SK[[#This Row],[Volume, kg]]/1000</f>
        <v>68.72</v>
      </c>
      <c r="J5854" s="25">
        <v>0.16930000000000001</v>
      </c>
      <c r="K5854" s="25">
        <f t="shared" si="92"/>
        <v>11634.296</v>
      </c>
      <c r="L5854" s="25">
        <v>1.54</v>
      </c>
      <c r="M5854" s="24">
        <v>106094</v>
      </c>
      <c r="N5854" s="25">
        <f>IFERROR(T_reg.root.SK[[#This Row],[Price]]/T_reg.root.SK[[#This Row],[Starch content]],"")</f>
        <v>9.0962787950383941</v>
      </c>
    </row>
    <row r="5855" spans="1:14">
      <c r="A5855" s="21">
        <v>2025</v>
      </c>
      <c r="B5855" s="21" t="s">
        <v>22</v>
      </c>
      <c r="C5855" s="21" t="s">
        <v>1145</v>
      </c>
      <c r="D5855" s="21" t="s">
        <v>35</v>
      </c>
      <c r="E5855" s="17" t="s">
        <v>225</v>
      </c>
      <c r="F5855" s="18" t="s">
        <v>47</v>
      </c>
      <c r="G5855" s="18" t="s">
        <v>48</v>
      </c>
      <c r="H5855" s="24">
        <v>36430</v>
      </c>
      <c r="I5855" s="24">
        <f>T_reg.root.SK[[#This Row],[Volume, kg]]/1000</f>
        <v>36.43</v>
      </c>
      <c r="J5855" s="25">
        <v>0.22589999999999999</v>
      </c>
      <c r="K5855" s="25">
        <f t="shared" si="92"/>
        <v>8229.5370000000003</v>
      </c>
      <c r="L5855" s="25">
        <v>1.84</v>
      </c>
      <c r="M5855" s="24">
        <v>66985.5</v>
      </c>
      <c r="N5855" s="25">
        <f>IFERROR(T_reg.root.SK[[#This Row],[Price]]/T_reg.root.SK[[#This Row],[Starch content]],"")</f>
        <v>8.1451969898185048</v>
      </c>
    </row>
    <row r="5856" spans="1:14">
      <c r="A5856" s="21">
        <v>2025</v>
      </c>
      <c r="B5856" s="21" t="s">
        <v>22</v>
      </c>
      <c r="C5856" s="21" t="s">
        <v>1145</v>
      </c>
      <c r="D5856" s="21" t="s">
        <v>35</v>
      </c>
      <c r="E5856" s="17" t="s">
        <v>215</v>
      </c>
      <c r="F5856" s="18" t="s">
        <v>187</v>
      </c>
      <c r="G5856" s="18" t="s">
        <v>48</v>
      </c>
      <c r="H5856" s="24">
        <v>79820</v>
      </c>
      <c r="I5856" s="24">
        <f>T_reg.root.SK[[#This Row],[Volume, kg]]/1000</f>
        <v>79.819999999999993</v>
      </c>
      <c r="J5856" s="25">
        <v>0.21760000000000002</v>
      </c>
      <c r="K5856" s="25">
        <f t="shared" si="92"/>
        <v>17368.832000000002</v>
      </c>
      <c r="L5856" s="25">
        <v>1.79</v>
      </c>
      <c r="M5856" s="24">
        <v>143025</v>
      </c>
      <c r="N5856" s="25">
        <f>IFERROR(T_reg.root.SK[[#This Row],[Price]]/T_reg.root.SK[[#This Row],[Starch content]],"")</f>
        <v>8.226102941176471</v>
      </c>
    </row>
    <row r="5857" spans="1:14">
      <c r="A5857" s="21">
        <v>2025</v>
      </c>
      <c r="B5857" s="21" t="s">
        <v>22</v>
      </c>
      <c r="C5857" s="21" t="s">
        <v>1145</v>
      </c>
      <c r="D5857" s="21" t="s">
        <v>35</v>
      </c>
      <c r="E5857" s="17" t="s">
        <v>542</v>
      </c>
      <c r="F5857" s="18" t="s">
        <v>187</v>
      </c>
      <c r="G5857" s="18" t="s">
        <v>48</v>
      </c>
      <c r="H5857" s="24">
        <v>122400</v>
      </c>
      <c r="I5857" s="24">
        <f>T_reg.root.SK[[#This Row],[Volume, kg]]/1000</f>
        <v>122.4</v>
      </c>
      <c r="J5857" s="25">
        <v>0.18840000000000001</v>
      </c>
      <c r="K5857" s="25">
        <f t="shared" si="92"/>
        <v>23060.16</v>
      </c>
      <c r="L5857" s="25">
        <v>1.64</v>
      </c>
      <c r="M5857" s="24">
        <v>201181.5</v>
      </c>
      <c r="N5857" s="25">
        <f>IFERROR(T_reg.root.SK[[#This Row],[Price]]/T_reg.root.SK[[#This Row],[Starch content]],"")</f>
        <v>8.7048832271762198</v>
      </c>
    </row>
    <row r="5858" spans="1:14">
      <c r="A5858" s="21">
        <v>2025</v>
      </c>
      <c r="B5858" s="21" t="s">
        <v>22</v>
      </c>
      <c r="C5858" s="21" t="s">
        <v>1145</v>
      </c>
      <c r="D5858" s="21" t="s">
        <v>35</v>
      </c>
      <c r="E5858" s="17" t="s">
        <v>326</v>
      </c>
      <c r="F5858" s="18" t="s">
        <v>105</v>
      </c>
      <c r="G5858" s="18" t="s">
        <v>48</v>
      </c>
      <c r="H5858" s="24">
        <v>66190</v>
      </c>
      <c r="I5858" s="24">
        <f>T_reg.root.SK[[#This Row],[Volume, kg]]/1000</f>
        <v>66.19</v>
      </c>
      <c r="J5858" s="25">
        <v>0.18260000000000001</v>
      </c>
      <c r="K5858" s="25">
        <f t="shared" si="92"/>
        <v>12086.294000000002</v>
      </c>
      <c r="L5858" s="25">
        <v>1.62</v>
      </c>
      <c r="M5858" s="24">
        <v>107346</v>
      </c>
      <c r="N5858" s="25">
        <f>IFERROR(T_reg.root.SK[[#This Row],[Price]]/T_reg.root.SK[[#This Row],[Starch content]],"")</f>
        <v>8.8718510405257387</v>
      </c>
    </row>
    <row r="5859" spans="1:14">
      <c r="A5859" s="21">
        <v>2025</v>
      </c>
      <c r="B5859" s="21" t="s">
        <v>22</v>
      </c>
      <c r="C5859" s="21" t="s">
        <v>1145</v>
      </c>
      <c r="D5859" s="21" t="s">
        <v>35</v>
      </c>
      <c r="E5859" s="17" t="s">
        <v>174</v>
      </c>
      <c r="F5859" s="18" t="s">
        <v>105</v>
      </c>
      <c r="G5859" s="18" t="s">
        <v>48</v>
      </c>
      <c r="H5859" s="24">
        <v>5780</v>
      </c>
      <c r="I5859" s="24">
        <f>T_reg.root.SK[[#This Row],[Volume, kg]]/1000</f>
        <v>5.78</v>
      </c>
      <c r="J5859" s="25">
        <v>0.217</v>
      </c>
      <c r="K5859" s="25">
        <f t="shared" si="92"/>
        <v>1254.26</v>
      </c>
      <c r="L5859" s="25">
        <v>1.8</v>
      </c>
      <c r="M5859" s="24">
        <v>10404</v>
      </c>
      <c r="N5859" s="25">
        <f>IFERROR(T_reg.root.SK[[#This Row],[Price]]/T_reg.root.SK[[#This Row],[Starch content]],"")</f>
        <v>8.2949308755760374</v>
      </c>
    </row>
    <row r="5860" spans="1:14">
      <c r="A5860" s="21">
        <v>2025</v>
      </c>
      <c r="B5860" s="21" t="s">
        <v>22</v>
      </c>
      <c r="C5860" s="21" t="s">
        <v>1145</v>
      </c>
      <c r="D5860" s="21" t="s">
        <v>35</v>
      </c>
      <c r="E5860" s="17" t="s">
        <v>543</v>
      </c>
      <c r="F5860" s="18" t="s">
        <v>187</v>
      </c>
      <c r="G5860" s="18" t="s">
        <v>48</v>
      </c>
      <c r="H5860" s="24">
        <v>16230</v>
      </c>
      <c r="I5860" s="24">
        <f>T_reg.root.SK[[#This Row],[Volume, kg]]/1000</f>
        <v>16.23</v>
      </c>
      <c r="J5860" s="25">
        <v>0.22289999999999999</v>
      </c>
      <c r="K5860" s="25">
        <f t="shared" si="92"/>
        <v>3617.6669999999999</v>
      </c>
      <c r="L5860" s="25">
        <v>1.81</v>
      </c>
      <c r="M5860" s="24">
        <v>29377.5</v>
      </c>
      <c r="N5860" s="25">
        <f>IFERROR(T_reg.root.SK[[#This Row],[Price]]/T_reg.root.SK[[#This Row],[Starch content]],"")</f>
        <v>8.1202332884701676</v>
      </c>
    </row>
    <row r="5861" spans="1:14">
      <c r="A5861" s="21">
        <v>2025</v>
      </c>
      <c r="B5861" s="21" t="s">
        <v>22</v>
      </c>
      <c r="C5861" s="21" t="s">
        <v>1145</v>
      </c>
      <c r="D5861" s="21" t="s">
        <v>39</v>
      </c>
      <c r="E5861" s="17" t="s">
        <v>88</v>
      </c>
      <c r="F5861" s="18" t="s">
        <v>89</v>
      </c>
      <c r="G5861" s="18" t="s">
        <v>90</v>
      </c>
      <c r="H5861" s="24">
        <v>4535300</v>
      </c>
      <c r="I5861" s="24">
        <f>T_reg.root.SK[[#This Row],[Volume, kg]]/1000</f>
        <v>4535.3</v>
      </c>
      <c r="J5861" s="25">
        <v>0.1946</v>
      </c>
      <c r="K5861" s="25">
        <f t="shared" si="92"/>
        <v>882569.38</v>
      </c>
      <c r="L5861" s="25">
        <v>1.88</v>
      </c>
      <c r="M5861" s="24">
        <v>8543288</v>
      </c>
      <c r="N5861" s="25">
        <f>IFERROR(T_reg.root.SK[[#This Row],[Price]]/T_reg.root.SK[[#This Row],[Starch content]],"")</f>
        <v>9.660842754367934</v>
      </c>
    </row>
    <row r="5862" spans="1:14">
      <c r="A5862" s="21">
        <v>2025</v>
      </c>
      <c r="B5862" s="21" t="s">
        <v>22</v>
      </c>
      <c r="C5862" s="21" t="s">
        <v>1145</v>
      </c>
      <c r="D5862" s="21" t="s">
        <v>35</v>
      </c>
      <c r="E5862" s="17" t="s">
        <v>761</v>
      </c>
      <c r="F5862" s="18" t="s">
        <v>187</v>
      </c>
      <c r="G5862" s="18" t="s">
        <v>48</v>
      </c>
      <c r="H5862" s="24">
        <v>88240</v>
      </c>
      <c r="I5862" s="24">
        <f>T_reg.root.SK[[#This Row],[Volume, kg]]/1000</f>
        <v>88.24</v>
      </c>
      <c r="J5862" s="25">
        <v>0.2089</v>
      </c>
      <c r="K5862" s="25">
        <f t="shared" si="92"/>
        <v>18433.335999999999</v>
      </c>
      <c r="L5862" s="25">
        <v>1.75</v>
      </c>
      <c r="M5862" s="24">
        <v>154235</v>
      </c>
      <c r="N5862" s="25">
        <f>IFERROR(T_reg.root.SK[[#This Row],[Price]]/T_reg.root.SK[[#This Row],[Starch content]],"")</f>
        <v>8.3772139779798938</v>
      </c>
    </row>
    <row r="5863" spans="1:14">
      <c r="A5863" s="21">
        <v>2025</v>
      </c>
      <c r="B5863" s="21" t="s">
        <v>22</v>
      </c>
      <c r="C5863" s="21" t="s">
        <v>1145</v>
      </c>
      <c r="D5863" s="21" t="s">
        <v>35</v>
      </c>
      <c r="E5863" s="17" t="s">
        <v>175</v>
      </c>
      <c r="F5863" s="18" t="s">
        <v>105</v>
      </c>
      <c r="G5863" s="18" t="s">
        <v>48</v>
      </c>
      <c r="H5863" s="24">
        <v>51480</v>
      </c>
      <c r="I5863" s="24">
        <f>T_reg.root.SK[[#This Row],[Volume, kg]]/1000</f>
        <v>51.48</v>
      </c>
      <c r="J5863" s="25">
        <v>0.18729999999999999</v>
      </c>
      <c r="K5863" s="25">
        <f t="shared" si="92"/>
        <v>9642.2039999999997</v>
      </c>
      <c r="L5863" s="25">
        <v>1.64</v>
      </c>
      <c r="M5863" s="24">
        <v>84399</v>
      </c>
      <c r="N5863" s="25">
        <f>IFERROR(T_reg.root.SK[[#This Row],[Price]]/T_reg.root.SK[[#This Row],[Starch content]],"")</f>
        <v>8.756006406833956</v>
      </c>
    </row>
    <row r="5864" spans="1:14">
      <c r="A5864" s="21">
        <v>2025</v>
      </c>
      <c r="B5864" s="21" t="s">
        <v>22</v>
      </c>
      <c r="C5864" s="21" t="s">
        <v>1145</v>
      </c>
      <c r="D5864" s="21" t="s">
        <v>35</v>
      </c>
      <c r="E5864" s="17" t="s">
        <v>176</v>
      </c>
      <c r="F5864" s="18" t="s">
        <v>105</v>
      </c>
      <c r="G5864" s="18" t="s">
        <v>48</v>
      </c>
      <c r="H5864" s="24">
        <v>9470</v>
      </c>
      <c r="I5864" s="24">
        <f>T_reg.root.SK[[#This Row],[Volume, kg]]/1000</f>
        <v>9.4700000000000006</v>
      </c>
      <c r="J5864" s="25">
        <v>0.19620000000000001</v>
      </c>
      <c r="K5864" s="25">
        <f t="shared" si="92"/>
        <v>1858.0140000000001</v>
      </c>
      <c r="L5864" s="25">
        <v>1.67</v>
      </c>
      <c r="M5864" s="24">
        <v>15861</v>
      </c>
      <c r="N5864" s="25">
        <f>IFERROR(T_reg.root.SK[[#This Row],[Price]]/T_reg.root.SK[[#This Row],[Starch content]],"")</f>
        <v>8.5117227319062181</v>
      </c>
    </row>
    <row r="5865" spans="1:14">
      <c r="A5865" s="21">
        <v>2025</v>
      </c>
      <c r="B5865" s="21" t="s">
        <v>22</v>
      </c>
      <c r="C5865" s="21" t="s">
        <v>1145</v>
      </c>
      <c r="D5865" s="21" t="s">
        <v>35</v>
      </c>
      <c r="E5865" s="17" t="s">
        <v>178</v>
      </c>
      <c r="F5865" s="18" t="s">
        <v>105</v>
      </c>
      <c r="G5865" s="18" t="s">
        <v>48</v>
      </c>
      <c r="H5865" s="24">
        <v>18820</v>
      </c>
      <c r="I5865" s="24">
        <f>T_reg.root.SK[[#This Row],[Volume, kg]]/1000</f>
        <v>18.82</v>
      </c>
      <c r="J5865" s="25">
        <v>0.1938</v>
      </c>
      <c r="K5865" s="25">
        <f t="shared" si="92"/>
        <v>3647.3159999999998</v>
      </c>
      <c r="L5865" s="25">
        <v>1.68</v>
      </c>
      <c r="M5865" s="24">
        <v>31524.5</v>
      </c>
      <c r="N5865" s="25">
        <f>IFERROR(T_reg.root.SK[[#This Row],[Price]]/T_reg.root.SK[[#This Row],[Starch content]],"")</f>
        <v>8.6687306501547976</v>
      </c>
    </row>
    <row r="5866" spans="1:14">
      <c r="A5866" s="21">
        <v>2025</v>
      </c>
      <c r="B5866" s="21" t="s">
        <v>22</v>
      </c>
      <c r="C5866" s="21" t="s">
        <v>1145</v>
      </c>
      <c r="D5866" s="21" t="s">
        <v>35</v>
      </c>
      <c r="E5866" s="17" t="s">
        <v>605</v>
      </c>
      <c r="F5866" s="18" t="s">
        <v>105</v>
      </c>
      <c r="G5866" s="18" t="s">
        <v>48</v>
      </c>
      <c r="H5866" s="24">
        <v>216770</v>
      </c>
      <c r="I5866" s="24">
        <f>T_reg.root.SK[[#This Row],[Volume, kg]]/1000</f>
        <v>216.77</v>
      </c>
      <c r="J5866" s="25">
        <v>0.2064</v>
      </c>
      <c r="K5866" s="25">
        <f t="shared" si="92"/>
        <v>44741.328000000001</v>
      </c>
      <c r="L5866" s="25">
        <v>1.73</v>
      </c>
      <c r="M5866" s="24">
        <v>374976</v>
      </c>
      <c r="N5866" s="25">
        <f>IFERROR(T_reg.root.SK[[#This Row],[Price]]/T_reg.root.SK[[#This Row],[Starch content]],"")</f>
        <v>8.3817829457364343</v>
      </c>
    </row>
    <row r="5867" spans="1:14">
      <c r="A5867" s="21">
        <v>2025</v>
      </c>
      <c r="B5867" s="21" t="s">
        <v>22</v>
      </c>
      <c r="C5867" s="21" t="s">
        <v>1145</v>
      </c>
      <c r="D5867" s="21" t="s">
        <v>35</v>
      </c>
      <c r="E5867" s="17" t="s">
        <v>329</v>
      </c>
      <c r="F5867" s="18" t="s">
        <v>105</v>
      </c>
      <c r="G5867" s="18" t="s">
        <v>48</v>
      </c>
      <c r="H5867" s="24">
        <v>75930</v>
      </c>
      <c r="I5867" s="24">
        <f>T_reg.root.SK[[#This Row],[Volume, kg]]/1000</f>
        <v>75.930000000000007</v>
      </c>
      <c r="J5867" s="25">
        <v>0.2646</v>
      </c>
      <c r="K5867" s="25">
        <f t="shared" si="92"/>
        <v>20091.078000000001</v>
      </c>
      <c r="L5867" s="25">
        <v>2.0299999999999998</v>
      </c>
      <c r="M5867" s="24">
        <v>154042.5</v>
      </c>
      <c r="N5867" s="25">
        <f>IFERROR(T_reg.root.SK[[#This Row],[Price]]/T_reg.root.SK[[#This Row],[Starch content]],"")</f>
        <v>7.6719576719576708</v>
      </c>
    </row>
    <row r="5868" spans="1:14">
      <c r="A5868" s="21">
        <v>2025</v>
      </c>
      <c r="B5868" s="21" t="s">
        <v>22</v>
      </c>
      <c r="C5868" s="21" t="s">
        <v>1145</v>
      </c>
      <c r="D5868" s="21" t="s">
        <v>35</v>
      </c>
      <c r="E5868" s="17" t="s">
        <v>179</v>
      </c>
      <c r="F5868" s="18" t="s">
        <v>105</v>
      </c>
      <c r="G5868" s="18" t="s">
        <v>48</v>
      </c>
      <c r="H5868" s="24">
        <v>45930</v>
      </c>
      <c r="I5868" s="24">
        <f>T_reg.root.SK[[#This Row],[Volume, kg]]/1000</f>
        <v>45.93</v>
      </c>
      <c r="J5868" s="25">
        <v>0.19739999999999999</v>
      </c>
      <c r="K5868" s="25">
        <f t="shared" si="92"/>
        <v>9066.5820000000003</v>
      </c>
      <c r="L5868" s="25">
        <v>1.69</v>
      </c>
      <c r="M5868" s="24">
        <v>77754</v>
      </c>
      <c r="N5868" s="25">
        <f>IFERROR(T_reg.root.SK[[#This Row],[Price]]/T_reg.root.SK[[#This Row],[Starch content]],"")</f>
        <v>8.5612968591692002</v>
      </c>
    </row>
    <row r="5869" spans="1:14">
      <c r="A5869" s="21">
        <v>2025</v>
      </c>
      <c r="B5869" s="21" t="s">
        <v>22</v>
      </c>
      <c r="C5869" s="21" t="s">
        <v>1145</v>
      </c>
      <c r="D5869" s="21" t="s">
        <v>35</v>
      </c>
      <c r="E5869" s="17" t="s">
        <v>181</v>
      </c>
      <c r="F5869" s="18" t="s">
        <v>105</v>
      </c>
      <c r="G5869" s="18" t="s">
        <v>48</v>
      </c>
      <c r="H5869" s="24">
        <v>29680</v>
      </c>
      <c r="I5869" s="24">
        <f>T_reg.root.SK[[#This Row],[Volume, kg]]/1000</f>
        <v>29.68</v>
      </c>
      <c r="J5869" s="25">
        <v>0.18210000000000001</v>
      </c>
      <c r="K5869" s="25">
        <f t="shared" si="92"/>
        <v>5404.7280000000001</v>
      </c>
      <c r="L5869" s="25">
        <v>1.61</v>
      </c>
      <c r="M5869" s="24">
        <v>47906</v>
      </c>
      <c r="N5869" s="25">
        <f>IFERROR(T_reg.root.SK[[#This Row],[Price]]/T_reg.root.SK[[#This Row],[Starch content]],"")</f>
        <v>8.8412959912136184</v>
      </c>
    </row>
    <row r="5870" spans="1:14">
      <c r="A5870" s="21">
        <v>2025</v>
      </c>
      <c r="B5870" s="21" t="s">
        <v>22</v>
      </c>
      <c r="C5870" s="21" t="s">
        <v>1145</v>
      </c>
      <c r="D5870" s="21" t="s">
        <v>35</v>
      </c>
      <c r="E5870" s="17" t="s">
        <v>93</v>
      </c>
      <c r="F5870" s="18" t="s">
        <v>92</v>
      </c>
      <c r="G5870" s="18" t="s">
        <v>48</v>
      </c>
      <c r="H5870" s="24">
        <v>38590</v>
      </c>
      <c r="I5870" s="24">
        <f>T_reg.root.SK[[#This Row],[Volume, kg]]/1000</f>
        <v>38.590000000000003</v>
      </c>
      <c r="J5870" s="25">
        <v>0.16589999999999999</v>
      </c>
      <c r="K5870" s="25">
        <f t="shared" si="92"/>
        <v>6402.0810000000001</v>
      </c>
      <c r="L5870" s="25">
        <v>1.52</v>
      </c>
      <c r="M5870" s="24">
        <v>58825.5</v>
      </c>
      <c r="N5870" s="25">
        <f>IFERROR(T_reg.root.SK[[#This Row],[Price]]/T_reg.root.SK[[#This Row],[Starch content]],"")</f>
        <v>9.162145871006631</v>
      </c>
    </row>
    <row r="5871" spans="1:14">
      <c r="A5871" s="21">
        <v>2025</v>
      </c>
      <c r="B5871" s="21" t="s">
        <v>22</v>
      </c>
      <c r="C5871" s="21" t="s">
        <v>1145</v>
      </c>
      <c r="D5871" s="21" t="s">
        <v>35</v>
      </c>
      <c r="E5871" s="17" t="s">
        <v>741</v>
      </c>
      <c r="F5871" s="18" t="s">
        <v>105</v>
      </c>
      <c r="G5871" s="18" t="s">
        <v>48</v>
      </c>
      <c r="H5871" s="24">
        <v>90610</v>
      </c>
      <c r="I5871" s="24">
        <f>T_reg.root.SK[[#This Row],[Volume, kg]]/1000</f>
        <v>90.61</v>
      </c>
      <c r="J5871" s="25">
        <v>0.20350000000000001</v>
      </c>
      <c r="K5871" s="25">
        <f t="shared" si="92"/>
        <v>18439.135000000002</v>
      </c>
      <c r="L5871" s="25">
        <v>1.72</v>
      </c>
      <c r="M5871" s="24">
        <v>155691</v>
      </c>
      <c r="N5871" s="25">
        <f>IFERROR(T_reg.root.SK[[#This Row],[Price]]/T_reg.root.SK[[#This Row],[Starch content]],"")</f>
        <v>8.4520884520884518</v>
      </c>
    </row>
    <row r="5872" spans="1:14">
      <c r="A5872" s="21">
        <v>2025</v>
      </c>
      <c r="B5872" s="21" t="s">
        <v>22</v>
      </c>
      <c r="C5872" s="21" t="s">
        <v>1145</v>
      </c>
      <c r="D5872" s="21" t="s">
        <v>35</v>
      </c>
      <c r="E5872" s="17" t="s">
        <v>640</v>
      </c>
      <c r="F5872" s="18" t="s">
        <v>105</v>
      </c>
      <c r="G5872" s="18" t="s">
        <v>48</v>
      </c>
      <c r="H5872" s="24">
        <v>105950</v>
      </c>
      <c r="I5872" s="24">
        <f>T_reg.root.SK[[#This Row],[Volume, kg]]/1000</f>
        <v>105.95</v>
      </c>
      <c r="J5872" s="25">
        <v>0.21789999999999998</v>
      </c>
      <c r="K5872" s="25">
        <f t="shared" si="92"/>
        <v>23086.504999999997</v>
      </c>
      <c r="L5872" s="25">
        <v>1.79</v>
      </c>
      <c r="M5872" s="24">
        <v>189311.5</v>
      </c>
      <c r="N5872" s="25">
        <f>IFERROR(T_reg.root.SK[[#This Row],[Price]]/T_reg.root.SK[[#This Row],[Starch content]],"")</f>
        <v>8.2147774208352455</v>
      </c>
    </row>
    <row r="5873" spans="1:14">
      <c r="A5873" s="21">
        <v>2025</v>
      </c>
      <c r="B5873" s="21" t="s">
        <v>22</v>
      </c>
      <c r="C5873" s="21" t="s">
        <v>1145</v>
      </c>
      <c r="D5873" s="21" t="s">
        <v>35</v>
      </c>
      <c r="E5873" s="17" t="s">
        <v>829</v>
      </c>
      <c r="F5873" s="18" t="s">
        <v>105</v>
      </c>
      <c r="G5873" s="18" t="s">
        <v>48</v>
      </c>
      <c r="H5873" s="24">
        <v>17820</v>
      </c>
      <c r="I5873" s="24">
        <f>T_reg.root.SK[[#This Row],[Volume, kg]]/1000</f>
        <v>17.82</v>
      </c>
      <c r="J5873" s="25">
        <v>0.22829999999999998</v>
      </c>
      <c r="K5873" s="25">
        <f t="shared" si="92"/>
        <v>4068.3059999999996</v>
      </c>
      <c r="L5873" s="25">
        <v>1.82</v>
      </c>
      <c r="M5873" s="24">
        <v>32516</v>
      </c>
      <c r="N5873" s="25">
        <f>IFERROR(T_reg.root.SK[[#This Row],[Price]]/T_reg.root.SK[[#This Row],[Starch content]],"")</f>
        <v>7.9719667104686831</v>
      </c>
    </row>
    <row r="5874" spans="1:14">
      <c r="A5874" s="21">
        <v>2025</v>
      </c>
      <c r="B5874" s="21" t="s">
        <v>22</v>
      </c>
      <c r="C5874" s="21" t="s">
        <v>1145</v>
      </c>
      <c r="D5874" s="21" t="s">
        <v>35</v>
      </c>
      <c r="E5874" s="17" t="s">
        <v>939</v>
      </c>
      <c r="F5874" s="18" t="s">
        <v>105</v>
      </c>
      <c r="G5874" s="18" t="s">
        <v>48</v>
      </c>
      <c r="H5874" s="24">
        <v>145660</v>
      </c>
      <c r="I5874" s="24">
        <f>T_reg.root.SK[[#This Row],[Volume, kg]]/1000</f>
        <v>145.66</v>
      </c>
      <c r="J5874" s="25">
        <v>0.22289999999999999</v>
      </c>
      <c r="K5874" s="25">
        <f t="shared" si="92"/>
        <v>32467.613999999998</v>
      </c>
      <c r="L5874" s="25">
        <v>1.82</v>
      </c>
      <c r="M5874" s="24">
        <v>264843.5</v>
      </c>
      <c r="N5874" s="25">
        <f>IFERROR(T_reg.root.SK[[#This Row],[Price]]/T_reg.root.SK[[#This Row],[Starch content]],"")</f>
        <v>8.1650964558097812</v>
      </c>
    </row>
    <row r="5875" spans="1:14">
      <c r="A5875" s="21">
        <v>2025</v>
      </c>
      <c r="B5875" s="21" t="s">
        <v>22</v>
      </c>
      <c r="C5875" s="21" t="s">
        <v>1145</v>
      </c>
      <c r="D5875" s="21" t="s">
        <v>35</v>
      </c>
      <c r="E5875" s="17" t="s">
        <v>927</v>
      </c>
      <c r="F5875" s="18" t="s">
        <v>47</v>
      </c>
      <c r="G5875" s="18" t="s">
        <v>48</v>
      </c>
      <c r="H5875" s="24">
        <v>224550</v>
      </c>
      <c r="I5875" s="24">
        <f>T_reg.root.SK[[#This Row],[Volume, kg]]/1000</f>
        <v>224.55</v>
      </c>
      <c r="J5875" s="25">
        <v>0.2107</v>
      </c>
      <c r="K5875" s="25">
        <f t="shared" si="92"/>
        <v>47312.684999999998</v>
      </c>
      <c r="L5875" s="25">
        <v>1.75</v>
      </c>
      <c r="M5875" s="24">
        <v>393357.5</v>
      </c>
      <c r="N5875" s="25">
        <f>IFERROR(T_reg.root.SK[[#This Row],[Price]]/T_reg.root.SK[[#This Row],[Starch content]],"")</f>
        <v>8.3056478405315612</v>
      </c>
    </row>
    <row r="5876" spans="1:14">
      <c r="A5876" s="21">
        <v>2025</v>
      </c>
      <c r="B5876" s="21" t="s">
        <v>22</v>
      </c>
      <c r="C5876" s="21" t="s">
        <v>1145</v>
      </c>
      <c r="D5876" s="21" t="s">
        <v>35</v>
      </c>
      <c r="E5876" s="17" t="s">
        <v>578</v>
      </c>
      <c r="F5876" s="18" t="s">
        <v>105</v>
      </c>
      <c r="G5876" s="18" t="s">
        <v>48</v>
      </c>
      <c r="H5876" s="24">
        <v>29700</v>
      </c>
      <c r="I5876" s="24">
        <f>T_reg.root.SK[[#This Row],[Volume, kg]]/1000</f>
        <v>29.7</v>
      </c>
      <c r="J5876" s="25">
        <v>0.18489999999999998</v>
      </c>
      <c r="K5876" s="25">
        <f t="shared" si="92"/>
        <v>5491.53</v>
      </c>
      <c r="L5876" s="25">
        <v>1.61</v>
      </c>
      <c r="M5876" s="24">
        <v>47799.5</v>
      </c>
      <c r="N5876" s="25">
        <f>IFERROR(T_reg.root.SK[[#This Row],[Price]]/T_reg.root.SK[[#This Row],[Starch content]],"")</f>
        <v>8.7074094104921596</v>
      </c>
    </row>
    <row r="5877" spans="1:14">
      <c r="A5877" s="21">
        <v>2025</v>
      </c>
      <c r="B5877" s="21" t="s">
        <v>22</v>
      </c>
      <c r="C5877" s="21" t="s">
        <v>1145</v>
      </c>
      <c r="D5877" s="21" t="s">
        <v>35</v>
      </c>
      <c r="E5877" s="17" t="s">
        <v>183</v>
      </c>
      <c r="F5877" s="18" t="s">
        <v>105</v>
      </c>
      <c r="G5877" s="18" t="s">
        <v>48</v>
      </c>
      <c r="H5877" s="24">
        <v>186310</v>
      </c>
      <c r="I5877" s="24">
        <f>T_reg.root.SK[[#This Row],[Volume, kg]]/1000</f>
        <v>186.31</v>
      </c>
      <c r="J5877" s="25">
        <v>0.23329999999999998</v>
      </c>
      <c r="K5877" s="25">
        <f t="shared" si="92"/>
        <v>43466.123</v>
      </c>
      <c r="L5877" s="25">
        <v>1.87</v>
      </c>
      <c r="M5877" s="24">
        <v>348276.5</v>
      </c>
      <c r="N5877" s="25">
        <f>IFERROR(T_reg.root.SK[[#This Row],[Price]]/T_reg.root.SK[[#This Row],[Starch content]],"")</f>
        <v>8.0154307758251182</v>
      </c>
    </row>
    <row r="5878" spans="1:14">
      <c r="A5878" s="21">
        <v>2025</v>
      </c>
      <c r="B5878" s="21" t="s">
        <v>22</v>
      </c>
      <c r="C5878" s="21" t="s">
        <v>1145</v>
      </c>
      <c r="D5878" s="21" t="s">
        <v>35</v>
      </c>
      <c r="E5878" s="17" t="s">
        <v>217</v>
      </c>
      <c r="F5878" s="18" t="s">
        <v>187</v>
      </c>
      <c r="G5878" s="18" t="s">
        <v>48</v>
      </c>
      <c r="H5878" s="24">
        <v>34670</v>
      </c>
      <c r="I5878" s="24">
        <f>T_reg.root.SK[[#This Row],[Volume, kg]]/1000</f>
        <v>34.67</v>
      </c>
      <c r="J5878" s="25">
        <v>0.2051</v>
      </c>
      <c r="K5878" s="25">
        <f t="shared" si="92"/>
        <v>7110.817</v>
      </c>
      <c r="L5878" s="25">
        <v>1.73</v>
      </c>
      <c r="M5878" s="24">
        <v>59944.5</v>
      </c>
      <c r="N5878" s="25">
        <f>IFERROR(T_reg.root.SK[[#This Row],[Price]]/T_reg.root.SK[[#This Row],[Starch content]],"")</f>
        <v>8.4349098000975129</v>
      </c>
    </row>
    <row r="5879" spans="1:14">
      <c r="A5879" s="21">
        <v>2025</v>
      </c>
      <c r="B5879" s="21" t="s">
        <v>22</v>
      </c>
      <c r="C5879" s="21" t="s">
        <v>1145</v>
      </c>
      <c r="D5879" s="21" t="s">
        <v>35</v>
      </c>
      <c r="E5879" s="17" t="s">
        <v>383</v>
      </c>
      <c r="F5879" s="18" t="s">
        <v>47</v>
      </c>
      <c r="G5879" s="18" t="s">
        <v>48</v>
      </c>
      <c r="H5879" s="24">
        <v>8970</v>
      </c>
      <c r="I5879" s="24">
        <f>T_reg.root.SK[[#This Row],[Volume, kg]]/1000</f>
        <v>8.9700000000000006</v>
      </c>
      <c r="J5879" s="25">
        <v>0.1714</v>
      </c>
      <c r="K5879" s="25">
        <f t="shared" si="92"/>
        <v>1537.4580000000001</v>
      </c>
      <c r="L5879" s="25">
        <v>1.56</v>
      </c>
      <c r="M5879" s="24">
        <v>14030.5</v>
      </c>
      <c r="N5879" s="25">
        <f>IFERROR(T_reg.root.SK[[#This Row],[Price]]/T_reg.root.SK[[#This Row],[Starch content]],"")</f>
        <v>9.1015169194865813</v>
      </c>
    </row>
    <row r="5880" spans="1:14">
      <c r="A5880" s="21">
        <v>2025</v>
      </c>
      <c r="B5880" s="21" t="s">
        <v>23</v>
      </c>
      <c r="C5880" s="21" t="s">
        <v>1145</v>
      </c>
      <c r="D5880" s="21" t="s">
        <v>184</v>
      </c>
      <c r="E5880" s="17" t="s">
        <v>185</v>
      </c>
      <c r="F5880" s="18" t="s">
        <v>105</v>
      </c>
      <c r="G5880" s="18" t="s">
        <v>48</v>
      </c>
      <c r="H5880" s="24">
        <v>38540</v>
      </c>
      <c r="I5880" s="24">
        <f>T_reg.root.SK[[#This Row],[Volume, kg]]/1000</f>
        <v>38.54</v>
      </c>
      <c r="J5880" s="25">
        <v>0.17899999999999999</v>
      </c>
      <c r="K5880" s="25">
        <f t="shared" si="92"/>
        <v>6898.66</v>
      </c>
      <c r="L5880" s="25">
        <v>1.59</v>
      </c>
      <c r="M5880" s="24">
        <v>61362</v>
      </c>
      <c r="N5880" s="25">
        <f>IFERROR(T_reg.root.SK[[#This Row],[Price]]/T_reg.root.SK[[#This Row],[Starch content]],"")</f>
        <v>8.8826815642458108</v>
      </c>
    </row>
    <row r="5881" spans="1:14">
      <c r="A5881" s="21">
        <v>2025</v>
      </c>
      <c r="B5881" s="21" t="s">
        <v>23</v>
      </c>
      <c r="C5881" s="21" t="s">
        <v>1145</v>
      </c>
      <c r="D5881" s="21" t="s">
        <v>35</v>
      </c>
      <c r="E5881" s="17" t="s">
        <v>996</v>
      </c>
      <c r="F5881" s="18" t="s">
        <v>187</v>
      </c>
      <c r="G5881" s="18" t="s">
        <v>48</v>
      </c>
      <c r="H5881" s="24">
        <v>27700</v>
      </c>
      <c r="I5881" s="24">
        <f>T_reg.root.SK[[#This Row],[Volume, kg]]/1000</f>
        <v>27.7</v>
      </c>
      <c r="J5881" s="25">
        <v>0.15810000000000002</v>
      </c>
      <c r="K5881" s="25">
        <f t="shared" si="92"/>
        <v>4379.3700000000008</v>
      </c>
      <c r="L5881" s="25">
        <v>1.48</v>
      </c>
      <c r="M5881" s="24">
        <v>41063.5</v>
      </c>
      <c r="N5881" s="25">
        <f>IFERROR(T_reg.root.SK[[#This Row],[Price]]/T_reg.root.SK[[#This Row],[Starch content]],"")</f>
        <v>9.3611638203668548</v>
      </c>
    </row>
    <row r="5882" spans="1:14">
      <c r="A5882" s="21">
        <v>2025</v>
      </c>
      <c r="B5882" s="21" t="s">
        <v>23</v>
      </c>
      <c r="C5882" s="21" t="s">
        <v>1145</v>
      </c>
      <c r="D5882" s="21" t="s">
        <v>35</v>
      </c>
      <c r="E5882" s="17" t="s">
        <v>287</v>
      </c>
      <c r="F5882" s="18" t="s">
        <v>105</v>
      </c>
      <c r="G5882" s="18" t="s">
        <v>48</v>
      </c>
      <c r="H5882" s="24">
        <v>16420</v>
      </c>
      <c r="I5882" s="24">
        <f>T_reg.root.SK[[#This Row],[Volume, kg]]/1000</f>
        <v>16.420000000000002</v>
      </c>
      <c r="J5882" s="25">
        <v>0.25269999999999998</v>
      </c>
      <c r="K5882" s="25">
        <f t="shared" si="92"/>
        <v>4149.3339999999998</v>
      </c>
      <c r="L5882" s="25">
        <v>1.96</v>
      </c>
      <c r="M5882" s="24">
        <v>32231.5</v>
      </c>
      <c r="N5882" s="25">
        <f>IFERROR(T_reg.root.SK[[#This Row],[Price]]/T_reg.root.SK[[#This Row],[Starch content]],"")</f>
        <v>7.75623268698061</v>
      </c>
    </row>
    <row r="5883" spans="1:14">
      <c r="A5883" s="21">
        <v>2025</v>
      </c>
      <c r="B5883" s="21" t="s">
        <v>23</v>
      </c>
      <c r="C5883" s="21" t="s">
        <v>1145</v>
      </c>
      <c r="D5883" s="21" t="s">
        <v>35</v>
      </c>
      <c r="E5883" s="17" t="s">
        <v>330</v>
      </c>
      <c r="F5883" s="18" t="s">
        <v>187</v>
      </c>
      <c r="G5883" s="18" t="s">
        <v>48</v>
      </c>
      <c r="H5883" s="24">
        <v>32230</v>
      </c>
      <c r="I5883" s="24">
        <f>T_reg.root.SK[[#This Row],[Volume, kg]]/1000</f>
        <v>32.229999999999997</v>
      </c>
      <c r="J5883" s="25">
        <v>0.18600000000000003</v>
      </c>
      <c r="K5883" s="25">
        <f t="shared" si="92"/>
        <v>5994.7800000000007</v>
      </c>
      <c r="L5883" s="25">
        <v>1.63</v>
      </c>
      <c r="M5883" s="24">
        <v>52530</v>
      </c>
      <c r="N5883" s="25">
        <f>IFERROR(T_reg.root.SK[[#This Row],[Price]]/T_reg.root.SK[[#This Row],[Starch content]],"")</f>
        <v>8.7634408602150522</v>
      </c>
    </row>
    <row r="5884" spans="1:14">
      <c r="A5884" s="21">
        <v>2025</v>
      </c>
      <c r="B5884" s="21" t="s">
        <v>23</v>
      </c>
      <c r="C5884" s="21" t="s">
        <v>1145</v>
      </c>
      <c r="D5884" s="21" t="s">
        <v>35</v>
      </c>
      <c r="E5884" s="17" t="s">
        <v>457</v>
      </c>
      <c r="F5884" s="18" t="s">
        <v>47</v>
      </c>
      <c r="G5884" s="18" t="s">
        <v>48</v>
      </c>
      <c r="H5884" s="24">
        <v>29200</v>
      </c>
      <c r="I5884" s="24">
        <f>T_reg.root.SK[[#This Row],[Volume, kg]]/1000</f>
        <v>29.2</v>
      </c>
      <c r="J5884" s="25">
        <v>0.20069999999999999</v>
      </c>
      <c r="K5884" s="25">
        <f t="shared" si="92"/>
        <v>5860.44</v>
      </c>
      <c r="L5884" s="25">
        <v>1.71</v>
      </c>
      <c r="M5884" s="24">
        <v>49878</v>
      </c>
      <c r="N5884" s="25">
        <f>IFERROR(T_reg.root.SK[[#This Row],[Price]]/T_reg.root.SK[[#This Row],[Starch content]],"")</f>
        <v>8.52017937219731</v>
      </c>
    </row>
    <row r="5885" spans="1:14">
      <c r="A5885" s="21">
        <v>2025</v>
      </c>
      <c r="B5885" s="21" t="s">
        <v>23</v>
      </c>
      <c r="C5885" s="21" t="s">
        <v>1145</v>
      </c>
      <c r="D5885" s="21" t="s">
        <v>35</v>
      </c>
      <c r="E5885" s="17" t="s">
        <v>579</v>
      </c>
      <c r="F5885" s="18" t="s">
        <v>187</v>
      </c>
      <c r="G5885" s="18" t="s">
        <v>48</v>
      </c>
      <c r="H5885" s="24">
        <v>18170</v>
      </c>
      <c r="I5885" s="24">
        <f>T_reg.root.SK[[#This Row],[Volume, kg]]/1000</f>
        <v>18.170000000000002</v>
      </c>
      <c r="J5885" s="25">
        <v>0.2024</v>
      </c>
      <c r="K5885" s="25">
        <f t="shared" si="92"/>
        <v>3677.6079999999997</v>
      </c>
      <c r="L5885" s="25">
        <v>1.71</v>
      </c>
      <c r="M5885" s="24">
        <v>31097</v>
      </c>
      <c r="N5885" s="25">
        <f>IFERROR(T_reg.root.SK[[#This Row],[Price]]/T_reg.root.SK[[#This Row],[Starch content]],"")</f>
        <v>8.4486166007905137</v>
      </c>
    </row>
    <row r="5886" spans="1:14">
      <c r="A5886" s="21">
        <v>2025</v>
      </c>
      <c r="B5886" s="21" t="s">
        <v>23</v>
      </c>
      <c r="C5886" s="21" t="s">
        <v>1145</v>
      </c>
      <c r="D5886" s="21" t="s">
        <v>35</v>
      </c>
      <c r="E5886" s="17" t="s">
        <v>775</v>
      </c>
      <c r="F5886" s="18" t="s">
        <v>187</v>
      </c>
      <c r="G5886" s="18" t="s">
        <v>48</v>
      </c>
      <c r="H5886" s="24">
        <v>7880</v>
      </c>
      <c r="I5886" s="24">
        <f>T_reg.root.SK[[#This Row],[Volume, kg]]/1000</f>
        <v>7.88</v>
      </c>
      <c r="J5886" s="25">
        <v>0.23649999999999999</v>
      </c>
      <c r="K5886" s="25">
        <f t="shared" si="92"/>
        <v>1863.62</v>
      </c>
      <c r="L5886" s="25">
        <v>1.9</v>
      </c>
      <c r="M5886" s="24">
        <v>14972</v>
      </c>
      <c r="N5886" s="25">
        <f>IFERROR(T_reg.root.SK[[#This Row],[Price]]/T_reg.root.SK[[#This Row],[Starch content]],"")</f>
        <v>8.0338266384778017</v>
      </c>
    </row>
    <row r="5887" spans="1:14">
      <c r="A5887" s="21">
        <v>2025</v>
      </c>
      <c r="B5887" s="21" t="s">
        <v>23</v>
      </c>
      <c r="C5887" s="21" t="s">
        <v>1145</v>
      </c>
      <c r="D5887" s="21" t="s">
        <v>35</v>
      </c>
      <c r="E5887" s="17" t="s">
        <v>684</v>
      </c>
      <c r="F5887" s="18" t="s">
        <v>105</v>
      </c>
      <c r="G5887" s="18" t="s">
        <v>48</v>
      </c>
      <c r="H5887" s="24">
        <v>53400</v>
      </c>
      <c r="I5887" s="24">
        <f>T_reg.root.SK[[#This Row],[Volume, kg]]/1000</f>
        <v>53.4</v>
      </c>
      <c r="J5887" s="25">
        <v>0.25890000000000002</v>
      </c>
      <c r="K5887" s="25">
        <f t="shared" si="92"/>
        <v>13825.26</v>
      </c>
      <c r="L5887" s="25">
        <v>2</v>
      </c>
      <c r="M5887" s="24">
        <v>106536</v>
      </c>
      <c r="N5887" s="25">
        <f>IFERROR(T_reg.root.SK[[#This Row],[Price]]/T_reg.root.SK[[#This Row],[Starch content]],"")</f>
        <v>7.7249903437620695</v>
      </c>
    </row>
    <row r="5888" spans="1:14">
      <c r="A5888" s="21">
        <v>2025</v>
      </c>
      <c r="B5888" s="21" t="s">
        <v>23</v>
      </c>
      <c r="C5888" s="21" t="s">
        <v>1145</v>
      </c>
      <c r="D5888" s="21" t="s">
        <v>35</v>
      </c>
      <c r="E5888" s="17" t="s">
        <v>104</v>
      </c>
      <c r="F5888" s="18" t="s">
        <v>105</v>
      </c>
      <c r="G5888" s="18" t="s">
        <v>48</v>
      </c>
      <c r="H5888" s="24">
        <v>33630</v>
      </c>
      <c r="I5888" s="24">
        <f>T_reg.root.SK[[#This Row],[Volume, kg]]/1000</f>
        <v>33.630000000000003</v>
      </c>
      <c r="J5888" s="25">
        <v>0.23480000000000001</v>
      </c>
      <c r="K5888" s="25">
        <f t="shared" si="92"/>
        <v>7896.3240000000005</v>
      </c>
      <c r="L5888" s="25">
        <v>1.87</v>
      </c>
      <c r="M5888" s="24">
        <v>62951.5</v>
      </c>
      <c r="N5888" s="25">
        <f>IFERROR(T_reg.root.SK[[#This Row],[Price]]/T_reg.root.SK[[#This Row],[Starch content]],"")</f>
        <v>7.9642248722316866</v>
      </c>
    </row>
    <row r="5889" spans="1:14">
      <c r="A5889" s="21">
        <v>2025</v>
      </c>
      <c r="B5889" s="21" t="s">
        <v>23</v>
      </c>
      <c r="C5889" s="21" t="s">
        <v>1145</v>
      </c>
      <c r="D5889" s="21" t="s">
        <v>35</v>
      </c>
      <c r="E5889" s="17" t="s">
        <v>186</v>
      </c>
      <c r="F5889" s="18" t="s">
        <v>187</v>
      </c>
      <c r="G5889" s="18" t="s">
        <v>48</v>
      </c>
      <c r="H5889" s="24">
        <v>57670</v>
      </c>
      <c r="I5889" s="24">
        <f>T_reg.root.SK[[#This Row],[Volume, kg]]/1000</f>
        <v>57.67</v>
      </c>
      <c r="J5889" s="25">
        <v>0.19399999999999998</v>
      </c>
      <c r="K5889" s="25">
        <f t="shared" si="92"/>
        <v>11187.98</v>
      </c>
      <c r="L5889" s="25">
        <v>1.67</v>
      </c>
      <c r="M5889" s="24">
        <v>96557.5</v>
      </c>
      <c r="N5889" s="25">
        <f>IFERROR(T_reg.root.SK[[#This Row],[Price]]/T_reg.root.SK[[#This Row],[Starch content]],"")</f>
        <v>8.6082474226804138</v>
      </c>
    </row>
    <row r="5890" spans="1:14">
      <c r="A5890" s="21">
        <v>2025</v>
      </c>
      <c r="B5890" s="21" t="s">
        <v>23</v>
      </c>
      <c r="C5890" s="21" t="s">
        <v>1145</v>
      </c>
      <c r="D5890" s="21" t="s">
        <v>35</v>
      </c>
      <c r="E5890" s="17" t="s">
        <v>733</v>
      </c>
      <c r="F5890" s="18" t="s">
        <v>105</v>
      </c>
      <c r="G5890" s="18" t="s">
        <v>48</v>
      </c>
      <c r="H5890" s="24">
        <v>57120</v>
      </c>
      <c r="I5890" s="24">
        <f>T_reg.root.SK[[#This Row],[Volume, kg]]/1000</f>
        <v>57.12</v>
      </c>
      <c r="J5890" s="25">
        <v>0.26079999999999998</v>
      </c>
      <c r="K5890" s="25">
        <f t="shared" si="92"/>
        <v>14896.895999999999</v>
      </c>
      <c r="L5890" s="25">
        <v>2.0099999999999998</v>
      </c>
      <c r="M5890" s="24">
        <v>114730</v>
      </c>
      <c r="N5890" s="25">
        <f>IFERROR(T_reg.root.SK[[#This Row],[Price]]/T_reg.root.SK[[#This Row],[Starch content]],"")</f>
        <v>7.7070552147239262</v>
      </c>
    </row>
    <row r="5891" spans="1:14">
      <c r="A5891" s="21">
        <v>2025</v>
      </c>
      <c r="B5891" s="21" t="s">
        <v>23</v>
      </c>
      <c r="C5891" s="21" t="s">
        <v>1145</v>
      </c>
      <c r="D5891" s="21" t="s">
        <v>35</v>
      </c>
      <c r="E5891" s="17" t="s">
        <v>546</v>
      </c>
      <c r="F5891" s="18" t="s">
        <v>47</v>
      </c>
      <c r="G5891" s="18" t="s">
        <v>48</v>
      </c>
      <c r="H5891" s="24">
        <v>75140</v>
      </c>
      <c r="I5891" s="24">
        <f>T_reg.root.SK[[#This Row],[Volume, kg]]/1000</f>
        <v>75.14</v>
      </c>
      <c r="J5891" s="25">
        <v>0.22170000000000001</v>
      </c>
      <c r="K5891" s="25">
        <f t="shared" si="92"/>
        <v>16658.538</v>
      </c>
      <c r="L5891" s="25">
        <v>1.81</v>
      </c>
      <c r="M5891" s="24">
        <v>136325.5</v>
      </c>
      <c r="N5891" s="25">
        <f>IFERROR(T_reg.root.SK[[#This Row],[Price]]/T_reg.root.SK[[#This Row],[Starch content]],"")</f>
        <v>8.1641858367162836</v>
      </c>
    </row>
    <row r="5892" spans="1:14">
      <c r="A5892" s="21">
        <v>2025</v>
      </c>
      <c r="B5892" s="21" t="s">
        <v>23</v>
      </c>
      <c r="C5892" s="21" t="s">
        <v>1145</v>
      </c>
      <c r="D5892" s="21" t="s">
        <v>35</v>
      </c>
      <c r="E5892" s="17" t="s">
        <v>190</v>
      </c>
      <c r="F5892" s="18" t="s">
        <v>187</v>
      </c>
      <c r="G5892" s="18" t="s">
        <v>48</v>
      </c>
      <c r="H5892" s="24">
        <v>11080</v>
      </c>
      <c r="I5892" s="24">
        <f>T_reg.root.SK[[#This Row],[Volume, kg]]/1000</f>
        <v>11.08</v>
      </c>
      <c r="J5892" s="25">
        <v>0.19500000000000001</v>
      </c>
      <c r="K5892" s="25">
        <f t="shared" si="92"/>
        <v>2160.6</v>
      </c>
      <c r="L5892" s="25">
        <v>1.7</v>
      </c>
      <c r="M5892" s="24">
        <v>18836</v>
      </c>
      <c r="N5892" s="25">
        <f>IFERROR(T_reg.root.SK[[#This Row],[Price]]/T_reg.root.SK[[#This Row],[Starch content]],"")</f>
        <v>8.7179487179487172</v>
      </c>
    </row>
    <row r="5893" spans="1:14">
      <c r="A5893" s="21">
        <v>2025</v>
      </c>
      <c r="B5893" s="21" t="s">
        <v>23</v>
      </c>
      <c r="C5893" s="21" t="s">
        <v>1145</v>
      </c>
      <c r="D5893" s="21" t="s">
        <v>35</v>
      </c>
      <c r="E5893" s="17" t="s">
        <v>986</v>
      </c>
      <c r="F5893" s="18" t="s">
        <v>105</v>
      </c>
      <c r="G5893" s="18" t="s">
        <v>48</v>
      </c>
      <c r="H5893" s="24">
        <v>14530</v>
      </c>
      <c r="I5893" s="24">
        <f>T_reg.root.SK[[#This Row],[Volume, kg]]/1000</f>
        <v>14.53</v>
      </c>
      <c r="J5893" s="25">
        <v>0.18469999999999998</v>
      </c>
      <c r="K5893" s="25">
        <f t="shared" si="92"/>
        <v>2683.6909999999998</v>
      </c>
      <c r="L5893" s="25">
        <v>1.61</v>
      </c>
      <c r="M5893" s="24">
        <v>23334</v>
      </c>
      <c r="N5893" s="25">
        <f>IFERROR(T_reg.root.SK[[#This Row],[Price]]/T_reg.root.SK[[#This Row],[Starch content]],"")</f>
        <v>8.7168381158635651</v>
      </c>
    </row>
    <row r="5894" spans="1:14">
      <c r="A5894" s="21">
        <v>2025</v>
      </c>
      <c r="B5894" s="21" t="s">
        <v>23</v>
      </c>
      <c r="C5894" s="21" t="s">
        <v>1145</v>
      </c>
      <c r="D5894" s="21" t="s">
        <v>35</v>
      </c>
      <c r="E5894" s="17" t="s">
        <v>1006</v>
      </c>
      <c r="F5894" s="18" t="s">
        <v>105</v>
      </c>
      <c r="G5894" s="18" t="s">
        <v>48</v>
      </c>
      <c r="H5894" s="24">
        <v>70100</v>
      </c>
      <c r="I5894" s="24">
        <f>T_reg.root.SK[[#This Row],[Volume, kg]]/1000</f>
        <v>70.099999999999994</v>
      </c>
      <c r="J5894" s="25">
        <v>0.17620000000000002</v>
      </c>
      <c r="K5894" s="25">
        <f t="shared" si="92"/>
        <v>12351.62</v>
      </c>
      <c r="L5894" s="25">
        <v>1.57</v>
      </c>
      <c r="M5894" s="24">
        <v>110273.5</v>
      </c>
      <c r="N5894" s="25">
        <f>IFERROR(T_reg.root.SK[[#This Row],[Price]]/T_reg.root.SK[[#This Row],[Starch content]],"")</f>
        <v>8.9103291713961408</v>
      </c>
    </row>
    <row r="5895" spans="1:14">
      <c r="A5895" s="21">
        <v>2025</v>
      </c>
      <c r="B5895" s="21" t="s">
        <v>23</v>
      </c>
      <c r="C5895" s="21" t="s">
        <v>1145</v>
      </c>
      <c r="D5895" s="21" t="s">
        <v>35</v>
      </c>
      <c r="E5895" s="17" t="s">
        <v>1028</v>
      </c>
      <c r="F5895" s="18" t="s">
        <v>187</v>
      </c>
      <c r="G5895" s="18" t="s">
        <v>48</v>
      </c>
      <c r="H5895" s="24">
        <v>48510</v>
      </c>
      <c r="I5895" s="24">
        <f>T_reg.root.SK[[#This Row],[Volume, kg]]/1000</f>
        <v>48.51</v>
      </c>
      <c r="J5895" s="25">
        <v>0.20379999999999998</v>
      </c>
      <c r="K5895" s="25">
        <f t="shared" si="92"/>
        <v>9886.3379999999997</v>
      </c>
      <c r="L5895" s="25">
        <v>1.71</v>
      </c>
      <c r="M5895" s="24">
        <v>83187</v>
      </c>
      <c r="N5895" s="25">
        <f>IFERROR(T_reg.root.SK[[#This Row],[Price]]/T_reg.root.SK[[#This Row],[Starch content]],"")</f>
        <v>8.390578999018647</v>
      </c>
    </row>
    <row r="5896" spans="1:14">
      <c r="A5896" s="21">
        <v>2025</v>
      </c>
      <c r="B5896" s="21" t="s">
        <v>23</v>
      </c>
      <c r="C5896" s="21" t="s">
        <v>1145</v>
      </c>
      <c r="D5896" s="21" t="s">
        <v>35</v>
      </c>
      <c r="E5896" s="17" t="s">
        <v>481</v>
      </c>
      <c r="F5896" s="18" t="s">
        <v>105</v>
      </c>
      <c r="G5896" s="18" t="s">
        <v>48</v>
      </c>
      <c r="H5896" s="24">
        <v>54280</v>
      </c>
      <c r="I5896" s="24">
        <f>T_reg.root.SK[[#This Row],[Volume, kg]]/1000</f>
        <v>54.28</v>
      </c>
      <c r="J5896" s="25">
        <v>0.24420000000000003</v>
      </c>
      <c r="K5896" s="25">
        <f t="shared" si="92"/>
        <v>13255.176000000001</v>
      </c>
      <c r="L5896" s="25">
        <v>1.93</v>
      </c>
      <c r="M5896" s="24">
        <v>104599.5</v>
      </c>
      <c r="N5896" s="25">
        <f>IFERROR(T_reg.root.SK[[#This Row],[Price]]/T_reg.root.SK[[#This Row],[Starch content]],"")</f>
        <v>7.903357903357902</v>
      </c>
    </row>
    <row r="5897" spans="1:14">
      <c r="A5897" s="21">
        <v>2025</v>
      </c>
      <c r="B5897" s="21" t="s">
        <v>23</v>
      </c>
      <c r="C5897" s="21" t="s">
        <v>1145</v>
      </c>
      <c r="D5897" s="21" t="s">
        <v>35</v>
      </c>
      <c r="E5897" s="17" t="s">
        <v>580</v>
      </c>
      <c r="F5897" s="18" t="s">
        <v>187</v>
      </c>
      <c r="G5897" s="18" t="s">
        <v>48</v>
      </c>
      <c r="H5897" s="24">
        <v>116890</v>
      </c>
      <c r="I5897" s="24">
        <f>T_reg.root.SK[[#This Row],[Volume, kg]]/1000</f>
        <v>116.89</v>
      </c>
      <c r="J5897" s="25">
        <v>0.18479999999999999</v>
      </c>
      <c r="K5897" s="25">
        <f t="shared" si="92"/>
        <v>21601.272000000001</v>
      </c>
      <c r="L5897" s="25">
        <v>1.63</v>
      </c>
      <c r="M5897" s="24">
        <v>190013.5</v>
      </c>
      <c r="N5897" s="25">
        <f>IFERROR(T_reg.root.SK[[#This Row],[Price]]/T_reg.root.SK[[#This Row],[Starch content]],"")</f>
        <v>8.8203463203463208</v>
      </c>
    </row>
    <row r="5898" spans="1:14">
      <c r="A5898" s="21">
        <v>2025</v>
      </c>
      <c r="B5898" s="21" t="s">
        <v>23</v>
      </c>
      <c r="C5898" s="21" t="s">
        <v>1145</v>
      </c>
      <c r="D5898" s="21" t="s">
        <v>35</v>
      </c>
      <c r="E5898" s="17" t="s">
        <v>987</v>
      </c>
      <c r="F5898" s="18" t="s">
        <v>105</v>
      </c>
      <c r="G5898" s="18" t="s">
        <v>48</v>
      </c>
      <c r="H5898" s="24">
        <v>23380</v>
      </c>
      <c r="I5898" s="24">
        <f>T_reg.root.SK[[#This Row],[Volume, kg]]/1000</f>
        <v>23.38</v>
      </c>
      <c r="J5898" s="25">
        <v>0.2077</v>
      </c>
      <c r="K5898" s="25">
        <f t="shared" si="92"/>
        <v>4856.0259999999998</v>
      </c>
      <c r="L5898" s="25">
        <v>1.74</v>
      </c>
      <c r="M5898" s="24">
        <v>40672.5</v>
      </c>
      <c r="N5898" s="25">
        <f>IFERROR(T_reg.root.SK[[#This Row],[Price]]/T_reg.root.SK[[#This Row],[Starch content]],"")</f>
        <v>8.3774675012036592</v>
      </c>
    </row>
    <row r="5899" spans="1:14">
      <c r="A5899" s="21">
        <v>2025</v>
      </c>
      <c r="B5899" s="21" t="s">
        <v>23</v>
      </c>
      <c r="C5899" s="21" t="s">
        <v>1145</v>
      </c>
      <c r="D5899" s="21" t="s">
        <v>35</v>
      </c>
      <c r="E5899" s="17" t="s">
        <v>289</v>
      </c>
      <c r="F5899" s="18" t="s">
        <v>105</v>
      </c>
      <c r="G5899" s="18" t="s">
        <v>48</v>
      </c>
      <c r="H5899" s="24">
        <v>196600</v>
      </c>
      <c r="I5899" s="24">
        <f>T_reg.root.SK[[#This Row],[Volume, kg]]/1000</f>
        <v>196.6</v>
      </c>
      <c r="J5899" s="25">
        <v>0.21059999999999998</v>
      </c>
      <c r="K5899" s="25">
        <f t="shared" si="92"/>
        <v>41403.96</v>
      </c>
      <c r="L5899" s="25">
        <v>1.75</v>
      </c>
      <c r="M5899" s="24">
        <v>344709</v>
      </c>
      <c r="N5899" s="25">
        <f>IFERROR(T_reg.root.SK[[#This Row],[Price]]/T_reg.root.SK[[#This Row],[Starch content]],"")</f>
        <v>8.3095916429249765</v>
      </c>
    </row>
    <row r="5900" spans="1:14">
      <c r="A5900" s="21">
        <v>2025</v>
      </c>
      <c r="B5900" s="21" t="s">
        <v>23</v>
      </c>
      <c r="C5900" s="21" t="s">
        <v>1145</v>
      </c>
      <c r="D5900" s="21" t="s">
        <v>35</v>
      </c>
      <c r="E5900" s="17" t="s">
        <v>370</v>
      </c>
      <c r="F5900" s="18" t="s">
        <v>187</v>
      </c>
      <c r="G5900" s="18" t="s">
        <v>48</v>
      </c>
      <c r="H5900" s="24">
        <v>7140</v>
      </c>
      <c r="I5900" s="24">
        <f>T_reg.root.SK[[#This Row],[Volume, kg]]/1000</f>
        <v>7.14</v>
      </c>
      <c r="J5900" s="25">
        <v>0.19800000000000001</v>
      </c>
      <c r="K5900" s="25">
        <f t="shared" si="92"/>
        <v>1413.72</v>
      </c>
      <c r="L5900" s="25">
        <v>1.7</v>
      </c>
      <c r="M5900" s="24">
        <v>12138</v>
      </c>
      <c r="N5900" s="25">
        <f>IFERROR(T_reg.root.SK[[#This Row],[Price]]/T_reg.root.SK[[#This Row],[Starch content]],"")</f>
        <v>8.5858585858585847</v>
      </c>
    </row>
    <row r="5901" spans="1:14">
      <c r="A5901" s="21">
        <v>2025</v>
      </c>
      <c r="B5901" s="21" t="s">
        <v>23</v>
      </c>
      <c r="C5901" s="21" t="s">
        <v>1145</v>
      </c>
      <c r="D5901" s="21" t="s">
        <v>35</v>
      </c>
      <c r="E5901" s="17" t="s">
        <v>46</v>
      </c>
      <c r="F5901" s="18" t="s">
        <v>47</v>
      </c>
      <c r="G5901" s="18" t="s">
        <v>48</v>
      </c>
      <c r="H5901" s="24">
        <v>12630</v>
      </c>
      <c r="I5901" s="24">
        <f>T_reg.root.SK[[#This Row],[Volume, kg]]/1000</f>
        <v>12.63</v>
      </c>
      <c r="J5901" s="25">
        <v>0.19500000000000001</v>
      </c>
      <c r="K5901" s="25">
        <f t="shared" si="92"/>
        <v>2462.85</v>
      </c>
      <c r="L5901" s="25">
        <v>1.66</v>
      </c>
      <c r="M5901" s="24">
        <v>20967</v>
      </c>
      <c r="N5901" s="25">
        <f>IFERROR(T_reg.root.SK[[#This Row],[Price]]/T_reg.root.SK[[#This Row],[Starch content]],"")</f>
        <v>8.5128205128205128</v>
      </c>
    </row>
    <row r="5902" spans="1:14">
      <c r="A5902" s="21">
        <v>2025</v>
      </c>
      <c r="B5902" s="21" t="s">
        <v>23</v>
      </c>
      <c r="C5902" s="21" t="s">
        <v>1145</v>
      </c>
      <c r="D5902" s="21" t="s">
        <v>35</v>
      </c>
      <c r="E5902" s="17" t="s">
        <v>731</v>
      </c>
      <c r="F5902" s="18" t="s">
        <v>92</v>
      </c>
      <c r="G5902" s="18" t="s">
        <v>48</v>
      </c>
      <c r="H5902" s="24">
        <v>23250</v>
      </c>
      <c r="I5902" s="24">
        <f>T_reg.root.SK[[#This Row],[Volume, kg]]/1000</f>
        <v>23.25</v>
      </c>
      <c r="J5902" s="25">
        <v>0.23089999999999999</v>
      </c>
      <c r="K5902" s="25">
        <f t="shared" si="92"/>
        <v>5368.4250000000002</v>
      </c>
      <c r="L5902" s="25">
        <v>1.85</v>
      </c>
      <c r="M5902" s="24">
        <v>43069</v>
      </c>
      <c r="N5902" s="25">
        <f>IFERROR(T_reg.root.SK[[#This Row],[Price]]/T_reg.root.SK[[#This Row],[Starch content]],"")</f>
        <v>8.0121264616717198</v>
      </c>
    </row>
    <row r="5903" spans="1:14">
      <c r="A5903" s="21">
        <v>2025</v>
      </c>
      <c r="B5903" s="21" t="s">
        <v>23</v>
      </c>
      <c r="C5903" s="21" t="s">
        <v>1145</v>
      </c>
      <c r="D5903" s="21" t="s">
        <v>35</v>
      </c>
      <c r="E5903" s="17" t="s">
        <v>108</v>
      </c>
      <c r="F5903" s="18" t="s">
        <v>105</v>
      </c>
      <c r="G5903" s="18" t="s">
        <v>48</v>
      </c>
      <c r="H5903" s="24">
        <v>18910</v>
      </c>
      <c r="I5903" s="24">
        <f>T_reg.root.SK[[#This Row],[Volume, kg]]/1000</f>
        <v>18.91</v>
      </c>
      <c r="J5903" s="25">
        <v>0.22570000000000001</v>
      </c>
      <c r="K5903" s="25">
        <f t="shared" ref="K5903:K5966" si="93">H5903*J5903</f>
        <v>4267.9870000000001</v>
      </c>
      <c r="L5903" s="25">
        <v>1.83</v>
      </c>
      <c r="M5903" s="24">
        <v>34637</v>
      </c>
      <c r="N5903" s="25">
        <f>IFERROR(T_reg.root.SK[[#This Row],[Price]]/T_reg.root.SK[[#This Row],[Starch content]],"")</f>
        <v>8.1081081081081088</v>
      </c>
    </row>
    <row r="5904" spans="1:14">
      <c r="A5904" s="21">
        <v>2025</v>
      </c>
      <c r="B5904" s="21" t="s">
        <v>23</v>
      </c>
      <c r="C5904" s="21" t="s">
        <v>1145</v>
      </c>
      <c r="D5904" s="21" t="s">
        <v>35</v>
      </c>
      <c r="E5904" s="17" t="s">
        <v>49</v>
      </c>
      <c r="F5904" s="18" t="s">
        <v>47</v>
      </c>
      <c r="G5904" s="18" t="s">
        <v>48</v>
      </c>
      <c r="H5904" s="24">
        <v>10080</v>
      </c>
      <c r="I5904" s="24">
        <f>T_reg.root.SK[[#This Row],[Volume, kg]]/1000</f>
        <v>10.08</v>
      </c>
      <c r="J5904" s="25">
        <v>0.14599999999999999</v>
      </c>
      <c r="K5904" s="25">
        <f t="shared" si="93"/>
        <v>1471.6799999999998</v>
      </c>
      <c r="L5904" s="25">
        <v>1.45</v>
      </c>
      <c r="M5904" s="24">
        <v>14616</v>
      </c>
      <c r="N5904" s="25">
        <f>IFERROR(T_reg.root.SK[[#This Row],[Price]]/T_reg.root.SK[[#This Row],[Starch content]],"")</f>
        <v>9.9315068493150687</v>
      </c>
    </row>
    <row r="5905" spans="1:14">
      <c r="A5905" s="21">
        <v>2025</v>
      </c>
      <c r="B5905" s="21" t="s">
        <v>23</v>
      </c>
      <c r="C5905" s="21" t="s">
        <v>1145</v>
      </c>
      <c r="D5905" s="21" t="s">
        <v>35</v>
      </c>
      <c r="E5905" s="17" t="s">
        <v>290</v>
      </c>
      <c r="F5905" s="18" t="s">
        <v>105</v>
      </c>
      <c r="G5905" s="18" t="s">
        <v>48</v>
      </c>
      <c r="H5905" s="24">
        <v>12800</v>
      </c>
      <c r="I5905" s="24">
        <f>T_reg.root.SK[[#This Row],[Volume, kg]]/1000</f>
        <v>12.8</v>
      </c>
      <c r="J5905" s="25">
        <v>0.21249999999999999</v>
      </c>
      <c r="K5905" s="25">
        <f t="shared" si="93"/>
        <v>2720</v>
      </c>
      <c r="L5905" s="25">
        <v>1.75</v>
      </c>
      <c r="M5905" s="24">
        <v>22462.5</v>
      </c>
      <c r="N5905" s="25">
        <f>IFERROR(T_reg.root.SK[[#This Row],[Price]]/T_reg.root.SK[[#This Row],[Starch content]],"")</f>
        <v>8.2352941176470598</v>
      </c>
    </row>
    <row r="5906" spans="1:14">
      <c r="A5906" s="21">
        <v>2025</v>
      </c>
      <c r="B5906" s="21" t="s">
        <v>23</v>
      </c>
      <c r="C5906" s="21" t="s">
        <v>1145</v>
      </c>
      <c r="D5906" s="21" t="s">
        <v>35</v>
      </c>
      <c r="E5906" s="17" t="s">
        <v>823</v>
      </c>
      <c r="F5906" s="18" t="s">
        <v>105</v>
      </c>
      <c r="G5906" s="18" t="s">
        <v>48</v>
      </c>
      <c r="H5906" s="24">
        <v>102220</v>
      </c>
      <c r="I5906" s="24">
        <f>T_reg.root.SK[[#This Row],[Volume, kg]]/1000</f>
        <v>102.22</v>
      </c>
      <c r="J5906" s="25">
        <v>0.21059999999999998</v>
      </c>
      <c r="K5906" s="25">
        <f t="shared" si="93"/>
        <v>21527.531999999999</v>
      </c>
      <c r="L5906" s="25">
        <v>1.76</v>
      </c>
      <c r="M5906" s="24">
        <v>179770.5</v>
      </c>
      <c r="N5906" s="25">
        <f>IFERROR(T_reg.root.SK[[#This Row],[Price]]/T_reg.root.SK[[#This Row],[Starch content]],"")</f>
        <v>8.3570750237416913</v>
      </c>
    </row>
    <row r="5907" spans="1:14">
      <c r="A5907" s="21">
        <v>2025</v>
      </c>
      <c r="B5907" s="21" t="s">
        <v>23</v>
      </c>
      <c r="C5907" s="21" t="s">
        <v>1145</v>
      </c>
      <c r="D5907" s="21" t="s">
        <v>35</v>
      </c>
      <c r="E5907" s="17" t="s">
        <v>713</v>
      </c>
      <c r="F5907" s="18" t="s">
        <v>105</v>
      </c>
      <c r="G5907" s="18" t="s">
        <v>48</v>
      </c>
      <c r="H5907" s="24">
        <v>14410</v>
      </c>
      <c r="I5907" s="24">
        <f>T_reg.root.SK[[#This Row],[Volume, kg]]/1000</f>
        <v>14.41</v>
      </c>
      <c r="J5907" s="25">
        <v>0.21640000000000001</v>
      </c>
      <c r="K5907" s="25">
        <f t="shared" si="93"/>
        <v>3118.3240000000001</v>
      </c>
      <c r="L5907" s="25">
        <v>1.79</v>
      </c>
      <c r="M5907" s="24">
        <v>25796</v>
      </c>
      <c r="N5907" s="25">
        <f>IFERROR(T_reg.root.SK[[#This Row],[Price]]/T_reg.root.SK[[#This Row],[Starch content]],"")</f>
        <v>8.2717190388170057</v>
      </c>
    </row>
    <row r="5908" spans="1:14">
      <c r="A5908" s="21">
        <v>2025</v>
      </c>
      <c r="B5908" s="21" t="s">
        <v>23</v>
      </c>
      <c r="C5908" s="21" t="s">
        <v>1145</v>
      </c>
      <c r="D5908" s="21" t="s">
        <v>35</v>
      </c>
      <c r="E5908" s="17" t="s">
        <v>794</v>
      </c>
      <c r="F5908" s="18" t="s">
        <v>187</v>
      </c>
      <c r="G5908" s="18" t="s">
        <v>48</v>
      </c>
      <c r="H5908" s="24">
        <v>55000</v>
      </c>
      <c r="I5908" s="24">
        <f>T_reg.root.SK[[#This Row],[Volume, kg]]/1000</f>
        <v>55</v>
      </c>
      <c r="J5908" s="25">
        <v>0.17530000000000001</v>
      </c>
      <c r="K5908" s="25">
        <f t="shared" si="93"/>
        <v>9641.5</v>
      </c>
      <c r="L5908" s="25">
        <v>1.58</v>
      </c>
      <c r="M5908" s="24">
        <v>86959</v>
      </c>
      <c r="N5908" s="25">
        <f>IFERROR(T_reg.root.SK[[#This Row],[Price]]/T_reg.root.SK[[#This Row],[Starch content]],"")</f>
        <v>9.0131203650884189</v>
      </c>
    </row>
    <row r="5909" spans="1:14">
      <c r="A5909" s="21">
        <v>2025</v>
      </c>
      <c r="B5909" s="21" t="s">
        <v>23</v>
      </c>
      <c r="C5909" s="21" t="s">
        <v>1145</v>
      </c>
      <c r="D5909" s="21" t="s">
        <v>35</v>
      </c>
      <c r="E5909" s="17" t="s">
        <v>758</v>
      </c>
      <c r="F5909" s="18" t="s">
        <v>187</v>
      </c>
      <c r="G5909" s="18" t="s">
        <v>48</v>
      </c>
      <c r="H5909" s="24">
        <v>11970</v>
      </c>
      <c r="I5909" s="24">
        <f>T_reg.root.SK[[#This Row],[Volume, kg]]/1000</f>
        <v>11.97</v>
      </c>
      <c r="J5909" s="25">
        <v>0.23050000000000001</v>
      </c>
      <c r="K5909" s="25">
        <f t="shared" si="93"/>
        <v>2759.085</v>
      </c>
      <c r="L5909" s="25">
        <v>1.87</v>
      </c>
      <c r="M5909" s="24">
        <v>22354.5</v>
      </c>
      <c r="N5909" s="25">
        <f>IFERROR(T_reg.root.SK[[#This Row],[Price]]/T_reg.root.SK[[#This Row],[Starch content]],"")</f>
        <v>8.1127982646420822</v>
      </c>
    </row>
    <row r="5910" spans="1:14">
      <c r="A5910" s="21">
        <v>2025</v>
      </c>
      <c r="B5910" s="21" t="s">
        <v>23</v>
      </c>
      <c r="C5910" s="21" t="s">
        <v>1145</v>
      </c>
      <c r="D5910" s="21" t="s">
        <v>35</v>
      </c>
      <c r="E5910" s="17" t="s">
        <v>291</v>
      </c>
      <c r="F5910" s="18" t="s">
        <v>105</v>
      </c>
      <c r="G5910" s="18" t="s">
        <v>48</v>
      </c>
      <c r="H5910" s="24">
        <v>175470</v>
      </c>
      <c r="I5910" s="24">
        <f>T_reg.root.SK[[#This Row],[Volume, kg]]/1000</f>
        <v>175.47</v>
      </c>
      <c r="J5910" s="25">
        <v>0.23809999999999998</v>
      </c>
      <c r="K5910" s="25">
        <f t="shared" si="93"/>
        <v>41779.406999999999</v>
      </c>
      <c r="L5910" s="25">
        <v>1.89</v>
      </c>
      <c r="M5910" s="24">
        <v>332295</v>
      </c>
      <c r="N5910" s="25">
        <f>IFERROR(T_reg.root.SK[[#This Row],[Price]]/T_reg.root.SK[[#This Row],[Starch content]],"")</f>
        <v>7.9378412431751366</v>
      </c>
    </row>
    <row r="5911" spans="1:14">
      <c r="A5911" s="21">
        <v>2025</v>
      </c>
      <c r="B5911" s="21" t="s">
        <v>23</v>
      </c>
      <c r="C5911" s="21" t="s">
        <v>1145</v>
      </c>
      <c r="D5911" s="21" t="s">
        <v>35</v>
      </c>
      <c r="E5911" s="17" t="s">
        <v>631</v>
      </c>
      <c r="F5911" s="18" t="s">
        <v>105</v>
      </c>
      <c r="G5911" s="18" t="s">
        <v>48</v>
      </c>
      <c r="H5911" s="24">
        <v>30420</v>
      </c>
      <c r="I5911" s="24">
        <f>T_reg.root.SK[[#This Row],[Volume, kg]]/1000</f>
        <v>30.42</v>
      </c>
      <c r="J5911" s="25">
        <v>0.2218</v>
      </c>
      <c r="K5911" s="25">
        <f t="shared" si="93"/>
        <v>6747.1559999999999</v>
      </c>
      <c r="L5911" s="25">
        <v>1.8</v>
      </c>
      <c r="M5911" s="24">
        <v>54872</v>
      </c>
      <c r="N5911" s="25">
        <f>IFERROR(T_reg.root.SK[[#This Row],[Price]]/T_reg.root.SK[[#This Row],[Starch content]],"")</f>
        <v>8.1154192966636618</v>
      </c>
    </row>
    <row r="5912" spans="1:14">
      <c r="A5912" s="21">
        <v>2025</v>
      </c>
      <c r="B5912" s="21" t="s">
        <v>23</v>
      </c>
      <c r="C5912" s="21" t="s">
        <v>1145</v>
      </c>
      <c r="D5912" s="21" t="s">
        <v>35</v>
      </c>
      <c r="E5912" s="17" t="s">
        <v>109</v>
      </c>
      <c r="F5912" s="18" t="s">
        <v>105</v>
      </c>
      <c r="G5912" s="18" t="s">
        <v>48</v>
      </c>
      <c r="H5912" s="24">
        <v>52820</v>
      </c>
      <c r="I5912" s="24">
        <f>T_reg.root.SK[[#This Row],[Volume, kg]]/1000</f>
        <v>52.82</v>
      </c>
      <c r="J5912" s="25">
        <v>0.18440000000000001</v>
      </c>
      <c r="K5912" s="25">
        <f t="shared" si="93"/>
        <v>9740.0079999999998</v>
      </c>
      <c r="L5912" s="25">
        <v>1.63</v>
      </c>
      <c r="M5912" s="24">
        <v>85892</v>
      </c>
      <c r="N5912" s="25">
        <f>IFERROR(T_reg.root.SK[[#This Row],[Price]]/T_reg.root.SK[[#This Row],[Starch content]],"")</f>
        <v>8.8394793926247281</v>
      </c>
    </row>
    <row r="5913" spans="1:14">
      <c r="A5913" s="21">
        <v>2025</v>
      </c>
      <c r="B5913" s="21" t="s">
        <v>23</v>
      </c>
      <c r="C5913" s="21" t="s">
        <v>1145</v>
      </c>
      <c r="D5913" s="21" t="s">
        <v>35</v>
      </c>
      <c r="E5913" s="17" t="s">
        <v>350</v>
      </c>
      <c r="F5913" s="18" t="s">
        <v>105</v>
      </c>
      <c r="G5913" s="18" t="s">
        <v>48</v>
      </c>
      <c r="H5913" s="24">
        <v>8930</v>
      </c>
      <c r="I5913" s="24">
        <f>T_reg.root.SK[[#This Row],[Volume, kg]]/1000</f>
        <v>8.93</v>
      </c>
      <c r="J5913" s="25">
        <v>0.1447</v>
      </c>
      <c r="K5913" s="25">
        <f t="shared" si="93"/>
        <v>1292.171</v>
      </c>
      <c r="L5913" s="25">
        <v>1.4</v>
      </c>
      <c r="M5913" s="24">
        <v>12502</v>
      </c>
      <c r="N5913" s="25">
        <f>IFERROR(T_reg.root.SK[[#This Row],[Price]]/T_reg.root.SK[[#This Row],[Starch content]],"")</f>
        <v>9.6751900483759492</v>
      </c>
    </row>
    <row r="5914" spans="1:14">
      <c r="A5914" s="21">
        <v>2025</v>
      </c>
      <c r="B5914" s="21" t="s">
        <v>23</v>
      </c>
      <c r="C5914" s="21" t="s">
        <v>1145</v>
      </c>
      <c r="D5914" s="21" t="s">
        <v>35</v>
      </c>
      <c r="E5914" s="17" t="s">
        <v>1029</v>
      </c>
      <c r="F5914" s="18" t="s">
        <v>95</v>
      </c>
      <c r="G5914" s="18" t="s">
        <v>48</v>
      </c>
      <c r="H5914" s="24">
        <v>43390</v>
      </c>
      <c r="I5914" s="24">
        <f>T_reg.root.SK[[#This Row],[Volume, kg]]/1000</f>
        <v>43.39</v>
      </c>
      <c r="J5914" s="25">
        <v>0.24399999999999999</v>
      </c>
      <c r="K5914" s="25">
        <f t="shared" si="93"/>
        <v>10587.16</v>
      </c>
      <c r="L5914" s="25">
        <v>1.92</v>
      </c>
      <c r="M5914" s="24">
        <v>83204</v>
      </c>
      <c r="N5914" s="25">
        <f>IFERROR(T_reg.root.SK[[#This Row],[Price]]/T_reg.root.SK[[#This Row],[Starch content]],"")</f>
        <v>7.8688524590163933</v>
      </c>
    </row>
    <row r="5915" spans="1:14">
      <c r="A5915" s="21">
        <v>2025</v>
      </c>
      <c r="B5915" s="21" t="s">
        <v>23</v>
      </c>
      <c r="C5915" s="21" t="s">
        <v>1145</v>
      </c>
      <c r="D5915" s="21" t="s">
        <v>39</v>
      </c>
      <c r="E5915" s="17" t="s">
        <v>1017</v>
      </c>
      <c r="F5915" s="18" t="s">
        <v>1018</v>
      </c>
      <c r="G5915" s="18" t="s">
        <v>103</v>
      </c>
      <c r="H5915" s="24">
        <v>159530</v>
      </c>
      <c r="I5915" s="24">
        <f>T_reg.root.SK[[#This Row],[Volume, kg]]/1000</f>
        <v>159.53</v>
      </c>
      <c r="J5915" s="25">
        <v>0.19589999999999999</v>
      </c>
      <c r="K5915" s="25">
        <f t="shared" si="93"/>
        <v>31251.927</v>
      </c>
      <c r="L5915" s="25">
        <v>1.93</v>
      </c>
      <c r="M5915" s="24">
        <v>308357.5</v>
      </c>
      <c r="N5915" s="25">
        <f>IFERROR(T_reg.root.SK[[#This Row],[Price]]/T_reg.root.SK[[#This Row],[Starch content]],"")</f>
        <v>9.8519652884124547</v>
      </c>
    </row>
    <row r="5916" spans="1:14">
      <c r="A5916" s="21">
        <v>2025</v>
      </c>
      <c r="B5916" s="21" t="s">
        <v>23</v>
      </c>
      <c r="C5916" s="21" t="s">
        <v>1145</v>
      </c>
      <c r="D5916" s="21" t="s">
        <v>35</v>
      </c>
      <c r="E5916" s="17" t="s">
        <v>723</v>
      </c>
      <c r="F5916" s="18" t="s">
        <v>187</v>
      </c>
      <c r="G5916" s="18" t="s">
        <v>48</v>
      </c>
      <c r="H5916" s="24">
        <v>19500</v>
      </c>
      <c r="I5916" s="24">
        <f>T_reg.root.SK[[#This Row],[Volume, kg]]/1000</f>
        <v>19.5</v>
      </c>
      <c r="J5916" s="25">
        <v>0.22460000000000002</v>
      </c>
      <c r="K5916" s="25">
        <f t="shared" si="93"/>
        <v>4379.7000000000007</v>
      </c>
      <c r="L5916" s="25">
        <v>1.83</v>
      </c>
      <c r="M5916" s="24">
        <v>35675</v>
      </c>
      <c r="N5916" s="25">
        <f>IFERROR(T_reg.root.SK[[#This Row],[Price]]/T_reg.root.SK[[#This Row],[Starch content]],"")</f>
        <v>8.1478183437221716</v>
      </c>
    </row>
    <row r="5917" spans="1:14">
      <c r="A5917" s="21">
        <v>2025</v>
      </c>
      <c r="B5917" s="21" t="s">
        <v>23</v>
      </c>
      <c r="C5917" s="21" t="s">
        <v>1145</v>
      </c>
      <c r="D5917" s="21" t="s">
        <v>35</v>
      </c>
      <c r="E5917" s="17" t="s">
        <v>82</v>
      </c>
      <c r="F5917" s="18" t="s">
        <v>83</v>
      </c>
      <c r="G5917" s="18" t="s">
        <v>48</v>
      </c>
      <c r="H5917" s="24">
        <v>10550</v>
      </c>
      <c r="I5917" s="24">
        <f>T_reg.root.SK[[#This Row],[Volume, kg]]/1000</f>
        <v>10.55</v>
      </c>
      <c r="J5917" s="25">
        <v>0.14599999999999999</v>
      </c>
      <c r="K5917" s="25">
        <f t="shared" si="93"/>
        <v>1540.3</v>
      </c>
      <c r="L5917" s="25">
        <v>1.45</v>
      </c>
      <c r="M5917" s="24">
        <v>15297.5</v>
      </c>
      <c r="N5917" s="25">
        <f>IFERROR(T_reg.root.SK[[#This Row],[Price]]/T_reg.root.SK[[#This Row],[Starch content]],"")</f>
        <v>9.9315068493150687</v>
      </c>
    </row>
    <row r="5918" spans="1:14">
      <c r="A5918" s="21">
        <v>2025</v>
      </c>
      <c r="B5918" s="21" t="s">
        <v>23</v>
      </c>
      <c r="C5918" s="21" t="s">
        <v>1145</v>
      </c>
      <c r="D5918" s="21" t="s">
        <v>35</v>
      </c>
      <c r="E5918" s="17" t="s">
        <v>351</v>
      </c>
      <c r="F5918" s="18" t="s">
        <v>105</v>
      </c>
      <c r="G5918" s="18" t="s">
        <v>48</v>
      </c>
      <c r="H5918" s="24">
        <v>80630</v>
      </c>
      <c r="I5918" s="24">
        <f>T_reg.root.SK[[#This Row],[Volume, kg]]/1000</f>
        <v>80.63</v>
      </c>
      <c r="J5918" s="25">
        <v>0.24160000000000001</v>
      </c>
      <c r="K5918" s="25">
        <f t="shared" si="93"/>
        <v>19480.208000000002</v>
      </c>
      <c r="L5918" s="25">
        <v>1.91</v>
      </c>
      <c r="M5918" s="24">
        <v>153735</v>
      </c>
      <c r="N5918" s="25">
        <f>IFERROR(T_reg.root.SK[[#This Row],[Price]]/T_reg.root.SK[[#This Row],[Starch content]],"")</f>
        <v>7.9056291390728468</v>
      </c>
    </row>
    <row r="5919" spans="1:14">
      <c r="A5919" s="21">
        <v>2025</v>
      </c>
      <c r="B5919" s="21" t="s">
        <v>23</v>
      </c>
      <c r="C5919" s="21" t="s">
        <v>1145</v>
      </c>
      <c r="D5919" s="21" t="s">
        <v>35</v>
      </c>
      <c r="E5919" s="17" t="s">
        <v>609</v>
      </c>
      <c r="F5919" s="18" t="s">
        <v>187</v>
      </c>
      <c r="G5919" s="18" t="s">
        <v>48</v>
      </c>
      <c r="H5919" s="24">
        <v>0</v>
      </c>
      <c r="I5919" s="24">
        <f>T_reg.root.SK[[#This Row],[Volume, kg]]/1000</f>
        <v>0</v>
      </c>
      <c r="J5919" s="25">
        <v>0</v>
      </c>
      <c r="K5919" s="25">
        <f t="shared" si="93"/>
        <v>0</v>
      </c>
      <c r="L5919" s="25">
        <v>0</v>
      </c>
      <c r="M5919" s="24">
        <v>0</v>
      </c>
      <c r="N5919" s="25" t="str">
        <f>IFERROR(T_reg.root.SK[[#This Row],[Price]]/T_reg.root.SK[[#This Row],[Starch content]],"")</f>
        <v/>
      </c>
    </row>
    <row r="5920" spans="1:14">
      <c r="A5920" s="21">
        <v>2025</v>
      </c>
      <c r="B5920" s="21" t="s">
        <v>23</v>
      </c>
      <c r="C5920" s="21" t="s">
        <v>1145</v>
      </c>
      <c r="D5920" s="21" t="s">
        <v>35</v>
      </c>
      <c r="E5920" s="17" t="s">
        <v>294</v>
      </c>
      <c r="F5920" s="18" t="s">
        <v>105</v>
      </c>
      <c r="G5920" s="18" t="s">
        <v>48</v>
      </c>
      <c r="H5920" s="24">
        <v>3450</v>
      </c>
      <c r="I5920" s="24">
        <f>T_reg.root.SK[[#This Row],[Volume, kg]]/1000</f>
        <v>3.45</v>
      </c>
      <c r="J5920" s="25">
        <v>0.20499999999999999</v>
      </c>
      <c r="K5920" s="25">
        <f t="shared" si="93"/>
        <v>707.25</v>
      </c>
      <c r="L5920" s="25">
        <v>1.71</v>
      </c>
      <c r="M5920" s="24">
        <v>5900</v>
      </c>
      <c r="N5920" s="25">
        <f>IFERROR(T_reg.root.SK[[#This Row],[Price]]/T_reg.root.SK[[#This Row],[Starch content]],"")</f>
        <v>8.3414634146341466</v>
      </c>
    </row>
    <row r="5921" spans="1:14">
      <c r="A5921" s="21">
        <v>2025</v>
      </c>
      <c r="B5921" s="21" t="s">
        <v>23</v>
      </c>
      <c r="C5921" s="21" t="s">
        <v>1145</v>
      </c>
      <c r="D5921" s="21" t="s">
        <v>35</v>
      </c>
      <c r="E5921" s="17" t="s">
        <v>110</v>
      </c>
      <c r="F5921" s="18" t="s">
        <v>105</v>
      </c>
      <c r="G5921" s="18" t="s">
        <v>48</v>
      </c>
      <c r="H5921" s="24">
        <v>46030</v>
      </c>
      <c r="I5921" s="24">
        <f>T_reg.root.SK[[#This Row],[Volume, kg]]/1000</f>
        <v>46.03</v>
      </c>
      <c r="J5921" s="25">
        <v>0.21440000000000001</v>
      </c>
      <c r="K5921" s="25">
        <f t="shared" si="93"/>
        <v>9868.8320000000003</v>
      </c>
      <c r="L5921" s="25">
        <v>1.78</v>
      </c>
      <c r="M5921" s="24">
        <v>81778.5</v>
      </c>
      <c r="N5921" s="25">
        <f>IFERROR(T_reg.root.SK[[#This Row],[Price]]/T_reg.root.SK[[#This Row],[Starch content]],"")</f>
        <v>8.3022388059701484</v>
      </c>
    </row>
    <row r="5922" spans="1:14">
      <c r="A5922" s="21">
        <v>2025</v>
      </c>
      <c r="B5922" s="21" t="s">
        <v>23</v>
      </c>
      <c r="C5922" s="21" t="s">
        <v>1145</v>
      </c>
      <c r="D5922" s="21" t="s">
        <v>35</v>
      </c>
      <c r="E5922" s="17" t="s">
        <v>261</v>
      </c>
      <c r="F5922" s="18" t="s">
        <v>187</v>
      </c>
      <c r="G5922" s="18" t="s">
        <v>48</v>
      </c>
      <c r="H5922" s="24">
        <v>63530</v>
      </c>
      <c r="I5922" s="24">
        <f>T_reg.root.SK[[#This Row],[Volume, kg]]/1000</f>
        <v>63.53</v>
      </c>
      <c r="J5922" s="25">
        <v>0.2351</v>
      </c>
      <c r="K5922" s="25">
        <f t="shared" si="93"/>
        <v>14935.903</v>
      </c>
      <c r="L5922" s="25">
        <v>1.88</v>
      </c>
      <c r="M5922" s="24">
        <v>119179</v>
      </c>
      <c r="N5922" s="25">
        <f>IFERROR(T_reg.root.SK[[#This Row],[Price]]/T_reg.root.SK[[#This Row],[Starch content]],"")</f>
        <v>7.9965971926839634</v>
      </c>
    </row>
    <row r="5923" spans="1:14">
      <c r="A5923" s="21">
        <v>2025</v>
      </c>
      <c r="B5923" s="21" t="s">
        <v>23</v>
      </c>
      <c r="C5923" s="21" t="s">
        <v>1145</v>
      </c>
      <c r="D5923" s="21" t="s">
        <v>35</v>
      </c>
      <c r="E5923" s="17" t="s">
        <v>336</v>
      </c>
      <c r="F5923" s="18" t="s">
        <v>47</v>
      </c>
      <c r="G5923" s="18" t="s">
        <v>48</v>
      </c>
      <c r="H5923" s="24">
        <v>87430</v>
      </c>
      <c r="I5923" s="24">
        <f>T_reg.root.SK[[#This Row],[Volume, kg]]/1000</f>
        <v>87.43</v>
      </c>
      <c r="J5923" s="25">
        <v>0.23480000000000001</v>
      </c>
      <c r="K5923" s="25">
        <f t="shared" si="93"/>
        <v>20528.564000000002</v>
      </c>
      <c r="L5923" s="25">
        <v>1.87</v>
      </c>
      <c r="M5923" s="24">
        <v>163299.5</v>
      </c>
      <c r="N5923" s="25">
        <f>IFERROR(T_reg.root.SK[[#This Row],[Price]]/T_reg.root.SK[[#This Row],[Starch content]],"")</f>
        <v>7.9642248722316866</v>
      </c>
    </row>
    <row r="5924" spans="1:14">
      <c r="A5924" s="21">
        <v>2025</v>
      </c>
      <c r="B5924" s="21" t="s">
        <v>23</v>
      </c>
      <c r="C5924" s="21" t="s">
        <v>1145</v>
      </c>
      <c r="D5924" s="21" t="s">
        <v>35</v>
      </c>
      <c r="E5924" s="17" t="s">
        <v>352</v>
      </c>
      <c r="F5924" s="18" t="s">
        <v>105</v>
      </c>
      <c r="G5924" s="18" t="s">
        <v>48</v>
      </c>
      <c r="H5924" s="24">
        <v>21070</v>
      </c>
      <c r="I5924" s="24">
        <f>T_reg.root.SK[[#This Row],[Volume, kg]]/1000</f>
        <v>21.07</v>
      </c>
      <c r="J5924" s="25">
        <v>0.20100000000000001</v>
      </c>
      <c r="K5924" s="25">
        <f t="shared" si="93"/>
        <v>4235.0700000000006</v>
      </c>
      <c r="L5924" s="25">
        <v>1.7</v>
      </c>
      <c r="M5924" s="24">
        <v>35826.5</v>
      </c>
      <c r="N5924" s="25">
        <f>IFERROR(T_reg.root.SK[[#This Row],[Price]]/T_reg.root.SK[[#This Row],[Starch content]],"")</f>
        <v>8.4577114427860689</v>
      </c>
    </row>
    <row r="5925" spans="1:14">
      <c r="A5925" s="21">
        <v>2025</v>
      </c>
      <c r="B5925" s="21" t="s">
        <v>23</v>
      </c>
      <c r="C5925" s="21" t="s">
        <v>1145</v>
      </c>
      <c r="D5925" s="21" t="s">
        <v>35</v>
      </c>
      <c r="E5925" s="17" t="s">
        <v>751</v>
      </c>
      <c r="F5925" s="18" t="s">
        <v>105</v>
      </c>
      <c r="G5925" s="18" t="s">
        <v>48</v>
      </c>
      <c r="H5925" s="24">
        <v>9920</v>
      </c>
      <c r="I5925" s="24">
        <f>T_reg.root.SK[[#This Row],[Volume, kg]]/1000</f>
        <v>9.92</v>
      </c>
      <c r="J5925" s="25">
        <v>0.2155</v>
      </c>
      <c r="K5925" s="25">
        <f t="shared" si="93"/>
        <v>2137.7599999999998</v>
      </c>
      <c r="L5925" s="25">
        <v>1.8</v>
      </c>
      <c r="M5925" s="24">
        <v>17856</v>
      </c>
      <c r="N5925" s="25">
        <f>IFERROR(T_reg.root.SK[[#This Row],[Price]]/T_reg.root.SK[[#This Row],[Starch content]],"")</f>
        <v>8.3526682134570773</v>
      </c>
    </row>
    <row r="5926" spans="1:14">
      <c r="A5926" s="21">
        <v>2025</v>
      </c>
      <c r="B5926" s="21" t="s">
        <v>23</v>
      </c>
      <c r="C5926" s="21" t="s">
        <v>1145</v>
      </c>
      <c r="D5926" s="21" t="s">
        <v>35</v>
      </c>
      <c r="E5926" s="17" t="s">
        <v>192</v>
      </c>
      <c r="F5926" s="18" t="s">
        <v>187</v>
      </c>
      <c r="G5926" s="18" t="s">
        <v>48</v>
      </c>
      <c r="H5926" s="24">
        <v>5480</v>
      </c>
      <c r="I5926" s="24">
        <f>T_reg.root.SK[[#This Row],[Volume, kg]]/1000</f>
        <v>5.48</v>
      </c>
      <c r="J5926" s="25">
        <v>0.185</v>
      </c>
      <c r="K5926" s="25">
        <f t="shared" si="93"/>
        <v>1013.8</v>
      </c>
      <c r="L5926" s="25">
        <v>1.65</v>
      </c>
      <c r="M5926" s="24">
        <v>9042</v>
      </c>
      <c r="N5926" s="25">
        <f>IFERROR(T_reg.root.SK[[#This Row],[Price]]/T_reg.root.SK[[#This Row],[Starch content]],"")</f>
        <v>8.9189189189189193</v>
      </c>
    </row>
    <row r="5927" spans="1:14">
      <c r="A5927" s="21">
        <v>2025</v>
      </c>
      <c r="B5927" s="21" t="s">
        <v>23</v>
      </c>
      <c r="C5927" s="21" t="s">
        <v>1145</v>
      </c>
      <c r="D5927" s="21" t="s">
        <v>35</v>
      </c>
      <c r="E5927" s="17" t="s">
        <v>513</v>
      </c>
      <c r="F5927" s="18" t="s">
        <v>187</v>
      </c>
      <c r="G5927" s="18" t="s">
        <v>48</v>
      </c>
      <c r="H5927" s="24">
        <v>54200</v>
      </c>
      <c r="I5927" s="24">
        <f>T_reg.root.SK[[#This Row],[Volume, kg]]/1000</f>
        <v>54.2</v>
      </c>
      <c r="J5927" s="25">
        <v>0.20559999999999998</v>
      </c>
      <c r="K5927" s="25">
        <f t="shared" si="93"/>
        <v>11143.519999999999</v>
      </c>
      <c r="L5927" s="25">
        <v>1.74</v>
      </c>
      <c r="M5927" s="24">
        <v>94088</v>
      </c>
      <c r="N5927" s="25">
        <f>IFERROR(T_reg.root.SK[[#This Row],[Price]]/T_reg.root.SK[[#This Row],[Starch content]],"")</f>
        <v>8.463035019455253</v>
      </c>
    </row>
    <row r="5928" spans="1:14">
      <c r="A5928" s="21">
        <v>2025</v>
      </c>
      <c r="B5928" s="21" t="s">
        <v>23</v>
      </c>
      <c r="C5928" s="21" t="s">
        <v>1145</v>
      </c>
      <c r="D5928" s="21" t="s">
        <v>35</v>
      </c>
      <c r="E5928" s="17" t="s">
        <v>514</v>
      </c>
      <c r="F5928" s="18" t="s">
        <v>187</v>
      </c>
      <c r="G5928" s="18" t="s">
        <v>48</v>
      </c>
      <c r="H5928" s="24">
        <v>4770</v>
      </c>
      <c r="I5928" s="24">
        <f>T_reg.root.SK[[#This Row],[Volume, kg]]/1000</f>
        <v>4.7699999999999996</v>
      </c>
      <c r="J5928" s="25">
        <v>0.19649999999999998</v>
      </c>
      <c r="K5928" s="25">
        <f t="shared" si="93"/>
        <v>937.30499999999995</v>
      </c>
      <c r="L5928" s="25">
        <v>1.7</v>
      </c>
      <c r="M5928" s="24">
        <v>8109</v>
      </c>
      <c r="N5928" s="25">
        <f>IFERROR(T_reg.root.SK[[#This Row],[Price]]/T_reg.root.SK[[#This Row],[Starch content]],"")</f>
        <v>8.6513994910941481</v>
      </c>
    </row>
    <row r="5929" spans="1:14">
      <c r="A5929" s="21">
        <v>2025</v>
      </c>
      <c r="B5929" s="21" t="s">
        <v>23</v>
      </c>
      <c r="C5929" s="21" t="s">
        <v>1145</v>
      </c>
      <c r="D5929" s="21" t="s">
        <v>35</v>
      </c>
      <c r="E5929" s="17" t="s">
        <v>701</v>
      </c>
      <c r="F5929" s="18" t="s">
        <v>187</v>
      </c>
      <c r="G5929" s="18" t="s">
        <v>48</v>
      </c>
      <c r="H5929" s="24">
        <v>43810</v>
      </c>
      <c r="I5929" s="24">
        <f>T_reg.root.SK[[#This Row],[Volume, kg]]/1000</f>
        <v>43.81</v>
      </c>
      <c r="J5929" s="25">
        <v>0.2039</v>
      </c>
      <c r="K5929" s="25">
        <f t="shared" si="93"/>
        <v>8932.8590000000004</v>
      </c>
      <c r="L5929" s="25">
        <v>1.73</v>
      </c>
      <c r="M5929" s="24">
        <v>75636</v>
      </c>
      <c r="N5929" s="25">
        <f>IFERROR(T_reg.root.SK[[#This Row],[Price]]/T_reg.root.SK[[#This Row],[Starch content]],"")</f>
        <v>8.4845512506130465</v>
      </c>
    </row>
    <row r="5930" spans="1:14">
      <c r="A5930" s="21">
        <v>2025</v>
      </c>
      <c r="B5930" s="21" t="s">
        <v>23</v>
      </c>
      <c r="C5930" s="21" t="s">
        <v>1145</v>
      </c>
      <c r="D5930" s="21" t="s">
        <v>35</v>
      </c>
      <c r="E5930" s="17" t="s">
        <v>776</v>
      </c>
      <c r="F5930" s="18" t="s">
        <v>187</v>
      </c>
      <c r="G5930" s="18" t="s">
        <v>48</v>
      </c>
      <c r="H5930" s="24">
        <v>24710</v>
      </c>
      <c r="I5930" s="24">
        <f>T_reg.root.SK[[#This Row],[Volume, kg]]/1000</f>
        <v>24.71</v>
      </c>
      <c r="J5930" s="25">
        <v>0.20050000000000001</v>
      </c>
      <c r="K5930" s="25">
        <f t="shared" si="93"/>
        <v>4954.3550000000005</v>
      </c>
      <c r="L5930" s="25">
        <v>1.71</v>
      </c>
      <c r="M5930" s="24">
        <v>42218</v>
      </c>
      <c r="N5930" s="25">
        <f>IFERROR(T_reg.root.SK[[#This Row],[Price]]/T_reg.root.SK[[#This Row],[Starch content]],"")</f>
        <v>8.528678304239401</v>
      </c>
    </row>
    <row r="5931" spans="1:14">
      <c r="A5931" s="21">
        <v>2025</v>
      </c>
      <c r="B5931" s="21" t="s">
        <v>23</v>
      </c>
      <c r="C5931" s="21" t="s">
        <v>1145</v>
      </c>
      <c r="D5931" s="21" t="s">
        <v>39</v>
      </c>
      <c r="E5931" s="17" t="s">
        <v>1020</v>
      </c>
      <c r="F5931" s="18" t="s">
        <v>1021</v>
      </c>
      <c r="G5931" s="18" t="s">
        <v>1022</v>
      </c>
      <c r="H5931" s="24">
        <v>678770</v>
      </c>
      <c r="I5931" s="24">
        <f>T_reg.root.SK[[#This Row],[Volume, kg]]/1000</f>
        <v>678.77</v>
      </c>
      <c r="J5931" s="25">
        <v>0.2054</v>
      </c>
      <c r="K5931" s="25">
        <f t="shared" si="93"/>
        <v>139419.35800000001</v>
      </c>
      <c r="L5931" s="25">
        <v>1.99</v>
      </c>
      <c r="M5931" s="24">
        <v>1353488.5</v>
      </c>
      <c r="N5931" s="25">
        <f>IFERROR(T_reg.root.SK[[#This Row],[Price]]/T_reg.root.SK[[#This Row],[Starch content]],"")</f>
        <v>9.6884128529698152</v>
      </c>
    </row>
    <row r="5932" spans="1:14">
      <c r="A5932" s="21">
        <v>2025</v>
      </c>
      <c r="B5932" s="21" t="s">
        <v>23</v>
      </c>
      <c r="C5932" s="21" t="s">
        <v>1145</v>
      </c>
      <c r="D5932" s="21" t="s">
        <v>35</v>
      </c>
      <c r="E5932" s="17" t="s">
        <v>1030</v>
      </c>
      <c r="F5932" s="18" t="s">
        <v>187</v>
      </c>
      <c r="G5932" s="18" t="s">
        <v>48</v>
      </c>
      <c r="H5932" s="24">
        <v>81640</v>
      </c>
      <c r="I5932" s="24">
        <f>T_reg.root.SK[[#This Row],[Volume, kg]]/1000</f>
        <v>81.64</v>
      </c>
      <c r="J5932" s="25">
        <v>0.2366</v>
      </c>
      <c r="K5932" s="25">
        <f t="shared" si="93"/>
        <v>19316.024000000001</v>
      </c>
      <c r="L5932" s="25">
        <v>1.89</v>
      </c>
      <c r="M5932" s="24">
        <v>153954</v>
      </c>
      <c r="N5932" s="25">
        <f>IFERROR(T_reg.root.SK[[#This Row],[Price]]/T_reg.root.SK[[#This Row],[Starch content]],"")</f>
        <v>7.9881656804733723</v>
      </c>
    </row>
    <row r="5933" spans="1:14">
      <c r="A5933" s="21">
        <v>2025</v>
      </c>
      <c r="B5933" s="21" t="s">
        <v>23</v>
      </c>
      <c r="C5933" s="21" t="s">
        <v>1145</v>
      </c>
      <c r="D5933" s="21" t="s">
        <v>35</v>
      </c>
      <c r="E5933" s="17" t="s">
        <v>734</v>
      </c>
      <c r="F5933" s="18" t="s">
        <v>105</v>
      </c>
      <c r="G5933" s="18" t="s">
        <v>48</v>
      </c>
      <c r="H5933" s="24">
        <v>285710</v>
      </c>
      <c r="I5933" s="24">
        <f>T_reg.root.SK[[#This Row],[Volume, kg]]/1000</f>
        <v>285.70999999999998</v>
      </c>
      <c r="J5933" s="25">
        <v>0.23219999999999999</v>
      </c>
      <c r="K5933" s="25">
        <f t="shared" si="93"/>
        <v>66341.861999999994</v>
      </c>
      <c r="L5933" s="25">
        <v>1.86</v>
      </c>
      <c r="M5933" s="24">
        <v>532741</v>
      </c>
      <c r="N5933" s="25">
        <f>IFERROR(T_reg.root.SK[[#This Row],[Price]]/T_reg.root.SK[[#This Row],[Starch content]],"")</f>
        <v>8.0103359173126627</v>
      </c>
    </row>
    <row r="5934" spans="1:14">
      <c r="A5934" s="21">
        <v>2025</v>
      </c>
      <c r="B5934" s="21" t="s">
        <v>23</v>
      </c>
      <c r="C5934" s="21" t="s">
        <v>1145</v>
      </c>
      <c r="D5934" s="21" t="s">
        <v>35</v>
      </c>
      <c r="E5934" s="17" t="s">
        <v>193</v>
      </c>
      <c r="F5934" s="18" t="s">
        <v>187</v>
      </c>
      <c r="G5934" s="18" t="s">
        <v>48</v>
      </c>
      <c r="H5934" s="24">
        <v>82090</v>
      </c>
      <c r="I5934" s="24">
        <f>T_reg.root.SK[[#This Row],[Volume, kg]]/1000</f>
        <v>82.09</v>
      </c>
      <c r="J5934" s="25">
        <v>0.1779</v>
      </c>
      <c r="K5934" s="25">
        <f t="shared" si="93"/>
        <v>14603.811</v>
      </c>
      <c r="L5934" s="25">
        <v>1.59</v>
      </c>
      <c r="M5934" s="24">
        <v>130316</v>
      </c>
      <c r="N5934" s="25">
        <f>IFERROR(T_reg.root.SK[[#This Row],[Price]]/T_reg.root.SK[[#This Row],[Starch content]],"")</f>
        <v>8.937605396290051</v>
      </c>
    </row>
    <row r="5935" spans="1:14">
      <c r="A5935" s="21">
        <v>2025</v>
      </c>
      <c r="B5935" s="21" t="s">
        <v>23</v>
      </c>
      <c r="C5935" s="21" t="s">
        <v>1145</v>
      </c>
      <c r="D5935" s="21" t="s">
        <v>35</v>
      </c>
      <c r="E5935" s="17" t="s">
        <v>995</v>
      </c>
      <c r="F5935" s="18" t="s">
        <v>187</v>
      </c>
      <c r="G5935" s="18" t="s">
        <v>48</v>
      </c>
      <c r="H5935" s="24">
        <v>21980</v>
      </c>
      <c r="I5935" s="24">
        <f>T_reg.root.SK[[#This Row],[Volume, kg]]/1000</f>
        <v>21.98</v>
      </c>
      <c r="J5935" s="25">
        <v>0.22390000000000002</v>
      </c>
      <c r="K5935" s="25">
        <f t="shared" si="93"/>
        <v>4921.3220000000001</v>
      </c>
      <c r="L5935" s="25">
        <v>1.82</v>
      </c>
      <c r="M5935" s="24">
        <v>39944</v>
      </c>
      <c r="N5935" s="25">
        <f>IFERROR(T_reg.root.SK[[#This Row],[Price]]/T_reg.root.SK[[#This Row],[Starch content]],"")</f>
        <v>8.1286288521661447</v>
      </c>
    </row>
    <row r="5936" spans="1:14">
      <c r="A5936" s="21">
        <v>2025</v>
      </c>
      <c r="B5936" s="21" t="s">
        <v>23</v>
      </c>
      <c r="C5936" s="21" t="s">
        <v>1145</v>
      </c>
      <c r="D5936" s="21" t="s">
        <v>35</v>
      </c>
      <c r="E5936" s="17" t="s">
        <v>586</v>
      </c>
      <c r="F5936" s="18" t="s">
        <v>187</v>
      </c>
      <c r="G5936" s="18" t="s">
        <v>48</v>
      </c>
      <c r="H5936" s="24">
        <v>8430</v>
      </c>
      <c r="I5936" s="24">
        <f>T_reg.root.SK[[#This Row],[Volume, kg]]/1000</f>
        <v>8.43</v>
      </c>
      <c r="J5936" s="25">
        <v>0.221</v>
      </c>
      <c r="K5936" s="25">
        <f t="shared" si="93"/>
        <v>1863.03</v>
      </c>
      <c r="L5936" s="25">
        <v>1.8</v>
      </c>
      <c r="M5936" s="24">
        <v>15174</v>
      </c>
      <c r="N5936" s="25">
        <f>IFERROR(T_reg.root.SK[[#This Row],[Price]]/T_reg.root.SK[[#This Row],[Starch content]],"")</f>
        <v>8.1447963800904972</v>
      </c>
    </row>
    <row r="5937" spans="1:14">
      <c r="A5937" s="21">
        <v>2025</v>
      </c>
      <c r="B5937" s="21" t="s">
        <v>23</v>
      </c>
      <c r="C5937" s="21" t="s">
        <v>1145</v>
      </c>
      <c r="D5937" s="21" t="s">
        <v>35</v>
      </c>
      <c r="E5937" s="17" t="s">
        <v>112</v>
      </c>
      <c r="F5937" s="18" t="s">
        <v>105</v>
      </c>
      <c r="G5937" s="18" t="s">
        <v>48</v>
      </c>
      <c r="H5937" s="24">
        <v>199630</v>
      </c>
      <c r="I5937" s="24">
        <f>T_reg.root.SK[[#This Row],[Volume, kg]]/1000</f>
        <v>199.63</v>
      </c>
      <c r="J5937" s="25">
        <v>0.1986</v>
      </c>
      <c r="K5937" s="25">
        <f t="shared" si="93"/>
        <v>39646.517999999996</v>
      </c>
      <c r="L5937" s="25">
        <v>1.69</v>
      </c>
      <c r="M5937" s="24">
        <v>338145.5</v>
      </c>
      <c r="N5937" s="25">
        <f>IFERROR(T_reg.root.SK[[#This Row],[Price]]/T_reg.root.SK[[#This Row],[Starch content]],"")</f>
        <v>8.5095669687814706</v>
      </c>
    </row>
    <row r="5938" spans="1:14">
      <c r="A5938" s="21">
        <v>2025</v>
      </c>
      <c r="B5938" s="21" t="s">
        <v>23</v>
      </c>
      <c r="C5938" s="21" t="s">
        <v>1145</v>
      </c>
      <c r="D5938" s="21" t="s">
        <v>35</v>
      </c>
      <c r="E5938" s="17" t="s">
        <v>78</v>
      </c>
      <c r="F5938" s="18" t="s">
        <v>47</v>
      </c>
      <c r="G5938" s="18" t="s">
        <v>48</v>
      </c>
      <c r="H5938" s="24">
        <v>41790</v>
      </c>
      <c r="I5938" s="24">
        <f>T_reg.root.SK[[#This Row],[Volume, kg]]/1000</f>
        <v>41.79</v>
      </c>
      <c r="J5938" s="25">
        <v>0.1779</v>
      </c>
      <c r="K5938" s="25">
        <f t="shared" si="93"/>
        <v>7434.4409999999998</v>
      </c>
      <c r="L5938" s="25">
        <v>1.58</v>
      </c>
      <c r="M5938" s="24">
        <v>66161</v>
      </c>
      <c r="N5938" s="25">
        <f>IFERROR(T_reg.root.SK[[#This Row],[Price]]/T_reg.root.SK[[#This Row],[Starch content]],"")</f>
        <v>8.881394041596403</v>
      </c>
    </row>
    <row r="5939" spans="1:14">
      <c r="A5939" s="21">
        <v>2025</v>
      </c>
      <c r="B5939" s="21" t="s">
        <v>23</v>
      </c>
      <c r="C5939" s="21" t="s">
        <v>1145</v>
      </c>
      <c r="D5939" s="21" t="s">
        <v>35</v>
      </c>
      <c r="E5939" s="17" t="s">
        <v>803</v>
      </c>
      <c r="F5939" s="18" t="s">
        <v>105</v>
      </c>
      <c r="G5939" s="18" t="s">
        <v>48</v>
      </c>
      <c r="H5939" s="24">
        <v>54120</v>
      </c>
      <c r="I5939" s="24">
        <f>T_reg.root.SK[[#This Row],[Volume, kg]]/1000</f>
        <v>54.12</v>
      </c>
      <c r="J5939" s="25">
        <v>0.24590000000000001</v>
      </c>
      <c r="K5939" s="25">
        <f t="shared" si="93"/>
        <v>13308.108</v>
      </c>
      <c r="L5939" s="25">
        <v>1.93</v>
      </c>
      <c r="M5939" s="24">
        <v>104391.5</v>
      </c>
      <c r="N5939" s="25">
        <f>IFERROR(T_reg.root.SK[[#This Row],[Price]]/T_reg.root.SK[[#This Row],[Starch content]],"")</f>
        <v>7.8487189914599425</v>
      </c>
    </row>
    <row r="5940" spans="1:14">
      <c r="A5940" s="21">
        <v>2025</v>
      </c>
      <c r="B5940" s="21" t="s">
        <v>23</v>
      </c>
      <c r="C5940" s="21" t="s">
        <v>1145</v>
      </c>
      <c r="D5940" s="21" t="s">
        <v>35</v>
      </c>
      <c r="E5940" s="17" t="s">
        <v>53</v>
      </c>
      <c r="F5940" s="18" t="s">
        <v>47</v>
      </c>
      <c r="G5940" s="18" t="s">
        <v>48</v>
      </c>
      <c r="H5940" s="24">
        <v>24460</v>
      </c>
      <c r="I5940" s="24">
        <f>T_reg.root.SK[[#This Row],[Volume, kg]]/1000</f>
        <v>24.46</v>
      </c>
      <c r="J5940" s="25">
        <v>0.25480000000000003</v>
      </c>
      <c r="K5940" s="25">
        <f t="shared" si="93"/>
        <v>6232.4080000000004</v>
      </c>
      <c r="L5940" s="25">
        <v>1.98</v>
      </c>
      <c r="M5940" s="24">
        <v>48510</v>
      </c>
      <c r="N5940" s="25">
        <f>IFERROR(T_reg.root.SK[[#This Row],[Price]]/T_reg.root.SK[[#This Row],[Starch content]],"")</f>
        <v>7.7708006279434843</v>
      </c>
    </row>
    <row r="5941" spans="1:14">
      <c r="A5941" s="21">
        <v>2025</v>
      </c>
      <c r="B5941" s="21" t="s">
        <v>23</v>
      </c>
      <c r="C5941" s="21" t="s">
        <v>1145</v>
      </c>
      <c r="D5941" s="21" t="s">
        <v>35</v>
      </c>
      <c r="E5941" s="17" t="s">
        <v>621</v>
      </c>
      <c r="F5941" s="18" t="s">
        <v>187</v>
      </c>
      <c r="G5941" s="18" t="s">
        <v>48</v>
      </c>
      <c r="H5941" s="24">
        <v>35150</v>
      </c>
      <c r="I5941" s="24">
        <f>T_reg.root.SK[[#This Row],[Volume, kg]]/1000</f>
        <v>35.15</v>
      </c>
      <c r="J5941" s="25">
        <v>0.2077</v>
      </c>
      <c r="K5941" s="25">
        <f t="shared" si="93"/>
        <v>7300.6549999999997</v>
      </c>
      <c r="L5941" s="25">
        <v>1.74</v>
      </c>
      <c r="M5941" s="24">
        <v>61043</v>
      </c>
      <c r="N5941" s="25">
        <f>IFERROR(T_reg.root.SK[[#This Row],[Price]]/T_reg.root.SK[[#This Row],[Starch content]],"")</f>
        <v>8.3774675012036592</v>
      </c>
    </row>
    <row r="5942" spans="1:14">
      <c r="A5942" s="21">
        <v>2025</v>
      </c>
      <c r="B5942" s="21" t="s">
        <v>23</v>
      </c>
      <c r="C5942" s="21" t="s">
        <v>1145</v>
      </c>
      <c r="D5942" s="21" t="s">
        <v>39</v>
      </c>
      <c r="E5942" s="17" t="s">
        <v>284</v>
      </c>
      <c r="F5942" s="18" t="s">
        <v>285</v>
      </c>
      <c r="G5942" s="18" t="s">
        <v>286</v>
      </c>
      <c r="H5942" s="24">
        <v>208290</v>
      </c>
      <c r="I5942" s="24">
        <f>T_reg.root.SK[[#This Row],[Volume, kg]]/1000</f>
        <v>208.29</v>
      </c>
      <c r="J5942" s="25">
        <v>0.22109999999999999</v>
      </c>
      <c r="K5942" s="25">
        <f t="shared" si="93"/>
        <v>46052.919000000002</v>
      </c>
      <c r="L5942" s="25">
        <v>2.06</v>
      </c>
      <c r="M5942" s="24">
        <v>428658.5</v>
      </c>
      <c r="N5942" s="25">
        <f>IFERROR(T_reg.root.SK[[#This Row],[Price]]/T_reg.root.SK[[#This Row],[Starch content]],"")</f>
        <v>9.3170511080958853</v>
      </c>
    </row>
    <row r="5943" spans="1:14">
      <c r="A5943" s="21">
        <v>2025</v>
      </c>
      <c r="B5943" s="21" t="s">
        <v>23</v>
      </c>
      <c r="C5943" s="21" t="s">
        <v>1145</v>
      </c>
      <c r="D5943" s="21" t="s">
        <v>35</v>
      </c>
      <c r="E5943" s="17" t="s">
        <v>482</v>
      </c>
      <c r="F5943" s="18" t="s">
        <v>105</v>
      </c>
      <c r="G5943" s="18" t="s">
        <v>48</v>
      </c>
      <c r="H5943" s="24">
        <v>8360</v>
      </c>
      <c r="I5943" s="24">
        <f>T_reg.root.SK[[#This Row],[Volume, kg]]/1000</f>
        <v>8.36</v>
      </c>
      <c r="J5943" s="25">
        <v>0.17449999999999999</v>
      </c>
      <c r="K5943" s="25">
        <f t="shared" si="93"/>
        <v>1458.82</v>
      </c>
      <c r="L5943" s="25">
        <v>1.55</v>
      </c>
      <c r="M5943" s="24">
        <v>12958</v>
      </c>
      <c r="N5943" s="25">
        <f>IFERROR(T_reg.root.SK[[#This Row],[Price]]/T_reg.root.SK[[#This Row],[Starch content]],"")</f>
        <v>8.8825214899713476</v>
      </c>
    </row>
    <row r="5944" spans="1:14">
      <c r="A5944" s="21">
        <v>2025</v>
      </c>
      <c r="B5944" s="21" t="s">
        <v>23</v>
      </c>
      <c r="C5944" s="21" t="s">
        <v>1145</v>
      </c>
      <c r="D5944" s="21" t="s">
        <v>35</v>
      </c>
      <c r="E5944" s="17" t="s">
        <v>194</v>
      </c>
      <c r="F5944" s="18" t="s">
        <v>187</v>
      </c>
      <c r="G5944" s="18" t="s">
        <v>48</v>
      </c>
      <c r="H5944" s="24">
        <v>125030</v>
      </c>
      <c r="I5944" s="24">
        <f>T_reg.root.SK[[#This Row],[Volume, kg]]/1000</f>
        <v>125.03</v>
      </c>
      <c r="J5944" s="25">
        <v>0.24609999999999999</v>
      </c>
      <c r="K5944" s="25">
        <f t="shared" si="93"/>
        <v>30769.882999999998</v>
      </c>
      <c r="L5944" s="25">
        <v>1.93</v>
      </c>
      <c r="M5944" s="24">
        <v>241436.5</v>
      </c>
      <c r="N5944" s="25">
        <f>IFERROR(T_reg.root.SK[[#This Row],[Price]]/T_reg.root.SK[[#This Row],[Starch content]],"")</f>
        <v>7.8423405119869978</v>
      </c>
    </row>
    <row r="5945" spans="1:14">
      <c r="A5945" s="21">
        <v>2025</v>
      </c>
      <c r="B5945" s="21" t="s">
        <v>23</v>
      </c>
      <c r="C5945" s="21" t="s">
        <v>1145</v>
      </c>
      <c r="D5945" s="21" t="s">
        <v>35</v>
      </c>
      <c r="E5945" s="17" t="s">
        <v>234</v>
      </c>
      <c r="F5945" s="18" t="s">
        <v>105</v>
      </c>
      <c r="G5945" s="18" t="s">
        <v>48</v>
      </c>
      <c r="H5945" s="24">
        <v>187410</v>
      </c>
      <c r="I5945" s="24">
        <f>T_reg.root.SK[[#This Row],[Volume, kg]]/1000</f>
        <v>187.41</v>
      </c>
      <c r="J5945" s="25">
        <v>0.2437</v>
      </c>
      <c r="K5945" s="25">
        <f t="shared" si="93"/>
        <v>45671.817000000003</v>
      </c>
      <c r="L5945" s="25">
        <v>1.92</v>
      </c>
      <c r="M5945" s="24">
        <v>360538</v>
      </c>
      <c r="N5945" s="25">
        <f>IFERROR(T_reg.root.SK[[#This Row],[Price]]/T_reg.root.SK[[#This Row],[Starch content]],"")</f>
        <v>7.8785391875256456</v>
      </c>
    </row>
    <row r="5946" spans="1:14">
      <c r="A5946" s="21">
        <v>2025</v>
      </c>
      <c r="B5946" s="21" t="s">
        <v>23</v>
      </c>
      <c r="C5946" s="21" t="s">
        <v>1145</v>
      </c>
      <c r="D5946" s="21" t="s">
        <v>35</v>
      </c>
      <c r="E5946" s="17" t="s">
        <v>460</v>
      </c>
      <c r="F5946" s="18" t="s">
        <v>47</v>
      </c>
      <c r="G5946" s="18" t="s">
        <v>48</v>
      </c>
      <c r="H5946" s="24">
        <v>18120</v>
      </c>
      <c r="I5946" s="24">
        <f>T_reg.root.SK[[#This Row],[Volume, kg]]/1000</f>
        <v>18.12</v>
      </c>
      <c r="J5946" s="25">
        <v>0.20329999999999998</v>
      </c>
      <c r="K5946" s="25">
        <f t="shared" si="93"/>
        <v>3683.7959999999998</v>
      </c>
      <c r="L5946" s="25">
        <v>1.72</v>
      </c>
      <c r="M5946" s="24">
        <v>31147.5</v>
      </c>
      <c r="N5946" s="25">
        <f>IFERROR(T_reg.root.SK[[#This Row],[Price]]/T_reg.root.SK[[#This Row],[Starch content]],"")</f>
        <v>8.4604033448106257</v>
      </c>
    </row>
    <row r="5947" spans="1:14">
      <c r="A5947" s="21">
        <v>2025</v>
      </c>
      <c r="B5947" s="21" t="s">
        <v>23</v>
      </c>
      <c r="C5947" s="21" t="s">
        <v>1145</v>
      </c>
      <c r="D5947" s="21" t="s">
        <v>35</v>
      </c>
      <c r="E5947" s="17" t="s">
        <v>263</v>
      </c>
      <c r="F5947" s="18" t="s">
        <v>187</v>
      </c>
      <c r="G5947" s="18" t="s">
        <v>48</v>
      </c>
      <c r="H5947" s="24">
        <v>12200</v>
      </c>
      <c r="I5947" s="24">
        <f>T_reg.root.SK[[#This Row],[Volume, kg]]/1000</f>
        <v>12.2</v>
      </c>
      <c r="J5947" s="25">
        <v>0.1981</v>
      </c>
      <c r="K5947" s="25">
        <f t="shared" si="93"/>
        <v>2416.8200000000002</v>
      </c>
      <c r="L5947" s="25">
        <v>1.68</v>
      </c>
      <c r="M5947" s="24">
        <v>20489.5</v>
      </c>
      <c r="N5947" s="25">
        <f>IFERROR(T_reg.root.SK[[#This Row],[Price]]/T_reg.root.SK[[#This Row],[Starch content]],"")</f>
        <v>8.4805653710247348</v>
      </c>
    </row>
    <row r="5948" spans="1:14">
      <c r="A5948" s="21">
        <v>2025</v>
      </c>
      <c r="B5948" s="21" t="s">
        <v>23</v>
      </c>
      <c r="C5948" s="21" t="s">
        <v>1145</v>
      </c>
      <c r="D5948" s="21" t="s">
        <v>35</v>
      </c>
      <c r="E5948" s="17" t="s">
        <v>113</v>
      </c>
      <c r="F5948" s="18" t="s">
        <v>105</v>
      </c>
      <c r="G5948" s="18" t="s">
        <v>48</v>
      </c>
      <c r="H5948" s="24">
        <v>84870</v>
      </c>
      <c r="I5948" s="24">
        <f>T_reg.root.SK[[#This Row],[Volume, kg]]/1000</f>
        <v>84.87</v>
      </c>
      <c r="J5948" s="25">
        <v>0.21489999999999998</v>
      </c>
      <c r="K5948" s="25">
        <f t="shared" si="93"/>
        <v>18238.562999999998</v>
      </c>
      <c r="L5948" s="25">
        <v>1.77</v>
      </c>
      <c r="M5948" s="24">
        <v>150348.5</v>
      </c>
      <c r="N5948" s="25">
        <f>IFERROR(T_reg.root.SK[[#This Row],[Price]]/T_reg.root.SK[[#This Row],[Starch content]],"")</f>
        <v>8.2363890181479764</v>
      </c>
    </row>
    <row r="5949" spans="1:14">
      <c r="A5949" s="21">
        <v>2025</v>
      </c>
      <c r="B5949" s="21" t="s">
        <v>23</v>
      </c>
      <c r="C5949" s="21" t="s">
        <v>1145</v>
      </c>
      <c r="D5949" s="21" t="s">
        <v>35</v>
      </c>
      <c r="E5949" s="17" t="s">
        <v>54</v>
      </c>
      <c r="F5949" s="18" t="s">
        <v>47</v>
      </c>
      <c r="G5949" s="18" t="s">
        <v>48</v>
      </c>
      <c r="H5949" s="24">
        <v>0</v>
      </c>
      <c r="I5949" s="24">
        <f>T_reg.root.SK[[#This Row],[Volume, kg]]/1000</f>
        <v>0</v>
      </c>
      <c r="J5949" s="25">
        <v>0</v>
      </c>
      <c r="K5949" s="25">
        <f t="shared" si="93"/>
        <v>0</v>
      </c>
      <c r="L5949" s="25">
        <v>0</v>
      </c>
      <c r="M5949" s="24">
        <v>0</v>
      </c>
      <c r="N5949" s="25" t="str">
        <f>IFERROR(T_reg.root.SK[[#This Row],[Price]]/T_reg.root.SK[[#This Row],[Starch content]],"")</f>
        <v/>
      </c>
    </row>
    <row r="5950" spans="1:14">
      <c r="A5950" s="21">
        <v>2025</v>
      </c>
      <c r="B5950" s="21" t="s">
        <v>23</v>
      </c>
      <c r="C5950" s="21" t="s">
        <v>1145</v>
      </c>
      <c r="D5950" s="21" t="s">
        <v>39</v>
      </c>
      <c r="E5950" s="17" t="s">
        <v>997</v>
      </c>
      <c r="F5950" s="18" t="s">
        <v>998</v>
      </c>
      <c r="G5950" s="18" t="s">
        <v>87</v>
      </c>
      <c r="H5950" s="24">
        <v>4389610</v>
      </c>
      <c r="I5950" s="24">
        <f>T_reg.root.SK[[#This Row],[Volume, kg]]/1000</f>
        <v>4389.6099999999997</v>
      </c>
      <c r="J5950" s="25">
        <v>0.20800000000000002</v>
      </c>
      <c r="K5950" s="25">
        <f t="shared" si="93"/>
        <v>913038.88000000012</v>
      </c>
      <c r="L5950" s="25">
        <v>2.04</v>
      </c>
      <c r="M5950" s="24">
        <v>8950335</v>
      </c>
      <c r="N5950" s="25">
        <f>IFERROR(T_reg.root.SK[[#This Row],[Price]]/T_reg.root.SK[[#This Row],[Starch content]],"")</f>
        <v>9.8076923076923066</v>
      </c>
    </row>
    <row r="5951" spans="1:14">
      <c r="A5951" s="21">
        <v>2025</v>
      </c>
      <c r="B5951" s="21" t="s">
        <v>23</v>
      </c>
      <c r="C5951" s="21" t="s">
        <v>1145</v>
      </c>
      <c r="D5951" s="21" t="s">
        <v>35</v>
      </c>
      <c r="E5951" s="17" t="s">
        <v>1031</v>
      </c>
      <c r="F5951" s="18" t="s">
        <v>105</v>
      </c>
      <c r="G5951" s="18" t="s">
        <v>48</v>
      </c>
      <c r="H5951" s="24">
        <v>48280</v>
      </c>
      <c r="I5951" s="24">
        <f>T_reg.root.SK[[#This Row],[Volume, kg]]/1000</f>
        <v>48.28</v>
      </c>
      <c r="J5951" s="25">
        <v>0.16250000000000001</v>
      </c>
      <c r="K5951" s="25">
        <f t="shared" si="93"/>
        <v>7845.5</v>
      </c>
      <c r="L5951" s="25">
        <v>1.53</v>
      </c>
      <c r="M5951" s="24">
        <v>73930</v>
      </c>
      <c r="N5951" s="25">
        <f>IFERROR(T_reg.root.SK[[#This Row],[Price]]/T_reg.root.SK[[#This Row],[Starch content]],"")</f>
        <v>9.4153846153846157</v>
      </c>
    </row>
    <row r="5952" spans="1:14">
      <c r="A5952" s="21">
        <v>2025</v>
      </c>
      <c r="B5952" s="21" t="s">
        <v>23</v>
      </c>
      <c r="C5952" s="21" t="s">
        <v>1145</v>
      </c>
      <c r="D5952" s="21" t="s">
        <v>35</v>
      </c>
      <c r="E5952" s="17" t="s">
        <v>587</v>
      </c>
      <c r="F5952" s="18" t="s">
        <v>187</v>
      </c>
      <c r="G5952" s="18" t="s">
        <v>48</v>
      </c>
      <c r="H5952" s="24">
        <v>33030</v>
      </c>
      <c r="I5952" s="24">
        <f>T_reg.root.SK[[#This Row],[Volume, kg]]/1000</f>
        <v>33.03</v>
      </c>
      <c r="J5952" s="25">
        <v>0.23300000000000001</v>
      </c>
      <c r="K5952" s="25">
        <f t="shared" si="93"/>
        <v>7695.9900000000007</v>
      </c>
      <c r="L5952" s="25">
        <v>1.86</v>
      </c>
      <c r="M5952" s="24">
        <v>61492.5</v>
      </c>
      <c r="N5952" s="25">
        <f>IFERROR(T_reg.root.SK[[#This Row],[Price]]/T_reg.root.SK[[#This Row],[Starch content]],"")</f>
        <v>7.9828326180257507</v>
      </c>
    </row>
    <row r="5953" spans="1:14">
      <c r="A5953" s="21">
        <v>2025</v>
      </c>
      <c r="B5953" s="21" t="s">
        <v>23</v>
      </c>
      <c r="C5953" s="21" t="s">
        <v>1145</v>
      </c>
      <c r="D5953" s="21" t="s">
        <v>35</v>
      </c>
      <c r="E5953" s="17" t="s">
        <v>235</v>
      </c>
      <c r="F5953" s="18" t="s">
        <v>105</v>
      </c>
      <c r="G5953" s="18" t="s">
        <v>48</v>
      </c>
      <c r="H5953" s="24">
        <v>229450</v>
      </c>
      <c r="I5953" s="24">
        <f>T_reg.root.SK[[#This Row],[Volume, kg]]/1000</f>
        <v>229.45</v>
      </c>
      <c r="J5953" s="25">
        <v>0.2094</v>
      </c>
      <c r="K5953" s="25">
        <f t="shared" si="93"/>
        <v>48046.83</v>
      </c>
      <c r="L5953" s="25">
        <v>1.75</v>
      </c>
      <c r="M5953" s="24">
        <v>400699</v>
      </c>
      <c r="N5953" s="25">
        <f>IFERROR(T_reg.root.SK[[#This Row],[Price]]/T_reg.root.SK[[#This Row],[Starch content]],"")</f>
        <v>8.3572110792741157</v>
      </c>
    </row>
    <row r="5954" spans="1:14">
      <c r="A5954" s="21">
        <v>2025</v>
      </c>
      <c r="B5954" s="21" t="s">
        <v>23</v>
      </c>
      <c r="C5954" s="21" t="s">
        <v>1145</v>
      </c>
      <c r="D5954" s="21" t="s">
        <v>35</v>
      </c>
      <c r="E5954" s="17" t="s">
        <v>685</v>
      </c>
      <c r="F5954" s="18" t="s">
        <v>105</v>
      </c>
      <c r="G5954" s="18" t="s">
        <v>48</v>
      </c>
      <c r="H5954" s="24">
        <v>78480</v>
      </c>
      <c r="I5954" s="24">
        <f>T_reg.root.SK[[#This Row],[Volume, kg]]/1000</f>
        <v>78.48</v>
      </c>
      <c r="J5954" s="25">
        <v>0.22239999999999999</v>
      </c>
      <c r="K5954" s="25">
        <f t="shared" si="93"/>
        <v>17453.951999999997</v>
      </c>
      <c r="L5954" s="25">
        <v>1.82</v>
      </c>
      <c r="M5954" s="24">
        <v>142511.5</v>
      </c>
      <c r="N5954" s="25">
        <f>IFERROR(T_reg.root.SK[[#This Row],[Price]]/T_reg.root.SK[[#This Row],[Starch content]],"")</f>
        <v>8.1834532374100721</v>
      </c>
    </row>
    <row r="5955" spans="1:14">
      <c r="A5955" s="21">
        <v>2025</v>
      </c>
      <c r="B5955" s="21" t="s">
        <v>23</v>
      </c>
      <c r="C5955" s="21" t="s">
        <v>1145</v>
      </c>
      <c r="D5955" s="21" t="s">
        <v>35</v>
      </c>
      <c r="E5955" s="17" t="s">
        <v>681</v>
      </c>
      <c r="F5955" s="18" t="s">
        <v>95</v>
      </c>
      <c r="G5955" s="18" t="s">
        <v>48</v>
      </c>
      <c r="H5955" s="24">
        <v>28570</v>
      </c>
      <c r="I5955" s="24">
        <f>T_reg.root.SK[[#This Row],[Volume, kg]]/1000</f>
        <v>28.57</v>
      </c>
      <c r="J5955" s="25">
        <v>0.21600000000000003</v>
      </c>
      <c r="K5955" s="25">
        <f t="shared" si="93"/>
        <v>6171.1200000000008</v>
      </c>
      <c r="L5955" s="25">
        <v>1.77</v>
      </c>
      <c r="M5955" s="24">
        <v>50642</v>
      </c>
      <c r="N5955" s="25">
        <f>IFERROR(T_reg.root.SK[[#This Row],[Price]]/T_reg.root.SK[[#This Row],[Starch content]],"")</f>
        <v>8.1944444444444429</v>
      </c>
    </row>
    <row r="5956" spans="1:14">
      <c r="A5956" s="21">
        <v>2025</v>
      </c>
      <c r="B5956" s="21" t="s">
        <v>23</v>
      </c>
      <c r="C5956" s="21" t="s">
        <v>1145</v>
      </c>
      <c r="D5956" s="21" t="s">
        <v>35</v>
      </c>
      <c r="E5956" s="17" t="s">
        <v>752</v>
      </c>
      <c r="F5956" s="18" t="s">
        <v>105</v>
      </c>
      <c r="G5956" s="18" t="s">
        <v>48</v>
      </c>
      <c r="H5956" s="24">
        <v>8900</v>
      </c>
      <c r="I5956" s="24">
        <f>T_reg.root.SK[[#This Row],[Volume, kg]]/1000</f>
        <v>8.9</v>
      </c>
      <c r="J5956" s="25">
        <v>0.17249999999999999</v>
      </c>
      <c r="K5956" s="25">
        <f t="shared" si="93"/>
        <v>1535.2499999999998</v>
      </c>
      <c r="L5956" s="25">
        <v>1.55</v>
      </c>
      <c r="M5956" s="24">
        <v>13795</v>
      </c>
      <c r="N5956" s="25">
        <f>IFERROR(T_reg.root.SK[[#This Row],[Price]]/T_reg.root.SK[[#This Row],[Starch content]],"")</f>
        <v>8.9855072463768124</v>
      </c>
    </row>
    <row r="5957" spans="1:14">
      <c r="A5957" s="21">
        <v>2025</v>
      </c>
      <c r="B5957" s="21" t="s">
        <v>23</v>
      </c>
      <c r="C5957" s="21" t="s">
        <v>1145</v>
      </c>
      <c r="D5957" s="21" t="s">
        <v>39</v>
      </c>
      <c r="E5957" s="17" t="s">
        <v>797</v>
      </c>
      <c r="F5957" s="18" t="s">
        <v>798</v>
      </c>
      <c r="G5957" s="18" t="s">
        <v>799</v>
      </c>
      <c r="H5957" s="24">
        <v>130530</v>
      </c>
      <c r="I5957" s="24">
        <f>T_reg.root.SK[[#This Row],[Volume, kg]]/1000</f>
        <v>130.53</v>
      </c>
      <c r="J5957" s="25">
        <v>0.17309999999999998</v>
      </c>
      <c r="K5957" s="25">
        <f t="shared" si="93"/>
        <v>22594.742999999999</v>
      </c>
      <c r="L5957" s="25">
        <v>1.83</v>
      </c>
      <c r="M5957" s="24">
        <v>238773</v>
      </c>
      <c r="N5957" s="25">
        <f>IFERROR(T_reg.root.SK[[#This Row],[Price]]/T_reg.root.SK[[#This Row],[Starch content]],"")</f>
        <v>10.571923743500868</v>
      </c>
    </row>
    <row r="5958" spans="1:14">
      <c r="A5958" s="21">
        <v>2025</v>
      </c>
      <c r="B5958" s="21" t="s">
        <v>23</v>
      </c>
      <c r="C5958" s="21" t="s">
        <v>1145</v>
      </c>
      <c r="D5958" s="21" t="s">
        <v>35</v>
      </c>
      <c r="E5958" s="17" t="s">
        <v>1032</v>
      </c>
      <c r="F5958" s="18" t="s">
        <v>105</v>
      </c>
      <c r="G5958" s="18" t="s">
        <v>48</v>
      </c>
      <c r="H5958" s="24">
        <v>18730</v>
      </c>
      <c r="I5958" s="24">
        <f>T_reg.root.SK[[#This Row],[Volume, kg]]/1000</f>
        <v>18.73</v>
      </c>
      <c r="J5958" s="25">
        <v>0.21129999999999999</v>
      </c>
      <c r="K5958" s="25">
        <f t="shared" si="93"/>
        <v>3957.6489999999999</v>
      </c>
      <c r="L5958" s="25">
        <v>1.76</v>
      </c>
      <c r="M5958" s="24">
        <v>32938</v>
      </c>
      <c r="N5958" s="25">
        <f>IFERROR(T_reg.root.SK[[#This Row],[Price]]/T_reg.root.SK[[#This Row],[Starch content]],"")</f>
        <v>8.3293894936109805</v>
      </c>
    </row>
    <row r="5959" spans="1:14">
      <c r="A5959" s="21">
        <v>2025</v>
      </c>
      <c r="B5959" s="21" t="s">
        <v>23</v>
      </c>
      <c r="C5959" s="21" t="s">
        <v>1145</v>
      </c>
      <c r="D5959" s="21" t="s">
        <v>35</v>
      </c>
      <c r="E5959" s="17" t="s">
        <v>974</v>
      </c>
      <c r="F5959" s="18" t="s">
        <v>105</v>
      </c>
      <c r="G5959" s="18" t="s">
        <v>48</v>
      </c>
      <c r="H5959" s="24">
        <v>77820</v>
      </c>
      <c r="I5959" s="24">
        <f>T_reg.root.SK[[#This Row],[Volume, kg]]/1000</f>
        <v>77.819999999999993</v>
      </c>
      <c r="J5959" s="25">
        <v>0.18659999999999999</v>
      </c>
      <c r="K5959" s="25">
        <f t="shared" si="93"/>
        <v>14521.212</v>
      </c>
      <c r="L5959" s="25">
        <v>1.64</v>
      </c>
      <c r="M5959" s="24">
        <v>127604.5</v>
      </c>
      <c r="N5959" s="25">
        <f>IFERROR(T_reg.root.SK[[#This Row],[Price]]/T_reg.root.SK[[#This Row],[Starch content]],"")</f>
        <v>8.7888531618435159</v>
      </c>
    </row>
    <row r="5960" spans="1:14">
      <c r="A5960" s="21">
        <v>2025</v>
      </c>
      <c r="B5960" s="21" t="s">
        <v>23</v>
      </c>
      <c r="C5960" s="21" t="s">
        <v>1145</v>
      </c>
      <c r="D5960" s="21" t="s">
        <v>35</v>
      </c>
      <c r="E5960" s="17" t="s">
        <v>559</v>
      </c>
      <c r="F5960" s="18" t="s">
        <v>105</v>
      </c>
      <c r="G5960" s="18" t="s">
        <v>48</v>
      </c>
      <c r="H5960" s="24">
        <v>136740</v>
      </c>
      <c r="I5960" s="24">
        <f>T_reg.root.SK[[#This Row],[Volume, kg]]/1000</f>
        <v>136.74</v>
      </c>
      <c r="J5960" s="25">
        <v>0.20800000000000002</v>
      </c>
      <c r="K5960" s="25">
        <f t="shared" si="93"/>
        <v>28441.920000000002</v>
      </c>
      <c r="L5960" s="25">
        <v>1.75</v>
      </c>
      <c r="M5960" s="24">
        <v>238639.5</v>
      </c>
      <c r="N5960" s="25">
        <f>IFERROR(T_reg.root.SK[[#This Row],[Price]]/T_reg.root.SK[[#This Row],[Starch content]],"")</f>
        <v>8.4134615384615383</v>
      </c>
    </row>
    <row r="5961" spans="1:14">
      <c r="A5961" s="21">
        <v>2025</v>
      </c>
      <c r="B5961" s="21" t="s">
        <v>23</v>
      </c>
      <c r="C5961" s="21" t="s">
        <v>1145</v>
      </c>
      <c r="D5961" s="21" t="s">
        <v>35</v>
      </c>
      <c r="E5961" s="17" t="s">
        <v>516</v>
      </c>
      <c r="F5961" s="18" t="s">
        <v>187</v>
      </c>
      <c r="G5961" s="18" t="s">
        <v>48</v>
      </c>
      <c r="H5961" s="24">
        <v>124990</v>
      </c>
      <c r="I5961" s="24">
        <f>T_reg.root.SK[[#This Row],[Volume, kg]]/1000</f>
        <v>124.99</v>
      </c>
      <c r="J5961" s="25">
        <v>0.1978</v>
      </c>
      <c r="K5961" s="25">
        <f t="shared" si="93"/>
        <v>24723.022000000001</v>
      </c>
      <c r="L5961" s="25">
        <v>1.69</v>
      </c>
      <c r="M5961" s="24">
        <v>211756</v>
      </c>
      <c r="N5961" s="25">
        <f>IFERROR(T_reg.root.SK[[#This Row],[Price]]/T_reg.root.SK[[#This Row],[Starch content]],"")</f>
        <v>8.5439838220424669</v>
      </c>
    </row>
    <row r="5962" spans="1:14">
      <c r="A5962" s="21">
        <v>2025</v>
      </c>
      <c r="B5962" s="21" t="s">
        <v>23</v>
      </c>
      <c r="C5962" s="21" t="s">
        <v>1145</v>
      </c>
      <c r="D5962" s="21" t="s">
        <v>35</v>
      </c>
      <c r="E5962" s="17" t="s">
        <v>560</v>
      </c>
      <c r="F5962" s="18" t="s">
        <v>105</v>
      </c>
      <c r="G5962" s="18" t="s">
        <v>48</v>
      </c>
      <c r="H5962" s="24">
        <v>64080</v>
      </c>
      <c r="I5962" s="24">
        <f>T_reg.root.SK[[#This Row],[Volume, kg]]/1000</f>
        <v>64.08</v>
      </c>
      <c r="J5962" s="25">
        <v>0.19350000000000001</v>
      </c>
      <c r="K5962" s="25">
        <f t="shared" si="93"/>
        <v>12399.48</v>
      </c>
      <c r="L5962" s="25">
        <v>1.67</v>
      </c>
      <c r="M5962" s="24">
        <v>107063.5</v>
      </c>
      <c r="N5962" s="25">
        <f>IFERROR(T_reg.root.SK[[#This Row],[Price]]/T_reg.root.SK[[#This Row],[Starch content]],"")</f>
        <v>8.6304909560723502</v>
      </c>
    </row>
    <row r="5963" spans="1:14">
      <c r="A5963" s="21">
        <v>2025</v>
      </c>
      <c r="B5963" s="21" t="s">
        <v>23</v>
      </c>
      <c r="C5963" s="21" t="s">
        <v>1145</v>
      </c>
      <c r="D5963" s="21" t="s">
        <v>35</v>
      </c>
      <c r="E5963" s="17" t="s">
        <v>236</v>
      </c>
      <c r="F5963" s="18" t="s">
        <v>105</v>
      </c>
      <c r="G5963" s="18" t="s">
        <v>48</v>
      </c>
      <c r="H5963" s="24">
        <v>31720</v>
      </c>
      <c r="I5963" s="24">
        <f>T_reg.root.SK[[#This Row],[Volume, kg]]/1000</f>
        <v>31.72</v>
      </c>
      <c r="J5963" s="25">
        <v>0.22699999999999998</v>
      </c>
      <c r="K5963" s="25">
        <f t="shared" si="93"/>
        <v>7200.44</v>
      </c>
      <c r="L5963" s="25">
        <v>1.84</v>
      </c>
      <c r="M5963" s="24">
        <v>58446</v>
      </c>
      <c r="N5963" s="25">
        <f>IFERROR(T_reg.root.SK[[#This Row],[Price]]/T_reg.root.SK[[#This Row],[Starch content]],"")</f>
        <v>8.1057268722466969</v>
      </c>
    </row>
    <row r="5964" spans="1:14">
      <c r="A5964" s="21">
        <v>2025</v>
      </c>
      <c r="B5964" s="21" t="s">
        <v>23</v>
      </c>
      <c r="C5964" s="21" t="s">
        <v>1145</v>
      </c>
      <c r="D5964" s="21" t="s">
        <v>35</v>
      </c>
      <c r="E5964" s="17" t="s">
        <v>517</v>
      </c>
      <c r="F5964" s="18" t="s">
        <v>187</v>
      </c>
      <c r="G5964" s="18" t="s">
        <v>48</v>
      </c>
      <c r="H5964" s="24">
        <v>50900</v>
      </c>
      <c r="I5964" s="24">
        <f>T_reg.root.SK[[#This Row],[Volume, kg]]/1000</f>
        <v>50.9</v>
      </c>
      <c r="J5964" s="25">
        <v>0.21050000000000002</v>
      </c>
      <c r="K5964" s="25">
        <f t="shared" si="93"/>
        <v>10714.45</v>
      </c>
      <c r="L5964" s="25">
        <v>1.75</v>
      </c>
      <c r="M5964" s="24">
        <v>89169.5</v>
      </c>
      <c r="N5964" s="25">
        <f>IFERROR(T_reg.root.SK[[#This Row],[Price]]/T_reg.root.SK[[#This Row],[Starch content]],"")</f>
        <v>8.3135391923990483</v>
      </c>
    </row>
    <row r="5965" spans="1:14">
      <c r="A5965" s="21">
        <v>2025</v>
      </c>
      <c r="B5965" s="21" t="s">
        <v>23</v>
      </c>
      <c r="C5965" s="21" t="s">
        <v>1145</v>
      </c>
      <c r="D5965" s="21" t="s">
        <v>35</v>
      </c>
      <c r="E5965" s="17" t="s">
        <v>115</v>
      </c>
      <c r="F5965" s="18" t="s">
        <v>105</v>
      </c>
      <c r="G5965" s="18" t="s">
        <v>48</v>
      </c>
      <c r="H5965" s="24">
        <v>120190</v>
      </c>
      <c r="I5965" s="24">
        <f>T_reg.root.SK[[#This Row],[Volume, kg]]/1000</f>
        <v>120.19</v>
      </c>
      <c r="J5965" s="25">
        <v>0.24809999999999999</v>
      </c>
      <c r="K5965" s="25">
        <f t="shared" si="93"/>
        <v>29819.138999999999</v>
      </c>
      <c r="L5965" s="25">
        <v>1.94</v>
      </c>
      <c r="M5965" s="24">
        <v>233140.5</v>
      </c>
      <c r="N5965" s="25">
        <f>IFERROR(T_reg.root.SK[[#This Row],[Price]]/T_reg.root.SK[[#This Row],[Starch content]],"")</f>
        <v>7.8194276501410727</v>
      </c>
    </row>
    <row r="5966" spans="1:14">
      <c r="A5966" s="21">
        <v>2025</v>
      </c>
      <c r="B5966" s="21" t="s">
        <v>23</v>
      </c>
      <c r="C5966" s="21" t="s">
        <v>1145</v>
      </c>
      <c r="D5966" s="21" t="s">
        <v>35</v>
      </c>
      <c r="E5966" s="17" t="s">
        <v>116</v>
      </c>
      <c r="F5966" s="18" t="s">
        <v>105</v>
      </c>
      <c r="G5966" s="18" t="s">
        <v>48</v>
      </c>
      <c r="H5966" s="24">
        <v>13930</v>
      </c>
      <c r="I5966" s="24">
        <f>T_reg.root.SK[[#This Row],[Volume, kg]]/1000</f>
        <v>13.93</v>
      </c>
      <c r="J5966" s="25">
        <v>0.21440000000000001</v>
      </c>
      <c r="K5966" s="25">
        <f t="shared" si="93"/>
        <v>2986.5920000000001</v>
      </c>
      <c r="L5966" s="25">
        <v>1.78</v>
      </c>
      <c r="M5966" s="24">
        <v>24815</v>
      </c>
      <c r="N5966" s="25">
        <f>IFERROR(T_reg.root.SK[[#This Row],[Price]]/T_reg.root.SK[[#This Row],[Starch content]],"")</f>
        <v>8.3022388059701484</v>
      </c>
    </row>
    <row r="5967" spans="1:14">
      <c r="A5967" s="21">
        <v>2025</v>
      </c>
      <c r="B5967" s="21" t="s">
        <v>23</v>
      </c>
      <c r="C5967" s="21" t="s">
        <v>1145</v>
      </c>
      <c r="D5967" s="21" t="s">
        <v>35</v>
      </c>
      <c r="E5967" s="17" t="s">
        <v>296</v>
      </c>
      <c r="F5967" s="18" t="s">
        <v>105</v>
      </c>
      <c r="G5967" s="18" t="s">
        <v>48</v>
      </c>
      <c r="H5967" s="24">
        <v>84900</v>
      </c>
      <c r="I5967" s="24">
        <f>T_reg.root.SK[[#This Row],[Volume, kg]]/1000</f>
        <v>84.9</v>
      </c>
      <c r="J5967" s="25">
        <v>0.2303</v>
      </c>
      <c r="K5967" s="25">
        <f t="shared" ref="K5967:K6030" si="94">H5967*J5967</f>
        <v>19552.47</v>
      </c>
      <c r="L5967" s="25">
        <v>1.86</v>
      </c>
      <c r="M5967" s="24">
        <v>158272.5</v>
      </c>
      <c r="N5967" s="25">
        <f>IFERROR(T_reg.root.SK[[#This Row],[Price]]/T_reg.root.SK[[#This Row],[Starch content]],"")</f>
        <v>8.0764220581849759</v>
      </c>
    </row>
    <row r="5968" spans="1:14">
      <c r="A5968" s="21">
        <v>2025</v>
      </c>
      <c r="B5968" s="21" t="s">
        <v>23</v>
      </c>
      <c r="C5968" s="21" t="s">
        <v>1145</v>
      </c>
      <c r="D5968" s="21" t="s">
        <v>39</v>
      </c>
      <c r="E5968" s="17" t="s">
        <v>782</v>
      </c>
      <c r="F5968" s="18" t="s">
        <v>783</v>
      </c>
      <c r="G5968" s="18" t="s">
        <v>87</v>
      </c>
      <c r="H5968" s="24">
        <v>115820</v>
      </c>
      <c r="I5968" s="24">
        <f>T_reg.root.SK[[#This Row],[Volume, kg]]/1000</f>
        <v>115.82</v>
      </c>
      <c r="J5968" s="25">
        <v>0.18420000000000003</v>
      </c>
      <c r="K5968" s="25">
        <f t="shared" si="94"/>
        <v>21334.044000000005</v>
      </c>
      <c r="L5968" s="25">
        <v>1.86</v>
      </c>
      <c r="M5968" s="24">
        <v>215663</v>
      </c>
      <c r="N5968" s="25">
        <f>IFERROR(T_reg.root.SK[[#This Row],[Price]]/T_reg.root.SK[[#This Row],[Starch content]],"")</f>
        <v>10.09771986970684</v>
      </c>
    </row>
    <row r="5969" spans="1:14">
      <c r="A5969" s="21">
        <v>2025</v>
      </c>
      <c r="B5969" s="21" t="s">
        <v>23</v>
      </c>
      <c r="C5969" s="21" t="s">
        <v>1145</v>
      </c>
      <c r="D5969" s="21" t="s">
        <v>35</v>
      </c>
      <c r="E5969" s="17" t="s">
        <v>1033</v>
      </c>
      <c r="F5969" s="18" t="s">
        <v>95</v>
      </c>
      <c r="G5969" s="18" t="s">
        <v>48</v>
      </c>
      <c r="H5969" s="24">
        <v>64650</v>
      </c>
      <c r="I5969" s="24">
        <f>T_reg.root.SK[[#This Row],[Volume, kg]]/1000</f>
        <v>64.650000000000006</v>
      </c>
      <c r="J5969" s="25">
        <v>0.27310000000000001</v>
      </c>
      <c r="K5969" s="25">
        <f t="shared" si="94"/>
        <v>17655.915000000001</v>
      </c>
      <c r="L5969" s="25">
        <v>2.06</v>
      </c>
      <c r="M5969" s="24">
        <v>133429.5</v>
      </c>
      <c r="N5969" s="25">
        <f>IFERROR(T_reg.root.SK[[#This Row],[Price]]/T_reg.root.SK[[#This Row],[Starch content]],"")</f>
        <v>7.5430245331380448</v>
      </c>
    </row>
    <row r="5970" spans="1:14">
      <c r="A5970" s="21">
        <v>2025</v>
      </c>
      <c r="B5970" s="21" t="s">
        <v>23</v>
      </c>
      <c r="C5970" s="21" t="s">
        <v>1145</v>
      </c>
      <c r="D5970" s="21" t="s">
        <v>35</v>
      </c>
      <c r="E5970" s="17" t="s">
        <v>989</v>
      </c>
      <c r="F5970" s="18" t="s">
        <v>105</v>
      </c>
      <c r="G5970" s="18" t="s">
        <v>48</v>
      </c>
      <c r="H5970" s="24">
        <v>38920</v>
      </c>
      <c r="I5970" s="24">
        <f>T_reg.root.SK[[#This Row],[Volume, kg]]/1000</f>
        <v>38.92</v>
      </c>
      <c r="J5970" s="25">
        <v>0.22899999999999998</v>
      </c>
      <c r="K5970" s="25">
        <f t="shared" si="94"/>
        <v>8912.6799999999985</v>
      </c>
      <c r="L5970" s="25">
        <v>1.85</v>
      </c>
      <c r="M5970" s="24">
        <v>72006</v>
      </c>
      <c r="N5970" s="25">
        <f>IFERROR(T_reg.root.SK[[#This Row],[Price]]/T_reg.root.SK[[#This Row],[Starch content]],"")</f>
        <v>8.078602620087338</v>
      </c>
    </row>
    <row r="5971" spans="1:14">
      <c r="A5971" s="21">
        <v>2025</v>
      </c>
      <c r="B5971" s="21" t="s">
        <v>23</v>
      </c>
      <c r="C5971" s="21" t="s">
        <v>1145</v>
      </c>
      <c r="D5971" s="21" t="s">
        <v>35</v>
      </c>
      <c r="E5971" s="17" t="s">
        <v>1034</v>
      </c>
      <c r="F5971" s="18" t="s">
        <v>95</v>
      </c>
      <c r="G5971" s="18" t="s">
        <v>48</v>
      </c>
      <c r="H5971" s="24">
        <v>147910</v>
      </c>
      <c r="I5971" s="24">
        <f>T_reg.root.SK[[#This Row],[Volume, kg]]/1000</f>
        <v>147.91</v>
      </c>
      <c r="J5971" s="25">
        <v>0.2641</v>
      </c>
      <c r="K5971" s="25">
        <f t="shared" si="94"/>
        <v>39063.031000000003</v>
      </c>
      <c r="L5971" s="25">
        <v>2.0099999999999998</v>
      </c>
      <c r="M5971" s="24">
        <v>297825</v>
      </c>
      <c r="N5971" s="25">
        <f>IFERROR(T_reg.root.SK[[#This Row],[Price]]/T_reg.root.SK[[#This Row],[Starch content]],"")</f>
        <v>7.6107535024611881</v>
      </c>
    </row>
    <row r="5972" spans="1:14">
      <c r="A5972" s="21">
        <v>2025</v>
      </c>
      <c r="B5972" s="21" t="s">
        <v>23</v>
      </c>
      <c r="C5972" s="21" t="s">
        <v>1145</v>
      </c>
      <c r="D5972" s="21" t="s">
        <v>35</v>
      </c>
      <c r="E5972" s="17" t="s">
        <v>589</v>
      </c>
      <c r="F5972" s="18" t="s">
        <v>187</v>
      </c>
      <c r="G5972" s="18" t="s">
        <v>48</v>
      </c>
      <c r="H5972" s="24">
        <v>16850</v>
      </c>
      <c r="I5972" s="24">
        <f>T_reg.root.SK[[#This Row],[Volume, kg]]/1000</f>
        <v>16.850000000000001</v>
      </c>
      <c r="J5972" s="25">
        <v>0.25359999999999999</v>
      </c>
      <c r="K5972" s="25">
        <f t="shared" si="94"/>
        <v>4273.16</v>
      </c>
      <c r="L5972" s="25">
        <v>1.98</v>
      </c>
      <c r="M5972" s="24">
        <v>33399</v>
      </c>
      <c r="N5972" s="25">
        <f>IFERROR(T_reg.root.SK[[#This Row],[Price]]/T_reg.root.SK[[#This Row],[Starch content]],"")</f>
        <v>7.8075709779179814</v>
      </c>
    </row>
    <row r="5973" spans="1:14">
      <c r="A5973" s="21">
        <v>2025</v>
      </c>
      <c r="B5973" s="21" t="s">
        <v>23</v>
      </c>
      <c r="C5973" s="21" t="s">
        <v>1145</v>
      </c>
      <c r="D5973" s="21" t="s">
        <v>35</v>
      </c>
      <c r="E5973" s="17" t="s">
        <v>56</v>
      </c>
      <c r="F5973" s="18" t="s">
        <v>47</v>
      </c>
      <c r="G5973" s="18" t="s">
        <v>48</v>
      </c>
      <c r="H5973" s="24">
        <v>26860</v>
      </c>
      <c r="I5973" s="24">
        <f>T_reg.root.SK[[#This Row],[Volume, kg]]/1000</f>
        <v>26.86</v>
      </c>
      <c r="J5973" s="25">
        <v>0.21149999999999999</v>
      </c>
      <c r="K5973" s="25">
        <f t="shared" si="94"/>
        <v>5680.8899999999994</v>
      </c>
      <c r="L5973" s="25">
        <v>1.75</v>
      </c>
      <c r="M5973" s="24">
        <v>46986.5</v>
      </c>
      <c r="N5973" s="25">
        <f>IFERROR(T_reg.root.SK[[#This Row],[Price]]/T_reg.root.SK[[#This Row],[Starch content]],"")</f>
        <v>8.2742316784869985</v>
      </c>
    </row>
    <row r="5974" spans="1:14">
      <c r="A5974" s="21">
        <v>2025</v>
      </c>
      <c r="B5974" s="21" t="s">
        <v>23</v>
      </c>
      <c r="C5974" s="21" t="s">
        <v>1145</v>
      </c>
      <c r="D5974" s="21" t="s">
        <v>35</v>
      </c>
      <c r="E5974" s="17" t="s">
        <v>117</v>
      </c>
      <c r="F5974" s="18" t="s">
        <v>105</v>
      </c>
      <c r="G5974" s="18" t="s">
        <v>48</v>
      </c>
      <c r="H5974" s="24">
        <v>13540</v>
      </c>
      <c r="I5974" s="24">
        <f>T_reg.root.SK[[#This Row],[Volume, kg]]/1000</f>
        <v>13.54</v>
      </c>
      <c r="J5974" s="25">
        <v>0.26579999999999998</v>
      </c>
      <c r="K5974" s="25">
        <f t="shared" si="94"/>
        <v>3598.9319999999998</v>
      </c>
      <c r="L5974" s="25">
        <v>2.02</v>
      </c>
      <c r="M5974" s="24">
        <v>27399</v>
      </c>
      <c r="N5974" s="25">
        <f>IFERROR(T_reg.root.SK[[#This Row],[Price]]/T_reg.root.SK[[#This Row],[Starch content]],"")</f>
        <v>7.5996990218209186</v>
      </c>
    </row>
    <row r="5975" spans="1:14">
      <c r="A5975" s="21">
        <v>2025</v>
      </c>
      <c r="B5975" s="21" t="s">
        <v>23</v>
      </c>
      <c r="C5975" s="21" t="s">
        <v>1145</v>
      </c>
      <c r="D5975" s="21" t="s">
        <v>35</v>
      </c>
      <c r="E5975" s="17" t="s">
        <v>297</v>
      </c>
      <c r="F5975" s="18" t="s">
        <v>105</v>
      </c>
      <c r="G5975" s="18" t="s">
        <v>48</v>
      </c>
      <c r="H5975" s="24">
        <v>4030</v>
      </c>
      <c r="I5975" s="24">
        <f>T_reg.root.SK[[#This Row],[Volume, kg]]/1000</f>
        <v>4.03</v>
      </c>
      <c r="J5975" s="25">
        <v>0.1925</v>
      </c>
      <c r="K5975" s="25">
        <f t="shared" si="94"/>
        <v>775.77499999999998</v>
      </c>
      <c r="L5975" s="25">
        <v>1.65</v>
      </c>
      <c r="M5975" s="24">
        <v>6649.5</v>
      </c>
      <c r="N5975" s="25">
        <f>IFERROR(T_reg.root.SK[[#This Row],[Price]]/T_reg.root.SK[[#This Row],[Starch content]],"")</f>
        <v>8.5714285714285712</v>
      </c>
    </row>
    <row r="5976" spans="1:14">
      <c r="A5976" s="21">
        <v>2025</v>
      </c>
      <c r="B5976" s="21" t="s">
        <v>23</v>
      </c>
      <c r="C5976" s="21" t="s">
        <v>1145</v>
      </c>
      <c r="D5976" s="21" t="s">
        <v>35</v>
      </c>
      <c r="E5976" s="17" t="s">
        <v>1035</v>
      </c>
      <c r="F5976" s="18" t="s">
        <v>105</v>
      </c>
      <c r="G5976" s="18" t="s">
        <v>48</v>
      </c>
      <c r="H5976" s="24">
        <v>5450</v>
      </c>
      <c r="I5976" s="24">
        <f>T_reg.root.SK[[#This Row],[Volume, kg]]/1000</f>
        <v>5.45</v>
      </c>
      <c r="J5976" s="25">
        <v>0.2195</v>
      </c>
      <c r="K5976" s="25">
        <f t="shared" si="94"/>
        <v>1196.2750000000001</v>
      </c>
      <c r="L5976" s="25">
        <v>1.8</v>
      </c>
      <c r="M5976" s="24">
        <v>9810</v>
      </c>
      <c r="N5976" s="25">
        <f>IFERROR(T_reg.root.SK[[#This Row],[Price]]/T_reg.root.SK[[#This Row],[Starch content]],"")</f>
        <v>8.2004555808656043</v>
      </c>
    </row>
    <row r="5977" spans="1:14">
      <c r="A5977" s="21">
        <v>2025</v>
      </c>
      <c r="B5977" s="21" t="s">
        <v>23</v>
      </c>
      <c r="C5977" s="21" t="s">
        <v>1145</v>
      </c>
      <c r="D5977" s="21" t="s">
        <v>35</v>
      </c>
      <c r="E5977" s="17" t="s">
        <v>462</v>
      </c>
      <c r="F5977" s="18" t="s">
        <v>47</v>
      </c>
      <c r="G5977" s="18" t="s">
        <v>48</v>
      </c>
      <c r="H5977" s="24">
        <v>12550</v>
      </c>
      <c r="I5977" s="24">
        <f>T_reg.root.SK[[#This Row],[Volume, kg]]/1000</f>
        <v>12.55</v>
      </c>
      <c r="J5977" s="25">
        <v>0.22510000000000002</v>
      </c>
      <c r="K5977" s="25">
        <f t="shared" si="94"/>
        <v>2825.0050000000001</v>
      </c>
      <c r="L5977" s="25">
        <v>1.83</v>
      </c>
      <c r="M5977" s="24">
        <v>22975</v>
      </c>
      <c r="N5977" s="25">
        <f>IFERROR(T_reg.root.SK[[#This Row],[Price]]/T_reg.root.SK[[#This Row],[Starch content]],"")</f>
        <v>8.1297201243891593</v>
      </c>
    </row>
    <row r="5978" spans="1:14">
      <c r="A5978" s="21">
        <v>2025</v>
      </c>
      <c r="B5978" s="21" t="s">
        <v>23</v>
      </c>
      <c r="C5978" s="21" t="s">
        <v>1145</v>
      </c>
      <c r="D5978" s="21" t="s">
        <v>35</v>
      </c>
      <c r="E5978" s="17" t="s">
        <v>118</v>
      </c>
      <c r="F5978" s="18" t="s">
        <v>105</v>
      </c>
      <c r="G5978" s="18" t="s">
        <v>48</v>
      </c>
      <c r="H5978" s="24">
        <v>83140</v>
      </c>
      <c r="I5978" s="24">
        <f>T_reg.root.SK[[#This Row],[Volume, kg]]/1000</f>
        <v>83.14</v>
      </c>
      <c r="J5978" s="25">
        <v>0.2034</v>
      </c>
      <c r="K5978" s="25">
        <f t="shared" si="94"/>
        <v>16910.675999999999</v>
      </c>
      <c r="L5978" s="25">
        <v>1.72</v>
      </c>
      <c r="M5978" s="24">
        <v>143069.5</v>
      </c>
      <c r="N5978" s="25">
        <f>IFERROR(T_reg.root.SK[[#This Row],[Price]]/T_reg.root.SK[[#This Row],[Starch content]],"")</f>
        <v>8.4562438544739429</v>
      </c>
    </row>
    <row r="5979" spans="1:14">
      <c r="A5979" s="21">
        <v>2025</v>
      </c>
      <c r="B5979" s="21" t="s">
        <v>23</v>
      </c>
      <c r="C5979" s="21" t="s">
        <v>1145</v>
      </c>
      <c r="D5979" s="21" t="s">
        <v>35</v>
      </c>
      <c r="E5979" s="17" t="s">
        <v>119</v>
      </c>
      <c r="F5979" s="18" t="s">
        <v>105</v>
      </c>
      <c r="G5979" s="18" t="s">
        <v>48</v>
      </c>
      <c r="H5979" s="24">
        <v>34510</v>
      </c>
      <c r="I5979" s="24">
        <f>T_reg.root.SK[[#This Row],[Volume, kg]]/1000</f>
        <v>34.51</v>
      </c>
      <c r="J5979" s="25">
        <v>0.1996</v>
      </c>
      <c r="K5979" s="25">
        <f t="shared" si="94"/>
        <v>6888.1959999999999</v>
      </c>
      <c r="L5979" s="25">
        <v>1.69</v>
      </c>
      <c r="M5979" s="24">
        <v>58254</v>
      </c>
      <c r="N5979" s="25">
        <f>IFERROR(T_reg.root.SK[[#This Row],[Price]]/T_reg.root.SK[[#This Row],[Starch content]],"")</f>
        <v>8.4669338677354702</v>
      </c>
    </row>
    <row r="5980" spans="1:14">
      <c r="A5980" s="21">
        <v>2025</v>
      </c>
      <c r="B5980" s="21" t="s">
        <v>23</v>
      </c>
      <c r="C5980" s="21" t="s">
        <v>1145</v>
      </c>
      <c r="D5980" s="21" t="s">
        <v>39</v>
      </c>
      <c r="E5980" s="17" t="s">
        <v>101</v>
      </c>
      <c r="F5980" s="18" t="s">
        <v>102</v>
      </c>
      <c r="G5980" s="18" t="s">
        <v>103</v>
      </c>
      <c r="H5980" s="24">
        <v>1752260</v>
      </c>
      <c r="I5980" s="24">
        <f>T_reg.root.SK[[#This Row],[Volume, kg]]/1000</f>
        <v>1752.26</v>
      </c>
      <c r="J5980" s="25">
        <v>0.21190000000000001</v>
      </c>
      <c r="K5980" s="25">
        <f t="shared" si="94"/>
        <v>371303.89400000003</v>
      </c>
      <c r="L5980" s="25">
        <v>2.02</v>
      </c>
      <c r="M5980" s="24">
        <v>3537180.5</v>
      </c>
      <c r="N5980" s="25">
        <f>IFERROR(T_reg.root.SK[[#This Row],[Price]]/T_reg.root.SK[[#This Row],[Starch content]],"")</f>
        <v>9.5327984898537039</v>
      </c>
    </row>
    <row r="5981" spans="1:14">
      <c r="A5981" s="21">
        <v>2025</v>
      </c>
      <c r="B5981" s="21" t="s">
        <v>23</v>
      </c>
      <c r="C5981" s="21" t="s">
        <v>1145</v>
      </c>
      <c r="D5981" s="21" t="s">
        <v>35</v>
      </c>
      <c r="E5981" s="17" t="s">
        <v>120</v>
      </c>
      <c r="F5981" s="18" t="s">
        <v>105</v>
      </c>
      <c r="G5981" s="18" t="s">
        <v>48</v>
      </c>
      <c r="H5981" s="24">
        <v>14790</v>
      </c>
      <c r="I5981" s="24">
        <f>T_reg.root.SK[[#This Row],[Volume, kg]]/1000</f>
        <v>14.79</v>
      </c>
      <c r="J5981" s="25">
        <v>0.23730000000000001</v>
      </c>
      <c r="K5981" s="25">
        <f t="shared" si="94"/>
        <v>3509.6670000000004</v>
      </c>
      <c r="L5981" s="25">
        <v>1.9</v>
      </c>
      <c r="M5981" s="24">
        <v>28101</v>
      </c>
      <c r="N5981" s="25">
        <f>IFERROR(T_reg.root.SK[[#This Row],[Price]]/T_reg.root.SK[[#This Row],[Starch content]],"")</f>
        <v>8.0067425200168554</v>
      </c>
    </row>
    <row r="5982" spans="1:14">
      <c r="A5982" s="21">
        <v>2025</v>
      </c>
      <c r="B5982" s="21" t="s">
        <v>23</v>
      </c>
      <c r="C5982" s="21" t="s">
        <v>1145</v>
      </c>
      <c r="D5982" s="21" t="s">
        <v>35</v>
      </c>
      <c r="E5982" s="17" t="s">
        <v>121</v>
      </c>
      <c r="F5982" s="18" t="s">
        <v>105</v>
      </c>
      <c r="G5982" s="18" t="s">
        <v>48</v>
      </c>
      <c r="H5982" s="24">
        <v>30980</v>
      </c>
      <c r="I5982" s="24">
        <f>T_reg.root.SK[[#This Row],[Volume, kg]]/1000</f>
        <v>30.98</v>
      </c>
      <c r="J5982" s="25">
        <v>0.24879999999999999</v>
      </c>
      <c r="K5982" s="25">
        <f t="shared" si="94"/>
        <v>7707.8239999999996</v>
      </c>
      <c r="L5982" s="25">
        <v>1.94</v>
      </c>
      <c r="M5982" s="24">
        <v>60255.5</v>
      </c>
      <c r="N5982" s="25">
        <f>IFERROR(T_reg.root.SK[[#This Row],[Price]]/T_reg.root.SK[[#This Row],[Starch content]],"")</f>
        <v>7.797427652733119</v>
      </c>
    </row>
    <row r="5983" spans="1:14">
      <c r="A5983" s="21">
        <v>2025</v>
      </c>
      <c r="B5983" s="21" t="s">
        <v>23</v>
      </c>
      <c r="C5983" s="21" t="s">
        <v>1145</v>
      </c>
      <c r="D5983" s="21" t="s">
        <v>35</v>
      </c>
      <c r="E5983" s="17" t="s">
        <v>122</v>
      </c>
      <c r="F5983" s="18" t="s">
        <v>105</v>
      </c>
      <c r="G5983" s="18" t="s">
        <v>48</v>
      </c>
      <c r="H5983" s="24">
        <v>205360</v>
      </c>
      <c r="I5983" s="24">
        <f>T_reg.root.SK[[#This Row],[Volume, kg]]/1000</f>
        <v>205.36</v>
      </c>
      <c r="J5983" s="25">
        <v>0.20530000000000001</v>
      </c>
      <c r="K5983" s="25">
        <f t="shared" si="94"/>
        <v>42160.408000000003</v>
      </c>
      <c r="L5983" s="25">
        <v>1.73</v>
      </c>
      <c r="M5983" s="24">
        <v>355667</v>
      </c>
      <c r="N5983" s="25">
        <f>IFERROR(T_reg.root.SK[[#This Row],[Price]]/T_reg.root.SK[[#This Row],[Starch content]],"")</f>
        <v>8.4266926449098882</v>
      </c>
    </row>
    <row r="5984" spans="1:14">
      <c r="A5984" s="21">
        <v>2025</v>
      </c>
      <c r="B5984" s="21" t="s">
        <v>23</v>
      </c>
      <c r="C5984" s="21" t="s">
        <v>1145</v>
      </c>
      <c r="D5984" s="21" t="s">
        <v>35</v>
      </c>
      <c r="E5984" s="17" t="s">
        <v>562</v>
      </c>
      <c r="F5984" s="18" t="s">
        <v>105</v>
      </c>
      <c r="G5984" s="18" t="s">
        <v>48</v>
      </c>
      <c r="H5984" s="24">
        <v>21360</v>
      </c>
      <c r="I5984" s="24">
        <f>T_reg.root.SK[[#This Row],[Volume, kg]]/1000</f>
        <v>21.36</v>
      </c>
      <c r="J5984" s="25">
        <v>0.22289999999999999</v>
      </c>
      <c r="K5984" s="25">
        <f t="shared" si="94"/>
        <v>4761.1439999999993</v>
      </c>
      <c r="L5984" s="25">
        <v>1.81</v>
      </c>
      <c r="M5984" s="24">
        <v>38597.5</v>
      </c>
      <c r="N5984" s="25">
        <f>IFERROR(T_reg.root.SK[[#This Row],[Price]]/T_reg.root.SK[[#This Row],[Starch content]],"")</f>
        <v>8.1202332884701676</v>
      </c>
    </row>
    <row r="5985" spans="1:14">
      <c r="A5985" s="21">
        <v>2025</v>
      </c>
      <c r="B5985" s="21" t="s">
        <v>23</v>
      </c>
      <c r="C5985" s="21" t="s">
        <v>1145</v>
      </c>
      <c r="D5985" s="21" t="s">
        <v>35</v>
      </c>
      <c r="E5985" s="17" t="s">
        <v>463</v>
      </c>
      <c r="F5985" s="18" t="s">
        <v>47</v>
      </c>
      <c r="G5985" s="18" t="s">
        <v>48</v>
      </c>
      <c r="H5985" s="24">
        <v>21880</v>
      </c>
      <c r="I5985" s="24">
        <f>T_reg.root.SK[[#This Row],[Volume, kg]]/1000</f>
        <v>21.88</v>
      </c>
      <c r="J5985" s="25">
        <v>0.1646</v>
      </c>
      <c r="K5985" s="25">
        <f t="shared" si="94"/>
        <v>3601.4479999999999</v>
      </c>
      <c r="L5985" s="25">
        <v>1.52</v>
      </c>
      <c r="M5985" s="24">
        <v>33267.5</v>
      </c>
      <c r="N5985" s="25">
        <f>IFERROR(T_reg.root.SK[[#This Row],[Price]]/T_reg.root.SK[[#This Row],[Starch content]],"")</f>
        <v>9.2345078979343871</v>
      </c>
    </row>
    <row r="5986" spans="1:14">
      <c r="A5986" s="21">
        <v>2025</v>
      </c>
      <c r="B5986" s="21" t="s">
        <v>23</v>
      </c>
      <c r="C5986" s="21" t="s">
        <v>1145</v>
      </c>
      <c r="D5986" s="21" t="s">
        <v>39</v>
      </c>
      <c r="E5986" s="17" t="s">
        <v>98</v>
      </c>
      <c r="F5986" s="18" t="s">
        <v>99</v>
      </c>
      <c r="G5986" s="18" t="s">
        <v>42</v>
      </c>
      <c r="H5986" s="24">
        <v>6940600</v>
      </c>
      <c r="I5986" s="24">
        <f>T_reg.root.SK[[#This Row],[Volume, kg]]/1000</f>
        <v>6940.6</v>
      </c>
      <c r="J5986" s="25">
        <v>0.19519999999999998</v>
      </c>
      <c r="K5986" s="25">
        <f t="shared" si="94"/>
        <v>1354805.1199999999</v>
      </c>
      <c r="L5986" s="25">
        <v>1.97</v>
      </c>
      <c r="M5986" s="24">
        <v>13692044.5</v>
      </c>
      <c r="N5986" s="25">
        <f>IFERROR(T_reg.root.SK[[#This Row],[Price]]/T_reg.root.SK[[#This Row],[Starch content]],"")</f>
        <v>10.092213114754099</v>
      </c>
    </row>
    <row r="5987" spans="1:14">
      <c r="A5987" s="21">
        <v>2025</v>
      </c>
      <c r="B5987" s="21" t="s">
        <v>23</v>
      </c>
      <c r="C5987" s="21" t="s">
        <v>1145</v>
      </c>
      <c r="D5987" s="21" t="s">
        <v>35</v>
      </c>
      <c r="E5987" s="17" t="s">
        <v>238</v>
      </c>
      <c r="F5987" s="18" t="s">
        <v>105</v>
      </c>
      <c r="G5987" s="18" t="s">
        <v>48</v>
      </c>
      <c r="H5987" s="24">
        <v>5580</v>
      </c>
      <c r="I5987" s="24">
        <f>T_reg.root.SK[[#This Row],[Volume, kg]]/1000</f>
        <v>5.58</v>
      </c>
      <c r="J5987" s="25">
        <v>0.17899999999999999</v>
      </c>
      <c r="K5987" s="25">
        <f t="shared" si="94"/>
        <v>998.81999999999994</v>
      </c>
      <c r="L5987" s="25">
        <v>1.6</v>
      </c>
      <c r="M5987" s="24">
        <v>8928</v>
      </c>
      <c r="N5987" s="25">
        <f>IFERROR(T_reg.root.SK[[#This Row],[Price]]/T_reg.root.SK[[#This Row],[Starch content]],"")</f>
        <v>8.9385474860335208</v>
      </c>
    </row>
    <row r="5988" spans="1:14">
      <c r="A5988" s="21">
        <v>2025</v>
      </c>
      <c r="B5988" s="21" t="s">
        <v>23</v>
      </c>
      <c r="C5988" s="21" t="s">
        <v>1145</v>
      </c>
      <c r="D5988" s="21" t="s">
        <v>39</v>
      </c>
      <c r="E5988" s="17" t="s">
        <v>346</v>
      </c>
      <c r="F5988" s="18" t="s">
        <v>99</v>
      </c>
      <c r="G5988" s="18" t="s">
        <v>42</v>
      </c>
      <c r="H5988" s="24">
        <v>2548610</v>
      </c>
      <c r="I5988" s="24">
        <f>T_reg.root.SK[[#This Row],[Volume, kg]]/1000</f>
        <v>2548.61</v>
      </c>
      <c r="J5988" s="25">
        <v>0.17949999999999999</v>
      </c>
      <c r="K5988" s="25">
        <f t="shared" si="94"/>
        <v>457475.495</v>
      </c>
      <c r="L5988" s="25">
        <v>1.85</v>
      </c>
      <c r="M5988" s="24">
        <v>4724045.5</v>
      </c>
      <c r="N5988" s="25">
        <f>IFERROR(T_reg.root.SK[[#This Row],[Price]]/T_reg.root.SK[[#This Row],[Starch content]],"")</f>
        <v>10.30640668523677</v>
      </c>
    </row>
    <row r="5989" spans="1:14">
      <c r="A5989" s="21">
        <v>2025</v>
      </c>
      <c r="B5989" s="21" t="s">
        <v>23</v>
      </c>
      <c r="C5989" s="21" t="s">
        <v>1145</v>
      </c>
      <c r="D5989" s="21" t="s">
        <v>35</v>
      </c>
      <c r="E5989" s="17" t="s">
        <v>724</v>
      </c>
      <c r="F5989" s="18" t="s">
        <v>187</v>
      </c>
      <c r="G5989" s="18" t="s">
        <v>48</v>
      </c>
      <c r="H5989" s="24">
        <v>9670</v>
      </c>
      <c r="I5989" s="24">
        <f>T_reg.root.SK[[#This Row],[Volume, kg]]/1000</f>
        <v>9.67</v>
      </c>
      <c r="J5989" s="25">
        <v>0.18690000000000001</v>
      </c>
      <c r="K5989" s="25">
        <f t="shared" si="94"/>
        <v>1807.3230000000001</v>
      </c>
      <c r="L5989" s="25">
        <v>1.63</v>
      </c>
      <c r="M5989" s="24">
        <v>15781.5</v>
      </c>
      <c r="N5989" s="25">
        <f>IFERROR(T_reg.root.SK[[#This Row],[Price]]/T_reg.root.SK[[#This Row],[Starch content]],"")</f>
        <v>8.7212413055109668</v>
      </c>
    </row>
    <row r="5990" spans="1:14">
      <c r="A5990" s="21">
        <v>2025</v>
      </c>
      <c r="B5990" s="21" t="s">
        <v>23</v>
      </c>
      <c r="C5990" s="21" t="s">
        <v>1145</v>
      </c>
      <c r="D5990" s="21" t="s">
        <v>35</v>
      </c>
      <c r="E5990" s="17" t="s">
        <v>735</v>
      </c>
      <c r="F5990" s="18" t="s">
        <v>105</v>
      </c>
      <c r="G5990" s="18" t="s">
        <v>48</v>
      </c>
      <c r="H5990" s="24">
        <v>67000</v>
      </c>
      <c r="I5990" s="24">
        <f>T_reg.root.SK[[#This Row],[Volume, kg]]/1000</f>
        <v>67</v>
      </c>
      <c r="J5990" s="25">
        <v>0.1953</v>
      </c>
      <c r="K5990" s="25">
        <f t="shared" si="94"/>
        <v>13085.1</v>
      </c>
      <c r="L5990" s="25">
        <v>1.68</v>
      </c>
      <c r="M5990" s="24">
        <v>112533</v>
      </c>
      <c r="N5990" s="25">
        <f>IFERROR(T_reg.root.SK[[#This Row],[Price]]/T_reg.root.SK[[#This Row],[Starch content]],"")</f>
        <v>8.6021505376344081</v>
      </c>
    </row>
    <row r="5991" spans="1:14">
      <c r="A5991" s="21">
        <v>2025</v>
      </c>
      <c r="B5991" s="21" t="s">
        <v>23</v>
      </c>
      <c r="C5991" s="21" t="s">
        <v>1145</v>
      </c>
      <c r="D5991" s="21" t="s">
        <v>35</v>
      </c>
      <c r="E5991" s="17" t="s">
        <v>806</v>
      </c>
      <c r="F5991" s="18" t="s">
        <v>105</v>
      </c>
      <c r="G5991" s="18" t="s">
        <v>48</v>
      </c>
      <c r="H5991" s="24">
        <v>5650</v>
      </c>
      <c r="I5991" s="24">
        <f>T_reg.root.SK[[#This Row],[Volume, kg]]/1000</f>
        <v>5.65</v>
      </c>
      <c r="J5991" s="25">
        <v>0.24149999999999999</v>
      </c>
      <c r="K5991" s="25">
        <f t="shared" si="94"/>
        <v>1364.4749999999999</v>
      </c>
      <c r="L5991" s="25">
        <v>1.9</v>
      </c>
      <c r="M5991" s="24">
        <v>10735</v>
      </c>
      <c r="N5991" s="25">
        <f>IFERROR(T_reg.root.SK[[#This Row],[Price]]/T_reg.root.SK[[#This Row],[Starch content]],"")</f>
        <v>7.8674948240165632</v>
      </c>
    </row>
    <row r="5992" spans="1:14">
      <c r="A5992" s="21">
        <v>2025</v>
      </c>
      <c r="B5992" s="21" t="s">
        <v>23</v>
      </c>
      <c r="C5992" s="21" t="s">
        <v>1145</v>
      </c>
      <c r="D5992" s="21" t="s">
        <v>35</v>
      </c>
      <c r="E5992" s="17" t="s">
        <v>826</v>
      </c>
      <c r="F5992" s="18" t="s">
        <v>105</v>
      </c>
      <c r="G5992" s="18" t="s">
        <v>48</v>
      </c>
      <c r="H5992" s="24">
        <v>59910</v>
      </c>
      <c r="I5992" s="24">
        <f>T_reg.root.SK[[#This Row],[Volume, kg]]/1000</f>
        <v>59.91</v>
      </c>
      <c r="J5992" s="25">
        <v>0.20420000000000002</v>
      </c>
      <c r="K5992" s="25">
        <f t="shared" si="94"/>
        <v>12233.622000000001</v>
      </c>
      <c r="L5992" s="25">
        <v>1.72</v>
      </c>
      <c r="M5992" s="24">
        <v>102898</v>
      </c>
      <c r="N5992" s="25">
        <f>IFERROR(T_reg.root.SK[[#This Row],[Price]]/T_reg.root.SK[[#This Row],[Starch content]],"")</f>
        <v>8.4231145935357485</v>
      </c>
    </row>
    <row r="5993" spans="1:14">
      <c r="A5993" s="21">
        <v>2025</v>
      </c>
      <c r="B5993" s="21" t="s">
        <v>23</v>
      </c>
      <c r="C5993" s="21" t="s">
        <v>1145</v>
      </c>
      <c r="D5993" s="21" t="s">
        <v>35</v>
      </c>
      <c r="E5993" s="17" t="s">
        <v>975</v>
      </c>
      <c r="F5993" s="18" t="s">
        <v>105</v>
      </c>
      <c r="G5993" s="18" t="s">
        <v>48</v>
      </c>
      <c r="H5993" s="24">
        <v>147110</v>
      </c>
      <c r="I5993" s="24">
        <f>T_reg.root.SK[[#This Row],[Volume, kg]]/1000</f>
        <v>147.11000000000001</v>
      </c>
      <c r="J5993" s="25">
        <v>0.20519999999999999</v>
      </c>
      <c r="K5993" s="25">
        <f t="shared" si="94"/>
        <v>30186.971999999998</v>
      </c>
      <c r="L5993" s="25">
        <v>1.73</v>
      </c>
      <c r="M5993" s="24">
        <v>253893.5</v>
      </c>
      <c r="N5993" s="25">
        <f>IFERROR(T_reg.root.SK[[#This Row],[Price]]/T_reg.root.SK[[#This Row],[Starch content]],"")</f>
        <v>8.4307992202729043</v>
      </c>
    </row>
    <row r="5994" spans="1:14">
      <c r="A5994" s="21">
        <v>2025</v>
      </c>
      <c r="B5994" s="21" t="s">
        <v>23</v>
      </c>
      <c r="C5994" s="21" t="s">
        <v>1145</v>
      </c>
      <c r="D5994" s="21" t="s">
        <v>35</v>
      </c>
      <c r="E5994" s="17" t="s">
        <v>1036</v>
      </c>
      <c r="F5994" s="18" t="s">
        <v>105</v>
      </c>
      <c r="G5994" s="18" t="s">
        <v>48</v>
      </c>
      <c r="H5994" s="24">
        <v>27110</v>
      </c>
      <c r="I5994" s="24">
        <f>T_reg.root.SK[[#This Row],[Volume, kg]]/1000</f>
        <v>27.11</v>
      </c>
      <c r="J5994" s="25">
        <v>0.21280000000000002</v>
      </c>
      <c r="K5994" s="25">
        <f t="shared" si="94"/>
        <v>5769.0080000000007</v>
      </c>
      <c r="L5994" s="25">
        <v>1.76</v>
      </c>
      <c r="M5994" s="24">
        <v>47646</v>
      </c>
      <c r="N5994" s="25">
        <f>IFERROR(T_reg.root.SK[[#This Row],[Price]]/T_reg.root.SK[[#This Row],[Starch content]],"")</f>
        <v>8.2706766917293226</v>
      </c>
    </row>
    <row r="5995" spans="1:14">
      <c r="A5995" s="21">
        <v>2025</v>
      </c>
      <c r="B5995" s="21" t="s">
        <v>23</v>
      </c>
      <c r="C5995" s="21" t="s">
        <v>1145</v>
      </c>
      <c r="D5995" s="21" t="s">
        <v>35</v>
      </c>
      <c r="E5995" s="17" t="s">
        <v>239</v>
      </c>
      <c r="F5995" s="18" t="s">
        <v>105</v>
      </c>
      <c r="G5995" s="18" t="s">
        <v>48</v>
      </c>
      <c r="H5995" s="24">
        <v>9050</v>
      </c>
      <c r="I5995" s="24">
        <f>T_reg.root.SK[[#This Row],[Volume, kg]]/1000</f>
        <v>9.0500000000000007</v>
      </c>
      <c r="J5995" s="25">
        <v>0.20199999999999999</v>
      </c>
      <c r="K5995" s="25">
        <f t="shared" si="94"/>
        <v>1828.1</v>
      </c>
      <c r="L5995" s="25">
        <v>1.7</v>
      </c>
      <c r="M5995" s="24">
        <v>15385</v>
      </c>
      <c r="N5995" s="25">
        <f>IFERROR(T_reg.root.SK[[#This Row],[Price]]/T_reg.root.SK[[#This Row],[Starch content]],"")</f>
        <v>8.4158415841584162</v>
      </c>
    </row>
    <row r="5996" spans="1:14">
      <c r="A5996" s="21">
        <v>2025</v>
      </c>
      <c r="B5996" s="21" t="s">
        <v>23</v>
      </c>
      <c r="C5996" s="21" t="s">
        <v>1145</v>
      </c>
      <c r="D5996" s="21" t="s">
        <v>35</v>
      </c>
      <c r="E5996" s="17" t="s">
        <v>124</v>
      </c>
      <c r="F5996" s="18" t="s">
        <v>105</v>
      </c>
      <c r="G5996" s="18" t="s">
        <v>48</v>
      </c>
      <c r="H5996" s="24">
        <v>221030</v>
      </c>
      <c r="I5996" s="24">
        <f>T_reg.root.SK[[#This Row],[Volume, kg]]/1000</f>
        <v>221.03</v>
      </c>
      <c r="J5996" s="25">
        <v>0.20860000000000001</v>
      </c>
      <c r="K5996" s="25">
        <f t="shared" si="94"/>
        <v>46106.858</v>
      </c>
      <c r="L5996" s="25">
        <v>1.74</v>
      </c>
      <c r="M5996" s="24">
        <v>385378</v>
      </c>
      <c r="N5996" s="25">
        <f>IFERROR(T_reg.root.SK[[#This Row],[Price]]/T_reg.root.SK[[#This Row],[Starch content]],"")</f>
        <v>8.3413231064237774</v>
      </c>
    </row>
    <row r="5997" spans="1:14">
      <c r="A5997" s="21">
        <v>2025</v>
      </c>
      <c r="B5997" s="21" t="s">
        <v>23</v>
      </c>
      <c r="C5997" s="21" t="s">
        <v>1145</v>
      </c>
      <c r="D5997" s="21" t="s">
        <v>35</v>
      </c>
      <c r="E5997" s="17" t="s">
        <v>404</v>
      </c>
      <c r="F5997" s="18" t="s">
        <v>105</v>
      </c>
      <c r="G5997" s="18" t="s">
        <v>48</v>
      </c>
      <c r="H5997" s="24">
        <v>43100</v>
      </c>
      <c r="I5997" s="24">
        <f>T_reg.root.SK[[#This Row],[Volume, kg]]/1000</f>
        <v>43.1</v>
      </c>
      <c r="J5997" s="25">
        <v>0.1993</v>
      </c>
      <c r="K5997" s="25">
        <f t="shared" si="94"/>
        <v>8589.83</v>
      </c>
      <c r="L5997" s="25">
        <v>1.7</v>
      </c>
      <c r="M5997" s="24">
        <v>73234</v>
      </c>
      <c r="N5997" s="25">
        <f>IFERROR(T_reg.root.SK[[#This Row],[Price]]/T_reg.root.SK[[#This Row],[Starch content]],"")</f>
        <v>8.5298544907175113</v>
      </c>
    </row>
    <row r="5998" spans="1:14">
      <c r="A5998" s="21">
        <v>2025</v>
      </c>
      <c r="B5998" s="21" t="s">
        <v>23</v>
      </c>
      <c r="C5998" s="21" t="s">
        <v>1145</v>
      </c>
      <c r="D5998" s="21" t="s">
        <v>35</v>
      </c>
      <c r="E5998" s="17" t="s">
        <v>520</v>
      </c>
      <c r="F5998" s="18" t="s">
        <v>187</v>
      </c>
      <c r="G5998" s="18" t="s">
        <v>48</v>
      </c>
      <c r="H5998" s="24">
        <v>8660</v>
      </c>
      <c r="I5998" s="24">
        <f>T_reg.root.SK[[#This Row],[Volume, kg]]/1000</f>
        <v>8.66</v>
      </c>
      <c r="J5998" s="25">
        <v>0.1885</v>
      </c>
      <c r="K5998" s="25">
        <f t="shared" si="94"/>
        <v>1632.41</v>
      </c>
      <c r="L5998" s="25">
        <v>1.65</v>
      </c>
      <c r="M5998" s="24">
        <v>14289</v>
      </c>
      <c r="N5998" s="25">
        <f>IFERROR(T_reg.root.SK[[#This Row],[Price]]/T_reg.root.SK[[#This Row],[Starch content]],"")</f>
        <v>8.753315649867373</v>
      </c>
    </row>
    <row r="5999" spans="1:14">
      <c r="A5999" s="21">
        <v>2025</v>
      </c>
      <c r="B5999" s="21" t="s">
        <v>23</v>
      </c>
      <c r="C5999" s="21" t="s">
        <v>1145</v>
      </c>
      <c r="D5999" s="21" t="s">
        <v>35</v>
      </c>
      <c r="E5999" s="17" t="s">
        <v>486</v>
      </c>
      <c r="F5999" s="18" t="s">
        <v>105</v>
      </c>
      <c r="G5999" s="18" t="s">
        <v>48</v>
      </c>
      <c r="H5999" s="24">
        <v>49800</v>
      </c>
      <c r="I5999" s="24">
        <f>T_reg.root.SK[[#This Row],[Volume, kg]]/1000</f>
        <v>49.8</v>
      </c>
      <c r="J5999" s="25">
        <v>0.21679999999999999</v>
      </c>
      <c r="K5999" s="25">
        <f t="shared" si="94"/>
        <v>10796.64</v>
      </c>
      <c r="L5999" s="25">
        <v>1.78</v>
      </c>
      <c r="M5999" s="24">
        <v>88731</v>
      </c>
      <c r="N5999" s="25">
        <f>IFERROR(T_reg.root.SK[[#This Row],[Price]]/T_reg.root.SK[[#This Row],[Starch content]],"")</f>
        <v>8.2103321033210328</v>
      </c>
    </row>
    <row r="6000" spans="1:14">
      <c r="A6000" s="21">
        <v>2025</v>
      </c>
      <c r="B6000" s="21" t="s">
        <v>23</v>
      </c>
      <c r="C6000" s="21" t="s">
        <v>1145</v>
      </c>
      <c r="D6000" s="21" t="s">
        <v>35</v>
      </c>
      <c r="E6000" s="17" t="s">
        <v>487</v>
      </c>
      <c r="F6000" s="18" t="s">
        <v>105</v>
      </c>
      <c r="G6000" s="18" t="s">
        <v>48</v>
      </c>
      <c r="H6000" s="24">
        <v>40910</v>
      </c>
      <c r="I6000" s="24">
        <f>T_reg.root.SK[[#This Row],[Volume, kg]]/1000</f>
        <v>40.909999999999997</v>
      </c>
      <c r="J6000" s="25">
        <v>0.2278</v>
      </c>
      <c r="K6000" s="25">
        <f t="shared" si="94"/>
        <v>9319.2980000000007</v>
      </c>
      <c r="L6000" s="25">
        <v>1.84</v>
      </c>
      <c r="M6000" s="24">
        <v>75281</v>
      </c>
      <c r="N6000" s="25">
        <f>IFERROR(T_reg.root.SK[[#This Row],[Price]]/T_reg.root.SK[[#This Row],[Starch content]],"")</f>
        <v>8.0772607550482878</v>
      </c>
    </row>
    <row r="6001" spans="1:14">
      <c r="A6001" s="21">
        <v>2025</v>
      </c>
      <c r="B6001" s="21" t="s">
        <v>23</v>
      </c>
      <c r="C6001" s="21" t="s">
        <v>1145</v>
      </c>
      <c r="D6001" s="21" t="s">
        <v>35</v>
      </c>
      <c r="E6001" s="17" t="s">
        <v>379</v>
      </c>
      <c r="F6001" s="18" t="s">
        <v>47</v>
      </c>
      <c r="G6001" s="18" t="s">
        <v>48</v>
      </c>
      <c r="H6001" s="24">
        <v>14890</v>
      </c>
      <c r="I6001" s="24">
        <f>T_reg.root.SK[[#This Row],[Volume, kg]]/1000</f>
        <v>14.89</v>
      </c>
      <c r="J6001" s="25">
        <v>0.2021</v>
      </c>
      <c r="K6001" s="25">
        <f t="shared" si="94"/>
        <v>3009.2690000000002</v>
      </c>
      <c r="L6001" s="25">
        <v>1.72</v>
      </c>
      <c r="M6001" s="24">
        <v>25620</v>
      </c>
      <c r="N6001" s="25">
        <f>IFERROR(T_reg.root.SK[[#This Row],[Price]]/T_reg.root.SK[[#This Row],[Starch content]],"")</f>
        <v>8.5106382978723403</v>
      </c>
    </row>
    <row r="6002" spans="1:14">
      <c r="A6002" s="21">
        <v>2025</v>
      </c>
      <c r="B6002" s="21" t="s">
        <v>23</v>
      </c>
      <c r="C6002" s="21" t="s">
        <v>1145</v>
      </c>
      <c r="D6002" s="21" t="s">
        <v>35</v>
      </c>
      <c r="E6002" s="17" t="s">
        <v>125</v>
      </c>
      <c r="F6002" s="18" t="s">
        <v>105</v>
      </c>
      <c r="G6002" s="18" t="s">
        <v>48</v>
      </c>
      <c r="H6002" s="24">
        <v>101820</v>
      </c>
      <c r="I6002" s="24">
        <f>T_reg.root.SK[[#This Row],[Volume, kg]]/1000</f>
        <v>101.82</v>
      </c>
      <c r="J6002" s="25">
        <v>0.2225</v>
      </c>
      <c r="K6002" s="25">
        <f t="shared" si="94"/>
        <v>22654.95</v>
      </c>
      <c r="L6002" s="25">
        <v>1.82</v>
      </c>
      <c r="M6002" s="24">
        <v>185348</v>
      </c>
      <c r="N6002" s="25">
        <f>IFERROR(T_reg.root.SK[[#This Row],[Price]]/T_reg.root.SK[[#This Row],[Starch content]],"")</f>
        <v>8.1797752808988768</v>
      </c>
    </row>
    <row r="6003" spans="1:14">
      <c r="A6003" s="21">
        <v>2025</v>
      </c>
      <c r="B6003" s="21" t="s">
        <v>23</v>
      </c>
      <c r="C6003" s="21" t="s">
        <v>1145</v>
      </c>
      <c r="D6003" s="21" t="s">
        <v>35</v>
      </c>
      <c r="E6003" s="17" t="s">
        <v>716</v>
      </c>
      <c r="F6003" s="18" t="s">
        <v>105</v>
      </c>
      <c r="G6003" s="18" t="s">
        <v>48</v>
      </c>
      <c r="H6003" s="24">
        <v>30460</v>
      </c>
      <c r="I6003" s="24">
        <f>T_reg.root.SK[[#This Row],[Volume, kg]]/1000</f>
        <v>30.46</v>
      </c>
      <c r="J6003" s="25">
        <v>0.2606</v>
      </c>
      <c r="K6003" s="25">
        <f t="shared" si="94"/>
        <v>7937.8760000000002</v>
      </c>
      <c r="L6003" s="25">
        <v>2</v>
      </c>
      <c r="M6003" s="24">
        <v>61069.5</v>
      </c>
      <c r="N6003" s="25">
        <f>IFERROR(T_reg.root.SK[[#This Row],[Price]]/T_reg.root.SK[[#This Row],[Starch content]],"")</f>
        <v>7.6745970836531079</v>
      </c>
    </row>
    <row r="6004" spans="1:14">
      <c r="A6004" s="21">
        <v>2025</v>
      </c>
      <c r="B6004" s="21" t="s">
        <v>23</v>
      </c>
      <c r="C6004" s="21" t="s">
        <v>1145</v>
      </c>
      <c r="D6004" s="21" t="s">
        <v>35</v>
      </c>
      <c r="E6004" s="17" t="s">
        <v>813</v>
      </c>
      <c r="F6004" s="18" t="s">
        <v>187</v>
      </c>
      <c r="G6004" s="18" t="s">
        <v>48</v>
      </c>
      <c r="H6004" s="24">
        <v>20460</v>
      </c>
      <c r="I6004" s="24">
        <f>T_reg.root.SK[[#This Row],[Volume, kg]]/1000</f>
        <v>20.46</v>
      </c>
      <c r="J6004" s="25">
        <v>0.24059999999999998</v>
      </c>
      <c r="K6004" s="25">
        <f t="shared" si="94"/>
        <v>4922.6759999999995</v>
      </c>
      <c r="L6004" s="25">
        <v>1.9</v>
      </c>
      <c r="M6004" s="24">
        <v>38958</v>
      </c>
      <c r="N6004" s="25">
        <f>IFERROR(T_reg.root.SK[[#This Row],[Price]]/T_reg.root.SK[[#This Row],[Starch content]],"")</f>
        <v>7.896924355777224</v>
      </c>
    </row>
    <row r="6005" spans="1:14">
      <c r="A6005" s="21">
        <v>2025</v>
      </c>
      <c r="B6005" s="21" t="s">
        <v>23</v>
      </c>
      <c r="C6005" s="21" t="s">
        <v>1145</v>
      </c>
      <c r="D6005" s="21" t="s">
        <v>35</v>
      </c>
      <c r="E6005" s="17" t="s">
        <v>977</v>
      </c>
      <c r="F6005" s="18" t="s">
        <v>105</v>
      </c>
      <c r="G6005" s="18" t="s">
        <v>48</v>
      </c>
      <c r="H6005" s="24">
        <v>4910</v>
      </c>
      <c r="I6005" s="24">
        <f>T_reg.root.SK[[#This Row],[Volume, kg]]/1000</f>
        <v>4.91</v>
      </c>
      <c r="J6005" s="25">
        <v>0.22</v>
      </c>
      <c r="K6005" s="25">
        <f t="shared" si="94"/>
        <v>1080.2</v>
      </c>
      <c r="L6005" s="25">
        <v>1.8</v>
      </c>
      <c r="M6005" s="24">
        <v>8838</v>
      </c>
      <c r="N6005" s="25">
        <f>IFERROR(T_reg.root.SK[[#This Row],[Price]]/T_reg.root.SK[[#This Row],[Starch content]],"")</f>
        <v>8.1818181818181817</v>
      </c>
    </row>
    <row r="6006" spans="1:14">
      <c r="A6006" s="21">
        <v>2025</v>
      </c>
      <c r="B6006" s="21" t="s">
        <v>23</v>
      </c>
      <c r="C6006" s="21" t="s">
        <v>1145</v>
      </c>
      <c r="D6006" s="21" t="s">
        <v>35</v>
      </c>
      <c r="E6006" s="17" t="s">
        <v>736</v>
      </c>
      <c r="F6006" s="18" t="s">
        <v>105</v>
      </c>
      <c r="G6006" s="18" t="s">
        <v>48</v>
      </c>
      <c r="H6006" s="24">
        <v>67580</v>
      </c>
      <c r="I6006" s="24">
        <f>T_reg.root.SK[[#This Row],[Volume, kg]]/1000</f>
        <v>67.58</v>
      </c>
      <c r="J6006" s="25">
        <v>0.2165</v>
      </c>
      <c r="K6006" s="25">
        <f t="shared" si="94"/>
        <v>14631.07</v>
      </c>
      <c r="L6006" s="25">
        <v>1.78</v>
      </c>
      <c r="M6006" s="24">
        <v>120505</v>
      </c>
      <c r="N6006" s="25">
        <f>IFERROR(T_reg.root.SK[[#This Row],[Price]]/T_reg.root.SK[[#This Row],[Starch content]],"")</f>
        <v>8.2217090069284069</v>
      </c>
    </row>
    <row r="6007" spans="1:14">
      <c r="A6007" s="21">
        <v>2025</v>
      </c>
      <c r="B6007" s="21" t="s">
        <v>23</v>
      </c>
      <c r="C6007" s="21" t="s">
        <v>1145</v>
      </c>
      <c r="D6007" s="21" t="s">
        <v>35</v>
      </c>
      <c r="E6007" s="17" t="s">
        <v>465</v>
      </c>
      <c r="F6007" s="18" t="s">
        <v>47</v>
      </c>
      <c r="G6007" s="18" t="s">
        <v>48</v>
      </c>
      <c r="H6007" s="24">
        <v>8710</v>
      </c>
      <c r="I6007" s="24">
        <f>T_reg.root.SK[[#This Row],[Volume, kg]]/1000</f>
        <v>8.7100000000000009</v>
      </c>
      <c r="J6007" s="25">
        <v>0.20850000000000002</v>
      </c>
      <c r="K6007" s="25">
        <f t="shared" si="94"/>
        <v>1816.0350000000001</v>
      </c>
      <c r="L6007" s="25">
        <v>1.76</v>
      </c>
      <c r="M6007" s="24">
        <v>15361</v>
      </c>
      <c r="N6007" s="25">
        <f>IFERROR(T_reg.root.SK[[#This Row],[Price]]/T_reg.root.SK[[#This Row],[Starch content]],"")</f>
        <v>8.4412470023980806</v>
      </c>
    </row>
    <row r="6008" spans="1:14">
      <c r="A6008" s="21">
        <v>2025</v>
      </c>
      <c r="B6008" s="21" t="s">
        <v>23</v>
      </c>
      <c r="C6008" s="21" t="s">
        <v>1145</v>
      </c>
      <c r="D6008" s="21" t="s">
        <v>35</v>
      </c>
      <c r="E6008" s="17" t="s">
        <v>58</v>
      </c>
      <c r="F6008" s="18" t="s">
        <v>47</v>
      </c>
      <c r="G6008" s="18" t="s">
        <v>48</v>
      </c>
      <c r="H6008" s="24">
        <v>24950</v>
      </c>
      <c r="I6008" s="24">
        <f>T_reg.root.SK[[#This Row],[Volume, kg]]/1000</f>
        <v>24.95</v>
      </c>
      <c r="J6008" s="25">
        <v>0.2014</v>
      </c>
      <c r="K6008" s="25">
        <f t="shared" si="94"/>
        <v>5024.93</v>
      </c>
      <c r="L6008" s="25">
        <v>1.72</v>
      </c>
      <c r="M6008" s="24">
        <v>42790.5</v>
      </c>
      <c r="N6008" s="25">
        <f>IFERROR(T_reg.root.SK[[#This Row],[Price]]/T_reg.root.SK[[#This Row],[Starch content]],"")</f>
        <v>8.5402184707050655</v>
      </c>
    </row>
    <row r="6009" spans="1:14">
      <c r="A6009" s="21">
        <v>2025</v>
      </c>
      <c r="B6009" s="21" t="s">
        <v>23</v>
      </c>
      <c r="C6009" s="21" t="s">
        <v>1145</v>
      </c>
      <c r="D6009" s="21" t="s">
        <v>35</v>
      </c>
      <c r="E6009" s="17" t="s">
        <v>590</v>
      </c>
      <c r="F6009" s="18" t="s">
        <v>187</v>
      </c>
      <c r="G6009" s="18" t="s">
        <v>48</v>
      </c>
      <c r="H6009" s="24">
        <v>20470</v>
      </c>
      <c r="I6009" s="24">
        <f>T_reg.root.SK[[#This Row],[Volume, kg]]/1000</f>
        <v>20.47</v>
      </c>
      <c r="J6009" s="25">
        <v>0.26319999999999999</v>
      </c>
      <c r="K6009" s="25">
        <f t="shared" si="94"/>
        <v>5387.7039999999997</v>
      </c>
      <c r="L6009" s="25">
        <v>2</v>
      </c>
      <c r="M6009" s="24">
        <v>41010.5</v>
      </c>
      <c r="N6009" s="25">
        <f>IFERROR(T_reg.root.SK[[#This Row],[Price]]/T_reg.root.SK[[#This Row],[Starch content]],"")</f>
        <v>7.5987841945288759</v>
      </c>
    </row>
    <row r="6010" spans="1:14">
      <c r="A6010" s="21">
        <v>2025</v>
      </c>
      <c r="B6010" s="21" t="s">
        <v>23</v>
      </c>
      <c r="C6010" s="21" t="s">
        <v>1145</v>
      </c>
      <c r="D6010" s="21" t="s">
        <v>35</v>
      </c>
      <c r="E6010" s="17" t="s">
        <v>264</v>
      </c>
      <c r="F6010" s="18" t="s">
        <v>187</v>
      </c>
      <c r="G6010" s="18" t="s">
        <v>48</v>
      </c>
      <c r="H6010" s="24">
        <v>74000</v>
      </c>
      <c r="I6010" s="24">
        <f>T_reg.root.SK[[#This Row],[Volume, kg]]/1000</f>
        <v>74</v>
      </c>
      <c r="J6010" s="25">
        <v>0.21739999999999998</v>
      </c>
      <c r="K6010" s="25">
        <f t="shared" si="94"/>
        <v>16087.599999999999</v>
      </c>
      <c r="L6010" s="25">
        <v>1.78</v>
      </c>
      <c r="M6010" s="24">
        <v>131879.5</v>
      </c>
      <c r="N6010" s="25">
        <f>IFERROR(T_reg.root.SK[[#This Row],[Price]]/T_reg.root.SK[[#This Row],[Starch content]],"")</f>
        <v>8.1876724931002762</v>
      </c>
    </row>
    <row r="6011" spans="1:14">
      <c r="A6011" s="21">
        <v>2025</v>
      </c>
      <c r="B6011" s="21" t="s">
        <v>23</v>
      </c>
      <c r="C6011" s="21" t="s">
        <v>1145</v>
      </c>
      <c r="D6011" s="21" t="s">
        <v>35</v>
      </c>
      <c r="E6011" s="17" t="s">
        <v>466</v>
      </c>
      <c r="F6011" s="18" t="s">
        <v>47</v>
      </c>
      <c r="G6011" s="18" t="s">
        <v>48</v>
      </c>
      <c r="H6011" s="24">
        <v>7720</v>
      </c>
      <c r="I6011" s="24">
        <f>T_reg.root.SK[[#This Row],[Volume, kg]]/1000</f>
        <v>7.72</v>
      </c>
      <c r="J6011" s="25">
        <v>0.2165</v>
      </c>
      <c r="K6011" s="25">
        <f t="shared" si="94"/>
        <v>1671.3799999999999</v>
      </c>
      <c r="L6011" s="25">
        <v>1.8</v>
      </c>
      <c r="M6011" s="24">
        <v>13896</v>
      </c>
      <c r="N6011" s="25">
        <f>IFERROR(T_reg.root.SK[[#This Row],[Price]]/T_reg.root.SK[[#This Row],[Starch content]],"")</f>
        <v>8.3140877598152425</v>
      </c>
    </row>
    <row r="6012" spans="1:14">
      <c r="A6012" s="21">
        <v>2025</v>
      </c>
      <c r="B6012" s="21" t="s">
        <v>23</v>
      </c>
      <c r="C6012" s="21" t="s">
        <v>1145</v>
      </c>
      <c r="D6012" s="21" t="s">
        <v>35</v>
      </c>
      <c r="E6012" s="17" t="s">
        <v>60</v>
      </c>
      <c r="F6012" s="18" t="s">
        <v>47</v>
      </c>
      <c r="G6012" s="18" t="s">
        <v>48</v>
      </c>
      <c r="H6012" s="24">
        <v>7420</v>
      </c>
      <c r="I6012" s="24">
        <f>T_reg.root.SK[[#This Row],[Volume, kg]]/1000</f>
        <v>7.42</v>
      </c>
      <c r="J6012" s="25">
        <v>0.22949999999999998</v>
      </c>
      <c r="K6012" s="25">
        <f t="shared" si="94"/>
        <v>1702.8899999999999</v>
      </c>
      <c r="L6012" s="25">
        <v>1.85</v>
      </c>
      <c r="M6012" s="24">
        <v>13727</v>
      </c>
      <c r="N6012" s="25">
        <f>IFERROR(T_reg.root.SK[[#This Row],[Price]]/T_reg.root.SK[[#This Row],[Starch content]],"")</f>
        <v>8.0610021786492378</v>
      </c>
    </row>
    <row r="6013" spans="1:14">
      <c r="A6013" s="21">
        <v>2025</v>
      </c>
      <c r="B6013" s="21" t="s">
        <v>23</v>
      </c>
      <c r="C6013" s="21" t="s">
        <v>1145</v>
      </c>
      <c r="D6013" s="21" t="s">
        <v>35</v>
      </c>
      <c r="E6013" s="17" t="s">
        <v>770</v>
      </c>
      <c r="F6013" s="18" t="s">
        <v>105</v>
      </c>
      <c r="G6013" s="18" t="s">
        <v>48</v>
      </c>
      <c r="H6013" s="24">
        <v>15930</v>
      </c>
      <c r="I6013" s="24">
        <f>T_reg.root.SK[[#This Row],[Volume, kg]]/1000</f>
        <v>15.93</v>
      </c>
      <c r="J6013" s="25">
        <v>0.18140000000000001</v>
      </c>
      <c r="K6013" s="25">
        <f t="shared" si="94"/>
        <v>2889.7020000000002</v>
      </c>
      <c r="L6013" s="25">
        <v>1.61</v>
      </c>
      <c r="M6013" s="24">
        <v>25683</v>
      </c>
      <c r="N6013" s="25">
        <f>IFERROR(T_reg.root.SK[[#This Row],[Price]]/T_reg.root.SK[[#This Row],[Starch content]],"")</f>
        <v>8.8754134509371561</v>
      </c>
    </row>
    <row r="6014" spans="1:14">
      <c r="A6014" s="21">
        <v>2025</v>
      </c>
      <c r="B6014" s="21" t="s">
        <v>23</v>
      </c>
      <c r="C6014" s="21" t="s">
        <v>1145</v>
      </c>
      <c r="D6014" s="21" t="s">
        <v>35</v>
      </c>
      <c r="E6014" s="17" t="s">
        <v>548</v>
      </c>
      <c r="F6014" s="18" t="s">
        <v>47</v>
      </c>
      <c r="G6014" s="18" t="s">
        <v>48</v>
      </c>
      <c r="H6014" s="24">
        <v>50170</v>
      </c>
      <c r="I6014" s="24">
        <f>T_reg.root.SK[[#This Row],[Volume, kg]]/1000</f>
        <v>50.17</v>
      </c>
      <c r="J6014" s="25">
        <v>0.22940000000000002</v>
      </c>
      <c r="K6014" s="25">
        <f t="shared" si="94"/>
        <v>11508.998000000001</v>
      </c>
      <c r="L6014" s="25">
        <v>1.86</v>
      </c>
      <c r="M6014" s="24">
        <v>93316</v>
      </c>
      <c r="N6014" s="25">
        <f>IFERROR(T_reg.root.SK[[#This Row],[Price]]/T_reg.root.SK[[#This Row],[Starch content]],"")</f>
        <v>8.108108108108107</v>
      </c>
    </row>
    <row r="6015" spans="1:14">
      <c r="A6015" s="21">
        <v>2025</v>
      </c>
      <c r="B6015" s="21" t="s">
        <v>23</v>
      </c>
      <c r="C6015" s="21" t="s">
        <v>1145</v>
      </c>
      <c r="D6015" s="21" t="s">
        <v>35</v>
      </c>
      <c r="E6015" s="17" t="s">
        <v>489</v>
      </c>
      <c r="F6015" s="18" t="s">
        <v>105</v>
      </c>
      <c r="G6015" s="18" t="s">
        <v>48</v>
      </c>
      <c r="H6015" s="24">
        <v>26660</v>
      </c>
      <c r="I6015" s="24">
        <f>T_reg.root.SK[[#This Row],[Volume, kg]]/1000</f>
        <v>26.66</v>
      </c>
      <c r="J6015" s="25">
        <v>0.23149999999999998</v>
      </c>
      <c r="K6015" s="25">
        <f t="shared" si="94"/>
        <v>6171.79</v>
      </c>
      <c r="L6015" s="25">
        <v>1.85</v>
      </c>
      <c r="M6015" s="24">
        <v>49393.5</v>
      </c>
      <c r="N6015" s="25">
        <f>IFERROR(T_reg.root.SK[[#This Row],[Price]]/T_reg.root.SK[[#This Row],[Starch content]],"")</f>
        <v>7.9913606911447097</v>
      </c>
    </row>
    <row r="6016" spans="1:14">
      <c r="A6016" s="21">
        <v>2025</v>
      </c>
      <c r="B6016" s="21" t="s">
        <v>23</v>
      </c>
      <c r="C6016" s="21" t="s">
        <v>1145</v>
      </c>
      <c r="D6016" s="21" t="s">
        <v>35</v>
      </c>
      <c r="E6016" s="17" t="s">
        <v>565</v>
      </c>
      <c r="F6016" s="18" t="s">
        <v>105</v>
      </c>
      <c r="G6016" s="18" t="s">
        <v>48</v>
      </c>
      <c r="H6016" s="24">
        <v>3390</v>
      </c>
      <c r="I6016" s="24">
        <f>T_reg.root.SK[[#This Row],[Volume, kg]]/1000</f>
        <v>3.39</v>
      </c>
      <c r="J6016" s="25">
        <v>0.24</v>
      </c>
      <c r="K6016" s="25">
        <f t="shared" si="94"/>
        <v>813.6</v>
      </c>
      <c r="L6016" s="25">
        <v>1.9</v>
      </c>
      <c r="M6016" s="24">
        <v>6441</v>
      </c>
      <c r="N6016" s="25">
        <f>IFERROR(T_reg.root.SK[[#This Row],[Price]]/T_reg.root.SK[[#This Row],[Starch content]],"")</f>
        <v>7.916666666666667</v>
      </c>
    </row>
    <row r="6017" spans="1:14">
      <c r="A6017" s="21">
        <v>2025</v>
      </c>
      <c r="B6017" s="21" t="s">
        <v>23</v>
      </c>
      <c r="C6017" s="21" t="s">
        <v>1145</v>
      </c>
      <c r="D6017" s="21" t="s">
        <v>35</v>
      </c>
      <c r="E6017" s="17" t="s">
        <v>196</v>
      </c>
      <c r="F6017" s="18" t="s">
        <v>187</v>
      </c>
      <c r="G6017" s="18" t="s">
        <v>48</v>
      </c>
      <c r="H6017" s="24">
        <v>66010</v>
      </c>
      <c r="I6017" s="24">
        <f>T_reg.root.SK[[#This Row],[Volume, kg]]/1000</f>
        <v>66.010000000000005</v>
      </c>
      <c r="J6017" s="25">
        <v>0.20329999999999998</v>
      </c>
      <c r="K6017" s="25">
        <f t="shared" si="94"/>
        <v>13419.832999999999</v>
      </c>
      <c r="L6017" s="25">
        <v>1.73</v>
      </c>
      <c r="M6017" s="24">
        <v>113937</v>
      </c>
      <c r="N6017" s="25">
        <f>IFERROR(T_reg.root.SK[[#This Row],[Price]]/T_reg.root.SK[[#This Row],[Starch content]],"")</f>
        <v>8.509591736350222</v>
      </c>
    </row>
    <row r="6018" spans="1:14">
      <c r="A6018" s="21">
        <v>2025</v>
      </c>
      <c r="B6018" s="21" t="s">
        <v>23</v>
      </c>
      <c r="C6018" s="21" t="s">
        <v>1145</v>
      </c>
      <c r="D6018" s="21" t="s">
        <v>35</v>
      </c>
      <c r="E6018" s="17" t="s">
        <v>197</v>
      </c>
      <c r="F6018" s="18" t="s">
        <v>187</v>
      </c>
      <c r="G6018" s="18" t="s">
        <v>48</v>
      </c>
      <c r="H6018" s="24">
        <v>59310</v>
      </c>
      <c r="I6018" s="24">
        <f>T_reg.root.SK[[#This Row],[Volume, kg]]/1000</f>
        <v>59.31</v>
      </c>
      <c r="J6018" s="25">
        <v>0.17489999999999997</v>
      </c>
      <c r="K6018" s="25">
        <f t="shared" si="94"/>
        <v>10373.318999999998</v>
      </c>
      <c r="L6018" s="25">
        <v>1.58</v>
      </c>
      <c r="M6018" s="24">
        <v>93803</v>
      </c>
      <c r="N6018" s="25">
        <f>IFERROR(T_reg.root.SK[[#This Row],[Price]]/T_reg.root.SK[[#This Row],[Starch content]],"")</f>
        <v>9.0337335620354509</v>
      </c>
    </row>
    <row r="6019" spans="1:14">
      <c r="A6019" s="21">
        <v>2025</v>
      </c>
      <c r="B6019" s="21" t="s">
        <v>23</v>
      </c>
      <c r="C6019" s="21" t="s">
        <v>1145</v>
      </c>
      <c r="D6019" s="21" t="s">
        <v>35</v>
      </c>
      <c r="E6019" s="17" t="s">
        <v>650</v>
      </c>
      <c r="F6019" s="18" t="s">
        <v>187</v>
      </c>
      <c r="G6019" s="18" t="s">
        <v>48</v>
      </c>
      <c r="H6019" s="24">
        <v>127960</v>
      </c>
      <c r="I6019" s="24">
        <f>T_reg.root.SK[[#This Row],[Volume, kg]]/1000</f>
        <v>127.96</v>
      </c>
      <c r="J6019" s="25">
        <v>0.2054</v>
      </c>
      <c r="K6019" s="25">
        <f t="shared" si="94"/>
        <v>26282.984</v>
      </c>
      <c r="L6019" s="25">
        <v>1.73</v>
      </c>
      <c r="M6019" s="24">
        <v>220987</v>
      </c>
      <c r="N6019" s="25">
        <f>IFERROR(T_reg.root.SK[[#This Row],[Price]]/T_reg.root.SK[[#This Row],[Starch content]],"")</f>
        <v>8.422590068159689</v>
      </c>
    </row>
    <row r="6020" spans="1:14">
      <c r="A6020" s="21">
        <v>2025</v>
      </c>
      <c r="B6020" s="21" t="s">
        <v>23</v>
      </c>
      <c r="C6020" s="21" t="s">
        <v>1145</v>
      </c>
      <c r="D6020" s="21" t="s">
        <v>35</v>
      </c>
      <c r="E6020" s="17" t="s">
        <v>617</v>
      </c>
      <c r="F6020" s="18" t="s">
        <v>105</v>
      </c>
      <c r="G6020" s="18" t="s">
        <v>48</v>
      </c>
      <c r="H6020" s="24">
        <v>76380</v>
      </c>
      <c r="I6020" s="24">
        <f>T_reg.root.SK[[#This Row],[Volume, kg]]/1000</f>
        <v>76.38</v>
      </c>
      <c r="J6020" s="25">
        <v>0.22460000000000002</v>
      </c>
      <c r="K6020" s="25">
        <f t="shared" si="94"/>
        <v>17154.948</v>
      </c>
      <c r="L6020" s="25">
        <v>1.82</v>
      </c>
      <c r="M6020" s="24">
        <v>139393.5</v>
      </c>
      <c r="N6020" s="25">
        <f>IFERROR(T_reg.root.SK[[#This Row],[Price]]/T_reg.root.SK[[#This Row],[Starch content]],"")</f>
        <v>8.1032947462154929</v>
      </c>
    </row>
    <row r="6021" spans="1:14">
      <c r="A6021" s="21">
        <v>2025</v>
      </c>
      <c r="B6021" s="21" t="s">
        <v>23</v>
      </c>
      <c r="C6021" s="21" t="s">
        <v>1145</v>
      </c>
      <c r="D6021" s="21" t="s">
        <v>35</v>
      </c>
      <c r="E6021" s="17" t="s">
        <v>807</v>
      </c>
      <c r="F6021" s="18" t="s">
        <v>105</v>
      </c>
      <c r="G6021" s="18" t="s">
        <v>48</v>
      </c>
      <c r="H6021" s="24">
        <v>19620</v>
      </c>
      <c r="I6021" s="24">
        <f>T_reg.root.SK[[#This Row],[Volume, kg]]/1000</f>
        <v>19.62</v>
      </c>
      <c r="J6021" s="25">
        <v>0.255</v>
      </c>
      <c r="K6021" s="25">
        <f t="shared" si="94"/>
        <v>5003.1000000000004</v>
      </c>
      <c r="L6021" s="25">
        <v>1.98</v>
      </c>
      <c r="M6021" s="24">
        <v>38757.5</v>
      </c>
      <c r="N6021" s="25">
        <f>IFERROR(T_reg.root.SK[[#This Row],[Price]]/T_reg.root.SK[[#This Row],[Starch content]],"")</f>
        <v>7.7647058823529411</v>
      </c>
    </row>
    <row r="6022" spans="1:14">
      <c r="A6022" s="21">
        <v>2025</v>
      </c>
      <c r="B6022" s="21" t="s">
        <v>23</v>
      </c>
      <c r="C6022" s="21" t="s">
        <v>1145</v>
      </c>
      <c r="D6022" s="21" t="s">
        <v>35</v>
      </c>
      <c r="E6022" s="17" t="s">
        <v>1009</v>
      </c>
      <c r="F6022" s="18" t="s">
        <v>105</v>
      </c>
      <c r="G6022" s="18" t="s">
        <v>48</v>
      </c>
      <c r="H6022" s="24">
        <v>72160</v>
      </c>
      <c r="I6022" s="24">
        <f>T_reg.root.SK[[#This Row],[Volume, kg]]/1000</f>
        <v>72.16</v>
      </c>
      <c r="J6022" s="25">
        <v>0.21340000000000001</v>
      </c>
      <c r="K6022" s="25">
        <f t="shared" si="94"/>
        <v>15398.944000000001</v>
      </c>
      <c r="L6022" s="25">
        <v>1.76</v>
      </c>
      <c r="M6022" s="24">
        <v>127086</v>
      </c>
      <c r="N6022" s="25">
        <f>IFERROR(T_reg.root.SK[[#This Row],[Price]]/T_reg.root.SK[[#This Row],[Starch content]],"")</f>
        <v>8.2474226804123703</v>
      </c>
    </row>
    <row r="6023" spans="1:14">
      <c r="A6023" s="21">
        <v>2025</v>
      </c>
      <c r="B6023" s="21" t="s">
        <v>23</v>
      </c>
      <c r="C6023" s="21" t="s">
        <v>1145</v>
      </c>
      <c r="D6023" s="21" t="s">
        <v>35</v>
      </c>
      <c r="E6023" s="17" t="s">
        <v>1037</v>
      </c>
      <c r="F6023" s="18" t="s">
        <v>105</v>
      </c>
      <c r="G6023" s="18" t="s">
        <v>48</v>
      </c>
      <c r="H6023" s="24">
        <v>11270</v>
      </c>
      <c r="I6023" s="24">
        <f>T_reg.root.SK[[#This Row],[Volume, kg]]/1000</f>
        <v>11.27</v>
      </c>
      <c r="J6023" s="25">
        <v>0.26269999999999999</v>
      </c>
      <c r="K6023" s="25">
        <f t="shared" si="94"/>
        <v>2960.6289999999999</v>
      </c>
      <c r="L6023" s="25">
        <v>2.02</v>
      </c>
      <c r="M6023" s="24">
        <v>22805</v>
      </c>
      <c r="N6023" s="25">
        <f>IFERROR(T_reg.root.SK[[#This Row],[Price]]/T_reg.root.SK[[#This Row],[Starch content]],"")</f>
        <v>7.6893795203654358</v>
      </c>
    </row>
    <row r="6024" spans="1:14">
      <c r="A6024" s="21">
        <v>2025</v>
      </c>
      <c r="B6024" s="21" t="s">
        <v>23</v>
      </c>
      <c r="C6024" s="21" t="s">
        <v>1145</v>
      </c>
      <c r="D6024" s="21" t="s">
        <v>35</v>
      </c>
      <c r="E6024" s="17" t="s">
        <v>407</v>
      </c>
      <c r="F6024" s="18" t="s">
        <v>187</v>
      </c>
      <c r="G6024" s="18" t="s">
        <v>48</v>
      </c>
      <c r="H6024" s="24">
        <v>21810</v>
      </c>
      <c r="I6024" s="24">
        <f>T_reg.root.SK[[#This Row],[Volume, kg]]/1000</f>
        <v>21.81</v>
      </c>
      <c r="J6024" s="25">
        <v>0.22359999999999999</v>
      </c>
      <c r="K6024" s="25">
        <f t="shared" si="94"/>
        <v>4876.7159999999994</v>
      </c>
      <c r="L6024" s="25">
        <v>1.82</v>
      </c>
      <c r="M6024" s="24">
        <v>39631.5</v>
      </c>
      <c r="N6024" s="25">
        <f>IFERROR(T_reg.root.SK[[#This Row],[Price]]/T_reg.root.SK[[#This Row],[Starch content]],"")</f>
        <v>8.1395348837209305</v>
      </c>
    </row>
    <row r="6025" spans="1:14">
      <c r="A6025" s="21">
        <v>2025</v>
      </c>
      <c r="B6025" s="21" t="s">
        <v>23</v>
      </c>
      <c r="C6025" s="21" t="s">
        <v>1145</v>
      </c>
      <c r="D6025" s="21" t="s">
        <v>35</v>
      </c>
      <c r="E6025" s="17" t="s">
        <v>711</v>
      </c>
      <c r="F6025" s="18" t="s">
        <v>95</v>
      </c>
      <c r="G6025" s="18" t="s">
        <v>48</v>
      </c>
      <c r="H6025" s="24">
        <v>19240</v>
      </c>
      <c r="I6025" s="24">
        <f>T_reg.root.SK[[#This Row],[Volume, kg]]/1000</f>
        <v>19.239999999999998</v>
      </c>
      <c r="J6025" s="25">
        <v>0.28100000000000003</v>
      </c>
      <c r="K6025" s="25">
        <f t="shared" si="94"/>
        <v>5406.4400000000005</v>
      </c>
      <c r="L6025" s="25">
        <v>2.1</v>
      </c>
      <c r="M6025" s="24">
        <v>40404</v>
      </c>
      <c r="N6025" s="25">
        <f>IFERROR(T_reg.root.SK[[#This Row],[Price]]/T_reg.root.SK[[#This Row],[Starch content]],"")</f>
        <v>7.4733096085409247</v>
      </c>
    </row>
    <row r="6026" spans="1:14">
      <c r="A6026" s="21">
        <v>2025</v>
      </c>
      <c r="B6026" s="21" t="s">
        <v>23</v>
      </c>
      <c r="C6026" s="21" t="s">
        <v>1145</v>
      </c>
      <c r="D6026" s="21" t="s">
        <v>35</v>
      </c>
      <c r="E6026" s="17" t="s">
        <v>710</v>
      </c>
      <c r="F6026" s="18" t="s">
        <v>47</v>
      </c>
      <c r="G6026" s="18" t="s">
        <v>48</v>
      </c>
      <c r="H6026" s="24">
        <v>15120</v>
      </c>
      <c r="I6026" s="24">
        <f>T_reg.root.SK[[#This Row],[Volume, kg]]/1000</f>
        <v>15.12</v>
      </c>
      <c r="J6026" s="25">
        <v>0.19690000000000002</v>
      </c>
      <c r="K6026" s="25">
        <f t="shared" si="94"/>
        <v>2977.1280000000002</v>
      </c>
      <c r="L6026" s="25">
        <v>1.69</v>
      </c>
      <c r="M6026" s="24">
        <v>25495.5</v>
      </c>
      <c r="N6026" s="25">
        <f>IFERROR(T_reg.root.SK[[#This Row],[Price]]/T_reg.root.SK[[#This Row],[Starch content]],"")</f>
        <v>8.5830370746571845</v>
      </c>
    </row>
    <row r="6027" spans="1:14">
      <c r="A6027" s="21">
        <v>2025</v>
      </c>
      <c r="B6027" s="21" t="s">
        <v>23</v>
      </c>
      <c r="C6027" s="21" t="s">
        <v>1145</v>
      </c>
      <c r="D6027" s="21" t="s">
        <v>35</v>
      </c>
      <c r="E6027" s="17" t="s">
        <v>61</v>
      </c>
      <c r="F6027" s="18" t="s">
        <v>47</v>
      </c>
      <c r="G6027" s="18" t="s">
        <v>48</v>
      </c>
      <c r="H6027" s="24">
        <v>55160</v>
      </c>
      <c r="I6027" s="24">
        <f>T_reg.root.SK[[#This Row],[Volume, kg]]/1000</f>
        <v>55.16</v>
      </c>
      <c r="J6027" s="25">
        <v>0.23449999999999999</v>
      </c>
      <c r="K6027" s="25">
        <f t="shared" si="94"/>
        <v>12935.019999999999</v>
      </c>
      <c r="L6027" s="25">
        <v>1.89</v>
      </c>
      <c r="M6027" s="24">
        <v>104048.5</v>
      </c>
      <c r="N6027" s="25">
        <f>IFERROR(T_reg.root.SK[[#This Row],[Price]]/T_reg.root.SK[[#This Row],[Starch content]],"")</f>
        <v>8.0597014925373127</v>
      </c>
    </row>
    <row r="6028" spans="1:14">
      <c r="A6028" s="21">
        <v>2025</v>
      </c>
      <c r="B6028" s="21" t="s">
        <v>23</v>
      </c>
      <c r="C6028" s="21" t="s">
        <v>1145</v>
      </c>
      <c r="D6028" s="21" t="s">
        <v>35</v>
      </c>
      <c r="E6028" s="17" t="s">
        <v>755</v>
      </c>
      <c r="F6028" s="18" t="s">
        <v>105</v>
      </c>
      <c r="G6028" s="18" t="s">
        <v>48</v>
      </c>
      <c r="H6028" s="24">
        <v>34000</v>
      </c>
      <c r="I6028" s="24">
        <f>T_reg.root.SK[[#This Row],[Volume, kg]]/1000</f>
        <v>34</v>
      </c>
      <c r="J6028" s="25">
        <v>0.222</v>
      </c>
      <c r="K6028" s="25">
        <f t="shared" si="94"/>
        <v>7548</v>
      </c>
      <c r="L6028" s="25">
        <v>1.81</v>
      </c>
      <c r="M6028" s="24">
        <v>61406</v>
      </c>
      <c r="N6028" s="25">
        <f>IFERROR(T_reg.root.SK[[#This Row],[Price]]/T_reg.root.SK[[#This Row],[Starch content]],"")</f>
        <v>8.1531531531531538</v>
      </c>
    </row>
    <row r="6029" spans="1:14">
      <c r="A6029" s="21">
        <v>2025</v>
      </c>
      <c r="B6029" s="21" t="s">
        <v>23</v>
      </c>
      <c r="C6029" s="21" t="s">
        <v>1145</v>
      </c>
      <c r="D6029" s="21" t="s">
        <v>35</v>
      </c>
      <c r="E6029" s="17" t="s">
        <v>524</v>
      </c>
      <c r="F6029" s="18" t="s">
        <v>187</v>
      </c>
      <c r="G6029" s="18" t="s">
        <v>48</v>
      </c>
      <c r="H6029" s="24">
        <v>77490</v>
      </c>
      <c r="I6029" s="24">
        <f>T_reg.root.SK[[#This Row],[Volume, kg]]/1000</f>
        <v>77.489999999999995</v>
      </c>
      <c r="J6029" s="25">
        <v>0.18340000000000001</v>
      </c>
      <c r="K6029" s="25">
        <f t="shared" si="94"/>
        <v>14211.666000000001</v>
      </c>
      <c r="L6029" s="25">
        <v>1.62</v>
      </c>
      <c r="M6029" s="24">
        <v>125393.5</v>
      </c>
      <c r="N6029" s="25">
        <f>IFERROR(T_reg.root.SK[[#This Row],[Price]]/T_reg.root.SK[[#This Row],[Starch content]],"")</f>
        <v>8.8331515812431842</v>
      </c>
    </row>
    <row r="6030" spans="1:14">
      <c r="A6030" s="21">
        <v>2025</v>
      </c>
      <c r="B6030" s="21" t="s">
        <v>23</v>
      </c>
      <c r="C6030" s="21" t="s">
        <v>1145</v>
      </c>
      <c r="D6030" s="21" t="s">
        <v>35</v>
      </c>
      <c r="E6030" s="17" t="s">
        <v>525</v>
      </c>
      <c r="F6030" s="18" t="s">
        <v>187</v>
      </c>
      <c r="G6030" s="18" t="s">
        <v>48</v>
      </c>
      <c r="H6030" s="24">
        <v>62750</v>
      </c>
      <c r="I6030" s="24">
        <f>T_reg.root.SK[[#This Row],[Volume, kg]]/1000</f>
        <v>62.75</v>
      </c>
      <c r="J6030" s="25">
        <v>0.21390000000000001</v>
      </c>
      <c r="K6030" s="25">
        <f t="shared" si="94"/>
        <v>13422.225</v>
      </c>
      <c r="L6030" s="25">
        <v>1.77</v>
      </c>
      <c r="M6030" s="24">
        <v>110995.5</v>
      </c>
      <c r="N6030" s="25">
        <f>IFERROR(T_reg.root.SK[[#This Row],[Price]]/T_reg.root.SK[[#This Row],[Starch content]],"")</f>
        <v>8.2748948106591858</v>
      </c>
    </row>
    <row r="6031" spans="1:14">
      <c r="A6031" s="21">
        <v>2025</v>
      </c>
      <c r="B6031" s="21" t="s">
        <v>23</v>
      </c>
      <c r="C6031" s="21" t="s">
        <v>1145</v>
      </c>
      <c r="D6031" s="21" t="s">
        <v>35</v>
      </c>
      <c r="E6031" s="17" t="s">
        <v>241</v>
      </c>
      <c r="F6031" s="18" t="s">
        <v>105</v>
      </c>
      <c r="G6031" s="18" t="s">
        <v>48</v>
      </c>
      <c r="H6031" s="24">
        <v>14090</v>
      </c>
      <c r="I6031" s="24">
        <f>T_reg.root.SK[[#This Row],[Volume, kg]]/1000</f>
        <v>14.09</v>
      </c>
      <c r="J6031" s="25">
        <v>0.23530000000000001</v>
      </c>
      <c r="K6031" s="25">
        <f t="shared" ref="K6031:K6094" si="95">H6031*J6031</f>
        <v>3315.377</v>
      </c>
      <c r="L6031" s="25">
        <v>1.88</v>
      </c>
      <c r="M6031" s="24">
        <v>26516.5</v>
      </c>
      <c r="N6031" s="25">
        <f>IFERROR(T_reg.root.SK[[#This Row],[Price]]/T_reg.root.SK[[#This Row],[Starch content]],"")</f>
        <v>7.9898002549936242</v>
      </c>
    </row>
    <row r="6032" spans="1:14">
      <c r="A6032" s="21">
        <v>2025</v>
      </c>
      <c r="B6032" s="21" t="s">
        <v>23</v>
      </c>
      <c r="C6032" s="21" t="s">
        <v>1145</v>
      </c>
      <c r="D6032" s="21" t="s">
        <v>35</v>
      </c>
      <c r="E6032" s="17" t="s">
        <v>949</v>
      </c>
      <c r="F6032" s="18" t="s">
        <v>105</v>
      </c>
      <c r="G6032" s="18" t="s">
        <v>48</v>
      </c>
      <c r="H6032" s="24">
        <v>12070</v>
      </c>
      <c r="I6032" s="24">
        <f>T_reg.root.SK[[#This Row],[Volume, kg]]/1000</f>
        <v>12.07</v>
      </c>
      <c r="J6032" s="25">
        <v>0.27100000000000002</v>
      </c>
      <c r="K6032" s="25">
        <f t="shared" si="95"/>
        <v>3270.9700000000003</v>
      </c>
      <c r="L6032" s="25">
        <v>2.0499999999999998</v>
      </c>
      <c r="M6032" s="24">
        <v>24743.5</v>
      </c>
      <c r="N6032" s="25">
        <f>IFERROR(T_reg.root.SK[[#This Row],[Price]]/T_reg.root.SK[[#This Row],[Starch content]],"")</f>
        <v>7.5645756457564568</v>
      </c>
    </row>
    <row r="6033" spans="1:14">
      <c r="A6033" s="21">
        <v>2025</v>
      </c>
      <c r="B6033" s="21" t="s">
        <v>23</v>
      </c>
      <c r="C6033" s="21" t="s">
        <v>1145</v>
      </c>
      <c r="D6033" s="21" t="s">
        <v>35</v>
      </c>
      <c r="E6033" s="17" t="s">
        <v>492</v>
      </c>
      <c r="F6033" s="18" t="s">
        <v>105</v>
      </c>
      <c r="G6033" s="18" t="s">
        <v>48</v>
      </c>
      <c r="H6033" s="24">
        <v>18140</v>
      </c>
      <c r="I6033" s="24">
        <f>T_reg.root.SK[[#This Row],[Volume, kg]]/1000</f>
        <v>18.14</v>
      </c>
      <c r="J6033" s="25">
        <v>0.2286</v>
      </c>
      <c r="K6033" s="25">
        <f t="shared" si="95"/>
        <v>4146.8040000000001</v>
      </c>
      <c r="L6033" s="25">
        <v>1.85</v>
      </c>
      <c r="M6033" s="24">
        <v>33559</v>
      </c>
      <c r="N6033" s="25">
        <f>IFERROR(T_reg.root.SK[[#This Row],[Price]]/T_reg.root.SK[[#This Row],[Starch content]],"")</f>
        <v>8.0927384076990379</v>
      </c>
    </row>
    <row r="6034" spans="1:14">
      <c r="A6034" s="21">
        <v>2025</v>
      </c>
      <c r="B6034" s="21" t="s">
        <v>23</v>
      </c>
      <c r="C6034" s="21" t="s">
        <v>1145</v>
      </c>
      <c r="D6034" s="21" t="s">
        <v>35</v>
      </c>
      <c r="E6034" s="17" t="s">
        <v>134</v>
      </c>
      <c r="F6034" s="18" t="s">
        <v>105</v>
      </c>
      <c r="G6034" s="18" t="s">
        <v>48</v>
      </c>
      <c r="H6034" s="24">
        <v>6720</v>
      </c>
      <c r="I6034" s="24">
        <f>T_reg.root.SK[[#This Row],[Volume, kg]]/1000</f>
        <v>6.72</v>
      </c>
      <c r="J6034" s="25">
        <v>0.1895</v>
      </c>
      <c r="K6034" s="25">
        <f t="shared" si="95"/>
        <v>1273.44</v>
      </c>
      <c r="L6034" s="25">
        <v>1.65</v>
      </c>
      <c r="M6034" s="24">
        <v>11088</v>
      </c>
      <c r="N6034" s="25">
        <f>IFERROR(T_reg.root.SK[[#This Row],[Price]]/T_reg.root.SK[[#This Row],[Starch content]],"")</f>
        <v>8.7071240105540895</v>
      </c>
    </row>
    <row r="6035" spans="1:14">
      <c r="A6035" s="21">
        <v>2025</v>
      </c>
      <c r="B6035" s="21" t="s">
        <v>23</v>
      </c>
      <c r="C6035" s="21" t="s">
        <v>1145</v>
      </c>
      <c r="D6035" s="21" t="s">
        <v>35</v>
      </c>
      <c r="E6035" s="17" t="s">
        <v>682</v>
      </c>
      <c r="F6035" s="18" t="s">
        <v>105</v>
      </c>
      <c r="G6035" s="18" t="s">
        <v>48</v>
      </c>
      <c r="H6035" s="24">
        <v>3670</v>
      </c>
      <c r="I6035" s="24">
        <f>T_reg.root.SK[[#This Row],[Volume, kg]]/1000</f>
        <v>3.67</v>
      </c>
      <c r="J6035" s="25">
        <v>0.23250000000000001</v>
      </c>
      <c r="K6035" s="25">
        <f t="shared" si="95"/>
        <v>853.27500000000009</v>
      </c>
      <c r="L6035" s="25">
        <v>1.85</v>
      </c>
      <c r="M6035" s="24">
        <v>6789.5</v>
      </c>
      <c r="N6035" s="25">
        <f>IFERROR(T_reg.root.SK[[#This Row],[Price]]/T_reg.root.SK[[#This Row],[Starch content]],"")</f>
        <v>7.956989247311828</v>
      </c>
    </row>
    <row r="6036" spans="1:14">
      <c r="A6036" s="21">
        <v>2025</v>
      </c>
      <c r="B6036" s="21" t="s">
        <v>23</v>
      </c>
      <c r="C6036" s="21" t="s">
        <v>1145</v>
      </c>
      <c r="D6036" s="21" t="s">
        <v>35</v>
      </c>
      <c r="E6036" s="17" t="s">
        <v>725</v>
      </c>
      <c r="F6036" s="18" t="s">
        <v>187</v>
      </c>
      <c r="G6036" s="18" t="s">
        <v>48</v>
      </c>
      <c r="H6036" s="24">
        <v>15250</v>
      </c>
      <c r="I6036" s="24">
        <f>T_reg.root.SK[[#This Row],[Volume, kg]]/1000</f>
        <v>15.25</v>
      </c>
      <c r="J6036" s="25">
        <v>0.16159999999999999</v>
      </c>
      <c r="K6036" s="25">
        <f t="shared" si="95"/>
        <v>2464.4</v>
      </c>
      <c r="L6036" s="25">
        <v>1.5</v>
      </c>
      <c r="M6036" s="24">
        <v>22898.5</v>
      </c>
      <c r="N6036" s="25">
        <f>IFERROR(T_reg.root.SK[[#This Row],[Price]]/T_reg.root.SK[[#This Row],[Starch content]],"")</f>
        <v>9.282178217821782</v>
      </c>
    </row>
    <row r="6037" spans="1:14">
      <c r="A6037" s="21">
        <v>2025</v>
      </c>
      <c r="B6037" s="21" t="s">
        <v>23</v>
      </c>
      <c r="C6037" s="21" t="s">
        <v>1145</v>
      </c>
      <c r="D6037" s="21" t="s">
        <v>35</v>
      </c>
      <c r="E6037" s="17" t="s">
        <v>372</v>
      </c>
      <c r="F6037" s="18" t="s">
        <v>187</v>
      </c>
      <c r="G6037" s="18" t="s">
        <v>48</v>
      </c>
      <c r="H6037" s="24">
        <v>19180</v>
      </c>
      <c r="I6037" s="24">
        <f>T_reg.root.SK[[#This Row],[Volume, kg]]/1000</f>
        <v>19.18</v>
      </c>
      <c r="J6037" s="25">
        <v>0.1905</v>
      </c>
      <c r="K6037" s="25">
        <f t="shared" si="95"/>
        <v>3653.79</v>
      </c>
      <c r="L6037" s="25">
        <v>1.65</v>
      </c>
      <c r="M6037" s="24">
        <v>31588.5</v>
      </c>
      <c r="N6037" s="25">
        <f>IFERROR(T_reg.root.SK[[#This Row],[Price]]/T_reg.root.SK[[#This Row],[Starch content]],"")</f>
        <v>8.6614173228346445</v>
      </c>
    </row>
    <row r="6038" spans="1:14">
      <c r="A6038" s="21">
        <v>2025</v>
      </c>
      <c r="B6038" s="21" t="s">
        <v>23</v>
      </c>
      <c r="C6038" s="21" t="s">
        <v>1145</v>
      </c>
      <c r="D6038" s="21" t="s">
        <v>35</v>
      </c>
      <c r="E6038" s="17" t="s">
        <v>389</v>
      </c>
      <c r="F6038" s="18" t="s">
        <v>92</v>
      </c>
      <c r="G6038" s="18" t="s">
        <v>48</v>
      </c>
      <c r="H6038" s="24">
        <v>130100</v>
      </c>
      <c r="I6038" s="24">
        <f>T_reg.root.SK[[#This Row],[Volume, kg]]/1000</f>
        <v>130.1</v>
      </c>
      <c r="J6038" s="25">
        <v>0.23190000000000002</v>
      </c>
      <c r="K6038" s="25">
        <f t="shared" si="95"/>
        <v>30170.190000000002</v>
      </c>
      <c r="L6038" s="25">
        <v>1.87</v>
      </c>
      <c r="M6038" s="24">
        <v>243181</v>
      </c>
      <c r="N6038" s="25">
        <f>IFERROR(T_reg.root.SK[[#This Row],[Price]]/T_reg.root.SK[[#This Row],[Starch content]],"")</f>
        <v>8.0638206123329024</v>
      </c>
    </row>
    <row r="6039" spans="1:14">
      <c r="A6039" s="21">
        <v>2025</v>
      </c>
      <c r="B6039" s="21" t="s">
        <v>23</v>
      </c>
      <c r="C6039" s="21" t="s">
        <v>1145</v>
      </c>
      <c r="D6039" s="21" t="s">
        <v>35</v>
      </c>
      <c r="E6039" s="17" t="s">
        <v>198</v>
      </c>
      <c r="F6039" s="18" t="s">
        <v>187</v>
      </c>
      <c r="G6039" s="18" t="s">
        <v>48</v>
      </c>
      <c r="H6039" s="24">
        <v>9260</v>
      </c>
      <c r="I6039" s="24">
        <f>T_reg.root.SK[[#This Row],[Volume, kg]]/1000</f>
        <v>9.26</v>
      </c>
      <c r="J6039" s="25">
        <v>0.17</v>
      </c>
      <c r="K6039" s="25">
        <f t="shared" si="95"/>
        <v>1574.2</v>
      </c>
      <c r="L6039" s="25">
        <v>1.55</v>
      </c>
      <c r="M6039" s="24">
        <v>14353</v>
      </c>
      <c r="N6039" s="25">
        <f>IFERROR(T_reg.root.SK[[#This Row],[Price]]/T_reg.root.SK[[#This Row],[Starch content]],"")</f>
        <v>9.117647058823529</v>
      </c>
    </row>
    <row r="6040" spans="1:14">
      <c r="A6040" s="21">
        <v>2025</v>
      </c>
      <c r="B6040" s="21" t="s">
        <v>23</v>
      </c>
      <c r="C6040" s="21" t="s">
        <v>1145</v>
      </c>
      <c r="D6040" s="21" t="s">
        <v>35</v>
      </c>
      <c r="E6040" s="17" t="s">
        <v>932</v>
      </c>
      <c r="F6040" s="18" t="s">
        <v>105</v>
      </c>
      <c r="G6040" s="18" t="s">
        <v>48</v>
      </c>
      <c r="H6040" s="24">
        <v>20780</v>
      </c>
      <c r="I6040" s="24">
        <f>T_reg.root.SK[[#This Row],[Volume, kg]]/1000</f>
        <v>20.78</v>
      </c>
      <c r="J6040" s="25">
        <v>0.22649999999999998</v>
      </c>
      <c r="K6040" s="25">
        <f t="shared" si="95"/>
        <v>4706.6699999999992</v>
      </c>
      <c r="L6040" s="25">
        <v>1.84</v>
      </c>
      <c r="M6040" s="24">
        <v>38159.5</v>
      </c>
      <c r="N6040" s="25">
        <f>IFERROR(T_reg.root.SK[[#This Row],[Price]]/T_reg.root.SK[[#This Row],[Starch content]],"")</f>
        <v>8.1236203090507733</v>
      </c>
    </row>
    <row r="6041" spans="1:14">
      <c r="A6041" s="21">
        <v>2025</v>
      </c>
      <c r="B6041" s="21" t="s">
        <v>23</v>
      </c>
      <c r="C6041" s="21" t="s">
        <v>1145</v>
      </c>
      <c r="D6041" s="21" t="s">
        <v>35</v>
      </c>
      <c r="E6041" s="17" t="s">
        <v>972</v>
      </c>
      <c r="F6041" s="18" t="s">
        <v>973</v>
      </c>
      <c r="G6041" s="18" t="s">
        <v>48</v>
      </c>
      <c r="H6041" s="24">
        <v>122950</v>
      </c>
      <c r="I6041" s="24">
        <f>T_reg.root.SK[[#This Row],[Volume, kg]]/1000</f>
        <v>122.95</v>
      </c>
      <c r="J6041" s="25">
        <v>0.21859999999999999</v>
      </c>
      <c r="K6041" s="25">
        <f t="shared" si="95"/>
        <v>26876.87</v>
      </c>
      <c r="L6041" s="25">
        <v>1.8</v>
      </c>
      <c r="M6041" s="24">
        <v>221303</v>
      </c>
      <c r="N6041" s="25">
        <f>IFERROR(T_reg.root.SK[[#This Row],[Price]]/T_reg.root.SK[[#This Row],[Starch content]],"")</f>
        <v>8.2342177493138156</v>
      </c>
    </row>
    <row r="6042" spans="1:14">
      <c r="A6042" s="21">
        <v>2025</v>
      </c>
      <c r="B6042" s="21" t="s">
        <v>23</v>
      </c>
      <c r="C6042" s="21" t="s">
        <v>1145</v>
      </c>
      <c r="D6042" s="21" t="s">
        <v>35</v>
      </c>
      <c r="E6042" s="17" t="s">
        <v>1038</v>
      </c>
      <c r="F6042" s="18" t="s">
        <v>105</v>
      </c>
      <c r="G6042" s="18" t="s">
        <v>48</v>
      </c>
      <c r="H6042" s="24">
        <v>23770</v>
      </c>
      <c r="I6042" s="24">
        <f>T_reg.root.SK[[#This Row],[Volume, kg]]/1000</f>
        <v>23.77</v>
      </c>
      <c r="J6042" s="25">
        <v>0.23430000000000001</v>
      </c>
      <c r="K6042" s="25">
        <f t="shared" si="95"/>
        <v>5569.3110000000006</v>
      </c>
      <c r="L6042" s="25">
        <v>1.86</v>
      </c>
      <c r="M6042" s="24">
        <v>44294.5</v>
      </c>
      <c r="N6042" s="25">
        <f>IFERROR(T_reg.root.SK[[#This Row],[Price]]/T_reg.root.SK[[#This Row],[Starch content]],"")</f>
        <v>7.9385403329065305</v>
      </c>
    </row>
    <row r="6043" spans="1:14">
      <c r="A6043" s="21">
        <v>2025</v>
      </c>
      <c r="B6043" s="21" t="s">
        <v>23</v>
      </c>
      <c r="C6043" s="21" t="s">
        <v>1145</v>
      </c>
      <c r="D6043" s="21" t="s">
        <v>35</v>
      </c>
      <c r="E6043" s="17" t="s">
        <v>1024</v>
      </c>
      <c r="F6043" s="18" t="s">
        <v>105</v>
      </c>
      <c r="G6043" s="18" t="s">
        <v>48</v>
      </c>
      <c r="H6043" s="24">
        <v>0</v>
      </c>
      <c r="I6043" s="24">
        <f>T_reg.root.SK[[#This Row],[Volume, kg]]/1000</f>
        <v>0</v>
      </c>
      <c r="J6043" s="25">
        <v>0</v>
      </c>
      <c r="K6043" s="25">
        <f t="shared" si="95"/>
        <v>0</v>
      </c>
      <c r="L6043" s="25">
        <v>0</v>
      </c>
      <c r="M6043" s="24">
        <v>0</v>
      </c>
      <c r="N6043" s="25" t="str">
        <f>IFERROR(T_reg.root.SK[[#This Row],[Price]]/T_reg.root.SK[[#This Row],[Starch content]],"")</f>
        <v/>
      </c>
    </row>
    <row r="6044" spans="1:14">
      <c r="A6044" s="21">
        <v>2025</v>
      </c>
      <c r="B6044" s="21" t="s">
        <v>23</v>
      </c>
      <c r="C6044" s="21" t="s">
        <v>1145</v>
      </c>
      <c r="D6044" s="21" t="s">
        <v>35</v>
      </c>
      <c r="E6044" s="17" t="s">
        <v>136</v>
      </c>
      <c r="F6044" s="18" t="s">
        <v>105</v>
      </c>
      <c r="G6044" s="18" t="s">
        <v>48</v>
      </c>
      <c r="H6044" s="24">
        <v>37350</v>
      </c>
      <c r="I6044" s="24">
        <f>T_reg.root.SK[[#This Row],[Volume, kg]]/1000</f>
        <v>37.35</v>
      </c>
      <c r="J6044" s="25">
        <v>0.2273</v>
      </c>
      <c r="K6044" s="25">
        <f t="shared" si="95"/>
        <v>8489.6550000000007</v>
      </c>
      <c r="L6044" s="25">
        <v>1.82</v>
      </c>
      <c r="M6044" s="24">
        <v>68151</v>
      </c>
      <c r="N6044" s="25">
        <f>IFERROR(T_reg.root.SK[[#This Row],[Price]]/T_reg.root.SK[[#This Row],[Starch content]],"")</f>
        <v>8.0070391553013636</v>
      </c>
    </row>
    <row r="6045" spans="1:14">
      <c r="A6045" s="21">
        <v>2025</v>
      </c>
      <c r="B6045" s="21" t="s">
        <v>23</v>
      </c>
      <c r="C6045" s="21" t="s">
        <v>1145</v>
      </c>
      <c r="D6045" s="21" t="s">
        <v>35</v>
      </c>
      <c r="E6045" s="17" t="s">
        <v>493</v>
      </c>
      <c r="F6045" s="18" t="s">
        <v>105</v>
      </c>
      <c r="G6045" s="18" t="s">
        <v>48</v>
      </c>
      <c r="H6045" s="24">
        <v>17270</v>
      </c>
      <c r="I6045" s="24">
        <f>T_reg.root.SK[[#This Row],[Volume, kg]]/1000</f>
        <v>17.27</v>
      </c>
      <c r="J6045" s="25">
        <v>0.19289999999999999</v>
      </c>
      <c r="K6045" s="25">
        <f t="shared" si="95"/>
        <v>3331.3829999999998</v>
      </c>
      <c r="L6045" s="25">
        <v>1.66</v>
      </c>
      <c r="M6045" s="24">
        <v>28642.5</v>
      </c>
      <c r="N6045" s="25">
        <f>IFERROR(T_reg.root.SK[[#This Row],[Price]]/T_reg.root.SK[[#This Row],[Starch content]],"")</f>
        <v>8.6054950751684807</v>
      </c>
    </row>
    <row r="6046" spans="1:14">
      <c r="A6046" s="21">
        <v>2025</v>
      </c>
      <c r="B6046" s="21" t="s">
        <v>23</v>
      </c>
      <c r="C6046" s="21" t="s">
        <v>1145</v>
      </c>
      <c r="D6046" s="21" t="s">
        <v>35</v>
      </c>
      <c r="E6046" s="17" t="s">
        <v>494</v>
      </c>
      <c r="F6046" s="18" t="s">
        <v>105</v>
      </c>
      <c r="G6046" s="18" t="s">
        <v>48</v>
      </c>
      <c r="H6046" s="24">
        <v>34690</v>
      </c>
      <c r="I6046" s="24">
        <f>T_reg.root.SK[[#This Row],[Volume, kg]]/1000</f>
        <v>34.69</v>
      </c>
      <c r="J6046" s="25">
        <v>0.18059999999999998</v>
      </c>
      <c r="K6046" s="25">
        <f t="shared" si="95"/>
        <v>6265.0139999999992</v>
      </c>
      <c r="L6046" s="25">
        <v>1.61</v>
      </c>
      <c r="M6046" s="24">
        <v>55702.5</v>
      </c>
      <c r="N6046" s="25">
        <f>IFERROR(T_reg.root.SK[[#This Row],[Price]]/T_reg.root.SK[[#This Row],[Starch content]],"")</f>
        <v>8.9147286821705443</v>
      </c>
    </row>
    <row r="6047" spans="1:14">
      <c r="A6047" s="21">
        <v>2025</v>
      </c>
      <c r="B6047" s="21" t="s">
        <v>23</v>
      </c>
      <c r="C6047" s="21" t="s">
        <v>1145</v>
      </c>
      <c r="D6047" s="21" t="s">
        <v>35</v>
      </c>
      <c r="E6047" s="17" t="s">
        <v>810</v>
      </c>
      <c r="F6047" s="18" t="s">
        <v>105</v>
      </c>
      <c r="G6047" s="18" t="s">
        <v>48</v>
      </c>
      <c r="H6047" s="24">
        <v>7860</v>
      </c>
      <c r="I6047" s="24">
        <f>T_reg.root.SK[[#This Row],[Volume, kg]]/1000</f>
        <v>7.86</v>
      </c>
      <c r="J6047" s="25">
        <v>0.18149999999999999</v>
      </c>
      <c r="K6047" s="25">
        <f t="shared" si="95"/>
        <v>1426.59</v>
      </c>
      <c r="L6047" s="25">
        <v>1.6</v>
      </c>
      <c r="M6047" s="24">
        <v>12576</v>
      </c>
      <c r="N6047" s="25">
        <f>IFERROR(T_reg.root.SK[[#This Row],[Price]]/T_reg.root.SK[[#This Row],[Starch content]],"")</f>
        <v>8.8154269972451793</v>
      </c>
    </row>
    <row r="6048" spans="1:14">
      <c r="A6048" s="21">
        <v>2025</v>
      </c>
      <c r="B6048" s="21" t="s">
        <v>23</v>
      </c>
      <c r="C6048" s="21" t="s">
        <v>1145</v>
      </c>
      <c r="D6048" s="21" t="s">
        <v>35</v>
      </c>
      <c r="E6048" s="17" t="s">
        <v>242</v>
      </c>
      <c r="F6048" s="18" t="s">
        <v>105</v>
      </c>
      <c r="G6048" s="18" t="s">
        <v>48</v>
      </c>
      <c r="H6048" s="24">
        <v>5740</v>
      </c>
      <c r="I6048" s="24">
        <f>T_reg.root.SK[[#This Row],[Volume, kg]]/1000</f>
        <v>5.74</v>
      </c>
      <c r="J6048" s="25">
        <v>0.23649999999999999</v>
      </c>
      <c r="K6048" s="25">
        <f t="shared" si="95"/>
        <v>1357.51</v>
      </c>
      <c r="L6048" s="25">
        <v>1.9</v>
      </c>
      <c r="M6048" s="24">
        <v>10906</v>
      </c>
      <c r="N6048" s="25">
        <f>IFERROR(T_reg.root.SK[[#This Row],[Price]]/T_reg.root.SK[[#This Row],[Starch content]],"")</f>
        <v>8.0338266384778017</v>
      </c>
    </row>
    <row r="6049" spans="1:14">
      <c r="A6049" s="21">
        <v>2025</v>
      </c>
      <c r="B6049" s="21" t="s">
        <v>23</v>
      </c>
      <c r="C6049" s="21" t="s">
        <v>1145</v>
      </c>
      <c r="D6049" s="21" t="s">
        <v>35</v>
      </c>
      <c r="E6049" s="17" t="s">
        <v>339</v>
      </c>
      <c r="F6049" s="18" t="s">
        <v>47</v>
      </c>
      <c r="G6049" s="18" t="s">
        <v>48</v>
      </c>
      <c r="H6049" s="24">
        <v>152700</v>
      </c>
      <c r="I6049" s="24">
        <f>T_reg.root.SK[[#This Row],[Volume, kg]]/1000</f>
        <v>152.69999999999999</v>
      </c>
      <c r="J6049" s="25">
        <v>0.19390000000000002</v>
      </c>
      <c r="K6049" s="25">
        <f t="shared" si="95"/>
        <v>29608.530000000002</v>
      </c>
      <c r="L6049" s="25">
        <v>1.66</v>
      </c>
      <c r="M6049" s="24">
        <v>254192.5</v>
      </c>
      <c r="N6049" s="25">
        <f>IFERROR(T_reg.root.SK[[#This Row],[Price]]/T_reg.root.SK[[#This Row],[Starch content]],"")</f>
        <v>8.5611139762764292</v>
      </c>
    </row>
    <row r="6050" spans="1:14">
      <c r="A6050" s="21">
        <v>2025</v>
      </c>
      <c r="B6050" s="21" t="s">
        <v>23</v>
      </c>
      <c r="C6050" s="21" t="s">
        <v>1145</v>
      </c>
      <c r="D6050" s="21" t="s">
        <v>35</v>
      </c>
      <c r="E6050" s="17" t="s">
        <v>200</v>
      </c>
      <c r="F6050" s="18" t="s">
        <v>187</v>
      </c>
      <c r="G6050" s="18" t="s">
        <v>48</v>
      </c>
      <c r="H6050" s="24">
        <v>92720</v>
      </c>
      <c r="I6050" s="24">
        <f>T_reg.root.SK[[#This Row],[Volume, kg]]/1000</f>
        <v>92.72</v>
      </c>
      <c r="J6050" s="25">
        <v>0.23519999999999999</v>
      </c>
      <c r="K6050" s="25">
        <f t="shared" si="95"/>
        <v>21807.743999999999</v>
      </c>
      <c r="L6050" s="25">
        <v>1.87</v>
      </c>
      <c r="M6050" s="24">
        <v>173754</v>
      </c>
      <c r="N6050" s="25">
        <f>IFERROR(T_reg.root.SK[[#This Row],[Price]]/T_reg.root.SK[[#This Row],[Starch content]],"")</f>
        <v>7.9506802721088441</v>
      </c>
    </row>
    <row r="6051" spans="1:14">
      <c r="A6051" s="21">
        <v>2025</v>
      </c>
      <c r="B6051" s="21" t="s">
        <v>23</v>
      </c>
      <c r="C6051" s="21" t="s">
        <v>1145</v>
      </c>
      <c r="D6051" s="21" t="s">
        <v>35</v>
      </c>
      <c r="E6051" s="17" t="s">
        <v>468</v>
      </c>
      <c r="F6051" s="18" t="s">
        <v>47</v>
      </c>
      <c r="G6051" s="18" t="s">
        <v>48</v>
      </c>
      <c r="H6051" s="24">
        <v>54730</v>
      </c>
      <c r="I6051" s="24">
        <f>T_reg.root.SK[[#This Row],[Volume, kg]]/1000</f>
        <v>54.73</v>
      </c>
      <c r="J6051" s="25">
        <v>0.1938</v>
      </c>
      <c r="K6051" s="25">
        <f t="shared" si="95"/>
        <v>10606.674000000001</v>
      </c>
      <c r="L6051" s="25">
        <v>1.68</v>
      </c>
      <c r="M6051" s="24">
        <v>91742.5</v>
      </c>
      <c r="N6051" s="25">
        <f>IFERROR(T_reg.root.SK[[#This Row],[Price]]/T_reg.root.SK[[#This Row],[Starch content]],"")</f>
        <v>8.6687306501547976</v>
      </c>
    </row>
    <row r="6052" spans="1:14">
      <c r="A6052" s="21">
        <v>2025</v>
      </c>
      <c r="B6052" s="21" t="s">
        <v>23</v>
      </c>
      <c r="C6052" s="21" t="s">
        <v>1145</v>
      </c>
      <c r="D6052" s="21" t="s">
        <v>35</v>
      </c>
      <c r="E6052" s="17" t="s">
        <v>201</v>
      </c>
      <c r="F6052" s="18" t="s">
        <v>187</v>
      </c>
      <c r="G6052" s="18" t="s">
        <v>48</v>
      </c>
      <c r="H6052" s="24">
        <v>52460</v>
      </c>
      <c r="I6052" s="24">
        <f>T_reg.root.SK[[#This Row],[Volume, kg]]/1000</f>
        <v>52.46</v>
      </c>
      <c r="J6052" s="25">
        <v>0.19769999999999999</v>
      </c>
      <c r="K6052" s="25">
        <f t="shared" si="95"/>
        <v>10371.341999999999</v>
      </c>
      <c r="L6052" s="25">
        <v>1.69</v>
      </c>
      <c r="M6052" s="24">
        <v>88569</v>
      </c>
      <c r="N6052" s="25">
        <f>IFERROR(T_reg.root.SK[[#This Row],[Price]]/T_reg.root.SK[[#This Row],[Starch content]],"")</f>
        <v>8.5483055134041486</v>
      </c>
    </row>
    <row r="6053" spans="1:14">
      <c r="A6053" s="21">
        <v>2025</v>
      </c>
      <c r="B6053" s="21" t="s">
        <v>23</v>
      </c>
      <c r="C6053" s="21" t="s">
        <v>1145</v>
      </c>
      <c r="D6053" s="21" t="s">
        <v>35</v>
      </c>
      <c r="E6053" s="17" t="s">
        <v>984</v>
      </c>
      <c r="F6053" s="18" t="s">
        <v>95</v>
      </c>
      <c r="G6053" s="18" t="s">
        <v>48</v>
      </c>
      <c r="H6053" s="24">
        <v>25620</v>
      </c>
      <c r="I6053" s="24">
        <f>T_reg.root.SK[[#This Row],[Volume, kg]]/1000</f>
        <v>25.62</v>
      </c>
      <c r="J6053" s="25">
        <v>0.20760000000000001</v>
      </c>
      <c r="K6053" s="25">
        <f t="shared" si="95"/>
        <v>5318.7120000000004</v>
      </c>
      <c r="L6053" s="25">
        <v>1.74</v>
      </c>
      <c r="M6053" s="24">
        <v>44640</v>
      </c>
      <c r="N6053" s="25">
        <f>IFERROR(T_reg.root.SK[[#This Row],[Price]]/T_reg.root.SK[[#This Row],[Starch content]],"")</f>
        <v>8.3815028901734099</v>
      </c>
    </row>
    <row r="6054" spans="1:14">
      <c r="A6054" s="21">
        <v>2025</v>
      </c>
      <c r="B6054" s="21" t="s">
        <v>23</v>
      </c>
      <c r="C6054" s="21" t="s">
        <v>1145</v>
      </c>
      <c r="D6054" s="21" t="s">
        <v>35</v>
      </c>
      <c r="E6054" s="17" t="s">
        <v>527</v>
      </c>
      <c r="F6054" s="18" t="s">
        <v>187</v>
      </c>
      <c r="G6054" s="18" t="s">
        <v>48</v>
      </c>
      <c r="H6054" s="24">
        <v>15560</v>
      </c>
      <c r="I6054" s="24">
        <f>T_reg.root.SK[[#This Row],[Volume, kg]]/1000</f>
        <v>15.56</v>
      </c>
      <c r="J6054" s="25">
        <v>0.158</v>
      </c>
      <c r="K6054" s="25">
        <f t="shared" si="95"/>
        <v>2458.48</v>
      </c>
      <c r="L6054" s="25">
        <v>1.51</v>
      </c>
      <c r="M6054" s="24">
        <v>23430</v>
      </c>
      <c r="N6054" s="25">
        <f>IFERROR(T_reg.root.SK[[#This Row],[Price]]/T_reg.root.SK[[#This Row],[Starch content]],"")</f>
        <v>9.5569620253164551</v>
      </c>
    </row>
    <row r="6055" spans="1:14">
      <c r="A6055" s="21">
        <v>2025</v>
      </c>
      <c r="B6055" s="21" t="s">
        <v>23</v>
      </c>
      <c r="C6055" s="21" t="s">
        <v>1145</v>
      </c>
      <c r="D6055" s="21" t="s">
        <v>35</v>
      </c>
      <c r="E6055" s="17" t="s">
        <v>702</v>
      </c>
      <c r="F6055" s="18" t="s">
        <v>187</v>
      </c>
      <c r="G6055" s="18" t="s">
        <v>48</v>
      </c>
      <c r="H6055" s="24">
        <v>62270</v>
      </c>
      <c r="I6055" s="24">
        <f>T_reg.root.SK[[#This Row],[Volume, kg]]/1000</f>
        <v>62.27</v>
      </c>
      <c r="J6055" s="25">
        <v>0.1721</v>
      </c>
      <c r="K6055" s="25">
        <f t="shared" si="95"/>
        <v>10716.666999999999</v>
      </c>
      <c r="L6055" s="25">
        <v>1.56</v>
      </c>
      <c r="M6055" s="24">
        <v>97336.5</v>
      </c>
      <c r="N6055" s="25">
        <f>IFERROR(T_reg.root.SK[[#This Row],[Price]]/T_reg.root.SK[[#This Row],[Starch content]],"")</f>
        <v>9.0644973852411397</v>
      </c>
    </row>
    <row r="6056" spans="1:14">
      <c r="A6056" s="21">
        <v>2025</v>
      </c>
      <c r="B6056" s="21" t="s">
        <v>23</v>
      </c>
      <c r="C6056" s="21" t="s">
        <v>1145</v>
      </c>
      <c r="D6056" s="21" t="s">
        <v>35</v>
      </c>
      <c r="E6056" s="17" t="s">
        <v>303</v>
      </c>
      <c r="F6056" s="18" t="s">
        <v>105</v>
      </c>
      <c r="G6056" s="18" t="s">
        <v>48</v>
      </c>
      <c r="H6056" s="24">
        <v>6980</v>
      </c>
      <c r="I6056" s="24">
        <f>T_reg.root.SK[[#This Row],[Volume, kg]]/1000</f>
        <v>6.98</v>
      </c>
      <c r="J6056" s="25">
        <v>0.17449999999999999</v>
      </c>
      <c r="K6056" s="25">
        <f t="shared" si="95"/>
        <v>1218.01</v>
      </c>
      <c r="L6056" s="25">
        <v>1.55</v>
      </c>
      <c r="M6056" s="24">
        <v>10819</v>
      </c>
      <c r="N6056" s="25">
        <f>IFERROR(T_reg.root.SK[[#This Row],[Price]]/T_reg.root.SK[[#This Row],[Starch content]],"")</f>
        <v>8.8825214899713476</v>
      </c>
    </row>
    <row r="6057" spans="1:14">
      <c r="A6057" s="21">
        <v>2025</v>
      </c>
      <c r="B6057" s="21" t="s">
        <v>23</v>
      </c>
      <c r="C6057" s="21" t="s">
        <v>1145</v>
      </c>
      <c r="D6057" s="21" t="s">
        <v>35</v>
      </c>
      <c r="E6057" s="17" t="s">
        <v>304</v>
      </c>
      <c r="F6057" s="18" t="s">
        <v>105</v>
      </c>
      <c r="G6057" s="18" t="s">
        <v>48</v>
      </c>
      <c r="H6057" s="24">
        <v>101190</v>
      </c>
      <c r="I6057" s="24">
        <f>T_reg.root.SK[[#This Row],[Volume, kg]]/1000</f>
        <v>101.19</v>
      </c>
      <c r="J6057" s="25">
        <v>0.20319999999999999</v>
      </c>
      <c r="K6057" s="25">
        <f t="shared" si="95"/>
        <v>20561.808000000001</v>
      </c>
      <c r="L6057" s="25">
        <v>1.71</v>
      </c>
      <c r="M6057" s="24">
        <v>172727.5</v>
      </c>
      <c r="N6057" s="25">
        <f>IFERROR(T_reg.root.SK[[#This Row],[Price]]/T_reg.root.SK[[#This Row],[Starch content]],"")</f>
        <v>8.4153543307086611</v>
      </c>
    </row>
    <row r="6058" spans="1:14">
      <c r="A6058" s="21">
        <v>2025</v>
      </c>
      <c r="B6058" s="21" t="s">
        <v>23</v>
      </c>
      <c r="C6058" s="21" t="s">
        <v>1145</v>
      </c>
      <c r="D6058" s="21" t="s">
        <v>35</v>
      </c>
      <c r="E6058" s="17" t="s">
        <v>332</v>
      </c>
      <c r="F6058" s="18" t="s">
        <v>187</v>
      </c>
      <c r="G6058" s="18" t="s">
        <v>48</v>
      </c>
      <c r="H6058" s="24">
        <v>125190</v>
      </c>
      <c r="I6058" s="24">
        <f>T_reg.root.SK[[#This Row],[Volume, kg]]/1000</f>
        <v>125.19</v>
      </c>
      <c r="J6058" s="25">
        <v>0.2286</v>
      </c>
      <c r="K6058" s="25">
        <f t="shared" si="95"/>
        <v>28618.434000000001</v>
      </c>
      <c r="L6058" s="25">
        <v>1.85</v>
      </c>
      <c r="M6058" s="24">
        <v>231163</v>
      </c>
      <c r="N6058" s="25">
        <f>IFERROR(T_reg.root.SK[[#This Row],[Price]]/T_reg.root.SK[[#This Row],[Starch content]],"")</f>
        <v>8.0927384076990379</v>
      </c>
    </row>
    <row r="6059" spans="1:14">
      <c r="A6059" s="21">
        <v>2025</v>
      </c>
      <c r="B6059" s="21" t="s">
        <v>23</v>
      </c>
      <c r="C6059" s="21" t="s">
        <v>1145</v>
      </c>
      <c r="D6059" s="21" t="s">
        <v>35</v>
      </c>
      <c r="E6059" s="17" t="s">
        <v>202</v>
      </c>
      <c r="F6059" s="18" t="s">
        <v>187</v>
      </c>
      <c r="G6059" s="18" t="s">
        <v>48</v>
      </c>
      <c r="H6059" s="24">
        <v>55190</v>
      </c>
      <c r="I6059" s="24">
        <f>T_reg.root.SK[[#This Row],[Volume, kg]]/1000</f>
        <v>55.19</v>
      </c>
      <c r="J6059" s="25">
        <v>0.21059999999999998</v>
      </c>
      <c r="K6059" s="25">
        <f t="shared" si="95"/>
        <v>11623.013999999999</v>
      </c>
      <c r="L6059" s="25">
        <v>1.75</v>
      </c>
      <c r="M6059" s="24">
        <v>96424.5</v>
      </c>
      <c r="N6059" s="25">
        <f>IFERROR(T_reg.root.SK[[#This Row],[Price]]/T_reg.root.SK[[#This Row],[Starch content]],"")</f>
        <v>8.3095916429249765</v>
      </c>
    </row>
    <row r="6060" spans="1:14">
      <c r="A6060" s="21">
        <v>2025</v>
      </c>
      <c r="B6060" s="21" t="s">
        <v>23</v>
      </c>
      <c r="C6060" s="21" t="s">
        <v>1145</v>
      </c>
      <c r="D6060" s="21" t="s">
        <v>35</v>
      </c>
      <c r="E6060" s="17" t="s">
        <v>719</v>
      </c>
      <c r="F6060" s="18" t="s">
        <v>105</v>
      </c>
      <c r="G6060" s="18" t="s">
        <v>48</v>
      </c>
      <c r="H6060" s="24">
        <v>34470</v>
      </c>
      <c r="I6060" s="24">
        <f>T_reg.root.SK[[#This Row],[Volume, kg]]/1000</f>
        <v>34.47</v>
      </c>
      <c r="J6060" s="25">
        <v>0.22690000000000002</v>
      </c>
      <c r="K6060" s="25">
        <f t="shared" si="95"/>
        <v>7821.2430000000004</v>
      </c>
      <c r="L6060" s="25">
        <v>1.82</v>
      </c>
      <c r="M6060" s="24">
        <v>62631.5</v>
      </c>
      <c r="N6060" s="25">
        <f>IFERROR(T_reg.root.SK[[#This Row],[Price]]/T_reg.root.SK[[#This Row],[Starch content]],"")</f>
        <v>8.0211546936976639</v>
      </c>
    </row>
    <row r="6061" spans="1:14">
      <c r="A6061" s="21">
        <v>2025</v>
      </c>
      <c r="B6061" s="21" t="s">
        <v>23</v>
      </c>
      <c r="C6061" s="21" t="s">
        <v>1145</v>
      </c>
      <c r="D6061" s="21" t="s">
        <v>35</v>
      </c>
      <c r="E6061" s="17" t="s">
        <v>62</v>
      </c>
      <c r="F6061" s="18" t="s">
        <v>47</v>
      </c>
      <c r="G6061" s="18" t="s">
        <v>48</v>
      </c>
      <c r="H6061" s="24">
        <v>75200</v>
      </c>
      <c r="I6061" s="24">
        <f>T_reg.root.SK[[#This Row],[Volume, kg]]/1000</f>
        <v>75.2</v>
      </c>
      <c r="J6061" s="25">
        <v>0.22640000000000002</v>
      </c>
      <c r="K6061" s="25">
        <f t="shared" si="95"/>
        <v>17025.280000000002</v>
      </c>
      <c r="L6061" s="25">
        <v>1.83</v>
      </c>
      <c r="M6061" s="24">
        <v>137804</v>
      </c>
      <c r="N6061" s="25">
        <f>IFERROR(T_reg.root.SK[[#This Row],[Price]]/T_reg.root.SK[[#This Row],[Starch content]],"")</f>
        <v>8.0830388692579493</v>
      </c>
    </row>
    <row r="6062" spans="1:14">
      <c r="A6062" s="21">
        <v>2025</v>
      </c>
      <c r="B6062" s="21" t="s">
        <v>23</v>
      </c>
      <c r="C6062" s="21" t="s">
        <v>1145</v>
      </c>
      <c r="D6062" s="21" t="s">
        <v>35</v>
      </c>
      <c r="E6062" s="17" t="s">
        <v>495</v>
      </c>
      <c r="F6062" s="18" t="s">
        <v>105</v>
      </c>
      <c r="G6062" s="18" t="s">
        <v>48</v>
      </c>
      <c r="H6062" s="24">
        <v>8880</v>
      </c>
      <c r="I6062" s="24">
        <f>T_reg.root.SK[[#This Row],[Volume, kg]]/1000</f>
        <v>8.8800000000000008</v>
      </c>
      <c r="J6062" s="25">
        <v>0.23199999999999998</v>
      </c>
      <c r="K6062" s="25">
        <f t="shared" si="95"/>
        <v>2060.16</v>
      </c>
      <c r="L6062" s="25">
        <v>1.85</v>
      </c>
      <c r="M6062" s="24">
        <v>16428</v>
      </c>
      <c r="N6062" s="25">
        <f>IFERROR(T_reg.root.SK[[#This Row],[Price]]/T_reg.root.SK[[#This Row],[Starch content]],"")</f>
        <v>7.974137931034484</v>
      </c>
    </row>
    <row r="6063" spans="1:14">
      <c r="A6063" s="21">
        <v>2025</v>
      </c>
      <c r="B6063" s="21" t="s">
        <v>23</v>
      </c>
      <c r="C6063" s="21" t="s">
        <v>1145</v>
      </c>
      <c r="D6063" s="21" t="s">
        <v>35</v>
      </c>
      <c r="E6063" s="17" t="s">
        <v>203</v>
      </c>
      <c r="F6063" s="18" t="s">
        <v>187</v>
      </c>
      <c r="G6063" s="18" t="s">
        <v>48</v>
      </c>
      <c r="H6063" s="24">
        <v>30650</v>
      </c>
      <c r="I6063" s="24">
        <f>T_reg.root.SK[[#This Row],[Volume, kg]]/1000</f>
        <v>30.65</v>
      </c>
      <c r="J6063" s="25">
        <v>0.2278</v>
      </c>
      <c r="K6063" s="25">
        <f t="shared" si="95"/>
        <v>6982.07</v>
      </c>
      <c r="L6063" s="25">
        <v>1.84</v>
      </c>
      <c r="M6063" s="24">
        <v>56375.5</v>
      </c>
      <c r="N6063" s="25">
        <f>IFERROR(T_reg.root.SK[[#This Row],[Price]]/T_reg.root.SK[[#This Row],[Starch content]],"")</f>
        <v>8.0772607550482878</v>
      </c>
    </row>
    <row r="6064" spans="1:14">
      <c r="A6064" s="21">
        <v>2025</v>
      </c>
      <c r="B6064" s="21" t="s">
        <v>23</v>
      </c>
      <c r="C6064" s="21" t="s">
        <v>1145</v>
      </c>
      <c r="D6064" s="21" t="s">
        <v>35</v>
      </c>
      <c r="E6064" s="17" t="s">
        <v>306</v>
      </c>
      <c r="F6064" s="18" t="s">
        <v>105</v>
      </c>
      <c r="G6064" s="18" t="s">
        <v>48</v>
      </c>
      <c r="H6064" s="24">
        <v>76530</v>
      </c>
      <c r="I6064" s="24">
        <f>T_reg.root.SK[[#This Row],[Volume, kg]]/1000</f>
        <v>76.53</v>
      </c>
      <c r="J6064" s="25">
        <v>0.20379999999999998</v>
      </c>
      <c r="K6064" s="25">
        <f t="shared" si="95"/>
        <v>15596.813999999998</v>
      </c>
      <c r="L6064" s="25">
        <v>1.72</v>
      </c>
      <c r="M6064" s="24">
        <v>131974</v>
      </c>
      <c r="N6064" s="25">
        <f>IFERROR(T_reg.root.SK[[#This Row],[Price]]/T_reg.root.SK[[#This Row],[Starch content]],"")</f>
        <v>8.4396467124631993</v>
      </c>
    </row>
    <row r="6065" spans="1:14">
      <c r="A6065" s="21">
        <v>2025</v>
      </c>
      <c r="B6065" s="21" t="s">
        <v>23</v>
      </c>
      <c r="C6065" s="21" t="s">
        <v>1145</v>
      </c>
      <c r="D6065" s="21" t="s">
        <v>35</v>
      </c>
      <c r="E6065" s="17" t="s">
        <v>307</v>
      </c>
      <c r="F6065" s="18" t="s">
        <v>105</v>
      </c>
      <c r="G6065" s="18" t="s">
        <v>48</v>
      </c>
      <c r="H6065" s="24">
        <v>74600</v>
      </c>
      <c r="I6065" s="24">
        <f>T_reg.root.SK[[#This Row],[Volume, kg]]/1000</f>
        <v>74.599999999999994</v>
      </c>
      <c r="J6065" s="25">
        <v>0.21350000000000002</v>
      </c>
      <c r="K6065" s="25">
        <f t="shared" si="95"/>
        <v>15927.100000000002</v>
      </c>
      <c r="L6065" s="25">
        <v>1.77</v>
      </c>
      <c r="M6065" s="24">
        <v>132332.5</v>
      </c>
      <c r="N6065" s="25">
        <f>IFERROR(T_reg.root.SK[[#This Row],[Price]]/T_reg.root.SK[[#This Row],[Starch content]],"")</f>
        <v>8.2903981264636997</v>
      </c>
    </row>
    <row r="6066" spans="1:14">
      <c r="A6066" s="21">
        <v>2025</v>
      </c>
      <c r="B6066" s="21" t="s">
        <v>23</v>
      </c>
      <c r="C6066" s="21" t="s">
        <v>1145</v>
      </c>
      <c r="D6066" s="21" t="s">
        <v>35</v>
      </c>
      <c r="E6066" s="17" t="s">
        <v>308</v>
      </c>
      <c r="F6066" s="18" t="s">
        <v>105</v>
      </c>
      <c r="G6066" s="18" t="s">
        <v>48</v>
      </c>
      <c r="H6066" s="24">
        <v>23340</v>
      </c>
      <c r="I6066" s="24">
        <f>T_reg.root.SK[[#This Row],[Volume, kg]]/1000</f>
        <v>23.34</v>
      </c>
      <c r="J6066" s="25">
        <v>0.2278</v>
      </c>
      <c r="K6066" s="25">
        <f t="shared" si="95"/>
        <v>5316.8519999999999</v>
      </c>
      <c r="L6066" s="25">
        <v>1.84</v>
      </c>
      <c r="M6066" s="24">
        <v>42947</v>
      </c>
      <c r="N6066" s="25">
        <f>IFERROR(T_reg.root.SK[[#This Row],[Price]]/T_reg.root.SK[[#This Row],[Starch content]],"")</f>
        <v>8.0772607550482878</v>
      </c>
    </row>
    <row r="6067" spans="1:14">
      <c r="A6067" s="21">
        <v>2025</v>
      </c>
      <c r="B6067" s="21" t="s">
        <v>23</v>
      </c>
      <c r="C6067" s="21" t="s">
        <v>1145</v>
      </c>
      <c r="D6067" s="21" t="s">
        <v>35</v>
      </c>
      <c r="E6067" s="17" t="s">
        <v>244</v>
      </c>
      <c r="F6067" s="18" t="s">
        <v>105</v>
      </c>
      <c r="G6067" s="18" t="s">
        <v>48</v>
      </c>
      <c r="H6067" s="24">
        <v>21910</v>
      </c>
      <c r="I6067" s="24">
        <f>T_reg.root.SK[[#This Row],[Volume, kg]]/1000</f>
        <v>21.91</v>
      </c>
      <c r="J6067" s="25">
        <v>0.16010000000000002</v>
      </c>
      <c r="K6067" s="25">
        <f t="shared" si="95"/>
        <v>3507.7910000000006</v>
      </c>
      <c r="L6067" s="25">
        <v>1.5</v>
      </c>
      <c r="M6067" s="24">
        <v>32892</v>
      </c>
      <c r="N6067" s="25">
        <f>IFERROR(T_reg.root.SK[[#This Row],[Price]]/T_reg.root.SK[[#This Row],[Starch content]],"")</f>
        <v>9.369144284821985</v>
      </c>
    </row>
    <row r="6068" spans="1:14">
      <c r="A6068" s="21">
        <v>2025</v>
      </c>
      <c r="B6068" s="21" t="s">
        <v>23</v>
      </c>
      <c r="C6068" s="21" t="s">
        <v>1145</v>
      </c>
      <c r="D6068" s="21" t="s">
        <v>35</v>
      </c>
      <c r="E6068" s="17" t="s">
        <v>593</v>
      </c>
      <c r="F6068" s="18" t="s">
        <v>187</v>
      </c>
      <c r="G6068" s="18" t="s">
        <v>48</v>
      </c>
      <c r="H6068" s="24">
        <v>68540</v>
      </c>
      <c r="I6068" s="24">
        <f>T_reg.root.SK[[#This Row],[Volume, kg]]/1000</f>
        <v>68.540000000000006</v>
      </c>
      <c r="J6068" s="25">
        <v>0.21010000000000001</v>
      </c>
      <c r="K6068" s="25">
        <f t="shared" si="95"/>
        <v>14400.254000000001</v>
      </c>
      <c r="L6068" s="25">
        <v>1.75</v>
      </c>
      <c r="M6068" s="24">
        <v>119637</v>
      </c>
      <c r="N6068" s="25">
        <f>IFERROR(T_reg.root.SK[[#This Row],[Price]]/T_reg.root.SK[[#This Row],[Starch content]],"")</f>
        <v>8.3293669681104241</v>
      </c>
    </row>
    <row r="6069" spans="1:14">
      <c r="A6069" s="21">
        <v>2025</v>
      </c>
      <c r="B6069" s="21" t="s">
        <v>23</v>
      </c>
      <c r="C6069" s="21" t="s">
        <v>1145</v>
      </c>
      <c r="D6069" s="21" t="s">
        <v>35</v>
      </c>
      <c r="E6069" s="17" t="s">
        <v>777</v>
      </c>
      <c r="F6069" s="18" t="s">
        <v>187</v>
      </c>
      <c r="G6069" s="18" t="s">
        <v>48</v>
      </c>
      <c r="H6069" s="24">
        <v>43650</v>
      </c>
      <c r="I6069" s="24">
        <f>T_reg.root.SK[[#This Row],[Volume, kg]]/1000</f>
        <v>43.65</v>
      </c>
      <c r="J6069" s="25">
        <v>0.2051</v>
      </c>
      <c r="K6069" s="25">
        <f t="shared" si="95"/>
        <v>8952.6149999999998</v>
      </c>
      <c r="L6069" s="25">
        <v>1.74</v>
      </c>
      <c r="M6069" s="24">
        <v>75765.5</v>
      </c>
      <c r="N6069" s="25">
        <f>IFERROR(T_reg.root.SK[[#This Row],[Price]]/T_reg.root.SK[[#This Row],[Starch content]],"")</f>
        <v>8.4836665041443204</v>
      </c>
    </row>
    <row r="6070" spans="1:14">
      <c r="A6070" s="21">
        <v>2025</v>
      </c>
      <c r="B6070" s="21" t="s">
        <v>23</v>
      </c>
      <c r="C6070" s="21" t="s">
        <v>1145</v>
      </c>
      <c r="D6070" s="21" t="s">
        <v>35</v>
      </c>
      <c r="E6070" s="17" t="s">
        <v>204</v>
      </c>
      <c r="F6070" s="18" t="s">
        <v>187</v>
      </c>
      <c r="G6070" s="18" t="s">
        <v>48</v>
      </c>
      <c r="H6070" s="24">
        <v>35010</v>
      </c>
      <c r="I6070" s="24">
        <f>T_reg.root.SK[[#This Row],[Volume, kg]]/1000</f>
        <v>35.01</v>
      </c>
      <c r="J6070" s="25">
        <v>0.20929999999999999</v>
      </c>
      <c r="K6070" s="25">
        <f t="shared" si="95"/>
        <v>7327.5929999999998</v>
      </c>
      <c r="L6070" s="25">
        <v>1.73</v>
      </c>
      <c r="M6070" s="24">
        <v>60679</v>
      </c>
      <c r="N6070" s="25">
        <f>IFERROR(T_reg.root.SK[[#This Row],[Price]]/T_reg.root.SK[[#This Row],[Starch content]],"")</f>
        <v>8.2656473960821799</v>
      </c>
    </row>
    <row r="6071" spans="1:14">
      <c r="A6071" s="21">
        <v>2025</v>
      </c>
      <c r="B6071" s="21" t="s">
        <v>23</v>
      </c>
      <c r="C6071" s="21" t="s">
        <v>1145</v>
      </c>
      <c r="D6071" s="21" t="s">
        <v>35</v>
      </c>
      <c r="E6071" s="17" t="s">
        <v>245</v>
      </c>
      <c r="F6071" s="18" t="s">
        <v>105</v>
      </c>
      <c r="G6071" s="18" t="s">
        <v>48</v>
      </c>
      <c r="H6071" s="24">
        <v>20900</v>
      </c>
      <c r="I6071" s="24">
        <f>T_reg.root.SK[[#This Row],[Volume, kg]]/1000</f>
        <v>20.9</v>
      </c>
      <c r="J6071" s="25">
        <v>0.23430000000000001</v>
      </c>
      <c r="K6071" s="25">
        <f t="shared" si="95"/>
        <v>4896.87</v>
      </c>
      <c r="L6071" s="25">
        <v>1.88</v>
      </c>
      <c r="M6071" s="24">
        <v>39242</v>
      </c>
      <c r="N6071" s="25">
        <f>IFERROR(T_reg.root.SK[[#This Row],[Price]]/T_reg.root.SK[[#This Row],[Starch content]],"")</f>
        <v>8.0239009816474596</v>
      </c>
    </row>
    <row r="6072" spans="1:14">
      <c r="A6072" s="21">
        <v>2025</v>
      </c>
      <c r="B6072" s="21" t="s">
        <v>23</v>
      </c>
      <c r="C6072" s="21" t="s">
        <v>1145</v>
      </c>
      <c r="D6072" s="21" t="s">
        <v>35</v>
      </c>
      <c r="E6072" s="17" t="s">
        <v>309</v>
      </c>
      <c r="F6072" s="18" t="s">
        <v>105</v>
      </c>
      <c r="G6072" s="18" t="s">
        <v>48</v>
      </c>
      <c r="H6072" s="24">
        <v>26540</v>
      </c>
      <c r="I6072" s="24">
        <f>T_reg.root.SK[[#This Row],[Volume, kg]]/1000</f>
        <v>26.54</v>
      </c>
      <c r="J6072" s="25">
        <v>0.22010000000000002</v>
      </c>
      <c r="K6072" s="25">
        <f t="shared" si="95"/>
        <v>5841.4540000000006</v>
      </c>
      <c r="L6072" s="25">
        <v>1.79</v>
      </c>
      <c r="M6072" s="24">
        <v>47561</v>
      </c>
      <c r="N6072" s="25">
        <f>IFERROR(T_reg.root.SK[[#This Row],[Price]]/T_reg.root.SK[[#This Row],[Starch content]],"")</f>
        <v>8.1326669695592901</v>
      </c>
    </row>
    <row r="6073" spans="1:14">
      <c r="A6073" s="21">
        <v>2025</v>
      </c>
      <c r="B6073" s="21" t="s">
        <v>23</v>
      </c>
      <c r="C6073" s="21" t="s">
        <v>1145</v>
      </c>
      <c r="D6073" s="21" t="s">
        <v>35</v>
      </c>
      <c r="E6073" s="17" t="s">
        <v>405</v>
      </c>
      <c r="F6073" s="18" t="s">
        <v>105</v>
      </c>
      <c r="G6073" s="18" t="s">
        <v>48</v>
      </c>
      <c r="H6073" s="24">
        <v>126490</v>
      </c>
      <c r="I6073" s="24">
        <f>T_reg.root.SK[[#This Row],[Volume, kg]]/1000</f>
        <v>126.49</v>
      </c>
      <c r="J6073" s="25">
        <v>0.18170000000000003</v>
      </c>
      <c r="K6073" s="25">
        <f t="shared" si="95"/>
        <v>22983.233000000004</v>
      </c>
      <c r="L6073" s="25">
        <v>1.62</v>
      </c>
      <c r="M6073" s="24">
        <v>204635</v>
      </c>
      <c r="N6073" s="25">
        <f>IFERROR(T_reg.root.SK[[#This Row],[Price]]/T_reg.root.SK[[#This Row],[Starch content]],"")</f>
        <v>8.9157952669234994</v>
      </c>
    </row>
    <row r="6074" spans="1:14">
      <c r="A6074" s="21">
        <v>2025</v>
      </c>
      <c r="B6074" s="21" t="s">
        <v>23</v>
      </c>
      <c r="C6074" s="21" t="s">
        <v>1145</v>
      </c>
      <c r="D6074" s="21" t="s">
        <v>35</v>
      </c>
      <c r="E6074" s="17" t="s">
        <v>1025</v>
      </c>
      <c r="F6074" s="18" t="s">
        <v>95</v>
      </c>
      <c r="G6074" s="18" t="s">
        <v>48</v>
      </c>
      <c r="H6074" s="24">
        <v>268730</v>
      </c>
      <c r="I6074" s="24">
        <f>T_reg.root.SK[[#This Row],[Volume, kg]]/1000</f>
        <v>268.73</v>
      </c>
      <c r="J6074" s="25">
        <v>0.27589999999999998</v>
      </c>
      <c r="K6074" s="25">
        <f t="shared" si="95"/>
        <v>74142.606999999989</v>
      </c>
      <c r="L6074" s="25">
        <v>2.08</v>
      </c>
      <c r="M6074" s="24">
        <v>559684.5</v>
      </c>
      <c r="N6074" s="25">
        <f>IFERROR(T_reg.root.SK[[#This Row],[Price]]/T_reg.root.SK[[#This Row],[Starch content]],"")</f>
        <v>7.5389633925335273</v>
      </c>
    </row>
    <row r="6075" spans="1:14">
      <c r="A6075" s="21">
        <v>2025</v>
      </c>
      <c r="B6075" s="21" t="s">
        <v>23</v>
      </c>
      <c r="C6075" s="21" t="s">
        <v>1145</v>
      </c>
      <c r="D6075" s="21" t="s">
        <v>35</v>
      </c>
      <c r="E6075" s="17" t="s">
        <v>738</v>
      </c>
      <c r="F6075" s="18" t="s">
        <v>105</v>
      </c>
      <c r="G6075" s="18" t="s">
        <v>48</v>
      </c>
      <c r="H6075" s="24">
        <v>10180</v>
      </c>
      <c r="I6075" s="24">
        <f>T_reg.root.SK[[#This Row],[Volume, kg]]/1000</f>
        <v>10.18</v>
      </c>
      <c r="J6075" s="25">
        <v>0.21539999999999998</v>
      </c>
      <c r="K6075" s="25">
        <f t="shared" si="95"/>
        <v>2192.7719999999999</v>
      </c>
      <c r="L6075" s="25">
        <v>1.78</v>
      </c>
      <c r="M6075" s="24">
        <v>18076</v>
      </c>
      <c r="N6075" s="25">
        <f>IFERROR(T_reg.root.SK[[#This Row],[Price]]/T_reg.root.SK[[#This Row],[Starch content]],"")</f>
        <v>8.2636954503249775</v>
      </c>
    </row>
    <row r="6076" spans="1:14">
      <c r="A6076" s="21">
        <v>2025</v>
      </c>
      <c r="B6076" s="21" t="s">
        <v>23</v>
      </c>
      <c r="C6076" s="21" t="s">
        <v>1145</v>
      </c>
      <c r="D6076" s="21" t="s">
        <v>35</v>
      </c>
      <c r="E6076" s="17" t="s">
        <v>933</v>
      </c>
      <c r="F6076" s="18" t="s">
        <v>105</v>
      </c>
      <c r="G6076" s="18" t="s">
        <v>48</v>
      </c>
      <c r="H6076" s="24">
        <v>35980</v>
      </c>
      <c r="I6076" s="24">
        <f>T_reg.root.SK[[#This Row],[Volume, kg]]/1000</f>
        <v>35.979999999999997</v>
      </c>
      <c r="J6076" s="25">
        <v>0.2361</v>
      </c>
      <c r="K6076" s="25">
        <f t="shared" si="95"/>
        <v>8494.8780000000006</v>
      </c>
      <c r="L6076" s="25">
        <v>1.86</v>
      </c>
      <c r="M6076" s="24">
        <v>67099.5</v>
      </c>
      <c r="N6076" s="25">
        <f>IFERROR(T_reg.root.SK[[#This Row],[Price]]/T_reg.root.SK[[#This Row],[Starch content]],"")</f>
        <v>7.8780177890724268</v>
      </c>
    </row>
    <row r="6077" spans="1:14">
      <c r="A6077" s="21">
        <v>2025</v>
      </c>
      <c r="B6077" s="21" t="s">
        <v>23</v>
      </c>
      <c r="C6077" s="21" t="s">
        <v>1145</v>
      </c>
      <c r="D6077" s="21" t="s">
        <v>35</v>
      </c>
      <c r="E6077" s="17" t="s">
        <v>1010</v>
      </c>
      <c r="F6077" s="18" t="s">
        <v>105</v>
      </c>
      <c r="G6077" s="18" t="s">
        <v>48</v>
      </c>
      <c r="H6077" s="24">
        <v>1680</v>
      </c>
      <c r="I6077" s="24">
        <f>T_reg.root.SK[[#This Row],[Volume, kg]]/1000</f>
        <v>1.68</v>
      </c>
      <c r="J6077" s="25">
        <v>0.1613</v>
      </c>
      <c r="K6077" s="25">
        <f t="shared" si="95"/>
        <v>270.98399999999998</v>
      </c>
      <c r="L6077" s="25">
        <v>1.5</v>
      </c>
      <c r="M6077" s="24">
        <v>2520</v>
      </c>
      <c r="N6077" s="25">
        <f>IFERROR(T_reg.root.SK[[#This Row],[Price]]/T_reg.root.SK[[#This Row],[Starch content]],"")</f>
        <v>9.299442033477991</v>
      </c>
    </row>
    <row r="6078" spans="1:14">
      <c r="A6078" s="21">
        <v>2025</v>
      </c>
      <c r="B6078" s="21" t="s">
        <v>23</v>
      </c>
      <c r="C6078" s="21" t="s">
        <v>1145</v>
      </c>
      <c r="D6078" s="21" t="s">
        <v>35</v>
      </c>
      <c r="E6078" s="17" t="s">
        <v>568</v>
      </c>
      <c r="F6078" s="18" t="s">
        <v>105</v>
      </c>
      <c r="G6078" s="18" t="s">
        <v>48</v>
      </c>
      <c r="H6078" s="24">
        <v>18550</v>
      </c>
      <c r="I6078" s="24">
        <f>T_reg.root.SK[[#This Row],[Volume, kg]]/1000</f>
        <v>18.55</v>
      </c>
      <c r="J6078" s="25">
        <v>0.214</v>
      </c>
      <c r="K6078" s="25">
        <f t="shared" si="95"/>
        <v>3969.7</v>
      </c>
      <c r="L6078" s="25">
        <v>1.78</v>
      </c>
      <c r="M6078" s="24">
        <v>32954</v>
      </c>
      <c r="N6078" s="25">
        <f>IFERROR(T_reg.root.SK[[#This Row],[Price]]/T_reg.root.SK[[#This Row],[Starch content]],"")</f>
        <v>8.3177570093457955</v>
      </c>
    </row>
    <row r="6079" spans="1:14">
      <c r="A6079" s="21">
        <v>2025</v>
      </c>
      <c r="B6079" s="21" t="s">
        <v>23</v>
      </c>
      <c r="C6079" s="21" t="s">
        <v>1145</v>
      </c>
      <c r="D6079" s="21" t="s">
        <v>35</v>
      </c>
      <c r="E6079" s="17" t="s">
        <v>310</v>
      </c>
      <c r="F6079" s="18" t="s">
        <v>105</v>
      </c>
      <c r="G6079" s="18" t="s">
        <v>48</v>
      </c>
      <c r="H6079" s="24">
        <v>147340</v>
      </c>
      <c r="I6079" s="24">
        <f>T_reg.root.SK[[#This Row],[Volume, kg]]/1000</f>
        <v>147.34</v>
      </c>
      <c r="J6079" s="25">
        <v>0.2407</v>
      </c>
      <c r="K6079" s="25">
        <f t="shared" si="95"/>
        <v>35464.737999999998</v>
      </c>
      <c r="L6079" s="25">
        <v>1.91</v>
      </c>
      <c r="M6079" s="24">
        <v>281363.5</v>
      </c>
      <c r="N6079" s="25">
        <f>IFERROR(T_reg.root.SK[[#This Row],[Price]]/T_reg.root.SK[[#This Row],[Starch content]],"")</f>
        <v>7.9351890319900287</v>
      </c>
    </row>
    <row r="6080" spans="1:14">
      <c r="A6080" s="21">
        <v>2025</v>
      </c>
      <c r="B6080" s="21" t="s">
        <v>23</v>
      </c>
      <c r="C6080" s="21" t="s">
        <v>1145</v>
      </c>
      <c r="D6080" s="21" t="s">
        <v>35</v>
      </c>
      <c r="E6080" s="17" t="s">
        <v>247</v>
      </c>
      <c r="F6080" s="18" t="s">
        <v>105</v>
      </c>
      <c r="G6080" s="18" t="s">
        <v>48</v>
      </c>
      <c r="H6080" s="24">
        <v>13740</v>
      </c>
      <c r="I6080" s="24">
        <f>T_reg.root.SK[[#This Row],[Volume, kg]]/1000</f>
        <v>13.74</v>
      </c>
      <c r="J6080" s="25">
        <v>0.15140000000000001</v>
      </c>
      <c r="K6080" s="25">
        <f t="shared" si="95"/>
        <v>2080.2359999999999</v>
      </c>
      <c r="L6080" s="25">
        <v>1.45</v>
      </c>
      <c r="M6080" s="24">
        <v>19923</v>
      </c>
      <c r="N6080" s="25">
        <f>IFERROR(T_reg.root.SK[[#This Row],[Price]]/T_reg.root.SK[[#This Row],[Starch content]],"")</f>
        <v>9.5772787318361949</v>
      </c>
    </row>
    <row r="6081" spans="1:14">
      <c r="A6081" s="21">
        <v>2025</v>
      </c>
      <c r="B6081" s="21" t="s">
        <v>23</v>
      </c>
      <c r="C6081" s="21" t="s">
        <v>1145</v>
      </c>
      <c r="D6081" s="21" t="s">
        <v>35</v>
      </c>
      <c r="E6081" s="17" t="s">
        <v>340</v>
      </c>
      <c r="F6081" s="18" t="s">
        <v>47</v>
      </c>
      <c r="G6081" s="18" t="s">
        <v>48</v>
      </c>
      <c r="H6081" s="24">
        <v>26560</v>
      </c>
      <c r="I6081" s="24">
        <f>T_reg.root.SK[[#This Row],[Volume, kg]]/1000</f>
        <v>26.56</v>
      </c>
      <c r="J6081" s="25">
        <v>0.22210000000000002</v>
      </c>
      <c r="K6081" s="25">
        <f t="shared" si="95"/>
        <v>5898.9760000000006</v>
      </c>
      <c r="L6081" s="25">
        <v>1.81</v>
      </c>
      <c r="M6081" s="24">
        <v>48046</v>
      </c>
      <c r="N6081" s="25">
        <f>IFERROR(T_reg.root.SK[[#This Row],[Price]]/T_reg.root.SK[[#This Row],[Starch content]],"")</f>
        <v>8.1494822152183701</v>
      </c>
    </row>
    <row r="6082" spans="1:14">
      <c r="A6082" s="21">
        <v>2025</v>
      </c>
      <c r="B6082" s="21" t="s">
        <v>23</v>
      </c>
      <c r="C6082" s="21" t="s">
        <v>1145</v>
      </c>
      <c r="D6082" s="21" t="s">
        <v>35</v>
      </c>
      <c r="E6082" s="17" t="s">
        <v>530</v>
      </c>
      <c r="F6082" s="18" t="s">
        <v>187</v>
      </c>
      <c r="G6082" s="18" t="s">
        <v>48</v>
      </c>
      <c r="H6082" s="24">
        <v>24600</v>
      </c>
      <c r="I6082" s="24">
        <f>T_reg.root.SK[[#This Row],[Volume, kg]]/1000</f>
        <v>24.6</v>
      </c>
      <c r="J6082" s="25">
        <v>0.2114</v>
      </c>
      <c r="K6082" s="25">
        <f t="shared" si="95"/>
        <v>5200.4400000000005</v>
      </c>
      <c r="L6082" s="25">
        <v>1.75</v>
      </c>
      <c r="M6082" s="24">
        <v>43072</v>
      </c>
      <c r="N6082" s="25">
        <f>IFERROR(T_reg.root.SK[[#This Row],[Price]]/T_reg.root.SK[[#This Row],[Starch content]],"")</f>
        <v>8.2781456953642376</v>
      </c>
    </row>
    <row r="6083" spans="1:14">
      <c r="A6083" s="21">
        <v>2025</v>
      </c>
      <c r="B6083" s="21" t="s">
        <v>23</v>
      </c>
      <c r="C6083" s="21" t="s">
        <v>1145</v>
      </c>
      <c r="D6083" s="21" t="s">
        <v>35</v>
      </c>
      <c r="E6083" s="17" t="s">
        <v>676</v>
      </c>
      <c r="F6083" s="18" t="s">
        <v>47</v>
      </c>
      <c r="G6083" s="18" t="s">
        <v>48</v>
      </c>
      <c r="H6083" s="24">
        <v>6130</v>
      </c>
      <c r="I6083" s="24">
        <f>T_reg.root.SK[[#This Row],[Volume, kg]]/1000</f>
        <v>6.13</v>
      </c>
      <c r="J6083" s="25">
        <v>0.14949999999999999</v>
      </c>
      <c r="K6083" s="25">
        <f t="shared" si="95"/>
        <v>916.43499999999995</v>
      </c>
      <c r="L6083" s="25">
        <v>1.45</v>
      </c>
      <c r="M6083" s="24">
        <v>8888.5</v>
      </c>
      <c r="N6083" s="25">
        <f>IFERROR(T_reg.root.SK[[#This Row],[Price]]/T_reg.root.SK[[#This Row],[Starch content]],"")</f>
        <v>9.6989966555183944</v>
      </c>
    </row>
    <row r="6084" spans="1:14">
      <c r="A6084" s="21">
        <v>2025</v>
      </c>
      <c r="B6084" s="21" t="s">
        <v>23</v>
      </c>
      <c r="C6084" s="21" t="s">
        <v>1145</v>
      </c>
      <c r="D6084" s="21" t="s">
        <v>35</v>
      </c>
      <c r="E6084" s="17" t="s">
        <v>594</v>
      </c>
      <c r="F6084" s="18" t="s">
        <v>187</v>
      </c>
      <c r="G6084" s="18" t="s">
        <v>48</v>
      </c>
      <c r="H6084" s="24">
        <v>39260</v>
      </c>
      <c r="I6084" s="24">
        <f>T_reg.root.SK[[#This Row],[Volume, kg]]/1000</f>
        <v>39.26</v>
      </c>
      <c r="J6084" s="25">
        <v>0.17319999999999999</v>
      </c>
      <c r="K6084" s="25">
        <f t="shared" si="95"/>
        <v>6799.8319999999994</v>
      </c>
      <c r="L6084" s="25">
        <v>1.58</v>
      </c>
      <c r="M6084" s="24">
        <v>61851</v>
      </c>
      <c r="N6084" s="25">
        <f>IFERROR(T_reg.root.SK[[#This Row],[Price]]/T_reg.root.SK[[#This Row],[Starch content]],"")</f>
        <v>9.122401847575059</v>
      </c>
    </row>
    <row r="6085" spans="1:14">
      <c r="A6085" s="21">
        <v>2025</v>
      </c>
      <c r="B6085" s="21" t="s">
        <v>23</v>
      </c>
      <c r="C6085" s="21" t="s">
        <v>1145</v>
      </c>
      <c r="D6085" s="21" t="s">
        <v>35</v>
      </c>
      <c r="E6085" s="17" t="s">
        <v>248</v>
      </c>
      <c r="F6085" s="18" t="s">
        <v>105</v>
      </c>
      <c r="G6085" s="18" t="s">
        <v>48</v>
      </c>
      <c r="H6085" s="24">
        <v>88140</v>
      </c>
      <c r="I6085" s="24">
        <f>T_reg.root.SK[[#This Row],[Volume, kg]]/1000</f>
        <v>88.14</v>
      </c>
      <c r="J6085" s="25">
        <v>0.2293</v>
      </c>
      <c r="K6085" s="25">
        <f t="shared" si="95"/>
        <v>20210.502</v>
      </c>
      <c r="L6085" s="25">
        <v>1.85</v>
      </c>
      <c r="M6085" s="24">
        <v>162840</v>
      </c>
      <c r="N6085" s="25">
        <f>IFERROR(T_reg.root.SK[[#This Row],[Price]]/T_reg.root.SK[[#This Row],[Starch content]],"")</f>
        <v>8.068033144352377</v>
      </c>
    </row>
    <row r="6086" spans="1:14">
      <c r="A6086" s="21">
        <v>2025</v>
      </c>
      <c r="B6086" s="21" t="s">
        <v>23</v>
      </c>
      <c r="C6086" s="21" t="s">
        <v>1145</v>
      </c>
      <c r="D6086" s="21" t="s">
        <v>35</v>
      </c>
      <c r="E6086" s="17" t="s">
        <v>469</v>
      </c>
      <c r="F6086" s="18" t="s">
        <v>47</v>
      </c>
      <c r="G6086" s="18" t="s">
        <v>48</v>
      </c>
      <c r="H6086" s="24">
        <v>5750</v>
      </c>
      <c r="I6086" s="24">
        <f>T_reg.root.SK[[#This Row],[Volume, kg]]/1000</f>
        <v>5.75</v>
      </c>
      <c r="J6086" s="25">
        <v>0.20300000000000001</v>
      </c>
      <c r="K6086" s="25">
        <f t="shared" si="95"/>
        <v>1167.25</v>
      </c>
      <c r="L6086" s="25">
        <v>1.7</v>
      </c>
      <c r="M6086" s="24">
        <v>9775</v>
      </c>
      <c r="N6086" s="25">
        <f>IFERROR(T_reg.root.SK[[#This Row],[Price]]/T_reg.root.SK[[#This Row],[Starch content]],"")</f>
        <v>8.3743842364532011</v>
      </c>
    </row>
    <row r="6087" spans="1:14">
      <c r="A6087" s="21">
        <v>2025</v>
      </c>
      <c r="B6087" s="21" t="s">
        <v>23</v>
      </c>
      <c r="C6087" s="21" t="s">
        <v>1145</v>
      </c>
      <c r="D6087" s="21" t="s">
        <v>35</v>
      </c>
      <c r="E6087" s="17" t="s">
        <v>143</v>
      </c>
      <c r="F6087" s="18" t="s">
        <v>105</v>
      </c>
      <c r="G6087" s="18" t="s">
        <v>48</v>
      </c>
      <c r="H6087" s="24">
        <v>8030</v>
      </c>
      <c r="I6087" s="24">
        <f>T_reg.root.SK[[#This Row],[Volume, kg]]/1000</f>
        <v>8.0299999999999994</v>
      </c>
      <c r="J6087" s="25">
        <v>0.26100000000000001</v>
      </c>
      <c r="K6087" s="25">
        <f t="shared" si="95"/>
        <v>2095.83</v>
      </c>
      <c r="L6087" s="25">
        <v>2</v>
      </c>
      <c r="M6087" s="24">
        <v>16060</v>
      </c>
      <c r="N6087" s="25">
        <f>IFERROR(T_reg.root.SK[[#This Row],[Price]]/T_reg.root.SK[[#This Row],[Starch content]],"")</f>
        <v>7.6628352490421454</v>
      </c>
    </row>
    <row r="6088" spans="1:14">
      <c r="A6088" s="21">
        <v>2025</v>
      </c>
      <c r="B6088" s="21" t="s">
        <v>23</v>
      </c>
      <c r="C6088" s="21" t="s">
        <v>1145</v>
      </c>
      <c r="D6088" s="21" t="s">
        <v>35</v>
      </c>
      <c r="E6088" s="17" t="s">
        <v>311</v>
      </c>
      <c r="F6088" s="18" t="s">
        <v>105</v>
      </c>
      <c r="G6088" s="18" t="s">
        <v>48</v>
      </c>
      <c r="H6088" s="24">
        <v>155510</v>
      </c>
      <c r="I6088" s="24">
        <f>T_reg.root.SK[[#This Row],[Volume, kg]]/1000</f>
        <v>155.51</v>
      </c>
      <c r="J6088" s="25">
        <v>0.19469999999999998</v>
      </c>
      <c r="K6088" s="25">
        <f t="shared" si="95"/>
        <v>30277.796999999999</v>
      </c>
      <c r="L6088" s="25">
        <v>1.68</v>
      </c>
      <c r="M6088" s="24">
        <v>260830.5</v>
      </c>
      <c r="N6088" s="25">
        <f>IFERROR(T_reg.root.SK[[#This Row],[Price]]/T_reg.root.SK[[#This Row],[Starch content]],"")</f>
        <v>8.6286594761171038</v>
      </c>
    </row>
    <row r="6089" spans="1:14">
      <c r="A6089" s="21">
        <v>2025</v>
      </c>
      <c r="B6089" s="21" t="s">
        <v>23</v>
      </c>
      <c r="C6089" s="21" t="s">
        <v>1145</v>
      </c>
      <c r="D6089" s="21" t="s">
        <v>35</v>
      </c>
      <c r="E6089" s="17" t="s">
        <v>659</v>
      </c>
      <c r="F6089" s="18" t="s">
        <v>47</v>
      </c>
      <c r="G6089" s="18" t="s">
        <v>48</v>
      </c>
      <c r="H6089" s="24">
        <v>3480</v>
      </c>
      <c r="I6089" s="24">
        <f>T_reg.root.SK[[#This Row],[Volume, kg]]/1000</f>
        <v>3.48</v>
      </c>
      <c r="J6089" s="25">
        <v>0.23199999999999998</v>
      </c>
      <c r="K6089" s="25">
        <f t="shared" si="95"/>
        <v>807.3599999999999</v>
      </c>
      <c r="L6089" s="25">
        <v>1.85</v>
      </c>
      <c r="M6089" s="24">
        <v>6438</v>
      </c>
      <c r="N6089" s="25">
        <f>IFERROR(T_reg.root.SK[[#This Row],[Price]]/T_reg.root.SK[[#This Row],[Starch content]],"")</f>
        <v>7.974137931034484</v>
      </c>
    </row>
    <row r="6090" spans="1:14">
      <c r="A6090" s="21">
        <v>2025</v>
      </c>
      <c r="B6090" s="21" t="s">
        <v>23</v>
      </c>
      <c r="C6090" s="21" t="s">
        <v>1145</v>
      </c>
      <c r="D6090" s="21" t="s">
        <v>35</v>
      </c>
      <c r="E6090" s="17" t="s">
        <v>646</v>
      </c>
      <c r="F6090" s="18" t="s">
        <v>105</v>
      </c>
      <c r="G6090" s="18" t="s">
        <v>48</v>
      </c>
      <c r="H6090" s="24">
        <v>32150</v>
      </c>
      <c r="I6090" s="24">
        <f>T_reg.root.SK[[#This Row],[Volume, kg]]/1000</f>
        <v>32.15</v>
      </c>
      <c r="J6090" s="25">
        <v>0.25559999999999999</v>
      </c>
      <c r="K6090" s="25">
        <f t="shared" si="95"/>
        <v>8217.5399999999991</v>
      </c>
      <c r="L6090" s="25">
        <v>1.98</v>
      </c>
      <c r="M6090" s="24">
        <v>63760.5</v>
      </c>
      <c r="N6090" s="25">
        <f>IFERROR(T_reg.root.SK[[#This Row],[Price]]/T_reg.root.SK[[#This Row],[Starch content]],"")</f>
        <v>7.746478873239437</v>
      </c>
    </row>
    <row r="6091" spans="1:14">
      <c r="A6091" s="21">
        <v>2025</v>
      </c>
      <c r="B6091" s="21" t="s">
        <v>23</v>
      </c>
      <c r="C6091" s="21" t="s">
        <v>1145</v>
      </c>
      <c r="D6091" s="21" t="s">
        <v>35</v>
      </c>
      <c r="E6091" s="17" t="s">
        <v>312</v>
      </c>
      <c r="F6091" s="18" t="s">
        <v>105</v>
      </c>
      <c r="G6091" s="18" t="s">
        <v>48</v>
      </c>
      <c r="H6091" s="24">
        <v>12480</v>
      </c>
      <c r="I6091" s="24">
        <f>T_reg.root.SK[[#This Row],[Volume, kg]]/1000</f>
        <v>12.48</v>
      </c>
      <c r="J6091" s="25">
        <v>0.182</v>
      </c>
      <c r="K6091" s="25">
        <f t="shared" si="95"/>
        <v>2271.36</v>
      </c>
      <c r="L6091" s="25">
        <v>1.6</v>
      </c>
      <c r="M6091" s="24">
        <v>19968</v>
      </c>
      <c r="N6091" s="25">
        <f>IFERROR(T_reg.root.SK[[#This Row],[Price]]/T_reg.root.SK[[#This Row],[Starch content]],"")</f>
        <v>8.791208791208792</v>
      </c>
    </row>
    <row r="6092" spans="1:14">
      <c r="A6092" s="21">
        <v>2025</v>
      </c>
      <c r="B6092" s="21" t="s">
        <v>23</v>
      </c>
      <c r="C6092" s="21" t="s">
        <v>1145</v>
      </c>
      <c r="D6092" s="21" t="s">
        <v>35</v>
      </c>
      <c r="E6092" s="17" t="s">
        <v>146</v>
      </c>
      <c r="F6092" s="18" t="s">
        <v>105</v>
      </c>
      <c r="G6092" s="18" t="s">
        <v>48</v>
      </c>
      <c r="H6092" s="24">
        <v>617130</v>
      </c>
      <c r="I6092" s="24">
        <f>T_reg.root.SK[[#This Row],[Volume, kg]]/1000</f>
        <v>617.13</v>
      </c>
      <c r="J6092" s="25">
        <v>0.2311</v>
      </c>
      <c r="K6092" s="25">
        <f t="shared" si="95"/>
        <v>142618.74299999999</v>
      </c>
      <c r="L6092" s="25">
        <v>1.85</v>
      </c>
      <c r="M6092" s="24">
        <v>1144758</v>
      </c>
      <c r="N6092" s="25">
        <f>IFERROR(T_reg.root.SK[[#This Row],[Price]]/T_reg.root.SK[[#This Row],[Starch content]],"")</f>
        <v>8.0051925573344871</v>
      </c>
    </row>
    <row r="6093" spans="1:14">
      <c r="A6093" s="21">
        <v>2025</v>
      </c>
      <c r="B6093" s="21" t="s">
        <v>23</v>
      </c>
      <c r="C6093" s="21" t="s">
        <v>1145</v>
      </c>
      <c r="D6093" s="21" t="s">
        <v>35</v>
      </c>
      <c r="E6093" s="17" t="s">
        <v>249</v>
      </c>
      <c r="F6093" s="18" t="s">
        <v>105</v>
      </c>
      <c r="G6093" s="18" t="s">
        <v>48</v>
      </c>
      <c r="H6093" s="24">
        <v>74210</v>
      </c>
      <c r="I6093" s="24">
        <f>T_reg.root.SK[[#This Row],[Volume, kg]]/1000</f>
        <v>74.209999999999994</v>
      </c>
      <c r="J6093" s="25">
        <v>0.24780000000000002</v>
      </c>
      <c r="K6093" s="25">
        <f t="shared" si="95"/>
        <v>18389.238000000001</v>
      </c>
      <c r="L6093" s="25">
        <v>1.93</v>
      </c>
      <c r="M6093" s="24">
        <v>143408</v>
      </c>
      <c r="N6093" s="25">
        <f>IFERROR(T_reg.root.SK[[#This Row],[Price]]/T_reg.root.SK[[#This Row],[Starch content]],"")</f>
        <v>7.788539144471347</v>
      </c>
    </row>
    <row r="6094" spans="1:14">
      <c r="A6094" s="21">
        <v>2025</v>
      </c>
      <c r="B6094" s="21" t="s">
        <v>23</v>
      </c>
      <c r="C6094" s="21" t="s">
        <v>1145</v>
      </c>
      <c r="D6094" s="21" t="s">
        <v>35</v>
      </c>
      <c r="E6094" s="17" t="s">
        <v>250</v>
      </c>
      <c r="F6094" s="18" t="s">
        <v>105</v>
      </c>
      <c r="G6094" s="18" t="s">
        <v>48</v>
      </c>
      <c r="H6094" s="24">
        <v>75910</v>
      </c>
      <c r="I6094" s="24">
        <f>T_reg.root.SK[[#This Row],[Volume, kg]]/1000</f>
        <v>75.91</v>
      </c>
      <c r="J6094" s="25">
        <v>0.2447</v>
      </c>
      <c r="K6094" s="25">
        <f t="shared" si="95"/>
        <v>18575.177</v>
      </c>
      <c r="L6094" s="25">
        <v>1.93</v>
      </c>
      <c r="M6094" s="24">
        <v>146293</v>
      </c>
      <c r="N6094" s="25">
        <f>IFERROR(T_reg.root.SK[[#This Row],[Price]]/T_reg.root.SK[[#This Row],[Starch content]],"")</f>
        <v>7.8872088271352672</v>
      </c>
    </row>
    <row r="6095" spans="1:14">
      <c r="A6095" s="21">
        <v>2025</v>
      </c>
      <c r="B6095" s="21" t="s">
        <v>23</v>
      </c>
      <c r="C6095" s="21" t="s">
        <v>1145</v>
      </c>
      <c r="D6095" s="21" t="s">
        <v>35</v>
      </c>
      <c r="E6095" s="17" t="s">
        <v>778</v>
      </c>
      <c r="F6095" s="18" t="s">
        <v>187</v>
      </c>
      <c r="G6095" s="18" t="s">
        <v>48</v>
      </c>
      <c r="H6095" s="24">
        <v>8190</v>
      </c>
      <c r="I6095" s="24">
        <f>T_reg.root.SK[[#This Row],[Volume, kg]]/1000</f>
        <v>8.19</v>
      </c>
      <c r="J6095" s="25">
        <v>0.25800000000000001</v>
      </c>
      <c r="K6095" s="25">
        <f t="shared" ref="K6095:K6158" si="96">H6095*J6095</f>
        <v>2113.02</v>
      </c>
      <c r="L6095" s="25">
        <v>2</v>
      </c>
      <c r="M6095" s="24">
        <v>16380</v>
      </c>
      <c r="N6095" s="25">
        <f>IFERROR(T_reg.root.SK[[#This Row],[Price]]/T_reg.root.SK[[#This Row],[Starch content]],"")</f>
        <v>7.7519379844961236</v>
      </c>
    </row>
    <row r="6096" spans="1:14">
      <c r="A6096" s="21">
        <v>2025</v>
      </c>
      <c r="B6096" s="21" t="s">
        <v>23</v>
      </c>
      <c r="C6096" s="21" t="s">
        <v>1145</v>
      </c>
      <c r="D6096" s="21" t="s">
        <v>35</v>
      </c>
      <c r="E6096" s="17" t="s">
        <v>668</v>
      </c>
      <c r="F6096" s="18" t="s">
        <v>105</v>
      </c>
      <c r="G6096" s="18" t="s">
        <v>48</v>
      </c>
      <c r="H6096" s="24">
        <v>51290</v>
      </c>
      <c r="I6096" s="24">
        <f>T_reg.root.SK[[#This Row],[Volume, kg]]/1000</f>
        <v>51.29</v>
      </c>
      <c r="J6096" s="25">
        <v>0.19440000000000002</v>
      </c>
      <c r="K6096" s="25">
        <f t="shared" si="96"/>
        <v>9970.7760000000017</v>
      </c>
      <c r="L6096" s="25">
        <v>1.66</v>
      </c>
      <c r="M6096" s="24">
        <v>85102</v>
      </c>
      <c r="N6096" s="25">
        <f>IFERROR(T_reg.root.SK[[#This Row],[Price]]/T_reg.root.SK[[#This Row],[Starch content]],"")</f>
        <v>8.5390946502057599</v>
      </c>
    </row>
    <row r="6097" spans="1:14">
      <c r="A6097" s="21">
        <v>2025</v>
      </c>
      <c r="B6097" s="21" t="s">
        <v>23</v>
      </c>
      <c r="C6097" s="21" t="s">
        <v>1145</v>
      </c>
      <c r="D6097" s="21" t="s">
        <v>35</v>
      </c>
      <c r="E6097" s="17" t="s">
        <v>703</v>
      </c>
      <c r="F6097" s="18" t="s">
        <v>187</v>
      </c>
      <c r="G6097" s="18" t="s">
        <v>48</v>
      </c>
      <c r="H6097" s="24">
        <v>6470</v>
      </c>
      <c r="I6097" s="24">
        <f>T_reg.root.SK[[#This Row],[Volume, kg]]/1000</f>
        <v>6.47</v>
      </c>
      <c r="J6097" s="25">
        <v>0.159</v>
      </c>
      <c r="K6097" s="25">
        <f t="shared" si="96"/>
        <v>1028.73</v>
      </c>
      <c r="L6097" s="25">
        <v>1.5</v>
      </c>
      <c r="M6097" s="24">
        <v>9705</v>
      </c>
      <c r="N6097" s="25">
        <f>IFERROR(T_reg.root.SK[[#This Row],[Price]]/T_reg.root.SK[[#This Row],[Starch content]],"")</f>
        <v>9.433962264150944</v>
      </c>
    </row>
    <row r="6098" spans="1:14">
      <c r="A6098" s="21">
        <v>2025</v>
      </c>
      <c r="B6098" s="21" t="s">
        <v>23</v>
      </c>
      <c r="C6098" s="21" t="s">
        <v>1145</v>
      </c>
      <c r="D6098" s="21" t="s">
        <v>35</v>
      </c>
      <c r="E6098" s="17" t="s">
        <v>952</v>
      </c>
      <c r="F6098" s="18" t="s">
        <v>105</v>
      </c>
      <c r="G6098" s="18" t="s">
        <v>48</v>
      </c>
      <c r="H6098" s="24">
        <v>17440</v>
      </c>
      <c r="I6098" s="24">
        <f>T_reg.root.SK[[#This Row],[Volume, kg]]/1000</f>
        <v>17.440000000000001</v>
      </c>
      <c r="J6098" s="25">
        <v>0.17019999999999999</v>
      </c>
      <c r="K6098" s="25">
        <f t="shared" si="96"/>
        <v>2968.288</v>
      </c>
      <c r="L6098" s="25">
        <v>1.54</v>
      </c>
      <c r="M6098" s="24">
        <v>26872</v>
      </c>
      <c r="N6098" s="25">
        <f>IFERROR(T_reg.root.SK[[#This Row],[Price]]/T_reg.root.SK[[#This Row],[Starch content]],"")</f>
        <v>9.048178613396006</v>
      </c>
    </row>
    <row r="6099" spans="1:14">
      <c r="A6099" s="21">
        <v>2025</v>
      </c>
      <c r="B6099" s="21" t="s">
        <v>23</v>
      </c>
      <c r="C6099" s="21" t="s">
        <v>1145</v>
      </c>
      <c r="D6099" s="21" t="s">
        <v>35</v>
      </c>
      <c r="E6099" s="17" t="s">
        <v>1011</v>
      </c>
      <c r="F6099" s="18" t="s">
        <v>1012</v>
      </c>
      <c r="G6099" s="18" t="s">
        <v>1013</v>
      </c>
      <c r="H6099" s="24">
        <v>68490</v>
      </c>
      <c r="I6099" s="24">
        <f>T_reg.root.SK[[#This Row],[Volume, kg]]/1000</f>
        <v>68.489999999999995</v>
      </c>
      <c r="J6099" s="25">
        <v>0.21660000000000001</v>
      </c>
      <c r="K6099" s="25">
        <f t="shared" si="96"/>
        <v>14834.934000000001</v>
      </c>
      <c r="L6099" s="25">
        <v>1.78</v>
      </c>
      <c r="M6099" s="24">
        <v>122254</v>
      </c>
      <c r="N6099" s="25">
        <f>IFERROR(T_reg.root.SK[[#This Row],[Price]]/T_reg.root.SK[[#This Row],[Starch content]],"")</f>
        <v>8.2179132040627874</v>
      </c>
    </row>
    <row r="6100" spans="1:14">
      <c r="A6100" s="21">
        <v>2025</v>
      </c>
      <c r="B6100" s="21" t="s">
        <v>23</v>
      </c>
      <c r="C6100" s="21" t="s">
        <v>1145</v>
      </c>
      <c r="D6100" s="21" t="s">
        <v>35</v>
      </c>
      <c r="E6100" s="17" t="s">
        <v>985</v>
      </c>
      <c r="F6100" s="18" t="s">
        <v>283</v>
      </c>
      <c r="G6100" s="18" t="s">
        <v>48</v>
      </c>
      <c r="H6100" s="24">
        <v>28650</v>
      </c>
      <c r="I6100" s="24">
        <f>T_reg.root.SK[[#This Row],[Volume, kg]]/1000</f>
        <v>28.65</v>
      </c>
      <c r="J6100" s="25">
        <v>0.25700000000000001</v>
      </c>
      <c r="K6100" s="25">
        <f t="shared" si="96"/>
        <v>7363.05</v>
      </c>
      <c r="L6100" s="25">
        <v>1.99</v>
      </c>
      <c r="M6100" s="24">
        <v>56871.5</v>
      </c>
      <c r="N6100" s="25">
        <f>IFERROR(T_reg.root.SK[[#This Row],[Price]]/T_reg.root.SK[[#This Row],[Starch content]],"")</f>
        <v>7.7431906614785992</v>
      </c>
    </row>
    <row r="6101" spans="1:14">
      <c r="A6101" s="21">
        <v>2025</v>
      </c>
      <c r="B6101" s="21" t="s">
        <v>23</v>
      </c>
      <c r="C6101" s="21" t="s">
        <v>1145</v>
      </c>
      <c r="D6101" s="21" t="s">
        <v>35</v>
      </c>
      <c r="E6101" s="17" t="s">
        <v>690</v>
      </c>
      <c r="F6101" s="18" t="s">
        <v>187</v>
      </c>
      <c r="G6101" s="18" t="s">
        <v>48</v>
      </c>
      <c r="H6101" s="24">
        <v>18950</v>
      </c>
      <c r="I6101" s="24">
        <f>T_reg.root.SK[[#This Row],[Volume, kg]]/1000</f>
        <v>18.95</v>
      </c>
      <c r="J6101" s="25">
        <v>0.18590000000000001</v>
      </c>
      <c r="K6101" s="25">
        <f t="shared" si="96"/>
        <v>3522.8050000000003</v>
      </c>
      <c r="L6101" s="25">
        <v>1.62</v>
      </c>
      <c r="M6101" s="24">
        <v>30746.5</v>
      </c>
      <c r="N6101" s="25">
        <f>IFERROR(T_reg.root.SK[[#This Row],[Price]]/T_reg.root.SK[[#This Row],[Starch content]],"")</f>
        <v>8.7143625605164061</v>
      </c>
    </row>
    <row r="6102" spans="1:14">
      <c r="A6102" s="21">
        <v>2025</v>
      </c>
      <c r="B6102" s="21" t="s">
        <v>23</v>
      </c>
      <c r="C6102" s="21" t="s">
        <v>1145</v>
      </c>
      <c r="D6102" s="21" t="s">
        <v>35</v>
      </c>
      <c r="E6102" s="17" t="s">
        <v>362</v>
      </c>
      <c r="F6102" s="18" t="s">
        <v>105</v>
      </c>
      <c r="G6102" s="18" t="s">
        <v>48</v>
      </c>
      <c r="H6102" s="24">
        <v>108420</v>
      </c>
      <c r="I6102" s="24">
        <f>T_reg.root.SK[[#This Row],[Volume, kg]]/1000</f>
        <v>108.42</v>
      </c>
      <c r="J6102" s="25">
        <v>0.20649999999999999</v>
      </c>
      <c r="K6102" s="25">
        <f t="shared" si="96"/>
        <v>22388.73</v>
      </c>
      <c r="L6102" s="25">
        <v>1.73</v>
      </c>
      <c r="M6102" s="24">
        <v>187635.5</v>
      </c>
      <c r="N6102" s="25">
        <f>IFERROR(T_reg.root.SK[[#This Row],[Price]]/T_reg.root.SK[[#This Row],[Starch content]],"")</f>
        <v>8.3777239709443094</v>
      </c>
    </row>
    <row r="6103" spans="1:14">
      <c r="A6103" s="21">
        <v>2025</v>
      </c>
      <c r="B6103" s="21" t="s">
        <v>23</v>
      </c>
      <c r="C6103" s="21" t="s">
        <v>1145</v>
      </c>
      <c r="D6103" s="21" t="s">
        <v>35</v>
      </c>
      <c r="E6103" s="17" t="s">
        <v>1039</v>
      </c>
      <c r="F6103" s="18" t="s">
        <v>105</v>
      </c>
      <c r="G6103" s="18" t="s">
        <v>48</v>
      </c>
      <c r="H6103" s="24">
        <v>63600</v>
      </c>
      <c r="I6103" s="24">
        <f>T_reg.root.SK[[#This Row],[Volume, kg]]/1000</f>
        <v>63.6</v>
      </c>
      <c r="J6103" s="25">
        <v>0.25469999999999998</v>
      </c>
      <c r="K6103" s="25">
        <f t="shared" si="96"/>
        <v>16198.919999999998</v>
      </c>
      <c r="L6103" s="25">
        <v>1.97</v>
      </c>
      <c r="M6103" s="24">
        <v>125362.5</v>
      </c>
      <c r="N6103" s="25">
        <f>IFERROR(T_reg.root.SK[[#This Row],[Price]]/T_reg.root.SK[[#This Row],[Starch content]],"")</f>
        <v>7.7345897133883001</v>
      </c>
    </row>
    <row r="6104" spans="1:14">
      <c r="A6104" s="21">
        <v>2025</v>
      </c>
      <c r="B6104" s="21" t="s">
        <v>23</v>
      </c>
      <c r="C6104" s="21" t="s">
        <v>1145</v>
      </c>
      <c r="D6104" s="21" t="s">
        <v>35</v>
      </c>
      <c r="E6104" s="17" t="s">
        <v>267</v>
      </c>
      <c r="F6104" s="18" t="s">
        <v>187</v>
      </c>
      <c r="G6104" s="18" t="s">
        <v>48</v>
      </c>
      <c r="H6104" s="24">
        <v>19040</v>
      </c>
      <c r="I6104" s="24">
        <f>T_reg.root.SK[[#This Row],[Volume, kg]]/1000</f>
        <v>19.04</v>
      </c>
      <c r="J6104" s="25">
        <v>0.22170000000000001</v>
      </c>
      <c r="K6104" s="25">
        <f t="shared" si="96"/>
        <v>4221.1680000000006</v>
      </c>
      <c r="L6104" s="25">
        <v>1.81</v>
      </c>
      <c r="M6104" s="24">
        <v>34513</v>
      </c>
      <c r="N6104" s="25">
        <f>IFERROR(T_reg.root.SK[[#This Row],[Price]]/T_reg.root.SK[[#This Row],[Starch content]],"")</f>
        <v>8.1641858367162836</v>
      </c>
    </row>
    <row r="6105" spans="1:14">
      <c r="A6105" s="21">
        <v>2025</v>
      </c>
      <c r="B6105" s="21" t="s">
        <v>23</v>
      </c>
      <c r="C6105" s="21" t="s">
        <v>1145</v>
      </c>
      <c r="D6105" s="21" t="s">
        <v>35</v>
      </c>
      <c r="E6105" s="17" t="s">
        <v>251</v>
      </c>
      <c r="F6105" s="18" t="s">
        <v>105</v>
      </c>
      <c r="G6105" s="18" t="s">
        <v>48</v>
      </c>
      <c r="H6105" s="24">
        <v>0</v>
      </c>
      <c r="I6105" s="24">
        <f>T_reg.root.SK[[#This Row],[Volume, kg]]/1000</f>
        <v>0</v>
      </c>
      <c r="J6105" s="25">
        <v>0</v>
      </c>
      <c r="K6105" s="25">
        <f t="shared" si="96"/>
        <v>0</v>
      </c>
      <c r="L6105" s="25">
        <v>0</v>
      </c>
      <c r="M6105" s="24">
        <v>0</v>
      </c>
      <c r="N6105" s="25" t="str">
        <f>IFERROR(T_reg.root.SK[[#This Row],[Price]]/T_reg.root.SK[[#This Row],[Starch content]],"")</f>
        <v/>
      </c>
    </row>
    <row r="6106" spans="1:14">
      <c r="A6106" s="21">
        <v>2025</v>
      </c>
      <c r="B6106" s="21" t="s">
        <v>23</v>
      </c>
      <c r="C6106" s="21" t="s">
        <v>1145</v>
      </c>
      <c r="D6106" s="21" t="s">
        <v>35</v>
      </c>
      <c r="E6106" s="17" t="s">
        <v>66</v>
      </c>
      <c r="F6106" s="18" t="s">
        <v>47</v>
      </c>
      <c r="G6106" s="18" t="s">
        <v>48</v>
      </c>
      <c r="H6106" s="24">
        <v>48380</v>
      </c>
      <c r="I6106" s="24">
        <f>T_reg.root.SK[[#This Row],[Volume, kg]]/1000</f>
        <v>48.38</v>
      </c>
      <c r="J6106" s="25">
        <v>0.27100000000000002</v>
      </c>
      <c r="K6106" s="25">
        <f t="shared" si="96"/>
        <v>13110.980000000001</v>
      </c>
      <c r="L6106" s="25">
        <v>2.06</v>
      </c>
      <c r="M6106" s="24">
        <v>99567.5</v>
      </c>
      <c r="N6106" s="25">
        <f>IFERROR(T_reg.root.SK[[#This Row],[Price]]/T_reg.root.SK[[#This Row],[Starch content]],"")</f>
        <v>7.6014760147601477</v>
      </c>
    </row>
    <row r="6107" spans="1:14">
      <c r="A6107" s="21">
        <v>2025</v>
      </c>
      <c r="B6107" s="21" t="s">
        <v>23</v>
      </c>
      <c r="C6107" s="21" t="s">
        <v>1145</v>
      </c>
      <c r="D6107" s="21" t="s">
        <v>35</v>
      </c>
      <c r="E6107" s="17" t="s">
        <v>688</v>
      </c>
      <c r="F6107" s="18" t="s">
        <v>187</v>
      </c>
      <c r="G6107" s="18" t="s">
        <v>48</v>
      </c>
      <c r="H6107" s="24">
        <v>15400</v>
      </c>
      <c r="I6107" s="24">
        <f>T_reg.root.SK[[#This Row],[Volume, kg]]/1000</f>
        <v>15.4</v>
      </c>
      <c r="J6107" s="25">
        <v>0.20879999999999999</v>
      </c>
      <c r="K6107" s="25">
        <f t="shared" si="96"/>
        <v>3215.52</v>
      </c>
      <c r="L6107" s="25">
        <v>1.75</v>
      </c>
      <c r="M6107" s="24">
        <v>26950</v>
      </c>
      <c r="N6107" s="25">
        <f>IFERROR(T_reg.root.SK[[#This Row],[Price]]/T_reg.root.SK[[#This Row],[Starch content]],"")</f>
        <v>8.381226053639848</v>
      </c>
    </row>
    <row r="6108" spans="1:14">
      <c r="A6108" s="21">
        <v>2025</v>
      </c>
      <c r="B6108" s="21" t="s">
        <v>23</v>
      </c>
      <c r="C6108" s="21" t="s">
        <v>1145</v>
      </c>
      <c r="D6108" s="21" t="s">
        <v>35</v>
      </c>
      <c r="E6108" s="17" t="s">
        <v>1005</v>
      </c>
      <c r="F6108" s="18" t="s">
        <v>105</v>
      </c>
      <c r="G6108" s="18" t="s">
        <v>48</v>
      </c>
      <c r="H6108" s="24">
        <v>25280</v>
      </c>
      <c r="I6108" s="24">
        <f>T_reg.root.SK[[#This Row],[Volume, kg]]/1000</f>
        <v>25.28</v>
      </c>
      <c r="J6108" s="25">
        <v>0.20809999999999998</v>
      </c>
      <c r="K6108" s="25">
        <f t="shared" si="96"/>
        <v>5260.7679999999991</v>
      </c>
      <c r="L6108" s="25">
        <v>1.75</v>
      </c>
      <c r="M6108" s="24">
        <v>44261</v>
      </c>
      <c r="N6108" s="25">
        <f>IFERROR(T_reg.root.SK[[#This Row],[Price]]/T_reg.root.SK[[#This Row],[Starch content]],"")</f>
        <v>8.409418548774628</v>
      </c>
    </row>
    <row r="6109" spans="1:14">
      <c r="A6109" s="21">
        <v>2025</v>
      </c>
      <c r="B6109" s="21" t="s">
        <v>23</v>
      </c>
      <c r="C6109" s="21" t="s">
        <v>1145</v>
      </c>
      <c r="D6109" s="21" t="s">
        <v>39</v>
      </c>
      <c r="E6109" s="17" t="s">
        <v>1040</v>
      </c>
      <c r="F6109" s="18" t="s">
        <v>283</v>
      </c>
      <c r="G6109" s="18" t="s">
        <v>48</v>
      </c>
      <c r="H6109" s="24">
        <v>322500</v>
      </c>
      <c r="I6109" s="24">
        <f>T_reg.root.SK[[#This Row],[Volume, kg]]/1000</f>
        <v>322.5</v>
      </c>
      <c r="J6109" s="25">
        <v>0.17749999999999999</v>
      </c>
      <c r="K6109" s="25">
        <f t="shared" si="96"/>
        <v>57243.75</v>
      </c>
      <c r="L6109" s="25">
        <v>1.85</v>
      </c>
      <c r="M6109" s="24">
        <v>595837</v>
      </c>
      <c r="N6109" s="25">
        <f>IFERROR(T_reg.root.SK[[#This Row],[Price]]/T_reg.root.SK[[#This Row],[Starch content]],"")</f>
        <v>10.422535211267606</v>
      </c>
    </row>
    <row r="6110" spans="1:14">
      <c r="A6110" s="21">
        <v>2025</v>
      </c>
      <c r="B6110" s="21" t="s">
        <v>23</v>
      </c>
      <c r="C6110" s="21" t="s">
        <v>1145</v>
      </c>
      <c r="D6110" s="21" t="s">
        <v>35</v>
      </c>
      <c r="E6110" s="17" t="s">
        <v>811</v>
      </c>
      <c r="F6110" s="18" t="s">
        <v>105</v>
      </c>
      <c r="G6110" s="18" t="s">
        <v>48</v>
      </c>
      <c r="H6110" s="24">
        <v>4830</v>
      </c>
      <c r="I6110" s="24">
        <f>T_reg.root.SK[[#This Row],[Volume, kg]]/1000</f>
        <v>4.83</v>
      </c>
      <c r="J6110" s="25">
        <v>0.25800000000000001</v>
      </c>
      <c r="K6110" s="25">
        <f t="shared" si="96"/>
        <v>1246.1400000000001</v>
      </c>
      <c r="L6110" s="25">
        <v>2</v>
      </c>
      <c r="M6110" s="24">
        <v>9660</v>
      </c>
      <c r="N6110" s="25">
        <f>IFERROR(T_reg.root.SK[[#This Row],[Price]]/T_reg.root.SK[[#This Row],[Starch content]],"")</f>
        <v>7.7519379844961236</v>
      </c>
    </row>
    <row r="6111" spans="1:14">
      <c r="A6111" s="21">
        <v>2025</v>
      </c>
      <c r="B6111" s="21" t="s">
        <v>23</v>
      </c>
      <c r="C6111" s="21" t="s">
        <v>1145</v>
      </c>
      <c r="D6111" s="21" t="s">
        <v>35</v>
      </c>
      <c r="E6111" s="17" t="s">
        <v>148</v>
      </c>
      <c r="F6111" s="18" t="s">
        <v>105</v>
      </c>
      <c r="G6111" s="18" t="s">
        <v>48</v>
      </c>
      <c r="H6111" s="24">
        <v>139880</v>
      </c>
      <c r="I6111" s="24">
        <f>T_reg.root.SK[[#This Row],[Volume, kg]]/1000</f>
        <v>139.88</v>
      </c>
      <c r="J6111" s="25">
        <v>0.19670000000000001</v>
      </c>
      <c r="K6111" s="25">
        <f t="shared" si="96"/>
        <v>27514.396000000001</v>
      </c>
      <c r="L6111" s="25">
        <v>1.68</v>
      </c>
      <c r="M6111" s="24">
        <v>235109.5</v>
      </c>
      <c r="N6111" s="25">
        <f>IFERROR(T_reg.root.SK[[#This Row],[Price]]/T_reg.root.SK[[#This Row],[Starch content]],"")</f>
        <v>8.5409252669039137</v>
      </c>
    </row>
    <row r="6112" spans="1:14">
      <c r="A6112" s="21">
        <v>2025</v>
      </c>
      <c r="B6112" s="21" t="s">
        <v>23</v>
      </c>
      <c r="C6112" s="21" t="s">
        <v>1145</v>
      </c>
      <c r="D6112" s="21" t="s">
        <v>35</v>
      </c>
      <c r="E6112" s="17" t="s">
        <v>364</v>
      </c>
      <c r="F6112" s="18" t="s">
        <v>105</v>
      </c>
      <c r="G6112" s="18" t="s">
        <v>48</v>
      </c>
      <c r="H6112" s="24">
        <v>0</v>
      </c>
      <c r="I6112" s="24">
        <f>T_reg.root.SK[[#This Row],[Volume, kg]]/1000</f>
        <v>0</v>
      </c>
      <c r="J6112" s="25">
        <v>0</v>
      </c>
      <c r="K6112" s="25">
        <f t="shared" si="96"/>
        <v>0</v>
      </c>
      <c r="L6112" s="25">
        <v>0</v>
      </c>
      <c r="M6112" s="24">
        <v>0</v>
      </c>
      <c r="N6112" s="25" t="str">
        <f>IFERROR(T_reg.root.SK[[#This Row],[Price]]/T_reg.root.SK[[#This Row],[Starch content]],"")</f>
        <v/>
      </c>
    </row>
    <row r="6113" spans="1:14">
      <c r="A6113" s="21">
        <v>2025</v>
      </c>
      <c r="B6113" s="21" t="s">
        <v>23</v>
      </c>
      <c r="C6113" s="21" t="s">
        <v>1145</v>
      </c>
      <c r="D6113" s="21" t="s">
        <v>35</v>
      </c>
      <c r="E6113" s="17" t="s">
        <v>268</v>
      </c>
      <c r="F6113" s="18" t="s">
        <v>187</v>
      </c>
      <c r="G6113" s="18" t="s">
        <v>48</v>
      </c>
      <c r="H6113" s="24">
        <v>7880</v>
      </c>
      <c r="I6113" s="24">
        <f>T_reg.root.SK[[#This Row],[Volume, kg]]/1000</f>
        <v>7.88</v>
      </c>
      <c r="J6113" s="25">
        <v>0.2455</v>
      </c>
      <c r="K6113" s="25">
        <f t="shared" si="96"/>
        <v>1934.54</v>
      </c>
      <c r="L6113" s="25">
        <v>1.95</v>
      </c>
      <c r="M6113" s="24">
        <v>15366</v>
      </c>
      <c r="N6113" s="25">
        <f>IFERROR(T_reg.root.SK[[#This Row],[Price]]/T_reg.root.SK[[#This Row],[Starch content]],"")</f>
        <v>7.9429735234215881</v>
      </c>
    </row>
    <row r="6114" spans="1:14">
      <c r="A6114" s="21">
        <v>2025</v>
      </c>
      <c r="B6114" s="21" t="s">
        <v>23</v>
      </c>
      <c r="C6114" s="21" t="s">
        <v>1145</v>
      </c>
      <c r="D6114" s="21" t="s">
        <v>35</v>
      </c>
      <c r="E6114" s="17" t="s">
        <v>604</v>
      </c>
      <c r="F6114" s="18" t="s">
        <v>105</v>
      </c>
      <c r="G6114" s="18" t="s">
        <v>48</v>
      </c>
      <c r="H6114" s="24">
        <v>15360</v>
      </c>
      <c r="I6114" s="24">
        <f>T_reg.root.SK[[#This Row],[Volume, kg]]/1000</f>
        <v>15.36</v>
      </c>
      <c r="J6114" s="25">
        <v>0.214</v>
      </c>
      <c r="K6114" s="25">
        <f t="shared" si="96"/>
        <v>3287.04</v>
      </c>
      <c r="L6114" s="25">
        <v>1.78</v>
      </c>
      <c r="M6114" s="24">
        <v>27285</v>
      </c>
      <c r="N6114" s="25">
        <f>IFERROR(T_reg.root.SK[[#This Row],[Price]]/T_reg.root.SK[[#This Row],[Starch content]],"")</f>
        <v>8.3177570093457955</v>
      </c>
    </row>
    <row r="6115" spans="1:14">
      <c r="A6115" s="21">
        <v>2025</v>
      </c>
      <c r="B6115" s="21" t="s">
        <v>23</v>
      </c>
      <c r="C6115" s="21" t="s">
        <v>1145</v>
      </c>
      <c r="D6115" s="21" t="s">
        <v>35</v>
      </c>
      <c r="E6115" s="17" t="s">
        <v>313</v>
      </c>
      <c r="F6115" s="18" t="s">
        <v>105</v>
      </c>
      <c r="G6115" s="18" t="s">
        <v>48</v>
      </c>
      <c r="H6115" s="24">
        <v>38440</v>
      </c>
      <c r="I6115" s="24">
        <f>T_reg.root.SK[[#This Row],[Volume, kg]]/1000</f>
        <v>38.44</v>
      </c>
      <c r="J6115" s="25">
        <v>0.2296</v>
      </c>
      <c r="K6115" s="25">
        <f t="shared" si="96"/>
        <v>8825.8240000000005</v>
      </c>
      <c r="L6115" s="25">
        <v>1.86</v>
      </c>
      <c r="M6115" s="24">
        <v>71548</v>
      </c>
      <c r="N6115" s="25">
        <f>IFERROR(T_reg.root.SK[[#This Row],[Price]]/T_reg.root.SK[[#This Row],[Starch content]],"")</f>
        <v>8.1010452961672481</v>
      </c>
    </row>
    <row r="6116" spans="1:14">
      <c r="A6116" s="21">
        <v>2025</v>
      </c>
      <c r="B6116" s="21" t="s">
        <v>23</v>
      </c>
      <c r="C6116" s="21" t="s">
        <v>1145</v>
      </c>
      <c r="D6116" s="21" t="s">
        <v>35</v>
      </c>
      <c r="E6116" s="17" t="s">
        <v>595</v>
      </c>
      <c r="F6116" s="18" t="s">
        <v>187</v>
      </c>
      <c r="G6116" s="18" t="s">
        <v>48</v>
      </c>
      <c r="H6116" s="24">
        <v>51740</v>
      </c>
      <c r="I6116" s="24">
        <f>T_reg.root.SK[[#This Row],[Volume, kg]]/1000</f>
        <v>51.74</v>
      </c>
      <c r="J6116" s="25">
        <v>0.26679999999999998</v>
      </c>
      <c r="K6116" s="25">
        <f t="shared" si="96"/>
        <v>13804.231999999998</v>
      </c>
      <c r="L6116" s="25">
        <v>2.04</v>
      </c>
      <c r="M6116" s="24">
        <v>105460</v>
      </c>
      <c r="N6116" s="25">
        <f>IFERROR(T_reg.root.SK[[#This Row],[Price]]/T_reg.root.SK[[#This Row],[Starch content]],"")</f>
        <v>7.6461769115442282</v>
      </c>
    </row>
    <row r="6117" spans="1:14">
      <c r="A6117" s="21">
        <v>2025</v>
      </c>
      <c r="B6117" s="21" t="s">
        <v>23</v>
      </c>
      <c r="C6117" s="21" t="s">
        <v>1145</v>
      </c>
      <c r="D6117" s="21" t="s">
        <v>35</v>
      </c>
      <c r="E6117" s="17" t="s">
        <v>208</v>
      </c>
      <c r="F6117" s="18" t="s">
        <v>187</v>
      </c>
      <c r="G6117" s="18" t="s">
        <v>48</v>
      </c>
      <c r="H6117" s="24">
        <v>30140</v>
      </c>
      <c r="I6117" s="24">
        <f>T_reg.root.SK[[#This Row],[Volume, kg]]/1000</f>
        <v>30.14</v>
      </c>
      <c r="J6117" s="25">
        <v>0.1585</v>
      </c>
      <c r="K6117" s="25">
        <f t="shared" si="96"/>
        <v>4777.1900000000005</v>
      </c>
      <c r="L6117" s="25">
        <v>1.5</v>
      </c>
      <c r="M6117" s="24">
        <v>45072</v>
      </c>
      <c r="N6117" s="25">
        <f>IFERROR(T_reg.root.SK[[#This Row],[Price]]/T_reg.root.SK[[#This Row],[Starch content]],"")</f>
        <v>9.4637223974763405</v>
      </c>
    </row>
    <row r="6118" spans="1:14">
      <c r="A6118" s="21">
        <v>2025</v>
      </c>
      <c r="B6118" s="21" t="s">
        <v>23</v>
      </c>
      <c r="C6118" s="21" t="s">
        <v>1145</v>
      </c>
      <c r="D6118" s="21" t="s">
        <v>35</v>
      </c>
      <c r="E6118" s="17" t="s">
        <v>314</v>
      </c>
      <c r="F6118" s="18" t="s">
        <v>105</v>
      </c>
      <c r="G6118" s="18" t="s">
        <v>48</v>
      </c>
      <c r="H6118" s="24">
        <v>31750</v>
      </c>
      <c r="I6118" s="24">
        <f>T_reg.root.SK[[#This Row],[Volume, kg]]/1000</f>
        <v>31.75</v>
      </c>
      <c r="J6118" s="25">
        <v>0.16850000000000001</v>
      </c>
      <c r="K6118" s="25">
        <f t="shared" si="96"/>
        <v>5349.875</v>
      </c>
      <c r="L6118" s="25">
        <v>1.54</v>
      </c>
      <c r="M6118" s="24">
        <v>49034</v>
      </c>
      <c r="N6118" s="25">
        <f>IFERROR(T_reg.root.SK[[#This Row],[Price]]/T_reg.root.SK[[#This Row],[Starch content]],"")</f>
        <v>9.1394658753709201</v>
      </c>
    </row>
    <row r="6119" spans="1:14">
      <c r="A6119" s="21">
        <v>2025</v>
      </c>
      <c r="B6119" s="21" t="s">
        <v>23</v>
      </c>
      <c r="C6119" s="21" t="s">
        <v>1145</v>
      </c>
      <c r="D6119" s="21" t="s">
        <v>35</v>
      </c>
      <c r="E6119" s="17" t="s">
        <v>500</v>
      </c>
      <c r="F6119" s="18" t="s">
        <v>105</v>
      </c>
      <c r="G6119" s="18" t="s">
        <v>48</v>
      </c>
      <c r="H6119" s="24">
        <v>12960</v>
      </c>
      <c r="I6119" s="24">
        <f>T_reg.root.SK[[#This Row],[Volume, kg]]/1000</f>
        <v>12.96</v>
      </c>
      <c r="J6119" s="25">
        <v>0.2409</v>
      </c>
      <c r="K6119" s="25">
        <f t="shared" si="96"/>
        <v>3122.0639999999999</v>
      </c>
      <c r="L6119" s="25">
        <v>1.9</v>
      </c>
      <c r="M6119" s="24">
        <v>24613</v>
      </c>
      <c r="N6119" s="25">
        <f>IFERROR(T_reg.root.SK[[#This Row],[Price]]/T_reg.root.SK[[#This Row],[Starch content]],"")</f>
        <v>7.8870900788709006</v>
      </c>
    </row>
    <row r="6120" spans="1:14">
      <c r="A6120" s="21">
        <v>2025</v>
      </c>
      <c r="B6120" s="21" t="s">
        <v>23</v>
      </c>
      <c r="C6120" s="21" t="s">
        <v>1145</v>
      </c>
      <c r="D6120" s="21" t="s">
        <v>35</v>
      </c>
      <c r="E6120" s="17" t="s">
        <v>150</v>
      </c>
      <c r="F6120" s="18" t="s">
        <v>105</v>
      </c>
      <c r="G6120" s="18" t="s">
        <v>48</v>
      </c>
      <c r="H6120" s="24">
        <v>289240</v>
      </c>
      <c r="I6120" s="24">
        <f>T_reg.root.SK[[#This Row],[Volume, kg]]/1000</f>
        <v>289.24</v>
      </c>
      <c r="J6120" s="25">
        <v>0.22769999999999999</v>
      </c>
      <c r="K6120" s="25">
        <f t="shared" si="96"/>
        <v>65859.947999999989</v>
      </c>
      <c r="L6120" s="25">
        <v>1.84</v>
      </c>
      <c r="M6120" s="24">
        <v>532289.5</v>
      </c>
      <c r="N6120" s="25">
        <f>IFERROR(T_reg.root.SK[[#This Row],[Price]]/T_reg.root.SK[[#This Row],[Starch content]],"")</f>
        <v>8.0808080808080813</v>
      </c>
    </row>
    <row r="6121" spans="1:14">
      <c r="A6121" s="21">
        <v>2025</v>
      </c>
      <c r="B6121" s="21" t="s">
        <v>23</v>
      </c>
      <c r="C6121" s="21" t="s">
        <v>1145</v>
      </c>
      <c r="D6121" s="21" t="s">
        <v>35</v>
      </c>
      <c r="E6121" s="17" t="s">
        <v>570</v>
      </c>
      <c r="F6121" s="18" t="s">
        <v>105</v>
      </c>
      <c r="G6121" s="18" t="s">
        <v>48</v>
      </c>
      <c r="H6121" s="24">
        <v>165850</v>
      </c>
      <c r="I6121" s="24">
        <f>T_reg.root.SK[[#This Row],[Volume, kg]]/1000</f>
        <v>165.85</v>
      </c>
      <c r="J6121" s="25">
        <v>0.19339999999999999</v>
      </c>
      <c r="K6121" s="25">
        <f t="shared" si="96"/>
        <v>32075.39</v>
      </c>
      <c r="L6121" s="25">
        <v>1.67</v>
      </c>
      <c r="M6121" s="24">
        <v>276996.5</v>
      </c>
      <c r="N6121" s="25">
        <f>IFERROR(T_reg.root.SK[[#This Row],[Price]]/T_reg.root.SK[[#This Row],[Starch content]],"")</f>
        <v>8.6349534643226473</v>
      </c>
    </row>
    <row r="6122" spans="1:14">
      <c r="A6122" s="21">
        <v>2025</v>
      </c>
      <c r="B6122" s="21" t="s">
        <v>23</v>
      </c>
      <c r="C6122" s="21" t="s">
        <v>1145</v>
      </c>
      <c r="D6122" s="21" t="s">
        <v>35</v>
      </c>
      <c r="E6122" s="17" t="s">
        <v>151</v>
      </c>
      <c r="F6122" s="18" t="s">
        <v>105</v>
      </c>
      <c r="G6122" s="18" t="s">
        <v>48</v>
      </c>
      <c r="H6122" s="24">
        <v>84990</v>
      </c>
      <c r="I6122" s="24">
        <f>T_reg.root.SK[[#This Row],[Volume, kg]]/1000</f>
        <v>84.99</v>
      </c>
      <c r="J6122" s="25">
        <v>0.21440000000000001</v>
      </c>
      <c r="K6122" s="25">
        <f t="shared" si="96"/>
        <v>18221.856</v>
      </c>
      <c r="L6122" s="25">
        <v>1.77</v>
      </c>
      <c r="M6122" s="24">
        <v>150336.5</v>
      </c>
      <c r="N6122" s="25">
        <f>IFERROR(T_reg.root.SK[[#This Row],[Price]]/T_reg.root.SK[[#This Row],[Starch content]],"")</f>
        <v>8.2555970149253728</v>
      </c>
    </row>
    <row r="6123" spans="1:14">
      <c r="A6123" s="21">
        <v>2025</v>
      </c>
      <c r="B6123" s="21" t="s">
        <v>23</v>
      </c>
      <c r="C6123" s="21" t="s">
        <v>1145</v>
      </c>
      <c r="D6123" s="21" t="s">
        <v>35</v>
      </c>
      <c r="E6123" s="17" t="s">
        <v>316</v>
      </c>
      <c r="F6123" s="18" t="s">
        <v>105</v>
      </c>
      <c r="G6123" s="18" t="s">
        <v>48</v>
      </c>
      <c r="H6123" s="24">
        <v>37150</v>
      </c>
      <c r="I6123" s="24">
        <f>T_reg.root.SK[[#This Row],[Volume, kg]]/1000</f>
        <v>37.15</v>
      </c>
      <c r="J6123" s="25">
        <v>0.26219999999999999</v>
      </c>
      <c r="K6123" s="25">
        <f t="shared" si="96"/>
        <v>9740.73</v>
      </c>
      <c r="L6123" s="25">
        <v>2.0099999999999998</v>
      </c>
      <c r="M6123" s="24">
        <v>74539.5</v>
      </c>
      <c r="N6123" s="25">
        <f>IFERROR(T_reg.root.SK[[#This Row],[Price]]/T_reg.root.SK[[#This Row],[Starch content]],"")</f>
        <v>7.6659038901601821</v>
      </c>
    </row>
    <row r="6124" spans="1:14">
      <c r="A6124" s="21">
        <v>2025</v>
      </c>
      <c r="B6124" s="21" t="s">
        <v>23</v>
      </c>
      <c r="C6124" s="21" t="s">
        <v>1145</v>
      </c>
      <c r="D6124" s="21" t="s">
        <v>35</v>
      </c>
      <c r="E6124" s="17" t="s">
        <v>70</v>
      </c>
      <c r="F6124" s="18" t="s">
        <v>47</v>
      </c>
      <c r="G6124" s="18" t="s">
        <v>48</v>
      </c>
      <c r="H6124" s="24">
        <v>101950</v>
      </c>
      <c r="I6124" s="24">
        <f>T_reg.root.SK[[#This Row],[Volume, kg]]/1000</f>
        <v>101.95</v>
      </c>
      <c r="J6124" s="25">
        <v>0.22690000000000002</v>
      </c>
      <c r="K6124" s="25">
        <f t="shared" si="96"/>
        <v>23132.455000000002</v>
      </c>
      <c r="L6124" s="25">
        <v>1.84</v>
      </c>
      <c r="M6124" s="24">
        <v>187786</v>
      </c>
      <c r="N6124" s="25">
        <f>IFERROR(T_reg.root.SK[[#This Row],[Price]]/T_reg.root.SK[[#This Row],[Starch content]],"")</f>
        <v>8.1092992507712651</v>
      </c>
    </row>
    <row r="6125" spans="1:14">
      <c r="A6125" s="21">
        <v>2025</v>
      </c>
      <c r="B6125" s="21" t="s">
        <v>23</v>
      </c>
      <c r="C6125" s="21" t="s">
        <v>1145</v>
      </c>
      <c r="D6125" s="21" t="s">
        <v>35</v>
      </c>
      <c r="E6125" s="17" t="s">
        <v>152</v>
      </c>
      <c r="F6125" s="18" t="s">
        <v>105</v>
      </c>
      <c r="G6125" s="18" t="s">
        <v>48</v>
      </c>
      <c r="H6125" s="24">
        <v>0</v>
      </c>
      <c r="I6125" s="24">
        <f>T_reg.root.SK[[#This Row],[Volume, kg]]/1000</f>
        <v>0</v>
      </c>
      <c r="J6125" s="25">
        <v>0</v>
      </c>
      <c r="K6125" s="25">
        <f t="shared" si="96"/>
        <v>0</v>
      </c>
      <c r="L6125" s="25">
        <v>0</v>
      </c>
      <c r="M6125" s="24">
        <v>0</v>
      </c>
      <c r="N6125" s="25" t="str">
        <f>IFERROR(T_reg.root.SK[[#This Row],[Price]]/T_reg.root.SK[[#This Row],[Starch content]],"")</f>
        <v/>
      </c>
    </row>
    <row r="6126" spans="1:14">
      <c r="A6126" s="21">
        <v>2025</v>
      </c>
      <c r="B6126" s="21" t="s">
        <v>23</v>
      </c>
      <c r="C6126" s="21" t="s">
        <v>1145</v>
      </c>
      <c r="D6126" s="21" t="s">
        <v>35</v>
      </c>
      <c r="E6126" s="17" t="s">
        <v>953</v>
      </c>
      <c r="F6126" s="18" t="s">
        <v>105</v>
      </c>
      <c r="G6126" s="18" t="s">
        <v>48</v>
      </c>
      <c r="H6126" s="24">
        <v>40350</v>
      </c>
      <c r="I6126" s="24">
        <f>T_reg.root.SK[[#This Row],[Volume, kg]]/1000</f>
        <v>40.35</v>
      </c>
      <c r="J6126" s="25">
        <v>0.20749999999999999</v>
      </c>
      <c r="K6126" s="25">
        <f t="shared" si="96"/>
        <v>8372.625</v>
      </c>
      <c r="L6126" s="25">
        <v>1.75</v>
      </c>
      <c r="M6126" s="24">
        <v>70612.5</v>
      </c>
      <c r="N6126" s="25">
        <f>IFERROR(T_reg.root.SK[[#This Row],[Price]]/T_reg.root.SK[[#This Row],[Starch content]],"")</f>
        <v>8.4337349397590362</v>
      </c>
    </row>
    <row r="6127" spans="1:14">
      <c r="A6127" s="21">
        <v>2025</v>
      </c>
      <c r="B6127" s="21" t="s">
        <v>23</v>
      </c>
      <c r="C6127" s="21" t="s">
        <v>1145</v>
      </c>
      <c r="D6127" s="21" t="s">
        <v>35</v>
      </c>
      <c r="E6127" s="17" t="s">
        <v>689</v>
      </c>
      <c r="F6127" s="18" t="s">
        <v>187</v>
      </c>
      <c r="G6127" s="18" t="s">
        <v>48</v>
      </c>
      <c r="H6127" s="24">
        <v>100910</v>
      </c>
      <c r="I6127" s="24">
        <f>T_reg.root.SK[[#This Row],[Volume, kg]]/1000</f>
        <v>100.91</v>
      </c>
      <c r="J6127" s="25">
        <v>0.19600000000000001</v>
      </c>
      <c r="K6127" s="25">
        <f t="shared" si="96"/>
        <v>19778.36</v>
      </c>
      <c r="L6127" s="25">
        <v>1.67</v>
      </c>
      <c r="M6127" s="24">
        <v>168809</v>
      </c>
      <c r="N6127" s="25">
        <f>IFERROR(T_reg.root.SK[[#This Row],[Price]]/T_reg.root.SK[[#This Row],[Starch content]],"")</f>
        <v>8.520408163265305</v>
      </c>
    </row>
    <row r="6128" spans="1:14">
      <c r="A6128" s="21">
        <v>2025</v>
      </c>
      <c r="B6128" s="21" t="s">
        <v>23</v>
      </c>
      <c r="C6128" s="21" t="s">
        <v>1145</v>
      </c>
      <c r="D6128" s="21" t="s">
        <v>35</v>
      </c>
      <c r="E6128" s="17" t="s">
        <v>254</v>
      </c>
      <c r="F6128" s="18" t="s">
        <v>105</v>
      </c>
      <c r="G6128" s="18" t="s">
        <v>48</v>
      </c>
      <c r="H6128" s="24">
        <v>8550</v>
      </c>
      <c r="I6128" s="24">
        <f>T_reg.root.SK[[#This Row],[Volume, kg]]/1000</f>
        <v>8.5500000000000007</v>
      </c>
      <c r="J6128" s="25">
        <v>0.23440000000000003</v>
      </c>
      <c r="K6128" s="25">
        <f t="shared" si="96"/>
        <v>2004.1200000000001</v>
      </c>
      <c r="L6128" s="25">
        <v>1.88</v>
      </c>
      <c r="M6128" s="24">
        <v>16046</v>
      </c>
      <c r="N6128" s="25">
        <f>IFERROR(T_reg.root.SK[[#This Row],[Price]]/T_reg.root.SK[[#This Row],[Starch content]],"")</f>
        <v>8.0204778156996568</v>
      </c>
    </row>
    <row r="6129" spans="1:14">
      <c r="A6129" s="21">
        <v>2025</v>
      </c>
      <c r="B6129" s="21" t="s">
        <v>23</v>
      </c>
      <c r="C6129" s="21" t="s">
        <v>1145</v>
      </c>
      <c r="D6129" s="21" t="s">
        <v>35</v>
      </c>
      <c r="E6129" s="17" t="s">
        <v>154</v>
      </c>
      <c r="F6129" s="18" t="s">
        <v>105</v>
      </c>
      <c r="G6129" s="18" t="s">
        <v>48</v>
      </c>
      <c r="H6129" s="24">
        <v>15530</v>
      </c>
      <c r="I6129" s="24">
        <f>T_reg.root.SK[[#This Row],[Volume, kg]]/1000</f>
        <v>15.53</v>
      </c>
      <c r="J6129" s="25">
        <v>0.22800000000000001</v>
      </c>
      <c r="K6129" s="25">
        <f t="shared" si="96"/>
        <v>3540.84</v>
      </c>
      <c r="L6129" s="25">
        <v>1.85</v>
      </c>
      <c r="M6129" s="24">
        <v>28730.5</v>
      </c>
      <c r="N6129" s="25">
        <f>IFERROR(T_reg.root.SK[[#This Row],[Price]]/T_reg.root.SK[[#This Row],[Starch content]],"")</f>
        <v>8.1140350877192979</v>
      </c>
    </row>
    <row r="6130" spans="1:14">
      <c r="A6130" s="21">
        <v>2025</v>
      </c>
      <c r="B6130" s="21" t="s">
        <v>23</v>
      </c>
      <c r="C6130" s="21" t="s">
        <v>1145</v>
      </c>
      <c r="D6130" s="21" t="s">
        <v>35</v>
      </c>
      <c r="E6130" s="17" t="s">
        <v>155</v>
      </c>
      <c r="F6130" s="18" t="s">
        <v>105</v>
      </c>
      <c r="G6130" s="18" t="s">
        <v>48</v>
      </c>
      <c r="H6130" s="24">
        <v>5410</v>
      </c>
      <c r="I6130" s="24">
        <f>T_reg.root.SK[[#This Row],[Volume, kg]]/1000</f>
        <v>5.41</v>
      </c>
      <c r="J6130" s="25">
        <v>0.24</v>
      </c>
      <c r="K6130" s="25">
        <f t="shared" si="96"/>
        <v>1298.3999999999999</v>
      </c>
      <c r="L6130" s="25">
        <v>1.9</v>
      </c>
      <c r="M6130" s="24">
        <v>10279</v>
      </c>
      <c r="N6130" s="25">
        <f>IFERROR(T_reg.root.SK[[#This Row],[Price]]/T_reg.root.SK[[#This Row],[Starch content]],"")</f>
        <v>7.916666666666667</v>
      </c>
    </row>
    <row r="6131" spans="1:14">
      <c r="A6131" s="21">
        <v>2025</v>
      </c>
      <c r="B6131" s="21" t="s">
        <v>23</v>
      </c>
      <c r="C6131" s="21" t="s">
        <v>1145</v>
      </c>
      <c r="D6131" s="21" t="s">
        <v>35</v>
      </c>
      <c r="E6131" s="17" t="s">
        <v>73</v>
      </c>
      <c r="F6131" s="18" t="s">
        <v>47</v>
      </c>
      <c r="G6131" s="18" t="s">
        <v>48</v>
      </c>
      <c r="H6131" s="24">
        <v>5810</v>
      </c>
      <c r="I6131" s="24">
        <f>T_reg.root.SK[[#This Row],[Volume, kg]]/1000</f>
        <v>5.81</v>
      </c>
      <c r="J6131" s="25">
        <v>0.17499999999999999</v>
      </c>
      <c r="K6131" s="25">
        <f t="shared" si="96"/>
        <v>1016.7499999999999</v>
      </c>
      <c r="L6131" s="25">
        <v>1.6</v>
      </c>
      <c r="M6131" s="24">
        <v>9296</v>
      </c>
      <c r="N6131" s="25">
        <f>IFERROR(T_reg.root.SK[[#This Row],[Price]]/T_reg.root.SK[[#This Row],[Starch content]],"")</f>
        <v>9.1428571428571441</v>
      </c>
    </row>
    <row r="6132" spans="1:14">
      <c r="A6132" s="21">
        <v>2025</v>
      </c>
      <c r="B6132" s="21" t="s">
        <v>23</v>
      </c>
      <c r="C6132" s="21" t="s">
        <v>1145</v>
      </c>
      <c r="D6132" s="21" t="s">
        <v>35</v>
      </c>
      <c r="E6132" s="17" t="s">
        <v>74</v>
      </c>
      <c r="F6132" s="18" t="s">
        <v>47</v>
      </c>
      <c r="G6132" s="18" t="s">
        <v>48</v>
      </c>
      <c r="H6132" s="24">
        <v>7110</v>
      </c>
      <c r="I6132" s="24">
        <f>T_reg.root.SK[[#This Row],[Volume, kg]]/1000</f>
        <v>7.11</v>
      </c>
      <c r="J6132" s="25">
        <v>0.19350000000000001</v>
      </c>
      <c r="K6132" s="25">
        <f t="shared" si="96"/>
        <v>1375.7850000000001</v>
      </c>
      <c r="L6132" s="25">
        <v>1.65</v>
      </c>
      <c r="M6132" s="24">
        <v>11731.5</v>
      </c>
      <c r="N6132" s="25">
        <f>IFERROR(T_reg.root.SK[[#This Row],[Price]]/T_reg.root.SK[[#This Row],[Starch content]],"")</f>
        <v>8.5271317829457356</v>
      </c>
    </row>
    <row r="6133" spans="1:14">
      <c r="A6133" s="21">
        <v>2025</v>
      </c>
      <c r="B6133" s="21" t="s">
        <v>23</v>
      </c>
      <c r="C6133" s="21" t="s">
        <v>1145</v>
      </c>
      <c r="D6133" s="21" t="s">
        <v>35</v>
      </c>
      <c r="E6133" s="17" t="s">
        <v>992</v>
      </c>
      <c r="F6133" s="18" t="s">
        <v>105</v>
      </c>
      <c r="G6133" s="18" t="s">
        <v>48</v>
      </c>
      <c r="H6133" s="24">
        <v>32940</v>
      </c>
      <c r="I6133" s="24">
        <f>T_reg.root.SK[[#This Row],[Volume, kg]]/1000</f>
        <v>32.94</v>
      </c>
      <c r="J6133" s="25">
        <v>0.1928</v>
      </c>
      <c r="K6133" s="25">
        <f t="shared" si="96"/>
        <v>6350.8320000000003</v>
      </c>
      <c r="L6133" s="25">
        <v>1.67</v>
      </c>
      <c r="M6133" s="24">
        <v>54996.5</v>
      </c>
      <c r="N6133" s="25">
        <f>IFERROR(T_reg.root.SK[[#This Row],[Price]]/T_reg.root.SK[[#This Row],[Starch content]],"")</f>
        <v>8.6618257261410783</v>
      </c>
    </row>
    <row r="6134" spans="1:14">
      <c r="A6134" s="21">
        <v>2025</v>
      </c>
      <c r="B6134" s="21" t="s">
        <v>23</v>
      </c>
      <c r="C6134" s="21" t="s">
        <v>1145</v>
      </c>
      <c r="D6134" s="21" t="s">
        <v>39</v>
      </c>
      <c r="E6134" s="17" t="s">
        <v>552</v>
      </c>
      <c r="F6134" s="18" t="s">
        <v>95</v>
      </c>
      <c r="G6134" s="18" t="s">
        <v>48</v>
      </c>
      <c r="H6134" s="24">
        <v>4038440</v>
      </c>
      <c r="I6134" s="24">
        <f>T_reg.root.SK[[#This Row],[Volume, kg]]/1000</f>
        <v>4038.44</v>
      </c>
      <c r="J6134" s="25">
        <v>0.19649999999999998</v>
      </c>
      <c r="K6134" s="25">
        <f t="shared" si="96"/>
        <v>793553.46</v>
      </c>
      <c r="L6134" s="25">
        <v>1.94</v>
      </c>
      <c r="M6134" s="24">
        <v>7845495</v>
      </c>
      <c r="N6134" s="25">
        <f>IFERROR(T_reg.root.SK[[#This Row],[Price]]/T_reg.root.SK[[#This Row],[Starch content]],"")</f>
        <v>9.8727735368956751</v>
      </c>
    </row>
    <row r="6135" spans="1:14">
      <c r="A6135" s="21">
        <v>2025</v>
      </c>
      <c r="B6135" s="21" t="s">
        <v>23</v>
      </c>
      <c r="C6135" s="21" t="s">
        <v>1145</v>
      </c>
      <c r="D6135" s="21" t="s">
        <v>35</v>
      </c>
      <c r="E6135" s="17" t="s">
        <v>473</v>
      </c>
      <c r="F6135" s="18" t="s">
        <v>47</v>
      </c>
      <c r="G6135" s="18" t="s">
        <v>48</v>
      </c>
      <c r="H6135" s="24">
        <v>42240</v>
      </c>
      <c r="I6135" s="24">
        <f>T_reg.root.SK[[#This Row],[Volume, kg]]/1000</f>
        <v>42.24</v>
      </c>
      <c r="J6135" s="25">
        <v>0.2384</v>
      </c>
      <c r="K6135" s="25">
        <f t="shared" si="96"/>
        <v>10070.016</v>
      </c>
      <c r="L6135" s="25">
        <v>1.89</v>
      </c>
      <c r="M6135" s="24">
        <v>79744</v>
      </c>
      <c r="N6135" s="25">
        <f>IFERROR(T_reg.root.SK[[#This Row],[Price]]/T_reg.root.SK[[#This Row],[Starch content]],"")</f>
        <v>7.9278523489932882</v>
      </c>
    </row>
    <row r="6136" spans="1:14">
      <c r="A6136" s="21">
        <v>2025</v>
      </c>
      <c r="B6136" s="21" t="s">
        <v>23</v>
      </c>
      <c r="C6136" s="21" t="s">
        <v>1145</v>
      </c>
      <c r="D6136" s="21" t="s">
        <v>35</v>
      </c>
      <c r="E6136" s="17" t="s">
        <v>704</v>
      </c>
      <c r="F6136" s="18" t="s">
        <v>187</v>
      </c>
      <c r="G6136" s="18" t="s">
        <v>48</v>
      </c>
      <c r="H6136" s="24">
        <v>14380</v>
      </c>
      <c r="I6136" s="24">
        <f>T_reg.root.SK[[#This Row],[Volume, kg]]/1000</f>
        <v>14.38</v>
      </c>
      <c r="J6136" s="25">
        <v>0.18289999999999998</v>
      </c>
      <c r="K6136" s="25">
        <f t="shared" si="96"/>
        <v>2630.1019999999999</v>
      </c>
      <c r="L6136" s="25">
        <v>1.62</v>
      </c>
      <c r="M6136" s="24">
        <v>23322</v>
      </c>
      <c r="N6136" s="25">
        <f>IFERROR(T_reg.root.SK[[#This Row],[Price]]/T_reg.root.SK[[#This Row],[Starch content]],"")</f>
        <v>8.8572990705303454</v>
      </c>
    </row>
    <row r="6137" spans="1:14">
      <c r="A6137" s="21">
        <v>2025</v>
      </c>
      <c r="B6137" s="21" t="s">
        <v>23</v>
      </c>
      <c r="C6137" s="21" t="s">
        <v>1145</v>
      </c>
      <c r="D6137" s="21" t="s">
        <v>35</v>
      </c>
      <c r="E6137" s="17" t="s">
        <v>158</v>
      </c>
      <c r="F6137" s="18" t="s">
        <v>105</v>
      </c>
      <c r="G6137" s="18" t="s">
        <v>48</v>
      </c>
      <c r="H6137" s="24">
        <v>53030</v>
      </c>
      <c r="I6137" s="24">
        <f>T_reg.root.SK[[#This Row],[Volume, kg]]/1000</f>
        <v>53.03</v>
      </c>
      <c r="J6137" s="25">
        <v>0.22899999999999998</v>
      </c>
      <c r="K6137" s="25">
        <f t="shared" si="96"/>
        <v>12143.869999999999</v>
      </c>
      <c r="L6137" s="25">
        <v>1.85</v>
      </c>
      <c r="M6137" s="24">
        <v>98131.5</v>
      </c>
      <c r="N6137" s="25">
        <f>IFERROR(T_reg.root.SK[[#This Row],[Price]]/T_reg.root.SK[[#This Row],[Starch content]],"")</f>
        <v>8.078602620087338</v>
      </c>
    </row>
    <row r="6138" spans="1:14">
      <c r="A6138" s="21">
        <v>2025</v>
      </c>
      <c r="B6138" s="21" t="s">
        <v>23</v>
      </c>
      <c r="C6138" s="21" t="s">
        <v>1145</v>
      </c>
      <c r="D6138" s="21" t="s">
        <v>35</v>
      </c>
      <c r="E6138" s="17" t="s">
        <v>210</v>
      </c>
      <c r="F6138" s="18" t="s">
        <v>187</v>
      </c>
      <c r="G6138" s="18" t="s">
        <v>48</v>
      </c>
      <c r="H6138" s="24">
        <v>49160</v>
      </c>
      <c r="I6138" s="24">
        <f>T_reg.root.SK[[#This Row],[Volume, kg]]/1000</f>
        <v>49.16</v>
      </c>
      <c r="J6138" s="25">
        <v>0.20879999999999999</v>
      </c>
      <c r="K6138" s="25">
        <f t="shared" si="96"/>
        <v>10264.608</v>
      </c>
      <c r="L6138" s="25">
        <v>1.75</v>
      </c>
      <c r="M6138" s="24">
        <v>86145</v>
      </c>
      <c r="N6138" s="25">
        <f>IFERROR(T_reg.root.SK[[#This Row],[Price]]/T_reg.root.SK[[#This Row],[Starch content]],"")</f>
        <v>8.381226053639848</v>
      </c>
    </row>
    <row r="6139" spans="1:14">
      <c r="A6139" s="21">
        <v>2025</v>
      </c>
      <c r="B6139" s="21" t="s">
        <v>23</v>
      </c>
      <c r="C6139" s="21" t="s">
        <v>1145</v>
      </c>
      <c r="D6139" s="21" t="s">
        <v>35</v>
      </c>
      <c r="E6139" s="17" t="s">
        <v>934</v>
      </c>
      <c r="F6139" s="18" t="s">
        <v>105</v>
      </c>
      <c r="G6139" s="18" t="s">
        <v>48</v>
      </c>
      <c r="H6139" s="24">
        <v>60340</v>
      </c>
      <c r="I6139" s="24">
        <f>T_reg.root.SK[[#This Row],[Volume, kg]]/1000</f>
        <v>60.34</v>
      </c>
      <c r="J6139" s="25">
        <v>0.217</v>
      </c>
      <c r="K6139" s="25">
        <f t="shared" si="96"/>
        <v>13093.78</v>
      </c>
      <c r="L6139" s="25">
        <v>1.79</v>
      </c>
      <c r="M6139" s="24">
        <v>107780.5</v>
      </c>
      <c r="N6139" s="25">
        <f>IFERROR(T_reg.root.SK[[#This Row],[Price]]/T_reg.root.SK[[#This Row],[Starch content]],"")</f>
        <v>8.2488479262672811</v>
      </c>
    </row>
    <row r="6140" spans="1:14">
      <c r="A6140" s="21">
        <v>2025</v>
      </c>
      <c r="B6140" s="21" t="s">
        <v>23</v>
      </c>
      <c r="C6140" s="21" t="s">
        <v>1145</v>
      </c>
      <c r="D6140" s="21" t="s">
        <v>35</v>
      </c>
      <c r="E6140" s="17" t="s">
        <v>159</v>
      </c>
      <c r="F6140" s="18" t="s">
        <v>105</v>
      </c>
      <c r="G6140" s="18" t="s">
        <v>48</v>
      </c>
      <c r="H6140" s="24">
        <v>244480</v>
      </c>
      <c r="I6140" s="24">
        <f>T_reg.root.SK[[#This Row],[Volume, kg]]/1000</f>
        <v>244.48</v>
      </c>
      <c r="J6140" s="25">
        <v>0.23010000000000003</v>
      </c>
      <c r="K6140" s="25">
        <f t="shared" si="96"/>
        <v>56254.848000000005</v>
      </c>
      <c r="L6140" s="25">
        <v>1.85</v>
      </c>
      <c r="M6140" s="24">
        <v>453494.5</v>
      </c>
      <c r="N6140" s="25">
        <f>IFERROR(T_reg.root.SK[[#This Row],[Price]]/T_reg.root.SK[[#This Row],[Starch content]],"")</f>
        <v>8.039982616253802</v>
      </c>
    </row>
    <row r="6141" spans="1:14">
      <c r="A6141" s="21">
        <v>2025</v>
      </c>
      <c r="B6141" s="21" t="s">
        <v>23</v>
      </c>
      <c r="C6141" s="21" t="s">
        <v>1145</v>
      </c>
      <c r="D6141" s="21" t="s">
        <v>35</v>
      </c>
      <c r="E6141" s="17" t="s">
        <v>75</v>
      </c>
      <c r="F6141" s="18" t="s">
        <v>47</v>
      </c>
      <c r="G6141" s="18" t="s">
        <v>48</v>
      </c>
      <c r="H6141" s="24">
        <v>50530</v>
      </c>
      <c r="I6141" s="24">
        <f>T_reg.root.SK[[#This Row],[Volume, kg]]/1000</f>
        <v>50.53</v>
      </c>
      <c r="J6141" s="25">
        <v>0.2024</v>
      </c>
      <c r="K6141" s="25">
        <f t="shared" si="96"/>
        <v>10227.271999999999</v>
      </c>
      <c r="L6141" s="25">
        <v>1.71</v>
      </c>
      <c r="M6141" s="24">
        <v>86327</v>
      </c>
      <c r="N6141" s="25">
        <f>IFERROR(T_reg.root.SK[[#This Row],[Price]]/T_reg.root.SK[[#This Row],[Starch content]],"")</f>
        <v>8.4486166007905137</v>
      </c>
    </row>
    <row r="6142" spans="1:14">
      <c r="A6142" s="21">
        <v>2025</v>
      </c>
      <c r="B6142" s="21" t="s">
        <v>23</v>
      </c>
      <c r="C6142" s="21" t="s">
        <v>1145</v>
      </c>
      <c r="D6142" s="21" t="s">
        <v>35</v>
      </c>
      <c r="E6142" s="17" t="s">
        <v>501</v>
      </c>
      <c r="F6142" s="18" t="s">
        <v>105</v>
      </c>
      <c r="G6142" s="18" t="s">
        <v>48</v>
      </c>
      <c r="H6142" s="24">
        <v>4340</v>
      </c>
      <c r="I6142" s="24">
        <f>T_reg.root.SK[[#This Row],[Volume, kg]]/1000</f>
        <v>4.34</v>
      </c>
      <c r="J6142" s="25">
        <v>0.21149999999999999</v>
      </c>
      <c r="K6142" s="25">
        <f t="shared" si="96"/>
        <v>917.91</v>
      </c>
      <c r="L6142" s="25">
        <v>1.75</v>
      </c>
      <c r="M6142" s="24">
        <v>7595</v>
      </c>
      <c r="N6142" s="25">
        <f>IFERROR(T_reg.root.SK[[#This Row],[Price]]/T_reg.root.SK[[#This Row],[Starch content]],"")</f>
        <v>8.2742316784869985</v>
      </c>
    </row>
    <row r="6143" spans="1:14">
      <c r="A6143" s="21">
        <v>2025</v>
      </c>
      <c r="B6143" s="21" t="s">
        <v>23</v>
      </c>
      <c r="C6143" s="21" t="s">
        <v>1145</v>
      </c>
      <c r="D6143" s="21" t="s">
        <v>35</v>
      </c>
      <c r="E6143" s="17" t="s">
        <v>333</v>
      </c>
      <c r="F6143" s="18" t="s">
        <v>187</v>
      </c>
      <c r="G6143" s="18" t="s">
        <v>48</v>
      </c>
      <c r="H6143" s="24">
        <v>72160</v>
      </c>
      <c r="I6143" s="24">
        <f>T_reg.root.SK[[#This Row],[Volume, kg]]/1000</f>
        <v>72.16</v>
      </c>
      <c r="J6143" s="25">
        <v>0.23329999999999998</v>
      </c>
      <c r="K6143" s="25">
        <f t="shared" si="96"/>
        <v>16834.928</v>
      </c>
      <c r="L6143" s="25">
        <v>1.87</v>
      </c>
      <c r="M6143" s="24">
        <v>135083</v>
      </c>
      <c r="N6143" s="25">
        <f>IFERROR(T_reg.root.SK[[#This Row],[Price]]/T_reg.root.SK[[#This Row],[Starch content]],"")</f>
        <v>8.0154307758251182</v>
      </c>
    </row>
    <row r="6144" spans="1:14">
      <c r="A6144" s="21">
        <v>2025</v>
      </c>
      <c r="B6144" s="21" t="s">
        <v>23</v>
      </c>
      <c r="C6144" s="21" t="s">
        <v>1145</v>
      </c>
      <c r="D6144" s="21" t="s">
        <v>35</v>
      </c>
      <c r="E6144" s="17" t="s">
        <v>1041</v>
      </c>
      <c r="F6144" s="18" t="s">
        <v>187</v>
      </c>
      <c r="G6144" s="18" t="s">
        <v>48</v>
      </c>
      <c r="H6144" s="24">
        <v>145480</v>
      </c>
      <c r="I6144" s="24">
        <f>T_reg.root.SK[[#This Row],[Volume, kg]]/1000</f>
        <v>145.47999999999999</v>
      </c>
      <c r="J6144" s="25">
        <v>0.20149999999999998</v>
      </c>
      <c r="K6144" s="25">
        <f t="shared" si="96"/>
        <v>29314.219999999998</v>
      </c>
      <c r="L6144" s="25">
        <v>1.71</v>
      </c>
      <c r="M6144" s="24">
        <v>248851.5</v>
      </c>
      <c r="N6144" s="25">
        <f>IFERROR(T_reg.root.SK[[#This Row],[Price]]/T_reg.root.SK[[#This Row],[Starch content]],"")</f>
        <v>8.486352357320099</v>
      </c>
    </row>
    <row r="6145" spans="1:14">
      <c r="A6145" s="21">
        <v>2025</v>
      </c>
      <c r="B6145" s="21" t="s">
        <v>23</v>
      </c>
      <c r="C6145" s="21" t="s">
        <v>1145</v>
      </c>
      <c r="D6145" s="21" t="s">
        <v>35</v>
      </c>
      <c r="E6145" s="17" t="s">
        <v>160</v>
      </c>
      <c r="F6145" s="18" t="s">
        <v>105</v>
      </c>
      <c r="G6145" s="18" t="s">
        <v>48</v>
      </c>
      <c r="H6145" s="24">
        <v>74620</v>
      </c>
      <c r="I6145" s="24">
        <f>T_reg.root.SK[[#This Row],[Volume, kg]]/1000</f>
        <v>74.62</v>
      </c>
      <c r="J6145" s="25">
        <v>0.2132</v>
      </c>
      <c r="K6145" s="25">
        <f t="shared" si="96"/>
        <v>15908.984</v>
      </c>
      <c r="L6145" s="25">
        <v>1.76</v>
      </c>
      <c r="M6145" s="24">
        <v>131694.5</v>
      </c>
      <c r="N6145" s="25">
        <f>IFERROR(T_reg.root.SK[[#This Row],[Price]]/T_reg.root.SK[[#This Row],[Starch content]],"")</f>
        <v>8.2551594746716699</v>
      </c>
    </row>
    <row r="6146" spans="1:14">
      <c r="A6146" s="21">
        <v>2025</v>
      </c>
      <c r="B6146" s="21" t="s">
        <v>23</v>
      </c>
      <c r="C6146" s="21" t="s">
        <v>1145</v>
      </c>
      <c r="D6146" s="21" t="s">
        <v>35</v>
      </c>
      <c r="E6146" s="17" t="s">
        <v>211</v>
      </c>
      <c r="F6146" s="18" t="s">
        <v>187</v>
      </c>
      <c r="G6146" s="18" t="s">
        <v>48</v>
      </c>
      <c r="H6146" s="24">
        <v>304070</v>
      </c>
      <c r="I6146" s="24">
        <f>T_reg.root.SK[[#This Row],[Volume, kg]]/1000</f>
        <v>304.07</v>
      </c>
      <c r="J6146" s="25">
        <v>0.2077</v>
      </c>
      <c r="K6146" s="25">
        <f t="shared" si="96"/>
        <v>63155.339</v>
      </c>
      <c r="L6146" s="25">
        <v>1.74</v>
      </c>
      <c r="M6146" s="24">
        <v>530418</v>
      </c>
      <c r="N6146" s="25">
        <f>IFERROR(T_reg.root.SK[[#This Row],[Price]]/T_reg.root.SK[[#This Row],[Starch content]],"")</f>
        <v>8.3774675012036592</v>
      </c>
    </row>
    <row r="6147" spans="1:14">
      <c r="A6147" s="21">
        <v>2025</v>
      </c>
      <c r="B6147" s="21" t="s">
        <v>23</v>
      </c>
      <c r="C6147" s="21" t="s">
        <v>1145</v>
      </c>
      <c r="D6147" s="21" t="s">
        <v>35</v>
      </c>
      <c r="E6147" s="17" t="s">
        <v>721</v>
      </c>
      <c r="F6147" s="18" t="s">
        <v>105</v>
      </c>
      <c r="G6147" s="18" t="s">
        <v>48</v>
      </c>
      <c r="H6147" s="24">
        <v>12380</v>
      </c>
      <c r="I6147" s="24">
        <f>T_reg.root.SK[[#This Row],[Volume, kg]]/1000</f>
        <v>12.38</v>
      </c>
      <c r="J6147" s="25">
        <v>0.23800000000000002</v>
      </c>
      <c r="K6147" s="25">
        <f t="shared" si="96"/>
        <v>2946.44</v>
      </c>
      <c r="L6147" s="25">
        <v>1.9</v>
      </c>
      <c r="M6147" s="24">
        <v>23522</v>
      </c>
      <c r="N6147" s="25">
        <f>IFERROR(T_reg.root.SK[[#This Row],[Price]]/T_reg.root.SK[[#This Row],[Starch content]],"")</f>
        <v>7.9831932773109235</v>
      </c>
    </row>
    <row r="6148" spans="1:14">
      <c r="A6148" s="21">
        <v>2025</v>
      </c>
      <c r="B6148" s="21" t="s">
        <v>23</v>
      </c>
      <c r="C6148" s="21" t="s">
        <v>1145</v>
      </c>
      <c r="D6148" s="21" t="s">
        <v>35</v>
      </c>
      <c r="E6148" s="17" t="s">
        <v>161</v>
      </c>
      <c r="F6148" s="18" t="s">
        <v>105</v>
      </c>
      <c r="G6148" s="18" t="s">
        <v>48</v>
      </c>
      <c r="H6148" s="24">
        <v>19850</v>
      </c>
      <c r="I6148" s="24">
        <f>T_reg.root.SK[[#This Row],[Volume, kg]]/1000</f>
        <v>19.850000000000001</v>
      </c>
      <c r="J6148" s="25">
        <v>0.14249999999999999</v>
      </c>
      <c r="K6148" s="25">
        <f t="shared" si="96"/>
        <v>2828.6249999999995</v>
      </c>
      <c r="L6148" s="25">
        <v>1.4</v>
      </c>
      <c r="M6148" s="24">
        <v>27790</v>
      </c>
      <c r="N6148" s="25">
        <f>IFERROR(T_reg.root.SK[[#This Row],[Price]]/T_reg.root.SK[[#This Row],[Starch content]],"")</f>
        <v>9.8245614035087723</v>
      </c>
    </row>
    <row r="6149" spans="1:14">
      <c r="A6149" s="21">
        <v>2025</v>
      </c>
      <c r="B6149" s="21" t="s">
        <v>23</v>
      </c>
      <c r="C6149" s="21" t="s">
        <v>1145</v>
      </c>
      <c r="D6149" s="21" t="s">
        <v>35</v>
      </c>
      <c r="E6149" s="17" t="s">
        <v>162</v>
      </c>
      <c r="F6149" s="18" t="s">
        <v>105</v>
      </c>
      <c r="G6149" s="18" t="s">
        <v>48</v>
      </c>
      <c r="H6149" s="24">
        <v>66960</v>
      </c>
      <c r="I6149" s="24">
        <f>T_reg.root.SK[[#This Row],[Volume, kg]]/1000</f>
        <v>66.959999999999994</v>
      </c>
      <c r="J6149" s="25">
        <v>0.20219999999999999</v>
      </c>
      <c r="K6149" s="25">
        <f t="shared" si="96"/>
        <v>13539.312</v>
      </c>
      <c r="L6149" s="25">
        <v>1.72</v>
      </c>
      <c r="M6149" s="24">
        <v>114926.5</v>
      </c>
      <c r="N6149" s="25">
        <f>IFERROR(T_reg.root.SK[[#This Row],[Price]]/T_reg.root.SK[[#This Row],[Starch content]],"")</f>
        <v>8.5064292779426314</v>
      </c>
    </row>
    <row r="6150" spans="1:14">
      <c r="A6150" s="21">
        <v>2025</v>
      </c>
      <c r="B6150" s="21" t="s">
        <v>23</v>
      </c>
      <c r="C6150" s="21" t="s">
        <v>1145</v>
      </c>
      <c r="D6150" s="21" t="s">
        <v>35</v>
      </c>
      <c r="E6150" s="17" t="s">
        <v>163</v>
      </c>
      <c r="F6150" s="18" t="s">
        <v>105</v>
      </c>
      <c r="G6150" s="18" t="s">
        <v>48</v>
      </c>
      <c r="H6150" s="24">
        <v>239150</v>
      </c>
      <c r="I6150" s="24">
        <f>T_reg.root.SK[[#This Row],[Volume, kg]]/1000</f>
        <v>239.15</v>
      </c>
      <c r="J6150" s="25">
        <v>0.20280000000000001</v>
      </c>
      <c r="K6150" s="25">
        <f t="shared" si="96"/>
        <v>48499.62</v>
      </c>
      <c r="L6150" s="25">
        <v>1.72</v>
      </c>
      <c r="M6150" s="24">
        <v>410788.5</v>
      </c>
      <c r="N6150" s="25">
        <f>IFERROR(T_reg.root.SK[[#This Row],[Price]]/T_reg.root.SK[[#This Row],[Starch content]],"")</f>
        <v>8.4812623274161734</v>
      </c>
    </row>
    <row r="6151" spans="1:14">
      <c r="A6151" s="21">
        <v>2025</v>
      </c>
      <c r="B6151" s="21" t="s">
        <v>23</v>
      </c>
      <c r="C6151" s="21" t="s">
        <v>1145</v>
      </c>
      <c r="D6151" s="21" t="s">
        <v>35</v>
      </c>
      <c r="E6151" s="17" t="s">
        <v>165</v>
      </c>
      <c r="F6151" s="18" t="s">
        <v>105</v>
      </c>
      <c r="G6151" s="18" t="s">
        <v>48</v>
      </c>
      <c r="H6151" s="24">
        <v>38390</v>
      </c>
      <c r="I6151" s="24">
        <f>T_reg.root.SK[[#This Row],[Volume, kg]]/1000</f>
        <v>38.39</v>
      </c>
      <c r="J6151" s="25">
        <v>0.17499999999999999</v>
      </c>
      <c r="K6151" s="25">
        <f t="shared" si="96"/>
        <v>6718.25</v>
      </c>
      <c r="L6151" s="25">
        <v>1.59</v>
      </c>
      <c r="M6151" s="24">
        <v>60999</v>
      </c>
      <c r="N6151" s="25">
        <f>IFERROR(T_reg.root.SK[[#This Row],[Price]]/T_reg.root.SK[[#This Row],[Starch content]],"")</f>
        <v>9.0857142857142872</v>
      </c>
    </row>
    <row r="6152" spans="1:14">
      <c r="A6152" s="21">
        <v>2025</v>
      </c>
      <c r="B6152" s="21" t="s">
        <v>23</v>
      </c>
      <c r="C6152" s="21" t="s">
        <v>1145</v>
      </c>
      <c r="D6152" s="21" t="s">
        <v>35</v>
      </c>
      <c r="E6152" s="17" t="s">
        <v>993</v>
      </c>
      <c r="F6152" s="18" t="s">
        <v>105</v>
      </c>
      <c r="G6152" s="18" t="s">
        <v>48</v>
      </c>
      <c r="H6152" s="24">
        <v>28100</v>
      </c>
      <c r="I6152" s="24">
        <f>T_reg.root.SK[[#This Row],[Volume, kg]]/1000</f>
        <v>28.1</v>
      </c>
      <c r="J6152" s="25">
        <v>0.21969999999999998</v>
      </c>
      <c r="K6152" s="25">
        <f t="shared" si="96"/>
        <v>6173.57</v>
      </c>
      <c r="L6152" s="25">
        <v>1.8</v>
      </c>
      <c r="M6152" s="24">
        <v>50465</v>
      </c>
      <c r="N6152" s="25">
        <f>IFERROR(T_reg.root.SK[[#This Row],[Price]]/T_reg.root.SK[[#This Row],[Starch content]],"")</f>
        <v>8.192990441511153</v>
      </c>
    </row>
    <row r="6153" spans="1:14">
      <c r="A6153" s="21">
        <v>2025</v>
      </c>
      <c r="B6153" s="21" t="s">
        <v>23</v>
      </c>
      <c r="C6153" s="21" t="s">
        <v>1145</v>
      </c>
      <c r="D6153" s="21" t="s">
        <v>35</v>
      </c>
      <c r="E6153" s="17" t="s">
        <v>765</v>
      </c>
      <c r="F6153" s="18" t="s">
        <v>47</v>
      </c>
      <c r="G6153" s="18" t="s">
        <v>48</v>
      </c>
      <c r="H6153" s="24">
        <v>12530</v>
      </c>
      <c r="I6153" s="24">
        <f>T_reg.root.SK[[#This Row],[Volume, kg]]/1000</f>
        <v>12.53</v>
      </c>
      <c r="J6153" s="25">
        <v>0.20199999999999999</v>
      </c>
      <c r="K6153" s="25">
        <f t="shared" si="96"/>
        <v>2531.06</v>
      </c>
      <c r="L6153" s="25">
        <v>1.72</v>
      </c>
      <c r="M6153" s="24">
        <v>21575.5</v>
      </c>
      <c r="N6153" s="25">
        <f>IFERROR(T_reg.root.SK[[#This Row],[Price]]/T_reg.root.SK[[#This Row],[Starch content]],"")</f>
        <v>8.5148514851485153</v>
      </c>
    </row>
    <row r="6154" spans="1:14">
      <c r="A6154" s="21">
        <v>2025</v>
      </c>
      <c r="B6154" s="21" t="s">
        <v>23</v>
      </c>
      <c r="C6154" s="21" t="s">
        <v>1145</v>
      </c>
      <c r="D6154" s="21" t="s">
        <v>35</v>
      </c>
      <c r="E6154" s="17" t="s">
        <v>212</v>
      </c>
      <c r="F6154" s="18" t="s">
        <v>187</v>
      </c>
      <c r="G6154" s="18" t="s">
        <v>48</v>
      </c>
      <c r="H6154" s="24">
        <v>15320</v>
      </c>
      <c r="I6154" s="24">
        <f>T_reg.root.SK[[#This Row],[Volume, kg]]/1000</f>
        <v>15.32</v>
      </c>
      <c r="J6154" s="25">
        <v>0.18429999999999999</v>
      </c>
      <c r="K6154" s="25">
        <f t="shared" si="96"/>
        <v>2823.4759999999997</v>
      </c>
      <c r="L6154" s="25">
        <v>1.6</v>
      </c>
      <c r="M6154" s="24">
        <v>24518</v>
      </c>
      <c r="N6154" s="25">
        <f>IFERROR(T_reg.root.SK[[#This Row],[Price]]/T_reg.root.SK[[#This Row],[Starch content]],"")</f>
        <v>8.6814975583288128</v>
      </c>
    </row>
    <row r="6155" spans="1:14">
      <c r="A6155" s="21">
        <v>2025</v>
      </c>
      <c r="B6155" s="21" t="s">
        <v>23</v>
      </c>
      <c r="C6155" s="21" t="s">
        <v>1145</v>
      </c>
      <c r="D6155" s="21" t="s">
        <v>35</v>
      </c>
      <c r="E6155" s="17" t="s">
        <v>672</v>
      </c>
      <c r="F6155" s="18" t="s">
        <v>187</v>
      </c>
      <c r="G6155" s="18" t="s">
        <v>48</v>
      </c>
      <c r="H6155" s="24">
        <v>24290</v>
      </c>
      <c r="I6155" s="24">
        <f>T_reg.root.SK[[#This Row],[Volume, kg]]/1000</f>
        <v>24.29</v>
      </c>
      <c r="J6155" s="25">
        <v>0.1515</v>
      </c>
      <c r="K6155" s="25">
        <f t="shared" si="96"/>
        <v>3679.9349999999999</v>
      </c>
      <c r="L6155" s="25">
        <v>1.45</v>
      </c>
      <c r="M6155" s="24">
        <v>35239.5</v>
      </c>
      <c r="N6155" s="25">
        <f>IFERROR(T_reg.root.SK[[#This Row],[Price]]/T_reg.root.SK[[#This Row],[Starch content]],"")</f>
        <v>9.5709570957095718</v>
      </c>
    </row>
    <row r="6156" spans="1:14">
      <c r="A6156" s="21">
        <v>2025</v>
      </c>
      <c r="B6156" s="21" t="s">
        <v>23</v>
      </c>
      <c r="C6156" s="21" t="s">
        <v>1145</v>
      </c>
      <c r="D6156" s="21" t="s">
        <v>35</v>
      </c>
      <c r="E6156" s="17" t="s">
        <v>502</v>
      </c>
      <c r="F6156" s="18" t="s">
        <v>105</v>
      </c>
      <c r="G6156" s="18" t="s">
        <v>48</v>
      </c>
      <c r="H6156" s="24">
        <v>4940</v>
      </c>
      <c r="I6156" s="24">
        <f>T_reg.root.SK[[#This Row],[Volume, kg]]/1000</f>
        <v>4.9400000000000004</v>
      </c>
      <c r="J6156" s="25">
        <v>0.23100000000000001</v>
      </c>
      <c r="K6156" s="25">
        <f t="shared" si="96"/>
        <v>1141.1400000000001</v>
      </c>
      <c r="L6156" s="25">
        <v>1.85</v>
      </c>
      <c r="M6156" s="24">
        <v>9139</v>
      </c>
      <c r="N6156" s="25">
        <f>IFERROR(T_reg.root.SK[[#This Row],[Price]]/T_reg.root.SK[[#This Row],[Starch content]],"")</f>
        <v>8.0086580086580081</v>
      </c>
    </row>
    <row r="6157" spans="1:14">
      <c r="A6157" s="21">
        <v>2025</v>
      </c>
      <c r="B6157" s="21" t="s">
        <v>23</v>
      </c>
      <c r="C6157" s="21" t="s">
        <v>1145</v>
      </c>
      <c r="D6157" s="21" t="s">
        <v>35</v>
      </c>
      <c r="E6157" s="17" t="s">
        <v>503</v>
      </c>
      <c r="F6157" s="18" t="s">
        <v>105</v>
      </c>
      <c r="G6157" s="18" t="s">
        <v>48</v>
      </c>
      <c r="H6157" s="24">
        <v>19840</v>
      </c>
      <c r="I6157" s="24">
        <f>T_reg.root.SK[[#This Row],[Volume, kg]]/1000</f>
        <v>19.84</v>
      </c>
      <c r="J6157" s="25">
        <v>0.2238</v>
      </c>
      <c r="K6157" s="25">
        <f t="shared" si="96"/>
        <v>4440.192</v>
      </c>
      <c r="L6157" s="25">
        <v>1.82</v>
      </c>
      <c r="M6157" s="24">
        <v>36173.5</v>
      </c>
      <c r="N6157" s="25">
        <f>IFERROR(T_reg.root.SK[[#This Row],[Price]]/T_reg.root.SK[[#This Row],[Starch content]],"")</f>
        <v>8.1322609472743519</v>
      </c>
    </row>
    <row r="6158" spans="1:14">
      <c r="A6158" s="21">
        <v>2025</v>
      </c>
      <c r="B6158" s="21" t="s">
        <v>23</v>
      </c>
      <c r="C6158" s="21" t="s">
        <v>1145</v>
      </c>
      <c r="D6158" s="21" t="s">
        <v>35</v>
      </c>
      <c r="E6158" s="17" t="s">
        <v>408</v>
      </c>
      <c r="F6158" s="18" t="s">
        <v>187</v>
      </c>
      <c r="G6158" s="18" t="s">
        <v>48</v>
      </c>
      <c r="H6158" s="24">
        <v>106270</v>
      </c>
      <c r="I6158" s="24">
        <f>T_reg.root.SK[[#This Row],[Volume, kg]]/1000</f>
        <v>106.27</v>
      </c>
      <c r="J6158" s="25">
        <v>0.19390000000000002</v>
      </c>
      <c r="K6158" s="25">
        <f t="shared" si="96"/>
        <v>20605.753000000001</v>
      </c>
      <c r="L6158" s="25">
        <v>1.67</v>
      </c>
      <c r="M6158" s="24">
        <v>177344.5</v>
      </c>
      <c r="N6158" s="25">
        <f>IFERROR(T_reg.root.SK[[#This Row],[Price]]/T_reg.root.SK[[#This Row],[Starch content]],"")</f>
        <v>8.6126869520371319</v>
      </c>
    </row>
    <row r="6159" spans="1:14">
      <c r="A6159" s="21">
        <v>2025</v>
      </c>
      <c r="B6159" s="21" t="s">
        <v>23</v>
      </c>
      <c r="C6159" s="21" t="s">
        <v>1145</v>
      </c>
      <c r="D6159" s="21" t="s">
        <v>35</v>
      </c>
      <c r="E6159" s="17" t="s">
        <v>170</v>
      </c>
      <c r="F6159" s="18" t="s">
        <v>105</v>
      </c>
      <c r="G6159" s="18" t="s">
        <v>48</v>
      </c>
      <c r="H6159" s="24">
        <v>94460</v>
      </c>
      <c r="I6159" s="24">
        <f>T_reg.root.SK[[#This Row],[Volume, kg]]/1000</f>
        <v>94.46</v>
      </c>
      <c r="J6159" s="25">
        <v>0.23899999999999999</v>
      </c>
      <c r="K6159" s="25">
        <f t="shared" ref="K6159:K6222" si="97">H6159*J6159</f>
        <v>22575.94</v>
      </c>
      <c r="L6159" s="25">
        <v>1.89</v>
      </c>
      <c r="M6159" s="24">
        <v>178602.5</v>
      </c>
      <c r="N6159" s="25">
        <f>IFERROR(T_reg.root.SK[[#This Row],[Price]]/T_reg.root.SK[[#This Row],[Starch content]],"")</f>
        <v>7.9079497907949792</v>
      </c>
    </row>
    <row r="6160" spans="1:14">
      <c r="A6160" s="21">
        <v>2025</v>
      </c>
      <c r="B6160" s="21" t="s">
        <v>23</v>
      </c>
      <c r="C6160" s="21" t="s">
        <v>1145</v>
      </c>
      <c r="D6160" s="21" t="s">
        <v>35</v>
      </c>
      <c r="E6160" s="17" t="s">
        <v>171</v>
      </c>
      <c r="F6160" s="18" t="s">
        <v>105</v>
      </c>
      <c r="G6160" s="18" t="s">
        <v>48</v>
      </c>
      <c r="H6160" s="24">
        <v>5190</v>
      </c>
      <c r="I6160" s="24">
        <f>T_reg.root.SK[[#This Row],[Volume, kg]]/1000</f>
        <v>5.19</v>
      </c>
      <c r="J6160" s="25">
        <v>0.222</v>
      </c>
      <c r="K6160" s="25">
        <f t="shared" si="97"/>
        <v>1152.18</v>
      </c>
      <c r="L6160" s="25">
        <v>1.8</v>
      </c>
      <c r="M6160" s="24">
        <v>9342</v>
      </c>
      <c r="N6160" s="25">
        <f>IFERROR(T_reg.root.SK[[#This Row],[Price]]/T_reg.root.SK[[#This Row],[Starch content]],"")</f>
        <v>8.1081081081081088</v>
      </c>
    </row>
    <row r="6161" spans="1:14">
      <c r="A6161" s="21">
        <v>2025</v>
      </c>
      <c r="B6161" s="21" t="s">
        <v>23</v>
      </c>
      <c r="C6161" s="21" t="s">
        <v>1145</v>
      </c>
      <c r="D6161" s="21" t="s">
        <v>35</v>
      </c>
      <c r="E6161" s="17" t="s">
        <v>722</v>
      </c>
      <c r="F6161" s="18" t="s">
        <v>105</v>
      </c>
      <c r="G6161" s="18" t="s">
        <v>48</v>
      </c>
      <c r="H6161" s="24">
        <v>7630</v>
      </c>
      <c r="I6161" s="24">
        <f>T_reg.root.SK[[#This Row],[Volume, kg]]/1000</f>
        <v>7.63</v>
      </c>
      <c r="J6161" s="25">
        <v>0.20050000000000001</v>
      </c>
      <c r="K6161" s="25">
        <f t="shared" si="97"/>
        <v>1529.8150000000001</v>
      </c>
      <c r="L6161" s="25">
        <v>1.7</v>
      </c>
      <c r="M6161" s="24">
        <v>12971</v>
      </c>
      <c r="N6161" s="25">
        <f>IFERROR(T_reg.root.SK[[#This Row],[Price]]/T_reg.root.SK[[#This Row],[Starch content]],"")</f>
        <v>8.4788029925187018</v>
      </c>
    </row>
    <row r="6162" spans="1:14">
      <c r="A6162" s="21">
        <v>2025</v>
      </c>
      <c r="B6162" s="21" t="s">
        <v>23</v>
      </c>
      <c r="C6162" s="21" t="s">
        <v>1145</v>
      </c>
      <c r="D6162" s="21" t="s">
        <v>35</v>
      </c>
      <c r="E6162" s="17" t="s">
        <v>269</v>
      </c>
      <c r="F6162" s="18" t="s">
        <v>187</v>
      </c>
      <c r="G6162" s="18" t="s">
        <v>48</v>
      </c>
      <c r="H6162" s="24">
        <v>0</v>
      </c>
      <c r="I6162" s="24">
        <f>T_reg.root.SK[[#This Row],[Volume, kg]]/1000</f>
        <v>0</v>
      </c>
      <c r="J6162" s="25">
        <v>0</v>
      </c>
      <c r="K6162" s="25">
        <f t="shared" si="97"/>
        <v>0</v>
      </c>
      <c r="L6162" s="25">
        <v>0</v>
      </c>
      <c r="M6162" s="24">
        <v>0</v>
      </c>
      <c r="N6162" s="25" t="str">
        <f>IFERROR(T_reg.root.SK[[#This Row],[Price]]/T_reg.root.SK[[#This Row],[Starch content]],"")</f>
        <v/>
      </c>
    </row>
    <row r="6163" spans="1:14">
      <c r="A6163" s="21">
        <v>2025</v>
      </c>
      <c r="B6163" s="21" t="s">
        <v>23</v>
      </c>
      <c r="C6163" s="21" t="s">
        <v>1145</v>
      </c>
      <c r="D6163" s="21" t="s">
        <v>35</v>
      </c>
      <c r="E6163" s="17" t="s">
        <v>1042</v>
      </c>
      <c r="F6163" s="18" t="s">
        <v>105</v>
      </c>
      <c r="G6163" s="18" t="s">
        <v>48</v>
      </c>
      <c r="H6163" s="24">
        <v>4620</v>
      </c>
      <c r="I6163" s="24">
        <f>T_reg.root.SK[[#This Row],[Volume, kg]]/1000</f>
        <v>4.62</v>
      </c>
      <c r="J6163" s="25">
        <v>0.22</v>
      </c>
      <c r="K6163" s="25">
        <f t="shared" si="97"/>
        <v>1016.4</v>
      </c>
      <c r="L6163" s="25">
        <v>1.8</v>
      </c>
      <c r="M6163" s="24">
        <v>8316</v>
      </c>
      <c r="N6163" s="25">
        <f>IFERROR(T_reg.root.SK[[#This Row],[Price]]/T_reg.root.SK[[#This Row],[Starch content]],"")</f>
        <v>8.1818181818181817</v>
      </c>
    </row>
    <row r="6164" spans="1:14">
      <c r="A6164" s="21">
        <v>2025</v>
      </c>
      <c r="B6164" s="21" t="s">
        <v>23</v>
      </c>
      <c r="C6164" s="21" t="s">
        <v>1145</v>
      </c>
      <c r="D6164" s="21" t="s">
        <v>35</v>
      </c>
      <c r="E6164" s="17" t="s">
        <v>214</v>
      </c>
      <c r="F6164" s="18" t="s">
        <v>187</v>
      </c>
      <c r="G6164" s="18" t="s">
        <v>48</v>
      </c>
      <c r="H6164" s="24">
        <v>11030</v>
      </c>
      <c r="I6164" s="24">
        <f>T_reg.root.SK[[#This Row],[Volume, kg]]/1000</f>
        <v>11.03</v>
      </c>
      <c r="J6164" s="25">
        <v>0.28399999999999997</v>
      </c>
      <c r="K6164" s="25">
        <f t="shared" si="97"/>
        <v>3132.5199999999995</v>
      </c>
      <c r="L6164" s="25">
        <v>2.1</v>
      </c>
      <c r="M6164" s="24">
        <v>23163</v>
      </c>
      <c r="N6164" s="25">
        <f>IFERROR(T_reg.root.SK[[#This Row],[Price]]/T_reg.root.SK[[#This Row],[Starch content]],"")</f>
        <v>7.3943661971830998</v>
      </c>
    </row>
    <row r="6165" spans="1:14">
      <c r="A6165" s="21">
        <v>2025</v>
      </c>
      <c r="B6165" s="21" t="s">
        <v>23</v>
      </c>
      <c r="C6165" s="21" t="s">
        <v>1145</v>
      </c>
      <c r="D6165" s="21" t="s">
        <v>35</v>
      </c>
      <c r="E6165" s="17" t="s">
        <v>321</v>
      </c>
      <c r="F6165" s="18" t="s">
        <v>105</v>
      </c>
      <c r="G6165" s="18" t="s">
        <v>48</v>
      </c>
      <c r="H6165" s="24">
        <v>23450</v>
      </c>
      <c r="I6165" s="24">
        <f>T_reg.root.SK[[#This Row],[Volume, kg]]/1000</f>
        <v>23.45</v>
      </c>
      <c r="J6165" s="25">
        <v>0.22920000000000001</v>
      </c>
      <c r="K6165" s="25">
        <f t="shared" si="97"/>
        <v>5374.7400000000007</v>
      </c>
      <c r="L6165" s="25">
        <v>1.83</v>
      </c>
      <c r="M6165" s="24">
        <v>42961.5</v>
      </c>
      <c r="N6165" s="25">
        <f>IFERROR(T_reg.root.SK[[#This Row],[Price]]/T_reg.root.SK[[#This Row],[Starch content]],"")</f>
        <v>7.984293193717277</v>
      </c>
    </row>
    <row r="6166" spans="1:14">
      <c r="A6166" s="21">
        <v>2025</v>
      </c>
      <c r="B6166" s="21" t="s">
        <v>23</v>
      </c>
      <c r="C6166" s="21" t="s">
        <v>1145</v>
      </c>
      <c r="D6166" s="21" t="s">
        <v>35</v>
      </c>
      <c r="E6166" s="17" t="s">
        <v>322</v>
      </c>
      <c r="F6166" s="18" t="s">
        <v>105</v>
      </c>
      <c r="G6166" s="18" t="s">
        <v>48</v>
      </c>
      <c r="H6166" s="24">
        <v>59710</v>
      </c>
      <c r="I6166" s="24">
        <f>T_reg.root.SK[[#This Row],[Volume, kg]]/1000</f>
        <v>59.71</v>
      </c>
      <c r="J6166" s="25">
        <v>0.22670000000000001</v>
      </c>
      <c r="K6166" s="25">
        <f t="shared" si="97"/>
        <v>13536.257000000001</v>
      </c>
      <c r="L6166" s="25">
        <v>1.84</v>
      </c>
      <c r="M6166" s="24">
        <v>109875</v>
      </c>
      <c r="N6166" s="25">
        <f>IFERROR(T_reg.root.SK[[#This Row],[Price]]/T_reg.root.SK[[#This Row],[Starch content]],"")</f>
        <v>8.1164534627260689</v>
      </c>
    </row>
    <row r="6167" spans="1:14">
      <c r="A6167" s="21">
        <v>2025</v>
      </c>
      <c r="B6167" s="21" t="s">
        <v>23</v>
      </c>
      <c r="C6167" s="21" t="s">
        <v>1145</v>
      </c>
      <c r="D6167" s="21" t="s">
        <v>35</v>
      </c>
      <c r="E6167" s="17" t="s">
        <v>173</v>
      </c>
      <c r="F6167" s="18" t="s">
        <v>105</v>
      </c>
      <c r="G6167" s="18" t="s">
        <v>48</v>
      </c>
      <c r="H6167" s="24">
        <v>5370</v>
      </c>
      <c r="I6167" s="24">
        <f>T_reg.root.SK[[#This Row],[Volume, kg]]/1000</f>
        <v>5.37</v>
      </c>
      <c r="J6167" s="25">
        <v>0.22550000000000001</v>
      </c>
      <c r="K6167" s="25">
        <f t="shared" si="97"/>
        <v>1210.9349999999999</v>
      </c>
      <c r="L6167" s="25">
        <v>1.85</v>
      </c>
      <c r="M6167" s="24">
        <v>9934.5</v>
      </c>
      <c r="N6167" s="25">
        <f>IFERROR(T_reg.root.SK[[#This Row],[Price]]/T_reg.root.SK[[#This Row],[Starch content]],"")</f>
        <v>8.2039911308204001</v>
      </c>
    </row>
    <row r="6168" spans="1:14">
      <c r="A6168" s="21">
        <v>2025</v>
      </c>
      <c r="B6168" s="21" t="s">
        <v>23</v>
      </c>
      <c r="C6168" s="21" t="s">
        <v>1145</v>
      </c>
      <c r="D6168" s="21" t="s">
        <v>35</v>
      </c>
      <c r="E6168" s="17" t="s">
        <v>623</v>
      </c>
      <c r="F6168" s="18" t="s">
        <v>187</v>
      </c>
      <c r="G6168" s="18" t="s">
        <v>48</v>
      </c>
      <c r="H6168" s="24">
        <v>8440</v>
      </c>
      <c r="I6168" s="24">
        <f>T_reg.root.SK[[#This Row],[Volume, kg]]/1000</f>
        <v>8.44</v>
      </c>
      <c r="J6168" s="25">
        <v>0.19350000000000001</v>
      </c>
      <c r="K6168" s="25">
        <f t="shared" si="97"/>
        <v>1633.14</v>
      </c>
      <c r="L6168" s="25">
        <v>1.65</v>
      </c>
      <c r="M6168" s="24">
        <v>13926</v>
      </c>
      <c r="N6168" s="25">
        <f>IFERROR(T_reg.root.SK[[#This Row],[Price]]/T_reg.root.SK[[#This Row],[Starch content]],"")</f>
        <v>8.5271317829457356</v>
      </c>
    </row>
    <row r="6169" spans="1:14">
      <c r="A6169" s="21">
        <v>2025</v>
      </c>
      <c r="B6169" s="21" t="s">
        <v>23</v>
      </c>
      <c r="C6169" s="21" t="s">
        <v>1145</v>
      </c>
      <c r="D6169" s="21" t="s">
        <v>35</v>
      </c>
      <c r="E6169" s="17" t="s">
        <v>791</v>
      </c>
      <c r="F6169" s="18" t="s">
        <v>105</v>
      </c>
      <c r="G6169" s="18" t="s">
        <v>48</v>
      </c>
      <c r="H6169" s="24">
        <v>20130</v>
      </c>
      <c r="I6169" s="24">
        <f>T_reg.root.SK[[#This Row],[Volume, kg]]/1000</f>
        <v>20.13</v>
      </c>
      <c r="J6169" s="25">
        <v>0.21510000000000001</v>
      </c>
      <c r="K6169" s="25">
        <f t="shared" si="97"/>
        <v>4329.9630000000006</v>
      </c>
      <c r="L6169" s="25">
        <v>1.78</v>
      </c>
      <c r="M6169" s="24">
        <v>35742</v>
      </c>
      <c r="N6169" s="25">
        <f>IFERROR(T_reg.root.SK[[#This Row],[Price]]/T_reg.root.SK[[#This Row],[Starch content]],"")</f>
        <v>8.275220827522082</v>
      </c>
    </row>
    <row r="6170" spans="1:14">
      <c r="A6170" s="21">
        <v>2025</v>
      </c>
      <c r="B6170" s="21" t="s">
        <v>23</v>
      </c>
      <c r="C6170" s="21" t="s">
        <v>1145</v>
      </c>
      <c r="D6170" s="21" t="s">
        <v>35</v>
      </c>
      <c r="E6170" s="17" t="s">
        <v>691</v>
      </c>
      <c r="F6170" s="18" t="s">
        <v>187</v>
      </c>
      <c r="G6170" s="18" t="s">
        <v>48</v>
      </c>
      <c r="H6170" s="24">
        <v>78510</v>
      </c>
      <c r="I6170" s="24">
        <f>T_reg.root.SK[[#This Row],[Volume, kg]]/1000</f>
        <v>78.510000000000005</v>
      </c>
      <c r="J6170" s="25">
        <v>0.24480000000000002</v>
      </c>
      <c r="K6170" s="25">
        <f t="shared" si="97"/>
        <v>19219.248</v>
      </c>
      <c r="L6170" s="25">
        <v>1.93</v>
      </c>
      <c r="M6170" s="24">
        <v>151261</v>
      </c>
      <c r="N6170" s="25">
        <f>IFERROR(T_reg.root.SK[[#This Row],[Price]]/T_reg.root.SK[[#This Row],[Starch content]],"")</f>
        <v>7.8839869281045747</v>
      </c>
    </row>
    <row r="6171" spans="1:14">
      <c r="A6171" s="21">
        <v>2025</v>
      </c>
      <c r="B6171" s="21" t="s">
        <v>23</v>
      </c>
      <c r="C6171" s="21" t="s">
        <v>1145</v>
      </c>
      <c r="D6171" s="21" t="s">
        <v>35</v>
      </c>
      <c r="E6171" s="17" t="s">
        <v>760</v>
      </c>
      <c r="F6171" s="18" t="s">
        <v>187</v>
      </c>
      <c r="G6171" s="18" t="s">
        <v>48</v>
      </c>
      <c r="H6171" s="24">
        <v>19790</v>
      </c>
      <c r="I6171" s="24">
        <f>T_reg.root.SK[[#This Row],[Volume, kg]]/1000</f>
        <v>19.79</v>
      </c>
      <c r="J6171" s="25">
        <v>0.18350000000000002</v>
      </c>
      <c r="K6171" s="25">
        <f t="shared" si="97"/>
        <v>3631.4650000000006</v>
      </c>
      <c r="L6171" s="25">
        <v>1.63</v>
      </c>
      <c r="M6171" s="24">
        <v>32159</v>
      </c>
      <c r="N6171" s="25">
        <f>IFERROR(T_reg.root.SK[[#This Row],[Price]]/T_reg.root.SK[[#This Row],[Starch content]],"")</f>
        <v>8.8828337874659375</v>
      </c>
    </row>
    <row r="6172" spans="1:14">
      <c r="A6172" s="21">
        <v>2025</v>
      </c>
      <c r="B6172" s="21" t="s">
        <v>23</v>
      </c>
      <c r="C6172" s="21" t="s">
        <v>1145</v>
      </c>
      <c r="D6172" s="21" t="s">
        <v>35</v>
      </c>
      <c r="E6172" s="17" t="s">
        <v>812</v>
      </c>
      <c r="F6172" s="18" t="s">
        <v>105</v>
      </c>
      <c r="G6172" s="18" t="s">
        <v>48</v>
      </c>
      <c r="H6172" s="24">
        <v>4780</v>
      </c>
      <c r="I6172" s="24">
        <f>T_reg.root.SK[[#This Row],[Volume, kg]]/1000</f>
        <v>4.78</v>
      </c>
      <c r="J6172" s="25">
        <v>0.26050000000000001</v>
      </c>
      <c r="K6172" s="25">
        <f t="shared" si="97"/>
        <v>1245.19</v>
      </c>
      <c r="L6172" s="25">
        <v>2</v>
      </c>
      <c r="M6172" s="24">
        <v>9560</v>
      </c>
      <c r="N6172" s="25">
        <f>IFERROR(T_reg.root.SK[[#This Row],[Price]]/T_reg.root.SK[[#This Row],[Starch content]],"")</f>
        <v>7.6775431861804222</v>
      </c>
    </row>
    <row r="6173" spans="1:14">
      <c r="A6173" s="21">
        <v>2025</v>
      </c>
      <c r="B6173" s="21" t="s">
        <v>23</v>
      </c>
      <c r="C6173" s="21" t="s">
        <v>1145</v>
      </c>
      <c r="D6173" s="21" t="s">
        <v>35</v>
      </c>
      <c r="E6173" s="17" t="s">
        <v>956</v>
      </c>
      <c r="F6173" s="18" t="s">
        <v>105</v>
      </c>
      <c r="G6173" s="18" t="s">
        <v>48</v>
      </c>
      <c r="H6173" s="24">
        <v>46260</v>
      </c>
      <c r="I6173" s="24">
        <f>T_reg.root.SK[[#This Row],[Volume, kg]]/1000</f>
        <v>46.26</v>
      </c>
      <c r="J6173" s="25">
        <v>0.2046</v>
      </c>
      <c r="K6173" s="25">
        <f t="shared" si="97"/>
        <v>9464.7960000000003</v>
      </c>
      <c r="L6173" s="25">
        <v>1.73</v>
      </c>
      <c r="M6173" s="24">
        <v>80025.5</v>
      </c>
      <c r="N6173" s="25">
        <f>IFERROR(T_reg.root.SK[[#This Row],[Price]]/T_reg.root.SK[[#This Row],[Starch content]],"")</f>
        <v>8.4555229716520035</v>
      </c>
    </row>
    <row r="6174" spans="1:14">
      <c r="A6174" s="21">
        <v>2025</v>
      </c>
      <c r="B6174" s="21" t="s">
        <v>23</v>
      </c>
      <c r="C6174" s="21" t="s">
        <v>1145</v>
      </c>
      <c r="D6174" s="21" t="s">
        <v>35</v>
      </c>
      <c r="E6174" s="17" t="s">
        <v>938</v>
      </c>
      <c r="F6174" s="18" t="s">
        <v>105</v>
      </c>
      <c r="G6174" s="18" t="s">
        <v>48</v>
      </c>
      <c r="H6174" s="24">
        <v>81440</v>
      </c>
      <c r="I6174" s="24">
        <f>T_reg.root.SK[[#This Row],[Volume, kg]]/1000</f>
        <v>81.44</v>
      </c>
      <c r="J6174" s="25">
        <v>0.185</v>
      </c>
      <c r="K6174" s="25">
        <f t="shared" si="97"/>
        <v>15066.4</v>
      </c>
      <c r="L6174" s="25">
        <v>1.63</v>
      </c>
      <c r="M6174" s="24">
        <v>132504.5</v>
      </c>
      <c r="N6174" s="25">
        <f>IFERROR(T_reg.root.SK[[#This Row],[Price]]/T_reg.root.SK[[#This Row],[Starch content]],"")</f>
        <v>8.8108108108108105</v>
      </c>
    </row>
    <row r="6175" spans="1:14">
      <c r="A6175" s="21">
        <v>2025</v>
      </c>
      <c r="B6175" s="21" t="s">
        <v>23</v>
      </c>
      <c r="C6175" s="21" t="s">
        <v>1145</v>
      </c>
      <c r="D6175" s="21" t="s">
        <v>35</v>
      </c>
      <c r="E6175" s="17" t="s">
        <v>981</v>
      </c>
      <c r="F6175" s="18" t="s">
        <v>105</v>
      </c>
      <c r="G6175" s="18" t="s">
        <v>48</v>
      </c>
      <c r="H6175" s="24">
        <v>43150</v>
      </c>
      <c r="I6175" s="24">
        <f>T_reg.root.SK[[#This Row],[Volume, kg]]/1000</f>
        <v>43.15</v>
      </c>
      <c r="J6175" s="25">
        <v>0.21879999999999999</v>
      </c>
      <c r="K6175" s="25">
        <f t="shared" si="97"/>
        <v>9441.2199999999993</v>
      </c>
      <c r="L6175" s="25">
        <v>1.79</v>
      </c>
      <c r="M6175" s="24">
        <v>77343.5</v>
      </c>
      <c r="N6175" s="25">
        <f>IFERROR(T_reg.root.SK[[#This Row],[Price]]/T_reg.root.SK[[#This Row],[Starch content]],"")</f>
        <v>8.1809872029250457</v>
      </c>
    </row>
    <row r="6176" spans="1:14">
      <c r="A6176" s="21">
        <v>2025</v>
      </c>
      <c r="B6176" s="21" t="s">
        <v>23</v>
      </c>
      <c r="C6176" s="21" t="s">
        <v>1145</v>
      </c>
      <c r="D6176" s="21" t="s">
        <v>35</v>
      </c>
      <c r="E6176" s="17" t="s">
        <v>994</v>
      </c>
      <c r="F6176" s="18" t="s">
        <v>105</v>
      </c>
      <c r="G6176" s="18" t="s">
        <v>48</v>
      </c>
      <c r="H6176" s="24">
        <v>9160</v>
      </c>
      <c r="I6176" s="24">
        <f>T_reg.root.SK[[#This Row],[Volume, kg]]/1000</f>
        <v>9.16</v>
      </c>
      <c r="J6176" s="25">
        <v>0.2495</v>
      </c>
      <c r="K6176" s="25">
        <f t="shared" si="97"/>
        <v>2285.42</v>
      </c>
      <c r="L6176" s="25">
        <v>1.95</v>
      </c>
      <c r="M6176" s="24">
        <v>17862</v>
      </c>
      <c r="N6176" s="25">
        <f>IFERROR(T_reg.root.SK[[#This Row],[Price]]/T_reg.root.SK[[#This Row],[Starch content]],"")</f>
        <v>7.8156312625250504</v>
      </c>
    </row>
    <row r="6177" spans="1:14">
      <c r="A6177" s="21">
        <v>2025</v>
      </c>
      <c r="B6177" s="21" t="s">
        <v>23</v>
      </c>
      <c r="C6177" s="21" t="s">
        <v>1145</v>
      </c>
      <c r="D6177" s="21" t="s">
        <v>35</v>
      </c>
      <c r="E6177" s="17" t="s">
        <v>1043</v>
      </c>
      <c r="F6177" s="18" t="s">
        <v>105</v>
      </c>
      <c r="G6177" s="18" t="s">
        <v>48</v>
      </c>
      <c r="H6177" s="24">
        <v>51180</v>
      </c>
      <c r="I6177" s="24">
        <f>T_reg.root.SK[[#This Row],[Volume, kg]]/1000</f>
        <v>51.18</v>
      </c>
      <c r="J6177" s="25">
        <v>0.2288</v>
      </c>
      <c r="K6177" s="25">
        <f t="shared" si="97"/>
        <v>11709.984</v>
      </c>
      <c r="L6177" s="25">
        <v>1.85</v>
      </c>
      <c r="M6177" s="24">
        <v>94496.5</v>
      </c>
      <c r="N6177" s="25">
        <f>IFERROR(T_reg.root.SK[[#This Row],[Price]]/T_reg.root.SK[[#This Row],[Starch content]],"")</f>
        <v>8.0856643356643367</v>
      </c>
    </row>
    <row r="6178" spans="1:14">
      <c r="A6178" s="21">
        <v>2025</v>
      </c>
      <c r="B6178" s="21" t="s">
        <v>23</v>
      </c>
      <c r="C6178" s="21" t="s">
        <v>1145</v>
      </c>
      <c r="D6178" s="21" t="s">
        <v>35</v>
      </c>
      <c r="E6178" s="17" t="s">
        <v>1026</v>
      </c>
      <c r="F6178" s="18" t="s">
        <v>105</v>
      </c>
      <c r="G6178" s="18" t="s">
        <v>48</v>
      </c>
      <c r="H6178" s="24">
        <v>22470</v>
      </c>
      <c r="I6178" s="24">
        <f>T_reg.root.SK[[#This Row],[Volume, kg]]/1000</f>
        <v>22.47</v>
      </c>
      <c r="J6178" s="25">
        <v>0.21660000000000001</v>
      </c>
      <c r="K6178" s="25">
        <f t="shared" si="97"/>
        <v>4867.0020000000004</v>
      </c>
      <c r="L6178" s="25">
        <v>1.8</v>
      </c>
      <c r="M6178" s="24">
        <v>40429</v>
      </c>
      <c r="N6178" s="25">
        <f>IFERROR(T_reg.root.SK[[#This Row],[Price]]/T_reg.root.SK[[#This Row],[Starch content]],"")</f>
        <v>8.3102493074792232</v>
      </c>
    </row>
    <row r="6179" spans="1:14">
      <c r="A6179" s="21">
        <v>2025</v>
      </c>
      <c r="B6179" s="21" t="s">
        <v>23</v>
      </c>
      <c r="C6179" s="21" t="s">
        <v>1145</v>
      </c>
      <c r="D6179" s="21" t="s">
        <v>35</v>
      </c>
      <c r="E6179" s="17" t="s">
        <v>1027</v>
      </c>
      <c r="F6179" s="18" t="s">
        <v>187</v>
      </c>
      <c r="G6179" s="18" t="s">
        <v>48</v>
      </c>
      <c r="H6179" s="24">
        <v>29610</v>
      </c>
      <c r="I6179" s="24">
        <f>T_reg.root.SK[[#This Row],[Volume, kg]]/1000</f>
        <v>29.61</v>
      </c>
      <c r="J6179" s="25">
        <v>0.2079</v>
      </c>
      <c r="K6179" s="25">
        <f t="shared" si="97"/>
        <v>6155.9189999999999</v>
      </c>
      <c r="L6179" s="25">
        <v>1.73</v>
      </c>
      <c r="M6179" s="24">
        <v>51278</v>
      </c>
      <c r="N6179" s="25">
        <f>IFERROR(T_reg.root.SK[[#This Row],[Price]]/T_reg.root.SK[[#This Row],[Starch content]],"")</f>
        <v>8.3213083213083205</v>
      </c>
    </row>
    <row r="6180" spans="1:14">
      <c r="A6180" s="21">
        <v>2025</v>
      </c>
      <c r="B6180" s="21" t="s">
        <v>23</v>
      </c>
      <c r="C6180" s="21" t="s">
        <v>1145</v>
      </c>
      <c r="D6180" s="21" t="s">
        <v>35</v>
      </c>
      <c r="E6180" s="17" t="s">
        <v>1044</v>
      </c>
      <c r="F6180" s="18" t="s">
        <v>105</v>
      </c>
      <c r="G6180" s="18" t="s">
        <v>48</v>
      </c>
      <c r="H6180" s="24">
        <v>13230</v>
      </c>
      <c r="I6180" s="24">
        <f>T_reg.root.SK[[#This Row],[Volume, kg]]/1000</f>
        <v>13.23</v>
      </c>
      <c r="J6180" s="25">
        <v>0.19940000000000002</v>
      </c>
      <c r="K6180" s="25">
        <f t="shared" si="97"/>
        <v>2638.0620000000004</v>
      </c>
      <c r="L6180" s="25">
        <v>1.7</v>
      </c>
      <c r="M6180" s="24">
        <v>22491</v>
      </c>
      <c r="N6180" s="25">
        <f>IFERROR(T_reg.root.SK[[#This Row],[Price]]/T_reg.root.SK[[#This Row],[Starch content]],"")</f>
        <v>8.5255767301905703</v>
      </c>
    </row>
    <row r="6181" spans="1:14">
      <c r="A6181" s="21">
        <v>2025</v>
      </c>
      <c r="B6181" s="21" t="s">
        <v>23</v>
      </c>
      <c r="C6181" s="21" t="s">
        <v>1145</v>
      </c>
      <c r="D6181" s="21" t="s">
        <v>35</v>
      </c>
      <c r="E6181" s="17" t="s">
        <v>1045</v>
      </c>
      <c r="F6181" s="18" t="s">
        <v>187</v>
      </c>
      <c r="G6181" s="18" t="s">
        <v>48</v>
      </c>
      <c r="H6181" s="24">
        <v>27640</v>
      </c>
      <c r="I6181" s="24">
        <f>T_reg.root.SK[[#This Row],[Volume, kg]]/1000</f>
        <v>27.64</v>
      </c>
      <c r="J6181" s="25">
        <v>0.16149999999999998</v>
      </c>
      <c r="K6181" s="25">
        <f t="shared" si="97"/>
        <v>4463.8599999999997</v>
      </c>
      <c r="L6181" s="25">
        <v>1.5</v>
      </c>
      <c r="M6181" s="24">
        <v>41460</v>
      </c>
      <c r="N6181" s="25">
        <f>IFERROR(T_reg.root.SK[[#This Row],[Price]]/T_reg.root.SK[[#This Row],[Starch content]],"")</f>
        <v>9.2879256965944279</v>
      </c>
    </row>
    <row r="6182" spans="1:14">
      <c r="A6182" s="21">
        <v>2025</v>
      </c>
      <c r="B6182" s="21" t="s">
        <v>23</v>
      </c>
      <c r="C6182" s="21" t="s">
        <v>1145</v>
      </c>
      <c r="D6182" s="21" t="s">
        <v>35</v>
      </c>
      <c r="E6182" s="17" t="s">
        <v>215</v>
      </c>
      <c r="F6182" s="18" t="s">
        <v>187</v>
      </c>
      <c r="G6182" s="18" t="s">
        <v>48</v>
      </c>
      <c r="H6182" s="24">
        <v>110370</v>
      </c>
      <c r="I6182" s="24">
        <f>T_reg.root.SK[[#This Row],[Volume, kg]]/1000</f>
        <v>110.37</v>
      </c>
      <c r="J6182" s="25">
        <v>0.19329999999999997</v>
      </c>
      <c r="K6182" s="25">
        <f t="shared" si="97"/>
        <v>21334.520999999997</v>
      </c>
      <c r="L6182" s="25">
        <v>1.66</v>
      </c>
      <c r="M6182" s="24">
        <v>183481.5</v>
      </c>
      <c r="N6182" s="25">
        <f>IFERROR(T_reg.root.SK[[#This Row],[Price]]/T_reg.root.SK[[#This Row],[Starch content]],"")</f>
        <v>8.5876875323331614</v>
      </c>
    </row>
    <row r="6183" spans="1:14">
      <c r="A6183" s="21">
        <v>2025</v>
      </c>
      <c r="B6183" s="21" t="s">
        <v>23</v>
      </c>
      <c r="C6183" s="21" t="s">
        <v>1145</v>
      </c>
      <c r="D6183" s="21" t="s">
        <v>35</v>
      </c>
      <c r="E6183" s="17" t="s">
        <v>542</v>
      </c>
      <c r="F6183" s="18" t="s">
        <v>187</v>
      </c>
      <c r="G6183" s="18" t="s">
        <v>48</v>
      </c>
      <c r="H6183" s="24">
        <v>282210</v>
      </c>
      <c r="I6183" s="24">
        <f>T_reg.root.SK[[#This Row],[Volume, kg]]/1000</f>
        <v>282.20999999999998</v>
      </c>
      <c r="J6183" s="25">
        <v>0.2009</v>
      </c>
      <c r="K6183" s="25">
        <f t="shared" si="97"/>
        <v>56695.989000000001</v>
      </c>
      <c r="L6183" s="25">
        <v>1.7</v>
      </c>
      <c r="M6183" s="24">
        <v>480948</v>
      </c>
      <c r="N6183" s="25">
        <f>IFERROR(T_reg.root.SK[[#This Row],[Price]]/T_reg.root.SK[[#This Row],[Starch content]],"")</f>
        <v>8.4619213539074174</v>
      </c>
    </row>
    <row r="6184" spans="1:14">
      <c r="A6184" s="21">
        <v>2025</v>
      </c>
      <c r="B6184" s="21" t="s">
        <v>23</v>
      </c>
      <c r="C6184" s="21" t="s">
        <v>1145</v>
      </c>
      <c r="D6184" s="21" t="s">
        <v>35</v>
      </c>
      <c r="E6184" s="17" t="s">
        <v>216</v>
      </c>
      <c r="F6184" s="18" t="s">
        <v>187</v>
      </c>
      <c r="G6184" s="18" t="s">
        <v>48</v>
      </c>
      <c r="H6184" s="24">
        <v>117200</v>
      </c>
      <c r="I6184" s="24">
        <f>T_reg.root.SK[[#This Row],[Volume, kg]]/1000</f>
        <v>117.2</v>
      </c>
      <c r="J6184" s="25">
        <v>0.1772</v>
      </c>
      <c r="K6184" s="25">
        <f t="shared" si="97"/>
        <v>20767.84</v>
      </c>
      <c r="L6184" s="25">
        <v>1.59</v>
      </c>
      <c r="M6184" s="24">
        <v>185908</v>
      </c>
      <c r="N6184" s="25">
        <f>IFERROR(T_reg.root.SK[[#This Row],[Price]]/T_reg.root.SK[[#This Row],[Starch content]],"")</f>
        <v>8.9729119638826198</v>
      </c>
    </row>
    <row r="6185" spans="1:14">
      <c r="A6185" s="21">
        <v>2025</v>
      </c>
      <c r="B6185" s="21" t="s">
        <v>23</v>
      </c>
      <c r="C6185" s="21" t="s">
        <v>1145</v>
      </c>
      <c r="D6185" s="21" t="s">
        <v>35</v>
      </c>
      <c r="E6185" s="17" t="s">
        <v>174</v>
      </c>
      <c r="F6185" s="18" t="s">
        <v>105</v>
      </c>
      <c r="G6185" s="18" t="s">
        <v>48</v>
      </c>
      <c r="H6185" s="24">
        <v>36270</v>
      </c>
      <c r="I6185" s="24">
        <f>T_reg.root.SK[[#This Row],[Volume, kg]]/1000</f>
        <v>36.270000000000003</v>
      </c>
      <c r="J6185" s="25">
        <v>0.23699999999999999</v>
      </c>
      <c r="K6185" s="25">
        <f t="shared" si="97"/>
        <v>8595.99</v>
      </c>
      <c r="L6185" s="25">
        <v>1.89</v>
      </c>
      <c r="M6185" s="24">
        <v>68431</v>
      </c>
      <c r="N6185" s="25">
        <f>IFERROR(T_reg.root.SK[[#This Row],[Price]]/T_reg.root.SK[[#This Row],[Starch content]],"")</f>
        <v>7.9746835443037973</v>
      </c>
    </row>
    <row r="6186" spans="1:14">
      <c r="A6186" s="21">
        <v>2025</v>
      </c>
      <c r="B6186" s="21" t="s">
        <v>23</v>
      </c>
      <c r="C6186" s="21" t="s">
        <v>1145</v>
      </c>
      <c r="D6186" s="21" t="s">
        <v>35</v>
      </c>
      <c r="E6186" s="17" t="s">
        <v>270</v>
      </c>
      <c r="F6186" s="18" t="s">
        <v>187</v>
      </c>
      <c r="G6186" s="18" t="s">
        <v>48</v>
      </c>
      <c r="H6186" s="24">
        <v>10550</v>
      </c>
      <c r="I6186" s="24">
        <f>T_reg.root.SK[[#This Row],[Volume, kg]]/1000</f>
        <v>10.55</v>
      </c>
      <c r="J6186" s="25">
        <v>0.2535</v>
      </c>
      <c r="K6186" s="25">
        <f t="shared" si="97"/>
        <v>2674.4250000000002</v>
      </c>
      <c r="L6186" s="25">
        <v>1.95</v>
      </c>
      <c r="M6186" s="24">
        <v>20572.5</v>
      </c>
      <c r="N6186" s="25">
        <f>IFERROR(T_reg.root.SK[[#This Row],[Price]]/T_reg.root.SK[[#This Row],[Starch content]],"")</f>
        <v>7.6923076923076916</v>
      </c>
    </row>
    <row r="6187" spans="1:14">
      <c r="A6187" s="21">
        <v>2025</v>
      </c>
      <c r="B6187" s="21" t="s">
        <v>23</v>
      </c>
      <c r="C6187" s="21" t="s">
        <v>1145</v>
      </c>
      <c r="D6187" s="21" t="s">
        <v>35</v>
      </c>
      <c r="E6187" s="17" t="s">
        <v>543</v>
      </c>
      <c r="F6187" s="18" t="s">
        <v>187</v>
      </c>
      <c r="G6187" s="18" t="s">
        <v>48</v>
      </c>
      <c r="H6187" s="24">
        <v>11230</v>
      </c>
      <c r="I6187" s="24">
        <f>T_reg.root.SK[[#This Row],[Volume, kg]]/1000</f>
        <v>11.23</v>
      </c>
      <c r="J6187" s="25">
        <v>0.21719999999999998</v>
      </c>
      <c r="K6187" s="25">
        <f t="shared" si="97"/>
        <v>2439.1559999999999</v>
      </c>
      <c r="L6187" s="25">
        <v>1.79</v>
      </c>
      <c r="M6187" s="24">
        <v>20081</v>
      </c>
      <c r="N6187" s="25">
        <f>IFERROR(T_reg.root.SK[[#This Row],[Price]]/T_reg.root.SK[[#This Row],[Starch content]],"")</f>
        <v>8.2412523020257833</v>
      </c>
    </row>
    <row r="6188" spans="1:14">
      <c r="A6188" s="21">
        <v>2025</v>
      </c>
      <c r="B6188" s="21" t="s">
        <v>23</v>
      </c>
      <c r="C6188" s="21" t="s">
        <v>1145</v>
      </c>
      <c r="D6188" s="21" t="s">
        <v>35</v>
      </c>
      <c r="E6188" s="17" t="s">
        <v>327</v>
      </c>
      <c r="F6188" s="18" t="s">
        <v>105</v>
      </c>
      <c r="G6188" s="18" t="s">
        <v>48</v>
      </c>
      <c r="H6188" s="24">
        <v>40000</v>
      </c>
      <c r="I6188" s="24">
        <f>T_reg.root.SK[[#This Row],[Volume, kg]]/1000</f>
        <v>40</v>
      </c>
      <c r="J6188" s="25">
        <v>0.16579999999999998</v>
      </c>
      <c r="K6188" s="25">
        <f t="shared" si="97"/>
        <v>6631.9999999999991</v>
      </c>
      <c r="L6188" s="25">
        <v>1.53</v>
      </c>
      <c r="M6188" s="24">
        <v>61127.5</v>
      </c>
      <c r="N6188" s="25">
        <f>IFERROR(T_reg.root.SK[[#This Row],[Price]]/T_reg.root.SK[[#This Row],[Starch content]],"")</f>
        <v>9.2279855247285898</v>
      </c>
    </row>
    <row r="6189" spans="1:14">
      <c r="A6189" s="21">
        <v>2025</v>
      </c>
      <c r="B6189" s="21" t="s">
        <v>23</v>
      </c>
      <c r="C6189" s="21" t="s">
        <v>1145</v>
      </c>
      <c r="D6189" s="21" t="s">
        <v>35</v>
      </c>
      <c r="E6189" s="17" t="s">
        <v>77</v>
      </c>
      <c r="F6189" s="18" t="s">
        <v>47</v>
      </c>
      <c r="G6189" s="18" t="s">
        <v>48</v>
      </c>
      <c r="H6189" s="24">
        <v>42360</v>
      </c>
      <c r="I6189" s="24">
        <f>T_reg.root.SK[[#This Row],[Volume, kg]]/1000</f>
        <v>42.36</v>
      </c>
      <c r="J6189" s="25">
        <v>0.1986</v>
      </c>
      <c r="K6189" s="25">
        <f t="shared" si="97"/>
        <v>8412.6959999999999</v>
      </c>
      <c r="L6189" s="25">
        <v>1.69</v>
      </c>
      <c r="M6189" s="24">
        <v>71738</v>
      </c>
      <c r="N6189" s="25">
        <f>IFERROR(T_reg.root.SK[[#This Row],[Price]]/T_reg.root.SK[[#This Row],[Starch content]],"")</f>
        <v>8.5095669687814706</v>
      </c>
    </row>
    <row r="6190" spans="1:14">
      <c r="A6190" s="21">
        <v>2025</v>
      </c>
      <c r="B6190" s="21" t="s">
        <v>23</v>
      </c>
      <c r="C6190" s="21" t="s">
        <v>1145</v>
      </c>
      <c r="D6190" s="21" t="s">
        <v>39</v>
      </c>
      <c r="E6190" s="17" t="s">
        <v>88</v>
      </c>
      <c r="F6190" s="18" t="s">
        <v>89</v>
      </c>
      <c r="G6190" s="18" t="s">
        <v>90</v>
      </c>
      <c r="H6190" s="24">
        <v>4610450</v>
      </c>
      <c r="I6190" s="24">
        <f>T_reg.root.SK[[#This Row],[Volume, kg]]/1000</f>
        <v>4610.45</v>
      </c>
      <c r="J6190" s="25">
        <v>0.20910000000000001</v>
      </c>
      <c r="K6190" s="25">
        <f t="shared" si="97"/>
        <v>964045.09500000009</v>
      </c>
      <c r="L6190" s="25">
        <v>2.0499999999999998</v>
      </c>
      <c r="M6190" s="24">
        <v>9462278.5</v>
      </c>
      <c r="N6190" s="25">
        <f>IFERROR(T_reg.root.SK[[#This Row],[Price]]/T_reg.root.SK[[#This Row],[Starch content]],"")</f>
        <v>9.8039215686274499</v>
      </c>
    </row>
    <row r="6191" spans="1:14">
      <c r="A6191" s="21">
        <v>2025</v>
      </c>
      <c r="B6191" s="21" t="s">
        <v>23</v>
      </c>
      <c r="C6191" s="21" t="s">
        <v>1145</v>
      </c>
      <c r="D6191" s="21" t="s">
        <v>35</v>
      </c>
      <c r="E6191" s="17" t="s">
        <v>761</v>
      </c>
      <c r="F6191" s="18" t="s">
        <v>187</v>
      </c>
      <c r="G6191" s="18" t="s">
        <v>48</v>
      </c>
      <c r="H6191" s="24">
        <v>134510</v>
      </c>
      <c r="I6191" s="24">
        <f>T_reg.root.SK[[#This Row],[Volume, kg]]/1000</f>
        <v>134.51</v>
      </c>
      <c r="J6191" s="25">
        <v>0.19949999999999998</v>
      </c>
      <c r="K6191" s="25">
        <f t="shared" si="97"/>
        <v>26834.744999999999</v>
      </c>
      <c r="L6191" s="25">
        <v>1.7</v>
      </c>
      <c r="M6191" s="24">
        <v>228402</v>
      </c>
      <c r="N6191" s="25">
        <f>IFERROR(T_reg.root.SK[[#This Row],[Price]]/T_reg.root.SK[[#This Row],[Starch content]],"")</f>
        <v>8.5213032581453643</v>
      </c>
    </row>
    <row r="6192" spans="1:14">
      <c r="A6192" s="21">
        <v>2025</v>
      </c>
      <c r="B6192" s="21" t="s">
        <v>23</v>
      </c>
      <c r="C6192" s="21" t="s">
        <v>1145</v>
      </c>
      <c r="D6192" s="21" t="s">
        <v>35</v>
      </c>
      <c r="E6192" s="17" t="s">
        <v>175</v>
      </c>
      <c r="F6192" s="18" t="s">
        <v>105</v>
      </c>
      <c r="G6192" s="18" t="s">
        <v>48</v>
      </c>
      <c r="H6192" s="24">
        <v>101060</v>
      </c>
      <c r="I6192" s="24">
        <f>T_reg.root.SK[[#This Row],[Volume, kg]]/1000</f>
        <v>101.06</v>
      </c>
      <c r="J6192" s="25">
        <v>0.18909999999999999</v>
      </c>
      <c r="K6192" s="25">
        <f t="shared" si="97"/>
        <v>19110.446</v>
      </c>
      <c r="L6192" s="25">
        <v>1.65</v>
      </c>
      <c r="M6192" s="24">
        <v>166807</v>
      </c>
      <c r="N6192" s="25">
        <f>IFERROR(T_reg.root.SK[[#This Row],[Price]]/T_reg.root.SK[[#This Row],[Starch content]],"")</f>
        <v>8.7255420412480174</v>
      </c>
    </row>
    <row r="6193" spans="1:14">
      <c r="A6193" s="21">
        <v>2025</v>
      </c>
      <c r="B6193" s="21" t="s">
        <v>23</v>
      </c>
      <c r="C6193" s="21" t="s">
        <v>1145</v>
      </c>
      <c r="D6193" s="21" t="s">
        <v>35</v>
      </c>
      <c r="E6193" s="17" t="s">
        <v>176</v>
      </c>
      <c r="F6193" s="18" t="s">
        <v>105</v>
      </c>
      <c r="G6193" s="18" t="s">
        <v>48</v>
      </c>
      <c r="H6193" s="24">
        <v>47620</v>
      </c>
      <c r="I6193" s="24">
        <f>T_reg.root.SK[[#This Row],[Volume, kg]]/1000</f>
        <v>47.62</v>
      </c>
      <c r="J6193" s="25">
        <v>0.22190000000000001</v>
      </c>
      <c r="K6193" s="25">
        <f t="shared" si="97"/>
        <v>10566.878000000001</v>
      </c>
      <c r="L6193" s="25">
        <v>1.81</v>
      </c>
      <c r="M6193" s="24">
        <v>86129.5</v>
      </c>
      <c r="N6193" s="25">
        <f>IFERROR(T_reg.root.SK[[#This Row],[Price]]/T_reg.root.SK[[#This Row],[Starch content]],"")</f>
        <v>8.1568273997296075</v>
      </c>
    </row>
    <row r="6194" spans="1:14">
      <c r="A6194" s="21">
        <v>2025</v>
      </c>
      <c r="B6194" s="21" t="s">
        <v>23</v>
      </c>
      <c r="C6194" s="21" t="s">
        <v>1145</v>
      </c>
      <c r="D6194" s="21" t="s">
        <v>35</v>
      </c>
      <c r="E6194" s="17" t="s">
        <v>605</v>
      </c>
      <c r="F6194" s="18" t="s">
        <v>105</v>
      </c>
      <c r="G6194" s="18" t="s">
        <v>48</v>
      </c>
      <c r="H6194" s="24">
        <v>205310</v>
      </c>
      <c r="I6194" s="24">
        <f>T_reg.root.SK[[#This Row],[Volume, kg]]/1000</f>
        <v>205.31</v>
      </c>
      <c r="J6194" s="25">
        <v>0.21149999999999999</v>
      </c>
      <c r="K6194" s="25">
        <f t="shared" si="97"/>
        <v>43423.064999999995</v>
      </c>
      <c r="L6194" s="25">
        <v>1.76</v>
      </c>
      <c r="M6194" s="24">
        <v>360987</v>
      </c>
      <c r="N6194" s="25">
        <f>IFERROR(T_reg.root.SK[[#This Row],[Price]]/T_reg.root.SK[[#This Row],[Starch content]],"")</f>
        <v>8.3215130023640658</v>
      </c>
    </row>
    <row r="6195" spans="1:14">
      <c r="A6195" s="21">
        <v>2025</v>
      </c>
      <c r="B6195" s="21" t="s">
        <v>23</v>
      </c>
      <c r="C6195" s="21" t="s">
        <v>1145</v>
      </c>
      <c r="D6195" s="21" t="s">
        <v>35</v>
      </c>
      <c r="E6195" s="17" t="s">
        <v>329</v>
      </c>
      <c r="F6195" s="18" t="s">
        <v>105</v>
      </c>
      <c r="G6195" s="18" t="s">
        <v>48</v>
      </c>
      <c r="H6195" s="24">
        <v>91480</v>
      </c>
      <c r="I6195" s="24">
        <f>T_reg.root.SK[[#This Row],[Volume, kg]]/1000</f>
        <v>91.48</v>
      </c>
      <c r="J6195" s="25">
        <v>0.22039999999999998</v>
      </c>
      <c r="K6195" s="25">
        <f t="shared" si="97"/>
        <v>20162.191999999999</v>
      </c>
      <c r="L6195" s="25">
        <v>1.8</v>
      </c>
      <c r="M6195" s="24">
        <v>164953.5</v>
      </c>
      <c r="N6195" s="25">
        <f>IFERROR(T_reg.root.SK[[#This Row],[Price]]/T_reg.root.SK[[#This Row],[Starch content]],"")</f>
        <v>8.166969147005446</v>
      </c>
    </row>
    <row r="6196" spans="1:14">
      <c r="A6196" s="21">
        <v>2025</v>
      </c>
      <c r="B6196" s="21" t="s">
        <v>23</v>
      </c>
      <c r="C6196" s="21" t="s">
        <v>1145</v>
      </c>
      <c r="D6196" s="21" t="s">
        <v>35</v>
      </c>
      <c r="E6196" s="17" t="s">
        <v>179</v>
      </c>
      <c r="F6196" s="18" t="s">
        <v>105</v>
      </c>
      <c r="G6196" s="18" t="s">
        <v>48</v>
      </c>
      <c r="H6196" s="24">
        <v>16880</v>
      </c>
      <c r="I6196" s="24">
        <f>T_reg.root.SK[[#This Row],[Volume, kg]]/1000</f>
        <v>16.88</v>
      </c>
      <c r="J6196" s="25">
        <v>0.2039</v>
      </c>
      <c r="K6196" s="25">
        <f t="shared" si="97"/>
        <v>3441.8319999999999</v>
      </c>
      <c r="L6196" s="25">
        <v>1.73</v>
      </c>
      <c r="M6196" s="24">
        <v>29158</v>
      </c>
      <c r="N6196" s="25">
        <f>IFERROR(T_reg.root.SK[[#This Row],[Price]]/T_reg.root.SK[[#This Row],[Starch content]],"")</f>
        <v>8.4845512506130465</v>
      </c>
    </row>
    <row r="6197" spans="1:14">
      <c r="A6197" s="21">
        <v>2025</v>
      </c>
      <c r="B6197" s="21" t="s">
        <v>23</v>
      </c>
      <c r="C6197" s="21" t="s">
        <v>1145</v>
      </c>
      <c r="D6197" s="21" t="s">
        <v>35</v>
      </c>
      <c r="E6197" s="17" t="s">
        <v>181</v>
      </c>
      <c r="F6197" s="18" t="s">
        <v>105</v>
      </c>
      <c r="G6197" s="18" t="s">
        <v>48</v>
      </c>
      <c r="H6197" s="24">
        <v>34550</v>
      </c>
      <c r="I6197" s="24">
        <f>T_reg.root.SK[[#This Row],[Volume, kg]]/1000</f>
        <v>34.549999999999997</v>
      </c>
      <c r="J6197" s="25">
        <v>0.18989999999999999</v>
      </c>
      <c r="K6197" s="25">
        <f t="shared" si="97"/>
        <v>6561.0449999999992</v>
      </c>
      <c r="L6197" s="25">
        <v>1.65</v>
      </c>
      <c r="M6197" s="24">
        <v>56935.5</v>
      </c>
      <c r="N6197" s="25">
        <f>IFERROR(T_reg.root.SK[[#This Row],[Price]]/T_reg.root.SK[[#This Row],[Starch content]],"")</f>
        <v>8.6887835703001581</v>
      </c>
    </row>
    <row r="6198" spans="1:14">
      <c r="A6198" s="21">
        <v>2025</v>
      </c>
      <c r="B6198" s="21" t="s">
        <v>23</v>
      </c>
      <c r="C6198" s="21" t="s">
        <v>1145</v>
      </c>
      <c r="D6198" s="21" t="s">
        <v>35</v>
      </c>
      <c r="E6198" s="17" t="s">
        <v>271</v>
      </c>
      <c r="F6198" s="18" t="s">
        <v>187</v>
      </c>
      <c r="G6198" s="18" t="s">
        <v>48</v>
      </c>
      <c r="H6198" s="24">
        <v>38030</v>
      </c>
      <c r="I6198" s="24">
        <f>T_reg.root.SK[[#This Row],[Volume, kg]]/1000</f>
        <v>38.03</v>
      </c>
      <c r="J6198" s="25">
        <v>0.17760000000000001</v>
      </c>
      <c r="K6198" s="25">
        <f t="shared" si="97"/>
        <v>6754.1280000000006</v>
      </c>
      <c r="L6198" s="25">
        <v>1.6</v>
      </c>
      <c r="M6198" s="24">
        <v>60848</v>
      </c>
      <c r="N6198" s="25">
        <f>IFERROR(T_reg.root.SK[[#This Row],[Price]]/T_reg.root.SK[[#This Row],[Starch content]],"")</f>
        <v>9.0090090090090094</v>
      </c>
    </row>
    <row r="6199" spans="1:14">
      <c r="A6199" s="21">
        <v>2025</v>
      </c>
      <c r="B6199" s="21" t="s">
        <v>23</v>
      </c>
      <c r="C6199" s="21" t="s">
        <v>1145</v>
      </c>
      <c r="D6199" s="21" t="s">
        <v>35</v>
      </c>
      <c r="E6199" s="17" t="s">
        <v>390</v>
      </c>
      <c r="F6199" s="18" t="s">
        <v>92</v>
      </c>
      <c r="G6199" s="18" t="s">
        <v>48</v>
      </c>
      <c r="H6199" s="24">
        <v>49880</v>
      </c>
      <c r="I6199" s="24">
        <f>T_reg.root.SK[[#This Row],[Volume, kg]]/1000</f>
        <v>49.88</v>
      </c>
      <c r="J6199" s="25">
        <v>0.23430000000000001</v>
      </c>
      <c r="K6199" s="25">
        <f t="shared" si="97"/>
        <v>11686.884</v>
      </c>
      <c r="L6199" s="25">
        <v>1.86</v>
      </c>
      <c r="M6199" s="24">
        <v>93024.5</v>
      </c>
      <c r="N6199" s="25">
        <f>IFERROR(T_reg.root.SK[[#This Row],[Price]]/T_reg.root.SK[[#This Row],[Starch content]],"")</f>
        <v>7.9385403329065305</v>
      </c>
    </row>
    <row r="6200" spans="1:14">
      <c r="A6200" s="21">
        <v>2025</v>
      </c>
      <c r="B6200" s="21" t="s">
        <v>23</v>
      </c>
      <c r="C6200" s="21" t="s">
        <v>1145</v>
      </c>
      <c r="D6200" s="21" t="s">
        <v>35</v>
      </c>
      <c r="E6200" s="17" t="s">
        <v>509</v>
      </c>
      <c r="F6200" s="18" t="s">
        <v>105</v>
      </c>
      <c r="G6200" s="18" t="s">
        <v>48</v>
      </c>
      <c r="H6200" s="24">
        <v>11140</v>
      </c>
      <c r="I6200" s="24">
        <f>T_reg.root.SK[[#This Row],[Volume, kg]]/1000</f>
        <v>11.14</v>
      </c>
      <c r="J6200" s="25">
        <v>0.19350000000000001</v>
      </c>
      <c r="K6200" s="25">
        <f t="shared" si="97"/>
        <v>2155.59</v>
      </c>
      <c r="L6200" s="25">
        <v>1.65</v>
      </c>
      <c r="M6200" s="24">
        <v>18381</v>
      </c>
      <c r="N6200" s="25">
        <f>IFERROR(T_reg.root.SK[[#This Row],[Price]]/T_reg.root.SK[[#This Row],[Starch content]],"")</f>
        <v>8.5271317829457356</v>
      </c>
    </row>
    <row r="6201" spans="1:14">
      <c r="A6201" s="21">
        <v>2025</v>
      </c>
      <c r="B6201" s="21" t="s">
        <v>23</v>
      </c>
      <c r="C6201" s="21" t="s">
        <v>1145</v>
      </c>
      <c r="D6201" s="21" t="s">
        <v>35</v>
      </c>
      <c r="E6201" s="17" t="s">
        <v>182</v>
      </c>
      <c r="F6201" s="18" t="s">
        <v>105</v>
      </c>
      <c r="G6201" s="18" t="s">
        <v>48</v>
      </c>
      <c r="H6201" s="24">
        <v>39810</v>
      </c>
      <c r="I6201" s="24">
        <f>T_reg.root.SK[[#This Row],[Volume, kg]]/1000</f>
        <v>39.81</v>
      </c>
      <c r="J6201" s="25">
        <v>0.21929999999999999</v>
      </c>
      <c r="K6201" s="25">
        <f t="shared" si="97"/>
        <v>8730.3330000000005</v>
      </c>
      <c r="L6201" s="25">
        <v>1.79</v>
      </c>
      <c r="M6201" s="24">
        <v>71444.5</v>
      </c>
      <c r="N6201" s="25">
        <f>IFERROR(T_reg.root.SK[[#This Row],[Price]]/T_reg.root.SK[[#This Row],[Starch content]],"")</f>
        <v>8.1623347013223899</v>
      </c>
    </row>
    <row r="6202" spans="1:14">
      <c r="A6202" s="21">
        <v>2025</v>
      </c>
      <c r="B6202" s="21" t="s">
        <v>23</v>
      </c>
      <c r="C6202" s="21" t="s">
        <v>1145</v>
      </c>
      <c r="D6202" s="21" t="s">
        <v>35</v>
      </c>
      <c r="E6202" s="17" t="s">
        <v>740</v>
      </c>
      <c r="F6202" s="18" t="s">
        <v>105</v>
      </c>
      <c r="G6202" s="18" t="s">
        <v>48</v>
      </c>
      <c r="H6202" s="24">
        <v>143550</v>
      </c>
      <c r="I6202" s="24">
        <f>T_reg.root.SK[[#This Row],[Volume, kg]]/1000</f>
        <v>143.55000000000001</v>
      </c>
      <c r="J6202" s="25">
        <v>0.20649999999999999</v>
      </c>
      <c r="K6202" s="25">
        <f t="shared" si="97"/>
        <v>29643.074999999997</v>
      </c>
      <c r="L6202" s="25">
        <v>1.74</v>
      </c>
      <c r="M6202" s="24">
        <v>249595</v>
      </c>
      <c r="N6202" s="25">
        <f>IFERROR(T_reg.root.SK[[#This Row],[Price]]/T_reg.root.SK[[#This Row],[Starch content]],"")</f>
        <v>8.4261501210653762</v>
      </c>
    </row>
    <row r="6203" spans="1:14">
      <c r="A6203" s="21">
        <v>2025</v>
      </c>
      <c r="B6203" s="21" t="s">
        <v>23</v>
      </c>
      <c r="C6203" s="21" t="s">
        <v>1145</v>
      </c>
      <c r="D6203" s="21" t="s">
        <v>35</v>
      </c>
      <c r="E6203" s="17" t="s">
        <v>410</v>
      </c>
      <c r="F6203" s="18" t="s">
        <v>187</v>
      </c>
      <c r="G6203" s="18" t="s">
        <v>48</v>
      </c>
      <c r="H6203" s="24">
        <v>11790</v>
      </c>
      <c r="I6203" s="24">
        <f>T_reg.root.SK[[#This Row],[Volume, kg]]/1000</f>
        <v>11.79</v>
      </c>
      <c r="J6203" s="25">
        <v>0.18030000000000002</v>
      </c>
      <c r="K6203" s="25">
        <f t="shared" si="97"/>
        <v>2125.7370000000001</v>
      </c>
      <c r="L6203" s="25">
        <v>1.58</v>
      </c>
      <c r="M6203" s="24">
        <v>18628.5</v>
      </c>
      <c r="N6203" s="25">
        <f>IFERROR(T_reg.root.SK[[#This Row],[Price]]/T_reg.root.SK[[#This Row],[Starch content]],"")</f>
        <v>8.7631724902939538</v>
      </c>
    </row>
    <row r="6204" spans="1:14">
      <c r="A6204" s="21">
        <v>2025</v>
      </c>
      <c r="B6204" s="21" t="s">
        <v>23</v>
      </c>
      <c r="C6204" s="21" t="s">
        <v>1145</v>
      </c>
      <c r="D6204" s="21" t="s">
        <v>35</v>
      </c>
      <c r="E6204" s="17" t="s">
        <v>741</v>
      </c>
      <c r="F6204" s="18" t="s">
        <v>105</v>
      </c>
      <c r="G6204" s="18" t="s">
        <v>48</v>
      </c>
      <c r="H6204" s="24">
        <v>44060</v>
      </c>
      <c r="I6204" s="24">
        <f>T_reg.root.SK[[#This Row],[Volume, kg]]/1000</f>
        <v>44.06</v>
      </c>
      <c r="J6204" s="25">
        <v>0.20250000000000001</v>
      </c>
      <c r="K6204" s="25">
        <f t="shared" si="97"/>
        <v>8922.1500000000015</v>
      </c>
      <c r="L6204" s="25">
        <v>1.71</v>
      </c>
      <c r="M6204" s="24">
        <v>75418</v>
      </c>
      <c r="N6204" s="25">
        <f>IFERROR(T_reg.root.SK[[#This Row],[Price]]/T_reg.root.SK[[#This Row],[Starch content]],"")</f>
        <v>8.4444444444444429</v>
      </c>
    </row>
    <row r="6205" spans="1:14">
      <c r="A6205" s="21">
        <v>2025</v>
      </c>
      <c r="B6205" s="21" t="s">
        <v>23</v>
      </c>
      <c r="C6205" s="21" t="s">
        <v>1145</v>
      </c>
      <c r="D6205" s="21" t="s">
        <v>35</v>
      </c>
      <c r="E6205" s="17" t="s">
        <v>640</v>
      </c>
      <c r="F6205" s="18" t="s">
        <v>105</v>
      </c>
      <c r="G6205" s="18" t="s">
        <v>48</v>
      </c>
      <c r="H6205" s="24">
        <v>60050</v>
      </c>
      <c r="I6205" s="24">
        <f>T_reg.root.SK[[#This Row],[Volume, kg]]/1000</f>
        <v>60.05</v>
      </c>
      <c r="J6205" s="25">
        <v>0.24170000000000003</v>
      </c>
      <c r="K6205" s="25">
        <f t="shared" si="97"/>
        <v>14514.085000000001</v>
      </c>
      <c r="L6205" s="25">
        <v>1.91</v>
      </c>
      <c r="M6205" s="24">
        <v>114425</v>
      </c>
      <c r="N6205" s="25">
        <f>IFERROR(T_reg.root.SK[[#This Row],[Price]]/T_reg.root.SK[[#This Row],[Starch content]],"")</f>
        <v>7.9023582954075291</v>
      </c>
    </row>
    <row r="6206" spans="1:14">
      <c r="A6206" s="21">
        <v>2025</v>
      </c>
      <c r="B6206" s="21" t="s">
        <v>23</v>
      </c>
      <c r="C6206" s="21" t="s">
        <v>1145</v>
      </c>
      <c r="D6206" s="21" t="s">
        <v>35</v>
      </c>
      <c r="E6206" s="17" t="s">
        <v>829</v>
      </c>
      <c r="F6206" s="18" t="s">
        <v>105</v>
      </c>
      <c r="G6206" s="18" t="s">
        <v>48</v>
      </c>
      <c r="H6206" s="24">
        <v>185180</v>
      </c>
      <c r="I6206" s="24">
        <f>T_reg.root.SK[[#This Row],[Volume, kg]]/1000</f>
        <v>185.18</v>
      </c>
      <c r="J6206" s="25">
        <v>0.21899999999999997</v>
      </c>
      <c r="K6206" s="25">
        <f t="shared" si="97"/>
        <v>40554.42</v>
      </c>
      <c r="L6206" s="25">
        <v>1.8</v>
      </c>
      <c r="M6206" s="24">
        <v>333767.5</v>
      </c>
      <c r="N6206" s="25">
        <f>IFERROR(T_reg.root.SK[[#This Row],[Price]]/T_reg.root.SK[[#This Row],[Starch content]],"")</f>
        <v>8.2191780821917817</v>
      </c>
    </row>
    <row r="6207" spans="1:14">
      <c r="A6207" s="21">
        <v>2025</v>
      </c>
      <c r="B6207" s="21" t="s">
        <v>23</v>
      </c>
      <c r="C6207" s="21" t="s">
        <v>1145</v>
      </c>
      <c r="D6207" s="21" t="s">
        <v>35</v>
      </c>
      <c r="E6207" s="17" t="s">
        <v>641</v>
      </c>
      <c r="F6207" s="18" t="s">
        <v>105</v>
      </c>
      <c r="G6207" s="18" t="s">
        <v>48</v>
      </c>
      <c r="H6207" s="24">
        <v>47970</v>
      </c>
      <c r="I6207" s="24">
        <f>T_reg.root.SK[[#This Row],[Volume, kg]]/1000</f>
        <v>47.97</v>
      </c>
      <c r="J6207" s="25">
        <v>0.2253</v>
      </c>
      <c r="K6207" s="25">
        <f t="shared" si="97"/>
        <v>10807.641</v>
      </c>
      <c r="L6207" s="25">
        <v>1.82</v>
      </c>
      <c r="M6207" s="24">
        <v>87437</v>
      </c>
      <c r="N6207" s="25">
        <f>IFERROR(T_reg.root.SK[[#This Row],[Price]]/T_reg.root.SK[[#This Row],[Starch content]],"")</f>
        <v>8.0781180648024851</v>
      </c>
    </row>
    <row r="6208" spans="1:14">
      <c r="A6208" s="21">
        <v>2025</v>
      </c>
      <c r="B6208" s="21" t="s">
        <v>23</v>
      </c>
      <c r="C6208" s="21" t="s">
        <v>1145</v>
      </c>
      <c r="D6208" s="21" t="s">
        <v>35</v>
      </c>
      <c r="E6208" s="17" t="s">
        <v>705</v>
      </c>
      <c r="F6208" s="18" t="s">
        <v>187</v>
      </c>
      <c r="G6208" s="18" t="s">
        <v>48</v>
      </c>
      <c r="H6208" s="24">
        <v>10610</v>
      </c>
      <c r="I6208" s="24">
        <f>T_reg.root.SK[[#This Row],[Volume, kg]]/1000</f>
        <v>10.61</v>
      </c>
      <c r="J6208" s="25">
        <v>0.22469999999999998</v>
      </c>
      <c r="K6208" s="25">
        <f t="shared" si="97"/>
        <v>2384.067</v>
      </c>
      <c r="L6208" s="25">
        <v>1.82</v>
      </c>
      <c r="M6208" s="24">
        <v>19362.5</v>
      </c>
      <c r="N6208" s="25">
        <f>IFERROR(T_reg.root.SK[[#This Row],[Price]]/T_reg.root.SK[[#This Row],[Starch content]],"")</f>
        <v>8.0996884735202492</v>
      </c>
    </row>
    <row r="6209" spans="1:14">
      <c r="A6209" s="21">
        <v>2025</v>
      </c>
      <c r="B6209" s="21" t="s">
        <v>23</v>
      </c>
      <c r="C6209" s="21" t="s">
        <v>1145</v>
      </c>
      <c r="D6209" s="21" t="s">
        <v>35</v>
      </c>
      <c r="E6209" s="17" t="s">
        <v>774</v>
      </c>
      <c r="F6209" s="18" t="s">
        <v>105</v>
      </c>
      <c r="G6209" s="18" t="s">
        <v>48</v>
      </c>
      <c r="H6209" s="24">
        <v>70110</v>
      </c>
      <c r="I6209" s="24">
        <f>T_reg.root.SK[[#This Row],[Volume, kg]]/1000</f>
        <v>70.11</v>
      </c>
      <c r="J6209" s="25">
        <v>0.22059999999999999</v>
      </c>
      <c r="K6209" s="25">
        <f t="shared" si="97"/>
        <v>15466.266</v>
      </c>
      <c r="L6209" s="25">
        <v>1.81</v>
      </c>
      <c r="M6209" s="24">
        <v>127115</v>
      </c>
      <c r="N6209" s="25">
        <f>IFERROR(T_reg.root.SK[[#This Row],[Price]]/T_reg.root.SK[[#This Row],[Starch content]],"")</f>
        <v>8.2048957388939261</v>
      </c>
    </row>
    <row r="6210" spans="1:14">
      <c r="A6210" s="21">
        <v>2025</v>
      </c>
      <c r="B6210" s="21" t="s">
        <v>23</v>
      </c>
      <c r="C6210" s="21" t="s">
        <v>1145</v>
      </c>
      <c r="D6210" s="21" t="s">
        <v>35</v>
      </c>
      <c r="E6210" s="17" t="s">
        <v>959</v>
      </c>
      <c r="F6210" s="18" t="s">
        <v>105</v>
      </c>
      <c r="G6210" s="18" t="s">
        <v>48</v>
      </c>
      <c r="H6210" s="24">
        <v>8130</v>
      </c>
      <c r="I6210" s="24">
        <f>T_reg.root.SK[[#This Row],[Volume, kg]]/1000</f>
        <v>8.1300000000000008</v>
      </c>
      <c r="J6210" s="25">
        <v>0.23399999999999999</v>
      </c>
      <c r="K6210" s="25">
        <f t="shared" si="97"/>
        <v>1902.4199999999998</v>
      </c>
      <c r="L6210" s="25">
        <v>1.85</v>
      </c>
      <c r="M6210" s="24">
        <v>15040.5</v>
      </c>
      <c r="N6210" s="25">
        <f>IFERROR(T_reg.root.SK[[#This Row],[Price]]/T_reg.root.SK[[#This Row],[Starch content]],"")</f>
        <v>7.9059829059829072</v>
      </c>
    </row>
    <row r="6211" spans="1:14">
      <c r="A6211" s="21">
        <v>2025</v>
      </c>
      <c r="B6211" s="21" t="s">
        <v>23</v>
      </c>
      <c r="C6211" s="21" t="s">
        <v>1145</v>
      </c>
      <c r="D6211" s="21" t="s">
        <v>35</v>
      </c>
      <c r="E6211" s="17" t="s">
        <v>969</v>
      </c>
      <c r="F6211" s="18" t="s">
        <v>105</v>
      </c>
      <c r="G6211" s="18" t="s">
        <v>48</v>
      </c>
      <c r="H6211" s="24">
        <v>11030</v>
      </c>
      <c r="I6211" s="24">
        <f>T_reg.root.SK[[#This Row],[Volume, kg]]/1000</f>
        <v>11.03</v>
      </c>
      <c r="J6211" s="25">
        <v>0.21920000000000001</v>
      </c>
      <c r="K6211" s="25">
        <f t="shared" si="97"/>
        <v>2417.7759999999998</v>
      </c>
      <c r="L6211" s="25">
        <v>1.81</v>
      </c>
      <c r="M6211" s="24">
        <v>19966.5</v>
      </c>
      <c r="N6211" s="25">
        <f>IFERROR(T_reg.root.SK[[#This Row],[Price]]/T_reg.root.SK[[#This Row],[Starch content]],"")</f>
        <v>8.257299270072993</v>
      </c>
    </row>
    <row r="6212" spans="1:14">
      <c r="A6212" s="21">
        <v>2025</v>
      </c>
      <c r="B6212" s="21" t="s">
        <v>23</v>
      </c>
      <c r="C6212" s="21" t="s">
        <v>1145</v>
      </c>
      <c r="D6212" s="21" t="s">
        <v>35</v>
      </c>
      <c r="E6212" s="17" t="s">
        <v>578</v>
      </c>
      <c r="F6212" s="18" t="s">
        <v>105</v>
      </c>
      <c r="G6212" s="18" t="s">
        <v>48</v>
      </c>
      <c r="H6212" s="24">
        <v>11140</v>
      </c>
      <c r="I6212" s="24">
        <f>T_reg.root.SK[[#This Row],[Volume, kg]]/1000</f>
        <v>11.14</v>
      </c>
      <c r="J6212" s="25">
        <v>0.26750000000000002</v>
      </c>
      <c r="K6212" s="25">
        <f t="shared" si="97"/>
        <v>2979.9500000000003</v>
      </c>
      <c r="L6212" s="25">
        <v>2.0499999999999998</v>
      </c>
      <c r="M6212" s="24">
        <v>22796</v>
      </c>
      <c r="N6212" s="25">
        <f>IFERROR(T_reg.root.SK[[#This Row],[Price]]/T_reg.root.SK[[#This Row],[Starch content]],"")</f>
        <v>7.6635514018691575</v>
      </c>
    </row>
    <row r="6213" spans="1:14">
      <c r="A6213" s="21">
        <v>2025</v>
      </c>
      <c r="B6213" s="21" t="s">
        <v>23</v>
      </c>
      <c r="C6213" s="21" t="s">
        <v>1145</v>
      </c>
      <c r="D6213" s="21" t="s">
        <v>35</v>
      </c>
      <c r="E6213" s="17" t="s">
        <v>183</v>
      </c>
      <c r="F6213" s="18" t="s">
        <v>105</v>
      </c>
      <c r="G6213" s="18" t="s">
        <v>48</v>
      </c>
      <c r="H6213" s="24">
        <v>309240</v>
      </c>
      <c r="I6213" s="24">
        <f>T_reg.root.SK[[#This Row],[Volume, kg]]/1000</f>
        <v>309.24</v>
      </c>
      <c r="J6213" s="25">
        <v>0.21760000000000002</v>
      </c>
      <c r="K6213" s="25">
        <f t="shared" si="97"/>
        <v>67290.624000000011</v>
      </c>
      <c r="L6213" s="25">
        <v>1.78</v>
      </c>
      <c r="M6213" s="24">
        <v>551937</v>
      </c>
      <c r="N6213" s="25">
        <f>IFERROR(T_reg.root.SK[[#This Row],[Price]]/T_reg.root.SK[[#This Row],[Starch content]],"")</f>
        <v>8.180147058823529</v>
      </c>
    </row>
    <row r="6214" spans="1:14">
      <c r="A6214" s="21">
        <v>2025</v>
      </c>
      <c r="B6214" s="21" t="s">
        <v>23</v>
      </c>
      <c r="C6214" s="21" t="s">
        <v>1145</v>
      </c>
      <c r="D6214" s="21" t="s">
        <v>35</v>
      </c>
      <c r="E6214" s="17" t="s">
        <v>217</v>
      </c>
      <c r="F6214" s="18" t="s">
        <v>187</v>
      </c>
      <c r="G6214" s="18" t="s">
        <v>48</v>
      </c>
      <c r="H6214" s="24">
        <v>6480</v>
      </c>
      <c r="I6214" s="24">
        <f>T_reg.root.SK[[#This Row],[Volume, kg]]/1000</f>
        <v>6.48</v>
      </c>
      <c r="J6214" s="25">
        <v>0.14649999999999999</v>
      </c>
      <c r="K6214" s="25">
        <f t="shared" si="97"/>
        <v>949.31999999999994</v>
      </c>
      <c r="L6214" s="25">
        <v>1.45</v>
      </c>
      <c r="M6214" s="24">
        <v>9396</v>
      </c>
      <c r="N6214" s="25">
        <f>IFERROR(T_reg.root.SK[[#This Row],[Price]]/T_reg.root.SK[[#This Row],[Starch content]],"")</f>
        <v>9.8976109215017072</v>
      </c>
    </row>
    <row r="6215" spans="1:14">
      <c r="A6215" s="21">
        <v>2025</v>
      </c>
      <c r="B6215" s="21" t="s">
        <v>23</v>
      </c>
      <c r="C6215" s="21" t="s">
        <v>1145</v>
      </c>
      <c r="D6215" s="21" t="s">
        <v>35</v>
      </c>
      <c r="E6215" s="17" t="s">
        <v>383</v>
      </c>
      <c r="F6215" s="18" t="s">
        <v>47</v>
      </c>
      <c r="G6215" s="18" t="s">
        <v>48</v>
      </c>
      <c r="H6215" s="24">
        <v>90280</v>
      </c>
      <c r="I6215" s="24">
        <f>T_reg.root.SK[[#This Row],[Volume, kg]]/1000</f>
        <v>90.28</v>
      </c>
      <c r="J6215" s="25">
        <v>0.1973</v>
      </c>
      <c r="K6215" s="25">
        <f t="shared" si="97"/>
        <v>17812.243999999999</v>
      </c>
      <c r="L6215" s="25">
        <v>1.68</v>
      </c>
      <c r="M6215" s="24">
        <v>151858</v>
      </c>
      <c r="N6215" s="25">
        <f>IFERROR(T_reg.root.SK[[#This Row],[Price]]/T_reg.root.SK[[#This Row],[Starch content]],"")</f>
        <v>8.5149518499746577</v>
      </c>
    </row>
    <row r="6216" spans="1:14">
      <c r="A6216" s="21">
        <v>2025</v>
      </c>
      <c r="B6216" s="21" t="s">
        <v>24</v>
      </c>
      <c r="C6216" s="21" t="s">
        <v>1145</v>
      </c>
      <c r="D6216" s="21" t="s">
        <v>35</v>
      </c>
      <c r="E6216" s="17" t="s">
        <v>185</v>
      </c>
      <c r="F6216" s="17" t="s">
        <v>105</v>
      </c>
      <c r="G6216" s="18" t="s">
        <v>48</v>
      </c>
      <c r="H6216" s="24">
        <v>6360</v>
      </c>
      <c r="I6216" s="24">
        <f>T_reg.root.SK[[#This Row],[Volume, kg]]/1000</f>
        <v>6.36</v>
      </c>
      <c r="J6216" s="25">
        <v>0.22399999999999998</v>
      </c>
      <c r="K6216" s="25">
        <f t="shared" si="97"/>
        <v>1424.6399999999999</v>
      </c>
      <c r="L6216" s="25">
        <v>1.95</v>
      </c>
      <c r="M6216" s="24">
        <v>12402</v>
      </c>
      <c r="N6216" s="25">
        <f>IFERROR(T_reg.root.SK[[#This Row],[Price]]/T_reg.root.SK[[#This Row],[Starch content]],"")</f>
        <v>8.7053571428571441</v>
      </c>
    </row>
    <row r="6217" spans="1:14">
      <c r="A6217" s="21">
        <v>2025</v>
      </c>
      <c r="B6217" s="21" t="s">
        <v>24</v>
      </c>
      <c r="C6217" s="21" t="s">
        <v>1145</v>
      </c>
      <c r="D6217" s="21" t="s">
        <v>35</v>
      </c>
      <c r="E6217" s="17" t="s">
        <v>287</v>
      </c>
      <c r="F6217" s="17" t="s">
        <v>105</v>
      </c>
      <c r="G6217" s="18" t="s">
        <v>48</v>
      </c>
      <c r="H6217" s="24">
        <v>31300</v>
      </c>
      <c r="I6217" s="24">
        <f>T_reg.root.SK[[#This Row],[Volume, kg]]/1000</f>
        <v>31.3</v>
      </c>
      <c r="J6217" s="25">
        <v>0.25869999999999999</v>
      </c>
      <c r="K6217" s="25">
        <f t="shared" si="97"/>
        <v>8097.3099999999995</v>
      </c>
      <c r="L6217" s="25">
        <v>2.14</v>
      </c>
      <c r="M6217" s="24">
        <v>66878</v>
      </c>
      <c r="N6217" s="25">
        <f>IFERROR(T_reg.root.SK[[#This Row],[Price]]/T_reg.root.SK[[#This Row],[Starch content]],"")</f>
        <v>8.2721298801700822</v>
      </c>
    </row>
    <row r="6218" spans="1:14">
      <c r="A6218" s="21">
        <v>2025</v>
      </c>
      <c r="B6218" s="21" t="s">
        <v>24</v>
      </c>
      <c r="C6218" s="21" t="s">
        <v>1145</v>
      </c>
      <c r="D6218" s="21" t="s">
        <v>35</v>
      </c>
      <c r="E6218" s="17" t="s">
        <v>457</v>
      </c>
      <c r="F6218" s="17" t="s">
        <v>47</v>
      </c>
      <c r="G6218" s="18" t="s">
        <v>48</v>
      </c>
      <c r="H6218" s="24">
        <v>19800</v>
      </c>
      <c r="I6218" s="24">
        <f>T_reg.root.SK[[#This Row],[Volume, kg]]/1000</f>
        <v>19.8</v>
      </c>
      <c r="J6218" s="25">
        <v>0.17829999999999999</v>
      </c>
      <c r="K6218" s="25">
        <f t="shared" si="97"/>
        <v>3530.3399999999997</v>
      </c>
      <c r="L6218" s="25">
        <v>1.6</v>
      </c>
      <c r="M6218" s="24">
        <v>31685</v>
      </c>
      <c r="N6218" s="25">
        <f>IFERROR(T_reg.root.SK[[#This Row],[Price]]/T_reg.root.SK[[#This Row],[Starch content]],"")</f>
        <v>8.9736399326977025</v>
      </c>
    </row>
    <row r="6219" spans="1:14">
      <c r="A6219" s="21">
        <v>2025</v>
      </c>
      <c r="B6219" s="21" t="s">
        <v>24</v>
      </c>
      <c r="C6219" s="21" t="s">
        <v>1145</v>
      </c>
      <c r="D6219" s="21" t="s">
        <v>35</v>
      </c>
      <c r="E6219" s="17" t="s">
        <v>684</v>
      </c>
      <c r="F6219" s="17" t="s">
        <v>105</v>
      </c>
      <c r="G6219" s="18" t="s">
        <v>48</v>
      </c>
      <c r="H6219" s="24">
        <v>33970</v>
      </c>
      <c r="I6219" s="24">
        <f>T_reg.root.SK[[#This Row],[Volume, kg]]/1000</f>
        <v>33.97</v>
      </c>
      <c r="J6219" s="25">
        <v>0.2087</v>
      </c>
      <c r="K6219" s="25">
        <f t="shared" si="97"/>
        <v>7089.5389999999998</v>
      </c>
      <c r="L6219" s="25">
        <v>1.85</v>
      </c>
      <c r="M6219" s="24">
        <v>62974.5</v>
      </c>
      <c r="N6219" s="25">
        <f>IFERROR(T_reg.root.SK[[#This Row],[Price]]/T_reg.root.SK[[#This Row],[Starch content]],"")</f>
        <v>8.864398658361285</v>
      </c>
    </row>
    <row r="6220" spans="1:14">
      <c r="A6220" s="21">
        <v>2025</v>
      </c>
      <c r="B6220" s="21" t="s">
        <v>24</v>
      </c>
      <c r="C6220" s="21" t="s">
        <v>1145</v>
      </c>
      <c r="D6220" s="21" t="s">
        <v>35</v>
      </c>
      <c r="E6220" s="17" t="s">
        <v>104</v>
      </c>
      <c r="F6220" s="17" t="s">
        <v>105</v>
      </c>
      <c r="G6220" s="18" t="s">
        <v>48</v>
      </c>
      <c r="H6220" s="24">
        <v>6930</v>
      </c>
      <c r="I6220" s="24">
        <f>T_reg.root.SK[[#This Row],[Volume, kg]]/1000</f>
        <v>6.93</v>
      </c>
      <c r="J6220" s="25">
        <v>0.2145</v>
      </c>
      <c r="K6220" s="25">
        <f t="shared" si="97"/>
        <v>1486.4849999999999</v>
      </c>
      <c r="L6220" s="25">
        <v>1.8</v>
      </c>
      <c r="M6220" s="24">
        <v>12474</v>
      </c>
      <c r="N6220" s="25">
        <f>IFERROR(T_reg.root.SK[[#This Row],[Price]]/T_reg.root.SK[[#This Row],[Starch content]],"")</f>
        <v>8.3916083916083917</v>
      </c>
    </row>
    <row r="6221" spans="1:14">
      <c r="A6221" s="21">
        <v>2025</v>
      </c>
      <c r="B6221" s="21" t="s">
        <v>24</v>
      </c>
      <c r="C6221" s="21" t="s">
        <v>1145</v>
      </c>
      <c r="D6221" s="21" t="s">
        <v>35</v>
      </c>
      <c r="E6221" s="17" t="s">
        <v>190</v>
      </c>
      <c r="F6221" s="17" t="s">
        <v>187</v>
      </c>
      <c r="G6221" s="18" t="s">
        <v>48</v>
      </c>
      <c r="H6221" s="24">
        <v>9670</v>
      </c>
      <c r="I6221" s="24">
        <f>T_reg.root.SK[[#This Row],[Volume, kg]]/1000</f>
        <v>9.67</v>
      </c>
      <c r="J6221" s="25">
        <v>0.18</v>
      </c>
      <c r="K6221" s="25">
        <f t="shared" si="97"/>
        <v>1740.6</v>
      </c>
      <c r="L6221" s="25">
        <v>1.65</v>
      </c>
      <c r="M6221" s="24">
        <v>15955.5</v>
      </c>
      <c r="N6221" s="25">
        <f>IFERROR(T_reg.root.SK[[#This Row],[Price]]/T_reg.root.SK[[#This Row],[Starch content]],"")</f>
        <v>9.1666666666666661</v>
      </c>
    </row>
    <row r="6222" spans="1:14">
      <c r="A6222" s="21">
        <v>2025</v>
      </c>
      <c r="B6222" s="21" t="s">
        <v>24</v>
      </c>
      <c r="C6222" s="21" t="s">
        <v>1145</v>
      </c>
      <c r="D6222" s="21" t="s">
        <v>35</v>
      </c>
      <c r="E6222" s="17" t="s">
        <v>1046</v>
      </c>
      <c r="F6222" s="17" t="s">
        <v>105</v>
      </c>
      <c r="G6222" s="18" t="s">
        <v>48</v>
      </c>
      <c r="H6222" s="24">
        <v>7750</v>
      </c>
      <c r="I6222" s="24">
        <f>T_reg.root.SK[[#This Row],[Volume, kg]]/1000</f>
        <v>7.75</v>
      </c>
      <c r="J6222" s="25">
        <v>0.24299999999999999</v>
      </c>
      <c r="K6222" s="25">
        <f t="shared" si="97"/>
        <v>1883.25</v>
      </c>
      <c r="L6222" s="25">
        <v>1.95</v>
      </c>
      <c r="M6222" s="24">
        <v>15112.5</v>
      </c>
      <c r="N6222" s="25">
        <f>IFERROR(T_reg.root.SK[[#This Row],[Price]]/T_reg.root.SK[[#This Row],[Starch content]],"")</f>
        <v>8.0246913580246915</v>
      </c>
    </row>
    <row r="6223" spans="1:14">
      <c r="A6223" s="21">
        <v>2025</v>
      </c>
      <c r="B6223" s="21" t="s">
        <v>24</v>
      </c>
      <c r="C6223" s="21" t="s">
        <v>1145</v>
      </c>
      <c r="D6223" s="21" t="s">
        <v>35</v>
      </c>
      <c r="E6223" s="17" t="s">
        <v>481</v>
      </c>
      <c r="F6223" s="17" t="s">
        <v>105</v>
      </c>
      <c r="G6223" s="18" t="s">
        <v>48</v>
      </c>
      <c r="H6223" s="24">
        <v>8130</v>
      </c>
      <c r="I6223" s="24">
        <f>T_reg.root.SK[[#This Row],[Volume, kg]]/1000</f>
        <v>8.1300000000000008</v>
      </c>
      <c r="J6223" s="25">
        <v>0.25950000000000001</v>
      </c>
      <c r="K6223" s="25">
        <f t="shared" ref="K6223:K6286" si="98">H6223*J6223</f>
        <v>2109.7350000000001</v>
      </c>
      <c r="L6223" s="25">
        <v>2.0499999999999998</v>
      </c>
      <c r="M6223" s="24">
        <v>16666.5</v>
      </c>
      <c r="N6223" s="25">
        <f>IFERROR(T_reg.root.SK[[#This Row],[Price]]/T_reg.root.SK[[#This Row],[Starch content]],"")</f>
        <v>7.8998073217726388</v>
      </c>
    </row>
    <row r="6224" spans="1:14">
      <c r="A6224" s="21">
        <v>2025</v>
      </c>
      <c r="B6224" s="21" t="s">
        <v>24</v>
      </c>
      <c r="C6224" s="21" t="s">
        <v>1145</v>
      </c>
      <c r="D6224" s="21" t="s">
        <v>35</v>
      </c>
      <c r="E6224" s="17" t="s">
        <v>289</v>
      </c>
      <c r="F6224" s="17" t="s">
        <v>105</v>
      </c>
      <c r="G6224" s="18" t="s">
        <v>48</v>
      </c>
      <c r="H6224" s="24">
        <v>35190</v>
      </c>
      <c r="I6224" s="24">
        <f>T_reg.root.SK[[#This Row],[Volume, kg]]/1000</f>
        <v>35.19</v>
      </c>
      <c r="J6224" s="25">
        <v>0.24909999999999999</v>
      </c>
      <c r="K6224" s="25">
        <f t="shared" si="98"/>
        <v>8765.8289999999997</v>
      </c>
      <c r="L6224" s="25">
        <v>1.98</v>
      </c>
      <c r="M6224" s="24">
        <v>69740.5</v>
      </c>
      <c r="N6224" s="25">
        <f>IFERROR(T_reg.root.SK[[#This Row],[Price]]/T_reg.root.SK[[#This Row],[Starch content]],"")</f>
        <v>7.9486150140505822</v>
      </c>
    </row>
    <row r="6225" spans="1:14">
      <c r="A6225" s="21">
        <v>2025</v>
      </c>
      <c r="B6225" s="21" t="s">
        <v>24</v>
      </c>
      <c r="C6225" s="21" t="s">
        <v>1145</v>
      </c>
      <c r="D6225" s="21" t="s">
        <v>35</v>
      </c>
      <c r="E6225" s="17" t="s">
        <v>370</v>
      </c>
      <c r="F6225" s="17" t="s">
        <v>187</v>
      </c>
      <c r="G6225" s="18" t="s">
        <v>48</v>
      </c>
      <c r="H6225" s="24">
        <v>109970</v>
      </c>
      <c r="I6225" s="24">
        <f>T_reg.root.SK[[#This Row],[Volume, kg]]/1000</f>
        <v>109.97</v>
      </c>
      <c r="J6225" s="25">
        <v>0.2064</v>
      </c>
      <c r="K6225" s="25">
        <f t="shared" si="98"/>
        <v>22697.808000000001</v>
      </c>
      <c r="L6225" s="25">
        <v>1.75</v>
      </c>
      <c r="M6225" s="24">
        <v>192107.5</v>
      </c>
      <c r="N6225" s="25">
        <f>IFERROR(T_reg.root.SK[[#This Row],[Price]]/T_reg.root.SK[[#This Row],[Starch content]],"")</f>
        <v>8.4786821705426352</v>
      </c>
    </row>
    <row r="6226" spans="1:14">
      <c r="A6226" s="21">
        <v>2025</v>
      </c>
      <c r="B6226" s="21" t="s">
        <v>24</v>
      </c>
      <c r="C6226" s="21" t="s">
        <v>1145</v>
      </c>
      <c r="D6226" s="21" t="s">
        <v>35</v>
      </c>
      <c r="E6226" s="17" t="s">
        <v>46</v>
      </c>
      <c r="F6226" s="17" t="s">
        <v>47</v>
      </c>
      <c r="G6226" s="18" t="s">
        <v>48</v>
      </c>
      <c r="H6226" s="24">
        <v>4520</v>
      </c>
      <c r="I6226" s="24">
        <f>T_reg.root.SK[[#This Row],[Volume, kg]]/1000</f>
        <v>4.5199999999999996</v>
      </c>
      <c r="J6226" s="25">
        <v>0.14800000000000002</v>
      </c>
      <c r="K6226" s="25">
        <f t="shared" si="98"/>
        <v>668.96</v>
      </c>
      <c r="L6226" s="25">
        <v>1.5</v>
      </c>
      <c r="M6226" s="24">
        <v>6780</v>
      </c>
      <c r="N6226" s="25">
        <f>IFERROR(T_reg.root.SK[[#This Row],[Price]]/T_reg.root.SK[[#This Row],[Starch content]],"")</f>
        <v>10.135135135135133</v>
      </c>
    </row>
    <row r="6227" spans="1:14">
      <c r="A6227" s="21">
        <v>2025</v>
      </c>
      <c r="B6227" s="21" t="s">
        <v>24</v>
      </c>
      <c r="C6227" s="21" t="s">
        <v>1145</v>
      </c>
      <c r="D6227" s="21" t="s">
        <v>35</v>
      </c>
      <c r="E6227" s="17" t="s">
        <v>581</v>
      </c>
      <c r="F6227" s="17" t="s">
        <v>187</v>
      </c>
      <c r="G6227" s="18" t="s">
        <v>48</v>
      </c>
      <c r="H6227" s="24">
        <v>51000</v>
      </c>
      <c r="I6227" s="24">
        <f>T_reg.root.SK[[#This Row],[Volume, kg]]/1000</f>
        <v>51</v>
      </c>
      <c r="J6227" s="25">
        <v>0.1991</v>
      </c>
      <c r="K6227" s="25">
        <f t="shared" si="98"/>
        <v>10154.1</v>
      </c>
      <c r="L6227" s="25">
        <v>1.76</v>
      </c>
      <c r="M6227" s="24">
        <v>89524.5</v>
      </c>
      <c r="N6227" s="25">
        <f>IFERROR(T_reg.root.SK[[#This Row],[Price]]/T_reg.root.SK[[#This Row],[Starch content]],"")</f>
        <v>8.8397790055248624</v>
      </c>
    </row>
    <row r="6228" spans="1:14">
      <c r="A6228" s="21">
        <v>2025</v>
      </c>
      <c r="B6228" s="21" t="s">
        <v>24</v>
      </c>
      <c r="C6228" s="21" t="s">
        <v>1145</v>
      </c>
      <c r="D6228" s="21" t="s">
        <v>35</v>
      </c>
      <c r="E6228" s="17" t="s">
        <v>108</v>
      </c>
      <c r="F6228" s="17" t="s">
        <v>105</v>
      </c>
      <c r="G6228" s="18" t="s">
        <v>48</v>
      </c>
      <c r="H6228" s="24">
        <v>42680</v>
      </c>
      <c r="I6228" s="24">
        <f>T_reg.root.SK[[#This Row],[Volume, kg]]/1000</f>
        <v>42.68</v>
      </c>
      <c r="J6228" s="25">
        <v>0.21840000000000001</v>
      </c>
      <c r="K6228" s="25">
        <f t="shared" si="98"/>
        <v>9321.3119999999999</v>
      </c>
      <c r="L6228" s="25">
        <v>1.85</v>
      </c>
      <c r="M6228" s="24">
        <v>78794</v>
      </c>
      <c r="N6228" s="25">
        <f>IFERROR(T_reg.root.SK[[#This Row],[Price]]/T_reg.root.SK[[#This Row],[Starch content]],"")</f>
        <v>8.4706959706959708</v>
      </c>
    </row>
    <row r="6229" spans="1:14">
      <c r="A6229" s="21">
        <v>2025</v>
      </c>
      <c r="B6229" s="21" t="s">
        <v>24</v>
      </c>
      <c r="C6229" s="21" t="s">
        <v>1145</v>
      </c>
      <c r="D6229" s="21" t="s">
        <v>35</v>
      </c>
      <c r="E6229" s="17" t="s">
        <v>713</v>
      </c>
      <c r="F6229" s="17" t="s">
        <v>105</v>
      </c>
      <c r="G6229" s="18" t="s">
        <v>48</v>
      </c>
      <c r="H6229" s="24">
        <v>51800</v>
      </c>
      <c r="I6229" s="24">
        <f>T_reg.root.SK[[#This Row],[Volume, kg]]/1000</f>
        <v>51.8</v>
      </c>
      <c r="J6229" s="25">
        <v>0.24</v>
      </c>
      <c r="K6229" s="25">
        <f t="shared" si="98"/>
        <v>12432</v>
      </c>
      <c r="L6229" s="25">
        <v>1.96</v>
      </c>
      <c r="M6229" s="24">
        <v>101575</v>
      </c>
      <c r="N6229" s="25">
        <f>IFERROR(T_reg.root.SK[[#This Row],[Price]]/T_reg.root.SK[[#This Row],[Starch content]],"")</f>
        <v>8.1666666666666661</v>
      </c>
    </row>
    <row r="6230" spans="1:14">
      <c r="A6230" s="21">
        <v>2025</v>
      </c>
      <c r="B6230" s="21" t="s">
        <v>24</v>
      </c>
      <c r="C6230" s="21" t="s">
        <v>1145</v>
      </c>
      <c r="D6230" s="21" t="s">
        <v>35</v>
      </c>
      <c r="E6230" s="17" t="s">
        <v>630</v>
      </c>
      <c r="F6230" s="17" t="s">
        <v>105</v>
      </c>
      <c r="G6230" s="18" t="s">
        <v>48</v>
      </c>
      <c r="H6230" s="24">
        <v>9910</v>
      </c>
      <c r="I6230" s="24">
        <f>T_reg.root.SK[[#This Row],[Volume, kg]]/1000</f>
        <v>9.91</v>
      </c>
      <c r="J6230" s="25">
        <v>0.17850000000000002</v>
      </c>
      <c r="K6230" s="25">
        <f t="shared" si="98"/>
        <v>1768.9350000000002</v>
      </c>
      <c r="L6230" s="25">
        <v>1.6</v>
      </c>
      <c r="M6230" s="24">
        <v>15856</v>
      </c>
      <c r="N6230" s="25">
        <f>IFERROR(T_reg.root.SK[[#This Row],[Price]]/T_reg.root.SK[[#This Row],[Starch content]],"")</f>
        <v>8.9635854341736696</v>
      </c>
    </row>
    <row r="6231" spans="1:14">
      <c r="A6231" s="21">
        <v>2025</v>
      </c>
      <c r="B6231" s="21" t="s">
        <v>24</v>
      </c>
      <c r="C6231" s="21" t="s">
        <v>1145</v>
      </c>
      <c r="D6231" s="21" t="s">
        <v>35</v>
      </c>
      <c r="E6231" s="17" t="s">
        <v>292</v>
      </c>
      <c r="F6231" s="17" t="s">
        <v>105</v>
      </c>
      <c r="G6231" s="18" t="s">
        <v>48</v>
      </c>
      <c r="H6231" s="24">
        <v>21730</v>
      </c>
      <c r="I6231" s="24">
        <f>T_reg.root.SK[[#This Row],[Volume, kg]]/1000</f>
        <v>21.73</v>
      </c>
      <c r="J6231" s="25">
        <v>0.19210000000000002</v>
      </c>
      <c r="K6231" s="25">
        <f t="shared" si="98"/>
        <v>4174.3330000000005</v>
      </c>
      <c r="L6231" s="25">
        <v>1.68</v>
      </c>
      <c r="M6231" s="24">
        <v>36557</v>
      </c>
      <c r="N6231" s="25">
        <f>IFERROR(T_reg.root.SK[[#This Row],[Price]]/T_reg.root.SK[[#This Row],[Starch content]],"")</f>
        <v>8.7454450806871407</v>
      </c>
    </row>
    <row r="6232" spans="1:14">
      <c r="A6232" s="21">
        <v>2025</v>
      </c>
      <c r="B6232" s="21" t="s">
        <v>24</v>
      </c>
      <c r="C6232" s="21" t="s">
        <v>1145</v>
      </c>
      <c r="D6232" s="21" t="s">
        <v>35</v>
      </c>
      <c r="E6232" s="17" t="s">
        <v>1047</v>
      </c>
      <c r="F6232" s="17" t="s">
        <v>105</v>
      </c>
      <c r="G6232" s="18" t="s">
        <v>48</v>
      </c>
      <c r="H6232" s="24">
        <v>36000</v>
      </c>
      <c r="I6232" s="24">
        <f>T_reg.root.SK[[#This Row],[Volume, kg]]/1000</f>
        <v>36</v>
      </c>
      <c r="J6232" s="25">
        <v>0.24719999999999998</v>
      </c>
      <c r="K6232" s="25">
        <f t="shared" si="98"/>
        <v>8899.1999999999989</v>
      </c>
      <c r="L6232" s="25">
        <v>2.09</v>
      </c>
      <c r="M6232" s="24">
        <v>75134.5</v>
      </c>
      <c r="N6232" s="25">
        <f>IFERROR(T_reg.root.SK[[#This Row],[Price]]/T_reg.root.SK[[#This Row],[Starch content]],"")</f>
        <v>8.4546925566343045</v>
      </c>
    </row>
    <row r="6233" spans="1:14">
      <c r="A6233" s="21">
        <v>2025</v>
      </c>
      <c r="B6233" s="21" t="s">
        <v>24</v>
      </c>
      <c r="C6233" s="21" t="s">
        <v>1145</v>
      </c>
      <c r="D6233" s="21" t="s">
        <v>39</v>
      </c>
      <c r="E6233" s="17" t="s">
        <v>1017</v>
      </c>
      <c r="F6233" s="17" t="s">
        <v>1018</v>
      </c>
      <c r="G6233" s="18" t="s">
        <v>103</v>
      </c>
      <c r="H6233" s="24">
        <v>888710</v>
      </c>
      <c r="I6233" s="24">
        <f>T_reg.root.SK[[#This Row],[Volume, kg]]/1000</f>
        <v>888.71</v>
      </c>
      <c r="J6233" s="25">
        <v>0.2482</v>
      </c>
      <c r="K6233" s="25">
        <f t="shared" si="98"/>
        <v>220577.82200000001</v>
      </c>
      <c r="L6233" s="25">
        <v>2.44</v>
      </c>
      <c r="M6233" s="24">
        <v>2171646</v>
      </c>
      <c r="N6233" s="25">
        <f>IFERROR(T_reg.root.SK[[#This Row],[Price]]/T_reg.root.SK[[#This Row],[Starch content]],"")</f>
        <v>9.8307816277195812</v>
      </c>
    </row>
    <row r="6234" spans="1:14">
      <c r="A6234" s="21">
        <v>2025</v>
      </c>
      <c r="B6234" s="21" t="s">
        <v>24</v>
      </c>
      <c r="C6234" s="21" t="s">
        <v>1145</v>
      </c>
      <c r="D6234" s="21" t="s">
        <v>35</v>
      </c>
      <c r="E6234" s="17" t="s">
        <v>723</v>
      </c>
      <c r="F6234" s="17" t="s">
        <v>187</v>
      </c>
      <c r="G6234" s="18" t="s">
        <v>48</v>
      </c>
      <c r="H6234" s="24">
        <v>5080</v>
      </c>
      <c r="I6234" s="24">
        <f>T_reg.root.SK[[#This Row],[Volume, kg]]/1000</f>
        <v>5.08</v>
      </c>
      <c r="J6234" s="25">
        <v>0.217</v>
      </c>
      <c r="K6234" s="25">
        <f t="shared" si="98"/>
        <v>1102.3599999999999</v>
      </c>
      <c r="L6234" s="25">
        <v>1.8</v>
      </c>
      <c r="M6234" s="24">
        <v>9144</v>
      </c>
      <c r="N6234" s="25">
        <f>IFERROR(T_reg.root.SK[[#This Row],[Price]]/T_reg.root.SK[[#This Row],[Starch content]],"")</f>
        <v>8.2949308755760374</v>
      </c>
    </row>
    <row r="6235" spans="1:14">
      <c r="A6235" s="21">
        <v>2025</v>
      </c>
      <c r="B6235" s="21" t="s">
        <v>24</v>
      </c>
      <c r="C6235" s="21" t="s">
        <v>1145</v>
      </c>
      <c r="D6235" s="21" t="s">
        <v>35</v>
      </c>
      <c r="E6235" s="17" t="s">
        <v>293</v>
      </c>
      <c r="F6235" s="17" t="s">
        <v>105</v>
      </c>
      <c r="G6235" s="18" t="s">
        <v>48</v>
      </c>
      <c r="H6235" s="24">
        <v>13530</v>
      </c>
      <c r="I6235" s="24">
        <f>T_reg.root.SK[[#This Row],[Volume, kg]]/1000</f>
        <v>13.53</v>
      </c>
      <c r="J6235" s="25">
        <v>0.21600000000000003</v>
      </c>
      <c r="K6235" s="25">
        <f t="shared" si="98"/>
        <v>2922.4800000000005</v>
      </c>
      <c r="L6235" s="25">
        <v>1.83</v>
      </c>
      <c r="M6235" s="24">
        <v>24817.5</v>
      </c>
      <c r="N6235" s="25">
        <f>IFERROR(T_reg.root.SK[[#This Row],[Price]]/T_reg.root.SK[[#This Row],[Starch content]],"")</f>
        <v>8.4722222222222214</v>
      </c>
    </row>
    <row r="6236" spans="1:14">
      <c r="A6236" s="21">
        <v>2025</v>
      </c>
      <c r="B6236" s="21" t="s">
        <v>24</v>
      </c>
      <c r="C6236" s="21" t="s">
        <v>1145</v>
      </c>
      <c r="D6236" s="21" t="s">
        <v>35</v>
      </c>
      <c r="E6236" s="17" t="s">
        <v>110</v>
      </c>
      <c r="F6236" s="17" t="s">
        <v>105</v>
      </c>
      <c r="G6236" s="18" t="s">
        <v>48</v>
      </c>
      <c r="H6236" s="24">
        <v>3000</v>
      </c>
      <c r="I6236" s="24">
        <f>T_reg.root.SK[[#This Row],[Volume, kg]]/1000</f>
        <v>3</v>
      </c>
      <c r="J6236" s="25">
        <v>0.21350000000000002</v>
      </c>
      <c r="K6236" s="25">
        <f t="shared" si="98"/>
        <v>640.50000000000011</v>
      </c>
      <c r="L6236" s="25">
        <v>1.8</v>
      </c>
      <c r="M6236" s="24">
        <v>5400</v>
      </c>
      <c r="N6236" s="25">
        <f>IFERROR(T_reg.root.SK[[#This Row],[Price]]/T_reg.root.SK[[#This Row],[Starch content]],"")</f>
        <v>8.4309133489461345</v>
      </c>
    </row>
    <row r="6237" spans="1:14">
      <c r="A6237" s="21">
        <v>2025</v>
      </c>
      <c r="B6237" s="21" t="s">
        <v>24</v>
      </c>
      <c r="C6237" s="21" t="s">
        <v>1145</v>
      </c>
      <c r="D6237" s="21" t="s">
        <v>39</v>
      </c>
      <c r="E6237" s="17" t="s">
        <v>1020</v>
      </c>
      <c r="F6237" s="17" t="s">
        <v>1021</v>
      </c>
      <c r="G6237" s="18" t="s">
        <v>1022</v>
      </c>
      <c r="H6237" s="24">
        <v>621070</v>
      </c>
      <c r="I6237" s="24">
        <f>T_reg.root.SK[[#This Row],[Volume, kg]]/1000</f>
        <v>621.07000000000005</v>
      </c>
      <c r="J6237" s="25">
        <v>0.22820000000000001</v>
      </c>
      <c r="K6237" s="25">
        <f t="shared" si="98"/>
        <v>141728.174</v>
      </c>
      <c r="L6237" s="25">
        <v>2.37</v>
      </c>
      <c r="M6237" s="24">
        <v>1474572.5</v>
      </c>
      <c r="N6237" s="25">
        <f>IFERROR(T_reg.root.SK[[#This Row],[Price]]/T_reg.root.SK[[#This Row],[Starch content]],"")</f>
        <v>10.385626643295355</v>
      </c>
    </row>
    <row r="6238" spans="1:14">
      <c r="A6238" s="21">
        <v>2025</v>
      </c>
      <c r="B6238" s="21" t="s">
        <v>24</v>
      </c>
      <c r="C6238" s="21" t="s">
        <v>1145</v>
      </c>
      <c r="D6238" s="21" t="s">
        <v>35</v>
      </c>
      <c r="E6238" s="17" t="s">
        <v>276</v>
      </c>
      <c r="F6238" s="17" t="s">
        <v>95</v>
      </c>
      <c r="G6238" s="18" t="s">
        <v>48</v>
      </c>
      <c r="H6238" s="24">
        <v>23970</v>
      </c>
      <c r="I6238" s="24">
        <f>T_reg.root.SK[[#This Row],[Volume, kg]]/1000</f>
        <v>23.97</v>
      </c>
      <c r="J6238" s="25">
        <v>0.19070000000000001</v>
      </c>
      <c r="K6238" s="25">
        <f t="shared" si="98"/>
        <v>4571.0790000000006</v>
      </c>
      <c r="L6238" s="25">
        <v>1.7</v>
      </c>
      <c r="M6238" s="24">
        <v>40787.5</v>
      </c>
      <c r="N6238" s="25">
        <f>IFERROR(T_reg.root.SK[[#This Row],[Price]]/T_reg.root.SK[[#This Row],[Starch content]],"")</f>
        <v>8.9145254326166743</v>
      </c>
    </row>
    <row r="6239" spans="1:14">
      <c r="A6239" s="21">
        <v>2025</v>
      </c>
      <c r="B6239" s="21" t="s">
        <v>24</v>
      </c>
      <c r="C6239" s="21" t="s">
        <v>1145</v>
      </c>
      <c r="D6239" s="21" t="s">
        <v>35</v>
      </c>
      <c r="E6239" s="17" t="s">
        <v>995</v>
      </c>
      <c r="F6239" s="17" t="s">
        <v>187</v>
      </c>
      <c r="G6239" s="18" t="s">
        <v>48</v>
      </c>
      <c r="H6239" s="24">
        <v>9180</v>
      </c>
      <c r="I6239" s="24">
        <f>T_reg.root.SK[[#This Row],[Volume, kg]]/1000</f>
        <v>9.18</v>
      </c>
      <c r="J6239" s="25">
        <v>0.2011</v>
      </c>
      <c r="K6239" s="25">
        <f t="shared" si="98"/>
        <v>1846.098</v>
      </c>
      <c r="L6239" s="25">
        <v>1.75</v>
      </c>
      <c r="M6239" s="24">
        <v>16033</v>
      </c>
      <c r="N6239" s="25">
        <f>IFERROR(T_reg.root.SK[[#This Row],[Price]]/T_reg.root.SK[[#This Row],[Starch content]],"")</f>
        <v>8.7021382396817497</v>
      </c>
    </row>
    <row r="6240" spans="1:14">
      <c r="A6240" s="21">
        <v>2025</v>
      </c>
      <c r="B6240" s="21" t="s">
        <v>24</v>
      </c>
      <c r="C6240" s="21" t="s">
        <v>1145</v>
      </c>
      <c r="D6240" s="21" t="s">
        <v>35</v>
      </c>
      <c r="E6240" s="17" t="s">
        <v>112</v>
      </c>
      <c r="F6240" s="17" t="s">
        <v>105</v>
      </c>
      <c r="G6240" s="18" t="s">
        <v>48</v>
      </c>
      <c r="H6240" s="24">
        <v>20120</v>
      </c>
      <c r="I6240" s="24">
        <f>T_reg.root.SK[[#This Row],[Volume, kg]]/1000</f>
        <v>20.12</v>
      </c>
      <c r="J6240" s="25">
        <v>0.1852</v>
      </c>
      <c r="K6240" s="25">
        <f t="shared" si="98"/>
        <v>3726.2240000000002</v>
      </c>
      <c r="L6240" s="25">
        <v>1.67</v>
      </c>
      <c r="M6240" s="24">
        <v>33663.5</v>
      </c>
      <c r="N6240" s="25">
        <f>IFERROR(T_reg.root.SK[[#This Row],[Price]]/T_reg.root.SK[[#This Row],[Starch content]],"")</f>
        <v>9.0172786177105824</v>
      </c>
    </row>
    <row r="6241" spans="1:14">
      <c r="A6241" s="21">
        <v>2025</v>
      </c>
      <c r="B6241" s="21" t="s">
        <v>24</v>
      </c>
      <c r="C6241" s="21" t="s">
        <v>1145</v>
      </c>
      <c r="D6241" s="21" t="s">
        <v>39</v>
      </c>
      <c r="E6241" s="17" t="s">
        <v>284</v>
      </c>
      <c r="F6241" s="17" t="s">
        <v>285</v>
      </c>
      <c r="G6241" s="18" t="s">
        <v>286</v>
      </c>
      <c r="H6241" s="24">
        <v>3209180</v>
      </c>
      <c r="I6241" s="24">
        <f>T_reg.root.SK[[#This Row],[Volume, kg]]/1000</f>
        <v>3209.18</v>
      </c>
      <c r="J6241" s="25">
        <v>0.24510000000000001</v>
      </c>
      <c r="K6241" s="25">
        <f t="shared" si="98"/>
        <v>786570.01800000004</v>
      </c>
      <c r="L6241" s="25">
        <v>2.54</v>
      </c>
      <c r="M6241" s="24">
        <v>8138001.5</v>
      </c>
      <c r="N6241" s="25">
        <f>IFERROR(T_reg.root.SK[[#This Row],[Price]]/T_reg.root.SK[[#This Row],[Starch content]],"")</f>
        <v>10.36311709506324</v>
      </c>
    </row>
    <row r="6242" spans="1:14">
      <c r="A6242" s="21">
        <v>2025</v>
      </c>
      <c r="B6242" s="21" t="s">
        <v>24</v>
      </c>
      <c r="C6242" s="21" t="s">
        <v>1145</v>
      </c>
      <c r="D6242" s="21" t="s">
        <v>35</v>
      </c>
      <c r="E6242" s="17" t="s">
        <v>113</v>
      </c>
      <c r="F6242" s="17" t="s">
        <v>105</v>
      </c>
      <c r="G6242" s="18" t="s">
        <v>48</v>
      </c>
      <c r="H6242" s="24">
        <v>9370</v>
      </c>
      <c r="I6242" s="24">
        <f>T_reg.root.SK[[#This Row],[Volume, kg]]/1000</f>
        <v>9.3699999999999992</v>
      </c>
      <c r="J6242" s="25">
        <v>0.20850000000000002</v>
      </c>
      <c r="K6242" s="25">
        <f t="shared" si="98"/>
        <v>1953.6450000000002</v>
      </c>
      <c r="L6242" s="25">
        <v>1.75</v>
      </c>
      <c r="M6242" s="24">
        <v>16397.5</v>
      </c>
      <c r="N6242" s="25">
        <f>IFERROR(T_reg.root.SK[[#This Row],[Price]]/T_reg.root.SK[[#This Row],[Starch content]],"")</f>
        <v>8.3932853717026372</v>
      </c>
    </row>
    <row r="6243" spans="1:14">
      <c r="A6243" s="21">
        <v>2025</v>
      </c>
      <c r="B6243" s="21" t="s">
        <v>24</v>
      </c>
      <c r="C6243" s="21" t="s">
        <v>1145</v>
      </c>
      <c r="D6243" s="21" t="s">
        <v>39</v>
      </c>
      <c r="E6243" s="17" t="s">
        <v>997</v>
      </c>
      <c r="F6243" s="17" t="s">
        <v>998</v>
      </c>
      <c r="G6243" s="18" t="s">
        <v>87</v>
      </c>
      <c r="H6243" s="24">
        <v>5014570</v>
      </c>
      <c r="I6243" s="24">
        <f>T_reg.root.SK[[#This Row],[Volume, kg]]/1000</f>
        <v>5014.57</v>
      </c>
      <c r="J6243" s="25">
        <v>0.2429</v>
      </c>
      <c r="K6243" s="25">
        <f t="shared" si="98"/>
        <v>1218039.0530000001</v>
      </c>
      <c r="L6243" s="25">
        <v>2.48</v>
      </c>
      <c r="M6243" s="24">
        <v>12440008</v>
      </c>
      <c r="N6243" s="25">
        <f>IFERROR(T_reg.root.SK[[#This Row],[Price]]/T_reg.root.SK[[#This Row],[Starch content]],"")</f>
        <v>10.209962947715109</v>
      </c>
    </row>
    <row r="6244" spans="1:14">
      <c r="A6244" s="21">
        <v>2025</v>
      </c>
      <c r="B6244" s="21" t="s">
        <v>24</v>
      </c>
      <c r="C6244" s="21" t="s">
        <v>1145</v>
      </c>
      <c r="D6244" s="21" t="s">
        <v>35</v>
      </c>
      <c r="E6244" s="17" t="s">
        <v>1023</v>
      </c>
      <c r="F6244" s="17" t="s">
        <v>105</v>
      </c>
      <c r="G6244" s="18" t="s">
        <v>48</v>
      </c>
      <c r="H6244" s="24">
        <v>12680</v>
      </c>
      <c r="I6244" s="24">
        <f>T_reg.root.SK[[#This Row],[Volume, kg]]/1000</f>
        <v>12.68</v>
      </c>
      <c r="J6244" s="25">
        <v>0.22409999999999999</v>
      </c>
      <c r="K6244" s="25">
        <f t="shared" si="98"/>
        <v>2841.5879999999997</v>
      </c>
      <c r="L6244" s="25">
        <v>1.88</v>
      </c>
      <c r="M6244" s="24">
        <v>23796.5</v>
      </c>
      <c r="N6244" s="25">
        <f>IFERROR(T_reg.root.SK[[#This Row],[Price]]/T_reg.root.SK[[#This Row],[Starch content]],"")</f>
        <v>8.389112003569835</v>
      </c>
    </row>
    <row r="6245" spans="1:14">
      <c r="A6245" s="21">
        <v>2025</v>
      </c>
      <c r="B6245" s="21" t="s">
        <v>24</v>
      </c>
      <c r="C6245" s="21" t="s">
        <v>1145</v>
      </c>
      <c r="D6245" s="21" t="s">
        <v>35</v>
      </c>
      <c r="E6245" s="17" t="s">
        <v>558</v>
      </c>
      <c r="F6245" s="17" t="s">
        <v>105</v>
      </c>
      <c r="G6245" s="18" t="s">
        <v>48</v>
      </c>
      <c r="H6245" s="24">
        <v>34590</v>
      </c>
      <c r="I6245" s="24">
        <f>T_reg.root.SK[[#This Row],[Volume, kg]]/1000</f>
        <v>34.590000000000003</v>
      </c>
      <c r="J6245" s="25">
        <v>0.2354</v>
      </c>
      <c r="K6245" s="25">
        <f t="shared" si="98"/>
        <v>8142.4859999999999</v>
      </c>
      <c r="L6245" s="25">
        <v>1.93</v>
      </c>
      <c r="M6245" s="24">
        <v>66657</v>
      </c>
      <c r="N6245" s="25">
        <f>IFERROR(T_reg.root.SK[[#This Row],[Price]]/T_reg.root.SK[[#This Row],[Starch content]],"")</f>
        <v>8.1988105352591329</v>
      </c>
    </row>
    <row r="6246" spans="1:14">
      <c r="A6246" s="21">
        <v>2025</v>
      </c>
      <c r="B6246" s="21" t="s">
        <v>24</v>
      </c>
      <c r="C6246" s="21" t="s">
        <v>1145</v>
      </c>
      <c r="D6246" s="21" t="s">
        <v>35</v>
      </c>
      <c r="E6246" s="17" t="s">
        <v>600</v>
      </c>
      <c r="F6246" s="17" t="s">
        <v>105</v>
      </c>
      <c r="G6246" s="18" t="s">
        <v>48</v>
      </c>
      <c r="H6246" s="24">
        <v>40190</v>
      </c>
      <c r="I6246" s="24">
        <f>T_reg.root.SK[[#This Row],[Volume, kg]]/1000</f>
        <v>40.19</v>
      </c>
      <c r="J6246" s="25">
        <v>0.25109999999999999</v>
      </c>
      <c r="K6246" s="25">
        <f t="shared" si="98"/>
        <v>10091.708999999999</v>
      </c>
      <c r="L6246" s="25">
        <v>2.0099999999999998</v>
      </c>
      <c r="M6246" s="24">
        <v>80655.5</v>
      </c>
      <c r="N6246" s="25">
        <f>IFERROR(T_reg.root.SK[[#This Row],[Price]]/T_reg.root.SK[[#This Row],[Starch content]],"")</f>
        <v>8.0047789725209082</v>
      </c>
    </row>
    <row r="6247" spans="1:14">
      <c r="A6247" s="21">
        <v>2025</v>
      </c>
      <c r="B6247" s="21" t="s">
        <v>24</v>
      </c>
      <c r="C6247" s="21" t="s">
        <v>1145</v>
      </c>
      <c r="D6247" s="21" t="s">
        <v>35</v>
      </c>
      <c r="E6247" s="17" t="s">
        <v>988</v>
      </c>
      <c r="F6247" s="17" t="s">
        <v>105</v>
      </c>
      <c r="G6247" s="18" t="s">
        <v>48</v>
      </c>
      <c r="H6247" s="24">
        <v>7970</v>
      </c>
      <c r="I6247" s="24">
        <f>T_reg.root.SK[[#This Row],[Volume, kg]]/1000</f>
        <v>7.97</v>
      </c>
      <c r="J6247" s="25">
        <v>0.29049999999999998</v>
      </c>
      <c r="K6247" s="25">
        <f t="shared" si="98"/>
        <v>2315.2849999999999</v>
      </c>
      <c r="L6247" s="25">
        <v>2.2999999999999998</v>
      </c>
      <c r="M6247" s="24">
        <v>18331</v>
      </c>
      <c r="N6247" s="25">
        <f>IFERROR(T_reg.root.SK[[#This Row],[Price]]/T_reg.root.SK[[#This Row],[Starch content]],"")</f>
        <v>7.9173838209982783</v>
      </c>
    </row>
    <row r="6248" spans="1:14">
      <c r="A6248" s="21">
        <v>2025</v>
      </c>
      <c r="B6248" s="21" t="s">
        <v>24</v>
      </c>
      <c r="C6248" s="21" t="s">
        <v>1145</v>
      </c>
      <c r="D6248" s="21" t="s">
        <v>35</v>
      </c>
      <c r="E6248" s="17" t="s">
        <v>235</v>
      </c>
      <c r="F6248" s="17" t="s">
        <v>105</v>
      </c>
      <c r="G6248" s="18" t="s">
        <v>48</v>
      </c>
      <c r="H6248" s="24">
        <v>179780</v>
      </c>
      <c r="I6248" s="24">
        <f>T_reg.root.SK[[#This Row],[Volume, kg]]/1000</f>
        <v>179.78</v>
      </c>
      <c r="J6248" s="25">
        <v>0.24879999999999999</v>
      </c>
      <c r="K6248" s="25">
        <f t="shared" si="98"/>
        <v>44729.263999999996</v>
      </c>
      <c r="L6248" s="25">
        <v>2</v>
      </c>
      <c r="M6248" s="24">
        <v>360081.5</v>
      </c>
      <c r="N6248" s="25">
        <f>IFERROR(T_reg.root.SK[[#This Row],[Price]]/T_reg.root.SK[[#This Row],[Starch content]],"")</f>
        <v>8.0385852090032159</v>
      </c>
    </row>
    <row r="6249" spans="1:14">
      <c r="A6249" s="21">
        <v>2025</v>
      </c>
      <c r="B6249" s="21" t="s">
        <v>24</v>
      </c>
      <c r="C6249" s="21" t="s">
        <v>1145</v>
      </c>
      <c r="D6249" s="21" t="s">
        <v>35</v>
      </c>
      <c r="E6249" s="17" t="s">
        <v>685</v>
      </c>
      <c r="F6249" s="17" t="s">
        <v>105</v>
      </c>
      <c r="G6249" s="18" t="s">
        <v>48</v>
      </c>
      <c r="H6249" s="24">
        <v>10300</v>
      </c>
      <c r="I6249" s="24">
        <f>T_reg.root.SK[[#This Row],[Volume, kg]]/1000</f>
        <v>10.3</v>
      </c>
      <c r="J6249" s="25">
        <v>0.21829999999999999</v>
      </c>
      <c r="K6249" s="25">
        <f t="shared" si="98"/>
        <v>2248.4899999999998</v>
      </c>
      <c r="L6249" s="25">
        <v>1.78</v>
      </c>
      <c r="M6249" s="24">
        <v>18284</v>
      </c>
      <c r="N6249" s="25">
        <f>IFERROR(T_reg.root.SK[[#This Row],[Price]]/T_reg.root.SK[[#This Row],[Starch content]],"")</f>
        <v>8.1539166284928992</v>
      </c>
    </row>
    <row r="6250" spans="1:14">
      <c r="A6250" s="21">
        <v>2025</v>
      </c>
      <c r="B6250" s="21" t="s">
        <v>24</v>
      </c>
      <c r="C6250" s="21" t="s">
        <v>1145</v>
      </c>
      <c r="D6250" s="21" t="s">
        <v>35</v>
      </c>
      <c r="E6250" s="17" t="s">
        <v>1048</v>
      </c>
      <c r="F6250" s="17" t="s">
        <v>105</v>
      </c>
      <c r="G6250" s="18" t="s">
        <v>48</v>
      </c>
      <c r="H6250" s="24">
        <v>26420</v>
      </c>
      <c r="I6250" s="24">
        <f>T_reg.root.SK[[#This Row],[Volume, kg]]/1000</f>
        <v>26.42</v>
      </c>
      <c r="J6250" s="25">
        <v>0.24489999999999998</v>
      </c>
      <c r="K6250" s="25">
        <f t="shared" si="98"/>
        <v>6470.2579999999998</v>
      </c>
      <c r="L6250" s="25">
        <v>2</v>
      </c>
      <c r="M6250" s="24">
        <v>52929.5</v>
      </c>
      <c r="N6250" s="25">
        <f>IFERROR(T_reg.root.SK[[#This Row],[Price]]/T_reg.root.SK[[#This Row],[Starch content]],"")</f>
        <v>8.1665986116782374</v>
      </c>
    </row>
    <row r="6251" spans="1:14">
      <c r="A6251" s="21">
        <v>2025</v>
      </c>
      <c r="B6251" s="21" t="s">
        <v>24</v>
      </c>
      <c r="C6251" s="21" t="s">
        <v>1145</v>
      </c>
      <c r="D6251" s="21" t="s">
        <v>35</v>
      </c>
      <c r="E6251" s="17" t="s">
        <v>560</v>
      </c>
      <c r="F6251" s="17" t="s">
        <v>105</v>
      </c>
      <c r="G6251" s="18" t="s">
        <v>48</v>
      </c>
      <c r="H6251" s="24">
        <v>3730</v>
      </c>
      <c r="I6251" s="24">
        <f>T_reg.root.SK[[#This Row],[Volume, kg]]/1000</f>
        <v>3.73</v>
      </c>
      <c r="J6251" s="25">
        <v>0.23449999999999999</v>
      </c>
      <c r="K6251" s="25">
        <f t="shared" si="98"/>
        <v>874.68499999999995</v>
      </c>
      <c r="L6251" s="25">
        <v>1.9</v>
      </c>
      <c r="M6251" s="24">
        <v>7087</v>
      </c>
      <c r="N6251" s="25">
        <f>IFERROR(T_reg.root.SK[[#This Row],[Price]]/T_reg.root.SK[[#This Row],[Starch content]],"")</f>
        <v>8.1023454157782524</v>
      </c>
    </row>
    <row r="6252" spans="1:14">
      <c r="A6252" s="21">
        <v>2025</v>
      </c>
      <c r="B6252" s="21" t="s">
        <v>24</v>
      </c>
      <c r="C6252" s="21" t="s">
        <v>1145</v>
      </c>
      <c r="D6252" s="21" t="s">
        <v>35</v>
      </c>
      <c r="E6252" s="17" t="s">
        <v>236</v>
      </c>
      <c r="F6252" s="17" t="s">
        <v>105</v>
      </c>
      <c r="G6252" s="18" t="s">
        <v>48</v>
      </c>
      <c r="H6252" s="24">
        <v>5320</v>
      </c>
      <c r="I6252" s="24">
        <f>T_reg.root.SK[[#This Row],[Volume, kg]]/1000</f>
        <v>5.32</v>
      </c>
      <c r="J6252" s="25">
        <v>0.24050000000000002</v>
      </c>
      <c r="K6252" s="25">
        <f t="shared" si="98"/>
        <v>1279.46</v>
      </c>
      <c r="L6252" s="25">
        <v>1.95</v>
      </c>
      <c r="M6252" s="24">
        <v>10374</v>
      </c>
      <c r="N6252" s="25">
        <f>IFERROR(T_reg.root.SK[[#This Row],[Price]]/T_reg.root.SK[[#This Row],[Starch content]],"")</f>
        <v>8.108108108108107</v>
      </c>
    </row>
    <row r="6253" spans="1:14">
      <c r="A6253" s="21">
        <v>2025</v>
      </c>
      <c r="B6253" s="21" t="s">
        <v>24</v>
      </c>
      <c r="C6253" s="21" t="s">
        <v>1145</v>
      </c>
      <c r="D6253" s="21" t="s">
        <v>35</v>
      </c>
      <c r="E6253" s="17" t="s">
        <v>296</v>
      </c>
      <c r="F6253" s="17" t="s">
        <v>105</v>
      </c>
      <c r="G6253" s="18" t="s">
        <v>48</v>
      </c>
      <c r="H6253" s="24">
        <v>58670</v>
      </c>
      <c r="I6253" s="24">
        <f>T_reg.root.SK[[#This Row],[Volume, kg]]/1000</f>
        <v>58.67</v>
      </c>
      <c r="J6253" s="25">
        <v>0.19649999999999998</v>
      </c>
      <c r="K6253" s="25">
        <f t="shared" si="98"/>
        <v>11528.654999999999</v>
      </c>
      <c r="L6253" s="25">
        <v>1.72</v>
      </c>
      <c r="M6253" s="24">
        <v>101198.5</v>
      </c>
      <c r="N6253" s="25">
        <f>IFERROR(T_reg.root.SK[[#This Row],[Price]]/T_reg.root.SK[[#This Row],[Starch content]],"")</f>
        <v>8.7531806615776091</v>
      </c>
    </row>
    <row r="6254" spans="1:14">
      <c r="A6254" s="21">
        <v>2025</v>
      </c>
      <c r="B6254" s="21" t="s">
        <v>24</v>
      </c>
      <c r="C6254" s="21" t="s">
        <v>1145</v>
      </c>
      <c r="D6254" s="21" t="s">
        <v>39</v>
      </c>
      <c r="E6254" s="17" t="s">
        <v>782</v>
      </c>
      <c r="F6254" s="17" t="s">
        <v>783</v>
      </c>
      <c r="G6254" s="18" t="s">
        <v>87</v>
      </c>
      <c r="H6254" s="24">
        <v>1271690</v>
      </c>
      <c r="I6254" s="24">
        <f>T_reg.root.SK[[#This Row],[Volume, kg]]/1000</f>
        <v>1271.69</v>
      </c>
      <c r="J6254" s="25">
        <v>0.2228</v>
      </c>
      <c r="K6254" s="25">
        <f t="shared" si="98"/>
        <v>283332.53200000001</v>
      </c>
      <c r="L6254" s="25">
        <v>2.4</v>
      </c>
      <c r="M6254" s="24">
        <v>3052942.5</v>
      </c>
      <c r="N6254" s="25">
        <f>IFERROR(T_reg.root.SK[[#This Row],[Price]]/T_reg.root.SK[[#This Row],[Starch content]],"")</f>
        <v>10.771992818671453</v>
      </c>
    </row>
    <row r="6255" spans="1:14">
      <c r="A6255" s="21">
        <v>2025</v>
      </c>
      <c r="B6255" s="21" t="s">
        <v>24</v>
      </c>
      <c r="C6255" s="21" t="s">
        <v>1145</v>
      </c>
      <c r="D6255" s="21" t="s">
        <v>35</v>
      </c>
      <c r="E6255" s="17" t="s">
        <v>561</v>
      </c>
      <c r="F6255" s="17" t="s">
        <v>105</v>
      </c>
      <c r="G6255" s="18" t="s">
        <v>48</v>
      </c>
      <c r="H6255" s="24">
        <v>6310</v>
      </c>
      <c r="I6255" s="24">
        <f>T_reg.root.SK[[#This Row],[Volume, kg]]/1000</f>
        <v>6.31</v>
      </c>
      <c r="J6255" s="25">
        <v>0.16550000000000001</v>
      </c>
      <c r="K6255" s="25">
        <f t="shared" si="98"/>
        <v>1044.3050000000001</v>
      </c>
      <c r="L6255" s="25">
        <v>1.6</v>
      </c>
      <c r="M6255" s="24">
        <v>10096</v>
      </c>
      <c r="N6255" s="25">
        <f>IFERROR(T_reg.root.SK[[#This Row],[Price]]/T_reg.root.SK[[#This Row],[Starch content]],"")</f>
        <v>9.667673716012084</v>
      </c>
    </row>
    <row r="6256" spans="1:14">
      <c r="A6256" s="21">
        <v>2025</v>
      </c>
      <c r="B6256" s="21" t="s">
        <v>24</v>
      </c>
      <c r="C6256" s="21" t="s">
        <v>1145</v>
      </c>
      <c r="D6256" s="21" t="s">
        <v>35</v>
      </c>
      <c r="E6256" s="17" t="s">
        <v>56</v>
      </c>
      <c r="F6256" s="17" t="s">
        <v>47</v>
      </c>
      <c r="G6256" s="18" t="s">
        <v>48</v>
      </c>
      <c r="H6256" s="24">
        <v>16340</v>
      </c>
      <c r="I6256" s="24">
        <f>T_reg.root.SK[[#This Row],[Volume, kg]]/1000</f>
        <v>16.34</v>
      </c>
      <c r="J6256" s="25">
        <v>0.18870000000000001</v>
      </c>
      <c r="K6256" s="25">
        <f t="shared" si="98"/>
        <v>3083.3580000000002</v>
      </c>
      <c r="L6256" s="25">
        <v>1.65</v>
      </c>
      <c r="M6256" s="24">
        <v>26961</v>
      </c>
      <c r="N6256" s="25">
        <f>IFERROR(T_reg.root.SK[[#This Row],[Price]]/T_reg.root.SK[[#This Row],[Starch content]],"")</f>
        <v>8.7440381558028601</v>
      </c>
    </row>
    <row r="6257" spans="1:14">
      <c r="A6257" s="21">
        <v>2025</v>
      </c>
      <c r="B6257" s="21" t="s">
        <v>24</v>
      </c>
      <c r="C6257" s="21" t="s">
        <v>1145</v>
      </c>
      <c r="D6257" s="21" t="s">
        <v>35</v>
      </c>
      <c r="E6257" s="17" t="s">
        <v>297</v>
      </c>
      <c r="F6257" s="17" t="s">
        <v>105</v>
      </c>
      <c r="G6257" s="18" t="s">
        <v>48</v>
      </c>
      <c r="H6257" s="24">
        <v>3620</v>
      </c>
      <c r="I6257" s="24">
        <f>T_reg.root.SK[[#This Row],[Volume, kg]]/1000</f>
        <v>3.62</v>
      </c>
      <c r="J6257" s="25">
        <v>0.2195</v>
      </c>
      <c r="K6257" s="25">
        <f t="shared" si="98"/>
        <v>794.59</v>
      </c>
      <c r="L6257" s="25">
        <v>1.85</v>
      </c>
      <c r="M6257" s="24">
        <v>6697</v>
      </c>
      <c r="N6257" s="25">
        <f>IFERROR(T_reg.root.SK[[#This Row],[Price]]/T_reg.root.SK[[#This Row],[Starch content]],"")</f>
        <v>8.428246013667426</v>
      </c>
    </row>
    <row r="6258" spans="1:14">
      <c r="A6258" s="21">
        <v>2025</v>
      </c>
      <c r="B6258" s="21" t="s">
        <v>24</v>
      </c>
      <c r="C6258" s="21" t="s">
        <v>1145</v>
      </c>
      <c r="D6258" s="21" t="s">
        <v>35</v>
      </c>
      <c r="E6258" s="17" t="s">
        <v>118</v>
      </c>
      <c r="F6258" s="17" t="s">
        <v>105</v>
      </c>
      <c r="G6258" s="18" t="s">
        <v>48</v>
      </c>
      <c r="H6258" s="24">
        <v>16300</v>
      </c>
      <c r="I6258" s="24">
        <f>T_reg.root.SK[[#This Row],[Volume, kg]]/1000</f>
        <v>16.3</v>
      </c>
      <c r="J6258" s="25">
        <v>0.20190000000000002</v>
      </c>
      <c r="K6258" s="25">
        <f t="shared" si="98"/>
        <v>3290.9700000000003</v>
      </c>
      <c r="L6258" s="25">
        <v>1.75</v>
      </c>
      <c r="M6258" s="24">
        <v>28528.5</v>
      </c>
      <c r="N6258" s="25">
        <f>IFERROR(T_reg.root.SK[[#This Row],[Price]]/T_reg.root.SK[[#This Row],[Starch content]],"")</f>
        <v>8.6676572560673595</v>
      </c>
    </row>
    <row r="6259" spans="1:14">
      <c r="A6259" s="21">
        <v>2025</v>
      </c>
      <c r="B6259" s="21" t="s">
        <v>24</v>
      </c>
      <c r="C6259" s="21" t="s">
        <v>1145</v>
      </c>
      <c r="D6259" s="21" t="s">
        <v>35</v>
      </c>
      <c r="E6259" s="17" t="s">
        <v>119</v>
      </c>
      <c r="F6259" s="17" t="s">
        <v>105</v>
      </c>
      <c r="G6259" s="18" t="s">
        <v>48</v>
      </c>
      <c r="H6259" s="24">
        <v>36010</v>
      </c>
      <c r="I6259" s="24">
        <f>T_reg.root.SK[[#This Row],[Volume, kg]]/1000</f>
        <v>36.01</v>
      </c>
      <c r="J6259" s="25">
        <v>0.23519999999999999</v>
      </c>
      <c r="K6259" s="25">
        <f t="shared" si="98"/>
        <v>8469.5519999999997</v>
      </c>
      <c r="L6259" s="25">
        <v>1.91</v>
      </c>
      <c r="M6259" s="24">
        <v>68828</v>
      </c>
      <c r="N6259" s="25">
        <f>IFERROR(T_reg.root.SK[[#This Row],[Price]]/T_reg.root.SK[[#This Row],[Starch content]],"")</f>
        <v>8.1207482993197271</v>
      </c>
    </row>
    <row r="6260" spans="1:14">
      <c r="A6260" s="21">
        <v>2025</v>
      </c>
      <c r="B6260" s="21" t="s">
        <v>24</v>
      </c>
      <c r="C6260" s="21" t="s">
        <v>1145</v>
      </c>
      <c r="D6260" s="21" t="s">
        <v>39</v>
      </c>
      <c r="E6260" s="17" t="s">
        <v>101</v>
      </c>
      <c r="F6260" s="17" t="s">
        <v>102</v>
      </c>
      <c r="G6260" s="18" t="s">
        <v>103</v>
      </c>
      <c r="H6260" s="24">
        <v>2531940</v>
      </c>
      <c r="I6260" s="24">
        <f>T_reg.root.SK[[#This Row],[Volume, kg]]/1000</f>
        <v>2531.94</v>
      </c>
      <c r="J6260" s="25">
        <v>0.2266</v>
      </c>
      <c r="K6260" s="25">
        <f t="shared" si="98"/>
        <v>573737.60399999993</v>
      </c>
      <c r="L6260" s="25">
        <v>2.33</v>
      </c>
      <c r="M6260" s="24">
        <v>5894544.5</v>
      </c>
      <c r="N6260" s="25">
        <f>IFERROR(T_reg.root.SK[[#This Row],[Price]]/T_reg.root.SK[[#This Row],[Starch content]],"")</f>
        <v>10.282436010591351</v>
      </c>
    </row>
    <row r="6261" spans="1:14">
      <c r="A6261" s="21">
        <v>2025</v>
      </c>
      <c r="B6261" s="21" t="s">
        <v>24</v>
      </c>
      <c r="C6261" s="21" t="s">
        <v>1145</v>
      </c>
      <c r="D6261" s="21" t="s">
        <v>35</v>
      </c>
      <c r="E6261" s="17" t="s">
        <v>120</v>
      </c>
      <c r="F6261" s="17" t="s">
        <v>105</v>
      </c>
      <c r="G6261" s="18" t="s">
        <v>48</v>
      </c>
      <c r="H6261" s="24">
        <v>7760</v>
      </c>
      <c r="I6261" s="24">
        <f>T_reg.root.SK[[#This Row],[Volume, kg]]/1000</f>
        <v>7.76</v>
      </c>
      <c r="J6261" s="25">
        <v>0.27200000000000002</v>
      </c>
      <c r="K6261" s="25">
        <f t="shared" si="98"/>
        <v>2110.7200000000003</v>
      </c>
      <c r="L6261" s="25">
        <v>2.1</v>
      </c>
      <c r="M6261" s="24">
        <v>16296</v>
      </c>
      <c r="N6261" s="25">
        <f>IFERROR(T_reg.root.SK[[#This Row],[Price]]/T_reg.root.SK[[#This Row],[Starch content]],"")</f>
        <v>7.7205882352941178</v>
      </c>
    </row>
    <row r="6262" spans="1:14">
      <c r="A6262" s="21">
        <v>2025</v>
      </c>
      <c r="B6262" s="21" t="s">
        <v>24</v>
      </c>
      <c r="C6262" s="21" t="s">
        <v>1145</v>
      </c>
      <c r="D6262" s="21" t="s">
        <v>35</v>
      </c>
      <c r="E6262" s="17" t="s">
        <v>122</v>
      </c>
      <c r="F6262" s="17" t="s">
        <v>105</v>
      </c>
      <c r="G6262" s="18" t="s">
        <v>48</v>
      </c>
      <c r="H6262" s="24">
        <v>26310</v>
      </c>
      <c r="I6262" s="24">
        <f>T_reg.root.SK[[#This Row],[Volume, kg]]/1000</f>
        <v>26.31</v>
      </c>
      <c r="J6262" s="25">
        <v>0.21280000000000002</v>
      </c>
      <c r="K6262" s="25">
        <f t="shared" si="98"/>
        <v>5598.768</v>
      </c>
      <c r="L6262" s="25">
        <v>1.84</v>
      </c>
      <c r="M6262" s="24">
        <v>48377.5</v>
      </c>
      <c r="N6262" s="25">
        <f>IFERROR(T_reg.root.SK[[#This Row],[Price]]/T_reg.root.SK[[#This Row],[Starch content]],"")</f>
        <v>8.6466165413533833</v>
      </c>
    </row>
    <row r="6263" spans="1:14">
      <c r="A6263" s="21">
        <v>2025</v>
      </c>
      <c r="B6263" s="21" t="s">
        <v>24</v>
      </c>
      <c r="C6263" s="21" t="s">
        <v>1145</v>
      </c>
      <c r="D6263" s="21" t="s">
        <v>35</v>
      </c>
      <c r="E6263" s="17" t="s">
        <v>562</v>
      </c>
      <c r="F6263" s="17" t="s">
        <v>105</v>
      </c>
      <c r="G6263" s="18" t="s">
        <v>48</v>
      </c>
      <c r="H6263" s="24">
        <v>3600</v>
      </c>
      <c r="I6263" s="24">
        <f>T_reg.root.SK[[#This Row],[Volume, kg]]/1000</f>
        <v>3.6</v>
      </c>
      <c r="J6263" s="25">
        <v>0.2462</v>
      </c>
      <c r="K6263" s="25">
        <f t="shared" si="98"/>
        <v>886.32</v>
      </c>
      <c r="L6263" s="25">
        <v>1.98</v>
      </c>
      <c r="M6263" s="24">
        <v>7135.5</v>
      </c>
      <c r="N6263" s="25">
        <f>IFERROR(T_reg.root.SK[[#This Row],[Price]]/T_reg.root.SK[[#This Row],[Starch content]],"")</f>
        <v>8.0422420796100731</v>
      </c>
    </row>
    <row r="6264" spans="1:14">
      <c r="A6264" s="21">
        <v>2025</v>
      </c>
      <c r="B6264" s="21" t="s">
        <v>24</v>
      </c>
      <c r="C6264" s="21" t="s">
        <v>1145</v>
      </c>
      <c r="D6264" s="21" t="s">
        <v>35</v>
      </c>
      <c r="E6264" s="17" t="s">
        <v>123</v>
      </c>
      <c r="F6264" s="17" t="s">
        <v>105</v>
      </c>
      <c r="G6264" s="18" t="s">
        <v>48</v>
      </c>
      <c r="H6264" s="24">
        <v>49050</v>
      </c>
      <c r="I6264" s="24">
        <f>T_reg.root.SK[[#This Row],[Volume, kg]]/1000</f>
        <v>49.05</v>
      </c>
      <c r="J6264" s="25">
        <v>0.21</v>
      </c>
      <c r="K6264" s="25">
        <f t="shared" si="98"/>
        <v>10300.5</v>
      </c>
      <c r="L6264" s="25">
        <v>1.83</v>
      </c>
      <c r="M6264" s="24">
        <v>89803.5</v>
      </c>
      <c r="N6264" s="25">
        <f>IFERROR(T_reg.root.SK[[#This Row],[Price]]/T_reg.root.SK[[#This Row],[Starch content]],"")</f>
        <v>8.7142857142857153</v>
      </c>
    </row>
    <row r="6265" spans="1:14">
      <c r="A6265" s="21">
        <v>2025</v>
      </c>
      <c r="B6265" s="21" t="s">
        <v>24</v>
      </c>
      <c r="C6265" s="21" t="s">
        <v>1145</v>
      </c>
      <c r="D6265" s="21" t="s">
        <v>39</v>
      </c>
      <c r="E6265" s="17" t="s">
        <v>98</v>
      </c>
      <c r="F6265" s="17" t="s">
        <v>99</v>
      </c>
      <c r="G6265" s="18" t="s">
        <v>42</v>
      </c>
      <c r="H6265" s="24">
        <v>8145370</v>
      </c>
      <c r="I6265" s="24">
        <f>T_reg.root.SK[[#This Row],[Volume, kg]]/1000</f>
        <v>8145.37</v>
      </c>
      <c r="J6265" s="25">
        <v>0.22600000000000001</v>
      </c>
      <c r="K6265" s="25">
        <f t="shared" si="98"/>
        <v>1840853.62</v>
      </c>
      <c r="L6265" s="25">
        <v>2.41</v>
      </c>
      <c r="M6265" s="24">
        <v>19616638.5</v>
      </c>
      <c r="N6265" s="25">
        <f>IFERROR(T_reg.root.SK[[#This Row],[Price]]/T_reg.root.SK[[#This Row],[Starch content]],"")</f>
        <v>10.663716814159292</v>
      </c>
    </row>
    <row r="6266" spans="1:14">
      <c r="A6266" s="21">
        <v>2025</v>
      </c>
      <c r="B6266" s="21" t="s">
        <v>24</v>
      </c>
      <c r="C6266" s="21" t="s">
        <v>1145</v>
      </c>
      <c r="D6266" s="21" t="s">
        <v>39</v>
      </c>
      <c r="E6266" s="17" t="s">
        <v>346</v>
      </c>
      <c r="F6266" s="17" t="s">
        <v>99</v>
      </c>
      <c r="G6266" s="18" t="s">
        <v>42</v>
      </c>
      <c r="H6266" s="24">
        <v>1929360</v>
      </c>
      <c r="I6266" s="24">
        <f>T_reg.root.SK[[#This Row],[Volume, kg]]/1000</f>
        <v>1929.36</v>
      </c>
      <c r="J6266" s="25">
        <v>0.21940000000000001</v>
      </c>
      <c r="K6266" s="25">
        <f t="shared" si="98"/>
        <v>423301.58400000003</v>
      </c>
      <c r="L6266" s="25">
        <v>2.31</v>
      </c>
      <c r="M6266" s="24">
        <v>4449552</v>
      </c>
      <c r="N6266" s="25">
        <f>IFERROR(T_reg.root.SK[[#This Row],[Price]]/T_reg.root.SK[[#This Row],[Starch content]],"")</f>
        <v>10.528714676390155</v>
      </c>
    </row>
    <row r="6267" spans="1:14">
      <c r="A6267" s="21">
        <v>2025</v>
      </c>
      <c r="B6267" s="21" t="s">
        <v>24</v>
      </c>
      <c r="C6267" s="21" t="s">
        <v>1145</v>
      </c>
      <c r="D6267" s="21" t="s">
        <v>35</v>
      </c>
      <c r="E6267" s="17" t="s">
        <v>735</v>
      </c>
      <c r="F6267" s="17" t="s">
        <v>105</v>
      </c>
      <c r="G6267" s="18" t="s">
        <v>48</v>
      </c>
      <c r="H6267" s="24">
        <v>25400</v>
      </c>
      <c r="I6267" s="24">
        <f>T_reg.root.SK[[#This Row],[Volume, kg]]/1000</f>
        <v>25.4</v>
      </c>
      <c r="J6267" s="25">
        <v>0.1825</v>
      </c>
      <c r="K6267" s="25">
        <f t="shared" si="98"/>
        <v>4635.5</v>
      </c>
      <c r="L6267" s="25">
        <v>1.67</v>
      </c>
      <c r="M6267" s="24">
        <v>42383</v>
      </c>
      <c r="N6267" s="25">
        <f>IFERROR(T_reg.root.SK[[#This Row],[Price]]/T_reg.root.SK[[#This Row],[Starch content]],"")</f>
        <v>9.1506849315068486</v>
      </c>
    </row>
    <row r="6268" spans="1:14">
      <c r="A6268" s="21">
        <v>2025</v>
      </c>
      <c r="B6268" s="21" t="s">
        <v>24</v>
      </c>
      <c r="C6268" s="21" t="s">
        <v>1145</v>
      </c>
      <c r="D6268" s="21" t="s">
        <v>35</v>
      </c>
      <c r="E6268" s="17" t="s">
        <v>975</v>
      </c>
      <c r="F6268" s="17" t="s">
        <v>105</v>
      </c>
      <c r="G6268" s="18" t="s">
        <v>48</v>
      </c>
      <c r="H6268" s="24">
        <v>5580</v>
      </c>
      <c r="I6268" s="24">
        <f>T_reg.root.SK[[#This Row],[Volume, kg]]/1000</f>
        <v>5.58</v>
      </c>
      <c r="J6268" s="25">
        <v>0.17170000000000002</v>
      </c>
      <c r="K6268" s="25">
        <f t="shared" si="98"/>
        <v>958.08600000000013</v>
      </c>
      <c r="L6268" s="25">
        <v>1.7</v>
      </c>
      <c r="M6268" s="24">
        <v>9486</v>
      </c>
      <c r="N6268" s="25">
        <f>IFERROR(T_reg.root.SK[[#This Row],[Price]]/T_reg.root.SK[[#This Row],[Starch content]],"")</f>
        <v>9.9009900990098991</v>
      </c>
    </row>
    <row r="6269" spans="1:14">
      <c r="A6269" s="21">
        <v>2025</v>
      </c>
      <c r="B6269" s="21" t="s">
        <v>24</v>
      </c>
      <c r="C6269" s="21" t="s">
        <v>1145</v>
      </c>
      <c r="D6269" s="21" t="s">
        <v>35</v>
      </c>
      <c r="E6269" s="17" t="s">
        <v>124</v>
      </c>
      <c r="F6269" s="17" t="s">
        <v>105</v>
      </c>
      <c r="G6269" s="18" t="s">
        <v>48</v>
      </c>
      <c r="H6269" s="24">
        <v>77450</v>
      </c>
      <c r="I6269" s="24">
        <f>T_reg.root.SK[[#This Row],[Volume, kg]]/1000</f>
        <v>77.45</v>
      </c>
      <c r="J6269" s="25">
        <v>0.22120000000000001</v>
      </c>
      <c r="K6269" s="25">
        <f t="shared" si="98"/>
        <v>17131.940000000002</v>
      </c>
      <c r="L6269" s="25">
        <v>1.88</v>
      </c>
      <c r="M6269" s="24">
        <v>145630</v>
      </c>
      <c r="N6269" s="25">
        <f>IFERROR(T_reg.root.SK[[#This Row],[Price]]/T_reg.root.SK[[#This Row],[Starch content]],"")</f>
        <v>8.4990958408679926</v>
      </c>
    </row>
    <row r="6270" spans="1:14">
      <c r="A6270" s="21">
        <v>2025</v>
      </c>
      <c r="B6270" s="21" t="s">
        <v>24</v>
      </c>
      <c r="C6270" s="21" t="s">
        <v>1145</v>
      </c>
      <c r="D6270" s="21" t="s">
        <v>35</v>
      </c>
      <c r="E6270" s="17" t="s">
        <v>404</v>
      </c>
      <c r="F6270" s="17" t="s">
        <v>105</v>
      </c>
      <c r="G6270" s="18" t="s">
        <v>48</v>
      </c>
      <c r="H6270" s="24">
        <v>5280</v>
      </c>
      <c r="I6270" s="24">
        <f>T_reg.root.SK[[#This Row],[Volume, kg]]/1000</f>
        <v>5.28</v>
      </c>
      <c r="J6270" s="25">
        <v>0.22450000000000001</v>
      </c>
      <c r="K6270" s="25">
        <f t="shared" si="98"/>
        <v>1185.3600000000001</v>
      </c>
      <c r="L6270" s="25">
        <v>1.95</v>
      </c>
      <c r="M6270" s="24">
        <v>10296</v>
      </c>
      <c r="N6270" s="25">
        <f>IFERROR(T_reg.root.SK[[#This Row],[Price]]/T_reg.root.SK[[#This Row],[Starch content]],"")</f>
        <v>8.6859688195991094</v>
      </c>
    </row>
    <row r="6271" spans="1:14">
      <c r="A6271" s="21">
        <v>2025</v>
      </c>
      <c r="B6271" s="21" t="s">
        <v>24</v>
      </c>
      <c r="C6271" s="21" t="s">
        <v>1145</v>
      </c>
      <c r="D6271" s="21" t="s">
        <v>35</v>
      </c>
      <c r="E6271" s="17" t="s">
        <v>634</v>
      </c>
      <c r="F6271" s="17" t="s">
        <v>105</v>
      </c>
      <c r="G6271" s="18" t="s">
        <v>48</v>
      </c>
      <c r="H6271" s="24">
        <v>7680</v>
      </c>
      <c r="I6271" s="24">
        <f>T_reg.root.SK[[#This Row],[Volume, kg]]/1000</f>
        <v>7.68</v>
      </c>
      <c r="J6271" s="25">
        <v>0.215</v>
      </c>
      <c r="K6271" s="25">
        <f t="shared" si="98"/>
        <v>1651.2</v>
      </c>
      <c r="L6271" s="25">
        <v>1.95</v>
      </c>
      <c r="M6271" s="24">
        <v>14976</v>
      </c>
      <c r="N6271" s="25">
        <f>IFERROR(T_reg.root.SK[[#This Row],[Price]]/T_reg.root.SK[[#This Row],[Starch content]],"")</f>
        <v>9.0697674418604652</v>
      </c>
    </row>
    <row r="6272" spans="1:14">
      <c r="A6272" s="21">
        <v>2025</v>
      </c>
      <c r="B6272" s="21" t="s">
        <v>24</v>
      </c>
      <c r="C6272" s="21" t="s">
        <v>1145</v>
      </c>
      <c r="D6272" s="21" t="s">
        <v>35</v>
      </c>
      <c r="E6272" s="17" t="s">
        <v>487</v>
      </c>
      <c r="F6272" s="17" t="s">
        <v>105</v>
      </c>
      <c r="G6272" s="18" t="s">
        <v>48</v>
      </c>
      <c r="H6272" s="24">
        <v>7500</v>
      </c>
      <c r="I6272" s="24">
        <f>T_reg.root.SK[[#This Row],[Volume, kg]]/1000</f>
        <v>7.5</v>
      </c>
      <c r="J6272" s="25">
        <v>0.28999999999999998</v>
      </c>
      <c r="K6272" s="25">
        <f t="shared" si="98"/>
        <v>2175</v>
      </c>
      <c r="L6272" s="25">
        <v>2.2000000000000002</v>
      </c>
      <c r="M6272" s="24">
        <v>16500</v>
      </c>
      <c r="N6272" s="25">
        <f>IFERROR(T_reg.root.SK[[#This Row],[Price]]/T_reg.root.SK[[#This Row],[Starch content]],"")</f>
        <v>7.5862068965517251</v>
      </c>
    </row>
    <row r="6273" spans="1:14">
      <c r="A6273" s="21">
        <v>2025</v>
      </c>
      <c r="B6273" s="21" t="s">
        <v>24</v>
      </c>
      <c r="C6273" s="21" t="s">
        <v>1145</v>
      </c>
      <c r="D6273" s="21" t="s">
        <v>35</v>
      </c>
      <c r="E6273" s="17" t="s">
        <v>716</v>
      </c>
      <c r="F6273" s="17" t="s">
        <v>105</v>
      </c>
      <c r="G6273" s="18" t="s">
        <v>48</v>
      </c>
      <c r="H6273" s="24">
        <v>8670</v>
      </c>
      <c r="I6273" s="24">
        <f>T_reg.root.SK[[#This Row],[Volume, kg]]/1000</f>
        <v>8.67</v>
      </c>
      <c r="J6273" s="25">
        <v>0.2535</v>
      </c>
      <c r="K6273" s="25">
        <f t="shared" si="98"/>
        <v>2197.8449999999998</v>
      </c>
      <c r="L6273" s="25">
        <v>2.1</v>
      </c>
      <c r="M6273" s="24">
        <v>18207</v>
      </c>
      <c r="N6273" s="25">
        <f>IFERROR(T_reg.root.SK[[#This Row],[Price]]/T_reg.root.SK[[#This Row],[Starch content]],"")</f>
        <v>8.2840236686390529</v>
      </c>
    </row>
    <row r="6274" spans="1:14">
      <c r="A6274" s="21">
        <v>2025</v>
      </c>
      <c r="B6274" s="21" t="s">
        <v>24</v>
      </c>
      <c r="C6274" s="21" t="s">
        <v>1145</v>
      </c>
      <c r="D6274" s="21" t="s">
        <v>35</v>
      </c>
      <c r="E6274" s="17" t="s">
        <v>977</v>
      </c>
      <c r="F6274" s="17" t="s">
        <v>105</v>
      </c>
      <c r="G6274" s="18" t="s">
        <v>48</v>
      </c>
      <c r="H6274" s="24">
        <v>10740</v>
      </c>
      <c r="I6274" s="24">
        <f>T_reg.root.SK[[#This Row],[Volume, kg]]/1000</f>
        <v>10.74</v>
      </c>
      <c r="J6274" s="25">
        <v>0.2334</v>
      </c>
      <c r="K6274" s="25">
        <f t="shared" si="98"/>
        <v>2506.7159999999999</v>
      </c>
      <c r="L6274" s="25">
        <v>1.92</v>
      </c>
      <c r="M6274" s="24">
        <v>20620</v>
      </c>
      <c r="N6274" s="25">
        <f>IFERROR(T_reg.root.SK[[#This Row],[Price]]/T_reg.root.SK[[#This Row],[Starch content]],"")</f>
        <v>8.2262210796915163</v>
      </c>
    </row>
    <row r="6275" spans="1:14">
      <c r="A6275" s="21">
        <v>2025</v>
      </c>
      <c r="B6275" s="21" t="s">
        <v>24</v>
      </c>
      <c r="C6275" s="21" t="s">
        <v>1145</v>
      </c>
      <c r="D6275" s="21" t="s">
        <v>35</v>
      </c>
      <c r="E6275" s="17" t="s">
        <v>240</v>
      </c>
      <c r="F6275" s="17" t="s">
        <v>105</v>
      </c>
      <c r="G6275" s="18" t="s">
        <v>48</v>
      </c>
      <c r="H6275" s="24">
        <v>16060</v>
      </c>
      <c r="I6275" s="24">
        <f>T_reg.root.SK[[#This Row],[Volume, kg]]/1000</f>
        <v>16.059999999999999</v>
      </c>
      <c r="J6275" s="25">
        <v>0.27110000000000001</v>
      </c>
      <c r="K6275" s="25">
        <f t="shared" si="98"/>
        <v>4353.866</v>
      </c>
      <c r="L6275" s="25">
        <v>2.19</v>
      </c>
      <c r="M6275" s="24">
        <v>35177</v>
      </c>
      <c r="N6275" s="25">
        <f>IFERROR(T_reg.root.SK[[#This Row],[Price]]/T_reg.root.SK[[#This Row],[Starch content]],"")</f>
        <v>8.0781999262264836</v>
      </c>
    </row>
    <row r="6276" spans="1:14">
      <c r="A6276" s="21">
        <v>2025</v>
      </c>
      <c r="B6276" s="21" t="s">
        <v>24</v>
      </c>
      <c r="C6276" s="21" t="s">
        <v>1145</v>
      </c>
      <c r="D6276" s="21" t="s">
        <v>35</v>
      </c>
      <c r="E6276" s="17" t="s">
        <v>736</v>
      </c>
      <c r="F6276" s="17" t="s">
        <v>105</v>
      </c>
      <c r="G6276" s="18" t="s">
        <v>48</v>
      </c>
      <c r="H6276" s="24">
        <v>9060</v>
      </c>
      <c r="I6276" s="24">
        <f>T_reg.root.SK[[#This Row],[Volume, kg]]/1000</f>
        <v>9.06</v>
      </c>
      <c r="J6276" s="25">
        <v>0.19699999999999998</v>
      </c>
      <c r="K6276" s="25">
        <f t="shared" si="98"/>
        <v>1784.82</v>
      </c>
      <c r="L6276" s="25">
        <v>1.75</v>
      </c>
      <c r="M6276" s="24">
        <v>15855</v>
      </c>
      <c r="N6276" s="25">
        <f>IFERROR(T_reg.root.SK[[#This Row],[Price]]/T_reg.root.SK[[#This Row],[Starch content]],"")</f>
        <v>8.8832487309644677</v>
      </c>
    </row>
    <row r="6277" spans="1:14">
      <c r="A6277" s="21">
        <v>2025</v>
      </c>
      <c r="B6277" s="21" t="s">
        <v>24</v>
      </c>
      <c r="C6277" s="21" t="s">
        <v>1145</v>
      </c>
      <c r="D6277" s="21" t="s">
        <v>35</v>
      </c>
      <c r="E6277" s="17" t="s">
        <v>127</v>
      </c>
      <c r="F6277" s="17" t="s">
        <v>105</v>
      </c>
      <c r="G6277" s="18" t="s">
        <v>48</v>
      </c>
      <c r="H6277" s="24">
        <v>4780</v>
      </c>
      <c r="I6277" s="24">
        <f>T_reg.root.SK[[#This Row],[Volume, kg]]/1000</f>
        <v>4.78</v>
      </c>
      <c r="J6277" s="25">
        <v>0.214</v>
      </c>
      <c r="K6277" s="25">
        <f t="shared" si="98"/>
        <v>1022.92</v>
      </c>
      <c r="L6277" s="25">
        <v>1.8</v>
      </c>
      <c r="M6277" s="24">
        <v>8604</v>
      </c>
      <c r="N6277" s="25">
        <f>IFERROR(T_reg.root.SK[[#This Row],[Price]]/T_reg.root.SK[[#This Row],[Starch content]],"")</f>
        <v>8.4112149532710276</v>
      </c>
    </row>
    <row r="6278" spans="1:14">
      <c r="A6278" s="21">
        <v>2025</v>
      </c>
      <c r="B6278" s="21" t="s">
        <v>24</v>
      </c>
      <c r="C6278" s="21" t="s">
        <v>1145</v>
      </c>
      <c r="D6278" s="21" t="s">
        <v>35</v>
      </c>
      <c r="E6278" s="17" t="s">
        <v>264</v>
      </c>
      <c r="F6278" s="17" t="s">
        <v>187</v>
      </c>
      <c r="G6278" s="18" t="s">
        <v>48</v>
      </c>
      <c r="H6278" s="24">
        <v>24690</v>
      </c>
      <c r="I6278" s="24">
        <f>T_reg.root.SK[[#This Row],[Volume, kg]]/1000</f>
        <v>24.69</v>
      </c>
      <c r="J6278" s="25">
        <v>0.20910000000000001</v>
      </c>
      <c r="K6278" s="25">
        <f t="shared" si="98"/>
        <v>5162.6790000000001</v>
      </c>
      <c r="L6278" s="25">
        <v>1.89</v>
      </c>
      <c r="M6278" s="24">
        <v>46750.5</v>
      </c>
      <c r="N6278" s="25">
        <f>IFERROR(T_reg.root.SK[[#This Row],[Price]]/T_reg.root.SK[[#This Row],[Starch content]],"")</f>
        <v>9.0387374461979899</v>
      </c>
    </row>
    <row r="6279" spans="1:14">
      <c r="A6279" s="21">
        <v>2025</v>
      </c>
      <c r="B6279" s="21" t="s">
        <v>24</v>
      </c>
      <c r="C6279" s="21" t="s">
        <v>1145</v>
      </c>
      <c r="D6279" s="21" t="s">
        <v>35</v>
      </c>
      <c r="E6279" s="17" t="s">
        <v>523</v>
      </c>
      <c r="F6279" s="17" t="s">
        <v>187</v>
      </c>
      <c r="G6279" s="18" t="s">
        <v>48</v>
      </c>
      <c r="H6279" s="24">
        <v>15260</v>
      </c>
      <c r="I6279" s="24">
        <f>T_reg.root.SK[[#This Row],[Volume, kg]]/1000</f>
        <v>15.26</v>
      </c>
      <c r="J6279" s="25">
        <v>0.26940000000000003</v>
      </c>
      <c r="K6279" s="25">
        <f t="shared" si="98"/>
        <v>4111.0440000000008</v>
      </c>
      <c r="L6279" s="25">
        <v>2.1</v>
      </c>
      <c r="M6279" s="24">
        <v>32035</v>
      </c>
      <c r="N6279" s="25">
        <f>IFERROR(T_reg.root.SK[[#This Row],[Price]]/T_reg.root.SK[[#This Row],[Starch content]],"")</f>
        <v>7.7951002227171484</v>
      </c>
    </row>
    <row r="6280" spans="1:14">
      <c r="A6280" s="21">
        <v>2025</v>
      </c>
      <c r="B6280" s="21" t="s">
        <v>24</v>
      </c>
      <c r="C6280" s="21" t="s">
        <v>1145</v>
      </c>
      <c r="D6280" s="21" t="s">
        <v>35</v>
      </c>
      <c r="E6280" s="17" t="s">
        <v>489</v>
      </c>
      <c r="F6280" s="17" t="s">
        <v>105</v>
      </c>
      <c r="G6280" s="18" t="s">
        <v>48</v>
      </c>
      <c r="H6280" s="24">
        <v>24010</v>
      </c>
      <c r="I6280" s="24">
        <f>T_reg.root.SK[[#This Row],[Volume, kg]]/1000</f>
        <v>24.01</v>
      </c>
      <c r="J6280" s="25">
        <v>0.26729999999999998</v>
      </c>
      <c r="K6280" s="25">
        <f t="shared" si="98"/>
        <v>6417.8729999999996</v>
      </c>
      <c r="L6280" s="25">
        <v>2.17</v>
      </c>
      <c r="M6280" s="24">
        <v>52021</v>
      </c>
      <c r="N6280" s="25">
        <f>IFERROR(T_reg.root.SK[[#This Row],[Price]]/T_reg.root.SK[[#This Row],[Starch content]],"")</f>
        <v>8.1182192293303412</v>
      </c>
    </row>
    <row r="6281" spans="1:14">
      <c r="A6281" s="21">
        <v>2025</v>
      </c>
      <c r="B6281" s="21" t="s">
        <v>24</v>
      </c>
      <c r="C6281" s="21" t="s">
        <v>1145</v>
      </c>
      <c r="D6281" s="21" t="s">
        <v>35</v>
      </c>
      <c r="E6281" s="17" t="s">
        <v>565</v>
      </c>
      <c r="F6281" s="17" t="s">
        <v>105</v>
      </c>
      <c r="G6281" s="18" t="s">
        <v>48</v>
      </c>
      <c r="H6281" s="24">
        <v>26760</v>
      </c>
      <c r="I6281" s="24">
        <f>T_reg.root.SK[[#This Row],[Volume, kg]]/1000</f>
        <v>26.76</v>
      </c>
      <c r="J6281" s="25">
        <v>0.2145</v>
      </c>
      <c r="K6281" s="25">
        <f t="shared" si="98"/>
        <v>5740.0199999999995</v>
      </c>
      <c r="L6281" s="25">
        <v>1.82</v>
      </c>
      <c r="M6281" s="24">
        <v>48755</v>
      </c>
      <c r="N6281" s="25">
        <f>IFERROR(T_reg.root.SK[[#This Row],[Price]]/T_reg.root.SK[[#This Row],[Starch content]],"")</f>
        <v>8.4848484848484844</v>
      </c>
    </row>
    <row r="6282" spans="1:14">
      <c r="A6282" s="21">
        <v>2025</v>
      </c>
      <c r="B6282" s="21" t="s">
        <v>24</v>
      </c>
      <c r="C6282" s="21" t="s">
        <v>1145</v>
      </c>
      <c r="D6282" s="21" t="s">
        <v>35</v>
      </c>
      <c r="E6282" s="17" t="s">
        <v>197</v>
      </c>
      <c r="F6282" s="17" t="s">
        <v>187</v>
      </c>
      <c r="G6282" s="18" t="s">
        <v>48</v>
      </c>
      <c r="H6282" s="24">
        <v>38530</v>
      </c>
      <c r="I6282" s="24">
        <f>T_reg.root.SK[[#This Row],[Volume, kg]]/1000</f>
        <v>38.53</v>
      </c>
      <c r="J6282" s="25">
        <v>0.20530000000000001</v>
      </c>
      <c r="K6282" s="25">
        <f t="shared" si="98"/>
        <v>7910.2090000000007</v>
      </c>
      <c r="L6282" s="25">
        <v>1.76</v>
      </c>
      <c r="M6282" s="24">
        <v>67936</v>
      </c>
      <c r="N6282" s="25">
        <f>IFERROR(T_reg.root.SK[[#This Row],[Price]]/T_reg.root.SK[[#This Row],[Starch content]],"")</f>
        <v>8.5728202630297119</v>
      </c>
    </row>
    <row r="6283" spans="1:14">
      <c r="A6283" s="21">
        <v>2025</v>
      </c>
      <c r="B6283" s="21" t="s">
        <v>24</v>
      </c>
      <c r="C6283" s="21" t="s">
        <v>1145</v>
      </c>
      <c r="D6283" s="21" t="s">
        <v>35</v>
      </c>
      <c r="E6283" s="17" t="s">
        <v>650</v>
      </c>
      <c r="F6283" s="17" t="s">
        <v>187</v>
      </c>
      <c r="G6283" s="18" t="s">
        <v>48</v>
      </c>
      <c r="H6283" s="24">
        <v>17300</v>
      </c>
      <c r="I6283" s="24">
        <f>T_reg.root.SK[[#This Row],[Volume, kg]]/1000</f>
        <v>17.3</v>
      </c>
      <c r="J6283" s="25">
        <v>0.2104</v>
      </c>
      <c r="K6283" s="25">
        <f t="shared" si="98"/>
        <v>3639.92</v>
      </c>
      <c r="L6283" s="25">
        <v>1.85</v>
      </c>
      <c r="M6283" s="24">
        <v>31969</v>
      </c>
      <c r="N6283" s="25">
        <f>IFERROR(T_reg.root.SK[[#This Row],[Price]]/T_reg.root.SK[[#This Row],[Starch content]],"")</f>
        <v>8.7927756653992404</v>
      </c>
    </row>
    <row r="6284" spans="1:14">
      <c r="A6284" s="21">
        <v>2025</v>
      </c>
      <c r="B6284" s="21" t="s">
        <v>24</v>
      </c>
      <c r="C6284" s="21" t="s">
        <v>1145</v>
      </c>
      <c r="D6284" s="21" t="s">
        <v>35</v>
      </c>
      <c r="E6284" s="17" t="s">
        <v>807</v>
      </c>
      <c r="F6284" s="17" t="s">
        <v>105</v>
      </c>
      <c r="G6284" s="18" t="s">
        <v>48</v>
      </c>
      <c r="H6284" s="24">
        <v>40050</v>
      </c>
      <c r="I6284" s="24">
        <f>T_reg.root.SK[[#This Row],[Volume, kg]]/1000</f>
        <v>40.049999999999997</v>
      </c>
      <c r="J6284" s="25">
        <v>0.25440000000000002</v>
      </c>
      <c r="K6284" s="25">
        <f t="shared" si="98"/>
        <v>10188.720000000001</v>
      </c>
      <c r="L6284" s="25">
        <v>2.0299999999999998</v>
      </c>
      <c r="M6284" s="24">
        <v>81109</v>
      </c>
      <c r="N6284" s="25">
        <f>IFERROR(T_reg.root.SK[[#This Row],[Price]]/T_reg.root.SK[[#This Row],[Starch content]],"")</f>
        <v>7.9795597484276719</v>
      </c>
    </row>
    <row r="6285" spans="1:14">
      <c r="A6285" s="21">
        <v>2025</v>
      </c>
      <c r="B6285" s="21" t="s">
        <v>24</v>
      </c>
      <c r="C6285" s="21" t="s">
        <v>1145</v>
      </c>
      <c r="D6285" s="21" t="s">
        <v>35</v>
      </c>
      <c r="E6285" s="17" t="s">
        <v>1049</v>
      </c>
      <c r="F6285" s="17" t="s">
        <v>105</v>
      </c>
      <c r="G6285" s="18" t="s">
        <v>48</v>
      </c>
      <c r="H6285" s="24">
        <v>8150</v>
      </c>
      <c r="I6285" s="24">
        <f>T_reg.root.SK[[#This Row],[Volume, kg]]/1000</f>
        <v>8.15</v>
      </c>
      <c r="J6285" s="25">
        <v>0.19399999999999998</v>
      </c>
      <c r="K6285" s="25">
        <f t="shared" si="98"/>
        <v>1581.1</v>
      </c>
      <c r="L6285" s="25">
        <v>1.65</v>
      </c>
      <c r="M6285" s="24">
        <v>13447.5</v>
      </c>
      <c r="N6285" s="25">
        <f>IFERROR(T_reg.root.SK[[#This Row],[Price]]/T_reg.root.SK[[#This Row],[Starch content]],"")</f>
        <v>8.5051546391752577</v>
      </c>
    </row>
    <row r="6286" spans="1:14">
      <c r="A6286" s="21">
        <v>2025</v>
      </c>
      <c r="B6286" s="21" t="s">
        <v>24</v>
      </c>
      <c r="C6286" s="21" t="s">
        <v>1145</v>
      </c>
      <c r="D6286" s="21" t="s">
        <v>35</v>
      </c>
      <c r="E6286" s="17" t="s">
        <v>1009</v>
      </c>
      <c r="F6286" s="17" t="s">
        <v>105</v>
      </c>
      <c r="G6286" s="18" t="s">
        <v>48</v>
      </c>
      <c r="H6286" s="24">
        <v>18450</v>
      </c>
      <c r="I6286" s="24">
        <f>T_reg.root.SK[[#This Row],[Volume, kg]]/1000</f>
        <v>18.45</v>
      </c>
      <c r="J6286" s="25">
        <v>0.19440000000000002</v>
      </c>
      <c r="K6286" s="25">
        <f t="shared" si="98"/>
        <v>3586.6800000000003</v>
      </c>
      <c r="L6286" s="25">
        <v>1.71</v>
      </c>
      <c r="M6286" s="24">
        <v>31493</v>
      </c>
      <c r="N6286" s="25">
        <f>IFERROR(T_reg.root.SK[[#This Row],[Price]]/T_reg.root.SK[[#This Row],[Starch content]],"")</f>
        <v>8.7962962962962958</v>
      </c>
    </row>
    <row r="6287" spans="1:14">
      <c r="A6287" s="21">
        <v>2025</v>
      </c>
      <c r="B6287" s="21" t="s">
        <v>24</v>
      </c>
      <c r="C6287" s="21" t="s">
        <v>1145</v>
      </c>
      <c r="D6287" s="21" t="s">
        <v>39</v>
      </c>
      <c r="E6287" s="17" t="s">
        <v>1050</v>
      </c>
      <c r="F6287" s="17" t="s">
        <v>1051</v>
      </c>
      <c r="G6287" s="18" t="s">
        <v>48</v>
      </c>
      <c r="H6287" s="24">
        <v>513430</v>
      </c>
      <c r="I6287" s="24">
        <f>T_reg.root.SK[[#This Row],[Volume, kg]]/1000</f>
        <v>513.42999999999995</v>
      </c>
      <c r="J6287" s="25">
        <v>0.24579999999999999</v>
      </c>
      <c r="K6287" s="25">
        <f t="shared" ref="K6287:K6350" si="99">H6287*J6287</f>
        <v>126201.094</v>
      </c>
      <c r="L6287" s="25">
        <v>2.5299999999999998</v>
      </c>
      <c r="M6287" s="24">
        <v>1300962</v>
      </c>
      <c r="N6287" s="25">
        <f>IFERROR(T_reg.root.SK[[#This Row],[Price]]/T_reg.root.SK[[#This Row],[Starch content]],"")</f>
        <v>10.292921074043937</v>
      </c>
    </row>
    <row r="6288" spans="1:14">
      <c r="A6288" s="21">
        <v>2025</v>
      </c>
      <c r="B6288" s="21" t="s">
        <v>24</v>
      </c>
      <c r="C6288" s="21" t="s">
        <v>1145</v>
      </c>
      <c r="D6288" s="21" t="s">
        <v>35</v>
      </c>
      <c r="E6288" s="17" t="s">
        <v>524</v>
      </c>
      <c r="F6288" s="17" t="s">
        <v>187</v>
      </c>
      <c r="G6288" s="18" t="s">
        <v>48</v>
      </c>
      <c r="H6288" s="24">
        <v>15150</v>
      </c>
      <c r="I6288" s="24">
        <f>T_reg.root.SK[[#This Row],[Volume, kg]]/1000</f>
        <v>15.15</v>
      </c>
      <c r="J6288" s="25">
        <v>0.2041</v>
      </c>
      <c r="K6288" s="25">
        <f t="shared" si="99"/>
        <v>3092.1150000000002</v>
      </c>
      <c r="L6288" s="25">
        <v>1.88</v>
      </c>
      <c r="M6288" s="24">
        <v>28414</v>
      </c>
      <c r="N6288" s="25">
        <f>IFERROR(T_reg.root.SK[[#This Row],[Price]]/T_reg.root.SK[[#This Row],[Starch content]],"")</f>
        <v>9.2111709946104838</v>
      </c>
    </row>
    <row r="6289" spans="1:14">
      <c r="A6289" s="21">
        <v>2025</v>
      </c>
      <c r="B6289" s="21" t="s">
        <v>24</v>
      </c>
      <c r="C6289" s="21" t="s">
        <v>1145</v>
      </c>
      <c r="D6289" s="21" t="s">
        <v>35</v>
      </c>
      <c r="E6289" s="17" t="s">
        <v>525</v>
      </c>
      <c r="F6289" s="17" t="s">
        <v>187</v>
      </c>
      <c r="G6289" s="18" t="s">
        <v>48</v>
      </c>
      <c r="H6289" s="24">
        <v>36900</v>
      </c>
      <c r="I6289" s="24">
        <f>T_reg.root.SK[[#This Row],[Volume, kg]]/1000</f>
        <v>36.9</v>
      </c>
      <c r="J6289" s="25">
        <v>0.25679999999999997</v>
      </c>
      <c r="K6289" s="25">
        <f t="shared" si="99"/>
        <v>9475.9199999999983</v>
      </c>
      <c r="L6289" s="25">
        <v>2.0699999999999998</v>
      </c>
      <c r="M6289" s="24">
        <v>76282</v>
      </c>
      <c r="N6289" s="25">
        <f>IFERROR(T_reg.root.SK[[#This Row],[Price]]/T_reg.root.SK[[#This Row],[Starch content]],"")</f>
        <v>8.0607476635514015</v>
      </c>
    </row>
    <row r="6290" spans="1:14">
      <c r="A6290" s="21">
        <v>2025</v>
      </c>
      <c r="B6290" s="21" t="s">
        <v>24</v>
      </c>
      <c r="C6290" s="21" t="s">
        <v>1145</v>
      </c>
      <c r="D6290" s="21" t="s">
        <v>35</v>
      </c>
      <c r="E6290" s="17" t="s">
        <v>949</v>
      </c>
      <c r="F6290" s="17" t="s">
        <v>105</v>
      </c>
      <c r="G6290" s="18" t="s">
        <v>48</v>
      </c>
      <c r="H6290" s="24">
        <v>22500</v>
      </c>
      <c r="I6290" s="24">
        <f>T_reg.root.SK[[#This Row],[Volume, kg]]/1000</f>
        <v>22.5</v>
      </c>
      <c r="J6290" s="25">
        <v>0.26860000000000001</v>
      </c>
      <c r="K6290" s="25">
        <f t="shared" si="99"/>
        <v>6043.5</v>
      </c>
      <c r="L6290" s="25">
        <v>2.1</v>
      </c>
      <c r="M6290" s="24">
        <v>47238.5</v>
      </c>
      <c r="N6290" s="25">
        <f>IFERROR(T_reg.root.SK[[#This Row],[Price]]/T_reg.root.SK[[#This Row],[Starch content]],"")</f>
        <v>7.8183172002978409</v>
      </c>
    </row>
    <row r="6291" spans="1:14">
      <c r="A6291" s="21">
        <v>2025</v>
      </c>
      <c r="B6291" s="21" t="s">
        <v>24</v>
      </c>
      <c r="C6291" s="21" t="s">
        <v>1145</v>
      </c>
      <c r="D6291" s="21" t="s">
        <v>35</v>
      </c>
      <c r="E6291" s="17" t="s">
        <v>591</v>
      </c>
      <c r="F6291" s="17" t="s">
        <v>187</v>
      </c>
      <c r="G6291" s="18" t="s">
        <v>48</v>
      </c>
      <c r="H6291" s="24">
        <v>3310</v>
      </c>
      <c r="I6291" s="24">
        <f>T_reg.root.SK[[#This Row],[Volume, kg]]/1000</f>
        <v>3.31</v>
      </c>
      <c r="J6291" s="25">
        <v>0.28199999999999997</v>
      </c>
      <c r="K6291" s="25">
        <f t="shared" si="99"/>
        <v>933.42</v>
      </c>
      <c r="L6291" s="25">
        <v>2.15</v>
      </c>
      <c r="M6291" s="24">
        <v>7116.5</v>
      </c>
      <c r="N6291" s="25">
        <f>IFERROR(T_reg.root.SK[[#This Row],[Price]]/T_reg.root.SK[[#This Row],[Starch content]],"")</f>
        <v>7.624113475177305</v>
      </c>
    </row>
    <row r="6292" spans="1:14">
      <c r="A6292" s="21">
        <v>2025</v>
      </c>
      <c r="B6292" s="21" t="s">
        <v>24</v>
      </c>
      <c r="C6292" s="21" t="s">
        <v>1145</v>
      </c>
      <c r="D6292" s="21" t="s">
        <v>35</v>
      </c>
      <c r="E6292" s="17" t="s">
        <v>491</v>
      </c>
      <c r="F6292" s="17" t="s">
        <v>105</v>
      </c>
      <c r="G6292" s="18" t="s">
        <v>48</v>
      </c>
      <c r="H6292" s="24">
        <v>11430</v>
      </c>
      <c r="I6292" s="24">
        <f>T_reg.root.SK[[#This Row],[Volume, kg]]/1000</f>
        <v>11.43</v>
      </c>
      <c r="J6292" s="25">
        <v>0.25090000000000001</v>
      </c>
      <c r="K6292" s="25">
        <f t="shared" si="99"/>
        <v>2867.7870000000003</v>
      </c>
      <c r="L6292" s="25">
        <v>2.1</v>
      </c>
      <c r="M6292" s="24">
        <v>24003</v>
      </c>
      <c r="N6292" s="25">
        <f>IFERROR(T_reg.root.SK[[#This Row],[Price]]/T_reg.root.SK[[#This Row],[Starch content]],"")</f>
        <v>8.3698684734954156</v>
      </c>
    </row>
    <row r="6293" spans="1:14">
      <c r="A6293" s="21">
        <v>2025</v>
      </c>
      <c r="B6293" s="21" t="s">
        <v>24</v>
      </c>
      <c r="C6293" s="21" t="s">
        <v>1145</v>
      </c>
      <c r="D6293" s="21" t="s">
        <v>35</v>
      </c>
      <c r="E6293" s="17" t="s">
        <v>764</v>
      </c>
      <c r="F6293" s="17" t="s">
        <v>47</v>
      </c>
      <c r="G6293" s="18" t="s">
        <v>48</v>
      </c>
      <c r="H6293" s="24">
        <v>37130</v>
      </c>
      <c r="I6293" s="24">
        <f>T_reg.root.SK[[#This Row],[Volume, kg]]/1000</f>
        <v>37.130000000000003</v>
      </c>
      <c r="J6293" s="25">
        <v>0.24480000000000002</v>
      </c>
      <c r="K6293" s="25">
        <f t="shared" si="99"/>
        <v>9089.4240000000009</v>
      </c>
      <c r="L6293" s="25">
        <v>1.95</v>
      </c>
      <c r="M6293" s="24">
        <v>72403.5</v>
      </c>
      <c r="N6293" s="25">
        <f>IFERROR(T_reg.root.SK[[#This Row],[Price]]/T_reg.root.SK[[#This Row],[Starch content]],"")</f>
        <v>7.9656862745098032</v>
      </c>
    </row>
    <row r="6294" spans="1:14">
      <c r="A6294" s="21">
        <v>2025</v>
      </c>
      <c r="B6294" s="21" t="s">
        <v>24</v>
      </c>
      <c r="C6294" s="21" t="s">
        <v>1145</v>
      </c>
      <c r="D6294" s="21" t="s">
        <v>35</v>
      </c>
      <c r="E6294" s="17" t="s">
        <v>1024</v>
      </c>
      <c r="F6294" s="17" t="s">
        <v>105</v>
      </c>
      <c r="G6294" s="18" t="s">
        <v>48</v>
      </c>
      <c r="H6294" s="24">
        <v>13810</v>
      </c>
      <c r="I6294" s="24">
        <f>T_reg.root.SK[[#This Row],[Volume, kg]]/1000</f>
        <v>13.81</v>
      </c>
      <c r="J6294" s="25">
        <v>0.26899999999999996</v>
      </c>
      <c r="K6294" s="25">
        <f t="shared" si="99"/>
        <v>3714.8899999999994</v>
      </c>
      <c r="L6294" s="25">
        <v>2.08</v>
      </c>
      <c r="M6294" s="24">
        <v>28735.5</v>
      </c>
      <c r="N6294" s="25">
        <f>IFERROR(T_reg.root.SK[[#This Row],[Price]]/T_reg.root.SK[[#This Row],[Starch content]],"")</f>
        <v>7.732342007434946</v>
      </c>
    </row>
    <row r="6295" spans="1:14">
      <c r="A6295" s="21">
        <v>2025</v>
      </c>
      <c r="B6295" s="21" t="s">
        <v>24</v>
      </c>
      <c r="C6295" s="21" t="s">
        <v>1145</v>
      </c>
      <c r="D6295" s="21" t="s">
        <v>35</v>
      </c>
      <c r="E6295" s="17" t="s">
        <v>199</v>
      </c>
      <c r="F6295" s="17" t="s">
        <v>187</v>
      </c>
      <c r="G6295" s="18" t="s">
        <v>48</v>
      </c>
      <c r="H6295" s="24">
        <v>15690</v>
      </c>
      <c r="I6295" s="24">
        <f>T_reg.root.SK[[#This Row],[Volume, kg]]/1000</f>
        <v>15.69</v>
      </c>
      <c r="J6295" s="25">
        <v>0.23350000000000001</v>
      </c>
      <c r="K6295" s="25">
        <f t="shared" si="99"/>
        <v>3663.6150000000002</v>
      </c>
      <c r="L6295" s="25">
        <v>2</v>
      </c>
      <c r="M6295" s="24">
        <v>31380</v>
      </c>
      <c r="N6295" s="25">
        <f>IFERROR(T_reg.root.SK[[#This Row],[Price]]/T_reg.root.SK[[#This Row],[Starch content]],"")</f>
        <v>8.5653104925053523</v>
      </c>
    </row>
    <row r="6296" spans="1:14">
      <c r="A6296" s="21">
        <v>2025</v>
      </c>
      <c r="B6296" s="21" t="s">
        <v>24</v>
      </c>
      <c r="C6296" s="21" t="s">
        <v>1145</v>
      </c>
      <c r="D6296" s="21" t="s">
        <v>35</v>
      </c>
      <c r="E6296" s="17" t="s">
        <v>136</v>
      </c>
      <c r="F6296" s="17" t="s">
        <v>105</v>
      </c>
      <c r="G6296" s="18" t="s">
        <v>48</v>
      </c>
      <c r="H6296" s="24">
        <v>30590</v>
      </c>
      <c r="I6296" s="24">
        <f>T_reg.root.SK[[#This Row],[Volume, kg]]/1000</f>
        <v>30.59</v>
      </c>
      <c r="J6296" s="25">
        <v>0.19620000000000001</v>
      </c>
      <c r="K6296" s="25">
        <f t="shared" si="99"/>
        <v>6001.7580000000007</v>
      </c>
      <c r="L6296" s="25">
        <v>1.75</v>
      </c>
      <c r="M6296" s="24">
        <v>53437.5</v>
      </c>
      <c r="N6296" s="25">
        <f>IFERROR(T_reg.root.SK[[#This Row],[Price]]/T_reg.root.SK[[#This Row],[Starch content]],"")</f>
        <v>8.91946992864424</v>
      </c>
    </row>
    <row r="6297" spans="1:14">
      <c r="A6297" s="21">
        <v>2025</v>
      </c>
      <c r="B6297" s="21" t="s">
        <v>24</v>
      </c>
      <c r="C6297" s="21" t="s">
        <v>1145</v>
      </c>
      <c r="D6297" s="21" t="s">
        <v>35</v>
      </c>
      <c r="E6297" s="17" t="s">
        <v>339</v>
      </c>
      <c r="F6297" s="17" t="s">
        <v>47</v>
      </c>
      <c r="G6297" s="18" t="s">
        <v>48</v>
      </c>
      <c r="H6297" s="24">
        <v>30760</v>
      </c>
      <c r="I6297" s="24">
        <f>T_reg.root.SK[[#This Row],[Volume, kg]]/1000</f>
        <v>30.76</v>
      </c>
      <c r="J6297" s="25">
        <v>0.2014</v>
      </c>
      <c r="K6297" s="25">
        <f t="shared" si="99"/>
        <v>6195.0640000000003</v>
      </c>
      <c r="L6297" s="25">
        <v>1.75</v>
      </c>
      <c r="M6297" s="24">
        <v>53830</v>
      </c>
      <c r="N6297" s="25">
        <f>IFERROR(T_reg.root.SK[[#This Row],[Price]]/T_reg.root.SK[[#This Row],[Starch content]],"")</f>
        <v>8.6891757696127119</v>
      </c>
    </row>
    <row r="6298" spans="1:14">
      <c r="A6298" s="21">
        <v>2025</v>
      </c>
      <c r="B6298" s="21" t="s">
        <v>24</v>
      </c>
      <c r="C6298" s="21" t="s">
        <v>1145</v>
      </c>
      <c r="D6298" s="21" t="s">
        <v>35</v>
      </c>
      <c r="E6298" s="17" t="s">
        <v>468</v>
      </c>
      <c r="F6298" s="17" t="s">
        <v>47</v>
      </c>
      <c r="G6298" s="18" t="s">
        <v>48</v>
      </c>
      <c r="H6298" s="24">
        <v>9800</v>
      </c>
      <c r="I6298" s="24">
        <f>T_reg.root.SK[[#This Row],[Volume, kg]]/1000</f>
        <v>9.8000000000000007</v>
      </c>
      <c r="J6298" s="25">
        <v>0.23300000000000001</v>
      </c>
      <c r="K6298" s="25">
        <f t="shared" si="99"/>
        <v>2283.4</v>
      </c>
      <c r="L6298" s="25">
        <v>1.85</v>
      </c>
      <c r="M6298" s="24">
        <v>18130</v>
      </c>
      <c r="N6298" s="25">
        <f>IFERROR(T_reg.root.SK[[#This Row],[Price]]/T_reg.root.SK[[#This Row],[Starch content]],"")</f>
        <v>7.9399141630901289</v>
      </c>
    </row>
    <row r="6299" spans="1:14">
      <c r="A6299" s="21">
        <v>2025</v>
      </c>
      <c r="B6299" s="21" t="s">
        <v>24</v>
      </c>
      <c r="C6299" s="21" t="s">
        <v>1145</v>
      </c>
      <c r="D6299" s="21" t="s">
        <v>35</v>
      </c>
      <c r="E6299" s="17" t="s">
        <v>303</v>
      </c>
      <c r="F6299" s="17" t="s">
        <v>105</v>
      </c>
      <c r="G6299" s="18" t="s">
        <v>48</v>
      </c>
      <c r="H6299" s="24">
        <v>5920</v>
      </c>
      <c r="I6299" s="24">
        <f>T_reg.root.SK[[#This Row],[Volume, kg]]/1000</f>
        <v>5.92</v>
      </c>
      <c r="J6299" s="25">
        <v>0.26750000000000002</v>
      </c>
      <c r="K6299" s="25">
        <f t="shared" si="99"/>
        <v>1583.6000000000001</v>
      </c>
      <c r="L6299" s="25">
        <v>2.1</v>
      </c>
      <c r="M6299" s="24">
        <v>12432</v>
      </c>
      <c r="N6299" s="25">
        <f>IFERROR(T_reg.root.SK[[#This Row],[Price]]/T_reg.root.SK[[#This Row],[Starch content]],"")</f>
        <v>7.8504672897196262</v>
      </c>
    </row>
    <row r="6300" spans="1:14">
      <c r="A6300" s="21">
        <v>2025</v>
      </c>
      <c r="B6300" s="21" t="s">
        <v>24</v>
      </c>
      <c r="C6300" s="21" t="s">
        <v>1145</v>
      </c>
      <c r="D6300" s="21" t="s">
        <v>35</v>
      </c>
      <c r="E6300" s="17" t="s">
        <v>304</v>
      </c>
      <c r="F6300" s="17" t="s">
        <v>105</v>
      </c>
      <c r="G6300" s="18" t="s">
        <v>48</v>
      </c>
      <c r="H6300" s="24">
        <v>95590</v>
      </c>
      <c r="I6300" s="24">
        <f>T_reg.root.SK[[#This Row],[Volume, kg]]/1000</f>
        <v>95.59</v>
      </c>
      <c r="J6300" s="25">
        <v>0.2248</v>
      </c>
      <c r="K6300" s="25">
        <f t="shared" si="99"/>
        <v>21488.632000000001</v>
      </c>
      <c r="L6300" s="25">
        <v>1.88</v>
      </c>
      <c r="M6300" s="24">
        <v>179430</v>
      </c>
      <c r="N6300" s="25">
        <f>IFERROR(T_reg.root.SK[[#This Row],[Price]]/T_reg.root.SK[[#This Row],[Starch content]],"")</f>
        <v>8.3629893238434168</v>
      </c>
    </row>
    <row r="6301" spans="1:14">
      <c r="A6301" s="21">
        <v>2025</v>
      </c>
      <c r="B6301" s="21" t="s">
        <v>24</v>
      </c>
      <c r="C6301" s="21" t="s">
        <v>1145</v>
      </c>
      <c r="D6301" s="21" t="s">
        <v>35</v>
      </c>
      <c r="E6301" s="17" t="s">
        <v>332</v>
      </c>
      <c r="F6301" s="17" t="s">
        <v>187</v>
      </c>
      <c r="G6301" s="18" t="s">
        <v>48</v>
      </c>
      <c r="H6301" s="24">
        <v>29570</v>
      </c>
      <c r="I6301" s="24">
        <f>T_reg.root.SK[[#This Row],[Volume, kg]]/1000</f>
        <v>29.57</v>
      </c>
      <c r="J6301" s="25">
        <v>0.2145</v>
      </c>
      <c r="K6301" s="25">
        <f t="shared" si="99"/>
        <v>6342.7650000000003</v>
      </c>
      <c r="L6301" s="25">
        <v>1.79</v>
      </c>
      <c r="M6301" s="24">
        <v>53036.5</v>
      </c>
      <c r="N6301" s="25">
        <f>IFERROR(T_reg.root.SK[[#This Row],[Price]]/T_reg.root.SK[[#This Row],[Starch content]],"")</f>
        <v>8.3449883449883462</v>
      </c>
    </row>
    <row r="6302" spans="1:14">
      <c r="A6302" s="21">
        <v>2025</v>
      </c>
      <c r="B6302" s="21" t="s">
        <v>24</v>
      </c>
      <c r="C6302" s="21" t="s">
        <v>1145</v>
      </c>
      <c r="D6302" s="21" t="s">
        <v>35</v>
      </c>
      <c r="E6302" s="17" t="s">
        <v>305</v>
      </c>
      <c r="F6302" s="17" t="s">
        <v>105</v>
      </c>
      <c r="G6302" s="18" t="s">
        <v>48</v>
      </c>
      <c r="H6302" s="24">
        <v>105120</v>
      </c>
      <c r="I6302" s="24">
        <f>T_reg.root.SK[[#This Row],[Volume, kg]]/1000</f>
        <v>105.12</v>
      </c>
      <c r="J6302" s="25">
        <v>0.21299999999999999</v>
      </c>
      <c r="K6302" s="25">
        <f t="shared" si="99"/>
        <v>22390.559999999998</v>
      </c>
      <c r="L6302" s="25">
        <v>1.91</v>
      </c>
      <c r="M6302" s="24">
        <v>200428</v>
      </c>
      <c r="N6302" s="25">
        <f>IFERROR(T_reg.root.SK[[#This Row],[Price]]/T_reg.root.SK[[#This Row],[Starch content]],"")</f>
        <v>8.967136150234742</v>
      </c>
    </row>
    <row r="6303" spans="1:14">
      <c r="A6303" s="21">
        <v>2025</v>
      </c>
      <c r="B6303" s="21" t="s">
        <v>24</v>
      </c>
      <c r="C6303" s="21" t="s">
        <v>1145</v>
      </c>
      <c r="D6303" s="21" t="s">
        <v>35</v>
      </c>
      <c r="E6303" s="17" t="s">
        <v>306</v>
      </c>
      <c r="F6303" s="17" t="s">
        <v>105</v>
      </c>
      <c r="G6303" s="18" t="s">
        <v>48</v>
      </c>
      <c r="H6303" s="24">
        <v>18160</v>
      </c>
      <c r="I6303" s="24">
        <f>T_reg.root.SK[[#This Row],[Volume, kg]]/1000</f>
        <v>18.16</v>
      </c>
      <c r="J6303" s="25">
        <v>0.20149999999999998</v>
      </c>
      <c r="K6303" s="25">
        <f t="shared" si="99"/>
        <v>3659.24</v>
      </c>
      <c r="L6303" s="25">
        <v>1.7</v>
      </c>
      <c r="M6303" s="24">
        <v>30872</v>
      </c>
      <c r="N6303" s="25">
        <f>IFERROR(T_reg.root.SK[[#This Row],[Price]]/T_reg.root.SK[[#This Row],[Starch content]],"")</f>
        <v>8.4367245657568244</v>
      </c>
    </row>
    <row r="6304" spans="1:14">
      <c r="A6304" s="21">
        <v>2025</v>
      </c>
      <c r="B6304" s="21" t="s">
        <v>24</v>
      </c>
      <c r="C6304" s="21" t="s">
        <v>1145</v>
      </c>
      <c r="D6304" s="21" t="s">
        <v>35</v>
      </c>
      <c r="E6304" s="17" t="s">
        <v>308</v>
      </c>
      <c r="F6304" s="17" t="s">
        <v>105</v>
      </c>
      <c r="G6304" s="18" t="s">
        <v>48</v>
      </c>
      <c r="H6304" s="24">
        <v>6280</v>
      </c>
      <c r="I6304" s="24">
        <f>T_reg.root.SK[[#This Row],[Volume, kg]]/1000</f>
        <v>6.28</v>
      </c>
      <c r="J6304" s="25">
        <v>0.20550000000000002</v>
      </c>
      <c r="K6304" s="25">
        <f t="shared" si="99"/>
        <v>1290.5400000000002</v>
      </c>
      <c r="L6304" s="25">
        <v>1.75</v>
      </c>
      <c r="M6304" s="24">
        <v>10990</v>
      </c>
      <c r="N6304" s="25">
        <f>IFERROR(T_reg.root.SK[[#This Row],[Price]]/T_reg.root.SK[[#This Row],[Starch content]],"")</f>
        <v>8.5158150851581507</v>
      </c>
    </row>
    <row r="6305" spans="1:14">
      <c r="A6305" s="21">
        <v>2025</v>
      </c>
      <c r="B6305" s="21" t="s">
        <v>24</v>
      </c>
      <c r="C6305" s="21" t="s">
        <v>1145</v>
      </c>
      <c r="D6305" s="21" t="s">
        <v>35</v>
      </c>
      <c r="E6305" s="17" t="s">
        <v>593</v>
      </c>
      <c r="F6305" s="17" t="s">
        <v>187</v>
      </c>
      <c r="G6305" s="18" t="s">
        <v>48</v>
      </c>
      <c r="H6305" s="24">
        <v>13270</v>
      </c>
      <c r="I6305" s="24">
        <f>T_reg.root.SK[[#This Row],[Volume, kg]]/1000</f>
        <v>13.27</v>
      </c>
      <c r="J6305" s="25">
        <v>0.16200000000000001</v>
      </c>
      <c r="K6305" s="25">
        <f t="shared" si="99"/>
        <v>2149.7400000000002</v>
      </c>
      <c r="L6305" s="25">
        <v>1.55</v>
      </c>
      <c r="M6305" s="24">
        <v>20568.5</v>
      </c>
      <c r="N6305" s="25">
        <f>IFERROR(T_reg.root.SK[[#This Row],[Price]]/T_reg.root.SK[[#This Row],[Starch content]],"")</f>
        <v>9.567901234567902</v>
      </c>
    </row>
    <row r="6306" spans="1:14">
      <c r="A6306" s="21">
        <v>2025</v>
      </c>
      <c r="B6306" s="21" t="s">
        <v>24</v>
      </c>
      <c r="C6306" s="21" t="s">
        <v>1145</v>
      </c>
      <c r="D6306" s="21" t="s">
        <v>35</v>
      </c>
      <c r="E6306" s="17" t="s">
        <v>756</v>
      </c>
      <c r="F6306" s="17" t="s">
        <v>105</v>
      </c>
      <c r="G6306" s="18" t="s">
        <v>48</v>
      </c>
      <c r="H6306" s="24">
        <v>6150</v>
      </c>
      <c r="I6306" s="24">
        <f>T_reg.root.SK[[#This Row],[Volume, kg]]/1000</f>
        <v>6.15</v>
      </c>
      <c r="J6306" s="25">
        <v>0.24</v>
      </c>
      <c r="K6306" s="25">
        <f t="shared" si="99"/>
        <v>1476</v>
      </c>
      <c r="L6306" s="25">
        <v>1.95</v>
      </c>
      <c r="M6306" s="24">
        <v>11992.5</v>
      </c>
      <c r="N6306" s="25">
        <f>IFERROR(T_reg.root.SK[[#This Row],[Price]]/T_reg.root.SK[[#This Row],[Starch content]],"")</f>
        <v>8.125</v>
      </c>
    </row>
    <row r="6307" spans="1:14">
      <c r="A6307" s="21">
        <v>2025</v>
      </c>
      <c r="B6307" s="21" t="s">
        <v>24</v>
      </c>
      <c r="C6307" s="21" t="s">
        <v>1145</v>
      </c>
      <c r="D6307" s="21" t="s">
        <v>35</v>
      </c>
      <c r="E6307" s="17" t="s">
        <v>204</v>
      </c>
      <c r="F6307" s="17" t="s">
        <v>187</v>
      </c>
      <c r="G6307" s="18" t="s">
        <v>48</v>
      </c>
      <c r="H6307" s="24">
        <v>11900</v>
      </c>
      <c r="I6307" s="24">
        <f>T_reg.root.SK[[#This Row],[Volume, kg]]/1000</f>
        <v>11.9</v>
      </c>
      <c r="J6307" s="25">
        <v>0.25819999999999999</v>
      </c>
      <c r="K6307" s="25">
        <f t="shared" si="99"/>
        <v>3072.58</v>
      </c>
      <c r="L6307" s="25">
        <v>2.1</v>
      </c>
      <c r="M6307" s="24">
        <v>24975</v>
      </c>
      <c r="N6307" s="25">
        <f>IFERROR(T_reg.root.SK[[#This Row],[Price]]/T_reg.root.SK[[#This Row],[Starch content]],"")</f>
        <v>8.133230054221535</v>
      </c>
    </row>
    <row r="6308" spans="1:14">
      <c r="A6308" s="21">
        <v>2025</v>
      </c>
      <c r="B6308" s="21" t="s">
        <v>24</v>
      </c>
      <c r="C6308" s="21" t="s">
        <v>1145</v>
      </c>
      <c r="D6308" s="21" t="s">
        <v>35</v>
      </c>
      <c r="E6308" s="17" t="s">
        <v>951</v>
      </c>
      <c r="F6308" s="17" t="s">
        <v>105</v>
      </c>
      <c r="G6308" s="18" t="s">
        <v>48</v>
      </c>
      <c r="H6308" s="24">
        <v>2870</v>
      </c>
      <c r="I6308" s="24">
        <f>T_reg.root.SK[[#This Row],[Volume, kg]]/1000</f>
        <v>2.87</v>
      </c>
      <c r="J6308" s="25">
        <v>0.1885</v>
      </c>
      <c r="K6308" s="25">
        <f t="shared" si="99"/>
        <v>540.995</v>
      </c>
      <c r="L6308" s="25">
        <v>1.7</v>
      </c>
      <c r="M6308" s="24">
        <v>4879</v>
      </c>
      <c r="N6308" s="25">
        <f>IFERROR(T_reg.root.SK[[#This Row],[Price]]/T_reg.root.SK[[#This Row],[Starch content]],"")</f>
        <v>9.0185676392572933</v>
      </c>
    </row>
    <row r="6309" spans="1:14">
      <c r="A6309" s="21">
        <v>2025</v>
      </c>
      <c r="B6309" s="21" t="s">
        <v>24</v>
      </c>
      <c r="C6309" s="21" t="s">
        <v>1145</v>
      </c>
      <c r="D6309" s="21" t="s">
        <v>35</v>
      </c>
      <c r="E6309" s="17" t="s">
        <v>309</v>
      </c>
      <c r="F6309" s="17" t="s">
        <v>105</v>
      </c>
      <c r="G6309" s="18" t="s">
        <v>48</v>
      </c>
      <c r="H6309" s="24">
        <v>7550</v>
      </c>
      <c r="I6309" s="24">
        <f>T_reg.root.SK[[#This Row],[Volume, kg]]/1000</f>
        <v>7.55</v>
      </c>
      <c r="J6309" s="25">
        <v>0.247</v>
      </c>
      <c r="K6309" s="25">
        <f t="shared" si="99"/>
        <v>1864.85</v>
      </c>
      <c r="L6309" s="25">
        <v>1.95</v>
      </c>
      <c r="M6309" s="24">
        <v>14722.5</v>
      </c>
      <c r="N6309" s="25">
        <f>IFERROR(T_reg.root.SK[[#This Row],[Price]]/T_reg.root.SK[[#This Row],[Starch content]],"")</f>
        <v>7.8947368421052628</v>
      </c>
    </row>
    <row r="6310" spans="1:14">
      <c r="A6310" s="21">
        <v>2025</v>
      </c>
      <c r="B6310" s="21" t="s">
        <v>24</v>
      </c>
      <c r="C6310" s="21" t="s">
        <v>1145</v>
      </c>
      <c r="D6310" s="21" t="s">
        <v>35</v>
      </c>
      <c r="E6310" s="17" t="s">
        <v>1025</v>
      </c>
      <c r="F6310" s="17" t="s">
        <v>95</v>
      </c>
      <c r="G6310" s="18" t="s">
        <v>48</v>
      </c>
      <c r="H6310" s="24">
        <v>137190</v>
      </c>
      <c r="I6310" s="24">
        <f>T_reg.root.SK[[#This Row],[Volume, kg]]/1000</f>
        <v>137.19</v>
      </c>
      <c r="J6310" s="25">
        <v>0.28139999999999998</v>
      </c>
      <c r="K6310" s="25">
        <f t="shared" si="99"/>
        <v>38605.265999999996</v>
      </c>
      <c r="L6310" s="25">
        <v>2.14</v>
      </c>
      <c r="M6310" s="24">
        <v>294172</v>
      </c>
      <c r="N6310" s="25">
        <f>IFERROR(T_reg.root.SK[[#This Row],[Price]]/T_reg.root.SK[[#This Row],[Starch content]],"")</f>
        <v>7.6048329779673072</v>
      </c>
    </row>
    <row r="6311" spans="1:14">
      <c r="A6311" s="21">
        <v>2025</v>
      </c>
      <c r="B6311" s="21" t="s">
        <v>24</v>
      </c>
      <c r="C6311" s="21" t="s">
        <v>1145</v>
      </c>
      <c r="D6311" s="21" t="s">
        <v>35</v>
      </c>
      <c r="E6311" s="17" t="s">
        <v>781</v>
      </c>
      <c r="F6311" s="17" t="s">
        <v>653</v>
      </c>
      <c r="G6311" s="18" t="s">
        <v>48</v>
      </c>
      <c r="H6311" s="24">
        <v>12350</v>
      </c>
      <c r="I6311" s="24">
        <f>T_reg.root.SK[[#This Row],[Volume, kg]]/1000</f>
        <v>12.35</v>
      </c>
      <c r="J6311" s="25">
        <v>0.20019999999999999</v>
      </c>
      <c r="K6311" s="25">
        <f t="shared" si="99"/>
        <v>2472.4699999999998</v>
      </c>
      <c r="L6311" s="25">
        <v>1.75</v>
      </c>
      <c r="M6311" s="24">
        <v>21612.5</v>
      </c>
      <c r="N6311" s="25">
        <f>IFERROR(T_reg.root.SK[[#This Row],[Price]]/T_reg.root.SK[[#This Row],[Starch content]],"")</f>
        <v>8.7412587412587417</v>
      </c>
    </row>
    <row r="6312" spans="1:14">
      <c r="A6312" s="21">
        <v>2025</v>
      </c>
      <c r="B6312" s="21" t="s">
        <v>24</v>
      </c>
      <c r="C6312" s="21" t="s">
        <v>1145</v>
      </c>
      <c r="D6312" s="21" t="s">
        <v>35</v>
      </c>
      <c r="E6312" s="17" t="s">
        <v>933</v>
      </c>
      <c r="F6312" s="17" t="s">
        <v>105</v>
      </c>
      <c r="G6312" s="18" t="s">
        <v>48</v>
      </c>
      <c r="H6312" s="24">
        <v>25890</v>
      </c>
      <c r="I6312" s="24">
        <f>T_reg.root.SK[[#This Row],[Volume, kg]]/1000</f>
        <v>25.89</v>
      </c>
      <c r="J6312" s="25">
        <v>0.2601</v>
      </c>
      <c r="K6312" s="25">
        <f t="shared" si="99"/>
        <v>6733.9889999999996</v>
      </c>
      <c r="L6312" s="25">
        <v>2.0499999999999998</v>
      </c>
      <c r="M6312" s="24">
        <v>53154</v>
      </c>
      <c r="N6312" s="25">
        <f>IFERROR(T_reg.root.SK[[#This Row],[Price]]/T_reg.root.SK[[#This Row],[Starch content]],"")</f>
        <v>7.8815840061514795</v>
      </c>
    </row>
    <row r="6313" spans="1:14">
      <c r="A6313" s="21">
        <v>2025</v>
      </c>
      <c r="B6313" s="21" t="s">
        <v>24</v>
      </c>
      <c r="C6313" s="21" t="s">
        <v>1145</v>
      </c>
      <c r="D6313" s="21" t="s">
        <v>35</v>
      </c>
      <c r="E6313" s="17" t="s">
        <v>497</v>
      </c>
      <c r="F6313" s="17" t="s">
        <v>105</v>
      </c>
      <c r="G6313" s="18" t="s">
        <v>48</v>
      </c>
      <c r="H6313" s="24">
        <v>36010</v>
      </c>
      <c r="I6313" s="24">
        <f>T_reg.root.SK[[#This Row],[Volume, kg]]/1000</f>
        <v>36.01</v>
      </c>
      <c r="J6313" s="25">
        <v>0.22510000000000002</v>
      </c>
      <c r="K6313" s="25">
        <f t="shared" si="99"/>
        <v>8105.8510000000006</v>
      </c>
      <c r="L6313" s="25">
        <v>1.9</v>
      </c>
      <c r="M6313" s="24">
        <v>68556</v>
      </c>
      <c r="N6313" s="25">
        <f>IFERROR(T_reg.root.SK[[#This Row],[Price]]/T_reg.root.SK[[#This Row],[Starch content]],"")</f>
        <v>8.4406930253220782</v>
      </c>
    </row>
    <row r="6314" spans="1:14">
      <c r="A6314" s="21">
        <v>2025</v>
      </c>
      <c r="B6314" s="21" t="s">
        <v>24</v>
      </c>
      <c r="C6314" s="21" t="s">
        <v>1145</v>
      </c>
      <c r="D6314" s="21" t="s">
        <v>35</v>
      </c>
      <c r="E6314" s="17" t="s">
        <v>310</v>
      </c>
      <c r="F6314" s="17" t="s">
        <v>105</v>
      </c>
      <c r="G6314" s="18" t="s">
        <v>48</v>
      </c>
      <c r="H6314" s="24">
        <v>40200</v>
      </c>
      <c r="I6314" s="24">
        <f>T_reg.root.SK[[#This Row],[Volume, kg]]/1000</f>
        <v>40.200000000000003</v>
      </c>
      <c r="J6314" s="25">
        <v>0.22239999999999999</v>
      </c>
      <c r="K6314" s="25">
        <f t="shared" si="99"/>
        <v>8940.48</v>
      </c>
      <c r="L6314" s="25">
        <v>1.87</v>
      </c>
      <c r="M6314" s="24">
        <v>74992.5</v>
      </c>
      <c r="N6314" s="25">
        <f>IFERROR(T_reg.root.SK[[#This Row],[Price]]/T_reg.root.SK[[#This Row],[Starch content]],"")</f>
        <v>8.4082733812949648</v>
      </c>
    </row>
    <row r="6315" spans="1:14">
      <c r="A6315" s="21">
        <v>2025</v>
      </c>
      <c r="B6315" s="21" t="s">
        <v>24</v>
      </c>
      <c r="C6315" s="21" t="s">
        <v>1145</v>
      </c>
      <c r="D6315" s="21" t="s">
        <v>35</v>
      </c>
      <c r="E6315" s="17" t="s">
        <v>248</v>
      </c>
      <c r="F6315" s="17" t="s">
        <v>105</v>
      </c>
      <c r="G6315" s="18" t="s">
        <v>48</v>
      </c>
      <c r="H6315" s="24">
        <v>9600</v>
      </c>
      <c r="I6315" s="24">
        <f>T_reg.root.SK[[#This Row],[Volume, kg]]/1000</f>
        <v>9.6</v>
      </c>
      <c r="J6315" s="25">
        <v>0.22210000000000002</v>
      </c>
      <c r="K6315" s="25">
        <f t="shared" si="99"/>
        <v>2132.1600000000003</v>
      </c>
      <c r="L6315" s="25">
        <v>1.86</v>
      </c>
      <c r="M6315" s="24">
        <v>17888</v>
      </c>
      <c r="N6315" s="25">
        <f>IFERROR(T_reg.root.SK[[#This Row],[Price]]/T_reg.root.SK[[#This Row],[Starch content]],"")</f>
        <v>8.3746060333183241</v>
      </c>
    </row>
    <row r="6316" spans="1:14">
      <c r="A6316" s="21">
        <v>2025</v>
      </c>
      <c r="B6316" s="21" t="s">
        <v>24</v>
      </c>
      <c r="C6316" s="21" t="s">
        <v>1145</v>
      </c>
      <c r="D6316" s="21" t="s">
        <v>35</v>
      </c>
      <c r="E6316" s="17" t="s">
        <v>469</v>
      </c>
      <c r="F6316" s="17" t="s">
        <v>47</v>
      </c>
      <c r="G6316" s="18" t="s">
        <v>48</v>
      </c>
      <c r="H6316" s="24">
        <v>8080</v>
      </c>
      <c r="I6316" s="24">
        <f>T_reg.root.SK[[#This Row],[Volume, kg]]/1000</f>
        <v>8.08</v>
      </c>
      <c r="J6316" s="25">
        <v>0.17449999999999999</v>
      </c>
      <c r="K6316" s="25">
        <f t="shared" si="99"/>
        <v>1409.9599999999998</v>
      </c>
      <c r="L6316" s="25">
        <v>1.6</v>
      </c>
      <c r="M6316" s="24">
        <v>12928</v>
      </c>
      <c r="N6316" s="25">
        <f>IFERROR(T_reg.root.SK[[#This Row],[Price]]/T_reg.root.SK[[#This Row],[Starch content]],"")</f>
        <v>9.1690544412607462</v>
      </c>
    </row>
    <row r="6317" spans="1:14">
      <c r="A6317" s="21">
        <v>2025</v>
      </c>
      <c r="B6317" s="21" t="s">
        <v>24</v>
      </c>
      <c r="C6317" s="21" t="s">
        <v>1145</v>
      </c>
      <c r="D6317" s="21" t="s">
        <v>35</v>
      </c>
      <c r="E6317" s="17" t="s">
        <v>143</v>
      </c>
      <c r="F6317" s="17" t="s">
        <v>105</v>
      </c>
      <c r="G6317" s="18" t="s">
        <v>48</v>
      </c>
      <c r="H6317" s="24">
        <v>16100</v>
      </c>
      <c r="I6317" s="24">
        <f>T_reg.root.SK[[#This Row],[Volume, kg]]/1000</f>
        <v>16.100000000000001</v>
      </c>
      <c r="J6317" s="25">
        <v>0.1845</v>
      </c>
      <c r="K6317" s="25">
        <f t="shared" si="99"/>
        <v>2970.45</v>
      </c>
      <c r="L6317" s="25">
        <v>1.66</v>
      </c>
      <c r="M6317" s="24">
        <v>26747</v>
      </c>
      <c r="N6317" s="25">
        <f>IFERROR(T_reg.root.SK[[#This Row],[Price]]/T_reg.root.SK[[#This Row],[Starch content]],"")</f>
        <v>8.9972899728997291</v>
      </c>
    </row>
    <row r="6318" spans="1:14">
      <c r="A6318" s="21">
        <v>2025</v>
      </c>
      <c r="B6318" s="21" t="s">
        <v>24</v>
      </c>
      <c r="C6318" s="21" t="s">
        <v>1145</v>
      </c>
      <c r="D6318" s="21" t="s">
        <v>35</v>
      </c>
      <c r="E6318" s="17" t="s">
        <v>659</v>
      </c>
      <c r="F6318" s="17" t="s">
        <v>47</v>
      </c>
      <c r="G6318" s="18" t="s">
        <v>48</v>
      </c>
      <c r="H6318" s="24">
        <v>29610</v>
      </c>
      <c r="I6318" s="24">
        <f>T_reg.root.SK[[#This Row],[Volume, kg]]/1000</f>
        <v>29.61</v>
      </c>
      <c r="J6318" s="25">
        <v>0.20250000000000001</v>
      </c>
      <c r="K6318" s="25">
        <f t="shared" si="99"/>
        <v>5996.0250000000005</v>
      </c>
      <c r="L6318" s="25">
        <v>1.83</v>
      </c>
      <c r="M6318" s="24">
        <v>54064.5</v>
      </c>
      <c r="N6318" s="25">
        <f>IFERROR(T_reg.root.SK[[#This Row],[Price]]/T_reg.root.SK[[#This Row],[Starch content]],"")</f>
        <v>9.0370370370370363</v>
      </c>
    </row>
    <row r="6319" spans="1:14">
      <c r="A6319" s="21">
        <v>2025</v>
      </c>
      <c r="B6319" s="21" t="s">
        <v>24</v>
      </c>
      <c r="C6319" s="21" t="s">
        <v>1145</v>
      </c>
      <c r="D6319" s="21" t="s">
        <v>35</v>
      </c>
      <c r="E6319" s="17" t="s">
        <v>144</v>
      </c>
      <c r="F6319" s="17" t="s">
        <v>105</v>
      </c>
      <c r="G6319" s="18" t="s">
        <v>48</v>
      </c>
      <c r="H6319" s="24">
        <v>17110</v>
      </c>
      <c r="I6319" s="24">
        <f>T_reg.root.SK[[#This Row],[Volume, kg]]/1000</f>
        <v>17.11</v>
      </c>
      <c r="J6319" s="25">
        <v>0.23949999999999999</v>
      </c>
      <c r="K6319" s="25">
        <f t="shared" si="99"/>
        <v>4097.8450000000003</v>
      </c>
      <c r="L6319" s="25">
        <v>1.95</v>
      </c>
      <c r="M6319" s="24">
        <v>33364.5</v>
      </c>
      <c r="N6319" s="25">
        <f>IFERROR(T_reg.root.SK[[#This Row],[Price]]/T_reg.root.SK[[#This Row],[Starch content]],"")</f>
        <v>8.1419624217119004</v>
      </c>
    </row>
    <row r="6320" spans="1:14">
      <c r="A6320" s="21">
        <v>2025</v>
      </c>
      <c r="B6320" s="21" t="s">
        <v>24</v>
      </c>
      <c r="C6320" s="21" t="s">
        <v>1145</v>
      </c>
      <c r="D6320" s="21" t="s">
        <v>35</v>
      </c>
      <c r="E6320" s="17" t="s">
        <v>146</v>
      </c>
      <c r="F6320" s="17" t="s">
        <v>105</v>
      </c>
      <c r="G6320" s="18" t="s">
        <v>48</v>
      </c>
      <c r="H6320" s="24">
        <v>165650</v>
      </c>
      <c r="I6320" s="24">
        <f>T_reg.root.SK[[#This Row],[Volume, kg]]/1000</f>
        <v>165.65</v>
      </c>
      <c r="J6320" s="25">
        <v>0.2051</v>
      </c>
      <c r="K6320" s="25">
        <f t="shared" si="99"/>
        <v>33974.815000000002</v>
      </c>
      <c r="L6320" s="25">
        <v>1.8</v>
      </c>
      <c r="M6320" s="24">
        <v>298138.5</v>
      </c>
      <c r="N6320" s="25">
        <f>IFERROR(T_reg.root.SK[[#This Row],[Price]]/T_reg.root.SK[[#This Row],[Starch content]],"")</f>
        <v>8.7762067284251586</v>
      </c>
    </row>
    <row r="6321" spans="1:14">
      <c r="A6321" s="21">
        <v>2025</v>
      </c>
      <c r="B6321" s="21" t="s">
        <v>24</v>
      </c>
      <c r="C6321" s="21" t="s">
        <v>1145</v>
      </c>
      <c r="D6321" s="21" t="s">
        <v>35</v>
      </c>
      <c r="E6321" s="17" t="s">
        <v>1039</v>
      </c>
      <c r="F6321" s="17" t="s">
        <v>105</v>
      </c>
      <c r="G6321" s="18" t="s">
        <v>48</v>
      </c>
      <c r="H6321" s="24">
        <v>20870</v>
      </c>
      <c r="I6321" s="24">
        <f>T_reg.root.SK[[#This Row],[Volume, kg]]/1000</f>
        <v>20.87</v>
      </c>
      <c r="J6321" s="25">
        <v>0.2273</v>
      </c>
      <c r="K6321" s="25">
        <f t="shared" si="99"/>
        <v>4743.7510000000002</v>
      </c>
      <c r="L6321" s="25">
        <v>1.99</v>
      </c>
      <c r="M6321" s="24">
        <v>41463.5</v>
      </c>
      <c r="N6321" s="25">
        <f>IFERROR(T_reg.root.SK[[#This Row],[Price]]/T_reg.root.SK[[#This Row],[Starch content]],"")</f>
        <v>8.7549494060712707</v>
      </c>
    </row>
    <row r="6322" spans="1:14">
      <c r="A6322" s="21">
        <v>2025</v>
      </c>
      <c r="B6322" s="21" t="s">
        <v>24</v>
      </c>
      <c r="C6322" s="21" t="s">
        <v>1145</v>
      </c>
      <c r="D6322" s="21" t="s">
        <v>35</v>
      </c>
      <c r="E6322" s="17" t="s">
        <v>66</v>
      </c>
      <c r="F6322" s="17" t="s">
        <v>47</v>
      </c>
      <c r="G6322" s="18" t="s">
        <v>48</v>
      </c>
      <c r="H6322" s="24">
        <v>29390</v>
      </c>
      <c r="I6322" s="24">
        <f>T_reg.root.SK[[#This Row],[Volume, kg]]/1000</f>
        <v>29.39</v>
      </c>
      <c r="J6322" s="25">
        <v>0.22739999999999999</v>
      </c>
      <c r="K6322" s="25">
        <f t="shared" si="99"/>
        <v>6683.2860000000001</v>
      </c>
      <c r="L6322" s="25">
        <v>1.95</v>
      </c>
      <c r="M6322" s="24">
        <v>57304.5</v>
      </c>
      <c r="N6322" s="25">
        <f>IFERROR(T_reg.root.SK[[#This Row],[Price]]/T_reg.root.SK[[#This Row],[Starch content]],"")</f>
        <v>8.5751978891820588</v>
      </c>
    </row>
    <row r="6323" spans="1:14">
      <c r="A6323" s="21">
        <v>2025</v>
      </c>
      <c r="B6323" s="21" t="s">
        <v>24</v>
      </c>
      <c r="C6323" s="21" t="s">
        <v>1145</v>
      </c>
      <c r="D6323" s="21" t="s">
        <v>35</v>
      </c>
      <c r="E6323" s="17" t="s">
        <v>688</v>
      </c>
      <c r="F6323" s="17" t="s">
        <v>187</v>
      </c>
      <c r="G6323" s="18" t="s">
        <v>48</v>
      </c>
      <c r="H6323" s="24">
        <v>4570</v>
      </c>
      <c r="I6323" s="24">
        <f>T_reg.root.SK[[#This Row],[Volume, kg]]/1000</f>
        <v>4.57</v>
      </c>
      <c r="J6323" s="25">
        <v>0.20449999999999999</v>
      </c>
      <c r="K6323" s="25">
        <f t="shared" si="99"/>
        <v>934.56499999999994</v>
      </c>
      <c r="L6323" s="25">
        <v>1.7</v>
      </c>
      <c r="M6323" s="24">
        <v>7769</v>
      </c>
      <c r="N6323" s="25">
        <f>IFERROR(T_reg.root.SK[[#This Row],[Price]]/T_reg.root.SK[[#This Row],[Starch content]],"")</f>
        <v>8.3129584352078236</v>
      </c>
    </row>
    <row r="6324" spans="1:14">
      <c r="A6324" s="21">
        <v>2025</v>
      </c>
      <c r="B6324" s="21" t="s">
        <v>24</v>
      </c>
      <c r="C6324" s="21" t="s">
        <v>1145</v>
      </c>
      <c r="D6324" s="21" t="s">
        <v>35</v>
      </c>
      <c r="E6324" s="17" t="s">
        <v>1005</v>
      </c>
      <c r="F6324" s="17" t="s">
        <v>105</v>
      </c>
      <c r="G6324" s="18" t="s">
        <v>48</v>
      </c>
      <c r="H6324" s="24">
        <v>21780</v>
      </c>
      <c r="I6324" s="24">
        <f>T_reg.root.SK[[#This Row],[Volume, kg]]/1000</f>
        <v>21.78</v>
      </c>
      <c r="J6324" s="25">
        <v>0.25</v>
      </c>
      <c r="K6324" s="25">
        <f t="shared" si="99"/>
        <v>5445</v>
      </c>
      <c r="L6324" s="25">
        <v>2.08</v>
      </c>
      <c r="M6324" s="24">
        <v>45325.5</v>
      </c>
      <c r="N6324" s="25">
        <f>IFERROR(T_reg.root.SK[[#This Row],[Price]]/T_reg.root.SK[[#This Row],[Starch content]],"")</f>
        <v>8.32</v>
      </c>
    </row>
    <row r="6325" spans="1:14">
      <c r="A6325" s="21">
        <v>2025</v>
      </c>
      <c r="B6325" s="21" t="s">
        <v>24</v>
      </c>
      <c r="C6325" s="21" t="s">
        <v>1145</v>
      </c>
      <c r="D6325" s="21" t="s">
        <v>39</v>
      </c>
      <c r="E6325" s="17" t="s">
        <v>1040</v>
      </c>
      <c r="F6325" s="17" t="s">
        <v>283</v>
      </c>
      <c r="G6325" s="18" t="s">
        <v>48</v>
      </c>
      <c r="H6325" s="24">
        <v>893220</v>
      </c>
      <c r="I6325" s="24">
        <f>T_reg.root.SK[[#This Row],[Volume, kg]]/1000</f>
        <v>893.22</v>
      </c>
      <c r="J6325" s="25">
        <v>0.2079</v>
      </c>
      <c r="K6325" s="25">
        <f t="shared" si="99"/>
        <v>185700.43799999999</v>
      </c>
      <c r="L6325" s="25">
        <v>2.23</v>
      </c>
      <c r="M6325" s="24">
        <v>1995232.5</v>
      </c>
      <c r="N6325" s="25">
        <f>IFERROR(T_reg.root.SK[[#This Row],[Price]]/T_reg.root.SK[[#This Row],[Starch content]],"")</f>
        <v>10.726310726310727</v>
      </c>
    </row>
    <row r="6326" spans="1:14">
      <c r="A6326" s="21">
        <v>2025</v>
      </c>
      <c r="B6326" s="21" t="s">
        <v>24</v>
      </c>
      <c r="C6326" s="21" t="s">
        <v>1145</v>
      </c>
      <c r="D6326" s="21" t="s">
        <v>35</v>
      </c>
      <c r="E6326" s="17" t="s">
        <v>148</v>
      </c>
      <c r="F6326" s="17" t="s">
        <v>105</v>
      </c>
      <c r="G6326" s="18" t="s">
        <v>48</v>
      </c>
      <c r="H6326" s="24">
        <v>91400</v>
      </c>
      <c r="I6326" s="24">
        <f>T_reg.root.SK[[#This Row],[Volume, kg]]/1000</f>
        <v>91.4</v>
      </c>
      <c r="J6326" s="25">
        <v>0.1978</v>
      </c>
      <c r="K6326" s="25">
        <f t="shared" si="99"/>
        <v>18078.920000000002</v>
      </c>
      <c r="L6326" s="25">
        <v>1.76</v>
      </c>
      <c r="M6326" s="24">
        <v>160643.5</v>
      </c>
      <c r="N6326" s="25">
        <f>IFERROR(T_reg.root.SK[[#This Row],[Price]]/T_reg.root.SK[[#This Row],[Starch content]],"")</f>
        <v>8.8978766430738112</v>
      </c>
    </row>
    <row r="6327" spans="1:14">
      <c r="A6327" s="21">
        <v>2025</v>
      </c>
      <c r="B6327" s="21" t="s">
        <v>24</v>
      </c>
      <c r="C6327" s="21" t="s">
        <v>1145</v>
      </c>
      <c r="D6327" s="21" t="s">
        <v>35</v>
      </c>
      <c r="E6327" s="17" t="s">
        <v>268</v>
      </c>
      <c r="F6327" s="17" t="s">
        <v>187</v>
      </c>
      <c r="G6327" s="18" t="s">
        <v>48</v>
      </c>
      <c r="H6327" s="24">
        <v>18060</v>
      </c>
      <c r="I6327" s="24">
        <f>T_reg.root.SK[[#This Row],[Volume, kg]]/1000</f>
        <v>18.059999999999999</v>
      </c>
      <c r="J6327" s="25">
        <v>0.19500000000000001</v>
      </c>
      <c r="K6327" s="25">
        <f t="shared" si="99"/>
        <v>3521.7000000000003</v>
      </c>
      <c r="L6327" s="25">
        <v>1.68</v>
      </c>
      <c r="M6327" s="24">
        <v>30399.5</v>
      </c>
      <c r="N6327" s="25">
        <f>IFERROR(T_reg.root.SK[[#This Row],[Price]]/T_reg.root.SK[[#This Row],[Starch content]],"")</f>
        <v>8.615384615384615</v>
      </c>
    </row>
    <row r="6328" spans="1:14">
      <c r="A6328" s="21">
        <v>2025</v>
      </c>
      <c r="B6328" s="21" t="s">
        <v>24</v>
      </c>
      <c r="C6328" s="21" t="s">
        <v>1145</v>
      </c>
      <c r="D6328" s="21" t="s">
        <v>35</v>
      </c>
      <c r="E6328" s="17" t="s">
        <v>595</v>
      </c>
      <c r="F6328" s="17" t="s">
        <v>187</v>
      </c>
      <c r="G6328" s="18" t="s">
        <v>48</v>
      </c>
      <c r="H6328" s="24">
        <v>31620</v>
      </c>
      <c r="I6328" s="24">
        <f>T_reg.root.SK[[#This Row],[Volume, kg]]/1000</f>
        <v>31.62</v>
      </c>
      <c r="J6328" s="25">
        <v>0.25519999999999998</v>
      </c>
      <c r="K6328" s="25">
        <f t="shared" si="99"/>
        <v>8069.4239999999991</v>
      </c>
      <c r="L6328" s="25">
        <v>2.0099999999999998</v>
      </c>
      <c r="M6328" s="24">
        <v>63489.5</v>
      </c>
      <c r="N6328" s="25">
        <f>IFERROR(T_reg.root.SK[[#This Row],[Price]]/T_reg.root.SK[[#This Row],[Starch content]],"")</f>
        <v>7.876175548589341</v>
      </c>
    </row>
    <row r="6329" spans="1:14">
      <c r="A6329" s="21">
        <v>2025</v>
      </c>
      <c r="B6329" s="21" t="s">
        <v>24</v>
      </c>
      <c r="C6329" s="21" t="s">
        <v>1145</v>
      </c>
      <c r="D6329" s="21" t="s">
        <v>35</v>
      </c>
      <c r="E6329" s="17" t="s">
        <v>253</v>
      </c>
      <c r="F6329" s="17" t="s">
        <v>105</v>
      </c>
      <c r="G6329" s="18" t="s">
        <v>48</v>
      </c>
      <c r="H6329" s="24">
        <v>5370</v>
      </c>
      <c r="I6329" s="24">
        <f>T_reg.root.SK[[#This Row],[Volume, kg]]/1000</f>
        <v>5.37</v>
      </c>
      <c r="J6329" s="25">
        <v>0.2555</v>
      </c>
      <c r="K6329" s="25">
        <f t="shared" si="99"/>
        <v>1372.0350000000001</v>
      </c>
      <c r="L6329" s="25">
        <v>2.15</v>
      </c>
      <c r="M6329" s="24">
        <v>11545.5</v>
      </c>
      <c r="N6329" s="25">
        <f>IFERROR(T_reg.root.SK[[#This Row],[Price]]/T_reg.root.SK[[#This Row],[Starch content]],"")</f>
        <v>8.4148727984344411</v>
      </c>
    </row>
    <row r="6330" spans="1:14">
      <c r="A6330" s="21">
        <v>2025</v>
      </c>
      <c r="B6330" s="21" t="s">
        <v>24</v>
      </c>
      <c r="C6330" s="21" t="s">
        <v>1145</v>
      </c>
      <c r="D6330" s="21" t="s">
        <v>35</v>
      </c>
      <c r="E6330" s="17" t="s">
        <v>314</v>
      </c>
      <c r="F6330" s="17" t="s">
        <v>105</v>
      </c>
      <c r="G6330" s="18" t="s">
        <v>48</v>
      </c>
      <c r="H6330" s="24">
        <v>16990</v>
      </c>
      <c r="I6330" s="24">
        <f>T_reg.root.SK[[#This Row],[Volume, kg]]/1000</f>
        <v>16.989999999999998</v>
      </c>
      <c r="J6330" s="25">
        <v>0.2452</v>
      </c>
      <c r="K6330" s="25">
        <f t="shared" si="99"/>
        <v>4165.9480000000003</v>
      </c>
      <c r="L6330" s="25">
        <v>2.02</v>
      </c>
      <c r="M6330" s="24">
        <v>34250.5</v>
      </c>
      <c r="N6330" s="25">
        <f>IFERROR(T_reg.root.SK[[#This Row],[Price]]/T_reg.root.SK[[#This Row],[Starch content]],"")</f>
        <v>8.2381729200652529</v>
      </c>
    </row>
    <row r="6331" spans="1:14">
      <c r="A6331" s="21">
        <v>2025</v>
      </c>
      <c r="B6331" s="21" t="s">
        <v>24</v>
      </c>
      <c r="C6331" s="21" t="s">
        <v>1145</v>
      </c>
      <c r="D6331" s="21" t="s">
        <v>35</v>
      </c>
      <c r="E6331" s="17" t="s">
        <v>150</v>
      </c>
      <c r="F6331" s="17" t="s">
        <v>105</v>
      </c>
      <c r="G6331" s="18" t="s">
        <v>48</v>
      </c>
      <c r="H6331" s="24">
        <v>26140</v>
      </c>
      <c r="I6331" s="24">
        <f>T_reg.root.SK[[#This Row],[Volume, kg]]/1000</f>
        <v>26.14</v>
      </c>
      <c r="J6331" s="25">
        <v>0.25459999999999999</v>
      </c>
      <c r="K6331" s="25">
        <f t="shared" si="99"/>
        <v>6655.2439999999997</v>
      </c>
      <c r="L6331" s="25">
        <v>2.0099999999999998</v>
      </c>
      <c r="M6331" s="24">
        <v>52654.5</v>
      </c>
      <c r="N6331" s="25">
        <f>IFERROR(T_reg.root.SK[[#This Row],[Price]]/T_reg.root.SK[[#This Row],[Starch content]],"")</f>
        <v>7.8947368421052628</v>
      </c>
    </row>
    <row r="6332" spans="1:14">
      <c r="A6332" s="21">
        <v>2025</v>
      </c>
      <c r="B6332" s="21" t="s">
        <v>24</v>
      </c>
      <c r="C6332" s="21" t="s">
        <v>1145</v>
      </c>
      <c r="D6332" s="21" t="s">
        <v>35</v>
      </c>
      <c r="E6332" s="17" t="s">
        <v>570</v>
      </c>
      <c r="F6332" s="17" t="s">
        <v>105</v>
      </c>
      <c r="G6332" s="18" t="s">
        <v>48</v>
      </c>
      <c r="H6332" s="24">
        <v>13500</v>
      </c>
      <c r="I6332" s="24">
        <f>T_reg.root.SK[[#This Row],[Volume, kg]]/1000</f>
        <v>13.5</v>
      </c>
      <c r="J6332" s="25">
        <v>0.19600000000000001</v>
      </c>
      <c r="K6332" s="25">
        <f t="shared" si="99"/>
        <v>2646</v>
      </c>
      <c r="L6332" s="25">
        <v>1.7</v>
      </c>
      <c r="M6332" s="24">
        <v>22950</v>
      </c>
      <c r="N6332" s="25">
        <f>IFERROR(T_reg.root.SK[[#This Row],[Price]]/T_reg.root.SK[[#This Row],[Starch content]],"")</f>
        <v>8.6734693877551017</v>
      </c>
    </row>
    <row r="6333" spans="1:14">
      <c r="A6333" s="21">
        <v>2025</v>
      </c>
      <c r="B6333" s="21" t="s">
        <v>24</v>
      </c>
      <c r="C6333" s="21" t="s">
        <v>1145</v>
      </c>
      <c r="D6333" s="21" t="s">
        <v>35</v>
      </c>
      <c r="E6333" s="17" t="s">
        <v>151</v>
      </c>
      <c r="F6333" s="17" t="s">
        <v>105</v>
      </c>
      <c r="G6333" s="18" t="s">
        <v>48</v>
      </c>
      <c r="H6333" s="24">
        <v>55770</v>
      </c>
      <c r="I6333" s="24">
        <f>T_reg.root.SK[[#This Row],[Volume, kg]]/1000</f>
        <v>55.77</v>
      </c>
      <c r="J6333" s="25">
        <v>0.25209999999999999</v>
      </c>
      <c r="K6333" s="25">
        <f t="shared" si="99"/>
        <v>14059.617</v>
      </c>
      <c r="L6333" s="25">
        <v>2.04</v>
      </c>
      <c r="M6333" s="24">
        <v>113783.5</v>
      </c>
      <c r="N6333" s="25">
        <f>IFERROR(T_reg.root.SK[[#This Row],[Price]]/T_reg.root.SK[[#This Row],[Starch content]],"")</f>
        <v>8.0920269734232448</v>
      </c>
    </row>
    <row r="6334" spans="1:14">
      <c r="A6334" s="21">
        <v>2025</v>
      </c>
      <c r="B6334" s="21" t="s">
        <v>24</v>
      </c>
      <c r="C6334" s="21" t="s">
        <v>1145</v>
      </c>
      <c r="D6334" s="21" t="s">
        <v>35</v>
      </c>
      <c r="E6334" s="17" t="s">
        <v>316</v>
      </c>
      <c r="F6334" s="17" t="s">
        <v>105</v>
      </c>
      <c r="G6334" s="18" t="s">
        <v>48</v>
      </c>
      <c r="H6334" s="24">
        <v>6300</v>
      </c>
      <c r="I6334" s="24">
        <f>T_reg.root.SK[[#This Row],[Volume, kg]]/1000</f>
        <v>6.3</v>
      </c>
      <c r="J6334" s="25">
        <v>0.20850000000000002</v>
      </c>
      <c r="K6334" s="25">
        <f t="shared" si="99"/>
        <v>1313.5500000000002</v>
      </c>
      <c r="L6334" s="25">
        <v>1.8</v>
      </c>
      <c r="M6334" s="24">
        <v>11340</v>
      </c>
      <c r="N6334" s="25">
        <f>IFERROR(T_reg.root.SK[[#This Row],[Price]]/T_reg.root.SK[[#This Row],[Starch content]],"")</f>
        <v>8.6330935251798557</v>
      </c>
    </row>
    <row r="6335" spans="1:14">
      <c r="A6335" s="21">
        <v>2025</v>
      </c>
      <c r="B6335" s="21" t="s">
        <v>24</v>
      </c>
      <c r="C6335" s="21" t="s">
        <v>1145</v>
      </c>
      <c r="D6335" s="21" t="s">
        <v>35</v>
      </c>
      <c r="E6335" s="17" t="s">
        <v>155</v>
      </c>
      <c r="F6335" s="17" t="s">
        <v>105</v>
      </c>
      <c r="G6335" s="18" t="s">
        <v>48</v>
      </c>
      <c r="H6335" s="24">
        <v>14110</v>
      </c>
      <c r="I6335" s="24">
        <f>T_reg.root.SK[[#This Row],[Volume, kg]]/1000</f>
        <v>14.11</v>
      </c>
      <c r="J6335" s="25">
        <v>0.23670000000000002</v>
      </c>
      <c r="K6335" s="25">
        <f t="shared" si="99"/>
        <v>3339.8370000000004</v>
      </c>
      <c r="L6335" s="25">
        <v>1.93</v>
      </c>
      <c r="M6335" s="24">
        <v>27224.5</v>
      </c>
      <c r="N6335" s="25">
        <f>IFERROR(T_reg.root.SK[[#This Row],[Price]]/T_reg.root.SK[[#This Row],[Starch content]],"")</f>
        <v>8.1537811575834382</v>
      </c>
    </row>
    <row r="6336" spans="1:14">
      <c r="A6336" s="21">
        <v>2025</v>
      </c>
      <c r="B6336" s="21" t="s">
        <v>24</v>
      </c>
      <c r="C6336" s="21" t="s">
        <v>1145</v>
      </c>
      <c r="D6336" s="21" t="s">
        <v>39</v>
      </c>
      <c r="E6336" s="17" t="s">
        <v>552</v>
      </c>
      <c r="F6336" s="17" t="s">
        <v>95</v>
      </c>
      <c r="G6336" s="18" t="s">
        <v>48</v>
      </c>
      <c r="H6336" s="24">
        <v>4702070</v>
      </c>
      <c r="I6336" s="24">
        <f>T_reg.root.SK[[#This Row],[Volume, kg]]/1000</f>
        <v>4702.07</v>
      </c>
      <c r="J6336" s="25">
        <v>0.2281</v>
      </c>
      <c r="K6336" s="25">
        <f t="shared" si="99"/>
        <v>1072542.1669999999</v>
      </c>
      <c r="L6336" s="25">
        <v>2.34</v>
      </c>
      <c r="M6336" s="24">
        <v>11014819</v>
      </c>
      <c r="N6336" s="25">
        <f>IFERROR(T_reg.root.SK[[#This Row],[Price]]/T_reg.root.SK[[#This Row],[Starch content]],"")</f>
        <v>10.258658483121437</v>
      </c>
    </row>
    <row r="6337" spans="1:14">
      <c r="A6337" s="21">
        <v>2025</v>
      </c>
      <c r="B6337" s="21" t="s">
        <v>24</v>
      </c>
      <c r="C6337" s="21" t="s">
        <v>1145</v>
      </c>
      <c r="D6337" s="21" t="s">
        <v>35</v>
      </c>
      <c r="E6337" s="17" t="s">
        <v>597</v>
      </c>
      <c r="F6337" s="17" t="s">
        <v>187</v>
      </c>
      <c r="G6337" s="18" t="s">
        <v>48</v>
      </c>
      <c r="H6337" s="24">
        <v>7940</v>
      </c>
      <c r="I6337" s="24">
        <f>T_reg.root.SK[[#This Row],[Volume, kg]]/1000</f>
        <v>7.94</v>
      </c>
      <c r="J6337" s="25">
        <v>0.20860000000000001</v>
      </c>
      <c r="K6337" s="25">
        <f t="shared" si="99"/>
        <v>1656.2840000000001</v>
      </c>
      <c r="L6337" s="25">
        <v>1.74</v>
      </c>
      <c r="M6337" s="24">
        <v>13824</v>
      </c>
      <c r="N6337" s="25">
        <f>IFERROR(T_reg.root.SK[[#This Row],[Price]]/T_reg.root.SK[[#This Row],[Starch content]],"")</f>
        <v>8.3413231064237774</v>
      </c>
    </row>
    <row r="6338" spans="1:14">
      <c r="A6338" s="21">
        <v>2025</v>
      </c>
      <c r="B6338" s="21" t="s">
        <v>24</v>
      </c>
      <c r="C6338" s="21" t="s">
        <v>1145</v>
      </c>
      <c r="D6338" s="21" t="s">
        <v>35</v>
      </c>
      <c r="E6338" s="17" t="s">
        <v>934</v>
      </c>
      <c r="F6338" s="17" t="s">
        <v>105</v>
      </c>
      <c r="G6338" s="18" t="s">
        <v>48</v>
      </c>
      <c r="H6338" s="24">
        <v>4140</v>
      </c>
      <c r="I6338" s="24">
        <f>T_reg.root.SK[[#This Row],[Volume, kg]]/1000</f>
        <v>4.1399999999999997</v>
      </c>
      <c r="J6338" s="25">
        <v>0.19800000000000001</v>
      </c>
      <c r="K6338" s="25">
        <f t="shared" si="99"/>
        <v>819.72</v>
      </c>
      <c r="L6338" s="25">
        <v>1.75</v>
      </c>
      <c r="M6338" s="24">
        <v>7245</v>
      </c>
      <c r="N6338" s="25">
        <f>IFERROR(T_reg.root.SK[[#This Row],[Price]]/T_reg.root.SK[[#This Row],[Starch content]],"")</f>
        <v>8.8383838383838373</v>
      </c>
    </row>
    <row r="6339" spans="1:14">
      <c r="A6339" s="21">
        <v>2025</v>
      </c>
      <c r="B6339" s="21" t="s">
        <v>24</v>
      </c>
      <c r="C6339" s="21" t="s">
        <v>1145</v>
      </c>
      <c r="D6339" s="21" t="s">
        <v>35</v>
      </c>
      <c r="E6339" s="17" t="s">
        <v>159</v>
      </c>
      <c r="F6339" s="17" t="s">
        <v>105</v>
      </c>
      <c r="G6339" s="18" t="s">
        <v>48</v>
      </c>
      <c r="H6339" s="24">
        <v>29670</v>
      </c>
      <c r="I6339" s="24">
        <f>T_reg.root.SK[[#This Row],[Volume, kg]]/1000</f>
        <v>29.67</v>
      </c>
      <c r="J6339" s="25">
        <v>0.23850000000000002</v>
      </c>
      <c r="K6339" s="25">
        <f t="shared" si="99"/>
        <v>7076.2950000000001</v>
      </c>
      <c r="L6339" s="25">
        <v>2.0299999999999998</v>
      </c>
      <c r="M6339" s="24">
        <v>60106.5</v>
      </c>
      <c r="N6339" s="25">
        <f>IFERROR(T_reg.root.SK[[#This Row],[Price]]/T_reg.root.SK[[#This Row],[Starch content]],"")</f>
        <v>8.511530398322849</v>
      </c>
    </row>
    <row r="6340" spans="1:14">
      <c r="A6340" s="21">
        <v>2025</v>
      </c>
      <c r="B6340" s="21" t="s">
        <v>24</v>
      </c>
      <c r="C6340" s="21" t="s">
        <v>1145</v>
      </c>
      <c r="D6340" s="21" t="s">
        <v>35</v>
      </c>
      <c r="E6340" s="17" t="s">
        <v>318</v>
      </c>
      <c r="F6340" s="17" t="s">
        <v>105</v>
      </c>
      <c r="G6340" s="18" t="s">
        <v>48</v>
      </c>
      <c r="H6340" s="24">
        <v>41830</v>
      </c>
      <c r="I6340" s="24">
        <f>T_reg.root.SK[[#This Row],[Volume, kg]]/1000</f>
        <v>41.83</v>
      </c>
      <c r="J6340" s="25">
        <v>0.28270000000000001</v>
      </c>
      <c r="K6340" s="25">
        <f t="shared" si="99"/>
        <v>11825.341</v>
      </c>
      <c r="L6340" s="25">
        <v>2.16</v>
      </c>
      <c r="M6340" s="24">
        <v>90289.5</v>
      </c>
      <c r="N6340" s="25">
        <f>IFERROR(T_reg.root.SK[[#This Row],[Price]]/T_reg.root.SK[[#This Row],[Starch content]],"")</f>
        <v>7.6406084188185357</v>
      </c>
    </row>
    <row r="6341" spans="1:14">
      <c r="A6341" s="21">
        <v>2025</v>
      </c>
      <c r="B6341" s="21" t="s">
        <v>24</v>
      </c>
      <c r="C6341" s="21" t="s">
        <v>1145</v>
      </c>
      <c r="D6341" s="21" t="s">
        <v>35</v>
      </c>
      <c r="E6341" s="17" t="s">
        <v>501</v>
      </c>
      <c r="F6341" s="17" t="s">
        <v>105</v>
      </c>
      <c r="G6341" s="18" t="s">
        <v>48</v>
      </c>
      <c r="H6341" s="24">
        <v>3410</v>
      </c>
      <c r="I6341" s="24">
        <f>T_reg.root.SK[[#This Row],[Volume, kg]]/1000</f>
        <v>3.41</v>
      </c>
      <c r="J6341" s="25">
        <v>0.19800000000000001</v>
      </c>
      <c r="K6341" s="25">
        <f t="shared" si="99"/>
        <v>675.18000000000006</v>
      </c>
      <c r="L6341" s="25">
        <v>1.75</v>
      </c>
      <c r="M6341" s="24">
        <v>5967.5</v>
      </c>
      <c r="N6341" s="25">
        <f>IFERROR(T_reg.root.SK[[#This Row],[Price]]/T_reg.root.SK[[#This Row],[Starch content]],"")</f>
        <v>8.8383838383838373</v>
      </c>
    </row>
    <row r="6342" spans="1:14">
      <c r="A6342" s="21">
        <v>2025</v>
      </c>
      <c r="B6342" s="21" t="s">
        <v>24</v>
      </c>
      <c r="C6342" s="21" t="s">
        <v>1145</v>
      </c>
      <c r="D6342" s="21" t="s">
        <v>35</v>
      </c>
      <c r="E6342" s="17" t="s">
        <v>333</v>
      </c>
      <c r="F6342" s="17" t="s">
        <v>187</v>
      </c>
      <c r="G6342" s="18" t="s">
        <v>48</v>
      </c>
      <c r="H6342" s="24">
        <v>59500</v>
      </c>
      <c r="I6342" s="24">
        <f>T_reg.root.SK[[#This Row],[Volume, kg]]/1000</f>
        <v>59.5</v>
      </c>
      <c r="J6342" s="25">
        <v>0.24489999999999998</v>
      </c>
      <c r="K6342" s="25">
        <f t="shared" si="99"/>
        <v>14571.55</v>
      </c>
      <c r="L6342" s="25">
        <v>2.0699999999999998</v>
      </c>
      <c r="M6342" s="24">
        <v>123337.5</v>
      </c>
      <c r="N6342" s="25">
        <f>IFERROR(T_reg.root.SK[[#This Row],[Price]]/T_reg.root.SK[[#This Row],[Starch content]],"")</f>
        <v>8.4524295630869748</v>
      </c>
    </row>
    <row r="6343" spans="1:14">
      <c r="A6343" s="21">
        <v>2025</v>
      </c>
      <c r="B6343" s="21" t="s">
        <v>24</v>
      </c>
      <c r="C6343" s="21" t="s">
        <v>1145</v>
      </c>
      <c r="D6343" s="21" t="s">
        <v>35</v>
      </c>
      <c r="E6343" s="17" t="s">
        <v>255</v>
      </c>
      <c r="F6343" s="17" t="s">
        <v>105</v>
      </c>
      <c r="G6343" s="18" t="s">
        <v>48</v>
      </c>
      <c r="H6343" s="24">
        <v>17820</v>
      </c>
      <c r="I6343" s="24">
        <f>T_reg.root.SK[[#This Row],[Volume, kg]]/1000</f>
        <v>17.82</v>
      </c>
      <c r="J6343" s="25">
        <v>0.25</v>
      </c>
      <c r="K6343" s="25">
        <f t="shared" si="99"/>
        <v>4455</v>
      </c>
      <c r="L6343" s="25">
        <v>2</v>
      </c>
      <c r="M6343" s="24">
        <v>35637</v>
      </c>
      <c r="N6343" s="25">
        <f>IFERROR(T_reg.root.SK[[#This Row],[Price]]/T_reg.root.SK[[#This Row],[Starch content]],"")</f>
        <v>8</v>
      </c>
    </row>
    <row r="6344" spans="1:14">
      <c r="A6344" s="21">
        <v>2025</v>
      </c>
      <c r="B6344" s="21" t="s">
        <v>24</v>
      </c>
      <c r="C6344" s="21" t="s">
        <v>1145</v>
      </c>
      <c r="D6344" s="21" t="s">
        <v>35</v>
      </c>
      <c r="E6344" s="17" t="s">
        <v>160</v>
      </c>
      <c r="F6344" s="17" t="s">
        <v>105</v>
      </c>
      <c r="G6344" s="18" t="s">
        <v>48</v>
      </c>
      <c r="H6344" s="24">
        <v>12470</v>
      </c>
      <c r="I6344" s="24">
        <f>T_reg.root.SK[[#This Row],[Volume, kg]]/1000</f>
        <v>12.47</v>
      </c>
      <c r="J6344" s="25">
        <v>0.17370000000000002</v>
      </c>
      <c r="K6344" s="25">
        <f t="shared" si="99"/>
        <v>2166.0390000000002</v>
      </c>
      <c r="L6344" s="25">
        <v>1.64</v>
      </c>
      <c r="M6344" s="24">
        <v>20511.5</v>
      </c>
      <c r="N6344" s="25">
        <f>IFERROR(T_reg.root.SK[[#This Row],[Price]]/T_reg.root.SK[[#This Row],[Starch content]],"")</f>
        <v>9.4415659182498537</v>
      </c>
    </row>
    <row r="6345" spans="1:14">
      <c r="A6345" s="21">
        <v>2025</v>
      </c>
      <c r="B6345" s="21" t="s">
        <v>24</v>
      </c>
      <c r="C6345" s="21" t="s">
        <v>1145</v>
      </c>
      <c r="D6345" s="21" t="s">
        <v>35</v>
      </c>
      <c r="E6345" s="17" t="s">
        <v>211</v>
      </c>
      <c r="F6345" s="17" t="s">
        <v>187</v>
      </c>
      <c r="G6345" s="18" t="s">
        <v>48</v>
      </c>
      <c r="H6345" s="24">
        <v>15090</v>
      </c>
      <c r="I6345" s="24">
        <f>T_reg.root.SK[[#This Row],[Volume, kg]]/1000</f>
        <v>15.09</v>
      </c>
      <c r="J6345" s="25">
        <v>0.22399999999999998</v>
      </c>
      <c r="K6345" s="25">
        <f t="shared" si="99"/>
        <v>3380.16</v>
      </c>
      <c r="L6345" s="25">
        <v>1.85</v>
      </c>
      <c r="M6345" s="24">
        <v>27916.5</v>
      </c>
      <c r="N6345" s="25">
        <f>IFERROR(T_reg.root.SK[[#This Row],[Price]]/T_reg.root.SK[[#This Row],[Starch content]],"")</f>
        <v>8.258928571428573</v>
      </c>
    </row>
    <row r="6346" spans="1:14">
      <c r="A6346" s="21">
        <v>2025</v>
      </c>
      <c r="B6346" s="21" t="s">
        <v>24</v>
      </c>
      <c r="C6346" s="21" t="s">
        <v>1145</v>
      </c>
      <c r="D6346" s="21" t="s">
        <v>35</v>
      </c>
      <c r="E6346" s="17" t="s">
        <v>165</v>
      </c>
      <c r="F6346" s="17" t="s">
        <v>105</v>
      </c>
      <c r="G6346" s="18" t="s">
        <v>48</v>
      </c>
      <c r="H6346" s="24">
        <v>9590</v>
      </c>
      <c r="I6346" s="24">
        <f>T_reg.root.SK[[#This Row],[Volume, kg]]/1000</f>
        <v>9.59</v>
      </c>
      <c r="J6346" s="25">
        <v>0.26819999999999999</v>
      </c>
      <c r="K6346" s="25">
        <f t="shared" si="99"/>
        <v>2572.038</v>
      </c>
      <c r="L6346" s="25">
        <v>2.17</v>
      </c>
      <c r="M6346" s="24">
        <v>20854.5</v>
      </c>
      <c r="N6346" s="25">
        <f>IFERROR(T_reg.root.SK[[#This Row],[Price]]/T_reg.root.SK[[#This Row],[Starch content]],"")</f>
        <v>8.0909768829231918</v>
      </c>
    </row>
    <row r="6347" spans="1:14">
      <c r="A6347" s="21">
        <v>2025</v>
      </c>
      <c r="B6347" s="21" t="s">
        <v>24</v>
      </c>
      <c r="C6347" s="21" t="s">
        <v>1145</v>
      </c>
      <c r="D6347" s="21" t="s">
        <v>35</v>
      </c>
      <c r="E6347" s="17" t="s">
        <v>639</v>
      </c>
      <c r="F6347" s="17" t="s">
        <v>105</v>
      </c>
      <c r="G6347" s="18" t="s">
        <v>48</v>
      </c>
      <c r="H6347" s="24">
        <v>5220</v>
      </c>
      <c r="I6347" s="24">
        <f>T_reg.root.SK[[#This Row],[Volume, kg]]/1000</f>
        <v>5.22</v>
      </c>
      <c r="J6347" s="25">
        <v>0.24199999999999999</v>
      </c>
      <c r="K6347" s="25">
        <f t="shared" si="99"/>
        <v>1263.24</v>
      </c>
      <c r="L6347" s="25">
        <v>1.95</v>
      </c>
      <c r="M6347" s="24">
        <v>10179</v>
      </c>
      <c r="N6347" s="25">
        <f>IFERROR(T_reg.root.SK[[#This Row],[Price]]/T_reg.root.SK[[#This Row],[Starch content]],"")</f>
        <v>8.0578512396694215</v>
      </c>
    </row>
    <row r="6348" spans="1:14">
      <c r="A6348" s="21">
        <v>2025</v>
      </c>
      <c r="B6348" s="21" t="s">
        <v>24</v>
      </c>
      <c r="C6348" s="21" t="s">
        <v>1145</v>
      </c>
      <c r="D6348" s="21" t="s">
        <v>35</v>
      </c>
      <c r="E6348" s="17" t="s">
        <v>1052</v>
      </c>
      <c r="F6348" s="17" t="s">
        <v>105</v>
      </c>
      <c r="G6348" s="18" t="s">
        <v>48</v>
      </c>
      <c r="H6348" s="24">
        <v>1770</v>
      </c>
      <c r="I6348" s="24">
        <f>T_reg.root.SK[[#This Row],[Volume, kg]]/1000</f>
        <v>1.77</v>
      </c>
      <c r="J6348" s="25">
        <v>0.22600000000000001</v>
      </c>
      <c r="K6348" s="25">
        <f t="shared" si="99"/>
        <v>400.02000000000004</v>
      </c>
      <c r="L6348" s="25">
        <v>1.9</v>
      </c>
      <c r="M6348" s="24">
        <v>3363</v>
      </c>
      <c r="N6348" s="25">
        <f>IFERROR(T_reg.root.SK[[#This Row],[Price]]/T_reg.root.SK[[#This Row],[Starch content]],"")</f>
        <v>8.4070796460176993</v>
      </c>
    </row>
    <row r="6349" spans="1:14">
      <c r="A6349" s="21">
        <v>2025</v>
      </c>
      <c r="B6349" s="21" t="s">
        <v>24</v>
      </c>
      <c r="C6349" s="21" t="s">
        <v>1145</v>
      </c>
      <c r="D6349" s="21" t="s">
        <v>35</v>
      </c>
      <c r="E6349" s="17" t="s">
        <v>672</v>
      </c>
      <c r="F6349" s="17" t="s">
        <v>187</v>
      </c>
      <c r="G6349" s="18" t="s">
        <v>48</v>
      </c>
      <c r="H6349" s="24">
        <v>9030</v>
      </c>
      <c r="I6349" s="24">
        <f>T_reg.root.SK[[#This Row],[Volume, kg]]/1000</f>
        <v>9.0299999999999994</v>
      </c>
      <c r="J6349" s="25">
        <v>0.21410000000000001</v>
      </c>
      <c r="K6349" s="25">
        <f t="shared" si="99"/>
        <v>1933.3230000000001</v>
      </c>
      <c r="L6349" s="25">
        <v>1.92</v>
      </c>
      <c r="M6349" s="24">
        <v>17311.5</v>
      </c>
      <c r="N6349" s="25">
        <f>IFERROR(T_reg.root.SK[[#This Row],[Price]]/T_reg.root.SK[[#This Row],[Starch content]],"")</f>
        <v>8.9677720691265748</v>
      </c>
    </row>
    <row r="6350" spans="1:14">
      <c r="A6350" s="21">
        <v>2025</v>
      </c>
      <c r="B6350" s="21" t="s">
        <v>24</v>
      </c>
      <c r="C6350" s="21" t="s">
        <v>1145</v>
      </c>
      <c r="D6350" s="21" t="s">
        <v>35</v>
      </c>
      <c r="E6350" s="17" t="s">
        <v>613</v>
      </c>
      <c r="F6350" s="17" t="s">
        <v>187</v>
      </c>
      <c r="G6350" s="18" t="s">
        <v>48</v>
      </c>
      <c r="H6350" s="24">
        <v>25740</v>
      </c>
      <c r="I6350" s="24">
        <f>T_reg.root.SK[[#This Row],[Volume, kg]]/1000</f>
        <v>25.74</v>
      </c>
      <c r="J6350" s="25">
        <v>0.2576</v>
      </c>
      <c r="K6350" s="25">
        <f t="shared" si="99"/>
        <v>6630.6239999999998</v>
      </c>
      <c r="L6350" s="25">
        <v>2.14</v>
      </c>
      <c r="M6350" s="24">
        <v>55000.5</v>
      </c>
      <c r="N6350" s="25">
        <f>IFERROR(T_reg.root.SK[[#This Row],[Price]]/T_reg.root.SK[[#This Row],[Starch content]],"")</f>
        <v>8.3074534161490696</v>
      </c>
    </row>
    <row r="6351" spans="1:14">
      <c r="A6351" s="21">
        <v>2025</v>
      </c>
      <c r="B6351" s="21" t="s">
        <v>24</v>
      </c>
      <c r="C6351" s="21" t="s">
        <v>1145</v>
      </c>
      <c r="D6351" s="21" t="s">
        <v>35</v>
      </c>
      <c r="E6351" s="17" t="s">
        <v>408</v>
      </c>
      <c r="F6351" s="17" t="s">
        <v>187</v>
      </c>
      <c r="G6351" s="18" t="s">
        <v>48</v>
      </c>
      <c r="H6351" s="24">
        <v>37070</v>
      </c>
      <c r="I6351" s="24">
        <f>T_reg.root.SK[[#This Row],[Volume, kg]]/1000</f>
        <v>37.07</v>
      </c>
      <c r="J6351" s="25">
        <v>0.185</v>
      </c>
      <c r="K6351" s="25">
        <f t="shared" ref="K6351:K6414" si="100">H6351*J6351</f>
        <v>6857.95</v>
      </c>
      <c r="L6351" s="25">
        <v>1.64</v>
      </c>
      <c r="M6351" s="24">
        <v>60819</v>
      </c>
      <c r="N6351" s="25">
        <f>IFERROR(T_reg.root.SK[[#This Row],[Price]]/T_reg.root.SK[[#This Row],[Starch content]],"")</f>
        <v>8.8648648648648649</v>
      </c>
    </row>
    <row r="6352" spans="1:14">
      <c r="A6352" s="21">
        <v>2025</v>
      </c>
      <c r="B6352" s="21" t="s">
        <v>24</v>
      </c>
      <c r="C6352" s="21" t="s">
        <v>1145</v>
      </c>
      <c r="D6352" s="21" t="s">
        <v>35</v>
      </c>
      <c r="E6352" s="17" t="s">
        <v>170</v>
      </c>
      <c r="F6352" s="17" t="s">
        <v>105</v>
      </c>
      <c r="G6352" s="18" t="s">
        <v>48</v>
      </c>
      <c r="H6352" s="24">
        <v>20320</v>
      </c>
      <c r="I6352" s="24">
        <f>T_reg.root.SK[[#This Row],[Volume, kg]]/1000</f>
        <v>20.32</v>
      </c>
      <c r="J6352" s="25">
        <v>0.26700000000000002</v>
      </c>
      <c r="K6352" s="25">
        <f t="shared" si="100"/>
        <v>5425.4400000000005</v>
      </c>
      <c r="L6352" s="25">
        <v>2.14</v>
      </c>
      <c r="M6352" s="24">
        <v>43556</v>
      </c>
      <c r="N6352" s="25">
        <f>IFERROR(T_reg.root.SK[[#This Row],[Price]]/T_reg.root.SK[[#This Row],[Starch content]],"")</f>
        <v>8.0149812734082388</v>
      </c>
    </row>
    <row r="6353" spans="1:14">
      <c r="A6353" s="21">
        <v>2025</v>
      </c>
      <c r="B6353" s="21" t="s">
        <v>24</v>
      </c>
      <c r="C6353" s="21" t="s">
        <v>1145</v>
      </c>
      <c r="D6353" s="21" t="s">
        <v>35</v>
      </c>
      <c r="E6353" s="17" t="s">
        <v>171</v>
      </c>
      <c r="F6353" s="17" t="s">
        <v>105</v>
      </c>
      <c r="G6353" s="18" t="s">
        <v>48</v>
      </c>
      <c r="H6353" s="24">
        <v>5580</v>
      </c>
      <c r="I6353" s="24">
        <f>T_reg.root.SK[[#This Row],[Volume, kg]]/1000</f>
        <v>5.58</v>
      </c>
      <c r="J6353" s="25">
        <v>0.22899999999999998</v>
      </c>
      <c r="K6353" s="25">
        <f t="shared" si="100"/>
        <v>1277.82</v>
      </c>
      <c r="L6353" s="25">
        <v>1.9</v>
      </c>
      <c r="M6353" s="24">
        <v>10602</v>
      </c>
      <c r="N6353" s="25">
        <f>IFERROR(T_reg.root.SK[[#This Row],[Price]]/T_reg.root.SK[[#This Row],[Starch content]],"")</f>
        <v>8.2969432314410483</v>
      </c>
    </row>
    <row r="6354" spans="1:14">
      <c r="A6354" s="21">
        <v>2025</v>
      </c>
      <c r="B6354" s="21" t="s">
        <v>24</v>
      </c>
      <c r="C6354" s="21" t="s">
        <v>1145</v>
      </c>
      <c r="D6354" s="21" t="s">
        <v>35</v>
      </c>
      <c r="E6354" s="17" t="s">
        <v>324</v>
      </c>
      <c r="F6354" s="17" t="s">
        <v>105</v>
      </c>
      <c r="G6354" s="18" t="s">
        <v>48</v>
      </c>
      <c r="H6354" s="24">
        <v>16770</v>
      </c>
      <c r="I6354" s="24">
        <f>T_reg.root.SK[[#This Row],[Volume, kg]]/1000</f>
        <v>16.77</v>
      </c>
      <c r="J6354" s="25">
        <v>0.2621</v>
      </c>
      <c r="K6354" s="25">
        <f t="shared" si="100"/>
        <v>4395.4170000000004</v>
      </c>
      <c r="L6354" s="25">
        <v>2.08</v>
      </c>
      <c r="M6354" s="24">
        <v>34815</v>
      </c>
      <c r="N6354" s="25">
        <f>IFERROR(T_reg.root.SK[[#This Row],[Price]]/T_reg.root.SK[[#This Row],[Starch content]],"")</f>
        <v>7.9359023273559712</v>
      </c>
    </row>
    <row r="6355" spans="1:14">
      <c r="A6355" s="21">
        <v>2025</v>
      </c>
      <c r="B6355" s="21" t="s">
        <v>24</v>
      </c>
      <c r="C6355" s="21" t="s">
        <v>1145</v>
      </c>
      <c r="D6355" s="21" t="s">
        <v>35</v>
      </c>
      <c r="E6355" s="17" t="s">
        <v>506</v>
      </c>
      <c r="F6355" s="17" t="s">
        <v>105</v>
      </c>
      <c r="G6355" s="18" t="s">
        <v>48</v>
      </c>
      <c r="H6355" s="24">
        <v>72610</v>
      </c>
      <c r="I6355" s="24">
        <f>T_reg.root.SK[[#This Row],[Volume, kg]]/1000</f>
        <v>72.61</v>
      </c>
      <c r="J6355" s="25">
        <v>0.2455</v>
      </c>
      <c r="K6355" s="25">
        <f t="shared" si="100"/>
        <v>17825.755000000001</v>
      </c>
      <c r="L6355" s="25">
        <v>1.97</v>
      </c>
      <c r="M6355" s="24">
        <v>143038.5</v>
      </c>
      <c r="N6355" s="25">
        <f>IFERROR(T_reg.root.SK[[#This Row],[Price]]/T_reg.root.SK[[#This Row],[Starch content]],"")</f>
        <v>8.0244399185336057</v>
      </c>
    </row>
    <row r="6356" spans="1:14">
      <c r="A6356" s="21">
        <v>2025</v>
      </c>
      <c r="B6356" s="21" t="s">
        <v>24</v>
      </c>
      <c r="C6356" s="21" t="s">
        <v>1145</v>
      </c>
      <c r="D6356" s="21" t="s">
        <v>35</v>
      </c>
      <c r="E6356" s="17" t="s">
        <v>792</v>
      </c>
      <c r="F6356" s="17" t="s">
        <v>105</v>
      </c>
      <c r="G6356" s="18" t="s">
        <v>48</v>
      </c>
      <c r="H6356" s="24">
        <v>24980</v>
      </c>
      <c r="I6356" s="24">
        <f>T_reg.root.SK[[#This Row],[Volume, kg]]/1000</f>
        <v>24.98</v>
      </c>
      <c r="J6356" s="25">
        <v>0.25379999999999997</v>
      </c>
      <c r="K6356" s="25">
        <f t="shared" si="100"/>
        <v>6339.9239999999991</v>
      </c>
      <c r="L6356" s="25">
        <v>2.0099999999999998</v>
      </c>
      <c r="M6356" s="24">
        <v>50126</v>
      </c>
      <c r="N6356" s="25">
        <f>IFERROR(T_reg.root.SK[[#This Row],[Price]]/T_reg.root.SK[[#This Row],[Starch content]],"")</f>
        <v>7.9196217494089831</v>
      </c>
    </row>
    <row r="6357" spans="1:14">
      <c r="A6357" s="21">
        <v>2025</v>
      </c>
      <c r="B6357" s="21" t="s">
        <v>24</v>
      </c>
      <c r="C6357" s="21" t="s">
        <v>1145</v>
      </c>
      <c r="D6357" s="21" t="s">
        <v>35</v>
      </c>
      <c r="E6357" s="17" t="s">
        <v>771</v>
      </c>
      <c r="F6357" s="17" t="s">
        <v>105</v>
      </c>
      <c r="G6357" s="18" t="s">
        <v>48</v>
      </c>
      <c r="H6357" s="24">
        <v>25040</v>
      </c>
      <c r="I6357" s="24">
        <f>T_reg.root.SK[[#This Row],[Volume, kg]]/1000</f>
        <v>25.04</v>
      </c>
      <c r="J6357" s="25">
        <v>0.20480000000000001</v>
      </c>
      <c r="K6357" s="25">
        <f t="shared" si="100"/>
        <v>5128.192</v>
      </c>
      <c r="L6357" s="25">
        <v>1.84</v>
      </c>
      <c r="M6357" s="24">
        <v>46008.5</v>
      </c>
      <c r="N6357" s="25">
        <f>IFERROR(T_reg.root.SK[[#This Row],[Price]]/T_reg.root.SK[[#This Row],[Starch content]],"")</f>
        <v>8.984375</v>
      </c>
    </row>
    <row r="6358" spans="1:14">
      <c r="A6358" s="21">
        <v>2025</v>
      </c>
      <c r="B6358" s="21" t="s">
        <v>24</v>
      </c>
      <c r="C6358" s="21" t="s">
        <v>1145</v>
      </c>
      <c r="D6358" s="21" t="s">
        <v>35</v>
      </c>
      <c r="E6358" s="17" t="s">
        <v>935</v>
      </c>
      <c r="F6358" s="17" t="s">
        <v>105</v>
      </c>
      <c r="G6358" s="18" t="s">
        <v>48</v>
      </c>
      <c r="H6358" s="24">
        <v>15270</v>
      </c>
      <c r="I6358" s="24">
        <f>T_reg.root.SK[[#This Row],[Volume, kg]]/1000</f>
        <v>15.27</v>
      </c>
      <c r="J6358" s="25">
        <v>0.1739</v>
      </c>
      <c r="K6358" s="25">
        <f t="shared" si="100"/>
        <v>2655.453</v>
      </c>
      <c r="L6358" s="25">
        <v>1.63</v>
      </c>
      <c r="M6358" s="24">
        <v>24933.5</v>
      </c>
      <c r="N6358" s="25">
        <f>IFERROR(T_reg.root.SK[[#This Row],[Price]]/T_reg.root.SK[[#This Row],[Starch content]],"")</f>
        <v>9.3732029902242662</v>
      </c>
    </row>
    <row r="6359" spans="1:14">
      <c r="A6359" s="21">
        <v>2025</v>
      </c>
      <c r="B6359" s="21" t="s">
        <v>24</v>
      </c>
      <c r="C6359" s="21" t="s">
        <v>1145</v>
      </c>
      <c r="D6359" s="21" t="s">
        <v>35</v>
      </c>
      <c r="E6359" s="17" t="s">
        <v>812</v>
      </c>
      <c r="F6359" s="17" t="s">
        <v>105</v>
      </c>
      <c r="G6359" s="18" t="s">
        <v>48</v>
      </c>
      <c r="H6359" s="24">
        <v>3560</v>
      </c>
      <c r="I6359" s="24">
        <f>T_reg.root.SK[[#This Row],[Volume, kg]]/1000</f>
        <v>3.56</v>
      </c>
      <c r="J6359" s="25">
        <v>0.28749999999999998</v>
      </c>
      <c r="K6359" s="25">
        <f t="shared" si="100"/>
        <v>1023.4999999999999</v>
      </c>
      <c r="L6359" s="25">
        <v>2.2000000000000002</v>
      </c>
      <c r="M6359" s="24">
        <v>7832</v>
      </c>
      <c r="N6359" s="25">
        <f>IFERROR(T_reg.root.SK[[#This Row],[Price]]/T_reg.root.SK[[#This Row],[Starch content]],"")</f>
        <v>7.6521739130434794</v>
      </c>
    </row>
    <row r="6360" spans="1:14">
      <c r="A6360" s="21">
        <v>2025</v>
      </c>
      <c r="B6360" s="21" t="s">
        <v>24</v>
      </c>
      <c r="C6360" s="21" t="s">
        <v>1145</v>
      </c>
      <c r="D6360" s="21" t="s">
        <v>35</v>
      </c>
      <c r="E6360" s="17" t="s">
        <v>828</v>
      </c>
      <c r="F6360" s="17" t="s">
        <v>105</v>
      </c>
      <c r="G6360" s="18" t="s">
        <v>48</v>
      </c>
      <c r="H6360" s="24">
        <v>16590</v>
      </c>
      <c r="I6360" s="24">
        <f>T_reg.root.SK[[#This Row],[Volume, kg]]/1000</f>
        <v>16.59</v>
      </c>
      <c r="J6360" s="25">
        <v>0.2024</v>
      </c>
      <c r="K6360" s="25">
        <f t="shared" si="100"/>
        <v>3357.8159999999998</v>
      </c>
      <c r="L6360" s="25">
        <v>1.75</v>
      </c>
      <c r="M6360" s="24">
        <v>29032.5</v>
      </c>
      <c r="N6360" s="25">
        <f>IFERROR(T_reg.root.SK[[#This Row],[Price]]/T_reg.root.SK[[#This Row],[Starch content]],"")</f>
        <v>8.6462450592885371</v>
      </c>
    </row>
    <row r="6361" spans="1:14">
      <c r="A6361" s="21">
        <v>2025</v>
      </c>
      <c r="B6361" s="21" t="s">
        <v>24</v>
      </c>
      <c r="C6361" s="21" t="s">
        <v>1145</v>
      </c>
      <c r="D6361" s="21" t="s">
        <v>35</v>
      </c>
      <c r="E6361" s="17" t="s">
        <v>938</v>
      </c>
      <c r="F6361" s="17" t="s">
        <v>105</v>
      </c>
      <c r="G6361" s="18" t="s">
        <v>48</v>
      </c>
      <c r="H6361" s="24">
        <v>50730</v>
      </c>
      <c r="I6361" s="24">
        <f>T_reg.root.SK[[#This Row],[Volume, kg]]/1000</f>
        <v>50.73</v>
      </c>
      <c r="J6361" s="25">
        <v>0.24199999999999999</v>
      </c>
      <c r="K6361" s="25">
        <f t="shared" si="100"/>
        <v>12276.66</v>
      </c>
      <c r="L6361" s="25">
        <v>2.04</v>
      </c>
      <c r="M6361" s="24">
        <v>103461.5</v>
      </c>
      <c r="N6361" s="25">
        <f>IFERROR(T_reg.root.SK[[#This Row],[Price]]/T_reg.root.SK[[#This Row],[Starch content]],"")</f>
        <v>8.4297520661157037</v>
      </c>
    </row>
    <row r="6362" spans="1:14">
      <c r="A6362" s="21">
        <v>2025</v>
      </c>
      <c r="B6362" s="21" t="s">
        <v>24</v>
      </c>
      <c r="C6362" s="21" t="s">
        <v>1145</v>
      </c>
      <c r="D6362" s="21" t="s">
        <v>35</v>
      </c>
      <c r="E6362" s="17" t="s">
        <v>326</v>
      </c>
      <c r="F6362" s="17" t="s">
        <v>105</v>
      </c>
      <c r="G6362" s="18" t="s">
        <v>48</v>
      </c>
      <c r="H6362" s="24">
        <v>0</v>
      </c>
      <c r="I6362" s="24">
        <f>T_reg.root.SK[[#This Row],[Volume, kg]]/1000</f>
        <v>0</v>
      </c>
      <c r="J6362" s="25">
        <v>0</v>
      </c>
      <c r="K6362" s="25">
        <f t="shared" si="100"/>
        <v>0</v>
      </c>
      <c r="L6362" s="25">
        <v>0</v>
      </c>
      <c r="M6362" s="24">
        <v>0</v>
      </c>
      <c r="N6362" s="25" t="str">
        <f>IFERROR(T_reg.root.SK[[#This Row],[Price]]/T_reg.root.SK[[#This Row],[Starch content]],"")</f>
        <v/>
      </c>
    </row>
    <row r="6363" spans="1:14">
      <c r="A6363" s="21">
        <v>2025</v>
      </c>
      <c r="B6363" s="21" t="s">
        <v>24</v>
      </c>
      <c r="C6363" s="21" t="s">
        <v>1145</v>
      </c>
      <c r="D6363" s="21" t="s">
        <v>35</v>
      </c>
      <c r="E6363" s="17" t="s">
        <v>507</v>
      </c>
      <c r="F6363" s="17" t="s">
        <v>105</v>
      </c>
      <c r="G6363" s="18" t="s">
        <v>48</v>
      </c>
      <c r="H6363" s="24">
        <v>19700</v>
      </c>
      <c r="I6363" s="24">
        <f>T_reg.root.SK[[#This Row],[Volume, kg]]/1000</f>
        <v>19.7</v>
      </c>
      <c r="J6363" s="25">
        <v>0.2427</v>
      </c>
      <c r="K6363" s="25">
        <f t="shared" si="100"/>
        <v>4781.1899999999996</v>
      </c>
      <c r="L6363" s="25">
        <v>1.95</v>
      </c>
      <c r="M6363" s="24">
        <v>38464</v>
      </c>
      <c r="N6363" s="25">
        <f>IFERROR(T_reg.root.SK[[#This Row],[Price]]/T_reg.root.SK[[#This Row],[Starch content]],"")</f>
        <v>8.0346106304079115</v>
      </c>
    </row>
    <row r="6364" spans="1:14">
      <c r="A6364" s="21">
        <v>2025</v>
      </c>
      <c r="B6364" s="21" t="s">
        <v>24</v>
      </c>
      <c r="C6364" s="21" t="s">
        <v>1145</v>
      </c>
      <c r="D6364" s="21" t="s">
        <v>35</v>
      </c>
      <c r="E6364" s="17" t="s">
        <v>270</v>
      </c>
      <c r="F6364" s="17" t="s">
        <v>187</v>
      </c>
      <c r="G6364" s="18" t="s">
        <v>48</v>
      </c>
      <c r="H6364" s="24">
        <v>7260</v>
      </c>
      <c r="I6364" s="24">
        <f>T_reg.root.SK[[#This Row],[Volume, kg]]/1000</f>
        <v>7.26</v>
      </c>
      <c r="J6364" s="25">
        <v>0.16300000000000001</v>
      </c>
      <c r="K6364" s="25">
        <f t="shared" si="100"/>
        <v>1183.3800000000001</v>
      </c>
      <c r="L6364" s="25">
        <v>1.55</v>
      </c>
      <c r="M6364" s="24">
        <v>11253</v>
      </c>
      <c r="N6364" s="25">
        <f>IFERROR(T_reg.root.SK[[#This Row],[Price]]/T_reg.root.SK[[#This Row],[Starch content]],"")</f>
        <v>9.5092024539877293</v>
      </c>
    </row>
    <row r="6365" spans="1:14">
      <c r="A6365" s="21">
        <v>2025</v>
      </c>
      <c r="B6365" s="21" t="s">
        <v>24</v>
      </c>
      <c r="C6365" s="21" t="s">
        <v>1145</v>
      </c>
      <c r="D6365" s="21" t="s">
        <v>35</v>
      </c>
      <c r="E6365" s="17" t="s">
        <v>543</v>
      </c>
      <c r="F6365" s="17" t="s">
        <v>187</v>
      </c>
      <c r="G6365" s="18" t="s">
        <v>48</v>
      </c>
      <c r="H6365" s="24">
        <v>27050</v>
      </c>
      <c r="I6365" s="24">
        <f>T_reg.root.SK[[#This Row],[Volume, kg]]/1000</f>
        <v>27.05</v>
      </c>
      <c r="J6365" s="25">
        <v>0.24460000000000001</v>
      </c>
      <c r="K6365" s="25">
        <f t="shared" si="100"/>
        <v>6616.43</v>
      </c>
      <c r="L6365" s="25">
        <v>2.0699999999999998</v>
      </c>
      <c r="M6365" s="24">
        <v>56046.5</v>
      </c>
      <c r="N6365" s="25">
        <f>IFERROR(T_reg.root.SK[[#This Row],[Price]]/T_reg.root.SK[[#This Row],[Starch content]],"")</f>
        <v>8.4627964022894506</v>
      </c>
    </row>
    <row r="6366" spans="1:14">
      <c r="A6366" s="21">
        <v>2025</v>
      </c>
      <c r="B6366" s="21" t="s">
        <v>24</v>
      </c>
      <c r="C6366" s="21" t="s">
        <v>1145</v>
      </c>
      <c r="D6366" s="21" t="s">
        <v>35</v>
      </c>
      <c r="E6366" s="17" t="s">
        <v>1053</v>
      </c>
      <c r="F6366" s="17" t="s">
        <v>105</v>
      </c>
      <c r="G6366" s="18" t="s">
        <v>48</v>
      </c>
      <c r="H6366" s="24">
        <v>31330</v>
      </c>
      <c r="I6366" s="24">
        <f>T_reg.root.SK[[#This Row],[Volume, kg]]/1000</f>
        <v>31.33</v>
      </c>
      <c r="J6366" s="25">
        <v>0.18969999999999998</v>
      </c>
      <c r="K6366" s="25">
        <f t="shared" si="100"/>
        <v>5943.3009999999995</v>
      </c>
      <c r="L6366" s="25">
        <v>1.7</v>
      </c>
      <c r="M6366" s="24">
        <v>53398.5</v>
      </c>
      <c r="N6366" s="25">
        <f>IFERROR(T_reg.root.SK[[#This Row],[Price]]/T_reg.root.SK[[#This Row],[Starch content]],"")</f>
        <v>8.961518186610439</v>
      </c>
    </row>
    <row r="6367" spans="1:14">
      <c r="A6367" s="21">
        <v>2025</v>
      </c>
      <c r="B6367" s="21" t="s">
        <v>24</v>
      </c>
      <c r="C6367" s="21" t="s">
        <v>1145</v>
      </c>
      <c r="D6367" s="21" t="s">
        <v>39</v>
      </c>
      <c r="E6367" s="17" t="s">
        <v>88</v>
      </c>
      <c r="F6367" s="17" t="s">
        <v>89</v>
      </c>
      <c r="G6367" s="18" t="s">
        <v>90</v>
      </c>
      <c r="H6367" s="24">
        <v>9451450</v>
      </c>
      <c r="I6367" s="24">
        <f>T_reg.root.SK[[#This Row],[Volume, kg]]/1000</f>
        <v>9451.4500000000007</v>
      </c>
      <c r="J6367" s="25">
        <v>0.24199999999999999</v>
      </c>
      <c r="K6367" s="25">
        <f t="shared" si="100"/>
        <v>2287250.9</v>
      </c>
      <c r="L6367" s="25">
        <v>2.4700000000000002</v>
      </c>
      <c r="M6367" s="24">
        <v>23382403.5</v>
      </c>
      <c r="N6367" s="25">
        <f>IFERROR(T_reg.root.SK[[#This Row],[Price]]/T_reg.root.SK[[#This Row],[Starch content]],"")</f>
        <v>10.206611570247935</v>
      </c>
    </row>
    <row r="6368" spans="1:14">
      <c r="A6368" s="21">
        <v>2025</v>
      </c>
      <c r="B6368" s="21" t="s">
        <v>24</v>
      </c>
      <c r="C6368" s="21" t="s">
        <v>1145</v>
      </c>
      <c r="D6368" s="21" t="s">
        <v>39</v>
      </c>
      <c r="E6368" s="17" t="s">
        <v>1054</v>
      </c>
      <c r="F6368" s="17" t="s">
        <v>1055</v>
      </c>
      <c r="G6368" s="18" t="s">
        <v>103</v>
      </c>
      <c r="H6368" s="24">
        <v>993410</v>
      </c>
      <c r="I6368" s="24">
        <f>T_reg.root.SK[[#This Row],[Volume, kg]]/1000</f>
        <v>993.41</v>
      </c>
      <c r="J6368" s="25">
        <v>0.26179999999999998</v>
      </c>
      <c r="K6368" s="25">
        <f t="shared" si="100"/>
        <v>260074.73799999998</v>
      </c>
      <c r="L6368" s="25">
        <v>2.65</v>
      </c>
      <c r="M6368" s="24">
        <v>2631306.5</v>
      </c>
      <c r="N6368" s="25">
        <f>IFERROR(T_reg.root.SK[[#This Row],[Price]]/T_reg.root.SK[[#This Row],[Starch content]],"")</f>
        <v>10.122230710466004</v>
      </c>
    </row>
    <row r="6369" spans="1:14">
      <c r="A6369" s="21">
        <v>2025</v>
      </c>
      <c r="B6369" s="21" t="s">
        <v>24</v>
      </c>
      <c r="C6369" s="21" t="s">
        <v>1145</v>
      </c>
      <c r="D6369" s="21" t="s">
        <v>35</v>
      </c>
      <c r="E6369" s="17" t="s">
        <v>176</v>
      </c>
      <c r="F6369" s="17" t="s">
        <v>105</v>
      </c>
      <c r="G6369" s="18" t="s">
        <v>48</v>
      </c>
      <c r="H6369" s="24">
        <v>34770</v>
      </c>
      <c r="I6369" s="24">
        <f>T_reg.root.SK[[#This Row],[Volume, kg]]/1000</f>
        <v>34.770000000000003</v>
      </c>
      <c r="J6369" s="25">
        <v>0.23600000000000002</v>
      </c>
      <c r="K6369" s="25">
        <f t="shared" si="100"/>
        <v>8205.7200000000012</v>
      </c>
      <c r="L6369" s="25">
        <v>1.95</v>
      </c>
      <c r="M6369" s="24">
        <v>67764</v>
      </c>
      <c r="N6369" s="25">
        <f>IFERROR(T_reg.root.SK[[#This Row],[Price]]/T_reg.root.SK[[#This Row],[Starch content]],"")</f>
        <v>8.2627118644067785</v>
      </c>
    </row>
    <row r="6370" spans="1:14">
      <c r="A6370" s="21">
        <v>2025</v>
      </c>
      <c r="B6370" s="21" t="s">
        <v>24</v>
      </c>
      <c r="C6370" s="21" t="s">
        <v>1145</v>
      </c>
      <c r="D6370" s="21" t="s">
        <v>35</v>
      </c>
      <c r="E6370" s="17" t="s">
        <v>177</v>
      </c>
      <c r="F6370" s="17" t="s">
        <v>105</v>
      </c>
      <c r="G6370" s="18" t="s">
        <v>48</v>
      </c>
      <c r="H6370" s="24">
        <v>14670</v>
      </c>
      <c r="I6370" s="24">
        <f>T_reg.root.SK[[#This Row],[Volume, kg]]/1000</f>
        <v>14.67</v>
      </c>
      <c r="J6370" s="25">
        <v>0.20610000000000001</v>
      </c>
      <c r="K6370" s="25">
        <f t="shared" si="100"/>
        <v>3023.4870000000001</v>
      </c>
      <c r="L6370" s="25">
        <v>1.79</v>
      </c>
      <c r="M6370" s="24">
        <v>26199</v>
      </c>
      <c r="N6370" s="25">
        <f>IFERROR(T_reg.root.SK[[#This Row],[Price]]/T_reg.root.SK[[#This Row],[Starch content]],"")</f>
        <v>8.6851043182920904</v>
      </c>
    </row>
    <row r="6371" spans="1:14">
      <c r="A6371" s="21">
        <v>2025</v>
      </c>
      <c r="B6371" s="21" t="s">
        <v>24</v>
      </c>
      <c r="C6371" s="21" t="s">
        <v>1145</v>
      </c>
      <c r="D6371" s="21" t="s">
        <v>35</v>
      </c>
      <c r="E6371" s="17" t="s">
        <v>605</v>
      </c>
      <c r="F6371" s="17" t="s">
        <v>105</v>
      </c>
      <c r="G6371" s="18" t="s">
        <v>48</v>
      </c>
      <c r="H6371" s="24">
        <v>73130</v>
      </c>
      <c r="I6371" s="24">
        <f>T_reg.root.SK[[#This Row],[Volume, kg]]/1000</f>
        <v>73.13</v>
      </c>
      <c r="J6371" s="25">
        <v>0.22690000000000002</v>
      </c>
      <c r="K6371" s="25">
        <f t="shared" si="100"/>
        <v>16593.197</v>
      </c>
      <c r="L6371" s="25">
        <v>1.9</v>
      </c>
      <c r="M6371" s="24">
        <v>138848.5</v>
      </c>
      <c r="N6371" s="25">
        <f>IFERROR(T_reg.root.SK[[#This Row],[Price]]/T_reg.root.SK[[#This Row],[Starch content]],"")</f>
        <v>8.3737329219920653</v>
      </c>
    </row>
    <row r="6372" spans="1:14">
      <c r="A6372" s="21">
        <v>2025</v>
      </c>
      <c r="B6372" s="21" t="s">
        <v>24</v>
      </c>
      <c r="C6372" s="21" t="s">
        <v>1145</v>
      </c>
      <c r="D6372" s="21" t="s">
        <v>35</v>
      </c>
      <c r="E6372" s="17" t="s">
        <v>329</v>
      </c>
      <c r="F6372" s="17" t="s">
        <v>105</v>
      </c>
      <c r="G6372" s="18" t="s">
        <v>48</v>
      </c>
      <c r="H6372" s="24">
        <v>7420</v>
      </c>
      <c r="I6372" s="24">
        <f>T_reg.root.SK[[#This Row],[Volume, kg]]/1000</f>
        <v>7.42</v>
      </c>
      <c r="J6372" s="25">
        <v>0.24299999999999999</v>
      </c>
      <c r="K6372" s="25">
        <f t="shared" si="100"/>
        <v>1803.06</v>
      </c>
      <c r="L6372" s="25">
        <v>1.9</v>
      </c>
      <c r="M6372" s="24">
        <v>14098</v>
      </c>
      <c r="N6372" s="25">
        <f>IFERROR(T_reg.root.SK[[#This Row],[Price]]/T_reg.root.SK[[#This Row],[Starch content]],"")</f>
        <v>7.8189300411522629</v>
      </c>
    </row>
    <row r="6373" spans="1:14">
      <c r="A6373" s="21">
        <v>2025</v>
      </c>
      <c r="B6373" s="21" t="s">
        <v>24</v>
      </c>
      <c r="C6373" s="21" t="s">
        <v>1145</v>
      </c>
      <c r="D6373" s="21" t="s">
        <v>35</v>
      </c>
      <c r="E6373" s="17" t="s">
        <v>179</v>
      </c>
      <c r="F6373" s="17" t="s">
        <v>105</v>
      </c>
      <c r="G6373" s="18" t="s">
        <v>48</v>
      </c>
      <c r="H6373" s="24">
        <v>19170</v>
      </c>
      <c r="I6373" s="24">
        <f>T_reg.root.SK[[#This Row],[Volume, kg]]/1000</f>
        <v>19.170000000000002</v>
      </c>
      <c r="J6373" s="25">
        <v>0.21809999999999999</v>
      </c>
      <c r="K6373" s="25">
        <f t="shared" si="100"/>
        <v>4180.9769999999999</v>
      </c>
      <c r="L6373" s="25">
        <v>1.84</v>
      </c>
      <c r="M6373" s="24">
        <v>35339.5</v>
      </c>
      <c r="N6373" s="25">
        <f>IFERROR(T_reg.root.SK[[#This Row],[Price]]/T_reg.root.SK[[#This Row],[Starch content]],"")</f>
        <v>8.436497019715727</v>
      </c>
    </row>
    <row r="6374" spans="1:14">
      <c r="A6374" s="21">
        <v>2025</v>
      </c>
      <c r="B6374" s="21" t="s">
        <v>24</v>
      </c>
      <c r="C6374" s="21" t="s">
        <v>1145</v>
      </c>
      <c r="D6374" s="21" t="s">
        <v>35</v>
      </c>
      <c r="E6374" s="17" t="s">
        <v>741</v>
      </c>
      <c r="F6374" s="17" t="s">
        <v>105</v>
      </c>
      <c r="G6374" s="18" t="s">
        <v>48</v>
      </c>
      <c r="H6374" s="24">
        <v>2300</v>
      </c>
      <c r="I6374" s="24">
        <f>T_reg.root.SK[[#This Row],[Volume, kg]]/1000</f>
        <v>2.2999999999999998</v>
      </c>
      <c r="J6374" s="25">
        <v>0.26800000000000002</v>
      </c>
      <c r="K6374" s="25">
        <f t="shared" si="100"/>
        <v>616.40000000000009</v>
      </c>
      <c r="L6374" s="25">
        <v>2.0499999999999998</v>
      </c>
      <c r="M6374" s="24">
        <v>4715</v>
      </c>
      <c r="N6374" s="25">
        <f>IFERROR(T_reg.root.SK[[#This Row],[Price]]/T_reg.root.SK[[#This Row],[Starch content]],"")</f>
        <v>7.6492537313432827</v>
      </c>
    </row>
    <row r="6375" spans="1:14">
      <c r="A6375" s="21">
        <v>2025</v>
      </c>
      <c r="B6375" s="21" t="s">
        <v>24</v>
      </c>
      <c r="C6375" s="21" t="s">
        <v>1145</v>
      </c>
      <c r="D6375" s="21" t="s">
        <v>35</v>
      </c>
      <c r="E6375" s="17" t="s">
        <v>640</v>
      </c>
      <c r="F6375" s="17" t="s">
        <v>105</v>
      </c>
      <c r="G6375" s="18" t="s">
        <v>48</v>
      </c>
      <c r="H6375" s="24">
        <v>15290</v>
      </c>
      <c r="I6375" s="24">
        <f>T_reg.root.SK[[#This Row],[Volume, kg]]/1000</f>
        <v>15.29</v>
      </c>
      <c r="J6375" s="25">
        <v>0.22839999999999999</v>
      </c>
      <c r="K6375" s="25">
        <f t="shared" si="100"/>
        <v>3492.2359999999999</v>
      </c>
      <c r="L6375" s="25">
        <v>1.85</v>
      </c>
      <c r="M6375" s="24">
        <v>28345.5</v>
      </c>
      <c r="N6375" s="25">
        <f>IFERROR(T_reg.root.SK[[#This Row],[Price]]/T_reg.root.SK[[#This Row],[Starch content]],"")</f>
        <v>8.0998248686514884</v>
      </c>
    </row>
    <row r="6376" spans="1:14">
      <c r="A6376" s="21">
        <v>2025</v>
      </c>
      <c r="B6376" s="21" t="s">
        <v>24</v>
      </c>
      <c r="C6376" s="21" t="s">
        <v>1145</v>
      </c>
      <c r="D6376" s="21" t="s">
        <v>35</v>
      </c>
      <c r="E6376" s="17" t="s">
        <v>774</v>
      </c>
      <c r="F6376" s="17" t="s">
        <v>105</v>
      </c>
      <c r="G6376" s="18" t="s">
        <v>48</v>
      </c>
      <c r="H6376" s="24">
        <v>58590</v>
      </c>
      <c r="I6376" s="24">
        <f>T_reg.root.SK[[#This Row],[Volume, kg]]/1000</f>
        <v>58.59</v>
      </c>
      <c r="J6376" s="25">
        <v>0.23769999999999999</v>
      </c>
      <c r="K6376" s="25">
        <f t="shared" si="100"/>
        <v>13926.842999999999</v>
      </c>
      <c r="L6376" s="25">
        <v>1.99</v>
      </c>
      <c r="M6376" s="24">
        <v>116390.5</v>
      </c>
      <c r="N6376" s="25">
        <f>IFERROR(T_reg.root.SK[[#This Row],[Price]]/T_reg.root.SK[[#This Row],[Starch content]],"")</f>
        <v>8.3718973496003368</v>
      </c>
    </row>
    <row r="6377" spans="1:14">
      <c r="A6377" s="21">
        <v>2025</v>
      </c>
      <c r="B6377" s="21" t="s">
        <v>24</v>
      </c>
      <c r="C6377" s="21" t="s">
        <v>1145</v>
      </c>
      <c r="D6377" s="21" t="s">
        <v>35</v>
      </c>
      <c r="E6377" s="17" t="s">
        <v>959</v>
      </c>
      <c r="F6377" s="17" t="s">
        <v>105</v>
      </c>
      <c r="G6377" s="18" t="s">
        <v>48</v>
      </c>
      <c r="H6377" s="24">
        <v>4140</v>
      </c>
      <c r="I6377" s="24">
        <f>T_reg.root.SK[[#This Row],[Volume, kg]]/1000</f>
        <v>4.1399999999999997</v>
      </c>
      <c r="J6377" s="25">
        <v>0.23499999999999999</v>
      </c>
      <c r="K6377" s="25">
        <f t="shared" si="100"/>
        <v>972.9</v>
      </c>
      <c r="L6377" s="25">
        <v>1.95</v>
      </c>
      <c r="M6377" s="24">
        <v>8073</v>
      </c>
      <c r="N6377" s="25">
        <f>IFERROR(T_reg.root.SK[[#This Row],[Price]]/T_reg.root.SK[[#This Row],[Starch content]],"")</f>
        <v>8.297872340425533</v>
      </c>
    </row>
    <row r="6378" spans="1:14">
      <c r="A6378" s="21">
        <v>2025</v>
      </c>
      <c r="B6378" s="21" t="s">
        <v>24</v>
      </c>
      <c r="C6378" s="21" t="s">
        <v>1145</v>
      </c>
      <c r="D6378" s="21" t="s">
        <v>35</v>
      </c>
      <c r="E6378" s="17" t="s">
        <v>831</v>
      </c>
      <c r="F6378" s="17" t="s">
        <v>187</v>
      </c>
      <c r="G6378" s="18" t="s">
        <v>48</v>
      </c>
      <c r="H6378" s="24">
        <v>27700</v>
      </c>
      <c r="I6378" s="24">
        <f>T_reg.root.SK[[#This Row],[Volume, kg]]/1000</f>
        <v>27.7</v>
      </c>
      <c r="J6378" s="25">
        <v>0.17269999999999999</v>
      </c>
      <c r="K6378" s="25">
        <f t="shared" si="100"/>
        <v>4783.79</v>
      </c>
      <c r="L6378" s="25">
        <v>1.6</v>
      </c>
      <c r="M6378" s="24">
        <v>44307.5</v>
      </c>
      <c r="N6378" s="25">
        <f>IFERROR(T_reg.root.SK[[#This Row],[Price]]/T_reg.root.SK[[#This Row],[Starch content]],"")</f>
        <v>9.2646207295888825</v>
      </c>
    </row>
    <row r="6379" spans="1:14">
      <c r="A6379" s="21">
        <v>2025</v>
      </c>
      <c r="B6379" s="21" t="s">
        <v>24</v>
      </c>
      <c r="C6379" s="21" t="s">
        <v>1145</v>
      </c>
      <c r="D6379" s="21" t="s">
        <v>35</v>
      </c>
      <c r="E6379" s="17" t="s">
        <v>183</v>
      </c>
      <c r="F6379" s="17" t="s">
        <v>105</v>
      </c>
      <c r="G6379" s="18" t="s">
        <v>48</v>
      </c>
      <c r="H6379" s="24">
        <v>59620</v>
      </c>
      <c r="I6379" s="24">
        <f>T_reg.root.SK[[#This Row],[Volume, kg]]/1000</f>
        <v>59.62</v>
      </c>
      <c r="J6379" s="25">
        <v>0.20910000000000001</v>
      </c>
      <c r="K6379" s="25">
        <f t="shared" si="100"/>
        <v>12466.542000000001</v>
      </c>
      <c r="L6379" s="25">
        <v>1.82</v>
      </c>
      <c r="M6379" s="24">
        <v>108223</v>
      </c>
      <c r="N6379" s="25">
        <f>IFERROR(T_reg.root.SK[[#This Row],[Price]]/T_reg.root.SK[[#This Row],[Starch content]],"")</f>
        <v>8.7039693926351021</v>
      </c>
    </row>
    <row r="6380" spans="1:14">
      <c r="A6380" s="21">
        <v>2025</v>
      </c>
      <c r="B6380" s="21" t="s">
        <v>25</v>
      </c>
      <c r="C6380" s="21" t="s">
        <v>1145</v>
      </c>
      <c r="D6380" s="21" t="s">
        <v>184</v>
      </c>
      <c r="E6380" s="17" t="s">
        <v>185</v>
      </c>
      <c r="F6380" s="17" t="s">
        <v>105</v>
      </c>
      <c r="G6380" s="18" t="s">
        <v>48</v>
      </c>
      <c r="H6380" s="24">
        <v>2360</v>
      </c>
      <c r="I6380" s="24">
        <f>T_reg.root.SK[[#This Row],[Volume, kg]]/1000</f>
        <v>2.36</v>
      </c>
      <c r="J6380" s="25">
        <v>0.27300000000000002</v>
      </c>
      <c r="K6380" s="25">
        <f t="shared" si="100"/>
        <v>644.28000000000009</v>
      </c>
      <c r="L6380" s="25">
        <v>2.2000000000000002</v>
      </c>
      <c r="M6380" s="24">
        <v>5192</v>
      </c>
      <c r="N6380" s="25">
        <f>IFERROR(T_reg.root.SK[[#This Row],[Price]]/T_reg.root.SK[[#This Row],[Starch content]],"")</f>
        <v>8.0586080586080584</v>
      </c>
    </row>
    <row r="6381" spans="1:14">
      <c r="A6381" s="21">
        <v>2025</v>
      </c>
      <c r="B6381" s="21" t="s">
        <v>25</v>
      </c>
      <c r="C6381" s="21" t="s">
        <v>1145</v>
      </c>
      <c r="D6381" s="21" t="s">
        <v>35</v>
      </c>
      <c r="E6381" s="17" t="s">
        <v>288</v>
      </c>
      <c r="F6381" s="17" t="s">
        <v>105</v>
      </c>
      <c r="G6381" s="18" t="s">
        <v>48</v>
      </c>
      <c r="H6381" s="24">
        <v>5780</v>
      </c>
      <c r="I6381" s="24">
        <f>T_reg.root.SK[[#This Row],[Volume, kg]]/1000</f>
        <v>5.78</v>
      </c>
      <c r="J6381" s="25">
        <v>0.25900000000000001</v>
      </c>
      <c r="K6381" s="25">
        <f t="shared" si="100"/>
        <v>1497.02</v>
      </c>
      <c r="L6381" s="25">
        <v>2.15</v>
      </c>
      <c r="M6381" s="24">
        <v>12427</v>
      </c>
      <c r="N6381" s="25">
        <f>IFERROR(T_reg.root.SK[[#This Row],[Price]]/T_reg.root.SK[[#This Row],[Starch content]],"")</f>
        <v>8.301158301158301</v>
      </c>
    </row>
    <row r="6382" spans="1:14">
      <c r="A6382" s="21">
        <v>2025</v>
      </c>
      <c r="B6382" s="21" t="s">
        <v>25</v>
      </c>
      <c r="C6382" s="21" t="s">
        <v>1145</v>
      </c>
      <c r="D6382" s="21" t="s">
        <v>35</v>
      </c>
      <c r="E6382" s="17" t="s">
        <v>190</v>
      </c>
      <c r="F6382" s="17" t="s">
        <v>187</v>
      </c>
      <c r="G6382" s="18" t="s">
        <v>48</v>
      </c>
      <c r="H6382" s="24">
        <v>0</v>
      </c>
      <c r="I6382" s="24">
        <f>T_reg.root.SK[[#This Row],[Volume, kg]]/1000</f>
        <v>0</v>
      </c>
      <c r="J6382" s="25">
        <v>0</v>
      </c>
      <c r="K6382" s="25">
        <f t="shared" si="100"/>
        <v>0</v>
      </c>
      <c r="L6382" s="25">
        <v>0</v>
      </c>
      <c r="M6382" s="24">
        <v>0</v>
      </c>
      <c r="N6382" s="25" t="str">
        <f>IFERROR(T_reg.root.SK[[#This Row],[Price]]/T_reg.root.SK[[#This Row],[Starch content]],"")</f>
        <v/>
      </c>
    </row>
    <row r="6383" spans="1:14">
      <c r="A6383" s="21">
        <v>2025</v>
      </c>
      <c r="B6383" s="21" t="s">
        <v>25</v>
      </c>
      <c r="C6383" s="21" t="s">
        <v>1145</v>
      </c>
      <c r="D6383" s="21" t="s">
        <v>35</v>
      </c>
      <c r="E6383" s="17" t="s">
        <v>987</v>
      </c>
      <c r="F6383" s="17" t="s">
        <v>105</v>
      </c>
      <c r="G6383" s="18" t="s">
        <v>48</v>
      </c>
      <c r="H6383" s="24">
        <v>6400</v>
      </c>
      <c r="I6383" s="24">
        <f>T_reg.root.SK[[#This Row],[Volume, kg]]/1000</f>
        <v>6.4</v>
      </c>
      <c r="J6383" s="25">
        <v>0.217</v>
      </c>
      <c r="K6383" s="25">
        <f t="shared" si="100"/>
        <v>1388.8</v>
      </c>
      <c r="L6383" s="25">
        <v>2</v>
      </c>
      <c r="M6383" s="24">
        <v>12800</v>
      </c>
      <c r="N6383" s="25">
        <f>IFERROR(T_reg.root.SK[[#This Row],[Price]]/T_reg.root.SK[[#This Row],[Starch content]],"")</f>
        <v>9.216589861751153</v>
      </c>
    </row>
    <row r="6384" spans="1:14">
      <c r="A6384" s="21">
        <v>2025</v>
      </c>
      <c r="B6384" s="21" t="s">
        <v>25</v>
      </c>
      <c r="C6384" s="21" t="s">
        <v>1145</v>
      </c>
      <c r="D6384" s="21" t="s">
        <v>35</v>
      </c>
      <c r="E6384" s="17" t="s">
        <v>289</v>
      </c>
      <c r="F6384" s="17" t="s">
        <v>105</v>
      </c>
      <c r="G6384" s="18" t="s">
        <v>48</v>
      </c>
      <c r="H6384" s="24">
        <v>21010</v>
      </c>
      <c r="I6384" s="24">
        <f>T_reg.root.SK[[#This Row],[Volume, kg]]/1000</f>
        <v>21.01</v>
      </c>
      <c r="J6384" s="25">
        <v>0.27060000000000001</v>
      </c>
      <c r="K6384" s="25">
        <f t="shared" si="100"/>
        <v>5685.3060000000005</v>
      </c>
      <c r="L6384" s="25">
        <v>2.2000000000000002</v>
      </c>
      <c r="M6384" s="24">
        <v>46243.5</v>
      </c>
      <c r="N6384" s="25">
        <f>IFERROR(T_reg.root.SK[[#This Row],[Price]]/T_reg.root.SK[[#This Row],[Starch content]],"")</f>
        <v>8.1300813008130088</v>
      </c>
    </row>
    <row r="6385" spans="1:14">
      <c r="A6385" s="21">
        <v>2025</v>
      </c>
      <c r="B6385" s="21" t="s">
        <v>25</v>
      </c>
      <c r="C6385" s="21" t="s">
        <v>1145</v>
      </c>
      <c r="D6385" s="21" t="s">
        <v>35</v>
      </c>
      <c r="E6385" s="17" t="s">
        <v>108</v>
      </c>
      <c r="F6385" s="17" t="s">
        <v>105</v>
      </c>
      <c r="G6385" s="18" t="s">
        <v>48</v>
      </c>
      <c r="H6385" s="24">
        <v>26560</v>
      </c>
      <c r="I6385" s="24">
        <f>T_reg.root.SK[[#This Row],[Volume, kg]]/1000</f>
        <v>26.56</v>
      </c>
      <c r="J6385" s="25">
        <v>0.23350000000000001</v>
      </c>
      <c r="K6385" s="25">
        <f t="shared" si="100"/>
        <v>6201.76</v>
      </c>
      <c r="L6385" s="25">
        <v>2.0499999999999998</v>
      </c>
      <c r="M6385" s="24">
        <v>54481.5</v>
      </c>
      <c r="N6385" s="25">
        <f>IFERROR(T_reg.root.SK[[#This Row],[Price]]/T_reg.root.SK[[#This Row],[Starch content]],"")</f>
        <v>8.7794432548179859</v>
      </c>
    </row>
    <row r="6386" spans="1:14">
      <c r="A6386" s="21">
        <v>2025</v>
      </c>
      <c r="B6386" s="21" t="s">
        <v>25</v>
      </c>
      <c r="C6386" s="21" t="s">
        <v>1145</v>
      </c>
      <c r="D6386" s="21" t="s">
        <v>35</v>
      </c>
      <c r="E6386" s="17" t="s">
        <v>1047</v>
      </c>
      <c r="F6386" s="17" t="s">
        <v>105</v>
      </c>
      <c r="G6386" s="18" t="s">
        <v>48</v>
      </c>
      <c r="H6386" s="24">
        <v>19460</v>
      </c>
      <c r="I6386" s="24">
        <f>T_reg.root.SK[[#This Row],[Volume, kg]]/1000</f>
        <v>19.46</v>
      </c>
      <c r="J6386" s="25">
        <v>0.23780000000000001</v>
      </c>
      <c r="K6386" s="25">
        <f t="shared" si="100"/>
        <v>4627.5880000000006</v>
      </c>
      <c r="L6386" s="25">
        <v>2.06</v>
      </c>
      <c r="M6386" s="24">
        <v>40018</v>
      </c>
      <c r="N6386" s="25">
        <f>IFERROR(T_reg.root.SK[[#This Row],[Price]]/T_reg.root.SK[[#This Row],[Starch content]],"")</f>
        <v>8.6627417998317906</v>
      </c>
    </row>
    <row r="6387" spans="1:14">
      <c r="A6387" s="21">
        <v>2025</v>
      </c>
      <c r="B6387" s="21" t="s">
        <v>25</v>
      </c>
      <c r="C6387" s="21" t="s">
        <v>1145</v>
      </c>
      <c r="D6387" s="21" t="s">
        <v>39</v>
      </c>
      <c r="E6387" s="17" t="s">
        <v>1017</v>
      </c>
      <c r="F6387" s="17" t="s">
        <v>1018</v>
      </c>
      <c r="G6387" s="18" t="s">
        <v>103</v>
      </c>
      <c r="H6387" s="24">
        <v>1407110</v>
      </c>
      <c r="I6387" s="24">
        <f>T_reg.root.SK[[#This Row],[Volume, kg]]/1000</f>
        <v>1407.11</v>
      </c>
      <c r="J6387" s="25">
        <v>0.24359999999999998</v>
      </c>
      <c r="K6387" s="25">
        <f t="shared" si="100"/>
        <v>342771.99599999998</v>
      </c>
      <c r="L6387" s="25">
        <v>2.48</v>
      </c>
      <c r="M6387" s="24">
        <v>3488512.5</v>
      </c>
      <c r="N6387" s="25">
        <f>IFERROR(T_reg.root.SK[[#This Row],[Price]]/T_reg.root.SK[[#This Row],[Starch content]],"")</f>
        <v>10.180623973727423</v>
      </c>
    </row>
    <row r="6388" spans="1:14">
      <c r="A6388" s="21">
        <v>2025</v>
      </c>
      <c r="B6388" s="21" t="s">
        <v>25</v>
      </c>
      <c r="C6388" s="21" t="s">
        <v>1145</v>
      </c>
      <c r="D6388" s="21" t="s">
        <v>35</v>
      </c>
      <c r="E6388" s="17" t="s">
        <v>931</v>
      </c>
      <c r="F6388" s="17" t="s">
        <v>105</v>
      </c>
      <c r="G6388" s="18" t="s">
        <v>48</v>
      </c>
      <c r="H6388" s="24">
        <v>16640</v>
      </c>
      <c r="I6388" s="24">
        <f>T_reg.root.SK[[#This Row],[Volume, kg]]/1000</f>
        <v>16.64</v>
      </c>
      <c r="J6388" s="25">
        <v>0.27699999999999997</v>
      </c>
      <c r="K6388" s="25">
        <f t="shared" si="100"/>
        <v>4609.28</v>
      </c>
      <c r="L6388" s="25">
        <v>2.2999999999999998</v>
      </c>
      <c r="M6388" s="24">
        <v>38272</v>
      </c>
      <c r="N6388" s="25">
        <f>IFERROR(T_reg.root.SK[[#This Row],[Price]]/T_reg.root.SK[[#This Row],[Starch content]],"")</f>
        <v>8.3032490974729249</v>
      </c>
    </row>
    <row r="6389" spans="1:14">
      <c r="A6389" s="21">
        <v>2025</v>
      </c>
      <c r="B6389" s="21" t="s">
        <v>25</v>
      </c>
      <c r="C6389" s="21" t="s">
        <v>1145</v>
      </c>
      <c r="D6389" s="21" t="s">
        <v>39</v>
      </c>
      <c r="E6389" s="17" t="s">
        <v>1020</v>
      </c>
      <c r="F6389" s="17" t="s">
        <v>1021</v>
      </c>
      <c r="G6389" s="18" t="s">
        <v>1022</v>
      </c>
      <c r="H6389" s="24">
        <v>150120</v>
      </c>
      <c r="I6389" s="24">
        <f>T_reg.root.SK[[#This Row],[Volume, kg]]/1000</f>
        <v>150.12</v>
      </c>
      <c r="J6389" s="25">
        <v>0.2107</v>
      </c>
      <c r="K6389" s="25">
        <f t="shared" si="100"/>
        <v>31630.284</v>
      </c>
      <c r="L6389" s="25">
        <v>2.31</v>
      </c>
      <c r="M6389" s="24">
        <v>346727.5</v>
      </c>
      <c r="N6389" s="25">
        <f>IFERROR(T_reg.root.SK[[#This Row],[Price]]/T_reg.root.SK[[#This Row],[Starch content]],"")</f>
        <v>10.963455149501662</v>
      </c>
    </row>
    <row r="6390" spans="1:14">
      <c r="A6390" s="21">
        <v>2025</v>
      </c>
      <c r="B6390" s="21" t="s">
        <v>25</v>
      </c>
      <c r="C6390" s="21" t="s">
        <v>1145</v>
      </c>
      <c r="D6390" s="21" t="s">
        <v>35</v>
      </c>
      <c r="E6390" s="17" t="s">
        <v>803</v>
      </c>
      <c r="F6390" s="17" t="s">
        <v>105</v>
      </c>
      <c r="G6390" s="18" t="s">
        <v>48</v>
      </c>
      <c r="H6390" s="24">
        <v>13410</v>
      </c>
      <c r="I6390" s="24">
        <f>T_reg.root.SK[[#This Row],[Volume, kg]]/1000</f>
        <v>13.41</v>
      </c>
      <c r="J6390" s="25">
        <v>0.21010000000000001</v>
      </c>
      <c r="K6390" s="25">
        <f t="shared" si="100"/>
        <v>2817.4410000000003</v>
      </c>
      <c r="L6390" s="25">
        <v>1.94</v>
      </c>
      <c r="M6390" s="24">
        <v>26037</v>
      </c>
      <c r="N6390" s="25">
        <f>IFERROR(T_reg.root.SK[[#This Row],[Price]]/T_reg.root.SK[[#This Row],[Starch content]],"")</f>
        <v>9.2336982389338402</v>
      </c>
    </row>
    <row r="6391" spans="1:14">
      <c r="A6391" s="21">
        <v>2025</v>
      </c>
      <c r="B6391" s="21" t="s">
        <v>25</v>
      </c>
      <c r="C6391" s="21" t="s">
        <v>1145</v>
      </c>
      <c r="D6391" s="21" t="s">
        <v>39</v>
      </c>
      <c r="E6391" s="17" t="s">
        <v>284</v>
      </c>
      <c r="F6391" s="17" t="s">
        <v>285</v>
      </c>
      <c r="G6391" s="18" t="s">
        <v>286</v>
      </c>
      <c r="H6391" s="24">
        <v>727480</v>
      </c>
      <c r="I6391" s="24">
        <f>T_reg.root.SK[[#This Row],[Volume, kg]]/1000</f>
        <v>727.48</v>
      </c>
      <c r="J6391" s="25">
        <v>0.24859999999999999</v>
      </c>
      <c r="K6391" s="25">
        <f t="shared" si="100"/>
        <v>180851.52799999999</v>
      </c>
      <c r="L6391" s="25">
        <v>2.5099999999999998</v>
      </c>
      <c r="M6391" s="24">
        <v>1829039</v>
      </c>
      <c r="N6391" s="25">
        <f>IFERROR(T_reg.root.SK[[#This Row],[Price]]/T_reg.root.SK[[#This Row],[Starch content]],"")</f>
        <v>10.096540627514079</v>
      </c>
    </row>
    <row r="6392" spans="1:14">
      <c r="A6392" s="21">
        <v>2025</v>
      </c>
      <c r="B6392" s="21" t="s">
        <v>25</v>
      </c>
      <c r="C6392" s="21" t="s">
        <v>1145</v>
      </c>
      <c r="D6392" s="21" t="s">
        <v>39</v>
      </c>
      <c r="E6392" s="17" t="s">
        <v>997</v>
      </c>
      <c r="F6392" s="17" t="s">
        <v>998</v>
      </c>
      <c r="G6392" s="18" t="s">
        <v>87</v>
      </c>
      <c r="H6392" s="24">
        <v>4099590</v>
      </c>
      <c r="I6392" s="24">
        <f>T_reg.root.SK[[#This Row],[Volume, kg]]/1000</f>
        <v>4099.59</v>
      </c>
      <c r="J6392" s="25">
        <v>0.248</v>
      </c>
      <c r="K6392" s="25">
        <f t="shared" si="100"/>
        <v>1016698.32</v>
      </c>
      <c r="L6392" s="25">
        <v>2.5499999999999998</v>
      </c>
      <c r="M6392" s="24">
        <v>10434133.5</v>
      </c>
      <c r="N6392" s="25">
        <f>IFERROR(T_reg.root.SK[[#This Row],[Price]]/T_reg.root.SK[[#This Row],[Starch content]],"")</f>
        <v>10.282258064516128</v>
      </c>
    </row>
    <row r="6393" spans="1:14">
      <c r="A6393" s="21">
        <v>2025</v>
      </c>
      <c r="B6393" s="21" t="s">
        <v>25</v>
      </c>
      <c r="C6393" s="21" t="s">
        <v>1145</v>
      </c>
      <c r="D6393" s="21" t="s">
        <v>35</v>
      </c>
      <c r="E6393" s="17" t="s">
        <v>235</v>
      </c>
      <c r="F6393" s="17" t="s">
        <v>105</v>
      </c>
      <c r="G6393" s="18" t="s">
        <v>48</v>
      </c>
      <c r="H6393" s="24">
        <v>48200</v>
      </c>
      <c r="I6393" s="24">
        <f>T_reg.root.SK[[#This Row],[Volume, kg]]/1000</f>
        <v>48.2</v>
      </c>
      <c r="J6393" s="25">
        <v>0.22670000000000001</v>
      </c>
      <c r="K6393" s="25">
        <f t="shared" si="100"/>
        <v>10926.94</v>
      </c>
      <c r="L6393" s="25">
        <v>1.99</v>
      </c>
      <c r="M6393" s="24">
        <v>95906</v>
      </c>
      <c r="N6393" s="25">
        <f>IFERROR(T_reg.root.SK[[#This Row],[Price]]/T_reg.root.SK[[#This Row],[Starch content]],"")</f>
        <v>8.7781208645787387</v>
      </c>
    </row>
    <row r="6394" spans="1:14">
      <c r="A6394" s="21">
        <v>2025</v>
      </c>
      <c r="B6394" s="21" t="s">
        <v>25</v>
      </c>
      <c r="C6394" s="21" t="s">
        <v>1145</v>
      </c>
      <c r="D6394" s="21" t="s">
        <v>35</v>
      </c>
      <c r="E6394" s="17" t="s">
        <v>1032</v>
      </c>
      <c r="F6394" s="17" t="s">
        <v>105</v>
      </c>
      <c r="G6394" s="18" t="s">
        <v>48</v>
      </c>
      <c r="H6394" s="24">
        <v>10370</v>
      </c>
      <c r="I6394" s="24">
        <f>T_reg.root.SK[[#This Row],[Volume, kg]]/1000</f>
        <v>10.37</v>
      </c>
      <c r="J6394" s="25">
        <v>0.2145</v>
      </c>
      <c r="K6394" s="25">
        <f t="shared" si="100"/>
        <v>2224.3649999999998</v>
      </c>
      <c r="L6394" s="25">
        <v>1.95</v>
      </c>
      <c r="M6394" s="24">
        <v>20221.5</v>
      </c>
      <c r="N6394" s="25">
        <f>IFERROR(T_reg.root.SK[[#This Row],[Price]]/T_reg.root.SK[[#This Row],[Starch content]],"")</f>
        <v>9.0909090909090917</v>
      </c>
    </row>
    <row r="6395" spans="1:14">
      <c r="A6395" s="21">
        <v>2025</v>
      </c>
      <c r="B6395" s="21" t="s">
        <v>25</v>
      </c>
      <c r="C6395" s="21" t="s">
        <v>1145</v>
      </c>
      <c r="D6395" s="21" t="s">
        <v>35</v>
      </c>
      <c r="E6395" s="17" t="s">
        <v>1048</v>
      </c>
      <c r="F6395" s="17" t="s">
        <v>105</v>
      </c>
      <c r="G6395" s="18" t="s">
        <v>48</v>
      </c>
      <c r="H6395" s="24">
        <v>80180</v>
      </c>
      <c r="I6395" s="24">
        <f>T_reg.root.SK[[#This Row],[Volume, kg]]/1000</f>
        <v>80.180000000000007</v>
      </c>
      <c r="J6395" s="25">
        <v>0.20199999999999999</v>
      </c>
      <c r="K6395" s="25">
        <f t="shared" si="100"/>
        <v>16196.359999999999</v>
      </c>
      <c r="L6395" s="25">
        <v>1.86</v>
      </c>
      <c r="M6395" s="24">
        <v>149302.5</v>
      </c>
      <c r="N6395" s="25">
        <f>IFERROR(T_reg.root.SK[[#This Row],[Price]]/T_reg.root.SK[[#This Row],[Starch content]],"")</f>
        <v>9.207920792079209</v>
      </c>
    </row>
    <row r="6396" spans="1:14">
      <c r="A6396" s="21">
        <v>2025</v>
      </c>
      <c r="B6396" s="21" t="s">
        <v>25</v>
      </c>
      <c r="C6396" s="21" t="s">
        <v>1145</v>
      </c>
      <c r="D6396" s="21" t="s">
        <v>35</v>
      </c>
      <c r="E6396" s="17" t="s">
        <v>560</v>
      </c>
      <c r="F6396" s="17" t="s">
        <v>105</v>
      </c>
      <c r="G6396" s="18" t="s">
        <v>48</v>
      </c>
      <c r="H6396" s="24">
        <v>3750</v>
      </c>
      <c r="I6396" s="24">
        <f>T_reg.root.SK[[#This Row],[Volume, kg]]/1000</f>
        <v>3.75</v>
      </c>
      <c r="J6396" s="25">
        <v>0.19649999999999998</v>
      </c>
      <c r="K6396" s="25">
        <f t="shared" si="100"/>
        <v>736.87499999999989</v>
      </c>
      <c r="L6396" s="25">
        <v>1.9</v>
      </c>
      <c r="M6396" s="24">
        <v>7125</v>
      </c>
      <c r="N6396" s="25">
        <f>IFERROR(T_reg.root.SK[[#This Row],[Price]]/T_reg.root.SK[[#This Row],[Starch content]],"")</f>
        <v>9.669211195928753</v>
      </c>
    </row>
    <row r="6397" spans="1:14">
      <c r="A6397" s="21">
        <v>2025</v>
      </c>
      <c r="B6397" s="21" t="s">
        <v>25</v>
      </c>
      <c r="C6397" s="21" t="s">
        <v>1145</v>
      </c>
      <c r="D6397" s="21" t="s">
        <v>35</v>
      </c>
      <c r="E6397" s="17" t="s">
        <v>296</v>
      </c>
      <c r="F6397" s="17" t="s">
        <v>105</v>
      </c>
      <c r="G6397" s="18" t="s">
        <v>48</v>
      </c>
      <c r="H6397" s="24">
        <v>49420</v>
      </c>
      <c r="I6397" s="24">
        <f>T_reg.root.SK[[#This Row],[Volume, kg]]/1000</f>
        <v>49.42</v>
      </c>
      <c r="J6397" s="25">
        <v>0.2364</v>
      </c>
      <c r="K6397" s="25">
        <f t="shared" si="100"/>
        <v>11682.888000000001</v>
      </c>
      <c r="L6397" s="25">
        <v>2.04</v>
      </c>
      <c r="M6397" s="24">
        <v>100792.5</v>
      </c>
      <c r="N6397" s="25">
        <f>IFERROR(T_reg.root.SK[[#This Row],[Price]]/T_reg.root.SK[[#This Row],[Starch content]],"")</f>
        <v>8.6294416243654819</v>
      </c>
    </row>
    <row r="6398" spans="1:14">
      <c r="A6398" s="21">
        <v>2025</v>
      </c>
      <c r="B6398" s="21" t="s">
        <v>25</v>
      </c>
      <c r="C6398" s="21" t="s">
        <v>1145</v>
      </c>
      <c r="D6398" s="21" t="s">
        <v>39</v>
      </c>
      <c r="E6398" s="17" t="s">
        <v>782</v>
      </c>
      <c r="F6398" s="17" t="s">
        <v>783</v>
      </c>
      <c r="G6398" s="18" t="s">
        <v>87</v>
      </c>
      <c r="H6398" s="24">
        <v>1434050</v>
      </c>
      <c r="I6398" s="24">
        <f>T_reg.root.SK[[#This Row],[Volume, kg]]/1000</f>
        <v>1434.05</v>
      </c>
      <c r="J6398" s="25">
        <v>0.23300000000000001</v>
      </c>
      <c r="K6398" s="25">
        <f t="shared" si="100"/>
        <v>334133.65000000002</v>
      </c>
      <c r="L6398" s="25">
        <v>2.4700000000000002</v>
      </c>
      <c r="M6398" s="24">
        <v>3541396</v>
      </c>
      <c r="N6398" s="25">
        <f>IFERROR(T_reg.root.SK[[#This Row],[Price]]/T_reg.root.SK[[#This Row],[Starch content]],"")</f>
        <v>10.600858369098713</v>
      </c>
    </row>
    <row r="6399" spans="1:14">
      <c r="A6399" s="21">
        <v>2025</v>
      </c>
      <c r="B6399" s="21" t="s">
        <v>25</v>
      </c>
      <c r="C6399" s="21" t="s">
        <v>1145</v>
      </c>
      <c r="D6399" s="21" t="s">
        <v>35</v>
      </c>
      <c r="E6399" s="17" t="s">
        <v>462</v>
      </c>
      <c r="F6399" s="17" t="s">
        <v>47</v>
      </c>
      <c r="G6399" s="18" t="s">
        <v>48</v>
      </c>
      <c r="H6399" s="24">
        <v>3920</v>
      </c>
      <c r="I6399" s="24">
        <f>T_reg.root.SK[[#This Row],[Volume, kg]]/1000</f>
        <v>3.92</v>
      </c>
      <c r="J6399" s="25">
        <v>0.23250000000000001</v>
      </c>
      <c r="K6399" s="25">
        <f t="shared" si="100"/>
        <v>911.40000000000009</v>
      </c>
      <c r="L6399" s="25">
        <v>2</v>
      </c>
      <c r="M6399" s="24">
        <v>7840</v>
      </c>
      <c r="N6399" s="25">
        <f>IFERROR(T_reg.root.SK[[#This Row],[Price]]/T_reg.root.SK[[#This Row],[Starch content]],"")</f>
        <v>8.6021505376344081</v>
      </c>
    </row>
    <row r="6400" spans="1:14">
      <c r="A6400" s="21">
        <v>2025</v>
      </c>
      <c r="B6400" s="21" t="s">
        <v>25</v>
      </c>
      <c r="C6400" s="21" t="s">
        <v>1145</v>
      </c>
      <c r="D6400" s="21" t="s">
        <v>39</v>
      </c>
      <c r="E6400" s="17" t="s">
        <v>101</v>
      </c>
      <c r="F6400" s="17" t="s">
        <v>102</v>
      </c>
      <c r="G6400" s="18" t="s">
        <v>103</v>
      </c>
      <c r="H6400" s="24">
        <v>1090020</v>
      </c>
      <c r="I6400" s="24">
        <f>T_reg.root.SK[[#This Row],[Volume, kg]]/1000</f>
        <v>1090.02</v>
      </c>
      <c r="J6400" s="25">
        <v>0.23680000000000001</v>
      </c>
      <c r="K6400" s="25">
        <f t="shared" si="100"/>
        <v>258116.736</v>
      </c>
      <c r="L6400" s="25">
        <v>2.41</v>
      </c>
      <c r="M6400" s="24">
        <v>2622040</v>
      </c>
      <c r="N6400" s="25">
        <f>IFERROR(T_reg.root.SK[[#This Row],[Price]]/T_reg.root.SK[[#This Row],[Starch content]],"")</f>
        <v>10.177364864864865</v>
      </c>
    </row>
    <row r="6401" spans="1:14">
      <c r="A6401" s="21">
        <v>2025</v>
      </c>
      <c r="B6401" s="21" t="s">
        <v>25</v>
      </c>
      <c r="C6401" s="21" t="s">
        <v>1145</v>
      </c>
      <c r="D6401" s="21" t="s">
        <v>35</v>
      </c>
      <c r="E6401" s="17" t="s">
        <v>120</v>
      </c>
      <c r="F6401" s="17" t="s">
        <v>105</v>
      </c>
      <c r="G6401" s="18" t="s">
        <v>48</v>
      </c>
      <c r="H6401" s="24">
        <v>4840</v>
      </c>
      <c r="I6401" s="24">
        <f>T_reg.root.SK[[#This Row],[Volume, kg]]/1000</f>
        <v>4.84</v>
      </c>
      <c r="J6401" s="25">
        <v>0.2235</v>
      </c>
      <c r="K6401" s="25">
        <f t="shared" si="100"/>
        <v>1081.74</v>
      </c>
      <c r="L6401" s="25">
        <v>1.95</v>
      </c>
      <c r="M6401" s="24">
        <v>9438</v>
      </c>
      <c r="N6401" s="25">
        <f>IFERROR(T_reg.root.SK[[#This Row],[Price]]/T_reg.root.SK[[#This Row],[Starch content]],"")</f>
        <v>8.724832214765101</v>
      </c>
    </row>
    <row r="6402" spans="1:14">
      <c r="A6402" s="21">
        <v>2025</v>
      </c>
      <c r="B6402" s="21" t="s">
        <v>25</v>
      </c>
      <c r="C6402" s="21" t="s">
        <v>1145</v>
      </c>
      <c r="D6402" s="21" t="s">
        <v>39</v>
      </c>
      <c r="E6402" s="17" t="s">
        <v>98</v>
      </c>
      <c r="F6402" s="17" t="s">
        <v>99</v>
      </c>
      <c r="G6402" s="18" t="s">
        <v>42</v>
      </c>
      <c r="H6402" s="24">
        <v>11177730</v>
      </c>
      <c r="I6402" s="24">
        <f>T_reg.root.SK[[#This Row],[Volume, kg]]/1000</f>
        <v>11177.73</v>
      </c>
      <c r="J6402" s="25">
        <v>0.23600000000000002</v>
      </c>
      <c r="K6402" s="25">
        <f t="shared" si="100"/>
        <v>2637944.2800000003</v>
      </c>
      <c r="L6402" s="25">
        <v>2.4900000000000002</v>
      </c>
      <c r="M6402" s="24">
        <v>27780699</v>
      </c>
      <c r="N6402" s="25">
        <f>IFERROR(T_reg.root.SK[[#This Row],[Price]]/T_reg.root.SK[[#This Row],[Starch content]],"")</f>
        <v>10.550847457627119</v>
      </c>
    </row>
    <row r="6403" spans="1:14">
      <c r="A6403" s="21">
        <v>2025</v>
      </c>
      <c r="B6403" s="21" t="s">
        <v>25</v>
      </c>
      <c r="C6403" s="21" t="s">
        <v>1145</v>
      </c>
      <c r="D6403" s="21" t="s">
        <v>39</v>
      </c>
      <c r="E6403" s="17" t="s">
        <v>346</v>
      </c>
      <c r="F6403" s="17" t="s">
        <v>99</v>
      </c>
      <c r="G6403" s="18" t="s">
        <v>42</v>
      </c>
      <c r="H6403" s="24">
        <v>1669450</v>
      </c>
      <c r="I6403" s="24">
        <f>T_reg.root.SK[[#This Row],[Volume, kg]]/1000</f>
        <v>1669.45</v>
      </c>
      <c r="J6403" s="25">
        <v>0.22850000000000001</v>
      </c>
      <c r="K6403" s="25">
        <f t="shared" si="100"/>
        <v>381469.32500000001</v>
      </c>
      <c r="L6403" s="25">
        <v>2.38</v>
      </c>
      <c r="M6403" s="24">
        <v>3977551.5</v>
      </c>
      <c r="N6403" s="25">
        <f>IFERROR(T_reg.root.SK[[#This Row],[Price]]/T_reg.root.SK[[#This Row],[Starch content]],"")</f>
        <v>10.415754923413566</v>
      </c>
    </row>
    <row r="6404" spans="1:14">
      <c r="A6404" s="21">
        <v>2025</v>
      </c>
      <c r="B6404" s="21" t="s">
        <v>25</v>
      </c>
      <c r="C6404" s="21" t="s">
        <v>1145</v>
      </c>
      <c r="D6404" s="21" t="s">
        <v>35</v>
      </c>
      <c r="E6404" s="17" t="s">
        <v>806</v>
      </c>
      <c r="F6404" s="17" t="s">
        <v>105</v>
      </c>
      <c r="G6404" s="18" t="s">
        <v>48</v>
      </c>
      <c r="H6404" s="24">
        <v>30100</v>
      </c>
      <c r="I6404" s="24">
        <f>T_reg.root.SK[[#This Row],[Volume, kg]]/1000</f>
        <v>30.1</v>
      </c>
      <c r="J6404" s="25">
        <v>0.25019999999999998</v>
      </c>
      <c r="K6404" s="25">
        <f t="shared" si="100"/>
        <v>7531.0199999999995</v>
      </c>
      <c r="L6404" s="25">
        <v>2.09</v>
      </c>
      <c r="M6404" s="24">
        <v>62906.5</v>
      </c>
      <c r="N6404" s="25">
        <f>IFERROR(T_reg.root.SK[[#This Row],[Price]]/T_reg.root.SK[[#This Row],[Starch content]],"")</f>
        <v>8.3533173461231023</v>
      </c>
    </row>
    <row r="6405" spans="1:14">
      <c r="A6405" s="21">
        <v>2025</v>
      </c>
      <c r="B6405" s="21" t="s">
        <v>25</v>
      </c>
      <c r="C6405" s="21" t="s">
        <v>1145</v>
      </c>
      <c r="D6405" s="21" t="s">
        <v>35</v>
      </c>
      <c r="E6405" s="17" t="s">
        <v>124</v>
      </c>
      <c r="F6405" s="17" t="s">
        <v>105</v>
      </c>
      <c r="G6405" s="18" t="s">
        <v>48</v>
      </c>
      <c r="H6405" s="24">
        <v>22620</v>
      </c>
      <c r="I6405" s="24">
        <f>T_reg.root.SK[[#This Row],[Volume, kg]]/1000</f>
        <v>22.62</v>
      </c>
      <c r="J6405" s="25">
        <v>0.25209999999999999</v>
      </c>
      <c r="K6405" s="25">
        <f t="shared" si="100"/>
        <v>5702.5019999999995</v>
      </c>
      <c r="L6405" s="25">
        <v>2.16</v>
      </c>
      <c r="M6405" s="24">
        <v>48768</v>
      </c>
      <c r="N6405" s="25">
        <f>IFERROR(T_reg.root.SK[[#This Row],[Price]]/T_reg.root.SK[[#This Row],[Starch content]],"")</f>
        <v>8.5680285600952004</v>
      </c>
    </row>
    <row r="6406" spans="1:14">
      <c r="A6406" s="21">
        <v>2025</v>
      </c>
      <c r="B6406" s="21" t="s">
        <v>25</v>
      </c>
      <c r="C6406" s="21" t="s">
        <v>1145</v>
      </c>
      <c r="D6406" s="21" t="s">
        <v>35</v>
      </c>
      <c r="E6406" s="17" t="s">
        <v>379</v>
      </c>
      <c r="F6406" s="17" t="s">
        <v>47</v>
      </c>
      <c r="G6406" s="18" t="s">
        <v>48</v>
      </c>
      <c r="H6406" s="24">
        <v>5850</v>
      </c>
      <c r="I6406" s="24">
        <f>T_reg.root.SK[[#This Row],[Volume, kg]]/1000</f>
        <v>5.85</v>
      </c>
      <c r="J6406" s="25">
        <v>0.2235</v>
      </c>
      <c r="K6406" s="25">
        <f t="shared" si="100"/>
        <v>1307.4750000000001</v>
      </c>
      <c r="L6406" s="25">
        <v>1.95</v>
      </c>
      <c r="M6406" s="24">
        <v>11407.5</v>
      </c>
      <c r="N6406" s="25">
        <f>IFERROR(T_reg.root.SK[[#This Row],[Price]]/T_reg.root.SK[[#This Row],[Starch content]],"")</f>
        <v>8.724832214765101</v>
      </c>
    </row>
    <row r="6407" spans="1:14">
      <c r="A6407" s="21">
        <v>2025</v>
      </c>
      <c r="B6407" s="21" t="s">
        <v>25</v>
      </c>
      <c r="C6407" s="21" t="s">
        <v>1145</v>
      </c>
      <c r="D6407" s="21" t="s">
        <v>35</v>
      </c>
      <c r="E6407" s="17" t="s">
        <v>125</v>
      </c>
      <c r="F6407" s="17" t="s">
        <v>105</v>
      </c>
      <c r="G6407" s="18" t="s">
        <v>48</v>
      </c>
      <c r="H6407" s="24">
        <v>5880</v>
      </c>
      <c r="I6407" s="24">
        <f>T_reg.root.SK[[#This Row],[Volume, kg]]/1000</f>
        <v>5.88</v>
      </c>
      <c r="J6407" s="25">
        <v>0.20600000000000002</v>
      </c>
      <c r="K6407" s="25">
        <f t="shared" si="100"/>
        <v>1211.2800000000002</v>
      </c>
      <c r="L6407" s="25">
        <v>1.9</v>
      </c>
      <c r="M6407" s="24">
        <v>11172</v>
      </c>
      <c r="N6407" s="25">
        <f>IFERROR(T_reg.root.SK[[#This Row],[Price]]/T_reg.root.SK[[#This Row],[Starch content]],"")</f>
        <v>9.223300970873785</v>
      </c>
    </row>
    <row r="6408" spans="1:14">
      <c r="A6408" s="21">
        <v>2025</v>
      </c>
      <c r="B6408" s="21" t="s">
        <v>25</v>
      </c>
      <c r="C6408" s="21" t="s">
        <v>1145</v>
      </c>
      <c r="D6408" s="21" t="s">
        <v>35</v>
      </c>
      <c r="E6408" s="17" t="s">
        <v>977</v>
      </c>
      <c r="F6408" s="17" t="s">
        <v>105</v>
      </c>
      <c r="G6408" s="18" t="s">
        <v>48</v>
      </c>
      <c r="H6408" s="24">
        <v>2260</v>
      </c>
      <c r="I6408" s="24">
        <f>T_reg.root.SK[[#This Row],[Volume, kg]]/1000</f>
        <v>2.2599999999999998</v>
      </c>
      <c r="J6408" s="25">
        <v>0.24100000000000002</v>
      </c>
      <c r="K6408" s="25">
        <f t="shared" si="100"/>
        <v>544.66000000000008</v>
      </c>
      <c r="L6408" s="25">
        <v>2.1</v>
      </c>
      <c r="M6408" s="24">
        <v>4746</v>
      </c>
      <c r="N6408" s="25">
        <f>IFERROR(T_reg.root.SK[[#This Row],[Price]]/T_reg.root.SK[[#This Row],[Starch content]],"")</f>
        <v>8.7136929460580905</v>
      </c>
    </row>
    <row r="6409" spans="1:14">
      <c r="A6409" s="21">
        <v>2025</v>
      </c>
      <c r="B6409" s="21" t="s">
        <v>25</v>
      </c>
      <c r="C6409" s="21" t="s">
        <v>1145</v>
      </c>
      <c r="D6409" s="21" t="s">
        <v>35</v>
      </c>
      <c r="E6409" s="17" t="s">
        <v>736</v>
      </c>
      <c r="F6409" s="17" t="s">
        <v>105</v>
      </c>
      <c r="G6409" s="18" t="s">
        <v>48</v>
      </c>
      <c r="H6409" s="24">
        <v>23260</v>
      </c>
      <c r="I6409" s="24">
        <f>T_reg.root.SK[[#This Row],[Volume, kg]]/1000</f>
        <v>23.26</v>
      </c>
      <c r="J6409" s="25">
        <v>0.23929999999999998</v>
      </c>
      <c r="K6409" s="25">
        <f t="shared" si="100"/>
        <v>5566.1179999999995</v>
      </c>
      <c r="L6409" s="25">
        <v>2.09</v>
      </c>
      <c r="M6409" s="24">
        <v>48585</v>
      </c>
      <c r="N6409" s="25">
        <f>IFERROR(T_reg.root.SK[[#This Row],[Price]]/T_reg.root.SK[[#This Row],[Starch content]],"")</f>
        <v>8.7338069368992901</v>
      </c>
    </row>
    <row r="6410" spans="1:14">
      <c r="A6410" s="21">
        <v>2025</v>
      </c>
      <c r="B6410" s="21" t="s">
        <v>25</v>
      </c>
      <c r="C6410" s="21" t="s">
        <v>1145</v>
      </c>
      <c r="D6410" s="21" t="s">
        <v>35</v>
      </c>
      <c r="E6410" s="17" t="s">
        <v>129</v>
      </c>
      <c r="F6410" s="17" t="s">
        <v>105</v>
      </c>
      <c r="G6410" s="18" t="s">
        <v>48</v>
      </c>
      <c r="H6410" s="24">
        <v>9740</v>
      </c>
      <c r="I6410" s="24">
        <f>T_reg.root.SK[[#This Row],[Volume, kg]]/1000</f>
        <v>9.74</v>
      </c>
      <c r="J6410" s="25">
        <v>0.20679999999999998</v>
      </c>
      <c r="K6410" s="25">
        <f t="shared" si="100"/>
        <v>2014.2319999999997</v>
      </c>
      <c r="L6410" s="25">
        <v>1.95</v>
      </c>
      <c r="M6410" s="24">
        <v>18996.5</v>
      </c>
      <c r="N6410" s="25">
        <f>IFERROR(T_reg.root.SK[[#This Row],[Price]]/T_reg.root.SK[[#This Row],[Starch content]],"")</f>
        <v>9.4294003868471954</v>
      </c>
    </row>
    <row r="6411" spans="1:14">
      <c r="A6411" s="21">
        <v>2025</v>
      </c>
      <c r="B6411" s="21" t="s">
        <v>25</v>
      </c>
      <c r="C6411" s="21" t="s">
        <v>1145</v>
      </c>
      <c r="D6411" s="21" t="s">
        <v>35</v>
      </c>
      <c r="E6411" s="17" t="s">
        <v>489</v>
      </c>
      <c r="F6411" s="17" t="s">
        <v>105</v>
      </c>
      <c r="G6411" s="18" t="s">
        <v>48</v>
      </c>
      <c r="H6411" s="24">
        <v>8220</v>
      </c>
      <c r="I6411" s="24">
        <f>T_reg.root.SK[[#This Row],[Volume, kg]]/1000</f>
        <v>8.2200000000000006</v>
      </c>
      <c r="J6411" s="25">
        <v>0.26050000000000001</v>
      </c>
      <c r="K6411" s="25">
        <f t="shared" si="100"/>
        <v>2141.31</v>
      </c>
      <c r="L6411" s="25">
        <v>2.15</v>
      </c>
      <c r="M6411" s="24">
        <v>17673</v>
      </c>
      <c r="N6411" s="25">
        <f>IFERROR(T_reg.root.SK[[#This Row],[Price]]/T_reg.root.SK[[#This Row],[Starch content]],"")</f>
        <v>8.253358925143953</v>
      </c>
    </row>
    <row r="6412" spans="1:14">
      <c r="A6412" s="21">
        <v>2025</v>
      </c>
      <c r="B6412" s="21" t="s">
        <v>25</v>
      </c>
      <c r="C6412" s="21" t="s">
        <v>1145</v>
      </c>
      <c r="D6412" s="21" t="s">
        <v>35</v>
      </c>
      <c r="E6412" s="17" t="s">
        <v>1009</v>
      </c>
      <c r="F6412" s="17" t="s">
        <v>105</v>
      </c>
      <c r="G6412" s="18" t="s">
        <v>48</v>
      </c>
      <c r="H6412" s="24">
        <v>12290</v>
      </c>
      <c r="I6412" s="24">
        <f>T_reg.root.SK[[#This Row],[Volume, kg]]/1000</f>
        <v>12.29</v>
      </c>
      <c r="J6412" s="25">
        <v>0.2288</v>
      </c>
      <c r="K6412" s="25">
        <f t="shared" si="100"/>
        <v>2811.9520000000002</v>
      </c>
      <c r="L6412" s="25">
        <v>2.0299999999999998</v>
      </c>
      <c r="M6412" s="24">
        <v>24913</v>
      </c>
      <c r="N6412" s="25">
        <f>IFERROR(T_reg.root.SK[[#This Row],[Price]]/T_reg.root.SK[[#This Row],[Starch content]],"")</f>
        <v>8.8723776223776216</v>
      </c>
    </row>
    <row r="6413" spans="1:14">
      <c r="A6413" s="21">
        <v>2025</v>
      </c>
      <c r="B6413" s="21" t="s">
        <v>25</v>
      </c>
      <c r="C6413" s="21" t="s">
        <v>1145</v>
      </c>
      <c r="D6413" s="21" t="s">
        <v>39</v>
      </c>
      <c r="E6413" s="17" t="s">
        <v>1050</v>
      </c>
      <c r="F6413" s="17" t="s">
        <v>1051</v>
      </c>
      <c r="G6413" s="18" t="s">
        <v>48</v>
      </c>
      <c r="H6413" s="24">
        <v>1736150</v>
      </c>
      <c r="I6413" s="24">
        <f>T_reg.root.SK[[#This Row],[Volume, kg]]/1000</f>
        <v>1736.15</v>
      </c>
      <c r="J6413" s="25">
        <v>0.24979999999999999</v>
      </c>
      <c r="K6413" s="25">
        <f t="shared" si="100"/>
        <v>433690.27</v>
      </c>
      <c r="L6413" s="25">
        <v>2.5099999999999998</v>
      </c>
      <c r="M6413" s="24">
        <v>4354514</v>
      </c>
      <c r="N6413" s="25">
        <f>IFERROR(T_reg.root.SK[[#This Row],[Price]]/T_reg.root.SK[[#This Row],[Starch content]],"")</f>
        <v>10.048038430744596</v>
      </c>
    </row>
    <row r="6414" spans="1:14">
      <c r="A6414" s="21">
        <v>2025</v>
      </c>
      <c r="B6414" s="21" t="s">
        <v>25</v>
      </c>
      <c r="C6414" s="21" t="s">
        <v>1145</v>
      </c>
      <c r="D6414" s="21" t="s">
        <v>35</v>
      </c>
      <c r="E6414" s="17" t="s">
        <v>717</v>
      </c>
      <c r="F6414" s="17" t="s">
        <v>105</v>
      </c>
      <c r="G6414" s="18" t="s">
        <v>48</v>
      </c>
      <c r="H6414" s="24">
        <v>7560</v>
      </c>
      <c r="I6414" s="24">
        <f>T_reg.root.SK[[#This Row],[Volume, kg]]/1000</f>
        <v>7.56</v>
      </c>
      <c r="J6414" s="25">
        <v>0.22750000000000001</v>
      </c>
      <c r="K6414" s="25">
        <f t="shared" si="100"/>
        <v>1719.9</v>
      </c>
      <c r="L6414" s="25">
        <v>2.0499999999999998</v>
      </c>
      <c r="M6414" s="24">
        <v>15498</v>
      </c>
      <c r="N6414" s="25">
        <f>IFERROR(T_reg.root.SK[[#This Row],[Price]]/T_reg.root.SK[[#This Row],[Starch content]],"")</f>
        <v>9.0109890109890092</v>
      </c>
    </row>
    <row r="6415" spans="1:14">
      <c r="A6415" s="21">
        <v>2025</v>
      </c>
      <c r="B6415" s="21" t="s">
        <v>25</v>
      </c>
      <c r="C6415" s="21" t="s">
        <v>1145</v>
      </c>
      <c r="D6415" s="21" t="s">
        <v>35</v>
      </c>
      <c r="E6415" s="17" t="s">
        <v>591</v>
      </c>
      <c r="F6415" s="17" t="s">
        <v>187</v>
      </c>
      <c r="G6415" s="18" t="s">
        <v>48</v>
      </c>
      <c r="H6415" s="24">
        <v>2460</v>
      </c>
      <c r="I6415" s="24">
        <f>T_reg.root.SK[[#This Row],[Volume, kg]]/1000</f>
        <v>2.46</v>
      </c>
      <c r="J6415" s="25">
        <v>0.28449999999999998</v>
      </c>
      <c r="K6415" s="25">
        <f t="shared" ref="K6415:K6478" si="101">H6415*J6415</f>
        <v>699.86999999999989</v>
      </c>
      <c r="L6415" s="25">
        <v>2.2999999999999998</v>
      </c>
      <c r="M6415" s="24">
        <v>5658</v>
      </c>
      <c r="N6415" s="25">
        <f>IFERROR(T_reg.root.SK[[#This Row],[Price]]/T_reg.root.SK[[#This Row],[Starch content]],"")</f>
        <v>8.0843585237258342</v>
      </c>
    </row>
    <row r="6416" spans="1:14">
      <c r="A6416" s="21">
        <v>2025</v>
      </c>
      <c r="B6416" s="21" t="s">
        <v>25</v>
      </c>
      <c r="C6416" s="21" t="s">
        <v>1145</v>
      </c>
      <c r="D6416" s="21" t="s">
        <v>35</v>
      </c>
      <c r="E6416" s="17" t="s">
        <v>932</v>
      </c>
      <c r="F6416" s="17" t="s">
        <v>105</v>
      </c>
      <c r="G6416" s="18" t="s">
        <v>48</v>
      </c>
      <c r="H6416" s="24">
        <v>30880</v>
      </c>
      <c r="I6416" s="24">
        <f>T_reg.root.SK[[#This Row],[Volume, kg]]/1000</f>
        <v>30.88</v>
      </c>
      <c r="J6416" s="25">
        <v>0.27239999999999998</v>
      </c>
      <c r="K6416" s="25">
        <f t="shared" si="101"/>
        <v>8411.7119999999995</v>
      </c>
      <c r="L6416" s="25">
        <v>2.27</v>
      </c>
      <c r="M6416" s="24">
        <v>69985.5</v>
      </c>
      <c r="N6416" s="25">
        <f>IFERROR(T_reg.root.SK[[#This Row],[Price]]/T_reg.root.SK[[#This Row],[Starch content]],"")</f>
        <v>8.3333333333333339</v>
      </c>
    </row>
    <row r="6417" spans="1:14">
      <c r="A6417" s="21">
        <v>2025</v>
      </c>
      <c r="B6417" s="21" t="s">
        <v>25</v>
      </c>
      <c r="C6417" s="21" t="s">
        <v>1145</v>
      </c>
      <c r="D6417" s="21" t="s">
        <v>35</v>
      </c>
      <c r="E6417" s="17" t="s">
        <v>972</v>
      </c>
      <c r="F6417" s="17" t="s">
        <v>973</v>
      </c>
      <c r="G6417" s="18" t="s">
        <v>48</v>
      </c>
      <c r="H6417" s="24">
        <v>4590</v>
      </c>
      <c r="I6417" s="24">
        <f>T_reg.root.SK[[#This Row],[Volume, kg]]/1000</f>
        <v>4.59</v>
      </c>
      <c r="J6417" s="25">
        <v>0.28050000000000003</v>
      </c>
      <c r="K6417" s="25">
        <f t="shared" si="101"/>
        <v>1287.4950000000001</v>
      </c>
      <c r="L6417" s="25">
        <v>2.2999999999999998</v>
      </c>
      <c r="M6417" s="24">
        <v>10557</v>
      </c>
      <c r="N6417" s="25">
        <f>IFERROR(T_reg.root.SK[[#This Row],[Price]]/T_reg.root.SK[[#This Row],[Starch content]],"")</f>
        <v>8.1996434937611387</v>
      </c>
    </row>
    <row r="6418" spans="1:14">
      <c r="A6418" s="21">
        <v>2025</v>
      </c>
      <c r="B6418" s="21" t="s">
        <v>25</v>
      </c>
      <c r="C6418" s="21" t="s">
        <v>1145</v>
      </c>
      <c r="D6418" s="21" t="s">
        <v>35</v>
      </c>
      <c r="E6418" s="17" t="s">
        <v>199</v>
      </c>
      <c r="F6418" s="17" t="s">
        <v>187</v>
      </c>
      <c r="G6418" s="18" t="s">
        <v>48</v>
      </c>
      <c r="H6418" s="24">
        <v>6630</v>
      </c>
      <c r="I6418" s="24">
        <f>T_reg.root.SK[[#This Row],[Volume, kg]]/1000</f>
        <v>6.63</v>
      </c>
      <c r="J6418" s="25">
        <v>0.16850000000000001</v>
      </c>
      <c r="K6418" s="25">
        <f t="shared" si="101"/>
        <v>1117.155</v>
      </c>
      <c r="L6418" s="25">
        <v>1.7</v>
      </c>
      <c r="M6418" s="24">
        <v>11271</v>
      </c>
      <c r="N6418" s="25">
        <f>IFERROR(T_reg.root.SK[[#This Row],[Price]]/T_reg.root.SK[[#This Row],[Starch content]],"")</f>
        <v>10.089020771513352</v>
      </c>
    </row>
    <row r="6419" spans="1:14">
      <c r="A6419" s="21">
        <v>2025</v>
      </c>
      <c r="B6419" s="21" t="s">
        <v>25</v>
      </c>
      <c r="C6419" s="21" t="s">
        <v>1145</v>
      </c>
      <c r="D6419" s="21" t="s">
        <v>35</v>
      </c>
      <c r="E6419" s="17" t="s">
        <v>200</v>
      </c>
      <c r="F6419" s="17" t="s">
        <v>187</v>
      </c>
      <c r="G6419" s="18" t="s">
        <v>48</v>
      </c>
      <c r="H6419" s="24">
        <v>20080</v>
      </c>
      <c r="I6419" s="24">
        <f>T_reg.root.SK[[#This Row],[Volume, kg]]/1000</f>
        <v>20.079999999999998</v>
      </c>
      <c r="J6419" s="25">
        <v>0.17449999999999999</v>
      </c>
      <c r="K6419" s="25">
        <f t="shared" si="101"/>
        <v>3503.9599999999996</v>
      </c>
      <c r="L6419" s="25">
        <v>1.79</v>
      </c>
      <c r="M6419" s="24">
        <v>36027</v>
      </c>
      <c r="N6419" s="25">
        <f>IFERROR(T_reg.root.SK[[#This Row],[Price]]/T_reg.root.SK[[#This Row],[Starch content]],"")</f>
        <v>10.25787965616046</v>
      </c>
    </row>
    <row r="6420" spans="1:14">
      <c r="A6420" s="21">
        <v>2025</v>
      </c>
      <c r="B6420" s="21" t="s">
        <v>25</v>
      </c>
      <c r="C6420" s="21" t="s">
        <v>1145</v>
      </c>
      <c r="D6420" s="21" t="s">
        <v>35</v>
      </c>
      <c r="E6420" s="17" t="s">
        <v>201</v>
      </c>
      <c r="F6420" s="17" t="s">
        <v>187</v>
      </c>
      <c r="G6420" s="18" t="s">
        <v>48</v>
      </c>
      <c r="H6420" s="24">
        <v>3760</v>
      </c>
      <c r="I6420" s="24">
        <f>T_reg.root.SK[[#This Row],[Volume, kg]]/1000</f>
        <v>3.76</v>
      </c>
      <c r="J6420" s="25">
        <v>0.28300000000000003</v>
      </c>
      <c r="K6420" s="25">
        <f t="shared" si="101"/>
        <v>1064.0800000000002</v>
      </c>
      <c r="L6420" s="25">
        <v>2.25</v>
      </c>
      <c r="M6420" s="24">
        <v>8460</v>
      </c>
      <c r="N6420" s="25">
        <f>IFERROR(T_reg.root.SK[[#This Row],[Price]]/T_reg.root.SK[[#This Row],[Starch content]],"")</f>
        <v>7.9505300353356878</v>
      </c>
    </row>
    <row r="6421" spans="1:14">
      <c r="A6421" s="21">
        <v>2025</v>
      </c>
      <c r="B6421" s="21" t="s">
        <v>25</v>
      </c>
      <c r="C6421" s="21" t="s">
        <v>1145</v>
      </c>
      <c r="D6421" s="21" t="s">
        <v>35</v>
      </c>
      <c r="E6421" s="17" t="s">
        <v>304</v>
      </c>
      <c r="F6421" s="17" t="s">
        <v>105</v>
      </c>
      <c r="G6421" s="18" t="s">
        <v>48</v>
      </c>
      <c r="H6421" s="24">
        <v>38220</v>
      </c>
      <c r="I6421" s="24">
        <f>T_reg.root.SK[[#This Row],[Volume, kg]]/1000</f>
        <v>38.22</v>
      </c>
      <c r="J6421" s="25">
        <v>0.24440000000000001</v>
      </c>
      <c r="K6421" s="25">
        <f t="shared" si="101"/>
        <v>9340.9680000000008</v>
      </c>
      <c r="L6421" s="25">
        <v>2.08</v>
      </c>
      <c r="M6421" s="24">
        <v>79389</v>
      </c>
      <c r="N6421" s="25">
        <f>IFERROR(T_reg.root.SK[[#This Row],[Price]]/T_reg.root.SK[[#This Row],[Starch content]],"")</f>
        <v>8.5106382978723403</v>
      </c>
    </row>
    <row r="6422" spans="1:14">
      <c r="A6422" s="21">
        <v>2025</v>
      </c>
      <c r="B6422" s="21" t="s">
        <v>25</v>
      </c>
      <c r="C6422" s="21" t="s">
        <v>1145</v>
      </c>
      <c r="D6422" s="21" t="s">
        <v>35</v>
      </c>
      <c r="E6422" s="17" t="s">
        <v>719</v>
      </c>
      <c r="F6422" s="17" t="s">
        <v>105</v>
      </c>
      <c r="G6422" s="18" t="s">
        <v>48</v>
      </c>
      <c r="H6422" s="24">
        <v>5610</v>
      </c>
      <c r="I6422" s="24">
        <f>T_reg.root.SK[[#This Row],[Volume, kg]]/1000</f>
        <v>5.61</v>
      </c>
      <c r="J6422" s="25">
        <v>0.192</v>
      </c>
      <c r="K6422" s="25">
        <f t="shared" si="101"/>
        <v>1077.1200000000001</v>
      </c>
      <c r="L6422" s="25">
        <v>1.85</v>
      </c>
      <c r="M6422" s="24">
        <v>10378.5</v>
      </c>
      <c r="N6422" s="25">
        <f>IFERROR(T_reg.root.SK[[#This Row],[Price]]/T_reg.root.SK[[#This Row],[Starch content]],"")</f>
        <v>9.6354166666666661</v>
      </c>
    </row>
    <row r="6423" spans="1:14">
      <c r="A6423" s="21">
        <v>2025</v>
      </c>
      <c r="B6423" s="21" t="s">
        <v>25</v>
      </c>
      <c r="C6423" s="21" t="s">
        <v>1145</v>
      </c>
      <c r="D6423" s="21" t="s">
        <v>35</v>
      </c>
      <c r="E6423" s="17" t="s">
        <v>306</v>
      </c>
      <c r="F6423" s="17" t="s">
        <v>105</v>
      </c>
      <c r="G6423" s="18" t="s">
        <v>48</v>
      </c>
      <c r="H6423" s="24">
        <v>51940</v>
      </c>
      <c r="I6423" s="24">
        <f>T_reg.root.SK[[#This Row],[Volume, kg]]/1000</f>
        <v>51.94</v>
      </c>
      <c r="J6423" s="25">
        <v>0.19039999999999999</v>
      </c>
      <c r="K6423" s="25">
        <f t="shared" si="101"/>
        <v>9889.3759999999984</v>
      </c>
      <c r="L6423" s="25">
        <v>1.8</v>
      </c>
      <c r="M6423" s="24">
        <v>93663.5</v>
      </c>
      <c r="N6423" s="25">
        <f>IFERROR(T_reg.root.SK[[#This Row],[Price]]/T_reg.root.SK[[#This Row],[Starch content]],"")</f>
        <v>9.4537815126050422</v>
      </c>
    </row>
    <row r="6424" spans="1:14">
      <c r="A6424" s="21">
        <v>2025</v>
      </c>
      <c r="B6424" s="21" t="s">
        <v>25</v>
      </c>
      <c r="C6424" s="21" t="s">
        <v>1145</v>
      </c>
      <c r="D6424" s="21" t="s">
        <v>35</v>
      </c>
      <c r="E6424" s="17" t="s">
        <v>593</v>
      </c>
      <c r="F6424" s="17" t="s">
        <v>187</v>
      </c>
      <c r="G6424" s="18" t="s">
        <v>48</v>
      </c>
      <c r="H6424" s="24">
        <v>39810</v>
      </c>
      <c r="I6424" s="24">
        <f>T_reg.root.SK[[#This Row],[Volume, kg]]/1000</f>
        <v>39.81</v>
      </c>
      <c r="J6424" s="25">
        <v>0.23730000000000001</v>
      </c>
      <c r="K6424" s="25">
        <f t="shared" si="101"/>
        <v>9446.9130000000005</v>
      </c>
      <c r="L6424" s="25">
        <v>2.08</v>
      </c>
      <c r="M6424" s="24">
        <v>82881.5</v>
      </c>
      <c r="N6424" s="25">
        <f>IFERROR(T_reg.root.SK[[#This Row],[Price]]/T_reg.root.SK[[#This Row],[Starch content]],"")</f>
        <v>8.7652760219131896</v>
      </c>
    </row>
    <row r="6425" spans="1:14">
      <c r="A6425" s="21">
        <v>2025</v>
      </c>
      <c r="B6425" s="21" t="s">
        <v>25</v>
      </c>
      <c r="C6425" s="21" t="s">
        <v>1145</v>
      </c>
      <c r="D6425" s="21" t="s">
        <v>35</v>
      </c>
      <c r="E6425" s="17" t="s">
        <v>951</v>
      </c>
      <c r="F6425" s="17" t="s">
        <v>105</v>
      </c>
      <c r="G6425" s="18" t="s">
        <v>48</v>
      </c>
      <c r="H6425" s="24">
        <v>5960</v>
      </c>
      <c r="I6425" s="24">
        <f>T_reg.root.SK[[#This Row],[Volume, kg]]/1000</f>
        <v>5.96</v>
      </c>
      <c r="J6425" s="25">
        <v>0.24179999999999999</v>
      </c>
      <c r="K6425" s="25">
        <f t="shared" si="101"/>
        <v>1441.1279999999999</v>
      </c>
      <c r="L6425" s="25">
        <v>2.0699999999999998</v>
      </c>
      <c r="M6425" s="24">
        <v>12309</v>
      </c>
      <c r="N6425" s="25">
        <f>IFERROR(T_reg.root.SK[[#This Row],[Price]]/T_reg.root.SK[[#This Row],[Starch content]],"")</f>
        <v>8.5607940446650126</v>
      </c>
    </row>
    <row r="6426" spans="1:14">
      <c r="A6426" s="21">
        <v>2025</v>
      </c>
      <c r="B6426" s="21" t="s">
        <v>25</v>
      </c>
      <c r="C6426" s="21" t="s">
        <v>1145</v>
      </c>
      <c r="D6426" s="21" t="s">
        <v>35</v>
      </c>
      <c r="E6426" s="17" t="s">
        <v>497</v>
      </c>
      <c r="F6426" s="17" t="s">
        <v>105</v>
      </c>
      <c r="G6426" s="18" t="s">
        <v>48</v>
      </c>
      <c r="H6426" s="24">
        <v>3460</v>
      </c>
      <c r="I6426" s="24">
        <f>T_reg.root.SK[[#This Row],[Volume, kg]]/1000</f>
        <v>3.46</v>
      </c>
      <c r="J6426" s="25">
        <v>0.251</v>
      </c>
      <c r="K6426" s="25">
        <f t="shared" si="101"/>
        <v>868.46</v>
      </c>
      <c r="L6426" s="25">
        <v>2.1</v>
      </c>
      <c r="M6426" s="24">
        <v>7266</v>
      </c>
      <c r="N6426" s="25">
        <f>IFERROR(T_reg.root.SK[[#This Row],[Price]]/T_reg.root.SK[[#This Row],[Starch content]],"")</f>
        <v>8.3665338645418323</v>
      </c>
    </row>
    <row r="6427" spans="1:14">
      <c r="A6427" s="21">
        <v>2025</v>
      </c>
      <c r="B6427" s="21" t="s">
        <v>25</v>
      </c>
      <c r="C6427" s="21" t="s">
        <v>1145</v>
      </c>
      <c r="D6427" s="21" t="s">
        <v>35</v>
      </c>
      <c r="E6427" s="17" t="s">
        <v>146</v>
      </c>
      <c r="F6427" s="17" t="s">
        <v>105</v>
      </c>
      <c r="G6427" s="18" t="s">
        <v>48</v>
      </c>
      <c r="H6427" s="24">
        <v>23040</v>
      </c>
      <c r="I6427" s="24">
        <f>T_reg.root.SK[[#This Row],[Volume, kg]]/1000</f>
        <v>23.04</v>
      </c>
      <c r="J6427" s="25">
        <v>0.21579999999999999</v>
      </c>
      <c r="K6427" s="25">
        <f t="shared" si="101"/>
        <v>4972.0320000000002</v>
      </c>
      <c r="L6427" s="25">
        <v>1.97</v>
      </c>
      <c r="M6427" s="24">
        <v>45293.5</v>
      </c>
      <c r="N6427" s="25">
        <f>IFERROR(T_reg.root.SK[[#This Row],[Price]]/T_reg.root.SK[[#This Row],[Starch content]],"")</f>
        <v>9.1288229842446711</v>
      </c>
    </row>
    <row r="6428" spans="1:14">
      <c r="A6428" s="21">
        <v>2025</v>
      </c>
      <c r="B6428" s="21" t="s">
        <v>25</v>
      </c>
      <c r="C6428" s="21" t="s">
        <v>1145</v>
      </c>
      <c r="D6428" s="21" t="s">
        <v>35</v>
      </c>
      <c r="E6428" s="17" t="s">
        <v>668</v>
      </c>
      <c r="F6428" s="17" t="s">
        <v>105</v>
      </c>
      <c r="G6428" s="18" t="s">
        <v>48</v>
      </c>
      <c r="H6428" s="24">
        <v>8890</v>
      </c>
      <c r="I6428" s="24">
        <f>T_reg.root.SK[[#This Row],[Volume, kg]]/1000</f>
        <v>8.89</v>
      </c>
      <c r="J6428" s="25">
        <v>0.27550000000000002</v>
      </c>
      <c r="K6428" s="25">
        <f t="shared" si="101"/>
        <v>2449.1950000000002</v>
      </c>
      <c r="L6428" s="25">
        <v>2.25</v>
      </c>
      <c r="M6428" s="24">
        <v>20002.5</v>
      </c>
      <c r="N6428" s="25">
        <f>IFERROR(T_reg.root.SK[[#This Row],[Price]]/T_reg.root.SK[[#This Row],[Starch content]],"")</f>
        <v>8.1669691470054442</v>
      </c>
    </row>
    <row r="6429" spans="1:14">
      <c r="A6429" s="21">
        <v>2025</v>
      </c>
      <c r="B6429" s="21" t="s">
        <v>25</v>
      </c>
      <c r="C6429" s="21" t="s">
        <v>1145</v>
      </c>
      <c r="D6429" s="21" t="s">
        <v>35</v>
      </c>
      <c r="E6429" s="17" t="s">
        <v>1011</v>
      </c>
      <c r="F6429" s="17" t="s">
        <v>1012</v>
      </c>
      <c r="G6429" s="18" t="s">
        <v>1013</v>
      </c>
      <c r="H6429" s="24">
        <v>5880</v>
      </c>
      <c r="I6429" s="24">
        <f>T_reg.root.SK[[#This Row],[Volume, kg]]/1000</f>
        <v>5.88</v>
      </c>
      <c r="J6429" s="25">
        <v>0.2545</v>
      </c>
      <c r="K6429" s="25">
        <f t="shared" si="101"/>
        <v>1496.46</v>
      </c>
      <c r="L6429" s="25">
        <v>2.15</v>
      </c>
      <c r="M6429" s="24">
        <v>12642</v>
      </c>
      <c r="N6429" s="25">
        <f>IFERROR(T_reg.root.SK[[#This Row],[Price]]/T_reg.root.SK[[#This Row],[Starch content]],"")</f>
        <v>8.4479371316306473</v>
      </c>
    </row>
    <row r="6430" spans="1:14">
      <c r="A6430" s="21">
        <v>2025</v>
      </c>
      <c r="B6430" s="21" t="s">
        <v>25</v>
      </c>
      <c r="C6430" s="21" t="s">
        <v>1145</v>
      </c>
      <c r="D6430" s="21" t="s">
        <v>35</v>
      </c>
      <c r="E6430" s="17" t="s">
        <v>147</v>
      </c>
      <c r="F6430" s="17" t="s">
        <v>105</v>
      </c>
      <c r="G6430" s="18" t="s">
        <v>48</v>
      </c>
      <c r="H6430" s="24">
        <v>10300</v>
      </c>
      <c r="I6430" s="24">
        <f>T_reg.root.SK[[#This Row],[Volume, kg]]/1000</f>
        <v>10.3</v>
      </c>
      <c r="J6430" s="25">
        <v>0.23300000000000001</v>
      </c>
      <c r="K6430" s="25">
        <f t="shared" si="101"/>
        <v>2399.9</v>
      </c>
      <c r="L6430" s="25">
        <v>2</v>
      </c>
      <c r="M6430" s="24">
        <v>20600</v>
      </c>
      <c r="N6430" s="25">
        <f>IFERROR(T_reg.root.SK[[#This Row],[Price]]/T_reg.root.SK[[#This Row],[Starch content]],"")</f>
        <v>8.5836909871244629</v>
      </c>
    </row>
    <row r="6431" spans="1:14">
      <c r="A6431" s="21">
        <v>2025</v>
      </c>
      <c r="B6431" s="21" t="s">
        <v>25</v>
      </c>
      <c r="C6431" s="21" t="s">
        <v>1145</v>
      </c>
      <c r="D6431" s="21" t="s">
        <v>35</v>
      </c>
      <c r="E6431" s="17" t="s">
        <v>688</v>
      </c>
      <c r="F6431" s="17" t="s">
        <v>187</v>
      </c>
      <c r="G6431" s="18" t="s">
        <v>48</v>
      </c>
      <c r="H6431" s="24">
        <v>2330</v>
      </c>
      <c r="I6431" s="24">
        <f>T_reg.root.SK[[#This Row],[Volume, kg]]/1000</f>
        <v>2.33</v>
      </c>
      <c r="J6431" s="25">
        <v>0.26050000000000001</v>
      </c>
      <c r="K6431" s="25">
        <f t="shared" si="101"/>
        <v>606.96500000000003</v>
      </c>
      <c r="L6431" s="25">
        <v>2.15</v>
      </c>
      <c r="M6431" s="24">
        <v>5009.5</v>
      </c>
      <c r="N6431" s="25">
        <f>IFERROR(T_reg.root.SK[[#This Row],[Price]]/T_reg.root.SK[[#This Row],[Starch content]],"")</f>
        <v>8.253358925143953</v>
      </c>
    </row>
    <row r="6432" spans="1:14">
      <c r="A6432" s="21">
        <v>2025</v>
      </c>
      <c r="B6432" s="21" t="s">
        <v>25</v>
      </c>
      <c r="C6432" s="21" t="s">
        <v>1145</v>
      </c>
      <c r="D6432" s="21" t="s">
        <v>39</v>
      </c>
      <c r="E6432" s="17" t="s">
        <v>1040</v>
      </c>
      <c r="F6432" s="17" t="s">
        <v>283</v>
      </c>
      <c r="G6432" s="18" t="s">
        <v>48</v>
      </c>
      <c r="H6432" s="24">
        <v>84190</v>
      </c>
      <c r="I6432" s="24">
        <f>T_reg.root.SK[[#This Row],[Volume, kg]]/1000</f>
        <v>84.19</v>
      </c>
      <c r="J6432" s="25">
        <v>0.2087</v>
      </c>
      <c r="K6432" s="25">
        <f t="shared" si="101"/>
        <v>17570.453000000001</v>
      </c>
      <c r="L6432" s="25">
        <v>2.25</v>
      </c>
      <c r="M6432" s="24">
        <v>189488.5</v>
      </c>
      <c r="N6432" s="25">
        <f>IFERROR(T_reg.root.SK[[#This Row],[Price]]/T_reg.root.SK[[#This Row],[Starch content]],"")</f>
        <v>10.781025395304265</v>
      </c>
    </row>
    <row r="6433" spans="1:14">
      <c r="A6433" s="21">
        <v>2025</v>
      </c>
      <c r="B6433" s="21" t="s">
        <v>25</v>
      </c>
      <c r="C6433" s="21" t="s">
        <v>1145</v>
      </c>
      <c r="D6433" s="21" t="s">
        <v>35</v>
      </c>
      <c r="E6433" s="17" t="s">
        <v>314</v>
      </c>
      <c r="F6433" s="17" t="s">
        <v>105</v>
      </c>
      <c r="G6433" s="18" t="s">
        <v>48</v>
      </c>
      <c r="H6433" s="24">
        <v>840</v>
      </c>
      <c r="I6433" s="24">
        <f>T_reg.root.SK[[#This Row],[Volume, kg]]/1000</f>
        <v>0.84</v>
      </c>
      <c r="J6433" s="25">
        <v>0.27050000000000002</v>
      </c>
      <c r="K6433" s="25">
        <f t="shared" si="101"/>
        <v>227.22000000000003</v>
      </c>
      <c r="L6433" s="25">
        <v>2.2000000000000002</v>
      </c>
      <c r="M6433" s="24">
        <v>1848</v>
      </c>
      <c r="N6433" s="25">
        <f>IFERROR(T_reg.root.SK[[#This Row],[Price]]/T_reg.root.SK[[#This Row],[Starch content]],"")</f>
        <v>8.1330868761552679</v>
      </c>
    </row>
    <row r="6434" spans="1:14">
      <c r="A6434" s="21">
        <v>2025</v>
      </c>
      <c r="B6434" s="21" t="s">
        <v>25</v>
      </c>
      <c r="C6434" s="21" t="s">
        <v>1145</v>
      </c>
      <c r="D6434" s="21" t="s">
        <v>35</v>
      </c>
      <c r="E6434" s="17" t="s">
        <v>151</v>
      </c>
      <c r="F6434" s="17" t="s">
        <v>105</v>
      </c>
      <c r="G6434" s="18" t="s">
        <v>48</v>
      </c>
      <c r="H6434" s="24">
        <v>73630</v>
      </c>
      <c r="I6434" s="24">
        <f>T_reg.root.SK[[#This Row],[Volume, kg]]/1000</f>
        <v>73.63</v>
      </c>
      <c r="J6434" s="25">
        <v>0.23269999999999999</v>
      </c>
      <c r="K6434" s="25">
        <f t="shared" si="101"/>
        <v>17133.701000000001</v>
      </c>
      <c r="L6434" s="25">
        <v>2.06</v>
      </c>
      <c r="M6434" s="24">
        <v>151425</v>
      </c>
      <c r="N6434" s="25">
        <f>IFERROR(T_reg.root.SK[[#This Row],[Price]]/T_reg.root.SK[[#This Row],[Starch content]],"")</f>
        <v>8.8525999140524281</v>
      </c>
    </row>
    <row r="6435" spans="1:14">
      <c r="A6435" s="21">
        <v>2025</v>
      </c>
      <c r="B6435" s="21" t="s">
        <v>25</v>
      </c>
      <c r="C6435" s="21" t="s">
        <v>1145</v>
      </c>
      <c r="D6435" s="21" t="s">
        <v>35</v>
      </c>
      <c r="E6435" s="17" t="s">
        <v>316</v>
      </c>
      <c r="F6435" s="17" t="s">
        <v>105</v>
      </c>
      <c r="G6435" s="18" t="s">
        <v>48</v>
      </c>
      <c r="H6435" s="24">
        <v>4710</v>
      </c>
      <c r="I6435" s="24">
        <f>T_reg.root.SK[[#This Row],[Volume, kg]]/1000</f>
        <v>4.71</v>
      </c>
      <c r="J6435" s="25">
        <v>0.23649999999999999</v>
      </c>
      <c r="K6435" s="25">
        <f t="shared" si="101"/>
        <v>1113.915</v>
      </c>
      <c r="L6435" s="25">
        <v>2.1</v>
      </c>
      <c r="M6435" s="24">
        <v>9891</v>
      </c>
      <c r="N6435" s="25">
        <f>IFERROR(T_reg.root.SK[[#This Row],[Price]]/T_reg.root.SK[[#This Row],[Starch content]],"")</f>
        <v>8.8794926004228341</v>
      </c>
    </row>
    <row r="6436" spans="1:14">
      <c r="A6436" s="21">
        <v>2025</v>
      </c>
      <c r="B6436" s="21" t="s">
        <v>25</v>
      </c>
      <c r="C6436" s="21" t="s">
        <v>1145</v>
      </c>
      <c r="D6436" s="21" t="s">
        <v>35</v>
      </c>
      <c r="E6436" s="17" t="s">
        <v>155</v>
      </c>
      <c r="F6436" s="17" t="s">
        <v>105</v>
      </c>
      <c r="G6436" s="18" t="s">
        <v>48</v>
      </c>
      <c r="H6436" s="24">
        <v>19420</v>
      </c>
      <c r="I6436" s="24">
        <f>T_reg.root.SK[[#This Row],[Volume, kg]]/1000</f>
        <v>19.420000000000002</v>
      </c>
      <c r="J6436" s="25">
        <v>0.23809999999999998</v>
      </c>
      <c r="K6436" s="25">
        <f t="shared" si="101"/>
        <v>4623.9019999999991</v>
      </c>
      <c r="L6436" s="25">
        <v>2.0499999999999998</v>
      </c>
      <c r="M6436" s="24">
        <v>39714.5</v>
      </c>
      <c r="N6436" s="25">
        <f>IFERROR(T_reg.root.SK[[#This Row],[Price]]/T_reg.root.SK[[#This Row],[Starch content]],"")</f>
        <v>8.6098278034439311</v>
      </c>
    </row>
    <row r="6437" spans="1:14">
      <c r="A6437" s="21">
        <v>2025</v>
      </c>
      <c r="B6437" s="21" t="s">
        <v>25</v>
      </c>
      <c r="C6437" s="21" t="s">
        <v>1145</v>
      </c>
      <c r="D6437" s="21" t="s">
        <v>39</v>
      </c>
      <c r="E6437" s="17" t="s">
        <v>552</v>
      </c>
      <c r="F6437" s="17" t="s">
        <v>95</v>
      </c>
      <c r="G6437" s="18" t="s">
        <v>48</v>
      </c>
      <c r="H6437" s="24">
        <v>2559330</v>
      </c>
      <c r="I6437" s="24">
        <f>T_reg.root.SK[[#This Row],[Volume, kg]]/1000</f>
        <v>2559.33</v>
      </c>
      <c r="J6437" s="25">
        <v>0.23760000000000001</v>
      </c>
      <c r="K6437" s="25">
        <f t="shared" si="101"/>
        <v>608096.80799999996</v>
      </c>
      <c r="L6437" s="25">
        <v>2.4500000000000002</v>
      </c>
      <c r="M6437" s="24">
        <v>6271633</v>
      </c>
      <c r="N6437" s="25">
        <f>IFERROR(T_reg.root.SK[[#This Row],[Price]]/T_reg.root.SK[[#This Row],[Starch content]],"")</f>
        <v>10.311447811447811</v>
      </c>
    </row>
    <row r="6438" spans="1:14">
      <c r="A6438" s="21">
        <v>2025</v>
      </c>
      <c r="B6438" s="21" t="s">
        <v>25</v>
      </c>
      <c r="C6438" s="21" t="s">
        <v>1145</v>
      </c>
      <c r="D6438" s="21" t="s">
        <v>35</v>
      </c>
      <c r="E6438" s="17" t="s">
        <v>934</v>
      </c>
      <c r="F6438" s="17" t="s">
        <v>105</v>
      </c>
      <c r="G6438" s="18" t="s">
        <v>48</v>
      </c>
      <c r="H6438" s="24">
        <v>2020</v>
      </c>
      <c r="I6438" s="24">
        <f>T_reg.root.SK[[#This Row],[Volume, kg]]/1000</f>
        <v>2.02</v>
      </c>
      <c r="J6438" s="25">
        <v>0.27050000000000002</v>
      </c>
      <c r="K6438" s="25">
        <f t="shared" si="101"/>
        <v>546.41000000000008</v>
      </c>
      <c r="L6438" s="25">
        <v>2.2000000000000002</v>
      </c>
      <c r="M6438" s="24">
        <v>4444</v>
      </c>
      <c r="N6438" s="25">
        <f>IFERROR(T_reg.root.SK[[#This Row],[Price]]/T_reg.root.SK[[#This Row],[Starch content]],"")</f>
        <v>8.1330868761552679</v>
      </c>
    </row>
    <row r="6439" spans="1:14">
      <c r="A6439" s="21">
        <v>2025</v>
      </c>
      <c r="B6439" s="21" t="s">
        <v>25</v>
      </c>
      <c r="C6439" s="21" t="s">
        <v>1145</v>
      </c>
      <c r="D6439" s="21" t="s">
        <v>35</v>
      </c>
      <c r="E6439" s="17" t="s">
        <v>501</v>
      </c>
      <c r="F6439" s="17" t="s">
        <v>105</v>
      </c>
      <c r="G6439" s="18" t="s">
        <v>48</v>
      </c>
      <c r="H6439" s="24">
        <v>4950</v>
      </c>
      <c r="I6439" s="24">
        <f>T_reg.root.SK[[#This Row],[Volume, kg]]/1000</f>
        <v>4.95</v>
      </c>
      <c r="J6439" s="25">
        <v>0.249</v>
      </c>
      <c r="K6439" s="25">
        <f t="shared" si="101"/>
        <v>1232.55</v>
      </c>
      <c r="L6439" s="25">
        <v>2.15</v>
      </c>
      <c r="M6439" s="24">
        <v>10642.5</v>
      </c>
      <c r="N6439" s="25">
        <f>IFERROR(T_reg.root.SK[[#This Row],[Price]]/T_reg.root.SK[[#This Row],[Starch content]],"")</f>
        <v>8.6345381526104408</v>
      </c>
    </row>
    <row r="6440" spans="1:14">
      <c r="A6440" s="21">
        <v>2025</v>
      </c>
      <c r="B6440" s="21" t="s">
        <v>25</v>
      </c>
      <c r="C6440" s="21" t="s">
        <v>1145</v>
      </c>
      <c r="D6440" s="21" t="s">
        <v>35</v>
      </c>
      <c r="E6440" s="17" t="s">
        <v>255</v>
      </c>
      <c r="F6440" s="17" t="s">
        <v>105</v>
      </c>
      <c r="G6440" s="18" t="s">
        <v>48</v>
      </c>
      <c r="H6440" s="24">
        <v>4630</v>
      </c>
      <c r="I6440" s="24">
        <f>T_reg.root.SK[[#This Row],[Volume, kg]]/1000</f>
        <v>4.63</v>
      </c>
      <c r="J6440" s="25">
        <v>0.24249999999999999</v>
      </c>
      <c r="K6440" s="25">
        <f t="shared" si="101"/>
        <v>1122.7749999999999</v>
      </c>
      <c r="L6440" s="25">
        <v>2.1</v>
      </c>
      <c r="M6440" s="24">
        <v>9723</v>
      </c>
      <c r="N6440" s="25">
        <f>IFERROR(T_reg.root.SK[[#This Row],[Price]]/T_reg.root.SK[[#This Row],[Starch content]],"")</f>
        <v>8.6597938144329909</v>
      </c>
    </row>
    <row r="6441" spans="1:14">
      <c r="A6441" s="21">
        <v>2025</v>
      </c>
      <c r="B6441" s="21" t="s">
        <v>25</v>
      </c>
      <c r="C6441" s="21" t="s">
        <v>1145</v>
      </c>
      <c r="D6441" s="21" t="s">
        <v>35</v>
      </c>
      <c r="E6441" s="17" t="s">
        <v>256</v>
      </c>
      <c r="F6441" s="17" t="s">
        <v>105</v>
      </c>
      <c r="G6441" s="18" t="s">
        <v>48</v>
      </c>
      <c r="H6441" s="24">
        <v>22710</v>
      </c>
      <c r="I6441" s="24">
        <f>T_reg.root.SK[[#This Row],[Volume, kg]]/1000</f>
        <v>22.71</v>
      </c>
      <c r="J6441" s="25">
        <v>0.2034</v>
      </c>
      <c r="K6441" s="25">
        <f t="shared" si="101"/>
        <v>4619.2139999999999</v>
      </c>
      <c r="L6441" s="25">
        <v>1.93</v>
      </c>
      <c r="M6441" s="24">
        <v>43802</v>
      </c>
      <c r="N6441" s="25">
        <f>IFERROR(T_reg.root.SK[[#This Row],[Price]]/T_reg.root.SK[[#This Row],[Starch content]],"")</f>
        <v>9.4886922320550635</v>
      </c>
    </row>
    <row r="6442" spans="1:14">
      <c r="A6442" s="21">
        <v>2025</v>
      </c>
      <c r="B6442" s="21" t="s">
        <v>25</v>
      </c>
      <c r="C6442" s="21" t="s">
        <v>1145</v>
      </c>
      <c r="D6442" s="21" t="s">
        <v>35</v>
      </c>
      <c r="E6442" s="17" t="s">
        <v>613</v>
      </c>
      <c r="F6442" s="17" t="s">
        <v>187</v>
      </c>
      <c r="G6442" s="18" t="s">
        <v>48</v>
      </c>
      <c r="H6442" s="24">
        <v>9280</v>
      </c>
      <c r="I6442" s="24">
        <f>T_reg.root.SK[[#This Row],[Volume, kg]]/1000</f>
        <v>9.2799999999999994</v>
      </c>
      <c r="J6442" s="25">
        <v>0.26170000000000004</v>
      </c>
      <c r="K6442" s="25">
        <f t="shared" si="101"/>
        <v>2428.5760000000005</v>
      </c>
      <c r="L6442" s="25">
        <v>2.15</v>
      </c>
      <c r="M6442" s="24">
        <v>19948</v>
      </c>
      <c r="N6442" s="25">
        <f>IFERROR(T_reg.root.SK[[#This Row],[Price]]/T_reg.root.SK[[#This Row],[Starch content]],"")</f>
        <v>8.215513947267862</v>
      </c>
    </row>
    <row r="6443" spans="1:14">
      <c r="A6443" s="21">
        <v>2025</v>
      </c>
      <c r="B6443" s="21" t="s">
        <v>25</v>
      </c>
      <c r="C6443" s="21" t="s">
        <v>1145</v>
      </c>
      <c r="D6443" s="21" t="s">
        <v>35</v>
      </c>
      <c r="E6443" s="17" t="s">
        <v>321</v>
      </c>
      <c r="F6443" s="17" t="s">
        <v>105</v>
      </c>
      <c r="G6443" s="18" t="s">
        <v>48</v>
      </c>
      <c r="H6443" s="24">
        <v>24220</v>
      </c>
      <c r="I6443" s="24">
        <f>T_reg.root.SK[[#This Row],[Volume, kg]]/1000</f>
        <v>24.22</v>
      </c>
      <c r="J6443" s="25">
        <v>0.2432</v>
      </c>
      <c r="K6443" s="25">
        <f t="shared" si="101"/>
        <v>5890.3040000000001</v>
      </c>
      <c r="L6443" s="25">
        <v>2.0699999999999998</v>
      </c>
      <c r="M6443" s="24">
        <v>50129</v>
      </c>
      <c r="N6443" s="25">
        <f>IFERROR(T_reg.root.SK[[#This Row],[Price]]/T_reg.root.SK[[#This Row],[Starch content]],"")</f>
        <v>8.5115131578947363</v>
      </c>
    </row>
    <row r="6444" spans="1:14">
      <c r="A6444" s="21">
        <v>2025</v>
      </c>
      <c r="B6444" s="21" t="s">
        <v>25</v>
      </c>
      <c r="C6444" s="21" t="s">
        <v>1145</v>
      </c>
      <c r="D6444" s="21" t="s">
        <v>35</v>
      </c>
      <c r="E6444" s="17" t="s">
        <v>935</v>
      </c>
      <c r="F6444" s="17" t="s">
        <v>105</v>
      </c>
      <c r="G6444" s="18" t="s">
        <v>48</v>
      </c>
      <c r="H6444" s="24">
        <v>29960</v>
      </c>
      <c r="I6444" s="24">
        <f>T_reg.root.SK[[#This Row],[Volume, kg]]/1000</f>
        <v>29.96</v>
      </c>
      <c r="J6444" s="25">
        <v>0.2298</v>
      </c>
      <c r="K6444" s="25">
        <f t="shared" si="101"/>
        <v>6884.808</v>
      </c>
      <c r="L6444" s="25">
        <v>2.04</v>
      </c>
      <c r="M6444" s="24">
        <v>60985</v>
      </c>
      <c r="N6444" s="25">
        <f>IFERROR(T_reg.root.SK[[#This Row],[Price]]/T_reg.root.SK[[#This Row],[Starch content]],"")</f>
        <v>8.8772845953002619</v>
      </c>
    </row>
    <row r="6445" spans="1:14">
      <c r="A6445" s="21">
        <v>2025</v>
      </c>
      <c r="B6445" s="21" t="s">
        <v>25</v>
      </c>
      <c r="C6445" s="21" t="s">
        <v>1145</v>
      </c>
      <c r="D6445" s="21" t="s">
        <v>35</v>
      </c>
      <c r="E6445" s="17" t="s">
        <v>1056</v>
      </c>
      <c r="F6445" s="17" t="s">
        <v>105</v>
      </c>
      <c r="G6445" s="18" t="s">
        <v>48</v>
      </c>
      <c r="H6445" s="24">
        <v>2880</v>
      </c>
      <c r="I6445" s="24">
        <f>T_reg.root.SK[[#This Row],[Volume, kg]]/1000</f>
        <v>2.88</v>
      </c>
      <c r="J6445" s="25">
        <v>0.23850000000000002</v>
      </c>
      <c r="K6445" s="25">
        <f t="shared" si="101"/>
        <v>686.88</v>
      </c>
      <c r="L6445" s="25">
        <v>2.1</v>
      </c>
      <c r="M6445" s="24">
        <v>6048</v>
      </c>
      <c r="N6445" s="25">
        <f>IFERROR(T_reg.root.SK[[#This Row],[Price]]/T_reg.root.SK[[#This Row],[Starch content]],"")</f>
        <v>8.8050314465408803</v>
      </c>
    </row>
    <row r="6446" spans="1:14">
      <c r="A6446" s="21">
        <v>2025</v>
      </c>
      <c r="B6446" s="21" t="s">
        <v>25</v>
      </c>
      <c r="C6446" s="21" t="s">
        <v>1145</v>
      </c>
      <c r="D6446" s="21" t="s">
        <v>35</v>
      </c>
      <c r="E6446" s="17" t="s">
        <v>938</v>
      </c>
      <c r="F6446" s="17" t="s">
        <v>105</v>
      </c>
      <c r="G6446" s="18" t="s">
        <v>48</v>
      </c>
      <c r="H6446" s="24">
        <v>20630</v>
      </c>
      <c r="I6446" s="24">
        <f>T_reg.root.SK[[#This Row],[Volume, kg]]/1000</f>
        <v>20.63</v>
      </c>
      <c r="J6446" s="25">
        <v>0.20710000000000001</v>
      </c>
      <c r="K6446" s="25">
        <f t="shared" si="101"/>
        <v>4272.473</v>
      </c>
      <c r="L6446" s="25">
        <v>1.92</v>
      </c>
      <c r="M6446" s="24">
        <v>39536.5</v>
      </c>
      <c r="N6446" s="25">
        <f>IFERROR(T_reg.root.SK[[#This Row],[Price]]/T_reg.root.SK[[#This Row],[Starch content]],"")</f>
        <v>9.2708836310960887</v>
      </c>
    </row>
    <row r="6447" spans="1:14">
      <c r="A6447" s="21">
        <v>2025</v>
      </c>
      <c r="B6447" s="21" t="s">
        <v>25</v>
      </c>
      <c r="C6447" s="21" t="s">
        <v>1145</v>
      </c>
      <c r="D6447" s="21" t="s">
        <v>35</v>
      </c>
      <c r="E6447" s="17" t="s">
        <v>994</v>
      </c>
      <c r="F6447" s="17" t="s">
        <v>105</v>
      </c>
      <c r="G6447" s="18" t="s">
        <v>48</v>
      </c>
      <c r="H6447" s="24">
        <v>5860</v>
      </c>
      <c r="I6447" s="24">
        <f>T_reg.root.SK[[#This Row],[Volume, kg]]/1000</f>
        <v>5.86</v>
      </c>
      <c r="J6447" s="25">
        <v>0.29149999999999998</v>
      </c>
      <c r="K6447" s="25">
        <f t="shared" si="101"/>
        <v>1708.1899999999998</v>
      </c>
      <c r="L6447" s="25">
        <v>2.2999999999999998</v>
      </c>
      <c r="M6447" s="24">
        <v>13478</v>
      </c>
      <c r="N6447" s="25">
        <f>IFERROR(T_reg.root.SK[[#This Row],[Price]]/T_reg.root.SK[[#This Row],[Starch content]],"")</f>
        <v>7.8902229845626071</v>
      </c>
    </row>
    <row r="6448" spans="1:14">
      <c r="A6448" s="21">
        <v>2025</v>
      </c>
      <c r="B6448" s="21" t="s">
        <v>25</v>
      </c>
      <c r="C6448" s="21" t="s">
        <v>1145</v>
      </c>
      <c r="D6448" s="21" t="s">
        <v>35</v>
      </c>
      <c r="E6448" s="17" t="s">
        <v>664</v>
      </c>
      <c r="F6448" s="17" t="s">
        <v>95</v>
      </c>
      <c r="G6448" s="18" t="s">
        <v>48</v>
      </c>
      <c r="H6448" s="24">
        <v>33960</v>
      </c>
      <c r="I6448" s="24">
        <f>T_reg.root.SK[[#This Row],[Volume, kg]]/1000</f>
        <v>33.96</v>
      </c>
      <c r="J6448" s="25">
        <v>0.20039999999999999</v>
      </c>
      <c r="K6448" s="25">
        <f t="shared" si="101"/>
        <v>6805.5839999999998</v>
      </c>
      <c r="L6448" s="25">
        <v>1.85</v>
      </c>
      <c r="M6448" s="24">
        <v>62948</v>
      </c>
      <c r="N6448" s="25">
        <f>IFERROR(T_reg.root.SK[[#This Row],[Price]]/T_reg.root.SK[[#This Row],[Starch content]],"")</f>
        <v>9.2315369261477045</v>
      </c>
    </row>
    <row r="6449" spans="1:14">
      <c r="A6449" s="21">
        <v>2025</v>
      </c>
      <c r="B6449" s="21" t="s">
        <v>25</v>
      </c>
      <c r="C6449" s="21" t="s">
        <v>1145</v>
      </c>
      <c r="D6449" s="21" t="s">
        <v>39</v>
      </c>
      <c r="E6449" s="17" t="s">
        <v>88</v>
      </c>
      <c r="F6449" s="17" t="s">
        <v>89</v>
      </c>
      <c r="G6449" s="18" t="s">
        <v>90</v>
      </c>
      <c r="H6449" s="24">
        <v>7272470</v>
      </c>
      <c r="I6449" s="24">
        <f>T_reg.root.SK[[#This Row],[Volume, kg]]/1000</f>
        <v>7272.47</v>
      </c>
      <c r="J6449" s="25">
        <v>0.25309999999999999</v>
      </c>
      <c r="K6449" s="25">
        <f t="shared" si="101"/>
        <v>1840662.1569999999</v>
      </c>
      <c r="L6449" s="25">
        <v>2.58</v>
      </c>
      <c r="M6449" s="24">
        <v>18730427.5</v>
      </c>
      <c r="N6449" s="25">
        <f>IFERROR(T_reg.root.SK[[#This Row],[Price]]/T_reg.root.SK[[#This Row],[Starch content]],"")</f>
        <v>10.1935993678388</v>
      </c>
    </row>
    <row r="6450" spans="1:14">
      <c r="A6450" s="21">
        <v>2025</v>
      </c>
      <c r="B6450" s="21" t="s">
        <v>25</v>
      </c>
      <c r="C6450" s="21" t="s">
        <v>1145</v>
      </c>
      <c r="D6450" s="21" t="s">
        <v>39</v>
      </c>
      <c r="E6450" s="17" t="s">
        <v>1054</v>
      </c>
      <c r="F6450" s="17" t="s">
        <v>1055</v>
      </c>
      <c r="G6450" s="18" t="s">
        <v>103</v>
      </c>
      <c r="H6450" s="24">
        <v>1455880</v>
      </c>
      <c r="I6450" s="24">
        <f>T_reg.root.SK[[#This Row],[Volume, kg]]/1000</f>
        <v>1455.88</v>
      </c>
      <c r="J6450" s="25">
        <v>0.26150000000000001</v>
      </c>
      <c r="K6450" s="25">
        <f t="shared" si="101"/>
        <v>380712.62</v>
      </c>
      <c r="L6450" s="25">
        <v>2.6</v>
      </c>
      <c r="M6450" s="24">
        <v>3785090</v>
      </c>
      <c r="N6450" s="25">
        <f>IFERROR(T_reg.root.SK[[#This Row],[Price]]/T_reg.root.SK[[#This Row],[Starch content]],"")</f>
        <v>9.9426386233269604</v>
      </c>
    </row>
    <row r="6451" spans="1:14">
      <c r="A6451" s="21">
        <v>2025</v>
      </c>
      <c r="B6451" s="21" t="s">
        <v>25</v>
      </c>
      <c r="C6451" s="21" t="s">
        <v>1145</v>
      </c>
      <c r="D6451" s="21" t="s">
        <v>35</v>
      </c>
      <c r="E6451" s="17" t="s">
        <v>175</v>
      </c>
      <c r="F6451" s="17" t="s">
        <v>105</v>
      </c>
      <c r="G6451" s="18" t="s">
        <v>48</v>
      </c>
      <c r="H6451" s="24">
        <v>5370</v>
      </c>
      <c r="I6451" s="24">
        <f>T_reg.root.SK[[#This Row],[Volume, kg]]/1000</f>
        <v>5.37</v>
      </c>
      <c r="J6451" s="25">
        <v>0.2495</v>
      </c>
      <c r="K6451" s="25">
        <f t="shared" si="101"/>
        <v>1339.8150000000001</v>
      </c>
      <c r="L6451" s="25">
        <v>2.15</v>
      </c>
      <c r="M6451" s="24">
        <v>11545.5</v>
      </c>
      <c r="N6451" s="25">
        <f>IFERROR(T_reg.root.SK[[#This Row],[Price]]/T_reg.root.SK[[#This Row],[Starch content]],"")</f>
        <v>8.617234468937875</v>
      </c>
    </row>
    <row r="6452" spans="1:14">
      <c r="A6452" s="21">
        <v>2025</v>
      </c>
      <c r="B6452" s="21" t="s">
        <v>25</v>
      </c>
      <c r="C6452" s="21" t="s">
        <v>1145</v>
      </c>
      <c r="D6452" s="21" t="s">
        <v>35</v>
      </c>
      <c r="E6452" s="17" t="s">
        <v>176</v>
      </c>
      <c r="F6452" s="17" t="s">
        <v>105</v>
      </c>
      <c r="G6452" s="18" t="s">
        <v>48</v>
      </c>
      <c r="H6452" s="24">
        <v>31630</v>
      </c>
      <c r="I6452" s="24">
        <f>T_reg.root.SK[[#This Row],[Volume, kg]]/1000</f>
        <v>31.63</v>
      </c>
      <c r="J6452" s="25">
        <v>0.23440000000000003</v>
      </c>
      <c r="K6452" s="25">
        <f t="shared" si="101"/>
        <v>7414.072000000001</v>
      </c>
      <c r="L6452" s="25">
        <v>2.0299999999999998</v>
      </c>
      <c r="M6452" s="24">
        <v>64238.5</v>
      </c>
      <c r="N6452" s="25">
        <f>IFERROR(T_reg.root.SK[[#This Row],[Price]]/T_reg.root.SK[[#This Row],[Starch content]],"")</f>
        <v>8.6604095563139918</v>
      </c>
    </row>
    <row r="6453" spans="1:14">
      <c r="A6453" s="21">
        <v>2025</v>
      </c>
      <c r="B6453" s="21" t="s">
        <v>25</v>
      </c>
      <c r="C6453" s="21" t="s">
        <v>1145</v>
      </c>
      <c r="D6453" s="21" t="s">
        <v>35</v>
      </c>
      <c r="E6453" s="17" t="s">
        <v>605</v>
      </c>
      <c r="F6453" s="17" t="s">
        <v>105</v>
      </c>
      <c r="G6453" s="18" t="s">
        <v>48</v>
      </c>
      <c r="H6453" s="24">
        <v>5060</v>
      </c>
      <c r="I6453" s="24">
        <f>T_reg.root.SK[[#This Row],[Volume, kg]]/1000</f>
        <v>5.0599999999999996</v>
      </c>
      <c r="J6453" s="25">
        <v>0.2145</v>
      </c>
      <c r="K6453" s="25">
        <f t="shared" si="101"/>
        <v>1085.3699999999999</v>
      </c>
      <c r="L6453" s="25">
        <v>1.95</v>
      </c>
      <c r="M6453" s="24">
        <v>9867</v>
      </c>
      <c r="N6453" s="25">
        <f>IFERROR(T_reg.root.SK[[#This Row],[Price]]/T_reg.root.SK[[#This Row],[Starch content]],"")</f>
        <v>9.0909090909090917</v>
      </c>
    </row>
    <row r="6454" spans="1:14">
      <c r="A6454" s="21">
        <v>2025</v>
      </c>
      <c r="B6454" s="21" t="s">
        <v>25</v>
      </c>
      <c r="C6454" s="21" t="s">
        <v>1145</v>
      </c>
      <c r="D6454" s="21" t="s">
        <v>35</v>
      </c>
      <c r="E6454" s="17" t="s">
        <v>757</v>
      </c>
      <c r="F6454" s="17" t="s">
        <v>105</v>
      </c>
      <c r="G6454" s="18" t="s">
        <v>48</v>
      </c>
      <c r="H6454" s="24">
        <v>9370</v>
      </c>
      <c r="I6454" s="24">
        <f>T_reg.root.SK[[#This Row],[Volume, kg]]/1000</f>
        <v>9.3699999999999992</v>
      </c>
      <c r="J6454" s="25">
        <v>0.18230000000000002</v>
      </c>
      <c r="K6454" s="25">
        <f t="shared" si="101"/>
        <v>1708.1510000000001</v>
      </c>
      <c r="L6454" s="25">
        <v>1.8</v>
      </c>
      <c r="M6454" s="24">
        <v>16866</v>
      </c>
      <c r="N6454" s="25">
        <f>IFERROR(T_reg.root.SK[[#This Row],[Price]]/T_reg.root.SK[[#This Row],[Starch content]],"")</f>
        <v>9.873834339001645</v>
      </c>
    </row>
    <row r="6455" spans="1:14">
      <c r="A6455" s="21">
        <v>2025</v>
      </c>
      <c r="B6455" s="21" t="s">
        <v>25</v>
      </c>
      <c r="C6455" s="21" t="s">
        <v>1145</v>
      </c>
      <c r="D6455" s="21" t="s">
        <v>35</v>
      </c>
      <c r="E6455" s="17" t="s">
        <v>640</v>
      </c>
      <c r="F6455" s="17" t="s">
        <v>105</v>
      </c>
      <c r="G6455" s="18" t="s">
        <v>48</v>
      </c>
      <c r="H6455" s="24">
        <v>12930</v>
      </c>
      <c r="I6455" s="24">
        <f>T_reg.root.SK[[#This Row],[Volume, kg]]/1000</f>
        <v>12.93</v>
      </c>
      <c r="J6455" s="25">
        <v>0.24059999999999998</v>
      </c>
      <c r="K6455" s="25">
        <f t="shared" si="101"/>
        <v>3110.9579999999996</v>
      </c>
      <c r="L6455" s="25">
        <v>2.09</v>
      </c>
      <c r="M6455" s="24">
        <v>26976</v>
      </c>
      <c r="N6455" s="25">
        <f>IFERROR(T_reg.root.SK[[#This Row],[Price]]/T_reg.root.SK[[#This Row],[Starch content]],"")</f>
        <v>8.6866167913549468</v>
      </c>
    </row>
    <row r="6456" spans="1:14">
      <c r="A6456" s="21">
        <v>2025</v>
      </c>
      <c r="B6456" s="21" t="s">
        <v>25</v>
      </c>
      <c r="C6456" s="21" t="s">
        <v>1145</v>
      </c>
      <c r="D6456" s="21" t="s">
        <v>35</v>
      </c>
      <c r="E6456" s="17" t="s">
        <v>774</v>
      </c>
      <c r="F6456" s="17" t="s">
        <v>105</v>
      </c>
      <c r="G6456" s="18" t="s">
        <v>48</v>
      </c>
      <c r="H6456" s="24">
        <v>5610</v>
      </c>
      <c r="I6456" s="24">
        <f>T_reg.root.SK[[#This Row],[Volume, kg]]/1000</f>
        <v>5.61</v>
      </c>
      <c r="J6456" s="25">
        <v>0.25600000000000001</v>
      </c>
      <c r="K6456" s="25">
        <f t="shared" si="101"/>
        <v>1436.16</v>
      </c>
      <c r="L6456" s="25">
        <v>2.2000000000000002</v>
      </c>
      <c r="M6456" s="24">
        <v>12342</v>
      </c>
      <c r="N6456" s="25">
        <f>IFERROR(T_reg.root.SK[[#This Row],[Price]]/T_reg.root.SK[[#This Row],[Starch content]],"")</f>
        <v>8.59375</v>
      </c>
    </row>
    <row r="6457" spans="1:14">
      <c r="A6457" s="21">
        <v>2025</v>
      </c>
      <c r="B6457" s="21" t="s">
        <v>25</v>
      </c>
      <c r="C6457" s="21" t="s">
        <v>1145</v>
      </c>
      <c r="D6457" s="21" t="s">
        <v>35</v>
      </c>
      <c r="E6457" s="17" t="s">
        <v>578</v>
      </c>
      <c r="F6457" s="17" t="s">
        <v>105</v>
      </c>
      <c r="G6457" s="18" t="s">
        <v>48</v>
      </c>
      <c r="H6457" s="24">
        <v>4820</v>
      </c>
      <c r="I6457" s="24">
        <f>T_reg.root.SK[[#This Row],[Volume, kg]]/1000</f>
        <v>4.82</v>
      </c>
      <c r="J6457" s="25">
        <v>0.1825</v>
      </c>
      <c r="K6457" s="25">
        <f t="shared" si="101"/>
        <v>879.65</v>
      </c>
      <c r="L6457" s="25">
        <v>1.8</v>
      </c>
      <c r="M6457" s="24">
        <v>8676</v>
      </c>
      <c r="N6457" s="25">
        <f>IFERROR(T_reg.root.SK[[#This Row],[Price]]/T_reg.root.SK[[#This Row],[Starch content]],"")</f>
        <v>9.8630136986301373</v>
      </c>
    </row>
    <row r="6458" spans="1:14">
      <c r="A6458" s="21">
        <v>2025</v>
      </c>
      <c r="B6458" s="21" t="s">
        <v>25</v>
      </c>
      <c r="C6458" s="21" t="s">
        <v>1145</v>
      </c>
      <c r="D6458" s="21" t="s">
        <v>35</v>
      </c>
      <c r="E6458" s="17" t="s">
        <v>183</v>
      </c>
      <c r="F6458" s="17" t="s">
        <v>105</v>
      </c>
      <c r="G6458" s="18" t="s">
        <v>48</v>
      </c>
      <c r="H6458" s="24">
        <v>9580</v>
      </c>
      <c r="I6458" s="24">
        <f>T_reg.root.SK[[#This Row],[Volume, kg]]/1000</f>
        <v>9.58</v>
      </c>
      <c r="J6458" s="25">
        <v>0.23670000000000002</v>
      </c>
      <c r="K6458" s="25">
        <f t="shared" si="101"/>
        <v>2267.5860000000002</v>
      </c>
      <c r="L6458" s="25">
        <v>2.02</v>
      </c>
      <c r="M6458" s="24">
        <v>19337</v>
      </c>
      <c r="N6458" s="25">
        <f>IFERROR(T_reg.root.SK[[#This Row],[Price]]/T_reg.root.SK[[#This Row],[Starch content]],"")</f>
        <v>8.5340092944655677</v>
      </c>
    </row>
    <row r="6459" spans="1:14">
      <c r="A6459" s="21">
        <v>2025</v>
      </c>
      <c r="B6459" s="21" t="s">
        <v>26</v>
      </c>
      <c r="C6459" s="21" t="s">
        <v>1145</v>
      </c>
      <c r="D6459" s="21" t="s">
        <v>35</v>
      </c>
      <c r="E6459" s="17" t="s">
        <v>457</v>
      </c>
      <c r="F6459" s="17" t="s">
        <v>47</v>
      </c>
      <c r="G6459" s="18" t="s">
        <v>48</v>
      </c>
      <c r="H6459" s="24">
        <v>8530</v>
      </c>
      <c r="I6459" s="24">
        <f>T_reg.root.SK[[#This Row],[Volume, kg]]/1000</f>
        <v>8.5299999999999994</v>
      </c>
      <c r="J6459" s="25">
        <v>0.214</v>
      </c>
      <c r="K6459" s="25">
        <f t="shared" si="101"/>
        <v>1825.42</v>
      </c>
      <c r="L6459" s="25">
        <v>2</v>
      </c>
      <c r="M6459" s="24">
        <v>17060</v>
      </c>
      <c r="N6459" s="25">
        <f>IFERROR(T_reg.root.SK[[#This Row],[Price]]/T_reg.root.SK[[#This Row],[Starch content]],"")</f>
        <v>9.3457943925233646</v>
      </c>
    </row>
    <row r="6460" spans="1:14">
      <c r="A6460" s="21">
        <v>2025</v>
      </c>
      <c r="B6460" s="21" t="s">
        <v>26</v>
      </c>
      <c r="C6460" s="21" t="s">
        <v>1145</v>
      </c>
      <c r="D6460" s="21" t="s">
        <v>39</v>
      </c>
      <c r="E6460" s="17" t="s">
        <v>1057</v>
      </c>
      <c r="F6460" s="17" t="s">
        <v>1018</v>
      </c>
      <c r="G6460" s="18" t="s">
        <v>103</v>
      </c>
      <c r="H6460" s="24">
        <v>259660</v>
      </c>
      <c r="I6460" s="24">
        <f>T_reg.root.SK[[#This Row],[Volume, kg]]/1000</f>
        <v>259.66000000000003</v>
      </c>
      <c r="J6460" s="25">
        <v>0.25370000000000004</v>
      </c>
      <c r="K6460" s="25">
        <f t="shared" si="101"/>
        <v>65875.742000000013</v>
      </c>
      <c r="L6460" s="25">
        <v>2.5099999999999998</v>
      </c>
      <c r="M6460" s="24">
        <v>650641</v>
      </c>
      <c r="N6460" s="25">
        <f>IFERROR(T_reg.root.SK[[#This Row],[Price]]/T_reg.root.SK[[#This Row],[Starch content]],"")</f>
        <v>9.8935750886874239</v>
      </c>
    </row>
    <row r="6461" spans="1:14">
      <c r="A6461" s="21">
        <v>2025</v>
      </c>
      <c r="B6461" s="21" t="s">
        <v>26</v>
      </c>
      <c r="C6461" s="21" t="s">
        <v>1145</v>
      </c>
      <c r="D6461" s="21" t="s">
        <v>35</v>
      </c>
      <c r="E6461" s="17" t="s">
        <v>190</v>
      </c>
      <c r="F6461" s="17" t="s">
        <v>187</v>
      </c>
      <c r="G6461" s="18" t="s">
        <v>48</v>
      </c>
      <c r="H6461" s="24">
        <v>8100</v>
      </c>
      <c r="I6461" s="24">
        <f>T_reg.root.SK[[#This Row],[Volume, kg]]/1000</f>
        <v>8.1</v>
      </c>
      <c r="J6461" s="25">
        <v>0.27550000000000002</v>
      </c>
      <c r="K6461" s="25">
        <f t="shared" si="101"/>
        <v>2231.5500000000002</v>
      </c>
      <c r="L6461" s="25">
        <v>2.35</v>
      </c>
      <c r="M6461" s="24">
        <v>19035</v>
      </c>
      <c r="N6461" s="25">
        <f>IFERROR(T_reg.root.SK[[#This Row],[Price]]/T_reg.root.SK[[#This Row],[Starch content]],"")</f>
        <v>8.5299455535390187</v>
      </c>
    </row>
    <row r="6462" spans="1:14">
      <c r="A6462" s="21">
        <v>2025</v>
      </c>
      <c r="B6462" s="21" t="s">
        <v>26</v>
      </c>
      <c r="C6462" s="21" t="s">
        <v>1145</v>
      </c>
      <c r="D6462" s="21" t="s">
        <v>39</v>
      </c>
      <c r="E6462" s="17" t="s">
        <v>1058</v>
      </c>
      <c r="F6462" s="17" t="s">
        <v>227</v>
      </c>
      <c r="G6462" s="18" t="s">
        <v>42</v>
      </c>
      <c r="H6462" s="24">
        <v>59410</v>
      </c>
      <c r="I6462" s="24">
        <f>T_reg.root.SK[[#This Row],[Volume, kg]]/1000</f>
        <v>59.41</v>
      </c>
      <c r="J6462" s="25">
        <v>0.27100000000000002</v>
      </c>
      <c r="K6462" s="25">
        <f t="shared" si="101"/>
        <v>16100.11</v>
      </c>
      <c r="L6462" s="25">
        <v>2.5499999999999998</v>
      </c>
      <c r="M6462" s="24">
        <v>151495.5</v>
      </c>
      <c r="N6462" s="25">
        <f>IFERROR(T_reg.root.SK[[#This Row],[Price]]/T_reg.root.SK[[#This Row],[Starch content]],"")</f>
        <v>9.4095940959409585</v>
      </c>
    </row>
    <row r="6463" spans="1:14">
      <c r="A6463" s="21">
        <v>2025</v>
      </c>
      <c r="B6463" s="21" t="s">
        <v>26</v>
      </c>
      <c r="C6463" s="21" t="s">
        <v>1145</v>
      </c>
      <c r="D6463" s="21" t="s">
        <v>35</v>
      </c>
      <c r="E6463" s="17" t="s">
        <v>289</v>
      </c>
      <c r="F6463" s="17" t="s">
        <v>105</v>
      </c>
      <c r="G6463" s="18" t="s">
        <v>48</v>
      </c>
      <c r="H6463" s="24">
        <v>27100</v>
      </c>
      <c r="I6463" s="24">
        <f>T_reg.root.SK[[#This Row],[Volume, kg]]/1000</f>
        <v>27.1</v>
      </c>
      <c r="J6463" s="25">
        <v>0.18770000000000001</v>
      </c>
      <c r="K6463" s="25">
        <f t="shared" si="101"/>
        <v>5086.67</v>
      </c>
      <c r="L6463" s="25">
        <v>1.87</v>
      </c>
      <c r="M6463" s="24">
        <v>50604.5</v>
      </c>
      <c r="N6463" s="25">
        <f>IFERROR(T_reg.root.SK[[#This Row],[Price]]/T_reg.root.SK[[#This Row],[Starch content]],"")</f>
        <v>9.962706446457112</v>
      </c>
    </row>
    <row r="6464" spans="1:14">
      <c r="A6464" s="21">
        <v>2025</v>
      </c>
      <c r="B6464" s="21" t="s">
        <v>26</v>
      </c>
      <c r="C6464" s="21" t="s">
        <v>1145</v>
      </c>
      <c r="D6464" s="21" t="s">
        <v>35</v>
      </c>
      <c r="E6464" s="17" t="s">
        <v>370</v>
      </c>
      <c r="F6464" s="17" t="s">
        <v>187</v>
      </c>
      <c r="G6464" s="18" t="s">
        <v>48</v>
      </c>
      <c r="H6464" s="24">
        <v>15260</v>
      </c>
      <c r="I6464" s="24">
        <f>T_reg.root.SK[[#This Row],[Volume, kg]]/1000</f>
        <v>15.26</v>
      </c>
      <c r="J6464" s="25">
        <v>0.23629999999999998</v>
      </c>
      <c r="K6464" s="25">
        <f t="shared" si="101"/>
        <v>3605.9379999999996</v>
      </c>
      <c r="L6464" s="25">
        <v>2.11</v>
      </c>
      <c r="M6464" s="24">
        <v>32208</v>
      </c>
      <c r="N6464" s="25">
        <f>IFERROR(T_reg.root.SK[[#This Row],[Price]]/T_reg.root.SK[[#This Row],[Starch content]],"")</f>
        <v>8.9293271265340675</v>
      </c>
    </row>
    <row r="6465" spans="1:14">
      <c r="A6465" s="21">
        <v>2025</v>
      </c>
      <c r="B6465" s="21" t="s">
        <v>26</v>
      </c>
      <c r="C6465" s="21" t="s">
        <v>1145</v>
      </c>
      <c r="D6465" s="21" t="s">
        <v>35</v>
      </c>
      <c r="E6465" s="17" t="s">
        <v>108</v>
      </c>
      <c r="F6465" s="17" t="s">
        <v>105</v>
      </c>
      <c r="G6465" s="18" t="s">
        <v>48</v>
      </c>
      <c r="H6465" s="24">
        <v>4140</v>
      </c>
      <c r="I6465" s="24">
        <f>T_reg.root.SK[[#This Row],[Volume, kg]]/1000</f>
        <v>4.1399999999999997</v>
      </c>
      <c r="J6465" s="25">
        <v>0.22649999999999998</v>
      </c>
      <c r="K6465" s="25">
        <f t="shared" si="101"/>
        <v>937.70999999999992</v>
      </c>
      <c r="L6465" s="25">
        <v>2.1</v>
      </c>
      <c r="M6465" s="24">
        <v>8694</v>
      </c>
      <c r="N6465" s="25">
        <f>IFERROR(T_reg.root.SK[[#This Row],[Price]]/T_reg.root.SK[[#This Row],[Starch content]],"")</f>
        <v>9.2715231788079482</v>
      </c>
    </row>
    <row r="6466" spans="1:14">
      <c r="A6466" s="21">
        <v>2025</v>
      </c>
      <c r="B6466" s="21" t="s">
        <v>26</v>
      </c>
      <c r="C6466" s="21" t="s">
        <v>1145</v>
      </c>
      <c r="D6466" s="21" t="s">
        <v>35</v>
      </c>
      <c r="E6466" s="17" t="s">
        <v>713</v>
      </c>
      <c r="F6466" s="17" t="s">
        <v>105</v>
      </c>
      <c r="G6466" s="18" t="s">
        <v>48</v>
      </c>
      <c r="H6466" s="24">
        <v>40340</v>
      </c>
      <c r="I6466" s="24">
        <f>T_reg.root.SK[[#This Row],[Volume, kg]]/1000</f>
        <v>40.340000000000003</v>
      </c>
      <c r="J6466" s="25">
        <v>0.20760000000000001</v>
      </c>
      <c r="K6466" s="25">
        <f t="shared" si="101"/>
        <v>8374.5840000000007</v>
      </c>
      <c r="L6466" s="25">
        <v>1.99</v>
      </c>
      <c r="M6466" s="24">
        <v>80172</v>
      </c>
      <c r="N6466" s="25">
        <f>IFERROR(T_reg.root.SK[[#This Row],[Price]]/T_reg.root.SK[[#This Row],[Starch content]],"")</f>
        <v>9.5857418111753372</v>
      </c>
    </row>
    <row r="6467" spans="1:14">
      <c r="A6467" s="21">
        <v>2025</v>
      </c>
      <c r="B6467" s="21" t="s">
        <v>26</v>
      </c>
      <c r="C6467" s="21" t="s">
        <v>1145</v>
      </c>
      <c r="D6467" s="21" t="s">
        <v>35</v>
      </c>
      <c r="E6467" s="17" t="s">
        <v>631</v>
      </c>
      <c r="F6467" s="17" t="s">
        <v>105</v>
      </c>
      <c r="G6467" s="18" t="s">
        <v>48</v>
      </c>
      <c r="H6467" s="24">
        <v>10490</v>
      </c>
      <c r="I6467" s="24">
        <f>T_reg.root.SK[[#This Row],[Volume, kg]]/1000</f>
        <v>10.49</v>
      </c>
      <c r="J6467" s="25">
        <v>0.23850000000000002</v>
      </c>
      <c r="K6467" s="25">
        <f t="shared" si="101"/>
        <v>2501.8650000000002</v>
      </c>
      <c r="L6467" s="25">
        <v>2.15</v>
      </c>
      <c r="M6467" s="24">
        <v>22553.5</v>
      </c>
      <c r="N6467" s="25">
        <f>IFERROR(T_reg.root.SK[[#This Row],[Price]]/T_reg.root.SK[[#This Row],[Starch content]],"")</f>
        <v>9.0146750524109009</v>
      </c>
    </row>
    <row r="6468" spans="1:14">
      <c r="A6468" s="21">
        <v>2025</v>
      </c>
      <c r="B6468" s="21" t="s">
        <v>26</v>
      </c>
      <c r="C6468" s="21" t="s">
        <v>1145</v>
      </c>
      <c r="D6468" s="21" t="s">
        <v>35</v>
      </c>
      <c r="E6468" s="17" t="s">
        <v>608</v>
      </c>
      <c r="F6468" s="17" t="s">
        <v>187</v>
      </c>
      <c r="G6468" s="18" t="s">
        <v>48</v>
      </c>
      <c r="H6468" s="24">
        <v>28750</v>
      </c>
      <c r="I6468" s="24">
        <f>T_reg.root.SK[[#This Row],[Volume, kg]]/1000</f>
        <v>28.75</v>
      </c>
      <c r="J6468" s="25">
        <v>0.20699999999999999</v>
      </c>
      <c r="K6468" s="25">
        <f t="shared" si="101"/>
        <v>5951.25</v>
      </c>
      <c r="L6468" s="25">
        <v>1.95</v>
      </c>
      <c r="M6468" s="24">
        <v>56006.5</v>
      </c>
      <c r="N6468" s="25">
        <f>IFERROR(T_reg.root.SK[[#This Row],[Price]]/T_reg.root.SK[[#This Row],[Starch content]],"")</f>
        <v>9.4202898550724647</v>
      </c>
    </row>
    <row r="6469" spans="1:14">
      <c r="A6469" s="21">
        <v>2025</v>
      </c>
      <c r="B6469" s="21" t="s">
        <v>26</v>
      </c>
      <c r="C6469" s="21" t="s">
        <v>1145</v>
      </c>
      <c r="D6469" s="21" t="s">
        <v>35</v>
      </c>
      <c r="E6469" s="17" t="s">
        <v>632</v>
      </c>
      <c r="F6469" s="17" t="s">
        <v>105</v>
      </c>
      <c r="G6469" s="18" t="s">
        <v>48</v>
      </c>
      <c r="H6469" s="24">
        <v>25210</v>
      </c>
      <c r="I6469" s="24">
        <f>T_reg.root.SK[[#This Row],[Volume, kg]]/1000</f>
        <v>25.21</v>
      </c>
      <c r="J6469" s="25">
        <v>0.21489999999999998</v>
      </c>
      <c r="K6469" s="25">
        <f t="shared" si="101"/>
        <v>5417.6289999999999</v>
      </c>
      <c r="L6469" s="25">
        <v>1.99</v>
      </c>
      <c r="M6469" s="24">
        <v>50045</v>
      </c>
      <c r="N6469" s="25">
        <f>IFERROR(T_reg.root.SK[[#This Row],[Price]]/T_reg.root.SK[[#This Row],[Starch content]],"")</f>
        <v>9.2601209865053526</v>
      </c>
    </row>
    <row r="6470" spans="1:14">
      <c r="A6470" s="21">
        <v>2025</v>
      </c>
      <c r="B6470" s="21" t="s">
        <v>26</v>
      </c>
      <c r="C6470" s="21" t="s">
        <v>1145</v>
      </c>
      <c r="D6470" s="21" t="s">
        <v>39</v>
      </c>
      <c r="E6470" s="17" t="s">
        <v>1017</v>
      </c>
      <c r="F6470" s="17" t="s">
        <v>1018</v>
      </c>
      <c r="G6470" s="18" t="s">
        <v>103</v>
      </c>
      <c r="H6470" s="24">
        <v>994440</v>
      </c>
      <c r="I6470" s="24">
        <f>T_reg.root.SK[[#This Row],[Volume, kg]]/1000</f>
        <v>994.44</v>
      </c>
      <c r="J6470" s="25">
        <v>0.24590000000000001</v>
      </c>
      <c r="K6470" s="25">
        <f t="shared" si="101"/>
        <v>244532.796</v>
      </c>
      <c r="L6470" s="25">
        <v>2.4500000000000002</v>
      </c>
      <c r="M6470" s="24">
        <v>2433537</v>
      </c>
      <c r="N6470" s="25">
        <f>IFERROR(T_reg.root.SK[[#This Row],[Price]]/T_reg.root.SK[[#This Row],[Starch content]],"")</f>
        <v>9.963399755998374</v>
      </c>
    </row>
    <row r="6471" spans="1:14">
      <c r="A6471" s="21">
        <v>2025</v>
      </c>
      <c r="B6471" s="21" t="s">
        <v>26</v>
      </c>
      <c r="C6471" s="21" t="s">
        <v>1145</v>
      </c>
      <c r="D6471" s="21" t="s">
        <v>35</v>
      </c>
      <c r="E6471" s="17" t="s">
        <v>110</v>
      </c>
      <c r="F6471" s="17" t="s">
        <v>105</v>
      </c>
      <c r="G6471" s="18" t="s">
        <v>48</v>
      </c>
      <c r="H6471" s="24">
        <v>31580</v>
      </c>
      <c r="I6471" s="24">
        <f>T_reg.root.SK[[#This Row],[Volume, kg]]/1000</f>
        <v>31.58</v>
      </c>
      <c r="J6471" s="25">
        <v>0.21030000000000001</v>
      </c>
      <c r="K6471" s="25">
        <f t="shared" si="101"/>
        <v>6641.2740000000003</v>
      </c>
      <c r="L6471" s="25">
        <v>2</v>
      </c>
      <c r="M6471" s="24">
        <v>63157.5</v>
      </c>
      <c r="N6471" s="25">
        <f>IFERROR(T_reg.root.SK[[#This Row],[Price]]/T_reg.root.SK[[#This Row],[Starch content]],"")</f>
        <v>9.5102234902520202</v>
      </c>
    </row>
    <row r="6472" spans="1:14">
      <c r="A6472" s="21">
        <v>2025</v>
      </c>
      <c r="B6472" s="21" t="s">
        <v>26</v>
      </c>
      <c r="C6472" s="21" t="s">
        <v>1145</v>
      </c>
      <c r="D6472" s="21" t="s">
        <v>35</v>
      </c>
      <c r="E6472" s="17" t="s">
        <v>261</v>
      </c>
      <c r="F6472" s="17" t="s">
        <v>187</v>
      </c>
      <c r="G6472" s="18" t="s">
        <v>48</v>
      </c>
      <c r="H6472" s="24">
        <v>15720</v>
      </c>
      <c r="I6472" s="24">
        <f>T_reg.root.SK[[#This Row],[Volume, kg]]/1000</f>
        <v>15.72</v>
      </c>
      <c r="J6472" s="25">
        <v>0.19120000000000001</v>
      </c>
      <c r="K6472" s="25">
        <f t="shared" si="101"/>
        <v>3005.6640000000002</v>
      </c>
      <c r="L6472" s="25">
        <v>1.86</v>
      </c>
      <c r="M6472" s="24">
        <v>29167</v>
      </c>
      <c r="N6472" s="25">
        <f>IFERROR(T_reg.root.SK[[#This Row],[Price]]/T_reg.root.SK[[#This Row],[Starch content]],"")</f>
        <v>9.7280334728033466</v>
      </c>
    </row>
    <row r="6473" spans="1:14">
      <c r="A6473" s="21">
        <v>2025</v>
      </c>
      <c r="B6473" s="21" t="s">
        <v>26</v>
      </c>
      <c r="C6473" s="21" t="s">
        <v>1145</v>
      </c>
      <c r="D6473" s="21" t="s">
        <v>35</v>
      </c>
      <c r="E6473" s="17" t="s">
        <v>192</v>
      </c>
      <c r="F6473" s="17" t="s">
        <v>187</v>
      </c>
      <c r="G6473" s="18" t="s">
        <v>48</v>
      </c>
      <c r="H6473" s="24">
        <v>4460</v>
      </c>
      <c r="I6473" s="24">
        <f>T_reg.root.SK[[#This Row],[Volume, kg]]/1000</f>
        <v>4.46</v>
      </c>
      <c r="J6473" s="25">
        <v>0.2455</v>
      </c>
      <c r="K6473" s="25">
        <f t="shared" si="101"/>
        <v>1094.93</v>
      </c>
      <c r="L6473" s="25">
        <v>2.2000000000000002</v>
      </c>
      <c r="M6473" s="24">
        <v>9812</v>
      </c>
      <c r="N6473" s="25">
        <f>IFERROR(T_reg.root.SK[[#This Row],[Price]]/T_reg.root.SK[[#This Row],[Starch content]],"")</f>
        <v>8.9613034623217924</v>
      </c>
    </row>
    <row r="6474" spans="1:14">
      <c r="A6474" s="21">
        <v>2025</v>
      </c>
      <c r="B6474" s="21" t="s">
        <v>26</v>
      </c>
      <c r="C6474" s="21" t="s">
        <v>1145</v>
      </c>
      <c r="D6474" s="21" t="s">
        <v>39</v>
      </c>
      <c r="E6474" s="17" t="s">
        <v>1020</v>
      </c>
      <c r="F6474" s="17" t="s">
        <v>1021</v>
      </c>
      <c r="G6474" s="18" t="s">
        <v>1022</v>
      </c>
      <c r="H6474" s="24">
        <v>62630</v>
      </c>
      <c r="I6474" s="24">
        <f>T_reg.root.SK[[#This Row],[Volume, kg]]/1000</f>
        <v>62.63</v>
      </c>
      <c r="J6474" s="25">
        <v>0.24690000000000001</v>
      </c>
      <c r="K6474" s="25">
        <f t="shared" si="101"/>
        <v>15463.347</v>
      </c>
      <c r="L6474" s="25">
        <v>2.4500000000000002</v>
      </c>
      <c r="M6474" s="24">
        <v>153400.5</v>
      </c>
      <c r="N6474" s="25">
        <f>IFERROR(T_reg.root.SK[[#This Row],[Price]]/T_reg.root.SK[[#This Row],[Starch content]],"")</f>
        <v>9.9230457675172143</v>
      </c>
    </row>
    <row r="6475" spans="1:14">
      <c r="A6475" s="21">
        <v>2025</v>
      </c>
      <c r="B6475" s="21" t="s">
        <v>26</v>
      </c>
      <c r="C6475" s="21" t="s">
        <v>1145</v>
      </c>
      <c r="D6475" s="21" t="s">
        <v>35</v>
      </c>
      <c r="E6475" s="17" t="s">
        <v>295</v>
      </c>
      <c r="F6475" s="17" t="s">
        <v>105</v>
      </c>
      <c r="G6475" s="18" t="s">
        <v>48</v>
      </c>
      <c r="H6475" s="24">
        <v>42390</v>
      </c>
      <c r="I6475" s="24">
        <f>T_reg.root.SK[[#This Row],[Volume, kg]]/1000</f>
        <v>42.39</v>
      </c>
      <c r="J6475" s="25">
        <v>0.24710000000000001</v>
      </c>
      <c r="K6475" s="25">
        <f t="shared" si="101"/>
        <v>10474.569000000001</v>
      </c>
      <c r="L6475" s="25">
        <v>2.19</v>
      </c>
      <c r="M6475" s="24">
        <v>92913</v>
      </c>
      <c r="N6475" s="25">
        <f>IFERROR(T_reg.root.SK[[#This Row],[Price]]/T_reg.root.SK[[#This Row],[Starch content]],"")</f>
        <v>8.8628085795224596</v>
      </c>
    </row>
    <row r="6476" spans="1:14">
      <c r="A6476" s="21">
        <v>2025</v>
      </c>
      <c r="B6476" s="21" t="s">
        <v>26</v>
      </c>
      <c r="C6476" s="21" t="s">
        <v>1145</v>
      </c>
      <c r="D6476" s="21" t="s">
        <v>35</v>
      </c>
      <c r="E6476" s="17" t="s">
        <v>78</v>
      </c>
      <c r="F6476" s="17" t="s">
        <v>47</v>
      </c>
      <c r="G6476" s="18" t="s">
        <v>48</v>
      </c>
      <c r="H6476" s="24">
        <v>80380</v>
      </c>
      <c r="I6476" s="24">
        <f>T_reg.root.SK[[#This Row],[Volume, kg]]/1000</f>
        <v>80.38</v>
      </c>
      <c r="J6476" s="25">
        <v>0.21210000000000001</v>
      </c>
      <c r="K6476" s="25">
        <f t="shared" si="101"/>
        <v>17048.598000000002</v>
      </c>
      <c r="L6476" s="25">
        <v>2.0099999999999998</v>
      </c>
      <c r="M6476" s="24">
        <v>161231.5</v>
      </c>
      <c r="N6476" s="25">
        <f>IFERROR(T_reg.root.SK[[#This Row],[Price]]/T_reg.root.SK[[#This Row],[Starch content]],"")</f>
        <v>9.4766619519094757</v>
      </c>
    </row>
    <row r="6477" spans="1:14">
      <c r="A6477" s="21">
        <v>2025</v>
      </c>
      <c r="B6477" s="21" t="s">
        <v>26</v>
      </c>
      <c r="C6477" s="21" t="s">
        <v>1145</v>
      </c>
      <c r="D6477" s="21" t="s">
        <v>35</v>
      </c>
      <c r="E6477" s="17" t="s">
        <v>262</v>
      </c>
      <c r="F6477" s="17" t="s">
        <v>187</v>
      </c>
      <c r="G6477" s="18" t="s">
        <v>48</v>
      </c>
      <c r="H6477" s="24">
        <v>50460</v>
      </c>
      <c r="I6477" s="24">
        <f>T_reg.root.SK[[#This Row],[Volume, kg]]/1000</f>
        <v>50.46</v>
      </c>
      <c r="J6477" s="25">
        <v>0.23960000000000001</v>
      </c>
      <c r="K6477" s="25">
        <f t="shared" si="101"/>
        <v>12090.216</v>
      </c>
      <c r="L6477" s="25">
        <v>2.15</v>
      </c>
      <c r="M6477" s="24">
        <v>108288.5</v>
      </c>
      <c r="N6477" s="25">
        <f>IFERROR(T_reg.root.SK[[#This Row],[Price]]/T_reg.root.SK[[#This Row],[Starch content]],"")</f>
        <v>8.973288814691152</v>
      </c>
    </row>
    <row r="6478" spans="1:14">
      <c r="A6478" s="21">
        <v>2025</v>
      </c>
      <c r="B6478" s="21" t="s">
        <v>26</v>
      </c>
      <c r="C6478" s="21" t="s">
        <v>1145</v>
      </c>
      <c r="D6478" s="21" t="s">
        <v>35</v>
      </c>
      <c r="E6478" s="17" t="s">
        <v>803</v>
      </c>
      <c r="F6478" s="17" t="s">
        <v>105</v>
      </c>
      <c r="G6478" s="18" t="s">
        <v>48</v>
      </c>
      <c r="H6478" s="24">
        <v>110890</v>
      </c>
      <c r="I6478" s="24">
        <f>T_reg.root.SK[[#This Row],[Volume, kg]]/1000</f>
        <v>110.89</v>
      </c>
      <c r="J6478" s="25">
        <v>0.23399999999999999</v>
      </c>
      <c r="K6478" s="25">
        <f t="shared" si="101"/>
        <v>25948.26</v>
      </c>
      <c r="L6478" s="25">
        <v>2.09</v>
      </c>
      <c r="M6478" s="24">
        <v>231450.5</v>
      </c>
      <c r="N6478" s="25">
        <f>IFERROR(T_reg.root.SK[[#This Row],[Price]]/T_reg.root.SK[[#This Row],[Starch content]],"")</f>
        <v>8.9316239316239319</v>
      </c>
    </row>
    <row r="6479" spans="1:14">
      <c r="A6479" s="21">
        <v>2025</v>
      </c>
      <c r="B6479" s="21" t="s">
        <v>26</v>
      </c>
      <c r="C6479" s="21" t="s">
        <v>1145</v>
      </c>
      <c r="D6479" s="21" t="s">
        <v>39</v>
      </c>
      <c r="E6479" s="17" t="s">
        <v>284</v>
      </c>
      <c r="F6479" s="17" t="s">
        <v>285</v>
      </c>
      <c r="G6479" s="18" t="s">
        <v>286</v>
      </c>
      <c r="H6479" s="24">
        <v>191230</v>
      </c>
      <c r="I6479" s="24">
        <f>T_reg.root.SK[[#This Row],[Volume, kg]]/1000</f>
        <v>191.23</v>
      </c>
      <c r="J6479" s="25">
        <v>0.25819999999999999</v>
      </c>
      <c r="K6479" s="25">
        <f t="shared" ref="K6479:K6542" si="102">H6479*J6479</f>
        <v>49375.585999999996</v>
      </c>
      <c r="L6479" s="25">
        <v>2.59</v>
      </c>
      <c r="M6479" s="24">
        <v>494815</v>
      </c>
      <c r="N6479" s="25">
        <f>IFERROR(T_reg.root.SK[[#This Row],[Price]]/T_reg.root.SK[[#This Row],[Starch content]],"")</f>
        <v>10.030983733539891</v>
      </c>
    </row>
    <row r="6480" spans="1:14">
      <c r="A6480" s="21">
        <v>2025</v>
      </c>
      <c r="B6480" s="21" t="s">
        <v>26</v>
      </c>
      <c r="C6480" s="21" t="s">
        <v>1145</v>
      </c>
      <c r="D6480" s="21" t="s">
        <v>35</v>
      </c>
      <c r="E6480" s="17" t="s">
        <v>460</v>
      </c>
      <c r="F6480" s="17" t="s">
        <v>47</v>
      </c>
      <c r="G6480" s="18" t="s">
        <v>48</v>
      </c>
      <c r="H6480" s="24">
        <v>3400</v>
      </c>
      <c r="I6480" s="24">
        <f>T_reg.root.SK[[#This Row],[Volume, kg]]/1000</f>
        <v>3.4</v>
      </c>
      <c r="J6480" s="25">
        <v>0.24100000000000002</v>
      </c>
      <c r="K6480" s="25">
        <f t="shared" si="102"/>
        <v>819.40000000000009</v>
      </c>
      <c r="L6480" s="25">
        <v>2.15</v>
      </c>
      <c r="M6480" s="24">
        <v>7310</v>
      </c>
      <c r="N6480" s="25">
        <f>IFERROR(T_reg.root.SK[[#This Row],[Price]]/T_reg.root.SK[[#This Row],[Starch content]],"")</f>
        <v>8.9211618257261396</v>
      </c>
    </row>
    <row r="6481" spans="1:14">
      <c r="A6481" s="21">
        <v>2025</v>
      </c>
      <c r="B6481" s="21" t="s">
        <v>26</v>
      </c>
      <c r="C6481" s="21" t="s">
        <v>1145</v>
      </c>
      <c r="D6481" s="21" t="s">
        <v>35</v>
      </c>
      <c r="E6481" s="17" t="s">
        <v>461</v>
      </c>
      <c r="F6481" s="17" t="s">
        <v>47</v>
      </c>
      <c r="G6481" s="18" t="s">
        <v>48</v>
      </c>
      <c r="H6481" s="24">
        <v>8380</v>
      </c>
      <c r="I6481" s="24">
        <f>T_reg.root.SK[[#This Row],[Volume, kg]]/1000</f>
        <v>8.3800000000000008</v>
      </c>
      <c r="J6481" s="25">
        <v>0.2195</v>
      </c>
      <c r="K6481" s="25">
        <f t="shared" si="102"/>
        <v>1839.41</v>
      </c>
      <c r="L6481" s="25">
        <v>2.0499999999999998</v>
      </c>
      <c r="M6481" s="24">
        <v>17179</v>
      </c>
      <c r="N6481" s="25">
        <f>IFERROR(T_reg.root.SK[[#This Row],[Price]]/T_reg.root.SK[[#This Row],[Starch content]],"")</f>
        <v>9.3394077448747144</v>
      </c>
    </row>
    <row r="6482" spans="1:14">
      <c r="A6482" s="21">
        <v>2025</v>
      </c>
      <c r="B6482" s="21" t="s">
        <v>26</v>
      </c>
      <c r="C6482" s="21" t="s">
        <v>1145</v>
      </c>
      <c r="D6482" s="21" t="s">
        <v>39</v>
      </c>
      <c r="E6482" s="17" t="s">
        <v>997</v>
      </c>
      <c r="F6482" s="17" t="s">
        <v>998</v>
      </c>
      <c r="G6482" s="18" t="s">
        <v>87</v>
      </c>
      <c r="H6482" s="24">
        <v>2402610</v>
      </c>
      <c r="I6482" s="24">
        <f>T_reg.root.SK[[#This Row],[Volume, kg]]/1000</f>
        <v>2402.61</v>
      </c>
      <c r="J6482" s="25">
        <v>0.25950000000000001</v>
      </c>
      <c r="K6482" s="25">
        <f t="shared" si="102"/>
        <v>623477.29500000004</v>
      </c>
      <c r="L6482" s="25">
        <v>2.56</v>
      </c>
      <c r="M6482" s="24">
        <v>6155037.5</v>
      </c>
      <c r="N6482" s="25">
        <f>IFERROR(T_reg.root.SK[[#This Row],[Price]]/T_reg.root.SK[[#This Row],[Starch content]],"")</f>
        <v>9.8651252408477834</v>
      </c>
    </row>
    <row r="6483" spans="1:14">
      <c r="A6483" s="21">
        <v>2025</v>
      </c>
      <c r="B6483" s="21" t="s">
        <v>26</v>
      </c>
      <c r="C6483" s="21" t="s">
        <v>1145</v>
      </c>
      <c r="D6483" s="21" t="s">
        <v>35</v>
      </c>
      <c r="E6483" s="17" t="s">
        <v>558</v>
      </c>
      <c r="F6483" s="17" t="s">
        <v>105</v>
      </c>
      <c r="G6483" s="18" t="s">
        <v>48</v>
      </c>
      <c r="H6483" s="24">
        <v>22720</v>
      </c>
      <c r="I6483" s="24">
        <f>T_reg.root.SK[[#This Row],[Volume, kg]]/1000</f>
        <v>22.72</v>
      </c>
      <c r="J6483" s="25">
        <v>0.26100000000000001</v>
      </c>
      <c r="K6483" s="25">
        <f t="shared" si="102"/>
        <v>5929.92</v>
      </c>
      <c r="L6483" s="25">
        <v>2.21</v>
      </c>
      <c r="M6483" s="24">
        <v>50141.5</v>
      </c>
      <c r="N6483" s="25">
        <f>IFERROR(T_reg.root.SK[[#This Row],[Price]]/T_reg.root.SK[[#This Row],[Starch content]],"")</f>
        <v>8.4674329501915704</v>
      </c>
    </row>
    <row r="6484" spans="1:14">
      <c r="A6484" s="21">
        <v>2025</v>
      </c>
      <c r="B6484" s="21" t="s">
        <v>26</v>
      </c>
      <c r="C6484" s="21" t="s">
        <v>1145</v>
      </c>
      <c r="D6484" s="21" t="s">
        <v>35</v>
      </c>
      <c r="E6484" s="17" t="s">
        <v>600</v>
      </c>
      <c r="F6484" s="17" t="s">
        <v>105</v>
      </c>
      <c r="G6484" s="18" t="s">
        <v>48</v>
      </c>
      <c r="H6484" s="24">
        <v>26050</v>
      </c>
      <c r="I6484" s="24">
        <f>T_reg.root.SK[[#This Row],[Volume, kg]]/1000</f>
        <v>26.05</v>
      </c>
      <c r="J6484" s="25">
        <v>0.24940000000000001</v>
      </c>
      <c r="K6484" s="25">
        <f t="shared" si="102"/>
        <v>6496.87</v>
      </c>
      <c r="L6484" s="25">
        <v>2.19</v>
      </c>
      <c r="M6484" s="24">
        <v>57037.5</v>
      </c>
      <c r="N6484" s="25">
        <f>IFERROR(T_reg.root.SK[[#This Row],[Price]]/T_reg.root.SK[[#This Row],[Starch content]],"")</f>
        <v>8.7810745789895748</v>
      </c>
    </row>
    <row r="6485" spans="1:14">
      <c r="A6485" s="21">
        <v>2025</v>
      </c>
      <c r="B6485" s="21" t="s">
        <v>26</v>
      </c>
      <c r="C6485" s="21" t="s">
        <v>1145</v>
      </c>
      <c r="D6485" s="21" t="s">
        <v>35</v>
      </c>
      <c r="E6485" s="17" t="s">
        <v>235</v>
      </c>
      <c r="F6485" s="17" t="s">
        <v>105</v>
      </c>
      <c r="G6485" s="18" t="s">
        <v>48</v>
      </c>
      <c r="H6485" s="24">
        <v>145780</v>
      </c>
      <c r="I6485" s="24">
        <f>T_reg.root.SK[[#This Row],[Volume, kg]]/1000</f>
        <v>145.78</v>
      </c>
      <c r="J6485" s="25">
        <v>0.24510000000000001</v>
      </c>
      <c r="K6485" s="25">
        <f t="shared" si="102"/>
        <v>35730.678</v>
      </c>
      <c r="L6485" s="25">
        <v>2.1800000000000002</v>
      </c>
      <c r="M6485" s="24">
        <v>318412.5</v>
      </c>
      <c r="N6485" s="25">
        <f>IFERROR(T_reg.root.SK[[#This Row],[Price]]/T_reg.root.SK[[#This Row],[Starch content]],"")</f>
        <v>8.8943288453692375</v>
      </c>
    </row>
    <row r="6486" spans="1:14">
      <c r="A6486" s="21">
        <v>2025</v>
      </c>
      <c r="B6486" s="21" t="s">
        <v>26</v>
      </c>
      <c r="C6486" s="21" t="s">
        <v>1145</v>
      </c>
      <c r="D6486" s="21" t="s">
        <v>39</v>
      </c>
      <c r="E6486" s="17" t="s">
        <v>797</v>
      </c>
      <c r="F6486" s="17" t="s">
        <v>798</v>
      </c>
      <c r="G6486" s="18" t="s">
        <v>799</v>
      </c>
      <c r="H6486" s="24">
        <v>1066340</v>
      </c>
      <c r="I6486" s="24">
        <f>T_reg.root.SK[[#This Row],[Volume, kg]]/1000</f>
        <v>1066.3399999999999</v>
      </c>
      <c r="J6486" s="25">
        <v>0.22579999999999997</v>
      </c>
      <c r="K6486" s="25">
        <f t="shared" si="102"/>
        <v>240779.57199999999</v>
      </c>
      <c r="L6486" s="25">
        <v>2.39</v>
      </c>
      <c r="M6486" s="24">
        <v>2543801</v>
      </c>
      <c r="N6486" s="25">
        <f>IFERROR(T_reg.root.SK[[#This Row],[Price]]/T_reg.root.SK[[#This Row],[Starch content]],"")</f>
        <v>10.584588131089461</v>
      </c>
    </row>
    <row r="6487" spans="1:14">
      <c r="A6487" s="21">
        <v>2025</v>
      </c>
      <c r="B6487" s="21" t="s">
        <v>26</v>
      </c>
      <c r="C6487" s="21" t="s">
        <v>1145</v>
      </c>
      <c r="D6487" s="21" t="s">
        <v>35</v>
      </c>
      <c r="E6487" s="17" t="s">
        <v>1032</v>
      </c>
      <c r="F6487" s="17" t="s">
        <v>105</v>
      </c>
      <c r="G6487" s="18" t="s">
        <v>48</v>
      </c>
      <c r="H6487" s="24">
        <v>0</v>
      </c>
      <c r="I6487" s="24">
        <f>T_reg.root.SK[[#This Row],[Volume, kg]]/1000</f>
        <v>0</v>
      </c>
      <c r="J6487" s="25">
        <v>0</v>
      </c>
      <c r="K6487" s="25">
        <f t="shared" si="102"/>
        <v>0</v>
      </c>
      <c r="L6487" s="25">
        <v>0</v>
      </c>
      <c r="M6487" s="24">
        <v>0</v>
      </c>
      <c r="N6487" s="25" t="str">
        <f>IFERROR(T_reg.root.SK[[#This Row],[Price]]/T_reg.root.SK[[#This Row],[Starch content]],"")</f>
        <v/>
      </c>
    </row>
    <row r="6488" spans="1:14">
      <c r="A6488" s="21">
        <v>2025</v>
      </c>
      <c r="B6488" s="21" t="s">
        <v>26</v>
      </c>
      <c r="C6488" s="21" t="s">
        <v>1145</v>
      </c>
      <c r="D6488" s="21" t="s">
        <v>35</v>
      </c>
      <c r="E6488" s="17" t="s">
        <v>1059</v>
      </c>
      <c r="F6488" s="17" t="s">
        <v>105</v>
      </c>
      <c r="G6488" s="18" t="s">
        <v>48</v>
      </c>
      <c r="H6488" s="24">
        <v>130200</v>
      </c>
      <c r="I6488" s="24">
        <f>T_reg.root.SK[[#This Row],[Volume, kg]]/1000</f>
        <v>130.19999999999999</v>
      </c>
      <c r="J6488" s="25">
        <v>0.25440000000000002</v>
      </c>
      <c r="K6488" s="25">
        <f t="shared" si="102"/>
        <v>33122.880000000005</v>
      </c>
      <c r="L6488" s="25">
        <v>2.19</v>
      </c>
      <c r="M6488" s="24">
        <v>285764</v>
      </c>
      <c r="N6488" s="25">
        <f>IFERROR(T_reg.root.SK[[#This Row],[Price]]/T_reg.root.SK[[#This Row],[Starch content]],"")</f>
        <v>8.6084905660377355</v>
      </c>
    </row>
    <row r="6489" spans="1:14">
      <c r="A6489" s="21">
        <v>2025</v>
      </c>
      <c r="B6489" s="21" t="s">
        <v>26</v>
      </c>
      <c r="C6489" s="21" t="s">
        <v>1145</v>
      </c>
      <c r="D6489" s="21" t="s">
        <v>39</v>
      </c>
      <c r="E6489" s="17" t="s">
        <v>1060</v>
      </c>
      <c r="F6489" s="17" t="s">
        <v>1018</v>
      </c>
      <c r="G6489" s="18" t="s">
        <v>103</v>
      </c>
      <c r="H6489" s="24">
        <v>136780</v>
      </c>
      <c r="I6489" s="24">
        <f>T_reg.root.SK[[#This Row],[Volume, kg]]/1000</f>
        <v>136.78</v>
      </c>
      <c r="J6489" s="25">
        <v>0.23100000000000001</v>
      </c>
      <c r="K6489" s="25">
        <f t="shared" si="102"/>
        <v>31596.18</v>
      </c>
      <c r="L6489" s="25">
        <v>2.36</v>
      </c>
      <c r="M6489" s="24">
        <v>322773</v>
      </c>
      <c r="N6489" s="25">
        <f>IFERROR(T_reg.root.SK[[#This Row],[Price]]/T_reg.root.SK[[#This Row],[Starch content]],"")</f>
        <v>10.216450216450216</v>
      </c>
    </row>
    <row r="6490" spans="1:14">
      <c r="A6490" s="21">
        <v>2025</v>
      </c>
      <c r="B6490" s="21" t="s">
        <v>26</v>
      </c>
      <c r="C6490" s="21" t="s">
        <v>1145</v>
      </c>
      <c r="D6490" s="21" t="s">
        <v>35</v>
      </c>
      <c r="E6490" s="17" t="s">
        <v>560</v>
      </c>
      <c r="F6490" s="17" t="s">
        <v>105</v>
      </c>
      <c r="G6490" s="18" t="s">
        <v>48</v>
      </c>
      <c r="H6490" s="24">
        <v>2150</v>
      </c>
      <c r="I6490" s="24">
        <f>T_reg.root.SK[[#This Row],[Volume, kg]]/1000</f>
        <v>2.15</v>
      </c>
      <c r="J6490" s="25">
        <v>0.1905</v>
      </c>
      <c r="K6490" s="25">
        <f t="shared" si="102"/>
        <v>409.57499999999999</v>
      </c>
      <c r="L6490" s="25">
        <v>1.85</v>
      </c>
      <c r="M6490" s="24">
        <v>3977.5</v>
      </c>
      <c r="N6490" s="25">
        <f>IFERROR(T_reg.root.SK[[#This Row],[Price]]/T_reg.root.SK[[#This Row],[Starch content]],"")</f>
        <v>9.7112860892388451</v>
      </c>
    </row>
    <row r="6491" spans="1:14">
      <c r="A6491" s="21">
        <v>2025</v>
      </c>
      <c r="B6491" s="21" t="s">
        <v>26</v>
      </c>
      <c r="C6491" s="21" t="s">
        <v>1145</v>
      </c>
      <c r="D6491" s="21" t="s">
        <v>35</v>
      </c>
      <c r="E6491" s="17" t="s">
        <v>115</v>
      </c>
      <c r="F6491" s="17" t="s">
        <v>105</v>
      </c>
      <c r="G6491" s="18" t="s">
        <v>48</v>
      </c>
      <c r="H6491" s="24">
        <v>80090</v>
      </c>
      <c r="I6491" s="24">
        <f>T_reg.root.SK[[#This Row],[Volume, kg]]/1000</f>
        <v>80.09</v>
      </c>
      <c r="J6491" s="25">
        <v>0.25259999999999999</v>
      </c>
      <c r="K6491" s="25">
        <f t="shared" si="102"/>
        <v>20230.734</v>
      </c>
      <c r="L6491" s="25">
        <v>2.2200000000000002</v>
      </c>
      <c r="M6491" s="24">
        <v>177721</v>
      </c>
      <c r="N6491" s="25">
        <f>IFERROR(T_reg.root.SK[[#This Row],[Price]]/T_reg.root.SK[[#This Row],[Starch content]],"")</f>
        <v>8.7885985748218545</v>
      </c>
    </row>
    <row r="6492" spans="1:14">
      <c r="A6492" s="21">
        <v>2025</v>
      </c>
      <c r="B6492" s="21" t="s">
        <v>26</v>
      </c>
      <c r="C6492" s="21" t="s">
        <v>1145</v>
      </c>
      <c r="D6492" s="21" t="s">
        <v>35</v>
      </c>
      <c r="E6492" s="17" t="s">
        <v>116</v>
      </c>
      <c r="F6492" s="17" t="s">
        <v>105</v>
      </c>
      <c r="G6492" s="18" t="s">
        <v>48</v>
      </c>
      <c r="H6492" s="24">
        <v>6090</v>
      </c>
      <c r="I6492" s="24">
        <f>T_reg.root.SK[[#This Row],[Volume, kg]]/1000</f>
        <v>6.09</v>
      </c>
      <c r="J6492" s="25">
        <v>0.21329999999999999</v>
      </c>
      <c r="K6492" s="25">
        <f t="shared" si="102"/>
        <v>1298.9969999999998</v>
      </c>
      <c r="L6492" s="25">
        <v>1.97</v>
      </c>
      <c r="M6492" s="24">
        <v>11967.5</v>
      </c>
      <c r="N6492" s="25">
        <f>IFERROR(T_reg.root.SK[[#This Row],[Price]]/T_reg.root.SK[[#This Row],[Starch content]],"")</f>
        <v>9.2358180965775905</v>
      </c>
    </row>
    <row r="6493" spans="1:14">
      <c r="A6493" s="21">
        <v>2025</v>
      </c>
      <c r="B6493" s="21" t="s">
        <v>26</v>
      </c>
      <c r="C6493" s="21" t="s">
        <v>1145</v>
      </c>
      <c r="D6493" s="21" t="s">
        <v>35</v>
      </c>
      <c r="E6493" s="17" t="s">
        <v>296</v>
      </c>
      <c r="F6493" s="17" t="s">
        <v>105</v>
      </c>
      <c r="G6493" s="18" t="s">
        <v>48</v>
      </c>
      <c r="H6493" s="24">
        <v>21970</v>
      </c>
      <c r="I6493" s="24">
        <f>T_reg.root.SK[[#This Row],[Volume, kg]]/1000</f>
        <v>21.97</v>
      </c>
      <c r="J6493" s="25">
        <v>0.25609999999999999</v>
      </c>
      <c r="K6493" s="25">
        <f t="shared" si="102"/>
        <v>5626.5169999999998</v>
      </c>
      <c r="L6493" s="25">
        <v>2.2200000000000002</v>
      </c>
      <c r="M6493" s="24">
        <v>48835</v>
      </c>
      <c r="N6493" s="25">
        <f>IFERROR(T_reg.root.SK[[#This Row],[Price]]/T_reg.root.SK[[#This Row],[Starch content]],"")</f>
        <v>8.6684888715345583</v>
      </c>
    </row>
    <row r="6494" spans="1:14">
      <c r="A6494" s="21">
        <v>2025</v>
      </c>
      <c r="B6494" s="21" t="s">
        <v>26</v>
      </c>
      <c r="C6494" s="21" t="s">
        <v>1145</v>
      </c>
      <c r="D6494" s="21" t="s">
        <v>39</v>
      </c>
      <c r="E6494" s="17" t="s">
        <v>782</v>
      </c>
      <c r="F6494" s="17" t="s">
        <v>783</v>
      </c>
      <c r="G6494" s="18" t="s">
        <v>87</v>
      </c>
      <c r="H6494" s="24">
        <v>1271690</v>
      </c>
      <c r="I6494" s="24">
        <f>T_reg.root.SK[[#This Row],[Volume, kg]]/1000</f>
        <v>1271.69</v>
      </c>
      <c r="J6494" s="25">
        <v>0.24640000000000001</v>
      </c>
      <c r="K6494" s="25">
        <f t="shared" si="102"/>
        <v>313344.41600000003</v>
      </c>
      <c r="L6494" s="25">
        <v>2.4900000000000002</v>
      </c>
      <c r="M6494" s="24">
        <v>3166919.5</v>
      </c>
      <c r="N6494" s="25">
        <f>IFERROR(T_reg.root.SK[[#This Row],[Price]]/T_reg.root.SK[[#This Row],[Starch content]],"")</f>
        <v>10.105519480519481</v>
      </c>
    </row>
    <row r="6495" spans="1:14">
      <c r="A6495" s="21">
        <v>2025</v>
      </c>
      <c r="B6495" s="21" t="s">
        <v>26</v>
      </c>
      <c r="C6495" s="21" t="s">
        <v>1145</v>
      </c>
      <c r="D6495" s="21" t="s">
        <v>35</v>
      </c>
      <c r="E6495" s="17" t="s">
        <v>118</v>
      </c>
      <c r="F6495" s="17" t="s">
        <v>105</v>
      </c>
      <c r="G6495" s="18" t="s">
        <v>48</v>
      </c>
      <c r="H6495" s="24">
        <v>90060</v>
      </c>
      <c r="I6495" s="24">
        <f>T_reg.root.SK[[#This Row],[Volume, kg]]/1000</f>
        <v>90.06</v>
      </c>
      <c r="J6495" s="25">
        <v>0.2341</v>
      </c>
      <c r="K6495" s="25">
        <f t="shared" si="102"/>
        <v>21083.045999999998</v>
      </c>
      <c r="L6495" s="25">
        <v>2.11</v>
      </c>
      <c r="M6495" s="24">
        <v>190287</v>
      </c>
      <c r="N6495" s="25">
        <f>IFERROR(T_reg.root.SK[[#This Row],[Price]]/T_reg.root.SK[[#This Row],[Starch content]],"")</f>
        <v>9.0132422041862448</v>
      </c>
    </row>
    <row r="6496" spans="1:14">
      <c r="A6496" s="21">
        <v>2025</v>
      </c>
      <c r="B6496" s="21" t="s">
        <v>26</v>
      </c>
      <c r="C6496" s="21" t="s">
        <v>1145</v>
      </c>
      <c r="D6496" s="21" t="s">
        <v>35</v>
      </c>
      <c r="E6496" s="17" t="s">
        <v>119</v>
      </c>
      <c r="F6496" s="17" t="s">
        <v>105</v>
      </c>
      <c r="G6496" s="18" t="s">
        <v>48</v>
      </c>
      <c r="H6496" s="24">
        <v>12530</v>
      </c>
      <c r="I6496" s="24">
        <f>T_reg.root.SK[[#This Row],[Volume, kg]]/1000</f>
        <v>12.53</v>
      </c>
      <c r="J6496" s="25">
        <v>0.26390000000000002</v>
      </c>
      <c r="K6496" s="25">
        <f t="shared" si="102"/>
        <v>3306.6670000000004</v>
      </c>
      <c r="L6496" s="25">
        <v>2.2400000000000002</v>
      </c>
      <c r="M6496" s="24">
        <v>28037.5</v>
      </c>
      <c r="N6496" s="25">
        <f>IFERROR(T_reg.root.SK[[#This Row],[Price]]/T_reg.root.SK[[#This Row],[Starch content]],"")</f>
        <v>8.4880636604774544</v>
      </c>
    </row>
    <row r="6497" spans="1:14">
      <c r="A6497" s="21">
        <v>2025</v>
      </c>
      <c r="B6497" s="21" t="s">
        <v>26</v>
      </c>
      <c r="C6497" s="21" t="s">
        <v>1145</v>
      </c>
      <c r="D6497" s="21" t="s">
        <v>39</v>
      </c>
      <c r="E6497" s="17" t="s">
        <v>101</v>
      </c>
      <c r="F6497" s="17" t="s">
        <v>102</v>
      </c>
      <c r="G6497" s="18" t="s">
        <v>103</v>
      </c>
      <c r="H6497" s="24">
        <v>1366750</v>
      </c>
      <c r="I6497" s="24">
        <f>T_reg.root.SK[[#This Row],[Volume, kg]]/1000</f>
        <v>1366.75</v>
      </c>
      <c r="J6497" s="25">
        <v>0.24679999999999999</v>
      </c>
      <c r="K6497" s="25">
        <f t="shared" si="102"/>
        <v>337313.89999999997</v>
      </c>
      <c r="L6497" s="25">
        <v>2.42</v>
      </c>
      <c r="M6497" s="24">
        <v>3312499.5</v>
      </c>
      <c r="N6497" s="25">
        <f>IFERROR(T_reg.root.SK[[#This Row],[Price]]/T_reg.root.SK[[#This Row],[Starch content]],"")</f>
        <v>9.8055105348460287</v>
      </c>
    </row>
    <row r="6498" spans="1:14">
      <c r="A6498" s="21">
        <v>2025</v>
      </c>
      <c r="B6498" s="21" t="s">
        <v>26</v>
      </c>
      <c r="C6498" s="21" t="s">
        <v>1145</v>
      </c>
      <c r="D6498" s="21" t="s">
        <v>35</v>
      </c>
      <c r="E6498" s="17" t="s">
        <v>120</v>
      </c>
      <c r="F6498" s="17" t="s">
        <v>105</v>
      </c>
      <c r="G6498" s="18" t="s">
        <v>48</v>
      </c>
      <c r="H6498" s="24">
        <v>8880</v>
      </c>
      <c r="I6498" s="24">
        <f>T_reg.root.SK[[#This Row],[Volume, kg]]/1000</f>
        <v>8.8800000000000008</v>
      </c>
      <c r="J6498" s="25">
        <v>0.17800000000000002</v>
      </c>
      <c r="K6498" s="25">
        <f t="shared" si="102"/>
        <v>1580.64</v>
      </c>
      <c r="L6498" s="25">
        <v>1.8</v>
      </c>
      <c r="M6498" s="24">
        <v>15984</v>
      </c>
      <c r="N6498" s="25">
        <f>IFERROR(T_reg.root.SK[[#This Row],[Price]]/T_reg.root.SK[[#This Row],[Starch content]],"")</f>
        <v>10.112359550561797</v>
      </c>
    </row>
    <row r="6499" spans="1:14">
      <c r="A6499" s="21">
        <v>2025</v>
      </c>
      <c r="B6499" s="21" t="s">
        <v>26</v>
      </c>
      <c r="C6499" s="21" t="s">
        <v>1145</v>
      </c>
      <c r="D6499" s="21" t="s">
        <v>35</v>
      </c>
      <c r="E6499" s="17" t="s">
        <v>562</v>
      </c>
      <c r="F6499" s="17" t="s">
        <v>105</v>
      </c>
      <c r="G6499" s="18" t="s">
        <v>48</v>
      </c>
      <c r="H6499" s="24">
        <v>9790</v>
      </c>
      <c r="I6499" s="24">
        <f>T_reg.root.SK[[#This Row],[Volume, kg]]/1000</f>
        <v>9.7899999999999991</v>
      </c>
      <c r="J6499" s="25">
        <v>0.26919999999999999</v>
      </c>
      <c r="K6499" s="25">
        <f t="shared" si="102"/>
        <v>2635.4679999999998</v>
      </c>
      <c r="L6499" s="25">
        <v>2.25</v>
      </c>
      <c r="M6499" s="24">
        <v>22027.5</v>
      </c>
      <c r="N6499" s="25">
        <f>IFERROR(T_reg.root.SK[[#This Row],[Price]]/T_reg.root.SK[[#This Row],[Starch content]],"")</f>
        <v>8.3580980683506692</v>
      </c>
    </row>
    <row r="6500" spans="1:14">
      <c r="A6500" s="21">
        <v>2025</v>
      </c>
      <c r="B6500" s="21" t="s">
        <v>26</v>
      </c>
      <c r="C6500" s="21" t="s">
        <v>1145</v>
      </c>
      <c r="D6500" s="21" t="s">
        <v>39</v>
      </c>
      <c r="E6500" s="17" t="s">
        <v>98</v>
      </c>
      <c r="F6500" s="17" t="s">
        <v>99</v>
      </c>
      <c r="G6500" s="18" t="s">
        <v>42</v>
      </c>
      <c r="H6500" s="24">
        <v>4578460</v>
      </c>
      <c r="I6500" s="24">
        <f>T_reg.root.SK[[#This Row],[Volume, kg]]/1000</f>
        <v>4578.46</v>
      </c>
      <c r="J6500" s="25">
        <v>0.24539999999999998</v>
      </c>
      <c r="K6500" s="25">
        <f t="shared" si="102"/>
        <v>1123554.0839999998</v>
      </c>
      <c r="L6500" s="25">
        <v>2.48</v>
      </c>
      <c r="M6500" s="24">
        <v>11335166.5</v>
      </c>
      <c r="N6500" s="25">
        <f>IFERROR(T_reg.root.SK[[#This Row],[Price]]/T_reg.root.SK[[#This Row],[Starch content]],"")</f>
        <v>10.10594947025265</v>
      </c>
    </row>
    <row r="6501" spans="1:14">
      <c r="A6501" s="21">
        <v>2025</v>
      </c>
      <c r="B6501" s="21" t="s">
        <v>26</v>
      </c>
      <c r="C6501" s="21" t="s">
        <v>1145</v>
      </c>
      <c r="D6501" s="21" t="s">
        <v>39</v>
      </c>
      <c r="E6501" s="17" t="s">
        <v>346</v>
      </c>
      <c r="F6501" s="17" t="s">
        <v>99</v>
      </c>
      <c r="G6501" s="18" t="s">
        <v>42</v>
      </c>
      <c r="H6501" s="24">
        <v>837610</v>
      </c>
      <c r="I6501" s="24">
        <f>T_reg.root.SK[[#This Row],[Volume, kg]]/1000</f>
        <v>837.61</v>
      </c>
      <c r="J6501" s="25">
        <v>0.23600000000000002</v>
      </c>
      <c r="K6501" s="25">
        <f t="shared" si="102"/>
        <v>197675.96000000002</v>
      </c>
      <c r="L6501" s="25">
        <v>2.34</v>
      </c>
      <c r="M6501" s="24">
        <v>1963392.5</v>
      </c>
      <c r="N6501" s="25">
        <f>IFERROR(T_reg.root.SK[[#This Row],[Price]]/T_reg.root.SK[[#This Row],[Starch content]],"")</f>
        <v>9.9152542372881349</v>
      </c>
    </row>
    <row r="6502" spans="1:14">
      <c r="A6502" s="21">
        <v>2025</v>
      </c>
      <c r="B6502" s="21" t="s">
        <v>26</v>
      </c>
      <c r="C6502" s="21" t="s">
        <v>1145</v>
      </c>
      <c r="D6502" s="21" t="s">
        <v>35</v>
      </c>
      <c r="E6502" s="17" t="s">
        <v>239</v>
      </c>
      <c r="F6502" s="17" t="s">
        <v>105</v>
      </c>
      <c r="G6502" s="18" t="s">
        <v>48</v>
      </c>
      <c r="H6502" s="24">
        <v>17070</v>
      </c>
      <c r="I6502" s="24">
        <f>T_reg.root.SK[[#This Row],[Volume, kg]]/1000</f>
        <v>17.07</v>
      </c>
      <c r="J6502" s="25">
        <v>0.21629999999999999</v>
      </c>
      <c r="K6502" s="25">
        <f t="shared" si="102"/>
        <v>3692.241</v>
      </c>
      <c r="L6502" s="25">
        <v>2.0499999999999998</v>
      </c>
      <c r="M6502" s="24">
        <v>34950</v>
      </c>
      <c r="N6502" s="25">
        <f>IFERROR(T_reg.root.SK[[#This Row],[Price]]/T_reg.root.SK[[#This Row],[Starch content]],"")</f>
        <v>9.477577438742486</v>
      </c>
    </row>
    <row r="6503" spans="1:14">
      <c r="A6503" s="21">
        <v>2025</v>
      </c>
      <c r="B6503" s="21" t="s">
        <v>26</v>
      </c>
      <c r="C6503" s="21" t="s">
        <v>1145</v>
      </c>
      <c r="D6503" s="21" t="s">
        <v>35</v>
      </c>
      <c r="E6503" s="17" t="s">
        <v>124</v>
      </c>
      <c r="F6503" s="17" t="s">
        <v>105</v>
      </c>
      <c r="G6503" s="18" t="s">
        <v>48</v>
      </c>
      <c r="H6503" s="24">
        <v>72960</v>
      </c>
      <c r="I6503" s="24">
        <f>T_reg.root.SK[[#This Row],[Volume, kg]]/1000</f>
        <v>72.959999999999994</v>
      </c>
      <c r="J6503" s="25">
        <v>0.24129999999999999</v>
      </c>
      <c r="K6503" s="25">
        <f t="shared" si="102"/>
        <v>17605.248</v>
      </c>
      <c r="L6503" s="25">
        <v>2.14</v>
      </c>
      <c r="M6503" s="24">
        <v>156375.5</v>
      </c>
      <c r="N6503" s="25">
        <f>IFERROR(T_reg.root.SK[[#This Row],[Price]]/T_reg.root.SK[[#This Row],[Starch content]],"")</f>
        <v>8.868628263572317</v>
      </c>
    </row>
    <row r="6504" spans="1:14">
      <c r="A6504" s="21">
        <v>2025</v>
      </c>
      <c r="B6504" s="21" t="s">
        <v>26</v>
      </c>
      <c r="C6504" s="21" t="s">
        <v>1145</v>
      </c>
      <c r="D6504" s="21" t="s">
        <v>35</v>
      </c>
      <c r="E6504" s="17" t="s">
        <v>404</v>
      </c>
      <c r="F6504" s="17" t="s">
        <v>105</v>
      </c>
      <c r="G6504" s="18" t="s">
        <v>48</v>
      </c>
      <c r="H6504" s="24">
        <v>18260</v>
      </c>
      <c r="I6504" s="24">
        <f>T_reg.root.SK[[#This Row],[Volume, kg]]/1000</f>
        <v>18.260000000000002</v>
      </c>
      <c r="J6504" s="25">
        <v>0.2492</v>
      </c>
      <c r="K6504" s="25">
        <f t="shared" si="102"/>
        <v>4550.3919999999998</v>
      </c>
      <c r="L6504" s="25">
        <v>2.2000000000000002</v>
      </c>
      <c r="M6504" s="24">
        <v>40204</v>
      </c>
      <c r="N6504" s="25">
        <f>IFERROR(T_reg.root.SK[[#This Row],[Price]]/T_reg.root.SK[[#This Row],[Starch content]],"")</f>
        <v>8.8282504012841105</v>
      </c>
    </row>
    <row r="6505" spans="1:14">
      <c r="A6505" s="21">
        <v>2025</v>
      </c>
      <c r="B6505" s="21" t="s">
        <v>26</v>
      </c>
      <c r="C6505" s="21" t="s">
        <v>1145</v>
      </c>
      <c r="D6505" s="21" t="s">
        <v>35</v>
      </c>
      <c r="E6505" s="17" t="s">
        <v>240</v>
      </c>
      <c r="F6505" s="17" t="s">
        <v>105</v>
      </c>
      <c r="G6505" s="18" t="s">
        <v>48</v>
      </c>
      <c r="H6505" s="24">
        <v>4150</v>
      </c>
      <c r="I6505" s="24">
        <f>T_reg.root.SK[[#This Row],[Volume, kg]]/1000</f>
        <v>4.1500000000000004</v>
      </c>
      <c r="J6505" s="25">
        <v>0.26850000000000002</v>
      </c>
      <c r="K6505" s="25">
        <f t="shared" si="102"/>
        <v>1114.2750000000001</v>
      </c>
      <c r="L6505" s="25">
        <v>2.2999999999999998</v>
      </c>
      <c r="M6505" s="24">
        <v>9545</v>
      </c>
      <c r="N6505" s="25">
        <f>IFERROR(T_reg.root.SK[[#This Row],[Price]]/T_reg.root.SK[[#This Row],[Starch content]],"")</f>
        <v>8.5661080074487881</v>
      </c>
    </row>
    <row r="6506" spans="1:14">
      <c r="A6506" s="21">
        <v>2025</v>
      </c>
      <c r="B6506" s="21" t="s">
        <v>26</v>
      </c>
      <c r="C6506" s="21" t="s">
        <v>1145</v>
      </c>
      <c r="D6506" s="21" t="s">
        <v>35</v>
      </c>
      <c r="E6506" s="17" t="s">
        <v>736</v>
      </c>
      <c r="F6506" s="17" t="s">
        <v>105</v>
      </c>
      <c r="G6506" s="18" t="s">
        <v>48</v>
      </c>
      <c r="H6506" s="24">
        <v>38250</v>
      </c>
      <c r="I6506" s="24">
        <f>T_reg.root.SK[[#This Row],[Volume, kg]]/1000</f>
        <v>38.25</v>
      </c>
      <c r="J6506" s="25">
        <v>0.23769999999999999</v>
      </c>
      <c r="K6506" s="25">
        <f t="shared" si="102"/>
        <v>9092.0249999999996</v>
      </c>
      <c r="L6506" s="25">
        <v>2.14</v>
      </c>
      <c r="M6506" s="24">
        <v>81890</v>
      </c>
      <c r="N6506" s="25">
        <f>IFERROR(T_reg.root.SK[[#This Row],[Price]]/T_reg.root.SK[[#This Row],[Starch content]],"")</f>
        <v>9.0029448885149357</v>
      </c>
    </row>
    <row r="6507" spans="1:14">
      <c r="A6507" s="21">
        <v>2025</v>
      </c>
      <c r="B6507" s="21" t="s">
        <v>26</v>
      </c>
      <c r="C6507" s="21" t="s">
        <v>1145</v>
      </c>
      <c r="D6507" s="21" t="s">
        <v>35</v>
      </c>
      <c r="E6507" s="17" t="s">
        <v>127</v>
      </c>
      <c r="F6507" s="17" t="s">
        <v>105</v>
      </c>
      <c r="G6507" s="18" t="s">
        <v>48</v>
      </c>
      <c r="H6507" s="24">
        <v>4990</v>
      </c>
      <c r="I6507" s="24">
        <f>T_reg.root.SK[[#This Row],[Volume, kg]]/1000</f>
        <v>4.99</v>
      </c>
      <c r="J6507" s="25">
        <v>0.23499999999999999</v>
      </c>
      <c r="K6507" s="25">
        <f t="shared" si="102"/>
        <v>1172.6499999999999</v>
      </c>
      <c r="L6507" s="25">
        <v>2.15</v>
      </c>
      <c r="M6507" s="24">
        <v>10728.5</v>
      </c>
      <c r="N6507" s="25">
        <f>IFERROR(T_reg.root.SK[[#This Row],[Price]]/T_reg.root.SK[[#This Row],[Starch content]],"")</f>
        <v>9.1489361702127656</v>
      </c>
    </row>
    <row r="6508" spans="1:14">
      <c r="A6508" s="21">
        <v>2025</v>
      </c>
      <c r="B6508" s="21" t="s">
        <v>26</v>
      </c>
      <c r="C6508" s="21" t="s">
        <v>1145</v>
      </c>
      <c r="D6508" s="21" t="s">
        <v>35</v>
      </c>
      <c r="E6508" s="17" t="s">
        <v>489</v>
      </c>
      <c r="F6508" s="17" t="s">
        <v>105</v>
      </c>
      <c r="G6508" s="18" t="s">
        <v>48</v>
      </c>
      <c r="H6508" s="24">
        <v>5740</v>
      </c>
      <c r="I6508" s="24">
        <f>T_reg.root.SK[[#This Row],[Volume, kg]]/1000</f>
        <v>5.74</v>
      </c>
      <c r="J6508" s="25">
        <v>0.22600000000000001</v>
      </c>
      <c r="K6508" s="25">
        <f t="shared" si="102"/>
        <v>1297.24</v>
      </c>
      <c r="L6508" s="25">
        <v>2.1</v>
      </c>
      <c r="M6508" s="24">
        <v>12054</v>
      </c>
      <c r="N6508" s="25">
        <f>IFERROR(T_reg.root.SK[[#This Row],[Price]]/T_reg.root.SK[[#This Row],[Starch content]],"")</f>
        <v>9.2920353982300892</v>
      </c>
    </row>
    <row r="6509" spans="1:14">
      <c r="A6509" s="21">
        <v>2025</v>
      </c>
      <c r="B6509" s="21" t="s">
        <v>26</v>
      </c>
      <c r="C6509" s="21" t="s">
        <v>1145</v>
      </c>
      <c r="D6509" s="21" t="s">
        <v>35</v>
      </c>
      <c r="E6509" s="17" t="s">
        <v>650</v>
      </c>
      <c r="F6509" s="17" t="s">
        <v>187</v>
      </c>
      <c r="G6509" s="18" t="s">
        <v>48</v>
      </c>
      <c r="H6509" s="24">
        <v>12770</v>
      </c>
      <c r="I6509" s="24">
        <f>T_reg.root.SK[[#This Row],[Volume, kg]]/1000</f>
        <v>12.77</v>
      </c>
      <c r="J6509" s="25">
        <v>0.2243</v>
      </c>
      <c r="K6509" s="25">
        <f t="shared" si="102"/>
        <v>2864.3110000000001</v>
      </c>
      <c r="L6509" s="25">
        <v>2.0699999999999998</v>
      </c>
      <c r="M6509" s="24">
        <v>26455</v>
      </c>
      <c r="N6509" s="25">
        <f>IFERROR(T_reg.root.SK[[#This Row],[Price]]/T_reg.root.SK[[#This Row],[Starch content]],"")</f>
        <v>9.2287115470352195</v>
      </c>
    </row>
    <row r="6510" spans="1:14">
      <c r="A6510" s="21">
        <v>2025</v>
      </c>
      <c r="B6510" s="21" t="s">
        <v>26</v>
      </c>
      <c r="C6510" s="21" t="s">
        <v>1145</v>
      </c>
      <c r="D6510" s="21" t="s">
        <v>35</v>
      </c>
      <c r="E6510" s="17" t="s">
        <v>617</v>
      </c>
      <c r="F6510" s="17" t="s">
        <v>105</v>
      </c>
      <c r="G6510" s="18" t="s">
        <v>48</v>
      </c>
      <c r="H6510" s="24">
        <v>14750</v>
      </c>
      <c r="I6510" s="24">
        <f>T_reg.root.SK[[#This Row],[Volume, kg]]/1000</f>
        <v>14.75</v>
      </c>
      <c r="J6510" s="25">
        <v>0.24420000000000003</v>
      </c>
      <c r="K6510" s="25">
        <f t="shared" si="102"/>
        <v>3601.9500000000003</v>
      </c>
      <c r="L6510" s="25">
        <v>2.13</v>
      </c>
      <c r="M6510" s="24">
        <v>31447.5</v>
      </c>
      <c r="N6510" s="25">
        <f>IFERROR(T_reg.root.SK[[#This Row],[Price]]/T_reg.root.SK[[#This Row],[Starch content]],"")</f>
        <v>8.7223587223587202</v>
      </c>
    </row>
    <row r="6511" spans="1:14">
      <c r="A6511" s="21">
        <v>2025</v>
      </c>
      <c r="B6511" s="21" t="s">
        <v>26</v>
      </c>
      <c r="C6511" s="21" t="s">
        <v>1145</v>
      </c>
      <c r="D6511" s="21" t="s">
        <v>35</v>
      </c>
      <c r="E6511" s="17" t="s">
        <v>807</v>
      </c>
      <c r="F6511" s="17" t="s">
        <v>105</v>
      </c>
      <c r="G6511" s="18" t="s">
        <v>48</v>
      </c>
      <c r="H6511" s="24">
        <v>50380</v>
      </c>
      <c r="I6511" s="24">
        <f>T_reg.root.SK[[#This Row],[Volume, kg]]/1000</f>
        <v>50.38</v>
      </c>
      <c r="J6511" s="25">
        <v>0.24739999999999998</v>
      </c>
      <c r="K6511" s="25">
        <f t="shared" si="102"/>
        <v>12464.011999999999</v>
      </c>
      <c r="L6511" s="25">
        <v>2.1800000000000002</v>
      </c>
      <c r="M6511" s="24">
        <v>109939.5</v>
      </c>
      <c r="N6511" s="25">
        <f>IFERROR(T_reg.root.SK[[#This Row],[Price]]/T_reg.root.SK[[#This Row],[Starch content]],"")</f>
        <v>8.8116410670978187</v>
      </c>
    </row>
    <row r="6512" spans="1:14">
      <c r="A6512" s="21">
        <v>2025</v>
      </c>
      <c r="B6512" s="21" t="s">
        <v>26</v>
      </c>
      <c r="C6512" s="21" t="s">
        <v>1145</v>
      </c>
      <c r="D6512" s="21" t="s">
        <v>35</v>
      </c>
      <c r="E6512" s="17" t="s">
        <v>1009</v>
      </c>
      <c r="F6512" s="17" t="s">
        <v>105</v>
      </c>
      <c r="G6512" s="18" t="s">
        <v>48</v>
      </c>
      <c r="H6512" s="24">
        <v>26670</v>
      </c>
      <c r="I6512" s="24">
        <f>T_reg.root.SK[[#This Row],[Volume, kg]]/1000</f>
        <v>26.67</v>
      </c>
      <c r="J6512" s="25">
        <v>0.23920000000000002</v>
      </c>
      <c r="K6512" s="25">
        <f t="shared" si="102"/>
        <v>6379.4640000000009</v>
      </c>
      <c r="L6512" s="25">
        <v>2.15</v>
      </c>
      <c r="M6512" s="24">
        <v>57423</v>
      </c>
      <c r="N6512" s="25">
        <f>IFERROR(T_reg.root.SK[[#This Row],[Price]]/T_reg.root.SK[[#This Row],[Starch content]],"")</f>
        <v>8.9882943143812692</v>
      </c>
    </row>
    <row r="6513" spans="1:14">
      <c r="A6513" s="21">
        <v>2025</v>
      </c>
      <c r="B6513" s="21" t="s">
        <v>26</v>
      </c>
      <c r="C6513" s="21" t="s">
        <v>1145</v>
      </c>
      <c r="D6513" s="21" t="s">
        <v>39</v>
      </c>
      <c r="E6513" s="17" t="s">
        <v>1061</v>
      </c>
      <c r="F6513" s="17" t="s">
        <v>1062</v>
      </c>
      <c r="G6513" s="18" t="s">
        <v>103</v>
      </c>
      <c r="H6513" s="24">
        <v>0</v>
      </c>
      <c r="I6513" s="24">
        <f>T_reg.root.SK[[#This Row],[Volume, kg]]/1000</f>
        <v>0</v>
      </c>
      <c r="J6513" s="25">
        <v>0</v>
      </c>
      <c r="K6513" s="25">
        <f t="shared" si="102"/>
        <v>0</v>
      </c>
      <c r="L6513" s="25">
        <v>0</v>
      </c>
      <c r="M6513" s="24">
        <v>0</v>
      </c>
      <c r="N6513" s="25" t="str">
        <f>IFERROR(T_reg.root.SK[[#This Row],[Price]]/T_reg.root.SK[[#This Row],[Starch content]],"")</f>
        <v/>
      </c>
    </row>
    <row r="6514" spans="1:14">
      <c r="A6514" s="21">
        <v>2025</v>
      </c>
      <c r="B6514" s="21" t="s">
        <v>26</v>
      </c>
      <c r="C6514" s="21" t="s">
        <v>1145</v>
      </c>
      <c r="D6514" s="21" t="s">
        <v>35</v>
      </c>
      <c r="E6514" s="17" t="s">
        <v>717</v>
      </c>
      <c r="F6514" s="17" t="s">
        <v>105</v>
      </c>
      <c r="G6514" s="18" t="s">
        <v>48</v>
      </c>
      <c r="H6514" s="24">
        <v>4820</v>
      </c>
      <c r="I6514" s="24">
        <f>T_reg.root.SK[[#This Row],[Volume, kg]]/1000</f>
        <v>4.82</v>
      </c>
      <c r="J6514" s="25">
        <v>0.23100000000000001</v>
      </c>
      <c r="K6514" s="25">
        <f t="shared" si="102"/>
        <v>1113.42</v>
      </c>
      <c r="L6514" s="25">
        <v>2.1</v>
      </c>
      <c r="M6514" s="24">
        <v>10122</v>
      </c>
      <c r="N6514" s="25">
        <f>IFERROR(T_reg.root.SK[[#This Row],[Price]]/T_reg.root.SK[[#This Row],[Starch content]],"")</f>
        <v>9.0909090909090917</v>
      </c>
    </row>
    <row r="6515" spans="1:14">
      <c r="A6515" s="21">
        <v>2025</v>
      </c>
      <c r="B6515" s="21" t="s">
        <v>26</v>
      </c>
      <c r="C6515" s="21" t="s">
        <v>1145</v>
      </c>
      <c r="D6515" s="21" t="s">
        <v>35</v>
      </c>
      <c r="E6515" s="17" t="s">
        <v>972</v>
      </c>
      <c r="F6515" s="17" t="s">
        <v>973</v>
      </c>
      <c r="G6515" s="18" t="s">
        <v>48</v>
      </c>
      <c r="H6515" s="24">
        <v>37420</v>
      </c>
      <c r="I6515" s="24">
        <f>T_reg.root.SK[[#This Row],[Volume, kg]]/1000</f>
        <v>37.42</v>
      </c>
      <c r="J6515" s="25">
        <v>0.25890000000000002</v>
      </c>
      <c r="K6515" s="25">
        <f t="shared" si="102"/>
        <v>9688.0380000000005</v>
      </c>
      <c r="L6515" s="25">
        <v>2.2200000000000002</v>
      </c>
      <c r="M6515" s="24">
        <v>83106.5</v>
      </c>
      <c r="N6515" s="25">
        <f>IFERROR(T_reg.root.SK[[#This Row],[Price]]/T_reg.root.SK[[#This Row],[Starch content]],"")</f>
        <v>8.5747392815758978</v>
      </c>
    </row>
    <row r="6516" spans="1:14">
      <c r="A6516" s="21">
        <v>2025</v>
      </c>
      <c r="B6516" s="21" t="s">
        <v>26</v>
      </c>
      <c r="C6516" s="21" t="s">
        <v>1145</v>
      </c>
      <c r="D6516" s="21" t="s">
        <v>35</v>
      </c>
      <c r="E6516" s="17" t="s">
        <v>199</v>
      </c>
      <c r="F6516" s="17" t="s">
        <v>187</v>
      </c>
      <c r="G6516" s="18" t="s">
        <v>48</v>
      </c>
      <c r="H6516" s="24">
        <v>45160</v>
      </c>
      <c r="I6516" s="24">
        <f>T_reg.root.SK[[#This Row],[Volume, kg]]/1000</f>
        <v>45.16</v>
      </c>
      <c r="J6516" s="25">
        <v>0.23039999999999999</v>
      </c>
      <c r="K6516" s="25">
        <f t="shared" si="102"/>
        <v>10404.864</v>
      </c>
      <c r="L6516" s="25">
        <v>2.09</v>
      </c>
      <c r="M6516" s="24">
        <v>94339</v>
      </c>
      <c r="N6516" s="25">
        <f>IFERROR(T_reg.root.SK[[#This Row],[Price]]/T_reg.root.SK[[#This Row],[Starch content]],"")</f>
        <v>9.0711805555555554</v>
      </c>
    </row>
    <row r="6517" spans="1:14">
      <c r="A6517" s="21">
        <v>2025</v>
      </c>
      <c r="B6517" s="21" t="s">
        <v>26</v>
      </c>
      <c r="C6517" s="21" t="s">
        <v>1145</v>
      </c>
      <c r="D6517" s="21" t="s">
        <v>35</v>
      </c>
      <c r="E6517" s="17" t="s">
        <v>673</v>
      </c>
      <c r="F6517" s="17" t="s">
        <v>47</v>
      </c>
      <c r="G6517" s="18" t="s">
        <v>48</v>
      </c>
      <c r="H6517" s="24">
        <v>13960</v>
      </c>
      <c r="I6517" s="24">
        <f>T_reg.root.SK[[#This Row],[Volume, kg]]/1000</f>
        <v>13.96</v>
      </c>
      <c r="J6517" s="25">
        <v>0.25920000000000004</v>
      </c>
      <c r="K6517" s="25">
        <f t="shared" si="102"/>
        <v>3618.4320000000007</v>
      </c>
      <c r="L6517" s="25">
        <v>2.2400000000000002</v>
      </c>
      <c r="M6517" s="24">
        <v>31256</v>
      </c>
      <c r="N6517" s="25">
        <f>IFERROR(T_reg.root.SK[[#This Row],[Price]]/T_reg.root.SK[[#This Row],[Starch content]],"")</f>
        <v>8.6419753086419746</v>
      </c>
    </row>
    <row r="6518" spans="1:14">
      <c r="A6518" s="21">
        <v>2025</v>
      </c>
      <c r="B6518" s="21" t="s">
        <v>26</v>
      </c>
      <c r="C6518" s="21" t="s">
        <v>1145</v>
      </c>
      <c r="D6518" s="21" t="s">
        <v>35</v>
      </c>
      <c r="E6518" s="17" t="s">
        <v>493</v>
      </c>
      <c r="F6518" s="17" t="s">
        <v>105</v>
      </c>
      <c r="G6518" s="18" t="s">
        <v>48</v>
      </c>
      <c r="H6518" s="24">
        <v>19500</v>
      </c>
      <c r="I6518" s="24">
        <f>T_reg.root.SK[[#This Row],[Volume, kg]]/1000</f>
        <v>19.5</v>
      </c>
      <c r="J6518" s="25">
        <v>0.192</v>
      </c>
      <c r="K6518" s="25">
        <f t="shared" si="102"/>
        <v>3744</v>
      </c>
      <c r="L6518" s="25">
        <v>1.86</v>
      </c>
      <c r="M6518" s="24">
        <v>36305</v>
      </c>
      <c r="N6518" s="25">
        <f>IFERROR(T_reg.root.SK[[#This Row],[Price]]/T_reg.root.SK[[#This Row],[Starch content]],"")</f>
        <v>9.6875</v>
      </c>
    </row>
    <row r="6519" spans="1:14" ht="15.5" customHeight="1">
      <c r="A6519" s="21">
        <v>2025</v>
      </c>
      <c r="B6519" s="21" t="s">
        <v>26</v>
      </c>
      <c r="C6519" s="21" t="s">
        <v>1145</v>
      </c>
      <c r="D6519" s="21" t="s">
        <v>39</v>
      </c>
      <c r="E6519" s="17" t="s">
        <v>1063</v>
      </c>
      <c r="F6519" s="17" t="s">
        <v>1064</v>
      </c>
      <c r="G6519" s="18" t="s">
        <v>220</v>
      </c>
      <c r="H6519" s="24">
        <v>147090</v>
      </c>
      <c r="I6519" s="24">
        <f>T_reg.root.SK[[#This Row],[Volume, kg]]/1000</f>
        <v>147.09</v>
      </c>
      <c r="J6519" s="25">
        <v>0.23180000000000001</v>
      </c>
      <c r="K6519" s="25">
        <f t="shared" si="102"/>
        <v>34095.462</v>
      </c>
      <c r="L6519" s="25">
        <v>2.42</v>
      </c>
      <c r="M6519" s="24">
        <v>356035</v>
      </c>
      <c r="N6519" s="25">
        <f>IFERROR(T_reg.root.SK[[#This Row],[Price]]/T_reg.root.SK[[#This Row],[Starch content]],"")</f>
        <v>10.440034512510785</v>
      </c>
    </row>
    <row r="6520" spans="1:14">
      <c r="A6520" s="21">
        <v>2025</v>
      </c>
      <c r="B6520" s="21" t="s">
        <v>26</v>
      </c>
      <c r="C6520" s="21" t="s">
        <v>1145</v>
      </c>
      <c r="D6520" s="21" t="s">
        <v>35</v>
      </c>
      <c r="E6520" s="17" t="s">
        <v>494</v>
      </c>
      <c r="F6520" s="17" t="s">
        <v>105</v>
      </c>
      <c r="G6520" s="18" t="s">
        <v>48</v>
      </c>
      <c r="H6520" s="24">
        <v>10780</v>
      </c>
      <c r="I6520" s="24">
        <f>T_reg.root.SK[[#This Row],[Volume, kg]]/1000</f>
        <v>10.78</v>
      </c>
      <c r="J6520" s="25">
        <v>0.16269999999999998</v>
      </c>
      <c r="K6520" s="25">
        <f t="shared" si="102"/>
        <v>1753.9059999999997</v>
      </c>
      <c r="L6520" s="25">
        <v>1.75</v>
      </c>
      <c r="M6520" s="24">
        <v>18865</v>
      </c>
      <c r="N6520" s="25">
        <f>IFERROR(T_reg.root.SK[[#This Row],[Price]]/T_reg.root.SK[[#This Row],[Starch content]],"")</f>
        <v>10.755992624462202</v>
      </c>
    </row>
    <row r="6521" spans="1:14">
      <c r="A6521" s="21">
        <v>2025</v>
      </c>
      <c r="B6521" s="21" t="s">
        <v>26</v>
      </c>
      <c r="C6521" s="21" t="s">
        <v>1145</v>
      </c>
      <c r="D6521" s="21" t="s">
        <v>35</v>
      </c>
      <c r="E6521" s="17" t="s">
        <v>201</v>
      </c>
      <c r="F6521" s="17" t="s">
        <v>187</v>
      </c>
      <c r="G6521" s="18" t="s">
        <v>48</v>
      </c>
      <c r="H6521" s="24">
        <v>14010</v>
      </c>
      <c r="I6521" s="24">
        <f>T_reg.root.SK[[#This Row],[Volume, kg]]/1000</f>
        <v>14.01</v>
      </c>
      <c r="J6521" s="25">
        <v>0.22500000000000001</v>
      </c>
      <c r="K6521" s="25">
        <f t="shared" si="102"/>
        <v>3152.25</v>
      </c>
      <c r="L6521" s="25">
        <v>2.0699999999999998</v>
      </c>
      <c r="M6521" s="24">
        <v>29003</v>
      </c>
      <c r="N6521" s="25">
        <f>IFERROR(T_reg.root.SK[[#This Row],[Price]]/T_reg.root.SK[[#This Row],[Starch content]],"")</f>
        <v>9.1999999999999993</v>
      </c>
    </row>
    <row r="6522" spans="1:14">
      <c r="A6522" s="21">
        <v>2025</v>
      </c>
      <c r="B6522" s="21" t="s">
        <v>26</v>
      </c>
      <c r="C6522" s="21" t="s">
        <v>1145</v>
      </c>
      <c r="D6522" s="21" t="s">
        <v>35</v>
      </c>
      <c r="E6522" s="17" t="s">
        <v>303</v>
      </c>
      <c r="F6522" s="17" t="s">
        <v>105</v>
      </c>
      <c r="G6522" s="18" t="s">
        <v>48</v>
      </c>
      <c r="H6522" s="24">
        <v>8820</v>
      </c>
      <c r="I6522" s="24">
        <f>T_reg.root.SK[[#This Row],[Volume, kg]]/1000</f>
        <v>8.82</v>
      </c>
      <c r="J6522" s="25">
        <v>0.2535</v>
      </c>
      <c r="K6522" s="25">
        <f t="shared" si="102"/>
        <v>2235.87</v>
      </c>
      <c r="L6522" s="25">
        <v>2.2000000000000002</v>
      </c>
      <c r="M6522" s="24">
        <v>19404</v>
      </c>
      <c r="N6522" s="25">
        <f>IFERROR(T_reg.root.SK[[#This Row],[Price]]/T_reg.root.SK[[#This Row],[Starch content]],"")</f>
        <v>8.6785009861932938</v>
      </c>
    </row>
    <row r="6523" spans="1:14">
      <c r="A6523" s="21">
        <v>2025</v>
      </c>
      <c r="B6523" s="21" t="s">
        <v>26</v>
      </c>
      <c r="C6523" s="21" t="s">
        <v>1145</v>
      </c>
      <c r="D6523" s="21" t="s">
        <v>35</v>
      </c>
      <c r="E6523" s="17" t="s">
        <v>719</v>
      </c>
      <c r="F6523" s="17" t="s">
        <v>105</v>
      </c>
      <c r="G6523" s="18" t="s">
        <v>48</v>
      </c>
      <c r="H6523" s="24">
        <v>45190</v>
      </c>
      <c r="I6523" s="24">
        <f>T_reg.root.SK[[#This Row],[Volume, kg]]/1000</f>
        <v>45.19</v>
      </c>
      <c r="J6523" s="25">
        <v>0.22210000000000002</v>
      </c>
      <c r="K6523" s="25">
        <f t="shared" si="102"/>
        <v>10036.699000000001</v>
      </c>
      <c r="L6523" s="25">
        <v>2.04</v>
      </c>
      <c r="M6523" s="24">
        <v>91976</v>
      </c>
      <c r="N6523" s="25">
        <f>IFERROR(T_reg.root.SK[[#This Row],[Price]]/T_reg.root.SK[[#This Row],[Starch content]],"")</f>
        <v>9.1850517784781616</v>
      </c>
    </row>
    <row r="6524" spans="1:14">
      <c r="A6524" s="21">
        <v>2025</v>
      </c>
      <c r="B6524" s="21" t="s">
        <v>26</v>
      </c>
      <c r="C6524" s="21" t="s">
        <v>1145</v>
      </c>
      <c r="D6524" s="21" t="s">
        <v>35</v>
      </c>
      <c r="E6524" s="17" t="s">
        <v>308</v>
      </c>
      <c r="F6524" s="17" t="s">
        <v>105</v>
      </c>
      <c r="G6524" s="18" t="s">
        <v>48</v>
      </c>
      <c r="H6524" s="24">
        <v>54110</v>
      </c>
      <c r="I6524" s="24">
        <f>T_reg.root.SK[[#This Row],[Volume, kg]]/1000</f>
        <v>54.11</v>
      </c>
      <c r="J6524" s="25">
        <v>0.2324</v>
      </c>
      <c r="K6524" s="25">
        <f t="shared" si="102"/>
        <v>12575.163999999999</v>
      </c>
      <c r="L6524" s="25">
        <v>2.09</v>
      </c>
      <c r="M6524" s="24">
        <v>113278.5</v>
      </c>
      <c r="N6524" s="25">
        <f>IFERROR(T_reg.root.SK[[#This Row],[Price]]/T_reg.root.SK[[#This Row],[Starch content]],"")</f>
        <v>8.9931153184165229</v>
      </c>
    </row>
    <row r="6525" spans="1:14">
      <c r="A6525" s="21">
        <v>2025</v>
      </c>
      <c r="B6525" s="21" t="s">
        <v>26</v>
      </c>
      <c r="C6525" s="21" t="s">
        <v>1145</v>
      </c>
      <c r="D6525" s="21" t="s">
        <v>35</v>
      </c>
      <c r="E6525" s="17" t="s">
        <v>593</v>
      </c>
      <c r="F6525" s="17" t="s">
        <v>187</v>
      </c>
      <c r="G6525" s="18" t="s">
        <v>48</v>
      </c>
      <c r="H6525" s="24">
        <v>40520</v>
      </c>
      <c r="I6525" s="24">
        <f>T_reg.root.SK[[#This Row],[Volume, kg]]/1000</f>
        <v>40.520000000000003</v>
      </c>
      <c r="J6525" s="25">
        <v>0.23800000000000002</v>
      </c>
      <c r="K6525" s="25">
        <f t="shared" si="102"/>
        <v>9643.76</v>
      </c>
      <c r="L6525" s="25">
        <v>2.12</v>
      </c>
      <c r="M6525" s="24">
        <v>85740.5</v>
      </c>
      <c r="N6525" s="25">
        <f>IFERROR(T_reg.root.SK[[#This Row],[Price]]/T_reg.root.SK[[#This Row],[Starch content]],"")</f>
        <v>8.9075630252100844</v>
      </c>
    </row>
    <row r="6526" spans="1:14">
      <c r="A6526" s="21">
        <v>2025</v>
      </c>
      <c r="B6526" s="21" t="s">
        <v>26</v>
      </c>
      <c r="C6526" s="21" t="s">
        <v>1145</v>
      </c>
      <c r="D6526" s="21" t="s">
        <v>35</v>
      </c>
      <c r="E6526" s="17" t="s">
        <v>637</v>
      </c>
      <c r="F6526" s="17" t="s">
        <v>105</v>
      </c>
      <c r="G6526" s="18" t="s">
        <v>48</v>
      </c>
      <c r="H6526" s="24">
        <v>37080</v>
      </c>
      <c r="I6526" s="24">
        <f>T_reg.root.SK[[#This Row],[Volume, kg]]/1000</f>
        <v>37.08</v>
      </c>
      <c r="J6526" s="25">
        <v>0.25290000000000001</v>
      </c>
      <c r="K6526" s="25">
        <f t="shared" si="102"/>
        <v>9377.5320000000011</v>
      </c>
      <c r="L6526" s="25">
        <v>2.2200000000000002</v>
      </c>
      <c r="M6526" s="24">
        <v>82329</v>
      </c>
      <c r="N6526" s="25">
        <f>IFERROR(T_reg.root.SK[[#This Row],[Price]]/T_reg.root.SK[[#This Row],[Starch content]],"")</f>
        <v>8.7781731909845799</v>
      </c>
    </row>
    <row r="6527" spans="1:14">
      <c r="A6527" s="21">
        <v>2025</v>
      </c>
      <c r="B6527" s="21" t="s">
        <v>26</v>
      </c>
      <c r="C6527" s="21" t="s">
        <v>1145</v>
      </c>
      <c r="D6527" s="21" t="s">
        <v>39</v>
      </c>
      <c r="E6527" s="17" t="s">
        <v>1065</v>
      </c>
      <c r="F6527" s="17" t="s">
        <v>219</v>
      </c>
      <c r="G6527" s="18" t="s">
        <v>220</v>
      </c>
      <c r="H6527" s="24">
        <v>147220</v>
      </c>
      <c r="I6527" s="24">
        <f>T_reg.root.SK[[#This Row],[Volume, kg]]/1000</f>
        <v>147.22</v>
      </c>
      <c r="J6527" s="25">
        <v>0.24149999999999999</v>
      </c>
      <c r="K6527" s="25">
        <f t="shared" si="102"/>
        <v>35553.629999999997</v>
      </c>
      <c r="L6527" s="25">
        <v>2.46</v>
      </c>
      <c r="M6527" s="24">
        <v>362149.5</v>
      </c>
      <c r="N6527" s="25">
        <f>IFERROR(T_reg.root.SK[[#This Row],[Price]]/T_reg.root.SK[[#This Row],[Starch content]],"")</f>
        <v>10.186335403726709</v>
      </c>
    </row>
    <row r="6528" spans="1:14">
      <c r="A6528" s="21">
        <v>2025</v>
      </c>
      <c r="B6528" s="21" t="s">
        <v>26</v>
      </c>
      <c r="C6528" s="21" t="s">
        <v>1145</v>
      </c>
      <c r="D6528" s="21" t="s">
        <v>35</v>
      </c>
      <c r="E6528" s="17" t="s">
        <v>245</v>
      </c>
      <c r="F6528" s="17" t="s">
        <v>105</v>
      </c>
      <c r="G6528" s="18" t="s">
        <v>48</v>
      </c>
      <c r="H6528" s="24">
        <v>4940</v>
      </c>
      <c r="I6528" s="24">
        <f>T_reg.root.SK[[#This Row],[Volume, kg]]/1000</f>
        <v>4.9400000000000004</v>
      </c>
      <c r="J6528" s="25">
        <v>0.255</v>
      </c>
      <c r="K6528" s="25">
        <f t="shared" si="102"/>
        <v>1259.7</v>
      </c>
      <c r="L6528" s="25">
        <v>2.2000000000000002</v>
      </c>
      <c r="M6528" s="24">
        <v>10868</v>
      </c>
      <c r="N6528" s="25">
        <f>IFERROR(T_reg.root.SK[[#This Row],[Price]]/T_reg.root.SK[[#This Row],[Starch content]],"")</f>
        <v>8.6274509803921582</v>
      </c>
    </row>
    <row r="6529" spans="1:14">
      <c r="A6529" s="21">
        <v>2025</v>
      </c>
      <c r="B6529" s="21" t="s">
        <v>26</v>
      </c>
      <c r="C6529" s="21" t="s">
        <v>1145</v>
      </c>
      <c r="D6529" s="21" t="s">
        <v>35</v>
      </c>
      <c r="E6529" s="17" t="s">
        <v>933</v>
      </c>
      <c r="F6529" s="17" t="s">
        <v>105</v>
      </c>
      <c r="G6529" s="18" t="s">
        <v>48</v>
      </c>
      <c r="H6529" s="24">
        <v>13450</v>
      </c>
      <c r="I6529" s="24">
        <f>T_reg.root.SK[[#This Row],[Volume, kg]]/1000</f>
        <v>13.45</v>
      </c>
      <c r="J6529" s="25">
        <v>0.23129999999999998</v>
      </c>
      <c r="K6529" s="25">
        <f t="shared" si="102"/>
        <v>3110.9849999999997</v>
      </c>
      <c r="L6529" s="25">
        <v>2.1</v>
      </c>
      <c r="M6529" s="24">
        <v>28245</v>
      </c>
      <c r="N6529" s="25">
        <f>IFERROR(T_reg.root.SK[[#This Row],[Price]]/T_reg.root.SK[[#This Row],[Starch content]],"")</f>
        <v>9.0791180285343724</v>
      </c>
    </row>
    <row r="6530" spans="1:14">
      <c r="A6530" s="21">
        <v>2025</v>
      </c>
      <c r="B6530" s="21" t="s">
        <v>26</v>
      </c>
      <c r="C6530" s="21" t="s">
        <v>1145</v>
      </c>
      <c r="D6530" s="21" t="s">
        <v>35</v>
      </c>
      <c r="E6530" s="17" t="s">
        <v>1010</v>
      </c>
      <c r="F6530" s="17" t="s">
        <v>105</v>
      </c>
      <c r="G6530" s="18" t="s">
        <v>48</v>
      </c>
      <c r="H6530" s="24">
        <v>6050</v>
      </c>
      <c r="I6530" s="24">
        <f>T_reg.root.SK[[#This Row],[Volume, kg]]/1000</f>
        <v>6.05</v>
      </c>
      <c r="J6530" s="25">
        <v>0.26750000000000002</v>
      </c>
      <c r="K6530" s="25">
        <f t="shared" si="102"/>
        <v>1618.375</v>
      </c>
      <c r="L6530" s="25">
        <v>2.2999999999999998</v>
      </c>
      <c r="M6530" s="24">
        <v>13915</v>
      </c>
      <c r="N6530" s="25">
        <f>IFERROR(T_reg.root.SK[[#This Row],[Price]]/T_reg.root.SK[[#This Row],[Starch content]],"")</f>
        <v>8.5981308411214936</v>
      </c>
    </row>
    <row r="6531" spans="1:14">
      <c r="A6531" s="21">
        <v>2025</v>
      </c>
      <c r="B6531" s="21" t="s">
        <v>26</v>
      </c>
      <c r="C6531" s="21" t="s">
        <v>1145</v>
      </c>
      <c r="D6531" s="21" t="s">
        <v>35</v>
      </c>
      <c r="E6531" s="17" t="s">
        <v>144</v>
      </c>
      <c r="F6531" s="17" t="s">
        <v>105</v>
      </c>
      <c r="G6531" s="18" t="s">
        <v>48</v>
      </c>
      <c r="H6531" s="24">
        <v>13840</v>
      </c>
      <c r="I6531" s="24">
        <f>T_reg.root.SK[[#This Row],[Volume, kg]]/1000</f>
        <v>13.84</v>
      </c>
      <c r="J6531" s="25">
        <v>0.20989999999999998</v>
      </c>
      <c r="K6531" s="25">
        <f t="shared" si="102"/>
        <v>2905.0159999999996</v>
      </c>
      <c r="L6531" s="25">
        <v>2</v>
      </c>
      <c r="M6531" s="24">
        <v>27680</v>
      </c>
      <c r="N6531" s="25">
        <f>IFERROR(T_reg.root.SK[[#This Row],[Price]]/T_reg.root.SK[[#This Row],[Starch content]],"")</f>
        <v>9.5283468318246793</v>
      </c>
    </row>
    <row r="6532" spans="1:14">
      <c r="A6532" s="21">
        <v>2025</v>
      </c>
      <c r="B6532" s="21" t="s">
        <v>26</v>
      </c>
      <c r="C6532" s="21" t="s">
        <v>1145</v>
      </c>
      <c r="D6532" s="21" t="s">
        <v>35</v>
      </c>
      <c r="E6532" s="17" t="s">
        <v>146</v>
      </c>
      <c r="F6532" s="17" t="s">
        <v>105</v>
      </c>
      <c r="G6532" s="18" t="s">
        <v>48</v>
      </c>
      <c r="H6532" s="24">
        <v>118650</v>
      </c>
      <c r="I6532" s="24">
        <f>T_reg.root.SK[[#This Row],[Volume, kg]]/1000</f>
        <v>118.65</v>
      </c>
      <c r="J6532" s="25">
        <v>0.20730000000000001</v>
      </c>
      <c r="K6532" s="25">
        <f t="shared" si="102"/>
        <v>24596.145</v>
      </c>
      <c r="L6532" s="25">
        <v>1.97</v>
      </c>
      <c r="M6532" s="24">
        <v>234096.5</v>
      </c>
      <c r="N6532" s="25">
        <f>IFERROR(T_reg.root.SK[[#This Row],[Price]]/T_reg.root.SK[[#This Row],[Starch content]],"")</f>
        <v>9.5031355523396037</v>
      </c>
    </row>
    <row r="6533" spans="1:14">
      <c r="A6533" s="21">
        <v>2025</v>
      </c>
      <c r="B6533" s="21" t="s">
        <v>26</v>
      </c>
      <c r="C6533" s="21" t="s">
        <v>1145</v>
      </c>
      <c r="D6533" s="21" t="s">
        <v>35</v>
      </c>
      <c r="E6533" s="17" t="s">
        <v>1011</v>
      </c>
      <c r="F6533" s="17" t="s">
        <v>1012</v>
      </c>
      <c r="G6533" s="18" t="s">
        <v>1013</v>
      </c>
      <c r="H6533" s="24">
        <v>18230</v>
      </c>
      <c r="I6533" s="24">
        <f>T_reg.root.SK[[#This Row],[Volume, kg]]/1000</f>
        <v>18.23</v>
      </c>
      <c r="J6533" s="25">
        <v>0.2361</v>
      </c>
      <c r="K6533" s="25">
        <f t="shared" si="102"/>
        <v>4304.1030000000001</v>
      </c>
      <c r="L6533" s="25">
        <v>2.09</v>
      </c>
      <c r="M6533" s="24">
        <v>38108.5</v>
      </c>
      <c r="N6533" s="25">
        <f>IFERROR(T_reg.root.SK[[#This Row],[Price]]/T_reg.root.SK[[#This Row],[Starch content]],"")</f>
        <v>8.8521812791190158</v>
      </c>
    </row>
    <row r="6534" spans="1:14">
      <c r="A6534" s="21">
        <v>2025</v>
      </c>
      <c r="B6534" s="21" t="s">
        <v>26</v>
      </c>
      <c r="C6534" s="21" t="s">
        <v>1145</v>
      </c>
      <c r="D6534" s="21" t="s">
        <v>35</v>
      </c>
      <c r="E6534" s="17" t="s">
        <v>991</v>
      </c>
      <c r="F6534" s="17" t="s">
        <v>105</v>
      </c>
      <c r="G6534" s="18" t="s">
        <v>48</v>
      </c>
      <c r="H6534" s="24">
        <v>1050</v>
      </c>
      <c r="I6534" s="24">
        <f>T_reg.root.SK[[#This Row],[Volume, kg]]/1000</f>
        <v>1.05</v>
      </c>
      <c r="J6534" s="25">
        <v>0.28749999999999998</v>
      </c>
      <c r="K6534" s="25">
        <f t="shared" si="102"/>
        <v>301.875</v>
      </c>
      <c r="L6534" s="25">
        <v>2.35</v>
      </c>
      <c r="M6534" s="24">
        <v>2467.5</v>
      </c>
      <c r="N6534" s="25">
        <f>IFERROR(T_reg.root.SK[[#This Row],[Price]]/T_reg.root.SK[[#This Row],[Starch content]],"")</f>
        <v>8.1739130434782616</v>
      </c>
    </row>
    <row r="6535" spans="1:14">
      <c r="A6535" s="21">
        <v>2025</v>
      </c>
      <c r="B6535" s="21" t="s">
        <v>26</v>
      </c>
      <c r="C6535" s="21" t="s">
        <v>1145</v>
      </c>
      <c r="D6535" s="21" t="s">
        <v>35</v>
      </c>
      <c r="E6535" s="17" t="s">
        <v>1005</v>
      </c>
      <c r="F6535" s="17" t="s">
        <v>105</v>
      </c>
      <c r="G6535" s="18" t="s">
        <v>48</v>
      </c>
      <c r="H6535" s="24">
        <v>12920</v>
      </c>
      <c r="I6535" s="24">
        <f>T_reg.root.SK[[#This Row],[Volume, kg]]/1000</f>
        <v>12.92</v>
      </c>
      <c r="J6535" s="25">
        <v>0.23230000000000001</v>
      </c>
      <c r="K6535" s="25">
        <f t="shared" si="102"/>
        <v>3001.3160000000003</v>
      </c>
      <c r="L6535" s="25">
        <v>2.0699999999999998</v>
      </c>
      <c r="M6535" s="24">
        <v>26778</v>
      </c>
      <c r="N6535" s="25">
        <f>IFERROR(T_reg.root.SK[[#This Row],[Price]]/T_reg.root.SK[[#This Row],[Starch content]],"")</f>
        <v>8.9108910891089099</v>
      </c>
    </row>
    <row r="6536" spans="1:14">
      <c r="A6536" s="21">
        <v>2025</v>
      </c>
      <c r="B6536" s="21" t="s">
        <v>26</v>
      </c>
      <c r="C6536" s="21" t="s">
        <v>1145</v>
      </c>
      <c r="D6536" s="21" t="s">
        <v>39</v>
      </c>
      <c r="E6536" s="17" t="s">
        <v>1066</v>
      </c>
      <c r="F6536" s="17" t="s">
        <v>102</v>
      </c>
      <c r="G6536" s="18" t="s">
        <v>103</v>
      </c>
      <c r="H6536" s="24">
        <v>29850</v>
      </c>
      <c r="I6536" s="24">
        <f>T_reg.root.SK[[#This Row],[Volume, kg]]/1000</f>
        <v>29.85</v>
      </c>
      <c r="J6536" s="25">
        <v>0.23319999999999999</v>
      </c>
      <c r="K6536" s="25">
        <f t="shared" si="102"/>
        <v>6961.0199999999995</v>
      </c>
      <c r="L6536" s="25">
        <v>2.4500000000000002</v>
      </c>
      <c r="M6536" s="24">
        <v>73132.5</v>
      </c>
      <c r="N6536" s="25">
        <f>IFERROR(T_reg.root.SK[[#This Row],[Price]]/T_reg.root.SK[[#This Row],[Starch content]],"")</f>
        <v>10.506003430531734</v>
      </c>
    </row>
    <row r="6537" spans="1:14">
      <c r="A6537" s="21">
        <v>2025</v>
      </c>
      <c r="B6537" s="21" t="s">
        <v>26</v>
      </c>
      <c r="C6537" s="21" t="s">
        <v>1145</v>
      </c>
      <c r="D6537" s="21" t="s">
        <v>35</v>
      </c>
      <c r="E6537" s="17" t="s">
        <v>68</v>
      </c>
      <c r="F6537" s="17" t="s">
        <v>47</v>
      </c>
      <c r="G6537" s="18" t="s">
        <v>48</v>
      </c>
      <c r="H6537" s="24">
        <v>6380</v>
      </c>
      <c r="I6537" s="24">
        <f>T_reg.root.SK[[#This Row],[Volume, kg]]/1000</f>
        <v>6.38</v>
      </c>
      <c r="J6537" s="25">
        <v>0.19600000000000001</v>
      </c>
      <c r="K6537" s="25">
        <f t="shared" si="102"/>
        <v>1250.48</v>
      </c>
      <c r="L6537" s="25">
        <v>1.95</v>
      </c>
      <c r="M6537" s="24">
        <v>12441</v>
      </c>
      <c r="N6537" s="25">
        <f>IFERROR(T_reg.root.SK[[#This Row],[Price]]/T_reg.root.SK[[#This Row],[Starch content]],"")</f>
        <v>9.9489795918367339</v>
      </c>
    </row>
    <row r="6538" spans="1:14">
      <c r="A6538" s="21">
        <v>2025</v>
      </c>
      <c r="B6538" s="21" t="s">
        <v>26</v>
      </c>
      <c r="C6538" s="21" t="s">
        <v>1145</v>
      </c>
      <c r="D6538" s="21" t="s">
        <v>35</v>
      </c>
      <c r="E6538" s="17" t="s">
        <v>314</v>
      </c>
      <c r="F6538" s="17" t="s">
        <v>105</v>
      </c>
      <c r="G6538" s="18" t="s">
        <v>48</v>
      </c>
      <c r="H6538" s="24">
        <v>20950</v>
      </c>
      <c r="I6538" s="24">
        <f>T_reg.root.SK[[#This Row],[Volume, kg]]/1000</f>
        <v>20.95</v>
      </c>
      <c r="J6538" s="25">
        <v>0.23300000000000001</v>
      </c>
      <c r="K6538" s="25">
        <f t="shared" si="102"/>
        <v>4881.3500000000004</v>
      </c>
      <c r="L6538" s="25">
        <v>2.0699999999999998</v>
      </c>
      <c r="M6538" s="24">
        <v>43289</v>
      </c>
      <c r="N6538" s="25">
        <f>IFERROR(T_reg.root.SK[[#This Row],[Price]]/T_reg.root.SK[[#This Row],[Starch content]],"")</f>
        <v>8.8841201716738194</v>
      </c>
    </row>
    <row r="6539" spans="1:14">
      <c r="A6539" s="21">
        <v>2025</v>
      </c>
      <c r="B6539" s="21" t="s">
        <v>26</v>
      </c>
      <c r="C6539" s="21" t="s">
        <v>1145</v>
      </c>
      <c r="D6539" s="21" t="s">
        <v>35</v>
      </c>
      <c r="E6539" s="17" t="s">
        <v>150</v>
      </c>
      <c r="F6539" s="17" t="s">
        <v>105</v>
      </c>
      <c r="G6539" s="18" t="s">
        <v>48</v>
      </c>
      <c r="H6539" s="24">
        <v>93160</v>
      </c>
      <c r="I6539" s="24">
        <f>T_reg.root.SK[[#This Row],[Volume, kg]]/1000</f>
        <v>93.16</v>
      </c>
      <c r="J6539" s="25">
        <v>0.2626</v>
      </c>
      <c r="K6539" s="25">
        <f t="shared" si="102"/>
        <v>24463.815999999999</v>
      </c>
      <c r="L6539" s="25">
        <v>2.2599999999999998</v>
      </c>
      <c r="M6539" s="24">
        <v>210602</v>
      </c>
      <c r="N6539" s="25">
        <f>IFERROR(T_reg.root.SK[[#This Row],[Price]]/T_reg.root.SK[[#This Row],[Starch content]],"")</f>
        <v>8.6062452399086062</v>
      </c>
    </row>
    <row r="6540" spans="1:14">
      <c r="A6540" s="21">
        <v>2025</v>
      </c>
      <c r="B6540" s="21" t="s">
        <v>26</v>
      </c>
      <c r="C6540" s="21" t="s">
        <v>1145</v>
      </c>
      <c r="D6540" s="21" t="s">
        <v>35</v>
      </c>
      <c r="E6540" s="17" t="s">
        <v>151</v>
      </c>
      <c r="F6540" s="17" t="s">
        <v>105</v>
      </c>
      <c r="G6540" s="18" t="s">
        <v>48</v>
      </c>
      <c r="H6540" s="24">
        <v>120080</v>
      </c>
      <c r="I6540" s="24">
        <f>T_reg.root.SK[[#This Row],[Volume, kg]]/1000</f>
        <v>120.08</v>
      </c>
      <c r="J6540" s="25">
        <v>0.24309999999999998</v>
      </c>
      <c r="K6540" s="25">
        <f t="shared" si="102"/>
        <v>29191.447999999997</v>
      </c>
      <c r="L6540" s="25">
        <v>2.16</v>
      </c>
      <c r="M6540" s="24">
        <v>258955.5</v>
      </c>
      <c r="N6540" s="25">
        <f>IFERROR(T_reg.root.SK[[#This Row],[Price]]/T_reg.root.SK[[#This Row],[Starch content]],"")</f>
        <v>8.8852324146441806</v>
      </c>
    </row>
    <row r="6541" spans="1:14">
      <c r="A6541" s="21">
        <v>2025</v>
      </c>
      <c r="B6541" s="21" t="s">
        <v>26</v>
      </c>
      <c r="C6541" s="21" t="s">
        <v>1145</v>
      </c>
      <c r="D6541" s="21" t="s">
        <v>35</v>
      </c>
      <c r="E6541" s="17" t="s">
        <v>72</v>
      </c>
      <c r="F6541" s="17" t="s">
        <v>47</v>
      </c>
      <c r="G6541" s="18" t="s">
        <v>48</v>
      </c>
      <c r="H6541" s="24">
        <v>15800</v>
      </c>
      <c r="I6541" s="24">
        <f>T_reg.root.SK[[#This Row],[Volume, kg]]/1000</f>
        <v>15.8</v>
      </c>
      <c r="J6541" s="25">
        <v>0.20760000000000001</v>
      </c>
      <c r="K6541" s="25">
        <f t="shared" si="102"/>
        <v>3280.08</v>
      </c>
      <c r="L6541" s="25">
        <v>2</v>
      </c>
      <c r="M6541" s="24">
        <v>31600</v>
      </c>
      <c r="N6541" s="25">
        <f>IFERROR(T_reg.root.SK[[#This Row],[Price]]/T_reg.root.SK[[#This Row],[Starch content]],"")</f>
        <v>9.6339113680154131</v>
      </c>
    </row>
    <row r="6542" spans="1:14">
      <c r="A6542" s="21">
        <v>2025</v>
      </c>
      <c r="B6542" s="21" t="s">
        <v>26</v>
      </c>
      <c r="C6542" s="21" t="s">
        <v>1145</v>
      </c>
      <c r="D6542" s="21" t="s">
        <v>39</v>
      </c>
      <c r="E6542" s="17" t="s">
        <v>552</v>
      </c>
      <c r="F6542" s="17" t="s">
        <v>95</v>
      </c>
      <c r="G6542" s="18" t="s">
        <v>48</v>
      </c>
      <c r="H6542" s="24">
        <v>3034410</v>
      </c>
      <c r="I6542" s="24">
        <f>T_reg.root.SK[[#This Row],[Volume, kg]]/1000</f>
        <v>3034.41</v>
      </c>
      <c r="J6542" s="25">
        <v>0.23920000000000002</v>
      </c>
      <c r="K6542" s="25">
        <f t="shared" si="102"/>
        <v>725830.87200000009</v>
      </c>
      <c r="L6542" s="25">
        <v>2.41</v>
      </c>
      <c r="M6542" s="24">
        <v>7325528.5</v>
      </c>
      <c r="N6542" s="25">
        <f>IFERROR(T_reg.root.SK[[#This Row],[Price]]/T_reg.root.SK[[#This Row],[Starch content]],"")</f>
        <v>10.0752508361204</v>
      </c>
    </row>
    <row r="6543" spans="1:14">
      <c r="A6543" s="21">
        <v>2025</v>
      </c>
      <c r="B6543" s="21" t="s">
        <v>26</v>
      </c>
      <c r="C6543" s="21" t="s">
        <v>1145</v>
      </c>
      <c r="D6543" s="21" t="s">
        <v>35</v>
      </c>
      <c r="E6543" s="17" t="s">
        <v>382</v>
      </c>
      <c r="F6543" s="17" t="s">
        <v>47</v>
      </c>
      <c r="G6543" s="18" t="s">
        <v>48</v>
      </c>
      <c r="H6543" s="24">
        <v>12130</v>
      </c>
      <c r="I6543" s="24">
        <f>T_reg.root.SK[[#This Row],[Volume, kg]]/1000</f>
        <v>12.13</v>
      </c>
      <c r="J6543" s="25">
        <v>0.25640000000000002</v>
      </c>
      <c r="K6543" s="25">
        <f t="shared" ref="K6543:K6606" si="103">H6543*J6543</f>
        <v>3110.1320000000001</v>
      </c>
      <c r="L6543" s="25">
        <v>2.2200000000000002</v>
      </c>
      <c r="M6543" s="24">
        <v>26951</v>
      </c>
      <c r="N6543" s="25">
        <f>IFERROR(T_reg.root.SK[[#This Row],[Price]]/T_reg.root.SK[[#This Row],[Starch content]],"")</f>
        <v>8.6583463338533537</v>
      </c>
    </row>
    <row r="6544" spans="1:14">
      <c r="A6544" s="21">
        <v>2025</v>
      </c>
      <c r="B6544" s="21" t="s">
        <v>26</v>
      </c>
      <c r="C6544" s="21" t="s">
        <v>1145</v>
      </c>
      <c r="D6544" s="21" t="s">
        <v>35</v>
      </c>
      <c r="E6544" s="17" t="s">
        <v>597</v>
      </c>
      <c r="F6544" s="17" t="s">
        <v>187</v>
      </c>
      <c r="G6544" s="18" t="s">
        <v>48</v>
      </c>
      <c r="H6544" s="24">
        <v>11660</v>
      </c>
      <c r="I6544" s="24">
        <f>T_reg.root.SK[[#This Row],[Volume, kg]]/1000</f>
        <v>11.66</v>
      </c>
      <c r="J6544" s="25">
        <v>0.25459999999999999</v>
      </c>
      <c r="K6544" s="25">
        <f t="shared" si="103"/>
        <v>2968.636</v>
      </c>
      <c r="L6544" s="25">
        <v>2.1800000000000002</v>
      </c>
      <c r="M6544" s="24">
        <v>25392</v>
      </c>
      <c r="N6544" s="25">
        <f>IFERROR(T_reg.root.SK[[#This Row],[Price]]/T_reg.root.SK[[#This Row],[Starch content]],"")</f>
        <v>8.5624509033778491</v>
      </c>
    </row>
    <row r="6545" spans="1:14">
      <c r="A6545" s="21">
        <v>2025</v>
      </c>
      <c r="B6545" s="21" t="s">
        <v>26</v>
      </c>
      <c r="C6545" s="21" t="s">
        <v>1145</v>
      </c>
      <c r="D6545" s="21" t="s">
        <v>35</v>
      </c>
      <c r="E6545" s="17" t="s">
        <v>934</v>
      </c>
      <c r="F6545" s="17" t="s">
        <v>105</v>
      </c>
      <c r="G6545" s="18" t="s">
        <v>48</v>
      </c>
      <c r="H6545" s="24">
        <v>15290</v>
      </c>
      <c r="I6545" s="24">
        <f>T_reg.root.SK[[#This Row],[Volume, kg]]/1000</f>
        <v>15.29</v>
      </c>
      <c r="J6545" s="25">
        <v>0.24420000000000003</v>
      </c>
      <c r="K6545" s="25">
        <f t="shared" si="103"/>
        <v>3733.8180000000002</v>
      </c>
      <c r="L6545" s="25">
        <v>2.17</v>
      </c>
      <c r="M6545" s="24">
        <v>33194.5</v>
      </c>
      <c r="N6545" s="25">
        <f>IFERROR(T_reg.root.SK[[#This Row],[Price]]/T_reg.root.SK[[#This Row],[Starch content]],"")</f>
        <v>8.8861588861588849</v>
      </c>
    </row>
    <row r="6546" spans="1:14">
      <c r="A6546" s="21">
        <v>2025</v>
      </c>
      <c r="B6546" s="21" t="s">
        <v>26</v>
      </c>
      <c r="C6546" s="21" t="s">
        <v>1145</v>
      </c>
      <c r="D6546" s="21" t="s">
        <v>35</v>
      </c>
      <c r="E6546" s="17" t="s">
        <v>159</v>
      </c>
      <c r="F6546" s="17" t="s">
        <v>105</v>
      </c>
      <c r="G6546" s="18" t="s">
        <v>48</v>
      </c>
      <c r="H6546" s="24">
        <v>26140</v>
      </c>
      <c r="I6546" s="24">
        <f>T_reg.root.SK[[#This Row],[Volume, kg]]/1000</f>
        <v>26.14</v>
      </c>
      <c r="J6546" s="25">
        <v>0.23780000000000001</v>
      </c>
      <c r="K6546" s="25">
        <f t="shared" si="103"/>
        <v>6216.0920000000006</v>
      </c>
      <c r="L6546" s="25">
        <v>2.08</v>
      </c>
      <c r="M6546" s="24">
        <v>54495</v>
      </c>
      <c r="N6546" s="25">
        <f>IFERROR(T_reg.root.SK[[#This Row],[Price]]/T_reg.root.SK[[#This Row],[Starch content]],"")</f>
        <v>8.7468460891505462</v>
      </c>
    </row>
    <row r="6547" spans="1:14">
      <c r="A6547" s="21">
        <v>2025</v>
      </c>
      <c r="B6547" s="21" t="s">
        <v>26</v>
      </c>
      <c r="C6547" s="21" t="s">
        <v>1145</v>
      </c>
      <c r="D6547" s="21" t="s">
        <v>35</v>
      </c>
      <c r="E6547" s="17" t="s">
        <v>501</v>
      </c>
      <c r="F6547" s="17" t="s">
        <v>105</v>
      </c>
      <c r="G6547" s="18" t="s">
        <v>48</v>
      </c>
      <c r="H6547" s="24">
        <v>1470</v>
      </c>
      <c r="I6547" s="24">
        <f>T_reg.root.SK[[#This Row],[Volume, kg]]/1000</f>
        <v>1.47</v>
      </c>
      <c r="J6547" s="25">
        <v>0.26250000000000001</v>
      </c>
      <c r="K6547" s="25">
        <f t="shared" si="103"/>
        <v>385.875</v>
      </c>
      <c r="L6547" s="25">
        <v>2.2000000000000002</v>
      </c>
      <c r="M6547" s="24">
        <v>3234</v>
      </c>
      <c r="N6547" s="25">
        <f>IFERROR(T_reg.root.SK[[#This Row],[Price]]/T_reg.root.SK[[#This Row],[Starch content]],"")</f>
        <v>8.3809523809523814</v>
      </c>
    </row>
    <row r="6548" spans="1:14">
      <c r="A6548" s="21">
        <v>2025</v>
      </c>
      <c r="B6548" s="21" t="s">
        <v>26</v>
      </c>
      <c r="C6548" s="21" t="s">
        <v>1145</v>
      </c>
      <c r="D6548" s="21" t="s">
        <v>35</v>
      </c>
      <c r="E6548" s="17" t="s">
        <v>333</v>
      </c>
      <c r="F6548" s="17" t="s">
        <v>187</v>
      </c>
      <c r="G6548" s="18" t="s">
        <v>48</v>
      </c>
      <c r="H6548" s="24">
        <v>21420</v>
      </c>
      <c r="I6548" s="24">
        <f>T_reg.root.SK[[#This Row],[Volume, kg]]/1000</f>
        <v>21.42</v>
      </c>
      <c r="J6548" s="25">
        <v>0.2581</v>
      </c>
      <c r="K6548" s="25">
        <f t="shared" si="103"/>
        <v>5528.5019999999995</v>
      </c>
      <c r="L6548" s="25">
        <v>2.2200000000000002</v>
      </c>
      <c r="M6548" s="24">
        <v>47560.5</v>
      </c>
      <c r="N6548" s="25">
        <f>IFERROR(T_reg.root.SK[[#This Row],[Price]]/T_reg.root.SK[[#This Row],[Starch content]],"")</f>
        <v>8.6013173188686558</v>
      </c>
    </row>
    <row r="6549" spans="1:14">
      <c r="A6549" s="21">
        <v>2025</v>
      </c>
      <c r="B6549" s="21" t="s">
        <v>26</v>
      </c>
      <c r="C6549" s="21" t="s">
        <v>1145</v>
      </c>
      <c r="D6549" s="21" t="s">
        <v>35</v>
      </c>
      <c r="E6549" s="17" t="s">
        <v>1041</v>
      </c>
      <c r="F6549" s="17" t="s">
        <v>187</v>
      </c>
      <c r="G6549" s="18" t="s">
        <v>48</v>
      </c>
      <c r="H6549" s="24">
        <v>8280</v>
      </c>
      <c r="I6549" s="24">
        <f>T_reg.root.SK[[#This Row],[Volume, kg]]/1000</f>
        <v>8.2799999999999994</v>
      </c>
      <c r="J6549" s="25">
        <v>0.21249999999999999</v>
      </c>
      <c r="K6549" s="25">
        <f t="shared" si="103"/>
        <v>1759.5</v>
      </c>
      <c r="L6549" s="25">
        <v>1.95</v>
      </c>
      <c r="M6549" s="24">
        <v>16146</v>
      </c>
      <c r="N6549" s="25">
        <f>IFERROR(T_reg.root.SK[[#This Row],[Price]]/T_reg.root.SK[[#This Row],[Starch content]],"")</f>
        <v>9.1764705882352935</v>
      </c>
    </row>
    <row r="6550" spans="1:14">
      <c r="A6550" s="21">
        <v>2025</v>
      </c>
      <c r="B6550" s="21" t="s">
        <v>26</v>
      </c>
      <c r="C6550" s="21" t="s">
        <v>1145</v>
      </c>
      <c r="D6550" s="21" t="s">
        <v>35</v>
      </c>
      <c r="E6550" s="17" t="s">
        <v>255</v>
      </c>
      <c r="F6550" s="17" t="s">
        <v>105</v>
      </c>
      <c r="G6550" s="18" t="s">
        <v>48</v>
      </c>
      <c r="H6550" s="24">
        <v>43010</v>
      </c>
      <c r="I6550" s="24">
        <f>T_reg.root.SK[[#This Row],[Volume, kg]]/1000</f>
        <v>43.01</v>
      </c>
      <c r="J6550" s="25">
        <v>0.23809999999999998</v>
      </c>
      <c r="K6550" s="25">
        <f t="shared" si="103"/>
        <v>10240.680999999999</v>
      </c>
      <c r="L6550" s="25">
        <v>2.14</v>
      </c>
      <c r="M6550" s="24">
        <v>92227.5</v>
      </c>
      <c r="N6550" s="25">
        <f>IFERROR(T_reg.root.SK[[#This Row],[Price]]/T_reg.root.SK[[#This Row],[Starch content]],"")</f>
        <v>8.9878202435951291</v>
      </c>
    </row>
    <row r="6551" spans="1:14">
      <c r="A6551" s="21">
        <v>2025</v>
      </c>
      <c r="B6551" s="21" t="s">
        <v>26</v>
      </c>
      <c r="C6551" s="21" t="s">
        <v>1145</v>
      </c>
      <c r="D6551" s="21" t="s">
        <v>35</v>
      </c>
      <c r="E6551" s="17" t="s">
        <v>211</v>
      </c>
      <c r="F6551" s="17" t="s">
        <v>187</v>
      </c>
      <c r="G6551" s="18" t="s">
        <v>48</v>
      </c>
      <c r="H6551" s="24">
        <v>61310</v>
      </c>
      <c r="I6551" s="24">
        <f>T_reg.root.SK[[#This Row],[Volume, kg]]/1000</f>
        <v>61.31</v>
      </c>
      <c r="J6551" s="25">
        <v>0.22210000000000002</v>
      </c>
      <c r="K6551" s="25">
        <f t="shared" si="103"/>
        <v>13616.951000000001</v>
      </c>
      <c r="L6551" s="25">
        <v>2.0699999999999998</v>
      </c>
      <c r="M6551" s="24">
        <v>126888</v>
      </c>
      <c r="N6551" s="25">
        <f>IFERROR(T_reg.root.SK[[#This Row],[Price]]/T_reg.root.SK[[#This Row],[Starch content]],"")</f>
        <v>9.3201260693381336</v>
      </c>
    </row>
    <row r="6552" spans="1:14">
      <c r="A6552" s="21">
        <v>2025</v>
      </c>
      <c r="B6552" s="21" t="s">
        <v>26</v>
      </c>
      <c r="C6552" s="21" t="s">
        <v>1145</v>
      </c>
      <c r="D6552" s="21" t="s">
        <v>35</v>
      </c>
      <c r="E6552" s="17" t="s">
        <v>163</v>
      </c>
      <c r="F6552" s="17" t="s">
        <v>105</v>
      </c>
      <c r="G6552" s="18" t="s">
        <v>48</v>
      </c>
      <c r="H6552" s="24">
        <v>16880</v>
      </c>
      <c r="I6552" s="24">
        <f>T_reg.root.SK[[#This Row],[Volume, kg]]/1000</f>
        <v>16.88</v>
      </c>
      <c r="J6552" s="25">
        <v>0.2014</v>
      </c>
      <c r="K6552" s="25">
        <f t="shared" si="103"/>
        <v>3399.6320000000001</v>
      </c>
      <c r="L6552" s="25">
        <v>1.96</v>
      </c>
      <c r="M6552" s="24">
        <v>33073</v>
      </c>
      <c r="N6552" s="25">
        <f>IFERROR(T_reg.root.SK[[#This Row],[Price]]/T_reg.root.SK[[#This Row],[Starch content]],"")</f>
        <v>9.7318768619662368</v>
      </c>
    </row>
    <row r="6553" spans="1:14">
      <c r="A6553" s="21">
        <v>2025</v>
      </c>
      <c r="B6553" s="21" t="s">
        <v>26</v>
      </c>
      <c r="C6553" s="21" t="s">
        <v>1145</v>
      </c>
      <c r="D6553" s="21" t="s">
        <v>35</v>
      </c>
      <c r="E6553" s="17" t="s">
        <v>166</v>
      </c>
      <c r="F6553" s="17" t="s">
        <v>105</v>
      </c>
      <c r="G6553" s="18" t="s">
        <v>48</v>
      </c>
      <c r="H6553" s="24">
        <v>5380</v>
      </c>
      <c r="I6553" s="24">
        <f>T_reg.root.SK[[#This Row],[Volume, kg]]/1000</f>
        <v>5.38</v>
      </c>
      <c r="J6553" s="25">
        <v>0.20440000000000003</v>
      </c>
      <c r="K6553" s="25">
        <f t="shared" si="103"/>
        <v>1099.6720000000003</v>
      </c>
      <c r="L6553" s="25">
        <v>1.96</v>
      </c>
      <c r="M6553" s="24">
        <v>10559.5</v>
      </c>
      <c r="N6553" s="25">
        <f>IFERROR(T_reg.root.SK[[#This Row],[Price]]/T_reg.root.SK[[#This Row],[Starch content]],"")</f>
        <v>9.5890410958904102</v>
      </c>
    </row>
    <row r="6554" spans="1:14">
      <c r="A6554" s="21">
        <v>2025</v>
      </c>
      <c r="B6554" s="21" t="s">
        <v>26</v>
      </c>
      <c r="C6554" s="21" t="s">
        <v>1145</v>
      </c>
      <c r="D6554" s="21" t="s">
        <v>35</v>
      </c>
      <c r="E6554" s="17" t="s">
        <v>670</v>
      </c>
      <c r="F6554" s="17" t="s">
        <v>105</v>
      </c>
      <c r="G6554" s="18" t="s">
        <v>48</v>
      </c>
      <c r="H6554" s="24">
        <v>10250</v>
      </c>
      <c r="I6554" s="24">
        <f>T_reg.root.SK[[#This Row],[Volume, kg]]/1000</f>
        <v>10.25</v>
      </c>
      <c r="J6554" s="25">
        <v>0.22109999999999999</v>
      </c>
      <c r="K6554" s="25">
        <f t="shared" si="103"/>
        <v>2266.2750000000001</v>
      </c>
      <c r="L6554" s="25">
        <v>2.06</v>
      </c>
      <c r="M6554" s="24">
        <v>21115</v>
      </c>
      <c r="N6554" s="25">
        <f>IFERROR(T_reg.root.SK[[#This Row],[Price]]/T_reg.root.SK[[#This Row],[Starch content]],"")</f>
        <v>9.3170511080958853</v>
      </c>
    </row>
    <row r="6555" spans="1:14">
      <c r="A6555" s="21">
        <v>2025</v>
      </c>
      <c r="B6555" s="21" t="s">
        <v>26</v>
      </c>
      <c r="C6555" s="21" t="s">
        <v>1145</v>
      </c>
      <c r="D6555" s="21" t="s">
        <v>35</v>
      </c>
      <c r="E6555" s="17" t="s">
        <v>613</v>
      </c>
      <c r="F6555" s="17" t="s">
        <v>187</v>
      </c>
      <c r="G6555" s="18" t="s">
        <v>48</v>
      </c>
      <c r="H6555" s="24">
        <v>7680</v>
      </c>
      <c r="I6555" s="24">
        <f>T_reg.root.SK[[#This Row],[Volume, kg]]/1000</f>
        <v>7.68</v>
      </c>
      <c r="J6555" s="25">
        <v>0.23569999999999999</v>
      </c>
      <c r="K6555" s="25">
        <f t="shared" si="103"/>
        <v>1810.1759999999999</v>
      </c>
      <c r="L6555" s="25">
        <v>2.0699999999999998</v>
      </c>
      <c r="M6555" s="24">
        <v>15921</v>
      </c>
      <c r="N6555" s="25">
        <f>IFERROR(T_reg.root.SK[[#This Row],[Price]]/T_reg.root.SK[[#This Row],[Starch content]],"")</f>
        <v>8.7823504454815442</v>
      </c>
    </row>
    <row r="6556" spans="1:14">
      <c r="A6556" s="21">
        <v>2025</v>
      </c>
      <c r="B6556" s="21" t="s">
        <v>26</v>
      </c>
      <c r="C6556" s="21" t="s">
        <v>1145</v>
      </c>
      <c r="D6556" s="21" t="s">
        <v>39</v>
      </c>
      <c r="E6556" s="17" t="s">
        <v>347</v>
      </c>
      <c r="F6556" s="17" t="s">
        <v>1146</v>
      </c>
      <c r="G6556" s="18" t="s">
        <v>103</v>
      </c>
      <c r="H6556" s="24">
        <v>109700</v>
      </c>
      <c r="I6556" s="24">
        <f>T_reg.root.SK[[#This Row],[Volume, kg]]/1000</f>
        <v>109.7</v>
      </c>
      <c r="J6556" s="25">
        <v>0.23079999999999998</v>
      </c>
      <c r="K6556" s="25">
        <f t="shared" si="103"/>
        <v>25318.76</v>
      </c>
      <c r="L6556" s="25">
        <v>2.39</v>
      </c>
      <c r="M6556" s="24">
        <v>262016</v>
      </c>
      <c r="N6556" s="25">
        <f>IFERROR(T_reg.root.SK[[#This Row],[Price]]/T_reg.root.SK[[#This Row],[Starch content]],"")</f>
        <v>10.355285961871752</v>
      </c>
    </row>
    <row r="6557" spans="1:14">
      <c r="A6557" s="21">
        <v>2025</v>
      </c>
      <c r="B6557" s="21" t="s">
        <v>26</v>
      </c>
      <c r="C6557" s="21" t="s">
        <v>1145</v>
      </c>
      <c r="D6557" s="21" t="s">
        <v>35</v>
      </c>
      <c r="E6557" s="17" t="s">
        <v>504</v>
      </c>
      <c r="F6557" s="17" t="s">
        <v>105</v>
      </c>
      <c r="G6557" s="18" t="s">
        <v>48</v>
      </c>
      <c r="H6557" s="24">
        <v>11180</v>
      </c>
      <c r="I6557" s="24">
        <f>T_reg.root.SK[[#This Row],[Volume, kg]]/1000</f>
        <v>11.18</v>
      </c>
      <c r="J6557" s="25">
        <v>0.20749999999999999</v>
      </c>
      <c r="K6557" s="25">
        <f t="shared" si="103"/>
        <v>2319.85</v>
      </c>
      <c r="L6557" s="25">
        <v>2</v>
      </c>
      <c r="M6557" s="24">
        <v>22360</v>
      </c>
      <c r="N6557" s="25">
        <f>IFERROR(T_reg.root.SK[[#This Row],[Price]]/T_reg.root.SK[[#This Row],[Starch content]],"")</f>
        <v>9.6385542168674707</v>
      </c>
    </row>
    <row r="6558" spans="1:14">
      <c r="A6558" s="21">
        <v>2025</v>
      </c>
      <c r="B6558" s="21" t="s">
        <v>26</v>
      </c>
      <c r="C6558" s="21" t="s">
        <v>1145</v>
      </c>
      <c r="D6558" s="21" t="s">
        <v>35</v>
      </c>
      <c r="E6558" s="17" t="s">
        <v>792</v>
      </c>
      <c r="F6558" s="17" t="s">
        <v>105</v>
      </c>
      <c r="G6558" s="18" t="s">
        <v>48</v>
      </c>
      <c r="H6558" s="24">
        <v>33250</v>
      </c>
      <c r="I6558" s="24">
        <f>T_reg.root.SK[[#This Row],[Volume, kg]]/1000</f>
        <v>33.25</v>
      </c>
      <c r="J6558" s="25">
        <v>0.23809999999999998</v>
      </c>
      <c r="K6558" s="25">
        <f t="shared" si="103"/>
        <v>7916.8249999999989</v>
      </c>
      <c r="L6558" s="25">
        <v>2.15</v>
      </c>
      <c r="M6558" s="24">
        <v>71384.5</v>
      </c>
      <c r="N6558" s="25">
        <f>IFERROR(T_reg.root.SK[[#This Row],[Price]]/T_reg.root.SK[[#This Row],[Starch content]],"")</f>
        <v>9.0298194036119277</v>
      </c>
    </row>
    <row r="6559" spans="1:14">
      <c r="A6559" s="21">
        <v>2025</v>
      </c>
      <c r="B6559" s="21" t="s">
        <v>26</v>
      </c>
      <c r="C6559" s="21" t="s">
        <v>1145</v>
      </c>
      <c r="D6559" s="21" t="s">
        <v>35</v>
      </c>
      <c r="E6559" s="17" t="s">
        <v>938</v>
      </c>
      <c r="F6559" s="17" t="s">
        <v>105</v>
      </c>
      <c r="G6559" s="18" t="s">
        <v>48</v>
      </c>
      <c r="H6559" s="24">
        <v>33750</v>
      </c>
      <c r="I6559" s="24">
        <f>T_reg.root.SK[[#This Row],[Volume, kg]]/1000</f>
        <v>33.75</v>
      </c>
      <c r="J6559" s="25">
        <v>0.24859999999999999</v>
      </c>
      <c r="K6559" s="25">
        <f t="shared" si="103"/>
        <v>8390.25</v>
      </c>
      <c r="L6559" s="25">
        <v>2.1800000000000002</v>
      </c>
      <c r="M6559" s="24">
        <v>73651.5</v>
      </c>
      <c r="N6559" s="25">
        <f>IFERROR(T_reg.root.SK[[#This Row],[Price]]/T_reg.root.SK[[#This Row],[Starch content]],"")</f>
        <v>8.7691069991954951</v>
      </c>
    </row>
    <row r="6560" spans="1:14">
      <c r="A6560" s="21">
        <v>2025</v>
      </c>
      <c r="B6560" s="21" t="s">
        <v>26</v>
      </c>
      <c r="C6560" s="21" t="s">
        <v>1145</v>
      </c>
      <c r="D6560" s="21" t="s">
        <v>35</v>
      </c>
      <c r="E6560" s="17" t="s">
        <v>980</v>
      </c>
      <c r="F6560" s="17" t="s">
        <v>105</v>
      </c>
      <c r="G6560" s="18" t="s">
        <v>48</v>
      </c>
      <c r="H6560" s="24">
        <v>3860</v>
      </c>
      <c r="I6560" s="24">
        <f>T_reg.root.SK[[#This Row],[Volume, kg]]/1000</f>
        <v>3.86</v>
      </c>
      <c r="J6560" s="25">
        <v>0.23449999999999999</v>
      </c>
      <c r="K6560" s="25">
        <f t="shared" si="103"/>
        <v>905.17</v>
      </c>
      <c r="L6560" s="25">
        <v>2.1</v>
      </c>
      <c r="M6560" s="24">
        <v>8106</v>
      </c>
      <c r="N6560" s="25">
        <f>IFERROR(T_reg.root.SK[[#This Row],[Price]]/T_reg.root.SK[[#This Row],[Starch content]],"")</f>
        <v>8.9552238805970159</v>
      </c>
    </row>
    <row r="6561" spans="1:14">
      <c r="A6561" s="21">
        <v>2025</v>
      </c>
      <c r="B6561" s="21" t="s">
        <v>26</v>
      </c>
      <c r="C6561" s="21" t="s">
        <v>1145</v>
      </c>
      <c r="D6561" s="21" t="s">
        <v>35</v>
      </c>
      <c r="E6561" s="17" t="s">
        <v>981</v>
      </c>
      <c r="F6561" s="17" t="s">
        <v>105</v>
      </c>
      <c r="G6561" s="18" t="s">
        <v>48</v>
      </c>
      <c r="H6561" s="24">
        <v>41350</v>
      </c>
      <c r="I6561" s="24">
        <f>T_reg.root.SK[[#This Row],[Volume, kg]]/1000</f>
        <v>41.35</v>
      </c>
      <c r="J6561" s="25">
        <v>0.23829999999999998</v>
      </c>
      <c r="K6561" s="25">
        <f t="shared" si="103"/>
        <v>9853.7049999999999</v>
      </c>
      <c r="L6561" s="25">
        <v>2.1</v>
      </c>
      <c r="M6561" s="24">
        <v>86936.5</v>
      </c>
      <c r="N6561" s="25">
        <f>IFERROR(T_reg.root.SK[[#This Row],[Price]]/T_reg.root.SK[[#This Row],[Starch content]],"")</f>
        <v>8.8124213176668071</v>
      </c>
    </row>
    <row r="6562" spans="1:14">
      <c r="A6562" s="21">
        <v>2025</v>
      </c>
      <c r="B6562" s="21" t="s">
        <v>26</v>
      </c>
      <c r="C6562" s="21" t="s">
        <v>1145</v>
      </c>
      <c r="D6562" s="21" t="s">
        <v>35</v>
      </c>
      <c r="E6562" s="17" t="s">
        <v>1027</v>
      </c>
      <c r="F6562" s="17" t="s">
        <v>187</v>
      </c>
      <c r="G6562" s="18" t="s">
        <v>48</v>
      </c>
      <c r="H6562" s="24">
        <v>47980</v>
      </c>
      <c r="I6562" s="24">
        <f>T_reg.root.SK[[#This Row],[Volume, kg]]/1000</f>
        <v>47.98</v>
      </c>
      <c r="J6562" s="25">
        <v>0.193</v>
      </c>
      <c r="K6562" s="25">
        <f t="shared" si="103"/>
        <v>9260.14</v>
      </c>
      <c r="L6562" s="25">
        <v>1.9</v>
      </c>
      <c r="M6562" s="24">
        <v>90958</v>
      </c>
      <c r="N6562" s="25">
        <f>IFERROR(T_reg.root.SK[[#This Row],[Price]]/T_reg.root.SK[[#This Row],[Starch content]],"")</f>
        <v>9.8445595854922274</v>
      </c>
    </row>
    <row r="6563" spans="1:14">
      <c r="A6563" s="21">
        <v>2025</v>
      </c>
      <c r="B6563" s="21" t="s">
        <v>26</v>
      </c>
      <c r="C6563" s="21" t="s">
        <v>1145</v>
      </c>
      <c r="D6563" s="21" t="s">
        <v>35</v>
      </c>
      <c r="E6563" s="17" t="s">
        <v>215</v>
      </c>
      <c r="F6563" s="17" t="s">
        <v>187</v>
      </c>
      <c r="G6563" s="18" t="s">
        <v>48</v>
      </c>
      <c r="H6563" s="24">
        <v>6850</v>
      </c>
      <c r="I6563" s="24">
        <f>T_reg.root.SK[[#This Row],[Volume, kg]]/1000</f>
        <v>6.85</v>
      </c>
      <c r="J6563" s="25">
        <v>0.23899999999999999</v>
      </c>
      <c r="K6563" s="25">
        <f t="shared" si="103"/>
        <v>1637.1499999999999</v>
      </c>
      <c r="L6563" s="25">
        <v>2.15</v>
      </c>
      <c r="M6563" s="24">
        <v>14727.5</v>
      </c>
      <c r="N6563" s="25">
        <f>IFERROR(T_reg.root.SK[[#This Row],[Price]]/T_reg.root.SK[[#This Row],[Starch content]],"")</f>
        <v>8.99581589958159</v>
      </c>
    </row>
    <row r="6564" spans="1:14">
      <c r="A6564" s="21">
        <v>2025</v>
      </c>
      <c r="B6564" s="21" t="s">
        <v>26</v>
      </c>
      <c r="C6564" s="21" t="s">
        <v>1145</v>
      </c>
      <c r="D6564" s="21" t="s">
        <v>35</v>
      </c>
      <c r="E6564" s="17" t="s">
        <v>700</v>
      </c>
      <c r="F6564" s="17" t="s">
        <v>105</v>
      </c>
      <c r="G6564" s="18" t="s">
        <v>48</v>
      </c>
      <c r="H6564" s="24">
        <v>3360</v>
      </c>
      <c r="I6564" s="24">
        <f>T_reg.root.SK[[#This Row],[Volume, kg]]/1000</f>
        <v>3.36</v>
      </c>
      <c r="J6564" s="25">
        <v>0.23899999999999999</v>
      </c>
      <c r="K6564" s="25">
        <f t="shared" si="103"/>
        <v>803.04</v>
      </c>
      <c r="L6564" s="25">
        <v>2.1</v>
      </c>
      <c r="M6564" s="24">
        <v>7056</v>
      </c>
      <c r="N6564" s="25">
        <f>IFERROR(T_reg.root.SK[[#This Row],[Price]]/T_reg.root.SK[[#This Row],[Starch content]],"")</f>
        <v>8.7866108786610884</v>
      </c>
    </row>
    <row r="6565" spans="1:14">
      <c r="A6565" s="21">
        <v>2025</v>
      </c>
      <c r="B6565" s="21" t="s">
        <v>26</v>
      </c>
      <c r="C6565" s="21" t="s">
        <v>1145</v>
      </c>
      <c r="D6565" s="21" t="s">
        <v>35</v>
      </c>
      <c r="E6565" s="17" t="s">
        <v>174</v>
      </c>
      <c r="F6565" s="17" t="s">
        <v>105</v>
      </c>
      <c r="G6565" s="18" t="s">
        <v>48</v>
      </c>
      <c r="H6565" s="24">
        <v>7090</v>
      </c>
      <c r="I6565" s="24">
        <f>T_reg.root.SK[[#This Row],[Volume, kg]]/1000</f>
        <v>7.09</v>
      </c>
      <c r="J6565" s="25">
        <v>0.182</v>
      </c>
      <c r="K6565" s="25">
        <f t="shared" si="103"/>
        <v>1290.3799999999999</v>
      </c>
      <c r="L6565" s="25">
        <v>1.85</v>
      </c>
      <c r="M6565" s="24">
        <v>13116.5</v>
      </c>
      <c r="N6565" s="25">
        <f>IFERROR(T_reg.root.SK[[#This Row],[Price]]/T_reg.root.SK[[#This Row],[Starch content]],"")</f>
        <v>10.164835164835166</v>
      </c>
    </row>
    <row r="6566" spans="1:14">
      <c r="A6566" s="21">
        <v>2025</v>
      </c>
      <c r="B6566" s="21" t="s">
        <v>26</v>
      </c>
      <c r="C6566" s="21" t="s">
        <v>1145</v>
      </c>
      <c r="D6566" s="21" t="s">
        <v>35</v>
      </c>
      <c r="E6566" s="17" t="s">
        <v>77</v>
      </c>
      <c r="F6566" s="17" t="s">
        <v>47</v>
      </c>
      <c r="G6566" s="18" t="s">
        <v>48</v>
      </c>
      <c r="H6566" s="24">
        <v>85470</v>
      </c>
      <c r="I6566" s="24">
        <f>T_reg.root.SK[[#This Row],[Volume, kg]]/1000</f>
        <v>85.47</v>
      </c>
      <c r="J6566" s="25">
        <v>0.22539999999999999</v>
      </c>
      <c r="K6566" s="25">
        <f t="shared" si="103"/>
        <v>19264.937999999998</v>
      </c>
      <c r="L6566" s="25">
        <v>2.06</v>
      </c>
      <c r="M6566" s="24">
        <v>175933</v>
      </c>
      <c r="N6566" s="25">
        <f>IFERROR(T_reg.root.SK[[#This Row],[Price]]/T_reg.root.SK[[#This Row],[Starch content]],"")</f>
        <v>9.1393078970718733</v>
      </c>
    </row>
    <row r="6567" spans="1:14">
      <c r="A6567" s="21">
        <v>2025</v>
      </c>
      <c r="B6567" s="21" t="s">
        <v>26</v>
      </c>
      <c r="C6567" s="21" t="s">
        <v>1145</v>
      </c>
      <c r="D6567" s="21" t="s">
        <v>39</v>
      </c>
      <c r="E6567" s="17" t="s">
        <v>272</v>
      </c>
      <c r="F6567" s="17" t="s">
        <v>273</v>
      </c>
      <c r="G6567" s="18" t="s">
        <v>220</v>
      </c>
      <c r="H6567" s="24">
        <v>344020</v>
      </c>
      <c r="I6567" s="24">
        <f>T_reg.root.SK[[#This Row],[Volume, kg]]/1000</f>
        <v>344.02</v>
      </c>
      <c r="J6567" s="25">
        <v>0.25190000000000001</v>
      </c>
      <c r="K6567" s="25">
        <f t="shared" si="103"/>
        <v>86658.638000000006</v>
      </c>
      <c r="L6567" s="25">
        <v>2.44</v>
      </c>
      <c r="M6567" s="24">
        <v>838532</v>
      </c>
      <c r="N6567" s="25">
        <f>IFERROR(T_reg.root.SK[[#This Row],[Price]]/T_reg.root.SK[[#This Row],[Starch content]],"")</f>
        <v>9.6863834855101221</v>
      </c>
    </row>
    <row r="6568" spans="1:14">
      <c r="A6568" s="21">
        <v>2025</v>
      </c>
      <c r="B6568" s="21" t="s">
        <v>26</v>
      </c>
      <c r="C6568" s="21" t="s">
        <v>1145</v>
      </c>
      <c r="D6568" s="21" t="s">
        <v>39</v>
      </c>
      <c r="E6568" s="17" t="s">
        <v>88</v>
      </c>
      <c r="F6568" s="17" t="s">
        <v>89</v>
      </c>
      <c r="G6568" s="18" t="s">
        <v>90</v>
      </c>
      <c r="H6568" s="24">
        <v>5630100</v>
      </c>
      <c r="I6568" s="24">
        <f>T_reg.root.SK[[#This Row],[Volume, kg]]/1000</f>
        <v>5630.1</v>
      </c>
      <c r="J6568" s="25">
        <v>0.24960000000000002</v>
      </c>
      <c r="K6568" s="25">
        <f t="shared" si="103"/>
        <v>1405272.9600000002</v>
      </c>
      <c r="L6568" s="25">
        <v>2.5099999999999998</v>
      </c>
      <c r="M6568" s="24">
        <v>14105446</v>
      </c>
      <c r="N6568" s="25">
        <f>IFERROR(T_reg.root.SK[[#This Row],[Price]]/T_reg.root.SK[[#This Row],[Starch content]],"")</f>
        <v>10.056089743589743</v>
      </c>
    </row>
    <row r="6569" spans="1:14">
      <c r="A6569" s="21">
        <v>2025</v>
      </c>
      <c r="B6569" s="21" t="s">
        <v>26</v>
      </c>
      <c r="C6569" s="21" t="s">
        <v>1145</v>
      </c>
      <c r="D6569" s="21" t="s">
        <v>39</v>
      </c>
      <c r="E6569" s="17" t="s">
        <v>1054</v>
      </c>
      <c r="F6569" s="17" t="s">
        <v>1055</v>
      </c>
      <c r="G6569" s="18" t="s">
        <v>103</v>
      </c>
      <c r="H6569" s="24">
        <v>1765780</v>
      </c>
      <c r="I6569" s="24">
        <f>T_reg.root.SK[[#This Row],[Volume, kg]]/1000</f>
        <v>1765.78</v>
      </c>
      <c r="J6569" s="25">
        <v>0.25690000000000002</v>
      </c>
      <c r="K6569" s="25">
        <f t="shared" si="103"/>
        <v>453628.88200000004</v>
      </c>
      <c r="L6569" s="25">
        <v>2.54</v>
      </c>
      <c r="M6569" s="24">
        <v>4492973.5</v>
      </c>
      <c r="N6569" s="25">
        <f>IFERROR(T_reg.root.SK[[#This Row],[Price]]/T_reg.root.SK[[#This Row],[Starch content]],"")</f>
        <v>9.8871156091864538</v>
      </c>
    </row>
    <row r="6570" spans="1:14">
      <c r="A6570" s="21">
        <v>2025</v>
      </c>
      <c r="B6570" s="21" t="s">
        <v>26</v>
      </c>
      <c r="C6570" s="21" t="s">
        <v>1145</v>
      </c>
      <c r="D6570" s="21" t="s">
        <v>35</v>
      </c>
      <c r="E6570" s="17" t="s">
        <v>761</v>
      </c>
      <c r="F6570" s="17" t="s">
        <v>187</v>
      </c>
      <c r="G6570" s="18" t="s">
        <v>48</v>
      </c>
      <c r="H6570" s="24">
        <v>19620</v>
      </c>
      <c r="I6570" s="24">
        <f>T_reg.root.SK[[#This Row],[Volume, kg]]/1000</f>
        <v>19.62</v>
      </c>
      <c r="J6570" s="25">
        <v>0.23</v>
      </c>
      <c r="K6570" s="25">
        <f t="shared" si="103"/>
        <v>4512.6000000000004</v>
      </c>
      <c r="L6570" s="25">
        <v>2.1</v>
      </c>
      <c r="M6570" s="24">
        <v>41202</v>
      </c>
      <c r="N6570" s="25">
        <f>IFERROR(T_reg.root.SK[[#This Row],[Price]]/T_reg.root.SK[[#This Row],[Starch content]],"")</f>
        <v>9.1304347826086953</v>
      </c>
    </row>
    <row r="6571" spans="1:14">
      <c r="A6571" s="21">
        <v>2025</v>
      </c>
      <c r="B6571" s="21" t="s">
        <v>26</v>
      </c>
      <c r="C6571" s="21" t="s">
        <v>1145</v>
      </c>
      <c r="D6571" s="21" t="s">
        <v>35</v>
      </c>
      <c r="E6571" s="17" t="s">
        <v>577</v>
      </c>
      <c r="F6571" s="17" t="s">
        <v>105</v>
      </c>
      <c r="G6571" s="18" t="s">
        <v>48</v>
      </c>
      <c r="H6571" s="24">
        <v>59050</v>
      </c>
      <c r="I6571" s="24">
        <f>T_reg.root.SK[[#This Row],[Volume, kg]]/1000</f>
        <v>59.05</v>
      </c>
      <c r="J6571" s="25">
        <v>0.25129999999999997</v>
      </c>
      <c r="K6571" s="25">
        <f t="shared" si="103"/>
        <v>14839.264999999998</v>
      </c>
      <c r="L6571" s="25">
        <v>2.21</v>
      </c>
      <c r="M6571" s="24">
        <v>130452.5</v>
      </c>
      <c r="N6571" s="25">
        <f>IFERROR(T_reg.root.SK[[#This Row],[Price]]/T_reg.root.SK[[#This Row],[Starch content]],"")</f>
        <v>8.7942697970553141</v>
      </c>
    </row>
    <row r="6572" spans="1:14">
      <c r="A6572" s="21">
        <v>2025</v>
      </c>
      <c r="B6572" s="21" t="s">
        <v>26</v>
      </c>
      <c r="C6572" s="21" t="s">
        <v>1145</v>
      </c>
      <c r="D6572" s="21" t="s">
        <v>35</v>
      </c>
      <c r="E6572" s="17" t="s">
        <v>176</v>
      </c>
      <c r="F6572" s="17" t="s">
        <v>105</v>
      </c>
      <c r="G6572" s="18" t="s">
        <v>48</v>
      </c>
      <c r="H6572" s="24">
        <v>7010</v>
      </c>
      <c r="I6572" s="24">
        <f>T_reg.root.SK[[#This Row],[Volume, kg]]/1000</f>
        <v>7.01</v>
      </c>
      <c r="J6572" s="25">
        <v>0.2397</v>
      </c>
      <c r="K6572" s="25">
        <f t="shared" si="103"/>
        <v>1680.297</v>
      </c>
      <c r="L6572" s="25">
        <v>2.12</v>
      </c>
      <c r="M6572" s="24">
        <v>14892.5</v>
      </c>
      <c r="N6572" s="25">
        <f>IFERROR(T_reg.root.SK[[#This Row],[Price]]/T_reg.root.SK[[#This Row],[Starch content]],"")</f>
        <v>8.8443888193575315</v>
      </c>
    </row>
    <row r="6573" spans="1:14">
      <c r="A6573" s="21">
        <v>2025</v>
      </c>
      <c r="B6573" s="21" t="s">
        <v>26</v>
      </c>
      <c r="C6573" s="21" t="s">
        <v>1145</v>
      </c>
      <c r="D6573" s="21" t="s">
        <v>35</v>
      </c>
      <c r="E6573" s="17" t="s">
        <v>605</v>
      </c>
      <c r="F6573" s="17" t="s">
        <v>105</v>
      </c>
      <c r="G6573" s="18" t="s">
        <v>48</v>
      </c>
      <c r="H6573" s="24">
        <v>144350</v>
      </c>
      <c r="I6573" s="24">
        <f>T_reg.root.SK[[#This Row],[Volume, kg]]/1000</f>
        <v>144.35</v>
      </c>
      <c r="J6573" s="25">
        <v>0.22559999999999999</v>
      </c>
      <c r="K6573" s="25">
        <f t="shared" si="103"/>
        <v>32565.360000000001</v>
      </c>
      <c r="L6573" s="25">
        <v>2.08</v>
      </c>
      <c r="M6573" s="24">
        <v>300384.5</v>
      </c>
      <c r="N6573" s="25">
        <f>IFERROR(T_reg.root.SK[[#This Row],[Price]]/T_reg.root.SK[[#This Row],[Starch content]],"")</f>
        <v>9.2198581560283692</v>
      </c>
    </row>
    <row r="6574" spans="1:14">
      <c r="A6574" s="21">
        <v>2025</v>
      </c>
      <c r="B6574" s="21" t="s">
        <v>26</v>
      </c>
      <c r="C6574" s="21" t="s">
        <v>1145</v>
      </c>
      <c r="D6574" s="21" t="s">
        <v>35</v>
      </c>
      <c r="E6574" s="17" t="s">
        <v>259</v>
      </c>
      <c r="F6574" s="17" t="s">
        <v>105</v>
      </c>
      <c r="G6574" s="18" t="s">
        <v>48</v>
      </c>
      <c r="H6574" s="24">
        <v>12510</v>
      </c>
      <c r="I6574" s="24">
        <f>T_reg.root.SK[[#This Row],[Volume, kg]]/1000</f>
        <v>12.51</v>
      </c>
      <c r="J6574" s="25">
        <v>0.23530000000000001</v>
      </c>
      <c r="K6574" s="25">
        <f t="shared" si="103"/>
        <v>2943.6030000000001</v>
      </c>
      <c r="L6574" s="25">
        <v>2.1</v>
      </c>
      <c r="M6574" s="24">
        <v>26317.5</v>
      </c>
      <c r="N6574" s="25">
        <f>IFERROR(T_reg.root.SK[[#This Row],[Price]]/T_reg.root.SK[[#This Row],[Starch content]],"")</f>
        <v>8.9247768805779852</v>
      </c>
    </row>
    <row r="6575" spans="1:14">
      <c r="A6575" s="21">
        <v>2025</v>
      </c>
      <c r="B6575" s="21" t="s">
        <v>26</v>
      </c>
      <c r="C6575" s="21" t="s">
        <v>1145</v>
      </c>
      <c r="D6575" s="21" t="s">
        <v>35</v>
      </c>
      <c r="E6575" s="17" t="s">
        <v>329</v>
      </c>
      <c r="F6575" s="17" t="s">
        <v>105</v>
      </c>
      <c r="G6575" s="18" t="s">
        <v>48</v>
      </c>
      <c r="H6575" s="24">
        <v>21600</v>
      </c>
      <c r="I6575" s="24">
        <f>T_reg.root.SK[[#This Row],[Volume, kg]]/1000</f>
        <v>21.6</v>
      </c>
      <c r="J6575" s="25">
        <v>0.22339999999999999</v>
      </c>
      <c r="K6575" s="25">
        <f t="shared" si="103"/>
        <v>4825.4399999999996</v>
      </c>
      <c r="L6575" s="25">
        <v>2.0499999999999998</v>
      </c>
      <c r="M6575" s="24">
        <v>44280</v>
      </c>
      <c r="N6575" s="25">
        <f>IFERROR(T_reg.root.SK[[#This Row],[Price]]/T_reg.root.SK[[#This Row],[Starch content]],"")</f>
        <v>9.1763652641002675</v>
      </c>
    </row>
    <row r="6576" spans="1:14">
      <c r="A6576" s="21">
        <v>2025</v>
      </c>
      <c r="B6576" s="21" t="s">
        <v>26</v>
      </c>
      <c r="C6576" s="21" t="s">
        <v>1145</v>
      </c>
      <c r="D6576" s="21" t="s">
        <v>35</v>
      </c>
      <c r="E6576" s="17" t="s">
        <v>757</v>
      </c>
      <c r="F6576" s="17" t="s">
        <v>105</v>
      </c>
      <c r="G6576" s="18" t="s">
        <v>48</v>
      </c>
      <c r="H6576" s="24">
        <v>6590</v>
      </c>
      <c r="I6576" s="24">
        <f>T_reg.root.SK[[#This Row],[Volume, kg]]/1000</f>
        <v>6.59</v>
      </c>
      <c r="J6576" s="25">
        <v>0.1875</v>
      </c>
      <c r="K6576" s="25">
        <f t="shared" si="103"/>
        <v>1235.625</v>
      </c>
      <c r="L6576" s="25">
        <v>1.85</v>
      </c>
      <c r="M6576" s="24">
        <v>12191.5</v>
      </c>
      <c r="N6576" s="25">
        <f>IFERROR(T_reg.root.SK[[#This Row],[Price]]/T_reg.root.SK[[#This Row],[Starch content]],"")</f>
        <v>9.8666666666666671</v>
      </c>
    </row>
    <row r="6577" spans="1:14">
      <c r="A6577" s="21">
        <v>2025</v>
      </c>
      <c r="B6577" s="21" t="s">
        <v>26</v>
      </c>
      <c r="C6577" s="21" t="s">
        <v>1145</v>
      </c>
      <c r="D6577" s="21" t="s">
        <v>35</v>
      </c>
      <c r="E6577" s="17" t="s">
        <v>640</v>
      </c>
      <c r="F6577" s="17" t="s">
        <v>105</v>
      </c>
      <c r="G6577" s="18" t="s">
        <v>48</v>
      </c>
      <c r="H6577" s="24">
        <v>50040</v>
      </c>
      <c r="I6577" s="24">
        <f>T_reg.root.SK[[#This Row],[Volume, kg]]/1000</f>
        <v>50.04</v>
      </c>
      <c r="J6577" s="25">
        <v>0.2419</v>
      </c>
      <c r="K6577" s="25">
        <f t="shared" si="103"/>
        <v>12104.675999999999</v>
      </c>
      <c r="L6577" s="25">
        <v>2.15</v>
      </c>
      <c r="M6577" s="24">
        <v>107608</v>
      </c>
      <c r="N6577" s="25">
        <f>IFERROR(T_reg.root.SK[[#This Row],[Price]]/T_reg.root.SK[[#This Row],[Starch content]],"")</f>
        <v>8.88797023563456</v>
      </c>
    </row>
    <row r="6578" spans="1:14">
      <c r="A6578" s="21">
        <v>2025</v>
      </c>
      <c r="B6578" s="21" t="s">
        <v>26</v>
      </c>
      <c r="C6578" s="21" t="s">
        <v>1145</v>
      </c>
      <c r="D6578" s="21" t="s">
        <v>35</v>
      </c>
      <c r="E6578" s="17" t="s">
        <v>829</v>
      </c>
      <c r="F6578" s="17" t="s">
        <v>105</v>
      </c>
      <c r="G6578" s="18" t="s">
        <v>48</v>
      </c>
      <c r="H6578" s="24">
        <v>37550</v>
      </c>
      <c r="I6578" s="24">
        <f>T_reg.root.SK[[#This Row],[Volume, kg]]/1000</f>
        <v>37.549999999999997</v>
      </c>
      <c r="J6578" s="25">
        <v>0.2492</v>
      </c>
      <c r="K6578" s="25">
        <f t="shared" si="103"/>
        <v>9357.4600000000009</v>
      </c>
      <c r="L6578" s="25">
        <v>2.21</v>
      </c>
      <c r="M6578" s="24">
        <v>82911</v>
      </c>
      <c r="N6578" s="25">
        <f>IFERROR(T_reg.root.SK[[#This Row],[Price]]/T_reg.root.SK[[#This Row],[Starch content]],"")</f>
        <v>8.8683788121990368</v>
      </c>
    </row>
    <row r="6579" spans="1:14">
      <c r="A6579" s="21">
        <v>2025</v>
      </c>
      <c r="B6579" s="21" t="s">
        <v>26</v>
      </c>
      <c r="C6579" s="21" t="s">
        <v>1145</v>
      </c>
      <c r="D6579" s="21" t="s">
        <v>35</v>
      </c>
      <c r="E6579" s="17" t="s">
        <v>641</v>
      </c>
      <c r="F6579" s="17" t="s">
        <v>105</v>
      </c>
      <c r="G6579" s="18" t="s">
        <v>48</v>
      </c>
      <c r="H6579" s="24">
        <v>21250</v>
      </c>
      <c r="I6579" s="24">
        <f>T_reg.root.SK[[#This Row],[Volume, kg]]/1000</f>
        <v>21.25</v>
      </c>
      <c r="J6579" s="25">
        <v>0.2198</v>
      </c>
      <c r="K6579" s="25">
        <f t="shared" si="103"/>
        <v>4670.75</v>
      </c>
      <c r="L6579" s="25">
        <v>2.04</v>
      </c>
      <c r="M6579" s="24">
        <v>43376</v>
      </c>
      <c r="N6579" s="25">
        <f>IFERROR(T_reg.root.SK[[#This Row],[Price]]/T_reg.root.SK[[#This Row],[Starch content]],"")</f>
        <v>9.2811646951774343</v>
      </c>
    </row>
    <row r="6580" spans="1:14">
      <c r="A6580" s="21">
        <v>2025</v>
      </c>
      <c r="B6580" s="21" t="s">
        <v>26</v>
      </c>
      <c r="C6580" s="21" t="s">
        <v>1145</v>
      </c>
      <c r="D6580" s="21" t="s">
        <v>35</v>
      </c>
      <c r="E6580" s="17" t="s">
        <v>774</v>
      </c>
      <c r="F6580" s="17" t="s">
        <v>105</v>
      </c>
      <c r="G6580" s="18" t="s">
        <v>48</v>
      </c>
      <c r="H6580" s="24">
        <v>8300</v>
      </c>
      <c r="I6580" s="24">
        <f>T_reg.root.SK[[#This Row],[Volume, kg]]/1000</f>
        <v>8.3000000000000007</v>
      </c>
      <c r="J6580" s="25">
        <v>0.2505</v>
      </c>
      <c r="K6580" s="25">
        <f t="shared" si="103"/>
        <v>2079.15</v>
      </c>
      <c r="L6580" s="25">
        <v>2.15</v>
      </c>
      <c r="M6580" s="24">
        <v>17845</v>
      </c>
      <c r="N6580" s="25">
        <f>IFERROR(T_reg.root.SK[[#This Row],[Price]]/T_reg.root.SK[[#This Row],[Starch content]],"")</f>
        <v>8.5828343313373257</v>
      </c>
    </row>
    <row r="6581" spans="1:14">
      <c r="A6581" s="21">
        <v>2025</v>
      </c>
      <c r="B6581" s="21" t="s">
        <v>26</v>
      </c>
      <c r="C6581" s="21" t="s">
        <v>1145</v>
      </c>
      <c r="D6581" s="21" t="s">
        <v>35</v>
      </c>
      <c r="E6581" s="17" t="s">
        <v>959</v>
      </c>
      <c r="F6581" s="17" t="s">
        <v>105</v>
      </c>
      <c r="G6581" s="18" t="s">
        <v>48</v>
      </c>
      <c r="H6581" s="24">
        <v>0</v>
      </c>
      <c r="I6581" s="24">
        <f>T_reg.root.SK[[#This Row],[Volume, kg]]/1000</f>
        <v>0</v>
      </c>
      <c r="J6581" s="25">
        <v>0</v>
      </c>
      <c r="K6581" s="25">
        <f t="shared" si="103"/>
        <v>0</v>
      </c>
      <c r="L6581" s="25">
        <v>0</v>
      </c>
      <c r="M6581" s="24">
        <v>0</v>
      </c>
      <c r="N6581" s="25" t="str">
        <f>IFERROR(T_reg.root.SK[[#This Row],[Price]]/T_reg.root.SK[[#This Row],[Starch content]],"")</f>
        <v/>
      </c>
    </row>
    <row r="6582" spans="1:14">
      <c r="A6582" s="21">
        <v>2025</v>
      </c>
      <c r="B6582" s="21" t="s">
        <v>26</v>
      </c>
      <c r="C6582" s="21" t="s">
        <v>1145</v>
      </c>
      <c r="D6582" s="21" t="s">
        <v>35</v>
      </c>
      <c r="E6582" s="17" t="s">
        <v>983</v>
      </c>
      <c r="F6582" s="17" t="s">
        <v>47</v>
      </c>
      <c r="G6582" s="18" t="s">
        <v>48</v>
      </c>
      <c r="H6582" s="24">
        <v>33910</v>
      </c>
      <c r="I6582" s="24">
        <f>T_reg.root.SK[[#This Row],[Volume, kg]]/1000</f>
        <v>33.909999999999997</v>
      </c>
      <c r="J6582" s="25">
        <v>0.19120000000000001</v>
      </c>
      <c r="K6582" s="25">
        <f t="shared" si="103"/>
        <v>6483.5920000000006</v>
      </c>
      <c r="L6582" s="25">
        <v>1.92</v>
      </c>
      <c r="M6582" s="24">
        <v>65125.5</v>
      </c>
      <c r="N6582" s="25">
        <f>IFERROR(T_reg.root.SK[[#This Row],[Price]]/T_reg.root.SK[[#This Row],[Starch content]],"")</f>
        <v>10.0418410041841</v>
      </c>
    </row>
    <row r="6583" spans="1:14">
      <c r="A6583" s="21">
        <v>2025</v>
      </c>
      <c r="B6583" s="21" t="s">
        <v>26</v>
      </c>
      <c r="C6583" s="21" t="s">
        <v>1145</v>
      </c>
      <c r="D6583" s="21" t="s">
        <v>35</v>
      </c>
      <c r="E6583" s="17" t="s">
        <v>1067</v>
      </c>
      <c r="F6583" s="17" t="s">
        <v>105</v>
      </c>
      <c r="G6583" s="18" t="s">
        <v>48</v>
      </c>
      <c r="H6583" s="24">
        <v>19110</v>
      </c>
      <c r="I6583" s="24">
        <f>T_reg.root.SK[[#This Row],[Volume, kg]]/1000</f>
        <v>19.11</v>
      </c>
      <c r="J6583" s="25">
        <v>0.26100000000000001</v>
      </c>
      <c r="K6583" s="25">
        <f t="shared" si="103"/>
        <v>4987.71</v>
      </c>
      <c r="L6583" s="25">
        <v>2.25</v>
      </c>
      <c r="M6583" s="24">
        <v>42997.5</v>
      </c>
      <c r="N6583" s="25">
        <f>IFERROR(T_reg.root.SK[[#This Row],[Price]]/T_reg.root.SK[[#This Row],[Starch content]],"")</f>
        <v>8.6206896551724128</v>
      </c>
    </row>
    <row r="6584" spans="1:14">
      <c r="A6584" s="21">
        <v>2025</v>
      </c>
      <c r="B6584" s="21" t="s">
        <v>26</v>
      </c>
      <c r="C6584" s="21" t="s">
        <v>1145</v>
      </c>
      <c r="D6584" s="21" t="s">
        <v>35</v>
      </c>
      <c r="E6584" s="17" t="s">
        <v>578</v>
      </c>
      <c r="F6584" s="17" t="s">
        <v>105</v>
      </c>
      <c r="G6584" s="18" t="s">
        <v>48</v>
      </c>
      <c r="H6584" s="24">
        <v>6330</v>
      </c>
      <c r="I6584" s="24">
        <f>T_reg.root.SK[[#This Row],[Volume, kg]]/1000</f>
        <v>6.33</v>
      </c>
      <c r="J6584" s="25">
        <v>0.20499999999999999</v>
      </c>
      <c r="K6584" s="25">
        <f t="shared" si="103"/>
        <v>1297.6499999999999</v>
      </c>
      <c r="L6584" s="25">
        <v>1.95</v>
      </c>
      <c r="M6584" s="24">
        <v>12343.5</v>
      </c>
      <c r="N6584" s="25">
        <f>IFERROR(T_reg.root.SK[[#This Row],[Price]]/T_reg.root.SK[[#This Row],[Starch content]],"")</f>
        <v>9.5121951219512191</v>
      </c>
    </row>
    <row r="6585" spans="1:14">
      <c r="A6585" s="21">
        <v>2025</v>
      </c>
      <c r="B6585" s="21" t="s">
        <v>26</v>
      </c>
      <c r="C6585" s="21" t="s">
        <v>1145</v>
      </c>
      <c r="D6585" s="21" t="s">
        <v>35</v>
      </c>
      <c r="E6585" s="17" t="s">
        <v>831</v>
      </c>
      <c r="F6585" s="17" t="s">
        <v>187</v>
      </c>
      <c r="G6585" s="18" t="s">
        <v>48</v>
      </c>
      <c r="H6585" s="24">
        <v>9820</v>
      </c>
      <c r="I6585" s="24">
        <f>T_reg.root.SK[[#This Row],[Volume, kg]]/1000</f>
        <v>9.82</v>
      </c>
      <c r="J6585" s="25">
        <v>0.1535</v>
      </c>
      <c r="K6585" s="25">
        <f t="shared" si="103"/>
        <v>1507.37</v>
      </c>
      <c r="L6585" s="25">
        <v>1.65</v>
      </c>
      <c r="M6585" s="24">
        <v>16203</v>
      </c>
      <c r="N6585" s="25">
        <f>IFERROR(T_reg.root.SK[[#This Row],[Price]]/T_reg.root.SK[[#This Row],[Starch content]],"")</f>
        <v>10.749185667752442</v>
      </c>
    </row>
    <row r="6586" spans="1:14">
      <c r="A6586" s="21">
        <v>2025</v>
      </c>
      <c r="B6586" s="21" t="s">
        <v>26</v>
      </c>
      <c r="C6586" s="21" t="s">
        <v>1145</v>
      </c>
      <c r="D6586" s="21" t="s">
        <v>35</v>
      </c>
      <c r="E6586" s="17" t="s">
        <v>183</v>
      </c>
      <c r="F6586" s="17" t="s">
        <v>105</v>
      </c>
      <c r="G6586" s="18" t="s">
        <v>48</v>
      </c>
      <c r="H6586" s="24">
        <v>84720</v>
      </c>
      <c r="I6586" s="24">
        <f>T_reg.root.SK[[#This Row],[Volume, kg]]/1000</f>
        <v>84.72</v>
      </c>
      <c r="J6586" s="25">
        <v>0.25309999999999999</v>
      </c>
      <c r="K6586" s="25">
        <f t="shared" si="103"/>
        <v>21442.631999999998</v>
      </c>
      <c r="L6586" s="25">
        <v>2.21</v>
      </c>
      <c r="M6586" s="24">
        <v>187569</v>
      </c>
      <c r="N6586" s="25">
        <f>IFERROR(T_reg.root.SK[[#This Row],[Price]]/T_reg.root.SK[[#This Row],[Starch content]],"")</f>
        <v>8.7317265902805214</v>
      </c>
    </row>
    <row r="6587" spans="1:14">
      <c r="A6587" s="21">
        <v>2025</v>
      </c>
      <c r="B6587" s="21" t="s">
        <v>27</v>
      </c>
      <c r="C6587" s="21" t="s">
        <v>1145</v>
      </c>
      <c r="D6587" s="21" t="s">
        <v>35</v>
      </c>
      <c r="E6587" s="17" t="s">
        <v>733</v>
      </c>
      <c r="F6587" s="17" t="s">
        <v>105</v>
      </c>
      <c r="G6587" s="18" t="s">
        <v>48</v>
      </c>
      <c r="H6587" s="24">
        <v>24340</v>
      </c>
      <c r="I6587" s="24">
        <f>T_reg.root.SK[[#This Row],[Volume, kg]]/1000</f>
        <v>24.34</v>
      </c>
      <c r="J6587" s="25">
        <v>0.20710000000000001</v>
      </c>
      <c r="K6587" s="25">
        <f t="shared" si="103"/>
        <v>5040.8140000000003</v>
      </c>
      <c r="L6587" s="25">
        <v>2.0499999999999998</v>
      </c>
      <c r="M6587" s="24">
        <v>49776</v>
      </c>
      <c r="N6587" s="25">
        <f>IFERROR(T_reg.root.SK[[#This Row],[Price]]/T_reg.root.SK[[#This Row],[Starch content]],"")</f>
        <v>9.8985997102848859</v>
      </c>
    </row>
    <row r="6588" spans="1:14">
      <c r="A6588" s="21">
        <v>2025</v>
      </c>
      <c r="B6588" s="21" t="s">
        <v>27</v>
      </c>
      <c r="C6588" s="21" t="s">
        <v>1145</v>
      </c>
      <c r="D6588" s="21" t="s">
        <v>39</v>
      </c>
      <c r="E6588" s="17" t="s">
        <v>1057</v>
      </c>
      <c r="F6588" s="17" t="s">
        <v>1018</v>
      </c>
      <c r="G6588" s="18" t="s">
        <v>103</v>
      </c>
      <c r="H6588" s="24">
        <v>432390</v>
      </c>
      <c r="I6588" s="24">
        <f>T_reg.root.SK[[#This Row],[Volume, kg]]/1000</f>
        <v>432.39</v>
      </c>
      <c r="J6588" s="25">
        <v>0.2429</v>
      </c>
      <c r="K6588" s="25">
        <f t="shared" si="103"/>
        <v>105027.531</v>
      </c>
      <c r="L6588" s="25">
        <v>2.42</v>
      </c>
      <c r="M6588" s="24">
        <v>1044771.5</v>
      </c>
      <c r="N6588" s="25">
        <f>IFERROR(T_reg.root.SK[[#This Row],[Price]]/T_reg.root.SK[[#This Row],[Starch content]],"")</f>
        <v>9.962947715109097</v>
      </c>
    </row>
    <row r="6589" spans="1:14">
      <c r="A6589" s="21">
        <v>2025</v>
      </c>
      <c r="B6589" s="21" t="s">
        <v>27</v>
      </c>
      <c r="C6589" s="21" t="s">
        <v>1145</v>
      </c>
      <c r="D6589" s="21" t="s">
        <v>39</v>
      </c>
      <c r="E6589" s="17" t="s">
        <v>1058</v>
      </c>
      <c r="F6589" s="17" t="s">
        <v>227</v>
      </c>
      <c r="G6589" s="18" t="s">
        <v>42</v>
      </c>
      <c r="H6589" s="24">
        <v>1027060</v>
      </c>
      <c r="I6589" s="24">
        <f>T_reg.root.SK[[#This Row],[Volume, kg]]/1000</f>
        <v>1027.06</v>
      </c>
      <c r="J6589" s="25">
        <v>0.254</v>
      </c>
      <c r="K6589" s="25">
        <f t="shared" si="103"/>
        <v>260873.24</v>
      </c>
      <c r="L6589" s="25">
        <v>2.5099999999999998</v>
      </c>
      <c r="M6589" s="24">
        <v>2574670.5</v>
      </c>
      <c r="N6589" s="25">
        <f>IFERROR(T_reg.root.SK[[#This Row],[Price]]/T_reg.root.SK[[#This Row],[Starch content]],"")</f>
        <v>9.881889763779526</v>
      </c>
    </row>
    <row r="6590" spans="1:14">
      <c r="A6590" s="21">
        <v>2025</v>
      </c>
      <c r="B6590" s="21" t="s">
        <v>27</v>
      </c>
      <c r="C6590" s="21" t="s">
        <v>1145</v>
      </c>
      <c r="D6590" s="21" t="s">
        <v>35</v>
      </c>
      <c r="E6590" s="17" t="s">
        <v>580</v>
      </c>
      <c r="F6590" s="17" t="s">
        <v>187</v>
      </c>
      <c r="G6590" s="18" t="s">
        <v>48</v>
      </c>
      <c r="H6590" s="24">
        <v>4990</v>
      </c>
      <c r="I6590" s="24">
        <f>T_reg.root.SK[[#This Row],[Volume, kg]]/1000</f>
        <v>4.99</v>
      </c>
      <c r="J6590" s="25">
        <v>0.187</v>
      </c>
      <c r="K6590" s="25">
        <f t="shared" si="103"/>
        <v>933.13</v>
      </c>
      <c r="L6590" s="25">
        <v>1.9</v>
      </c>
      <c r="M6590" s="24">
        <v>9481</v>
      </c>
      <c r="N6590" s="25">
        <f>IFERROR(T_reg.root.SK[[#This Row],[Price]]/T_reg.root.SK[[#This Row],[Starch content]],"")</f>
        <v>10.160427807486631</v>
      </c>
    </row>
    <row r="6591" spans="1:14">
      <c r="A6591" s="21">
        <v>2025</v>
      </c>
      <c r="B6591" s="21" t="s">
        <v>27</v>
      </c>
      <c r="C6591" s="21" t="s">
        <v>1145</v>
      </c>
      <c r="D6591" s="21" t="s">
        <v>35</v>
      </c>
      <c r="E6591" s="17" t="s">
        <v>987</v>
      </c>
      <c r="F6591" s="17" t="s">
        <v>105</v>
      </c>
      <c r="G6591" s="18" t="s">
        <v>48</v>
      </c>
      <c r="H6591" s="24">
        <v>21800</v>
      </c>
      <c r="I6591" s="24">
        <f>T_reg.root.SK[[#This Row],[Volume, kg]]/1000</f>
        <v>21.8</v>
      </c>
      <c r="J6591" s="25">
        <v>0.23980000000000001</v>
      </c>
      <c r="K6591" s="25">
        <f t="shared" si="103"/>
        <v>5227.6400000000003</v>
      </c>
      <c r="L6591" s="25">
        <v>2.23</v>
      </c>
      <c r="M6591" s="24">
        <v>48545</v>
      </c>
      <c r="N6591" s="25">
        <f>IFERROR(T_reg.root.SK[[#This Row],[Price]]/T_reg.root.SK[[#This Row],[Starch content]],"")</f>
        <v>9.2994161801501249</v>
      </c>
    </row>
    <row r="6592" spans="1:14">
      <c r="A6592" s="21">
        <v>2025</v>
      </c>
      <c r="B6592" s="21" t="s">
        <v>27</v>
      </c>
      <c r="C6592" s="21" t="s">
        <v>1145</v>
      </c>
      <c r="D6592" s="21" t="s">
        <v>35</v>
      </c>
      <c r="E6592" s="17" t="s">
        <v>370</v>
      </c>
      <c r="F6592" s="17" t="s">
        <v>187</v>
      </c>
      <c r="G6592" s="18" t="s">
        <v>48</v>
      </c>
      <c r="H6592" s="24">
        <v>86880</v>
      </c>
      <c r="I6592" s="24">
        <f>T_reg.root.SK[[#This Row],[Volume, kg]]/1000</f>
        <v>86.88</v>
      </c>
      <c r="J6592" s="25">
        <v>0.22289999999999999</v>
      </c>
      <c r="K6592" s="25">
        <f t="shared" si="103"/>
        <v>19365.552</v>
      </c>
      <c r="L6592" s="25">
        <v>2.13</v>
      </c>
      <c r="M6592" s="24">
        <v>185480</v>
      </c>
      <c r="N6592" s="25">
        <f>IFERROR(T_reg.root.SK[[#This Row],[Price]]/T_reg.root.SK[[#This Row],[Starch content]],"")</f>
        <v>9.5558546433378204</v>
      </c>
    </row>
    <row r="6593" spans="1:14">
      <c r="A6593" s="21">
        <v>2025</v>
      </c>
      <c r="B6593" s="21" t="s">
        <v>27</v>
      </c>
      <c r="C6593" s="21" t="s">
        <v>1145</v>
      </c>
      <c r="D6593" s="21" t="s">
        <v>35</v>
      </c>
      <c r="E6593" s="17" t="s">
        <v>108</v>
      </c>
      <c r="F6593" s="17" t="s">
        <v>105</v>
      </c>
      <c r="G6593" s="18" t="s">
        <v>48</v>
      </c>
      <c r="H6593" s="24">
        <v>7860</v>
      </c>
      <c r="I6593" s="24">
        <f>T_reg.root.SK[[#This Row],[Volume, kg]]/1000</f>
        <v>7.86</v>
      </c>
      <c r="J6593" s="25">
        <v>0.25600000000000001</v>
      </c>
      <c r="K6593" s="25">
        <f t="shared" si="103"/>
        <v>2012.16</v>
      </c>
      <c r="L6593" s="25">
        <v>2.25</v>
      </c>
      <c r="M6593" s="24">
        <v>17685</v>
      </c>
      <c r="N6593" s="25">
        <f>IFERROR(T_reg.root.SK[[#This Row],[Price]]/T_reg.root.SK[[#This Row],[Starch content]],"")</f>
        <v>8.7890625</v>
      </c>
    </row>
    <row r="6594" spans="1:14">
      <c r="A6594" s="21">
        <v>2025</v>
      </c>
      <c r="B6594" s="21" t="s">
        <v>27</v>
      </c>
      <c r="C6594" s="21" t="s">
        <v>1145</v>
      </c>
      <c r="D6594" s="21" t="s">
        <v>35</v>
      </c>
      <c r="E6594" s="17" t="s">
        <v>401</v>
      </c>
      <c r="F6594" s="17" t="s">
        <v>105</v>
      </c>
      <c r="G6594" s="18" t="s">
        <v>48</v>
      </c>
      <c r="H6594" s="24">
        <v>29280</v>
      </c>
      <c r="I6594" s="24">
        <f>T_reg.root.SK[[#This Row],[Volume, kg]]/1000</f>
        <v>29.28</v>
      </c>
      <c r="J6594" s="25">
        <v>0.2311</v>
      </c>
      <c r="K6594" s="25">
        <f t="shared" si="103"/>
        <v>6766.6080000000002</v>
      </c>
      <c r="L6594" s="25">
        <v>2.2000000000000002</v>
      </c>
      <c r="M6594" s="24">
        <v>64363.5</v>
      </c>
      <c r="N6594" s="25">
        <f>IFERROR(T_reg.root.SK[[#This Row],[Price]]/T_reg.root.SK[[#This Row],[Starch content]],"")</f>
        <v>9.5196884465599307</v>
      </c>
    </row>
    <row r="6595" spans="1:14">
      <c r="A6595" s="21">
        <v>2025</v>
      </c>
      <c r="B6595" s="21" t="s">
        <v>27</v>
      </c>
      <c r="C6595" s="21" t="s">
        <v>1145</v>
      </c>
      <c r="D6595" s="21" t="s">
        <v>35</v>
      </c>
      <c r="E6595" s="17" t="s">
        <v>823</v>
      </c>
      <c r="F6595" s="17" t="s">
        <v>105</v>
      </c>
      <c r="G6595" s="18" t="s">
        <v>48</v>
      </c>
      <c r="H6595" s="24">
        <v>160540</v>
      </c>
      <c r="I6595" s="24">
        <f>T_reg.root.SK[[#This Row],[Volume, kg]]/1000</f>
        <v>160.54</v>
      </c>
      <c r="J6595" s="25">
        <v>0.2077</v>
      </c>
      <c r="K6595" s="25">
        <f t="shared" si="103"/>
        <v>33344.157999999996</v>
      </c>
      <c r="L6595" s="25">
        <v>2.0699999999999998</v>
      </c>
      <c r="M6595" s="24">
        <v>332608.5</v>
      </c>
      <c r="N6595" s="25">
        <f>IFERROR(T_reg.root.SK[[#This Row],[Price]]/T_reg.root.SK[[#This Row],[Starch content]],"")</f>
        <v>9.9662975445353865</v>
      </c>
    </row>
    <row r="6596" spans="1:14">
      <c r="A6596" s="21">
        <v>2025</v>
      </c>
      <c r="B6596" s="21" t="s">
        <v>27</v>
      </c>
      <c r="C6596" s="21" t="s">
        <v>1145</v>
      </c>
      <c r="D6596" s="21" t="s">
        <v>35</v>
      </c>
      <c r="E6596" s="17" t="s">
        <v>713</v>
      </c>
      <c r="F6596" s="17" t="s">
        <v>105</v>
      </c>
      <c r="G6596" s="18" t="s">
        <v>48</v>
      </c>
      <c r="H6596" s="24">
        <v>58460</v>
      </c>
      <c r="I6596" s="24">
        <f>T_reg.root.SK[[#This Row],[Volume, kg]]/1000</f>
        <v>58.46</v>
      </c>
      <c r="J6596" s="25">
        <v>0.21309999999999998</v>
      </c>
      <c r="K6596" s="25">
        <f t="shared" si="103"/>
        <v>12457.825999999999</v>
      </c>
      <c r="L6596" s="25">
        <v>2.1</v>
      </c>
      <c r="M6596" s="24">
        <v>122874</v>
      </c>
      <c r="N6596" s="25">
        <f>IFERROR(T_reg.root.SK[[#This Row],[Price]]/T_reg.root.SK[[#This Row],[Starch content]],"")</f>
        <v>9.8545283904270313</v>
      </c>
    </row>
    <row r="6597" spans="1:14">
      <c r="A6597" s="21">
        <v>2025</v>
      </c>
      <c r="B6597" s="21" t="s">
        <v>27</v>
      </c>
      <c r="C6597" s="21" t="s">
        <v>1145</v>
      </c>
      <c r="D6597" s="21" t="s">
        <v>35</v>
      </c>
      <c r="E6597" s="17" t="s">
        <v>631</v>
      </c>
      <c r="F6597" s="17" t="s">
        <v>105</v>
      </c>
      <c r="G6597" s="18" t="s">
        <v>48</v>
      </c>
      <c r="H6597" s="24">
        <v>9560</v>
      </c>
      <c r="I6597" s="24">
        <f>T_reg.root.SK[[#This Row],[Volume, kg]]/1000</f>
        <v>9.56</v>
      </c>
      <c r="J6597" s="25">
        <v>0.20449999999999999</v>
      </c>
      <c r="K6597" s="25">
        <f t="shared" si="103"/>
        <v>1955.02</v>
      </c>
      <c r="L6597" s="25">
        <v>1.95</v>
      </c>
      <c r="M6597" s="24">
        <v>18642</v>
      </c>
      <c r="N6597" s="25">
        <f>IFERROR(T_reg.root.SK[[#This Row],[Price]]/T_reg.root.SK[[#This Row],[Starch content]],"")</f>
        <v>9.5354523227383865</v>
      </c>
    </row>
    <row r="6598" spans="1:14">
      <c r="A6598" s="21">
        <v>2025</v>
      </c>
      <c r="B6598" s="21" t="s">
        <v>27</v>
      </c>
      <c r="C6598" s="21" t="s">
        <v>1145</v>
      </c>
      <c r="D6598" s="21" t="s">
        <v>35</v>
      </c>
      <c r="E6598" s="17" t="s">
        <v>109</v>
      </c>
      <c r="F6598" s="17" t="s">
        <v>105</v>
      </c>
      <c r="G6598" s="18" t="s">
        <v>48</v>
      </c>
      <c r="H6598" s="24">
        <v>23150</v>
      </c>
      <c r="I6598" s="24">
        <f>T_reg.root.SK[[#This Row],[Volume, kg]]/1000</f>
        <v>23.15</v>
      </c>
      <c r="J6598" s="25">
        <v>0.2366</v>
      </c>
      <c r="K6598" s="25">
        <f t="shared" si="103"/>
        <v>5477.29</v>
      </c>
      <c r="L6598" s="25">
        <v>2.19</v>
      </c>
      <c r="M6598" s="24">
        <v>50587.5</v>
      </c>
      <c r="N6598" s="25">
        <f>IFERROR(T_reg.root.SK[[#This Row],[Price]]/T_reg.root.SK[[#This Row],[Starch content]],"")</f>
        <v>9.2561284868977172</v>
      </c>
    </row>
    <row r="6599" spans="1:14">
      <c r="A6599" s="21">
        <v>2025</v>
      </c>
      <c r="B6599" s="21" t="s">
        <v>27</v>
      </c>
      <c r="C6599" s="21" t="s">
        <v>1145</v>
      </c>
      <c r="D6599" s="21" t="s">
        <v>39</v>
      </c>
      <c r="E6599" s="17" t="s">
        <v>1017</v>
      </c>
      <c r="F6599" s="17" t="s">
        <v>1018</v>
      </c>
      <c r="G6599" s="18" t="s">
        <v>103</v>
      </c>
      <c r="H6599" s="24">
        <v>141720</v>
      </c>
      <c r="I6599" s="24">
        <f>T_reg.root.SK[[#This Row],[Volume, kg]]/1000</f>
        <v>141.72</v>
      </c>
      <c r="J6599" s="25">
        <v>0.25629999999999997</v>
      </c>
      <c r="K6599" s="25">
        <f t="shared" si="103"/>
        <v>36322.835999999996</v>
      </c>
      <c r="L6599" s="25">
        <v>2.4700000000000002</v>
      </c>
      <c r="M6599" s="24">
        <v>350000</v>
      </c>
      <c r="N6599" s="25">
        <f>IFERROR(T_reg.root.SK[[#This Row],[Price]]/T_reg.root.SK[[#This Row],[Starch content]],"")</f>
        <v>9.637143971907923</v>
      </c>
    </row>
    <row r="6600" spans="1:14">
      <c r="A6600" s="21">
        <v>2025</v>
      </c>
      <c r="B6600" s="21" t="s">
        <v>27</v>
      </c>
      <c r="C6600" s="21" t="s">
        <v>1145</v>
      </c>
      <c r="D6600" s="21" t="s">
        <v>35</v>
      </c>
      <c r="E6600" s="17" t="s">
        <v>1085</v>
      </c>
      <c r="F6600" s="17" t="s">
        <v>105</v>
      </c>
      <c r="G6600" s="18" t="s">
        <v>48</v>
      </c>
      <c r="H6600" s="24">
        <v>15430</v>
      </c>
      <c r="I6600" s="24">
        <f>T_reg.root.SK[[#This Row],[Volume, kg]]/1000</f>
        <v>15.43</v>
      </c>
      <c r="J6600" s="25">
        <v>0.28420000000000001</v>
      </c>
      <c r="K6600" s="25">
        <f t="shared" si="103"/>
        <v>4385.2060000000001</v>
      </c>
      <c r="L6600" s="25">
        <v>2.42</v>
      </c>
      <c r="M6600" s="24">
        <v>37407</v>
      </c>
      <c r="N6600" s="25">
        <f>IFERROR(T_reg.root.SK[[#This Row],[Price]]/T_reg.root.SK[[#This Row],[Starch content]],"")</f>
        <v>8.5151301900070369</v>
      </c>
    </row>
    <row r="6601" spans="1:14">
      <c r="A6601" s="21">
        <v>2025</v>
      </c>
      <c r="B6601" s="21" t="s">
        <v>27</v>
      </c>
      <c r="C6601" s="21" t="s">
        <v>1145</v>
      </c>
      <c r="D6601" s="21" t="s">
        <v>35</v>
      </c>
      <c r="E6601" s="17" t="s">
        <v>293</v>
      </c>
      <c r="F6601" s="17" t="s">
        <v>105</v>
      </c>
      <c r="G6601" s="18" t="s">
        <v>48</v>
      </c>
      <c r="H6601" s="24">
        <v>0</v>
      </c>
      <c r="I6601" s="24">
        <f>T_reg.root.SK[[#This Row],[Volume, kg]]/1000</f>
        <v>0</v>
      </c>
      <c r="J6601" s="25">
        <v>0</v>
      </c>
      <c r="K6601" s="25">
        <f t="shared" si="103"/>
        <v>0</v>
      </c>
      <c r="L6601" s="25">
        <v>0</v>
      </c>
      <c r="M6601" s="24">
        <v>0</v>
      </c>
      <c r="N6601" s="25" t="str">
        <f>IFERROR(T_reg.root.SK[[#This Row],[Price]]/T_reg.root.SK[[#This Row],[Starch content]],"")</f>
        <v/>
      </c>
    </row>
    <row r="6602" spans="1:14">
      <c r="A6602" s="21">
        <v>2025</v>
      </c>
      <c r="B6602" s="21" t="s">
        <v>27</v>
      </c>
      <c r="C6602" s="21" t="s">
        <v>1145</v>
      </c>
      <c r="D6602" s="21" t="s">
        <v>35</v>
      </c>
      <c r="E6602" s="17" t="s">
        <v>110</v>
      </c>
      <c r="F6602" s="17" t="s">
        <v>105</v>
      </c>
      <c r="G6602" s="18" t="s">
        <v>48</v>
      </c>
      <c r="H6602" s="24">
        <v>31370</v>
      </c>
      <c r="I6602" s="24">
        <f>T_reg.root.SK[[#This Row],[Volume, kg]]/1000</f>
        <v>31.37</v>
      </c>
      <c r="J6602" s="25">
        <v>0.25679999999999997</v>
      </c>
      <c r="K6602" s="25">
        <f t="shared" si="103"/>
        <v>8055.8159999999989</v>
      </c>
      <c r="L6602" s="25">
        <v>2.2799999999999998</v>
      </c>
      <c r="M6602" s="24">
        <v>71669.5</v>
      </c>
      <c r="N6602" s="25">
        <f>IFERROR(T_reg.root.SK[[#This Row],[Price]]/T_reg.root.SK[[#This Row],[Starch content]],"")</f>
        <v>8.878504672897197</v>
      </c>
    </row>
    <row r="6603" spans="1:14">
      <c r="A6603" s="21">
        <v>2025</v>
      </c>
      <c r="B6603" s="21" t="s">
        <v>27</v>
      </c>
      <c r="C6603" s="21" t="s">
        <v>1145</v>
      </c>
      <c r="D6603" s="21" t="s">
        <v>35</v>
      </c>
      <c r="E6603" s="17" t="s">
        <v>336</v>
      </c>
      <c r="F6603" s="17" t="s">
        <v>47</v>
      </c>
      <c r="G6603" s="18" t="s">
        <v>48</v>
      </c>
      <c r="H6603" s="24">
        <v>137460</v>
      </c>
      <c r="I6603" s="24">
        <f>T_reg.root.SK[[#This Row],[Volume, kg]]/1000</f>
        <v>137.46</v>
      </c>
      <c r="J6603" s="25">
        <v>0.23300000000000001</v>
      </c>
      <c r="K6603" s="25">
        <f t="shared" si="103"/>
        <v>32028.18</v>
      </c>
      <c r="L6603" s="25">
        <v>2.1800000000000002</v>
      </c>
      <c r="M6603" s="24">
        <v>299241</v>
      </c>
      <c r="N6603" s="25">
        <f>IFERROR(T_reg.root.SK[[#This Row],[Price]]/T_reg.root.SK[[#This Row],[Starch content]],"")</f>
        <v>9.3562231759656651</v>
      </c>
    </row>
    <row r="6604" spans="1:14">
      <c r="A6604" s="21">
        <v>2025</v>
      </c>
      <c r="B6604" s="21" t="s">
        <v>27</v>
      </c>
      <c r="C6604" s="21" t="s">
        <v>1145</v>
      </c>
      <c r="D6604" s="21" t="s">
        <v>35</v>
      </c>
      <c r="E6604" s="17" t="s">
        <v>642</v>
      </c>
      <c r="F6604" s="17" t="s">
        <v>47</v>
      </c>
      <c r="G6604" s="18" t="s">
        <v>48</v>
      </c>
      <c r="H6604" s="24">
        <v>9690</v>
      </c>
      <c r="I6604" s="24">
        <f>T_reg.root.SK[[#This Row],[Volume, kg]]/1000</f>
        <v>9.69</v>
      </c>
      <c r="J6604" s="25">
        <v>0.19600000000000001</v>
      </c>
      <c r="K6604" s="25">
        <f t="shared" si="103"/>
        <v>1899.24</v>
      </c>
      <c r="L6604" s="25">
        <v>2</v>
      </c>
      <c r="M6604" s="24">
        <v>19380</v>
      </c>
      <c r="N6604" s="25">
        <f>IFERROR(T_reg.root.SK[[#This Row],[Price]]/T_reg.root.SK[[#This Row],[Starch content]],"")</f>
        <v>10.204081632653061</v>
      </c>
    </row>
    <row r="6605" spans="1:14">
      <c r="A6605" s="21">
        <v>2025</v>
      </c>
      <c r="B6605" s="21" t="s">
        <v>27</v>
      </c>
      <c r="C6605" s="21" t="s">
        <v>1145</v>
      </c>
      <c r="D6605" s="21" t="s">
        <v>35</v>
      </c>
      <c r="E6605" s="17" t="s">
        <v>192</v>
      </c>
      <c r="F6605" s="17" t="s">
        <v>187</v>
      </c>
      <c r="G6605" s="18" t="s">
        <v>48</v>
      </c>
      <c r="H6605" s="24">
        <v>9640</v>
      </c>
      <c r="I6605" s="24">
        <f>T_reg.root.SK[[#This Row],[Volume, kg]]/1000</f>
        <v>9.64</v>
      </c>
      <c r="J6605" s="25">
        <v>0.2165</v>
      </c>
      <c r="K6605" s="25">
        <f t="shared" si="103"/>
        <v>2087.06</v>
      </c>
      <c r="L6605" s="25">
        <v>2.0499999999999998</v>
      </c>
      <c r="M6605" s="24">
        <v>19762</v>
      </c>
      <c r="N6605" s="25">
        <f>IFERROR(T_reg.root.SK[[#This Row],[Price]]/T_reg.root.SK[[#This Row],[Starch content]],"")</f>
        <v>9.4688221709006921</v>
      </c>
    </row>
    <row r="6606" spans="1:14">
      <c r="A6606" s="21">
        <v>2025</v>
      </c>
      <c r="B6606" s="21" t="s">
        <v>27</v>
      </c>
      <c r="C6606" s="21" t="s">
        <v>1145</v>
      </c>
      <c r="D6606" s="21" t="s">
        <v>35</v>
      </c>
      <c r="E6606" s="17" t="s">
        <v>52</v>
      </c>
      <c r="F6606" s="17" t="s">
        <v>47</v>
      </c>
      <c r="G6606" s="18" t="s">
        <v>48</v>
      </c>
      <c r="H6606" s="24">
        <v>12480</v>
      </c>
      <c r="I6606" s="24">
        <f>T_reg.root.SK[[#This Row],[Volume, kg]]/1000</f>
        <v>12.48</v>
      </c>
      <c r="J6606" s="25">
        <v>0.23</v>
      </c>
      <c r="K6606" s="25">
        <f t="shared" si="103"/>
        <v>2870.4</v>
      </c>
      <c r="L6606" s="25">
        <v>2.15</v>
      </c>
      <c r="M6606" s="24">
        <v>26879</v>
      </c>
      <c r="N6606" s="25">
        <f>IFERROR(T_reg.root.SK[[#This Row],[Price]]/T_reg.root.SK[[#This Row],[Starch content]],"")</f>
        <v>9.3478260869565215</v>
      </c>
    </row>
    <row r="6607" spans="1:14">
      <c r="A6607" s="21">
        <v>2025</v>
      </c>
      <c r="B6607" s="21" t="s">
        <v>27</v>
      </c>
      <c r="C6607" s="21" t="s">
        <v>1145</v>
      </c>
      <c r="D6607" s="21" t="s">
        <v>39</v>
      </c>
      <c r="E6607" s="17" t="s">
        <v>1068</v>
      </c>
      <c r="F6607" s="17" t="s">
        <v>1069</v>
      </c>
      <c r="G6607" s="18" t="s">
        <v>377</v>
      </c>
      <c r="H6607" s="24">
        <v>58700</v>
      </c>
      <c r="I6607" s="24">
        <f>T_reg.root.SK[[#This Row],[Volume, kg]]/1000</f>
        <v>58.7</v>
      </c>
      <c r="J6607" s="25">
        <v>0.24109999999999998</v>
      </c>
      <c r="K6607" s="25">
        <f t="shared" ref="K6607:K6670" si="104">H6607*J6607</f>
        <v>14152.57</v>
      </c>
      <c r="L6607" s="25">
        <v>2.4500000000000002</v>
      </c>
      <c r="M6607" s="24">
        <v>143815</v>
      </c>
      <c r="N6607" s="25">
        <f>IFERROR(T_reg.root.SK[[#This Row],[Price]]/T_reg.root.SK[[#This Row],[Starch content]],"")</f>
        <v>10.161758606387393</v>
      </c>
    </row>
    <row r="6608" spans="1:14">
      <c r="A6608" s="21">
        <v>2025</v>
      </c>
      <c r="B6608" s="21" t="s">
        <v>27</v>
      </c>
      <c r="C6608" s="21" t="s">
        <v>1145</v>
      </c>
      <c r="D6608" s="21" t="s">
        <v>39</v>
      </c>
      <c r="E6608" s="17" t="s">
        <v>1074</v>
      </c>
      <c r="F6608" s="17" t="s">
        <v>1075</v>
      </c>
      <c r="G6608" s="18" t="s">
        <v>48</v>
      </c>
      <c r="H6608" s="24">
        <v>1493910</v>
      </c>
      <c r="I6608" s="24">
        <f>T_reg.root.SK[[#This Row],[Volume, kg]]/1000</f>
        <v>1493.91</v>
      </c>
      <c r="J6608" s="25">
        <v>0.23680000000000001</v>
      </c>
      <c r="K6608" s="25">
        <f t="shared" si="104"/>
        <v>353757.88800000004</v>
      </c>
      <c r="L6608" s="25">
        <v>2.5099999999999998</v>
      </c>
      <c r="M6608" s="24">
        <v>3752609</v>
      </c>
      <c r="N6608" s="25">
        <f>IFERROR(T_reg.root.SK[[#This Row],[Price]]/T_reg.root.SK[[#This Row],[Starch content]],"")</f>
        <v>10.599662162162161</v>
      </c>
    </row>
    <row r="6609" spans="1:14">
      <c r="A6609" s="21">
        <v>2025</v>
      </c>
      <c r="B6609" s="21" t="s">
        <v>27</v>
      </c>
      <c r="C6609" s="21" t="s">
        <v>1145</v>
      </c>
      <c r="D6609" s="21" t="s">
        <v>35</v>
      </c>
      <c r="E6609" s="17" t="s">
        <v>1086</v>
      </c>
      <c r="F6609" s="17" t="s">
        <v>105</v>
      </c>
      <c r="G6609" s="18" t="s">
        <v>48</v>
      </c>
      <c r="H6609" s="24">
        <v>8250</v>
      </c>
      <c r="I6609" s="24">
        <f>T_reg.root.SK[[#This Row],[Volume, kg]]/1000</f>
        <v>8.25</v>
      </c>
      <c r="J6609" s="25">
        <v>0.26550000000000001</v>
      </c>
      <c r="K6609" s="25">
        <f t="shared" si="104"/>
        <v>2190.375</v>
      </c>
      <c r="L6609" s="25">
        <v>2.4</v>
      </c>
      <c r="M6609" s="24">
        <v>19800</v>
      </c>
      <c r="N6609" s="25">
        <f>IFERROR(T_reg.root.SK[[#This Row],[Price]]/T_reg.root.SK[[#This Row],[Starch content]],"")</f>
        <v>9.0395480225988685</v>
      </c>
    </row>
    <row r="6610" spans="1:14">
      <c r="A6610" s="21">
        <v>2025</v>
      </c>
      <c r="B6610" s="21" t="s">
        <v>27</v>
      </c>
      <c r="C6610" s="21" t="s">
        <v>1145</v>
      </c>
      <c r="D6610" s="21" t="s">
        <v>35</v>
      </c>
      <c r="E6610" s="17" t="s">
        <v>276</v>
      </c>
      <c r="F6610" s="17" t="s">
        <v>95</v>
      </c>
      <c r="G6610" s="18" t="s">
        <v>48</v>
      </c>
      <c r="H6610" s="24">
        <v>59940</v>
      </c>
      <c r="I6610" s="24">
        <f>T_reg.root.SK[[#This Row],[Volume, kg]]/1000</f>
        <v>59.94</v>
      </c>
      <c r="J6610" s="25">
        <v>0.21079999999999999</v>
      </c>
      <c r="K6610" s="25">
        <f t="shared" si="104"/>
        <v>12635.351999999999</v>
      </c>
      <c r="L6610" s="25">
        <v>2.06</v>
      </c>
      <c r="M6610" s="24">
        <v>123359.5</v>
      </c>
      <c r="N6610" s="25">
        <f>IFERROR(T_reg.root.SK[[#This Row],[Price]]/T_reg.root.SK[[#This Row],[Starch content]],"")</f>
        <v>9.7722960151802667</v>
      </c>
    </row>
    <row r="6611" spans="1:14">
      <c r="A6611" s="21">
        <v>2025</v>
      </c>
      <c r="B6611" s="21" t="s">
        <v>27</v>
      </c>
      <c r="C6611" s="21" t="s">
        <v>1145</v>
      </c>
      <c r="D6611" s="21" t="s">
        <v>35</v>
      </c>
      <c r="E6611" s="17" t="s">
        <v>734</v>
      </c>
      <c r="F6611" s="17" t="s">
        <v>105</v>
      </c>
      <c r="G6611" s="18" t="s">
        <v>48</v>
      </c>
      <c r="H6611" s="24">
        <v>42940</v>
      </c>
      <c r="I6611" s="24">
        <f>T_reg.root.SK[[#This Row],[Volume, kg]]/1000</f>
        <v>42.94</v>
      </c>
      <c r="J6611" s="25">
        <v>0.25829999999999997</v>
      </c>
      <c r="K6611" s="25">
        <f t="shared" si="104"/>
        <v>11091.401999999998</v>
      </c>
      <c r="L6611" s="25">
        <v>2.33</v>
      </c>
      <c r="M6611" s="24">
        <v>100070.5</v>
      </c>
      <c r="N6611" s="25">
        <f>IFERROR(T_reg.root.SK[[#This Row],[Price]]/T_reg.root.SK[[#This Row],[Starch content]],"")</f>
        <v>9.0205187766163384</v>
      </c>
    </row>
    <row r="6612" spans="1:14">
      <c r="A6612" s="21">
        <v>2025</v>
      </c>
      <c r="B6612" s="21" t="s">
        <v>27</v>
      </c>
      <c r="C6612" s="21" t="s">
        <v>1145</v>
      </c>
      <c r="D6612" s="21" t="s">
        <v>35</v>
      </c>
      <c r="E6612" s="17" t="s">
        <v>295</v>
      </c>
      <c r="F6612" s="17" t="s">
        <v>105</v>
      </c>
      <c r="G6612" s="18" t="s">
        <v>48</v>
      </c>
      <c r="H6612" s="24">
        <v>20980</v>
      </c>
      <c r="I6612" s="24">
        <f>T_reg.root.SK[[#This Row],[Volume, kg]]/1000</f>
        <v>20.98</v>
      </c>
      <c r="J6612" s="25">
        <v>0.2661</v>
      </c>
      <c r="K6612" s="25">
        <f t="shared" si="104"/>
        <v>5582.7780000000002</v>
      </c>
      <c r="L6612" s="25">
        <v>2.31</v>
      </c>
      <c r="M6612" s="24">
        <v>48441.5</v>
      </c>
      <c r="N6612" s="25">
        <f>IFERROR(T_reg.root.SK[[#This Row],[Price]]/T_reg.root.SK[[#This Row],[Starch content]],"")</f>
        <v>8.6809470124013526</v>
      </c>
    </row>
    <row r="6613" spans="1:14">
      <c r="A6613" s="21">
        <v>2025</v>
      </c>
      <c r="B6613" s="21" t="s">
        <v>27</v>
      </c>
      <c r="C6613" s="21" t="s">
        <v>1145</v>
      </c>
      <c r="D6613" s="21" t="s">
        <v>35</v>
      </c>
      <c r="E6613" s="17" t="s">
        <v>1088</v>
      </c>
      <c r="F6613" s="17" t="s">
        <v>105</v>
      </c>
      <c r="G6613" s="18" t="s">
        <v>48</v>
      </c>
      <c r="H6613" s="24">
        <v>8830</v>
      </c>
      <c r="I6613" s="24">
        <f>T_reg.root.SK[[#This Row],[Volume, kg]]/1000</f>
        <v>8.83</v>
      </c>
      <c r="J6613" s="25">
        <v>0.2535</v>
      </c>
      <c r="K6613" s="25">
        <f t="shared" si="104"/>
        <v>2238.4050000000002</v>
      </c>
      <c r="L6613" s="25">
        <v>2.25</v>
      </c>
      <c r="M6613" s="24">
        <v>19867.5</v>
      </c>
      <c r="N6613" s="25">
        <f>IFERROR(T_reg.root.SK[[#This Row],[Price]]/T_reg.root.SK[[#This Row],[Starch content]],"")</f>
        <v>8.8757396449704142</v>
      </c>
    </row>
    <row r="6614" spans="1:14">
      <c r="A6614" s="21">
        <v>2025</v>
      </c>
      <c r="B6614" s="21" t="s">
        <v>27</v>
      </c>
      <c r="C6614" s="21" t="s">
        <v>1145</v>
      </c>
      <c r="D6614" s="21" t="s">
        <v>35</v>
      </c>
      <c r="E6614" s="17" t="s">
        <v>654</v>
      </c>
      <c r="F6614" s="17" t="s">
        <v>47</v>
      </c>
      <c r="G6614" s="18" t="s">
        <v>48</v>
      </c>
      <c r="H6614" s="24">
        <v>48930</v>
      </c>
      <c r="I6614" s="24">
        <f>T_reg.root.SK[[#This Row],[Volume, kg]]/1000</f>
        <v>48.93</v>
      </c>
      <c r="J6614" s="25">
        <v>0.21719999999999998</v>
      </c>
      <c r="K6614" s="25">
        <f t="shared" si="104"/>
        <v>10627.596</v>
      </c>
      <c r="L6614" s="25">
        <v>2.09</v>
      </c>
      <c r="M6614" s="24">
        <v>102278.5</v>
      </c>
      <c r="N6614" s="25">
        <f>IFERROR(T_reg.root.SK[[#This Row],[Price]]/T_reg.root.SK[[#This Row],[Starch content]],"")</f>
        <v>9.6224677716390428</v>
      </c>
    </row>
    <row r="6615" spans="1:14">
      <c r="A6615" s="21">
        <v>2025</v>
      </c>
      <c r="B6615" s="21" t="s">
        <v>27</v>
      </c>
      <c r="C6615" s="21" t="s">
        <v>1145</v>
      </c>
      <c r="D6615" s="21" t="s">
        <v>35</v>
      </c>
      <c r="E6615" s="17" t="s">
        <v>112</v>
      </c>
      <c r="F6615" s="17" t="s">
        <v>105</v>
      </c>
      <c r="G6615" s="18" t="s">
        <v>48</v>
      </c>
      <c r="H6615" s="24">
        <v>34740</v>
      </c>
      <c r="I6615" s="24">
        <f>T_reg.root.SK[[#This Row],[Volume, kg]]/1000</f>
        <v>34.74</v>
      </c>
      <c r="J6615" s="25">
        <v>0.24850000000000003</v>
      </c>
      <c r="K6615" s="25">
        <f t="shared" si="104"/>
        <v>8632.8900000000012</v>
      </c>
      <c r="L6615" s="25">
        <v>2.23</v>
      </c>
      <c r="M6615" s="24">
        <v>77633</v>
      </c>
      <c r="N6615" s="25">
        <f>IFERROR(T_reg.root.SK[[#This Row],[Price]]/T_reg.root.SK[[#This Row],[Starch content]],"")</f>
        <v>8.9738430583501003</v>
      </c>
    </row>
    <row r="6616" spans="1:14">
      <c r="A6616" s="21">
        <v>2025</v>
      </c>
      <c r="B6616" s="21" t="s">
        <v>27</v>
      </c>
      <c r="C6616" s="21" t="s">
        <v>1145</v>
      </c>
      <c r="D6616" s="21" t="s">
        <v>35</v>
      </c>
      <c r="E6616" s="17" t="s">
        <v>78</v>
      </c>
      <c r="F6616" s="17" t="s">
        <v>47</v>
      </c>
      <c r="G6616" s="18" t="s">
        <v>48</v>
      </c>
      <c r="H6616" s="24">
        <v>124480</v>
      </c>
      <c r="I6616" s="24">
        <f>T_reg.root.SK[[#This Row],[Volume, kg]]/1000</f>
        <v>124.48</v>
      </c>
      <c r="J6616" s="25">
        <v>0.22070000000000001</v>
      </c>
      <c r="K6616" s="25">
        <f t="shared" si="104"/>
        <v>27472.736000000001</v>
      </c>
      <c r="L6616" s="25">
        <v>2.1</v>
      </c>
      <c r="M6616" s="24">
        <v>261776.5</v>
      </c>
      <c r="N6616" s="25">
        <f>IFERROR(T_reg.root.SK[[#This Row],[Price]]/T_reg.root.SK[[#This Row],[Starch content]],"")</f>
        <v>9.515178975985501</v>
      </c>
    </row>
    <row r="6617" spans="1:14">
      <c r="A6617" s="21">
        <v>2025</v>
      </c>
      <c r="B6617" s="21" t="s">
        <v>27</v>
      </c>
      <c r="C6617" s="21" t="s">
        <v>1145</v>
      </c>
      <c r="D6617" s="21" t="s">
        <v>35</v>
      </c>
      <c r="E6617" s="17" t="s">
        <v>262</v>
      </c>
      <c r="F6617" s="17" t="s">
        <v>187</v>
      </c>
      <c r="G6617" s="18" t="s">
        <v>48</v>
      </c>
      <c r="H6617" s="24">
        <v>25920</v>
      </c>
      <c r="I6617" s="24">
        <f>T_reg.root.SK[[#This Row],[Volume, kg]]/1000</f>
        <v>25.92</v>
      </c>
      <c r="J6617" s="25">
        <v>0.19269999999999998</v>
      </c>
      <c r="K6617" s="25">
        <f t="shared" si="104"/>
        <v>4994.7839999999997</v>
      </c>
      <c r="L6617" s="25">
        <v>1.92</v>
      </c>
      <c r="M6617" s="24">
        <v>49729</v>
      </c>
      <c r="N6617" s="25">
        <f>IFERROR(T_reg.root.SK[[#This Row],[Price]]/T_reg.root.SK[[#This Row],[Starch content]],"")</f>
        <v>9.9636741048261559</v>
      </c>
    </row>
    <row r="6618" spans="1:14">
      <c r="A6618" s="21">
        <v>2025</v>
      </c>
      <c r="B6618" s="21" t="s">
        <v>27</v>
      </c>
      <c r="C6618" s="21" t="s">
        <v>1145</v>
      </c>
      <c r="D6618" s="21" t="s">
        <v>35</v>
      </c>
      <c r="E6618" s="17" t="s">
        <v>803</v>
      </c>
      <c r="F6618" s="17" t="s">
        <v>105</v>
      </c>
      <c r="G6618" s="18" t="s">
        <v>48</v>
      </c>
      <c r="H6618" s="24">
        <v>9030</v>
      </c>
      <c r="I6618" s="24">
        <f>T_reg.root.SK[[#This Row],[Volume, kg]]/1000</f>
        <v>9.0299999999999994</v>
      </c>
      <c r="J6618" s="25">
        <v>0.21789999999999998</v>
      </c>
      <c r="K6618" s="25">
        <f t="shared" si="104"/>
        <v>1967.6369999999999</v>
      </c>
      <c r="L6618" s="25">
        <v>2.04</v>
      </c>
      <c r="M6618" s="24">
        <v>18418.5</v>
      </c>
      <c r="N6618" s="25">
        <f>IFERROR(T_reg.root.SK[[#This Row],[Price]]/T_reg.root.SK[[#This Row],[Starch content]],"")</f>
        <v>9.362092703074806</v>
      </c>
    </row>
    <row r="6619" spans="1:14">
      <c r="A6619" s="21">
        <v>2025</v>
      </c>
      <c r="B6619" s="21" t="s">
        <v>27</v>
      </c>
      <c r="C6619" s="21" t="s">
        <v>1145</v>
      </c>
      <c r="D6619" s="21" t="s">
        <v>35</v>
      </c>
      <c r="E6619" s="17" t="s">
        <v>53</v>
      </c>
      <c r="F6619" s="17" t="s">
        <v>47</v>
      </c>
      <c r="G6619" s="18" t="s">
        <v>48</v>
      </c>
      <c r="H6619" s="24">
        <v>13280</v>
      </c>
      <c r="I6619" s="24">
        <f>T_reg.root.SK[[#This Row],[Volume, kg]]/1000</f>
        <v>13.28</v>
      </c>
      <c r="J6619" s="25">
        <v>0.22699999999999998</v>
      </c>
      <c r="K6619" s="25">
        <f t="shared" si="104"/>
        <v>3014.56</v>
      </c>
      <c r="L6619" s="25">
        <v>2.15</v>
      </c>
      <c r="M6619" s="24">
        <v>28546.5</v>
      </c>
      <c r="N6619" s="25">
        <f>IFERROR(T_reg.root.SK[[#This Row],[Price]]/T_reg.root.SK[[#This Row],[Starch content]],"")</f>
        <v>9.471365638766521</v>
      </c>
    </row>
    <row r="6620" spans="1:14">
      <c r="A6620" s="21">
        <v>2025</v>
      </c>
      <c r="B6620" s="21" t="s">
        <v>27</v>
      </c>
      <c r="C6620" s="21" t="s">
        <v>1145</v>
      </c>
      <c r="D6620" s="21" t="s">
        <v>39</v>
      </c>
      <c r="E6620" s="17" t="s">
        <v>284</v>
      </c>
      <c r="F6620" s="17" t="s">
        <v>285</v>
      </c>
      <c r="G6620" s="18" t="s">
        <v>286</v>
      </c>
      <c r="H6620" s="24">
        <v>270340</v>
      </c>
      <c r="I6620" s="24">
        <f>T_reg.root.SK[[#This Row],[Volume, kg]]/1000</f>
        <v>270.33999999999997</v>
      </c>
      <c r="J6620" s="25">
        <v>0.2586</v>
      </c>
      <c r="K6620" s="25">
        <f t="shared" si="104"/>
        <v>69909.923999999999</v>
      </c>
      <c r="L6620" s="25">
        <v>2.58</v>
      </c>
      <c r="M6620" s="24">
        <v>696968</v>
      </c>
      <c r="N6620" s="25">
        <f>IFERROR(T_reg.root.SK[[#This Row],[Price]]/T_reg.root.SK[[#This Row],[Starch content]],"")</f>
        <v>9.976798143851509</v>
      </c>
    </row>
    <row r="6621" spans="1:14">
      <c r="A6621" s="21">
        <v>2025</v>
      </c>
      <c r="B6621" s="21" t="s">
        <v>27</v>
      </c>
      <c r="C6621" s="21" t="s">
        <v>1145</v>
      </c>
      <c r="D6621" s="21" t="s">
        <v>35</v>
      </c>
      <c r="E6621" s="17" t="s">
        <v>234</v>
      </c>
      <c r="F6621" s="17" t="s">
        <v>105</v>
      </c>
      <c r="G6621" s="18" t="s">
        <v>48</v>
      </c>
      <c r="H6621" s="24">
        <v>67260</v>
      </c>
      <c r="I6621" s="24">
        <f>T_reg.root.SK[[#This Row],[Volume, kg]]/1000</f>
        <v>67.260000000000005</v>
      </c>
      <c r="J6621" s="25">
        <v>0.2394</v>
      </c>
      <c r="K6621" s="25">
        <f t="shared" si="104"/>
        <v>16102.044</v>
      </c>
      <c r="L6621" s="25">
        <v>2.21</v>
      </c>
      <c r="M6621" s="24">
        <v>148312.5</v>
      </c>
      <c r="N6621" s="25">
        <f>IFERROR(T_reg.root.SK[[#This Row],[Price]]/T_reg.root.SK[[#This Row],[Starch content]],"")</f>
        <v>9.2314118629908108</v>
      </c>
    </row>
    <row r="6622" spans="1:14">
      <c r="A6622" s="21">
        <v>2025</v>
      </c>
      <c r="B6622" s="21" t="s">
        <v>27</v>
      </c>
      <c r="C6622" s="21" t="s">
        <v>1145</v>
      </c>
      <c r="D6622" s="21" t="s">
        <v>35</v>
      </c>
      <c r="E6622" s="17" t="s">
        <v>460</v>
      </c>
      <c r="F6622" s="17" t="s">
        <v>47</v>
      </c>
      <c r="G6622" s="18" t="s">
        <v>48</v>
      </c>
      <c r="H6622" s="24">
        <v>63490</v>
      </c>
      <c r="I6622" s="24">
        <f>T_reg.root.SK[[#This Row],[Volume, kg]]/1000</f>
        <v>63.49</v>
      </c>
      <c r="J6622" s="25">
        <v>0.23319999999999999</v>
      </c>
      <c r="K6622" s="25">
        <f t="shared" si="104"/>
        <v>14805.867999999999</v>
      </c>
      <c r="L6622" s="25">
        <v>2.21</v>
      </c>
      <c r="M6622" s="24">
        <v>140584</v>
      </c>
      <c r="N6622" s="25">
        <f>IFERROR(T_reg.root.SK[[#This Row],[Price]]/T_reg.root.SK[[#This Row],[Starch content]],"")</f>
        <v>9.4768439108061759</v>
      </c>
    </row>
    <row r="6623" spans="1:14">
      <c r="A6623" s="21">
        <v>2025</v>
      </c>
      <c r="B6623" s="21" t="s">
        <v>27</v>
      </c>
      <c r="C6623" s="21" t="s">
        <v>1145</v>
      </c>
      <c r="D6623" s="21" t="s">
        <v>35</v>
      </c>
      <c r="E6623" s="17" t="s">
        <v>461</v>
      </c>
      <c r="F6623" s="17" t="s">
        <v>47</v>
      </c>
      <c r="G6623" s="18" t="s">
        <v>48</v>
      </c>
      <c r="H6623" s="24">
        <v>38970</v>
      </c>
      <c r="I6623" s="24">
        <f>T_reg.root.SK[[#This Row],[Volume, kg]]/1000</f>
        <v>38.97</v>
      </c>
      <c r="J6623" s="25">
        <v>0.27589999999999998</v>
      </c>
      <c r="K6623" s="25">
        <f t="shared" si="104"/>
        <v>10751.822999999999</v>
      </c>
      <c r="L6623" s="25">
        <v>2.4300000000000002</v>
      </c>
      <c r="M6623" s="24">
        <v>94608</v>
      </c>
      <c r="N6623" s="25">
        <f>IFERROR(T_reg.root.SK[[#This Row],[Price]]/T_reg.root.SK[[#This Row],[Starch content]],"")</f>
        <v>8.8075389633925347</v>
      </c>
    </row>
    <row r="6624" spans="1:14">
      <c r="A6624" s="21">
        <v>2025</v>
      </c>
      <c r="B6624" s="21" t="s">
        <v>27</v>
      </c>
      <c r="C6624" s="21" t="s">
        <v>1145</v>
      </c>
      <c r="D6624" s="21" t="s">
        <v>39</v>
      </c>
      <c r="E6624" s="17" t="s">
        <v>997</v>
      </c>
      <c r="F6624" s="17" t="s">
        <v>998</v>
      </c>
      <c r="G6624" s="18" t="s">
        <v>87</v>
      </c>
      <c r="H6624" s="24">
        <v>648470</v>
      </c>
      <c r="I6624" s="24">
        <f>T_reg.root.SK[[#This Row],[Volume, kg]]/1000</f>
        <v>648.47</v>
      </c>
      <c r="J6624" s="25">
        <v>0.25040000000000001</v>
      </c>
      <c r="K6624" s="25">
        <f t="shared" si="104"/>
        <v>162376.88800000001</v>
      </c>
      <c r="L6624" s="25">
        <v>2.4900000000000002</v>
      </c>
      <c r="M6624" s="24">
        <v>1615322</v>
      </c>
      <c r="N6624" s="25">
        <f>IFERROR(T_reg.root.SK[[#This Row],[Price]]/T_reg.root.SK[[#This Row],[Starch content]],"")</f>
        <v>9.9440894568690101</v>
      </c>
    </row>
    <row r="6625" spans="1:14">
      <c r="A6625" s="21">
        <v>2025</v>
      </c>
      <c r="B6625" s="21" t="s">
        <v>27</v>
      </c>
      <c r="C6625" s="21" t="s">
        <v>1145</v>
      </c>
      <c r="D6625" s="21" t="s">
        <v>35</v>
      </c>
      <c r="E6625" s="17" t="s">
        <v>600</v>
      </c>
      <c r="F6625" s="17" t="s">
        <v>105</v>
      </c>
      <c r="G6625" s="18" t="s">
        <v>48</v>
      </c>
      <c r="H6625" s="24">
        <v>30780</v>
      </c>
      <c r="I6625" s="24">
        <f>T_reg.root.SK[[#This Row],[Volume, kg]]/1000</f>
        <v>30.78</v>
      </c>
      <c r="J6625" s="25">
        <v>0.24760000000000001</v>
      </c>
      <c r="K6625" s="25">
        <f t="shared" si="104"/>
        <v>7621.1280000000006</v>
      </c>
      <c r="L6625" s="25">
        <v>2.25</v>
      </c>
      <c r="M6625" s="24">
        <v>69166</v>
      </c>
      <c r="N6625" s="25">
        <f>IFERROR(T_reg.root.SK[[#This Row],[Price]]/T_reg.root.SK[[#This Row],[Starch content]],"")</f>
        <v>9.0872374798061379</v>
      </c>
    </row>
    <row r="6626" spans="1:14">
      <c r="A6626" s="21">
        <v>2025</v>
      </c>
      <c r="B6626" s="21" t="s">
        <v>27</v>
      </c>
      <c r="C6626" s="21" t="s">
        <v>1145</v>
      </c>
      <c r="D6626" s="21" t="s">
        <v>35</v>
      </c>
      <c r="E6626" s="17" t="s">
        <v>988</v>
      </c>
      <c r="F6626" s="17" t="s">
        <v>105</v>
      </c>
      <c r="G6626" s="18" t="s">
        <v>48</v>
      </c>
      <c r="H6626" s="24">
        <v>12810</v>
      </c>
      <c r="I6626" s="24">
        <f>T_reg.root.SK[[#This Row],[Volume, kg]]/1000</f>
        <v>12.81</v>
      </c>
      <c r="J6626" s="25">
        <v>0.20879999999999999</v>
      </c>
      <c r="K6626" s="25">
        <f t="shared" si="104"/>
        <v>2674.7279999999996</v>
      </c>
      <c r="L6626" s="25">
        <v>2</v>
      </c>
      <c r="M6626" s="24">
        <v>25620.5</v>
      </c>
      <c r="N6626" s="25">
        <f>IFERROR(T_reg.root.SK[[#This Row],[Price]]/T_reg.root.SK[[#This Row],[Starch content]],"")</f>
        <v>9.5785440613026829</v>
      </c>
    </row>
    <row r="6627" spans="1:14">
      <c r="A6627" s="21">
        <v>2025</v>
      </c>
      <c r="B6627" s="21" t="s">
        <v>27</v>
      </c>
      <c r="C6627" s="21" t="s">
        <v>1145</v>
      </c>
      <c r="D6627" s="21" t="s">
        <v>35</v>
      </c>
      <c r="E6627" s="17" t="s">
        <v>235</v>
      </c>
      <c r="F6627" s="17" t="s">
        <v>105</v>
      </c>
      <c r="G6627" s="18" t="s">
        <v>48</v>
      </c>
      <c r="H6627" s="24">
        <v>15450</v>
      </c>
      <c r="I6627" s="24">
        <f>T_reg.root.SK[[#This Row],[Volume, kg]]/1000</f>
        <v>15.45</v>
      </c>
      <c r="J6627" s="25">
        <v>0.24149999999999999</v>
      </c>
      <c r="K6627" s="25">
        <f t="shared" si="104"/>
        <v>3731.1749999999997</v>
      </c>
      <c r="L6627" s="25">
        <v>2.14</v>
      </c>
      <c r="M6627" s="24">
        <v>33079</v>
      </c>
      <c r="N6627" s="25">
        <f>IFERROR(T_reg.root.SK[[#This Row],[Price]]/T_reg.root.SK[[#This Row],[Starch content]],"")</f>
        <v>8.8612836438923406</v>
      </c>
    </row>
    <row r="6628" spans="1:14">
      <c r="A6628" s="21">
        <v>2025</v>
      </c>
      <c r="B6628" s="21" t="s">
        <v>27</v>
      </c>
      <c r="C6628" s="21" t="s">
        <v>1145</v>
      </c>
      <c r="D6628" s="21" t="s">
        <v>35</v>
      </c>
      <c r="E6628" s="17" t="s">
        <v>685</v>
      </c>
      <c r="F6628" s="17" t="s">
        <v>105</v>
      </c>
      <c r="G6628" s="18" t="s">
        <v>48</v>
      </c>
      <c r="H6628" s="24">
        <v>50250</v>
      </c>
      <c r="I6628" s="24">
        <f>T_reg.root.SK[[#This Row],[Volume, kg]]/1000</f>
        <v>50.25</v>
      </c>
      <c r="J6628" s="25">
        <v>0.23680000000000001</v>
      </c>
      <c r="K6628" s="25">
        <f t="shared" si="104"/>
        <v>11899.2</v>
      </c>
      <c r="L6628" s="25">
        <v>2.2400000000000002</v>
      </c>
      <c r="M6628" s="24">
        <v>112794</v>
      </c>
      <c r="N6628" s="25">
        <f>IFERROR(T_reg.root.SK[[#This Row],[Price]]/T_reg.root.SK[[#This Row],[Starch content]],"")</f>
        <v>9.4594594594594597</v>
      </c>
    </row>
    <row r="6629" spans="1:14">
      <c r="A6629" s="21">
        <v>2025</v>
      </c>
      <c r="B6629" s="21" t="s">
        <v>27</v>
      </c>
      <c r="C6629" s="21" t="s">
        <v>1145</v>
      </c>
      <c r="D6629" s="21" t="s">
        <v>39</v>
      </c>
      <c r="E6629" s="17" t="s">
        <v>797</v>
      </c>
      <c r="F6629" s="17" t="s">
        <v>798</v>
      </c>
      <c r="G6629" s="18" t="s">
        <v>799</v>
      </c>
      <c r="H6629" s="24">
        <v>904990</v>
      </c>
      <c r="I6629" s="24">
        <f>T_reg.root.SK[[#This Row],[Volume, kg]]/1000</f>
        <v>904.99</v>
      </c>
      <c r="J6629" s="25">
        <v>0.21969999999999998</v>
      </c>
      <c r="K6629" s="25">
        <f t="shared" si="104"/>
        <v>198826.30299999999</v>
      </c>
      <c r="L6629" s="25">
        <v>2.38</v>
      </c>
      <c r="M6629" s="24">
        <v>2154584</v>
      </c>
      <c r="N6629" s="25">
        <f>IFERROR(T_reg.root.SK[[#This Row],[Price]]/T_reg.root.SK[[#This Row],[Starch content]],"")</f>
        <v>10.832954028220302</v>
      </c>
    </row>
    <row r="6630" spans="1:14">
      <c r="A6630" s="21">
        <v>2025</v>
      </c>
      <c r="B6630" s="21" t="s">
        <v>27</v>
      </c>
      <c r="C6630" s="21" t="s">
        <v>1145</v>
      </c>
      <c r="D6630" s="21" t="s">
        <v>35</v>
      </c>
      <c r="E6630" s="17" t="s">
        <v>1032</v>
      </c>
      <c r="F6630" s="17" t="s">
        <v>105</v>
      </c>
      <c r="G6630" s="18" t="s">
        <v>48</v>
      </c>
      <c r="H6630" s="24">
        <v>43740</v>
      </c>
      <c r="I6630" s="24">
        <f>T_reg.root.SK[[#This Row],[Volume, kg]]/1000</f>
        <v>43.74</v>
      </c>
      <c r="J6630" s="25">
        <v>0.23769999999999999</v>
      </c>
      <c r="K6630" s="25">
        <f t="shared" si="104"/>
        <v>10396.998</v>
      </c>
      <c r="L6630" s="25">
        <v>2.19</v>
      </c>
      <c r="M6630" s="24">
        <v>95744</v>
      </c>
      <c r="N6630" s="25">
        <f>IFERROR(T_reg.root.SK[[#This Row],[Price]]/T_reg.root.SK[[#This Row],[Starch content]],"")</f>
        <v>9.2132940681531341</v>
      </c>
    </row>
    <row r="6631" spans="1:14">
      <c r="A6631" s="21">
        <v>2025</v>
      </c>
      <c r="B6631" s="21" t="s">
        <v>27</v>
      </c>
      <c r="C6631" s="21" t="s">
        <v>1145</v>
      </c>
      <c r="D6631" s="21" t="s">
        <v>35</v>
      </c>
      <c r="E6631" s="17" t="s">
        <v>1048</v>
      </c>
      <c r="F6631" s="17" t="s">
        <v>105</v>
      </c>
      <c r="G6631" s="18" t="s">
        <v>48</v>
      </c>
      <c r="H6631" s="24">
        <v>47180</v>
      </c>
      <c r="I6631" s="24">
        <f>T_reg.root.SK[[#This Row],[Volume, kg]]/1000</f>
        <v>47.18</v>
      </c>
      <c r="J6631" s="25">
        <v>0.25700000000000001</v>
      </c>
      <c r="K6631" s="25">
        <f t="shared" si="104"/>
        <v>12125.26</v>
      </c>
      <c r="L6631" s="25">
        <v>2.31</v>
      </c>
      <c r="M6631" s="24">
        <v>108917.5</v>
      </c>
      <c r="N6631" s="25">
        <f>IFERROR(T_reg.root.SK[[#This Row],[Price]]/T_reg.root.SK[[#This Row],[Starch content]],"")</f>
        <v>8.9883268482490273</v>
      </c>
    </row>
    <row r="6632" spans="1:14">
      <c r="A6632" s="21">
        <v>2025</v>
      </c>
      <c r="B6632" s="21" t="s">
        <v>27</v>
      </c>
      <c r="C6632" s="21" t="s">
        <v>1145</v>
      </c>
      <c r="D6632" s="21" t="s">
        <v>39</v>
      </c>
      <c r="E6632" s="17" t="s">
        <v>1083</v>
      </c>
      <c r="F6632" s="17" t="s">
        <v>1084</v>
      </c>
      <c r="G6632" s="18" t="s">
        <v>822</v>
      </c>
      <c r="H6632" s="24">
        <v>0</v>
      </c>
      <c r="I6632" s="24">
        <f>T_reg.root.SK[[#This Row],[Volume, kg]]/1000</f>
        <v>0</v>
      </c>
      <c r="J6632" s="25">
        <v>0</v>
      </c>
      <c r="K6632" s="25">
        <f t="shared" si="104"/>
        <v>0</v>
      </c>
      <c r="L6632" s="25">
        <v>0</v>
      </c>
      <c r="M6632" s="24">
        <v>0</v>
      </c>
      <c r="N6632" s="25" t="str">
        <f>IFERROR(T_reg.root.SK[[#This Row],[Price]]/T_reg.root.SK[[#This Row],[Starch content]],"")</f>
        <v/>
      </c>
    </row>
    <row r="6633" spans="1:14">
      <c r="A6633" s="21">
        <v>2025</v>
      </c>
      <c r="B6633" s="21" t="s">
        <v>27</v>
      </c>
      <c r="C6633" s="21" t="s">
        <v>1145</v>
      </c>
      <c r="D6633" s="21" t="s">
        <v>39</v>
      </c>
      <c r="E6633" s="17" t="s">
        <v>1060</v>
      </c>
      <c r="F6633" s="17" t="s">
        <v>1018</v>
      </c>
      <c r="G6633" s="18" t="s">
        <v>103</v>
      </c>
      <c r="H6633" s="24">
        <v>331190</v>
      </c>
      <c r="I6633" s="24">
        <f>T_reg.root.SK[[#This Row],[Volume, kg]]/1000</f>
        <v>331.19</v>
      </c>
      <c r="J6633" s="25">
        <v>0.22500000000000001</v>
      </c>
      <c r="K6633" s="25">
        <f t="shared" si="104"/>
        <v>74517.75</v>
      </c>
      <c r="L6633" s="25">
        <v>2.33</v>
      </c>
      <c r="M6633" s="24">
        <v>770104.5</v>
      </c>
      <c r="N6633" s="25">
        <f>IFERROR(T_reg.root.SK[[#This Row],[Price]]/T_reg.root.SK[[#This Row],[Starch content]],"")</f>
        <v>10.355555555555556</v>
      </c>
    </row>
    <row r="6634" spans="1:14">
      <c r="A6634" s="21">
        <v>2025</v>
      </c>
      <c r="B6634" s="21" t="s">
        <v>27</v>
      </c>
      <c r="C6634" s="21" t="s">
        <v>1145</v>
      </c>
      <c r="D6634" s="21" t="s">
        <v>35</v>
      </c>
      <c r="E6634" s="17" t="s">
        <v>115</v>
      </c>
      <c r="F6634" s="17" t="s">
        <v>105</v>
      </c>
      <c r="G6634" s="18" t="s">
        <v>48</v>
      </c>
      <c r="H6634" s="24">
        <v>48730</v>
      </c>
      <c r="I6634" s="24">
        <f>T_reg.root.SK[[#This Row],[Volume, kg]]/1000</f>
        <v>48.73</v>
      </c>
      <c r="J6634" s="25">
        <v>0.2621</v>
      </c>
      <c r="K6634" s="25">
        <f t="shared" si="104"/>
        <v>12772.133</v>
      </c>
      <c r="L6634" s="25">
        <v>2.3199999999999998</v>
      </c>
      <c r="M6634" s="24">
        <v>113054</v>
      </c>
      <c r="N6634" s="25">
        <f>IFERROR(T_reg.root.SK[[#This Row],[Price]]/T_reg.root.SK[[#This Row],[Starch content]],"")</f>
        <v>8.851583365127814</v>
      </c>
    </row>
    <row r="6635" spans="1:14">
      <c r="A6635" s="21">
        <v>2025</v>
      </c>
      <c r="B6635" s="21" t="s">
        <v>27</v>
      </c>
      <c r="C6635" s="21" t="s">
        <v>1145</v>
      </c>
      <c r="D6635" s="21" t="s">
        <v>35</v>
      </c>
      <c r="E6635" s="17" t="s">
        <v>296</v>
      </c>
      <c r="F6635" s="17" t="s">
        <v>105</v>
      </c>
      <c r="G6635" s="18" t="s">
        <v>48</v>
      </c>
      <c r="H6635" s="24">
        <v>117990</v>
      </c>
      <c r="I6635" s="24">
        <f>T_reg.root.SK[[#This Row],[Volume, kg]]/1000</f>
        <v>117.99</v>
      </c>
      <c r="J6635" s="25">
        <v>0.26519999999999999</v>
      </c>
      <c r="K6635" s="25">
        <f t="shared" si="104"/>
        <v>31290.948</v>
      </c>
      <c r="L6635" s="25">
        <v>2.31</v>
      </c>
      <c r="M6635" s="24">
        <v>272255.5</v>
      </c>
      <c r="N6635" s="25">
        <f>IFERROR(T_reg.root.SK[[#This Row],[Price]]/T_reg.root.SK[[#This Row],[Starch content]],"")</f>
        <v>8.7104072398190056</v>
      </c>
    </row>
    <row r="6636" spans="1:14">
      <c r="A6636" s="21">
        <v>2025</v>
      </c>
      <c r="B6636" s="21" t="s">
        <v>27</v>
      </c>
      <c r="C6636" s="21" t="s">
        <v>1145</v>
      </c>
      <c r="D6636" s="21" t="s">
        <v>39</v>
      </c>
      <c r="E6636" s="17" t="s">
        <v>782</v>
      </c>
      <c r="F6636" s="17" t="s">
        <v>783</v>
      </c>
      <c r="G6636" s="18" t="s">
        <v>87</v>
      </c>
      <c r="H6636" s="24">
        <v>47320</v>
      </c>
      <c r="I6636" s="24">
        <f>T_reg.root.SK[[#This Row],[Volume, kg]]/1000</f>
        <v>47.32</v>
      </c>
      <c r="J6636" s="25">
        <v>0.20670000000000002</v>
      </c>
      <c r="K6636" s="25">
        <f t="shared" si="104"/>
        <v>9781.0440000000017</v>
      </c>
      <c r="L6636" s="25">
        <v>2.25</v>
      </c>
      <c r="M6636" s="24">
        <v>106470</v>
      </c>
      <c r="N6636" s="25">
        <f>IFERROR(T_reg.root.SK[[#This Row],[Price]]/T_reg.root.SK[[#This Row],[Starch content]],"")</f>
        <v>10.885341074020317</v>
      </c>
    </row>
    <row r="6637" spans="1:14">
      <c r="A6637" s="21">
        <v>2025</v>
      </c>
      <c r="B6637" s="21" t="s">
        <v>27</v>
      </c>
      <c r="C6637" s="21" t="s">
        <v>1145</v>
      </c>
      <c r="D6637" s="21" t="s">
        <v>35</v>
      </c>
      <c r="E6637" s="17" t="s">
        <v>1087</v>
      </c>
      <c r="F6637" s="17" t="s">
        <v>105</v>
      </c>
      <c r="G6637" s="18" t="s">
        <v>48</v>
      </c>
      <c r="H6637" s="24">
        <v>151810</v>
      </c>
      <c r="I6637" s="24">
        <f>T_reg.root.SK[[#This Row],[Volume, kg]]/1000</f>
        <v>151.81</v>
      </c>
      <c r="J6637" s="25">
        <v>0.23910000000000001</v>
      </c>
      <c r="K6637" s="25">
        <f t="shared" si="104"/>
        <v>36297.771000000001</v>
      </c>
      <c r="L6637" s="25">
        <v>2.2000000000000002</v>
      </c>
      <c r="M6637" s="24">
        <v>334343</v>
      </c>
      <c r="N6637" s="25">
        <f>IFERROR(T_reg.root.SK[[#This Row],[Price]]/T_reg.root.SK[[#This Row],[Starch content]],"")</f>
        <v>9.2011710581346726</v>
      </c>
    </row>
    <row r="6638" spans="1:14">
      <c r="A6638" s="21">
        <v>2025</v>
      </c>
      <c r="B6638" s="21" t="s">
        <v>27</v>
      </c>
      <c r="C6638" s="21" t="s">
        <v>1145</v>
      </c>
      <c r="D6638" s="21" t="s">
        <v>35</v>
      </c>
      <c r="E6638" s="17" t="s">
        <v>118</v>
      </c>
      <c r="F6638" s="17" t="s">
        <v>105</v>
      </c>
      <c r="G6638" s="18" t="s">
        <v>48</v>
      </c>
      <c r="H6638" s="24">
        <v>646920</v>
      </c>
      <c r="I6638" s="24">
        <f>T_reg.root.SK[[#This Row],[Volume, kg]]/1000</f>
        <v>646.91999999999996</v>
      </c>
      <c r="J6638" s="25">
        <v>0.24160000000000001</v>
      </c>
      <c r="K6638" s="25">
        <f t="shared" si="104"/>
        <v>156295.872</v>
      </c>
      <c r="L6638" s="25">
        <v>2.21</v>
      </c>
      <c r="M6638" s="24">
        <v>1430441</v>
      </c>
      <c r="N6638" s="25">
        <f>IFERROR(T_reg.root.SK[[#This Row],[Price]]/T_reg.root.SK[[#This Row],[Starch content]],"")</f>
        <v>9.1473509933774828</v>
      </c>
    </row>
    <row r="6639" spans="1:14">
      <c r="A6639" s="21">
        <v>2025</v>
      </c>
      <c r="B6639" s="21" t="s">
        <v>27</v>
      </c>
      <c r="C6639" s="21" t="s">
        <v>1145</v>
      </c>
      <c r="D6639" s="21" t="s">
        <v>35</v>
      </c>
      <c r="E6639" s="17" t="s">
        <v>119</v>
      </c>
      <c r="F6639" s="17" t="s">
        <v>105</v>
      </c>
      <c r="G6639" s="18" t="s">
        <v>48</v>
      </c>
      <c r="H6639" s="24">
        <v>16180</v>
      </c>
      <c r="I6639" s="24">
        <f>T_reg.root.SK[[#This Row],[Volume, kg]]/1000</f>
        <v>16.18</v>
      </c>
      <c r="J6639" s="25">
        <v>0.19920000000000002</v>
      </c>
      <c r="K6639" s="25">
        <f t="shared" si="104"/>
        <v>3223.056</v>
      </c>
      <c r="L6639" s="25">
        <v>2</v>
      </c>
      <c r="M6639" s="24">
        <v>32283</v>
      </c>
      <c r="N6639" s="25">
        <f>IFERROR(T_reg.root.SK[[#This Row],[Price]]/T_reg.root.SK[[#This Row],[Starch content]],"")</f>
        <v>10.04016064257028</v>
      </c>
    </row>
    <row r="6640" spans="1:14">
      <c r="A6640" s="21">
        <v>2025</v>
      </c>
      <c r="B6640" s="21" t="s">
        <v>27</v>
      </c>
      <c r="C6640" s="21" t="s">
        <v>1145</v>
      </c>
      <c r="D6640" s="21" t="s">
        <v>39</v>
      </c>
      <c r="E6640" s="17" t="s">
        <v>101</v>
      </c>
      <c r="F6640" s="17" t="s">
        <v>102</v>
      </c>
      <c r="G6640" s="18" t="s">
        <v>103</v>
      </c>
      <c r="H6640" s="24">
        <v>1615830</v>
      </c>
      <c r="I6640" s="24">
        <f>T_reg.root.SK[[#This Row],[Volume, kg]]/1000</f>
        <v>1615.83</v>
      </c>
      <c r="J6640" s="25">
        <v>0.23550000000000001</v>
      </c>
      <c r="K6640" s="25">
        <f t="shared" si="104"/>
        <v>380527.96500000003</v>
      </c>
      <c r="L6640" s="25">
        <v>2.44</v>
      </c>
      <c r="M6640" s="24">
        <v>3938609</v>
      </c>
      <c r="N6640" s="25">
        <f>IFERROR(T_reg.root.SK[[#This Row],[Price]]/T_reg.root.SK[[#This Row],[Starch content]],"")</f>
        <v>10.360934182590233</v>
      </c>
    </row>
    <row r="6641" spans="1:14">
      <c r="A6641" s="21">
        <v>2025</v>
      </c>
      <c r="B6641" s="21" t="s">
        <v>27</v>
      </c>
      <c r="C6641" s="21" t="s">
        <v>1145</v>
      </c>
      <c r="D6641" s="21" t="s">
        <v>35</v>
      </c>
      <c r="E6641" s="17" t="s">
        <v>120</v>
      </c>
      <c r="F6641" s="17" t="s">
        <v>105</v>
      </c>
      <c r="G6641" s="18" t="s">
        <v>48</v>
      </c>
      <c r="H6641" s="24">
        <v>37440</v>
      </c>
      <c r="I6641" s="24">
        <f>T_reg.root.SK[[#This Row],[Volume, kg]]/1000</f>
        <v>37.44</v>
      </c>
      <c r="J6641" s="25">
        <v>0.26979999999999998</v>
      </c>
      <c r="K6641" s="25">
        <f t="shared" si="104"/>
        <v>10101.312</v>
      </c>
      <c r="L6641" s="25">
        <v>2.35</v>
      </c>
      <c r="M6641" s="24">
        <v>87827</v>
      </c>
      <c r="N6641" s="25">
        <f>IFERROR(T_reg.root.SK[[#This Row],[Price]]/T_reg.root.SK[[#This Row],[Starch content]],"")</f>
        <v>8.7101556708673105</v>
      </c>
    </row>
    <row r="6642" spans="1:14">
      <c r="A6642" s="21">
        <v>2025</v>
      </c>
      <c r="B6642" s="21" t="s">
        <v>27</v>
      </c>
      <c r="C6642" s="21" t="s">
        <v>1145</v>
      </c>
      <c r="D6642" s="21" t="s">
        <v>39</v>
      </c>
      <c r="E6642" s="17" t="s">
        <v>98</v>
      </c>
      <c r="F6642" s="17" t="s">
        <v>99</v>
      </c>
      <c r="G6642" s="18" t="s">
        <v>42</v>
      </c>
      <c r="H6642" s="24">
        <v>3674570</v>
      </c>
      <c r="I6642" s="24">
        <f>T_reg.root.SK[[#This Row],[Volume, kg]]/1000</f>
        <v>3674.57</v>
      </c>
      <c r="J6642" s="25">
        <v>0.23190000000000002</v>
      </c>
      <c r="K6642" s="25">
        <f t="shared" si="104"/>
        <v>852132.78300000005</v>
      </c>
      <c r="L6642" s="25">
        <v>2.4300000000000002</v>
      </c>
      <c r="M6642" s="24">
        <v>8933767</v>
      </c>
      <c r="N6642" s="25">
        <f>IFERROR(T_reg.root.SK[[#This Row],[Price]]/T_reg.root.SK[[#This Row],[Starch content]],"")</f>
        <v>10.478654592496765</v>
      </c>
    </row>
    <row r="6643" spans="1:14">
      <c r="A6643" s="21">
        <v>2025</v>
      </c>
      <c r="B6643" s="21" t="s">
        <v>27</v>
      </c>
      <c r="C6643" s="21" t="s">
        <v>1145</v>
      </c>
      <c r="D6643" s="21" t="s">
        <v>35</v>
      </c>
      <c r="E6643" s="17" t="s">
        <v>735</v>
      </c>
      <c r="F6643" s="17" t="s">
        <v>105</v>
      </c>
      <c r="G6643" s="18" t="s">
        <v>48</v>
      </c>
      <c r="H6643" s="24">
        <v>8720</v>
      </c>
      <c r="I6643" s="24">
        <f>T_reg.root.SK[[#This Row],[Volume, kg]]/1000</f>
        <v>8.7200000000000006</v>
      </c>
      <c r="J6643" s="25">
        <v>0.27500000000000002</v>
      </c>
      <c r="K6643" s="25">
        <f t="shared" si="104"/>
        <v>2398</v>
      </c>
      <c r="L6643" s="25">
        <v>2.35</v>
      </c>
      <c r="M6643" s="24">
        <v>20492</v>
      </c>
      <c r="N6643" s="25">
        <f>IFERROR(T_reg.root.SK[[#This Row],[Price]]/T_reg.root.SK[[#This Row],[Starch content]],"")</f>
        <v>8.545454545454545</v>
      </c>
    </row>
    <row r="6644" spans="1:14">
      <c r="A6644" s="21">
        <v>2025</v>
      </c>
      <c r="B6644" s="21" t="s">
        <v>27</v>
      </c>
      <c r="C6644" s="21" t="s">
        <v>1145</v>
      </c>
      <c r="D6644" s="21" t="s">
        <v>35</v>
      </c>
      <c r="E6644" s="17" t="s">
        <v>826</v>
      </c>
      <c r="F6644" s="17" t="s">
        <v>105</v>
      </c>
      <c r="G6644" s="18" t="s">
        <v>48</v>
      </c>
      <c r="H6644" s="24">
        <v>38410</v>
      </c>
      <c r="I6644" s="24">
        <f>T_reg.root.SK[[#This Row],[Volume, kg]]/1000</f>
        <v>38.409999999999997</v>
      </c>
      <c r="J6644" s="25">
        <v>0.20739999999999997</v>
      </c>
      <c r="K6644" s="25">
        <f t="shared" si="104"/>
        <v>7966.2339999999986</v>
      </c>
      <c r="L6644" s="25">
        <v>2.0499999999999998</v>
      </c>
      <c r="M6644" s="24">
        <v>78731</v>
      </c>
      <c r="N6644" s="25">
        <f>IFERROR(T_reg.root.SK[[#This Row],[Price]]/T_reg.root.SK[[#This Row],[Starch content]],"")</f>
        <v>9.8842815814850535</v>
      </c>
    </row>
    <row r="6645" spans="1:14">
      <c r="A6645" s="21">
        <v>2025</v>
      </c>
      <c r="B6645" s="21" t="s">
        <v>27</v>
      </c>
      <c r="C6645" s="21" t="s">
        <v>1145</v>
      </c>
      <c r="D6645" s="21" t="s">
        <v>35</v>
      </c>
      <c r="E6645" s="17" t="s">
        <v>946</v>
      </c>
      <c r="F6645" s="17" t="s">
        <v>105</v>
      </c>
      <c r="G6645" s="18" t="s">
        <v>48</v>
      </c>
      <c r="H6645" s="24">
        <v>35740</v>
      </c>
      <c r="I6645" s="24">
        <f>T_reg.root.SK[[#This Row],[Volume, kg]]/1000</f>
        <v>35.74</v>
      </c>
      <c r="J6645" s="25">
        <v>0.27250000000000002</v>
      </c>
      <c r="K6645" s="25">
        <f t="shared" si="104"/>
        <v>9739.1500000000015</v>
      </c>
      <c r="L6645" s="25">
        <v>2.37</v>
      </c>
      <c r="M6645" s="24">
        <v>84798</v>
      </c>
      <c r="N6645" s="25">
        <f>IFERROR(T_reg.root.SK[[#This Row],[Price]]/T_reg.root.SK[[#This Row],[Starch content]],"")</f>
        <v>8.6972477064220186</v>
      </c>
    </row>
    <row r="6646" spans="1:14">
      <c r="A6646" s="21">
        <v>2025</v>
      </c>
      <c r="B6646" s="21" t="s">
        <v>27</v>
      </c>
      <c r="C6646" s="21" t="s">
        <v>1145</v>
      </c>
      <c r="D6646" s="21" t="s">
        <v>35</v>
      </c>
      <c r="E6646" s="17" t="s">
        <v>975</v>
      </c>
      <c r="F6646" s="17" t="s">
        <v>105</v>
      </c>
      <c r="G6646" s="18" t="s">
        <v>48</v>
      </c>
      <c r="H6646" s="24">
        <v>74390</v>
      </c>
      <c r="I6646" s="24">
        <f>T_reg.root.SK[[#This Row],[Volume, kg]]/1000</f>
        <v>74.39</v>
      </c>
      <c r="J6646" s="25">
        <v>0.25509999999999999</v>
      </c>
      <c r="K6646" s="25">
        <f t="shared" si="104"/>
        <v>18976.888999999999</v>
      </c>
      <c r="L6646" s="25">
        <v>2.27</v>
      </c>
      <c r="M6646" s="24">
        <v>169179</v>
      </c>
      <c r="N6646" s="25">
        <f>IFERROR(T_reg.root.SK[[#This Row],[Price]]/T_reg.root.SK[[#This Row],[Starch content]],"")</f>
        <v>8.898471187769502</v>
      </c>
    </row>
    <row r="6647" spans="1:14">
      <c r="A6647" s="21">
        <v>2025</v>
      </c>
      <c r="B6647" s="21" t="s">
        <v>27</v>
      </c>
      <c r="C6647" s="21" t="s">
        <v>1145</v>
      </c>
      <c r="D6647" s="21" t="s">
        <v>35</v>
      </c>
      <c r="E6647" s="17" t="s">
        <v>239</v>
      </c>
      <c r="F6647" s="17" t="s">
        <v>105</v>
      </c>
      <c r="G6647" s="18" t="s">
        <v>48</v>
      </c>
      <c r="H6647" s="24">
        <v>26910</v>
      </c>
      <c r="I6647" s="24">
        <f>T_reg.root.SK[[#This Row],[Volume, kg]]/1000</f>
        <v>26.91</v>
      </c>
      <c r="J6647" s="25">
        <v>0.22750000000000001</v>
      </c>
      <c r="K6647" s="25">
        <f t="shared" si="104"/>
        <v>6122.0250000000005</v>
      </c>
      <c r="L6647" s="25">
        <v>2.15</v>
      </c>
      <c r="M6647" s="24">
        <v>57865</v>
      </c>
      <c r="N6647" s="25">
        <f>IFERROR(T_reg.root.SK[[#This Row],[Price]]/T_reg.root.SK[[#This Row],[Starch content]],"")</f>
        <v>9.4505494505494489</v>
      </c>
    </row>
    <row r="6648" spans="1:14">
      <c r="A6648" s="21">
        <v>2025</v>
      </c>
      <c r="B6648" s="21" t="s">
        <v>27</v>
      </c>
      <c r="C6648" s="21" t="s">
        <v>1145</v>
      </c>
      <c r="D6648" s="21" t="s">
        <v>35</v>
      </c>
      <c r="E6648" s="17" t="s">
        <v>625</v>
      </c>
      <c r="F6648" s="17" t="s">
        <v>47</v>
      </c>
      <c r="G6648" s="18" t="s">
        <v>48</v>
      </c>
      <c r="H6648" s="24">
        <v>9030</v>
      </c>
      <c r="I6648" s="24">
        <f>T_reg.root.SK[[#This Row],[Volume, kg]]/1000</f>
        <v>9.0299999999999994</v>
      </c>
      <c r="J6648" s="25">
        <v>0.23250000000000001</v>
      </c>
      <c r="K6648" s="25">
        <f t="shared" si="104"/>
        <v>2099.4749999999999</v>
      </c>
      <c r="L6648" s="25">
        <v>2.2000000000000002</v>
      </c>
      <c r="M6648" s="24">
        <v>19866</v>
      </c>
      <c r="N6648" s="25">
        <f>IFERROR(T_reg.root.SK[[#This Row],[Price]]/T_reg.root.SK[[#This Row],[Starch content]],"")</f>
        <v>9.4623655913978499</v>
      </c>
    </row>
    <row r="6649" spans="1:14">
      <c r="A6649" s="21">
        <v>2025</v>
      </c>
      <c r="B6649" s="21" t="s">
        <v>27</v>
      </c>
      <c r="C6649" s="21" t="s">
        <v>1145</v>
      </c>
      <c r="D6649" s="21" t="s">
        <v>35</v>
      </c>
      <c r="E6649" s="17" t="s">
        <v>124</v>
      </c>
      <c r="F6649" s="17" t="s">
        <v>105</v>
      </c>
      <c r="G6649" s="18" t="s">
        <v>48</v>
      </c>
      <c r="H6649" s="24">
        <v>90260</v>
      </c>
      <c r="I6649" s="24">
        <f>T_reg.root.SK[[#This Row],[Volume, kg]]/1000</f>
        <v>90.26</v>
      </c>
      <c r="J6649" s="25">
        <v>0.25940000000000002</v>
      </c>
      <c r="K6649" s="25">
        <f t="shared" si="104"/>
        <v>23413.444000000003</v>
      </c>
      <c r="L6649" s="25">
        <v>2.31</v>
      </c>
      <c r="M6649" s="24">
        <v>208275</v>
      </c>
      <c r="N6649" s="25">
        <f>IFERROR(T_reg.root.SK[[#This Row],[Price]]/T_reg.root.SK[[#This Row],[Starch content]],"")</f>
        <v>8.9051657671549727</v>
      </c>
    </row>
    <row r="6650" spans="1:14">
      <c r="A6650" s="21">
        <v>2025</v>
      </c>
      <c r="B6650" s="21" t="s">
        <v>27</v>
      </c>
      <c r="C6650" s="21" t="s">
        <v>1145</v>
      </c>
      <c r="D6650" s="21" t="s">
        <v>35</v>
      </c>
      <c r="E6650" s="17" t="s">
        <v>404</v>
      </c>
      <c r="F6650" s="17" t="s">
        <v>105</v>
      </c>
      <c r="G6650" s="18" t="s">
        <v>48</v>
      </c>
      <c r="H6650" s="24">
        <v>18260</v>
      </c>
      <c r="I6650" s="24">
        <f>T_reg.root.SK[[#This Row],[Volume, kg]]/1000</f>
        <v>18.260000000000002</v>
      </c>
      <c r="J6650" s="25">
        <v>0.25180000000000002</v>
      </c>
      <c r="K6650" s="25">
        <f t="shared" si="104"/>
        <v>4597.8680000000004</v>
      </c>
      <c r="L6650" s="25">
        <v>2.2000000000000002</v>
      </c>
      <c r="M6650" s="24">
        <v>40118</v>
      </c>
      <c r="N6650" s="25">
        <f>IFERROR(T_reg.root.SK[[#This Row],[Price]]/T_reg.root.SK[[#This Row],[Starch content]],"")</f>
        <v>8.7370929308975374</v>
      </c>
    </row>
    <row r="6651" spans="1:14">
      <c r="A6651" s="21">
        <v>2025</v>
      </c>
      <c r="B6651" s="21" t="s">
        <v>27</v>
      </c>
      <c r="C6651" s="21" t="s">
        <v>1145</v>
      </c>
      <c r="D6651" s="21" t="s">
        <v>35</v>
      </c>
      <c r="E6651" s="17" t="s">
        <v>57</v>
      </c>
      <c r="F6651" s="17" t="s">
        <v>47</v>
      </c>
      <c r="G6651" s="18" t="s">
        <v>48</v>
      </c>
      <c r="H6651" s="24">
        <v>66350</v>
      </c>
      <c r="I6651" s="24">
        <f>T_reg.root.SK[[#This Row],[Volume, kg]]/1000</f>
        <v>66.349999999999994</v>
      </c>
      <c r="J6651" s="25">
        <v>0.221</v>
      </c>
      <c r="K6651" s="25">
        <f t="shared" si="104"/>
        <v>14663.35</v>
      </c>
      <c r="L6651" s="25">
        <v>2.16</v>
      </c>
      <c r="M6651" s="24">
        <v>143109.5</v>
      </c>
      <c r="N6651" s="25">
        <f>IFERROR(T_reg.root.SK[[#This Row],[Price]]/T_reg.root.SK[[#This Row],[Starch content]],"")</f>
        <v>9.7737556561085981</v>
      </c>
    </row>
    <row r="6652" spans="1:14">
      <c r="A6652" s="21">
        <v>2025</v>
      </c>
      <c r="B6652" s="21" t="s">
        <v>27</v>
      </c>
      <c r="C6652" s="21" t="s">
        <v>1145</v>
      </c>
      <c r="D6652" s="21" t="s">
        <v>35</v>
      </c>
      <c r="E6652" s="17" t="s">
        <v>736</v>
      </c>
      <c r="F6652" s="17" t="s">
        <v>105</v>
      </c>
      <c r="G6652" s="18" t="s">
        <v>48</v>
      </c>
      <c r="H6652" s="24">
        <v>78700</v>
      </c>
      <c r="I6652" s="24">
        <f>T_reg.root.SK[[#This Row],[Volume, kg]]/1000</f>
        <v>78.7</v>
      </c>
      <c r="J6652" s="25">
        <v>0.26419999999999999</v>
      </c>
      <c r="K6652" s="25">
        <f t="shared" si="104"/>
        <v>20792.54</v>
      </c>
      <c r="L6652" s="25">
        <v>2.33</v>
      </c>
      <c r="M6652" s="24">
        <v>183670</v>
      </c>
      <c r="N6652" s="25">
        <f>IFERROR(T_reg.root.SK[[#This Row],[Price]]/T_reg.root.SK[[#This Row],[Starch content]],"")</f>
        <v>8.8190764572293716</v>
      </c>
    </row>
    <row r="6653" spans="1:14">
      <c r="A6653" s="21">
        <v>2025</v>
      </c>
      <c r="B6653" s="21" t="s">
        <v>27</v>
      </c>
      <c r="C6653" s="21" t="s">
        <v>1145</v>
      </c>
      <c r="D6653" s="21" t="s">
        <v>35</v>
      </c>
      <c r="E6653" s="17" t="s">
        <v>465</v>
      </c>
      <c r="F6653" s="17" t="s">
        <v>47</v>
      </c>
      <c r="G6653" s="18" t="s">
        <v>48</v>
      </c>
      <c r="H6653" s="24">
        <v>14570</v>
      </c>
      <c r="I6653" s="24">
        <f>T_reg.root.SK[[#This Row],[Volume, kg]]/1000</f>
        <v>14.57</v>
      </c>
      <c r="J6653" s="25">
        <v>0.20440000000000003</v>
      </c>
      <c r="K6653" s="25">
        <f t="shared" si="104"/>
        <v>2978.1080000000002</v>
      </c>
      <c r="L6653" s="25">
        <v>1.97</v>
      </c>
      <c r="M6653" s="24">
        <v>28762.5</v>
      </c>
      <c r="N6653" s="25">
        <f>IFERROR(T_reg.root.SK[[#This Row],[Price]]/T_reg.root.SK[[#This Row],[Starch content]],"")</f>
        <v>9.6379647749510742</v>
      </c>
    </row>
    <row r="6654" spans="1:14">
      <c r="A6654" s="21">
        <v>2025</v>
      </c>
      <c r="B6654" s="21" t="s">
        <v>27</v>
      </c>
      <c r="C6654" s="21" t="s">
        <v>1145</v>
      </c>
      <c r="D6654" s="21" t="s">
        <v>35</v>
      </c>
      <c r="E6654" s="17" t="s">
        <v>58</v>
      </c>
      <c r="F6654" s="17" t="s">
        <v>47</v>
      </c>
      <c r="G6654" s="18" t="s">
        <v>48</v>
      </c>
      <c r="H6654" s="24">
        <v>16010</v>
      </c>
      <c r="I6654" s="24">
        <f>T_reg.root.SK[[#This Row],[Volume, kg]]/1000</f>
        <v>16.010000000000002</v>
      </c>
      <c r="J6654" s="25">
        <v>0.20079999999999998</v>
      </c>
      <c r="K6654" s="25">
        <f t="shared" si="104"/>
        <v>3214.8079999999995</v>
      </c>
      <c r="L6654" s="25">
        <v>2.0299999999999998</v>
      </c>
      <c r="M6654" s="24">
        <v>32507.5</v>
      </c>
      <c r="N6654" s="25">
        <f>IFERROR(T_reg.root.SK[[#This Row],[Price]]/T_reg.root.SK[[#This Row],[Starch content]],"")</f>
        <v>10.109561752988048</v>
      </c>
    </row>
    <row r="6655" spans="1:14">
      <c r="A6655" s="21">
        <v>2025</v>
      </c>
      <c r="B6655" s="21" t="s">
        <v>27</v>
      </c>
      <c r="C6655" s="21" t="s">
        <v>1145</v>
      </c>
      <c r="D6655" s="21" t="s">
        <v>35</v>
      </c>
      <c r="E6655" s="17" t="s">
        <v>127</v>
      </c>
      <c r="F6655" s="17" t="s">
        <v>105</v>
      </c>
      <c r="G6655" s="18" t="s">
        <v>48</v>
      </c>
      <c r="H6655" s="24">
        <v>27340</v>
      </c>
      <c r="I6655" s="24">
        <f>T_reg.root.SK[[#This Row],[Volume, kg]]/1000</f>
        <v>27.34</v>
      </c>
      <c r="J6655" s="25">
        <v>0.27440000000000003</v>
      </c>
      <c r="K6655" s="25">
        <f t="shared" si="104"/>
        <v>7502.0960000000005</v>
      </c>
      <c r="L6655" s="25">
        <v>2.4300000000000002</v>
      </c>
      <c r="M6655" s="24">
        <v>66506.5</v>
      </c>
      <c r="N6655" s="25">
        <f>IFERROR(T_reg.root.SK[[#This Row],[Price]]/T_reg.root.SK[[#This Row],[Starch content]],"")</f>
        <v>8.8556851311953348</v>
      </c>
    </row>
    <row r="6656" spans="1:14">
      <c r="A6656" s="21">
        <v>2025</v>
      </c>
      <c r="B6656" s="21" t="s">
        <v>27</v>
      </c>
      <c r="C6656" s="21" t="s">
        <v>1145</v>
      </c>
      <c r="D6656" s="21" t="s">
        <v>35</v>
      </c>
      <c r="E6656" s="17" t="s">
        <v>635</v>
      </c>
      <c r="F6656" s="17" t="s">
        <v>105</v>
      </c>
      <c r="G6656" s="18" t="s">
        <v>48</v>
      </c>
      <c r="H6656" s="24">
        <v>79420</v>
      </c>
      <c r="I6656" s="24">
        <f>T_reg.root.SK[[#This Row],[Volume, kg]]/1000</f>
        <v>79.42</v>
      </c>
      <c r="J6656" s="25">
        <v>0.26729999999999998</v>
      </c>
      <c r="K6656" s="25">
        <f t="shared" si="104"/>
        <v>21228.966</v>
      </c>
      <c r="L6656" s="25">
        <v>2.33</v>
      </c>
      <c r="M6656" s="24">
        <v>185445.5</v>
      </c>
      <c r="N6656" s="25">
        <f>IFERROR(T_reg.root.SK[[#This Row],[Price]]/T_reg.root.SK[[#This Row],[Starch content]],"")</f>
        <v>8.7167976056864962</v>
      </c>
    </row>
    <row r="6657" spans="1:14">
      <c r="A6657" s="21">
        <v>2025</v>
      </c>
      <c r="B6657" s="21" t="s">
        <v>27</v>
      </c>
      <c r="C6657" s="21" t="s">
        <v>1145</v>
      </c>
      <c r="D6657" s="21" t="s">
        <v>35</v>
      </c>
      <c r="E6657" s="17" t="s">
        <v>466</v>
      </c>
      <c r="F6657" s="17" t="s">
        <v>47</v>
      </c>
      <c r="G6657" s="18" t="s">
        <v>48</v>
      </c>
      <c r="H6657" s="24">
        <v>23360</v>
      </c>
      <c r="I6657" s="24">
        <f>T_reg.root.SK[[#This Row],[Volume, kg]]/1000</f>
        <v>23.36</v>
      </c>
      <c r="J6657" s="25">
        <v>0.251</v>
      </c>
      <c r="K6657" s="25">
        <f t="shared" si="104"/>
        <v>5863.36</v>
      </c>
      <c r="L6657" s="25">
        <v>2.2599999999999998</v>
      </c>
      <c r="M6657" s="24">
        <v>52786</v>
      </c>
      <c r="N6657" s="25">
        <f>IFERROR(T_reg.root.SK[[#This Row],[Price]]/T_reg.root.SK[[#This Row],[Starch content]],"")</f>
        <v>9.003984063745019</v>
      </c>
    </row>
    <row r="6658" spans="1:14">
      <c r="A6658" s="21">
        <v>2025</v>
      </c>
      <c r="B6658" s="21" t="s">
        <v>27</v>
      </c>
      <c r="C6658" s="21" t="s">
        <v>1145</v>
      </c>
      <c r="D6658" s="21" t="s">
        <v>35</v>
      </c>
      <c r="E6658" s="17" t="s">
        <v>59</v>
      </c>
      <c r="F6658" s="17" t="s">
        <v>47</v>
      </c>
      <c r="G6658" s="18" t="s">
        <v>48</v>
      </c>
      <c r="H6658" s="24">
        <v>42210</v>
      </c>
      <c r="I6658" s="24">
        <f>T_reg.root.SK[[#This Row],[Volume, kg]]/1000</f>
        <v>42.21</v>
      </c>
      <c r="J6658" s="25">
        <v>0.2145</v>
      </c>
      <c r="K6658" s="25">
        <f t="shared" si="104"/>
        <v>9054.0450000000001</v>
      </c>
      <c r="L6658" s="25">
        <v>2.12</v>
      </c>
      <c r="M6658" s="24">
        <v>89460.5</v>
      </c>
      <c r="N6658" s="25">
        <f>IFERROR(T_reg.root.SK[[#This Row],[Price]]/T_reg.root.SK[[#This Row],[Starch content]],"")</f>
        <v>9.8834498834498845</v>
      </c>
    </row>
    <row r="6659" spans="1:14">
      <c r="A6659" s="21">
        <v>2025</v>
      </c>
      <c r="B6659" s="21" t="s">
        <v>27</v>
      </c>
      <c r="C6659" s="21" t="s">
        <v>1145</v>
      </c>
      <c r="D6659" s="21" t="s">
        <v>35</v>
      </c>
      <c r="E6659" s="17" t="s">
        <v>770</v>
      </c>
      <c r="F6659" s="17" t="s">
        <v>105</v>
      </c>
      <c r="G6659" s="18" t="s">
        <v>48</v>
      </c>
      <c r="H6659" s="24">
        <v>11650</v>
      </c>
      <c r="I6659" s="24">
        <f>T_reg.root.SK[[#This Row],[Volume, kg]]/1000</f>
        <v>11.65</v>
      </c>
      <c r="J6659" s="25">
        <v>0.21299999999999999</v>
      </c>
      <c r="K6659" s="25">
        <f t="shared" si="104"/>
        <v>2481.4499999999998</v>
      </c>
      <c r="L6659" s="25">
        <v>2.0699999999999998</v>
      </c>
      <c r="M6659" s="24">
        <v>24124.5</v>
      </c>
      <c r="N6659" s="25">
        <f>IFERROR(T_reg.root.SK[[#This Row],[Price]]/T_reg.root.SK[[#This Row],[Starch content]],"")</f>
        <v>9.7183098591549282</v>
      </c>
    </row>
    <row r="6660" spans="1:14">
      <c r="A6660" s="21">
        <v>2025</v>
      </c>
      <c r="B6660" s="21" t="s">
        <v>27</v>
      </c>
      <c r="C6660" s="21" t="s">
        <v>1145</v>
      </c>
      <c r="D6660" s="21" t="s">
        <v>35</v>
      </c>
      <c r="E6660" s="17" t="s">
        <v>129</v>
      </c>
      <c r="F6660" s="17" t="s">
        <v>105</v>
      </c>
      <c r="G6660" s="18" t="s">
        <v>48</v>
      </c>
      <c r="H6660" s="24">
        <v>5030</v>
      </c>
      <c r="I6660" s="24">
        <f>T_reg.root.SK[[#This Row],[Volume, kg]]/1000</f>
        <v>5.03</v>
      </c>
      <c r="J6660" s="25">
        <v>0.255</v>
      </c>
      <c r="K6660" s="25">
        <f t="shared" si="104"/>
        <v>1282.6500000000001</v>
      </c>
      <c r="L6660" s="25">
        <v>2.35</v>
      </c>
      <c r="M6660" s="24">
        <v>11820.5</v>
      </c>
      <c r="N6660" s="25">
        <f>IFERROR(T_reg.root.SK[[#This Row],[Price]]/T_reg.root.SK[[#This Row],[Starch content]],"")</f>
        <v>9.2156862745098049</v>
      </c>
    </row>
    <row r="6661" spans="1:14">
      <c r="A6661" s="21">
        <v>2025</v>
      </c>
      <c r="B6661" s="21" t="s">
        <v>27</v>
      </c>
      <c r="C6661" s="21" t="s">
        <v>1145</v>
      </c>
      <c r="D6661" s="21" t="s">
        <v>35</v>
      </c>
      <c r="E6661" s="17" t="s">
        <v>643</v>
      </c>
      <c r="F6661" s="17" t="s">
        <v>47</v>
      </c>
      <c r="G6661" s="18" t="s">
        <v>48</v>
      </c>
      <c r="H6661" s="24">
        <v>125160</v>
      </c>
      <c r="I6661" s="24">
        <f>T_reg.root.SK[[#This Row],[Volume, kg]]/1000</f>
        <v>125.16</v>
      </c>
      <c r="J6661" s="25">
        <v>0.2253</v>
      </c>
      <c r="K6661" s="25">
        <f t="shared" si="104"/>
        <v>28198.547999999999</v>
      </c>
      <c r="L6661" s="25">
        <v>2.15</v>
      </c>
      <c r="M6661" s="24">
        <v>269462.5</v>
      </c>
      <c r="N6661" s="25">
        <f>IFERROR(T_reg.root.SK[[#This Row],[Price]]/T_reg.root.SK[[#This Row],[Starch content]],"")</f>
        <v>9.5428317798490898</v>
      </c>
    </row>
    <row r="6662" spans="1:14">
      <c r="A6662" s="21">
        <v>2025</v>
      </c>
      <c r="B6662" s="21" t="s">
        <v>27</v>
      </c>
      <c r="C6662" s="21" t="s">
        <v>1145</v>
      </c>
      <c r="D6662" s="21" t="s">
        <v>35</v>
      </c>
      <c r="E6662" s="17" t="s">
        <v>523</v>
      </c>
      <c r="F6662" s="17" t="s">
        <v>187</v>
      </c>
      <c r="G6662" s="18" t="s">
        <v>48</v>
      </c>
      <c r="H6662" s="24">
        <v>8680</v>
      </c>
      <c r="I6662" s="24">
        <f>T_reg.root.SK[[#This Row],[Volume, kg]]/1000</f>
        <v>8.68</v>
      </c>
      <c r="J6662" s="25">
        <v>0.26450000000000001</v>
      </c>
      <c r="K6662" s="25">
        <f t="shared" si="104"/>
        <v>2295.86</v>
      </c>
      <c r="L6662" s="25">
        <v>2.2999999999999998</v>
      </c>
      <c r="M6662" s="24">
        <v>19964</v>
      </c>
      <c r="N6662" s="25">
        <f>IFERROR(T_reg.root.SK[[#This Row],[Price]]/T_reg.root.SK[[#This Row],[Starch content]],"")</f>
        <v>8.695652173913043</v>
      </c>
    </row>
    <row r="6663" spans="1:14">
      <c r="A6663" s="21">
        <v>2025</v>
      </c>
      <c r="B6663" s="21" t="s">
        <v>27</v>
      </c>
      <c r="C6663" s="21" t="s">
        <v>1145</v>
      </c>
      <c r="D6663" s="21" t="s">
        <v>35</v>
      </c>
      <c r="E6663" s="17" t="s">
        <v>548</v>
      </c>
      <c r="F6663" s="17" t="s">
        <v>47</v>
      </c>
      <c r="G6663" s="18" t="s">
        <v>48</v>
      </c>
      <c r="H6663" s="24">
        <v>119270</v>
      </c>
      <c r="I6663" s="24">
        <f>T_reg.root.SK[[#This Row],[Volume, kg]]/1000</f>
        <v>119.27</v>
      </c>
      <c r="J6663" s="25">
        <v>0.2175</v>
      </c>
      <c r="K6663" s="25">
        <f t="shared" si="104"/>
        <v>25941.224999999999</v>
      </c>
      <c r="L6663" s="25">
        <v>2.1</v>
      </c>
      <c r="M6663" s="24">
        <v>250170.5</v>
      </c>
      <c r="N6663" s="25">
        <f>IFERROR(T_reg.root.SK[[#This Row],[Price]]/T_reg.root.SK[[#This Row],[Starch content]],"")</f>
        <v>9.6551724137931032</v>
      </c>
    </row>
    <row r="6664" spans="1:14">
      <c r="A6664" s="21">
        <v>2025</v>
      </c>
      <c r="B6664" s="21" t="s">
        <v>27</v>
      </c>
      <c r="C6664" s="21" t="s">
        <v>1145</v>
      </c>
      <c r="D6664" s="21" t="s">
        <v>39</v>
      </c>
      <c r="E6664" s="17" t="s">
        <v>1070</v>
      </c>
      <c r="F6664" s="17" t="s">
        <v>89</v>
      </c>
      <c r="G6664" s="18" t="s">
        <v>90</v>
      </c>
      <c r="H6664" s="24">
        <v>96550</v>
      </c>
      <c r="I6664" s="24">
        <f>T_reg.root.SK[[#This Row],[Volume, kg]]/1000</f>
        <v>96.55</v>
      </c>
      <c r="J6664" s="25">
        <v>0.25090000000000001</v>
      </c>
      <c r="K6664" s="25">
        <f t="shared" si="104"/>
        <v>24224.395</v>
      </c>
      <c r="L6664" s="25">
        <v>2.48</v>
      </c>
      <c r="M6664" s="24">
        <v>239522</v>
      </c>
      <c r="N6664" s="25">
        <f>IFERROR(T_reg.root.SK[[#This Row],[Price]]/T_reg.root.SK[[#This Row],[Starch content]],"")</f>
        <v>9.8844161020326826</v>
      </c>
    </row>
    <row r="6665" spans="1:14">
      <c r="A6665" s="21">
        <v>2025</v>
      </c>
      <c r="B6665" s="21" t="s">
        <v>27</v>
      </c>
      <c r="C6665" s="21" t="s">
        <v>1145</v>
      </c>
      <c r="D6665" s="21" t="s">
        <v>35</v>
      </c>
      <c r="E6665" s="17" t="s">
        <v>603</v>
      </c>
      <c r="F6665" s="17" t="s">
        <v>105</v>
      </c>
      <c r="G6665" s="18" t="s">
        <v>48</v>
      </c>
      <c r="H6665" s="24">
        <v>6830</v>
      </c>
      <c r="I6665" s="24">
        <f>T_reg.root.SK[[#This Row],[Volume, kg]]/1000</f>
        <v>6.83</v>
      </c>
      <c r="J6665" s="25">
        <v>0.222</v>
      </c>
      <c r="K6665" s="25">
        <f t="shared" si="104"/>
        <v>1516.26</v>
      </c>
      <c r="L6665" s="25">
        <v>2.1</v>
      </c>
      <c r="M6665" s="24">
        <v>14343</v>
      </c>
      <c r="N6665" s="25">
        <f>IFERROR(T_reg.root.SK[[#This Row],[Price]]/T_reg.root.SK[[#This Row],[Starch content]],"")</f>
        <v>9.4594594594594597</v>
      </c>
    </row>
    <row r="6666" spans="1:14">
      <c r="A6666" s="21">
        <v>2025</v>
      </c>
      <c r="B6666" s="21" t="s">
        <v>27</v>
      </c>
      <c r="C6666" s="21" t="s">
        <v>1145</v>
      </c>
      <c r="D6666" s="21" t="s">
        <v>35</v>
      </c>
      <c r="E6666" s="17" t="s">
        <v>196</v>
      </c>
      <c r="F6666" s="17" t="s">
        <v>187</v>
      </c>
      <c r="G6666" s="18" t="s">
        <v>48</v>
      </c>
      <c r="H6666" s="24">
        <v>9130</v>
      </c>
      <c r="I6666" s="24">
        <f>T_reg.root.SK[[#This Row],[Volume, kg]]/1000</f>
        <v>9.1300000000000008</v>
      </c>
      <c r="J6666" s="25">
        <v>0.22399999999999998</v>
      </c>
      <c r="K6666" s="25">
        <f t="shared" si="104"/>
        <v>2045.12</v>
      </c>
      <c r="L6666" s="25">
        <v>2.0499999999999998</v>
      </c>
      <c r="M6666" s="24">
        <v>18716.5</v>
      </c>
      <c r="N6666" s="25">
        <f>IFERROR(T_reg.root.SK[[#This Row],[Price]]/T_reg.root.SK[[#This Row],[Starch content]],"")</f>
        <v>9.1517857142857153</v>
      </c>
    </row>
    <row r="6667" spans="1:14">
      <c r="A6667" s="21">
        <v>2025</v>
      </c>
      <c r="B6667" s="21" t="s">
        <v>27</v>
      </c>
      <c r="C6667" s="21" t="s">
        <v>1145</v>
      </c>
      <c r="D6667" s="21" t="s">
        <v>35</v>
      </c>
      <c r="E6667" s="17" t="s">
        <v>467</v>
      </c>
      <c r="F6667" s="17" t="s">
        <v>47</v>
      </c>
      <c r="G6667" s="18" t="s">
        <v>48</v>
      </c>
      <c r="H6667" s="24">
        <v>19210</v>
      </c>
      <c r="I6667" s="24">
        <f>T_reg.root.SK[[#This Row],[Volume, kg]]/1000</f>
        <v>19.21</v>
      </c>
      <c r="J6667" s="25">
        <v>0.23629999999999998</v>
      </c>
      <c r="K6667" s="25">
        <f t="shared" si="104"/>
        <v>4539.3229999999994</v>
      </c>
      <c r="L6667" s="25">
        <v>2.17</v>
      </c>
      <c r="M6667" s="24">
        <v>41750.5</v>
      </c>
      <c r="N6667" s="25">
        <f>IFERROR(T_reg.root.SK[[#This Row],[Price]]/T_reg.root.SK[[#This Row],[Starch content]],"")</f>
        <v>9.1832416419805334</v>
      </c>
    </row>
    <row r="6668" spans="1:14">
      <c r="A6668" s="21">
        <v>2025</v>
      </c>
      <c r="B6668" s="21" t="s">
        <v>27</v>
      </c>
      <c r="C6668" s="21" t="s">
        <v>1145</v>
      </c>
      <c r="D6668" s="21" t="s">
        <v>35</v>
      </c>
      <c r="E6668" s="17" t="s">
        <v>650</v>
      </c>
      <c r="F6668" s="17" t="s">
        <v>187</v>
      </c>
      <c r="G6668" s="18" t="s">
        <v>48</v>
      </c>
      <c r="H6668" s="24">
        <v>31540</v>
      </c>
      <c r="I6668" s="24">
        <f>T_reg.root.SK[[#This Row],[Volume, kg]]/1000</f>
        <v>31.54</v>
      </c>
      <c r="J6668" s="25">
        <v>0.2152</v>
      </c>
      <c r="K6668" s="25">
        <f t="shared" si="104"/>
        <v>6787.4080000000004</v>
      </c>
      <c r="L6668" s="25">
        <v>2.1</v>
      </c>
      <c r="M6668" s="24">
        <v>66203</v>
      </c>
      <c r="N6668" s="25">
        <f>IFERROR(T_reg.root.SK[[#This Row],[Price]]/T_reg.root.SK[[#This Row],[Starch content]],"")</f>
        <v>9.7583643122676591</v>
      </c>
    </row>
    <row r="6669" spans="1:14">
      <c r="A6669" s="21">
        <v>2025</v>
      </c>
      <c r="B6669" s="21" t="s">
        <v>27</v>
      </c>
      <c r="C6669" s="21" t="s">
        <v>1145</v>
      </c>
      <c r="D6669" s="21" t="s">
        <v>35</v>
      </c>
      <c r="E6669" s="17" t="s">
        <v>617</v>
      </c>
      <c r="F6669" s="17" t="s">
        <v>105</v>
      </c>
      <c r="G6669" s="18" t="s">
        <v>48</v>
      </c>
      <c r="H6669" s="24">
        <v>57190</v>
      </c>
      <c r="I6669" s="24">
        <f>T_reg.root.SK[[#This Row],[Volume, kg]]/1000</f>
        <v>57.19</v>
      </c>
      <c r="J6669" s="25">
        <v>0.22649999999999998</v>
      </c>
      <c r="K6669" s="25">
        <f t="shared" si="104"/>
        <v>12953.534999999998</v>
      </c>
      <c r="L6669" s="25">
        <v>2.11</v>
      </c>
      <c r="M6669" s="24">
        <v>120794</v>
      </c>
      <c r="N6669" s="25">
        <f>IFERROR(T_reg.root.SK[[#This Row],[Price]]/T_reg.root.SK[[#This Row],[Starch content]],"")</f>
        <v>9.3156732891832235</v>
      </c>
    </row>
    <row r="6670" spans="1:14">
      <c r="A6670" s="21">
        <v>2025</v>
      </c>
      <c r="B6670" s="21" t="s">
        <v>27</v>
      </c>
      <c r="C6670" s="21" t="s">
        <v>1145</v>
      </c>
      <c r="D6670" s="21" t="s">
        <v>35</v>
      </c>
      <c r="E6670" s="17" t="s">
        <v>807</v>
      </c>
      <c r="F6670" s="17" t="s">
        <v>105</v>
      </c>
      <c r="G6670" s="18" t="s">
        <v>48</v>
      </c>
      <c r="H6670" s="24">
        <v>30730</v>
      </c>
      <c r="I6670" s="24">
        <f>T_reg.root.SK[[#This Row],[Volume, kg]]/1000</f>
        <v>30.73</v>
      </c>
      <c r="J6670" s="25">
        <v>0.2475</v>
      </c>
      <c r="K6670" s="25">
        <f t="shared" si="104"/>
        <v>7605.6750000000002</v>
      </c>
      <c r="L6670" s="25">
        <v>2.1800000000000002</v>
      </c>
      <c r="M6670" s="24">
        <v>67101</v>
      </c>
      <c r="N6670" s="25">
        <f>IFERROR(T_reg.root.SK[[#This Row],[Price]]/T_reg.root.SK[[#This Row],[Starch content]],"")</f>
        <v>8.808080808080808</v>
      </c>
    </row>
    <row r="6671" spans="1:14">
      <c r="A6671" s="21">
        <v>2025</v>
      </c>
      <c r="B6671" s="21" t="s">
        <v>27</v>
      </c>
      <c r="C6671" s="21" t="s">
        <v>1145</v>
      </c>
      <c r="D6671" s="21" t="s">
        <v>35</v>
      </c>
      <c r="E6671" s="17" t="s">
        <v>1009</v>
      </c>
      <c r="F6671" s="17" t="s">
        <v>105</v>
      </c>
      <c r="G6671" s="18" t="s">
        <v>48</v>
      </c>
      <c r="H6671" s="24">
        <v>22280</v>
      </c>
      <c r="I6671" s="24">
        <f>T_reg.root.SK[[#This Row],[Volume, kg]]/1000</f>
        <v>22.28</v>
      </c>
      <c r="J6671" s="25">
        <v>0.2298</v>
      </c>
      <c r="K6671" s="25">
        <f t="shared" ref="K6671:K6734" si="105">H6671*J6671</f>
        <v>5119.9440000000004</v>
      </c>
      <c r="L6671" s="25">
        <v>2.16</v>
      </c>
      <c r="M6671" s="24">
        <v>48060</v>
      </c>
      <c r="N6671" s="25">
        <f>IFERROR(T_reg.root.SK[[#This Row],[Price]]/T_reg.root.SK[[#This Row],[Starch content]],"")</f>
        <v>9.3994778067885125</v>
      </c>
    </row>
    <row r="6672" spans="1:14">
      <c r="A6672" s="21">
        <v>2025</v>
      </c>
      <c r="B6672" s="21" t="s">
        <v>27</v>
      </c>
      <c r="C6672" s="21" t="s">
        <v>1145</v>
      </c>
      <c r="D6672" s="21" t="s">
        <v>39</v>
      </c>
      <c r="E6672" s="17" t="s">
        <v>1073</v>
      </c>
      <c r="F6672" s="17" t="s">
        <v>89</v>
      </c>
      <c r="G6672" s="18" t="s">
        <v>90</v>
      </c>
      <c r="H6672" s="24">
        <v>750820</v>
      </c>
      <c r="I6672" s="24">
        <f>T_reg.root.SK[[#This Row],[Volume, kg]]/1000</f>
        <v>750.82</v>
      </c>
      <c r="J6672" s="25">
        <v>0.2606</v>
      </c>
      <c r="K6672" s="25">
        <f t="shared" si="105"/>
        <v>195663.69200000001</v>
      </c>
      <c r="L6672" s="25">
        <v>2.61</v>
      </c>
      <c r="M6672" s="24">
        <v>1956667.5</v>
      </c>
      <c r="N6672" s="25">
        <f>IFERROR(T_reg.root.SK[[#This Row],[Price]]/T_reg.root.SK[[#This Row],[Starch content]],"")</f>
        <v>10.015349194167305</v>
      </c>
    </row>
    <row r="6673" spans="1:14">
      <c r="A6673" s="21">
        <v>2025</v>
      </c>
      <c r="B6673" s="21" t="s">
        <v>27</v>
      </c>
      <c r="C6673" s="21" t="s">
        <v>1145</v>
      </c>
      <c r="D6673" s="21" t="s">
        <v>35</v>
      </c>
      <c r="E6673" s="17" t="s">
        <v>525</v>
      </c>
      <c r="F6673" s="17" t="s">
        <v>187</v>
      </c>
      <c r="G6673" s="18" t="s">
        <v>48</v>
      </c>
      <c r="H6673" s="24">
        <v>14460</v>
      </c>
      <c r="I6673" s="24">
        <f>T_reg.root.SK[[#This Row],[Volume, kg]]/1000</f>
        <v>14.46</v>
      </c>
      <c r="J6673" s="25">
        <v>0.28179999999999999</v>
      </c>
      <c r="K6673" s="25">
        <f t="shared" si="105"/>
        <v>4074.828</v>
      </c>
      <c r="L6673" s="25">
        <v>2.41</v>
      </c>
      <c r="M6673" s="24">
        <v>34873</v>
      </c>
      <c r="N6673" s="25">
        <f>IFERROR(T_reg.root.SK[[#This Row],[Price]]/T_reg.root.SK[[#This Row],[Starch content]],"")</f>
        <v>8.5521646557842441</v>
      </c>
    </row>
    <row r="6674" spans="1:14">
      <c r="A6674" s="21">
        <v>2025</v>
      </c>
      <c r="B6674" s="21" t="s">
        <v>27</v>
      </c>
      <c r="C6674" s="21" t="s">
        <v>1145</v>
      </c>
      <c r="D6674" s="21" t="s">
        <v>35</v>
      </c>
      <c r="E6674" s="17" t="s">
        <v>241</v>
      </c>
      <c r="F6674" s="17" t="s">
        <v>105</v>
      </c>
      <c r="G6674" s="18" t="s">
        <v>48</v>
      </c>
      <c r="H6674" s="24">
        <v>30070</v>
      </c>
      <c r="I6674" s="24">
        <f>T_reg.root.SK[[#This Row],[Volume, kg]]/1000</f>
        <v>30.07</v>
      </c>
      <c r="J6674" s="25">
        <v>0.26340000000000002</v>
      </c>
      <c r="K6674" s="25">
        <f t="shared" si="105"/>
        <v>7920.438000000001</v>
      </c>
      <c r="L6674" s="25">
        <v>2.31</v>
      </c>
      <c r="M6674" s="24">
        <v>69450.5</v>
      </c>
      <c r="N6674" s="25">
        <f>IFERROR(T_reg.root.SK[[#This Row],[Price]]/T_reg.root.SK[[#This Row],[Starch content]],"")</f>
        <v>8.7699316628701585</v>
      </c>
    </row>
    <row r="6675" spans="1:14">
      <c r="A6675" s="21">
        <v>2025</v>
      </c>
      <c r="B6675" s="21" t="s">
        <v>27</v>
      </c>
      <c r="C6675" s="21" t="s">
        <v>1145</v>
      </c>
      <c r="D6675" s="21" t="s">
        <v>35</v>
      </c>
      <c r="E6675" s="17" t="s">
        <v>133</v>
      </c>
      <c r="F6675" s="17" t="s">
        <v>105</v>
      </c>
      <c r="G6675" s="18" t="s">
        <v>48</v>
      </c>
      <c r="H6675" s="24">
        <v>61500</v>
      </c>
      <c r="I6675" s="24">
        <f>T_reg.root.SK[[#This Row],[Volume, kg]]/1000</f>
        <v>61.5</v>
      </c>
      <c r="J6675" s="25">
        <v>0.2661</v>
      </c>
      <c r="K6675" s="25">
        <f t="shared" si="105"/>
        <v>16365.15</v>
      </c>
      <c r="L6675" s="25">
        <v>2.33</v>
      </c>
      <c r="M6675" s="24">
        <v>143336.5</v>
      </c>
      <c r="N6675" s="25">
        <f>IFERROR(T_reg.root.SK[[#This Row],[Price]]/T_reg.root.SK[[#This Row],[Starch content]],"")</f>
        <v>8.7561067267944388</v>
      </c>
    </row>
    <row r="6676" spans="1:14">
      <c r="A6676" s="21">
        <v>2025</v>
      </c>
      <c r="B6676" s="21" t="s">
        <v>27</v>
      </c>
      <c r="C6676" s="21" t="s">
        <v>1145</v>
      </c>
      <c r="D6676" s="21" t="s">
        <v>35</v>
      </c>
      <c r="E6676" s="17" t="s">
        <v>491</v>
      </c>
      <c r="F6676" s="17" t="s">
        <v>105</v>
      </c>
      <c r="G6676" s="18" t="s">
        <v>48</v>
      </c>
      <c r="H6676" s="24">
        <v>7210</v>
      </c>
      <c r="I6676" s="24">
        <f>T_reg.root.SK[[#This Row],[Volume, kg]]/1000</f>
        <v>7.21</v>
      </c>
      <c r="J6676" s="25">
        <v>0.23</v>
      </c>
      <c r="K6676" s="25">
        <f t="shared" si="105"/>
        <v>1658.3000000000002</v>
      </c>
      <c r="L6676" s="25">
        <v>2.1</v>
      </c>
      <c r="M6676" s="24">
        <v>15141</v>
      </c>
      <c r="N6676" s="25">
        <f>IFERROR(T_reg.root.SK[[#This Row],[Price]]/T_reg.root.SK[[#This Row],[Starch content]],"")</f>
        <v>9.1304347826086953</v>
      </c>
    </row>
    <row r="6677" spans="1:14">
      <c r="A6677" s="21">
        <v>2025</v>
      </c>
      <c r="B6677" s="21" t="s">
        <v>27</v>
      </c>
      <c r="C6677" s="21" t="s">
        <v>1145</v>
      </c>
      <c r="D6677" s="21" t="s">
        <v>35</v>
      </c>
      <c r="E6677" s="17" t="s">
        <v>636</v>
      </c>
      <c r="F6677" s="17" t="s">
        <v>105</v>
      </c>
      <c r="G6677" s="18" t="s">
        <v>48</v>
      </c>
      <c r="H6677" s="24">
        <v>15950</v>
      </c>
      <c r="I6677" s="24">
        <f>T_reg.root.SK[[#This Row],[Volume, kg]]/1000</f>
        <v>15.95</v>
      </c>
      <c r="J6677" s="25">
        <v>0.26229999999999998</v>
      </c>
      <c r="K6677" s="25">
        <f t="shared" si="105"/>
        <v>4183.6849999999995</v>
      </c>
      <c r="L6677" s="25">
        <v>2.2999999999999998</v>
      </c>
      <c r="M6677" s="24">
        <v>36720.5</v>
      </c>
      <c r="N6677" s="25">
        <f>IFERROR(T_reg.root.SK[[#This Row],[Price]]/T_reg.root.SK[[#This Row],[Starch content]],"")</f>
        <v>8.7685855890202067</v>
      </c>
    </row>
    <row r="6678" spans="1:14">
      <c r="A6678" s="21">
        <v>2025</v>
      </c>
      <c r="B6678" s="21" t="s">
        <v>27</v>
      </c>
      <c r="C6678" s="21" t="s">
        <v>1145</v>
      </c>
      <c r="D6678" s="21" t="s">
        <v>35</v>
      </c>
      <c r="E6678" s="17" t="s">
        <v>950</v>
      </c>
      <c r="F6678" s="17" t="s">
        <v>105</v>
      </c>
      <c r="G6678" s="18" t="s">
        <v>48</v>
      </c>
      <c r="H6678" s="24">
        <v>26670</v>
      </c>
      <c r="I6678" s="24">
        <f>T_reg.root.SK[[#This Row],[Volume, kg]]/1000</f>
        <v>26.67</v>
      </c>
      <c r="J6678" s="25">
        <v>0.2457</v>
      </c>
      <c r="K6678" s="25">
        <f t="shared" si="105"/>
        <v>6552.8190000000004</v>
      </c>
      <c r="L6678" s="25">
        <v>2.2400000000000002</v>
      </c>
      <c r="M6678" s="24">
        <v>59712.5</v>
      </c>
      <c r="N6678" s="25">
        <f>IFERROR(T_reg.root.SK[[#This Row],[Price]]/T_reg.root.SK[[#This Row],[Starch content]],"")</f>
        <v>9.116809116809117</v>
      </c>
    </row>
    <row r="6679" spans="1:14">
      <c r="A6679" s="21">
        <v>2025</v>
      </c>
      <c r="B6679" s="21" t="s">
        <v>27</v>
      </c>
      <c r="C6679" s="21" t="s">
        <v>1145</v>
      </c>
      <c r="D6679" s="21" t="s">
        <v>35</v>
      </c>
      <c r="E6679" s="17" t="s">
        <v>932</v>
      </c>
      <c r="F6679" s="17" t="s">
        <v>105</v>
      </c>
      <c r="G6679" s="18" t="s">
        <v>48</v>
      </c>
      <c r="H6679" s="24">
        <v>51150</v>
      </c>
      <c r="I6679" s="24">
        <f>T_reg.root.SK[[#This Row],[Volume, kg]]/1000</f>
        <v>51.15</v>
      </c>
      <c r="J6679" s="25">
        <v>0.23649999999999999</v>
      </c>
      <c r="K6679" s="25">
        <f t="shared" si="105"/>
        <v>12096.974999999999</v>
      </c>
      <c r="L6679" s="25">
        <v>2.23</v>
      </c>
      <c r="M6679" s="24">
        <v>114304.5</v>
      </c>
      <c r="N6679" s="25">
        <f>IFERROR(T_reg.root.SK[[#This Row],[Price]]/T_reg.root.SK[[#This Row],[Starch content]],"")</f>
        <v>9.4291754756871047</v>
      </c>
    </row>
    <row r="6680" spans="1:14">
      <c r="A6680" s="21">
        <v>2025</v>
      </c>
      <c r="B6680" s="21" t="s">
        <v>27</v>
      </c>
      <c r="C6680" s="21" t="s">
        <v>1145</v>
      </c>
      <c r="D6680" s="21" t="s">
        <v>35</v>
      </c>
      <c r="E6680" s="17" t="s">
        <v>972</v>
      </c>
      <c r="F6680" s="17" t="s">
        <v>973</v>
      </c>
      <c r="G6680" s="18" t="s">
        <v>48</v>
      </c>
      <c r="H6680" s="24">
        <v>54010</v>
      </c>
      <c r="I6680" s="24">
        <f>T_reg.root.SK[[#This Row],[Volume, kg]]/1000</f>
        <v>54.01</v>
      </c>
      <c r="J6680" s="25">
        <v>0.23519999999999999</v>
      </c>
      <c r="K6680" s="25">
        <f t="shared" si="105"/>
        <v>12703.152</v>
      </c>
      <c r="L6680" s="25">
        <v>2.21</v>
      </c>
      <c r="M6680" s="24">
        <v>119219.5</v>
      </c>
      <c r="N6680" s="25">
        <f>IFERROR(T_reg.root.SK[[#This Row],[Price]]/T_reg.root.SK[[#This Row],[Starch content]],"")</f>
        <v>9.396258503401361</v>
      </c>
    </row>
    <row r="6681" spans="1:14">
      <c r="A6681" s="21">
        <v>2025</v>
      </c>
      <c r="B6681" s="21" t="s">
        <v>27</v>
      </c>
      <c r="C6681" s="21" t="s">
        <v>1145</v>
      </c>
      <c r="D6681" s="21" t="s">
        <v>35</v>
      </c>
      <c r="E6681" s="17" t="s">
        <v>1082</v>
      </c>
      <c r="F6681" s="17" t="s">
        <v>105</v>
      </c>
      <c r="G6681" s="18" t="s">
        <v>48</v>
      </c>
      <c r="H6681" s="24">
        <v>18580</v>
      </c>
      <c r="I6681" s="24">
        <f>T_reg.root.SK[[#This Row],[Volume, kg]]/1000</f>
        <v>18.579999999999998</v>
      </c>
      <c r="J6681" s="25">
        <v>0.25690000000000002</v>
      </c>
      <c r="K6681" s="25">
        <f t="shared" si="105"/>
        <v>4773.2020000000002</v>
      </c>
      <c r="L6681" s="25">
        <v>2.3199999999999998</v>
      </c>
      <c r="M6681" s="24">
        <v>43157.5</v>
      </c>
      <c r="N6681" s="25">
        <f>IFERROR(T_reg.root.SK[[#This Row],[Price]]/T_reg.root.SK[[#This Row],[Starch content]],"")</f>
        <v>9.0307512650836888</v>
      </c>
    </row>
    <row r="6682" spans="1:14">
      <c r="A6682" s="21">
        <v>2025</v>
      </c>
      <c r="B6682" s="21" t="s">
        <v>27</v>
      </c>
      <c r="C6682" s="21" t="s">
        <v>1145</v>
      </c>
      <c r="D6682" s="21" t="s">
        <v>35</v>
      </c>
      <c r="E6682" s="17" t="s">
        <v>199</v>
      </c>
      <c r="F6682" s="17" t="s">
        <v>187</v>
      </c>
      <c r="G6682" s="18" t="s">
        <v>48</v>
      </c>
      <c r="H6682" s="24">
        <v>41840</v>
      </c>
      <c r="I6682" s="24">
        <f>T_reg.root.SK[[#This Row],[Volume, kg]]/1000</f>
        <v>41.84</v>
      </c>
      <c r="J6682" s="25">
        <v>0.2291</v>
      </c>
      <c r="K6682" s="25">
        <f t="shared" si="105"/>
        <v>9585.5439999999999</v>
      </c>
      <c r="L6682" s="25">
        <v>2.14</v>
      </c>
      <c r="M6682" s="24">
        <v>89718.5</v>
      </c>
      <c r="N6682" s="25">
        <f>IFERROR(T_reg.root.SK[[#This Row],[Price]]/T_reg.root.SK[[#This Row],[Starch content]],"")</f>
        <v>9.3408991706678304</v>
      </c>
    </row>
    <row r="6683" spans="1:14">
      <c r="A6683" s="21">
        <v>2025</v>
      </c>
      <c r="B6683" s="21" t="s">
        <v>27</v>
      </c>
      <c r="C6683" s="21" t="s">
        <v>1145</v>
      </c>
      <c r="D6683" s="21" t="s">
        <v>35</v>
      </c>
      <c r="E6683" s="17" t="s">
        <v>493</v>
      </c>
      <c r="F6683" s="17" t="s">
        <v>105</v>
      </c>
      <c r="G6683" s="18" t="s">
        <v>48</v>
      </c>
      <c r="H6683" s="24">
        <v>78360</v>
      </c>
      <c r="I6683" s="24">
        <f>T_reg.root.SK[[#This Row],[Volume, kg]]/1000</f>
        <v>78.36</v>
      </c>
      <c r="J6683" s="25">
        <v>0.23929999999999998</v>
      </c>
      <c r="K6683" s="25">
        <f t="shared" si="105"/>
        <v>18751.547999999999</v>
      </c>
      <c r="L6683" s="25">
        <v>2.19</v>
      </c>
      <c r="M6683" s="24">
        <v>171859.5</v>
      </c>
      <c r="N6683" s="25">
        <f>IFERROR(T_reg.root.SK[[#This Row],[Price]]/T_reg.root.SK[[#This Row],[Starch content]],"")</f>
        <v>9.1516924362724623</v>
      </c>
    </row>
    <row r="6684" spans="1:14">
      <c r="A6684" s="21">
        <v>2025</v>
      </c>
      <c r="B6684" s="21" t="s">
        <v>27</v>
      </c>
      <c r="C6684" s="21" t="s">
        <v>1145</v>
      </c>
      <c r="D6684" s="21" t="s">
        <v>39</v>
      </c>
      <c r="E6684" s="17" t="s">
        <v>1063</v>
      </c>
      <c r="F6684" s="17" t="s">
        <v>1064</v>
      </c>
      <c r="G6684" s="18" t="s">
        <v>220</v>
      </c>
      <c r="H6684" s="24">
        <v>2185630</v>
      </c>
      <c r="I6684" s="24">
        <f>T_reg.root.SK[[#This Row],[Volume, kg]]/1000</f>
        <v>2185.63</v>
      </c>
      <c r="J6684" s="25">
        <v>0.249</v>
      </c>
      <c r="K6684" s="25">
        <f t="shared" si="105"/>
        <v>544221.87</v>
      </c>
      <c r="L6684" s="25">
        <v>2.5299999999999998</v>
      </c>
      <c r="M6684" s="24">
        <v>5537075.5</v>
      </c>
      <c r="N6684" s="25">
        <f>IFERROR(T_reg.root.SK[[#This Row],[Price]]/T_reg.root.SK[[#This Row],[Starch content]],"")</f>
        <v>10.160642570281123</v>
      </c>
    </row>
    <row r="6685" spans="1:14">
      <c r="A6685" s="21">
        <v>2025</v>
      </c>
      <c r="B6685" s="21" t="s">
        <v>27</v>
      </c>
      <c r="C6685" s="21" t="s">
        <v>1145</v>
      </c>
      <c r="D6685" s="21" t="s">
        <v>35</v>
      </c>
      <c r="E6685" s="17" t="s">
        <v>494</v>
      </c>
      <c r="F6685" s="17" t="s">
        <v>105</v>
      </c>
      <c r="G6685" s="18" t="s">
        <v>48</v>
      </c>
      <c r="H6685" s="24">
        <v>0</v>
      </c>
      <c r="I6685" s="24">
        <f>T_reg.root.SK[[#This Row],[Volume, kg]]/1000</f>
        <v>0</v>
      </c>
      <c r="J6685" s="25">
        <v>0</v>
      </c>
      <c r="K6685" s="25">
        <f t="shared" si="105"/>
        <v>0</v>
      </c>
      <c r="L6685" s="25">
        <v>0</v>
      </c>
      <c r="M6685" s="24">
        <v>0</v>
      </c>
      <c r="N6685" s="25" t="str">
        <f>IFERROR(T_reg.root.SK[[#This Row],[Price]]/T_reg.root.SK[[#This Row],[Starch content]],"")</f>
        <v/>
      </c>
    </row>
    <row r="6686" spans="1:14">
      <c r="A6686" s="21">
        <v>2025</v>
      </c>
      <c r="B6686" s="21" t="s">
        <v>27</v>
      </c>
      <c r="C6686" s="21" t="s">
        <v>1145</v>
      </c>
      <c r="D6686" s="21" t="s">
        <v>35</v>
      </c>
      <c r="E6686" s="17" t="s">
        <v>242</v>
      </c>
      <c r="F6686" s="17" t="s">
        <v>105</v>
      </c>
      <c r="G6686" s="18" t="s">
        <v>48</v>
      </c>
      <c r="H6686" s="24">
        <v>17460</v>
      </c>
      <c r="I6686" s="24">
        <f>T_reg.root.SK[[#This Row],[Volume, kg]]/1000</f>
        <v>17.46</v>
      </c>
      <c r="J6686" s="25">
        <v>0.20100000000000001</v>
      </c>
      <c r="K6686" s="25">
        <f t="shared" si="105"/>
        <v>3509.46</v>
      </c>
      <c r="L6686" s="25">
        <v>1.99</v>
      </c>
      <c r="M6686" s="24">
        <v>34666.5</v>
      </c>
      <c r="N6686" s="25">
        <f>IFERROR(T_reg.root.SK[[#This Row],[Price]]/T_reg.root.SK[[#This Row],[Starch content]],"")</f>
        <v>9.900497512437811</v>
      </c>
    </row>
    <row r="6687" spans="1:14">
      <c r="A6687" s="21">
        <v>2025</v>
      </c>
      <c r="B6687" s="21" t="s">
        <v>27</v>
      </c>
      <c r="C6687" s="21" t="s">
        <v>1145</v>
      </c>
      <c r="D6687" s="21" t="s">
        <v>35</v>
      </c>
      <c r="E6687" s="17" t="s">
        <v>138</v>
      </c>
      <c r="F6687" s="17" t="s">
        <v>105</v>
      </c>
      <c r="G6687" s="18" t="s">
        <v>48</v>
      </c>
      <c r="H6687" s="24">
        <v>39820</v>
      </c>
      <c r="I6687" s="24">
        <f>T_reg.root.SK[[#This Row],[Volume, kg]]/1000</f>
        <v>39.82</v>
      </c>
      <c r="J6687" s="25">
        <v>0.25609999999999999</v>
      </c>
      <c r="K6687" s="25">
        <f t="shared" si="105"/>
        <v>10197.902</v>
      </c>
      <c r="L6687" s="25">
        <v>2.2799999999999998</v>
      </c>
      <c r="M6687" s="24">
        <v>90903</v>
      </c>
      <c r="N6687" s="25">
        <f>IFERROR(T_reg.root.SK[[#This Row],[Price]]/T_reg.root.SK[[#This Row],[Starch content]],"")</f>
        <v>8.9027723545490041</v>
      </c>
    </row>
    <row r="6688" spans="1:14">
      <c r="A6688" s="21">
        <v>2025</v>
      </c>
      <c r="B6688" s="21" t="s">
        <v>27</v>
      </c>
      <c r="C6688" s="21" t="s">
        <v>1145</v>
      </c>
      <c r="D6688" s="21" t="s">
        <v>35</v>
      </c>
      <c r="E6688" s="17" t="s">
        <v>468</v>
      </c>
      <c r="F6688" s="17" t="s">
        <v>47</v>
      </c>
      <c r="G6688" s="18" t="s">
        <v>48</v>
      </c>
      <c r="H6688" s="24">
        <v>4400</v>
      </c>
      <c r="I6688" s="24">
        <f>T_reg.root.SK[[#This Row],[Volume, kg]]/1000</f>
        <v>4.4000000000000004</v>
      </c>
      <c r="J6688" s="25">
        <v>0.2455</v>
      </c>
      <c r="K6688" s="25">
        <f t="shared" si="105"/>
        <v>1080.2</v>
      </c>
      <c r="L6688" s="25">
        <v>2.2999999999999998</v>
      </c>
      <c r="M6688" s="24">
        <v>10120</v>
      </c>
      <c r="N6688" s="25">
        <f>IFERROR(T_reg.root.SK[[#This Row],[Price]]/T_reg.root.SK[[#This Row],[Starch content]],"")</f>
        <v>9.3686354378818724</v>
      </c>
    </row>
    <row r="6689" spans="1:14">
      <c r="A6689" s="21">
        <v>2025</v>
      </c>
      <c r="B6689" s="21" t="s">
        <v>27</v>
      </c>
      <c r="C6689" s="21" t="s">
        <v>1145</v>
      </c>
      <c r="D6689" s="21" t="s">
        <v>35</v>
      </c>
      <c r="E6689" s="17" t="s">
        <v>201</v>
      </c>
      <c r="F6689" s="17" t="s">
        <v>187</v>
      </c>
      <c r="G6689" s="18" t="s">
        <v>48</v>
      </c>
      <c r="H6689" s="24">
        <v>74220</v>
      </c>
      <c r="I6689" s="24">
        <f>T_reg.root.SK[[#This Row],[Volume, kg]]/1000</f>
        <v>74.22</v>
      </c>
      <c r="J6689" s="25">
        <v>0.21579999999999999</v>
      </c>
      <c r="K6689" s="25">
        <f t="shared" si="105"/>
        <v>16016.675999999999</v>
      </c>
      <c r="L6689" s="25">
        <v>2.1</v>
      </c>
      <c r="M6689" s="24">
        <v>155850</v>
      </c>
      <c r="N6689" s="25">
        <f>IFERROR(T_reg.root.SK[[#This Row],[Price]]/T_reg.root.SK[[#This Row],[Starch content]],"")</f>
        <v>9.7312326227988883</v>
      </c>
    </row>
    <row r="6690" spans="1:14">
      <c r="A6690" s="21">
        <v>2025</v>
      </c>
      <c r="B6690" s="21" t="s">
        <v>27</v>
      </c>
      <c r="C6690" s="21" t="s">
        <v>1145</v>
      </c>
      <c r="D6690" s="21" t="s">
        <v>35</v>
      </c>
      <c r="E6690" s="17" t="s">
        <v>702</v>
      </c>
      <c r="F6690" s="17" t="s">
        <v>187</v>
      </c>
      <c r="G6690" s="18" t="s">
        <v>48</v>
      </c>
      <c r="H6690" s="24">
        <v>15700</v>
      </c>
      <c r="I6690" s="24">
        <f>T_reg.root.SK[[#This Row],[Volume, kg]]/1000</f>
        <v>15.7</v>
      </c>
      <c r="J6690" s="25">
        <v>0.23829999999999998</v>
      </c>
      <c r="K6690" s="25">
        <f t="shared" si="105"/>
        <v>3741.31</v>
      </c>
      <c r="L6690" s="25">
        <v>2.25</v>
      </c>
      <c r="M6690" s="24">
        <v>35338</v>
      </c>
      <c r="N6690" s="25">
        <f>IFERROR(T_reg.root.SK[[#This Row],[Price]]/T_reg.root.SK[[#This Row],[Starch content]],"")</f>
        <v>9.4418799832144362</v>
      </c>
    </row>
    <row r="6691" spans="1:14">
      <c r="A6691" s="21">
        <v>2025</v>
      </c>
      <c r="B6691" s="21" t="s">
        <v>27</v>
      </c>
      <c r="C6691" s="21" t="s">
        <v>1145</v>
      </c>
      <c r="D6691" s="21" t="s">
        <v>35</v>
      </c>
      <c r="E6691" s="17" t="s">
        <v>303</v>
      </c>
      <c r="F6691" s="17" t="s">
        <v>105</v>
      </c>
      <c r="G6691" s="18" t="s">
        <v>48</v>
      </c>
      <c r="H6691" s="24">
        <v>73100</v>
      </c>
      <c r="I6691" s="24">
        <f>T_reg.root.SK[[#This Row],[Volume, kg]]/1000</f>
        <v>73.099999999999994</v>
      </c>
      <c r="J6691" s="25">
        <v>0.26450000000000001</v>
      </c>
      <c r="K6691" s="25">
        <f t="shared" si="105"/>
        <v>19334.95</v>
      </c>
      <c r="L6691" s="25">
        <v>2.37</v>
      </c>
      <c r="M6691" s="24">
        <v>172972.5</v>
      </c>
      <c r="N6691" s="25">
        <f>IFERROR(T_reg.root.SK[[#This Row],[Price]]/T_reg.root.SK[[#This Row],[Starch content]],"")</f>
        <v>8.9603024574669181</v>
      </c>
    </row>
    <row r="6692" spans="1:14">
      <c r="A6692" s="21">
        <v>2025</v>
      </c>
      <c r="B6692" s="21" t="s">
        <v>27</v>
      </c>
      <c r="C6692" s="21" t="s">
        <v>1145</v>
      </c>
      <c r="D6692" s="21" t="s">
        <v>35</v>
      </c>
      <c r="E6692" s="17" t="s">
        <v>719</v>
      </c>
      <c r="F6692" s="17" t="s">
        <v>105</v>
      </c>
      <c r="G6692" s="18" t="s">
        <v>48</v>
      </c>
      <c r="H6692" s="24">
        <v>11570</v>
      </c>
      <c r="I6692" s="24">
        <f>T_reg.root.SK[[#This Row],[Volume, kg]]/1000</f>
        <v>11.57</v>
      </c>
      <c r="J6692" s="25">
        <v>0.249</v>
      </c>
      <c r="K6692" s="25">
        <f t="shared" si="105"/>
        <v>2880.93</v>
      </c>
      <c r="L6692" s="25">
        <v>2.25</v>
      </c>
      <c r="M6692" s="24">
        <v>26032.5</v>
      </c>
      <c r="N6692" s="25">
        <f>IFERROR(T_reg.root.SK[[#This Row],[Price]]/T_reg.root.SK[[#This Row],[Starch content]],"")</f>
        <v>9.0361445783132535</v>
      </c>
    </row>
    <row r="6693" spans="1:14">
      <c r="A6693" s="21">
        <v>2025</v>
      </c>
      <c r="B6693" s="21" t="s">
        <v>27</v>
      </c>
      <c r="C6693" s="21" t="s">
        <v>1145</v>
      </c>
      <c r="D6693" s="21" t="s">
        <v>35</v>
      </c>
      <c r="E6693" s="17" t="s">
        <v>62</v>
      </c>
      <c r="F6693" s="17" t="s">
        <v>47</v>
      </c>
      <c r="G6693" s="18" t="s">
        <v>48</v>
      </c>
      <c r="H6693" s="24">
        <v>321920</v>
      </c>
      <c r="I6693" s="24">
        <f>T_reg.root.SK[[#This Row],[Volume, kg]]/1000</f>
        <v>321.92</v>
      </c>
      <c r="J6693" s="25">
        <v>0.21129999999999999</v>
      </c>
      <c r="K6693" s="25">
        <f t="shared" si="105"/>
        <v>68021.695999999996</v>
      </c>
      <c r="L6693" s="25">
        <v>2.0699999999999998</v>
      </c>
      <c r="M6693" s="24">
        <v>666989.5</v>
      </c>
      <c r="N6693" s="25">
        <f>IFERROR(T_reg.root.SK[[#This Row],[Price]]/T_reg.root.SK[[#This Row],[Starch content]],"")</f>
        <v>9.7964978703265491</v>
      </c>
    </row>
    <row r="6694" spans="1:14">
      <c r="A6694" s="21">
        <v>2025</v>
      </c>
      <c r="B6694" s="21" t="s">
        <v>27</v>
      </c>
      <c r="C6694" s="21" t="s">
        <v>1145</v>
      </c>
      <c r="D6694" s="21" t="s">
        <v>35</v>
      </c>
      <c r="E6694" s="17" t="s">
        <v>1003</v>
      </c>
      <c r="F6694" s="17" t="s">
        <v>105</v>
      </c>
      <c r="G6694" s="18" t="s">
        <v>48</v>
      </c>
      <c r="H6694" s="24">
        <v>33510</v>
      </c>
      <c r="I6694" s="24">
        <f>T_reg.root.SK[[#This Row],[Volume, kg]]/1000</f>
        <v>33.51</v>
      </c>
      <c r="J6694" s="25">
        <v>0.2581</v>
      </c>
      <c r="K6694" s="25">
        <f t="shared" si="105"/>
        <v>8648.9310000000005</v>
      </c>
      <c r="L6694" s="25">
        <v>2.2799999999999998</v>
      </c>
      <c r="M6694" s="24">
        <v>76559</v>
      </c>
      <c r="N6694" s="25">
        <f>IFERROR(T_reg.root.SK[[#This Row],[Price]]/T_reg.root.SK[[#This Row],[Starch content]],"")</f>
        <v>8.8337853545137541</v>
      </c>
    </row>
    <row r="6695" spans="1:14">
      <c r="A6695" s="21">
        <v>2025</v>
      </c>
      <c r="B6695" s="21" t="s">
        <v>27</v>
      </c>
      <c r="C6695" s="21" t="s">
        <v>1145</v>
      </c>
      <c r="D6695" s="21" t="s">
        <v>35</v>
      </c>
      <c r="E6695" s="17" t="s">
        <v>308</v>
      </c>
      <c r="F6695" s="17" t="s">
        <v>105</v>
      </c>
      <c r="G6695" s="18" t="s">
        <v>48</v>
      </c>
      <c r="H6695" s="24">
        <v>24470</v>
      </c>
      <c r="I6695" s="24">
        <f>T_reg.root.SK[[#This Row],[Volume, kg]]/1000</f>
        <v>24.47</v>
      </c>
      <c r="J6695" s="25">
        <v>0.28660000000000002</v>
      </c>
      <c r="K6695" s="25">
        <f t="shared" si="105"/>
        <v>7013.1020000000008</v>
      </c>
      <c r="L6695" s="25">
        <v>2.44</v>
      </c>
      <c r="M6695" s="24">
        <v>59639.5</v>
      </c>
      <c r="N6695" s="25">
        <f>IFERROR(T_reg.root.SK[[#This Row],[Price]]/T_reg.root.SK[[#This Row],[Starch content]],"")</f>
        <v>8.5136078157711079</v>
      </c>
    </row>
    <row r="6696" spans="1:14">
      <c r="A6696" s="21">
        <v>2025</v>
      </c>
      <c r="B6696" s="21" t="s">
        <v>27</v>
      </c>
      <c r="C6696" s="21" t="s">
        <v>1145</v>
      </c>
      <c r="D6696" s="21" t="s">
        <v>35</v>
      </c>
      <c r="E6696" s="17" t="s">
        <v>593</v>
      </c>
      <c r="F6696" s="17" t="s">
        <v>187</v>
      </c>
      <c r="G6696" s="18" t="s">
        <v>48</v>
      </c>
      <c r="H6696" s="24">
        <v>71240</v>
      </c>
      <c r="I6696" s="24">
        <f>T_reg.root.SK[[#This Row],[Volume, kg]]/1000</f>
        <v>71.239999999999995</v>
      </c>
      <c r="J6696" s="25">
        <v>0.2341</v>
      </c>
      <c r="K6696" s="25">
        <f t="shared" si="105"/>
        <v>16677.284</v>
      </c>
      <c r="L6696" s="25">
        <v>2.1800000000000002</v>
      </c>
      <c r="M6696" s="24">
        <v>155041.5</v>
      </c>
      <c r="N6696" s="25">
        <f>IFERROR(T_reg.root.SK[[#This Row],[Price]]/T_reg.root.SK[[#This Row],[Starch content]],"")</f>
        <v>9.3122597180692015</v>
      </c>
    </row>
    <row r="6697" spans="1:14">
      <c r="A6697" s="21">
        <v>2025</v>
      </c>
      <c r="B6697" s="21" t="s">
        <v>27</v>
      </c>
      <c r="C6697" s="21" t="s">
        <v>1145</v>
      </c>
      <c r="D6697" s="21" t="s">
        <v>35</v>
      </c>
      <c r="E6697" s="17" t="s">
        <v>637</v>
      </c>
      <c r="F6697" s="17" t="s">
        <v>105</v>
      </c>
      <c r="G6697" s="18" t="s">
        <v>48</v>
      </c>
      <c r="H6697" s="24">
        <v>28540</v>
      </c>
      <c r="I6697" s="24">
        <f>T_reg.root.SK[[#This Row],[Volume, kg]]/1000</f>
        <v>28.54</v>
      </c>
      <c r="J6697" s="25">
        <v>0.2671</v>
      </c>
      <c r="K6697" s="25">
        <f t="shared" si="105"/>
        <v>7623.0340000000006</v>
      </c>
      <c r="L6697" s="25">
        <v>2.29</v>
      </c>
      <c r="M6697" s="24">
        <v>65321</v>
      </c>
      <c r="N6697" s="25">
        <f>IFERROR(T_reg.root.SK[[#This Row],[Price]]/T_reg.root.SK[[#This Row],[Starch content]],"")</f>
        <v>8.5735679520778731</v>
      </c>
    </row>
    <row r="6698" spans="1:14">
      <c r="A6698" s="21">
        <v>2025</v>
      </c>
      <c r="B6698" s="21" t="s">
        <v>27</v>
      </c>
      <c r="C6698" s="21" t="s">
        <v>1145</v>
      </c>
      <c r="D6698" s="21" t="s">
        <v>39</v>
      </c>
      <c r="E6698" s="17" t="s">
        <v>1065</v>
      </c>
      <c r="F6698" s="17" t="s">
        <v>219</v>
      </c>
      <c r="G6698" s="18" t="s">
        <v>220</v>
      </c>
      <c r="H6698" s="24">
        <v>969210</v>
      </c>
      <c r="I6698" s="24">
        <f>T_reg.root.SK[[#This Row],[Volume, kg]]/1000</f>
        <v>969.21</v>
      </c>
      <c r="J6698" s="25">
        <v>0.23809999999999998</v>
      </c>
      <c r="K6698" s="25">
        <f t="shared" si="105"/>
        <v>230768.90099999998</v>
      </c>
      <c r="L6698" s="25">
        <v>2.4500000000000002</v>
      </c>
      <c r="M6698" s="24">
        <v>2372053</v>
      </c>
      <c r="N6698" s="25">
        <f>IFERROR(T_reg.root.SK[[#This Row],[Price]]/T_reg.root.SK[[#This Row],[Starch content]],"")</f>
        <v>10.289794204115919</v>
      </c>
    </row>
    <row r="6699" spans="1:14">
      <c r="A6699" s="21">
        <v>2025</v>
      </c>
      <c r="B6699" s="21" t="s">
        <v>27</v>
      </c>
      <c r="C6699" s="21" t="s">
        <v>1145</v>
      </c>
      <c r="D6699" s="21" t="s">
        <v>39</v>
      </c>
      <c r="E6699" s="17" t="s">
        <v>1071</v>
      </c>
      <c r="F6699" s="17" t="s">
        <v>1072</v>
      </c>
      <c r="G6699" s="18" t="s">
        <v>103</v>
      </c>
      <c r="H6699" s="24">
        <v>316810</v>
      </c>
      <c r="I6699" s="24">
        <f>T_reg.root.SK[[#This Row],[Volume, kg]]/1000</f>
        <v>316.81</v>
      </c>
      <c r="J6699" s="25">
        <v>0.24960000000000002</v>
      </c>
      <c r="K6699" s="25">
        <f t="shared" si="105"/>
        <v>79075.775999999998</v>
      </c>
      <c r="L6699" s="25">
        <v>2.5</v>
      </c>
      <c r="M6699" s="24">
        <v>790663</v>
      </c>
      <c r="N6699" s="25">
        <f>IFERROR(T_reg.root.SK[[#This Row],[Price]]/T_reg.root.SK[[#This Row],[Starch content]],"")</f>
        <v>10.016025641025641</v>
      </c>
    </row>
    <row r="6700" spans="1:14">
      <c r="A6700" s="21">
        <v>2025</v>
      </c>
      <c r="B6700" s="21" t="s">
        <v>27</v>
      </c>
      <c r="C6700" s="21" t="s">
        <v>1145</v>
      </c>
      <c r="D6700" s="21" t="s">
        <v>35</v>
      </c>
      <c r="E6700" s="17" t="s">
        <v>245</v>
      </c>
      <c r="F6700" s="17" t="s">
        <v>105</v>
      </c>
      <c r="G6700" s="18" t="s">
        <v>48</v>
      </c>
      <c r="H6700" s="24">
        <v>43680</v>
      </c>
      <c r="I6700" s="24">
        <f>T_reg.root.SK[[#This Row],[Volume, kg]]/1000</f>
        <v>43.68</v>
      </c>
      <c r="J6700" s="25">
        <v>0.2321</v>
      </c>
      <c r="K6700" s="25">
        <f t="shared" si="105"/>
        <v>10138.128000000001</v>
      </c>
      <c r="L6700" s="25">
        <v>2.16</v>
      </c>
      <c r="M6700" s="24">
        <v>94438</v>
      </c>
      <c r="N6700" s="25">
        <f>IFERROR(T_reg.root.SK[[#This Row],[Price]]/T_reg.root.SK[[#This Row],[Starch content]],"")</f>
        <v>9.3063334769495913</v>
      </c>
    </row>
    <row r="6701" spans="1:14">
      <c r="A6701" s="21">
        <v>2025</v>
      </c>
      <c r="B6701" s="21" t="s">
        <v>27</v>
      </c>
      <c r="C6701" s="21" t="s">
        <v>1145</v>
      </c>
      <c r="D6701" s="21" t="s">
        <v>35</v>
      </c>
      <c r="E6701" s="17" t="s">
        <v>951</v>
      </c>
      <c r="F6701" s="17" t="s">
        <v>105</v>
      </c>
      <c r="G6701" s="18" t="s">
        <v>48</v>
      </c>
      <c r="H6701" s="24">
        <v>7900</v>
      </c>
      <c r="I6701" s="24">
        <f>T_reg.root.SK[[#This Row],[Volume, kg]]/1000</f>
        <v>7.9</v>
      </c>
      <c r="J6701" s="25">
        <v>0.26250000000000001</v>
      </c>
      <c r="K6701" s="25">
        <f t="shared" si="105"/>
        <v>2073.75</v>
      </c>
      <c r="L6701" s="25">
        <v>2.2999999999999998</v>
      </c>
      <c r="M6701" s="24">
        <v>18170</v>
      </c>
      <c r="N6701" s="25">
        <f>IFERROR(T_reg.root.SK[[#This Row],[Price]]/T_reg.root.SK[[#This Row],[Starch content]],"")</f>
        <v>8.761904761904761</v>
      </c>
    </row>
    <row r="6702" spans="1:14">
      <c r="A6702" s="21">
        <v>2025</v>
      </c>
      <c r="B6702" s="21" t="s">
        <v>27</v>
      </c>
      <c r="C6702" s="21" t="s">
        <v>1145</v>
      </c>
      <c r="D6702" s="21" t="s">
        <v>35</v>
      </c>
      <c r="E6702" s="17" t="s">
        <v>497</v>
      </c>
      <c r="F6702" s="17" t="s">
        <v>105</v>
      </c>
      <c r="G6702" s="18" t="s">
        <v>48</v>
      </c>
      <c r="H6702" s="24">
        <v>11680</v>
      </c>
      <c r="I6702" s="24">
        <f>T_reg.root.SK[[#This Row],[Volume, kg]]/1000</f>
        <v>11.68</v>
      </c>
      <c r="J6702" s="25">
        <v>0.2382</v>
      </c>
      <c r="K6702" s="25">
        <f t="shared" si="105"/>
        <v>2782.1759999999999</v>
      </c>
      <c r="L6702" s="25">
        <v>2.2200000000000002</v>
      </c>
      <c r="M6702" s="24">
        <v>25872</v>
      </c>
      <c r="N6702" s="25">
        <f>IFERROR(T_reg.root.SK[[#This Row],[Price]]/T_reg.root.SK[[#This Row],[Starch content]],"")</f>
        <v>9.3198992443324951</v>
      </c>
    </row>
    <row r="6703" spans="1:14">
      <c r="A6703" s="21">
        <v>2025</v>
      </c>
      <c r="B6703" s="21" t="s">
        <v>27</v>
      </c>
      <c r="C6703" s="21" t="s">
        <v>1145</v>
      </c>
      <c r="D6703" s="21" t="s">
        <v>35</v>
      </c>
      <c r="E6703" s="17" t="s">
        <v>63</v>
      </c>
      <c r="F6703" s="17" t="s">
        <v>47</v>
      </c>
      <c r="G6703" s="18" t="s">
        <v>48</v>
      </c>
      <c r="H6703" s="24">
        <v>6590</v>
      </c>
      <c r="I6703" s="24">
        <f>T_reg.root.SK[[#This Row],[Volume, kg]]/1000</f>
        <v>6.59</v>
      </c>
      <c r="J6703" s="25">
        <v>0.18600000000000003</v>
      </c>
      <c r="K6703" s="25">
        <f t="shared" si="105"/>
        <v>1225.7400000000002</v>
      </c>
      <c r="L6703" s="25">
        <v>1.9</v>
      </c>
      <c r="M6703" s="24">
        <v>12521</v>
      </c>
      <c r="N6703" s="25">
        <f>IFERROR(T_reg.root.SK[[#This Row],[Price]]/T_reg.root.SK[[#This Row],[Starch content]],"")</f>
        <v>10.215053763440858</v>
      </c>
    </row>
    <row r="6704" spans="1:14">
      <c r="A6704" s="21">
        <v>2025</v>
      </c>
      <c r="B6704" s="21" t="s">
        <v>27</v>
      </c>
      <c r="C6704" s="21" t="s">
        <v>1145</v>
      </c>
      <c r="D6704" s="21" t="s">
        <v>35</v>
      </c>
      <c r="E6704" s="17" t="s">
        <v>310</v>
      </c>
      <c r="F6704" s="17" t="s">
        <v>105</v>
      </c>
      <c r="G6704" s="18" t="s">
        <v>48</v>
      </c>
      <c r="H6704" s="24">
        <v>6340</v>
      </c>
      <c r="I6704" s="24">
        <f>T_reg.root.SK[[#This Row],[Volume, kg]]/1000</f>
        <v>6.34</v>
      </c>
      <c r="J6704" s="25">
        <v>0.28350000000000003</v>
      </c>
      <c r="K6704" s="25">
        <f t="shared" si="105"/>
        <v>1797.39</v>
      </c>
      <c r="L6704" s="25">
        <v>2.4</v>
      </c>
      <c r="M6704" s="24">
        <v>15216</v>
      </c>
      <c r="N6704" s="25">
        <f>IFERROR(T_reg.root.SK[[#This Row],[Price]]/T_reg.root.SK[[#This Row],[Starch content]],"")</f>
        <v>8.4656084656084651</v>
      </c>
    </row>
    <row r="6705" spans="1:14">
      <c r="A6705" s="21">
        <v>2025</v>
      </c>
      <c r="B6705" s="21" t="s">
        <v>27</v>
      </c>
      <c r="C6705" s="21" t="s">
        <v>1145</v>
      </c>
      <c r="D6705" s="21" t="s">
        <v>35</v>
      </c>
      <c r="E6705" s="17" t="s">
        <v>247</v>
      </c>
      <c r="F6705" s="17" t="s">
        <v>105</v>
      </c>
      <c r="G6705" s="18" t="s">
        <v>48</v>
      </c>
      <c r="H6705" s="24">
        <v>74090</v>
      </c>
      <c r="I6705" s="24">
        <f>T_reg.root.SK[[#This Row],[Volume, kg]]/1000</f>
        <v>74.09</v>
      </c>
      <c r="J6705" s="25">
        <v>0.24</v>
      </c>
      <c r="K6705" s="25">
        <f t="shared" si="105"/>
        <v>17781.599999999999</v>
      </c>
      <c r="L6705" s="25">
        <v>2.2000000000000002</v>
      </c>
      <c r="M6705" s="24">
        <v>163092.5</v>
      </c>
      <c r="N6705" s="25">
        <f>IFERROR(T_reg.root.SK[[#This Row],[Price]]/T_reg.root.SK[[#This Row],[Starch content]],"")</f>
        <v>9.1666666666666679</v>
      </c>
    </row>
    <row r="6706" spans="1:14">
      <c r="A6706" s="21">
        <v>2025</v>
      </c>
      <c r="B6706" s="21" t="s">
        <v>27</v>
      </c>
      <c r="C6706" s="21" t="s">
        <v>1145</v>
      </c>
      <c r="D6706" s="21" t="s">
        <v>35</v>
      </c>
      <c r="E6706" s="17" t="s">
        <v>340</v>
      </c>
      <c r="F6706" s="17" t="s">
        <v>47</v>
      </c>
      <c r="G6706" s="18" t="s">
        <v>48</v>
      </c>
      <c r="H6706" s="24">
        <v>19500</v>
      </c>
      <c r="I6706" s="24">
        <f>T_reg.root.SK[[#This Row],[Volume, kg]]/1000</f>
        <v>19.5</v>
      </c>
      <c r="J6706" s="25">
        <v>0.23329999999999998</v>
      </c>
      <c r="K6706" s="25">
        <f t="shared" si="105"/>
        <v>4549.3499999999995</v>
      </c>
      <c r="L6706" s="25">
        <v>2.13</v>
      </c>
      <c r="M6706" s="24">
        <v>41439</v>
      </c>
      <c r="N6706" s="25">
        <f>IFERROR(T_reg.root.SK[[#This Row],[Price]]/T_reg.root.SK[[#This Row],[Starch content]],"")</f>
        <v>9.1298756965280763</v>
      </c>
    </row>
    <row r="6707" spans="1:14">
      <c r="A6707" s="21">
        <v>2025</v>
      </c>
      <c r="B6707" s="21" t="s">
        <v>27</v>
      </c>
      <c r="C6707" s="21" t="s">
        <v>1145</v>
      </c>
      <c r="D6707" s="21" t="s">
        <v>35</v>
      </c>
      <c r="E6707" s="17" t="s">
        <v>676</v>
      </c>
      <c r="F6707" s="17" t="s">
        <v>47</v>
      </c>
      <c r="G6707" s="18" t="s">
        <v>48</v>
      </c>
      <c r="H6707" s="24">
        <v>16010</v>
      </c>
      <c r="I6707" s="24">
        <f>T_reg.root.SK[[#This Row],[Volume, kg]]/1000</f>
        <v>16.010000000000002</v>
      </c>
      <c r="J6707" s="25">
        <v>0.22570000000000001</v>
      </c>
      <c r="K6707" s="25">
        <f t="shared" si="105"/>
        <v>3613.4570000000003</v>
      </c>
      <c r="L6707" s="25">
        <v>2.0699999999999998</v>
      </c>
      <c r="M6707" s="24">
        <v>33193</v>
      </c>
      <c r="N6707" s="25">
        <f>IFERROR(T_reg.root.SK[[#This Row],[Price]]/T_reg.root.SK[[#This Row],[Starch content]],"")</f>
        <v>9.1714665485157276</v>
      </c>
    </row>
    <row r="6708" spans="1:14">
      <c r="A6708" s="21">
        <v>2025</v>
      </c>
      <c r="B6708" s="21" t="s">
        <v>27</v>
      </c>
      <c r="C6708" s="21" t="s">
        <v>1145</v>
      </c>
      <c r="D6708" s="21" t="s">
        <v>35</v>
      </c>
      <c r="E6708" s="17" t="s">
        <v>142</v>
      </c>
      <c r="F6708" s="17" t="s">
        <v>105</v>
      </c>
      <c r="G6708" s="18" t="s">
        <v>48</v>
      </c>
      <c r="H6708" s="24">
        <v>8800</v>
      </c>
      <c r="I6708" s="24">
        <f>T_reg.root.SK[[#This Row],[Volume, kg]]/1000</f>
        <v>8.8000000000000007</v>
      </c>
      <c r="J6708" s="25">
        <v>0.2515</v>
      </c>
      <c r="K6708" s="25">
        <f t="shared" si="105"/>
        <v>2213.1999999999998</v>
      </c>
      <c r="L6708" s="25">
        <v>2.25</v>
      </c>
      <c r="M6708" s="24">
        <v>19800</v>
      </c>
      <c r="N6708" s="25">
        <f>IFERROR(T_reg.root.SK[[#This Row],[Price]]/T_reg.root.SK[[#This Row],[Starch content]],"")</f>
        <v>8.9463220675944335</v>
      </c>
    </row>
    <row r="6709" spans="1:14">
      <c r="A6709" s="21">
        <v>2025</v>
      </c>
      <c r="B6709" s="21" t="s">
        <v>27</v>
      </c>
      <c r="C6709" s="21" t="s">
        <v>1145</v>
      </c>
      <c r="D6709" s="21" t="s">
        <v>35</v>
      </c>
      <c r="E6709" s="17" t="s">
        <v>469</v>
      </c>
      <c r="F6709" s="17" t="s">
        <v>47</v>
      </c>
      <c r="G6709" s="18" t="s">
        <v>48</v>
      </c>
      <c r="H6709" s="24">
        <v>9370</v>
      </c>
      <c r="I6709" s="24">
        <f>T_reg.root.SK[[#This Row],[Volume, kg]]/1000</f>
        <v>9.3699999999999992</v>
      </c>
      <c r="J6709" s="25">
        <v>0.19829999999999998</v>
      </c>
      <c r="K6709" s="25">
        <f t="shared" si="105"/>
        <v>1858.0709999999997</v>
      </c>
      <c r="L6709" s="25">
        <v>2</v>
      </c>
      <c r="M6709" s="24">
        <v>18740</v>
      </c>
      <c r="N6709" s="25">
        <f>IFERROR(T_reg.root.SK[[#This Row],[Price]]/T_reg.root.SK[[#This Row],[Starch content]],"")</f>
        <v>10.085728693898135</v>
      </c>
    </row>
    <row r="6710" spans="1:14">
      <c r="A6710" s="21">
        <v>2025</v>
      </c>
      <c r="B6710" s="21" t="s">
        <v>27</v>
      </c>
      <c r="C6710" s="21" t="s">
        <v>1145</v>
      </c>
      <c r="D6710" s="21" t="s">
        <v>35</v>
      </c>
      <c r="E6710" s="17" t="s">
        <v>64</v>
      </c>
      <c r="F6710" s="17" t="s">
        <v>47</v>
      </c>
      <c r="G6710" s="18" t="s">
        <v>48</v>
      </c>
      <c r="H6710" s="24">
        <v>19200</v>
      </c>
      <c r="I6710" s="24">
        <f>T_reg.root.SK[[#This Row],[Volume, kg]]/1000</f>
        <v>19.2</v>
      </c>
      <c r="J6710" s="25">
        <v>0.20449999999999999</v>
      </c>
      <c r="K6710" s="25">
        <f t="shared" si="105"/>
        <v>3926.3999999999996</v>
      </c>
      <c r="L6710" s="25">
        <v>2.0299999999999998</v>
      </c>
      <c r="M6710" s="24">
        <v>38885.5</v>
      </c>
      <c r="N6710" s="25">
        <f>IFERROR(T_reg.root.SK[[#This Row],[Price]]/T_reg.root.SK[[#This Row],[Starch content]],"")</f>
        <v>9.9266503667481665</v>
      </c>
    </row>
    <row r="6711" spans="1:14">
      <c r="A6711" s="21">
        <v>2025</v>
      </c>
      <c r="B6711" s="21" t="s">
        <v>27</v>
      </c>
      <c r="C6711" s="21" t="s">
        <v>1145</v>
      </c>
      <c r="D6711" s="21" t="s">
        <v>35</v>
      </c>
      <c r="E6711" s="17" t="s">
        <v>646</v>
      </c>
      <c r="F6711" s="17" t="s">
        <v>105</v>
      </c>
      <c r="G6711" s="18" t="s">
        <v>48</v>
      </c>
      <c r="H6711" s="24">
        <v>78920</v>
      </c>
      <c r="I6711" s="24">
        <f>T_reg.root.SK[[#This Row],[Volume, kg]]/1000</f>
        <v>78.92</v>
      </c>
      <c r="J6711" s="25">
        <v>0.26300000000000001</v>
      </c>
      <c r="K6711" s="25">
        <f t="shared" si="105"/>
        <v>20755.96</v>
      </c>
      <c r="L6711" s="25">
        <v>2.27</v>
      </c>
      <c r="M6711" s="24">
        <v>179423</v>
      </c>
      <c r="N6711" s="25">
        <f>IFERROR(T_reg.root.SK[[#This Row],[Price]]/T_reg.root.SK[[#This Row],[Starch content]],"")</f>
        <v>8.6311787072243344</v>
      </c>
    </row>
    <row r="6712" spans="1:14">
      <c r="A6712" s="21">
        <v>2025</v>
      </c>
      <c r="B6712" s="21" t="s">
        <v>27</v>
      </c>
      <c r="C6712" s="21" t="s">
        <v>1145</v>
      </c>
      <c r="D6712" s="21" t="s">
        <v>35</v>
      </c>
      <c r="E6712" s="17" t="s">
        <v>146</v>
      </c>
      <c r="F6712" s="17" t="s">
        <v>105</v>
      </c>
      <c r="G6712" s="18" t="s">
        <v>48</v>
      </c>
      <c r="H6712" s="24">
        <v>334860</v>
      </c>
      <c r="I6712" s="24">
        <f>T_reg.root.SK[[#This Row],[Volume, kg]]/1000</f>
        <v>334.86</v>
      </c>
      <c r="J6712" s="25">
        <v>0.23989999999999997</v>
      </c>
      <c r="K6712" s="25">
        <f t="shared" si="105"/>
        <v>80332.91399999999</v>
      </c>
      <c r="L6712" s="25">
        <v>2.2200000000000002</v>
      </c>
      <c r="M6712" s="24">
        <v>745045.5</v>
      </c>
      <c r="N6712" s="25">
        <f>IFERROR(T_reg.root.SK[[#This Row],[Price]]/T_reg.root.SK[[#This Row],[Starch content]],"")</f>
        <v>9.2538557732388504</v>
      </c>
    </row>
    <row r="6713" spans="1:14">
      <c r="A6713" s="21">
        <v>2025</v>
      </c>
      <c r="B6713" s="21" t="s">
        <v>27</v>
      </c>
      <c r="C6713" s="21" t="s">
        <v>1145</v>
      </c>
      <c r="D6713" s="21" t="s">
        <v>35</v>
      </c>
      <c r="E6713" s="17" t="s">
        <v>668</v>
      </c>
      <c r="F6713" s="17" t="s">
        <v>105</v>
      </c>
      <c r="G6713" s="18" t="s">
        <v>48</v>
      </c>
      <c r="H6713" s="24">
        <v>46740</v>
      </c>
      <c r="I6713" s="24">
        <f>T_reg.root.SK[[#This Row],[Volume, kg]]/1000</f>
        <v>46.74</v>
      </c>
      <c r="J6713" s="25">
        <v>0.23629999999999998</v>
      </c>
      <c r="K6713" s="25">
        <f t="shared" si="105"/>
        <v>11044.661999999998</v>
      </c>
      <c r="L6713" s="25">
        <v>2.13</v>
      </c>
      <c r="M6713" s="24">
        <v>99587.5</v>
      </c>
      <c r="N6713" s="25">
        <f>IFERROR(T_reg.root.SK[[#This Row],[Price]]/T_reg.root.SK[[#This Row],[Starch content]],"")</f>
        <v>9.0139652983495555</v>
      </c>
    </row>
    <row r="6714" spans="1:14">
      <c r="A6714" s="21">
        <v>2025</v>
      </c>
      <c r="B6714" s="21" t="s">
        <v>27</v>
      </c>
      <c r="C6714" s="21" t="s">
        <v>1145</v>
      </c>
      <c r="D6714" s="21" t="s">
        <v>35</v>
      </c>
      <c r="E6714" s="17" t="s">
        <v>730</v>
      </c>
      <c r="F6714" s="17" t="s">
        <v>47</v>
      </c>
      <c r="G6714" s="18" t="s">
        <v>48</v>
      </c>
      <c r="H6714" s="24">
        <v>30310</v>
      </c>
      <c r="I6714" s="24">
        <f>T_reg.root.SK[[#This Row],[Volume, kg]]/1000</f>
        <v>30.31</v>
      </c>
      <c r="J6714" s="25">
        <v>0.24829999999999999</v>
      </c>
      <c r="K6714" s="25">
        <f t="shared" si="105"/>
        <v>7525.973</v>
      </c>
      <c r="L6714" s="25">
        <v>2.23</v>
      </c>
      <c r="M6714" s="24">
        <v>67714</v>
      </c>
      <c r="N6714" s="25">
        <f>IFERROR(T_reg.root.SK[[#This Row],[Price]]/T_reg.root.SK[[#This Row],[Starch content]],"")</f>
        <v>8.9810712847362062</v>
      </c>
    </row>
    <row r="6715" spans="1:14">
      <c r="A6715" s="21">
        <v>2025</v>
      </c>
      <c r="B6715" s="21" t="s">
        <v>27</v>
      </c>
      <c r="C6715" s="21" t="s">
        <v>1145</v>
      </c>
      <c r="D6715" s="21" t="s">
        <v>35</v>
      </c>
      <c r="E6715" s="17" t="s">
        <v>952</v>
      </c>
      <c r="F6715" s="17" t="s">
        <v>105</v>
      </c>
      <c r="G6715" s="18" t="s">
        <v>48</v>
      </c>
      <c r="H6715" s="24">
        <v>8760</v>
      </c>
      <c r="I6715" s="24">
        <f>T_reg.root.SK[[#This Row],[Volume, kg]]/1000</f>
        <v>8.76</v>
      </c>
      <c r="J6715" s="25">
        <v>0.26050000000000001</v>
      </c>
      <c r="K6715" s="25">
        <f t="shared" si="105"/>
        <v>2281.98</v>
      </c>
      <c r="L6715" s="25">
        <v>2.25</v>
      </c>
      <c r="M6715" s="24">
        <v>19710</v>
      </c>
      <c r="N6715" s="25">
        <f>IFERROR(T_reg.root.SK[[#This Row],[Price]]/T_reg.root.SK[[#This Row],[Starch content]],"")</f>
        <v>8.6372360844529741</v>
      </c>
    </row>
    <row r="6716" spans="1:14">
      <c r="A6716" s="21">
        <v>2025</v>
      </c>
      <c r="B6716" s="21" t="s">
        <v>27</v>
      </c>
      <c r="C6716" s="21" t="s">
        <v>1145</v>
      </c>
      <c r="D6716" s="21" t="s">
        <v>35</v>
      </c>
      <c r="E6716" s="17" t="s">
        <v>1011</v>
      </c>
      <c r="F6716" s="17" t="s">
        <v>1012</v>
      </c>
      <c r="G6716" s="18" t="s">
        <v>1013</v>
      </c>
      <c r="H6716" s="24">
        <v>23290</v>
      </c>
      <c r="I6716" s="24">
        <f>T_reg.root.SK[[#This Row],[Volume, kg]]/1000</f>
        <v>23.29</v>
      </c>
      <c r="J6716" s="25">
        <v>0.22219999999999998</v>
      </c>
      <c r="K6716" s="25">
        <f t="shared" si="105"/>
        <v>5175.0379999999996</v>
      </c>
      <c r="L6716" s="25">
        <v>2.12</v>
      </c>
      <c r="M6716" s="24">
        <v>49399.5</v>
      </c>
      <c r="N6716" s="25">
        <f>IFERROR(T_reg.root.SK[[#This Row],[Price]]/T_reg.root.SK[[#This Row],[Starch content]],"")</f>
        <v>9.5409540954095426</v>
      </c>
    </row>
    <row r="6717" spans="1:14">
      <c r="A6717" s="21">
        <v>2025</v>
      </c>
      <c r="B6717" s="21" t="s">
        <v>27</v>
      </c>
      <c r="C6717" s="21" t="s">
        <v>1145</v>
      </c>
      <c r="D6717" s="21" t="s">
        <v>35</v>
      </c>
      <c r="E6717" s="17" t="s">
        <v>971</v>
      </c>
      <c r="F6717" s="17" t="s">
        <v>47</v>
      </c>
      <c r="G6717" s="18" t="s">
        <v>48</v>
      </c>
      <c r="H6717" s="24">
        <v>17210</v>
      </c>
      <c r="I6717" s="24">
        <f>T_reg.root.SK[[#This Row],[Volume, kg]]/1000</f>
        <v>17.21</v>
      </c>
      <c r="J6717" s="25">
        <v>0.1978</v>
      </c>
      <c r="K6717" s="25">
        <f t="shared" si="105"/>
        <v>3404.1379999999999</v>
      </c>
      <c r="L6717" s="25">
        <v>2</v>
      </c>
      <c r="M6717" s="24">
        <v>34420</v>
      </c>
      <c r="N6717" s="25">
        <f>IFERROR(T_reg.root.SK[[#This Row],[Price]]/T_reg.root.SK[[#This Row],[Starch content]],"")</f>
        <v>10.111223458038422</v>
      </c>
    </row>
    <row r="6718" spans="1:14">
      <c r="A6718" s="21">
        <v>2025</v>
      </c>
      <c r="B6718" s="21" t="s">
        <v>27</v>
      </c>
      <c r="C6718" s="21" t="s">
        <v>1145</v>
      </c>
      <c r="D6718" s="21" t="s">
        <v>35</v>
      </c>
      <c r="E6718" s="17" t="s">
        <v>985</v>
      </c>
      <c r="F6718" s="17" t="s">
        <v>283</v>
      </c>
      <c r="G6718" s="18" t="s">
        <v>48</v>
      </c>
      <c r="H6718" s="24">
        <v>127120</v>
      </c>
      <c r="I6718" s="24">
        <f>T_reg.root.SK[[#This Row],[Volume, kg]]/1000</f>
        <v>127.12</v>
      </c>
      <c r="J6718" s="25">
        <v>0.26979999999999998</v>
      </c>
      <c r="K6718" s="25">
        <f t="shared" si="105"/>
        <v>34296.975999999995</v>
      </c>
      <c r="L6718" s="25">
        <v>2.37</v>
      </c>
      <c r="M6718" s="24">
        <v>301071</v>
      </c>
      <c r="N6718" s="25">
        <f>IFERROR(T_reg.root.SK[[#This Row],[Price]]/T_reg.root.SK[[#This Row],[Starch content]],"")</f>
        <v>8.7842846553002225</v>
      </c>
    </row>
    <row r="6719" spans="1:14">
      <c r="A6719" s="21">
        <v>2025</v>
      </c>
      <c r="B6719" s="21" t="s">
        <v>27</v>
      </c>
      <c r="C6719" s="21" t="s">
        <v>1145</v>
      </c>
      <c r="D6719" s="21" t="s">
        <v>35</v>
      </c>
      <c r="E6719" s="17" t="s">
        <v>1081</v>
      </c>
      <c r="F6719" s="17" t="s">
        <v>105</v>
      </c>
      <c r="G6719" s="18" t="s">
        <v>48</v>
      </c>
      <c r="H6719" s="24">
        <v>12960</v>
      </c>
      <c r="I6719" s="24">
        <f>T_reg.root.SK[[#This Row],[Volume, kg]]/1000</f>
        <v>12.96</v>
      </c>
      <c r="J6719" s="25">
        <v>0.23039999999999999</v>
      </c>
      <c r="K6719" s="25">
        <f t="shared" si="105"/>
        <v>2985.9839999999999</v>
      </c>
      <c r="L6719" s="25">
        <v>2.15</v>
      </c>
      <c r="M6719" s="24">
        <v>27864</v>
      </c>
      <c r="N6719" s="25">
        <f>IFERROR(T_reg.root.SK[[#This Row],[Price]]/T_reg.root.SK[[#This Row],[Starch content]],"")</f>
        <v>9.3315972222222214</v>
      </c>
    </row>
    <row r="6720" spans="1:14">
      <c r="A6720" s="21">
        <v>2025</v>
      </c>
      <c r="B6720" s="21" t="s">
        <v>27</v>
      </c>
      <c r="C6720" s="21" t="s">
        <v>1145</v>
      </c>
      <c r="D6720" s="21" t="s">
        <v>35</v>
      </c>
      <c r="E6720" s="17" t="s">
        <v>1080</v>
      </c>
      <c r="F6720" s="17" t="s">
        <v>105</v>
      </c>
      <c r="G6720" s="18" t="s">
        <v>48</v>
      </c>
      <c r="H6720" s="24">
        <v>8370</v>
      </c>
      <c r="I6720" s="24">
        <f>T_reg.root.SK[[#This Row],[Volume, kg]]/1000</f>
        <v>8.3699999999999992</v>
      </c>
      <c r="J6720" s="25">
        <v>0.27300000000000002</v>
      </c>
      <c r="K6720" s="25">
        <f t="shared" si="105"/>
        <v>2285.0100000000002</v>
      </c>
      <c r="L6720" s="25">
        <v>2.4</v>
      </c>
      <c r="M6720" s="24">
        <v>20088</v>
      </c>
      <c r="N6720" s="25">
        <f>IFERROR(T_reg.root.SK[[#This Row],[Price]]/T_reg.root.SK[[#This Row],[Starch content]],"")</f>
        <v>8.7912087912087902</v>
      </c>
    </row>
    <row r="6721" spans="1:14">
      <c r="A6721" s="21">
        <v>2025</v>
      </c>
      <c r="B6721" s="21" t="s">
        <v>27</v>
      </c>
      <c r="C6721" s="21" t="s">
        <v>1145</v>
      </c>
      <c r="D6721" s="21" t="s">
        <v>35</v>
      </c>
      <c r="E6721" s="17" t="s">
        <v>206</v>
      </c>
      <c r="F6721" s="17" t="s">
        <v>187</v>
      </c>
      <c r="G6721" s="18" t="s">
        <v>48</v>
      </c>
      <c r="H6721" s="24">
        <v>12910</v>
      </c>
      <c r="I6721" s="24">
        <f>T_reg.root.SK[[#This Row],[Volume, kg]]/1000</f>
        <v>12.91</v>
      </c>
      <c r="J6721" s="25">
        <v>0.2477</v>
      </c>
      <c r="K6721" s="25">
        <f t="shared" si="105"/>
        <v>3197.8070000000002</v>
      </c>
      <c r="L6721" s="25">
        <v>2.2999999999999998</v>
      </c>
      <c r="M6721" s="24">
        <v>29693</v>
      </c>
      <c r="N6721" s="25">
        <f>IFERROR(T_reg.root.SK[[#This Row],[Price]]/T_reg.root.SK[[#This Row],[Starch content]],"")</f>
        <v>9.2854259184497359</v>
      </c>
    </row>
    <row r="6722" spans="1:14">
      <c r="A6722" s="21">
        <v>2025</v>
      </c>
      <c r="B6722" s="21" t="s">
        <v>27</v>
      </c>
      <c r="C6722" s="21" t="s">
        <v>1145</v>
      </c>
      <c r="D6722" s="21" t="s">
        <v>35</v>
      </c>
      <c r="E6722" s="17" t="s">
        <v>147</v>
      </c>
      <c r="F6722" s="17" t="s">
        <v>105</v>
      </c>
      <c r="G6722" s="18" t="s">
        <v>48</v>
      </c>
      <c r="H6722" s="24">
        <v>96030</v>
      </c>
      <c r="I6722" s="24">
        <f>T_reg.root.SK[[#This Row],[Volume, kg]]/1000</f>
        <v>96.03</v>
      </c>
      <c r="J6722" s="25">
        <v>0.25650000000000001</v>
      </c>
      <c r="K6722" s="25">
        <f t="shared" si="105"/>
        <v>24631.695</v>
      </c>
      <c r="L6722" s="25">
        <v>2.27</v>
      </c>
      <c r="M6722" s="24">
        <v>217877</v>
      </c>
      <c r="N6722" s="25">
        <f>IFERROR(T_reg.root.SK[[#This Row],[Price]]/T_reg.root.SK[[#This Row],[Starch content]],"")</f>
        <v>8.8499025341130597</v>
      </c>
    </row>
    <row r="6723" spans="1:14">
      <c r="A6723" s="21">
        <v>2025</v>
      </c>
      <c r="B6723" s="21" t="s">
        <v>27</v>
      </c>
      <c r="C6723" s="21" t="s">
        <v>1145</v>
      </c>
      <c r="D6723" s="21" t="s">
        <v>35</v>
      </c>
      <c r="E6723" s="17" t="s">
        <v>1039</v>
      </c>
      <c r="F6723" s="17" t="s">
        <v>105</v>
      </c>
      <c r="G6723" s="18" t="s">
        <v>48</v>
      </c>
      <c r="H6723" s="24">
        <v>55610</v>
      </c>
      <c r="I6723" s="24">
        <f>T_reg.root.SK[[#This Row],[Volume, kg]]/1000</f>
        <v>55.61</v>
      </c>
      <c r="J6723" s="25">
        <v>0.25800000000000001</v>
      </c>
      <c r="K6723" s="25">
        <f t="shared" si="105"/>
        <v>14347.380000000001</v>
      </c>
      <c r="L6723" s="25">
        <v>2.33</v>
      </c>
      <c r="M6723" s="24">
        <v>129701</v>
      </c>
      <c r="N6723" s="25">
        <f>IFERROR(T_reg.root.SK[[#This Row],[Price]]/T_reg.root.SK[[#This Row],[Starch content]],"")</f>
        <v>9.0310077519379846</v>
      </c>
    </row>
    <row r="6724" spans="1:14">
      <c r="A6724" s="21">
        <v>2025</v>
      </c>
      <c r="B6724" s="21" t="s">
        <v>27</v>
      </c>
      <c r="C6724" s="21" t="s">
        <v>1145</v>
      </c>
      <c r="D6724" s="21" t="s">
        <v>35</v>
      </c>
      <c r="E6724" s="17" t="s">
        <v>363</v>
      </c>
      <c r="F6724" s="17" t="s">
        <v>105</v>
      </c>
      <c r="G6724" s="18" t="s">
        <v>48</v>
      </c>
      <c r="H6724" s="24">
        <v>49390</v>
      </c>
      <c r="I6724" s="24">
        <f>T_reg.root.SK[[#This Row],[Volume, kg]]/1000</f>
        <v>49.39</v>
      </c>
      <c r="J6724" s="25">
        <v>0.22690000000000002</v>
      </c>
      <c r="K6724" s="25">
        <f t="shared" si="105"/>
        <v>11206.591</v>
      </c>
      <c r="L6724" s="25">
        <v>2.13</v>
      </c>
      <c r="M6724" s="24">
        <v>105116.5</v>
      </c>
      <c r="N6724" s="25">
        <f>IFERROR(T_reg.root.SK[[#This Row],[Price]]/T_reg.root.SK[[#This Row],[Starch content]],"")</f>
        <v>9.3873953283384743</v>
      </c>
    </row>
    <row r="6725" spans="1:14">
      <c r="A6725" s="21">
        <v>2025</v>
      </c>
      <c r="B6725" s="21" t="s">
        <v>27</v>
      </c>
      <c r="C6725" s="21" t="s">
        <v>1145</v>
      </c>
      <c r="D6725" s="21" t="s">
        <v>35</v>
      </c>
      <c r="E6725" s="17" t="s">
        <v>66</v>
      </c>
      <c r="F6725" s="17" t="s">
        <v>47</v>
      </c>
      <c r="G6725" s="18" t="s">
        <v>48</v>
      </c>
      <c r="H6725" s="24">
        <v>171070</v>
      </c>
      <c r="I6725" s="24">
        <f>T_reg.root.SK[[#This Row],[Volume, kg]]/1000</f>
        <v>171.07</v>
      </c>
      <c r="J6725" s="25">
        <v>0.2205</v>
      </c>
      <c r="K6725" s="25">
        <f t="shared" si="105"/>
        <v>37720.934999999998</v>
      </c>
      <c r="L6725" s="25">
        <v>2.12</v>
      </c>
      <c r="M6725" s="24">
        <v>362102</v>
      </c>
      <c r="N6725" s="25">
        <f>IFERROR(T_reg.root.SK[[#This Row],[Price]]/T_reg.root.SK[[#This Row],[Starch content]],"")</f>
        <v>9.6145124716553294</v>
      </c>
    </row>
    <row r="6726" spans="1:14">
      <c r="A6726" s="21">
        <v>2025</v>
      </c>
      <c r="B6726" s="21" t="s">
        <v>27</v>
      </c>
      <c r="C6726" s="21" t="s">
        <v>1145</v>
      </c>
      <c r="D6726" s="21" t="s">
        <v>35</v>
      </c>
      <c r="E6726" s="17" t="s">
        <v>688</v>
      </c>
      <c r="F6726" s="17" t="s">
        <v>187</v>
      </c>
      <c r="G6726" s="18" t="s">
        <v>48</v>
      </c>
      <c r="H6726" s="24">
        <v>3770</v>
      </c>
      <c r="I6726" s="24">
        <f>T_reg.root.SK[[#This Row],[Volume, kg]]/1000</f>
        <v>3.77</v>
      </c>
      <c r="J6726" s="25">
        <v>0.2165</v>
      </c>
      <c r="K6726" s="25">
        <f t="shared" si="105"/>
        <v>816.20500000000004</v>
      </c>
      <c r="L6726" s="25">
        <v>2.1</v>
      </c>
      <c r="M6726" s="24">
        <v>7917</v>
      </c>
      <c r="N6726" s="25">
        <f>IFERROR(T_reg.root.SK[[#This Row],[Price]]/T_reg.root.SK[[#This Row],[Starch content]],"")</f>
        <v>9.6997690531177838</v>
      </c>
    </row>
    <row r="6727" spans="1:14">
      <c r="A6727" s="21">
        <v>2025</v>
      </c>
      <c r="B6727" s="21" t="s">
        <v>27</v>
      </c>
      <c r="C6727" s="21" t="s">
        <v>1145</v>
      </c>
      <c r="D6727" s="21" t="s">
        <v>35</v>
      </c>
      <c r="E6727" s="17" t="s">
        <v>991</v>
      </c>
      <c r="F6727" s="17" t="s">
        <v>105</v>
      </c>
      <c r="G6727" s="18" t="s">
        <v>48</v>
      </c>
      <c r="H6727" s="24">
        <v>3700</v>
      </c>
      <c r="I6727" s="24">
        <f>T_reg.root.SK[[#This Row],[Volume, kg]]/1000</f>
        <v>3.7</v>
      </c>
      <c r="J6727" s="25">
        <v>0.2666</v>
      </c>
      <c r="K6727" s="25">
        <f t="shared" si="105"/>
        <v>986.42</v>
      </c>
      <c r="L6727" s="25">
        <v>2.37</v>
      </c>
      <c r="M6727" s="24">
        <v>8781.5</v>
      </c>
      <c r="N6727" s="25">
        <f>IFERROR(T_reg.root.SK[[#This Row],[Price]]/T_reg.root.SK[[#This Row],[Starch content]],"")</f>
        <v>8.8897224306076517</v>
      </c>
    </row>
    <row r="6728" spans="1:14">
      <c r="A6728" s="21">
        <v>2025</v>
      </c>
      <c r="B6728" s="21" t="s">
        <v>27</v>
      </c>
      <c r="C6728" s="21" t="s">
        <v>1145</v>
      </c>
      <c r="D6728" s="21" t="s">
        <v>35</v>
      </c>
      <c r="E6728" s="17" t="s">
        <v>1005</v>
      </c>
      <c r="F6728" s="17" t="s">
        <v>105</v>
      </c>
      <c r="G6728" s="18" t="s">
        <v>48</v>
      </c>
      <c r="H6728" s="24">
        <v>36690</v>
      </c>
      <c r="I6728" s="24">
        <f>T_reg.root.SK[[#This Row],[Volume, kg]]/1000</f>
        <v>36.69</v>
      </c>
      <c r="J6728" s="25">
        <v>0.24969999999999998</v>
      </c>
      <c r="K6728" s="25">
        <f t="shared" si="105"/>
        <v>9161.4929999999986</v>
      </c>
      <c r="L6728" s="25">
        <v>2.27</v>
      </c>
      <c r="M6728" s="24">
        <v>83388</v>
      </c>
      <c r="N6728" s="25">
        <f>IFERROR(T_reg.root.SK[[#This Row],[Price]]/T_reg.root.SK[[#This Row],[Starch content]],"")</f>
        <v>9.0909090909090917</v>
      </c>
    </row>
    <row r="6729" spans="1:14">
      <c r="A6729" s="21">
        <v>2025</v>
      </c>
      <c r="B6729" s="21" t="s">
        <v>27</v>
      </c>
      <c r="C6729" s="21" t="s">
        <v>1145</v>
      </c>
      <c r="D6729" s="21" t="s">
        <v>39</v>
      </c>
      <c r="E6729" s="17" t="s">
        <v>1040</v>
      </c>
      <c r="F6729" s="17" t="s">
        <v>283</v>
      </c>
      <c r="G6729" s="18" t="s">
        <v>48</v>
      </c>
      <c r="H6729" s="24">
        <v>89460</v>
      </c>
      <c r="I6729" s="24">
        <f>T_reg.root.SK[[#This Row],[Volume, kg]]/1000</f>
        <v>89.46</v>
      </c>
      <c r="J6729" s="25">
        <v>0.23050000000000001</v>
      </c>
      <c r="K6729" s="25">
        <f t="shared" si="105"/>
        <v>20620.530000000002</v>
      </c>
      <c r="L6729" s="25">
        <v>2.2999999999999998</v>
      </c>
      <c r="M6729" s="24">
        <v>205760</v>
      </c>
      <c r="N6729" s="25">
        <f>IFERROR(T_reg.root.SK[[#This Row],[Price]]/T_reg.root.SK[[#This Row],[Starch content]],"")</f>
        <v>9.9783080260303674</v>
      </c>
    </row>
    <row r="6730" spans="1:14">
      <c r="A6730" s="21">
        <v>2025</v>
      </c>
      <c r="B6730" s="21" t="s">
        <v>27</v>
      </c>
      <c r="C6730" s="21" t="s">
        <v>1145</v>
      </c>
      <c r="D6730" s="21" t="s">
        <v>39</v>
      </c>
      <c r="E6730" s="17" t="s">
        <v>1066</v>
      </c>
      <c r="F6730" s="17" t="s">
        <v>102</v>
      </c>
      <c r="G6730" s="18" t="s">
        <v>103</v>
      </c>
      <c r="H6730" s="24">
        <v>1185240</v>
      </c>
      <c r="I6730" s="24">
        <f>T_reg.root.SK[[#This Row],[Volume, kg]]/1000</f>
        <v>1185.24</v>
      </c>
      <c r="J6730" s="25">
        <v>0.2409</v>
      </c>
      <c r="K6730" s="25">
        <f t="shared" si="105"/>
        <v>285524.31599999999</v>
      </c>
      <c r="L6730" s="25">
        <v>2.46</v>
      </c>
      <c r="M6730" s="24">
        <v>2915070.5</v>
      </c>
      <c r="N6730" s="25">
        <f>IFERROR(T_reg.root.SK[[#This Row],[Price]]/T_reg.root.SK[[#This Row],[Starch content]],"")</f>
        <v>10.211706102117061</v>
      </c>
    </row>
    <row r="6731" spans="1:14">
      <c r="A6731" s="21">
        <v>2025</v>
      </c>
      <c r="B6731" s="21" t="s">
        <v>27</v>
      </c>
      <c r="C6731" s="21" t="s">
        <v>1145</v>
      </c>
      <c r="D6731" s="21" t="s">
        <v>35</v>
      </c>
      <c r="E6731" s="17" t="s">
        <v>252</v>
      </c>
      <c r="F6731" s="17" t="s">
        <v>105</v>
      </c>
      <c r="G6731" s="18" t="s">
        <v>48</v>
      </c>
      <c r="H6731" s="24">
        <v>6380</v>
      </c>
      <c r="I6731" s="24">
        <f>T_reg.root.SK[[#This Row],[Volume, kg]]/1000</f>
        <v>6.38</v>
      </c>
      <c r="J6731" s="25">
        <v>0.23399999999999999</v>
      </c>
      <c r="K6731" s="25">
        <f t="shared" si="105"/>
        <v>1492.9199999999998</v>
      </c>
      <c r="L6731" s="25">
        <v>2.1</v>
      </c>
      <c r="M6731" s="24">
        <v>13398</v>
      </c>
      <c r="N6731" s="25">
        <f>IFERROR(T_reg.root.SK[[#This Row],[Price]]/T_reg.root.SK[[#This Row],[Starch content]],"")</f>
        <v>8.9743589743589745</v>
      </c>
    </row>
    <row r="6732" spans="1:14">
      <c r="A6732" s="21">
        <v>2025</v>
      </c>
      <c r="B6732" s="21" t="s">
        <v>27</v>
      </c>
      <c r="C6732" s="21" t="s">
        <v>1145</v>
      </c>
      <c r="D6732" s="21" t="s">
        <v>35</v>
      </c>
      <c r="E6732" s="17" t="s">
        <v>268</v>
      </c>
      <c r="F6732" s="17" t="s">
        <v>187</v>
      </c>
      <c r="G6732" s="18" t="s">
        <v>48</v>
      </c>
      <c r="H6732" s="24">
        <v>6130</v>
      </c>
      <c r="I6732" s="24">
        <f>T_reg.root.SK[[#This Row],[Volume, kg]]/1000</f>
        <v>6.13</v>
      </c>
      <c r="J6732" s="25">
        <v>0.25670000000000004</v>
      </c>
      <c r="K6732" s="25">
        <f t="shared" si="105"/>
        <v>1573.5710000000001</v>
      </c>
      <c r="L6732" s="25">
        <v>2.2999999999999998</v>
      </c>
      <c r="M6732" s="24">
        <v>14099</v>
      </c>
      <c r="N6732" s="25">
        <f>IFERROR(T_reg.root.SK[[#This Row],[Price]]/T_reg.root.SK[[#This Row],[Starch content]],"")</f>
        <v>8.9598753408648211</v>
      </c>
    </row>
    <row r="6733" spans="1:14">
      <c r="A6733" s="21">
        <v>2025</v>
      </c>
      <c r="B6733" s="21" t="s">
        <v>27</v>
      </c>
      <c r="C6733" s="21" t="s">
        <v>1145</v>
      </c>
      <c r="D6733" s="21" t="s">
        <v>35</v>
      </c>
      <c r="E6733" s="17" t="s">
        <v>341</v>
      </c>
      <c r="F6733" s="17" t="s">
        <v>47</v>
      </c>
      <c r="G6733" s="18" t="s">
        <v>48</v>
      </c>
      <c r="H6733" s="24">
        <v>13260</v>
      </c>
      <c r="I6733" s="24">
        <f>T_reg.root.SK[[#This Row],[Volume, kg]]/1000</f>
        <v>13.26</v>
      </c>
      <c r="J6733" s="25">
        <v>0.24129999999999999</v>
      </c>
      <c r="K6733" s="25">
        <f t="shared" si="105"/>
        <v>3199.6379999999999</v>
      </c>
      <c r="L6733" s="25">
        <v>2.2599999999999998</v>
      </c>
      <c r="M6733" s="24">
        <v>29913</v>
      </c>
      <c r="N6733" s="25">
        <f>IFERROR(T_reg.root.SK[[#This Row],[Price]]/T_reg.root.SK[[#This Row],[Starch content]],"")</f>
        <v>9.3659345213427265</v>
      </c>
    </row>
    <row r="6734" spans="1:14">
      <c r="A6734" s="21">
        <v>2025</v>
      </c>
      <c r="B6734" s="21" t="s">
        <v>27</v>
      </c>
      <c r="C6734" s="21" t="s">
        <v>1145</v>
      </c>
      <c r="D6734" s="21" t="s">
        <v>35</v>
      </c>
      <c r="E6734" s="17" t="s">
        <v>68</v>
      </c>
      <c r="F6734" s="17" t="s">
        <v>47</v>
      </c>
      <c r="G6734" s="18" t="s">
        <v>48</v>
      </c>
      <c r="H6734" s="24">
        <v>108410</v>
      </c>
      <c r="I6734" s="24">
        <f>T_reg.root.SK[[#This Row],[Volume, kg]]/1000</f>
        <v>108.41</v>
      </c>
      <c r="J6734" s="25">
        <v>0.23079999999999998</v>
      </c>
      <c r="K6734" s="25">
        <f t="shared" si="105"/>
        <v>25021.027999999998</v>
      </c>
      <c r="L6734" s="25">
        <v>2.1800000000000002</v>
      </c>
      <c r="M6734" s="24">
        <v>236838.5</v>
      </c>
      <c r="N6734" s="25">
        <f>IFERROR(T_reg.root.SK[[#This Row],[Price]]/T_reg.root.SK[[#This Row],[Starch content]],"")</f>
        <v>9.4454072790294639</v>
      </c>
    </row>
    <row r="6735" spans="1:14">
      <c r="A6735" s="21">
        <v>2025</v>
      </c>
      <c r="B6735" s="21" t="s">
        <v>27</v>
      </c>
      <c r="C6735" s="21" t="s">
        <v>1145</v>
      </c>
      <c r="D6735" s="21" t="s">
        <v>35</v>
      </c>
      <c r="E6735" s="17" t="s">
        <v>314</v>
      </c>
      <c r="F6735" s="17" t="s">
        <v>105</v>
      </c>
      <c r="G6735" s="18" t="s">
        <v>48</v>
      </c>
      <c r="H6735" s="24">
        <v>63980</v>
      </c>
      <c r="I6735" s="24">
        <f>T_reg.root.SK[[#This Row],[Volume, kg]]/1000</f>
        <v>63.98</v>
      </c>
      <c r="J6735" s="25">
        <v>0.2303</v>
      </c>
      <c r="K6735" s="25">
        <f t="shared" ref="K6735:K6798" si="106">H6735*J6735</f>
        <v>14734.594000000001</v>
      </c>
      <c r="L6735" s="25">
        <v>2.13</v>
      </c>
      <c r="M6735" s="24">
        <v>136550.5</v>
      </c>
      <c r="N6735" s="25">
        <f>IFERROR(T_reg.root.SK[[#This Row],[Price]]/T_reg.root.SK[[#This Row],[Starch content]],"")</f>
        <v>9.2488059053408591</v>
      </c>
    </row>
    <row r="6736" spans="1:14">
      <c r="A6736" s="21">
        <v>2025</v>
      </c>
      <c r="B6736" s="21" t="s">
        <v>27</v>
      </c>
      <c r="C6736" s="21" t="s">
        <v>1145</v>
      </c>
      <c r="D6736" s="21" t="s">
        <v>35</v>
      </c>
      <c r="E6736" s="17" t="s">
        <v>315</v>
      </c>
      <c r="F6736" s="17" t="s">
        <v>105</v>
      </c>
      <c r="G6736" s="18" t="s">
        <v>48</v>
      </c>
      <c r="H6736" s="24">
        <v>84990</v>
      </c>
      <c r="I6736" s="24">
        <f>T_reg.root.SK[[#This Row],[Volume, kg]]/1000</f>
        <v>84.99</v>
      </c>
      <c r="J6736" s="25">
        <v>0.25730000000000003</v>
      </c>
      <c r="K6736" s="25">
        <f t="shared" si="106"/>
        <v>21867.927000000003</v>
      </c>
      <c r="L6736" s="25">
        <v>2.27</v>
      </c>
      <c r="M6736" s="24">
        <v>192771.5</v>
      </c>
      <c r="N6736" s="25">
        <f>IFERROR(T_reg.root.SK[[#This Row],[Price]]/T_reg.root.SK[[#This Row],[Starch content]],"")</f>
        <v>8.822386319471434</v>
      </c>
    </row>
    <row r="6737" spans="1:14">
      <c r="A6737" s="21">
        <v>2025</v>
      </c>
      <c r="B6737" s="21" t="s">
        <v>27</v>
      </c>
      <c r="C6737" s="21" t="s">
        <v>1145</v>
      </c>
      <c r="D6737" s="21" t="s">
        <v>35</v>
      </c>
      <c r="E6737" s="17" t="s">
        <v>150</v>
      </c>
      <c r="F6737" s="17" t="s">
        <v>105</v>
      </c>
      <c r="G6737" s="18" t="s">
        <v>48</v>
      </c>
      <c r="H6737" s="24">
        <v>17910</v>
      </c>
      <c r="I6737" s="24">
        <f>T_reg.root.SK[[#This Row],[Volume, kg]]/1000</f>
        <v>17.91</v>
      </c>
      <c r="J6737" s="25">
        <v>0.25370000000000004</v>
      </c>
      <c r="K6737" s="25">
        <f t="shared" si="106"/>
        <v>4543.7670000000007</v>
      </c>
      <c r="L6737" s="25">
        <v>2.2400000000000002</v>
      </c>
      <c r="M6737" s="24">
        <v>40181.5</v>
      </c>
      <c r="N6737" s="25">
        <f>IFERROR(T_reg.root.SK[[#This Row],[Price]]/T_reg.root.SK[[#This Row],[Starch content]],"")</f>
        <v>8.8293259755616873</v>
      </c>
    </row>
    <row r="6738" spans="1:14">
      <c r="A6738" s="21">
        <v>2025</v>
      </c>
      <c r="B6738" s="21" t="s">
        <v>27</v>
      </c>
      <c r="C6738" s="21" t="s">
        <v>1145</v>
      </c>
      <c r="D6738" s="21" t="s">
        <v>35</v>
      </c>
      <c r="E6738" s="17" t="s">
        <v>570</v>
      </c>
      <c r="F6738" s="17" t="s">
        <v>105</v>
      </c>
      <c r="G6738" s="18" t="s">
        <v>48</v>
      </c>
      <c r="H6738" s="24">
        <v>49920</v>
      </c>
      <c r="I6738" s="24">
        <f>T_reg.root.SK[[#This Row],[Volume, kg]]/1000</f>
        <v>49.92</v>
      </c>
      <c r="J6738" s="25">
        <v>0.23719999999999999</v>
      </c>
      <c r="K6738" s="25">
        <f t="shared" si="106"/>
        <v>11841.023999999999</v>
      </c>
      <c r="L6738" s="25">
        <v>2.17</v>
      </c>
      <c r="M6738" s="24">
        <v>108255.5</v>
      </c>
      <c r="N6738" s="25">
        <f>IFERROR(T_reg.root.SK[[#This Row],[Price]]/T_reg.root.SK[[#This Row],[Starch content]],"")</f>
        <v>9.1483979763912302</v>
      </c>
    </row>
    <row r="6739" spans="1:14">
      <c r="A6739" s="21">
        <v>2025</v>
      </c>
      <c r="B6739" s="21" t="s">
        <v>27</v>
      </c>
      <c r="C6739" s="21" t="s">
        <v>1145</v>
      </c>
      <c r="D6739" s="21" t="s">
        <v>35</v>
      </c>
      <c r="E6739" s="17" t="s">
        <v>151</v>
      </c>
      <c r="F6739" s="17" t="s">
        <v>105</v>
      </c>
      <c r="G6739" s="18" t="s">
        <v>48</v>
      </c>
      <c r="H6739" s="24">
        <v>212330</v>
      </c>
      <c r="I6739" s="24">
        <f>T_reg.root.SK[[#This Row],[Volume, kg]]/1000</f>
        <v>212.33</v>
      </c>
      <c r="J6739" s="25">
        <v>0.23579999999999998</v>
      </c>
      <c r="K6739" s="25">
        <f t="shared" si="106"/>
        <v>50067.413999999997</v>
      </c>
      <c r="L6739" s="25">
        <v>2.17</v>
      </c>
      <c r="M6739" s="24">
        <v>461096</v>
      </c>
      <c r="N6739" s="25">
        <f>IFERROR(T_reg.root.SK[[#This Row],[Price]]/T_reg.root.SK[[#This Row],[Starch content]],"")</f>
        <v>9.2027141645462258</v>
      </c>
    </row>
    <row r="6740" spans="1:14">
      <c r="A6740" s="21">
        <v>2025</v>
      </c>
      <c r="B6740" s="21" t="s">
        <v>27</v>
      </c>
      <c r="C6740" s="21" t="s">
        <v>1145</v>
      </c>
      <c r="D6740" s="21" t="s">
        <v>35</v>
      </c>
      <c r="E6740" s="17" t="s">
        <v>70</v>
      </c>
      <c r="F6740" s="17" t="s">
        <v>47</v>
      </c>
      <c r="G6740" s="18" t="s">
        <v>48</v>
      </c>
      <c r="H6740" s="24">
        <v>83340</v>
      </c>
      <c r="I6740" s="24">
        <f>T_reg.root.SK[[#This Row],[Volume, kg]]/1000</f>
        <v>83.34</v>
      </c>
      <c r="J6740" s="25">
        <v>0.2198</v>
      </c>
      <c r="K6740" s="25">
        <f t="shared" si="106"/>
        <v>18318.132000000001</v>
      </c>
      <c r="L6740" s="25">
        <v>2.13</v>
      </c>
      <c r="M6740" s="24">
        <v>177914</v>
      </c>
      <c r="N6740" s="25">
        <f>IFERROR(T_reg.root.SK[[#This Row],[Price]]/T_reg.root.SK[[#This Row],[Starch content]],"")</f>
        <v>9.6906278434940845</v>
      </c>
    </row>
    <row r="6741" spans="1:14">
      <c r="A6741" s="21">
        <v>2025</v>
      </c>
      <c r="B6741" s="21" t="s">
        <v>27</v>
      </c>
      <c r="C6741" s="21" t="s">
        <v>1145</v>
      </c>
      <c r="D6741" s="21" t="s">
        <v>35</v>
      </c>
      <c r="E6741" s="17" t="s">
        <v>152</v>
      </c>
      <c r="F6741" s="17" t="s">
        <v>105</v>
      </c>
      <c r="G6741" s="18" t="s">
        <v>48</v>
      </c>
      <c r="H6741" s="24">
        <v>10840</v>
      </c>
      <c r="I6741" s="24">
        <f>T_reg.root.SK[[#This Row],[Volume, kg]]/1000</f>
        <v>10.84</v>
      </c>
      <c r="J6741" s="25">
        <v>0.26750000000000002</v>
      </c>
      <c r="K6741" s="25">
        <f t="shared" si="106"/>
        <v>2899.7000000000003</v>
      </c>
      <c r="L6741" s="25">
        <v>2.35</v>
      </c>
      <c r="M6741" s="24">
        <v>25474</v>
      </c>
      <c r="N6741" s="25">
        <f>IFERROR(T_reg.root.SK[[#This Row],[Price]]/T_reg.root.SK[[#This Row],[Starch content]],"")</f>
        <v>8.7850467289719631</v>
      </c>
    </row>
    <row r="6742" spans="1:14">
      <c r="A6742" s="21">
        <v>2025</v>
      </c>
      <c r="B6742" s="21" t="s">
        <v>27</v>
      </c>
      <c r="C6742" s="21" t="s">
        <v>1145</v>
      </c>
      <c r="D6742" s="21" t="s">
        <v>35</v>
      </c>
      <c r="E6742" s="17" t="s">
        <v>472</v>
      </c>
      <c r="F6742" s="17" t="s">
        <v>47</v>
      </c>
      <c r="G6742" s="18" t="s">
        <v>48</v>
      </c>
      <c r="H6742" s="24">
        <v>24590</v>
      </c>
      <c r="I6742" s="24">
        <f>T_reg.root.SK[[#This Row],[Volume, kg]]/1000</f>
        <v>24.59</v>
      </c>
      <c r="J6742" s="25">
        <v>0.19239999999999999</v>
      </c>
      <c r="K6742" s="25">
        <f t="shared" si="106"/>
        <v>4731.116</v>
      </c>
      <c r="L6742" s="25">
        <v>2.0099999999999998</v>
      </c>
      <c r="M6742" s="24">
        <v>49537.5</v>
      </c>
      <c r="N6742" s="25">
        <f>IFERROR(T_reg.root.SK[[#This Row],[Price]]/T_reg.root.SK[[#This Row],[Starch content]],"")</f>
        <v>10.446985446985446</v>
      </c>
    </row>
    <row r="6743" spans="1:14">
      <c r="A6743" s="21">
        <v>2025</v>
      </c>
      <c r="B6743" s="21" t="s">
        <v>27</v>
      </c>
      <c r="C6743" s="21" t="s">
        <v>1145</v>
      </c>
      <c r="D6743" s="21" t="s">
        <v>35</v>
      </c>
      <c r="E6743" s="17" t="s">
        <v>661</v>
      </c>
      <c r="F6743" s="17" t="s">
        <v>47</v>
      </c>
      <c r="G6743" s="18" t="s">
        <v>48</v>
      </c>
      <c r="H6743" s="24">
        <v>27200</v>
      </c>
      <c r="I6743" s="24">
        <f>T_reg.root.SK[[#This Row],[Volume, kg]]/1000</f>
        <v>27.2</v>
      </c>
      <c r="J6743" s="25">
        <v>0.24059999999999998</v>
      </c>
      <c r="K6743" s="25">
        <f t="shared" si="106"/>
        <v>6544.32</v>
      </c>
      <c r="L6743" s="25">
        <v>2.2200000000000002</v>
      </c>
      <c r="M6743" s="24">
        <v>60489.5</v>
      </c>
      <c r="N6743" s="25">
        <f>IFERROR(T_reg.root.SK[[#This Row],[Price]]/T_reg.root.SK[[#This Row],[Starch content]],"")</f>
        <v>9.2269326683291784</v>
      </c>
    </row>
    <row r="6744" spans="1:14">
      <c r="A6744" s="21">
        <v>2025</v>
      </c>
      <c r="B6744" s="21" t="s">
        <v>27</v>
      </c>
      <c r="C6744" s="21" t="s">
        <v>1145</v>
      </c>
      <c r="D6744" s="21" t="s">
        <v>35</v>
      </c>
      <c r="E6744" s="17" t="s">
        <v>153</v>
      </c>
      <c r="F6744" s="17" t="s">
        <v>105</v>
      </c>
      <c r="G6744" s="18" t="s">
        <v>48</v>
      </c>
      <c r="H6744" s="24">
        <v>3330</v>
      </c>
      <c r="I6744" s="24">
        <f>T_reg.root.SK[[#This Row],[Volume, kg]]/1000</f>
        <v>3.33</v>
      </c>
      <c r="J6744" s="25">
        <v>0.27750000000000002</v>
      </c>
      <c r="K6744" s="25">
        <f t="shared" si="106"/>
        <v>924.07500000000005</v>
      </c>
      <c r="L6744" s="25">
        <v>2.4</v>
      </c>
      <c r="M6744" s="24">
        <v>7992</v>
      </c>
      <c r="N6744" s="25">
        <f>IFERROR(T_reg.root.SK[[#This Row],[Price]]/T_reg.root.SK[[#This Row],[Starch content]],"")</f>
        <v>8.6486486486486474</v>
      </c>
    </row>
    <row r="6745" spans="1:14">
      <c r="A6745" s="21">
        <v>2025</v>
      </c>
      <c r="B6745" s="21" t="s">
        <v>27</v>
      </c>
      <c r="C6745" s="21" t="s">
        <v>1145</v>
      </c>
      <c r="D6745" s="21" t="s">
        <v>39</v>
      </c>
      <c r="E6745" s="17" t="s">
        <v>552</v>
      </c>
      <c r="F6745" s="17" t="s">
        <v>95</v>
      </c>
      <c r="G6745" s="18" t="s">
        <v>48</v>
      </c>
      <c r="H6745" s="24">
        <v>3252230</v>
      </c>
      <c r="I6745" s="24">
        <f>T_reg.root.SK[[#This Row],[Volume, kg]]/1000</f>
        <v>3252.23</v>
      </c>
      <c r="J6745" s="25">
        <v>0.2351</v>
      </c>
      <c r="K6745" s="25">
        <f t="shared" si="106"/>
        <v>764599.27300000004</v>
      </c>
      <c r="L6745" s="25">
        <v>2.44</v>
      </c>
      <c r="M6745" s="24">
        <v>7926866</v>
      </c>
      <c r="N6745" s="25">
        <f>IFERROR(T_reg.root.SK[[#This Row],[Price]]/T_reg.root.SK[[#This Row],[Starch content]],"")</f>
        <v>10.378562313908974</v>
      </c>
    </row>
    <row r="6746" spans="1:14">
      <c r="A6746" s="21">
        <v>2025</v>
      </c>
      <c r="B6746" s="21" t="s">
        <v>27</v>
      </c>
      <c r="C6746" s="21" t="s">
        <v>1145</v>
      </c>
      <c r="D6746" s="21" t="s">
        <v>35</v>
      </c>
      <c r="E6746" s="17" t="s">
        <v>382</v>
      </c>
      <c r="F6746" s="17" t="s">
        <v>47</v>
      </c>
      <c r="G6746" s="18" t="s">
        <v>48</v>
      </c>
      <c r="H6746" s="24">
        <v>28730</v>
      </c>
      <c r="I6746" s="24">
        <f>T_reg.root.SK[[#This Row],[Volume, kg]]/1000</f>
        <v>28.73</v>
      </c>
      <c r="J6746" s="25">
        <v>0.2487</v>
      </c>
      <c r="K6746" s="25">
        <f t="shared" si="106"/>
        <v>7145.1509999999998</v>
      </c>
      <c r="L6746" s="25">
        <v>2.2400000000000002</v>
      </c>
      <c r="M6746" s="24">
        <v>64298</v>
      </c>
      <c r="N6746" s="25">
        <f>IFERROR(T_reg.root.SK[[#This Row],[Price]]/T_reg.root.SK[[#This Row],[Starch content]],"")</f>
        <v>9.0068355448331339</v>
      </c>
    </row>
    <row r="6747" spans="1:14">
      <c r="A6747" s="21">
        <v>2025</v>
      </c>
      <c r="B6747" s="21" t="s">
        <v>27</v>
      </c>
      <c r="C6747" s="21" t="s">
        <v>1145</v>
      </c>
      <c r="D6747" s="21" t="s">
        <v>35</v>
      </c>
      <c r="E6747" s="17" t="s">
        <v>279</v>
      </c>
      <c r="F6747" s="17" t="s">
        <v>95</v>
      </c>
      <c r="G6747" s="18" t="s">
        <v>48</v>
      </c>
      <c r="H6747" s="24">
        <v>27360</v>
      </c>
      <c r="I6747" s="24">
        <f>T_reg.root.SK[[#This Row],[Volume, kg]]/1000</f>
        <v>27.36</v>
      </c>
      <c r="J6747" s="25">
        <v>0.24789999999999998</v>
      </c>
      <c r="K6747" s="25">
        <f t="shared" si="106"/>
        <v>6782.5439999999999</v>
      </c>
      <c r="L6747" s="25">
        <v>2.23</v>
      </c>
      <c r="M6747" s="24">
        <v>60977</v>
      </c>
      <c r="N6747" s="25">
        <f>IFERROR(T_reg.root.SK[[#This Row],[Price]]/T_reg.root.SK[[#This Row],[Starch content]],"")</f>
        <v>8.9955627269060106</v>
      </c>
    </row>
    <row r="6748" spans="1:14">
      <c r="A6748" s="21">
        <v>2025</v>
      </c>
      <c r="B6748" s="21" t="s">
        <v>27</v>
      </c>
      <c r="C6748" s="21" t="s">
        <v>1145</v>
      </c>
      <c r="D6748" s="21" t="s">
        <v>35</v>
      </c>
      <c r="E6748" s="17" t="s">
        <v>572</v>
      </c>
      <c r="F6748" s="17" t="s">
        <v>105</v>
      </c>
      <c r="G6748" s="18" t="s">
        <v>48</v>
      </c>
      <c r="H6748" s="24">
        <v>20300</v>
      </c>
      <c r="I6748" s="24">
        <f>T_reg.root.SK[[#This Row],[Volume, kg]]/1000</f>
        <v>20.3</v>
      </c>
      <c r="J6748" s="25">
        <v>0.27660000000000001</v>
      </c>
      <c r="K6748" s="25">
        <f t="shared" si="106"/>
        <v>5614.9800000000005</v>
      </c>
      <c r="L6748" s="25">
        <v>2.41</v>
      </c>
      <c r="M6748" s="24">
        <v>48929</v>
      </c>
      <c r="N6748" s="25">
        <f>IFERROR(T_reg.root.SK[[#This Row],[Price]]/T_reg.root.SK[[#This Row],[Starch content]],"")</f>
        <v>8.7129428778018809</v>
      </c>
    </row>
    <row r="6749" spans="1:14">
      <c r="A6749" s="21">
        <v>2025</v>
      </c>
      <c r="B6749" s="21" t="s">
        <v>27</v>
      </c>
      <c r="C6749" s="21" t="s">
        <v>1145</v>
      </c>
      <c r="D6749" s="21" t="s">
        <v>35</v>
      </c>
      <c r="E6749" s="17" t="s">
        <v>934</v>
      </c>
      <c r="F6749" s="17" t="s">
        <v>105</v>
      </c>
      <c r="G6749" s="18" t="s">
        <v>48</v>
      </c>
      <c r="H6749" s="24">
        <v>23970</v>
      </c>
      <c r="I6749" s="24">
        <f>T_reg.root.SK[[#This Row],[Volume, kg]]/1000</f>
        <v>23.97</v>
      </c>
      <c r="J6749" s="25">
        <v>0.24809999999999999</v>
      </c>
      <c r="K6749" s="25">
        <f t="shared" si="106"/>
        <v>5946.9569999999994</v>
      </c>
      <c r="L6749" s="25">
        <v>2.25</v>
      </c>
      <c r="M6749" s="24">
        <v>53871</v>
      </c>
      <c r="N6749" s="25">
        <f>IFERROR(T_reg.root.SK[[#This Row],[Price]]/T_reg.root.SK[[#This Row],[Starch content]],"")</f>
        <v>9.0689238210399044</v>
      </c>
    </row>
    <row r="6750" spans="1:14">
      <c r="A6750" s="21">
        <v>2025</v>
      </c>
      <c r="B6750" s="21" t="s">
        <v>27</v>
      </c>
      <c r="C6750" s="21" t="s">
        <v>1145</v>
      </c>
      <c r="D6750" s="21" t="s">
        <v>35</v>
      </c>
      <c r="E6750" s="17" t="s">
        <v>159</v>
      </c>
      <c r="F6750" s="17" t="s">
        <v>105</v>
      </c>
      <c r="G6750" s="18" t="s">
        <v>48</v>
      </c>
      <c r="H6750" s="24">
        <v>61150</v>
      </c>
      <c r="I6750" s="24">
        <f>T_reg.root.SK[[#This Row],[Volume, kg]]/1000</f>
        <v>61.15</v>
      </c>
      <c r="J6750" s="25">
        <v>0.21410000000000001</v>
      </c>
      <c r="K6750" s="25">
        <f t="shared" si="106"/>
        <v>13092.215</v>
      </c>
      <c r="L6750" s="25">
        <v>2.0499999999999998</v>
      </c>
      <c r="M6750" s="24">
        <v>125267.5</v>
      </c>
      <c r="N6750" s="25">
        <f>IFERROR(T_reg.root.SK[[#This Row],[Price]]/T_reg.root.SK[[#This Row],[Starch content]],"")</f>
        <v>9.5749649696403534</v>
      </c>
    </row>
    <row r="6751" spans="1:14">
      <c r="A6751" s="21">
        <v>2025</v>
      </c>
      <c r="B6751" s="21" t="s">
        <v>27</v>
      </c>
      <c r="C6751" s="21" t="s">
        <v>1145</v>
      </c>
      <c r="D6751" s="21" t="s">
        <v>35</v>
      </c>
      <c r="E6751" s="17" t="s">
        <v>75</v>
      </c>
      <c r="F6751" s="17" t="s">
        <v>47</v>
      </c>
      <c r="G6751" s="18" t="s">
        <v>48</v>
      </c>
      <c r="H6751" s="24">
        <v>12560</v>
      </c>
      <c r="I6751" s="24">
        <f>T_reg.root.SK[[#This Row],[Volume, kg]]/1000</f>
        <v>12.56</v>
      </c>
      <c r="J6751" s="25">
        <v>0.2235</v>
      </c>
      <c r="K6751" s="25">
        <f t="shared" si="106"/>
        <v>2807.16</v>
      </c>
      <c r="L6751" s="25">
        <v>2.11</v>
      </c>
      <c r="M6751" s="24">
        <v>26536</v>
      </c>
      <c r="N6751" s="25">
        <f>IFERROR(T_reg.root.SK[[#This Row],[Price]]/T_reg.root.SK[[#This Row],[Starch content]],"")</f>
        <v>9.4407158836689025</v>
      </c>
    </row>
    <row r="6752" spans="1:14">
      <c r="A6752" s="21">
        <v>2025</v>
      </c>
      <c r="B6752" s="21" t="s">
        <v>27</v>
      </c>
      <c r="C6752" s="21" t="s">
        <v>1145</v>
      </c>
      <c r="D6752" s="21" t="s">
        <v>35</v>
      </c>
      <c r="E6752" s="17" t="s">
        <v>211</v>
      </c>
      <c r="F6752" s="17" t="s">
        <v>187</v>
      </c>
      <c r="G6752" s="18" t="s">
        <v>48</v>
      </c>
      <c r="H6752" s="24">
        <v>225060</v>
      </c>
      <c r="I6752" s="24">
        <f>T_reg.root.SK[[#This Row],[Volume, kg]]/1000</f>
        <v>225.06</v>
      </c>
      <c r="J6752" s="25">
        <v>0.24440000000000001</v>
      </c>
      <c r="K6752" s="25">
        <f t="shared" si="106"/>
        <v>55004.664000000004</v>
      </c>
      <c r="L6752" s="25">
        <v>2.2400000000000002</v>
      </c>
      <c r="M6752" s="24">
        <v>503598</v>
      </c>
      <c r="N6752" s="25">
        <f>IFERROR(T_reg.root.SK[[#This Row],[Price]]/T_reg.root.SK[[#This Row],[Starch content]],"")</f>
        <v>9.1653027823240603</v>
      </c>
    </row>
    <row r="6753" spans="1:14">
      <c r="A6753" s="21">
        <v>2025</v>
      </c>
      <c r="B6753" s="21" t="s">
        <v>27</v>
      </c>
      <c r="C6753" s="21" t="s">
        <v>1145</v>
      </c>
      <c r="D6753" s="21" t="s">
        <v>35</v>
      </c>
      <c r="E6753" s="17" t="s">
        <v>721</v>
      </c>
      <c r="F6753" s="17" t="s">
        <v>105</v>
      </c>
      <c r="G6753" s="18" t="s">
        <v>48</v>
      </c>
      <c r="H6753" s="24">
        <v>21190</v>
      </c>
      <c r="I6753" s="24">
        <f>T_reg.root.SK[[#This Row],[Volume, kg]]/1000</f>
        <v>21.19</v>
      </c>
      <c r="J6753" s="25">
        <v>0.24840000000000001</v>
      </c>
      <c r="K6753" s="25">
        <f t="shared" si="106"/>
        <v>5263.5960000000005</v>
      </c>
      <c r="L6753" s="25">
        <v>2.2999999999999998</v>
      </c>
      <c r="M6753" s="24">
        <v>48737</v>
      </c>
      <c r="N6753" s="25">
        <f>IFERROR(T_reg.root.SK[[#This Row],[Price]]/T_reg.root.SK[[#This Row],[Starch content]],"")</f>
        <v>9.2592592592592577</v>
      </c>
    </row>
    <row r="6754" spans="1:14">
      <c r="A6754" s="21">
        <v>2025</v>
      </c>
      <c r="B6754" s="21" t="s">
        <v>27</v>
      </c>
      <c r="C6754" s="21" t="s">
        <v>1145</v>
      </c>
      <c r="D6754" s="21" t="s">
        <v>35</v>
      </c>
      <c r="E6754" s="17" t="s">
        <v>163</v>
      </c>
      <c r="F6754" s="17" t="s">
        <v>105</v>
      </c>
      <c r="G6754" s="18" t="s">
        <v>48</v>
      </c>
      <c r="H6754" s="24">
        <v>6250</v>
      </c>
      <c r="I6754" s="24">
        <f>T_reg.root.SK[[#This Row],[Volume, kg]]/1000</f>
        <v>6.25</v>
      </c>
      <c r="J6754" s="25">
        <v>0.2455</v>
      </c>
      <c r="K6754" s="25">
        <f t="shared" si="106"/>
        <v>1534.375</v>
      </c>
      <c r="L6754" s="25">
        <v>2.2000000000000002</v>
      </c>
      <c r="M6754" s="24">
        <v>13750</v>
      </c>
      <c r="N6754" s="25">
        <f>IFERROR(T_reg.root.SK[[#This Row],[Price]]/T_reg.root.SK[[#This Row],[Starch content]],"")</f>
        <v>8.9613034623217924</v>
      </c>
    </row>
    <row r="6755" spans="1:14">
      <c r="A6755" s="21">
        <v>2025</v>
      </c>
      <c r="B6755" s="21" t="s">
        <v>27</v>
      </c>
      <c r="C6755" s="21" t="s">
        <v>1145</v>
      </c>
      <c r="D6755" s="21" t="s">
        <v>35</v>
      </c>
      <c r="E6755" s="17" t="s">
        <v>165</v>
      </c>
      <c r="F6755" s="17" t="s">
        <v>105</v>
      </c>
      <c r="G6755" s="18" t="s">
        <v>48</v>
      </c>
      <c r="H6755" s="24">
        <v>36780</v>
      </c>
      <c r="I6755" s="24">
        <f>T_reg.root.SK[[#This Row],[Volume, kg]]/1000</f>
        <v>36.78</v>
      </c>
      <c r="J6755" s="25">
        <v>0.26090000000000002</v>
      </c>
      <c r="K6755" s="25">
        <f t="shared" si="106"/>
        <v>9595.902</v>
      </c>
      <c r="L6755" s="25">
        <v>2.35</v>
      </c>
      <c r="M6755" s="24">
        <v>86427.5</v>
      </c>
      <c r="N6755" s="25">
        <f>IFERROR(T_reg.root.SK[[#This Row],[Price]]/T_reg.root.SK[[#This Row],[Starch content]],"")</f>
        <v>9.0072824837102328</v>
      </c>
    </row>
    <row r="6756" spans="1:14">
      <c r="A6756" s="21">
        <v>2025</v>
      </c>
      <c r="B6756" s="21" t="s">
        <v>27</v>
      </c>
      <c r="C6756" s="21" t="s">
        <v>1145</v>
      </c>
      <c r="D6756" s="21" t="s">
        <v>35</v>
      </c>
      <c r="E6756" s="17" t="s">
        <v>954</v>
      </c>
      <c r="F6756" s="17" t="s">
        <v>105</v>
      </c>
      <c r="G6756" s="18" t="s">
        <v>48</v>
      </c>
      <c r="H6756" s="24">
        <v>22030</v>
      </c>
      <c r="I6756" s="24">
        <f>T_reg.root.SK[[#This Row],[Volume, kg]]/1000</f>
        <v>22.03</v>
      </c>
      <c r="J6756" s="25">
        <v>0.24890000000000001</v>
      </c>
      <c r="K6756" s="25">
        <f t="shared" si="106"/>
        <v>5483.2669999999998</v>
      </c>
      <c r="L6756" s="25">
        <v>2.2799999999999998</v>
      </c>
      <c r="M6756" s="24">
        <v>50191</v>
      </c>
      <c r="N6756" s="25">
        <f>IFERROR(T_reg.root.SK[[#This Row],[Price]]/T_reg.root.SK[[#This Row],[Starch content]],"")</f>
        <v>9.1603053435114496</v>
      </c>
    </row>
    <row r="6757" spans="1:14">
      <c r="A6757" s="21">
        <v>2025</v>
      </c>
      <c r="B6757" s="21" t="s">
        <v>27</v>
      </c>
      <c r="C6757" s="21" t="s">
        <v>1145</v>
      </c>
      <c r="D6757" s="21" t="s">
        <v>35</v>
      </c>
      <c r="E6757" s="17" t="s">
        <v>167</v>
      </c>
      <c r="F6757" s="17" t="s">
        <v>105</v>
      </c>
      <c r="G6757" s="18" t="s">
        <v>48</v>
      </c>
      <c r="H6757" s="24">
        <v>15360</v>
      </c>
      <c r="I6757" s="24">
        <f>T_reg.root.SK[[#This Row],[Volume, kg]]/1000</f>
        <v>15.36</v>
      </c>
      <c r="J6757" s="25">
        <v>0.2409</v>
      </c>
      <c r="K6757" s="25">
        <f t="shared" si="106"/>
        <v>3700.2240000000002</v>
      </c>
      <c r="L6757" s="25">
        <v>2.25</v>
      </c>
      <c r="M6757" s="24">
        <v>34560</v>
      </c>
      <c r="N6757" s="25">
        <f>IFERROR(T_reg.root.SK[[#This Row],[Price]]/T_reg.root.SK[[#This Row],[Starch content]],"")</f>
        <v>9.339975093399751</v>
      </c>
    </row>
    <row r="6758" spans="1:14">
      <c r="A6758" s="21">
        <v>2025</v>
      </c>
      <c r="B6758" s="21" t="s">
        <v>27</v>
      </c>
      <c r="C6758" s="21" t="s">
        <v>1145</v>
      </c>
      <c r="D6758" s="21" t="s">
        <v>35</v>
      </c>
      <c r="E6758" s="17" t="s">
        <v>536</v>
      </c>
      <c r="F6758" s="17" t="s">
        <v>187</v>
      </c>
      <c r="G6758" s="18" t="s">
        <v>48</v>
      </c>
      <c r="H6758" s="24">
        <v>8960</v>
      </c>
      <c r="I6758" s="24">
        <f>T_reg.root.SK[[#This Row],[Volume, kg]]/1000</f>
        <v>8.9600000000000009</v>
      </c>
      <c r="J6758" s="25">
        <v>0.26600000000000001</v>
      </c>
      <c r="K6758" s="25">
        <f t="shared" si="106"/>
        <v>2383.36</v>
      </c>
      <c r="L6758" s="25">
        <v>2.35</v>
      </c>
      <c r="M6758" s="24">
        <v>21056</v>
      </c>
      <c r="N6758" s="25">
        <f>IFERROR(T_reg.root.SK[[#This Row],[Price]]/T_reg.root.SK[[#This Row],[Starch content]],"")</f>
        <v>8.8345864661654137</v>
      </c>
    </row>
    <row r="6759" spans="1:14">
      <c r="A6759" s="21">
        <v>2025</v>
      </c>
      <c r="B6759" s="21" t="s">
        <v>27</v>
      </c>
      <c r="C6759" s="21" t="s">
        <v>1145</v>
      </c>
      <c r="D6759" s="21" t="s">
        <v>35</v>
      </c>
      <c r="E6759" s="17" t="s">
        <v>170</v>
      </c>
      <c r="F6759" s="17" t="s">
        <v>105</v>
      </c>
      <c r="G6759" s="18" t="s">
        <v>48</v>
      </c>
      <c r="H6759" s="24">
        <v>105200</v>
      </c>
      <c r="I6759" s="24">
        <f>T_reg.root.SK[[#This Row],[Volume, kg]]/1000</f>
        <v>105.2</v>
      </c>
      <c r="J6759" s="25">
        <v>0.2364</v>
      </c>
      <c r="K6759" s="25">
        <f t="shared" si="106"/>
        <v>24869.279999999999</v>
      </c>
      <c r="L6759" s="25">
        <v>2.1800000000000002</v>
      </c>
      <c r="M6759" s="24">
        <v>229554.5</v>
      </c>
      <c r="N6759" s="25">
        <f>IFERROR(T_reg.root.SK[[#This Row],[Price]]/T_reg.root.SK[[#This Row],[Starch content]],"")</f>
        <v>9.2216582064297814</v>
      </c>
    </row>
    <row r="6760" spans="1:14">
      <c r="A6760" s="21">
        <v>2025</v>
      </c>
      <c r="B6760" s="21" t="s">
        <v>27</v>
      </c>
      <c r="C6760" s="21" t="s">
        <v>1145</v>
      </c>
      <c r="D6760" s="21" t="s">
        <v>35</v>
      </c>
      <c r="E6760" s="17" t="s">
        <v>722</v>
      </c>
      <c r="F6760" s="17" t="s">
        <v>105</v>
      </c>
      <c r="G6760" s="18" t="s">
        <v>48</v>
      </c>
      <c r="H6760" s="24">
        <v>61630</v>
      </c>
      <c r="I6760" s="24">
        <f>T_reg.root.SK[[#This Row],[Volume, kg]]/1000</f>
        <v>61.63</v>
      </c>
      <c r="J6760" s="25">
        <v>0.24050000000000002</v>
      </c>
      <c r="K6760" s="25">
        <f t="shared" si="106"/>
        <v>14822.015000000001</v>
      </c>
      <c r="L6760" s="25">
        <v>2.2400000000000002</v>
      </c>
      <c r="M6760" s="24">
        <v>137786</v>
      </c>
      <c r="N6760" s="25">
        <f>IFERROR(T_reg.root.SK[[#This Row],[Price]]/T_reg.root.SK[[#This Row],[Starch content]],"")</f>
        <v>9.3139293139293144</v>
      </c>
    </row>
    <row r="6761" spans="1:14">
      <c r="A6761" s="21">
        <v>2025</v>
      </c>
      <c r="B6761" s="21" t="s">
        <v>27</v>
      </c>
      <c r="C6761" s="21" t="s">
        <v>1145</v>
      </c>
      <c r="D6761" s="21" t="s">
        <v>35</v>
      </c>
      <c r="E6761" s="17" t="s">
        <v>321</v>
      </c>
      <c r="F6761" s="17" t="s">
        <v>105</v>
      </c>
      <c r="G6761" s="18" t="s">
        <v>48</v>
      </c>
      <c r="H6761" s="24">
        <v>44210</v>
      </c>
      <c r="I6761" s="24">
        <f>T_reg.root.SK[[#This Row],[Volume, kg]]/1000</f>
        <v>44.21</v>
      </c>
      <c r="J6761" s="25">
        <v>0.25359999999999999</v>
      </c>
      <c r="K6761" s="25">
        <f t="shared" si="106"/>
        <v>11211.655999999999</v>
      </c>
      <c r="L6761" s="25">
        <v>2.2599999999999998</v>
      </c>
      <c r="M6761" s="24">
        <v>100048</v>
      </c>
      <c r="N6761" s="25">
        <f>IFERROR(T_reg.root.SK[[#This Row],[Price]]/T_reg.root.SK[[#This Row],[Starch content]],"")</f>
        <v>8.9116719242902196</v>
      </c>
    </row>
    <row r="6762" spans="1:14">
      <c r="A6762" s="21">
        <v>2025</v>
      </c>
      <c r="B6762" s="21" t="s">
        <v>27</v>
      </c>
      <c r="C6762" s="21" t="s">
        <v>1145</v>
      </c>
      <c r="D6762" s="21" t="s">
        <v>35</v>
      </c>
      <c r="E6762" s="17" t="s">
        <v>173</v>
      </c>
      <c r="F6762" s="17" t="s">
        <v>105</v>
      </c>
      <c r="G6762" s="18" t="s">
        <v>48</v>
      </c>
      <c r="H6762" s="24">
        <v>9370</v>
      </c>
      <c r="I6762" s="24">
        <f>T_reg.root.SK[[#This Row],[Volume, kg]]/1000</f>
        <v>9.3699999999999992</v>
      </c>
      <c r="J6762" s="25">
        <v>0.23399999999999999</v>
      </c>
      <c r="K6762" s="25">
        <f t="shared" si="106"/>
        <v>2192.58</v>
      </c>
      <c r="L6762" s="25">
        <v>2.15</v>
      </c>
      <c r="M6762" s="24">
        <v>20147.5</v>
      </c>
      <c r="N6762" s="25">
        <f>IFERROR(T_reg.root.SK[[#This Row],[Price]]/T_reg.root.SK[[#This Row],[Starch content]],"")</f>
        <v>9.1880341880341874</v>
      </c>
    </row>
    <row r="6763" spans="1:14">
      <c r="A6763" s="21">
        <v>2025</v>
      </c>
      <c r="B6763" s="21" t="s">
        <v>27</v>
      </c>
      <c r="C6763" s="21" t="s">
        <v>1145</v>
      </c>
      <c r="D6763" s="21" t="s">
        <v>35</v>
      </c>
      <c r="E6763" s="17" t="s">
        <v>324</v>
      </c>
      <c r="F6763" s="17" t="s">
        <v>105</v>
      </c>
      <c r="G6763" s="18" t="s">
        <v>48</v>
      </c>
      <c r="H6763" s="24">
        <v>13560</v>
      </c>
      <c r="I6763" s="24">
        <f>T_reg.root.SK[[#This Row],[Volume, kg]]/1000</f>
        <v>13.56</v>
      </c>
      <c r="J6763" s="25">
        <v>0.24249999999999999</v>
      </c>
      <c r="K6763" s="25">
        <f t="shared" si="106"/>
        <v>3288.2999999999997</v>
      </c>
      <c r="L6763" s="25">
        <v>2.1800000000000002</v>
      </c>
      <c r="M6763" s="24">
        <v>29506</v>
      </c>
      <c r="N6763" s="25">
        <f>IFERROR(T_reg.root.SK[[#This Row],[Price]]/T_reg.root.SK[[#This Row],[Starch content]],"")</f>
        <v>8.9896907216494846</v>
      </c>
    </row>
    <row r="6764" spans="1:14">
      <c r="A6764" s="21">
        <v>2025</v>
      </c>
      <c r="B6764" s="21" t="s">
        <v>27</v>
      </c>
      <c r="C6764" s="21" t="s">
        <v>1145</v>
      </c>
      <c r="D6764" s="21" t="s">
        <v>35</v>
      </c>
      <c r="E6764" s="17" t="s">
        <v>938</v>
      </c>
      <c r="F6764" s="17" t="s">
        <v>105</v>
      </c>
      <c r="G6764" s="18" t="s">
        <v>48</v>
      </c>
      <c r="H6764" s="24">
        <v>238370</v>
      </c>
      <c r="I6764" s="24">
        <f>T_reg.root.SK[[#This Row],[Volume, kg]]/1000</f>
        <v>238.37</v>
      </c>
      <c r="J6764" s="25">
        <v>0.2465</v>
      </c>
      <c r="K6764" s="25">
        <f t="shared" si="106"/>
        <v>58758.205000000002</v>
      </c>
      <c r="L6764" s="25">
        <v>2.2400000000000002</v>
      </c>
      <c r="M6764" s="24">
        <v>534053</v>
      </c>
      <c r="N6764" s="25">
        <f>IFERROR(T_reg.root.SK[[#This Row],[Price]]/T_reg.root.SK[[#This Row],[Starch content]],"")</f>
        <v>9.0872210953346872</v>
      </c>
    </row>
    <row r="6765" spans="1:14">
      <c r="A6765" s="21">
        <v>2025</v>
      </c>
      <c r="B6765" s="21" t="s">
        <v>27</v>
      </c>
      <c r="C6765" s="21" t="s">
        <v>1145</v>
      </c>
      <c r="D6765" s="21" t="s">
        <v>35</v>
      </c>
      <c r="E6765" s="17" t="s">
        <v>968</v>
      </c>
      <c r="F6765" s="17" t="s">
        <v>105</v>
      </c>
      <c r="G6765" s="18" t="s">
        <v>48</v>
      </c>
      <c r="H6765" s="24">
        <v>39840</v>
      </c>
      <c r="I6765" s="24">
        <f>T_reg.root.SK[[#This Row],[Volume, kg]]/1000</f>
        <v>39.840000000000003</v>
      </c>
      <c r="J6765" s="25">
        <v>0.23370000000000002</v>
      </c>
      <c r="K6765" s="25">
        <f t="shared" si="106"/>
        <v>9310.6080000000002</v>
      </c>
      <c r="L6765" s="25">
        <v>2.17</v>
      </c>
      <c r="M6765" s="24">
        <v>86478</v>
      </c>
      <c r="N6765" s="25">
        <f>IFERROR(T_reg.root.SK[[#This Row],[Price]]/T_reg.root.SK[[#This Row],[Starch content]],"")</f>
        <v>9.2854086435601193</v>
      </c>
    </row>
    <row r="6766" spans="1:14">
      <c r="A6766" s="21">
        <v>2025</v>
      </c>
      <c r="B6766" s="21" t="s">
        <v>27</v>
      </c>
      <c r="C6766" s="21" t="s">
        <v>1145</v>
      </c>
      <c r="D6766" s="21" t="s">
        <v>35</v>
      </c>
      <c r="E6766" s="17" t="s">
        <v>980</v>
      </c>
      <c r="F6766" s="17" t="s">
        <v>105</v>
      </c>
      <c r="G6766" s="18" t="s">
        <v>48</v>
      </c>
      <c r="H6766" s="24">
        <v>9910</v>
      </c>
      <c r="I6766" s="24">
        <f>T_reg.root.SK[[#This Row],[Volume, kg]]/1000</f>
        <v>9.91</v>
      </c>
      <c r="J6766" s="25">
        <v>0.27079999999999999</v>
      </c>
      <c r="K6766" s="25">
        <f t="shared" si="106"/>
        <v>2683.6279999999997</v>
      </c>
      <c r="L6766" s="25">
        <v>2.37</v>
      </c>
      <c r="M6766" s="24">
        <v>23440.5</v>
      </c>
      <c r="N6766" s="25">
        <f>IFERROR(T_reg.root.SK[[#This Row],[Price]]/T_reg.root.SK[[#This Row],[Starch content]],"")</f>
        <v>8.751846381093058</v>
      </c>
    </row>
    <row r="6767" spans="1:14">
      <c r="A6767" s="21">
        <v>2025</v>
      </c>
      <c r="B6767" s="21" t="s">
        <v>27</v>
      </c>
      <c r="C6767" s="21" t="s">
        <v>1145</v>
      </c>
      <c r="D6767" s="21" t="s">
        <v>39</v>
      </c>
      <c r="E6767" s="17" t="s">
        <v>1076</v>
      </c>
      <c r="F6767" s="17" t="s">
        <v>1077</v>
      </c>
      <c r="G6767" s="18" t="s">
        <v>1078</v>
      </c>
      <c r="H6767" s="24">
        <v>29600</v>
      </c>
      <c r="I6767" s="24">
        <f>T_reg.root.SK[[#This Row],[Volume, kg]]/1000</f>
        <v>29.6</v>
      </c>
      <c r="J6767" s="25">
        <v>0.2268</v>
      </c>
      <c r="K6767" s="25">
        <f t="shared" si="106"/>
        <v>6713.28</v>
      </c>
      <c r="L6767" s="25">
        <v>2.35</v>
      </c>
      <c r="M6767" s="24">
        <v>69560</v>
      </c>
      <c r="N6767" s="25">
        <f>IFERROR(T_reg.root.SK[[#This Row],[Price]]/T_reg.root.SK[[#This Row],[Starch content]],"")</f>
        <v>10.361552028218695</v>
      </c>
    </row>
    <row r="6768" spans="1:14">
      <c r="A6768" s="21">
        <v>2025</v>
      </c>
      <c r="B6768" s="21" t="s">
        <v>27</v>
      </c>
      <c r="C6768" s="21" t="s">
        <v>1145</v>
      </c>
      <c r="D6768" s="21" t="s">
        <v>35</v>
      </c>
      <c r="E6768" s="17" t="s">
        <v>1079</v>
      </c>
      <c r="F6768" s="17" t="s">
        <v>105</v>
      </c>
      <c r="G6768" s="18" t="s">
        <v>48</v>
      </c>
      <c r="H6768" s="24">
        <v>13950</v>
      </c>
      <c r="I6768" s="24">
        <f>T_reg.root.SK[[#This Row],[Volume, kg]]/1000</f>
        <v>13.95</v>
      </c>
      <c r="J6768" s="25">
        <v>0.22359999999999999</v>
      </c>
      <c r="K6768" s="25">
        <f t="shared" si="106"/>
        <v>3119.22</v>
      </c>
      <c r="L6768" s="25">
        <v>2.11</v>
      </c>
      <c r="M6768" s="24">
        <v>29494</v>
      </c>
      <c r="N6768" s="25">
        <f>IFERROR(T_reg.root.SK[[#This Row],[Price]]/T_reg.root.SK[[#This Row],[Starch content]],"")</f>
        <v>9.4364937388193191</v>
      </c>
    </row>
    <row r="6769" spans="1:14">
      <c r="A6769" s="21">
        <v>2025</v>
      </c>
      <c r="B6769" s="21" t="s">
        <v>27</v>
      </c>
      <c r="C6769" s="21" t="s">
        <v>1145</v>
      </c>
      <c r="D6769" s="21" t="s">
        <v>35</v>
      </c>
      <c r="E6769" s="17" t="s">
        <v>507</v>
      </c>
      <c r="F6769" s="17" t="s">
        <v>105</v>
      </c>
      <c r="G6769" s="18" t="s">
        <v>48</v>
      </c>
      <c r="H6769" s="24">
        <v>98460</v>
      </c>
      <c r="I6769" s="24">
        <f>T_reg.root.SK[[#This Row],[Volume, kg]]/1000</f>
        <v>98.46</v>
      </c>
      <c r="J6769" s="25">
        <v>0.25579999999999997</v>
      </c>
      <c r="K6769" s="25">
        <f t="shared" si="106"/>
        <v>25186.067999999996</v>
      </c>
      <c r="L6769" s="25">
        <v>2.2799999999999998</v>
      </c>
      <c r="M6769" s="24">
        <v>224870.5</v>
      </c>
      <c r="N6769" s="25">
        <f>IFERROR(T_reg.root.SK[[#This Row],[Price]]/T_reg.root.SK[[#This Row],[Starch content]],"")</f>
        <v>8.913213448006255</v>
      </c>
    </row>
    <row r="6770" spans="1:14">
      <c r="A6770" s="21">
        <v>2025</v>
      </c>
      <c r="B6770" s="21" t="s">
        <v>27</v>
      </c>
      <c r="C6770" s="21" t="s">
        <v>1145</v>
      </c>
      <c r="D6770" s="21" t="s">
        <v>39</v>
      </c>
      <c r="E6770" s="17" t="s">
        <v>272</v>
      </c>
      <c r="F6770" s="17" t="s">
        <v>273</v>
      </c>
      <c r="G6770" s="18" t="s">
        <v>220</v>
      </c>
      <c r="H6770" s="24">
        <v>319890</v>
      </c>
      <c r="I6770" s="24">
        <f>T_reg.root.SK[[#This Row],[Volume, kg]]/1000</f>
        <v>319.89</v>
      </c>
      <c r="J6770" s="25">
        <v>0.245</v>
      </c>
      <c r="K6770" s="25">
        <f t="shared" si="106"/>
        <v>78373.05</v>
      </c>
      <c r="L6770" s="25">
        <v>2.39</v>
      </c>
      <c r="M6770" s="24">
        <v>765034.5</v>
      </c>
      <c r="N6770" s="25">
        <f>IFERROR(T_reg.root.SK[[#This Row],[Price]]/T_reg.root.SK[[#This Row],[Starch content]],"")</f>
        <v>9.7551020408163271</v>
      </c>
    </row>
    <row r="6771" spans="1:14">
      <c r="A6771" s="21">
        <v>2025</v>
      </c>
      <c r="B6771" s="21" t="s">
        <v>27</v>
      </c>
      <c r="C6771" s="21" t="s">
        <v>1145</v>
      </c>
      <c r="D6771" s="21" t="s">
        <v>39</v>
      </c>
      <c r="E6771" s="17" t="s">
        <v>88</v>
      </c>
      <c r="F6771" s="17" t="s">
        <v>89</v>
      </c>
      <c r="G6771" s="18" t="s">
        <v>90</v>
      </c>
      <c r="H6771" s="24">
        <v>2021170</v>
      </c>
      <c r="I6771" s="24">
        <f>T_reg.root.SK[[#This Row],[Volume, kg]]/1000</f>
        <v>2021.17</v>
      </c>
      <c r="J6771" s="25">
        <v>0.2495</v>
      </c>
      <c r="K6771" s="25">
        <f t="shared" si="106"/>
        <v>504281.91499999998</v>
      </c>
      <c r="L6771" s="25">
        <v>2.5099999999999998</v>
      </c>
      <c r="M6771" s="24">
        <v>5082693.5</v>
      </c>
      <c r="N6771" s="25">
        <f>IFERROR(T_reg.root.SK[[#This Row],[Price]]/T_reg.root.SK[[#This Row],[Starch content]],"")</f>
        <v>10.060120240480961</v>
      </c>
    </row>
    <row r="6772" spans="1:14">
      <c r="A6772" s="21">
        <v>2025</v>
      </c>
      <c r="B6772" s="21" t="s">
        <v>27</v>
      </c>
      <c r="C6772" s="21" t="s">
        <v>1145</v>
      </c>
      <c r="D6772" s="21" t="s">
        <v>39</v>
      </c>
      <c r="E6772" s="17" t="s">
        <v>1054</v>
      </c>
      <c r="F6772" s="17" t="s">
        <v>1055</v>
      </c>
      <c r="G6772" s="18" t="s">
        <v>103</v>
      </c>
      <c r="H6772" s="24">
        <v>689150</v>
      </c>
      <c r="I6772" s="24">
        <f>T_reg.root.SK[[#This Row],[Volume, kg]]/1000</f>
        <v>689.15</v>
      </c>
      <c r="J6772" s="25">
        <v>0.24940000000000001</v>
      </c>
      <c r="K6772" s="25">
        <f t="shared" si="106"/>
        <v>171874.01</v>
      </c>
      <c r="L6772" s="25">
        <v>2.5299999999999998</v>
      </c>
      <c r="M6772" s="24">
        <v>1744466</v>
      </c>
      <c r="N6772" s="25">
        <f>IFERROR(T_reg.root.SK[[#This Row],[Price]]/T_reg.root.SK[[#This Row],[Starch content]],"")</f>
        <v>10.144346431435444</v>
      </c>
    </row>
    <row r="6773" spans="1:14">
      <c r="A6773" s="21">
        <v>2025</v>
      </c>
      <c r="B6773" s="21" t="s">
        <v>27</v>
      </c>
      <c r="C6773" s="21" t="s">
        <v>1145</v>
      </c>
      <c r="D6773" s="21" t="s">
        <v>35</v>
      </c>
      <c r="E6773" s="17" t="s">
        <v>761</v>
      </c>
      <c r="F6773" s="17" t="s">
        <v>187</v>
      </c>
      <c r="G6773" s="18" t="s">
        <v>48</v>
      </c>
      <c r="H6773" s="24">
        <v>10370</v>
      </c>
      <c r="I6773" s="24">
        <f>T_reg.root.SK[[#This Row],[Volume, kg]]/1000</f>
        <v>10.37</v>
      </c>
      <c r="J6773" s="25">
        <v>0.215</v>
      </c>
      <c r="K6773" s="25">
        <f t="shared" si="106"/>
        <v>2229.5500000000002</v>
      </c>
      <c r="L6773" s="25">
        <v>2.15</v>
      </c>
      <c r="M6773" s="24">
        <v>22295.5</v>
      </c>
      <c r="N6773" s="25">
        <f>IFERROR(T_reg.root.SK[[#This Row],[Price]]/T_reg.root.SK[[#This Row],[Starch content]],"")</f>
        <v>10</v>
      </c>
    </row>
    <row r="6774" spans="1:14">
      <c r="A6774" s="21">
        <v>2025</v>
      </c>
      <c r="B6774" s="21" t="s">
        <v>27</v>
      </c>
      <c r="C6774" s="21" t="s">
        <v>1145</v>
      </c>
      <c r="D6774" s="21" t="s">
        <v>35</v>
      </c>
      <c r="E6774" s="17" t="s">
        <v>577</v>
      </c>
      <c r="F6774" s="17" t="s">
        <v>105</v>
      </c>
      <c r="G6774" s="18" t="s">
        <v>48</v>
      </c>
      <c r="H6774" s="24">
        <v>40750</v>
      </c>
      <c r="I6774" s="24">
        <f>T_reg.root.SK[[#This Row],[Volume, kg]]/1000</f>
        <v>40.75</v>
      </c>
      <c r="J6774" s="25">
        <v>0.24530000000000002</v>
      </c>
      <c r="K6774" s="25">
        <f t="shared" si="106"/>
        <v>9995.9750000000004</v>
      </c>
      <c r="L6774" s="25">
        <v>2.19</v>
      </c>
      <c r="M6774" s="24">
        <v>89051.5</v>
      </c>
      <c r="N6774" s="25">
        <f>IFERROR(T_reg.root.SK[[#This Row],[Price]]/T_reg.root.SK[[#This Row],[Starch content]],"")</f>
        <v>8.9278434569914378</v>
      </c>
    </row>
    <row r="6775" spans="1:14">
      <c r="A6775" s="21">
        <v>2025</v>
      </c>
      <c r="B6775" s="21" t="s">
        <v>27</v>
      </c>
      <c r="C6775" s="21" t="s">
        <v>1145</v>
      </c>
      <c r="D6775" s="21" t="s">
        <v>35</v>
      </c>
      <c r="E6775" s="17" t="s">
        <v>175</v>
      </c>
      <c r="F6775" s="17" t="s">
        <v>105</v>
      </c>
      <c r="G6775" s="18" t="s">
        <v>48</v>
      </c>
      <c r="H6775" s="24">
        <v>33510</v>
      </c>
      <c r="I6775" s="24">
        <f>T_reg.root.SK[[#This Row],[Volume, kg]]/1000</f>
        <v>33.51</v>
      </c>
      <c r="J6775" s="25">
        <v>0.23079999999999998</v>
      </c>
      <c r="K6775" s="25">
        <f t="shared" si="106"/>
        <v>7734.1079999999993</v>
      </c>
      <c r="L6775" s="25">
        <v>2.16</v>
      </c>
      <c r="M6775" s="24">
        <v>72459.5</v>
      </c>
      <c r="N6775" s="25">
        <f>IFERROR(T_reg.root.SK[[#This Row],[Price]]/T_reg.root.SK[[#This Row],[Starch content]],"")</f>
        <v>9.3587521663778173</v>
      </c>
    </row>
    <row r="6776" spans="1:14">
      <c r="A6776" s="21">
        <v>2025</v>
      </c>
      <c r="B6776" s="21" t="s">
        <v>27</v>
      </c>
      <c r="C6776" s="21" t="s">
        <v>1145</v>
      </c>
      <c r="D6776" s="21" t="s">
        <v>35</v>
      </c>
      <c r="E6776" s="17" t="s">
        <v>176</v>
      </c>
      <c r="F6776" s="17" t="s">
        <v>105</v>
      </c>
      <c r="G6776" s="18" t="s">
        <v>48</v>
      </c>
      <c r="H6776" s="24">
        <v>10730</v>
      </c>
      <c r="I6776" s="24">
        <f>T_reg.root.SK[[#This Row],[Volume, kg]]/1000</f>
        <v>10.73</v>
      </c>
      <c r="J6776" s="25">
        <v>0.25129999999999997</v>
      </c>
      <c r="K6776" s="25">
        <f t="shared" si="106"/>
        <v>2696.4489999999996</v>
      </c>
      <c r="L6776" s="25">
        <v>2.25</v>
      </c>
      <c r="M6776" s="24">
        <v>24109.5</v>
      </c>
      <c r="N6776" s="25">
        <f>IFERROR(T_reg.root.SK[[#This Row],[Price]]/T_reg.root.SK[[#This Row],[Starch content]],"")</f>
        <v>8.9534421010744136</v>
      </c>
    </row>
    <row r="6777" spans="1:14">
      <c r="A6777" s="21">
        <v>2025</v>
      </c>
      <c r="B6777" s="21" t="s">
        <v>27</v>
      </c>
      <c r="C6777" s="21" t="s">
        <v>1145</v>
      </c>
      <c r="D6777" s="21" t="s">
        <v>35</v>
      </c>
      <c r="E6777" s="17" t="s">
        <v>605</v>
      </c>
      <c r="F6777" s="17" t="s">
        <v>105</v>
      </c>
      <c r="G6777" s="18" t="s">
        <v>48</v>
      </c>
      <c r="H6777" s="24">
        <v>210160</v>
      </c>
      <c r="I6777" s="24">
        <f>T_reg.root.SK[[#This Row],[Volume, kg]]/1000</f>
        <v>210.16</v>
      </c>
      <c r="J6777" s="25">
        <v>0.2445</v>
      </c>
      <c r="K6777" s="25">
        <f t="shared" si="106"/>
        <v>51384.119999999995</v>
      </c>
      <c r="L6777" s="25">
        <v>2.2000000000000002</v>
      </c>
      <c r="M6777" s="24">
        <v>462722</v>
      </c>
      <c r="N6777" s="25">
        <f>IFERROR(T_reg.root.SK[[#This Row],[Price]]/T_reg.root.SK[[#This Row],[Starch content]],"")</f>
        <v>8.997955010224949</v>
      </c>
    </row>
    <row r="6778" spans="1:14">
      <c r="A6778" s="21">
        <v>2025</v>
      </c>
      <c r="B6778" s="21" t="s">
        <v>27</v>
      </c>
      <c r="C6778" s="21" t="s">
        <v>1145</v>
      </c>
      <c r="D6778" s="21" t="s">
        <v>35</v>
      </c>
      <c r="E6778" s="17" t="s">
        <v>259</v>
      </c>
      <c r="F6778" s="17" t="s">
        <v>105</v>
      </c>
      <c r="G6778" s="18" t="s">
        <v>48</v>
      </c>
      <c r="H6778" s="24">
        <v>27110</v>
      </c>
      <c r="I6778" s="24">
        <f>T_reg.root.SK[[#This Row],[Volume, kg]]/1000</f>
        <v>27.11</v>
      </c>
      <c r="J6778" s="25">
        <v>0.21870000000000001</v>
      </c>
      <c r="K6778" s="25">
        <f t="shared" si="106"/>
        <v>5928.9570000000003</v>
      </c>
      <c r="L6778" s="25">
        <v>2.1</v>
      </c>
      <c r="M6778" s="24">
        <v>56844</v>
      </c>
      <c r="N6778" s="25">
        <f>IFERROR(T_reg.root.SK[[#This Row],[Price]]/T_reg.root.SK[[#This Row],[Starch content]],"")</f>
        <v>9.6021947873799736</v>
      </c>
    </row>
    <row r="6779" spans="1:14">
      <c r="A6779" s="21">
        <v>2025</v>
      </c>
      <c r="B6779" s="21" t="s">
        <v>27</v>
      </c>
      <c r="C6779" s="21" t="s">
        <v>1145</v>
      </c>
      <c r="D6779" s="21" t="s">
        <v>35</v>
      </c>
      <c r="E6779" s="17" t="s">
        <v>329</v>
      </c>
      <c r="F6779" s="17" t="s">
        <v>105</v>
      </c>
      <c r="G6779" s="18" t="s">
        <v>48</v>
      </c>
      <c r="H6779" s="24">
        <v>16590</v>
      </c>
      <c r="I6779" s="24">
        <f>T_reg.root.SK[[#This Row],[Volume, kg]]/1000</f>
        <v>16.59</v>
      </c>
      <c r="J6779" s="25">
        <v>0.23379999999999998</v>
      </c>
      <c r="K6779" s="25">
        <f t="shared" si="106"/>
        <v>3878.7419999999997</v>
      </c>
      <c r="L6779" s="25">
        <v>2.21</v>
      </c>
      <c r="M6779" s="24">
        <v>36659</v>
      </c>
      <c r="N6779" s="25">
        <f>IFERROR(T_reg.root.SK[[#This Row],[Price]]/T_reg.root.SK[[#This Row],[Starch content]],"")</f>
        <v>9.4525235243798118</v>
      </c>
    </row>
    <row r="6780" spans="1:14">
      <c r="A6780" s="21">
        <v>2025</v>
      </c>
      <c r="B6780" s="21" t="s">
        <v>27</v>
      </c>
      <c r="C6780" s="21" t="s">
        <v>1145</v>
      </c>
      <c r="D6780" s="21" t="s">
        <v>35</v>
      </c>
      <c r="E6780" s="17" t="s">
        <v>640</v>
      </c>
      <c r="F6780" s="17" t="s">
        <v>105</v>
      </c>
      <c r="G6780" s="18" t="s">
        <v>48</v>
      </c>
      <c r="H6780" s="24">
        <v>60940</v>
      </c>
      <c r="I6780" s="24">
        <f>T_reg.root.SK[[#This Row],[Volume, kg]]/1000</f>
        <v>60.94</v>
      </c>
      <c r="J6780" s="25">
        <v>0.24739999999999998</v>
      </c>
      <c r="K6780" s="25">
        <f t="shared" si="106"/>
        <v>15076.555999999999</v>
      </c>
      <c r="L6780" s="25">
        <v>2.2599999999999998</v>
      </c>
      <c r="M6780" s="24">
        <v>137943.5</v>
      </c>
      <c r="N6780" s="25">
        <f>IFERROR(T_reg.root.SK[[#This Row],[Price]]/T_reg.root.SK[[#This Row],[Starch content]],"")</f>
        <v>9.1350040420371865</v>
      </c>
    </row>
    <row r="6781" spans="1:14">
      <c r="A6781" s="21">
        <v>2025</v>
      </c>
      <c r="B6781" s="21" t="s">
        <v>27</v>
      </c>
      <c r="C6781" s="21" t="s">
        <v>1145</v>
      </c>
      <c r="D6781" s="21" t="s">
        <v>35</v>
      </c>
      <c r="E6781" s="17" t="s">
        <v>939</v>
      </c>
      <c r="F6781" s="17" t="s">
        <v>105</v>
      </c>
      <c r="G6781" s="18" t="s">
        <v>48</v>
      </c>
      <c r="H6781" s="24">
        <v>58440</v>
      </c>
      <c r="I6781" s="24">
        <f>T_reg.root.SK[[#This Row],[Volume, kg]]/1000</f>
        <v>58.44</v>
      </c>
      <c r="J6781" s="25">
        <v>0.23469999999999999</v>
      </c>
      <c r="K6781" s="25">
        <f t="shared" si="106"/>
        <v>13715.868</v>
      </c>
      <c r="L6781" s="25">
        <v>2.17</v>
      </c>
      <c r="M6781" s="24">
        <v>126804.5</v>
      </c>
      <c r="N6781" s="25">
        <f>IFERROR(T_reg.root.SK[[#This Row],[Price]]/T_reg.root.SK[[#This Row],[Starch content]],"")</f>
        <v>9.245845760545377</v>
      </c>
    </row>
    <row r="6782" spans="1:14">
      <c r="A6782" s="21">
        <v>2025</v>
      </c>
      <c r="B6782" s="21" t="s">
        <v>27</v>
      </c>
      <c r="C6782" s="21" t="s">
        <v>1145</v>
      </c>
      <c r="D6782" s="21" t="s">
        <v>35</v>
      </c>
      <c r="E6782" s="17" t="s">
        <v>959</v>
      </c>
      <c r="F6782" s="17" t="s">
        <v>105</v>
      </c>
      <c r="G6782" s="18" t="s">
        <v>48</v>
      </c>
      <c r="H6782" s="24">
        <v>15130</v>
      </c>
      <c r="I6782" s="24">
        <f>T_reg.root.SK[[#This Row],[Volume, kg]]/1000</f>
        <v>15.13</v>
      </c>
      <c r="J6782" s="25">
        <v>0.23530000000000001</v>
      </c>
      <c r="K6782" s="25">
        <f t="shared" si="106"/>
        <v>3560.0889999999999</v>
      </c>
      <c r="L6782" s="25">
        <v>2.13</v>
      </c>
      <c r="M6782" s="24">
        <v>32157.5</v>
      </c>
      <c r="N6782" s="25">
        <f>IFERROR(T_reg.root.SK[[#This Row],[Price]]/T_reg.root.SK[[#This Row],[Starch content]],"")</f>
        <v>9.0522736931576695</v>
      </c>
    </row>
    <row r="6783" spans="1:14">
      <c r="A6783" s="21">
        <v>2025</v>
      </c>
      <c r="B6783" s="21" t="s">
        <v>27</v>
      </c>
      <c r="C6783" s="21" t="s">
        <v>1145</v>
      </c>
      <c r="D6783" s="21" t="s">
        <v>35</v>
      </c>
      <c r="E6783" s="17" t="s">
        <v>969</v>
      </c>
      <c r="F6783" s="17" t="s">
        <v>105</v>
      </c>
      <c r="G6783" s="18" t="s">
        <v>48</v>
      </c>
      <c r="H6783" s="24">
        <v>27280</v>
      </c>
      <c r="I6783" s="24">
        <f>T_reg.root.SK[[#This Row],[Volume, kg]]/1000</f>
        <v>27.28</v>
      </c>
      <c r="J6783" s="25">
        <v>0.23860000000000001</v>
      </c>
      <c r="K6783" s="25">
        <f t="shared" si="106"/>
        <v>6509.0079999999998</v>
      </c>
      <c r="L6783" s="25">
        <v>2.1800000000000002</v>
      </c>
      <c r="M6783" s="24">
        <v>59606</v>
      </c>
      <c r="N6783" s="25">
        <f>IFERROR(T_reg.root.SK[[#This Row],[Price]]/T_reg.root.SK[[#This Row],[Starch content]],"")</f>
        <v>9.1366303436714169</v>
      </c>
    </row>
    <row r="6784" spans="1:14">
      <c r="A6784" s="21">
        <v>2025</v>
      </c>
      <c r="B6784" s="21" t="s">
        <v>27</v>
      </c>
      <c r="C6784" s="21" t="s">
        <v>1145</v>
      </c>
      <c r="D6784" s="21" t="s">
        <v>35</v>
      </c>
      <c r="E6784" s="17" t="s">
        <v>1016</v>
      </c>
      <c r="F6784" s="17" t="s">
        <v>105</v>
      </c>
      <c r="G6784" s="18" t="s">
        <v>48</v>
      </c>
      <c r="H6784" s="24">
        <v>33700</v>
      </c>
      <c r="I6784" s="24">
        <f>T_reg.root.SK[[#This Row],[Volume, kg]]/1000</f>
        <v>33.700000000000003</v>
      </c>
      <c r="J6784" s="25">
        <v>0.1883</v>
      </c>
      <c r="K6784" s="25">
        <f t="shared" si="106"/>
        <v>6345.71</v>
      </c>
      <c r="L6784" s="25">
        <v>1.94</v>
      </c>
      <c r="M6784" s="24">
        <v>65223.5</v>
      </c>
      <c r="N6784" s="25">
        <f>IFERROR(T_reg.root.SK[[#This Row],[Price]]/T_reg.root.SK[[#This Row],[Starch content]],"")</f>
        <v>10.302708443972385</v>
      </c>
    </row>
    <row r="6785" spans="1:14">
      <c r="A6785" s="21">
        <v>2025</v>
      </c>
      <c r="B6785" s="21" t="s">
        <v>27</v>
      </c>
      <c r="C6785" s="21" t="s">
        <v>1145</v>
      </c>
      <c r="D6785" s="21" t="s">
        <v>35</v>
      </c>
      <c r="E6785" s="17" t="s">
        <v>1067</v>
      </c>
      <c r="F6785" s="17" t="s">
        <v>105</v>
      </c>
      <c r="G6785" s="18" t="s">
        <v>48</v>
      </c>
      <c r="H6785" s="24">
        <v>25940</v>
      </c>
      <c r="I6785" s="24">
        <f>T_reg.root.SK[[#This Row],[Volume, kg]]/1000</f>
        <v>25.94</v>
      </c>
      <c r="J6785" s="25">
        <v>0.26119999999999999</v>
      </c>
      <c r="K6785" s="25">
        <f t="shared" si="106"/>
        <v>6775.5279999999993</v>
      </c>
      <c r="L6785" s="25">
        <v>2.27</v>
      </c>
      <c r="M6785" s="24">
        <v>58901.5</v>
      </c>
      <c r="N6785" s="25">
        <f>IFERROR(T_reg.root.SK[[#This Row],[Price]]/T_reg.root.SK[[#This Row],[Starch content]],"")</f>
        <v>8.6906584992343046</v>
      </c>
    </row>
    <row r="6786" spans="1:14">
      <c r="A6786" s="21">
        <v>2025</v>
      </c>
      <c r="B6786" s="21" t="s">
        <v>27</v>
      </c>
      <c r="C6786" s="21" t="s">
        <v>1145</v>
      </c>
      <c r="D6786" s="21" t="s">
        <v>35</v>
      </c>
      <c r="E6786" s="17" t="s">
        <v>183</v>
      </c>
      <c r="F6786" s="17" t="s">
        <v>105</v>
      </c>
      <c r="G6786" s="18" t="s">
        <v>48</v>
      </c>
      <c r="H6786" s="24">
        <v>64090</v>
      </c>
      <c r="I6786" s="24">
        <f>T_reg.root.SK[[#This Row],[Volume, kg]]/1000</f>
        <v>64.09</v>
      </c>
      <c r="J6786" s="25">
        <v>0.2482</v>
      </c>
      <c r="K6786" s="25">
        <f t="shared" si="106"/>
        <v>15907.138000000001</v>
      </c>
      <c r="L6786" s="25">
        <v>2.2599999999999998</v>
      </c>
      <c r="M6786" s="24">
        <v>144537</v>
      </c>
      <c r="N6786" s="25">
        <f>IFERROR(T_reg.root.SK[[#This Row],[Price]]/T_reg.root.SK[[#This Row],[Starch content]],"")</f>
        <v>9.10556003223207</v>
      </c>
    </row>
    <row r="6787" spans="1:14">
      <c r="A6787" s="21">
        <v>2025</v>
      </c>
      <c r="B6787" s="21" t="s">
        <v>27</v>
      </c>
      <c r="C6787" s="21" t="s">
        <v>1145</v>
      </c>
      <c r="D6787" s="21" t="s">
        <v>35</v>
      </c>
      <c r="E6787" s="17" t="s">
        <v>383</v>
      </c>
      <c r="F6787" s="17" t="s">
        <v>47</v>
      </c>
      <c r="G6787" s="18" t="s">
        <v>48</v>
      </c>
      <c r="H6787" s="24">
        <v>74380</v>
      </c>
      <c r="I6787" s="24">
        <f>T_reg.root.SK[[#This Row],[Volume, kg]]/1000</f>
        <v>74.38</v>
      </c>
      <c r="J6787" s="25">
        <v>0.23670000000000002</v>
      </c>
      <c r="K6787" s="25">
        <f t="shared" si="106"/>
        <v>17605.746000000003</v>
      </c>
      <c r="L6787" s="25">
        <v>2.19</v>
      </c>
      <c r="M6787" s="24">
        <v>162831</v>
      </c>
      <c r="N6787" s="25">
        <f>IFERROR(T_reg.root.SK[[#This Row],[Price]]/T_reg.root.SK[[#This Row],[Starch content]],"")</f>
        <v>9.2522179974651451</v>
      </c>
    </row>
    <row r="6788" spans="1:14">
      <c r="A6788" s="21">
        <v>2025</v>
      </c>
      <c r="B6788" s="21" t="s">
        <v>28</v>
      </c>
      <c r="C6788" s="21" t="s">
        <v>1145</v>
      </c>
      <c r="D6788" s="21" t="s">
        <v>184</v>
      </c>
      <c r="E6788" s="17" t="s">
        <v>185</v>
      </c>
      <c r="F6788" s="17" t="s">
        <v>105</v>
      </c>
      <c r="G6788" s="18" t="s">
        <v>48</v>
      </c>
      <c r="H6788" s="24">
        <v>7810</v>
      </c>
      <c r="I6788" s="24">
        <f>T_reg.root.SK[[#This Row],[Volume, kg]]/1000</f>
        <v>7.81</v>
      </c>
      <c r="J6788" s="25">
        <v>0.26050000000000001</v>
      </c>
      <c r="K6788" s="25">
        <f t="shared" si="106"/>
        <v>2034.5050000000001</v>
      </c>
      <c r="L6788" s="25">
        <v>2.4500000000000002</v>
      </c>
      <c r="M6788" s="24">
        <v>19134.5</v>
      </c>
      <c r="N6788" s="25">
        <f>IFERROR(T_reg.root.SK[[#This Row],[Price]]/T_reg.root.SK[[#This Row],[Starch content]],"")</f>
        <v>9.4049904030710181</v>
      </c>
    </row>
    <row r="6789" spans="1:14">
      <c r="A6789" s="21">
        <v>2025</v>
      </c>
      <c r="B6789" s="21" t="s">
        <v>28</v>
      </c>
      <c r="C6789" s="21" t="s">
        <v>1145</v>
      </c>
      <c r="D6789" s="21" t="s">
        <v>35</v>
      </c>
      <c r="E6789" s="17" t="s">
        <v>1089</v>
      </c>
      <c r="F6789" s="17" t="s">
        <v>105</v>
      </c>
      <c r="G6789" s="18" t="s">
        <v>48</v>
      </c>
      <c r="H6789" s="24">
        <v>19370</v>
      </c>
      <c r="I6789" s="24">
        <f>T_reg.root.SK[[#This Row],[Volume, kg]]/1000</f>
        <v>19.37</v>
      </c>
      <c r="J6789" s="25">
        <v>0.29249999999999998</v>
      </c>
      <c r="K6789" s="25">
        <f t="shared" si="106"/>
        <v>5665.7249999999995</v>
      </c>
      <c r="L6789" s="25">
        <v>2.6</v>
      </c>
      <c r="M6789" s="24">
        <v>50362</v>
      </c>
      <c r="N6789" s="25">
        <f>IFERROR(T_reg.root.SK[[#This Row],[Price]]/T_reg.root.SK[[#This Row],[Starch content]],"")</f>
        <v>8.8888888888888893</v>
      </c>
    </row>
    <row r="6790" spans="1:14">
      <c r="A6790" s="21">
        <v>2025</v>
      </c>
      <c r="B6790" s="21" t="s">
        <v>28</v>
      </c>
      <c r="C6790" s="21" t="s">
        <v>1145</v>
      </c>
      <c r="D6790" s="21" t="s">
        <v>35</v>
      </c>
      <c r="E6790" s="17" t="s">
        <v>684</v>
      </c>
      <c r="F6790" s="17" t="s">
        <v>105</v>
      </c>
      <c r="G6790" s="18" t="s">
        <v>48</v>
      </c>
      <c r="H6790" s="24">
        <v>47580</v>
      </c>
      <c r="I6790" s="24">
        <f>T_reg.root.SK[[#This Row],[Volume, kg]]/1000</f>
        <v>47.58</v>
      </c>
      <c r="J6790" s="25">
        <v>0.28420000000000001</v>
      </c>
      <c r="K6790" s="25">
        <f t="shared" si="106"/>
        <v>13522.236000000001</v>
      </c>
      <c r="L6790" s="25">
        <v>2.57</v>
      </c>
      <c r="M6790" s="24">
        <v>122044.5</v>
      </c>
      <c r="N6790" s="25">
        <f>IFERROR(T_reg.root.SK[[#This Row],[Price]]/T_reg.root.SK[[#This Row],[Starch content]],"")</f>
        <v>9.0429275158339184</v>
      </c>
    </row>
    <row r="6791" spans="1:14">
      <c r="A6791" s="21">
        <v>2025</v>
      </c>
      <c r="B6791" s="21" t="s">
        <v>28</v>
      </c>
      <c r="C6791" s="21" t="s">
        <v>1145</v>
      </c>
      <c r="D6791" s="21" t="s">
        <v>39</v>
      </c>
      <c r="E6791" s="17" t="s">
        <v>1058</v>
      </c>
      <c r="F6791" s="17" t="s">
        <v>227</v>
      </c>
      <c r="G6791" s="18" t="s">
        <v>42</v>
      </c>
      <c r="H6791" s="24">
        <v>2286580</v>
      </c>
      <c r="I6791" s="24">
        <f>T_reg.root.SK[[#This Row],[Volume, kg]]/1000</f>
        <v>2286.58</v>
      </c>
      <c r="J6791" s="25">
        <v>0.25569999999999998</v>
      </c>
      <c r="K6791" s="25">
        <f t="shared" si="106"/>
        <v>584678.50599999994</v>
      </c>
      <c r="L6791" s="25">
        <v>2.69</v>
      </c>
      <c r="M6791" s="24">
        <v>6140733.5</v>
      </c>
      <c r="N6791" s="25">
        <f>IFERROR(T_reg.root.SK[[#This Row],[Price]]/T_reg.root.SK[[#This Row],[Starch content]],"")</f>
        <v>10.520140789988268</v>
      </c>
    </row>
    <row r="6792" spans="1:14">
      <c r="A6792" s="21">
        <v>2025</v>
      </c>
      <c r="B6792" s="21" t="s">
        <v>28</v>
      </c>
      <c r="C6792" s="21" t="s">
        <v>1145</v>
      </c>
      <c r="D6792" s="21" t="s">
        <v>35</v>
      </c>
      <c r="E6792" s="17" t="s">
        <v>987</v>
      </c>
      <c r="F6792" s="17" t="s">
        <v>105</v>
      </c>
      <c r="G6792" s="18" t="s">
        <v>48</v>
      </c>
      <c r="H6792" s="24">
        <v>106210</v>
      </c>
      <c r="I6792" s="24">
        <f>T_reg.root.SK[[#This Row],[Volume, kg]]/1000</f>
        <v>106.21</v>
      </c>
      <c r="J6792" s="25">
        <v>0.25009999999999999</v>
      </c>
      <c r="K6792" s="25">
        <f t="shared" si="106"/>
        <v>26563.120999999999</v>
      </c>
      <c r="L6792" s="25">
        <v>2.38</v>
      </c>
      <c r="M6792" s="24">
        <v>252573</v>
      </c>
      <c r="N6792" s="25">
        <f>IFERROR(T_reg.root.SK[[#This Row],[Price]]/T_reg.root.SK[[#This Row],[Starch content]],"")</f>
        <v>9.5161935225909637</v>
      </c>
    </row>
    <row r="6793" spans="1:14">
      <c r="A6793" s="21">
        <v>2025</v>
      </c>
      <c r="B6793" s="21" t="s">
        <v>28</v>
      </c>
      <c r="C6793" s="21" t="s">
        <v>1145</v>
      </c>
      <c r="D6793" s="21" t="s">
        <v>35</v>
      </c>
      <c r="E6793" s="17" t="s">
        <v>289</v>
      </c>
      <c r="F6793" s="17" t="s">
        <v>105</v>
      </c>
      <c r="G6793" s="18" t="s">
        <v>48</v>
      </c>
      <c r="H6793" s="24">
        <v>39790</v>
      </c>
      <c r="I6793" s="24">
        <f>T_reg.root.SK[[#This Row],[Volume, kg]]/1000</f>
        <v>39.79</v>
      </c>
      <c r="J6793" s="25">
        <v>0.2571</v>
      </c>
      <c r="K6793" s="25">
        <f t="shared" si="106"/>
        <v>10230.009</v>
      </c>
      <c r="L6793" s="25">
        <v>2.4500000000000002</v>
      </c>
      <c r="M6793" s="24">
        <v>97545.5</v>
      </c>
      <c r="N6793" s="25">
        <f>IFERROR(T_reg.root.SK[[#This Row],[Price]]/T_reg.root.SK[[#This Row],[Starch content]],"")</f>
        <v>9.5293660054453522</v>
      </c>
    </row>
    <row r="6794" spans="1:14">
      <c r="A6794" s="21">
        <v>2025</v>
      </c>
      <c r="B6794" s="21" t="s">
        <v>28</v>
      </c>
      <c r="C6794" s="21" t="s">
        <v>1145</v>
      </c>
      <c r="D6794" s="21" t="s">
        <v>35</v>
      </c>
      <c r="E6794" s="17" t="s">
        <v>46</v>
      </c>
      <c r="F6794" s="17" t="s">
        <v>47</v>
      </c>
      <c r="G6794" s="18" t="s">
        <v>48</v>
      </c>
      <c r="H6794" s="24">
        <v>10170</v>
      </c>
      <c r="I6794" s="24">
        <f>T_reg.root.SK[[#This Row],[Volume, kg]]/1000</f>
        <v>10.17</v>
      </c>
      <c r="J6794" s="25">
        <v>0.248</v>
      </c>
      <c r="K6794" s="25">
        <f t="shared" si="106"/>
        <v>2522.16</v>
      </c>
      <c r="L6794" s="25">
        <v>2.4</v>
      </c>
      <c r="M6794" s="24">
        <v>24408</v>
      </c>
      <c r="N6794" s="25">
        <f>IFERROR(T_reg.root.SK[[#This Row],[Price]]/T_reg.root.SK[[#This Row],[Starch content]],"")</f>
        <v>9.67741935483871</v>
      </c>
    </row>
    <row r="6795" spans="1:14">
      <c r="A6795" s="21">
        <v>2025</v>
      </c>
      <c r="B6795" s="21" t="s">
        <v>28</v>
      </c>
      <c r="C6795" s="21" t="s">
        <v>1145</v>
      </c>
      <c r="D6795" s="21" t="s">
        <v>35</v>
      </c>
      <c r="E6795" s="17" t="s">
        <v>108</v>
      </c>
      <c r="F6795" s="17" t="s">
        <v>105</v>
      </c>
      <c r="G6795" s="18" t="s">
        <v>48</v>
      </c>
      <c r="H6795" s="24">
        <v>4910</v>
      </c>
      <c r="I6795" s="24">
        <f>T_reg.root.SK[[#This Row],[Volume, kg]]/1000</f>
        <v>4.91</v>
      </c>
      <c r="J6795" s="25">
        <v>0.22900000000000001</v>
      </c>
      <c r="K6795" s="25">
        <f t="shared" si="106"/>
        <v>1124.3900000000001</v>
      </c>
      <c r="L6795" s="25">
        <v>2.2999999999999998</v>
      </c>
      <c r="M6795" s="24">
        <v>11293</v>
      </c>
      <c r="N6795" s="25">
        <f>IFERROR(T_reg.root.SK[[#This Row],[Price]]/T_reg.root.SK[[#This Row],[Starch content]],"")</f>
        <v>10.043668122270741</v>
      </c>
    </row>
    <row r="6796" spans="1:14">
      <c r="A6796" s="21">
        <v>2025</v>
      </c>
      <c r="B6796" s="21" t="s">
        <v>28</v>
      </c>
      <c r="C6796" s="21" t="s">
        <v>1145</v>
      </c>
      <c r="D6796" s="21" t="s">
        <v>35</v>
      </c>
      <c r="E6796" s="17" t="s">
        <v>401</v>
      </c>
      <c r="F6796" s="17" t="s">
        <v>105</v>
      </c>
      <c r="G6796" s="18" t="s">
        <v>48</v>
      </c>
      <c r="H6796" s="24">
        <v>27320</v>
      </c>
      <c r="I6796" s="24">
        <f>T_reg.root.SK[[#This Row],[Volume, kg]]/1000</f>
        <v>27.32</v>
      </c>
      <c r="J6796" s="25">
        <v>0.22040000000000001</v>
      </c>
      <c r="K6796" s="25">
        <f t="shared" si="106"/>
        <v>6021.3280000000004</v>
      </c>
      <c r="L6796" s="25">
        <v>2.2599999999999998</v>
      </c>
      <c r="M6796" s="24">
        <v>61655.5</v>
      </c>
      <c r="N6796" s="25">
        <f>IFERROR(T_reg.root.SK[[#This Row],[Price]]/T_reg.root.SK[[#This Row],[Starch content]],"")</f>
        <v>10.254083484573501</v>
      </c>
    </row>
    <row r="6797" spans="1:14">
      <c r="A6797" s="21">
        <v>2025</v>
      </c>
      <c r="B6797" s="21" t="s">
        <v>28</v>
      </c>
      <c r="C6797" s="21" t="s">
        <v>1145</v>
      </c>
      <c r="D6797" s="21" t="s">
        <v>35</v>
      </c>
      <c r="E6797" s="17" t="s">
        <v>713</v>
      </c>
      <c r="F6797" s="17" t="s">
        <v>105</v>
      </c>
      <c r="G6797" s="18" t="s">
        <v>48</v>
      </c>
      <c r="H6797" s="24">
        <v>156750</v>
      </c>
      <c r="I6797" s="24">
        <f>T_reg.root.SK[[#This Row],[Volume, kg]]/1000</f>
        <v>156.75</v>
      </c>
      <c r="J6797" s="25">
        <v>0.24179999999999999</v>
      </c>
      <c r="K6797" s="25">
        <f t="shared" si="106"/>
        <v>37902.15</v>
      </c>
      <c r="L6797" s="25">
        <v>2.37</v>
      </c>
      <c r="M6797" s="24">
        <v>370878.5</v>
      </c>
      <c r="N6797" s="25">
        <f>IFERROR(T_reg.root.SK[[#This Row],[Price]]/T_reg.root.SK[[#This Row],[Starch content]],"")</f>
        <v>9.8014888337468999</v>
      </c>
    </row>
    <row r="6798" spans="1:14">
      <c r="A6798" s="21">
        <v>2025</v>
      </c>
      <c r="B6798" s="21" t="s">
        <v>28</v>
      </c>
      <c r="C6798" s="21" t="s">
        <v>1145</v>
      </c>
      <c r="D6798" s="21" t="s">
        <v>35</v>
      </c>
      <c r="E6798" s="17" t="s">
        <v>630</v>
      </c>
      <c r="F6798" s="17" t="s">
        <v>105</v>
      </c>
      <c r="G6798" s="18" t="s">
        <v>48</v>
      </c>
      <c r="H6798" s="24">
        <v>21240</v>
      </c>
      <c r="I6798" s="24">
        <f>T_reg.root.SK[[#This Row],[Volume, kg]]/1000</f>
        <v>21.24</v>
      </c>
      <c r="J6798" s="25">
        <v>0.26550000000000001</v>
      </c>
      <c r="K6798" s="25">
        <f t="shared" si="106"/>
        <v>5639.22</v>
      </c>
      <c r="L6798" s="25">
        <v>2.4500000000000002</v>
      </c>
      <c r="M6798" s="24">
        <v>52038</v>
      </c>
      <c r="N6798" s="25">
        <f>IFERROR(T_reg.root.SK[[#This Row],[Price]]/T_reg.root.SK[[#This Row],[Starch content]],"")</f>
        <v>9.227871939736346</v>
      </c>
    </row>
    <row r="6799" spans="1:14">
      <c r="A6799" s="21">
        <v>2025</v>
      </c>
      <c r="B6799" s="21" t="s">
        <v>28</v>
      </c>
      <c r="C6799" s="21" t="s">
        <v>1145</v>
      </c>
      <c r="D6799" s="21" t="s">
        <v>35</v>
      </c>
      <c r="E6799" s="17" t="s">
        <v>109</v>
      </c>
      <c r="F6799" s="17" t="s">
        <v>105</v>
      </c>
      <c r="G6799" s="18" t="s">
        <v>48</v>
      </c>
      <c r="H6799" s="24">
        <v>96090</v>
      </c>
      <c r="I6799" s="24">
        <f>T_reg.root.SK[[#This Row],[Volume, kg]]/1000</f>
        <v>96.09</v>
      </c>
      <c r="J6799" s="25">
        <v>0.23499999999999999</v>
      </c>
      <c r="K6799" s="25">
        <f t="shared" ref="K6799:K6862" si="107">H6799*J6799</f>
        <v>22581.149999999998</v>
      </c>
      <c r="L6799" s="25">
        <v>2.3199999999999998</v>
      </c>
      <c r="M6799" s="24">
        <v>222620</v>
      </c>
      <c r="N6799" s="25">
        <f>IFERROR(T_reg.root.SK[[#This Row],[Price]]/T_reg.root.SK[[#This Row],[Starch content]],"")</f>
        <v>9.8723404255319149</v>
      </c>
    </row>
    <row r="6800" spans="1:14">
      <c r="A6800" s="21">
        <v>2025</v>
      </c>
      <c r="B6800" s="21" t="s">
        <v>28</v>
      </c>
      <c r="C6800" s="21" t="s">
        <v>1145</v>
      </c>
      <c r="D6800" s="21" t="s">
        <v>35</v>
      </c>
      <c r="E6800" s="17" t="s">
        <v>350</v>
      </c>
      <c r="F6800" s="17" t="s">
        <v>105</v>
      </c>
      <c r="G6800" s="18" t="s">
        <v>48</v>
      </c>
      <c r="H6800" s="24">
        <v>109260</v>
      </c>
      <c r="I6800" s="24">
        <f>T_reg.root.SK[[#This Row],[Volume, kg]]/1000</f>
        <v>109.26</v>
      </c>
      <c r="J6800" s="25">
        <v>0.25119999999999998</v>
      </c>
      <c r="K6800" s="25">
        <f t="shared" si="107"/>
        <v>27446.111999999997</v>
      </c>
      <c r="L6800" s="25">
        <v>2.41</v>
      </c>
      <c r="M6800" s="24">
        <v>263508</v>
      </c>
      <c r="N6800" s="25">
        <f>IFERROR(T_reg.root.SK[[#This Row],[Price]]/T_reg.root.SK[[#This Row],[Starch content]],"")</f>
        <v>9.5939490445859885</v>
      </c>
    </row>
    <row r="6801" spans="1:14">
      <c r="A6801" s="21">
        <v>2025</v>
      </c>
      <c r="B6801" s="21" t="s">
        <v>28</v>
      </c>
      <c r="C6801" s="21" t="s">
        <v>1145</v>
      </c>
      <c r="D6801" s="21" t="s">
        <v>35</v>
      </c>
      <c r="E6801" s="17" t="s">
        <v>110</v>
      </c>
      <c r="F6801" s="17" t="s">
        <v>105</v>
      </c>
      <c r="G6801" s="18" t="s">
        <v>48</v>
      </c>
      <c r="H6801" s="24">
        <v>53260</v>
      </c>
      <c r="I6801" s="24">
        <f>T_reg.root.SK[[#This Row],[Volume, kg]]/1000</f>
        <v>53.26</v>
      </c>
      <c r="J6801" s="25">
        <v>0.2414</v>
      </c>
      <c r="K6801" s="25">
        <f t="shared" si="107"/>
        <v>12856.964</v>
      </c>
      <c r="L6801" s="25">
        <v>2.31</v>
      </c>
      <c r="M6801" s="24">
        <v>122970.5</v>
      </c>
      <c r="N6801" s="25">
        <f>IFERROR(T_reg.root.SK[[#This Row],[Price]]/T_reg.root.SK[[#This Row],[Starch content]],"")</f>
        <v>9.5691797845898918</v>
      </c>
    </row>
    <row r="6802" spans="1:14">
      <c r="A6802" s="21">
        <v>2025</v>
      </c>
      <c r="B6802" s="21" t="s">
        <v>28</v>
      </c>
      <c r="C6802" s="21" t="s">
        <v>1145</v>
      </c>
      <c r="D6802" s="21" t="s">
        <v>35</v>
      </c>
      <c r="E6802" s="17" t="s">
        <v>960</v>
      </c>
      <c r="F6802" s="17" t="s">
        <v>187</v>
      </c>
      <c r="G6802" s="18" t="s">
        <v>48</v>
      </c>
      <c r="H6802" s="24">
        <v>37750</v>
      </c>
      <c r="I6802" s="24">
        <f>T_reg.root.SK[[#This Row],[Volume, kg]]/1000</f>
        <v>37.75</v>
      </c>
      <c r="J6802" s="25">
        <v>0.25059999999999999</v>
      </c>
      <c r="K6802" s="25">
        <f t="shared" si="107"/>
        <v>9460.15</v>
      </c>
      <c r="L6802" s="25">
        <v>2.4</v>
      </c>
      <c r="M6802" s="24">
        <v>90539</v>
      </c>
      <c r="N6802" s="25">
        <f>IFERROR(T_reg.root.SK[[#This Row],[Price]]/T_reg.root.SK[[#This Row],[Starch content]],"")</f>
        <v>9.5770151636073422</v>
      </c>
    </row>
    <row r="6803" spans="1:14">
      <c r="A6803" s="21">
        <v>2025</v>
      </c>
      <c r="B6803" s="21" t="s">
        <v>28</v>
      </c>
      <c r="C6803" s="21" t="s">
        <v>1145</v>
      </c>
      <c r="D6803" s="21" t="s">
        <v>35</v>
      </c>
      <c r="E6803" s="17" t="s">
        <v>51</v>
      </c>
      <c r="F6803" s="17" t="s">
        <v>47</v>
      </c>
      <c r="G6803" s="18" t="s">
        <v>48</v>
      </c>
      <c r="H6803" s="24">
        <v>9600</v>
      </c>
      <c r="I6803" s="24">
        <f>T_reg.root.SK[[#This Row],[Volume, kg]]/1000</f>
        <v>9.6</v>
      </c>
      <c r="J6803" s="25">
        <v>0.187</v>
      </c>
      <c r="K6803" s="25">
        <f t="shared" si="107"/>
        <v>1795.2</v>
      </c>
      <c r="L6803" s="25">
        <v>2.1</v>
      </c>
      <c r="M6803" s="24">
        <v>20160</v>
      </c>
      <c r="N6803" s="25">
        <f>IFERROR(T_reg.root.SK[[#This Row],[Price]]/T_reg.root.SK[[#This Row],[Starch content]],"")</f>
        <v>11.229946524064172</v>
      </c>
    </row>
    <row r="6804" spans="1:14">
      <c r="A6804" s="21">
        <v>2025</v>
      </c>
      <c r="B6804" s="21" t="s">
        <v>28</v>
      </c>
      <c r="C6804" s="21" t="s">
        <v>1145</v>
      </c>
      <c r="D6804" s="21" t="s">
        <v>35</v>
      </c>
      <c r="E6804" s="17" t="s">
        <v>261</v>
      </c>
      <c r="F6804" s="17" t="s">
        <v>187</v>
      </c>
      <c r="G6804" s="18" t="s">
        <v>48</v>
      </c>
      <c r="H6804" s="24">
        <v>9050</v>
      </c>
      <c r="I6804" s="24">
        <f>T_reg.root.SK[[#This Row],[Volume, kg]]/1000</f>
        <v>9.0500000000000007</v>
      </c>
      <c r="J6804" s="25">
        <v>0.28000000000000003</v>
      </c>
      <c r="K6804" s="25">
        <f t="shared" si="107"/>
        <v>2534.0000000000005</v>
      </c>
      <c r="L6804" s="25">
        <v>2.5</v>
      </c>
      <c r="M6804" s="24">
        <v>22625</v>
      </c>
      <c r="N6804" s="25">
        <f>IFERROR(T_reg.root.SK[[#This Row],[Price]]/T_reg.root.SK[[#This Row],[Starch content]],"")</f>
        <v>8.928571428571427</v>
      </c>
    </row>
    <row r="6805" spans="1:14">
      <c r="A6805" s="21">
        <v>2025</v>
      </c>
      <c r="B6805" s="21" t="s">
        <v>28</v>
      </c>
      <c r="C6805" s="21" t="s">
        <v>1145</v>
      </c>
      <c r="D6805" s="21" t="s">
        <v>35</v>
      </c>
      <c r="E6805" s="17" t="s">
        <v>642</v>
      </c>
      <c r="F6805" s="17" t="s">
        <v>47</v>
      </c>
      <c r="G6805" s="18" t="s">
        <v>48</v>
      </c>
      <c r="H6805" s="24">
        <v>14490</v>
      </c>
      <c r="I6805" s="24">
        <f>T_reg.root.SK[[#This Row],[Volume, kg]]/1000</f>
        <v>14.49</v>
      </c>
      <c r="J6805" s="25">
        <v>0.2336</v>
      </c>
      <c r="K6805" s="25">
        <f t="shared" si="107"/>
        <v>3384.864</v>
      </c>
      <c r="L6805" s="25">
        <v>2.27</v>
      </c>
      <c r="M6805" s="24">
        <v>32896.5</v>
      </c>
      <c r="N6805" s="25">
        <f>IFERROR(T_reg.root.SK[[#This Row],[Price]]/T_reg.root.SK[[#This Row],[Starch content]],"")</f>
        <v>9.7174657534246567</v>
      </c>
    </row>
    <row r="6806" spans="1:14">
      <c r="A6806" s="21">
        <v>2025</v>
      </c>
      <c r="B6806" s="21" t="s">
        <v>28</v>
      </c>
      <c r="C6806" s="21" t="s">
        <v>1145</v>
      </c>
      <c r="D6806" s="21" t="s">
        <v>35</v>
      </c>
      <c r="E6806" s="17" t="s">
        <v>192</v>
      </c>
      <c r="F6806" s="17" t="s">
        <v>187</v>
      </c>
      <c r="G6806" s="18" t="s">
        <v>48</v>
      </c>
      <c r="H6806" s="24">
        <v>54280</v>
      </c>
      <c r="I6806" s="24">
        <f>T_reg.root.SK[[#This Row],[Volume, kg]]/1000</f>
        <v>54.28</v>
      </c>
      <c r="J6806" s="25">
        <v>0.22</v>
      </c>
      <c r="K6806" s="25">
        <f t="shared" si="107"/>
        <v>11941.6</v>
      </c>
      <c r="L6806" s="25">
        <v>2.2400000000000002</v>
      </c>
      <c r="M6806" s="24">
        <v>121382.5</v>
      </c>
      <c r="N6806" s="25">
        <f>IFERROR(T_reg.root.SK[[#This Row],[Price]]/T_reg.root.SK[[#This Row],[Starch content]],"")</f>
        <v>10.181818181818183</v>
      </c>
    </row>
    <row r="6807" spans="1:14">
      <c r="A6807" s="21">
        <v>2025</v>
      </c>
      <c r="B6807" s="21" t="s">
        <v>28</v>
      </c>
      <c r="C6807" s="21" t="s">
        <v>1145</v>
      </c>
      <c r="D6807" s="21" t="s">
        <v>39</v>
      </c>
      <c r="E6807" s="17" t="s">
        <v>1074</v>
      </c>
      <c r="F6807" s="17" t="s">
        <v>1075</v>
      </c>
      <c r="G6807" s="18" t="s">
        <v>48</v>
      </c>
      <c r="H6807" s="24">
        <v>4053540</v>
      </c>
      <c r="I6807" s="24">
        <f>T_reg.root.SK[[#This Row],[Volume, kg]]/1000</f>
        <v>4053.54</v>
      </c>
      <c r="J6807" s="25">
        <v>0.25059999999999999</v>
      </c>
      <c r="K6807" s="25">
        <f t="shared" si="107"/>
        <v>1015817.124</v>
      </c>
      <c r="L6807" s="25">
        <v>2.65</v>
      </c>
      <c r="M6807" s="24">
        <v>10746263</v>
      </c>
      <c r="N6807" s="25">
        <f>IFERROR(T_reg.root.SK[[#This Row],[Price]]/T_reg.root.SK[[#This Row],[Starch content]],"")</f>
        <v>10.57462090981644</v>
      </c>
    </row>
    <row r="6808" spans="1:14">
      <c r="A6808" s="21">
        <v>2025</v>
      </c>
      <c r="B6808" s="21" t="s">
        <v>28</v>
      </c>
      <c r="C6808" s="21" t="s">
        <v>1145</v>
      </c>
      <c r="D6808" s="21" t="s">
        <v>35</v>
      </c>
      <c r="E6808" s="17" t="s">
        <v>1086</v>
      </c>
      <c r="F6808" s="17" t="s">
        <v>105</v>
      </c>
      <c r="G6808" s="18" t="s">
        <v>48</v>
      </c>
      <c r="H6808" s="24">
        <v>100570</v>
      </c>
      <c r="I6808" s="24">
        <f>T_reg.root.SK[[#This Row],[Volume, kg]]/1000</f>
        <v>100.57</v>
      </c>
      <c r="J6808" s="25">
        <v>0.26140000000000002</v>
      </c>
      <c r="K6808" s="25">
        <f t="shared" si="107"/>
        <v>26288.998000000003</v>
      </c>
      <c r="L6808" s="25">
        <v>2.42</v>
      </c>
      <c r="M6808" s="24">
        <v>243766</v>
      </c>
      <c r="N6808" s="25">
        <f>IFERROR(T_reg.root.SK[[#This Row],[Price]]/T_reg.root.SK[[#This Row],[Starch content]],"")</f>
        <v>9.2578423871461357</v>
      </c>
    </row>
    <row r="6809" spans="1:14">
      <c r="A6809" s="21">
        <v>2025</v>
      </c>
      <c r="B6809" s="21" t="s">
        <v>28</v>
      </c>
      <c r="C6809" s="21" t="s">
        <v>1145</v>
      </c>
      <c r="D6809" s="21" t="s">
        <v>35</v>
      </c>
      <c r="E6809" s="17" t="s">
        <v>276</v>
      </c>
      <c r="F6809" s="17" t="s">
        <v>95</v>
      </c>
      <c r="G6809" s="18" t="s">
        <v>48</v>
      </c>
      <c r="H6809" s="24">
        <v>91500</v>
      </c>
      <c r="I6809" s="24">
        <f>T_reg.root.SK[[#This Row],[Volume, kg]]/1000</f>
        <v>91.5</v>
      </c>
      <c r="J6809" s="25">
        <v>0.26429999999999998</v>
      </c>
      <c r="K6809" s="25">
        <f t="shared" si="107"/>
        <v>24183.449999999997</v>
      </c>
      <c r="L6809" s="25">
        <v>2.4700000000000002</v>
      </c>
      <c r="M6809" s="24">
        <v>225895</v>
      </c>
      <c r="N6809" s="25">
        <f>IFERROR(T_reg.root.SK[[#This Row],[Price]]/T_reg.root.SK[[#This Row],[Starch content]],"")</f>
        <v>9.3454407869844882</v>
      </c>
    </row>
    <row r="6810" spans="1:14">
      <c r="A6810" s="21">
        <v>2025</v>
      </c>
      <c r="B6810" s="21" t="s">
        <v>28</v>
      </c>
      <c r="C6810" s="21" t="s">
        <v>1145</v>
      </c>
      <c r="D6810" s="21" t="s">
        <v>35</v>
      </c>
      <c r="E6810" s="17" t="s">
        <v>734</v>
      </c>
      <c r="F6810" s="17" t="s">
        <v>105</v>
      </c>
      <c r="G6810" s="18" t="s">
        <v>48</v>
      </c>
      <c r="H6810" s="24">
        <v>88230</v>
      </c>
      <c r="I6810" s="24">
        <f>T_reg.root.SK[[#This Row],[Volume, kg]]/1000</f>
        <v>88.23</v>
      </c>
      <c r="J6810" s="25">
        <v>0.24660000000000001</v>
      </c>
      <c r="K6810" s="25">
        <f t="shared" si="107"/>
        <v>21757.518</v>
      </c>
      <c r="L6810" s="25">
        <v>2.38</v>
      </c>
      <c r="M6810" s="24">
        <v>209740.5</v>
      </c>
      <c r="N6810" s="25">
        <f>IFERROR(T_reg.root.SK[[#This Row],[Price]]/T_reg.root.SK[[#This Row],[Starch content]],"")</f>
        <v>9.6512570965125697</v>
      </c>
    </row>
    <row r="6811" spans="1:14">
      <c r="A6811" s="21">
        <v>2025</v>
      </c>
      <c r="B6811" s="21" t="s">
        <v>28</v>
      </c>
      <c r="C6811" s="21" t="s">
        <v>1145</v>
      </c>
      <c r="D6811" s="21" t="s">
        <v>35</v>
      </c>
      <c r="E6811" s="17" t="s">
        <v>112</v>
      </c>
      <c r="F6811" s="17" t="s">
        <v>105</v>
      </c>
      <c r="G6811" s="18" t="s">
        <v>48</v>
      </c>
      <c r="H6811" s="24">
        <v>51760</v>
      </c>
      <c r="I6811" s="24">
        <f>T_reg.root.SK[[#This Row],[Volume, kg]]/1000</f>
        <v>51.76</v>
      </c>
      <c r="J6811" s="25">
        <v>0.2485</v>
      </c>
      <c r="K6811" s="25">
        <f t="shared" si="107"/>
        <v>12862.36</v>
      </c>
      <c r="L6811" s="25">
        <v>2.39</v>
      </c>
      <c r="M6811" s="24">
        <v>123881</v>
      </c>
      <c r="N6811" s="25">
        <f>IFERROR(T_reg.root.SK[[#This Row],[Price]]/T_reg.root.SK[[#This Row],[Starch content]],"")</f>
        <v>9.6177062374245477</v>
      </c>
    </row>
    <row r="6812" spans="1:14">
      <c r="A6812" s="21">
        <v>2025</v>
      </c>
      <c r="B6812" s="21" t="s">
        <v>28</v>
      </c>
      <c r="C6812" s="21" t="s">
        <v>1145</v>
      </c>
      <c r="D6812" s="21" t="s">
        <v>35</v>
      </c>
      <c r="E6812" s="17" t="s">
        <v>803</v>
      </c>
      <c r="F6812" s="17" t="s">
        <v>105</v>
      </c>
      <c r="G6812" s="18" t="s">
        <v>48</v>
      </c>
      <c r="H6812" s="24">
        <v>35700</v>
      </c>
      <c r="I6812" s="24">
        <f>T_reg.root.SK[[#This Row],[Volume, kg]]/1000</f>
        <v>35.700000000000003</v>
      </c>
      <c r="J6812" s="25">
        <v>0.22189999999999999</v>
      </c>
      <c r="K6812" s="25">
        <f t="shared" si="107"/>
        <v>7921.83</v>
      </c>
      <c r="L6812" s="25">
        <v>2.21</v>
      </c>
      <c r="M6812" s="24">
        <v>79016</v>
      </c>
      <c r="N6812" s="25">
        <f>IFERROR(T_reg.root.SK[[#This Row],[Price]]/T_reg.root.SK[[#This Row],[Starch content]],"")</f>
        <v>9.9594411897251014</v>
      </c>
    </row>
    <row r="6813" spans="1:14">
      <c r="A6813" s="21">
        <v>2025</v>
      </c>
      <c r="B6813" s="21" t="s">
        <v>28</v>
      </c>
      <c r="C6813" s="21" t="s">
        <v>1145</v>
      </c>
      <c r="D6813" s="21" t="s">
        <v>35</v>
      </c>
      <c r="E6813" s="17" t="s">
        <v>624</v>
      </c>
      <c r="F6813" s="17" t="s">
        <v>47</v>
      </c>
      <c r="G6813" s="18" t="s">
        <v>48</v>
      </c>
      <c r="H6813" s="24">
        <v>32990</v>
      </c>
      <c r="I6813" s="24">
        <f>T_reg.root.SK[[#This Row],[Volume, kg]]/1000</f>
        <v>32.99</v>
      </c>
      <c r="J6813" s="25">
        <v>0.23280000000000001</v>
      </c>
      <c r="K6813" s="25">
        <f t="shared" si="107"/>
        <v>7680.0720000000001</v>
      </c>
      <c r="L6813" s="25">
        <v>2.3199999999999998</v>
      </c>
      <c r="M6813" s="24">
        <v>76447.5</v>
      </c>
      <c r="N6813" s="25">
        <f>IFERROR(T_reg.root.SK[[#This Row],[Price]]/T_reg.root.SK[[#This Row],[Starch content]],"")</f>
        <v>9.9656357388316135</v>
      </c>
    </row>
    <row r="6814" spans="1:14">
      <c r="A6814" s="21">
        <v>2025</v>
      </c>
      <c r="B6814" s="21" t="s">
        <v>28</v>
      </c>
      <c r="C6814" s="21" t="s">
        <v>1145</v>
      </c>
      <c r="D6814" s="21" t="s">
        <v>39</v>
      </c>
      <c r="E6814" s="17" t="s">
        <v>284</v>
      </c>
      <c r="F6814" s="17" t="s">
        <v>285</v>
      </c>
      <c r="G6814" s="18" t="s">
        <v>286</v>
      </c>
      <c r="H6814" s="24">
        <v>30570</v>
      </c>
      <c r="I6814" s="24">
        <f>T_reg.root.SK[[#This Row],[Volume, kg]]/1000</f>
        <v>30.57</v>
      </c>
      <c r="J6814" s="25">
        <v>0.26519999999999999</v>
      </c>
      <c r="K6814" s="25">
        <f t="shared" si="107"/>
        <v>8107.1639999999998</v>
      </c>
      <c r="L6814" s="25">
        <v>2.65</v>
      </c>
      <c r="M6814" s="24">
        <v>81010.5</v>
      </c>
      <c r="N6814" s="25">
        <f>IFERROR(T_reg.root.SK[[#This Row],[Price]]/T_reg.root.SK[[#This Row],[Starch content]],"")</f>
        <v>9.9924585218702866</v>
      </c>
    </row>
    <row r="6815" spans="1:14">
      <c r="A6815" s="21">
        <v>2025</v>
      </c>
      <c r="B6815" s="21" t="s">
        <v>28</v>
      </c>
      <c r="C6815" s="21" t="s">
        <v>1145</v>
      </c>
      <c r="D6815" s="21" t="s">
        <v>35</v>
      </c>
      <c r="E6815" s="17" t="s">
        <v>234</v>
      </c>
      <c r="F6815" s="17" t="s">
        <v>105</v>
      </c>
      <c r="G6815" s="18" t="s">
        <v>48</v>
      </c>
      <c r="H6815" s="24">
        <v>34220</v>
      </c>
      <c r="I6815" s="24">
        <f>T_reg.root.SK[[#This Row],[Volume, kg]]/1000</f>
        <v>34.22</v>
      </c>
      <c r="J6815" s="25">
        <v>0.22819999999999999</v>
      </c>
      <c r="K6815" s="25">
        <f t="shared" si="107"/>
        <v>7809.0039999999999</v>
      </c>
      <c r="L6815" s="25">
        <v>2.29</v>
      </c>
      <c r="M6815" s="24">
        <v>78336</v>
      </c>
      <c r="N6815" s="25">
        <f>IFERROR(T_reg.root.SK[[#This Row],[Price]]/T_reg.root.SK[[#This Row],[Starch content]],"")</f>
        <v>10.035056967572306</v>
      </c>
    </row>
    <row r="6816" spans="1:14">
      <c r="A6816" s="21">
        <v>2025</v>
      </c>
      <c r="B6816" s="21" t="s">
        <v>28</v>
      </c>
      <c r="C6816" s="21" t="s">
        <v>1145</v>
      </c>
      <c r="D6816" s="21" t="s">
        <v>35</v>
      </c>
      <c r="E6816" s="17" t="s">
        <v>1090</v>
      </c>
      <c r="F6816" s="17" t="s">
        <v>105</v>
      </c>
      <c r="G6816" s="18" t="s">
        <v>48</v>
      </c>
      <c r="H6816" s="24">
        <v>20820</v>
      </c>
      <c r="I6816" s="24">
        <f>T_reg.root.SK[[#This Row],[Volume, kg]]/1000</f>
        <v>20.82</v>
      </c>
      <c r="J6816" s="25">
        <v>0.24940000000000001</v>
      </c>
      <c r="K6816" s="25">
        <f t="shared" si="107"/>
        <v>5192.5079999999998</v>
      </c>
      <c r="L6816" s="25">
        <v>2.39</v>
      </c>
      <c r="M6816" s="24">
        <v>49677</v>
      </c>
      <c r="N6816" s="25">
        <f>IFERROR(T_reg.root.SK[[#This Row],[Price]]/T_reg.root.SK[[#This Row],[Starch content]],"")</f>
        <v>9.582999198075381</v>
      </c>
    </row>
    <row r="6817" spans="1:14">
      <c r="A6817" s="21">
        <v>2025</v>
      </c>
      <c r="B6817" s="21" t="s">
        <v>28</v>
      </c>
      <c r="C6817" s="21" t="s">
        <v>1145</v>
      </c>
      <c r="D6817" s="21" t="s">
        <v>35</v>
      </c>
      <c r="E6817" s="17" t="s">
        <v>402</v>
      </c>
      <c r="F6817" s="17" t="s">
        <v>105</v>
      </c>
      <c r="G6817" s="18" t="s">
        <v>48</v>
      </c>
      <c r="H6817" s="24">
        <v>2730</v>
      </c>
      <c r="I6817" s="24">
        <f>T_reg.root.SK[[#This Row],[Volume, kg]]/1000</f>
        <v>2.73</v>
      </c>
      <c r="J6817" s="25">
        <v>0.22500000000000001</v>
      </c>
      <c r="K6817" s="25">
        <f t="shared" si="107"/>
        <v>614.25</v>
      </c>
      <c r="L6817" s="25">
        <v>2.2999999999999998</v>
      </c>
      <c r="M6817" s="24">
        <v>6279</v>
      </c>
      <c r="N6817" s="25">
        <f>IFERROR(T_reg.root.SK[[#This Row],[Price]]/T_reg.root.SK[[#This Row],[Starch content]],"")</f>
        <v>10.222222222222221</v>
      </c>
    </row>
    <row r="6818" spans="1:14">
      <c r="A6818" s="21">
        <v>2025</v>
      </c>
      <c r="B6818" s="21" t="s">
        <v>28</v>
      </c>
      <c r="C6818" s="21" t="s">
        <v>1145</v>
      </c>
      <c r="D6818" s="21" t="s">
        <v>35</v>
      </c>
      <c r="E6818" s="17" t="s">
        <v>461</v>
      </c>
      <c r="F6818" s="17" t="s">
        <v>47</v>
      </c>
      <c r="G6818" s="18" t="s">
        <v>48</v>
      </c>
      <c r="H6818" s="24">
        <v>23070</v>
      </c>
      <c r="I6818" s="24">
        <f>T_reg.root.SK[[#This Row],[Volume, kg]]/1000</f>
        <v>23.07</v>
      </c>
      <c r="J6818" s="25">
        <v>0.2853</v>
      </c>
      <c r="K6818" s="25">
        <f t="shared" si="107"/>
        <v>6581.8710000000001</v>
      </c>
      <c r="L6818" s="25">
        <v>2.5099999999999998</v>
      </c>
      <c r="M6818" s="24">
        <v>57980</v>
      </c>
      <c r="N6818" s="25">
        <f>IFERROR(T_reg.root.SK[[#This Row],[Price]]/T_reg.root.SK[[#This Row],[Starch content]],"")</f>
        <v>8.7977567472835609</v>
      </c>
    </row>
    <row r="6819" spans="1:14">
      <c r="A6819" s="21">
        <v>2025</v>
      </c>
      <c r="B6819" s="21" t="s">
        <v>28</v>
      </c>
      <c r="C6819" s="21" t="s">
        <v>1145</v>
      </c>
      <c r="D6819" s="21" t="s">
        <v>35</v>
      </c>
      <c r="E6819" s="17" t="s">
        <v>54</v>
      </c>
      <c r="F6819" s="17" t="s">
        <v>47</v>
      </c>
      <c r="G6819" s="18" t="s">
        <v>48</v>
      </c>
      <c r="H6819" s="24">
        <v>19520</v>
      </c>
      <c r="I6819" s="24">
        <f>T_reg.root.SK[[#This Row],[Volume, kg]]/1000</f>
        <v>19.52</v>
      </c>
      <c r="J6819" s="25">
        <v>0.24890000000000001</v>
      </c>
      <c r="K6819" s="25">
        <f t="shared" si="107"/>
        <v>4858.5280000000002</v>
      </c>
      <c r="L6819" s="25">
        <v>2.2999999999999998</v>
      </c>
      <c r="M6819" s="24">
        <v>44886</v>
      </c>
      <c r="N6819" s="25">
        <f>IFERROR(T_reg.root.SK[[#This Row],[Price]]/T_reg.root.SK[[#This Row],[Starch content]],"")</f>
        <v>9.240658899156287</v>
      </c>
    </row>
    <row r="6820" spans="1:14">
      <c r="A6820" s="21">
        <v>2025</v>
      </c>
      <c r="B6820" s="21" t="s">
        <v>28</v>
      </c>
      <c r="C6820" s="21" t="s">
        <v>1145</v>
      </c>
      <c r="D6820" s="21" t="s">
        <v>35</v>
      </c>
      <c r="E6820" s="17" t="s">
        <v>600</v>
      </c>
      <c r="F6820" s="17" t="s">
        <v>105</v>
      </c>
      <c r="G6820" s="18" t="s">
        <v>48</v>
      </c>
      <c r="H6820" s="24">
        <v>46610</v>
      </c>
      <c r="I6820" s="24">
        <f>T_reg.root.SK[[#This Row],[Volume, kg]]/1000</f>
        <v>46.61</v>
      </c>
      <c r="J6820" s="25">
        <v>0.25130000000000002</v>
      </c>
      <c r="K6820" s="25">
        <f t="shared" si="107"/>
        <v>11713.093000000001</v>
      </c>
      <c r="L6820" s="25">
        <v>2.41</v>
      </c>
      <c r="M6820" s="24">
        <v>112342</v>
      </c>
      <c r="N6820" s="25">
        <f>IFERROR(T_reg.root.SK[[#This Row],[Price]]/T_reg.root.SK[[#This Row],[Starch content]],"")</f>
        <v>9.5901313171508153</v>
      </c>
    </row>
    <row r="6821" spans="1:14">
      <c r="A6821" s="21">
        <v>2025</v>
      </c>
      <c r="B6821" s="21" t="s">
        <v>28</v>
      </c>
      <c r="C6821" s="21" t="s">
        <v>1145</v>
      </c>
      <c r="D6821" s="21" t="s">
        <v>35</v>
      </c>
      <c r="E6821" s="17" t="s">
        <v>685</v>
      </c>
      <c r="F6821" s="17" t="s">
        <v>105</v>
      </c>
      <c r="G6821" s="18" t="s">
        <v>48</v>
      </c>
      <c r="H6821" s="24">
        <v>36230</v>
      </c>
      <c r="I6821" s="24">
        <f>T_reg.root.SK[[#This Row],[Volume, kg]]/1000</f>
        <v>36.229999999999997</v>
      </c>
      <c r="J6821" s="25">
        <v>0.22500000000000001</v>
      </c>
      <c r="K6821" s="25">
        <f t="shared" si="107"/>
        <v>8151.75</v>
      </c>
      <c r="L6821" s="25">
        <v>2.19</v>
      </c>
      <c r="M6821" s="24">
        <v>79421.5</v>
      </c>
      <c r="N6821" s="25">
        <f>IFERROR(T_reg.root.SK[[#This Row],[Price]]/T_reg.root.SK[[#This Row],[Starch content]],"")</f>
        <v>9.7333333333333325</v>
      </c>
    </row>
    <row r="6822" spans="1:14">
      <c r="A6822" s="21">
        <v>2025</v>
      </c>
      <c r="B6822" s="21" t="s">
        <v>28</v>
      </c>
      <c r="C6822" s="21" t="s">
        <v>1145</v>
      </c>
      <c r="D6822" s="21" t="s">
        <v>39</v>
      </c>
      <c r="E6822" s="17" t="s">
        <v>797</v>
      </c>
      <c r="F6822" s="17" t="s">
        <v>798</v>
      </c>
      <c r="G6822" s="18" t="s">
        <v>799</v>
      </c>
      <c r="H6822" s="24">
        <v>984700</v>
      </c>
      <c r="I6822" s="24">
        <f>T_reg.root.SK[[#This Row],[Volume, kg]]/1000</f>
        <v>984.7</v>
      </c>
      <c r="J6822" s="25">
        <v>0.2135</v>
      </c>
      <c r="K6822" s="25">
        <f t="shared" si="107"/>
        <v>210233.44999999998</v>
      </c>
      <c r="L6822" s="25">
        <v>2.41</v>
      </c>
      <c r="M6822" s="24">
        <v>2377902</v>
      </c>
      <c r="N6822" s="25">
        <f>IFERROR(T_reg.root.SK[[#This Row],[Price]]/T_reg.root.SK[[#This Row],[Starch content]],"")</f>
        <v>11.288056206088994</v>
      </c>
    </row>
    <row r="6823" spans="1:14">
      <c r="A6823" s="21">
        <v>2025</v>
      </c>
      <c r="B6823" s="21" t="s">
        <v>28</v>
      </c>
      <c r="C6823" s="21" t="s">
        <v>1145</v>
      </c>
      <c r="D6823" s="21" t="s">
        <v>35</v>
      </c>
      <c r="E6823" s="17" t="s">
        <v>1059</v>
      </c>
      <c r="F6823" s="17" t="s">
        <v>105</v>
      </c>
      <c r="G6823" s="18" t="s">
        <v>48</v>
      </c>
      <c r="H6823" s="24">
        <v>28430</v>
      </c>
      <c r="I6823" s="24">
        <f>T_reg.root.SK[[#This Row],[Volume, kg]]/1000</f>
        <v>28.43</v>
      </c>
      <c r="J6823" s="25">
        <v>0.2671</v>
      </c>
      <c r="K6823" s="25">
        <f t="shared" si="107"/>
        <v>7593.6530000000002</v>
      </c>
      <c r="L6823" s="25">
        <v>2.48</v>
      </c>
      <c r="M6823" s="24">
        <v>70368.5</v>
      </c>
      <c r="N6823" s="25">
        <f>IFERROR(T_reg.root.SK[[#This Row],[Price]]/T_reg.root.SK[[#This Row],[Starch content]],"")</f>
        <v>9.2849120179707967</v>
      </c>
    </row>
    <row r="6824" spans="1:14">
      <c r="A6824" s="21">
        <v>2025</v>
      </c>
      <c r="B6824" s="21" t="s">
        <v>28</v>
      </c>
      <c r="C6824" s="21" t="s">
        <v>1145</v>
      </c>
      <c r="D6824" s="21" t="s">
        <v>35</v>
      </c>
      <c r="E6824" s="17" t="s">
        <v>560</v>
      </c>
      <c r="F6824" s="17" t="s">
        <v>105</v>
      </c>
      <c r="G6824" s="18" t="s">
        <v>48</v>
      </c>
      <c r="H6824" s="24">
        <v>17980</v>
      </c>
      <c r="I6824" s="24">
        <f>T_reg.root.SK[[#This Row],[Volume, kg]]/1000</f>
        <v>17.98</v>
      </c>
      <c r="J6824" s="25">
        <v>0.219</v>
      </c>
      <c r="K6824" s="25">
        <f t="shared" si="107"/>
        <v>3937.62</v>
      </c>
      <c r="L6824" s="25">
        <v>2.2400000000000002</v>
      </c>
      <c r="M6824" s="24">
        <v>40341</v>
      </c>
      <c r="N6824" s="25">
        <f>IFERROR(T_reg.root.SK[[#This Row],[Price]]/T_reg.root.SK[[#This Row],[Starch content]],"")</f>
        <v>10.228310502283106</v>
      </c>
    </row>
    <row r="6825" spans="1:14">
      <c r="A6825" s="21">
        <v>2025</v>
      </c>
      <c r="B6825" s="21" t="s">
        <v>28</v>
      </c>
      <c r="C6825" s="21" t="s">
        <v>1145</v>
      </c>
      <c r="D6825" s="21" t="s">
        <v>35</v>
      </c>
      <c r="E6825" s="17" t="s">
        <v>115</v>
      </c>
      <c r="F6825" s="17" t="s">
        <v>105</v>
      </c>
      <c r="G6825" s="18" t="s">
        <v>48</v>
      </c>
      <c r="H6825" s="24">
        <v>47410</v>
      </c>
      <c r="I6825" s="24">
        <f>T_reg.root.SK[[#This Row],[Volume, kg]]/1000</f>
        <v>47.41</v>
      </c>
      <c r="J6825" s="25">
        <v>0.25480000000000003</v>
      </c>
      <c r="K6825" s="25">
        <f t="shared" si="107"/>
        <v>12080.068000000001</v>
      </c>
      <c r="L6825" s="25">
        <v>2.4300000000000002</v>
      </c>
      <c r="M6825" s="24">
        <v>115350.5</v>
      </c>
      <c r="N6825" s="25">
        <f>IFERROR(T_reg.root.SK[[#This Row],[Price]]/T_reg.root.SK[[#This Row],[Starch content]],"")</f>
        <v>9.5368916797488215</v>
      </c>
    </row>
    <row r="6826" spans="1:14">
      <c r="A6826" s="21">
        <v>2025</v>
      </c>
      <c r="B6826" s="21" t="s">
        <v>28</v>
      </c>
      <c r="C6826" s="21" t="s">
        <v>1145</v>
      </c>
      <c r="D6826" s="21" t="s">
        <v>35</v>
      </c>
      <c r="E6826" s="17" t="s">
        <v>296</v>
      </c>
      <c r="F6826" s="17" t="s">
        <v>105</v>
      </c>
      <c r="G6826" s="18" t="s">
        <v>48</v>
      </c>
      <c r="H6826" s="24">
        <v>75380</v>
      </c>
      <c r="I6826" s="24">
        <f>T_reg.root.SK[[#This Row],[Volume, kg]]/1000</f>
        <v>75.38</v>
      </c>
      <c r="J6826" s="25">
        <v>0.25080000000000002</v>
      </c>
      <c r="K6826" s="25">
        <f t="shared" si="107"/>
        <v>18905.304</v>
      </c>
      <c r="L6826" s="25">
        <v>2.39</v>
      </c>
      <c r="M6826" s="24">
        <v>180504.5</v>
      </c>
      <c r="N6826" s="25">
        <f>IFERROR(T_reg.root.SK[[#This Row],[Price]]/T_reg.root.SK[[#This Row],[Starch content]],"")</f>
        <v>9.5295055821371601</v>
      </c>
    </row>
    <row r="6827" spans="1:14">
      <c r="A6827" s="21">
        <v>2025</v>
      </c>
      <c r="B6827" s="21" t="s">
        <v>28</v>
      </c>
      <c r="C6827" s="21" t="s">
        <v>1145</v>
      </c>
      <c r="D6827" s="21" t="s">
        <v>39</v>
      </c>
      <c r="E6827" s="17" t="s">
        <v>782</v>
      </c>
      <c r="F6827" s="17" t="s">
        <v>783</v>
      </c>
      <c r="G6827" s="18" t="s">
        <v>87</v>
      </c>
      <c r="H6827" s="24">
        <v>45060</v>
      </c>
      <c r="I6827" s="24">
        <f>T_reg.root.SK[[#This Row],[Volume, kg]]/1000</f>
        <v>45.06</v>
      </c>
      <c r="J6827" s="25">
        <v>0.20699999999999999</v>
      </c>
      <c r="K6827" s="25">
        <f t="shared" si="107"/>
        <v>9327.42</v>
      </c>
      <c r="L6827" s="25">
        <v>2.2999999999999998</v>
      </c>
      <c r="M6827" s="24">
        <v>103638</v>
      </c>
      <c r="N6827" s="25">
        <f>IFERROR(T_reg.root.SK[[#This Row],[Price]]/T_reg.root.SK[[#This Row],[Starch content]],"")</f>
        <v>11.111111111111111</v>
      </c>
    </row>
    <row r="6828" spans="1:14">
      <c r="A6828" s="21">
        <v>2025</v>
      </c>
      <c r="B6828" s="21" t="s">
        <v>28</v>
      </c>
      <c r="C6828" s="21" t="s">
        <v>1145</v>
      </c>
      <c r="D6828" s="21" t="s">
        <v>35</v>
      </c>
      <c r="E6828" s="17" t="s">
        <v>118</v>
      </c>
      <c r="F6828" s="17" t="s">
        <v>105</v>
      </c>
      <c r="G6828" s="18" t="s">
        <v>48</v>
      </c>
      <c r="H6828" s="24">
        <v>324770</v>
      </c>
      <c r="I6828" s="24">
        <f>T_reg.root.SK[[#This Row],[Volume, kg]]/1000</f>
        <v>324.77</v>
      </c>
      <c r="J6828" s="25">
        <v>0.25</v>
      </c>
      <c r="K6828" s="25">
        <f t="shared" si="107"/>
        <v>81192.5</v>
      </c>
      <c r="L6828" s="25">
        <v>2.39</v>
      </c>
      <c r="M6828" s="24">
        <v>775868.5</v>
      </c>
      <c r="N6828" s="25">
        <f>IFERROR(T_reg.root.SK[[#This Row],[Price]]/T_reg.root.SK[[#This Row],[Starch content]],"")</f>
        <v>9.56</v>
      </c>
    </row>
    <row r="6829" spans="1:14">
      <c r="A6829" s="21">
        <v>2025</v>
      </c>
      <c r="B6829" s="21" t="s">
        <v>28</v>
      </c>
      <c r="C6829" s="21" t="s">
        <v>1145</v>
      </c>
      <c r="D6829" s="21" t="s">
        <v>39</v>
      </c>
      <c r="E6829" s="17" t="s">
        <v>101</v>
      </c>
      <c r="F6829" s="17" t="s">
        <v>102</v>
      </c>
      <c r="G6829" s="18" t="s">
        <v>103</v>
      </c>
      <c r="H6829" s="24">
        <v>2035070</v>
      </c>
      <c r="I6829" s="24">
        <f>T_reg.root.SK[[#This Row],[Volume, kg]]/1000</f>
        <v>2035.07</v>
      </c>
      <c r="J6829" s="25">
        <v>0.24959999999999999</v>
      </c>
      <c r="K6829" s="25">
        <f t="shared" si="107"/>
        <v>507953.47199999995</v>
      </c>
      <c r="L6829" s="25">
        <v>2.66</v>
      </c>
      <c r="M6829" s="24">
        <v>5415002</v>
      </c>
      <c r="N6829" s="25">
        <f>IFERROR(T_reg.root.SK[[#This Row],[Price]]/T_reg.root.SK[[#This Row],[Starch content]],"")</f>
        <v>10.657051282051283</v>
      </c>
    </row>
    <row r="6830" spans="1:14">
      <c r="A6830" s="21">
        <v>2025</v>
      </c>
      <c r="B6830" s="21" t="s">
        <v>28</v>
      </c>
      <c r="C6830" s="21" t="s">
        <v>1145</v>
      </c>
      <c r="D6830" s="21" t="s">
        <v>35</v>
      </c>
      <c r="E6830" s="17" t="s">
        <v>122</v>
      </c>
      <c r="F6830" s="17" t="s">
        <v>105</v>
      </c>
      <c r="G6830" s="18" t="s">
        <v>48</v>
      </c>
      <c r="H6830" s="24">
        <v>26630</v>
      </c>
      <c r="I6830" s="24">
        <f>T_reg.root.SK[[#This Row],[Volume, kg]]/1000</f>
        <v>26.63</v>
      </c>
      <c r="J6830" s="25">
        <v>0.25059999999999999</v>
      </c>
      <c r="K6830" s="25">
        <f t="shared" si="107"/>
        <v>6673.4780000000001</v>
      </c>
      <c r="L6830" s="25">
        <v>2.41</v>
      </c>
      <c r="M6830" s="24">
        <v>64219</v>
      </c>
      <c r="N6830" s="25">
        <f>IFERROR(T_reg.root.SK[[#This Row],[Price]]/T_reg.root.SK[[#This Row],[Starch content]],"")</f>
        <v>9.6169193934557065</v>
      </c>
    </row>
    <row r="6831" spans="1:14">
      <c r="A6831" s="21">
        <v>2025</v>
      </c>
      <c r="B6831" s="21" t="s">
        <v>28</v>
      </c>
      <c r="C6831" s="21" t="s">
        <v>1145</v>
      </c>
      <c r="D6831" s="21" t="s">
        <v>39</v>
      </c>
      <c r="E6831" s="17" t="s">
        <v>98</v>
      </c>
      <c r="F6831" s="17" t="s">
        <v>99</v>
      </c>
      <c r="G6831" s="18" t="s">
        <v>42</v>
      </c>
      <c r="H6831" s="24">
        <v>4240170</v>
      </c>
      <c r="I6831" s="24">
        <f>T_reg.root.SK[[#This Row],[Volume, kg]]/1000</f>
        <v>4240.17</v>
      </c>
      <c r="J6831" s="25">
        <v>0.24129999999999999</v>
      </c>
      <c r="K6831" s="25">
        <f t="shared" si="107"/>
        <v>1023153.0209999999</v>
      </c>
      <c r="L6831" s="25">
        <v>2.62</v>
      </c>
      <c r="M6831" s="24">
        <v>11102129</v>
      </c>
      <c r="N6831" s="25">
        <f>IFERROR(T_reg.root.SK[[#This Row],[Price]]/T_reg.root.SK[[#This Row],[Starch content]],"")</f>
        <v>10.857853294653959</v>
      </c>
    </row>
    <row r="6832" spans="1:14">
      <c r="A6832" s="21">
        <v>2025</v>
      </c>
      <c r="B6832" s="21" t="s">
        <v>28</v>
      </c>
      <c r="C6832" s="21" t="s">
        <v>1145</v>
      </c>
      <c r="D6832" s="21" t="s">
        <v>35</v>
      </c>
      <c r="E6832" s="17" t="s">
        <v>826</v>
      </c>
      <c r="F6832" s="17" t="s">
        <v>105</v>
      </c>
      <c r="G6832" s="18" t="s">
        <v>48</v>
      </c>
      <c r="H6832" s="24">
        <v>28380</v>
      </c>
      <c r="I6832" s="24">
        <f>T_reg.root.SK[[#This Row],[Volume, kg]]/1000</f>
        <v>28.38</v>
      </c>
      <c r="J6832" s="25">
        <v>0.21890000000000001</v>
      </c>
      <c r="K6832" s="25">
        <f t="shared" si="107"/>
        <v>6212.3820000000005</v>
      </c>
      <c r="L6832" s="25">
        <v>2.2400000000000002</v>
      </c>
      <c r="M6832" s="24">
        <v>63656</v>
      </c>
      <c r="N6832" s="25">
        <f>IFERROR(T_reg.root.SK[[#This Row],[Price]]/T_reg.root.SK[[#This Row],[Starch content]],"")</f>
        <v>10.232983097304706</v>
      </c>
    </row>
    <row r="6833" spans="1:14">
      <c r="A6833" s="21">
        <v>2025</v>
      </c>
      <c r="B6833" s="21" t="s">
        <v>28</v>
      </c>
      <c r="C6833" s="21" t="s">
        <v>1145</v>
      </c>
      <c r="D6833" s="21" t="s">
        <v>35</v>
      </c>
      <c r="E6833" s="17" t="s">
        <v>946</v>
      </c>
      <c r="F6833" s="17" t="s">
        <v>105</v>
      </c>
      <c r="G6833" s="18" t="s">
        <v>48</v>
      </c>
      <c r="H6833" s="24">
        <v>4630</v>
      </c>
      <c r="I6833" s="24">
        <f>T_reg.root.SK[[#This Row],[Volume, kg]]/1000</f>
        <v>4.63</v>
      </c>
      <c r="J6833" s="25">
        <v>0.26750000000000002</v>
      </c>
      <c r="K6833" s="25">
        <f t="shared" si="107"/>
        <v>1238.5250000000001</v>
      </c>
      <c r="L6833" s="25">
        <v>2.5</v>
      </c>
      <c r="M6833" s="24">
        <v>11575</v>
      </c>
      <c r="N6833" s="25">
        <f>IFERROR(T_reg.root.SK[[#This Row],[Price]]/T_reg.root.SK[[#This Row],[Starch content]],"")</f>
        <v>9.3457943925233646</v>
      </c>
    </row>
    <row r="6834" spans="1:14">
      <c r="A6834" s="21">
        <v>2025</v>
      </c>
      <c r="B6834" s="21" t="s">
        <v>28</v>
      </c>
      <c r="C6834" s="21" t="s">
        <v>1145</v>
      </c>
      <c r="D6834" s="21" t="s">
        <v>35</v>
      </c>
      <c r="E6834" s="17" t="s">
        <v>975</v>
      </c>
      <c r="F6834" s="17" t="s">
        <v>105</v>
      </c>
      <c r="G6834" s="18" t="s">
        <v>48</v>
      </c>
      <c r="H6834" s="24">
        <v>67950</v>
      </c>
      <c r="I6834" s="24">
        <f>T_reg.root.SK[[#This Row],[Volume, kg]]/1000</f>
        <v>67.95</v>
      </c>
      <c r="J6834" s="25">
        <v>0.27160000000000001</v>
      </c>
      <c r="K6834" s="25">
        <f t="shared" si="107"/>
        <v>18455.22</v>
      </c>
      <c r="L6834" s="25">
        <v>2.4900000000000002</v>
      </c>
      <c r="M6834" s="24">
        <v>168996</v>
      </c>
      <c r="N6834" s="25">
        <f>IFERROR(T_reg.root.SK[[#This Row],[Price]]/T_reg.root.SK[[#This Row],[Starch content]],"")</f>
        <v>9.1678939617083959</v>
      </c>
    </row>
    <row r="6835" spans="1:14">
      <c r="A6835" s="21">
        <v>2025</v>
      </c>
      <c r="B6835" s="21" t="s">
        <v>28</v>
      </c>
      <c r="C6835" s="21" t="s">
        <v>1145</v>
      </c>
      <c r="D6835" s="21" t="s">
        <v>35</v>
      </c>
      <c r="E6835" s="17" t="s">
        <v>1091</v>
      </c>
      <c r="F6835" s="17" t="s">
        <v>187</v>
      </c>
      <c r="G6835" s="18" t="s">
        <v>48</v>
      </c>
      <c r="H6835" s="24">
        <v>21160</v>
      </c>
      <c r="I6835" s="24">
        <f>T_reg.root.SK[[#This Row],[Volume, kg]]/1000</f>
        <v>21.16</v>
      </c>
      <c r="J6835" s="25">
        <v>0.23930000000000001</v>
      </c>
      <c r="K6835" s="25">
        <f t="shared" si="107"/>
        <v>5063.5880000000006</v>
      </c>
      <c r="L6835" s="25">
        <v>2.35</v>
      </c>
      <c r="M6835" s="24">
        <v>49726</v>
      </c>
      <c r="N6835" s="25">
        <f>IFERROR(T_reg.root.SK[[#This Row],[Price]]/T_reg.root.SK[[#This Row],[Starch content]],"")</f>
        <v>9.8203092352695354</v>
      </c>
    </row>
    <row r="6836" spans="1:14">
      <c r="A6836" s="21">
        <v>2025</v>
      </c>
      <c r="B6836" s="21" t="s">
        <v>28</v>
      </c>
      <c r="C6836" s="21" t="s">
        <v>1145</v>
      </c>
      <c r="D6836" s="21" t="s">
        <v>39</v>
      </c>
      <c r="E6836" s="17" t="s">
        <v>1092</v>
      </c>
      <c r="F6836" s="17" t="s">
        <v>645</v>
      </c>
      <c r="G6836" s="18" t="s">
        <v>48</v>
      </c>
      <c r="H6836" s="24">
        <v>467260</v>
      </c>
      <c r="I6836" s="24">
        <f>T_reg.root.SK[[#This Row],[Volume, kg]]/1000</f>
        <v>467.26</v>
      </c>
      <c r="J6836" s="25">
        <v>0.26029999999999998</v>
      </c>
      <c r="K6836" s="25">
        <f t="shared" si="107"/>
        <v>121627.77799999999</v>
      </c>
      <c r="L6836" s="25">
        <v>2.73</v>
      </c>
      <c r="M6836" s="24">
        <v>1277145</v>
      </c>
      <c r="N6836" s="25">
        <f>IFERROR(T_reg.root.SK[[#This Row],[Price]]/T_reg.root.SK[[#This Row],[Starch content]],"")</f>
        <v>10.487898578563197</v>
      </c>
    </row>
    <row r="6837" spans="1:14">
      <c r="A6837" s="21">
        <v>2025</v>
      </c>
      <c r="B6837" s="21" t="s">
        <v>28</v>
      </c>
      <c r="C6837" s="21" t="s">
        <v>1145</v>
      </c>
      <c r="D6837" s="21" t="s">
        <v>35</v>
      </c>
      <c r="E6837" s="17" t="s">
        <v>239</v>
      </c>
      <c r="F6837" s="17" t="s">
        <v>105</v>
      </c>
      <c r="G6837" s="18" t="s">
        <v>48</v>
      </c>
      <c r="H6837" s="24">
        <v>18420</v>
      </c>
      <c r="I6837" s="24">
        <f>T_reg.root.SK[[#This Row],[Volume, kg]]/1000</f>
        <v>18.420000000000002</v>
      </c>
      <c r="J6837" s="25">
        <v>0.25269999999999998</v>
      </c>
      <c r="K6837" s="25">
        <f t="shared" si="107"/>
        <v>4654.7339999999995</v>
      </c>
      <c r="L6837" s="25">
        <v>2.42</v>
      </c>
      <c r="M6837" s="24">
        <v>44619</v>
      </c>
      <c r="N6837" s="25">
        <f>IFERROR(T_reg.root.SK[[#This Row],[Price]]/T_reg.root.SK[[#This Row],[Starch content]],"")</f>
        <v>9.576573011476059</v>
      </c>
    </row>
    <row r="6838" spans="1:14">
      <c r="A6838" s="21">
        <v>2025</v>
      </c>
      <c r="B6838" s="21" t="s">
        <v>28</v>
      </c>
      <c r="C6838" s="21" t="s">
        <v>1145</v>
      </c>
      <c r="D6838" s="21" t="s">
        <v>35</v>
      </c>
      <c r="E6838" s="17" t="s">
        <v>625</v>
      </c>
      <c r="F6838" s="17" t="s">
        <v>47</v>
      </c>
      <c r="G6838" s="18" t="s">
        <v>48</v>
      </c>
      <c r="H6838" s="24">
        <v>16060</v>
      </c>
      <c r="I6838" s="24">
        <f>T_reg.root.SK[[#This Row],[Volume, kg]]/1000</f>
        <v>16.059999999999999</v>
      </c>
      <c r="J6838" s="25">
        <v>0.2404</v>
      </c>
      <c r="K6838" s="25">
        <f t="shared" si="107"/>
        <v>3860.8240000000001</v>
      </c>
      <c r="L6838" s="25">
        <v>2.37</v>
      </c>
      <c r="M6838" s="24">
        <v>38000</v>
      </c>
      <c r="N6838" s="25">
        <f>IFERROR(T_reg.root.SK[[#This Row],[Price]]/T_reg.root.SK[[#This Row],[Starch content]],"")</f>
        <v>9.8585690515806998</v>
      </c>
    </row>
    <row r="6839" spans="1:14">
      <c r="A6839" s="21">
        <v>2025</v>
      </c>
      <c r="B6839" s="21" t="s">
        <v>28</v>
      </c>
      <c r="C6839" s="21" t="s">
        <v>1145</v>
      </c>
      <c r="D6839" s="21" t="s">
        <v>35</v>
      </c>
      <c r="E6839" s="17" t="s">
        <v>124</v>
      </c>
      <c r="F6839" s="17" t="s">
        <v>105</v>
      </c>
      <c r="G6839" s="18" t="s">
        <v>48</v>
      </c>
      <c r="H6839" s="24">
        <v>2740</v>
      </c>
      <c r="I6839" s="24">
        <f>T_reg.root.SK[[#This Row],[Volume, kg]]/1000</f>
        <v>2.74</v>
      </c>
      <c r="J6839" s="25">
        <v>0.21049999999999999</v>
      </c>
      <c r="K6839" s="25">
        <f t="shared" si="107"/>
        <v>576.77</v>
      </c>
      <c r="L6839" s="25">
        <v>2.2000000000000002</v>
      </c>
      <c r="M6839" s="24">
        <v>6028</v>
      </c>
      <c r="N6839" s="25">
        <f>IFERROR(T_reg.root.SK[[#This Row],[Price]]/T_reg.root.SK[[#This Row],[Starch content]],"")</f>
        <v>10.451306413301664</v>
      </c>
    </row>
    <row r="6840" spans="1:14">
      <c r="A6840" s="21">
        <v>2025</v>
      </c>
      <c r="B6840" s="21" t="s">
        <v>28</v>
      </c>
      <c r="C6840" s="21" t="s">
        <v>1145</v>
      </c>
      <c r="D6840" s="21" t="s">
        <v>35</v>
      </c>
      <c r="E6840" s="17" t="s">
        <v>404</v>
      </c>
      <c r="F6840" s="17" t="s">
        <v>105</v>
      </c>
      <c r="G6840" s="18" t="s">
        <v>48</v>
      </c>
      <c r="H6840" s="24">
        <v>40190</v>
      </c>
      <c r="I6840" s="24">
        <f>T_reg.root.SK[[#This Row],[Volume, kg]]/1000</f>
        <v>40.19</v>
      </c>
      <c r="J6840" s="25">
        <v>0.2535</v>
      </c>
      <c r="K6840" s="25">
        <f t="shared" si="107"/>
        <v>10188.165000000001</v>
      </c>
      <c r="L6840" s="25">
        <v>2.41</v>
      </c>
      <c r="M6840" s="24">
        <v>96989.5</v>
      </c>
      <c r="N6840" s="25">
        <f>IFERROR(T_reg.root.SK[[#This Row],[Price]]/T_reg.root.SK[[#This Row],[Starch content]],"")</f>
        <v>9.5069033530571989</v>
      </c>
    </row>
    <row r="6841" spans="1:14">
      <c r="A6841" s="21">
        <v>2025</v>
      </c>
      <c r="B6841" s="21" t="s">
        <v>28</v>
      </c>
      <c r="C6841" s="21" t="s">
        <v>1145</v>
      </c>
      <c r="D6841" s="21" t="s">
        <v>35</v>
      </c>
      <c r="E6841" s="17" t="s">
        <v>563</v>
      </c>
      <c r="F6841" s="17" t="s">
        <v>105</v>
      </c>
      <c r="G6841" s="18" t="s">
        <v>48</v>
      </c>
      <c r="H6841" s="24">
        <v>4440</v>
      </c>
      <c r="I6841" s="24">
        <f>T_reg.root.SK[[#This Row],[Volume, kg]]/1000</f>
        <v>4.4400000000000004</v>
      </c>
      <c r="J6841" s="25">
        <v>0.251</v>
      </c>
      <c r="K6841" s="25">
        <f t="shared" si="107"/>
        <v>1114.44</v>
      </c>
      <c r="L6841" s="25">
        <v>2.4</v>
      </c>
      <c r="M6841" s="24">
        <v>10656</v>
      </c>
      <c r="N6841" s="25">
        <f>IFERROR(T_reg.root.SK[[#This Row],[Price]]/T_reg.root.SK[[#This Row],[Starch content]],"")</f>
        <v>9.5617529880478092</v>
      </c>
    </row>
    <row r="6842" spans="1:14">
      <c r="A6842" s="21">
        <v>2025</v>
      </c>
      <c r="B6842" s="21" t="s">
        <v>28</v>
      </c>
      <c r="C6842" s="21" t="s">
        <v>1145</v>
      </c>
      <c r="D6842" s="21" t="s">
        <v>35</v>
      </c>
      <c r="E6842" s="17" t="s">
        <v>57</v>
      </c>
      <c r="F6842" s="17" t="s">
        <v>47</v>
      </c>
      <c r="G6842" s="18" t="s">
        <v>48</v>
      </c>
      <c r="H6842" s="24">
        <v>66640</v>
      </c>
      <c r="I6842" s="24">
        <f>T_reg.root.SK[[#This Row],[Volume, kg]]/1000</f>
        <v>66.64</v>
      </c>
      <c r="J6842" s="25">
        <v>0.23300000000000001</v>
      </c>
      <c r="K6842" s="25">
        <f t="shared" si="107"/>
        <v>15527.12</v>
      </c>
      <c r="L6842" s="25">
        <v>2.31</v>
      </c>
      <c r="M6842" s="24">
        <v>153803.5</v>
      </c>
      <c r="N6842" s="25">
        <f>IFERROR(T_reg.root.SK[[#This Row],[Price]]/T_reg.root.SK[[#This Row],[Starch content]],"")</f>
        <v>9.9141630901287545</v>
      </c>
    </row>
    <row r="6843" spans="1:14">
      <c r="A6843" s="21">
        <v>2025</v>
      </c>
      <c r="B6843" s="21" t="s">
        <v>28</v>
      </c>
      <c r="C6843" s="21" t="s">
        <v>1145</v>
      </c>
      <c r="D6843" s="21" t="s">
        <v>35</v>
      </c>
      <c r="E6843" s="17" t="s">
        <v>379</v>
      </c>
      <c r="F6843" s="17" t="s">
        <v>47</v>
      </c>
      <c r="G6843" s="18" t="s">
        <v>48</v>
      </c>
      <c r="H6843" s="24">
        <v>3680</v>
      </c>
      <c r="I6843" s="24">
        <f>T_reg.root.SK[[#This Row],[Volume, kg]]/1000</f>
        <v>3.68</v>
      </c>
      <c r="J6843" s="25">
        <v>0.252</v>
      </c>
      <c r="K6843" s="25">
        <f t="shared" si="107"/>
        <v>927.36</v>
      </c>
      <c r="L6843" s="25">
        <v>2.4</v>
      </c>
      <c r="M6843" s="24">
        <v>8832</v>
      </c>
      <c r="N6843" s="25">
        <f>IFERROR(T_reg.root.SK[[#This Row],[Price]]/T_reg.root.SK[[#This Row],[Starch content]],"")</f>
        <v>9.5238095238095237</v>
      </c>
    </row>
    <row r="6844" spans="1:14">
      <c r="A6844" s="21">
        <v>2025</v>
      </c>
      <c r="B6844" s="21" t="s">
        <v>28</v>
      </c>
      <c r="C6844" s="21" t="s">
        <v>1145</v>
      </c>
      <c r="D6844" s="21" t="s">
        <v>35</v>
      </c>
      <c r="E6844" s="17" t="s">
        <v>729</v>
      </c>
      <c r="F6844" s="17" t="s">
        <v>47</v>
      </c>
      <c r="G6844" s="18" t="s">
        <v>48</v>
      </c>
      <c r="H6844" s="24">
        <v>4190</v>
      </c>
      <c r="I6844" s="24">
        <f>T_reg.root.SK[[#This Row],[Volume, kg]]/1000</f>
        <v>4.1900000000000004</v>
      </c>
      <c r="J6844" s="25">
        <v>0.2165</v>
      </c>
      <c r="K6844" s="25">
        <f t="shared" si="107"/>
        <v>907.13499999999999</v>
      </c>
      <c r="L6844" s="25">
        <v>2.25</v>
      </c>
      <c r="M6844" s="24">
        <v>9427.5</v>
      </c>
      <c r="N6844" s="25">
        <f>IFERROR(T_reg.root.SK[[#This Row],[Price]]/T_reg.root.SK[[#This Row],[Starch content]],"")</f>
        <v>10.392609699769054</v>
      </c>
    </row>
    <row r="6845" spans="1:14">
      <c r="A6845" s="21">
        <v>2025</v>
      </c>
      <c r="B6845" s="21" t="s">
        <v>28</v>
      </c>
      <c r="C6845" s="21" t="s">
        <v>1145</v>
      </c>
      <c r="D6845" s="21" t="s">
        <v>35</v>
      </c>
      <c r="E6845" s="17" t="s">
        <v>977</v>
      </c>
      <c r="F6845" s="17" t="s">
        <v>105</v>
      </c>
      <c r="G6845" s="18" t="s">
        <v>48</v>
      </c>
      <c r="H6845" s="24">
        <v>5030</v>
      </c>
      <c r="I6845" s="24">
        <f>T_reg.root.SK[[#This Row],[Volume, kg]]/1000</f>
        <v>5.03</v>
      </c>
      <c r="J6845" s="25">
        <v>0.27600000000000002</v>
      </c>
      <c r="K6845" s="25">
        <f t="shared" si="107"/>
        <v>1388.2800000000002</v>
      </c>
      <c r="L6845" s="25">
        <v>2.5499999999999998</v>
      </c>
      <c r="M6845" s="24">
        <v>12826.5</v>
      </c>
      <c r="N6845" s="25">
        <f>IFERROR(T_reg.root.SK[[#This Row],[Price]]/T_reg.root.SK[[#This Row],[Starch content]],"")</f>
        <v>9.2391304347826075</v>
      </c>
    </row>
    <row r="6846" spans="1:14">
      <c r="A6846" s="21">
        <v>2025</v>
      </c>
      <c r="B6846" s="21" t="s">
        <v>28</v>
      </c>
      <c r="C6846" s="21" t="s">
        <v>1145</v>
      </c>
      <c r="D6846" s="21" t="s">
        <v>35</v>
      </c>
      <c r="E6846" s="17" t="s">
        <v>736</v>
      </c>
      <c r="F6846" s="17" t="s">
        <v>105</v>
      </c>
      <c r="G6846" s="18" t="s">
        <v>48</v>
      </c>
      <c r="H6846" s="24">
        <v>152930</v>
      </c>
      <c r="I6846" s="24">
        <f>T_reg.root.SK[[#This Row],[Volume, kg]]/1000</f>
        <v>152.93</v>
      </c>
      <c r="J6846" s="25">
        <v>0.26169999999999999</v>
      </c>
      <c r="K6846" s="25">
        <f t="shared" si="107"/>
        <v>40021.780999999995</v>
      </c>
      <c r="L6846" s="25">
        <v>2.4500000000000002</v>
      </c>
      <c r="M6846" s="24">
        <v>374856</v>
      </c>
      <c r="N6846" s="25">
        <f>IFERROR(T_reg.root.SK[[#This Row],[Price]]/T_reg.root.SK[[#This Row],[Starch content]],"")</f>
        <v>9.3618647306075662</v>
      </c>
    </row>
    <row r="6847" spans="1:14">
      <c r="A6847" s="21">
        <v>2025</v>
      </c>
      <c r="B6847" s="21" t="s">
        <v>28</v>
      </c>
      <c r="C6847" s="21" t="s">
        <v>1145</v>
      </c>
      <c r="D6847" s="21" t="s">
        <v>35</v>
      </c>
      <c r="E6847" s="17" t="s">
        <v>465</v>
      </c>
      <c r="F6847" s="17" t="s">
        <v>47</v>
      </c>
      <c r="G6847" s="18" t="s">
        <v>48</v>
      </c>
      <c r="H6847" s="24">
        <v>108660</v>
      </c>
      <c r="I6847" s="24">
        <f>T_reg.root.SK[[#This Row],[Volume, kg]]/1000</f>
        <v>108.66</v>
      </c>
      <c r="J6847" s="25">
        <v>0.24759999999999999</v>
      </c>
      <c r="K6847" s="25">
        <f t="shared" si="107"/>
        <v>26904.216</v>
      </c>
      <c r="L6847" s="25">
        <v>2.39</v>
      </c>
      <c r="M6847" s="24">
        <v>259313</v>
      </c>
      <c r="N6847" s="25">
        <f>IFERROR(T_reg.root.SK[[#This Row],[Price]]/T_reg.root.SK[[#This Row],[Starch content]],"")</f>
        <v>9.6526655896607441</v>
      </c>
    </row>
    <row r="6848" spans="1:14">
      <c r="A6848" s="21">
        <v>2025</v>
      </c>
      <c r="B6848" s="21" t="s">
        <v>28</v>
      </c>
      <c r="C6848" s="21" t="s">
        <v>1145</v>
      </c>
      <c r="D6848" s="21" t="s">
        <v>35</v>
      </c>
      <c r="E6848" s="17" t="s">
        <v>58</v>
      </c>
      <c r="F6848" s="17" t="s">
        <v>47</v>
      </c>
      <c r="G6848" s="18" t="s">
        <v>48</v>
      </c>
      <c r="H6848" s="24">
        <v>7530</v>
      </c>
      <c r="I6848" s="24">
        <f>T_reg.root.SK[[#This Row],[Volume, kg]]/1000</f>
        <v>7.53</v>
      </c>
      <c r="J6848" s="25">
        <v>0.22800000000000001</v>
      </c>
      <c r="K6848" s="25">
        <f t="shared" si="107"/>
        <v>1716.8400000000001</v>
      </c>
      <c r="L6848" s="25">
        <v>2.2999999999999998</v>
      </c>
      <c r="M6848" s="24">
        <v>17319</v>
      </c>
      <c r="N6848" s="25">
        <f>IFERROR(T_reg.root.SK[[#This Row],[Price]]/T_reg.root.SK[[#This Row],[Starch content]],"")</f>
        <v>10.087719298245613</v>
      </c>
    </row>
    <row r="6849" spans="1:14">
      <c r="A6849" s="21">
        <v>2025</v>
      </c>
      <c r="B6849" s="21" t="s">
        <v>28</v>
      </c>
      <c r="C6849" s="21" t="s">
        <v>1145</v>
      </c>
      <c r="D6849" s="21" t="s">
        <v>35</v>
      </c>
      <c r="E6849" s="17" t="s">
        <v>590</v>
      </c>
      <c r="F6849" s="17" t="s">
        <v>187</v>
      </c>
      <c r="G6849" s="18" t="s">
        <v>48</v>
      </c>
      <c r="H6849" s="24">
        <v>4860</v>
      </c>
      <c r="I6849" s="24">
        <f>T_reg.root.SK[[#This Row],[Volume, kg]]/1000</f>
        <v>4.8600000000000003</v>
      </c>
      <c r="J6849" s="25">
        <v>0.20749999999999999</v>
      </c>
      <c r="K6849" s="25">
        <f t="shared" si="107"/>
        <v>1008.4499999999999</v>
      </c>
      <c r="L6849" s="25">
        <v>2.2000000000000002</v>
      </c>
      <c r="M6849" s="24">
        <v>10692</v>
      </c>
      <c r="N6849" s="25">
        <f>IFERROR(T_reg.root.SK[[#This Row],[Price]]/T_reg.root.SK[[#This Row],[Starch content]],"")</f>
        <v>10.602409638554219</v>
      </c>
    </row>
    <row r="6850" spans="1:14">
      <c r="A6850" s="21">
        <v>2025</v>
      </c>
      <c r="B6850" s="21" t="s">
        <v>28</v>
      </c>
      <c r="C6850" s="21" t="s">
        <v>1145</v>
      </c>
      <c r="D6850" s="21" t="s">
        <v>35</v>
      </c>
      <c r="E6850" s="17" t="s">
        <v>521</v>
      </c>
      <c r="F6850" s="17" t="s">
        <v>187</v>
      </c>
      <c r="G6850" s="18" t="s">
        <v>48</v>
      </c>
      <c r="H6850" s="24">
        <v>50910</v>
      </c>
      <c r="I6850" s="24">
        <f>T_reg.root.SK[[#This Row],[Volume, kg]]/1000</f>
        <v>50.91</v>
      </c>
      <c r="J6850" s="25">
        <v>0.27329999999999999</v>
      </c>
      <c r="K6850" s="25">
        <f t="shared" si="107"/>
        <v>13913.703</v>
      </c>
      <c r="L6850" s="25">
        <v>2.52</v>
      </c>
      <c r="M6850" s="24">
        <v>128515</v>
      </c>
      <c r="N6850" s="25">
        <f>IFERROR(T_reg.root.SK[[#This Row],[Price]]/T_reg.root.SK[[#This Row],[Starch content]],"")</f>
        <v>9.220636663007685</v>
      </c>
    </row>
    <row r="6851" spans="1:14">
      <c r="A6851" s="21">
        <v>2025</v>
      </c>
      <c r="B6851" s="21" t="s">
        <v>28</v>
      </c>
      <c r="C6851" s="21" t="s">
        <v>1145</v>
      </c>
      <c r="D6851" s="21" t="s">
        <v>35</v>
      </c>
      <c r="E6851" s="17" t="s">
        <v>635</v>
      </c>
      <c r="F6851" s="17" t="s">
        <v>105</v>
      </c>
      <c r="G6851" s="18" t="s">
        <v>48</v>
      </c>
      <c r="H6851" s="24">
        <v>40400</v>
      </c>
      <c r="I6851" s="24">
        <f>T_reg.root.SK[[#This Row],[Volume, kg]]/1000</f>
        <v>40.4</v>
      </c>
      <c r="J6851" s="25">
        <v>0.28010000000000002</v>
      </c>
      <c r="K6851" s="25">
        <f t="shared" si="107"/>
        <v>11316.04</v>
      </c>
      <c r="L6851" s="25">
        <v>2.52</v>
      </c>
      <c r="M6851" s="24">
        <v>101789.5</v>
      </c>
      <c r="N6851" s="25">
        <f>IFERROR(T_reg.root.SK[[#This Row],[Price]]/T_reg.root.SK[[#This Row],[Starch content]],"")</f>
        <v>8.9967868618350586</v>
      </c>
    </row>
    <row r="6852" spans="1:14">
      <c r="A6852" s="21">
        <v>2025</v>
      </c>
      <c r="B6852" s="21" t="s">
        <v>28</v>
      </c>
      <c r="C6852" s="21" t="s">
        <v>1145</v>
      </c>
      <c r="D6852" s="21" t="s">
        <v>35</v>
      </c>
      <c r="E6852" s="17" t="s">
        <v>59</v>
      </c>
      <c r="F6852" s="17" t="s">
        <v>47</v>
      </c>
      <c r="G6852" s="18" t="s">
        <v>48</v>
      </c>
      <c r="H6852" s="24">
        <v>78060</v>
      </c>
      <c r="I6852" s="24">
        <f>T_reg.root.SK[[#This Row],[Volume, kg]]/1000</f>
        <v>78.06</v>
      </c>
      <c r="J6852" s="25">
        <v>0.20849999999999999</v>
      </c>
      <c r="K6852" s="25">
        <f t="shared" si="107"/>
        <v>16275.509999999998</v>
      </c>
      <c r="L6852" s="25">
        <v>2.19</v>
      </c>
      <c r="M6852" s="24">
        <v>170914</v>
      </c>
      <c r="N6852" s="25">
        <f>IFERROR(T_reg.root.SK[[#This Row],[Price]]/T_reg.root.SK[[#This Row],[Starch content]],"")</f>
        <v>10.503597122302159</v>
      </c>
    </row>
    <row r="6853" spans="1:14">
      <c r="A6853" s="21">
        <v>2025</v>
      </c>
      <c r="B6853" s="21" t="s">
        <v>28</v>
      </c>
      <c r="C6853" s="21" t="s">
        <v>1145</v>
      </c>
      <c r="D6853" s="21" t="s">
        <v>35</v>
      </c>
      <c r="E6853" s="17" t="s">
        <v>129</v>
      </c>
      <c r="F6853" s="17" t="s">
        <v>105</v>
      </c>
      <c r="G6853" s="18" t="s">
        <v>48</v>
      </c>
      <c r="H6853" s="24">
        <v>12920</v>
      </c>
      <c r="I6853" s="24">
        <f>T_reg.root.SK[[#This Row],[Volume, kg]]/1000</f>
        <v>12.92</v>
      </c>
      <c r="J6853" s="25">
        <v>0.26550000000000001</v>
      </c>
      <c r="K6853" s="25">
        <f t="shared" si="107"/>
        <v>3430.26</v>
      </c>
      <c r="L6853" s="25">
        <v>2.48</v>
      </c>
      <c r="M6853" s="24">
        <v>32083.5</v>
      </c>
      <c r="N6853" s="25">
        <f>IFERROR(T_reg.root.SK[[#This Row],[Price]]/T_reg.root.SK[[#This Row],[Starch content]],"")</f>
        <v>9.3408662900188322</v>
      </c>
    </row>
    <row r="6854" spans="1:14">
      <c r="A6854" s="21">
        <v>2025</v>
      </c>
      <c r="B6854" s="21" t="s">
        <v>28</v>
      </c>
      <c r="C6854" s="21" t="s">
        <v>1145</v>
      </c>
      <c r="D6854" s="21" t="s">
        <v>35</v>
      </c>
      <c r="E6854" s="17" t="s">
        <v>643</v>
      </c>
      <c r="F6854" s="17" t="s">
        <v>47</v>
      </c>
      <c r="G6854" s="18" t="s">
        <v>48</v>
      </c>
      <c r="H6854" s="24">
        <v>98310</v>
      </c>
      <c r="I6854" s="24">
        <f>T_reg.root.SK[[#This Row],[Volume, kg]]/1000</f>
        <v>98.31</v>
      </c>
      <c r="J6854" s="25">
        <v>0.22839999999999999</v>
      </c>
      <c r="K6854" s="25">
        <f t="shared" si="107"/>
        <v>22454.004000000001</v>
      </c>
      <c r="L6854" s="25">
        <v>2.29</v>
      </c>
      <c r="M6854" s="24">
        <v>224804</v>
      </c>
      <c r="N6854" s="25">
        <f>IFERROR(T_reg.root.SK[[#This Row],[Price]]/T_reg.root.SK[[#This Row],[Starch content]],"")</f>
        <v>10.026269702276709</v>
      </c>
    </row>
    <row r="6855" spans="1:14">
      <c r="A6855" s="21">
        <v>2025</v>
      </c>
      <c r="B6855" s="21" t="s">
        <v>28</v>
      </c>
      <c r="C6855" s="21" t="s">
        <v>1145</v>
      </c>
      <c r="D6855" s="21" t="s">
        <v>35</v>
      </c>
      <c r="E6855" s="17" t="s">
        <v>548</v>
      </c>
      <c r="F6855" s="17" t="s">
        <v>47</v>
      </c>
      <c r="G6855" s="18" t="s">
        <v>48</v>
      </c>
      <c r="H6855" s="24">
        <v>123390</v>
      </c>
      <c r="I6855" s="24">
        <f>T_reg.root.SK[[#This Row],[Volume, kg]]/1000</f>
        <v>123.39</v>
      </c>
      <c r="J6855" s="25">
        <v>0.2321</v>
      </c>
      <c r="K6855" s="25">
        <f t="shared" si="107"/>
        <v>28638.819</v>
      </c>
      <c r="L6855" s="25">
        <v>2.31</v>
      </c>
      <c r="M6855" s="24">
        <v>285369.5</v>
      </c>
      <c r="N6855" s="25">
        <f>IFERROR(T_reg.root.SK[[#This Row],[Price]]/T_reg.root.SK[[#This Row],[Starch content]],"")</f>
        <v>9.9526066350710902</v>
      </c>
    </row>
    <row r="6856" spans="1:14">
      <c r="A6856" s="21">
        <v>2025</v>
      </c>
      <c r="B6856" s="21" t="s">
        <v>28</v>
      </c>
      <c r="C6856" s="21" t="s">
        <v>1145</v>
      </c>
      <c r="D6856" s="21" t="s">
        <v>35</v>
      </c>
      <c r="E6856" s="17" t="s">
        <v>132</v>
      </c>
      <c r="F6856" s="17" t="s">
        <v>105</v>
      </c>
      <c r="G6856" s="18" t="s">
        <v>48</v>
      </c>
      <c r="H6856" s="24">
        <v>13650</v>
      </c>
      <c r="I6856" s="24">
        <f>T_reg.root.SK[[#This Row],[Volume, kg]]/1000</f>
        <v>13.65</v>
      </c>
      <c r="J6856" s="25">
        <v>0.30099999999999999</v>
      </c>
      <c r="K6856" s="25">
        <f t="shared" si="107"/>
        <v>4108.6499999999996</v>
      </c>
      <c r="L6856" s="25">
        <v>2.66</v>
      </c>
      <c r="M6856" s="24">
        <v>36290</v>
      </c>
      <c r="N6856" s="25">
        <f>IFERROR(T_reg.root.SK[[#This Row],[Price]]/T_reg.root.SK[[#This Row],[Starch content]],"")</f>
        <v>8.8372093023255829</v>
      </c>
    </row>
    <row r="6857" spans="1:14">
      <c r="A6857" s="21">
        <v>2025</v>
      </c>
      <c r="B6857" s="21" t="s">
        <v>28</v>
      </c>
      <c r="C6857" s="21" t="s">
        <v>1145</v>
      </c>
      <c r="D6857" s="21" t="s">
        <v>39</v>
      </c>
      <c r="E6857" s="17" t="s">
        <v>1070</v>
      </c>
      <c r="F6857" s="17" t="s">
        <v>89</v>
      </c>
      <c r="G6857" s="18" t="s">
        <v>90</v>
      </c>
      <c r="H6857" s="24">
        <v>880680</v>
      </c>
      <c r="I6857" s="24">
        <f>T_reg.root.SK[[#This Row],[Volume, kg]]/1000</f>
        <v>880.68</v>
      </c>
      <c r="J6857" s="25">
        <v>0.24199999999999999</v>
      </c>
      <c r="K6857" s="25">
        <f t="shared" si="107"/>
        <v>213124.56</v>
      </c>
      <c r="L6857" s="25">
        <v>2.58</v>
      </c>
      <c r="M6857" s="24">
        <v>2276505.5</v>
      </c>
      <c r="N6857" s="25">
        <f>IFERROR(T_reg.root.SK[[#This Row],[Price]]/T_reg.root.SK[[#This Row],[Starch content]],"")</f>
        <v>10.66115702479339</v>
      </c>
    </row>
    <row r="6858" spans="1:14">
      <c r="A6858" s="21">
        <v>2025</v>
      </c>
      <c r="B6858" s="21" t="s">
        <v>28</v>
      </c>
      <c r="C6858" s="21" t="s">
        <v>1145</v>
      </c>
      <c r="D6858" s="21" t="s">
        <v>35</v>
      </c>
      <c r="E6858" s="17" t="s">
        <v>197</v>
      </c>
      <c r="F6858" s="17" t="s">
        <v>187</v>
      </c>
      <c r="G6858" s="18" t="s">
        <v>48</v>
      </c>
      <c r="H6858" s="24">
        <v>18830</v>
      </c>
      <c r="I6858" s="24">
        <f>T_reg.root.SK[[#This Row],[Volume, kg]]/1000</f>
        <v>18.829999999999998</v>
      </c>
      <c r="J6858" s="25">
        <v>0.25069999999999998</v>
      </c>
      <c r="K6858" s="25">
        <f t="shared" si="107"/>
        <v>4720.6809999999996</v>
      </c>
      <c r="L6858" s="25">
        <v>2.4</v>
      </c>
      <c r="M6858" s="24">
        <v>45192</v>
      </c>
      <c r="N6858" s="25">
        <f>IFERROR(T_reg.root.SK[[#This Row],[Price]]/T_reg.root.SK[[#This Row],[Starch content]],"")</f>
        <v>9.5731950538492221</v>
      </c>
    </row>
    <row r="6859" spans="1:14">
      <c r="A6859" s="21">
        <v>2025</v>
      </c>
      <c r="B6859" s="21" t="s">
        <v>28</v>
      </c>
      <c r="C6859" s="21" t="s">
        <v>1145</v>
      </c>
      <c r="D6859" s="21" t="s">
        <v>35</v>
      </c>
      <c r="E6859" s="17" t="s">
        <v>1009</v>
      </c>
      <c r="F6859" s="17" t="s">
        <v>105</v>
      </c>
      <c r="G6859" s="18" t="s">
        <v>48</v>
      </c>
      <c r="H6859" s="24">
        <v>30550</v>
      </c>
      <c r="I6859" s="24">
        <f>T_reg.root.SK[[#This Row],[Volume, kg]]/1000</f>
        <v>30.55</v>
      </c>
      <c r="J6859" s="25">
        <v>0.2157</v>
      </c>
      <c r="K6859" s="25">
        <f t="shared" si="107"/>
        <v>6589.6350000000002</v>
      </c>
      <c r="L6859" s="25">
        <v>2.2200000000000002</v>
      </c>
      <c r="M6859" s="24">
        <v>67861.5</v>
      </c>
      <c r="N6859" s="25">
        <f>IFERROR(T_reg.root.SK[[#This Row],[Price]]/T_reg.root.SK[[#This Row],[Starch content]],"")</f>
        <v>10.292072322670377</v>
      </c>
    </row>
    <row r="6860" spans="1:14">
      <c r="A6860" s="21">
        <v>2025</v>
      </c>
      <c r="B6860" s="21" t="s">
        <v>28</v>
      </c>
      <c r="C6860" s="21" t="s">
        <v>1145</v>
      </c>
      <c r="D6860" s="21" t="s">
        <v>35</v>
      </c>
      <c r="E6860" s="17" t="s">
        <v>1093</v>
      </c>
      <c r="F6860" s="17" t="s">
        <v>105</v>
      </c>
      <c r="G6860" s="18" t="s">
        <v>48</v>
      </c>
      <c r="H6860" s="24">
        <v>6110</v>
      </c>
      <c r="I6860" s="24">
        <f>T_reg.root.SK[[#This Row],[Volume, kg]]/1000</f>
        <v>6.11</v>
      </c>
      <c r="J6860" s="25">
        <v>0.25</v>
      </c>
      <c r="K6860" s="25">
        <f t="shared" si="107"/>
        <v>1527.5</v>
      </c>
      <c r="L6860" s="25">
        <v>2.4</v>
      </c>
      <c r="M6860" s="24">
        <v>14664</v>
      </c>
      <c r="N6860" s="25">
        <f>IFERROR(T_reg.root.SK[[#This Row],[Price]]/T_reg.root.SK[[#This Row],[Starch content]],"")</f>
        <v>9.6</v>
      </c>
    </row>
    <row r="6861" spans="1:14">
      <c r="A6861" s="21">
        <v>2025</v>
      </c>
      <c r="B6861" s="21" t="s">
        <v>28</v>
      </c>
      <c r="C6861" s="21" t="s">
        <v>1145</v>
      </c>
      <c r="D6861" s="21" t="s">
        <v>39</v>
      </c>
      <c r="E6861" s="17" t="s">
        <v>1073</v>
      </c>
      <c r="F6861" s="17" t="s">
        <v>89</v>
      </c>
      <c r="G6861" s="18" t="s">
        <v>90</v>
      </c>
      <c r="H6861" s="24">
        <v>3064450</v>
      </c>
      <c r="I6861" s="24">
        <f>T_reg.root.SK[[#This Row],[Volume, kg]]/1000</f>
        <v>3064.45</v>
      </c>
      <c r="J6861" s="25">
        <v>0.27010000000000001</v>
      </c>
      <c r="K6861" s="25">
        <f t="shared" si="107"/>
        <v>827707.94500000007</v>
      </c>
      <c r="L6861" s="25">
        <v>2.78</v>
      </c>
      <c r="M6861" s="24">
        <v>8512608.5</v>
      </c>
      <c r="N6861" s="25">
        <f>IFERROR(T_reg.root.SK[[#This Row],[Price]]/T_reg.root.SK[[#This Row],[Starch content]],"")</f>
        <v>10.292484265087003</v>
      </c>
    </row>
    <row r="6862" spans="1:14">
      <c r="A6862" s="21">
        <v>2025</v>
      </c>
      <c r="B6862" s="21" t="s">
        <v>28</v>
      </c>
      <c r="C6862" s="21" t="s">
        <v>1145</v>
      </c>
      <c r="D6862" s="21" t="s">
        <v>35</v>
      </c>
      <c r="E6862" s="17" t="s">
        <v>525</v>
      </c>
      <c r="F6862" s="17" t="s">
        <v>187</v>
      </c>
      <c r="G6862" s="18" t="s">
        <v>48</v>
      </c>
      <c r="H6862" s="24">
        <v>7220</v>
      </c>
      <c r="I6862" s="24">
        <f>T_reg.root.SK[[#This Row],[Volume, kg]]/1000</f>
        <v>7.22</v>
      </c>
      <c r="J6862" s="25">
        <v>0.25850000000000001</v>
      </c>
      <c r="K6862" s="25">
        <f t="shared" si="107"/>
        <v>1866.3700000000001</v>
      </c>
      <c r="L6862" s="25">
        <v>2.4500000000000002</v>
      </c>
      <c r="M6862" s="24">
        <v>17689</v>
      </c>
      <c r="N6862" s="25">
        <f>IFERROR(T_reg.root.SK[[#This Row],[Price]]/T_reg.root.SK[[#This Row],[Starch content]],"")</f>
        <v>9.4777562862669242</v>
      </c>
    </row>
    <row r="6863" spans="1:14">
      <c r="A6863" s="21">
        <v>2025</v>
      </c>
      <c r="B6863" s="21" t="s">
        <v>28</v>
      </c>
      <c r="C6863" s="21" t="s">
        <v>1145</v>
      </c>
      <c r="D6863" s="21" t="s">
        <v>35</v>
      </c>
      <c r="E6863" s="17" t="s">
        <v>133</v>
      </c>
      <c r="F6863" s="17" t="s">
        <v>105</v>
      </c>
      <c r="G6863" s="18" t="s">
        <v>48</v>
      </c>
      <c r="H6863" s="24">
        <v>98710</v>
      </c>
      <c r="I6863" s="24">
        <f>T_reg.root.SK[[#This Row],[Volume, kg]]/1000</f>
        <v>98.71</v>
      </c>
      <c r="J6863" s="25">
        <v>0.24610000000000001</v>
      </c>
      <c r="K6863" s="25">
        <f t="shared" ref="K6863:K6926" si="108">H6863*J6863</f>
        <v>24292.531000000003</v>
      </c>
      <c r="L6863" s="25">
        <v>2.37</v>
      </c>
      <c r="M6863" s="24">
        <v>233615.5</v>
      </c>
      <c r="N6863" s="25">
        <f>IFERROR(T_reg.root.SK[[#This Row],[Price]]/T_reg.root.SK[[#This Row],[Starch content]],"")</f>
        <v>9.63023161316538</v>
      </c>
    </row>
    <row r="6864" spans="1:14">
      <c r="A6864" s="21">
        <v>2025</v>
      </c>
      <c r="B6864" s="21" t="s">
        <v>28</v>
      </c>
      <c r="C6864" s="21" t="s">
        <v>1145</v>
      </c>
      <c r="D6864" s="21" t="s">
        <v>35</v>
      </c>
      <c r="E6864" s="17" t="s">
        <v>134</v>
      </c>
      <c r="F6864" s="17" t="s">
        <v>105</v>
      </c>
      <c r="G6864" s="18" t="s">
        <v>48</v>
      </c>
      <c r="H6864" s="24">
        <v>22400</v>
      </c>
      <c r="I6864" s="24">
        <f>T_reg.root.SK[[#This Row],[Volume, kg]]/1000</f>
        <v>22.4</v>
      </c>
      <c r="J6864" s="25">
        <v>0.24940000000000001</v>
      </c>
      <c r="K6864" s="25">
        <f t="shared" si="108"/>
        <v>5586.56</v>
      </c>
      <c r="L6864" s="25">
        <v>2.4</v>
      </c>
      <c r="M6864" s="24">
        <v>53752</v>
      </c>
      <c r="N6864" s="25">
        <f>IFERROR(T_reg.root.SK[[#This Row],[Price]]/T_reg.root.SK[[#This Row],[Starch content]],"")</f>
        <v>9.6230954290296697</v>
      </c>
    </row>
    <row r="6865" spans="1:14">
      <c r="A6865" s="21">
        <v>2025</v>
      </c>
      <c r="B6865" s="21" t="s">
        <v>28</v>
      </c>
      <c r="C6865" s="21" t="s">
        <v>1145</v>
      </c>
      <c r="D6865" s="21" t="s">
        <v>35</v>
      </c>
      <c r="E6865" s="17" t="s">
        <v>808</v>
      </c>
      <c r="F6865" s="17" t="s">
        <v>105</v>
      </c>
      <c r="G6865" s="18" t="s">
        <v>48</v>
      </c>
      <c r="H6865" s="24">
        <v>22140</v>
      </c>
      <c r="I6865" s="24">
        <f>T_reg.root.SK[[#This Row],[Volume, kg]]/1000</f>
        <v>22.14</v>
      </c>
      <c r="J6865" s="25">
        <v>0.29160000000000003</v>
      </c>
      <c r="K6865" s="25">
        <f t="shared" si="108"/>
        <v>6456.0240000000003</v>
      </c>
      <c r="L6865" s="25">
        <v>2.61</v>
      </c>
      <c r="M6865" s="24">
        <v>57737</v>
      </c>
      <c r="N6865" s="25">
        <f>IFERROR(T_reg.root.SK[[#This Row],[Price]]/T_reg.root.SK[[#This Row],[Starch content]],"")</f>
        <v>8.9506172839506153</v>
      </c>
    </row>
    <row r="6866" spans="1:14">
      <c r="A6866" s="21">
        <v>2025</v>
      </c>
      <c r="B6866" s="21" t="s">
        <v>28</v>
      </c>
      <c r="C6866" s="21" t="s">
        <v>1145</v>
      </c>
      <c r="D6866" s="21" t="s">
        <v>35</v>
      </c>
      <c r="E6866" s="17" t="s">
        <v>1094</v>
      </c>
      <c r="F6866" s="17" t="s">
        <v>105</v>
      </c>
      <c r="G6866" s="18" t="s">
        <v>48</v>
      </c>
      <c r="H6866" s="24">
        <v>53390</v>
      </c>
      <c r="I6866" s="24">
        <f>T_reg.root.SK[[#This Row],[Volume, kg]]/1000</f>
        <v>53.39</v>
      </c>
      <c r="J6866" s="25">
        <v>0.2407</v>
      </c>
      <c r="K6866" s="25">
        <f t="shared" si="108"/>
        <v>12850.973</v>
      </c>
      <c r="L6866" s="25">
        <v>2.36</v>
      </c>
      <c r="M6866" s="24">
        <v>125831</v>
      </c>
      <c r="N6866" s="25">
        <f>IFERROR(T_reg.root.SK[[#This Row],[Price]]/T_reg.root.SK[[#This Row],[Starch content]],"")</f>
        <v>9.8047361861238045</v>
      </c>
    </row>
    <row r="6867" spans="1:14">
      <c r="A6867" s="21">
        <v>2025</v>
      </c>
      <c r="B6867" s="21" t="s">
        <v>28</v>
      </c>
      <c r="C6867" s="21" t="s">
        <v>1145</v>
      </c>
      <c r="D6867" s="21" t="s">
        <v>35</v>
      </c>
      <c r="E6867" s="17" t="s">
        <v>1082</v>
      </c>
      <c r="F6867" s="17" t="s">
        <v>105</v>
      </c>
      <c r="G6867" s="18" t="s">
        <v>48</v>
      </c>
      <c r="H6867" s="24">
        <v>40700</v>
      </c>
      <c r="I6867" s="24">
        <f>T_reg.root.SK[[#This Row],[Volume, kg]]/1000</f>
        <v>40.700000000000003</v>
      </c>
      <c r="J6867" s="25">
        <v>0.25800000000000001</v>
      </c>
      <c r="K6867" s="25">
        <f t="shared" si="108"/>
        <v>10500.6</v>
      </c>
      <c r="L6867" s="25">
        <v>2.4500000000000002</v>
      </c>
      <c r="M6867" s="24">
        <v>99560</v>
      </c>
      <c r="N6867" s="25">
        <f>IFERROR(T_reg.root.SK[[#This Row],[Price]]/T_reg.root.SK[[#This Row],[Starch content]],"")</f>
        <v>9.4961240310077528</v>
      </c>
    </row>
    <row r="6868" spans="1:14">
      <c r="A6868" s="21">
        <v>2025</v>
      </c>
      <c r="B6868" s="21" t="s">
        <v>28</v>
      </c>
      <c r="C6868" s="21" t="s">
        <v>1145</v>
      </c>
      <c r="D6868" s="21" t="s">
        <v>35</v>
      </c>
      <c r="E6868" s="17" t="s">
        <v>657</v>
      </c>
      <c r="F6868" s="17" t="s">
        <v>47</v>
      </c>
      <c r="G6868" s="18" t="s">
        <v>48</v>
      </c>
      <c r="H6868" s="24">
        <v>25540</v>
      </c>
      <c r="I6868" s="24">
        <f>T_reg.root.SK[[#This Row],[Volume, kg]]/1000</f>
        <v>25.54</v>
      </c>
      <c r="J6868" s="25">
        <v>0.18959999999999999</v>
      </c>
      <c r="K6868" s="25">
        <f t="shared" si="108"/>
        <v>4842.384</v>
      </c>
      <c r="L6868" s="25">
        <v>2.1</v>
      </c>
      <c r="M6868" s="24">
        <v>53691.5</v>
      </c>
      <c r="N6868" s="25">
        <f>IFERROR(T_reg.root.SK[[#This Row],[Price]]/T_reg.root.SK[[#This Row],[Starch content]],"")</f>
        <v>11.075949367088608</v>
      </c>
    </row>
    <row r="6869" spans="1:14">
      <c r="A6869" s="21">
        <v>2025</v>
      </c>
      <c r="B6869" s="21" t="s">
        <v>28</v>
      </c>
      <c r="C6869" s="21" t="s">
        <v>1145</v>
      </c>
      <c r="D6869" s="21" t="s">
        <v>35</v>
      </c>
      <c r="E6869" s="17" t="s">
        <v>673</v>
      </c>
      <c r="F6869" s="17" t="s">
        <v>47</v>
      </c>
      <c r="G6869" s="18" t="s">
        <v>48</v>
      </c>
      <c r="H6869" s="24">
        <v>37420</v>
      </c>
      <c r="I6869" s="24">
        <f>T_reg.root.SK[[#This Row],[Volume, kg]]/1000</f>
        <v>37.42</v>
      </c>
      <c r="J6869" s="25">
        <v>0.26919999999999999</v>
      </c>
      <c r="K6869" s="25">
        <f t="shared" si="108"/>
        <v>10073.464</v>
      </c>
      <c r="L6869" s="25">
        <v>2.46</v>
      </c>
      <c r="M6869" s="24">
        <v>91907</v>
      </c>
      <c r="N6869" s="25">
        <f>IFERROR(T_reg.root.SK[[#This Row],[Price]]/T_reg.root.SK[[#This Row],[Starch content]],"")</f>
        <v>9.1381872213967306</v>
      </c>
    </row>
    <row r="6870" spans="1:14">
      <c r="A6870" s="21">
        <v>2025</v>
      </c>
      <c r="B6870" s="21" t="s">
        <v>28</v>
      </c>
      <c r="C6870" s="21" t="s">
        <v>1145</v>
      </c>
      <c r="D6870" s="21" t="s">
        <v>39</v>
      </c>
      <c r="E6870" s="17" t="s">
        <v>1063</v>
      </c>
      <c r="F6870" s="17" t="s">
        <v>1064</v>
      </c>
      <c r="G6870" s="18" t="s">
        <v>220</v>
      </c>
      <c r="H6870" s="24">
        <v>2169650</v>
      </c>
      <c r="I6870" s="24">
        <f>T_reg.root.SK[[#This Row],[Volume, kg]]/1000</f>
        <v>2169.65</v>
      </c>
      <c r="J6870" s="25">
        <v>0.24640000000000001</v>
      </c>
      <c r="K6870" s="25">
        <f t="shared" si="108"/>
        <v>534601.76</v>
      </c>
      <c r="L6870" s="25">
        <v>2.63</v>
      </c>
      <c r="M6870" s="24">
        <v>5702326.5</v>
      </c>
      <c r="N6870" s="25">
        <f>IFERROR(T_reg.root.SK[[#This Row],[Price]]/T_reg.root.SK[[#This Row],[Starch content]],"")</f>
        <v>10.673701298701298</v>
      </c>
    </row>
    <row r="6871" spans="1:14">
      <c r="A6871" s="21">
        <v>2025</v>
      </c>
      <c r="B6871" s="21" t="s">
        <v>28</v>
      </c>
      <c r="C6871" s="21" t="s">
        <v>1145</v>
      </c>
      <c r="D6871" s="21" t="s">
        <v>35</v>
      </c>
      <c r="E6871" s="17" t="s">
        <v>138</v>
      </c>
      <c r="F6871" s="17" t="s">
        <v>105</v>
      </c>
      <c r="G6871" s="18" t="s">
        <v>48</v>
      </c>
      <c r="H6871" s="24">
        <v>23350</v>
      </c>
      <c r="I6871" s="24">
        <f>T_reg.root.SK[[#This Row],[Volume, kg]]/1000</f>
        <v>23.35</v>
      </c>
      <c r="J6871" s="25">
        <v>0.25690000000000002</v>
      </c>
      <c r="K6871" s="25">
        <f t="shared" si="108"/>
        <v>5998.6150000000007</v>
      </c>
      <c r="L6871" s="25">
        <v>2.44</v>
      </c>
      <c r="M6871" s="24">
        <v>56885.5</v>
      </c>
      <c r="N6871" s="25">
        <f>IFERROR(T_reg.root.SK[[#This Row],[Price]]/T_reg.root.SK[[#This Row],[Starch content]],"")</f>
        <v>9.4978590891397427</v>
      </c>
    </row>
    <row r="6872" spans="1:14">
      <c r="A6872" s="21">
        <v>2025</v>
      </c>
      <c r="B6872" s="21" t="s">
        <v>28</v>
      </c>
      <c r="C6872" s="21" t="s">
        <v>1145</v>
      </c>
      <c r="D6872" s="21" t="s">
        <v>35</v>
      </c>
      <c r="E6872" s="17" t="s">
        <v>468</v>
      </c>
      <c r="F6872" s="17" t="s">
        <v>47</v>
      </c>
      <c r="G6872" s="18" t="s">
        <v>48</v>
      </c>
      <c r="H6872" s="24">
        <v>25370</v>
      </c>
      <c r="I6872" s="24">
        <f>T_reg.root.SK[[#This Row],[Volume, kg]]/1000</f>
        <v>25.37</v>
      </c>
      <c r="J6872" s="25">
        <v>0.2177</v>
      </c>
      <c r="K6872" s="25">
        <f t="shared" si="108"/>
        <v>5523.049</v>
      </c>
      <c r="L6872" s="25">
        <v>2.19</v>
      </c>
      <c r="M6872" s="24">
        <v>55521</v>
      </c>
      <c r="N6872" s="25">
        <f>IFERROR(T_reg.root.SK[[#This Row],[Price]]/T_reg.root.SK[[#This Row],[Starch content]],"")</f>
        <v>10.059715204409738</v>
      </c>
    </row>
    <row r="6873" spans="1:14">
      <c r="A6873" s="21">
        <v>2025</v>
      </c>
      <c r="B6873" s="21" t="s">
        <v>28</v>
      </c>
      <c r="C6873" s="21" t="s">
        <v>1145</v>
      </c>
      <c r="D6873" s="21" t="s">
        <v>35</v>
      </c>
      <c r="E6873" s="17" t="s">
        <v>201</v>
      </c>
      <c r="F6873" s="17" t="s">
        <v>187</v>
      </c>
      <c r="G6873" s="18" t="s">
        <v>48</v>
      </c>
      <c r="H6873" s="24">
        <v>66980</v>
      </c>
      <c r="I6873" s="24">
        <f>T_reg.root.SK[[#This Row],[Volume, kg]]/1000</f>
        <v>66.98</v>
      </c>
      <c r="J6873" s="25">
        <v>0.20710000000000001</v>
      </c>
      <c r="K6873" s="25">
        <f t="shared" si="108"/>
        <v>13871.558000000001</v>
      </c>
      <c r="L6873" s="25">
        <v>2.1800000000000002</v>
      </c>
      <c r="M6873" s="24">
        <v>146250.5</v>
      </c>
      <c r="N6873" s="25">
        <f>IFERROR(T_reg.root.SK[[#This Row],[Price]]/T_reg.root.SK[[#This Row],[Starch content]],"")</f>
        <v>10.526315789473685</v>
      </c>
    </row>
    <row r="6874" spans="1:14">
      <c r="A6874" s="21">
        <v>2025</v>
      </c>
      <c r="B6874" s="21" t="s">
        <v>28</v>
      </c>
      <c r="C6874" s="21" t="s">
        <v>1145</v>
      </c>
      <c r="D6874" s="21" t="s">
        <v>35</v>
      </c>
      <c r="E6874" s="17" t="s">
        <v>984</v>
      </c>
      <c r="F6874" s="17" t="s">
        <v>95</v>
      </c>
      <c r="G6874" s="18" t="s">
        <v>48</v>
      </c>
      <c r="H6874" s="24">
        <v>64810</v>
      </c>
      <c r="I6874" s="24">
        <f>T_reg.root.SK[[#This Row],[Volume, kg]]/1000</f>
        <v>64.81</v>
      </c>
      <c r="J6874" s="25">
        <v>0.2545</v>
      </c>
      <c r="K6874" s="25">
        <f t="shared" si="108"/>
        <v>16494.145</v>
      </c>
      <c r="L6874" s="25">
        <v>2.42</v>
      </c>
      <c r="M6874" s="24">
        <v>156760</v>
      </c>
      <c r="N6874" s="25">
        <f>IFERROR(T_reg.root.SK[[#This Row],[Price]]/T_reg.root.SK[[#This Row],[Starch content]],"")</f>
        <v>9.5088408644400779</v>
      </c>
    </row>
    <row r="6875" spans="1:14">
      <c r="A6875" s="21">
        <v>2025</v>
      </c>
      <c r="B6875" s="21" t="s">
        <v>28</v>
      </c>
      <c r="C6875" s="21" t="s">
        <v>1145</v>
      </c>
      <c r="D6875" s="21" t="s">
        <v>35</v>
      </c>
      <c r="E6875" s="17" t="s">
        <v>304</v>
      </c>
      <c r="F6875" s="17" t="s">
        <v>105</v>
      </c>
      <c r="G6875" s="18" t="s">
        <v>48</v>
      </c>
      <c r="H6875" s="24">
        <v>23400</v>
      </c>
      <c r="I6875" s="24">
        <f>T_reg.root.SK[[#This Row],[Volume, kg]]/1000</f>
        <v>23.4</v>
      </c>
      <c r="J6875" s="25">
        <v>0.26090000000000002</v>
      </c>
      <c r="K6875" s="25">
        <f t="shared" si="108"/>
        <v>6105.06</v>
      </c>
      <c r="L6875" s="25">
        <v>2.4700000000000002</v>
      </c>
      <c r="M6875" s="24">
        <v>57747</v>
      </c>
      <c r="N6875" s="25">
        <f>IFERROR(T_reg.root.SK[[#This Row],[Price]]/T_reg.root.SK[[#This Row],[Starch content]],"")</f>
        <v>9.4672288233039481</v>
      </c>
    </row>
    <row r="6876" spans="1:14">
      <c r="A6876" s="21">
        <v>2025</v>
      </c>
      <c r="B6876" s="21" t="s">
        <v>28</v>
      </c>
      <c r="C6876" s="21" t="s">
        <v>1145</v>
      </c>
      <c r="D6876" s="21" t="s">
        <v>35</v>
      </c>
      <c r="E6876" s="17" t="s">
        <v>332</v>
      </c>
      <c r="F6876" s="17" t="s">
        <v>187</v>
      </c>
      <c r="G6876" s="18" t="s">
        <v>48</v>
      </c>
      <c r="H6876" s="24">
        <v>25150</v>
      </c>
      <c r="I6876" s="24">
        <f>T_reg.root.SK[[#This Row],[Volume, kg]]/1000</f>
        <v>25.15</v>
      </c>
      <c r="J6876" s="25">
        <v>0.2051</v>
      </c>
      <c r="K6876" s="25">
        <f t="shared" si="108"/>
        <v>5158.2650000000003</v>
      </c>
      <c r="L6876" s="25">
        <v>2.1</v>
      </c>
      <c r="M6876" s="24">
        <v>52815</v>
      </c>
      <c r="N6876" s="25">
        <f>IFERROR(T_reg.root.SK[[#This Row],[Price]]/T_reg.root.SK[[#This Row],[Starch content]],"")</f>
        <v>10.238907849829351</v>
      </c>
    </row>
    <row r="6877" spans="1:14">
      <c r="A6877" s="21">
        <v>2025</v>
      </c>
      <c r="B6877" s="21" t="s">
        <v>28</v>
      </c>
      <c r="C6877" s="21" t="s">
        <v>1145</v>
      </c>
      <c r="D6877" s="21" t="s">
        <v>35</v>
      </c>
      <c r="E6877" s="17" t="s">
        <v>202</v>
      </c>
      <c r="F6877" s="17" t="s">
        <v>187</v>
      </c>
      <c r="G6877" s="18" t="s">
        <v>48</v>
      </c>
      <c r="H6877" s="24">
        <v>46610</v>
      </c>
      <c r="I6877" s="24">
        <f>T_reg.root.SK[[#This Row],[Volume, kg]]/1000</f>
        <v>46.61</v>
      </c>
      <c r="J6877" s="25">
        <v>0.214</v>
      </c>
      <c r="K6877" s="25">
        <f t="shared" si="108"/>
        <v>9974.5399999999991</v>
      </c>
      <c r="L6877" s="25">
        <v>2.2200000000000002</v>
      </c>
      <c r="M6877" s="24">
        <v>103684</v>
      </c>
      <c r="N6877" s="25">
        <f>IFERROR(T_reg.root.SK[[#This Row],[Price]]/T_reg.root.SK[[#This Row],[Starch content]],"")</f>
        <v>10.373831775700936</v>
      </c>
    </row>
    <row r="6878" spans="1:14">
      <c r="A6878" s="21">
        <v>2025</v>
      </c>
      <c r="B6878" s="21" t="s">
        <v>28</v>
      </c>
      <c r="C6878" s="21" t="s">
        <v>1145</v>
      </c>
      <c r="D6878" s="21" t="s">
        <v>35</v>
      </c>
      <c r="E6878" s="17" t="s">
        <v>62</v>
      </c>
      <c r="F6878" s="17" t="s">
        <v>47</v>
      </c>
      <c r="G6878" s="18" t="s">
        <v>48</v>
      </c>
      <c r="H6878" s="24">
        <v>231660</v>
      </c>
      <c r="I6878" s="24">
        <f>T_reg.root.SK[[#This Row],[Volume, kg]]/1000</f>
        <v>231.66</v>
      </c>
      <c r="J6878" s="25">
        <v>0.2331</v>
      </c>
      <c r="K6878" s="25">
        <f t="shared" si="108"/>
        <v>53999.946000000004</v>
      </c>
      <c r="L6878" s="25">
        <v>2.3199999999999998</v>
      </c>
      <c r="M6878" s="24">
        <v>536940.5</v>
      </c>
      <c r="N6878" s="25">
        <f>IFERROR(T_reg.root.SK[[#This Row],[Price]]/T_reg.root.SK[[#This Row],[Starch content]],"")</f>
        <v>9.9528099528099521</v>
      </c>
    </row>
    <row r="6879" spans="1:14">
      <c r="A6879" s="21">
        <v>2025</v>
      </c>
      <c r="B6879" s="21" t="s">
        <v>28</v>
      </c>
      <c r="C6879" s="21" t="s">
        <v>1145</v>
      </c>
      <c r="D6879" s="21" t="s">
        <v>35</v>
      </c>
      <c r="E6879" s="17" t="s">
        <v>243</v>
      </c>
      <c r="F6879" s="17" t="s">
        <v>105</v>
      </c>
      <c r="G6879" s="18" t="s">
        <v>48</v>
      </c>
      <c r="H6879" s="24">
        <v>5780</v>
      </c>
      <c r="I6879" s="24">
        <f>T_reg.root.SK[[#This Row],[Volume, kg]]/1000</f>
        <v>5.78</v>
      </c>
      <c r="J6879" s="25">
        <v>0.22</v>
      </c>
      <c r="K6879" s="25">
        <f t="shared" si="108"/>
        <v>1271.5999999999999</v>
      </c>
      <c r="L6879" s="25">
        <v>2.25</v>
      </c>
      <c r="M6879" s="24">
        <v>13005</v>
      </c>
      <c r="N6879" s="25">
        <f>IFERROR(T_reg.root.SK[[#This Row],[Price]]/T_reg.root.SK[[#This Row],[Starch content]],"")</f>
        <v>10.227272727272727</v>
      </c>
    </row>
    <row r="6880" spans="1:14">
      <c r="A6880" s="21">
        <v>2025</v>
      </c>
      <c r="B6880" s="21" t="s">
        <v>28</v>
      </c>
      <c r="C6880" s="21" t="s">
        <v>1145</v>
      </c>
      <c r="D6880" s="21" t="s">
        <v>35</v>
      </c>
      <c r="E6880" s="17" t="s">
        <v>308</v>
      </c>
      <c r="F6880" s="17" t="s">
        <v>105</v>
      </c>
      <c r="G6880" s="18" t="s">
        <v>48</v>
      </c>
      <c r="H6880" s="24">
        <v>3590</v>
      </c>
      <c r="I6880" s="24">
        <f>T_reg.root.SK[[#This Row],[Volume, kg]]/1000</f>
        <v>3.59</v>
      </c>
      <c r="J6880" s="25">
        <v>0.217</v>
      </c>
      <c r="K6880" s="25">
        <f t="shared" si="108"/>
        <v>779.03</v>
      </c>
      <c r="L6880" s="25">
        <v>2.25</v>
      </c>
      <c r="M6880" s="24">
        <v>8077.5</v>
      </c>
      <c r="N6880" s="25">
        <f>IFERROR(T_reg.root.SK[[#This Row],[Price]]/T_reg.root.SK[[#This Row],[Starch content]],"")</f>
        <v>10.368663594470046</v>
      </c>
    </row>
    <row r="6881" spans="1:14">
      <c r="A6881" s="21">
        <v>2025</v>
      </c>
      <c r="B6881" s="21" t="s">
        <v>28</v>
      </c>
      <c r="C6881" s="21" t="s">
        <v>1145</v>
      </c>
      <c r="D6881" s="21" t="s">
        <v>35</v>
      </c>
      <c r="E6881" s="17" t="s">
        <v>593</v>
      </c>
      <c r="F6881" s="17" t="s">
        <v>187</v>
      </c>
      <c r="G6881" s="18" t="s">
        <v>48</v>
      </c>
      <c r="H6881" s="24">
        <v>12020</v>
      </c>
      <c r="I6881" s="24">
        <f>T_reg.root.SK[[#This Row],[Volume, kg]]/1000</f>
        <v>12.02</v>
      </c>
      <c r="J6881" s="25">
        <v>0.18</v>
      </c>
      <c r="K6881" s="25">
        <f t="shared" si="108"/>
        <v>2163.6</v>
      </c>
      <c r="L6881" s="25">
        <v>2.0499999999999998</v>
      </c>
      <c r="M6881" s="24">
        <v>24641</v>
      </c>
      <c r="N6881" s="25">
        <f>IFERROR(T_reg.root.SK[[#This Row],[Price]]/T_reg.root.SK[[#This Row],[Starch content]],"")</f>
        <v>11.388888888888888</v>
      </c>
    </row>
    <row r="6882" spans="1:14">
      <c r="A6882" s="21">
        <v>2025</v>
      </c>
      <c r="B6882" s="21" t="s">
        <v>28</v>
      </c>
      <c r="C6882" s="21" t="s">
        <v>1145</v>
      </c>
      <c r="D6882" s="21" t="s">
        <v>35</v>
      </c>
      <c r="E6882" s="17" t="s">
        <v>245</v>
      </c>
      <c r="F6882" s="17" t="s">
        <v>105</v>
      </c>
      <c r="G6882" s="18" t="s">
        <v>48</v>
      </c>
      <c r="H6882" s="24">
        <v>84760</v>
      </c>
      <c r="I6882" s="24">
        <f>T_reg.root.SK[[#This Row],[Volume, kg]]/1000</f>
        <v>84.76</v>
      </c>
      <c r="J6882" s="25">
        <v>0.2631</v>
      </c>
      <c r="K6882" s="25">
        <f t="shared" si="108"/>
        <v>22300.356</v>
      </c>
      <c r="L6882" s="25">
        <v>2.4500000000000002</v>
      </c>
      <c r="M6882" s="24">
        <v>207640</v>
      </c>
      <c r="N6882" s="25">
        <f>IFERROR(T_reg.root.SK[[#This Row],[Price]]/T_reg.root.SK[[#This Row],[Starch content]],"")</f>
        <v>9.3120486507031561</v>
      </c>
    </row>
    <row r="6883" spans="1:14">
      <c r="A6883" s="21">
        <v>2025</v>
      </c>
      <c r="B6883" s="21" t="s">
        <v>28</v>
      </c>
      <c r="C6883" s="21" t="s">
        <v>1145</v>
      </c>
      <c r="D6883" s="21" t="s">
        <v>35</v>
      </c>
      <c r="E6883" s="17" t="s">
        <v>309</v>
      </c>
      <c r="F6883" s="17" t="s">
        <v>105</v>
      </c>
      <c r="G6883" s="18" t="s">
        <v>48</v>
      </c>
      <c r="H6883" s="24">
        <v>19980</v>
      </c>
      <c r="I6883" s="24">
        <f>T_reg.root.SK[[#This Row],[Volume, kg]]/1000</f>
        <v>19.98</v>
      </c>
      <c r="J6883" s="25">
        <v>0.2331</v>
      </c>
      <c r="K6883" s="25">
        <f t="shared" si="108"/>
        <v>4657.3379999999997</v>
      </c>
      <c r="L6883" s="25">
        <v>2.3199999999999998</v>
      </c>
      <c r="M6883" s="24">
        <v>46288</v>
      </c>
      <c r="N6883" s="25">
        <f>IFERROR(T_reg.root.SK[[#This Row],[Price]]/T_reg.root.SK[[#This Row],[Starch content]],"")</f>
        <v>9.9528099528099521</v>
      </c>
    </row>
    <row r="6884" spans="1:14">
      <c r="A6884" s="21">
        <v>2025</v>
      </c>
      <c r="B6884" s="21" t="s">
        <v>28</v>
      </c>
      <c r="C6884" s="21" t="s">
        <v>1145</v>
      </c>
      <c r="D6884" s="21" t="s">
        <v>35</v>
      </c>
      <c r="E6884" s="17" t="s">
        <v>1025</v>
      </c>
      <c r="F6884" s="17" t="s">
        <v>95</v>
      </c>
      <c r="G6884" s="18" t="s">
        <v>48</v>
      </c>
      <c r="H6884" s="24">
        <v>8750</v>
      </c>
      <c r="I6884" s="24">
        <f>T_reg.root.SK[[#This Row],[Volume, kg]]/1000</f>
        <v>8.75</v>
      </c>
      <c r="J6884" s="25">
        <v>0.2135</v>
      </c>
      <c r="K6884" s="25">
        <f t="shared" si="108"/>
        <v>1868.125</v>
      </c>
      <c r="L6884" s="25">
        <v>2.2000000000000002</v>
      </c>
      <c r="M6884" s="24">
        <v>19250</v>
      </c>
      <c r="N6884" s="25">
        <f>IFERROR(T_reg.root.SK[[#This Row],[Price]]/T_reg.root.SK[[#This Row],[Starch content]],"")</f>
        <v>10.304449648711945</v>
      </c>
    </row>
    <row r="6885" spans="1:14">
      <c r="A6885" s="21">
        <v>2025</v>
      </c>
      <c r="B6885" s="21" t="s">
        <v>28</v>
      </c>
      <c r="C6885" s="21" t="s">
        <v>1145</v>
      </c>
      <c r="D6885" s="21" t="s">
        <v>35</v>
      </c>
      <c r="E6885" s="17" t="s">
        <v>1010</v>
      </c>
      <c r="F6885" s="17" t="s">
        <v>105</v>
      </c>
      <c r="G6885" s="18" t="s">
        <v>48</v>
      </c>
      <c r="H6885" s="24">
        <v>23670</v>
      </c>
      <c r="I6885" s="24">
        <f>T_reg.root.SK[[#This Row],[Volume, kg]]/1000</f>
        <v>23.67</v>
      </c>
      <c r="J6885" s="25">
        <v>0.24410000000000001</v>
      </c>
      <c r="K6885" s="25">
        <f t="shared" si="108"/>
        <v>5777.8470000000007</v>
      </c>
      <c r="L6885" s="25">
        <v>2.36</v>
      </c>
      <c r="M6885" s="24">
        <v>55913.5</v>
      </c>
      <c r="N6885" s="25">
        <f>IFERROR(T_reg.root.SK[[#This Row],[Price]]/T_reg.root.SK[[#This Row],[Starch content]],"")</f>
        <v>9.6681687832855374</v>
      </c>
    </row>
    <row r="6886" spans="1:14">
      <c r="A6886" s="21">
        <v>2025</v>
      </c>
      <c r="B6886" s="21" t="s">
        <v>28</v>
      </c>
      <c r="C6886" s="21" t="s">
        <v>1145</v>
      </c>
      <c r="D6886" s="21" t="s">
        <v>35</v>
      </c>
      <c r="E6886" s="17" t="s">
        <v>568</v>
      </c>
      <c r="F6886" s="17" t="s">
        <v>105</v>
      </c>
      <c r="G6886" s="18" t="s">
        <v>48</v>
      </c>
      <c r="H6886" s="24">
        <v>76930</v>
      </c>
      <c r="I6886" s="24">
        <f>T_reg.root.SK[[#This Row],[Volume, kg]]/1000</f>
        <v>76.930000000000007</v>
      </c>
      <c r="J6886" s="25">
        <v>0.26889999999999997</v>
      </c>
      <c r="K6886" s="25">
        <f t="shared" si="108"/>
        <v>20686.476999999999</v>
      </c>
      <c r="L6886" s="25">
        <v>2.5</v>
      </c>
      <c r="M6886" s="24">
        <v>192455.5</v>
      </c>
      <c r="N6886" s="25">
        <f>IFERROR(T_reg.root.SK[[#This Row],[Price]]/T_reg.root.SK[[#This Row],[Starch content]],"")</f>
        <v>9.2971364819635554</v>
      </c>
    </row>
    <row r="6887" spans="1:14">
      <c r="A6887" s="21">
        <v>2025</v>
      </c>
      <c r="B6887" s="21" t="s">
        <v>28</v>
      </c>
      <c r="C6887" s="21" t="s">
        <v>1145</v>
      </c>
      <c r="D6887" s="21" t="s">
        <v>35</v>
      </c>
      <c r="E6887" s="17" t="s">
        <v>310</v>
      </c>
      <c r="F6887" s="17" t="s">
        <v>105</v>
      </c>
      <c r="G6887" s="18" t="s">
        <v>48</v>
      </c>
      <c r="H6887" s="24">
        <v>31210</v>
      </c>
      <c r="I6887" s="24">
        <f>T_reg.root.SK[[#This Row],[Volume, kg]]/1000</f>
        <v>31.21</v>
      </c>
      <c r="J6887" s="25">
        <v>0.23769999999999999</v>
      </c>
      <c r="K6887" s="25">
        <f t="shared" si="108"/>
        <v>7418.6170000000002</v>
      </c>
      <c r="L6887" s="25">
        <v>2.33</v>
      </c>
      <c r="M6887" s="24">
        <v>72798.5</v>
      </c>
      <c r="N6887" s="25">
        <f>IFERROR(T_reg.root.SK[[#This Row],[Price]]/T_reg.root.SK[[#This Row],[Starch content]],"")</f>
        <v>9.8022717711400933</v>
      </c>
    </row>
    <row r="6888" spans="1:14">
      <c r="A6888" s="21">
        <v>2025</v>
      </c>
      <c r="B6888" s="21" t="s">
        <v>28</v>
      </c>
      <c r="C6888" s="21" t="s">
        <v>1145</v>
      </c>
      <c r="D6888" s="21" t="s">
        <v>35</v>
      </c>
      <c r="E6888" s="17" t="s">
        <v>469</v>
      </c>
      <c r="F6888" s="17" t="s">
        <v>47</v>
      </c>
      <c r="G6888" s="18" t="s">
        <v>48</v>
      </c>
      <c r="H6888" s="24">
        <v>6730</v>
      </c>
      <c r="I6888" s="24">
        <f>T_reg.root.SK[[#This Row],[Volume, kg]]/1000</f>
        <v>6.73</v>
      </c>
      <c r="J6888" s="25">
        <v>0.245</v>
      </c>
      <c r="K6888" s="25">
        <f t="shared" si="108"/>
        <v>1648.85</v>
      </c>
      <c r="L6888" s="25">
        <v>2.4</v>
      </c>
      <c r="M6888" s="24">
        <v>16152</v>
      </c>
      <c r="N6888" s="25">
        <f>IFERROR(T_reg.root.SK[[#This Row],[Price]]/T_reg.root.SK[[#This Row],[Starch content]],"")</f>
        <v>9.795918367346939</v>
      </c>
    </row>
    <row r="6889" spans="1:14">
      <c r="A6889" s="21">
        <v>2025</v>
      </c>
      <c r="B6889" s="21" t="s">
        <v>28</v>
      </c>
      <c r="C6889" s="21" t="s">
        <v>1145</v>
      </c>
      <c r="D6889" s="21" t="s">
        <v>35</v>
      </c>
      <c r="E6889" s="17" t="s">
        <v>659</v>
      </c>
      <c r="F6889" s="17" t="s">
        <v>47</v>
      </c>
      <c r="G6889" s="18" t="s">
        <v>48</v>
      </c>
      <c r="H6889" s="24">
        <v>133750</v>
      </c>
      <c r="I6889" s="24">
        <f>T_reg.root.SK[[#This Row],[Volume, kg]]/1000</f>
        <v>133.75</v>
      </c>
      <c r="J6889" s="25">
        <v>0.2094</v>
      </c>
      <c r="K6889" s="25">
        <f t="shared" si="108"/>
        <v>28007.25</v>
      </c>
      <c r="L6889" s="25">
        <v>2.2000000000000002</v>
      </c>
      <c r="M6889" s="24">
        <v>293598</v>
      </c>
      <c r="N6889" s="25">
        <f>IFERROR(T_reg.root.SK[[#This Row],[Price]]/T_reg.root.SK[[#This Row],[Starch content]],"")</f>
        <v>10.506208213944605</v>
      </c>
    </row>
    <row r="6890" spans="1:14">
      <c r="A6890" s="21">
        <v>2025</v>
      </c>
      <c r="B6890" s="21" t="s">
        <v>28</v>
      </c>
      <c r="C6890" s="21" t="s">
        <v>1145</v>
      </c>
      <c r="D6890" s="21" t="s">
        <v>35</v>
      </c>
      <c r="E6890" s="17" t="s">
        <v>145</v>
      </c>
      <c r="F6890" s="17" t="s">
        <v>105</v>
      </c>
      <c r="G6890" s="18" t="s">
        <v>48</v>
      </c>
      <c r="H6890" s="24">
        <v>11000</v>
      </c>
      <c r="I6890" s="24">
        <f>T_reg.root.SK[[#This Row],[Volume, kg]]/1000</f>
        <v>11</v>
      </c>
      <c r="J6890" s="25">
        <v>0.27300000000000002</v>
      </c>
      <c r="K6890" s="25">
        <f t="shared" si="108"/>
        <v>3003</v>
      </c>
      <c r="L6890" s="25">
        <v>2.5</v>
      </c>
      <c r="M6890" s="24">
        <v>27500</v>
      </c>
      <c r="N6890" s="25">
        <f>IFERROR(T_reg.root.SK[[#This Row],[Price]]/T_reg.root.SK[[#This Row],[Starch content]],"")</f>
        <v>9.1575091575091569</v>
      </c>
    </row>
    <row r="6891" spans="1:14">
      <c r="A6891" s="21">
        <v>2025</v>
      </c>
      <c r="B6891" s="21" t="s">
        <v>28</v>
      </c>
      <c r="C6891" s="21" t="s">
        <v>1145</v>
      </c>
      <c r="D6891" s="21" t="s">
        <v>35</v>
      </c>
      <c r="E6891" s="17" t="s">
        <v>146</v>
      </c>
      <c r="F6891" s="17" t="s">
        <v>105</v>
      </c>
      <c r="G6891" s="18" t="s">
        <v>48</v>
      </c>
      <c r="H6891" s="24">
        <v>323010</v>
      </c>
      <c r="I6891" s="24">
        <f>T_reg.root.SK[[#This Row],[Volume, kg]]/1000</f>
        <v>323.01</v>
      </c>
      <c r="J6891" s="25">
        <v>0.25069999999999998</v>
      </c>
      <c r="K6891" s="25">
        <f t="shared" si="108"/>
        <v>80978.606999999989</v>
      </c>
      <c r="L6891" s="25">
        <v>2.4</v>
      </c>
      <c r="M6891" s="24">
        <v>773819</v>
      </c>
      <c r="N6891" s="25">
        <f>IFERROR(T_reg.root.SK[[#This Row],[Price]]/T_reg.root.SK[[#This Row],[Starch content]],"")</f>
        <v>9.5731950538492221</v>
      </c>
    </row>
    <row r="6892" spans="1:14">
      <c r="A6892" s="21">
        <v>2025</v>
      </c>
      <c r="B6892" s="21" t="s">
        <v>28</v>
      </c>
      <c r="C6892" s="21" t="s">
        <v>1145</v>
      </c>
      <c r="D6892" s="21" t="s">
        <v>35</v>
      </c>
      <c r="E6892" s="17" t="s">
        <v>1011</v>
      </c>
      <c r="F6892" s="17" t="s">
        <v>1012</v>
      </c>
      <c r="G6892" s="18" t="s">
        <v>1013</v>
      </c>
      <c r="H6892" s="24">
        <v>5480</v>
      </c>
      <c r="I6892" s="24">
        <f>T_reg.root.SK[[#This Row],[Volume, kg]]/1000</f>
        <v>5.48</v>
      </c>
      <c r="J6892" s="25">
        <v>0.26450000000000001</v>
      </c>
      <c r="K6892" s="25">
        <f t="shared" si="108"/>
        <v>1449.46</v>
      </c>
      <c r="L6892" s="25">
        <v>2.4500000000000002</v>
      </c>
      <c r="M6892" s="24">
        <v>13426</v>
      </c>
      <c r="N6892" s="25">
        <f>IFERROR(T_reg.root.SK[[#This Row],[Price]]/T_reg.root.SK[[#This Row],[Starch content]],"")</f>
        <v>9.2627599243856338</v>
      </c>
    </row>
    <row r="6893" spans="1:14">
      <c r="A6893" s="21">
        <v>2025</v>
      </c>
      <c r="B6893" s="21" t="s">
        <v>28</v>
      </c>
      <c r="C6893" s="21" t="s">
        <v>1145</v>
      </c>
      <c r="D6893" s="21" t="s">
        <v>35</v>
      </c>
      <c r="E6893" s="17" t="s">
        <v>971</v>
      </c>
      <c r="F6893" s="17" t="s">
        <v>47</v>
      </c>
      <c r="G6893" s="18" t="s">
        <v>48</v>
      </c>
      <c r="H6893" s="24">
        <v>4070</v>
      </c>
      <c r="I6893" s="24">
        <f>T_reg.root.SK[[#This Row],[Volume, kg]]/1000</f>
        <v>4.07</v>
      </c>
      <c r="J6893" s="25">
        <v>0.22900000000000001</v>
      </c>
      <c r="K6893" s="25">
        <f t="shared" si="108"/>
        <v>932.03000000000009</v>
      </c>
      <c r="L6893" s="25">
        <v>2.2999999999999998</v>
      </c>
      <c r="M6893" s="24">
        <v>9361</v>
      </c>
      <c r="N6893" s="25">
        <f>IFERROR(T_reg.root.SK[[#This Row],[Price]]/T_reg.root.SK[[#This Row],[Starch content]],"")</f>
        <v>10.043668122270741</v>
      </c>
    </row>
    <row r="6894" spans="1:14">
      <c r="A6894" s="21">
        <v>2025</v>
      </c>
      <c r="B6894" s="21" t="s">
        <v>28</v>
      </c>
      <c r="C6894" s="21" t="s">
        <v>1145</v>
      </c>
      <c r="D6894" s="21" t="s">
        <v>35</v>
      </c>
      <c r="E6894" s="17" t="s">
        <v>985</v>
      </c>
      <c r="F6894" s="17" t="s">
        <v>283</v>
      </c>
      <c r="G6894" s="18" t="s">
        <v>48</v>
      </c>
      <c r="H6894" s="24">
        <v>95130</v>
      </c>
      <c r="I6894" s="24">
        <f>T_reg.root.SK[[#This Row],[Volume, kg]]/1000</f>
        <v>95.13</v>
      </c>
      <c r="J6894" s="25">
        <v>0.26200000000000001</v>
      </c>
      <c r="K6894" s="25">
        <f t="shared" si="108"/>
        <v>24924.06</v>
      </c>
      <c r="L6894" s="25">
        <v>2.42</v>
      </c>
      <c r="M6894" s="24">
        <v>229984.5</v>
      </c>
      <c r="N6894" s="25">
        <f>IFERROR(T_reg.root.SK[[#This Row],[Price]]/T_reg.root.SK[[#This Row],[Starch content]],"")</f>
        <v>9.236641221374045</v>
      </c>
    </row>
    <row r="6895" spans="1:14">
      <c r="A6895" s="21">
        <v>2025</v>
      </c>
      <c r="B6895" s="21" t="s">
        <v>28</v>
      </c>
      <c r="C6895" s="21" t="s">
        <v>1145</v>
      </c>
      <c r="D6895" s="21" t="s">
        <v>35</v>
      </c>
      <c r="E6895" s="17" t="s">
        <v>147</v>
      </c>
      <c r="F6895" s="17" t="s">
        <v>105</v>
      </c>
      <c r="G6895" s="18" t="s">
        <v>48</v>
      </c>
      <c r="H6895" s="24">
        <v>13010</v>
      </c>
      <c r="I6895" s="24">
        <f>T_reg.root.SK[[#This Row],[Volume, kg]]/1000</f>
        <v>13.01</v>
      </c>
      <c r="J6895" s="25">
        <v>0.223</v>
      </c>
      <c r="K6895" s="25">
        <f t="shared" si="108"/>
        <v>2901.23</v>
      </c>
      <c r="L6895" s="25">
        <v>2.2000000000000002</v>
      </c>
      <c r="M6895" s="24">
        <v>28622</v>
      </c>
      <c r="N6895" s="25">
        <f>IFERROR(T_reg.root.SK[[#This Row],[Price]]/T_reg.root.SK[[#This Row],[Starch content]],"")</f>
        <v>9.8654708520179373</v>
      </c>
    </row>
    <row r="6896" spans="1:14">
      <c r="A6896" s="21">
        <v>2025</v>
      </c>
      <c r="B6896" s="21" t="s">
        <v>28</v>
      </c>
      <c r="C6896" s="21" t="s">
        <v>1145</v>
      </c>
      <c r="D6896" s="21" t="s">
        <v>35</v>
      </c>
      <c r="E6896" s="17" t="s">
        <v>1039</v>
      </c>
      <c r="F6896" s="17" t="s">
        <v>105</v>
      </c>
      <c r="G6896" s="18" t="s">
        <v>48</v>
      </c>
      <c r="H6896" s="24">
        <v>125860</v>
      </c>
      <c r="I6896" s="24">
        <f>T_reg.root.SK[[#This Row],[Volume, kg]]/1000</f>
        <v>125.86</v>
      </c>
      <c r="J6896" s="25">
        <v>0.26219999999999999</v>
      </c>
      <c r="K6896" s="25">
        <f t="shared" si="108"/>
        <v>33000.491999999998</v>
      </c>
      <c r="L6896" s="25">
        <v>2.46</v>
      </c>
      <c r="M6896" s="24">
        <v>309891.5</v>
      </c>
      <c r="N6896" s="25">
        <f>IFERROR(T_reg.root.SK[[#This Row],[Price]]/T_reg.root.SK[[#This Row],[Starch content]],"")</f>
        <v>9.3821510297482842</v>
      </c>
    </row>
    <row r="6897" spans="1:14">
      <c r="A6897" s="21">
        <v>2025</v>
      </c>
      <c r="B6897" s="21" t="s">
        <v>28</v>
      </c>
      <c r="C6897" s="21" t="s">
        <v>1145</v>
      </c>
      <c r="D6897" s="21" t="s">
        <v>35</v>
      </c>
      <c r="E6897" s="17" t="s">
        <v>363</v>
      </c>
      <c r="F6897" s="17" t="s">
        <v>105</v>
      </c>
      <c r="G6897" s="18" t="s">
        <v>48</v>
      </c>
      <c r="H6897" s="24">
        <v>7000</v>
      </c>
      <c r="I6897" s="24">
        <f>T_reg.root.SK[[#This Row],[Volume, kg]]/1000</f>
        <v>7</v>
      </c>
      <c r="J6897" s="25">
        <v>0.23749999999999999</v>
      </c>
      <c r="K6897" s="25">
        <f t="shared" si="108"/>
        <v>1662.5</v>
      </c>
      <c r="L6897" s="25">
        <v>2.35</v>
      </c>
      <c r="M6897" s="24">
        <v>16450</v>
      </c>
      <c r="N6897" s="25">
        <f>IFERROR(T_reg.root.SK[[#This Row],[Price]]/T_reg.root.SK[[#This Row],[Starch content]],"")</f>
        <v>9.8947368421052637</v>
      </c>
    </row>
    <row r="6898" spans="1:14">
      <c r="A6898" s="21">
        <v>2025</v>
      </c>
      <c r="B6898" s="21" t="s">
        <v>28</v>
      </c>
      <c r="C6898" s="21" t="s">
        <v>1145</v>
      </c>
      <c r="D6898" s="21" t="s">
        <v>35</v>
      </c>
      <c r="E6898" s="17" t="s">
        <v>66</v>
      </c>
      <c r="F6898" s="17" t="s">
        <v>47</v>
      </c>
      <c r="G6898" s="18" t="s">
        <v>48</v>
      </c>
      <c r="H6898" s="24">
        <v>8160</v>
      </c>
      <c r="I6898" s="24">
        <f>T_reg.root.SK[[#This Row],[Volume, kg]]/1000</f>
        <v>8.16</v>
      </c>
      <c r="J6898" s="25">
        <v>0.19950000000000001</v>
      </c>
      <c r="K6898" s="25">
        <f t="shared" si="108"/>
        <v>1627.92</v>
      </c>
      <c r="L6898" s="25">
        <v>2.15</v>
      </c>
      <c r="M6898" s="24">
        <v>17544</v>
      </c>
      <c r="N6898" s="25">
        <f>IFERROR(T_reg.root.SK[[#This Row],[Price]]/T_reg.root.SK[[#This Row],[Starch content]],"")</f>
        <v>10.776942355889723</v>
      </c>
    </row>
    <row r="6899" spans="1:14">
      <c r="A6899" s="21">
        <v>2025</v>
      </c>
      <c r="B6899" s="21" t="s">
        <v>28</v>
      </c>
      <c r="C6899" s="21" t="s">
        <v>1145</v>
      </c>
      <c r="D6899" s="21" t="s">
        <v>35</v>
      </c>
      <c r="E6899" s="17" t="s">
        <v>688</v>
      </c>
      <c r="F6899" s="17" t="s">
        <v>187</v>
      </c>
      <c r="G6899" s="18" t="s">
        <v>48</v>
      </c>
      <c r="H6899" s="24">
        <v>15720</v>
      </c>
      <c r="I6899" s="24">
        <f>T_reg.root.SK[[#This Row],[Volume, kg]]/1000</f>
        <v>15.72</v>
      </c>
      <c r="J6899" s="25">
        <v>0.24970000000000001</v>
      </c>
      <c r="K6899" s="25">
        <f t="shared" si="108"/>
        <v>3925.2840000000001</v>
      </c>
      <c r="L6899" s="25">
        <v>2.36</v>
      </c>
      <c r="M6899" s="24">
        <v>37077</v>
      </c>
      <c r="N6899" s="25">
        <f>IFERROR(T_reg.root.SK[[#This Row],[Price]]/T_reg.root.SK[[#This Row],[Starch content]],"")</f>
        <v>9.4513416099319176</v>
      </c>
    </row>
    <row r="6900" spans="1:14">
      <c r="A6900" s="21">
        <v>2025</v>
      </c>
      <c r="B6900" s="21" t="s">
        <v>28</v>
      </c>
      <c r="C6900" s="21" t="s">
        <v>1145</v>
      </c>
      <c r="D6900" s="21" t="s">
        <v>35</v>
      </c>
      <c r="E6900" s="17" t="s">
        <v>1005</v>
      </c>
      <c r="F6900" s="17" t="s">
        <v>105</v>
      </c>
      <c r="G6900" s="18" t="s">
        <v>48</v>
      </c>
      <c r="H6900" s="24">
        <v>61560</v>
      </c>
      <c r="I6900" s="24">
        <f>T_reg.root.SK[[#This Row],[Volume, kg]]/1000</f>
        <v>61.56</v>
      </c>
      <c r="J6900" s="25">
        <v>0.24229999999999999</v>
      </c>
      <c r="K6900" s="25">
        <f t="shared" si="108"/>
        <v>14915.987999999999</v>
      </c>
      <c r="L6900" s="25">
        <v>2.36</v>
      </c>
      <c r="M6900" s="24">
        <v>145378</v>
      </c>
      <c r="N6900" s="25">
        <f>IFERROR(T_reg.root.SK[[#This Row],[Price]]/T_reg.root.SK[[#This Row],[Starch content]],"")</f>
        <v>9.7399917457697072</v>
      </c>
    </row>
    <row r="6901" spans="1:14">
      <c r="A6901" s="21">
        <v>2025</v>
      </c>
      <c r="B6901" s="21" t="s">
        <v>28</v>
      </c>
      <c r="C6901" s="21" t="s">
        <v>1145</v>
      </c>
      <c r="D6901" s="21" t="s">
        <v>39</v>
      </c>
      <c r="E6901" s="17" t="s">
        <v>1066</v>
      </c>
      <c r="F6901" s="17" t="s">
        <v>102</v>
      </c>
      <c r="G6901" s="18" t="s">
        <v>103</v>
      </c>
      <c r="H6901" s="24">
        <v>385250</v>
      </c>
      <c r="I6901" s="24">
        <f>T_reg.root.SK[[#This Row],[Volume, kg]]/1000</f>
        <v>385.25</v>
      </c>
      <c r="J6901" s="25">
        <v>0.2366</v>
      </c>
      <c r="K6901" s="25">
        <f t="shared" si="108"/>
        <v>91150.150000000009</v>
      </c>
      <c r="L6901" s="25">
        <v>2.58</v>
      </c>
      <c r="M6901" s="24">
        <v>993409.5</v>
      </c>
      <c r="N6901" s="25">
        <f>IFERROR(T_reg.root.SK[[#This Row],[Price]]/T_reg.root.SK[[#This Row],[Starch content]],"")</f>
        <v>10.904480135249367</v>
      </c>
    </row>
    <row r="6902" spans="1:14">
      <c r="A6902" s="21">
        <v>2025</v>
      </c>
      <c r="B6902" s="21" t="s">
        <v>28</v>
      </c>
      <c r="C6902" s="21" t="s">
        <v>1145</v>
      </c>
      <c r="D6902" s="21" t="s">
        <v>35</v>
      </c>
      <c r="E6902" s="17" t="s">
        <v>148</v>
      </c>
      <c r="F6902" s="17" t="s">
        <v>105</v>
      </c>
      <c r="G6902" s="18" t="s">
        <v>48</v>
      </c>
      <c r="H6902" s="24">
        <v>4040</v>
      </c>
      <c r="I6902" s="24">
        <f>T_reg.root.SK[[#This Row],[Volume, kg]]/1000</f>
        <v>4.04</v>
      </c>
      <c r="J6902" s="25">
        <v>0.24199999999999999</v>
      </c>
      <c r="K6902" s="25">
        <f t="shared" si="108"/>
        <v>977.68</v>
      </c>
      <c r="L6902" s="25">
        <v>2.35</v>
      </c>
      <c r="M6902" s="24">
        <v>9494</v>
      </c>
      <c r="N6902" s="25">
        <f>IFERROR(T_reg.root.SK[[#This Row],[Price]]/T_reg.root.SK[[#This Row],[Starch content]],"")</f>
        <v>9.7107438016528924</v>
      </c>
    </row>
    <row r="6903" spans="1:14">
      <c r="A6903" s="21">
        <v>2025</v>
      </c>
      <c r="B6903" s="21" t="s">
        <v>28</v>
      </c>
      <c r="C6903" s="21" t="s">
        <v>1145</v>
      </c>
      <c r="D6903" s="21" t="s">
        <v>35</v>
      </c>
      <c r="E6903" s="17" t="s">
        <v>268</v>
      </c>
      <c r="F6903" s="17" t="s">
        <v>187</v>
      </c>
      <c r="G6903" s="18" t="s">
        <v>48</v>
      </c>
      <c r="H6903" s="24">
        <v>21030</v>
      </c>
      <c r="I6903" s="24">
        <f>T_reg.root.SK[[#This Row],[Volume, kg]]/1000</f>
        <v>21.03</v>
      </c>
      <c r="J6903" s="25">
        <v>0.23810000000000001</v>
      </c>
      <c r="K6903" s="25">
        <f t="shared" si="108"/>
        <v>5007.2430000000004</v>
      </c>
      <c r="L6903" s="25">
        <v>2.2799999999999998</v>
      </c>
      <c r="M6903" s="24">
        <v>48052</v>
      </c>
      <c r="N6903" s="25">
        <f>IFERROR(T_reg.root.SK[[#This Row],[Price]]/T_reg.root.SK[[#This Row],[Starch content]],"")</f>
        <v>9.5758084838303219</v>
      </c>
    </row>
    <row r="6904" spans="1:14">
      <c r="A6904" s="21">
        <v>2025</v>
      </c>
      <c r="B6904" s="21" t="s">
        <v>28</v>
      </c>
      <c r="C6904" s="21" t="s">
        <v>1145</v>
      </c>
      <c r="D6904" s="21" t="s">
        <v>35</v>
      </c>
      <c r="E6904" s="17" t="s">
        <v>604</v>
      </c>
      <c r="F6904" s="17" t="s">
        <v>105</v>
      </c>
      <c r="G6904" s="18" t="s">
        <v>48</v>
      </c>
      <c r="H6904" s="24">
        <v>12750</v>
      </c>
      <c r="I6904" s="24">
        <f>T_reg.root.SK[[#This Row],[Volume, kg]]/1000</f>
        <v>12.75</v>
      </c>
      <c r="J6904" s="25">
        <v>0.27789999999999998</v>
      </c>
      <c r="K6904" s="25">
        <f t="shared" si="108"/>
        <v>3543.2249999999999</v>
      </c>
      <c r="L6904" s="25">
        <v>2.5299999999999998</v>
      </c>
      <c r="M6904" s="24">
        <v>32299.5</v>
      </c>
      <c r="N6904" s="25">
        <f>IFERROR(T_reg.root.SK[[#This Row],[Price]]/T_reg.root.SK[[#This Row],[Starch content]],"")</f>
        <v>9.103994242533286</v>
      </c>
    </row>
    <row r="6905" spans="1:14">
      <c r="A6905" s="21">
        <v>2025</v>
      </c>
      <c r="B6905" s="21" t="s">
        <v>28</v>
      </c>
      <c r="C6905" s="21" t="s">
        <v>1145</v>
      </c>
      <c r="D6905" s="21" t="s">
        <v>35</v>
      </c>
      <c r="E6905" s="17" t="s">
        <v>341</v>
      </c>
      <c r="F6905" s="17" t="s">
        <v>47</v>
      </c>
      <c r="G6905" s="18" t="s">
        <v>48</v>
      </c>
      <c r="H6905" s="24">
        <v>17640</v>
      </c>
      <c r="I6905" s="24">
        <f>T_reg.root.SK[[#This Row],[Volume, kg]]/1000</f>
        <v>17.64</v>
      </c>
      <c r="J6905" s="25">
        <v>0.25669999999999998</v>
      </c>
      <c r="K6905" s="25">
        <f t="shared" si="108"/>
        <v>4528.1880000000001</v>
      </c>
      <c r="L6905" s="25">
        <v>2.4300000000000002</v>
      </c>
      <c r="M6905" s="24">
        <v>42779.5</v>
      </c>
      <c r="N6905" s="25">
        <f>IFERROR(T_reg.root.SK[[#This Row],[Price]]/T_reg.root.SK[[#This Row],[Starch content]],"")</f>
        <v>9.4663030775224009</v>
      </c>
    </row>
    <row r="6906" spans="1:14">
      <c r="A6906" s="21">
        <v>2025</v>
      </c>
      <c r="B6906" s="21" t="s">
        <v>28</v>
      </c>
      <c r="C6906" s="21" t="s">
        <v>1145</v>
      </c>
      <c r="D6906" s="21" t="s">
        <v>35</v>
      </c>
      <c r="E6906" s="17" t="s">
        <v>68</v>
      </c>
      <c r="F6906" s="17" t="s">
        <v>47</v>
      </c>
      <c r="G6906" s="18" t="s">
        <v>48</v>
      </c>
      <c r="H6906" s="24">
        <v>34880</v>
      </c>
      <c r="I6906" s="24">
        <f>T_reg.root.SK[[#This Row],[Volume, kg]]/1000</f>
        <v>34.880000000000003</v>
      </c>
      <c r="J6906" s="25">
        <v>0.24640000000000001</v>
      </c>
      <c r="K6906" s="25">
        <f t="shared" si="108"/>
        <v>8594.4320000000007</v>
      </c>
      <c r="L6906" s="25">
        <v>2.39</v>
      </c>
      <c r="M6906" s="24">
        <v>83290</v>
      </c>
      <c r="N6906" s="25">
        <f>IFERROR(T_reg.root.SK[[#This Row],[Price]]/T_reg.root.SK[[#This Row],[Starch content]],"")</f>
        <v>9.699675324675324</v>
      </c>
    </row>
    <row r="6907" spans="1:14">
      <c r="A6907" s="21">
        <v>2025</v>
      </c>
      <c r="B6907" s="21" t="s">
        <v>28</v>
      </c>
      <c r="C6907" s="21" t="s">
        <v>1145</v>
      </c>
      <c r="D6907" s="21" t="s">
        <v>35</v>
      </c>
      <c r="E6907" s="17" t="s">
        <v>208</v>
      </c>
      <c r="F6907" s="17" t="s">
        <v>187</v>
      </c>
      <c r="G6907" s="18" t="s">
        <v>48</v>
      </c>
      <c r="H6907" s="24">
        <v>10240</v>
      </c>
      <c r="I6907" s="24">
        <f>T_reg.root.SK[[#This Row],[Volume, kg]]/1000</f>
        <v>10.24</v>
      </c>
      <c r="J6907" s="25">
        <v>0.27500000000000002</v>
      </c>
      <c r="K6907" s="25">
        <f t="shared" si="108"/>
        <v>2816</v>
      </c>
      <c r="L6907" s="25">
        <v>2.5499999999999998</v>
      </c>
      <c r="M6907" s="24">
        <v>26112</v>
      </c>
      <c r="N6907" s="25">
        <f>IFERROR(T_reg.root.SK[[#This Row],[Price]]/T_reg.root.SK[[#This Row],[Starch content]],"")</f>
        <v>9.2727272727272716</v>
      </c>
    </row>
    <row r="6908" spans="1:14">
      <c r="A6908" s="21">
        <v>2025</v>
      </c>
      <c r="B6908" s="21" t="s">
        <v>28</v>
      </c>
      <c r="C6908" s="21" t="s">
        <v>1145</v>
      </c>
      <c r="D6908" s="21" t="s">
        <v>35</v>
      </c>
      <c r="E6908" s="17" t="s">
        <v>314</v>
      </c>
      <c r="F6908" s="17" t="s">
        <v>105</v>
      </c>
      <c r="G6908" s="18" t="s">
        <v>48</v>
      </c>
      <c r="H6908" s="24">
        <v>110100</v>
      </c>
      <c r="I6908" s="24">
        <f>T_reg.root.SK[[#This Row],[Volume, kg]]/1000</f>
        <v>110.1</v>
      </c>
      <c r="J6908" s="25">
        <v>0.26069999999999999</v>
      </c>
      <c r="K6908" s="25">
        <f t="shared" si="108"/>
        <v>28703.07</v>
      </c>
      <c r="L6908" s="25">
        <v>2.46</v>
      </c>
      <c r="M6908" s="24">
        <v>270578.5</v>
      </c>
      <c r="N6908" s="25">
        <f>IFERROR(T_reg.root.SK[[#This Row],[Price]]/T_reg.root.SK[[#This Row],[Starch content]],"")</f>
        <v>9.4361334867663977</v>
      </c>
    </row>
    <row r="6909" spans="1:14">
      <c r="A6909" s="21">
        <v>2025</v>
      </c>
      <c r="B6909" s="21" t="s">
        <v>28</v>
      </c>
      <c r="C6909" s="21" t="s">
        <v>1145</v>
      </c>
      <c r="D6909" s="21" t="s">
        <v>35</v>
      </c>
      <c r="E6909" s="17" t="s">
        <v>315</v>
      </c>
      <c r="F6909" s="17" t="s">
        <v>105</v>
      </c>
      <c r="G6909" s="18" t="s">
        <v>48</v>
      </c>
      <c r="H6909" s="24">
        <v>151100</v>
      </c>
      <c r="I6909" s="24">
        <f>T_reg.root.SK[[#This Row],[Volume, kg]]/1000</f>
        <v>151.1</v>
      </c>
      <c r="J6909" s="25">
        <v>0.26319999999999999</v>
      </c>
      <c r="K6909" s="25">
        <f t="shared" si="108"/>
        <v>39769.519999999997</v>
      </c>
      <c r="L6909" s="25">
        <v>2.46</v>
      </c>
      <c r="M6909" s="24">
        <v>371240.5</v>
      </c>
      <c r="N6909" s="25">
        <f>IFERROR(T_reg.root.SK[[#This Row],[Price]]/T_reg.root.SK[[#This Row],[Starch content]],"")</f>
        <v>9.3465045592705174</v>
      </c>
    </row>
    <row r="6910" spans="1:14">
      <c r="A6910" s="21">
        <v>2025</v>
      </c>
      <c r="B6910" s="21" t="s">
        <v>28</v>
      </c>
      <c r="C6910" s="21" t="s">
        <v>1145</v>
      </c>
      <c r="D6910" s="21" t="s">
        <v>35</v>
      </c>
      <c r="E6910" s="17" t="s">
        <v>151</v>
      </c>
      <c r="F6910" s="17" t="s">
        <v>105</v>
      </c>
      <c r="G6910" s="18" t="s">
        <v>48</v>
      </c>
      <c r="H6910" s="24">
        <v>229940</v>
      </c>
      <c r="I6910" s="24">
        <f>T_reg.root.SK[[#This Row],[Volume, kg]]/1000</f>
        <v>229.94</v>
      </c>
      <c r="J6910" s="25">
        <v>0.25779999999999997</v>
      </c>
      <c r="K6910" s="25">
        <f t="shared" si="108"/>
        <v>59278.531999999992</v>
      </c>
      <c r="L6910" s="25">
        <v>2.44</v>
      </c>
      <c r="M6910" s="24">
        <v>560975</v>
      </c>
      <c r="N6910" s="25">
        <f>IFERROR(T_reg.root.SK[[#This Row],[Price]]/T_reg.root.SK[[#This Row],[Starch content]],"")</f>
        <v>9.4647013188518248</v>
      </c>
    </row>
    <row r="6911" spans="1:14">
      <c r="A6911" s="21">
        <v>2025</v>
      </c>
      <c r="B6911" s="21" t="s">
        <v>28</v>
      </c>
      <c r="C6911" s="21" t="s">
        <v>1145</v>
      </c>
      <c r="D6911" s="21" t="s">
        <v>35</v>
      </c>
      <c r="E6911" s="17" t="s">
        <v>70</v>
      </c>
      <c r="F6911" s="17" t="s">
        <v>47</v>
      </c>
      <c r="G6911" s="18" t="s">
        <v>48</v>
      </c>
      <c r="H6911" s="24">
        <v>23560</v>
      </c>
      <c r="I6911" s="24">
        <f>T_reg.root.SK[[#This Row],[Volume, kg]]/1000</f>
        <v>23.56</v>
      </c>
      <c r="J6911" s="25">
        <v>0.22120000000000001</v>
      </c>
      <c r="K6911" s="25">
        <f t="shared" si="108"/>
        <v>5211.4719999999998</v>
      </c>
      <c r="L6911" s="25">
        <v>2.2400000000000002</v>
      </c>
      <c r="M6911" s="24">
        <v>52690</v>
      </c>
      <c r="N6911" s="25">
        <f>IFERROR(T_reg.root.SK[[#This Row],[Price]]/T_reg.root.SK[[#This Row],[Starch content]],"")</f>
        <v>10.126582278481013</v>
      </c>
    </row>
    <row r="6912" spans="1:14">
      <c r="A6912" s="21">
        <v>2025</v>
      </c>
      <c r="B6912" s="21" t="s">
        <v>28</v>
      </c>
      <c r="C6912" s="21" t="s">
        <v>1145</v>
      </c>
      <c r="D6912" s="21" t="s">
        <v>35</v>
      </c>
      <c r="E6912" s="17" t="s">
        <v>152</v>
      </c>
      <c r="F6912" s="17" t="s">
        <v>105</v>
      </c>
      <c r="G6912" s="18" t="s">
        <v>48</v>
      </c>
      <c r="H6912" s="24">
        <v>10000</v>
      </c>
      <c r="I6912" s="24">
        <f>T_reg.root.SK[[#This Row],[Volume, kg]]/1000</f>
        <v>10</v>
      </c>
      <c r="J6912" s="25">
        <v>0.2455</v>
      </c>
      <c r="K6912" s="25">
        <f t="shared" si="108"/>
        <v>2455</v>
      </c>
      <c r="L6912" s="25">
        <v>2.4</v>
      </c>
      <c r="M6912" s="24">
        <v>24000</v>
      </c>
      <c r="N6912" s="25">
        <f>IFERROR(T_reg.root.SK[[#This Row],[Price]]/T_reg.root.SK[[#This Row],[Starch content]],"")</f>
        <v>9.7759674134419559</v>
      </c>
    </row>
    <row r="6913" spans="1:14">
      <c r="A6913" s="21">
        <v>2025</v>
      </c>
      <c r="B6913" s="21" t="s">
        <v>28</v>
      </c>
      <c r="C6913" s="21" t="s">
        <v>1145</v>
      </c>
      <c r="D6913" s="21" t="s">
        <v>35</v>
      </c>
      <c r="E6913" s="17" t="s">
        <v>644</v>
      </c>
      <c r="F6913" s="17" t="s">
        <v>645</v>
      </c>
      <c r="G6913" s="18" t="s">
        <v>48</v>
      </c>
      <c r="H6913" s="24">
        <v>28780</v>
      </c>
      <c r="I6913" s="24">
        <f>T_reg.root.SK[[#This Row],[Volume, kg]]/1000</f>
        <v>28.78</v>
      </c>
      <c r="J6913" s="25">
        <v>0.22439999999999999</v>
      </c>
      <c r="K6913" s="25">
        <f t="shared" si="108"/>
        <v>6458.232</v>
      </c>
      <c r="L6913" s="25">
        <v>2.27</v>
      </c>
      <c r="M6913" s="24">
        <v>65395</v>
      </c>
      <c r="N6913" s="25">
        <f>IFERROR(T_reg.root.SK[[#This Row],[Price]]/T_reg.root.SK[[#This Row],[Starch content]],"")</f>
        <v>10.115864527629235</v>
      </c>
    </row>
    <row r="6914" spans="1:14">
      <c r="A6914" s="21">
        <v>2025</v>
      </c>
      <c r="B6914" s="21" t="s">
        <v>28</v>
      </c>
      <c r="C6914" s="21" t="s">
        <v>1145</v>
      </c>
      <c r="D6914" s="21" t="s">
        <v>35</v>
      </c>
      <c r="E6914" s="17" t="s">
        <v>661</v>
      </c>
      <c r="F6914" s="17" t="s">
        <v>47</v>
      </c>
      <c r="G6914" s="18" t="s">
        <v>48</v>
      </c>
      <c r="H6914" s="24">
        <v>7350</v>
      </c>
      <c r="I6914" s="24">
        <f>T_reg.root.SK[[#This Row],[Volume, kg]]/1000</f>
        <v>7.35</v>
      </c>
      <c r="J6914" s="25">
        <v>0.26300000000000001</v>
      </c>
      <c r="K6914" s="25">
        <f t="shared" si="108"/>
        <v>1933.0500000000002</v>
      </c>
      <c r="L6914" s="25">
        <v>2.4500000000000002</v>
      </c>
      <c r="M6914" s="24">
        <v>18007.5</v>
      </c>
      <c r="N6914" s="25">
        <f>IFERROR(T_reg.root.SK[[#This Row],[Price]]/T_reg.root.SK[[#This Row],[Starch content]],"")</f>
        <v>9.3155893536121681</v>
      </c>
    </row>
    <row r="6915" spans="1:14">
      <c r="A6915" s="21">
        <v>2025</v>
      </c>
      <c r="B6915" s="21" t="s">
        <v>28</v>
      </c>
      <c r="C6915" s="21" t="s">
        <v>1145</v>
      </c>
      <c r="D6915" s="21" t="s">
        <v>35</v>
      </c>
      <c r="E6915" s="17" t="s">
        <v>153</v>
      </c>
      <c r="F6915" s="17" t="s">
        <v>105</v>
      </c>
      <c r="G6915" s="18" t="s">
        <v>48</v>
      </c>
      <c r="H6915" s="24">
        <v>33850</v>
      </c>
      <c r="I6915" s="24">
        <f>T_reg.root.SK[[#This Row],[Volume, kg]]/1000</f>
        <v>33.85</v>
      </c>
      <c r="J6915" s="25">
        <v>0.25769999999999998</v>
      </c>
      <c r="K6915" s="25">
        <f t="shared" si="108"/>
        <v>8723.1449999999986</v>
      </c>
      <c r="L6915" s="25">
        <v>2.44</v>
      </c>
      <c r="M6915" s="24">
        <v>82529.5</v>
      </c>
      <c r="N6915" s="25">
        <f>IFERROR(T_reg.root.SK[[#This Row],[Price]]/T_reg.root.SK[[#This Row],[Starch content]],"")</f>
        <v>9.46837407838572</v>
      </c>
    </row>
    <row r="6916" spans="1:14">
      <c r="A6916" s="21">
        <v>2025</v>
      </c>
      <c r="B6916" s="21" t="s">
        <v>28</v>
      </c>
      <c r="C6916" s="21" t="s">
        <v>1145</v>
      </c>
      <c r="D6916" s="21" t="s">
        <v>35</v>
      </c>
      <c r="E6916" s="17" t="s">
        <v>154</v>
      </c>
      <c r="F6916" s="17" t="s">
        <v>105</v>
      </c>
      <c r="G6916" s="18" t="s">
        <v>48</v>
      </c>
      <c r="H6916" s="24">
        <v>18170</v>
      </c>
      <c r="I6916" s="24">
        <f>T_reg.root.SK[[#This Row],[Volume, kg]]/1000</f>
        <v>18.170000000000002</v>
      </c>
      <c r="J6916" s="25">
        <v>0.26740000000000003</v>
      </c>
      <c r="K6916" s="25">
        <f t="shared" si="108"/>
        <v>4858.6580000000004</v>
      </c>
      <c r="L6916" s="25">
        <v>2.48</v>
      </c>
      <c r="M6916" s="24">
        <v>45030</v>
      </c>
      <c r="N6916" s="25">
        <f>IFERROR(T_reg.root.SK[[#This Row],[Price]]/T_reg.root.SK[[#This Row],[Starch content]],"")</f>
        <v>9.2744951383694829</v>
      </c>
    </row>
    <row r="6917" spans="1:14">
      <c r="A6917" s="21">
        <v>2025</v>
      </c>
      <c r="B6917" s="21" t="s">
        <v>28</v>
      </c>
      <c r="C6917" s="21" t="s">
        <v>1145</v>
      </c>
      <c r="D6917" s="21" t="s">
        <v>39</v>
      </c>
      <c r="E6917" s="17" t="s">
        <v>552</v>
      </c>
      <c r="F6917" s="17" t="s">
        <v>95</v>
      </c>
      <c r="G6917" s="18" t="s">
        <v>48</v>
      </c>
      <c r="H6917" s="24">
        <v>2918750</v>
      </c>
      <c r="I6917" s="24">
        <f>T_reg.root.SK[[#This Row],[Volume, kg]]/1000</f>
        <v>2918.75</v>
      </c>
      <c r="J6917" s="25">
        <v>0.248</v>
      </c>
      <c r="K6917" s="25">
        <f t="shared" si="108"/>
        <v>723850</v>
      </c>
      <c r="L6917" s="25">
        <v>2.65</v>
      </c>
      <c r="M6917" s="24">
        <v>7737839.5</v>
      </c>
      <c r="N6917" s="25">
        <f>IFERROR(T_reg.root.SK[[#This Row],[Price]]/T_reg.root.SK[[#This Row],[Starch content]],"")</f>
        <v>10.685483870967742</v>
      </c>
    </row>
    <row r="6918" spans="1:14">
      <c r="A6918" s="21">
        <v>2025</v>
      </c>
      <c r="B6918" s="21" t="s">
        <v>28</v>
      </c>
      <c r="C6918" s="21" t="s">
        <v>1145</v>
      </c>
      <c r="D6918" s="21" t="s">
        <v>35</v>
      </c>
      <c r="E6918" s="17" t="s">
        <v>382</v>
      </c>
      <c r="F6918" s="17" t="s">
        <v>47</v>
      </c>
      <c r="G6918" s="18" t="s">
        <v>48</v>
      </c>
      <c r="H6918" s="24">
        <v>8800</v>
      </c>
      <c r="I6918" s="24">
        <f>T_reg.root.SK[[#This Row],[Volume, kg]]/1000</f>
        <v>8.8000000000000007</v>
      </c>
      <c r="J6918" s="25">
        <v>0.1978</v>
      </c>
      <c r="K6918" s="25">
        <f t="shared" si="108"/>
        <v>1740.64</v>
      </c>
      <c r="L6918" s="25">
        <v>2.15</v>
      </c>
      <c r="M6918" s="24">
        <v>18940</v>
      </c>
      <c r="N6918" s="25">
        <f>IFERROR(T_reg.root.SK[[#This Row],[Price]]/T_reg.root.SK[[#This Row],[Starch content]],"")</f>
        <v>10.869565217391303</v>
      </c>
    </row>
    <row r="6919" spans="1:14">
      <c r="A6919" s="21">
        <v>2025</v>
      </c>
      <c r="B6919" s="21" t="s">
        <v>28</v>
      </c>
      <c r="C6919" s="21" t="s">
        <v>1145</v>
      </c>
      <c r="D6919" s="21" t="s">
        <v>35</v>
      </c>
      <c r="E6919" s="17" t="s">
        <v>704</v>
      </c>
      <c r="F6919" s="17" t="s">
        <v>187</v>
      </c>
      <c r="G6919" s="18" t="s">
        <v>48</v>
      </c>
      <c r="H6919" s="24">
        <v>41640</v>
      </c>
      <c r="I6919" s="24">
        <f>T_reg.root.SK[[#This Row],[Volume, kg]]/1000</f>
        <v>41.64</v>
      </c>
      <c r="J6919" s="25">
        <v>0.21909999999999999</v>
      </c>
      <c r="K6919" s="25">
        <f t="shared" si="108"/>
        <v>9123.3239999999987</v>
      </c>
      <c r="L6919" s="25">
        <v>2.25</v>
      </c>
      <c r="M6919" s="24">
        <v>93502.5</v>
      </c>
      <c r="N6919" s="25">
        <f>IFERROR(T_reg.root.SK[[#This Row],[Price]]/T_reg.root.SK[[#This Row],[Starch content]],"")</f>
        <v>10.26928343222273</v>
      </c>
    </row>
    <row r="6920" spans="1:14">
      <c r="A6920" s="21">
        <v>2025</v>
      </c>
      <c r="B6920" s="21" t="s">
        <v>28</v>
      </c>
      <c r="C6920" s="21" t="s">
        <v>1145</v>
      </c>
      <c r="D6920" s="21" t="s">
        <v>35</v>
      </c>
      <c r="E6920" s="17" t="s">
        <v>934</v>
      </c>
      <c r="F6920" s="17" t="s">
        <v>105</v>
      </c>
      <c r="G6920" s="18" t="s">
        <v>48</v>
      </c>
      <c r="H6920" s="24">
        <v>30480</v>
      </c>
      <c r="I6920" s="24">
        <f>T_reg.root.SK[[#This Row],[Volume, kg]]/1000</f>
        <v>30.48</v>
      </c>
      <c r="J6920" s="25">
        <v>0.26829999999999998</v>
      </c>
      <c r="K6920" s="25">
        <f t="shared" si="108"/>
        <v>8177.7839999999997</v>
      </c>
      <c r="L6920" s="25">
        <v>2.46</v>
      </c>
      <c r="M6920" s="24">
        <v>74944.5</v>
      </c>
      <c r="N6920" s="25">
        <f>IFERROR(T_reg.root.SK[[#This Row],[Price]]/T_reg.root.SK[[#This Row],[Starch content]],"")</f>
        <v>9.1688408497950054</v>
      </c>
    </row>
    <row r="6921" spans="1:14">
      <c r="A6921" s="21">
        <v>2025</v>
      </c>
      <c r="B6921" s="21" t="s">
        <v>28</v>
      </c>
      <c r="C6921" s="21" t="s">
        <v>1145</v>
      </c>
      <c r="D6921" s="21" t="s">
        <v>35</v>
      </c>
      <c r="E6921" s="17" t="s">
        <v>1041</v>
      </c>
      <c r="F6921" s="17" t="s">
        <v>187</v>
      </c>
      <c r="G6921" s="18" t="s">
        <v>48</v>
      </c>
      <c r="H6921" s="24">
        <v>33170</v>
      </c>
      <c r="I6921" s="24">
        <f>T_reg.root.SK[[#This Row],[Volume, kg]]/1000</f>
        <v>33.17</v>
      </c>
      <c r="J6921" s="25">
        <v>0.2248</v>
      </c>
      <c r="K6921" s="25">
        <f t="shared" si="108"/>
        <v>7456.616</v>
      </c>
      <c r="L6921" s="25">
        <v>2.2799999999999998</v>
      </c>
      <c r="M6921" s="24">
        <v>75682.5</v>
      </c>
      <c r="N6921" s="25">
        <f>IFERROR(T_reg.root.SK[[#This Row],[Price]]/T_reg.root.SK[[#This Row],[Starch content]],"")</f>
        <v>10.142348754448397</v>
      </c>
    </row>
    <row r="6922" spans="1:14">
      <c r="A6922" s="21">
        <v>2025</v>
      </c>
      <c r="B6922" s="21" t="s">
        <v>28</v>
      </c>
      <c r="C6922" s="21" t="s">
        <v>1145</v>
      </c>
      <c r="D6922" s="21" t="s">
        <v>35</v>
      </c>
      <c r="E6922" s="17" t="s">
        <v>211</v>
      </c>
      <c r="F6922" s="17" t="s">
        <v>187</v>
      </c>
      <c r="G6922" s="18" t="s">
        <v>48</v>
      </c>
      <c r="H6922" s="24">
        <v>167950</v>
      </c>
      <c r="I6922" s="24">
        <f>T_reg.root.SK[[#This Row],[Volume, kg]]/1000</f>
        <v>167.95</v>
      </c>
      <c r="J6922" s="25">
        <v>0.25369999999999998</v>
      </c>
      <c r="K6922" s="25">
        <f t="shared" si="108"/>
        <v>42608.914999999994</v>
      </c>
      <c r="L6922" s="25">
        <v>2.41</v>
      </c>
      <c r="M6922" s="24">
        <v>404682</v>
      </c>
      <c r="N6922" s="25">
        <f>IFERROR(T_reg.root.SK[[#This Row],[Price]]/T_reg.root.SK[[#This Row],[Starch content]],"")</f>
        <v>9.4994087504927087</v>
      </c>
    </row>
    <row r="6923" spans="1:14">
      <c r="A6923" s="21">
        <v>2025</v>
      </c>
      <c r="B6923" s="21" t="s">
        <v>28</v>
      </c>
      <c r="C6923" s="21" t="s">
        <v>1145</v>
      </c>
      <c r="D6923" s="21" t="s">
        <v>35</v>
      </c>
      <c r="E6923" s="17" t="s">
        <v>721</v>
      </c>
      <c r="F6923" s="17" t="s">
        <v>105</v>
      </c>
      <c r="G6923" s="18" t="s">
        <v>48</v>
      </c>
      <c r="H6923" s="24">
        <v>168800</v>
      </c>
      <c r="I6923" s="24">
        <f>T_reg.root.SK[[#This Row],[Volume, kg]]/1000</f>
        <v>168.8</v>
      </c>
      <c r="J6923" s="25">
        <v>0.25530000000000003</v>
      </c>
      <c r="K6923" s="25">
        <f t="shared" si="108"/>
        <v>43094.640000000007</v>
      </c>
      <c r="L6923" s="25">
        <v>2.41</v>
      </c>
      <c r="M6923" s="24">
        <v>407058</v>
      </c>
      <c r="N6923" s="25">
        <f>IFERROR(T_reg.root.SK[[#This Row],[Price]]/T_reg.root.SK[[#This Row],[Starch content]],"")</f>
        <v>9.4398746572659604</v>
      </c>
    </row>
    <row r="6924" spans="1:14">
      <c r="A6924" s="21">
        <v>2025</v>
      </c>
      <c r="B6924" s="21" t="s">
        <v>28</v>
      </c>
      <c r="C6924" s="21" t="s">
        <v>1145</v>
      </c>
      <c r="D6924" s="21" t="s">
        <v>35</v>
      </c>
      <c r="E6924" s="17" t="s">
        <v>165</v>
      </c>
      <c r="F6924" s="17" t="s">
        <v>105</v>
      </c>
      <c r="G6924" s="18" t="s">
        <v>48</v>
      </c>
      <c r="H6924" s="24">
        <v>48930</v>
      </c>
      <c r="I6924" s="24">
        <f>T_reg.root.SK[[#This Row],[Volume, kg]]/1000</f>
        <v>48.93</v>
      </c>
      <c r="J6924" s="25">
        <v>0.25059999999999999</v>
      </c>
      <c r="K6924" s="25">
        <f t="shared" si="108"/>
        <v>12261.858</v>
      </c>
      <c r="L6924" s="25">
        <v>2.39</v>
      </c>
      <c r="M6924" s="24">
        <v>117138</v>
      </c>
      <c r="N6924" s="25">
        <f>IFERROR(T_reg.root.SK[[#This Row],[Price]]/T_reg.root.SK[[#This Row],[Starch content]],"")</f>
        <v>9.5371109337589797</v>
      </c>
    </row>
    <row r="6925" spans="1:14">
      <c r="A6925" s="21">
        <v>2025</v>
      </c>
      <c r="B6925" s="21" t="s">
        <v>28</v>
      </c>
      <c r="C6925" s="21" t="s">
        <v>1145</v>
      </c>
      <c r="D6925" s="21" t="s">
        <v>35</v>
      </c>
      <c r="E6925" s="17" t="s">
        <v>954</v>
      </c>
      <c r="F6925" s="17" t="s">
        <v>105</v>
      </c>
      <c r="G6925" s="18" t="s">
        <v>48</v>
      </c>
      <c r="H6925" s="24">
        <v>52270</v>
      </c>
      <c r="I6925" s="24">
        <f>T_reg.root.SK[[#This Row],[Volume, kg]]/1000</f>
        <v>52.27</v>
      </c>
      <c r="J6925" s="25">
        <v>0.25829999999999997</v>
      </c>
      <c r="K6925" s="25">
        <f t="shared" si="108"/>
        <v>13501.340999999999</v>
      </c>
      <c r="L6925" s="25">
        <v>2.44</v>
      </c>
      <c r="M6925" s="24">
        <v>127362.5</v>
      </c>
      <c r="N6925" s="25">
        <f>IFERROR(T_reg.root.SK[[#This Row],[Price]]/T_reg.root.SK[[#This Row],[Starch content]],"")</f>
        <v>9.4463801780874963</v>
      </c>
    </row>
    <row r="6926" spans="1:14">
      <c r="A6926" s="21">
        <v>2025</v>
      </c>
      <c r="B6926" s="21" t="s">
        <v>28</v>
      </c>
      <c r="C6926" s="21" t="s">
        <v>1145</v>
      </c>
      <c r="D6926" s="21" t="s">
        <v>35</v>
      </c>
      <c r="E6926" s="17" t="s">
        <v>573</v>
      </c>
      <c r="F6926" s="17" t="s">
        <v>105</v>
      </c>
      <c r="G6926" s="18" t="s">
        <v>48</v>
      </c>
      <c r="H6926" s="24">
        <v>30900</v>
      </c>
      <c r="I6926" s="24">
        <f>T_reg.root.SK[[#This Row],[Volume, kg]]/1000</f>
        <v>30.9</v>
      </c>
      <c r="J6926" s="25">
        <v>0.25840000000000002</v>
      </c>
      <c r="K6926" s="25">
        <f t="shared" si="108"/>
        <v>7984.56</v>
      </c>
      <c r="L6926" s="25">
        <v>2.46</v>
      </c>
      <c r="M6926" s="24">
        <v>76006.5</v>
      </c>
      <c r="N6926" s="25">
        <f>IFERROR(T_reg.root.SK[[#This Row],[Price]]/T_reg.root.SK[[#This Row],[Starch content]],"")</f>
        <v>9.5201238390092868</v>
      </c>
    </row>
    <row r="6927" spans="1:14">
      <c r="A6927" s="21">
        <v>2025</v>
      </c>
      <c r="B6927" s="21" t="s">
        <v>28</v>
      </c>
      <c r="C6927" s="21" t="s">
        <v>1145</v>
      </c>
      <c r="D6927" s="21" t="s">
        <v>35</v>
      </c>
      <c r="E6927" s="17" t="s">
        <v>503</v>
      </c>
      <c r="F6927" s="17" t="s">
        <v>105</v>
      </c>
      <c r="G6927" s="18" t="s">
        <v>48</v>
      </c>
      <c r="H6927" s="24">
        <v>22160</v>
      </c>
      <c r="I6927" s="24">
        <f>T_reg.root.SK[[#This Row],[Volume, kg]]/1000</f>
        <v>22.16</v>
      </c>
      <c r="J6927" s="25">
        <v>0.2198</v>
      </c>
      <c r="K6927" s="25">
        <f t="shared" ref="K6927:K6990" si="109">H6927*J6927</f>
        <v>4870.768</v>
      </c>
      <c r="L6927" s="25">
        <v>2.25</v>
      </c>
      <c r="M6927" s="24">
        <v>49817</v>
      </c>
      <c r="N6927" s="25">
        <f>IFERROR(T_reg.root.SK[[#This Row],[Price]]/T_reg.root.SK[[#This Row],[Starch content]],"")</f>
        <v>10.236578707916287</v>
      </c>
    </row>
    <row r="6928" spans="1:14">
      <c r="A6928" s="21">
        <v>2025</v>
      </c>
      <c r="B6928" s="21" t="s">
        <v>28</v>
      </c>
      <c r="C6928" s="21" t="s">
        <v>1145</v>
      </c>
      <c r="D6928" s="21" t="s">
        <v>35</v>
      </c>
      <c r="E6928" s="17" t="s">
        <v>170</v>
      </c>
      <c r="F6928" s="17" t="s">
        <v>105</v>
      </c>
      <c r="G6928" s="18" t="s">
        <v>48</v>
      </c>
      <c r="H6928" s="24">
        <v>32760</v>
      </c>
      <c r="I6928" s="24">
        <f>T_reg.root.SK[[#This Row],[Volume, kg]]/1000</f>
        <v>32.76</v>
      </c>
      <c r="J6928" s="25">
        <v>0.2351</v>
      </c>
      <c r="K6928" s="25">
        <f t="shared" si="109"/>
        <v>7701.8760000000002</v>
      </c>
      <c r="L6928" s="25">
        <v>2.33</v>
      </c>
      <c r="M6928" s="24">
        <v>76342</v>
      </c>
      <c r="N6928" s="25">
        <f>IFERROR(T_reg.root.SK[[#This Row],[Price]]/T_reg.root.SK[[#This Row],[Starch content]],"")</f>
        <v>9.9106763079540627</v>
      </c>
    </row>
    <row r="6929" spans="1:14">
      <c r="A6929" s="21">
        <v>2025</v>
      </c>
      <c r="B6929" s="21" t="s">
        <v>28</v>
      </c>
      <c r="C6929" s="21" t="s">
        <v>1145</v>
      </c>
      <c r="D6929" s="21" t="s">
        <v>35</v>
      </c>
      <c r="E6929" s="17" t="s">
        <v>722</v>
      </c>
      <c r="F6929" s="17" t="s">
        <v>105</v>
      </c>
      <c r="G6929" s="18" t="s">
        <v>48</v>
      </c>
      <c r="H6929" s="24">
        <v>8800</v>
      </c>
      <c r="I6929" s="24">
        <f>T_reg.root.SK[[#This Row],[Volume, kg]]/1000</f>
        <v>8.8000000000000007</v>
      </c>
      <c r="J6929" s="25">
        <v>0.26350000000000001</v>
      </c>
      <c r="K6929" s="25">
        <f t="shared" si="109"/>
        <v>2318.8000000000002</v>
      </c>
      <c r="L6929" s="25">
        <v>2.4500000000000002</v>
      </c>
      <c r="M6929" s="24">
        <v>21560</v>
      </c>
      <c r="N6929" s="25">
        <f>IFERROR(T_reg.root.SK[[#This Row],[Price]]/T_reg.root.SK[[#This Row],[Starch content]],"")</f>
        <v>9.2979127134724866</v>
      </c>
    </row>
    <row r="6930" spans="1:14">
      <c r="A6930" s="21">
        <v>2025</v>
      </c>
      <c r="B6930" s="21" t="s">
        <v>28</v>
      </c>
      <c r="C6930" s="21" t="s">
        <v>1145</v>
      </c>
      <c r="D6930" s="21" t="s">
        <v>35</v>
      </c>
      <c r="E6930" s="17" t="s">
        <v>172</v>
      </c>
      <c r="F6930" s="17" t="s">
        <v>105</v>
      </c>
      <c r="G6930" s="18" t="s">
        <v>48</v>
      </c>
      <c r="H6930" s="24">
        <v>47710</v>
      </c>
      <c r="I6930" s="24">
        <f>T_reg.root.SK[[#This Row],[Volume, kg]]/1000</f>
        <v>47.71</v>
      </c>
      <c r="J6930" s="25">
        <v>0.30049999999999999</v>
      </c>
      <c r="K6930" s="25">
        <f t="shared" si="109"/>
        <v>14336.855</v>
      </c>
      <c r="L6930" s="25">
        <v>2.65</v>
      </c>
      <c r="M6930" s="24">
        <v>126588.5</v>
      </c>
      <c r="N6930" s="25">
        <f>IFERROR(T_reg.root.SK[[#This Row],[Price]]/T_reg.root.SK[[#This Row],[Starch content]],"")</f>
        <v>8.8186356073211307</v>
      </c>
    </row>
    <row r="6931" spans="1:14">
      <c r="A6931" s="21">
        <v>2025</v>
      </c>
      <c r="B6931" s="21" t="s">
        <v>28</v>
      </c>
      <c r="C6931" s="21" t="s">
        <v>1145</v>
      </c>
      <c r="D6931" s="21" t="s">
        <v>35</v>
      </c>
      <c r="E6931" s="17" t="s">
        <v>321</v>
      </c>
      <c r="F6931" s="17" t="s">
        <v>105</v>
      </c>
      <c r="G6931" s="18" t="s">
        <v>48</v>
      </c>
      <c r="H6931" s="24">
        <v>16020</v>
      </c>
      <c r="I6931" s="24">
        <f>T_reg.root.SK[[#This Row],[Volume, kg]]/1000</f>
        <v>16.02</v>
      </c>
      <c r="J6931" s="25">
        <v>0.23710000000000001</v>
      </c>
      <c r="K6931" s="25">
        <f t="shared" si="109"/>
        <v>3798.3420000000001</v>
      </c>
      <c r="L6931" s="25">
        <v>2.3199999999999998</v>
      </c>
      <c r="M6931" s="24">
        <v>37234.5</v>
      </c>
      <c r="N6931" s="25">
        <f>IFERROR(T_reg.root.SK[[#This Row],[Price]]/T_reg.root.SK[[#This Row],[Starch content]],"")</f>
        <v>9.7849008857022337</v>
      </c>
    </row>
    <row r="6932" spans="1:14">
      <c r="A6932" s="21">
        <v>2025</v>
      </c>
      <c r="B6932" s="21" t="s">
        <v>28</v>
      </c>
      <c r="C6932" s="21" t="s">
        <v>1145</v>
      </c>
      <c r="D6932" s="21" t="s">
        <v>35</v>
      </c>
      <c r="E6932" s="17" t="s">
        <v>324</v>
      </c>
      <c r="F6932" s="17" t="s">
        <v>105</v>
      </c>
      <c r="G6932" s="18" t="s">
        <v>48</v>
      </c>
      <c r="H6932" s="24">
        <v>18350</v>
      </c>
      <c r="I6932" s="24">
        <f>T_reg.root.SK[[#This Row],[Volume, kg]]/1000</f>
        <v>18.350000000000001</v>
      </c>
      <c r="J6932" s="25">
        <v>0.26090000000000002</v>
      </c>
      <c r="K6932" s="25">
        <f t="shared" si="109"/>
        <v>4787.5150000000003</v>
      </c>
      <c r="L6932" s="25">
        <v>2.4500000000000002</v>
      </c>
      <c r="M6932" s="24">
        <v>44957.5</v>
      </c>
      <c r="N6932" s="25">
        <f>IFERROR(T_reg.root.SK[[#This Row],[Price]]/T_reg.root.SK[[#This Row],[Starch content]],"")</f>
        <v>9.3905711000383292</v>
      </c>
    </row>
    <row r="6933" spans="1:14">
      <c r="A6933" s="21">
        <v>2025</v>
      </c>
      <c r="B6933" s="21" t="s">
        <v>28</v>
      </c>
      <c r="C6933" s="21" t="s">
        <v>1145</v>
      </c>
      <c r="D6933" s="21" t="s">
        <v>35</v>
      </c>
      <c r="E6933" s="17" t="s">
        <v>691</v>
      </c>
      <c r="F6933" s="17" t="s">
        <v>187</v>
      </c>
      <c r="G6933" s="18" t="s">
        <v>48</v>
      </c>
      <c r="H6933" s="24">
        <v>9500</v>
      </c>
      <c r="I6933" s="24">
        <f>T_reg.root.SK[[#This Row],[Volume, kg]]/1000</f>
        <v>9.5</v>
      </c>
      <c r="J6933" s="25">
        <v>0.2555</v>
      </c>
      <c r="K6933" s="25">
        <f t="shared" si="109"/>
        <v>2427.25</v>
      </c>
      <c r="L6933" s="25">
        <v>2.4500000000000002</v>
      </c>
      <c r="M6933" s="24">
        <v>23275</v>
      </c>
      <c r="N6933" s="25">
        <f>IFERROR(T_reg.root.SK[[#This Row],[Price]]/T_reg.root.SK[[#This Row],[Starch content]],"")</f>
        <v>9.589041095890412</v>
      </c>
    </row>
    <row r="6934" spans="1:14">
      <c r="A6934" s="21">
        <v>2025</v>
      </c>
      <c r="B6934" s="21" t="s">
        <v>28</v>
      </c>
      <c r="C6934" s="21" t="s">
        <v>1145</v>
      </c>
      <c r="D6934" s="21" t="s">
        <v>35</v>
      </c>
      <c r="E6934" s="17" t="s">
        <v>938</v>
      </c>
      <c r="F6934" s="17" t="s">
        <v>105</v>
      </c>
      <c r="G6934" s="18" t="s">
        <v>48</v>
      </c>
      <c r="H6934" s="24">
        <v>117680</v>
      </c>
      <c r="I6934" s="24">
        <f>T_reg.root.SK[[#This Row],[Volume, kg]]/1000</f>
        <v>117.68</v>
      </c>
      <c r="J6934" s="25">
        <v>0.26440000000000002</v>
      </c>
      <c r="K6934" s="25">
        <f t="shared" si="109"/>
        <v>31114.592000000004</v>
      </c>
      <c r="L6934" s="25">
        <v>2.46</v>
      </c>
      <c r="M6934" s="24">
        <v>290010</v>
      </c>
      <c r="N6934" s="25">
        <f>IFERROR(T_reg.root.SK[[#This Row],[Price]]/T_reg.root.SK[[#This Row],[Starch content]],"")</f>
        <v>9.3040847201210273</v>
      </c>
    </row>
    <row r="6935" spans="1:14">
      <c r="A6935" s="21">
        <v>2025</v>
      </c>
      <c r="B6935" s="21" t="s">
        <v>28</v>
      </c>
      <c r="C6935" s="21" t="s">
        <v>1145</v>
      </c>
      <c r="D6935" s="21" t="s">
        <v>35</v>
      </c>
      <c r="E6935" s="17" t="s">
        <v>968</v>
      </c>
      <c r="F6935" s="17" t="s">
        <v>105</v>
      </c>
      <c r="G6935" s="18" t="s">
        <v>48</v>
      </c>
      <c r="H6935" s="24">
        <v>20710</v>
      </c>
      <c r="I6935" s="24">
        <f>T_reg.root.SK[[#This Row],[Volume, kg]]/1000</f>
        <v>20.71</v>
      </c>
      <c r="J6935" s="25">
        <v>0.2606</v>
      </c>
      <c r="K6935" s="25">
        <f t="shared" si="109"/>
        <v>5397.0259999999998</v>
      </c>
      <c r="L6935" s="25">
        <v>2.4500000000000002</v>
      </c>
      <c r="M6935" s="24">
        <v>50703</v>
      </c>
      <c r="N6935" s="25">
        <f>IFERROR(T_reg.root.SK[[#This Row],[Price]]/T_reg.root.SK[[#This Row],[Starch content]],"")</f>
        <v>9.4013814274750587</v>
      </c>
    </row>
    <row r="6936" spans="1:14">
      <c r="A6936" s="21">
        <v>2025</v>
      </c>
      <c r="B6936" s="21" t="s">
        <v>28</v>
      </c>
      <c r="C6936" s="21" t="s">
        <v>1145</v>
      </c>
      <c r="D6936" s="21" t="s">
        <v>35</v>
      </c>
      <c r="E6936" s="17" t="s">
        <v>980</v>
      </c>
      <c r="F6936" s="17" t="s">
        <v>105</v>
      </c>
      <c r="G6936" s="18" t="s">
        <v>48</v>
      </c>
      <c r="H6936" s="24">
        <v>41940</v>
      </c>
      <c r="I6936" s="24">
        <f>T_reg.root.SK[[#This Row],[Volume, kg]]/1000</f>
        <v>41.94</v>
      </c>
      <c r="J6936" s="25">
        <v>0.2631</v>
      </c>
      <c r="K6936" s="25">
        <f t="shared" si="109"/>
        <v>11034.414000000001</v>
      </c>
      <c r="L6936" s="25">
        <v>2.46</v>
      </c>
      <c r="M6936" s="24">
        <v>103108.5</v>
      </c>
      <c r="N6936" s="25">
        <f>IFERROR(T_reg.root.SK[[#This Row],[Price]]/T_reg.root.SK[[#This Row],[Starch content]],"")</f>
        <v>9.3500570125427593</v>
      </c>
    </row>
    <row r="6937" spans="1:14">
      <c r="A6937" s="21">
        <v>2025</v>
      </c>
      <c r="B6937" s="21" t="s">
        <v>28</v>
      </c>
      <c r="C6937" s="21" t="s">
        <v>1145</v>
      </c>
      <c r="D6937" s="21" t="s">
        <v>35</v>
      </c>
      <c r="E6937" s="17" t="s">
        <v>994</v>
      </c>
      <c r="F6937" s="17" t="s">
        <v>105</v>
      </c>
      <c r="G6937" s="18" t="s">
        <v>48</v>
      </c>
      <c r="H6937" s="24">
        <v>38090</v>
      </c>
      <c r="I6937" s="24">
        <f>T_reg.root.SK[[#This Row],[Volume, kg]]/1000</f>
        <v>38.090000000000003</v>
      </c>
      <c r="J6937" s="25">
        <v>0.2576</v>
      </c>
      <c r="K6937" s="25">
        <f t="shared" si="109"/>
        <v>9811.9840000000004</v>
      </c>
      <c r="L6937" s="25">
        <v>2.44</v>
      </c>
      <c r="M6937" s="24">
        <v>92807</v>
      </c>
      <c r="N6937" s="25">
        <f>IFERROR(T_reg.root.SK[[#This Row],[Price]]/T_reg.root.SK[[#This Row],[Starch content]],"")</f>
        <v>9.4720496894409933</v>
      </c>
    </row>
    <row r="6938" spans="1:14">
      <c r="A6938" s="21">
        <v>2025</v>
      </c>
      <c r="B6938" s="21" t="s">
        <v>28</v>
      </c>
      <c r="C6938" s="21" t="s">
        <v>1145</v>
      </c>
      <c r="D6938" s="21" t="s">
        <v>35</v>
      </c>
      <c r="E6938" s="17" t="s">
        <v>325</v>
      </c>
      <c r="F6938" s="17" t="s">
        <v>105</v>
      </c>
      <c r="G6938" s="18" t="s">
        <v>48</v>
      </c>
      <c r="H6938" s="24">
        <v>13940</v>
      </c>
      <c r="I6938" s="24">
        <f>T_reg.root.SK[[#This Row],[Volume, kg]]/1000</f>
        <v>13.94</v>
      </c>
      <c r="J6938" s="25">
        <v>0.26900000000000002</v>
      </c>
      <c r="K6938" s="25">
        <f t="shared" si="109"/>
        <v>3749.86</v>
      </c>
      <c r="L6938" s="25">
        <v>2.5</v>
      </c>
      <c r="M6938" s="24">
        <v>34850</v>
      </c>
      <c r="N6938" s="25">
        <f>IFERROR(T_reg.root.SK[[#This Row],[Price]]/T_reg.root.SK[[#This Row],[Starch content]],"")</f>
        <v>9.2936802973977688</v>
      </c>
    </row>
    <row r="6939" spans="1:14">
      <c r="A6939" s="21">
        <v>2025</v>
      </c>
      <c r="B6939" s="21" t="s">
        <v>28</v>
      </c>
      <c r="C6939" s="21" t="s">
        <v>1145</v>
      </c>
      <c r="D6939" s="21" t="s">
        <v>35</v>
      </c>
      <c r="E6939" s="17" t="s">
        <v>335</v>
      </c>
      <c r="F6939" s="17" t="s">
        <v>187</v>
      </c>
      <c r="G6939" s="18" t="s">
        <v>48</v>
      </c>
      <c r="H6939" s="24">
        <v>7700</v>
      </c>
      <c r="I6939" s="24">
        <f>T_reg.root.SK[[#This Row],[Volume, kg]]/1000</f>
        <v>7.7</v>
      </c>
      <c r="J6939" s="25">
        <v>0.27900000000000003</v>
      </c>
      <c r="K6939" s="25">
        <f t="shared" si="109"/>
        <v>2148.3000000000002</v>
      </c>
      <c r="L6939" s="25">
        <v>2.5499999999999998</v>
      </c>
      <c r="M6939" s="24">
        <v>19635</v>
      </c>
      <c r="N6939" s="25">
        <f>IFERROR(T_reg.root.SK[[#This Row],[Price]]/T_reg.root.SK[[#This Row],[Starch content]],"")</f>
        <v>9.1397849462365581</v>
      </c>
    </row>
    <row r="6940" spans="1:14">
      <c r="A6940" s="21">
        <v>2025</v>
      </c>
      <c r="B6940" s="21" t="s">
        <v>28</v>
      </c>
      <c r="C6940" s="21" t="s">
        <v>1145</v>
      </c>
      <c r="D6940" s="21" t="s">
        <v>35</v>
      </c>
      <c r="E6940" s="17" t="s">
        <v>507</v>
      </c>
      <c r="F6940" s="17" t="s">
        <v>105</v>
      </c>
      <c r="G6940" s="18" t="s">
        <v>48</v>
      </c>
      <c r="H6940" s="24">
        <v>7870</v>
      </c>
      <c r="I6940" s="24">
        <f>T_reg.root.SK[[#This Row],[Volume, kg]]/1000</f>
        <v>7.87</v>
      </c>
      <c r="J6940" s="25">
        <v>0.26600000000000001</v>
      </c>
      <c r="K6940" s="25">
        <f t="shared" si="109"/>
        <v>2093.42</v>
      </c>
      <c r="L6940" s="25">
        <v>2.5</v>
      </c>
      <c r="M6940" s="24">
        <v>19675</v>
      </c>
      <c r="N6940" s="25">
        <f>IFERROR(T_reg.root.SK[[#This Row],[Price]]/T_reg.root.SK[[#This Row],[Starch content]],"")</f>
        <v>9.3984962406015029</v>
      </c>
    </row>
    <row r="6941" spans="1:14">
      <c r="A6941" s="21">
        <v>2025</v>
      </c>
      <c r="B6941" s="21" t="s">
        <v>28</v>
      </c>
      <c r="C6941" s="21" t="s">
        <v>1145</v>
      </c>
      <c r="D6941" s="21" t="s">
        <v>35</v>
      </c>
      <c r="E6941" s="17" t="s">
        <v>174</v>
      </c>
      <c r="F6941" s="17" t="s">
        <v>105</v>
      </c>
      <c r="G6941" s="18" t="s">
        <v>48</v>
      </c>
      <c r="H6941" s="24">
        <v>14260</v>
      </c>
      <c r="I6941" s="24">
        <f>T_reg.root.SK[[#This Row],[Volume, kg]]/1000</f>
        <v>14.26</v>
      </c>
      <c r="J6941" s="25">
        <v>0.25790000000000002</v>
      </c>
      <c r="K6941" s="25">
        <f t="shared" si="109"/>
        <v>3677.6540000000005</v>
      </c>
      <c r="L6941" s="25">
        <v>2.4</v>
      </c>
      <c r="M6941" s="24">
        <v>34224</v>
      </c>
      <c r="N6941" s="25">
        <f>IFERROR(T_reg.root.SK[[#This Row],[Price]]/T_reg.root.SK[[#This Row],[Starch content]],"")</f>
        <v>9.3059325319891428</v>
      </c>
    </row>
    <row r="6942" spans="1:14">
      <c r="A6942" s="21">
        <v>2025</v>
      </c>
      <c r="B6942" s="21" t="s">
        <v>28</v>
      </c>
      <c r="C6942" s="21" t="s">
        <v>1145</v>
      </c>
      <c r="D6942" s="21" t="s">
        <v>35</v>
      </c>
      <c r="E6942" s="17" t="s">
        <v>77</v>
      </c>
      <c r="F6942" s="17" t="s">
        <v>47</v>
      </c>
      <c r="G6942" s="18" t="s">
        <v>48</v>
      </c>
      <c r="H6942" s="24">
        <v>14670</v>
      </c>
      <c r="I6942" s="24">
        <f>T_reg.root.SK[[#This Row],[Volume, kg]]/1000</f>
        <v>14.67</v>
      </c>
      <c r="J6942" s="25">
        <v>0.2006</v>
      </c>
      <c r="K6942" s="25">
        <f t="shared" si="109"/>
        <v>2942.8020000000001</v>
      </c>
      <c r="L6942" s="25">
        <v>2.17</v>
      </c>
      <c r="M6942" s="24">
        <v>31858</v>
      </c>
      <c r="N6942" s="25">
        <f>IFERROR(T_reg.root.SK[[#This Row],[Price]]/T_reg.root.SK[[#This Row],[Starch content]],"")</f>
        <v>10.817547357926221</v>
      </c>
    </row>
    <row r="6943" spans="1:14">
      <c r="A6943" s="21">
        <v>2025</v>
      </c>
      <c r="B6943" s="21" t="s">
        <v>28</v>
      </c>
      <c r="C6943" s="21" t="s">
        <v>1145</v>
      </c>
      <c r="D6943" s="21" t="s">
        <v>39</v>
      </c>
      <c r="E6943" s="17" t="s">
        <v>88</v>
      </c>
      <c r="F6943" s="17" t="s">
        <v>89</v>
      </c>
      <c r="G6943" s="18" t="s">
        <v>90</v>
      </c>
      <c r="H6943" s="24">
        <v>3907100</v>
      </c>
      <c r="I6943" s="24">
        <f>T_reg.root.SK[[#This Row],[Volume, kg]]/1000</f>
        <v>3907.1</v>
      </c>
      <c r="J6943" s="25">
        <v>0.24640000000000001</v>
      </c>
      <c r="K6943" s="25">
        <f t="shared" si="109"/>
        <v>962709.44000000006</v>
      </c>
      <c r="L6943" s="25">
        <v>2.65</v>
      </c>
      <c r="M6943" s="24">
        <v>10339611</v>
      </c>
      <c r="N6943" s="25">
        <f>IFERROR(T_reg.root.SK[[#This Row],[Price]]/T_reg.root.SK[[#This Row],[Starch content]],"")</f>
        <v>10.754870129870129</v>
      </c>
    </row>
    <row r="6944" spans="1:14">
      <c r="A6944" s="21">
        <v>2025</v>
      </c>
      <c r="B6944" s="21" t="s">
        <v>28</v>
      </c>
      <c r="C6944" s="21" t="s">
        <v>1145</v>
      </c>
      <c r="D6944" s="21" t="s">
        <v>39</v>
      </c>
      <c r="E6944" s="17" t="s">
        <v>1054</v>
      </c>
      <c r="F6944" s="17" t="s">
        <v>1055</v>
      </c>
      <c r="G6944" s="18" t="s">
        <v>103</v>
      </c>
      <c r="H6944" s="24">
        <v>1089530</v>
      </c>
      <c r="I6944" s="24">
        <f>T_reg.root.SK[[#This Row],[Volume, kg]]/1000</f>
        <v>1089.53</v>
      </c>
      <c r="J6944" s="25">
        <v>0.24299999999999999</v>
      </c>
      <c r="K6944" s="25">
        <f t="shared" si="109"/>
        <v>264755.78999999998</v>
      </c>
      <c r="L6944" s="25">
        <v>2.64</v>
      </c>
      <c r="M6944" s="24">
        <v>2873130.5</v>
      </c>
      <c r="N6944" s="25">
        <f>IFERROR(T_reg.root.SK[[#This Row],[Price]]/T_reg.root.SK[[#This Row],[Starch content]],"")</f>
        <v>10.864197530864198</v>
      </c>
    </row>
    <row r="6945" spans="1:14">
      <c r="A6945" s="21">
        <v>2025</v>
      </c>
      <c r="B6945" s="21" t="s">
        <v>28</v>
      </c>
      <c r="C6945" s="21" t="s">
        <v>1145</v>
      </c>
      <c r="D6945" s="21" t="s">
        <v>35</v>
      </c>
      <c r="E6945" s="17" t="s">
        <v>761</v>
      </c>
      <c r="F6945" s="17" t="s">
        <v>187</v>
      </c>
      <c r="G6945" s="18" t="s">
        <v>48</v>
      </c>
      <c r="H6945" s="24">
        <v>9500</v>
      </c>
      <c r="I6945" s="24">
        <f>T_reg.root.SK[[#This Row],[Volume, kg]]/1000</f>
        <v>9.5</v>
      </c>
      <c r="J6945" s="25">
        <v>0.22750000000000001</v>
      </c>
      <c r="K6945" s="25">
        <f t="shared" si="109"/>
        <v>2161.25</v>
      </c>
      <c r="L6945" s="25">
        <v>2.25</v>
      </c>
      <c r="M6945" s="24">
        <v>21375</v>
      </c>
      <c r="N6945" s="25">
        <f>IFERROR(T_reg.root.SK[[#This Row],[Price]]/T_reg.root.SK[[#This Row],[Starch content]],"")</f>
        <v>9.8901098901098905</v>
      </c>
    </row>
    <row r="6946" spans="1:14">
      <c r="A6946" s="21">
        <v>2025</v>
      </c>
      <c r="B6946" s="21" t="s">
        <v>28</v>
      </c>
      <c r="C6946" s="21" t="s">
        <v>1145</v>
      </c>
      <c r="D6946" s="21" t="s">
        <v>35</v>
      </c>
      <c r="E6946" s="17" t="s">
        <v>508</v>
      </c>
      <c r="F6946" s="17" t="s">
        <v>105</v>
      </c>
      <c r="G6946" s="18" t="s">
        <v>48</v>
      </c>
      <c r="H6946" s="24">
        <v>23790</v>
      </c>
      <c r="I6946" s="24">
        <f>T_reg.root.SK[[#This Row],[Volume, kg]]/1000</f>
        <v>23.79</v>
      </c>
      <c r="J6946" s="25">
        <v>0.28549999999999998</v>
      </c>
      <c r="K6946" s="25">
        <f t="shared" si="109"/>
        <v>6792.0449999999992</v>
      </c>
      <c r="L6946" s="25">
        <v>2.59</v>
      </c>
      <c r="M6946" s="24">
        <v>61632</v>
      </c>
      <c r="N6946" s="25">
        <f>IFERROR(T_reg.root.SK[[#This Row],[Price]]/T_reg.root.SK[[#This Row],[Starch content]],"")</f>
        <v>9.0718038528896674</v>
      </c>
    </row>
    <row r="6947" spans="1:14">
      <c r="A6947" s="21">
        <v>2025</v>
      </c>
      <c r="B6947" s="21" t="s">
        <v>28</v>
      </c>
      <c r="C6947" s="21" t="s">
        <v>1145</v>
      </c>
      <c r="D6947" s="21" t="s">
        <v>35</v>
      </c>
      <c r="E6947" s="17" t="s">
        <v>175</v>
      </c>
      <c r="F6947" s="17" t="s">
        <v>105</v>
      </c>
      <c r="G6947" s="18" t="s">
        <v>48</v>
      </c>
      <c r="H6947" s="24">
        <v>8720</v>
      </c>
      <c r="I6947" s="24">
        <f>T_reg.root.SK[[#This Row],[Volume, kg]]/1000</f>
        <v>8.7200000000000006</v>
      </c>
      <c r="J6947" s="25">
        <v>0.17069999999999999</v>
      </c>
      <c r="K6947" s="25">
        <f t="shared" si="109"/>
        <v>1488.5039999999999</v>
      </c>
      <c r="L6947" s="25">
        <v>1.9</v>
      </c>
      <c r="M6947" s="24">
        <v>16568</v>
      </c>
      <c r="N6947" s="25">
        <f>IFERROR(T_reg.root.SK[[#This Row],[Price]]/T_reg.root.SK[[#This Row],[Starch content]],"")</f>
        <v>11.130638547158759</v>
      </c>
    </row>
    <row r="6948" spans="1:14">
      <c r="A6948" s="21">
        <v>2025</v>
      </c>
      <c r="B6948" s="21" t="s">
        <v>28</v>
      </c>
      <c r="C6948" s="21" t="s">
        <v>1145</v>
      </c>
      <c r="D6948" s="21" t="s">
        <v>35</v>
      </c>
      <c r="E6948" s="17" t="s">
        <v>176</v>
      </c>
      <c r="F6948" s="17" t="s">
        <v>105</v>
      </c>
      <c r="G6948" s="18" t="s">
        <v>48</v>
      </c>
      <c r="H6948" s="24">
        <v>92310</v>
      </c>
      <c r="I6948" s="24">
        <f>T_reg.root.SK[[#This Row],[Volume, kg]]/1000</f>
        <v>92.31</v>
      </c>
      <c r="J6948" s="25">
        <v>0.25840000000000002</v>
      </c>
      <c r="K6948" s="25">
        <f t="shared" si="109"/>
        <v>23852.904000000002</v>
      </c>
      <c r="L6948" s="25">
        <v>2.42</v>
      </c>
      <c r="M6948" s="24">
        <v>223429.5</v>
      </c>
      <c r="N6948" s="25">
        <f>IFERROR(T_reg.root.SK[[#This Row],[Price]]/T_reg.root.SK[[#This Row],[Starch content]],"")</f>
        <v>9.3653250773993797</v>
      </c>
    </row>
    <row r="6949" spans="1:14">
      <c r="A6949" s="21">
        <v>2025</v>
      </c>
      <c r="B6949" s="21" t="s">
        <v>28</v>
      </c>
      <c r="C6949" s="21" t="s">
        <v>1145</v>
      </c>
      <c r="D6949" s="21" t="s">
        <v>35</v>
      </c>
      <c r="E6949" s="17" t="s">
        <v>605</v>
      </c>
      <c r="F6949" s="17" t="s">
        <v>105</v>
      </c>
      <c r="G6949" s="18" t="s">
        <v>48</v>
      </c>
      <c r="H6949" s="24">
        <v>72410</v>
      </c>
      <c r="I6949" s="24">
        <f>T_reg.root.SK[[#This Row],[Volume, kg]]/1000</f>
        <v>72.41</v>
      </c>
      <c r="J6949" s="25">
        <v>0.22489999999999999</v>
      </c>
      <c r="K6949" s="25">
        <f t="shared" si="109"/>
        <v>16285.009</v>
      </c>
      <c r="L6949" s="25">
        <v>2.2200000000000002</v>
      </c>
      <c r="M6949" s="24">
        <v>160488.5</v>
      </c>
      <c r="N6949" s="25">
        <f>IFERROR(T_reg.root.SK[[#This Row],[Price]]/T_reg.root.SK[[#This Row],[Starch content]],"")</f>
        <v>9.8710538016896407</v>
      </c>
    </row>
    <row r="6950" spans="1:14">
      <c r="A6950" s="21">
        <v>2025</v>
      </c>
      <c r="B6950" s="21" t="s">
        <v>28</v>
      </c>
      <c r="C6950" s="21" t="s">
        <v>1145</v>
      </c>
      <c r="D6950" s="21" t="s">
        <v>35</v>
      </c>
      <c r="E6950" s="17" t="s">
        <v>1095</v>
      </c>
      <c r="F6950" s="17" t="s">
        <v>105</v>
      </c>
      <c r="G6950" s="18" t="s">
        <v>48</v>
      </c>
      <c r="H6950" s="24">
        <v>47540</v>
      </c>
      <c r="I6950" s="24">
        <f>T_reg.root.SK[[#This Row],[Volume, kg]]/1000</f>
        <v>47.54</v>
      </c>
      <c r="J6950" s="25">
        <v>0.24990000000000001</v>
      </c>
      <c r="K6950" s="25">
        <f t="shared" si="109"/>
        <v>11880.246000000001</v>
      </c>
      <c r="L6950" s="25">
        <v>2.39</v>
      </c>
      <c r="M6950" s="24">
        <v>113393</v>
      </c>
      <c r="N6950" s="25">
        <f>IFERROR(T_reg.root.SK[[#This Row],[Price]]/T_reg.root.SK[[#This Row],[Starch content]],"")</f>
        <v>9.5638255302120854</v>
      </c>
    </row>
    <row r="6951" spans="1:14">
      <c r="A6951" s="21">
        <v>2025</v>
      </c>
      <c r="B6951" s="21" t="s">
        <v>28</v>
      </c>
      <c r="C6951" s="21" t="s">
        <v>1145</v>
      </c>
      <c r="D6951" s="21" t="s">
        <v>35</v>
      </c>
      <c r="E6951" s="17" t="s">
        <v>259</v>
      </c>
      <c r="F6951" s="17" t="s">
        <v>105</v>
      </c>
      <c r="G6951" s="18" t="s">
        <v>48</v>
      </c>
      <c r="H6951" s="24">
        <v>19130</v>
      </c>
      <c r="I6951" s="24">
        <f>T_reg.root.SK[[#This Row],[Volume, kg]]/1000</f>
        <v>19.13</v>
      </c>
      <c r="J6951" s="25">
        <v>0.27329999999999999</v>
      </c>
      <c r="K6951" s="25">
        <f t="shared" si="109"/>
        <v>5228.2289999999994</v>
      </c>
      <c r="L6951" s="25">
        <v>2.5299999999999998</v>
      </c>
      <c r="M6951" s="24">
        <v>48325.5</v>
      </c>
      <c r="N6951" s="25">
        <f>IFERROR(T_reg.root.SK[[#This Row],[Price]]/T_reg.root.SK[[#This Row],[Starch content]],"")</f>
        <v>9.2572264910354924</v>
      </c>
    </row>
    <row r="6952" spans="1:14">
      <c r="A6952" s="21">
        <v>2025</v>
      </c>
      <c r="B6952" s="21" t="s">
        <v>28</v>
      </c>
      <c r="C6952" s="21" t="s">
        <v>1145</v>
      </c>
      <c r="D6952" s="21" t="s">
        <v>35</v>
      </c>
      <c r="E6952" s="17" t="s">
        <v>329</v>
      </c>
      <c r="F6952" s="17" t="s">
        <v>105</v>
      </c>
      <c r="G6952" s="18" t="s">
        <v>48</v>
      </c>
      <c r="H6952" s="24">
        <v>8370</v>
      </c>
      <c r="I6952" s="24">
        <f>T_reg.root.SK[[#This Row],[Volume, kg]]/1000</f>
        <v>8.3699999999999992</v>
      </c>
      <c r="J6952" s="25">
        <v>0.1925</v>
      </c>
      <c r="K6952" s="25">
        <f t="shared" si="109"/>
        <v>1611.2250000000001</v>
      </c>
      <c r="L6952" s="25">
        <v>2.1</v>
      </c>
      <c r="M6952" s="24">
        <v>17577</v>
      </c>
      <c r="N6952" s="25">
        <f>IFERROR(T_reg.root.SK[[#This Row],[Price]]/T_reg.root.SK[[#This Row],[Starch content]],"")</f>
        <v>10.90909090909091</v>
      </c>
    </row>
    <row r="6953" spans="1:14">
      <c r="A6953" s="21">
        <v>2025</v>
      </c>
      <c r="B6953" s="21" t="s">
        <v>28</v>
      </c>
      <c r="C6953" s="21" t="s">
        <v>1145</v>
      </c>
      <c r="D6953" s="21" t="s">
        <v>35</v>
      </c>
      <c r="E6953" s="17" t="s">
        <v>271</v>
      </c>
      <c r="F6953" s="17" t="s">
        <v>187</v>
      </c>
      <c r="G6953" s="18" t="s">
        <v>48</v>
      </c>
      <c r="H6953" s="24">
        <v>8710</v>
      </c>
      <c r="I6953" s="24">
        <f>T_reg.root.SK[[#This Row],[Volume, kg]]/1000</f>
        <v>8.7100000000000009</v>
      </c>
      <c r="J6953" s="25">
        <v>0.1893</v>
      </c>
      <c r="K6953" s="25">
        <f t="shared" si="109"/>
        <v>1648.8029999999999</v>
      </c>
      <c r="L6953" s="25">
        <v>2.1</v>
      </c>
      <c r="M6953" s="24">
        <v>18291</v>
      </c>
      <c r="N6953" s="25">
        <f>IFERROR(T_reg.root.SK[[#This Row],[Price]]/T_reg.root.SK[[#This Row],[Starch content]],"")</f>
        <v>11.093502377179082</v>
      </c>
    </row>
    <row r="6954" spans="1:14">
      <c r="A6954" s="21">
        <v>2025</v>
      </c>
      <c r="B6954" s="21" t="s">
        <v>28</v>
      </c>
      <c r="C6954" s="21" t="s">
        <v>1145</v>
      </c>
      <c r="D6954" s="21" t="s">
        <v>35</v>
      </c>
      <c r="E6954" s="17" t="s">
        <v>640</v>
      </c>
      <c r="F6954" s="17" t="s">
        <v>105</v>
      </c>
      <c r="G6954" s="18" t="s">
        <v>48</v>
      </c>
      <c r="H6954" s="24">
        <v>14370</v>
      </c>
      <c r="I6954" s="24">
        <f>T_reg.root.SK[[#This Row],[Volume, kg]]/1000</f>
        <v>14.37</v>
      </c>
      <c r="J6954" s="25">
        <v>0.25390000000000001</v>
      </c>
      <c r="K6954" s="25">
        <f t="shared" si="109"/>
        <v>3648.5430000000001</v>
      </c>
      <c r="L6954" s="25">
        <v>2.4300000000000002</v>
      </c>
      <c r="M6954" s="24">
        <v>34942</v>
      </c>
      <c r="N6954" s="25">
        <f>IFERROR(T_reg.root.SK[[#This Row],[Price]]/T_reg.root.SK[[#This Row],[Starch content]],"")</f>
        <v>9.5706971248523036</v>
      </c>
    </row>
    <row r="6955" spans="1:14">
      <c r="A6955" s="21">
        <v>2025</v>
      </c>
      <c r="B6955" s="21" t="s">
        <v>28</v>
      </c>
      <c r="C6955" s="21" t="s">
        <v>1145</v>
      </c>
      <c r="D6955" s="21" t="s">
        <v>35</v>
      </c>
      <c r="E6955" s="17" t="s">
        <v>969</v>
      </c>
      <c r="F6955" s="17" t="s">
        <v>105</v>
      </c>
      <c r="G6955" s="18" t="s">
        <v>48</v>
      </c>
      <c r="H6955" s="24">
        <v>24810</v>
      </c>
      <c r="I6955" s="24">
        <f>T_reg.root.SK[[#This Row],[Volume, kg]]/1000</f>
        <v>24.81</v>
      </c>
      <c r="J6955" s="25">
        <v>0.2087</v>
      </c>
      <c r="K6955" s="25">
        <f t="shared" si="109"/>
        <v>5177.8469999999998</v>
      </c>
      <c r="L6955" s="25">
        <v>2.2000000000000002</v>
      </c>
      <c r="M6955" s="24">
        <v>54547.5</v>
      </c>
      <c r="N6955" s="25">
        <f>IFERROR(T_reg.root.SK[[#This Row],[Price]]/T_reg.root.SK[[#This Row],[Starch content]],"")</f>
        <v>10.541447053186394</v>
      </c>
    </row>
    <row r="6956" spans="1:14">
      <c r="A6956" s="21">
        <v>2025</v>
      </c>
      <c r="B6956" s="21" t="s">
        <v>28</v>
      </c>
      <c r="C6956" s="21" t="s">
        <v>1145</v>
      </c>
      <c r="D6956" s="21" t="s">
        <v>35</v>
      </c>
      <c r="E6956" s="17" t="s">
        <v>183</v>
      </c>
      <c r="F6956" s="17" t="s">
        <v>105</v>
      </c>
      <c r="G6956" s="18" t="s">
        <v>48</v>
      </c>
      <c r="H6956" s="24">
        <v>44670</v>
      </c>
      <c r="I6956" s="24">
        <f>T_reg.root.SK[[#This Row],[Volume, kg]]/1000</f>
        <v>44.67</v>
      </c>
      <c r="J6956" s="25">
        <v>0.25140000000000001</v>
      </c>
      <c r="K6956" s="25">
        <f t="shared" si="109"/>
        <v>11230.038</v>
      </c>
      <c r="L6956" s="25">
        <v>2.39</v>
      </c>
      <c r="M6956" s="24">
        <v>106625</v>
      </c>
      <c r="N6956" s="25">
        <f>IFERROR(T_reg.root.SK[[#This Row],[Price]]/T_reg.root.SK[[#This Row],[Starch content]],"")</f>
        <v>9.5067621320604623</v>
      </c>
    </row>
    <row r="6957" spans="1:14">
      <c r="A6957" s="21">
        <v>2025</v>
      </c>
      <c r="B6957" s="21" t="s">
        <v>29</v>
      </c>
      <c r="C6957" s="21" t="s">
        <v>1145</v>
      </c>
      <c r="D6957" s="30" t="s">
        <v>184</v>
      </c>
      <c r="E6957" s="17" t="s">
        <v>185</v>
      </c>
      <c r="F6957" s="17" t="s">
        <v>105</v>
      </c>
      <c r="G6957" s="18" t="s">
        <v>48</v>
      </c>
      <c r="H6957" s="24">
        <v>46750</v>
      </c>
      <c r="I6957" s="24">
        <f>T_reg.root.SK[[#This Row],[Volume, kg]]/1000</f>
        <v>46.75</v>
      </c>
      <c r="J6957" s="25">
        <v>0.24719999999999998</v>
      </c>
      <c r="K6957" s="25">
        <f t="shared" si="109"/>
        <v>11556.599999999999</v>
      </c>
      <c r="L6957" s="25">
        <v>2.39</v>
      </c>
      <c r="M6957" s="24">
        <v>111756.5</v>
      </c>
      <c r="N6957" s="25">
        <f>IFERROR(T_reg.root.SK[[#This Row],[Price]]/T_reg.root.SK[[#This Row],[Starch content]],"")</f>
        <v>9.6682847896440141</v>
      </c>
    </row>
    <row r="6958" spans="1:14">
      <c r="A6958" s="21">
        <v>2025</v>
      </c>
      <c r="B6958" s="21" t="s">
        <v>29</v>
      </c>
      <c r="C6958" s="21" t="s">
        <v>1145</v>
      </c>
      <c r="D6958" s="21" t="s">
        <v>35</v>
      </c>
      <c r="E6958" s="17" t="s">
        <v>330</v>
      </c>
      <c r="F6958" s="17" t="s">
        <v>187</v>
      </c>
      <c r="G6958" s="18" t="s">
        <v>48</v>
      </c>
      <c r="H6958" s="24">
        <v>14950</v>
      </c>
      <c r="I6958" s="24">
        <f>T_reg.root.SK[[#This Row],[Volume, kg]]/1000</f>
        <v>14.95</v>
      </c>
      <c r="J6958" s="25">
        <v>0.28449999999999998</v>
      </c>
      <c r="K6958" s="25">
        <f t="shared" si="109"/>
        <v>4253.2749999999996</v>
      </c>
      <c r="L6958" s="25">
        <v>2.5499999999999998</v>
      </c>
      <c r="M6958" s="24">
        <v>38122.5</v>
      </c>
      <c r="N6958" s="25">
        <f>IFERROR(T_reg.root.SK[[#This Row],[Price]]/T_reg.root.SK[[#This Row],[Starch content]],"")</f>
        <v>8.9630931458699479</v>
      </c>
    </row>
    <row r="6959" spans="1:14">
      <c r="A6959" s="21">
        <v>2025</v>
      </c>
      <c r="B6959" s="21" t="s">
        <v>29</v>
      </c>
      <c r="C6959" s="21" t="s">
        <v>1145</v>
      </c>
      <c r="D6959" s="21" t="s">
        <v>35</v>
      </c>
      <c r="E6959" s="17" t="s">
        <v>1089</v>
      </c>
      <c r="F6959" s="17" t="s">
        <v>105</v>
      </c>
      <c r="G6959" s="18" t="s">
        <v>48</v>
      </c>
      <c r="H6959" s="24">
        <v>24690</v>
      </c>
      <c r="I6959" s="24">
        <f>T_reg.root.SK[[#This Row],[Volume, kg]]/1000</f>
        <v>24.69</v>
      </c>
      <c r="J6959" s="25">
        <v>0.27350000000000002</v>
      </c>
      <c r="K6959" s="25">
        <f t="shared" si="109"/>
        <v>6752.7150000000001</v>
      </c>
      <c r="L6959" s="25">
        <v>2.5</v>
      </c>
      <c r="M6959" s="24">
        <v>61817.5</v>
      </c>
      <c r="N6959" s="25">
        <f>IFERROR(T_reg.root.SK[[#This Row],[Price]]/T_reg.root.SK[[#This Row],[Starch content]],"")</f>
        <v>9.1407678244972566</v>
      </c>
    </row>
    <row r="6960" spans="1:14">
      <c r="A6960" s="21">
        <v>2025</v>
      </c>
      <c r="B6960" s="21" t="s">
        <v>29</v>
      </c>
      <c r="C6960" s="21" t="s">
        <v>1145</v>
      </c>
      <c r="D6960" s="21" t="s">
        <v>35</v>
      </c>
      <c r="E6960" s="17" t="s">
        <v>457</v>
      </c>
      <c r="F6960" s="17" t="s">
        <v>47</v>
      </c>
      <c r="G6960" s="18" t="s">
        <v>48</v>
      </c>
      <c r="H6960" s="24">
        <v>10010</v>
      </c>
      <c r="I6960" s="24">
        <f>T_reg.root.SK[[#This Row],[Volume, kg]]/1000</f>
        <v>10.01</v>
      </c>
      <c r="J6960" s="25">
        <v>0.27149999999999996</v>
      </c>
      <c r="K6960" s="25">
        <f t="shared" si="109"/>
        <v>2717.7149999999997</v>
      </c>
      <c r="L6960" s="25">
        <v>2.5499999999999998</v>
      </c>
      <c r="M6960" s="24">
        <v>25525.5</v>
      </c>
      <c r="N6960" s="25">
        <f>IFERROR(T_reg.root.SK[[#This Row],[Price]]/T_reg.root.SK[[#This Row],[Starch content]],"")</f>
        <v>9.3922651933701662</v>
      </c>
    </row>
    <row r="6961" spans="1:14">
      <c r="A6961" s="21">
        <v>2025</v>
      </c>
      <c r="B6961" s="21" t="s">
        <v>29</v>
      </c>
      <c r="C6961" s="21" t="s">
        <v>1145</v>
      </c>
      <c r="D6961" s="21" t="s">
        <v>35</v>
      </c>
      <c r="E6961" s="17" t="s">
        <v>733</v>
      </c>
      <c r="F6961" s="17" t="s">
        <v>105</v>
      </c>
      <c r="G6961" s="18" t="s">
        <v>48</v>
      </c>
      <c r="H6961" s="24">
        <v>107010</v>
      </c>
      <c r="I6961" s="24">
        <f>T_reg.root.SK[[#This Row],[Volume, kg]]/1000</f>
        <v>107.01</v>
      </c>
      <c r="J6961" s="25">
        <v>0.24030000000000001</v>
      </c>
      <c r="K6961" s="25">
        <f t="shared" si="109"/>
        <v>25714.503000000001</v>
      </c>
      <c r="L6961" s="25">
        <v>2.38</v>
      </c>
      <c r="M6961" s="24">
        <v>254401.5</v>
      </c>
      <c r="N6961" s="25">
        <f>IFERROR(T_reg.root.SK[[#This Row],[Price]]/T_reg.root.SK[[#This Row],[Starch content]],"")</f>
        <v>9.9042863087806889</v>
      </c>
    </row>
    <row r="6962" spans="1:14">
      <c r="A6962" s="21">
        <v>2025</v>
      </c>
      <c r="B6962" s="21" t="s">
        <v>29</v>
      </c>
      <c r="C6962" s="21" t="s">
        <v>1145</v>
      </c>
      <c r="D6962" s="21" t="s">
        <v>35</v>
      </c>
      <c r="E6962" s="17" t="s">
        <v>288</v>
      </c>
      <c r="F6962" s="17" t="s">
        <v>105</v>
      </c>
      <c r="G6962" s="18" t="s">
        <v>48</v>
      </c>
      <c r="H6962" s="24">
        <v>19700</v>
      </c>
      <c r="I6962" s="24">
        <f>T_reg.root.SK[[#This Row],[Volume, kg]]/1000</f>
        <v>19.7</v>
      </c>
      <c r="J6962" s="25">
        <v>0.2432</v>
      </c>
      <c r="K6962" s="25">
        <f t="shared" si="109"/>
        <v>4791.04</v>
      </c>
      <c r="L6962" s="25">
        <v>2.37</v>
      </c>
      <c r="M6962" s="24">
        <v>46785.5</v>
      </c>
      <c r="N6962" s="25">
        <f>IFERROR(T_reg.root.SK[[#This Row],[Price]]/T_reg.root.SK[[#This Row],[Starch content]],"")</f>
        <v>9.745065789473685</v>
      </c>
    </row>
    <row r="6963" spans="1:14">
      <c r="A6963" s="21">
        <v>2025</v>
      </c>
      <c r="B6963" s="21" t="s">
        <v>29</v>
      </c>
      <c r="C6963" s="21" t="s">
        <v>1145</v>
      </c>
      <c r="D6963" s="21" t="s">
        <v>39</v>
      </c>
      <c r="E6963" s="17" t="s">
        <v>1058</v>
      </c>
      <c r="F6963" s="17" t="s">
        <v>227</v>
      </c>
      <c r="G6963" s="18" t="s">
        <v>42</v>
      </c>
      <c r="H6963" s="24">
        <v>1313090</v>
      </c>
      <c r="I6963" s="24">
        <f>T_reg.root.SK[[#This Row],[Volume, kg]]/1000</f>
        <v>1313.09</v>
      </c>
      <c r="J6963" s="25">
        <v>0.26119999999999999</v>
      </c>
      <c r="K6963" s="25">
        <f t="shared" si="109"/>
        <v>342979.10800000001</v>
      </c>
      <c r="L6963" s="25">
        <v>2.72</v>
      </c>
      <c r="M6963" s="24">
        <v>3571254.5</v>
      </c>
      <c r="N6963" s="25">
        <f>IFERROR(T_reg.root.SK[[#This Row],[Price]]/T_reg.root.SK[[#This Row],[Starch content]],"")</f>
        <v>10.413476263399694</v>
      </c>
    </row>
    <row r="6964" spans="1:14">
      <c r="A6964" s="21">
        <v>2025</v>
      </c>
      <c r="B6964" s="21" t="s">
        <v>29</v>
      </c>
      <c r="C6964" s="21" t="s">
        <v>1145</v>
      </c>
      <c r="D6964" s="21" t="s">
        <v>35</v>
      </c>
      <c r="E6964" s="17" t="s">
        <v>289</v>
      </c>
      <c r="F6964" s="17" t="s">
        <v>105</v>
      </c>
      <c r="G6964" s="18" t="s">
        <v>48</v>
      </c>
      <c r="H6964" s="24">
        <v>13960</v>
      </c>
      <c r="I6964" s="24">
        <f>T_reg.root.SK[[#This Row],[Volume, kg]]/1000</f>
        <v>13.96</v>
      </c>
      <c r="J6964" s="25">
        <v>0.27899999999999997</v>
      </c>
      <c r="K6964" s="25">
        <f t="shared" si="109"/>
        <v>3894.8399999999997</v>
      </c>
      <c r="L6964" s="25">
        <v>2.5499999999999998</v>
      </c>
      <c r="M6964" s="24">
        <v>35598</v>
      </c>
      <c r="N6964" s="25">
        <f>IFERROR(T_reg.root.SK[[#This Row],[Price]]/T_reg.root.SK[[#This Row],[Starch content]],"")</f>
        <v>9.1397849462365599</v>
      </c>
    </row>
    <row r="6965" spans="1:14">
      <c r="A6965" s="21">
        <v>2025</v>
      </c>
      <c r="B6965" s="21" t="s">
        <v>29</v>
      </c>
      <c r="C6965" s="21" t="s">
        <v>1145</v>
      </c>
      <c r="D6965" s="21" t="s">
        <v>35</v>
      </c>
      <c r="E6965" s="17" t="s">
        <v>370</v>
      </c>
      <c r="F6965" s="17" t="s">
        <v>187</v>
      </c>
      <c r="G6965" s="18" t="s">
        <v>48</v>
      </c>
      <c r="H6965" s="24">
        <v>15940</v>
      </c>
      <c r="I6965" s="24">
        <f>T_reg.root.SK[[#This Row],[Volume, kg]]/1000</f>
        <v>15.94</v>
      </c>
      <c r="J6965" s="25">
        <v>0.26</v>
      </c>
      <c r="K6965" s="25">
        <f t="shared" si="109"/>
        <v>4144.4000000000005</v>
      </c>
      <c r="L6965" s="25">
        <v>2.46</v>
      </c>
      <c r="M6965" s="24">
        <v>39151</v>
      </c>
      <c r="N6965" s="25">
        <f>IFERROR(T_reg.root.SK[[#This Row],[Price]]/T_reg.root.SK[[#This Row],[Starch content]],"")</f>
        <v>9.4615384615384617</v>
      </c>
    </row>
    <row r="6966" spans="1:14">
      <c r="A6966" s="21">
        <v>2025</v>
      </c>
      <c r="B6966" s="21" t="s">
        <v>29</v>
      </c>
      <c r="C6966" s="21" t="s">
        <v>1145</v>
      </c>
      <c r="D6966" s="21" t="s">
        <v>35</v>
      </c>
      <c r="E6966" s="17" t="s">
        <v>401</v>
      </c>
      <c r="F6966" s="17" t="s">
        <v>105</v>
      </c>
      <c r="G6966" s="18" t="s">
        <v>48</v>
      </c>
      <c r="H6966" s="24">
        <v>22950</v>
      </c>
      <c r="I6966" s="24">
        <f>T_reg.root.SK[[#This Row],[Volume, kg]]/1000</f>
        <v>22.95</v>
      </c>
      <c r="J6966" s="25">
        <v>0.25579999999999997</v>
      </c>
      <c r="K6966" s="25">
        <f t="shared" si="109"/>
        <v>5870.61</v>
      </c>
      <c r="L6966" s="25">
        <v>2.4300000000000002</v>
      </c>
      <c r="M6966" s="24">
        <v>55669.5</v>
      </c>
      <c r="N6966" s="25">
        <f>IFERROR(T_reg.root.SK[[#This Row],[Price]]/T_reg.root.SK[[#This Row],[Starch content]],"")</f>
        <v>9.499609069585615</v>
      </c>
    </row>
    <row r="6967" spans="1:14">
      <c r="A6967" s="21">
        <v>2025</v>
      </c>
      <c r="B6967" s="21" t="s">
        <v>29</v>
      </c>
      <c r="C6967" s="21" t="s">
        <v>1145</v>
      </c>
      <c r="D6967" s="21" t="s">
        <v>35</v>
      </c>
      <c r="E6967" s="17" t="s">
        <v>713</v>
      </c>
      <c r="F6967" s="17" t="s">
        <v>105</v>
      </c>
      <c r="G6967" s="18" t="s">
        <v>48</v>
      </c>
      <c r="H6967" s="24">
        <v>148800</v>
      </c>
      <c r="I6967" s="24">
        <f>T_reg.root.SK[[#This Row],[Volume, kg]]/1000</f>
        <v>148.80000000000001</v>
      </c>
      <c r="J6967" s="25">
        <v>0.249</v>
      </c>
      <c r="K6967" s="25">
        <f t="shared" si="109"/>
        <v>37051.199999999997</v>
      </c>
      <c r="L6967" s="25">
        <v>2.4</v>
      </c>
      <c r="M6967" s="24">
        <v>357568.5</v>
      </c>
      <c r="N6967" s="25">
        <f>IFERROR(T_reg.root.SK[[#This Row],[Price]]/T_reg.root.SK[[#This Row],[Starch content]],"")</f>
        <v>9.6385542168674689</v>
      </c>
    </row>
    <row r="6968" spans="1:14">
      <c r="A6968" s="21">
        <v>2025</v>
      </c>
      <c r="B6968" s="21" t="s">
        <v>29</v>
      </c>
      <c r="C6968" s="21" t="s">
        <v>1145</v>
      </c>
      <c r="D6968" s="21" t="s">
        <v>35</v>
      </c>
      <c r="E6968" s="17" t="s">
        <v>109</v>
      </c>
      <c r="F6968" s="17" t="s">
        <v>105</v>
      </c>
      <c r="G6968" s="18" t="s">
        <v>48</v>
      </c>
      <c r="H6968" s="24">
        <v>43800</v>
      </c>
      <c r="I6968" s="24">
        <f>T_reg.root.SK[[#This Row],[Volume, kg]]/1000</f>
        <v>43.8</v>
      </c>
      <c r="J6968" s="25">
        <v>0.23730000000000001</v>
      </c>
      <c r="K6968" s="25">
        <f t="shared" si="109"/>
        <v>10393.74</v>
      </c>
      <c r="L6968" s="25">
        <v>2.34</v>
      </c>
      <c r="M6968" s="24">
        <v>102469.5</v>
      </c>
      <c r="N6968" s="25">
        <f>IFERROR(T_reg.root.SK[[#This Row],[Price]]/T_reg.root.SK[[#This Row],[Starch content]],"")</f>
        <v>9.8609355246523371</v>
      </c>
    </row>
    <row r="6969" spans="1:14">
      <c r="A6969" s="21">
        <v>2025</v>
      </c>
      <c r="B6969" s="21" t="s">
        <v>29</v>
      </c>
      <c r="C6969" s="21" t="s">
        <v>1145</v>
      </c>
      <c r="D6969" s="21" t="s">
        <v>35</v>
      </c>
      <c r="E6969" s="17" t="s">
        <v>110</v>
      </c>
      <c r="F6969" s="17" t="s">
        <v>105</v>
      </c>
      <c r="G6969" s="18" t="s">
        <v>48</v>
      </c>
      <c r="H6969" s="24">
        <v>95720</v>
      </c>
      <c r="I6969" s="24">
        <f>T_reg.root.SK[[#This Row],[Volume, kg]]/1000</f>
        <v>95.72</v>
      </c>
      <c r="J6969" s="25">
        <v>0.23920000000000002</v>
      </c>
      <c r="K6969" s="25">
        <f t="shared" si="109"/>
        <v>22896.224000000002</v>
      </c>
      <c r="L6969" s="25">
        <v>2.35</v>
      </c>
      <c r="M6969" s="24">
        <v>225064</v>
      </c>
      <c r="N6969" s="25">
        <f>IFERROR(T_reg.root.SK[[#This Row],[Price]]/T_reg.root.SK[[#This Row],[Starch content]],"")</f>
        <v>9.8244147157190636</v>
      </c>
    </row>
    <row r="6970" spans="1:14">
      <c r="A6970" s="21">
        <v>2025</v>
      </c>
      <c r="B6970" s="21" t="s">
        <v>29</v>
      </c>
      <c r="C6970" s="21" t="s">
        <v>1145</v>
      </c>
      <c r="D6970" s="21" t="s">
        <v>35</v>
      </c>
      <c r="E6970" s="17" t="s">
        <v>192</v>
      </c>
      <c r="F6970" s="17" t="s">
        <v>187</v>
      </c>
      <c r="G6970" s="18" t="s">
        <v>48</v>
      </c>
      <c r="H6970" s="24">
        <v>30150</v>
      </c>
      <c r="I6970" s="24">
        <f>T_reg.root.SK[[#This Row],[Volume, kg]]/1000</f>
        <v>30.15</v>
      </c>
      <c r="J6970" s="25">
        <v>0.25329999999999997</v>
      </c>
      <c r="K6970" s="25">
        <f t="shared" si="109"/>
        <v>7636.994999999999</v>
      </c>
      <c r="L6970" s="25">
        <v>2.42</v>
      </c>
      <c r="M6970" s="24">
        <v>72896.5</v>
      </c>
      <c r="N6970" s="25">
        <f>IFERROR(T_reg.root.SK[[#This Row],[Price]]/T_reg.root.SK[[#This Row],[Starch content]],"")</f>
        <v>9.5538886695617862</v>
      </c>
    </row>
    <row r="6971" spans="1:14">
      <c r="A6971" s="21">
        <v>2025</v>
      </c>
      <c r="B6971" s="21" t="s">
        <v>29</v>
      </c>
      <c r="C6971" s="21" t="s">
        <v>1145</v>
      </c>
      <c r="D6971" s="21" t="s">
        <v>35</v>
      </c>
      <c r="E6971" s="17" t="s">
        <v>1086</v>
      </c>
      <c r="F6971" s="17" t="s">
        <v>105</v>
      </c>
      <c r="G6971" s="18" t="s">
        <v>48</v>
      </c>
      <c r="H6971" s="24">
        <v>39880</v>
      </c>
      <c r="I6971" s="24">
        <f>T_reg.root.SK[[#This Row],[Volume, kg]]/1000</f>
        <v>39.880000000000003</v>
      </c>
      <c r="J6971" s="25">
        <v>0.27560000000000001</v>
      </c>
      <c r="K6971" s="25">
        <f t="shared" si="109"/>
        <v>10990.928</v>
      </c>
      <c r="L6971" s="25">
        <v>2.5499999999999998</v>
      </c>
      <c r="M6971" s="24">
        <v>101792</v>
      </c>
      <c r="N6971" s="25">
        <f>IFERROR(T_reg.root.SK[[#This Row],[Price]]/T_reg.root.SK[[#This Row],[Starch content]],"")</f>
        <v>9.2525399129172712</v>
      </c>
    </row>
    <row r="6972" spans="1:14">
      <c r="A6972" s="21">
        <v>2025</v>
      </c>
      <c r="B6972" s="21" t="s">
        <v>29</v>
      </c>
      <c r="C6972" s="21" t="s">
        <v>1145</v>
      </c>
      <c r="D6972" s="21" t="s">
        <v>35</v>
      </c>
      <c r="E6972" s="17" t="s">
        <v>276</v>
      </c>
      <c r="F6972" s="17" t="s">
        <v>95</v>
      </c>
      <c r="G6972" s="18" t="s">
        <v>48</v>
      </c>
      <c r="H6972" s="24">
        <v>68860</v>
      </c>
      <c r="I6972" s="24">
        <f>T_reg.root.SK[[#This Row],[Volume, kg]]/1000</f>
        <v>68.86</v>
      </c>
      <c r="J6972" s="25">
        <v>0.2109</v>
      </c>
      <c r="K6972" s="25">
        <f t="shared" si="109"/>
        <v>14522.574000000001</v>
      </c>
      <c r="L6972" s="25">
        <v>2.21</v>
      </c>
      <c r="M6972" s="24">
        <v>151961</v>
      </c>
      <c r="N6972" s="25">
        <f>IFERROR(T_reg.root.SK[[#This Row],[Price]]/T_reg.root.SK[[#This Row],[Starch content]],"")</f>
        <v>10.478899952584163</v>
      </c>
    </row>
    <row r="6973" spans="1:14">
      <c r="A6973" s="21">
        <v>2025</v>
      </c>
      <c r="B6973" s="21" t="s">
        <v>29</v>
      </c>
      <c r="C6973" s="21" t="s">
        <v>1145</v>
      </c>
      <c r="D6973" s="21" t="s">
        <v>35</v>
      </c>
      <c r="E6973" s="17" t="s">
        <v>734</v>
      </c>
      <c r="F6973" s="17" t="s">
        <v>105</v>
      </c>
      <c r="G6973" s="18" t="s">
        <v>48</v>
      </c>
      <c r="H6973" s="24">
        <v>117780</v>
      </c>
      <c r="I6973" s="24">
        <f>T_reg.root.SK[[#This Row],[Volume, kg]]/1000</f>
        <v>117.78</v>
      </c>
      <c r="J6973" s="25">
        <v>0.25090000000000001</v>
      </c>
      <c r="K6973" s="25">
        <f t="shared" si="109"/>
        <v>29551.002</v>
      </c>
      <c r="L6973" s="25">
        <v>2.4</v>
      </c>
      <c r="M6973" s="24">
        <v>282873.5</v>
      </c>
      <c r="N6973" s="25">
        <f>IFERROR(T_reg.root.SK[[#This Row],[Price]]/T_reg.root.SK[[#This Row],[Starch content]],"")</f>
        <v>9.5655639697090464</v>
      </c>
    </row>
    <row r="6974" spans="1:14">
      <c r="A6974" s="21">
        <v>2025</v>
      </c>
      <c r="B6974" s="21" t="s">
        <v>29</v>
      </c>
      <c r="C6974" s="21" t="s">
        <v>1145</v>
      </c>
      <c r="D6974" s="21" t="s">
        <v>35</v>
      </c>
      <c r="E6974" s="17" t="s">
        <v>654</v>
      </c>
      <c r="F6974" s="17" t="s">
        <v>47</v>
      </c>
      <c r="G6974" s="18" t="s">
        <v>48</v>
      </c>
      <c r="H6974" s="24">
        <v>150050</v>
      </c>
      <c r="I6974" s="24">
        <f>T_reg.root.SK[[#This Row],[Volume, kg]]/1000</f>
        <v>150.05000000000001</v>
      </c>
      <c r="J6974" s="25">
        <v>0.24600000000000002</v>
      </c>
      <c r="K6974" s="25">
        <f t="shared" si="109"/>
        <v>36912.300000000003</v>
      </c>
      <c r="L6974" s="25">
        <v>2.39</v>
      </c>
      <c r="M6974" s="24">
        <v>358915</v>
      </c>
      <c r="N6974" s="25">
        <f>IFERROR(T_reg.root.SK[[#This Row],[Price]]/T_reg.root.SK[[#This Row],[Starch content]],"")</f>
        <v>9.7154471544715442</v>
      </c>
    </row>
    <row r="6975" spans="1:14">
      <c r="A6975" s="21">
        <v>2025</v>
      </c>
      <c r="B6975" s="21" t="s">
        <v>29</v>
      </c>
      <c r="C6975" s="21" t="s">
        <v>1145</v>
      </c>
      <c r="D6975" s="21" t="s">
        <v>35</v>
      </c>
      <c r="E6975" s="17" t="s">
        <v>112</v>
      </c>
      <c r="F6975" s="17" t="s">
        <v>105</v>
      </c>
      <c r="G6975" s="18" t="s">
        <v>48</v>
      </c>
      <c r="H6975" s="24">
        <v>10060</v>
      </c>
      <c r="I6975" s="24">
        <f>T_reg.root.SK[[#This Row],[Volume, kg]]/1000</f>
        <v>10.06</v>
      </c>
      <c r="J6975" s="25">
        <v>0.2545</v>
      </c>
      <c r="K6975" s="25">
        <f t="shared" si="109"/>
        <v>2560.27</v>
      </c>
      <c r="L6975" s="25">
        <v>2.4</v>
      </c>
      <c r="M6975" s="24">
        <v>24144</v>
      </c>
      <c r="N6975" s="25">
        <f>IFERROR(T_reg.root.SK[[#This Row],[Price]]/T_reg.root.SK[[#This Row],[Starch content]],"")</f>
        <v>9.4302554027504915</v>
      </c>
    </row>
    <row r="6976" spans="1:14">
      <c r="A6976" s="21">
        <v>2025</v>
      </c>
      <c r="B6976" s="21" t="s">
        <v>29</v>
      </c>
      <c r="C6976" s="21" t="s">
        <v>1145</v>
      </c>
      <c r="D6976" s="21" t="s">
        <v>35</v>
      </c>
      <c r="E6976" s="17" t="s">
        <v>665</v>
      </c>
      <c r="F6976" s="17" t="s">
        <v>105</v>
      </c>
      <c r="G6976" s="18" t="s">
        <v>48</v>
      </c>
      <c r="H6976" s="24">
        <v>38270</v>
      </c>
      <c r="I6976" s="24">
        <f>T_reg.root.SK[[#This Row],[Volume, kg]]/1000</f>
        <v>38.270000000000003</v>
      </c>
      <c r="J6976" s="25">
        <v>0.22519999999999998</v>
      </c>
      <c r="K6976" s="25">
        <f t="shared" si="109"/>
        <v>8618.4039999999986</v>
      </c>
      <c r="L6976" s="25">
        <v>2.2799999999999998</v>
      </c>
      <c r="M6976" s="24">
        <v>87378.5</v>
      </c>
      <c r="N6976" s="25">
        <f>IFERROR(T_reg.root.SK[[#This Row],[Price]]/T_reg.root.SK[[#This Row],[Starch content]],"")</f>
        <v>10.124333925399645</v>
      </c>
    </row>
    <row r="6977" spans="1:14">
      <c r="A6977" s="21">
        <v>2025</v>
      </c>
      <c r="B6977" s="21" t="s">
        <v>29</v>
      </c>
      <c r="C6977" s="21" t="s">
        <v>1145</v>
      </c>
      <c r="D6977" s="21" t="s">
        <v>35</v>
      </c>
      <c r="E6977" s="17" t="s">
        <v>803</v>
      </c>
      <c r="F6977" s="17" t="s">
        <v>105</v>
      </c>
      <c r="G6977" s="18" t="s">
        <v>48</v>
      </c>
      <c r="H6977" s="24">
        <v>10820</v>
      </c>
      <c r="I6977" s="24">
        <f>T_reg.root.SK[[#This Row],[Volume, kg]]/1000</f>
        <v>10.82</v>
      </c>
      <c r="J6977" s="25">
        <v>0.27949999999999997</v>
      </c>
      <c r="K6977" s="25">
        <f t="shared" si="109"/>
        <v>3024.1899999999996</v>
      </c>
      <c r="L6977" s="25">
        <v>2.5499999999999998</v>
      </c>
      <c r="M6977" s="24">
        <v>27591</v>
      </c>
      <c r="N6977" s="25">
        <f>IFERROR(T_reg.root.SK[[#This Row],[Price]]/T_reg.root.SK[[#This Row],[Starch content]],"")</f>
        <v>9.1234347048300535</v>
      </c>
    </row>
    <row r="6978" spans="1:14">
      <c r="A6978" s="21">
        <v>2025</v>
      </c>
      <c r="B6978" s="21" t="s">
        <v>29</v>
      </c>
      <c r="C6978" s="21" t="s">
        <v>1145</v>
      </c>
      <c r="D6978" s="21" t="s">
        <v>39</v>
      </c>
      <c r="E6978" s="17" t="s">
        <v>284</v>
      </c>
      <c r="F6978" s="17" t="s">
        <v>285</v>
      </c>
      <c r="G6978" s="18" t="s">
        <v>286</v>
      </c>
      <c r="H6978" s="24">
        <v>29670</v>
      </c>
      <c r="I6978" s="24">
        <f>T_reg.root.SK[[#This Row],[Volume, kg]]/1000</f>
        <v>29.67</v>
      </c>
      <c r="J6978" s="25">
        <v>0.24249999999999999</v>
      </c>
      <c r="K6978" s="25">
        <f t="shared" si="109"/>
        <v>7194.9749999999995</v>
      </c>
      <c r="L6978" s="25">
        <v>2.65</v>
      </c>
      <c r="M6978" s="24">
        <v>78625.5</v>
      </c>
      <c r="N6978" s="25">
        <f>IFERROR(T_reg.root.SK[[#This Row],[Price]]/T_reg.root.SK[[#This Row],[Starch content]],"")</f>
        <v>10.927835051546392</v>
      </c>
    </row>
    <row r="6979" spans="1:14">
      <c r="A6979" s="21">
        <v>2025</v>
      </c>
      <c r="B6979" s="21" t="s">
        <v>29</v>
      </c>
      <c r="C6979" s="21" t="s">
        <v>1145</v>
      </c>
      <c r="D6979" s="21" t="s">
        <v>35</v>
      </c>
      <c r="E6979" s="17" t="s">
        <v>234</v>
      </c>
      <c r="F6979" s="17" t="s">
        <v>105</v>
      </c>
      <c r="G6979" s="18" t="s">
        <v>48</v>
      </c>
      <c r="H6979" s="24">
        <v>19210</v>
      </c>
      <c r="I6979" s="24">
        <f>T_reg.root.SK[[#This Row],[Volume, kg]]/1000</f>
        <v>19.21</v>
      </c>
      <c r="J6979" s="25">
        <v>0.26850000000000002</v>
      </c>
      <c r="K6979" s="25">
        <f t="shared" si="109"/>
        <v>5157.8850000000002</v>
      </c>
      <c r="L6979" s="25">
        <v>2.5</v>
      </c>
      <c r="M6979" s="24">
        <v>48025</v>
      </c>
      <c r="N6979" s="25">
        <f>IFERROR(T_reg.root.SK[[#This Row],[Price]]/T_reg.root.SK[[#This Row],[Starch content]],"")</f>
        <v>9.3109869646182482</v>
      </c>
    </row>
    <row r="6980" spans="1:14">
      <c r="A6980" s="21">
        <v>2025</v>
      </c>
      <c r="B6980" s="21" t="s">
        <v>29</v>
      </c>
      <c r="C6980" s="21" t="s">
        <v>1145</v>
      </c>
      <c r="D6980" s="21" t="s">
        <v>35</v>
      </c>
      <c r="E6980" s="17" t="s">
        <v>1090</v>
      </c>
      <c r="F6980" s="17" t="s">
        <v>105</v>
      </c>
      <c r="G6980" s="18" t="s">
        <v>48</v>
      </c>
      <c r="H6980" s="24">
        <v>6910</v>
      </c>
      <c r="I6980" s="24">
        <f>T_reg.root.SK[[#This Row],[Volume, kg]]/1000</f>
        <v>6.91</v>
      </c>
      <c r="J6980" s="25">
        <v>0.26450000000000001</v>
      </c>
      <c r="K6980" s="25">
        <f t="shared" si="109"/>
        <v>1827.6950000000002</v>
      </c>
      <c r="L6980" s="25">
        <v>2.4500000000000002</v>
      </c>
      <c r="M6980" s="24">
        <v>16929.5</v>
      </c>
      <c r="N6980" s="25">
        <f>IFERROR(T_reg.root.SK[[#This Row],[Price]]/T_reg.root.SK[[#This Row],[Starch content]],"")</f>
        <v>9.2627599243856338</v>
      </c>
    </row>
    <row r="6981" spans="1:14">
      <c r="A6981" s="21">
        <v>2025</v>
      </c>
      <c r="B6981" s="21" t="s">
        <v>29</v>
      </c>
      <c r="C6981" s="21" t="s">
        <v>1145</v>
      </c>
      <c r="D6981" s="21" t="s">
        <v>35</v>
      </c>
      <c r="E6981" s="17" t="s">
        <v>460</v>
      </c>
      <c r="F6981" s="17" t="s">
        <v>47</v>
      </c>
      <c r="G6981" s="18" t="s">
        <v>48</v>
      </c>
      <c r="H6981" s="24">
        <v>13540</v>
      </c>
      <c r="I6981" s="24">
        <f>T_reg.root.SK[[#This Row],[Volume, kg]]/1000</f>
        <v>13.54</v>
      </c>
      <c r="J6981" s="25">
        <v>0.22800000000000001</v>
      </c>
      <c r="K6981" s="25">
        <f t="shared" si="109"/>
        <v>3087.12</v>
      </c>
      <c r="L6981" s="25">
        <v>2.29</v>
      </c>
      <c r="M6981" s="24">
        <v>30965</v>
      </c>
      <c r="N6981" s="25">
        <f>IFERROR(T_reg.root.SK[[#This Row],[Price]]/T_reg.root.SK[[#This Row],[Starch content]],"")</f>
        <v>10.043859649122806</v>
      </c>
    </row>
    <row r="6982" spans="1:14">
      <c r="A6982" s="21">
        <v>2025</v>
      </c>
      <c r="B6982" s="21" t="s">
        <v>29</v>
      </c>
      <c r="C6982" s="21" t="s">
        <v>1145</v>
      </c>
      <c r="D6982" s="21" t="s">
        <v>35</v>
      </c>
      <c r="E6982" s="17" t="s">
        <v>666</v>
      </c>
      <c r="F6982" s="17" t="s">
        <v>105</v>
      </c>
      <c r="G6982" s="18" t="s">
        <v>48</v>
      </c>
      <c r="H6982" s="24">
        <v>15040</v>
      </c>
      <c r="I6982" s="24">
        <f>T_reg.root.SK[[#This Row],[Volume, kg]]/1000</f>
        <v>15.04</v>
      </c>
      <c r="J6982" s="25">
        <v>0.2636</v>
      </c>
      <c r="K6982" s="25">
        <f t="shared" si="109"/>
        <v>3964.5439999999999</v>
      </c>
      <c r="L6982" s="25">
        <v>2.4700000000000002</v>
      </c>
      <c r="M6982" s="24">
        <v>37210</v>
      </c>
      <c r="N6982" s="25">
        <f>IFERROR(T_reg.root.SK[[#This Row],[Price]]/T_reg.root.SK[[#This Row],[Starch content]],"")</f>
        <v>9.3702579666160855</v>
      </c>
    </row>
    <row r="6983" spans="1:14">
      <c r="A6983" s="21">
        <v>2025</v>
      </c>
      <c r="B6983" s="21" t="s">
        <v>29</v>
      </c>
      <c r="C6983" s="21" t="s">
        <v>1145</v>
      </c>
      <c r="D6983" s="21" t="s">
        <v>39</v>
      </c>
      <c r="E6983" s="17" t="s">
        <v>997</v>
      </c>
      <c r="F6983" s="17" t="s">
        <v>998</v>
      </c>
      <c r="G6983" s="18" t="s">
        <v>87</v>
      </c>
      <c r="H6983" s="24">
        <v>30270</v>
      </c>
      <c r="I6983" s="24">
        <f>T_reg.root.SK[[#This Row],[Volume, kg]]/1000</f>
        <v>30.27</v>
      </c>
      <c r="J6983" s="25">
        <v>0.26350000000000001</v>
      </c>
      <c r="K6983" s="25">
        <f t="shared" si="109"/>
        <v>7976.1450000000004</v>
      </c>
      <c r="L6983" s="25">
        <v>2.75</v>
      </c>
      <c r="M6983" s="24">
        <v>83242.5</v>
      </c>
      <c r="N6983" s="25">
        <f>IFERROR(T_reg.root.SK[[#This Row],[Price]]/T_reg.root.SK[[#This Row],[Starch content]],"")</f>
        <v>10.436432637571157</v>
      </c>
    </row>
    <row r="6984" spans="1:14">
      <c r="A6984" s="21">
        <v>2025</v>
      </c>
      <c r="B6984" s="21" t="s">
        <v>29</v>
      </c>
      <c r="C6984" s="21" t="s">
        <v>1145</v>
      </c>
      <c r="D6984" s="21" t="s">
        <v>35</v>
      </c>
      <c r="E6984" s="17" t="s">
        <v>557</v>
      </c>
      <c r="F6984" s="17" t="s">
        <v>105</v>
      </c>
      <c r="G6984" s="18" t="s">
        <v>48</v>
      </c>
      <c r="H6984" s="24">
        <v>64410</v>
      </c>
      <c r="I6984" s="24">
        <f>T_reg.root.SK[[#This Row],[Volume, kg]]/1000</f>
        <v>64.41</v>
      </c>
      <c r="J6984" s="25">
        <v>0.2782</v>
      </c>
      <c r="K6984" s="25">
        <f t="shared" si="109"/>
        <v>17918.862000000001</v>
      </c>
      <c r="L6984" s="25">
        <v>2.54</v>
      </c>
      <c r="M6984" s="24">
        <v>163577.5</v>
      </c>
      <c r="N6984" s="25">
        <f>IFERROR(T_reg.root.SK[[#This Row],[Price]]/T_reg.root.SK[[#This Row],[Starch content]],"")</f>
        <v>9.1301222142343637</v>
      </c>
    </row>
    <row r="6985" spans="1:14">
      <c r="A6985" s="21">
        <v>2025</v>
      </c>
      <c r="B6985" s="21" t="s">
        <v>29</v>
      </c>
      <c r="C6985" s="21" t="s">
        <v>1145</v>
      </c>
      <c r="D6985" s="21" t="s">
        <v>35</v>
      </c>
      <c r="E6985" s="17" t="s">
        <v>600</v>
      </c>
      <c r="F6985" s="17" t="s">
        <v>105</v>
      </c>
      <c r="G6985" s="18" t="s">
        <v>48</v>
      </c>
      <c r="H6985" s="24">
        <v>22240</v>
      </c>
      <c r="I6985" s="24">
        <f>T_reg.root.SK[[#This Row],[Volume, kg]]/1000</f>
        <v>22.24</v>
      </c>
      <c r="J6985" s="25">
        <v>0.26539999999999997</v>
      </c>
      <c r="K6985" s="25">
        <f t="shared" si="109"/>
        <v>5902.4959999999992</v>
      </c>
      <c r="L6985" s="25">
        <v>2.4900000000000002</v>
      </c>
      <c r="M6985" s="24">
        <v>55303.5</v>
      </c>
      <c r="N6985" s="25">
        <f>IFERROR(T_reg.root.SK[[#This Row],[Price]]/T_reg.root.SK[[#This Row],[Starch content]],"")</f>
        <v>9.382064807837228</v>
      </c>
    </row>
    <row r="6986" spans="1:14">
      <c r="A6986" s="21">
        <v>2025</v>
      </c>
      <c r="B6986" s="21" t="s">
        <v>29</v>
      </c>
      <c r="C6986" s="21" t="s">
        <v>1145</v>
      </c>
      <c r="D6986" s="21" t="s">
        <v>35</v>
      </c>
      <c r="E6986" s="17" t="s">
        <v>235</v>
      </c>
      <c r="F6986" s="17" t="s">
        <v>105</v>
      </c>
      <c r="G6986" s="18" t="s">
        <v>48</v>
      </c>
      <c r="H6986" s="24">
        <v>26360</v>
      </c>
      <c r="I6986" s="24">
        <f>T_reg.root.SK[[#This Row],[Volume, kg]]/1000</f>
        <v>26.36</v>
      </c>
      <c r="J6986" s="25">
        <v>0.2152</v>
      </c>
      <c r="K6986" s="25">
        <f t="shared" si="109"/>
        <v>5672.6720000000005</v>
      </c>
      <c r="L6986" s="25">
        <v>2.25</v>
      </c>
      <c r="M6986" s="24">
        <v>59389</v>
      </c>
      <c r="N6986" s="25">
        <f>IFERROR(T_reg.root.SK[[#This Row],[Price]]/T_reg.root.SK[[#This Row],[Starch content]],"")</f>
        <v>10.45539033457249</v>
      </c>
    </row>
    <row r="6987" spans="1:14">
      <c r="A6987" s="21">
        <v>2025</v>
      </c>
      <c r="B6987" s="21" t="s">
        <v>29</v>
      </c>
      <c r="C6987" s="21" t="s">
        <v>1145</v>
      </c>
      <c r="D6987" s="21" t="s">
        <v>35</v>
      </c>
      <c r="E6987" s="17" t="s">
        <v>685</v>
      </c>
      <c r="F6987" s="17" t="s">
        <v>105</v>
      </c>
      <c r="G6987" s="18" t="s">
        <v>48</v>
      </c>
      <c r="H6987" s="24">
        <v>158990</v>
      </c>
      <c r="I6987" s="24">
        <f>T_reg.root.SK[[#This Row],[Volume, kg]]/1000</f>
        <v>158.99</v>
      </c>
      <c r="J6987" s="25">
        <v>0.25379999999999997</v>
      </c>
      <c r="K6987" s="25">
        <f t="shared" si="109"/>
        <v>40351.661999999997</v>
      </c>
      <c r="L6987" s="25">
        <v>2.4300000000000002</v>
      </c>
      <c r="M6987" s="24">
        <v>386143.5</v>
      </c>
      <c r="N6987" s="25">
        <f>IFERROR(T_reg.root.SK[[#This Row],[Price]]/T_reg.root.SK[[#This Row],[Starch content]],"")</f>
        <v>9.5744680851063855</v>
      </c>
    </row>
    <row r="6988" spans="1:14">
      <c r="A6988" s="21">
        <v>2025</v>
      </c>
      <c r="B6988" s="21" t="s">
        <v>29</v>
      </c>
      <c r="C6988" s="21" t="s">
        <v>1145</v>
      </c>
      <c r="D6988" s="21" t="s">
        <v>35</v>
      </c>
      <c r="E6988" s="17" t="s">
        <v>681</v>
      </c>
      <c r="F6988" s="17" t="s">
        <v>95</v>
      </c>
      <c r="G6988" s="18" t="s">
        <v>48</v>
      </c>
      <c r="H6988" s="24">
        <v>30390</v>
      </c>
      <c r="I6988" s="24">
        <f>T_reg.root.SK[[#This Row],[Volume, kg]]/1000</f>
        <v>30.39</v>
      </c>
      <c r="J6988" s="25">
        <v>0.22469999999999998</v>
      </c>
      <c r="K6988" s="25">
        <f t="shared" si="109"/>
        <v>6828.6329999999998</v>
      </c>
      <c r="L6988" s="25">
        <v>2.2799999999999998</v>
      </c>
      <c r="M6988" s="24">
        <v>69395.5</v>
      </c>
      <c r="N6988" s="25">
        <f>IFERROR(T_reg.root.SK[[#This Row],[Price]]/T_reg.root.SK[[#This Row],[Starch content]],"")</f>
        <v>10.146862483311081</v>
      </c>
    </row>
    <row r="6989" spans="1:14">
      <c r="A6989" s="21">
        <v>2025</v>
      </c>
      <c r="B6989" s="21" t="s">
        <v>29</v>
      </c>
      <c r="C6989" s="21" t="s">
        <v>1145</v>
      </c>
      <c r="D6989" s="21" t="s">
        <v>35</v>
      </c>
      <c r="E6989" s="17" t="s">
        <v>752</v>
      </c>
      <c r="F6989" s="17" t="s">
        <v>105</v>
      </c>
      <c r="G6989" s="18" t="s">
        <v>48</v>
      </c>
      <c r="H6989" s="24">
        <v>18340</v>
      </c>
      <c r="I6989" s="24">
        <f>T_reg.root.SK[[#This Row],[Volume, kg]]/1000</f>
        <v>18.34</v>
      </c>
      <c r="J6989" s="25">
        <v>0.2291</v>
      </c>
      <c r="K6989" s="25">
        <f t="shared" si="109"/>
        <v>4201.6940000000004</v>
      </c>
      <c r="L6989" s="25">
        <v>2.35</v>
      </c>
      <c r="M6989" s="24">
        <v>43111</v>
      </c>
      <c r="N6989" s="25">
        <f>IFERROR(T_reg.root.SK[[#This Row],[Price]]/T_reg.root.SK[[#This Row],[Starch content]],"")</f>
        <v>10.257529463116544</v>
      </c>
    </row>
    <row r="6990" spans="1:14">
      <c r="A6990" s="21">
        <v>2025</v>
      </c>
      <c r="B6990" s="21" t="s">
        <v>29</v>
      </c>
      <c r="C6990" s="21" t="s">
        <v>1145</v>
      </c>
      <c r="D6990" s="21" t="s">
        <v>35</v>
      </c>
      <c r="E6990" s="17" t="s">
        <v>1059</v>
      </c>
      <c r="F6990" s="17" t="s">
        <v>105</v>
      </c>
      <c r="G6990" s="18" t="s">
        <v>48</v>
      </c>
      <c r="H6990" s="24">
        <v>1970</v>
      </c>
      <c r="I6990" s="24">
        <f>T_reg.root.SK[[#This Row],[Volume, kg]]/1000</f>
        <v>1.97</v>
      </c>
      <c r="J6990" s="25">
        <v>0.27350000000000002</v>
      </c>
      <c r="K6990" s="25">
        <f t="shared" si="109"/>
        <v>538.79500000000007</v>
      </c>
      <c r="L6990" s="25">
        <v>2.5499999999999998</v>
      </c>
      <c r="M6990" s="24">
        <v>5023.5</v>
      </c>
      <c r="N6990" s="25">
        <f>IFERROR(T_reg.root.SK[[#This Row],[Price]]/T_reg.root.SK[[#This Row],[Starch content]],"")</f>
        <v>9.3235831809872014</v>
      </c>
    </row>
    <row r="6991" spans="1:14">
      <c r="A6991" s="21">
        <v>2025</v>
      </c>
      <c r="B6991" s="21" t="s">
        <v>29</v>
      </c>
      <c r="C6991" s="21" t="s">
        <v>1145</v>
      </c>
      <c r="D6991" s="21" t="s">
        <v>39</v>
      </c>
      <c r="E6991" s="17" t="s">
        <v>1096</v>
      </c>
      <c r="F6991" s="17" t="s">
        <v>89</v>
      </c>
      <c r="G6991" s="18" t="s">
        <v>90</v>
      </c>
      <c r="H6991" s="24">
        <v>2705520</v>
      </c>
      <c r="I6991" s="24">
        <f>T_reg.root.SK[[#This Row],[Volume, kg]]/1000</f>
        <v>2705.52</v>
      </c>
      <c r="J6991" s="25">
        <v>0.24729999999999999</v>
      </c>
      <c r="K6991" s="25">
        <f t="shared" ref="K6991:K7054" si="110">H6991*J6991</f>
        <v>669075.09600000002</v>
      </c>
      <c r="L6991" s="25">
        <v>2.66</v>
      </c>
      <c r="M6991" s="24">
        <v>7187239.5</v>
      </c>
      <c r="N6991" s="25">
        <f>IFERROR(T_reg.root.SK[[#This Row],[Price]]/T_reg.root.SK[[#This Row],[Starch content]],"")</f>
        <v>10.75616659927214</v>
      </c>
    </row>
    <row r="6992" spans="1:14">
      <c r="A6992" s="21">
        <v>2025</v>
      </c>
      <c r="B6992" s="21" t="s">
        <v>29</v>
      </c>
      <c r="C6992" s="21" t="s">
        <v>1145</v>
      </c>
      <c r="D6992" s="21" t="s">
        <v>39</v>
      </c>
      <c r="E6992" s="17" t="s">
        <v>1060</v>
      </c>
      <c r="F6992" s="17" t="s">
        <v>1018</v>
      </c>
      <c r="G6992" s="18" t="s">
        <v>103</v>
      </c>
      <c r="H6992" s="24">
        <v>29460</v>
      </c>
      <c r="I6992" s="24">
        <f>T_reg.root.SK[[#This Row],[Volume, kg]]/1000</f>
        <v>29.46</v>
      </c>
      <c r="J6992" s="25">
        <v>0.29469999999999996</v>
      </c>
      <c r="K6992" s="25">
        <f t="shared" si="110"/>
        <v>8681.8619999999992</v>
      </c>
      <c r="L6992" s="25">
        <v>2.9</v>
      </c>
      <c r="M6992" s="24">
        <v>85434</v>
      </c>
      <c r="N6992" s="25">
        <f>IFERROR(T_reg.root.SK[[#This Row],[Price]]/T_reg.root.SK[[#This Row],[Starch content]],"")</f>
        <v>9.8405157787580606</v>
      </c>
    </row>
    <row r="6993" spans="1:14">
      <c r="A6993" s="21">
        <v>2025</v>
      </c>
      <c r="B6993" s="21" t="s">
        <v>29</v>
      </c>
      <c r="C6993" s="21" t="s">
        <v>1145</v>
      </c>
      <c r="D6993" s="21" t="s">
        <v>35</v>
      </c>
      <c r="E6993" s="17" t="s">
        <v>236</v>
      </c>
      <c r="F6993" s="17" t="s">
        <v>105</v>
      </c>
      <c r="G6993" s="18" t="s">
        <v>48</v>
      </c>
      <c r="H6993" s="24">
        <v>29180</v>
      </c>
      <c r="I6993" s="24">
        <f>T_reg.root.SK[[#This Row],[Volume, kg]]/1000</f>
        <v>29.18</v>
      </c>
      <c r="J6993" s="25">
        <v>0.28070000000000001</v>
      </c>
      <c r="K6993" s="25">
        <f t="shared" si="110"/>
        <v>8190.826</v>
      </c>
      <c r="L6993" s="25">
        <v>2.5499999999999998</v>
      </c>
      <c r="M6993" s="24">
        <v>74423</v>
      </c>
      <c r="N6993" s="25">
        <f>IFERROR(T_reg.root.SK[[#This Row],[Price]]/T_reg.root.SK[[#This Row],[Starch content]],"")</f>
        <v>9.0844317776986099</v>
      </c>
    </row>
    <row r="6994" spans="1:14">
      <c r="A6994" s="21">
        <v>2025</v>
      </c>
      <c r="B6994" s="21" t="s">
        <v>29</v>
      </c>
      <c r="C6994" s="21" t="s">
        <v>1145</v>
      </c>
      <c r="D6994" s="21" t="s">
        <v>35</v>
      </c>
      <c r="E6994" s="17" t="s">
        <v>296</v>
      </c>
      <c r="F6994" s="17" t="s">
        <v>105</v>
      </c>
      <c r="G6994" s="18" t="s">
        <v>48</v>
      </c>
      <c r="H6994" s="24">
        <v>67280</v>
      </c>
      <c r="I6994" s="24">
        <f>T_reg.root.SK[[#This Row],[Volume, kg]]/1000</f>
        <v>67.28</v>
      </c>
      <c r="J6994" s="25">
        <v>0.25650000000000001</v>
      </c>
      <c r="K6994" s="25">
        <f t="shared" si="110"/>
        <v>17257.32</v>
      </c>
      <c r="L6994" s="25">
        <v>2.44</v>
      </c>
      <c r="M6994" s="24">
        <v>164178.5</v>
      </c>
      <c r="N6994" s="25">
        <f>IFERROR(T_reg.root.SK[[#This Row],[Price]]/T_reg.root.SK[[#This Row],[Starch content]],"")</f>
        <v>9.5126705653021446</v>
      </c>
    </row>
    <row r="6995" spans="1:14">
      <c r="A6995" s="21">
        <v>2025</v>
      </c>
      <c r="B6995" s="21" t="s">
        <v>29</v>
      </c>
      <c r="C6995" s="21" t="s">
        <v>1145</v>
      </c>
      <c r="D6995" s="21" t="s">
        <v>35</v>
      </c>
      <c r="E6995" s="17" t="s">
        <v>589</v>
      </c>
      <c r="F6995" s="17" t="s">
        <v>187</v>
      </c>
      <c r="G6995" s="18" t="s">
        <v>48</v>
      </c>
      <c r="H6995" s="24">
        <v>17900</v>
      </c>
      <c r="I6995" s="24">
        <f>T_reg.root.SK[[#This Row],[Volume, kg]]/1000</f>
        <v>17.899999999999999</v>
      </c>
      <c r="J6995" s="25">
        <v>0.28789999999999999</v>
      </c>
      <c r="K6995" s="25">
        <f t="shared" si="110"/>
        <v>5153.41</v>
      </c>
      <c r="L6995" s="25">
        <v>2.6</v>
      </c>
      <c r="M6995" s="24">
        <v>46540</v>
      </c>
      <c r="N6995" s="25">
        <f>IFERROR(T_reg.root.SK[[#This Row],[Price]]/T_reg.root.SK[[#This Row],[Starch content]],"")</f>
        <v>9.0309135116359851</v>
      </c>
    </row>
    <row r="6996" spans="1:14">
      <c r="A6996" s="21">
        <v>2025</v>
      </c>
      <c r="B6996" s="21" t="s">
        <v>29</v>
      </c>
      <c r="C6996" s="21" t="s">
        <v>1145</v>
      </c>
      <c r="D6996" s="21" t="s">
        <v>35</v>
      </c>
      <c r="E6996" s="17" t="s">
        <v>118</v>
      </c>
      <c r="F6996" s="17" t="s">
        <v>105</v>
      </c>
      <c r="G6996" s="18" t="s">
        <v>48</v>
      </c>
      <c r="H6996" s="24">
        <v>263470</v>
      </c>
      <c r="I6996" s="24">
        <f>T_reg.root.SK[[#This Row],[Volume, kg]]/1000</f>
        <v>263.47000000000003</v>
      </c>
      <c r="J6996" s="25">
        <v>0.25900000000000001</v>
      </c>
      <c r="K6996" s="25">
        <f t="shared" si="110"/>
        <v>68238.73</v>
      </c>
      <c r="L6996" s="25">
        <v>2.44</v>
      </c>
      <c r="M6996" s="24">
        <v>643916.5</v>
      </c>
      <c r="N6996" s="25">
        <f>IFERROR(T_reg.root.SK[[#This Row],[Price]]/T_reg.root.SK[[#This Row],[Starch content]],"")</f>
        <v>9.4208494208494198</v>
      </c>
    </row>
    <row r="6997" spans="1:14">
      <c r="A6997" s="21">
        <v>2025</v>
      </c>
      <c r="B6997" s="21" t="s">
        <v>29</v>
      </c>
      <c r="C6997" s="21" t="s">
        <v>1145</v>
      </c>
      <c r="D6997" s="21" t="s">
        <v>39</v>
      </c>
      <c r="E6997" s="17" t="s">
        <v>101</v>
      </c>
      <c r="F6997" s="17" t="s">
        <v>102</v>
      </c>
      <c r="G6997" s="18" t="s">
        <v>103</v>
      </c>
      <c r="H6997" s="24">
        <v>926230</v>
      </c>
      <c r="I6997" s="24">
        <f>T_reg.root.SK[[#This Row],[Volume, kg]]/1000</f>
        <v>926.23</v>
      </c>
      <c r="J6997" s="25">
        <v>0.2661</v>
      </c>
      <c r="K6997" s="25">
        <f t="shared" si="110"/>
        <v>246469.80300000001</v>
      </c>
      <c r="L6997" s="25">
        <v>2.76</v>
      </c>
      <c r="M6997" s="24">
        <v>2551895</v>
      </c>
      <c r="N6997" s="25">
        <f>IFERROR(T_reg.root.SK[[#This Row],[Price]]/T_reg.root.SK[[#This Row],[Starch content]],"")</f>
        <v>10.372040586245772</v>
      </c>
    </row>
    <row r="6998" spans="1:14">
      <c r="A6998" s="21">
        <v>2025</v>
      </c>
      <c r="B6998" s="21" t="s">
        <v>29</v>
      </c>
      <c r="C6998" s="21" t="s">
        <v>1145</v>
      </c>
      <c r="D6998" s="21" t="s">
        <v>35</v>
      </c>
      <c r="E6998" s="17" t="s">
        <v>122</v>
      </c>
      <c r="F6998" s="17" t="s">
        <v>105</v>
      </c>
      <c r="G6998" s="18" t="s">
        <v>48</v>
      </c>
      <c r="H6998" s="24">
        <v>110310</v>
      </c>
      <c r="I6998" s="24">
        <f>T_reg.root.SK[[#This Row],[Volume, kg]]/1000</f>
        <v>110.31</v>
      </c>
      <c r="J6998" s="25">
        <v>0.26350000000000001</v>
      </c>
      <c r="K6998" s="25">
        <f t="shared" si="110"/>
        <v>29066.685000000001</v>
      </c>
      <c r="L6998" s="25">
        <v>2.4700000000000002</v>
      </c>
      <c r="M6998" s="24">
        <v>272398.5</v>
      </c>
      <c r="N6998" s="25">
        <f>IFERROR(T_reg.root.SK[[#This Row],[Price]]/T_reg.root.SK[[#This Row],[Starch content]],"")</f>
        <v>9.3738140417457316</v>
      </c>
    </row>
    <row r="6999" spans="1:14">
      <c r="A6999" s="21">
        <v>2025</v>
      </c>
      <c r="B6999" s="21" t="s">
        <v>29</v>
      </c>
      <c r="C6999" s="21" t="s">
        <v>1145</v>
      </c>
      <c r="D6999" s="21" t="s">
        <v>35</v>
      </c>
      <c r="E6999" s="17" t="s">
        <v>123</v>
      </c>
      <c r="F6999" s="17" t="s">
        <v>105</v>
      </c>
      <c r="G6999" s="18" t="s">
        <v>48</v>
      </c>
      <c r="H6999" s="24">
        <v>4370</v>
      </c>
      <c r="I6999" s="24">
        <f>T_reg.root.SK[[#This Row],[Volume, kg]]/1000</f>
        <v>4.37</v>
      </c>
      <c r="J6999" s="25">
        <v>0.2445</v>
      </c>
      <c r="K6999" s="25">
        <f t="shared" si="110"/>
        <v>1068.4649999999999</v>
      </c>
      <c r="L6999" s="25">
        <v>2.35</v>
      </c>
      <c r="M6999" s="24">
        <v>10269.5</v>
      </c>
      <c r="N6999" s="25">
        <f>IFERROR(T_reg.root.SK[[#This Row],[Price]]/T_reg.root.SK[[#This Row],[Starch content]],"")</f>
        <v>9.6114519427402865</v>
      </c>
    </row>
    <row r="7000" spans="1:14">
      <c r="A7000" s="21">
        <v>2025</v>
      </c>
      <c r="B7000" s="21" t="s">
        <v>29</v>
      </c>
      <c r="C7000" s="21" t="s">
        <v>1145</v>
      </c>
      <c r="D7000" s="21" t="s">
        <v>39</v>
      </c>
      <c r="E7000" s="17" t="s">
        <v>98</v>
      </c>
      <c r="F7000" s="17" t="s">
        <v>99</v>
      </c>
      <c r="G7000" s="18" t="s">
        <v>42</v>
      </c>
      <c r="H7000" s="24">
        <v>3565690</v>
      </c>
      <c r="I7000" s="24">
        <f>T_reg.root.SK[[#This Row],[Volume, kg]]/1000</f>
        <v>3565.69</v>
      </c>
      <c r="J7000" s="25">
        <v>0.25800000000000001</v>
      </c>
      <c r="K7000" s="25">
        <f t="shared" si="110"/>
        <v>919948.02</v>
      </c>
      <c r="L7000" s="25">
        <v>2.71</v>
      </c>
      <c r="M7000" s="24">
        <v>9653015</v>
      </c>
      <c r="N7000" s="25">
        <f>IFERROR(T_reg.root.SK[[#This Row],[Price]]/T_reg.root.SK[[#This Row],[Starch content]],"")</f>
        <v>10.503875968992247</v>
      </c>
    </row>
    <row r="7001" spans="1:14">
      <c r="A7001" s="21">
        <v>2025</v>
      </c>
      <c r="B7001" s="21" t="s">
        <v>29</v>
      </c>
      <c r="C7001" s="21" t="s">
        <v>1145</v>
      </c>
      <c r="D7001" s="21" t="s">
        <v>39</v>
      </c>
      <c r="E7001" s="17" t="s">
        <v>346</v>
      </c>
      <c r="F7001" s="17" t="s">
        <v>99</v>
      </c>
      <c r="G7001" s="18" t="s">
        <v>42</v>
      </c>
      <c r="H7001" s="24">
        <v>272940</v>
      </c>
      <c r="I7001" s="24">
        <f>T_reg.root.SK[[#This Row],[Volume, kg]]/1000</f>
        <v>272.94</v>
      </c>
      <c r="J7001" s="25">
        <v>0.2384</v>
      </c>
      <c r="K7001" s="25">
        <f t="shared" si="110"/>
        <v>65068.896000000001</v>
      </c>
      <c r="L7001" s="25">
        <v>2.63</v>
      </c>
      <c r="M7001" s="24">
        <v>717223.5</v>
      </c>
      <c r="N7001" s="25">
        <f>IFERROR(T_reg.root.SK[[#This Row],[Price]]/T_reg.root.SK[[#This Row],[Starch content]],"")</f>
        <v>11.031879194630871</v>
      </c>
    </row>
    <row r="7002" spans="1:14">
      <c r="A7002" s="21">
        <v>2025</v>
      </c>
      <c r="B7002" s="21" t="s">
        <v>29</v>
      </c>
      <c r="C7002" s="21" t="s">
        <v>1145</v>
      </c>
      <c r="D7002" s="21" t="s">
        <v>35</v>
      </c>
      <c r="E7002" s="17" t="s">
        <v>946</v>
      </c>
      <c r="F7002" s="17" t="s">
        <v>105</v>
      </c>
      <c r="G7002" s="18" t="s">
        <v>48</v>
      </c>
      <c r="H7002" s="24">
        <v>37410</v>
      </c>
      <c r="I7002" s="24">
        <f>T_reg.root.SK[[#This Row],[Volume, kg]]/1000</f>
        <v>37.409999999999997</v>
      </c>
      <c r="J7002" s="25">
        <v>0.25850000000000001</v>
      </c>
      <c r="K7002" s="25">
        <f t="shared" si="110"/>
        <v>9670.4850000000006</v>
      </c>
      <c r="L7002" s="25">
        <v>2.4500000000000002</v>
      </c>
      <c r="M7002" s="24">
        <v>91695</v>
      </c>
      <c r="N7002" s="25">
        <f>IFERROR(T_reg.root.SK[[#This Row],[Price]]/T_reg.root.SK[[#This Row],[Starch content]],"")</f>
        <v>9.4777562862669242</v>
      </c>
    </row>
    <row r="7003" spans="1:14">
      <c r="A7003" s="21">
        <v>2025</v>
      </c>
      <c r="B7003" s="21" t="s">
        <v>29</v>
      </c>
      <c r="C7003" s="21" t="s">
        <v>1145</v>
      </c>
      <c r="D7003" s="21" t="s">
        <v>35</v>
      </c>
      <c r="E7003" s="17" t="s">
        <v>239</v>
      </c>
      <c r="F7003" s="17" t="s">
        <v>105</v>
      </c>
      <c r="G7003" s="18" t="s">
        <v>48</v>
      </c>
      <c r="H7003" s="24">
        <v>13710</v>
      </c>
      <c r="I7003" s="24">
        <f>T_reg.root.SK[[#This Row],[Volume, kg]]/1000</f>
        <v>13.71</v>
      </c>
      <c r="J7003" s="25">
        <v>0.25469999999999998</v>
      </c>
      <c r="K7003" s="25">
        <f t="shared" si="110"/>
        <v>3491.9369999999999</v>
      </c>
      <c r="L7003" s="25">
        <v>2.41</v>
      </c>
      <c r="M7003" s="24">
        <v>33042</v>
      </c>
      <c r="N7003" s="25">
        <f>IFERROR(T_reg.root.SK[[#This Row],[Price]]/T_reg.root.SK[[#This Row],[Starch content]],"")</f>
        <v>9.4621122889674147</v>
      </c>
    </row>
    <row r="7004" spans="1:14">
      <c r="A7004" s="21">
        <v>2025</v>
      </c>
      <c r="B7004" s="21" t="s">
        <v>29</v>
      </c>
      <c r="C7004" s="21" t="s">
        <v>1145</v>
      </c>
      <c r="D7004" s="21" t="s">
        <v>35</v>
      </c>
      <c r="E7004" s="17" t="s">
        <v>625</v>
      </c>
      <c r="F7004" s="17" t="s">
        <v>47</v>
      </c>
      <c r="G7004" s="18" t="s">
        <v>48</v>
      </c>
      <c r="H7004" s="24">
        <v>9820</v>
      </c>
      <c r="I7004" s="24">
        <f>T_reg.root.SK[[#This Row],[Volume, kg]]/1000</f>
        <v>9.82</v>
      </c>
      <c r="J7004" s="25">
        <v>0.20949999999999999</v>
      </c>
      <c r="K7004" s="25">
        <f t="shared" si="110"/>
        <v>2057.29</v>
      </c>
      <c r="L7004" s="25">
        <v>2.2000000000000002</v>
      </c>
      <c r="M7004" s="24">
        <v>21604</v>
      </c>
      <c r="N7004" s="25">
        <f>IFERROR(T_reg.root.SK[[#This Row],[Price]]/T_reg.root.SK[[#This Row],[Starch content]],"")</f>
        <v>10.501193317422436</v>
      </c>
    </row>
    <row r="7005" spans="1:14">
      <c r="A7005" s="21">
        <v>2025</v>
      </c>
      <c r="B7005" s="21" t="s">
        <v>29</v>
      </c>
      <c r="C7005" s="21" t="s">
        <v>1145</v>
      </c>
      <c r="D7005" s="21" t="s">
        <v>35</v>
      </c>
      <c r="E7005" s="17" t="s">
        <v>124</v>
      </c>
      <c r="F7005" s="17" t="s">
        <v>105</v>
      </c>
      <c r="G7005" s="18" t="s">
        <v>48</v>
      </c>
      <c r="H7005" s="24">
        <v>44440</v>
      </c>
      <c r="I7005" s="24">
        <f>T_reg.root.SK[[#This Row],[Volume, kg]]/1000</f>
        <v>44.44</v>
      </c>
      <c r="J7005" s="25">
        <v>0.26590000000000003</v>
      </c>
      <c r="K7005" s="25">
        <f t="shared" si="110"/>
        <v>11816.596000000001</v>
      </c>
      <c r="L7005" s="25">
        <v>2.48</v>
      </c>
      <c r="M7005" s="24">
        <v>110071.5</v>
      </c>
      <c r="N7005" s="25">
        <f>IFERROR(T_reg.root.SK[[#This Row],[Price]]/T_reg.root.SK[[#This Row],[Starch content]],"")</f>
        <v>9.3268145919518606</v>
      </c>
    </row>
    <row r="7006" spans="1:14">
      <c r="A7006" s="21">
        <v>2025</v>
      </c>
      <c r="B7006" s="21" t="s">
        <v>29</v>
      </c>
      <c r="C7006" s="21" t="s">
        <v>1145</v>
      </c>
      <c r="D7006" s="21" t="s">
        <v>35</v>
      </c>
      <c r="E7006" s="17" t="s">
        <v>563</v>
      </c>
      <c r="F7006" s="17" t="s">
        <v>105</v>
      </c>
      <c r="G7006" s="18" t="s">
        <v>48</v>
      </c>
      <c r="H7006" s="24">
        <v>1880</v>
      </c>
      <c r="I7006" s="24">
        <f>T_reg.root.SK[[#This Row],[Volume, kg]]/1000</f>
        <v>1.88</v>
      </c>
      <c r="J7006" s="25">
        <v>0.25900000000000001</v>
      </c>
      <c r="K7006" s="25">
        <f t="shared" si="110"/>
        <v>486.92</v>
      </c>
      <c r="L7006" s="25">
        <v>2.5</v>
      </c>
      <c r="M7006" s="24">
        <v>4700</v>
      </c>
      <c r="N7006" s="25">
        <f>IFERROR(T_reg.root.SK[[#This Row],[Price]]/T_reg.root.SK[[#This Row],[Starch content]],"")</f>
        <v>9.6525096525096519</v>
      </c>
    </row>
    <row r="7007" spans="1:14">
      <c r="A7007" s="21">
        <v>2025</v>
      </c>
      <c r="B7007" s="21" t="s">
        <v>29</v>
      </c>
      <c r="C7007" s="21" t="s">
        <v>1145</v>
      </c>
      <c r="D7007" s="21" t="s">
        <v>35</v>
      </c>
      <c r="E7007" s="17" t="s">
        <v>977</v>
      </c>
      <c r="F7007" s="17" t="s">
        <v>105</v>
      </c>
      <c r="G7007" s="18" t="s">
        <v>48</v>
      </c>
      <c r="H7007" s="24">
        <v>8440</v>
      </c>
      <c r="I7007" s="24">
        <f>T_reg.root.SK[[#This Row],[Volume, kg]]/1000</f>
        <v>8.44</v>
      </c>
      <c r="J7007" s="25">
        <v>0.27399999999999997</v>
      </c>
      <c r="K7007" s="25">
        <f t="shared" si="110"/>
        <v>2312.5599999999995</v>
      </c>
      <c r="L7007" s="25">
        <v>2.5</v>
      </c>
      <c r="M7007" s="24">
        <v>21100</v>
      </c>
      <c r="N7007" s="25">
        <f>IFERROR(T_reg.root.SK[[#This Row],[Price]]/T_reg.root.SK[[#This Row],[Starch content]],"")</f>
        <v>9.1240875912408779</v>
      </c>
    </row>
    <row r="7008" spans="1:14">
      <c r="A7008" s="21">
        <v>2025</v>
      </c>
      <c r="B7008" s="21" t="s">
        <v>29</v>
      </c>
      <c r="C7008" s="21" t="s">
        <v>1145</v>
      </c>
      <c r="D7008" s="21" t="s">
        <v>35</v>
      </c>
      <c r="E7008" s="17" t="s">
        <v>1097</v>
      </c>
      <c r="F7008" s="17" t="s">
        <v>105</v>
      </c>
      <c r="G7008" s="18" t="s">
        <v>48</v>
      </c>
      <c r="H7008" s="24">
        <v>10040</v>
      </c>
      <c r="I7008" s="24">
        <f>T_reg.root.SK[[#This Row],[Volume, kg]]/1000</f>
        <v>10.039999999999999</v>
      </c>
      <c r="J7008" s="25">
        <v>0.27449999999999997</v>
      </c>
      <c r="K7008" s="25">
        <f t="shared" si="110"/>
        <v>2755.9799999999996</v>
      </c>
      <c r="L7008" s="25">
        <v>2.5</v>
      </c>
      <c r="M7008" s="24">
        <v>25100</v>
      </c>
      <c r="N7008" s="25">
        <f>IFERROR(T_reg.root.SK[[#This Row],[Price]]/T_reg.root.SK[[#This Row],[Starch content]],"")</f>
        <v>9.1074681238615671</v>
      </c>
    </row>
    <row r="7009" spans="1:14">
      <c r="A7009" s="21">
        <v>2025</v>
      </c>
      <c r="B7009" s="21" t="s">
        <v>29</v>
      </c>
      <c r="C7009" s="21" t="s">
        <v>1145</v>
      </c>
      <c r="D7009" s="21" t="s">
        <v>35</v>
      </c>
      <c r="E7009" s="17" t="s">
        <v>465</v>
      </c>
      <c r="F7009" s="17" t="s">
        <v>47</v>
      </c>
      <c r="G7009" s="18" t="s">
        <v>48</v>
      </c>
      <c r="H7009" s="24">
        <v>140280</v>
      </c>
      <c r="I7009" s="24">
        <f>T_reg.root.SK[[#This Row],[Volume, kg]]/1000</f>
        <v>140.28</v>
      </c>
      <c r="J7009" s="25">
        <v>0.23370000000000002</v>
      </c>
      <c r="K7009" s="25">
        <f t="shared" si="110"/>
        <v>32783.436000000002</v>
      </c>
      <c r="L7009" s="25">
        <v>2.34</v>
      </c>
      <c r="M7009" s="24">
        <v>328465</v>
      </c>
      <c r="N7009" s="25">
        <f>IFERROR(T_reg.root.SK[[#This Row],[Price]]/T_reg.root.SK[[#This Row],[Starch content]],"")</f>
        <v>10.012836970474966</v>
      </c>
    </row>
    <row r="7010" spans="1:14">
      <c r="A7010" s="21">
        <v>2025</v>
      </c>
      <c r="B7010" s="21" t="s">
        <v>29</v>
      </c>
      <c r="C7010" s="21" t="s">
        <v>1145</v>
      </c>
      <c r="D7010" s="21" t="s">
        <v>35</v>
      </c>
      <c r="E7010" s="17" t="s">
        <v>58</v>
      </c>
      <c r="F7010" s="17" t="s">
        <v>47</v>
      </c>
      <c r="G7010" s="18" t="s">
        <v>48</v>
      </c>
      <c r="H7010" s="24">
        <v>45020</v>
      </c>
      <c r="I7010" s="24">
        <f>T_reg.root.SK[[#This Row],[Volume, kg]]/1000</f>
        <v>45.02</v>
      </c>
      <c r="J7010" s="25">
        <v>0.23860000000000001</v>
      </c>
      <c r="K7010" s="25">
        <f t="shared" si="110"/>
        <v>10741.772000000001</v>
      </c>
      <c r="L7010" s="25">
        <v>2.35</v>
      </c>
      <c r="M7010" s="24">
        <v>105906</v>
      </c>
      <c r="N7010" s="25">
        <f>IFERROR(T_reg.root.SK[[#This Row],[Price]]/T_reg.root.SK[[#This Row],[Starch content]],"")</f>
        <v>9.849119865884326</v>
      </c>
    </row>
    <row r="7011" spans="1:14">
      <c r="A7011" s="21">
        <v>2025</v>
      </c>
      <c r="B7011" s="21" t="s">
        <v>29</v>
      </c>
      <c r="C7011" s="21" t="s">
        <v>1145</v>
      </c>
      <c r="D7011" s="21" t="s">
        <v>35</v>
      </c>
      <c r="E7011" s="17" t="s">
        <v>601</v>
      </c>
      <c r="F7011" s="17" t="s">
        <v>105</v>
      </c>
      <c r="G7011" s="18" t="s">
        <v>48</v>
      </c>
      <c r="H7011" s="24">
        <v>9000</v>
      </c>
      <c r="I7011" s="24">
        <f>T_reg.root.SK[[#This Row],[Volume, kg]]/1000</f>
        <v>9</v>
      </c>
      <c r="J7011" s="25">
        <v>0.28749999999999998</v>
      </c>
      <c r="K7011" s="25">
        <f t="shared" si="110"/>
        <v>2587.5</v>
      </c>
      <c r="L7011" s="25">
        <v>2.6</v>
      </c>
      <c r="M7011" s="24">
        <v>23400</v>
      </c>
      <c r="N7011" s="25">
        <f>IFERROR(T_reg.root.SK[[#This Row],[Price]]/T_reg.root.SK[[#This Row],[Starch content]],"")</f>
        <v>9.0434782608695663</v>
      </c>
    </row>
    <row r="7012" spans="1:14">
      <c r="A7012" s="21">
        <v>2025</v>
      </c>
      <c r="B7012" s="21" t="s">
        <v>29</v>
      </c>
      <c r="C7012" s="21" t="s">
        <v>1145</v>
      </c>
      <c r="D7012" s="21" t="s">
        <v>35</v>
      </c>
      <c r="E7012" s="17" t="s">
        <v>590</v>
      </c>
      <c r="F7012" s="17" t="s">
        <v>187</v>
      </c>
      <c r="G7012" s="18" t="s">
        <v>48</v>
      </c>
      <c r="H7012" s="24">
        <v>9150</v>
      </c>
      <c r="I7012" s="24">
        <f>T_reg.root.SK[[#This Row],[Volume, kg]]/1000</f>
        <v>9.15</v>
      </c>
      <c r="J7012" s="25">
        <v>0.28699999999999998</v>
      </c>
      <c r="K7012" s="25">
        <f t="shared" si="110"/>
        <v>2626.0499999999997</v>
      </c>
      <c r="L7012" s="25">
        <v>2.6</v>
      </c>
      <c r="M7012" s="24">
        <v>23790</v>
      </c>
      <c r="N7012" s="25">
        <f>IFERROR(T_reg.root.SK[[#This Row],[Price]]/T_reg.root.SK[[#This Row],[Starch content]],"")</f>
        <v>9.0592334494773521</v>
      </c>
    </row>
    <row r="7013" spans="1:14">
      <c r="A7013" s="21">
        <v>2025</v>
      </c>
      <c r="B7013" s="21" t="s">
        <v>29</v>
      </c>
      <c r="C7013" s="21" t="s">
        <v>1145</v>
      </c>
      <c r="D7013" s="21" t="s">
        <v>35</v>
      </c>
      <c r="E7013" s="17" t="s">
        <v>635</v>
      </c>
      <c r="F7013" s="17" t="s">
        <v>105</v>
      </c>
      <c r="G7013" s="18" t="s">
        <v>48</v>
      </c>
      <c r="H7013" s="24">
        <v>42270</v>
      </c>
      <c r="I7013" s="24">
        <f>T_reg.root.SK[[#This Row],[Volume, kg]]/1000</f>
        <v>42.27</v>
      </c>
      <c r="J7013" s="25">
        <v>0.2878</v>
      </c>
      <c r="K7013" s="25">
        <f t="shared" si="110"/>
        <v>12165.306</v>
      </c>
      <c r="L7013" s="25">
        <v>2.6</v>
      </c>
      <c r="M7013" s="24">
        <v>109918.5</v>
      </c>
      <c r="N7013" s="25">
        <f>IFERROR(T_reg.root.SK[[#This Row],[Price]]/T_reg.root.SK[[#This Row],[Starch content]],"")</f>
        <v>9.0340514246004169</v>
      </c>
    </row>
    <row r="7014" spans="1:14">
      <c r="A7014" s="21">
        <v>2025</v>
      </c>
      <c r="B7014" s="21" t="s">
        <v>29</v>
      </c>
      <c r="C7014" s="21" t="s">
        <v>1145</v>
      </c>
      <c r="D7014" s="21" t="s">
        <v>35</v>
      </c>
      <c r="E7014" s="17" t="s">
        <v>59</v>
      </c>
      <c r="F7014" s="17" t="s">
        <v>47</v>
      </c>
      <c r="G7014" s="18" t="s">
        <v>48</v>
      </c>
      <c r="H7014" s="24">
        <v>41920</v>
      </c>
      <c r="I7014" s="24">
        <f>T_reg.root.SK[[#This Row],[Volume, kg]]/1000</f>
        <v>41.92</v>
      </c>
      <c r="J7014" s="25">
        <v>0.24460000000000001</v>
      </c>
      <c r="K7014" s="25">
        <f t="shared" si="110"/>
        <v>10253.632</v>
      </c>
      <c r="L7014" s="25">
        <v>2.37</v>
      </c>
      <c r="M7014" s="24">
        <v>99298</v>
      </c>
      <c r="N7014" s="25">
        <f>IFERROR(T_reg.root.SK[[#This Row],[Price]]/T_reg.root.SK[[#This Row],[Starch content]],"")</f>
        <v>9.6892886345053153</v>
      </c>
    </row>
    <row r="7015" spans="1:14">
      <c r="A7015" s="21">
        <v>2025</v>
      </c>
      <c r="B7015" s="21" t="s">
        <v>29</v>
      </c>
      <c r="C7015" s="21" t="s">
        <v>1145</v>
      </c>
      <c r="D7015" s="21" t="s">
        <v>35</v>
      </c>
      <c r="E7015" s="17" t="s">
        <v>770</v>
      </c>
      <c r="F7015" s="17" t="s">
        <v>105</v>
      </c>
      <c r="G7015" s="18" t="s">
        <v>48</v>
      </c>
      <c r="H7015" s="24">
        <v>35580</v>
      </c>
      <c r="I7015" s="24">
        <f>T_reg.root.SK[[#This Row],[Volume, kg]]/1000</f>
        <v>35.58</v>
      </c>
      <c r="J7015" s="25">
        <v>0.23190000000000002</v>
      </c>
      <c r="K7015" s="25">
        <f t="shared" si="110"/>
        <v>8251.0020000000004</v>
      </c>
      <c r="L7015" s="25">
        <v>2.33</v>
      </c>
      <c r="M7015" s="24">
        <v>82947.5</v>
      </c>
      <c r="N7015" s="25">
        <f>IFERROR(T_reg.root.SK[[#This Row],[Price]]/T_reg.root.SK[[#This Row],[Starch content]],"")</f>
        <v>10.047434238896075</v>
      </c>
    </row>
    <row r="7016" spans="1:14">
      <c r="A7016" s="21">
        <v>2025</v>
      </c>
      <c r="B7016" s="21" t="s">
        <v>29</v>
      </c>
      <c r="C7016" s="21" t="s">
        <v>1145</v>
      </c>
      <c r="D7016" s="21" t="s">
        <v>35</v>
      </c>
      <c r="E7016" s="17" t="s">
        <v>129</v>
      </c>
      <c r="F7016" s="17" t="s">
        <v>105</v>
      </c>
      <c r="G7016" s="18" t="s">
        <v>48</v>
      </c>
      <c r="H7016" s="24">
        <v>2270</v>
      </c>
      <c r="I7016" s="24">
        <f>T_reg.root.SK[[#This Row],[Volume, kg]]/1000</f>
        <v>2.27</v>
      </c>
      <c r="J7016" s="25">
        <v>0.27399999999999997</v>
      </c>
      <c r="K7016" s="25">
        <f t="shared" si="110"/>
        <v>621.9799999999999</v>
      </c>
      <c r="L7016" s="25">
        <v>2.5499999999999998</v>
      </c>
      <c r="M7016" s="24">
        <v>5788.5</v>
      </c>
      <c r="N7016" s="25">
        <f>IFERROR(T_reg.root.SK[[#This Row],[Price]]/T_reg.root.SK[[#This Row],[Starch content]],"")</f>
        <v>9.3065693430656946</v>
      </c>
    </row>
    <row r="7017" spans="1:14">
      <c r="A7017" s="21">
        <v>2025</v>
      </c>
      <c r="B7017" s="21" t="s">
        <v>29</v>
      </c>
      <c r="C7017" s="21" t="s">
        <v>1145</v>
      </c>
      <c r="D7017" s="21" t="s">
        <v>35</v>
      </c>
      <c r="E7017" s="17" t="s">
        <v>643</v>
      </c>
      <c r="F7017" s="17" t="s">
        <v>47</v>
      </c>
      <c r="G7017" s="18" t="s">
        <v>48</v>
      </c>
      <c r="H7017" s="24">
        <v>95630</v>
      </c>
      <c r="I7017" s="24">
        <f>T_reg.root.SK[[#This Row],[Volume, kg]]/1000</f>
        <v>95.63</v>
      </c>
      <c r="J7017" s="25">
        <v>0.23260000000000003</v>
      </c>
      <c r="K7017" s="25">
        <f t="shared" si="110"/>
        <v>22243.538000000004</v>
      </c>
      <c r="L7017" s="25">
        <v>2.33</v>
      </c>
      <c r="M7017" s="24">
        <v>222459.5</v>
      </c>
      <c r="N7017" s="25">
        <f>IFERROR(T_reg.root.SK[[#This Row],[Price]]/T_reg.root.SK[[#This Row],[Starch content]],"")</f>
        <v>10.01719690455718</v>
      </c>
    </row>
    <row r="7018" spans="1:14">
      <c r="A7018" s="21">
        <v>2025</v>
      </c>
      <c r="B7018" s="21" t="s">
        <v>29</v>
      </c>
      <c r="C7018" s="21" t="s">
        <v>1145</v>
      </c>
      <c r="D7018" s="21" t="s">
        <v>35</v>
      </c>
      <c r="E7018" s="17" t="s">
        <v>132</v>
      </c>
      <c r="F7018" s="17" t="s">
        <v>105</v>
      </c>
      <c r="G7018" s="18" t="s">
        <v>48</v>
      </c>
      <c r="H7018" s="24">
        <v>10810</v>
      </c>
      <c r="I7018" s="24">
        <f>T_reg.root.SK[[#This Row],[Volume, kg]]/1000</f>
        <v>10.81</v>
      </c>
      <c r="J7018" s="25">
        <v>0.26269999999999999</v>
      </c>
      <c r="K7018" s="25">
        <f t="shared" si="110"/>
        <v>2839.7869999999998</v>
      </c>
      <c r="L7018" s="25">
        <v>2.48</v>
      </c>
      <c r="M7018" s="24">
        <v>26853</v>
      </c>
      <c r="N7018" s="25">
        <f>IFERROR(T_reg.root.SK[[#This Row],[Price]]/T_reg.root.SK[[#This Row],[Starch content]],"")</f>
        <v>9.440426341834792</v>
      </c>
    </row>
    <row r="7019" spans="1:14">
      <c r="A7019" s="21">
        <v>2025</v>
      </c>
      <c r="B7019" s="21" t="s">
        <v>29</v>
      </c>
      <c r="C7019" s="21" t="s">
        <v>1145</v>
      </c>
      <c r="D7019" s="21" t="s">
        <v>35</v>
      </c>
      <c r="E7019" s="17" t="s">
        <v>467</v>
      </c>
      <c r="F7019" s="17" t="s">
        <v>47</v>
      </c>
      <c r="G7019" s="18" t="s">
        <v>48</v>
      </c>
      <c r="H7019" s="24">
        <v>16070</v>
      </c>
      <c r="I7019" s="24">
        <f>T_reg.root.SK[[#This Row],[Volume, kg]]/1000</f>
        <v>16.07</v>
      </c>
      <c r="J7019" s="25">
        <v>0.27050000000000002</v>
      </c>
      <c r="K7019" s="25">
        <f t="shared" si="110"/>
        <v>4346.9350000000004</v>
      </c>
      <c r="L7019" s="25">
        <v>2.5</v>
      </c>
      <c r="M7019" s="24">
        <v>40175</v>
      </c>
      <c r="N7019" s="25">
        <f>IFERROR(T_reg.root.SK[[#This Row],[Price]]/T_reg.root.SK[[#This Row],[Starch content]],"")</f>
        <v>9.2421441774491679</v>
      </c>
    </row>
    <row r="7020" spans="1:14">
      <c r="A7020" s="21">
        <v>2025</v>
      </c>
      <c r="B7020" s="21" t="s">
        <v>29</v>
      </c>
      <c r="C7020" s="21" t="s">
        <v>1145</v>
      </c>
      <c r="D7020" s="21" t="s">
        <v>35</v>
      </c>
      <c r="E7020" s="17" t="s">
        <v>617</v>
      </c>
      <c r="F7020" s="17" t="s">
        <v>105</v>
      </c>
      <c r="G7020" s="18" t="s">
        <v>48</v>
      </c>
      <c r="H7020" s="24">
        <v>90420</v>
      </c>
      <c r="I7020" s="24">
        <f>T_reg.root.SK[[#This Row],[Volume, kg]]/1000</f>
        <v>90.42</v>
      </c>
      <c r="J7020" s="25">
        <v>0.25790000000000002</v>
      </c>
      <c r="K7020" s="25">
        <f t="shared" si="110"/>
        <v>23319.318000000003</v>
      </c>
      <c r="L7020" s="25">
        <v>2.44</v>
      </c>
      <c r="M7020" s="24">
        <v>220892.5</v>
      </c>
      <c r="N7020" s="25">
        <f>IFERROR(T_reg.root.SK[[#This Row],[Price]]/T_reg.root.SK[[#This Row],[Starch content]],"")</f>
        <v>9.4610314075222952</v>
      </c>
    </row>
    <row r="7021" spans="1:14">
      <c r="A7021" s="21">
        <v>2025</v>
      </c>
      <c r="B7021" s="21" t="s">
        <v>29</v>
      </c>
      <c r="C7021" s="21" t="s">
        <v>1145</v>
      </c>
      <c r="D7021" s="21" t="s">
        <v>35</v>
      </c>
      <c r="E7021" s="17" t="s">
        <v>807</v>
      </c>
      <c r="F7021" s="17" t="s">
        <v>105</v>
      </c>
      <c r="G7021" s="18" t="s">
        <v>48</v>
      </c>
      <c r="H7021" s="24">
        <v>20200</v>
      </c>
      <c r="I7021" s="24">
        <f>T_reg.root.SK[[#This Row],[Volume, kg]]/1000</f>
        <v>20.2</v>
      </c>
      <c r="J7021" s="25">
        <v>0.23269999999999999</v>
      </c>
      <c r="K7021" s="25">
        <f t="shared" si="110"/>
        <v>4700.54</v>
      </c>
      <c r="L7021" s="25">
        <v>2.2999999999999998</v>
      </c>
      <c r="M7021" s="24">
        <v>46430</v>
      </c>
      <c r="N7021" s="25">
        <f>IFERROR(T_reg.root.SK[[#This Row],[Price]]/T_reg.root.SK[[#This Row],[Starch content]],"")</f>
        <v>9.8839707778255264</v>
      </c>
    </row>
    <row r="7022" spans="1:14">
      <c r="A7022" s="21">
        <v>2025</v>
      </c>
      <c r="B7022" s="21" t="s">
        <v>29</v>
      </c>
      <c r="C7022" s="21" t="s">
        <v>1145</v>
      </c>
      <c r="D7022" s="21" t="s">
        <v>35</v>
      </c>
      <c r="E7022" s="17" t="s">
        <v>1009</v>
      </c>
      <c r="F7022" s="17" t="s">
        <v>105</v>
      </c>
      <c r="G7022" s="18" t="s">
        <v>48</v>
      </c>
      <c r="H7022" s="24">
        <v>100250</v>
      </c>
      <c r="I7022" s="24">
        <f>T_reg.root.SK[[#This Row],[Volume, kg]]/1000</f>
        <v>100.25</v>
      </c>
      <c r="J7022" s="25">
        <v>0.2581</v>
      </c>
      <c r="K7022" s="25">
        <f t="shared" si="110"/>
        <v>25874.524999999998</v>
      </c>
      <c r="L7022" s="25">
        <v>2.44</v>
      </c>
      <c r="M7022" s="24">
        <v>244465</v>
      </c>
      <c r="N7022" s="25">
        <f>IFERROR(T_reg.root.SK[[#This Row],[Price]]/T_reg.root.SK[[#This Row],[Starch content]],"")</f>
        <v>9.4537001162340175</v>
      </c>
    </row>
    <row r="7023" spans="1:14">
      <c r="A7023" s="21">
        <v>2025</v>
      </c>
      <c r="B7023" s="21" t="s">
        <v>29</v>
      </c>
      <c r="C7023" s="21" t="s">
        <v>1145</v>
      </c>
      <c r="D7023" s="21" t="s">
        <v>39</v>
      </c>
      <c r="E7023" s="17" t="s">
        <v>1073</v>
      </c>
      <c r="F7023" s="17" t="s">
        <v>89</v>
      </c>
      <c r="G7023" s="18" t="s">
        <v>90</v>
      </c>
      <c r="H7023" s="24">
        <v>4721630</v>
      </c>
      <c r="I7023" s="24">
        <f>T_reg.root.SK[[#This Row],[Volume, kg]]/1000</f>
        <v>4721.63</v>
      </c>
      <c r="J7023" s="25">
        <v>0.25819999999999999</v>
      </c>
      <c r="K7023" s="25">
        <f t="shared" si="110"/>
        <v>1219124.8659999999</v>
      </c>
      <c r="L7023" s="25">
        <v>2.71</v>
      </c>
      <c r="M7023" s="24">
        <v>12806676</v>
      </c>
      <c r="N7023" s="25">
        <f>IFERROR(T_reg.root.SK[[#This Row],[Price]]/T_reg.root.SK[[#This Row],[Starch content]],"")</f>
        <v>10.495739736638265</v>
      </c>
    </row>
    <row r="7024" spans="1:14">
      <c r="A7024" s="21">
        <v>2025</v>
      </c>
      <c r="B7024" s="21" t="s">
        <v>29</v>
      </c>
      <c r="C7024" s="21" t="s">
        <v>1145</v>
      </c>
      <c r="D7024" s="21" t="s">
        <v>35</v>
      </c>
      <c r="E7024" s="17" t="s">
        <v>1098</v>
      </c>
      <c r="F7024" s="17" t="s">
        <v>105</v>
      </c>
      <c r="G7024" s="18" t="s">
        <v>48</v>
      </c>
      <c r="H7024" s="24">
        <v>121010</v>
      </c>
      <c r="I7024" s="24">
        <f>T_reg.root.SK[[#This Row],[Volume, kg]]/1000</f>
        <v>121.01</v>
      </c>
      <c r="J7024" s="25">
        <v>0.2432</v>
      </c>
      <c r="K7024" s="25">
        <f t="shared" si="110"/>
        <v>29429.632000000001</v>
      </c>
      <c r="L7024" s="25">
        <v>2.38</v>
      </c>
      <c r="M7024" s="24">
        <v>288464.5</v>
      </c>
      <c r="N7024" s="25">
        <f>IFERROR(T_reg.root.SK[[#This Row],[Price]]/T_reg.root.SK[[#This Row],[Starch content]],"")</f>
        <v>9.786184210526315</v>
      </c>
    </row>
    <row r="7025" spans="1:14">
      <c r="A7025" s="21">
        <v>2025</v>
      </c>
      <c r="B7025" s="21" t="s">
        <v>29</v>
      </c>
      <c r="C7025" s="21" t="s">
        <v>1145</v>
      </c>
      <c r="D7025" s="21" t="s">
        <v>35</v>
      </c>
      <c r="E7025" s="17" t="s">
        <v>657</v>
      </c>
      <c r="F7025" s="17" t="s">
        <v>47</v>
      </c>
      <c r="G7025" s="18" t="s">
        <v>48</v>
      </c>
      <c r="H7025" s="24">
        <v>9080</v>
      </c>
      <c r="I7025" s="24">
        <f>T_reg.root.SK[[#This Row],[Volume, kg]]/1000</f>
        <v>9.08</v>
      </c>
      <c r="J7025" s="25">
        <v>0.2235</v>
      </c>
      <c r="K7025" s="25">
        <f t="shared" si="110"/>
        <v>2029.38</v>
      </c>
      <c r="L7025" s="25">
        <v>2.25</v>
      </c>
      <c r="M7025" s="24">
        <v>20430</v>
      </c>
      <c r="N7025" s="25">
        <f>IFERROR(T_reg.root.SK[[#This Row],[Price]]/T_reg.root.SK[[#This Row],[Starch content]],"")</f>
        <v>10.067114093959731</v>
      </c>
    </row>
    <row r="7026" spans="1:14">
      <c r="A7026" s="21">
        <v>2025</v>
      </c>
      <c r="B7026" s="21" t="s">
        <v>29</v>
      </c>
      <c r="C7026" s="21" t="s">
        <v>1145</v>
      </c>
      <c r="D7026" s="21" t="s">
        <v>39</v>
      </c>
      <c r="E7026" s="17" t="s">
        <v>1063</v>
      </c>
      <c r="F7026" s="17" t="s">
        <v>1064</v>
      </c>
      <c r="G7026" s="18" t="s">
        <v>220</v>
      </c>
      <c r="H7026" s="24">
        <v>368840</v>
      </c>
      <c r="I7026" s="24">
        <f>T_reg.root.SK[[#This Row],[Volume, kg]]/1000</f>
        <v>368.84</v>
      </c>
      <c r="J7026" s="25">
        <v>0.26839999999999997</v>
      </c>
      <c r="K7026" s="25">
        <f t="shared" si="110"/>
        <v>98996.655999999988</v>
      </c>
      <c r="L7026" s="25">
        <v>2.79</v>
      </c>
      <c r="M7026" s="24">
        <v>1027462</v>
      </c>
      <c r="N7026" s="25">
        <f>IFERROR(T_reg.root.SK[[#This Row],[Price]]/T_reg.root.SK[[#This Row],[Starch content]],"")</f>
        <v>10.394932935916543</v>
      </c>
    </row>
    <row r="7027" spans="1:14">
      <c r="A7027" s="21">
        <v>2025</v>
      </c>
      <c r="B7027" s="21" t="s">
        <v>29</v>
      </c>
      <c r="C7027" s="21" t="s">
        <v>1145</v>
      </c>
      <c r="D7027" s="21" t="s">
        <v>35</v>
      </c>
      <c r="E7027" s="17" t="s">
        <v>138</v>
      </c>
      <c r="F7027" s="17" t="s">
        <v>105</v>
      </c>
      <c r="G7027" s="18" t="s">
        <v>48</v>
      </c>
      <c r="H7027" s="24">
        <v>51470</v>
      </c>
      <c r="I7027" s="24">
        <f>T_reg.root.SK[[#This Row],[Volume, kg]]/1000</f>
        <v>51.47</v>
      </c>
      <c r="J7027" s="25">
        <v>0.24840000000000001</v>
      </c>
      <c r="K7027" s="25">
        <f t="shared" si="110"/>
        <v>12785.148000000001</v>
      </c>
      <c r="L7027" s="25">
        <v>2.44</v>
      </c>
      <c r="M7027" s="24">
        <v>125840.5</v>
      </c>
      <c r="N7027" s="25">
        <f>IFERROR(T_reg.root.SK[[#This Row],[Price]]/T_reg.root.SK[[#This Row],[Starch content]],"")</f>
        <v>9.8228663446054743</v>
      </c>
    </row>
    <row r="7028" spans="1:14">
      <c r="A7028" s="21">
        <v>2025</v>
      </c>
      <c r="B7028" s="21" t="s">
        <v>29</v>
      </c>
      <c r="C7028" s="21" t="s">
        <v>1145</v>
      </c>
      <c r="D7028" s="21" t="s">
        <v>35</v>
      </c>
      <c r="E7028" s="17" t="s">
        <v>1099</v>
      </c>
      <c r="F7028" s="17" t="s">
        <v>105</v>
      </c>
      <c r="G7028" s="18" t="s">
        <v>48</v>
      </c>
      <c r="H7028" s="24">
        <v>13320</v>
      </c>
      <c r="I7028" s="24">
        <f>T_reg.root.SK[[#This Row],[Volume, kg]]/1000</f>
        <v>13.32</v>
      </c>
      <c r="J7028" s="25">
        <v>0.23050000000000001</v>
      </c>
      <c r="K7028" s="25">
        <f t="shared" si="110"/>
        <v>3070.26</v>
      </c>
      <c r="L7028" s="25">
        <v>2.31</v>
      </c>
      <c r="M7028" s="24">
        <v>30704</v>
      </c>
      <c r="N7028" s="25">
        <f>IFERROR(T_reg.root.SK[[#This Row],[Price]]/T_reg.root.SK[[#This Row],[Starch content]],"")</f>
        <v>10.021691973969631</v>
      </c>
    </row>
    <row r="7029" spans="1:14">
      <c r="A7029" s="21">
        <v>2025</v>
      </c>
      <c r="B7029" s="21" t="s">
        <v>29</v>
      </c>
      <c r="C7029" s="21" t="s">
        <v>1145</v>
      </c>
      <c r="D7029" s="21" t="s">
        <v>35</v>
      </c>
      <c r="E7029" s="17" t="s">
        <v>719</v>
      </c>
      <c r="F7029" s="17" t="s">
        <v>105</v>
      </c>
      <c r="G7029" s="18" t="s">
        <v>48</v>
      </c>
      <c r="H7029" s="24">
        <v>30080</v>
      </c>
      <c r="I7029" s="24">
        <f>T_reg.root.SK[[#This Row],[Volume, kg]]/1000</f>
        <v>30.08</v>
      </c>
      <c r="J7029" s="25">
        <v>0.26280000000000003</v>
      </c>
      <c r="K7029" s="25">
        <f t="shared" si="110"/>
        <v>7905.0240000000013</v>
      </c>
      <c r="L7029" s="25">
        <v>2.46</v>
      </c>
      <c r="M7029" s="24">
        <v>73953</v>
      </c>
      <c r="N7029" s="25">
        <f>IFERROR(T_reg.root.SK[[#This Row],[Price]]/T_reg.root.SK[[#This Row],[Starch content]],"")</f>
        <v>9.360730593607304</v>
      </c>
    </row>
    <row r="7030" spans="1:14">
      <c r="A7030" s="21">
        <v>2025</v>
      </c>
      <c r="B7030" s="21" t="s">
        <v>29</v>
      </c>
      <c r="C7030" s="21" t="s">
        <v>1145</v>
      </c>
      <c r="D7030" s="21" t="s">
        <v>35</v>
      </c>
      <c r="E7030" s="17" t="s">
        <v>62</v>
      </c>
      <c r="F7030" s="17" t="s">
        <v>47</v>
      </c>
      <c r="G7030" s="18" t="s">
        <v>48</v>
      </c>
      <c r="H7030" s="24">
        <v>77500</v>
      </c>
      <c r="I7030" s="24">
        <f>T_reg.root.SK[[#This Row],[Volume, kg]]/1000</f>
        <v>77.5</v>
      </c>
      <c r="J7030" s="25">
        <v>0.23829999999999998</v>
      </c>
      <c r="K7030" s="25">
        <f t="shared" si="110"/>
        <v>18468.25</v>
      </c>
      <c r="L7030" s="25">
        <v>2.34</v>
      </c>
      <c r="M7030" s="24">
        <v>181347</v>
      </c>
      <c r="N7030" s="25">
        <f>IFERROR(T_reg.root.SK[[#This Row],[Price]]/T_reg.root.SK[[#This Row],[Starch content]],"")</f>
        <v>9.819555182543013</v>
      </c>
    </row>
    <row r="7031" spans="1:14">
      <c r="A7031" s="21">
        <v>2025</v>
      </c>
      <c r="B7031" s="21" t="s">
        <v>29</v>
      </c>
      <c r="C7031" s="21" t="s">
        <v>1145</v>
      </c>
      <c r="D7031" s="21" t="s">
        <v>35</v>
      </c>
      <c r="E7031" s="17" t="s">
        <v>308</v>
      </c>
      <c r="F7031" s="17" t="s">
        <v>105</v>
      </c>
      <c r="G7031" s="18" t="s">
        <v>48</v>
      </c>
      <c r="H7031" s="24">
        <v>24060</v>
      </c>
      <c r="I7031" s="24">
        <f>T_reg.root.SK[[#This Row],[Volume, kg]]/1000</f>
        <v>24.06</v>
      </c>
      <c r="J7031" s="25">
        <v>0.27210000000000001</v>
      </c>
      <c r="K7031" s="25">
        <f t="shared" si="110"/>
        <v>6546.7260000000006</v>
      </c>
      <c r="L7031" s="25">
        <v>2.52</v>
      </c>
      <c r="M7031" s="24">
        <v>60714</v>
      </c>
      <c r="N7031" s="25">
        <f>IFERROR(T_reg.root.SK[[#This Row],[Price]]/T_reg.root.SK[[#This Row],[Starch content]],"")</f>
        <v>9.2613009922822496</v>
      </c>
    </row>
    <row r="7032" spans="1:14">
      <c r="A7032" s="21">
        <v>2025</v>
      </c>
      <c r="B7032" s="21" t="s">
        <v>29</v>
      </c>
      <c r="C7032" s="21" t="s">
        <v>1145</v>
      </c>
      <c r="D7032" s="21" t="s">
        <v>39</v>
      </c>
      <c r="E7032" s="17" t="s">
        <v>1065</v>
      </c>
      <c r="F7032" s="17" t="s">
        <v>219</v>
      </c>
      <c r="G7032" s="18" t="s">
        <v>220</v>
      </c>
      <c r="H7032" s="24">
        <v>29770</v>
      </c>
      <c r="I7032" s="24">
        <f>T_reg.root.SK[[#This Row],[Volume, kg]]/1000</f>
        <v>29.77</v>
      </c>
      <c r="J7032" s="25">
        <v>0.27029999999999998</v>
      </c>
      <c r="K7032" s="25">
        <f t="shared" si="110"/>
        <v>8046.8309999999992</v>
      </c>
      <c r="L7032" s="25">
        <v>2.8</v>
      </c>
      <c r="M7032" s="24">
        <v>83356</v>
      </c>
      <c r="N7032" s="25">
        <f>IFERROR(T_reg.root.SK[[#This Row],[Price]]/T_reg.root.SK[[#This Row],[Starch content]],"")</f>
        <v>10.358860525342212</v>
      </c>
    </row>
    <row r="7033" spans="1:14">
      <c r="A7033" s="21">
        <v>2025</v>
      </c>
      <c r="B7033" s="21" t="s">
        <v>29</v>
      </c>
      <c r="C7033" s="21" t="s">
        <v>1145</v>
      </c>
      <c r="D7033" s="21" t="s">
        <v>35</v>
      </c>
      <c r="E7033" s="17" t="s">
        <v>204</v>
      </c>
      <c r="F7033" s="17" t="s">
        <v>187</v>
      </c>
      <c r="G7033" s="18" t="s">
        <v>48</v>
      </c>
      <c r="H7033" s="24">
        <v>5280</v>
      </c>
      <c r="I7033" s="24">
        <f>T_reg.root.SK[[#This Row],[Volume, kg]]/1000</f>
        <v>5.28</v>
      </c>
      <c r="J7033" s="25">
        <v>0.21299999999999999</v>
      </c>
      <c r="K7033" s="25">
        <f t="shared" si="110"/>
        <v>1124.6399999999999</v>
      </c>
      <c r="L7033" s="25">
        <v>2.2000000000000002</v>
      </c>
      <c r="M7033" s="24">
        <v>11616</v>
      </c>
      <c r="N7033" s="25">
        <f>IFERROR(T_reg.root.SK[[#This Row],[Price]]/T_reg.root.SK[[#This Row],[Starch content]],"")</f>
        <v>10.328638497652584</v>
      </c>
    </row>
    <row r="7034" spans="1:14">
      <c r="A7034" s="21">
        <v>2025</v>
      </c>
      <c r="B7034" s="21" t="s">
        <v>29</v>
      </c>
      <c r="C7034" s="21" t="s">
        <v>1145</v>
      </c>
      <c r="D7034" s="21" t="s">
        <v>35</v>
      </c>
      <c r="E7034" s="17" t="s">
        <v>310</v>
      </c>
      <c r="F7034" s="17" t="s">
        <v>105</v>
      </c>
      <c r="G7034" s="18" t="s">
        <v>48</v>
      </c>
      <c r="H7034" s="24">
        <v>79720</v>
      </c>
      <c r="I7034" s="24">
        <f>T_reg.root.SK[[#This Row],[Volume, kg]]/1000</f>
        <v>79.72</v>
      </c>
      <c r="J7034" s="25">
        <v>0.25329999999999997</v>
      </c>
      <c r="K7034" s="25">
        <f t="shared" si="110"/>
        <v>20193.075999999997</v>
      </c>
      <c r="L7034" s="25">
        <v>2.4300000000000002</v>
      </c>
      <c r="M7034" s="24">
        <v>194026</v>
      </c>
      <c r="N7034" s="25">
        <f>IFERROR(T_reg.root.SK[[#This Row],[Price]]/T_reg.root.SK[[#This Row],[Starch content]],"")</f>
        <v>9.5933675483616287</v>
      </c>
    </row>
    <row r="7035" spans="1:14">
      <c r="A7035" s="21">
        <v>2025</v>
      </c>
      <c r="B7035" s="21" t="s">
        <v>29</v>
      </c>
      <c r="C7035" s="21" t="s">
        <v>1145</v>
      </c>
      <c r="D7035" s="21" t="s">
        <v>35</v>
      </c>
      <c r="E7035" s="17" t="s">
        <v>142</v>
      </c>
      <c r="F7035" s="17" t="s">
        <v>105</v>
      </c>
      <c r="G7035" s="18" t="s">
        <v>48</v>
      </c>
      <c r="H7035" s="24">
        <v>3100</v>
      </c>
      <c r="I7035" s="24">
        <f>T_reg.root.SK[[#This Row],[Volume, kg]]/1000</f>
        <v>3.1</v>
      </c>
      <c r="J7035" s="25">
        <v>0.27649999999999997</v>
      </c>
      <c r="K7035" s="25">
        <f t="shared" si="110"/>
        <v>857.14999999999986</v>
      </c>
      <c r="L7035" s="25">
        <v>2.5499999999999998</v>
      </c>
      <c r="M7035" s="24">
        <v>7905</v>
      </c>
      <c r="N7035" s="25">
        <f>IFERROR(T_reg.root.SK[[#This Row],[Price]]/T_reg.root.SK[[#This Row],[Starch content]],"")</f>
        <v>9.2224231464737798</v>
      </c>
    </row>
    <row r="7036" spans="1:14">
      <c r="A7036" s="21">
        <v>2025</v>
      </c>
      <c r="B7036" s="21" t="s">
        <v>29</v>
      </c>
      <c r="C7036" s="21" t="s">
        <v>1145</v>
      </c>
      <c r="D7036" s="21" t="s">
        <v>35</v>
      </c>
      <c r="E7036" s="17" t="s">
        <v>469</v>
      </c>
      <c r="F7036" s="17" t="s">
        <v>47</v>
      </c>
      <c r="G7036" s="18" t="s">
        <v>48</v>
      </c>
      <c r="H7036" s="24">
        <v>33260</v>
      </c>
      <c r="I7036" s="24">
        <f>T_reg.root.SK[[#This Row],[Volume, kg]]/1000</f>
        <v>33.26</v>
      </c>
      <c r="J7036" s="25">
        <v>0.2165</v>
      </c>
      <c r="K7036" s="25">
        <f t="shared" si="110"/>
        <v>7200.79</v>
      </c>
      <c r="L7036" s="25">
        <v>2.23</v>
      </c>
      <c r="M7036" s="24">
        <v>74146.5</v>
      </c>
      <c r="N7036" s="25">
        <f>IFERROR(T_reg.root.SK[[#This Row],[Price]]/T_reg.root.SK[[#This Row],[Starch content]],"")</f>
        <v>10.300230946882218</v>
      </c>
    </row>
    <row r="7037" spans="1:14">
      <c r="A7037" s="21">
        <v>2025</v>
      </c>
      <c r="B7037" s="21" t="s">
        <v>29</v>
      </c>
      <c r="C7037" s="21" t="s">
        <v>1145</v>
      </c>
      <c r="D7037" s="21" t="s">
        <v>35</v>
      </c>
      <c r="E7037" s="17" t="s">
        <v>64</v>
      </c>
      <c r="F7037" s="17" t="s">
        <v>47</v>
      </c>
      <c r="G7037" s="18" t="s">
        <v>48</v>
      </c>
      <c r="H7037" s="24">
        <v>30440</v>
      </c>
      <c r="I7037" s="24">
        <f>T_reg.root.SK[[#This Row],[Volume, kg]]/1000</f>
        <v>30.44</v>
      </c>
      <c r="J7037" s="25">
        <v>0.27579999999999999</v>
      </c>
      <c r="K7037" s="25">
        <f t="shared" si="110"/>
        <v>8395.351999999999</v>
      </c>
      <c r="L7037" s="25">
        <v>2.5299999999999998</v>
      </c>
      <c r="M7037" s="24">
        <v>77130.5</v>
      </c>
      <c r="N7037" s="25">
        <f>IFERROR(T_reg.root.SK[[#This Row],[Price]]/T_reg.root.SK[[#This Row],[Starch content]],"")</f>
        <v>9.1733139956490213</v>
      </c>
    </row>
    <row r="7038" spans="1:14">
      <c r="A7038" s="21">
        <v>2025</v>
      </c>
      <c r="B7038" s="21" t="s">
        <v>29</v>
      </c>
      <c r="C7038" s="21" t="s">
        <v>1145</v>
      </c>
      <c r="D7038" s="21" t="s">
        <v>35</v>
      </c>
      <c r="E7038" s="17" t="s">
        <v>659</v>
      </c>
      <c r="F7038" s="17" t="s">
        <v>47</v>
      </c>
      <c r="G7038" s="18" t="s">
        <v>48</v>
      </c>
      <c r="H7038" s="24">
        <v>16000</v>
      </c>
      <c r="I7038" s="24">
        <f>T_reg.root.SK[[#This Row],[Volume, kg]]/1000</f>
        <v>16</v>
      </c>
      <c r="J7038" s="25">
        <v>0.24690000000000001</v>
      </c>
      <c r="K7038" s="25">
        <f t="shared" si="110"/>
        <v>3950.4</v>
      </c>
      <c r="L7038" s="25">
        <v>2.42</v>
      </c>
      <c r="M7038" s="24">
        <v>38704.5</v>
      </c>
      <c r="N7038" s="25">
        <f>IFERROR(T_reg.root.SK[[#This Row],[Price]]/T_reg.root.SK[[#This Row],[Starch content]],"")</f>
        <v>9.8015390846496544</v>
      </c>
    </row>
    <row r="7039" spans="1:14">
      <c r="A7039" s="21">
        <v>2025</v>
      </c>
      <c r="B7039" s="21" t="s">
        <v>29</v>
      </c>
      <c r="C7039" s="21" t="s">
        <v>1145</v>
      </c>
      <c r="D7039" s="21" t="s">
        <v>35</v>
      </c>
      <c r="E7039" s="17" t="s">
        <v>312</v>
      </c>
      <c r="F7039" s="17" t="s">
        <v>105</v>
      </c>
      <c r="G7039" s="18" t="s">
        <v>48</v>
      </c>
      <c r="H7039" s="24">
        <v>5970</v>
      </c>
      <c r="I7039" s="24">
        <f>T_reg.root.SK[[#This Row],[Volume, kg]]/1000</f>
        <v>5.97</v>
      </c>
      <c r="J7039" s="25">
        <v>0.22500000000000001</v>
      </c>
      <c r="K7039" s="25">
        <f t="shared" si="110"/>
        <v>1343.25</v>
      </c>
      <c r="L7039" s="25">
        <v>2.2999999999999998</v>
      </c>
      <c r="M7039" s="24">
        <v>13731</v>
      </c>
      <c r="N7039" s="25">
        <f>IFERROR(T_reg.root.SK[[#This Row],[Price]]/T_reg.root.SK[[#This Row],[Starch content]],"")</f>
        <v>10.222222222222221</v>
      </c>
    </row>
    <row r="7040" spans="1:14">
      <c r="A7040" s="21">
        <v>2025</v>
      </c>
      <c r="B7040" s="21" t="s">
        <v>29</v>
      </c>
      <c r="C7040" s="21" t="s">
        <v>1145</v>
      </c>
      <c r="D7040" s="21" t="s">
        <v>35</v>
      </c>
      <c r="E7040" s="17" t="s">
        <v>144</v>
      </c>
      <c r="F7040" s="17" t="s">
        <v>105</v>
      </c>
      <c r="G7040" s="18" t="s">
        <v>48</v>
      </c>
      <c r="H7040" s="24">
        <v>45430</v>
      </c>
      <c r="I7040" s="24">
        <f>T_reg.root.SK[[#This Row],[Volume, kg]]/1000</f>
        <v>45.43</v>
      </c>
      <c r="J7040" s="25">
        <v>0.26329999999999998</v>
      </c>
      <c r="K7040" s="25">
        <f t="shared" si="110"/>
        <v>11961.718999999999</v>
      </c>
      <c r="L7040" s="25">
        <v>2.4700000000000002</v>
      </c>
      <c r="M7040" s="24">
        <v>112123</v>
      </c>
      <c r="N7040" s="25">
        <f>IFERROR(T_reg.root.SK[[#This Row],[Price]]/T_reg.root.SK[[#This Row],[Starch content]],"")</f>
        <v>9.3809342954804418</v>
      </c>
    </row>
    <row r="7041" spans="1:14">
      <c r="A7041" s="21">
        <v>2025</v>
      </c>
      <c r="B7041" s="21" t="s">
        <v>29</v>
      </c>
      <c r="C7041" s="21" t="s">
        <v>1145</v>
      </c>
      <c r="D7041" s="21" t="s">
        <v>35</v>
      </c>
      <c r="E7041" s="17" t="s">
        <v>146</v>
      </c>
      <c r="F7041" s="17" t="s">
        <v>105</v>
      </c>
      <c r="G7041" s="18" t="s">
        <v>48</v>
      </c>
      <c r="H7041" s="24">
        <v>256180</v>
      </c>
      <c r="I7041" s="24">
        <f>T_reg.root.SK[[#This Row],[Volume, kg]]/1000</f>
        <v>256.18</v>
      </c>
      <c r="J7041" s="25">
        <v>0.24929999999999999</v>
      </c>
      <c r="K7041" s="25">
        <f t="shared" si="110"/>
        <v>63865.673999999999</v>
      </c>
      <c r="L7041" s="25">
        <v>2.41</v>
      </c>
      <c r="M7041" s="24">
        <v>616228.5</v>
      </c>
      <c r="N7041" s="25">
        <f>IFERROR(T_reg.root.SK[[#This Row],[Price]]/T_reg.root.SK[[#This Row],[Starch content]],"")</f>
        <v>9.6670677898114725</v>
      </c>
    </row>
    <row r="7042" spans="1:14">
      <c r="A7042" s="21">
        <v>2025</v>
      </c>
      <c r="B7042" s="21" t="s">
        <v>29</v>
      </c>
      <c r="C7042" s="21" t="s">
        <v>1145</v>
      </c>
      <c r="D7042" s="21" t="s">
        <v>35</v>
      </c>
      <c r="E7042" s="17" t="s">
        <v>249</v>
      </c>
      <c r="F7042" s="17" t="s">
        <v>105</v>
      </c>
      <c r="G7042" s="18" t="s">
        <v>48</v>
      </c>
      <c r="H7042" s="24">
        <v>9620</v>
      </c>
      <c r="I7042" s="24">
        <f>T_reg.root.SK[[#This Row],[Volume, kg]]/1000</f>
        <v>9.6199999999999992</v>
      </c>
      <c r="J7042" s="25">
        <v>0.26050000000000001</v>
      </c>
      <c r="K7042" s="25">
        <f t="shared" si="110"/>
        <v>2506.0100000000002</v>
      </c>
      <c r="L7042" s="25">
        <v>2.4500000000000002</v>
      </c>
      <c r="M7042" s="24">
        <v>23569</v>
      </c>
      <c r="N7042" s="25">
        <f>IFERROR(T_reg.root.SK[[#This Row],[Price]]/T_reg.root.SK[[#This Row],[Starch content]],"")</f>
        <v>9.4049904030710181</v>
      </c>
    </row>
    <row r="7043" spans="1:14">
      <c r="A7043" s="21">
        <v>2025</v>
      </c>
      <c r="B7043" s="21" t="s">
        <v>29</v>
      </c>
      <c r="C7043" s="21" t="s">
        <v>1145</v>
      </c>
      <c r="D7043" s="21" t="s">
        <v>35</v>
      </c>
      <c r="E7043" s="17" t="s">
        <v>730</v>
      </c>
      <c r="F7043" s="17" t="s">
        <v>47</v>
      </c>
      <c r="G7043" s="18" t="s">
        <v>48</v>
      </c>
      <c r="H7043" s="24">
        <v>31250</v>
      </c>
      <c r="I7043" s="24">
        <f>T_reg.root.SK[[#This Row],[Volume, kg]]/1000</f>
        <v>31.25</v>
      </c>
      <c r="J7043" s="25">
        <v>0.217</v>
      </c>
      <c r="K7043" s="25">
        <f t="shared" si="110"/>
        <v>6781.25</v>
      </c>
      <c r="L7043" s="25">
        <v>2.23</v>
      </c>
      <c r="M7043" s="24">
        <v>69796.5</v>
      </c>
      <c r="N7043" s="25">
        <f>IFERROR(T_reg.root.SK[[#This Row],[Price]]/T_reg.root.SK[[#This Row],[Starch content]],"")</f>
        <v>10.276497695852534</v>
      </c>
    </row>
    <row r="7044" spans="1:14">
      <c r="A7044" s="21">
        <v>2025</v>
      </c>
      <c r="B7044" s="21" t="s">
        <v>29</v>
      </c>
      <c r="C7044" s="21" t="s">
        <v>1145</v>
      </c>
      <c r="D7044" s="21" t="s">
        <v>35</v>
      </c>
      <c r="E7044" s="17" t="s">
        <v>1011</v>
      </c>
      <c r="F7044" s="17" t="s">
        <v>1012</v>
      </c>
      <c r="G7044" s="18" t="s">
        <v>1013</v>
      </c>
      <c r="H7044" s="24">
        <v>59190</v>
      </c>
      <c r="I7044" s="24">
        <f>T_reg.root.SK[[#This Row],[Volume, kg]]/1000</f>
        <v>59.19</v>
      </c>
      <c r="J7044" s="25">
        <v>0.2823</v>
      </c>
      <c r="K7044" s="25">
        <f t="shared" si="110"/>
        <v>16709.337</v>
      </c>
      <c r="L7044" s="25">
        <v>2.58</v>
      </c>
      <c r="M7044" s="24">
        <v>152832</v>
      </c>
      <c r="N7044" s="25">
        <f>IFERROR(T_reg.root.SK[[#This Row],[Price]]/T_reg.root.SK[[#This Row],[Starch content]],"")</f>
        <v>9.1392136025504787</v>
      </c>
    </row>
    <row r="7045" spans="1:14">
      <c r="A7045" s="21">
        <v>2025</v>
      </c>
      <c r="B7045" s="21" t="s">
        <v>29</v>
      </c>
      <c r="C7045" s="21" t="s">
        <v>1145</v>
      </c>
      <c r="D7045" s="21" t="s">
        <v>35</v>
      </c>
      <c r="E7045" s="17" t="s">
        <v>985</v>
      </c>
      <c r="F7045" s="17" t="s">
        <v>283</v>
      </c>
      <c r="G7045" s="18" t="s">
        <v>48</v>
      </c>
      <c r="H7045" s="24">
        <v>101390</v>
      </c>
      <c r="I7045" s="24">
        <f>T_reg.root.SK[[#This Row],[Volume, kg]]/1000</f>
        <v>101.39</v>
      </c>
      <c r="J7045" s="25">
        <v>0.27979999999999999</v>
      </c>
      <c r="K7045" s="25">
        <f t="shared" si="110"/>
        <v>28368.921999999999</v>
      </c>
      <c r="L7045" s="25">
        <v>2.5499999999999998</v>
      </c>
      <c r="M7045" s="24">
        <v>258062</v>
      </c>
      <c r="N7045" s="25">
        <f>IFERROR(T_reg.root.SK[[#This Row],[Price]]/T_reg.root.SK[[#This Row],[Starch content]],"")</f>
        <v>9.1136526090064329</v>
      </c>
    </row>
    <row r="7046" spans="1:14">
      <c r="A7046" s="21">
        <v>2025</v>
      </c>
      <c r="B7046" s="21" t="s">
        <v>29</v>
      </c>
      <c r="C7046" s="21" t="s">
        <v>1145</v>
      </c>
      <c r="D7046" s="21" t="s">
        <v>35</v>
      </c>
      <c r="E7046" s="17" t="s">
        <v>1039</v>
      </c>
      <c r="F7046" s="17" t="s">
        <v>105</v>
      </c>
      <c r="G7046" s="18" t="s">
        <v>48</v>
      </c>
      <c r="H7046" s="24">
        <v>28620</v>
      </c>
      <c r="I7046" s="24">
        <f>T_reg.root.SK[[#This Row],[Volume, kg]]/1000</f>
        <v>28.62</v>
      </c>
      <c r="J7046" s="25">
        <v>0.2666</v>
      </c>
      <c r="K7046" s="25">
        <f t="shared" si="110"/>
        <v>7630.0920000000006</v>
      </c>
      <c r="L7046" s="25">
        <v>2.48</v>
      </c>
      <c r="M7046" s="24">
        <v>71109.5</v>
      </c>
      <c r="N7046" s="25">
        <f>IFERROR(T_reg.root.SK[[#This Row],[Price]]/T_reg.root.SK[[#This Row],[Starch content]],"")</f>
        <v>9.3023255813953494</v>
      </c>
    </row>
    <row r="7047" spans="1:14">
      <c r="A7047" s="21">
        <v>2025</v>
      </c>
      <c r="B7047" s="21" t="s">
        <v>29</v>
      </c>
      <c r="C7047" s="21" t="s">
        <v>1145</v>
      </c>
      <c r="D7047" s="21" t="s">
        <v>35</v>
      </c>
      <c r="E7047" s="17" t="s">
        <v>1005</v>
      </c>
      <c r="F7047" s="17" t="s">
        <v>105</v>
      </c>
      <c r="G7047" s="18" t="s">
        <v>48</v>
      </c>
      <c r="H7047" s="24">
        <v>53770</v>
      </c>
      <c r="I7047" s="24">
        <f>T_reg.root.SK[[#This Row],[Volume, kg]]/1000</f>
        <v>53.77</v>
      </c>
      <c r="J7047" s="25">
        <v>0.25950000000000001</v>
      </c>
      <c r="K7047" s="25">
        <f t="shared" si="110"/>
        <v>13953.315000000001</v>
      </c>
      <c r="L7047" s="25">
        <v>2.4500000000000002</v>
      </c>
      <c r="M7047" s="24">
        <v>131802.5</v>
      </c>
      <c r="N7047" s="25">
        <f>IFERROR(T_reg.root.SK[[#This Row],[Price]]/T_reg.root.SK[[#This Row],[Starch content]],"")</f>
        <v>9.4412331406551058</v>
      </c>
    </row>
    <row r="7048" spans="1:14">
      <c r="A7048" s="21">
        <v>2025</v>
      </c>
      <c r="B7048" s="21" t="s">
        <v>29</v>
      </c>
      <c r="C7048" s="21" t="s">
        <v>1145</v>
      </c>
      <c r="D7048" s="21" t="s">
        <v>35</v>
      </c>
      <c r="E7048" s="17" t="s">
        <v>148</v>
      </c>
      <c r="F7048" s="17" t="s">
        <v>105</v>
      </c>
      <c r="G7048" s="18" t="s">
        <v>48</v>
      </c>
      <c r="H7048" s="24">
        <v>52390</v>
      </c>
      <c r="I7048" s="24">
        <f>T_reg.root.SK[[#This Row],[Volume, kg]]/1000</f>
        <v>52.39</v>
      </c>
      <c r="J7048" s="25">
        <v>0.24280000000000002</v>
      </c>
      <c r="K7048" s="25">
        <f t="shared" si="110"/>
        <v>12720.292000000001</v>
      </c>
      <c r="L7048" s="25">
        <v>2.4</v>
      </c>
      <c r="M7048" s="24">
        <v>125785.5</v>
      </c>
      <c r="N7048" s="25">
        <f>IFERROR(T_reg.root.SK[[#This Row],[Price]]/T_reg.root.SK[[#This Row],[Starch content]],"")</f>
        <v>9.8846787479406917</v>
      </c>
    </row>
    <row r="7049" spans="1:14">
      <c r="A7049" s="21">
        <v>2025</v>
      </c>
      <c r="B7049" s="21" t="s">
        <v>29</v>
      </c>
      <c r="C7049" s="21" t="s">
        <v>1145</v>
      </c>
      <c r="D7049" s="21" t="s">
        <v>35</v>
      </c>
      <c r="E7049" s="17" t="s">
        <v>208</v>
      </c>
      <c r="F7049" s="17" t="s">
        <v>187</v>
      </c>
      <c r="G7049" s="18" t="s">
        <v>48</v>
      </c>
      <c r="H7049" s="24">
        <v>22720</v>
      </c>
      <c r="I7049" s="24">
        <f>T_reg.root.SK[[#This Row],[Volume, kg]]/1000</f>
        <v>22.72</v>
      </c>
      <c r="J7049" s="25">
        <v>0.25730000000000003</v>
      </c>
      <c r="K7049" s="25">
        <f t="shared" si="110"/>
        <v>5845.8560000000007</v>
      </c>
      <c r="L7049" s="25">
        <v>2.4500000000000002</v>
      </c>
      <c r="M7049" s="24">
        <v>55675.5</v>
      </c>
      <c r="N7049" s="25">
        <f>IFERROR(T_reg.root.SK[[#This Row],[Price]]/T_reg.root.SK[[#This Row],[Starch content]],"")</f>
        <v>9.5219588029537494</v>
      </c>
    </row>
    <row r="7050" spans="1:14">
      <c r="A7050" s="21">
        <v>2025</v>
      </c>
      <c r="B7050" s="21" t="s">
        <v>29</v>
      </c>
      <c r="C7050" s="21" t="s">
        <v>1145</v>
      </c>
      <c r="D7050" s="21" t="s">
        <v>35</v>
      </c>
      <c r="E7050" s="17" t="s">
        <v>314</v>
      </c>
      <c r="F7050" s="17" t="s">
        <v>105</v>
      </c>
      <c r="G7050" s="18" t="s">
        <v>48</v>
      </c>
      <c r="H7050" s="24">
        <v>89010</v>
      </c>
      <c r="I7050" s="24">
        <f>T_reg.root.SK[[#This Row],[Volume, kg]]/1000</f>
        <v>89.01</v>
      </c>
      <c r="J7050" s="25">
        <v>0.26350000000000001</v>
      </c>
      <c r="K7050" s="25">
        <f t="shared" si="110"/>
        <v>23454.135000000002</v>
      </c>
      <c r="L7050" s="25">
        <v>2.4700000000000002</v>
      </c>
      <c r="M7050" s="24">
        <v>219696.5</v>
      </c>
      <c r="N7050" s="25">
        <f>IFERROR(T_reg.root.SK[[#This Row],[Price]]/T_reg.root.SK[[#This Row],[Starch content]],"")</f>
        <v>9.3738140417457316</v>
      </c>
    </row>
    <row r="7051" spans="1:14">
      <c r="A7051" s="21">
        <v>2025</v>
      </c>
      <c r="B7051" s="21" t="s">
        <v>29</v>
      </c>
      <c r="C7051" s="21" t="s">
        <v>1145</v>
      </c>
      <c r="D7051" s="21" t="s">
        <v>35</v>
      </c>
      <c r="E7051" s="17" t="s">
        <v>150</v>
      </c>
      <c r="F7051" s="17" t="s">
        <v>105</v>
      </c>
      <c r="G7051" s="18" t="s">
        <v>48</v>
      </c>
      <c r="H7051" s="24">
        <v>17590</v>
      </c>
      <c r="I7051" s="24">
        <f>T_reg.root.SK[[#This Row],[Volume, kg]]/1000</f>
        <v>17.59</v>
      </c>
      <c r="J7051" s="25">
        <v>0.24440000000000001</v>
      </c>
      <c r="K7051" s="25">
        <f t="shared" si="110"/>
        <v>4298.9960000000001</v>
      </c>
      <c r="L7051" s="25">
        <v>2.38</v>
      </c>
      <c r="M7051" s="24">
        <v>41882.5</v>
      </c>
      <c r="N7051" s="25">
        <f>IFERROR(T_reg.root.SK[[#This Row],[Price]]/T_reg.root.SK[[#This Row],[Starch content]],"")</f>
        <v>9.7381342062193124</v>
      </c>
    </row>
    <row r="7052" spans="1:14">
      <c r="A7052" s="21">
        <v>2025</v>
      </c>
      <c r="B7052" s="21" t="s">
        <v>29</v>
      </c>
      <c r="C7052" s="21" t="s">
        <v>1145</v>
      </c>
      <c r="D7052" s="21" t="s">
        <v>35</v>
      </c>
      <c r="E7052" s="17" t="s">
        <v>151</v>
      </c>
      <c r="F7052" s="17" t="s">
        <v>105</v>
      </c>
      <c r="G7052" s="18" t="s">
        <v>48</v>
      </c>
      <c r="H7052" s="24">
        <v>69900</v>
      </c>
      <c r="I7052" s="24">
        <f>T_reg.root.SK[[#This Row],[Volume, kg]]/1000</f>
        <v>69.900000000000006</v>
      </c>
      <c r="J7052" s="25">
        <v>0.26269999999999999</v>
      </c>
      <c r="K7052" s="25">
        <f t="shared" si="110"/>
        <v>18362.73</v>
      </c>
      <c r="L7052" s="25">
        <v>2.4700000000000002</v>
      </c>
      <c r="M7052" s="24">
        <v>172885.5</v>
      </c>
      <c r="N7052" s="25">
        <f>IFERROR(T_reg.root.SK[[#This Row],[Price]]/T_reg.root.SK[[#This Row],[Starch content]],"")</f>
        <v>9.4023601065854603</v>
      </c>
    </row>
    <row r="7053" spans="1:14">
      <c r="A7053" s="21">
        <v>2025</v>
      </c>
      <c r="B7053" s="21" t="s">
        <v>29</v>
      </c>
      <c r="C7053" s="21" t="s">
        <v>1145</v>
      </c>
      <c r="D7053" s="21" t="s">
        <v>35</v>
      </c>
      <c r="E7053" s="17" t="s">
        <v>70</v>
      </c>
      <c r="F7053" s="17" t="s">
        <v>47</v>
      </c>
      <c r="G7053" s="18" t="s">
        <v>48</v>
      </c>
      <c r="H7053" s="24">
        <v>42310</v>
      </c>
      <c r="I7053" s="24">
        <f>T_reg.root.SK[[#This Row],[Volume, kg]]/1000</f>
        <v>42.31</v>
      </c>
      <c r="J7053" s="25">
        <v>0.24280000000000002</v>
      </c>
      <c r="K7053" s="25">
        <f t="shared" si="110"/>
        <v>10272.868</v>
      </c>
      <c r="L7053" s="25">
        <v>2.36</v>
      </c>
      <c r="M7053" s="24">
        <v>99919</v>
      </c>
      <c r="N7053" s="25">
        <f>IFERROR(T_reg.root.SK[[#This Row],[Price]]/T_reg.root.SK[[#This Row],[Starch content]],"")</f>
        <v>9.7199341021416785</v>
      </c>
    </row>
    <row r="7054" spans="1:14">
      <c r="A7054" s="21">
        <v>2025</v>
      </c>
      <c r="B7054" s="21" t="s">
        <v>29</v>
      </c>
      <c r="C7054" s="21" t="s">
        <v>1145</v>
      </c>
      <c r="D7054" s="21" t="s">
        <v>35</v>
      </c>
      <c r="E7054" s="17" t="s">
        <v>644</v>
      </c>
      <c r="F7054" s="17" t="s">
        <v>645</v>
      </c>
      <c r="G7054" s="18" t="s">
        <v>48</v>
      </c>
      <c r="H7054" s="24">
        <v>6950</v>
      </c>
      <c r="I7054" s="24">
        <f>T_reg.root.SK[[#This Row],[Volume, kg]]/1000</f>
        <v>6.95</v>
      </c>
      <c r="J7054" s="25">
        <v>0.28000000000000003</v>
      </c>
      <c r="K7054" s="25">
        <f t="shared" si="110"/>
        <v>1946.0000000000002</v>
      </c>
      <c r="L7054" s="25">
        <v>2.6</v>
      </c>
      <c r="M7054" s="24">
        <v>18070</v>
      </c>
      <c r="N7054" s="25">
        <f>IFERROR(T_reg.root.SK[[#This Row],[Price]]/T_reg.root.SK[[#This Row],[Starch content]],"")</f>
        <v>9.2857142857142847</v>
      </c>
    </row>
    <row r="7055" spans="1:14">
      <c r="A7055" s="21">
        <v>2025</v>
      </c>
      <c r="B7055" s="21" t="s">
        <v>29</v>
      </c>
      <c r="C7055" s="21" t="s">
        <v>1145</v>
      </c>
      <c r="D7055" s="21" t="s">
        <v>39</v>
      </c>
      <c r="E7055" s="17" t="s">
        <v>552</v>
      </c>
      <c r="F7055" s="17" t="s">
        <v>95</v>
      </c>
      <c r="G7055" s="18" t="s">
        <v>48</v>
      </c>
      <c r="H7055" s="24">
        <v>2364270</v>
      </c>
      <c r="I7055" s="24">
        <f>T_reg.root.SK[[#This Row],[Volume, kg]]/1000</f>
        <v>2364.27</v>
      </c>
      <c r="J7055" s="25">
        <v>0.25480000000000003</v>
      </c>
      <c r="K7055" s="25">
        <f t="shared" ref="K7055:K7085" si="111">H7055*J7055</f>
        <v>602415.99600000004</v>
      </c>
      <c r="L7055" s="25">
        <v>2.69</v>
      </c>
      <c r="M7055" s="24">
        <v>6370674</v>
      </c>
      <c r="N7055" s="25">
        <f>IFERROR(T_reg.root.SK[[#This Row],[Price]]/T_reg.root.SK[[#This Row],[Starch content]],"")</f>
        <v>10.557299843014128</v>
      </c>
    </row>
    <row r="7056" spans="1:14">
      <c r="A7056" s="21">
        <v>2025</v>
      </c>
      <c r="B7056" s="21" t="s">
        <v>29</v>
      </c>
      <c r="C7056" s="21" t="s">
        <v>1145</v>
      </c>
      <c r="D7056" s="21" t="s">
        <v>35</v>
      </c>
      <c r="E7056" s="17" t="s">
        <v>934</v>
      </c>
      <c r="F7056" s="17" t="s">
        <v>105</v>
      </c>
      <c r="G7056" s="18" t="s">
        <v>48</v>
      </c>
      <c r="H7056" s="24">
        <v>8360</v>
      </c>
      <c r="I7056" s="24">
        <f>T_reg.root.SK[[#This Row],[Volume, kg]]/1000</f>
        <v>8.36</v>
      </c>
      <c r="J7056" s="25">
        <v>0.2505</v>
      </c>
      <c r="K7056" s="25">
        <f t="shared" si="111"/>
        <v>2094.1799999999998</v>
      </c>
      <c r="L7056" s="25">
        <v>2.4</v>
      </c>
      <c r="M7056" s="24">
        <v>20064</v>
      </c>
      <c r="N7056" s="25">
        <f>IFERROR(T_reg.root.SK[[#This Row],[Price]]/T_reg.root.SK[[#This Row],[Starch content]],"")</f>
        <v>9.5808383233532926</v>
      </c>
    </row>
    <row r="7057" spans="1:14">
      <c r="A7057" s="21">
        <v>2025</v>
      </c>
      <c r="B7057" s="21" t="s">
        <v>29</v>
      </c>
      <c r="C7057" s="21" t="s">
        <v>1145</v>
      </c>
      <c r="D7057" s="21" t="s">
        <v>35</v>
      </c>
      <c r="E7057" s="17" t="s">
        <v>1041</v>
      </c>
      <c r="F7057" s="17" t="s">
        <v>187</v>
      </c>
      <c r="G7057" s="18" t="s">
        <v>48</v>
      </c>
      <c r="H7057" s="24">
        <v>52840</v>
      </c>
      <c r="I7057" s="24">
        <f>T_reg.root.SK[[#This Row],[Volume, kg]]/1000</f>
        <v>52.84</v>
      </c>
      <c r="J7057" s="25">
        <v>0.23050000000000001</v>
      </c>
      <c r="K7057" s="25">
        <f t="shared" si="111"/>
        <v>12179.62</v>
      </c>
      <c r="L7057" s="25">
        <v>2.34</v>
      </c>
      <c r="M7057" s="24">
        <v>123686</v>
      </c>
      <c r="N7057" s="25">
        <f>IFERROR(T_reg.root.SK[[#This Row],[Price]]/T_reg.root.SK[[#This Row],[Starch content]],"")</f>
        <v>10.151843817787418</v>
      </c>
    </row>
    <row r="7058" spans="1:14">
      <c r="A7058" s="21">
        <v>2025</v>
      </c>
      <c r="B7058" s="21" t="s">
        <v>29</v>
      </c>
      <c r="C7058" s="21" t="s">
        <v>1145</v>
      </c>
      <c r="D7058" s="21" t="s">
        <v>35</v>
      </c>
      <c r="E7058" s="17" t="s">
        <v>211</v>
      </c>
      <c r="F7058" s="17" t="s">
        <v>187</v>
      </c>
      <c r="G7058" s="18" t="s">
        <v>48</v>
      </c>
      <c r="H7058" s="24">
        <v>110900</v>
      </c>
      <c r="I7058" s="24">
        <f>T_reg.root.SK[[#This Row],[Volume, kg]]/1000</f>
        <v>110.9</v>
      </c>
      <c r="J7058" s="25">
        <v>0.25219999999999998</v>
      </c>
      <c r="K7058" s="25">
        <f t="shared" si="111"/>
        <v>27968.98</v>
      </c>
      <c r="L7058" s="25">
        <v>2.4300000000000002</v>
      </c>
      <c r="M7058" s="24">
        <v>269661.5</v>
      </c>
      <c r="N7058" s="25">
        <f>IFERROR(T_reg.root.SK[[#This Row],[Price]]/T_reg.root.SK[[#This Row],[Starch content]],"")</f>
        <v>9.6352101506740695</v>
      </c>
    </row>
    <row r="7059" spans="1:14">
      <c r="A7059" s="21">
        <v>2025</v>
      </c>
      <c r="B7059" s="21" t="s">
        <v>29</v>
      </c>
      <c r="C7059" s="21" t="s">
        <v>1145</v>
      </c>
      <c r="D7059" s="21" t="s">
        <v>35</v>
      </c>
      <c r="E7059" s="17" t="s">
        <v>721</v>
      </c>
      <c r="F7059" s="17" t="s">
        <v>105</v>
      </c>
      <c r="G7059" s="18" t="s">
        <v>48</v>
      </c>
      <c r="H7059" s="24">
        <v>87860</v>
      </c>
      <c r="I7059" s="24">
        <f>T_reg.root.SK[[#This Row],[Volume, kg]]/1000</f>
        <v>87.86</v>
      </c>
      <c r="J7059" s="25">
        <v>0.25459999999999999</v>
      </c>
      <c r="K7059" s="25">
        <f t="shared" si="111"/>
        <v>22369.155999999999</v>
      </c>
      <c r="L7059" s="25">
        <v>2.4300000000000002</v>
      </c>
      <c r="M7059" s="24">
        <v>213278.5</v>
      </c>
      <c r="N7059" s="25">
        <f>IFERROR(T_reg.root.SK[[#This Row],[Price]]/T_reg.root.SK[[#This Row],[Starch content]],"")</f>
        <v>9.5443833464257661</v>
      </c>
    </row>
    <row r="7060" spans="1:14">
      <c r="A7060" s="21">
        <v>2025</v>
      </c>
      <c r="B7060" s="21" t="s">
        <v>29</v>
      </c>
      <c r="C7060" s="21" t="s">
        <v>1145</v>
      </c>
      <c r="D7060" s="21" t="s">
        <v>35</v>
      </c>
      <c r="E7060" s="17" t="s">
        <v>163</v>
      </c>
      <c r="F7060" s="17" t="s">
        <v>105</v>
      </c>
      <c r="G7060" s="18" t="s">
        <v>48</v>
      </c>
      <c r="H7060" s="24">
        <v>42690</v>
      </c>
      <c r="I7060" s="24">
        <f>T_reg.root.SK[[#This Row],[Volume, kg]]/1000</f>
        <v>42.69</v>
      </c>
      <c r="J7060" s="25">
        <v>0.26</v>
      </c>
      <c r="K7060" s="25">
        <f t="shared" si="111"/>
        <v>11099.4</v>
      </c>
      <c r="L7060" s="25">
        <v>2.44</v>
      </c>
      <c r="M7060" s="24">
        <v>104282</v>
      </c>
      <c r="N7060" s="25">
        <f>IFERROR(T_reg.root.SK[[#This Row],[Price]]/T_reg.root.SK[[#This Row],[Starch content]],"")</f>
        <v>9.3846153846153832</v>
      </c>
    </row>
    <row r="7061" spans="1:14">
      <c r="A7061" s="21">
        <v>2025</v>
      </c>
      <c r="B7061" s="21" t="s">
        <v>29</v>
      </c>
      <c r="C7061" s="21" t="s">
        <v>1145</v>
      </c>
      <c r="D7061" s="21" t="s">
        <v>35</v>
      </c>
      <c r="E7061" s="17" t="s">
        <v>165</v>
      </c>
      <c r="F7061" s="17" t="s">
        <v>105</v>
      </c>
      <c r="G7061" s="18" t="s">
        <v>48</v>
      </c>
      <c r="H7061" s="24">
        <v>32620</v>
      </c>
      <c r="I7061" s="24">
        <f>T_reg.root.SK[[#This Row],[Volume, kg]]/1000</f>
        <v>32.619999999999997</v>
      </c>
      <c r="J7061" s="25">
        <v>0.2797</v>
      </c>
      <c r="K7061" s="25">
        <f t="shared" si="111"/>
        <v>9123.8140000000003</v>
      </c>
      <c r="L7061" s="25">
        <v>2.54</v>
      </c>
      <c r="M7061" s="24">
        <v>82754</v>
      </c>
      <c r="N7061" s="25">
        <f>IFERROR(T_reg.root.SK[[#This Row],[Price]]/T_reg.root.SK[[#This Row],[Starch content]],"")</f>
        <v>9.0811583839828387</v>
      </c>
    </row>
    <row r="7062" spans="1:14">
      <c r="A7062" s="21">
        <v>2025</v>
      </c>
      <c r="B7062" s="21" t="s">
        <v>29</v>
      </c>
      <c r="C7062" s="21" t="s">
        <v>1145</v>
      </c>
      <c r="D7062" s="21" t="s">
        <v>35</v>
      </c>
      <c r="E7062" s="17" t="s">
        <v>620</v>
      </c>
      <c r="F7062" s="17" t="s">
        <v>105</v>
      </c>
      <c r="G7062" s="18" t="s">
        <v>48</v>
      </c>
      <c r="H7062" s="24">
        <v>19530</v>
      </c>
      <c r="I7062" s="24">
        <f>T_reg.root.SK[[#This Row],[Volume, kg]]/1000</f>
        <v>19.53</v>
      </c>
      <c r="J7062" s="25">
        <v>0.27</v>
      </c>
      <c r="K7062" s="25">
        <f t="shared" si="111"/>
        <v>5273.1</v>
      </c>
      <c r="L7062" s="25">
        <v>2.5</v>
      </c>
      <c r="M7062" s="24">
        <v>48825</v>
      </c>
      <c r="N7062" s="25">
        <f>IFERROR(T_reg.root.SK[[#This Row],[Price]]/T_reg.root.SK[[#This Row],[Starch content]],"")</f>
        <v>9.2592592592592595</v>
      </c>
    </row>
    <row r="7063" spans="1:14">
      <c r="A7063" s="21">
        <v>2025</v>
      </c>
      <c r="B7063" s="21" t="s">
        <v>29</v>
      </c>
      <c r="C7063" s="21" t="s">
        <v>1145</v>
      </c>
      <c r="D7063" s="21" t="s">
        <v>35</v>
      </c>
      <c r="E7063" s="17" t="s">
        <v>573</v>
      </c>
      <c r="F7063" s="17" t="s">
        <v>105</v>
      </c>
      <c r="G7063" s="18" t="s">
        <v>48</v>
      </c>
      <c r="H7063" s="24">
        <v>23140</v>
      </c>
      <c r="I7063" s="24">
        <f>T_reg.root.SK[[#This Row],[Volume, kg]]/1000</f>
        <v>23.14</v>
      </c>
      <c r="J7063" s="25">
        <v>0.28300000000000003</v>
      </c>
      <c r="K7063" s="25">
        <f t="shared" si="111"/>
        <v>6548.6200000000008</v>
      </c>
      <c r="L7063" s="25">
        <v>2.61</v>
      </c>
      <c r="M7063" s="24">
        <v>60506.5</v>
      </c>
      <c r="N7063" s="25">
        <f>IFERROR(T_reg.root.SK[[#This Row],[Price]]/T_reg.root.SK[[#This Row],[Starch content]],"")</f>
        <v>9.2226148409893973</v>
      </c>
    </row>
    <row r="7064" spans="1:14">
      <c r="A7064" s="21">
        <v>2025</v>
      </c>
      <c r="B7064" s="21" t="s">
        <v>29</v>
      </c>
      <c r="C7064" s="21" t="s">
        <v>1145</v>
      </c>
      <c r="D7064" s="21" t="s">
        <v>35</v>
      </c>
      <c r="E7064" s="17" t="s">
        <v>503</v>
      </c>
      <c r="F7064" s="17" t="s">
        <v>105</v>
      </c>
      <c r="G7064" s="18" t="s">
        <v>48</v>
      </c>
      <c r="H7064" s="24">
        <v>40550</v>
      </c>
      <c r="I7064" s="24">
        <f>T_reg.root.SK[[#This Row],[Volume, kg]]/1000</f>
        <v>40.549999999999997</v>
      </c>
      <c r="J7064" s="25">
        <v>0.23780000000000001</v>
      </c>
      <c r="K7064" s="25">
        <f t="shared" si="111"/>
        <v>9642.7900000000009</v>
      </c>
      <c r="L7064" s="25">
        <v>2.38</v>
      </c>
      <c r="M7064" s="24">
        <v>96680.5</v>
      </c>
      <c r="N7064" s="25">
        <f>IFERROR(T_reg.root.SK[[#This Row],[Price]]/T_reg.root.SK[[#This Row],[Starch content]],"")</f>
        <v>10.008410428931874</v>
      </c>
    </row>
    <row r="7065" spans="1:14">
      <c r="A7065" s="21">
        <v>2025</v>
      </c>
      <c r="B7065" s="21" t="s">
        <v>29</v>
      </c>
      <c r="C7065" s="21" t="s">
        <v>1145</v>
      </c>
      <c r="D7065" s="21" t="s">
        <v>35</v>
      </c>
      <c r="E7065" s="17" t="s">
        <v>722</v>
      </c>
      <c r="F7065" s="17" t="s">
        <v>105</v>
      </c>
      <c r="G7065" s="18" t="s">
        <v>48</v>
      </c>
      <c r="H7065" s="24">
        <v>18220</v>
      </c>
      <c r="I7065" s="24">
        <f>T_reg.root.SK[[#This Row],[Volume, kg]]/1000</f>
        <v>18.22</v>
      </c>
      <c r="J7065" s="25">
        <v>0.25890000000000002</v>
      </c>
      <c r="K7065" s="25">
        <f t="shared" si="111"/>
        <v>4717.1580000000004</v>
      </c>
      <c r="L7065" s="25">
        <v>2.4300000000000002</v>
      </c>
      <c r="M7065" s="24">
        <v>44281</v>
      </c>
      <c r="N7065" s="25">
        <f>IFERROR(T_reg.root.SK[[#This Row],[Price]]/T_reg.root.SK[[#This Row],[Starch content]],"")</f>
        <v>9.3858632676709153</v>
      </c>
    </row>
    <row r="7066" spans="1:14">
      <c r="A7066" s="21">
        <v>2025</v>
      </c>
      <c r="B7066" s="21" t="s">
        <v>29</v>
      </c>
      <c r="C7066" s="21" t="s">
        <v>1145</v>
      </c>
      <c r="D7066" s="21" t="s">
        <v>35</v>
      </c>
      <c r="E7066" s="17" t="s">
        <v>172</v>
      </c>
      <c r="F7066" s="17" t="s">
        <v>105</v>
      </c>
      <c r="G7066" s="18" t="s">
        <v>48</v>
      </c>
      <c r="H7066" s="24">
        <v>11170</v>
      </c>
      <c r="I7066" s="24">
        <f>T_reg.root.SK[[#This Row],[Volume, kg]]/1000</f>
        <v>11.17</v>
      </c>
      <c r="J7066" s="25">
        <v>0.24</v>
      </c>
      <c r="K7066" s="25">
        <f t="shared" si="111"/>
        <v>2680.7999999999997</v>
      </c>
      <c r="L7066" s="25">
        <v>2.35</v>
      </c>
      <c r="M7066" s="24">
        <v>26249.5</v>
      </c>
      <c r="N7066" s="25">
        <f>IFERROR(T_reg.root.SK[[#This Row],[Price]]/T_reg.root.SK[[#This Row],[Starch content]],"")</f>
        <v>9.7916666666666679</v>
      </c>
    </row>
    <row r="7067" spans="1:14">
      <c r="A7067" s="21">
        <v>2025</v>
      </c>
      <c r="B7067" s="21" t="s">
        <v>29</v>
      </c>
      <c r="C7067" s="21" t="s">
        <v>1145</v>
      </c>
      <c r="D7067" s="21" t="s">
        <v>35</v>
      </c>
      <c r="E7067" s="17" t="s">
        <v>691</v>
      </c>
      <c r="F7067" s="17" t="s">
        <v>187</v>
      </c>
      <c r="G7067" s="18" t="s">
        <v>48</v>
      </c>
      <c r="H7067" s="24">
        <v>11760</v>
      </c>
      <c r="I7067" s="24">
        <f>T_reg.root.SK[[#This Row],[Volume, kg]]/1000</f>
        <v>11.76</v>
      </c>
      <c r="J7067" s="25">
        <v>0.25340000000000001</v>
      </c>
      <c r="K7067" s="25">
        <f t="shared" si="111"/>
        <v>2979.9840000000004</v>
      </c>
      <c r="L7067" s="25">
        <v>2.42</v>
      </c>
      <c r="M7067" s="24">
        <v>28439</v>
      </c>
      <c r="N7067" s="25">
        <f>IFERROR(T_reg.root.SK[[#This Row],[Price]]/T_reg.root.SK[[#This Row],[Starch content]],"")</f>
        <v>9.5501183898973938</v>
      </c>
    </row>
    <row r="7068" spans="1:14">
      <c r="A7068" s="21">
        <v>2025</v>
      </c>
      <c r="B7068" s="21" t="s">
        <v>29</v>
      </c>
      <c r="C7068" s="21" t="s">
        <v>1145</v>
      </c>
      <c r="D7068" s="21" t="s">
        <v>35</v>
      </c>
      <c r="E7068" s="17" t="s">
        <v>935</v>
      </c>
      <c r="F7068" s="17" t="s">
        <v>105</v>
      </c>
      <c r="G7068" s="18" t="s">
        <v>48</v>
      </c>
      <c r="H7068" s="24">
        <v>71430</v>
      </c>
      <c r="I7068" s="24">
        <f>T_reg.root.SK[[#This Row],[Volume, kg]]/1000</f>
        <v>71.430000000000007</v>
      </c>
      <c r="J7068" s="25">
        <v>0.2883</v>
      </c>
      <c r="K7068" s="25">
        <f t="shared" si="111"/>
        <v>20593.269</v>
      </c>
      <c r="L7068" s="25">
        <v>2.59</v>
      </c>
      <c r="M7068" s="24">
        <v>184725.5</v>
      </c>
      <c r="N7068" s="25">
        <f>IFERROR(T_reg.root.SK[[#This Row],[Price]]/T_reg.root.SK[[#This Row],[Starch content]],"")</f>
        <v>8.9836975372875472</v>
      </c>
    </row>
    <row r="7069" spans="1:14">
      <c r="A7069" s="21">
        <v>2025</v>
      </c>
      <c r="B7069" s="21" t="s">
        <v>29</v>
      </c>
      <c r="C7069" s="21" t="s">
        <v>1145</v>
      </c>
      <c r="D7069" s="21" t="s">
        <v>35</v>
      </c>
      <c r="E7069" s="17" t="s">
        <v>938</v>
      </c>
      <c r="F7069" s="17" t="s">
        <v>105</v>
      </c>
      <c r="G7069" s="18" t="s">
        <v>48</v>
      </c>
      <c r="H7069" s="24">
        <v>63420</v>
      </c>
      <c r="I7069" s="24">
        <f>T_reg.root.SK[[#This Row],[Volume, kg]]/1000</f>
        <v>63.42</v>
      </c>
      <c r="J7069" s="25">
        <v>0.26700000000000002</v>
      </c>
      <c r="K7069" s="25">
        <f t="shared" si="111"/>
        <v>16933.14</v>
      </c>
      <c r="L7069" s="25">
        <v>2.4900000000000002</v>
      </c>
      <c r="M7069" s="24">
        <v>157973</v>
      </c>
      <c r="N7069" s="25">
        <f>IFERROR(T_reg.root.SK[[#This Row],[Price]]/T_reg.root.SK[[#This Row],[Starch content]],"")</f>
        <v>9.3258426966292145</v>
      </c>
    </row>
    <row r="7070" spans="1:14">
      <c r="A7070" s="21">
        <v>2025</v>
      </c>
      <c r="B7070" s="21" t="s">
        <v>29</v>
      </c>
      <c r="C7070" s="21" t="s">
        <v>1145</v>
      </c>
      <c r="D7070" s="21" t="s">
        <v>35</v>
      </c>
      <c r="E7070" s="17" t="s">
        <v>968</v>
      </c>
      <c r="F7070" s="17" t="s">
        <v>105</v>
      </c>
      <c r="G7070" s="18" t="s">
        <v>48</v>
      </c>
      <c r="H7070" s="24">
        <v>10390</v>
      </c>
      <c r="I7070" s="24">
        <f>T_reg.root.SK[[#This Row],[Volume, kg]]/1000</f>
        <v>10.39</v>
      </c>
      <c r="J7070" s="25">
        <v>0.26750000000000002</v>
      </c>
      <c r="K7070" s="25">
        <f t="shared" si="111"/>
        <v>2779.3250000000003</v>
      </c>
      <c r="L7070" s="25">
        <v>2.5</v>
      </c>
      <c r="M7070" s="24">
        <v>25975</v>
      </c>
      <c r="N7070" s="25">
        <f>IFERROR(T_reg.root.SK[[#This Row],[Price]]/T_reg.root.SK[[#This Row],[Starch content]],"")</f>
        <v>9.3457943925233646</v>
      </c>
    </row>
    <row r="7071" spans="1:14">
      <c r="A7071" s="21">
        <v>2025</v>
      </c>
      <c r="B7071" s="21" t="s">
        <v>29</v>
      </c>
      <c r="C7071" s="21" t="s">
        <v>1145</v>
      </c>
      <c r="D7071" s="21" t="s">
        <v>35</v>
      </c>
      <c r="E7071" s="17" t="s">
        <v>980</v>
      </c>
      <c r="F7071" s="17" t="s">
        <v>105</v>
      </c>
      <c r="G7071" s="18" t="s">
        <v>48</v>
      </c>
      <c r="H7071" s="24">
        <v>40420</v>
      </c>
      <c r="I7071" s="24">
        <f>T_reg.root.SK[[#This Row],[Volume, kg]]/1000</f>
        <v>40.42</v>
      </c>
      <c r="J7071" s="25">
        <v>0.27600000000000002</v>
      </c>
      <c r="K7071" s="25">
        <f t="shared" si="111"/>
        <v>11155.92</v>
      </c>
      <c r="L7071" s="25">
        <v>2.56</v>
      </c>
      <c r="M7071" s="24">
        <v>103565</v>
      </c>
      <c r="N7071" s="25">
        <f>IFERROR(T_reg.root.SK[[#This Row],[Price]]/T_reg.root.SK[[#This Row],[Starch content]],"")</f>
        <v>9.2753623188405783</v>
      </c>
    </row>
    <row r="7072" spans="1:14">
      <c r="A7072" s="21">
        <v>2025</v>
      </c>
      <c r="B7072" s="21" t="s">
        <v>29</v>
      </c>
      <c r="C7072" s="21" t="s">
        <v>1145</v>
      </c>
      <c r="D7072" s="21" t="s">
        <v>35</v>
      </c>
      <c r="E7072" s="17" t="s">
        <v>981</v>
      </c>
      <c r="F7072" s="17" t="s">
        <v>105</v>
      </c>
      <c r="G7072" s="18" t="s">
        <v>48</v>
      </c>
      <c r="H7072" s="24">
        <v>31980</v>
      </c>
      <c r="I7072" s="24">
        <f>T_reg.root.SK[[#This Row],[Volume, kg]]/1000</f>
        <v>31.98</v>
      </c>
      <c r="J7072" s="25">
        <v>0.27210000000000001</v>
      </c>
      <c r="K7072" s="25">
        <f t="shared" si="111"/>
        <v>8701.7579999999998</v>
      </c>
      <c r="L7072" s="25">
        <v>2.57</v>
      </c>
      <c r="M7072" s="24">
        <v>82227</v>
      </c>
      <c r="N7072" s="25">
        <f>IFERROR(T_reg.root.SK[[#This Row],[Price]]/T_reg.root.SK[[#This Row],[Starch content]],"")</f>
        <v>9.4450569643513411</v>
      </c>
    </row>
    <row r="7073" spans="1:14">
      <c r="A7073" s="21">
        <v>2025</v>
      </c>
      <c r="B7073" s="21" t="s">
        <v>29</v>
      </c>
      <c r="C7073" s="21" t="s">
        <v>1145</v>
      </c>
      <c r="D7073" s="21" t="s">
        <v>35</v>
      </c>
      <c r="E7073" s="17" t="s">
        <v>1079</v>
      </c>
      <c r="F7073" s="17" t="s">
        <v>105</v>
      </c>
      <c r="G7073" s="18" t="s">
        <v>48</v>
      </c>
      <c r="H7073" s="24">
        <v>20960</v>
      </c>
      <c r="I7073" s="24">
        <f>T_reg.root.SK[[#This Row],[Volume, kg]]/1000</f>
        <v>20.96</v>
      </c>
      <c r="J7073" s="25">
        <v>0.26780000000000004</v>
      </c>
      <c r="K7073" s="25">
        <f t="shared" si="111"/>
        <v>5613.0880000000006</v>
      </c>
      <c r="L7073" s="25">
        <v>2.5099999999999998</v>
      </c>
      <c r="M7073" s="24">
        <v>52518</v>
      </c>
      <c r="N7073" s="25">
        <f>IFERROR(T_reg.root.SK[[#This Row],[Price]]/T_reg.root.SK[[#This Row],[Starch content]],"")</f>
        <v>9.372666168782672</v>
      </c>
    </row>
    <row r="7074" spans="1:14">
      <c r="A7074" s="21">
        <v>2025</v>
      </c>
      <c r="B7074" s="21" t="s">
        <v>29</v>
      </c>
      <c r="C7074" s="21" t="s">
        <v>1145</v>
      </c>
      <c r="D7074" s="21" t="s">
        <v>35</v>
      </c>
      <c r="E7074" s="17" t="s">
        <v>1100</v>
      </c>
      <c r="F7074" s="17" t="s">
        <v>105</v>
      </c>
      <c r="G7074" s="18" t="s">
        <v>48</v>
      </c>
      <c r="H7074" s="24">
        <v>97660</v>
      </c>
      <c r="I7074" s="24">
        <f>T_reg.root.SK[[#This Row],[Volume, kg]]/1000</f>
        <v>97.66</v>
      </c>
      <c r="J7074" s="25">
        <v>0.27</v>
      </c>
      <c r="K7074" s="25">
        <f t="shared" si="111"/>
        <v>26368.2</v>
      </c>
      <c r="L7074" s="25">
        <v>2.5099999999999998</v>
      </c>
      <c r="M7074" s="24">
        <v>244875.5</v>
      </c>
      <c r="N7074" s="25">
        <f>IFERROR(T_reg.root.SK[[#This Row],[Price]]/T_reg.root.SK[[#This Row],[Starch content]],"")</f>
        <v>9.2962962962962941</v>
      </c>
    </row>
    <row r="7075" spans="1:14">
      <c r="A7075" s="21">
        <v>2025</v>
      </c>
      <c r="B7075" s="21" t="s">
        <v>29</v>
      </c>
      <c r="C7075" s="21" t="s">
        <v>1145</v>
      </c>
      <c r="D7075" s="21" t="s">
        <v>35</v>
      </c>
      <c r="E7075" s="17" t="s">
        <v>174</v>
      </c>
      <c r="F7075" s="17" t="s">
        <v>105</v>
      </c>
      <c r="G7075" s="18" t="s">
        <v>48</v>
      </c>
      <c r="H7075" s="24">
        <v>40720</v>
      </c>
      <c r="I7075" s="24">
        <f>T_reg.root.SK[[#This Row],[Volume, kg]]/1000</f>
        <v>40.72</v>
      </c>
      <c r="J7075" s="25">
        <v>0.26179999999999998</v>
      </c>
      <c r="K7075" s="25">
        <f t="shared" si="111"/>
        <v>10660.495999999999</v>
      </c>
      <c r="L7075" s="25">
        <v>2.4900000000000002</v>
      </c>
      <c r="M7075" s="24">
        <v>101211</v>
      </c>
      <c r="N7075" s="25">
        <f>IFERROR(T_reg.root.SK[[#This Row],[Price]]/T_reg.root.SK[[#This Row],[Starch content]],"")</f>
        <v>9.5110771581359828</v>
      </c>
    </row>
    <row r="7076" spans="1:14">
      <c r="A7076" s="21">
        <v>2025</v>
      </c>
      <c r="B7076" s="21" t="s">
        <v>29</v>
      </c>
      <c r="C7076" s="21" t="s">
        <v>1145</v>
      </c>
      <c r="D7076" s="21" t="s">
        <v>39</v>
      </c>
      <c r="E7076" s="17" t="s">
        <v>88</v>
      </c>
      <c r="F7076" s="17" t="s">
        <v>89</v>
      </c>
      <c r="G7076" s="18" t="s">
        <v>90</v>
      </c>
      <c r="H7076" s="24">
        <v>5294830</v>
      </c>
      <c r="I7076" s="24">
        <f>T_reg.root.SK[[#This Row],[Volume, kg]]/1000</f>
        <v>5294.83</v>
      </c>
      <c r="J7076" s="25">
        <v>0.26719999999999999</v>
      </c>
      <c r="K7076" s="25">
        <f t="shared" si="111"/>
        <v>1414778.5759999999</v>
      </c>
      <c r="L7076" s="25">
        <v>2.76</v>
      </c>
      <c r="M7076" s="24">
        <v>14589159</v>
      </c>
      <c r="N7076" s="25">
        <f>IFERROR(T_reg.root.SK[[#This Row],[Price]]/T_reg.root.SK[[#This Row],[Starch content]],"")</f>
        <v>10.32934131736527</v>
      </c>
    </row>
    <row r="7077" spans="1:14">
      <c r="A7077" s="21">
        <v>2025</v>
      </c>
      <c r="B7077" s="21" t="s">
        <v>29</v>
      </c>
      <c r="C7077" s="21" t="s">
        <v>1145</v>
      </c>
      <c r="D7077" s="21" t="s">
        <v>39</v>
      </c>
      <c r="E7077" s="17" t="s">
        <v>1054</v>
      </c>
      <c r="F7077" s="17" t="s">
        <v>1055</v>
      </c>
      <c r="G7077" s="18" t="s">
        <v>103</v>
      </c>
      <c r="H7077" s="24">
        <v>401410</v>
      </c>
      <c r="I7077" s="24">
        <f>T_reg.root.SK[[#This Row],[Volume, kg]]/1000</f>
        <v>401.41</v>
      </c>
      <c r="J7077" s="25">
        <v>0.24579999999999999</v>
      </c>
      <c r="K7077" s="25">
        <f t="shared" si="111"/>
        <v>98666.577999999994</v>
      </c>
      <c r="L7077" s="25">
        <v>2.66</v>
      </c>
      <c r="M7077" s="24">
        <v>1065985</v>
      </c>
      <c r="N7077" s="25">
        <f>IFERROR(T_reg.root.SK[[#This Row],[Price]]/T_reg.root.SK[[#This Row],[Starch content]],"")</f>
        <v>10.821806346623273</v>
      </c>
    </row>
    <row r="7078" spans="1:14">
      <c r="A7078" s="21">
        <v>2025</v>
      </c>
      <c r="B7078" s="21" t="s">
        <v>29</v>
      </c>
      <c r="C7078" s="21" t="s">
        <v>1145</v>
      </c>
      <c r="D7078" s="21" t="s">
        <v>35</v>
      </c>
      <c r="E7078" s="17" t="s">
        <v>176</v>
      </c>
      <c r="F7078" s="17" t="s">
        <v>105</v>
      </c>
      <c r="G7078" s="18" t="s">
        <v>48</v>
      </c>
      <c r="H7078" s="24">
        <v>63880</v>
      </c>
      <c r="I7078" s="24">
        <f>T_reg.root.SK[[#This Row],[Volume, kg]]/1000</f>
        <v>63.88</v>
      </c>
      <c r="J7078" s="25">
        <v>0.25989999999999996</v>
      </c>
      <c r="K7078" s="25">
        <f t="shared" si="111"/>
        <v>16602.411999999997</v>
      </c>
      <c r="L7078" s="25">
        <v>2.46</v>
      </c>
      <c r="M7078" s="24">
        <v>157082.5</v>
      </c>
      <c r="N7078" s="25">
        <f>IFERROR(T_reg.root.SK[[#This Row],[Price]]/T_reg.root.SK[[#This Row],[Starch content]],"")</f>
        <v>9.4651789149672965</v>
      </c>
    </row>
    <row r="7079" spans="1:14">
      <c r="A7079" s="21">
        <v>2025</v>
      </c>
      <c r="B7079" s="21" t="s">
        <v>29</v>
      </c>
      <c r="C7079" s="21" t="s">
        <v>1145</v>
      </c>
      <c r="D7079" s="21" t="s">
        <v>35</v>
      </c>
      <c r="E7079" s="17" t="s">
        <v>605</v>
      </c>
      <c r="F7079" s="17" t="s">
        <v>105</v>
      </c>
      <c r="G7079" s="18" t="s">
        <v>48</v>
      </c>
      <c r="H7079" s="24">
        <v>18350</v>
      </c>
      <c r="I7079" s="24">
        <f>T_reg.root.SK[[#This Row],[Volume, kg]]/1000</f>
        <v>18.350000000000001</v>
      </c>
      <c r="J7079" s="25">
        <v>0.23600000000000002</v>
      </c>
      <c r="K7079" s="25">
        <f t="shared" si="111"/>
        <v>4330.6000000000004</v>
      </c>
      <c r="L7079" s="25">
        <v>2.4</v>
      </c>
      <c r="M7079" s="24">
        <v>44080.5</v>
      </c>
      <c r="N7079" s="25">
        <f>IFERROR(T_reg.root.SK[[#This Row],[Price]]/T_reg.root.SK[[#This Row],[Starch content]],"")</f>
        <v>10.169491525423728</v>
      </c>
    </row>
    <row r="7080" spans="1:14">
      <c r="A7080" s="21">
        <v>2025</v>
      </c>
      <c r="B7080" s="21" t="s">
        <v>29</v>
      </c>
      <c r="C7080" s="21" t="s">
        <v>1145</v>
      </c>
      <c r="D7080" s="21" t="s">
        <v>35</v>
      </c>
      <c r="E7080" s="17" t="s">
        <v>259</v>
      </c>
      <c r="F7080" s="17" t="s">
        <v>105</v>
      </c>
      <c r="G7080" s="18" t="s">
        <v>48</v>
      </c>
      <c r="H7080" s="24">
        <v>50420</v>
      </c>
      <c r="I7080" s="24">
        <f>T_reg.root.SK[[#This Row],[Volume, kg]]/1000</f>
        <v>50.42</v>
      </c>
      <c r="J7080" s="25">
        <v>0.26649999999999996</v>
      </c>
      <c r="K7080" s="25">
        <f t="shared" si="111"/>
        <v>13436.929999999998</v>
      </c>
      <c r="L7080" s="25">
        <v>2.4900000000000002</v>
      </c>
      <c r="M7080" s="24">
        <v>125403.5</v>
      </c>
      <c r="N7080" s="25">
        <f>IFERROR(T_reg.root.SK[[#This Row],[Price]]/T_reg.root.SK[[#This Row],[Starch content]],"")</f>
        <v>9.3433395872420277</v>
      </c>
    </row>
    <row r="7081" spans="1:14">
      <c r="A7081" s="21">
        <v>2025</v>
      </c>
      <c r="B7081" s="21" t="s">
        <v>29</v>
      </c>
      <c r="C7081" s="21" t="s">
        <v>1145</v>
      </c>
      <c r="D7081" s="21" t="s">
        <v>35</v>
      </c>
      <c r="E7081" s="17" t="s">
        <v>182</v>
      </c>
      <c r="F7081" s="17" t="s">
        <v>105</v>
      </c>
      <c r="G7081" s="18" t="s">
        <v>48</v>
      </c>
      <c r="H7081" s="24">
        <v>6750</v>
      </c>
      <c r="I7081" s="24">
        <f>T_reg.root.SK[[#This Row],[Volume, kg]]/1000</f>
        <v>6.75</v>
      </c>
      <c r="J7081" s="25">
        <v>0.248</v>
      </c>
      <c r="K7081" s="25">
        <f t="shared" si="111"/>
        <v>1674</v>
      </c>
      <c r="L7081" s="25">
        <v>2.4500000000000002</v>
      </c>
      <c r="M7081" s="24">
        <v>16537.5</v>
      </c>
      <c r="N7081" s="25">
        <f>IFERROR(T_reg.root.SK[[#This Row],[Price]]/T_reg.root.SK[[#This Row],[Starch content]],"")</f>
        <v>9.8790322580645178</v>
      </c>
    </row>
    <row r="7082" spans="1:14">
      <c r="A7082" s="21">
        <v>2025</v>
      </c>
      <c r="B7082" s="21" t="s">
        <v>29</v>
      </c>
      <c r="C7082" s="21" t="s">
        <v>1145</v>
      </c>
      <c r="D7082" s="21" t="s">
        <v>35</v>
      </c>
      <c r="E7082" s="17" t="s">
        <v>772</v>
      </c>
      <c r="F7082" s="17" t="s">
        <v>105</v>
      </c>
      <c r="G7082" s="18" t="s">
        <v>48</v>
      </c>
      <c r="H7082" s="24">
        <v>172950</v>
      </c>
      <c r="I7082" s="24">
        <f>T_reg.root.SK[[#This Row],[Volume, kg]]/1000</f>
        <v>172.95</v>
      </c>
      <c r="J7082" s="25">
        <v>0.2752</v>
      </c>
      <c r="K7082" s="25">
        <f t="shared" si="111"/>
        <v>47595.839999999997</v>
      </c>
      <c r="L7082" s="25">
        <v>2.57</v>
      </c>
      <c r="M7082" s="24">
        <v>445298</v>
      </c>
      <c r="N7082" s="25">
        <f>IFERROR(T_reg.root.SK[[#This Row],[Price]]/T_reg.root.SK[[#This Row],[Starch content]],"")</f>
        <v>9.3386627906976738</v>
      </c>
    </row>
    <row r="7083" spans="1:14">
      <c r="A7083" s="21">
        <v>2025</v>
      </c>
      <c r="B7083" s="21" t="s">
        <v>29</v>
      </c>
      <c r="C7083" s="21" t="s">
        <v>1145</v>
      </c>
      <c r="D7083" s="21" t="s">
        <v>35</v>
      </c>
      <c r="E7083" s="17" t="s">
        <v>1067</v>
      </c>
      <c r="F7083" s="17" t="s">
        <v>105</v>
      </c>
      <c r="G7083" s="18" t="s">
        <v>48</v>
      </c>
      <c r="H7083" s="24">
        <v>19220</v>
      </c>
      <c r="I7083" s="24">
        <f>T_reg.root.SK[[#This Row],[Volume, kg]]/1000</f>
        <v>19.22</v>
      </c>
      <c r="J7083" s="25">
        <v>0.2742</v>
      </c>
      <c r="K7083" s="25">
        <f t="shared" si="111"/>
        <v>5270.1239999999998</v>
      </c>
      <c r="L7083" s="25">
        <v>2.5499999999999998</v>
      </c>
      <c r="M7083" s="24">
        <v>49011</v>
      </c>
      <c r="N7083" s="25">
        <f>IFERROR(T_reg.root.SK[[#This Row],[Price]]/T_reg.root.SK[[#This Row],[Starch content]],"")</f>
        <v>9.2997811816192559</v>
      </c>
    </row>
    <row r="7084" spans="1:14">
      <c r="A7084" s="21">
        <v>2025</v>
      </c>
      <c r="B7084" s="21" t="s">
        <v>29</v>
      </c>
      <c r="C7084" s="21" t="s">
        <v>1145</v>
      </c>
      <c r="D7084" s="21" t="s">
        <v>35</v>
      </c>
      <c r="E7084" s="17" t="s">
        <v>1101</v>
      </c>
      <c r="F7084" s="17" t="s">
        <v>105</v>
      </c>
      <c r="G7084" s="18" t="s">
        <v>48</v>
      </c>
      <c r="H7084" s="24">
        <v>51240</v>
      </c>
      <c r="I7084" s="24">
        <f>T_reg.root.SK[[#This Row],[Volume, kg]]/1000</f>
        <v>51.24</v>
      </c>
      <c r="J7084" s="25">
        <v>0.25230000000000002</v>
      </c>
      <c r="K7084" s="25">
        <f t="shared" si="111"/>
        <v>12927.852000000001</v>
      </c>
      <c r="L7084" s="25">
        <v>2.4</v>
      </c>
      <c r="M7084" s="24">
        <v>123000.5</v>
      </c>
      <c r="N7084" s="25">
        <f>IFERROR(T_reg.root.SK[[#This Row],[Price]]/T_reg.root.SK[[#This Row],[Starch content]],"")</f>
        <v>9.5124851367419723</v>
      </c>
    </row>
    <row r="7085" spans="1:14">
      <c r="A7085" s="21">
        <v>2025</v>
      </c>
      <c r="B7085" s="21" t="s">
        <v>29</v>
      </c>
      <c r="C7085" s="21" t="s">
        <v>1145</v>
      </c>
      <c r="D7085" s="21" t="s">
        <v>35</v>
      </c>
      <c r="E7085" s="17" t="s">
        <v>183</v>
      </c>
      <c r="F7085" s="17" t="s">
        <v>105</v>
      </c>
      <c r="G7085" s="18" t="s">
        <v>48</v>
      </c>
      <c r="H7085" s="24">
        <v>61420</v>
      </c>
      <c r="I7085" s="24">
        <f>T_reg.root.SK[[#This Row],[Volume, kg]]/1000</f>
        <v>61.42</v>
      </c>
      <c r="J7085" s="25">
        <v>0.255</v>
      </c>
      <c r="K7085" s="25">
        <f t="shared" si="111"/>
        <v>15662.1</v>
      </c>
      <c r="L7085" s="25">
        <v>2.42</v>
      </c>
      <c r="M7085" s="24">
        <v>148933</v>
      </c>
      <c r="N7085" s="25">
        <f>IFERROR(T_reg.root.SK[[#This Row],[Price]]/T_reg.root.SK[[#This Row],[Starch content]],"")</f>
        <v>9.4901960784313726</v>
      </c>
    </row>
    <row r="7086" spans="1:14">
      <c r="A7086" s="21">
        <v>2026</v>
      </c>
      <c r="B7086" s="21" t="s">
        <v>17</v>
      </c>
      <c r="C7086" s="21" t="s">
        <v>1145</v>
      </c>
      <c r="D7086" s="21" t="s">
        <v>35</v>
      </c>
      <c r="E7086" s="17" t="s">
        <v>457</v>
      </c>
      <c r="F7086" s="17" t="s">
        <v>47</v>
      </c>
      <c r="G7086" s="18" t="s">
        <v>48</v>
      </c>
      <c r="H7086" s="24">
        <v>10600</v>
      </c>
      <c r="I7086" s="24">
        <f>T_reg.root.SK[[#This Row],[Volume, kg]]/1000</f>
        <v>10.6</v>
      </c>
      <c r="J7086" s="25">
        <v>0.20399999999999999</v>
      </c>
      <c r="K7086" s="25">
        <f>H7086*J7086</f>
        <v>2162.3999999999996</v>
      </c>
      <c r="L7086" s="25">
        <v>2.2999999999999998</v>
      </c>
      <c r="M7086" s="24">
        <v>24380</v>
      </c>
      <c r="N7086" s="25">
        <f>IFERROR(T_reg.root.SK[[#This Row],[Price]]/T_reg.root.SK[[#This Row],[Starch content]],"")</f>
        <v>11.274509803921568</v>
      </c>
    </row>
    <row r="7087" spans="1:14">
      <c r="A7087" s="21">
        <v>2026</v>
      </c>
      <c r="B7087" s="21" t="s">
        <v>17</v>
      </c>
      <c r="C7087" s="21" t="s">
        <v>1145</v>
      </c>
      <c r="D7087" s="21" t="s">
        <v>35</v>
      </c>
      <c r="E7087" s="17" t="s">
        <v>579</v>
      </c>
      <c r="F7087" s="17" t="s">
        <v>187</v>
      </c>
      <c r="G7087" s="18" t="s">
        <v>48</v>
      </c>
      <c r="H7087" s="24">
        <v>11140</v>
      </c>
      <c r="I7087" s="24">
        <f>T_reg.root.SK[[#This Row],[Volume, kg]]/1000</f>
        <v>11.14</v>
      </c>
      <c r="J7087" s="25">
        <v>0.28850000000000003</v>
      </c>
      <c r="K7087" s="25">
        <f t="shared" ref="K7087:K7150" si="112">H7087*J7087</f>
        <v>3213.8900000000003</v>
      </c>
      <c r="L7087" s="25">
        <v>2.75</v>
      </c>
      <c r="M7087" s="24">
        <v>30635</v>
      </c>
      <c r="N7087" s="25">
        <f>IFERROR(T_reg.root.SK[[#This Row],[Price]]/T_reg.root.SK[[#This Row],[Starch content]],"")</f>
        <v>9.5320623916811087</v>
      </c>
    </row>
    <row r="7088" spans="1:14">
      <c r="A7088" s="21">
        <v>2026</v>
      </c>
      <c r="B7088" s="21" t="s">
        <v>17</v>
      </c>
      <c r="C7088" s="21" t="s">
        <v>1145</v>
      </c>
      <c r="D7088" s="21" t="s">
        <v>35</v>
      </c>
      <c r="E7088" s="17" t="s">
        <v>733</v>
      </c>
      <c r="F7088" s="17" t="s">
        <v>105</v>
      </c>
      <c r="G7088" s="18" t="s">
        <v>48</v>
      </c>
      <c r="H7088" s="24">
        <v>56910</v>
      </c>
      <c r="I7088" s="24">
        <f>T_reg.root.SK[[#This Row],[Volume, kg]]/1000</f>
        <v>56.91</v>
      </c>
      <c r="J7088" s="25">
        <v>0.2555</v>
      </c>
      <c r="K7088" s="25">
        <f t="shared" si="112"/>
        <v>14540.505000000001</v>
      </c>
      <c r="L7088" s="25">
        <v>2.57</v>
      </c>
      <c r="M7088" s="24">
        <v>146446.5</v>
      </c>
      <c r="N7088" s="25">
        <f>IFERROR(T_reg.root.SK[[#This Row],[Price]]/T_reg.root.SK[[#This Row],[Starch content]],"")</f>
        <v>10.058708414872797</v>
      </c>
    </row>
    <row r="7089" spans="1:14">
      <c r="A7089" s="21">
        <v>2026</v>
      </c>
      <c r="B7089" s="21" t="s">
        <v>17</v>
      </c>
      <c r="C7089" s="21" t="s">
        <v>1145</v>
      </c>
      <c r="D7089" s="21" t="s">
        <v>39</v>
      </c>
      <c r="E7089" s="17" t="s">
        <v>1058</v>
      </c>
      <c r="F7089" s="17" t="s">
        <v>227</v>
      </c>
      <c r="G7089" s="18" t="s">
        <v>42</v>
      </c>
      <c r="H7089" s="24">
        <v>2515590</v>
      </c>
      <c r="I7089" s="24">
        <f>T_reg.root.SK[[#This Row],[Volume, kg]]/1000</f>
        <v>2515.59</v>
      </c>
      <c r="J7089" s="25">
        <v>0.27179999999999999</v>
      </c>
      <c r="K7089" s="25">
        <f t="shared" si="112"/>
        <v>683737.36199999996</v>
      </c>
      <c r="L7089" s="25">
        <v>2.85</v>
      </c>
      <c r="M7089" s="24">
        <v>7180549.5</v>
      </c>
      <c r="N7089" s="25">
        <f>IFERROR(T_reg.root.SK[[#This Row],[Price]]/T_reg.root.SK[[#This Row],[Starch content]],"")</f>
        <v>10.485651214128037</v>
      </c>
    </row>
    <row r="7090" spans="1:14">
      <c r="A7090" s="21">
        <v>2026</v>
      </c>
      <c r="B7090" s="21" t="s">
        <v>17</v>
      </c>
      <c r="C7090" s="21" t="s">
        <v>1145</v>
      </c>
      <c r="D7090" s="21" t="s">
        <v>35</v>
      </c>
      <c r="E7090" s="17" t="s">
        <v>580</v>
      </c>
      <c r="F7090" s="17" t="s">
        <v>187</v>
      </c>
      <c r="G7090" s="18" t="s">
        <v>48</v>
      </c>
      <c r="H7090" s="24">
        <v>27080</v>
      </c>
      <c r="I7090" s="24">
        <f>T_reg.root.SK[[#This Row],[Volume, kg]]/1000</f>
        <v>27.08</v>
      </c>
      <c r="J7090" s="25">
        <v>0.27910000000000001</v>
      </c>
      <c r="K7090" s="25">
        <f t="shared" si="112"/>
        <v>7558.0280000000002</v>
      </c>
      <c r="L7090" s="25">
        <v>2.69</v>
      </c>
      <c r="M7090" s="24">
        <v>72935</v>
      </c>
      <c r="N7090" s="25">
        <f>IFERROR(T_reg.root.SK[[#This Row],[Price]]/T_reg.root.SK[[#This Row],[Starch content]],"")</f>
        <v>9.6381225367251879</v>
      </c>
    </row>
    <row r="7091" spans="1:14">
      <c r="A7091" s="21">
        <v>2026</v>
      </c>
      <c r="B7091" s="21" t="s">
        <v>17</v>
      </c>
      <c r="C7091" s="21" t="s">
        <v>1145</v>
      </c>
      <c r="D7091" s="21" t="s">
        <v>35</v>
      </c>
      <c r="E7091" s="17" t="s">
        <v>987</v>
      </c>
      <c r="F7091" s="17" t="s">
        <v>105</v>
      </c>
      <c r="G7091" s="18" t="s">
        <v>48</v>
      </c>
      <c r="H7091" s="24">
        <v>8530</v>
      </c>
      <c r="I7091" s="24">
        <f>T_reg.root.SK[[#This Row],[Volume, kg]]/1000</f>
        <v>8.5299999999999994</v>
      </c>
      <c r="J7091" s="25">
        <v>0.19600000000000001</v>
      </c>
      <c r="K7091" s="25">
        <f t="shared" si="112"/>
        <v>1671.88</v>
      </c>
      <c r="L7091" s="25">
        <v>2.25</v>
      </c>
      <c r="M7091" s="24">
        <v>19192.5</v>
      </c>
      <c r="N7091" s="25">
        <f>IFERROR(T_reg.root.SK[[#This Row],[Price]]/T_reg.root.SK[[#This Row],[Starch content]],"")</f>
        <v>11.479591836734693</v>
      </c>
    </row>
    <row r="7092" spans="1:14">
      <c r="A7092" s="21">
        <v>2026</v>
      </c>
      <c r="B7092" s="21" t="s">
        <v>17</v>
      </c>
      <c r="C7092" s="21" t="s">
        <v>1145</v>
      </c>
      <c r="D7092" s="21" t="s">
        <v>35</v>
      </c>
      <c r="E7092" s="17" t="s">
        <v>46</v>
      </c>
      <c r="F7092" s="17" t="s">
        <v>47</v>
      </c>
      <c r="G7092" s="18" t="s">
        <v>48</v>
      </c>
      <c r="H7092" s="24">
        <v>10620</v>
      </c>
      <c r="I7092" s="24">
        <f>T_reg.root.SK[[#This Row],[Volume, kg]]/1000</f>
        <v>10.62</v>
      </c>
      <c r="J7092" s="25">
        <v>0.28999999999999998</v>
      </c>
      <c r="K7092" s="25">
        <f t="shared" si="112"/>
        <v>3079.7999999999997</v>
      </c>
      <c r="L7092" s="25">
        <v>2.7</v>
      </c>
      <c r="M7092" s="24">
        <v>28674</v>
      </c>
      <c r="N7092" s="25">
        <f>IFERROR(T_reg.root.SK[[#This Row],[Price]]/T_reg.root.SK[[#This Row],[Starch content]],"")</f>
        <v>9.3103448275862082</v>
      </c>
    </row>
    <row r="7093" spans="1:14">
      <c r="A7093" s="21">
        <v>2026</v>
      </c>
      <c r="B7093" s="21" t="s">
        <v>17</v>
      </c>
      <c r="C7093" s="21" t="s">
        <v>1145</v>
      </c>
      <c r="D7093" s="21" t="s">
        <v>35</v>
      </c>
      <c r="E7093" s="17" t="s">
        <v>108</v>
      </c>
      <c r="F7093" s="17" t="s">
        <v>105</v>
      </c>
      <c r="G7093" s="18" t="s">
        <v>48</v>
      </c>
      <c r="H7093" s="24">
        <v>4810</v>
      </c>
      <c r="I7093" s="24">
        <f>T_reg.root.SK[[#This Row],[Volume, kg]]/1000</f>
        <v>4.8099999999999996</v>
      </c>
      <c r="J7093" s="25">
        <v>0.23850000000000002</v>
      </c>
      <c r="K7093" s="25">
        <f t="shared" si="112"/>
        <v>1147.1850000000002</v>
      </c>
      <c r="L7093" s="25">
        <v>2.4500000000000002</v>
      </c>
      <c r="M7093" s="24">
        <v>11784.5</v>
      </c>
      <c r="N7093" s="25">
        <f>IFERROR(T_reg.root.SK[[#This Row],[Price]]/T_reg.root.SK[[#This Row],[Starch content]],"")</f>
        <v>10.272536687631026</v>
      </c>
    </row>
    <row r="7094" spans="1:14">
      <c r="A7094" s="21">
        <v>2026</v>
      </c>
      <c r="B7094" s="21" t="s">
        <v>17</v>
      </c>
      <c r="C7094" s="21" t="s">
        <v>1145</v>
      </c>
      <c r="D7094" s="21" t="s">
        <v>35</v>
      </c>
      <c r="E7094" s="17" t="s">
        <v>290</v>
      </c>
      <c r="F7094" s="17" t="s">
        <v>105</v>
      </c>
      <c r="G7094" s="18" t="s">
        <v>48</v>
      </c>
      <c r="H7094" s="24">
        <v>9230</v>
      </c>
      <c r="I7094" s="24">
        <f>T_reg.root.SK[[#This Row],[Volume, kg]]/1000</f>
        <v>9.23</v>
      </c>
      <c r="J7094" s="25">
        <v>0.27300000000000002</v>
      </c>
      <c r="K7094" s="25">
        <f t="shared" si="112"/>
        <v>2519.79</v>
      </c>
      <c r="L7094" s="25">
        <v>2.6</v>
      </c>
      <c r="M7094" s="24">
        <v>23998</v>
      </c>
      <c r="N7094" s="25">
        <f>IFERROR(T_reg.root.SK[[#This Row],[Price]]/T_reg.root.SK[[#This Row],[Starch content]],"")</f>
        <v>9.5238095238095237</v>
      </c>
    </row>
    <row r="7095" spans="1:14">
      <c r="A7095" s="21">
        <v>2026</v>
      </c>
      <c r="B7095" s="21" t="s">
        <v>17</v>
      </c>
      <c r="C7095" s="21" t="s">
        <v>1145</v>
      </c>
      <c r="D7095" s="21" t="s">
        <v>35</v>
      </c>
      <c r="E7095" s="17" t="s">
        <v>713</v>
      </c>
      <c r="F7095" s="17" t="s">
        <v>105</v>
      </c>
      <c r="G7095" s="18" t="s">
        <v>48</v>
      </c>
      <c r="H7095" s="24">
        <v>45700</v>
      </c>
      <c r="I7095" s="24">
        <f>T_reg.root.SK[[#This Row],[Volume, kg]]/1000</f>
        <v>45.7</v>
      </c>
      <c r="J7095" s="25">
        <v>0.21629999999999999</v>
      </c>
      <c r="K7095" s="25">
        <f t="shared" si="112"/>
        <v>9884.91</v>
      </c>
      <c r="L7095" s="25">
        <v>2.38</v>
      </c>
      <c r="M7095" s="24">
        <v>108919</v>
      </c>
      <c r="N7095" s="25">
        <f>IFERROR(T_reg.root.SK[[#This Row],[Price]]/T_reg.root.SK[[#This Row],[Starch content]],"")</f>
        <v>11.003236245954692</v>
      </c>
    </row>
    <row r="7096" spans="1:14">
      <c r="A7096" s="21">
        <v>2026</v>
      </c>
      <c r="B7096" s="21" t="s">
        <v>17</v>
      </c>
      <c r="C7096" s="21" t="s">
        <v>1145</v>
      </c>
      <c r="D7096" s="21" t="s">
        <v>35</v>
      </c>
      <c r="E7096" s="17" t="s">
        <v>292</v>
      </c>
      <c r="F7096" s="17" t="s">
        <v>105</v>
      </c>
      <c r="G7096" s="18" t="s">
        <v>48</v>
      </c>
      <c r="H7096" s="24">
        <v>62930</v>
      </c>
      <c r="I7096" s="24">
        <f>T_reg.root.SK[[#This Row],[Volume, kg]]/1000</f>
        <v>62.93</v>
      </c>
      <c r="J7096" s="25">
        <v>0.24230000000000002</v>
      </c>
      <c r="K7096" s="25">
        <f t="shared" si="112"/>
        <v>15247.939</v>
      </c>
      <c r="L7096" s="25">
        <v>2.52</v>
      </c>
      <c r="M7096" s="24">
        <v>158468</v>
      </c>
      <c r="N7096" s="25">
        <f>IFERROR(T_reg.root.SK[[#This Row],[Price]]/T_reg.root.SK[[#This Row],[Starch content]],"")</f>
        <v>10.40033016921172</v>
      </c>
    </row>
    <row r="7097" spans="1:14">
      <c r="A7097" s="21">
        <v>2026</v>
      </c>
      <c r="B7097" s="21" t="s">
        <v>17</v>
      </c>
      <c r="C7097" s="21" t="s">
        <v>1145</v>
      </c>
      <c r="D7097" s="21" t="s">
        <v>35</v>
      </c>
      <c r="E7097" s="17" t="s">
        <v>1085</v>
      </c>
      <c r="F7097" s="17" t="s">
        <v>105</v>
      </c>
      <c r="G7097" s="18" t="s">
        <v>48</v>
      </c>
      <c r="H7097" s="24">
        <v>35920</v>
      </c>
      <c r="I7097" s="24">
        <f>T_reg.root.SK[[#This Row],[Volume, kg]]/1000</f>
        <v>35.92</v>
      </c>
      <c r="J7097" s="25">
        <v>0.26739999999999997</v>
      </c>
      <c r="K7097" s="25">
        <f t="shared" si="112"/>
        <v>9605.0079999999998</v>
      </c>
      <c r="L7097" s="25">
        <v>2.64</v>
      </c>
      <c r="M7097" s="24">
        <v>94815.5</v>
      </c>
      <c r="N7097" s="25">
        <f>IFERROR(T_reg.root.SK[[#This Row],[Price]]/T_reg.root.SK[[#This Row],[Starch content]],"")</f>
        <v>9.8728496634255816</v>
      </c>
    </row>
    <row r="7098" spans="1:14">
      <c r="A7098" s="21">
        <v>2026</v>
      </c>
      <c r="B7098" s="21" t="s">
        <v>17</v>
      </c>
      <c r="C7098" s="21" t="s">
        <v>1145</v>
      </c>
      <c r="D7098" s="21" t="s">
        <v>35</v>
      </c>
      <c r="E7098" s="17" t="s">
        <v>1102</v>
      </c>
      <c r="F7098" s="17" t="s">
        <v>105</v>
      </c>
      <c r="G7098" s="18" t="s">
        <v>48</v>
      </c>
      <c r="H7098" s="24">
        <v>14760</v>
      </c>
      <c r="I7098" s="24">
        <f>T_reg.root.SK[[#This Row],[Volume, kg]]/1000</f>
        <v>14.76</v>
      </c>
      <c r="J7098" s="25">
        <v>0.28199999999999997</v>
      </c>
      <c r="K7098" s="25">
        <f t="shared" si="112"/>
        <v>4162.32</v>
      </c>
      <c r="L7098" s="25">
        <v>2.7</v>
      </c>
      <c r="M7098" s="24">
        <v>39898.5</v>
      </c>
      <c r="N7098" s="25">
        <f>IFERROR(T_reg.root.SK[[#This Row],[Price]]/T_reg.root.SK[[#This Row],[Starch content]],"")</f>
        <v>9.5744680851063837</v>
      </c>
    </row>
    <row r="7099" spans="1:14">
      <c r="A7099" s="21">
        <v>2026</v>
      </c>
      <c r="B7099" s="21" t="s">
        <v>17</v>
      </c>
      <c r="C7099" s="21" t="s">
        <v>1145</v>
      </c>
      <c r="D7099" s="21" t="s">
        <v>35</v>
      </c>
      <c r="E7099" s="17" t="s">
        <v>110</v>
      </c>
      <c r="F7099" s="17" t="s">
        <v>105</v>
      </c>
      <c r="G7099" s="18" t="s">
        <v>48</v>
      </c>
      <c r="H7099" s="24">
        <v>5990</v>
      </c>
      <c r="I7099" s="24">
        <f>T_reg.root.SK[[#This Row],[Volume, kg]]/1000</f>
        <v>5.99</v>
      </c>
      <c r="J7099" s="25">
        <v>0.2535</v>
      </c>
      <c r="K7099" s="25">
        <f t="shared" si="112"/>
        <v>1518.4649999999999</v>
      </c>
      <c r="L7099" s="25">
        <v>2.5499999999999998</v>
      </c>
      <c r="M7099" s="24">
        <v>15274.5</v>
      </c>
      <c r="N7099" s="25">
        <f>IFERROR(T_reg.root.SK[[#This Row],[Price]]/T_reg.root.SK[[#This Row],[Starch content]],"")</f>
        <v>10.059171597633135</v>
      </c>
    </row>
    <row r="7100" spans="1:14">
      <c r="A7100" s="21">
        <v>2026</v>
      </c>
      <c r="B7100" s="21" t="s">
        <v>17</v>
      </c>
      <c r="C7100" s="21" t="s">
        <v>1145</v>
      </c>
      <c r="D7100" s="21" t="s">
        <v>35</v>
      </c>
      <c r="E7100" s="17" t="s">
        <v>642</v>
      </c>
      <c r="F7100" s="17" t="s">
        <v>47</v>
      </c>
      <c r="G7100" s="18" t="s">
        <v>48</v>
      </c>
      <c r="H7100" s="24">
        <v>39830</v>
      </c>
      <c r="I7100" s="24">
        <f>T_reg.root.SK[[#This Row],[Volume, kg]]/1000</f>
        <v>39.83</v>
      </c>
      <c r="J7100" s="25">
        <v>0.25679999999999997</v>
      </c>
      <c r="K7100" s="25">
        <f t="shared" si="112"/>
        <v>10228.343999999999</v>
      </c>
      <c r="L7100" s="25">
        <v>2.58</v>
      </c>
      <c r="M7100" s="24">
        <v>102629</v>
      </c>
      <c r="N7100" s="25">
        <f>IFERROR(T_reg.root.SK[[#This Row],[Price]]/T_reg.root.SK[[#This Row],[Starch content]],"")</f>
        <v>10.046728971962619</v>
      </c>
    </row>
    <row r="7101" spans="1:14">
      <c r="A7101" s="21">
        <v>2026</v>
      </c>
      <c r="B7101" s="21" t="s">
        <v>17</v>
      </c>
      <c r="C7101" s="21" t="s">
        <v>1145</v>
      </c>
      <c r="D7101" s="21" t="s">
        <v>35</v>
      </c>
      <c r="E7101" s="17" t="s">
        <v>192</v>
      </c>
      <c r="F7101" s="17" t="s">
        <v>187</v>
      </c>
      <c r="G7101" s="18" t="s">
        <v>48</v>
      </c>
      <c r="H7101" s="24">
        <v>15010</v>
      </c>
      <c r="I7101" s="24">
        <f>T_reg.root.SK[[#This Row],[Volume, kg]]/1000</f>
        <v>15.01</v>
      </c>
      <c r="J7101" s="25">
        <v>0.28610000000000002</v>
      </c>
      <c r="K7101" s="25">
        <f t="shared" si="112"/>
        <v>4294.3609999999999</v>
      </c>
      <c r="L7101" s="25">
        <v>2.73</v>
      </c>
      <c r="M7101" s="24">
        <v>40912</v>
      </c>
      <c r="N7101" s="25">
        <f>IFERROR(T_reg.root.SK[[#This Row],[Price]]/T_reg.root.SK[[#This Row],[Starch content]],"")</f>
        <v>9.5421181405103095</v>
      </c>
    </row>
    <row r="7102" spans="1:14">
      <c r="A7102" s="21">
        <v>2026</v>
      </c>
      <c r="B7102" s="21" t="s">
        <v>17</v>
      </c>
      <c r="C7102" s="21" t="s">
        <v>1145</v>
      </c>
      <c r="D7102" s="21" t="s">
        <v>35</v>
      </c>
      <c r="E7102" s="17" t="s">
        <v>931</v>
      </c>
      <c r="F7102" s="17" t="s">
        <v>105</v>
      </c>
      <c r="G7102" s="18" t="s">
        <v>48</v>
      </c>
      <c r="H7102" s="24">
        <v>36670</v>
      </c>
      <c r="I7102" s="24">
        <f>T_reg.root.SK[[#This Row],[Volume, kg]]/1000</f>
        <v>36.67</v>
      </c>
      <c r="J7102" s="25">
        <v>0.2979</v>
      </c>
      <c r="K7102" s="25">
        <f t="shared" si="112"/>
        <v>10923.993</v>
      </c>
      <c r="L7102" s="25">
        <v>2.8</v>
      </c>
      <c r="M7102" s="24">
        <v>102674</v>
      </c>
      <c r="N7102" s="25">
        <f>IFERROR(T_reg.root.SK[[#This Row],[Price]]/T_reg.root.SK[[#This Row],[Starch content]],"")</f>
        <v>9.3991272239006367</v>
      </c>
    </row>
    <row r="7103" spans="1:14">
      <c r="A7103" s="21">
        <v>2026</v>
      </c>
      <c r="B7103" s="21" t="s">
        <v>17</v>
      </c>
      <c r="C7103" s="21" t="s">
        <v>1145</v>
      </c>
      <c r="D7103" s="21" t="s">
        <v>35</v>
      </c>
      <c r="E7103" s="17" t="s">
        <v>1103</v>
      </c>
      <c r="F7103" s="17" t="s">
        <v>105</v>
      </c>
      <c r="G7103" s="18" t="s">
        <v>48</v>
      </c>
      <c r="H7103" s="24">
        <v>36480</v>
      </c>
      <c r="I7103" s="24">
        <f>T_reg.root.SK[[#This Row],[Volume, kg]]/1000</f>
        <v>36.479999999999997</v>
      </c>
      <c r="J7103" s="25">
        <v>0.23319999999999999</v>
      </c>
      <c r="K7103" s="25">
        <f t="shared" si="112"/>
        <v>8507.1360000000004</v>
      </c>
      <c r="L7103" s="25">
        <v>2.46</v>
      </c>
      <c r="M7103" s="24">
        <v>89888.5</v>
      </c>
      <c r="N7103" s="25">
        <f>IFERROR(T_reg.root.SK[[#This Row],[Price]]/T_reg.root.SK[[#This Row],[Starch content]],"")</f>
        <v>10.548885077186965</v>
      </c>
    </row>
    <row r="7104" spans="1:14">
      <c r="A7104" s="21">
        <v>2026</v>
      </c>
      <c r="B7104" s="21" t="s">
        <v>17</v>
      </c>
      <c r="C7104" s="21" t="s">
        <v>1145</v>
      </c>
      <c r="D7104" s="21" t="s">
        <v>35</v>
      </c>
      <c r="E7104" s="17" t="s">
        <v>734</v>
      </c>
      <c r="F7104" s="17" t="s">
        <v>105</v>
      </c>
      <c r="G7104" s="18" t="s">
        <v>48</v>
      </c>
      <c r="H7104" s="24">
        <v>45930</v>
      </c>
      <c r="I7104" s="24">
        <f>T_reg.root.SK[[#This Row],[Volume, kg]]/1000</f>
        <v>45.93</v>
      </c>
      <c r="J7104" s="25">
        <v>0.2359</v>
      </c>
      <c r="K7104" s="25">
        <f t="shared" si="112"/>
        <v>10834.887000000001</v>
      </c>
      <c r="L7104" s="25">
        <v>2.4900000000000002</v>
      </c>
      <c r="M7104" s="24">
        <v>114251.5</v>
      </c>
      <c r="N7104" s="25">
        <f>IFERROR(T_reg.root.SK[[#This Row],[Price]]/T_reg.root.SK[[#This Row],[Starch content]],"")</f>
        <v>10.555320050869014</v>
      </c>
    </row>
    <row r="7105" spans="1:14">
      <c r="A7105" s="21">
        <v>2026</v>
      </c>
      <c r="B7105" s="21" t="s">
        <v>17</v>
      </c>
      <c r="C7105" s="21" t="s">
        <v>1145</v>
      </c>
      <c r="D7105" s="21" t="s">
        <v>35</v>
      </c>
      <c r="E7105" s="17" t="s">
        <v>995</v>
      </c>
      <c r="F7105" s="17" t="s">
        <v>187</v>
      </c>
      <c r="G7105" s="18" t="s">
        <v>48</v>
      </c>
      <c r="H7105" s="24">
        <v>31400</v>
      </c>
      <c r="I7105" s="24">
        <f>T_reg.root.SK[[#This Row],[Volume, kg]]/1000</f>
        <v>31.4</v>
      </c>
      <c r="J7105" s="25">
        <v>0.27850000000000003</v>
      </c>
      <c r="K7105" s="25">
        <f t="shared" si="112"/>
        <v>8744.9000000000015</v>
      </c>
      <c r="L7105" s="25">
        <v>2.68</v>
      </c>
      <c r="M7105" s="24">
        <v>84241</v>
      </c>
      <c r="N7105" s="25">
        <f>IFERROR(T_reg.root.SK[[#This Row],[Price]]/T_reg.root.SK[[#This Row],[Starch content]],"")</f>
        <v>9.6229802513464993</v>
      </c>
    </row>
    <row r="7106" spans="1:14">
      <c r="A7106" s="21">
        <v>2026</v>
      </c>
      <c r="B7106" s="21" t="s">
        <v>17</v>
      </c>
      <c r="C7106" s="21" t="s">
        <v>1145</v>
      </c>
      <c r="D7106" s="21" t="s">
        <v>35</v>
      </c>
      <c r="E7106" s="17" t="s">
        <v>654</v>
      </c>
      <c r="F7106" s="17" t="s">
        <v>47</v>
      </c>
      <c r="G7106" s="18" t="s">
        <v>48</v>
      </c>
      <c r="H7106" s="24">
        <v>29350</v>
      </c>
      <c r="I7106" s="24">
        <f>T_reg.root.SK[[#This Row],[Volume, kg]]/1000</f>
        <v>29.35</v>
      </c>
      <c r="J7106" s="25">
        <v>0.27390000000000003</v>
      </c>
      <c r="K7106" s="25">
        <f t="shared" si="112"/>
        <v>8038.9650000000011</v>
      </c>
      <c r="L7106" s="25">
        <v>2.66</v>
      </c>
      <c r="M7106" s="24">
        <v>78196</v>
      </c>
      <c r="N7106" s="25">
        <f>IFERROR(T_reg.root.SK[[#This Row],[Price]]/T_reg.root.SK[[#This Row],[Starch content]],"")</f>
        <v>9.7115735669952539</v>
      </c>
    </row>
    <row r="7107" spans="1:14">
      <c r="A7107" s="21">
        <v>2026</v>
      </c>
      <c r="B7107" s="21" t="s">
        <v>17</v>
      </c>
      <c r="C7107" s="21" t="s">
        <v>1145</v>
      </c>
      <c r="D7107" s="21" t="s">
        <v>35</v>
      </c>
      <c r="E7107" s="17" t="s">
        <v>112</v>
      </c>
      <c r="F7107" s="17" t="s">
        <v>105</v>
      </c>
      <c r="G7107" s="18" t="s">
        <v>48</v>
      </c>
      <c r="H7107" s="24">
        <v>36000</v>
      </c>
      <c r="I7107" s="24">
        <f>T_reg.root.SK[[#This Row],[Volume, kg]]/1000</f>
        <v>36</v>
      </c>
      <c r="J7107" s="25">
        <v>0.24579999999999999</v>
      </c>
      <c r="K7107" s="25">
        <f t="shared" si="112"/>
        <v>8848.7999999999993</v>
      </c>
      <c r="L7107" s="25">
        <v>2.5299999999999998</v>
      </c>
      <c r="M7107" s="24">
        <v>91084.5</v>
      </c>
      <c r="N7107" s="25">
        <f>IFERROR(T_reg.root.SK[[#This Row],[Price]]/T_reg.root.SK[[#This Row],[Starch content]],"")</f>
        <v>10.292921074043937</v>
      </c>
    </row>
    <row r="7108" spans="1:14">
      <c r="A7108" s="21">
        <v>2026</v>
      </c>
      <c r="B7108" s="21" t="s">
        <v>17</v>
      </c>
      <c r="C7108" s="21" t="s">
        <v>1145</v>
      </c>
      <c r="D7108" s="21" t="s">
        <v>35</v>
      </c>
      <c r="E7108" s="17" t="s">
        <v>803</v>
      </c>
      <c r="F7108" s="17" t="s">
        <v>105</v>
      </c>
      <c r="G7108" s="18" t="s">
        <v>48</v>
      </c>
      <c r="H7108" s="24">
        <v>203290</v>
      </c>
      <c r="I7108" s="24">
        <f>T_reg.root.SK[[#This Row],[Volume, kg]]/1000</f>
        <v>203.29</v>
      </c>
      <c r="J7108" s="25">
        <v>0.27</v>
      </c>
      <c r="K7108" s="25">
        <f t="shared" si="112"/>
        <v>54888.3</v>
      </c>
      <c r="L7108" s="25">
        <v>2.65</v>
      </c>
      <c r="M7108" s="24">
        <v>538147</v>
      </c>
      <c r="N7108" s="25">
        <f>IFERROR(T_reg.root.SK[[#This Row],[Price]]/T_reg.root.SK[[#This Row],[Starch content]],"")</f>
        <v>9.8148148148148131</v>
      </c>
    </row>
    <row r="7109" spans="1:14">
      <c r="A7109" s="21">
        <v>2026</v>
      </c>
      <c r="B7109" s="21" t="s">
        <v>17</v>
      </c>
      <c r="C7109" s="21" t="s">
        <v>1145</v>
      </c>
      <c r="D7109" s="21" t="s">
        <v>35</v>
      </c>
      <c r="E7109" s="17" t="s">
        <v>233</v>
      </c>
      <c r="F7109" s="17" t="s">
        <v>105</v>
      </c>
      <c r="G7109" s="18" t="s">
        <v>48</v>
      </c>
      <c r="H7109" s="24">
        <v>11710</v>
      </c>
      <c r="I7109" s="24">
        <f>T_reg.root.SK[[#This Row],[Volume, kg]]/1000</f>
        <v>11.71</v>
      </c>
      <c r="J7109" s="25">
        <v>0.252</v>
      </c>
      <c r="K7109" s="25">
        <f t="shared" si="112"/>
        <v>2950.92</v>
      </c>
      <c r="L7109" s="25">
        <v>2.5499999999999998</v>
      </c>
      <c r="M7109" s="24">
        <v>29860.5</v>
      </c>
      <c r="N7109" s="25">
        <f>IFERROR(T_reg.root.SK[[#This Row],[Price]]/T_reg.root.SK[[#This Row],[Starch content]],"")</f>
        <v>10.119047619047619</v>
      </c>
    </row>
    <row r="7110" spans="1:14">
      <c r="A7110" s="21">
        <v>2026</v>
      </c>
      <c r="B7110" s="21" t="s">
        <v>17</v>
      </c>
      <c r="C7110" s="21" t="s">
        <v>1145</v>
      </c>
      <c r="D7110" s="21" t="s">
        <v>35</v>
      </c>
      <c r="E7110" s="17" t="s">
        <v>194</v>
      </c>
      <c r="F7110" s="17" t="s">
        <v>187</v>
      </c>
      <c r="G7110" s="18" t="s">
        <v>48</v>
      </c>
      <c r="H7110" s="24">
        <v>49570</v>
      </c>
      <c r="I7110" s="24">
        <f>T_reg.root.SK[[#This Row],[Volume, kg]]/1000</f>
        <v>49.57</v>
      </c>
      <c r="J7110" s="25">
        <v>0.27060000000000001</v>
      </c>
      <c r="K7110" s="25">
        <f t="shared" si="112"/>
        <v>13413.642</v>
      </c>
      <c r="L7110" s="25">
        <v>2.66</v>
      </c>
      <c r="M7110" s="24">
        <v>131847</v>
      </c>
      <c r="N7110" s="25">
        <f>IFERROR(T_reg.root.SK[[#This Row],[Price]]/T_reg.root.SK[[#This Row],[Starch content]],"")</f>
        <v>9.8300073909830008</v>
      </c>
    </row>
    <row r="7111" spans="1:14">
      <c r="A7111" s="21">
        <v>2026</v>
      </c>
      <c r="B7111" s="21" t="s">
        <v>17</v>
      </c>
      <c r="C7111" s="21" t="s">
        <v>1145</v>
      </c>
      <c r="D7111" s="21" t="s">
        <v>35</v>
      </c>
      <c r="E7111" s="17" t="s">
        <v>1090</v>
      </c>
      <c r="F7111" s="17" t="s">
        <v>105</v>
      </c>
      <c r="G7111" s="18" t="s">
        <v>48</v>
      </c>
      <c r="H7111" s="24">
        <v>17740</v>
      </c>
      <c r="I7111" s="24">
        <f>T_reg.root.SK[[#This Row],[Volume, kg]]/1000</f>
        <v>17.739999999999998</v>
      </c>
      <c r="J7111" s="25">
        <v>0.3049</v>
      </c>
      <c r="K7111" s="25">
        <f t="shared" si="112"/>
        <v>5408.9260000000004</v>
      </c>
      <c r="L7111" s="25">
        <v>2.82</v>
      </c>
      <c r="M7111" s="24">
        <v>50044.5</v>
      </c>
      <c r="N7111" s="25">
        <f>IFERROR(T_reg.root.SK[[#This Row],[Price]]/T_reg.root.SK[[#This Row],[Starch content]],"")</f>
        <v>9.2489340767464743</v>
      </c>
    </row>
    <row r="7112" spans="1:14">
      <c r="A7112" s="21">
        <v>2026</v>
      </c>
      <c r="B7112" s="21" t="s">
        <v>17</v>
      </c>
      <c r="C7112" s="21" t="s">
        <v>1145</v>
      </c>
      <c r="D7112" s="21" t="s">
        <v>35</v>
      </c>
      <c r="E7112" s="17" t="s">
        <v>988</v>
      </c>
      <c r="F7112" s="17" t="s">
        <v>105</v>
      </c>
      <c r="G7112" s="18" t="s">
        <v>48</v>
      </c>
      <c r="H7112" s="24">
        <v>36150</v>
      </c>
      <c r="I7112" s="24">
        <f>T_reg.root.SK[[#This Row],[Volume, kg]]/1000</f>
        <v>36.15</v>
      </c>
      <c r="J7112" s="25">
        <v>0.2772</v>
      </c>
      <c r="K7112" s="25">
        <f t="shared" si="112"/>
        <v>10020.780000000001</v>
      </c>
      <c r="L7112" s="25">
        <v>2.67</v>
      </c>
      <c r="M7112" s="24">
        <v>96664.5</v>
      </c>
      <c r="N7112" s="25">
        <f>IFERROR(T_reg.root.SK[[#This Row],[Price]]/T_reg.root.SK[[#This Row],[Starch content]],"")</f>
        <v>9.6320346320346317</v>
      </c>
    </row>
    <row r="7113" spans="1:14">
      <c r="A7113" s="21">
        <v>2026</v>
      </c>
      <c r="B7113" s="21" t="s">
        <v>17</v>
      </c>
      <c r="C7113" s="21" t="s">
        <v>1145</v>
      </c>
      <c r="D7113" s="21" t="s">
        <v>35</v>
      </c>
      <c r="E7113" s="17" t="s">
        <v>685</v>
      </c>
      <c r="F7113" s="17" t="s">
        <v>105</v>
      </c>
      <c r="G7113" s="18" t="s">
        <v>48</v>
      </c>
      <c r="H7113" s="24">
        <v>195170</v>
      </c>
      <c r="I7113" s="24">
        <f>T_reg.root.SK[[#This Row],[Volume, kg]]/1000</f>
        <v>195.17</v>
      </c>
      <c r="J7113" s="25">
        <v>0.2581</v>
      </c>
      <c r="K7113" s="25">
        <f t="shared" si="112"/>
        <v>50373.377</v>
      </c>
      <c r="L7113" s="25">
        <v>2.59</v>
      </c>
      <c r="M7113" s="24">
        <v>505561.5</v>
      </c>
      <c r="N7113" s="25">
        <f>IFERROR(T_reg.root.SK[[#This Row],[Price]]/T_reg.root.SK[[#This Row],[Starch content]],"")</f>
        <v>10.034870205346765</v>
      </c>
    </row>
    <row r="7114" spans="1:14">
      <c r="A7114" s="21">
        <v>2026</v>
      </c>
      <c r="B7114" s="21" t="s">
        <v>17</v>
      </c>
      <c r="C7114" s="21" t="s">
        <v>1145</v>
      </c>
      <c r="D7114" s="21" t="s">
        <v>35</v>
      </c>
      <c r="E7114" s="17" t="s">
        <v>681</v>
      </c>
      <c r="F7114" s="17" t="s">
        <v>95</v>
      </c>
      <c r="G7114" s="18" t="s">
        <v>48</v>
      </c>
      <c r="H7114" s="24">
        <v>14290</v>
      </c>
      <c r="I7114" s="24">
        <f>T_reg.root.SK[[#This Row],[Volume, kg]]/1000</f>
        <v>14.29</v>
      </c>
      <c r="J7114" s="25">
        <v>0.24719999999999998</v>
      </c>
      <c r="K7114" s="25">
        <f t="shared" si="112"/>
        <v>3532.4879999999998</v>
      </c>
      <c r="L7114" s="25">
        <v>2.5299999999999998</v>
      </c>
      <c r="M7114" s="24">
        <v>36213.5</v>
      </c>
      <c r="N7114" s="25">
        <f>IFERROR(T_reg.root.SK[[#This Row],[Price]]/T_reg.root.SK[[#This Row],[Starch content]],"")</f>
        <v>10.23462783171521</v>
      </c>
    </row>
    <row r="7115" spans="1:14">
      <c r="A7115" s="21">
        <v>2026</v>
      </c>
      <c r="B7115" s="21" t="s">
        <v>17</v>
      </c>
      <c r="C7115" s="21" t="s">
        <v>1145</v>
      </c>
      <c r="D7115" s="21" t="s">
        <v>35</v>
      </c>
      <c r="E7115" s="17" t="s">
        <v>752</v>
      </c>
      <c r="F7115" s="17" t="s">
        <v>105</v>
      </c>
      <c r="G7115" s="18" t="s">
        <v>48</v>
      </c>
      <c r="H7115" s="24">
        <v>18880</v>
      </c>
      <c r="I7115" s="24">
        <f>T_reg.root.SK[[#This Row],[Volume, kg]]/1000</f>
        <v>18.88</v>
      </c>
      <c r="J7115" s="25">
        <v>0.2104</v>
      </c>
      <c r="K7115" s="25">
        <f t="shared" si="112"/>
        <v>3972.3519999999999</v>
      </c>
      <c r="L7115" s="25">
        <v>2.35</v>
      </c>
      <c r="M7115" s="24">
        <v>44320</v>
      </c>
      <c r="N7115" s="25">
        <f>IFERROR(T_reg.root.SK[[#This Row],[Price]]/T_reg.root.SK[[#This Row],[Starch content]],"")</f>
        <v>11.169201520912548</v>
      </c>
    </row>
    <row r="7116" spans="1:14">
      <c r="A7116" s="21">
        <v>2026</v>
      </c>
      <c r="B7116" s="21" t="s">
        <v>17</v>
      </c>
      <c r="C7116" s="21" t="s">
        <v>1145</v>
      </c>
      <c r="D7116" s="21" t="s">
        <v>39</v>
      </c>
      <c r="E7116" s="17" t="s">
        <v>1096</v>
      </c>
      <c r="F7116" s="17" t="s">
        <v>89</v>
      </c>
      <c r="G7116" s="18" t="s">
        <v>90</v>
      </c>
      <c r="H7116" s="24">
        <v>2636930</v>
      </c>
      <c r="I7116" s="24">
        <f>T_reg.root.SK[[#This Row],[Volume, kg]]/1000</f>
        <v>2636.93</v>
      </c>
      <c r="J7116" s="25">
        <v>0.26729999999999998</v>
      </c>
      <c r="K7116" s="25">
        <f t="shared" si="112"/>
        <v>704851.38899999997</v>
      </c>
      <c r="L7116" s="25">
        <v>2.84</v>
      </c>
      <c r="M7116" s="24">
        <v>7486089.5</v>
      </c>
      <c r="N7116" s="25">
        <f>IFERROR(T_reg.root.SK[[#This Row],[Price]]/T_reg.root.SK[[#This Row],[Starch content]],"")</f>
        <v>10.624766180321735</v>
      </c>
    </row>
    <row r="7117" spans="1:14">
      <c r="A7117" s="21">
        <v>2026</v>
      </c>
      <c r="B7117" s="21" t="s">
        <v>17</v>
      </c>
      <c r="C7117" s="21" t="s">
        <v>1145</v>
      </c>
      <c r="D7117" s="21" t="s">
        <v>35</v>
      </c>
      <c r="E7117" s="17" t="s">
        <v>236</v>
      </c>
      <c r="F7117" s="17" t="s">
        <v>105</v>
      </c>
      <c r="G7117" s="18" t="s">
        <v>48</v>
      </c>
      <c r="H7117" s="24">
        <v>34280</v>
      </c>
      <c r="I7117" s="24">
        <f>T_reg.root.SK[[#This Row],[Volume, kg]]/1000</f>
        <v>34.28</v>
      </c>
      <c r="J7117" s="25">
        <v>0.2858</v>
      </c>
      <c r="K7117" s="25">
        <f t="shared" si="112"/>
        <v>9797.2240000000002</v>
      </c>
      <c r="L7117" s="25">
        <v>2.73</v>
      </c>
      <c r="M7117" s="24">
        <v>93638.5</v>
      </c>
      <c r="N7117" s="25">
        <f>IFERROR(T_reg.root.SK[[#This Row],[Price]]/T_reg.root.SK[[#This Row],[Starch content]],"")</f>
        <v>9.5521343596920918</v>
      </c>
    </row>
    <row r="7118" spans="1:14">
      <c r="A7118" s="21">
        <v>2026</v>
      </c>
      <c r="B7118" s="21" t="s">
        <v>17</v>
      </c>
      <c r="C7118" s="21" t="s">
        <v>1145</v>
      </c>
      <c r="D7118" s="21" t="s">
        <v>35</v>
      </c>
      <c r="E7118" s="17" t="s">
        <v>561</v>
      </c>
      <c r="F7118" s="17" t="s">
        <v>105</v>
      </c>
      <c r="G7118" s="18" t="s">
        <v>48</v>
      </c>
      <c r="H7118" s="24">
        <v>15400</v>
      </c>
      <c r="I7118" s="24">
        <f>T_reg.root.SK[[#This Row],[Volume, kg]]/1000</f>
        <v>15.4</v>
      </c>
      <c r="J7118" s="25">
        <v>0.2747</v>
      </c>
      <c r="K7118" s="25">
        <f t="shared" si="112"/>
        <v>4230.38</v>
      </c>
      <c r="L7118" s="25">
        <v>2.67</v>
      </c>
      <c r="M7118" s="24">
        <v>41051.5</v>
      </c>
      <c r="N7118" s="25">
        <f>IFERROR(T_reg.root.SK[[#This Row],[Price]]/T_reg.root.SK[[#This Row],[Starch content]],"")</f>
        <v>9.7196942118674912</v>
      </c>
    </row>
    <row r="7119" spans="1:14">
      <c r="A7119" s="21">
        <v>2026</v>
      </c>
      <c r="B7119" s="21" t="s">
        <v>17</v>
      </c>
      <c r="C7119" s="21" t="s">
        <v>1145</v>
      </c>
      <c r="D7119" s="21" t="s">
        <v>35</v>
      </c>
      <c r="E7119" s="17" t="s">
        <v>118</v>
      </c>
      <c r="F7119" s="17" t="s">
        <v>105</v>
      </c>
      <c r="G7119" s="18" t="s">
        <v>48</v>
      </c>
      <c r="H7119" s="24">
        <v>173360</v>
      </c>
      <c r="I7119" s="24">
        <f>T_reg.root.SK[[#This Row],[Volume, kg]]/1000</f>
        <v>173.36</v>
      </c>
      <c r="J7119" s="25">
        <v>0.27929999999999999</v>
      </c>
      <c r="K7119" s="25">
        <f t="shared" si="112"/>
        <v>48419.447999999997</v>
      </c>
      <c r="L7119" s="25">
        <v>2.7</v>
      </c>
      <c r="M7119" s="24">
        <v>467938</v>
      </c>
      <c r="N7119" s="25">
        <f>IFERROR(T_reg.root.SK[[#This Row],[Price]]/T_reg.root.SK[[#This Row],[Starch content]],"")</f>
        <v>9.6670247046186901</v>
      </c>
    </row>
    <row r="7120" spans="1:14">
      <c r="A7120" s="21">
        <v>2026</v>
      </c>
      <c r="B7120" s="21" t="s">
        <v>17</v>
      </c>
      <c r="C7120" s="21" t="s">
        <v>1145</v>
      </c>
      <c r="D7120" s="21" t="s">
        <v>35</v>
      </c>
      <c r="E7120" s="17" t="s">
        <v>119</v>
      </c>
      <c r="F7120" s="17" t="s">
        <v>105</v>
      </c>
      <c r="G7120" s="18" t="s">
        <v>48</v>
      </c>
      <c r="H7120" s="24">
        <v>15870</v>
      </c>
      <c r="I7120" s="24">
        <f>T_reg.root.SK[[#This Row],[Volume, kg]]/1000</f>
        <v>15.87</v>
      </c>
      <c r="J7120" s="25">
        <v>0.29059999999999997</v>
      </c>
      <c r="K7120" s="25">
        <f t="shared" si="112"/>
        <v>4611.8219999999992</v>
      </c>
      <c r="L7120" s="25">
        <v>2.77</v>
      </c>
      <c r="M7120" s="24">
        <v>43909.5</v>
      </c>
      <c r="N7120" s="25">
        <f>IFERROR(T_reg.root.SK[[#This Row],[Price]]/T_reg.root.SK[[#This Row],[Starch content]],"")</f>
        <v>9.5320027529249831</v>
      </c>
    </row>
    <row r="7121" spans="1:14">
      <c r="A7121" s="21">
        <v>2026</v>
      </c>
      <c r="B7121" s="21" t="s">
        <v>17</v>
      </c>
      <c r="C7121" s="21" t="s">
        <v>1145</v>
      </c>
      <c r="D7121" s="21" t="s">
        <v>39</v>
      </c>
      <c r="E7121" s="17" t="s">
        <v>101</v>
      </c>
      <c r="F7121" s="17" t="s">
        <v>102</v>
      </c>
      <c r="G7121" s="18" t="s">
        <v>103</v>
      </c>
      <c r="H7121" s="24">
        <v>453630</v>
      </c>
      <c r="I7121" s="24">
        <f>T_reg.root.SK[[#This Row],[Volume, kg]]/1000</f>
        <v>453.63</v>
      </c>
      <c r="J7121" s="25">
        <v>0.2883</v>
      </c>
      <c r="K7121" s="25">
        <f t="shared" si="112"/>
        <v>130781.52899999999</v>
      </c>
      <c r="L7121" s="25">
        <v>2.94</v>
      </c>
      <c r="M7121" s="24">
        <v>1333958.5</v>
      </c>
      <c r="N7121" s="25">
        <f>IFERROR(T_reg.root.SK[[#This Row],[Price]]/T_reg.root.SK[[#This Row],[Starch content]],"")</f>
        <v>10.197710718002082</v>
      </c>
    </row>
    <row r="7122" spans="1:14">
      <c r="A7122" s="21">
        <v>2026</v>
      </c>
      <c r="B7122" s="21" t="s">
        <v>17</v>
      </c>
      <c r="C7122" s="21" t="s">
        <v>1145</v>
      </c>
      <c r="D7122" s="21" t="s">
        <v>35</v>
      </c>
      <c r="E7122" s="17" t="s">
        <v>122</v>
      </c>
      <c r="F7122" s="17" t="s">
        <v>105</v>
      </c>
      <c r="G7122" s="18" t="s">
        <v>48</v>
      </c>
      <c r="H7122" s="24">
        <v>54890</v>
      </c>
      <c r="I7122" s="24">
        <f>T_reg.root.SK[[#This Row],[Volume, kg]]/1000</f>
        <v>54.89</v>
      </c>
      <c r="J7122" s="25">
        <v>0.24760000000000001</v>
      </c>
      <c r="K7122" s="25">
        <f t="shared" si="112"/>
        <v>13590.764000000001</v>
      </c>
      <c r="L7122" s="25">
        <v>2.5</v>
      </c>
      <c r="M7122" s="24">
        <v>137180</v>
      </c>
      <c r="N7122" s="25">
        <f>IFERROR(T_reg.root.SK[[#This Row],[Price]]/T_reg.root.SK[[#This Row],[Starch content]],"")</f>
        <v>10.096930533117932</v>
      </c>
    </row>
    <row r="7123" spans="1:14">
      <c r="A7123" s="21">
        <v>2026</v>
      </c>
      <c r="B7123" s="21" t="s">
        <v>17</v>
      </c>
      <c r="C7123" s="21" t="s">
        <v>1145</v>
      </c>
      <c r="D7123" s="21" t="s">
        <v>39</v>
      </c>
      <c r="E7123" s="17" t="s">
        <v>98</v>
      </c>
      <c r="F7123" s="17" t="s">
        <v>99</v>
      </c>
      <c r="G7123" s="18" t="s">
        <v>42</v>
      </c>
      <c r="H7123" s="24">
        <v>3823920</v>
      </c>
      <c r="I7123" s="24">
        <f>T_reg.root.SK[[#This Row],[Volume, kg]]/1000</f>
        <v>3823.92</v>
      </c>
      <c r="J7123" s="25">
        <v>0.26739999999999997</v>
      </c>
      <c r="K7123" s="25">
        <f t="shared" si="112"/>
        <v>1022516.2079999999</v>
      </c>
      <c r="L7123" s="25">
        <v>2.84</v>
      </c>
      <c r="M7123" s="24">
        <v>10863108</v>
      </c>
      <c r="N7123" s="25">
        <f>IFERROR(T_reg.root.SK[[#This Row],[Price]]/T_reg.root.SK[[#This Row],[Starch content]],"")</f>
        <v>10.6207928197457</v>
      </c>
    </row>
    <row r="7124" spans="1:14">
      <c r="A7124" s="21">
        <v>2026</v>
      </c>
      <c r="B7124" s="21" t="s">
        <v>17</v>
      </c>
      <c r="C7124" s="21" t="s">
        <v>1145</v>
      </c>
      <c r="D7124" s="21" t="s">
        <v>35</v>
      </c>
      <c r="E7124" s="17" t="s">
        <v>238</v>
      </c>
      <c r="F7124" s="17" t="s">
        <v>105</v>
      </c>
      <c r="G7124" s="18" t="s">
        <v>48</v>
      </c>
      <c r="H7124" s="24">
        <v>9770</v>
      </c>
      <c r="I7124" s="24">
        <f>T_reg.root.SK[[#This Row],[Volume, kg]]/1000</f>
        <v>9.77</v>
      </c>
      <c r="J7124" s="25">
        <v>0.248</v>
      </c>
      <c r="K7124" s="25">
        <f t="shared" si="112"/>
        <v>2422.96</v>
      </c>
      <c r="L7124" s="25">
        <v>2.5499999999999998</v>
      </c>
      <c r="M7124" s="24">
        <v>24913.5</v>
      </c>
      <c r="N7124" s="25">
        <f>IFERROR(T_reg.root.SK[[#This Row],[Price]]/T_reg.root.SK[[#This Row],[Starch content]],"")</f>
        <v>10.282258064516128</v>
      </c>
    </row>
    <row r="7125" spans="1:14">
      <c r="A7125" s="21">
        <v>2026</v>
      </c>
      <c r="B7125" s="21" t="s">
        <v>17</v>
      </c>
      <c r="C7125" s="21" t="s">
        <v>1145</v>
      </c>
      <c r="D7125" s="21" t="s">
        <v>39</v>
      </c>
      <c r="E7125" s="17" t="s">
        <v>346</v>
      </c>
      <c r="F7125" s="17" t="s">
        <v>99</v>
      </c>
      <c r="G7125" s="18" t="s">
        <v>42</v>
      </c>
      <c r="H7125" s="24">
        <v>1311430</v>
      </c>
      <c r="I7125" s="24">
        <f>T_reg.root.SK[[#This Row],[Volume, kg]]/1000</f>
        <v>1311.43</v>
      </c>
      <c r="J7125" s="25">
        <v>0.25309999999999999</v>
      </c>
      <c r="K7125" s="25">
        <f t="shared" si="112"/>
        <v>331922.93299999996</v>
      </c>
      <c r="L7125" s="25">
        <v>2.77</v>
      </c>
      <c r="M7125" s="24">
        <v>3638900.5</v>
      </c>
      <c r="N7125" s="25">
        <f>IFERROR(T_reg.root.SK[[#This Row],[Price]]/T_reg.root.SK[[#This Row],[Starch content]],"")</f>
        <v>10.94429079415251</v>
      </c>
    </row>
    <row r="7126" spans="1:14">
      <c r="A7126" s="21">
        <v>2026</v>
      </c>
      <c r="B7126" s="21" t="s">
        <v>17</v>
      </c>
      <c r="C7126" s="21" t="s">
        <v>1145</v>
      </c>
      <c r="D7126" s="21" t="s">
        <v>35</v>
      </c>
      <c r="E7126" s="17" t="s">
        <v>946</v>
      </c>
      <c r="F7126" s="17" t="s">
        <v>105</v>
      </c>
      <c r="G7126" s="18" t="s">
        <v>48</v>
      </c>
      <c r="H7126" s="24">
        <v>76640</v>
      </c>
      <c r="I7126" s="24">
        <f>T_reg.root.SK[[#This Row],[Volume, kg]]/1000</f>
        <v>76.64</v>
      </c>
      <c r="J7126" s="25">
        <v>0.25840000000000002</v>
      </c>
      <c r="K7126" s="25">
        <f t="shared" si="112"/>
        <v>19803.776000000002</v>
      </c>
      <c r="L7126" s="25">
        <v>2.59</v>
      </c>
      <c r="M7126" s="24">
        <v>198672</v>
      </c>
      <c r="N7126" s="25">
        <f>IFERROR(T_reg.root.SK[[#This Row],[Price]]/T_reg.root.SK[[#This Row],[Starch content]],"")</f>
        <v>10.023219814241484</v>
      </c>
    </row>
    <row r="7127" spans="1:14">
      <c r="A7127" s="21">
        <v>2026</v>
      </c>
      <c r="B7127" s="21" t="s">
        <v>17</v>
      </c>
      <c r="C7127" s="21" t="s">
        <v>1145</v>
      </c>
      <c r="D7127" s="21" t="s">
        <v>35</v>
      </c>
      <c r="E7127" s="17" t="s">
        <v>655</v>
      </c>
      <c r="F7127" s="17" t="s">
        <v>47</v>
      </c>
      <c r="G7127" s="18" t="s">
        <v>48</v>
      </c>
      <c r="H7127" s="24">
        <v>25510</v>
      </c>
      <c r="I7127" s="24">
        <f>T_reg.root.SK[[#This Row],[Volume, kg]]/1000</f>
        <v>25.51</v>
      </c>
      <c r="J7127" s="25">
        <v>0.2475</v>
      </c>
      <c r="K7127" s="25">
        <f t="shared" si="112"/>
        <v>6313.7250000000004</v>
      </c>
      <c r="L7127" s="25">
        <v>2.54</v>
      </c>
      <c r="M7127" s="24">
        <v>64791</v>
      </c>
      <c r="N7127" s="25">
        <f>IFERROR(T_reg.root.SK[[#This Row],[Price]]/T_reg.root.SK[[#This Row],[Starch content]],"")</f>
        <v>10.262626262626263</v>
      </c>
    </row>
    <row r="7128" spans="1:14">
      <c r="A7128" s="21">
        <v>2026</v>
      </c>
      <c r="B7128" s="21" t="s">
        <v>17</v>
      </c>
      <c r="C7128" s="21" t="s">
        <v>1145</v>
      </c>
      <c r="D7128" s="21" t="s">
        <v>35</v>
      </c>
      <c r="E7128" s="17" t="s">
        <v>124</v>
      </c>
      <c r="F7128" s="17" t="s">
        <v>105</v>
      </c>
      <c r="G7128" s="18" t="s">
        <v>48</v>
      </c>
      <c r="H7128" s="24">
        <v>31490</v>
      </c>
      <c r="I7128" s="24">
        <f>T_reg.root.SK[[#This Row],[Volume, kg]]/1000</f>
        <v>31.49</v>
      </c>
      <c r="J7128" s="25">
        <v>0.24379999999999999</v>
      </c>
      <c r="K7128" s="25">
        <f t="shared" si="112"/>
        <v>7677.2619999999997</v>
      </c>
      <c r="L7128" s="25">
        <v>2.52</v>
      </c>
      <c r="M7128" s="24">
        <v>79243</v>
      </c>
      <c r="N7128" s="25">
        <f>IFERROR(T_reg.root.SK[[#This Row],[Price]]/T_reg.root.SK[[#This Row],[Starch content]],"")</f>
        <v>10.336341263330599</v>
      </c>
    </row>
    <row r="7129" spans="1:14">
      <c r="A7129" s="21">
        <v>2026</v>
      </c>
      <c r="B7129" s="21" t="s">
        <v>17</v>
      </c>
      <c r="C7129" s="21" t="s">
        <v>1145</v>
      </c>
      <c r="D7129" s="21" t="s">
        <v>35</v>
      </c>
      <c r="E7129" s="17" t="s">
        <v>563</v>
      </c>
      <c r="F7129" s="17" t="s">
        <v>105</v>
      </c>
      <c r="G7129" s="18" t="s">
        <v>48</v>
      </c>
      <c r="H7129" s="24">
        <v>19130</v>
      </c>
      <c r="I7129" s="24">
        <f>T_reg.root.SK[[#This Row],[Volume, kg]]/1000</f>
        <v>19.13</v>
      </c>
      <c r="J7129" s="25">
        <v>0.30059999999999998</v>
      </c>
      <c r="K7129" s="25">
        <f t="shared" si="112"/>
        <v>5750.4779999999992</v>
      </c>
      <c r="L7129" s="25">
        <v>2.81</v>
      </c>
      <c r="M7129" s="24">
        <v>53700.5</v>
      </c>
      <c r="N7129" s="25">
        <f>IFERROR(T_reg.root.SK[[#This Row],[Price]]/T_reg.root.SK[[#This Row],[Starch content]],"")</f>
        <v>9.3479707252162356</v>
      </c>
    </row>
    <row r="7130" spans="1:14">
      <c r="A7130" s="21">
        <v>2026</v>
      </c>
      <c r="B7130" s="21" t="s">
        <v>17</v>
      </c>
      <c r="C7130" s="21" t="s">
        <v>1145</v>
      </c>
      <c r="D7130" s="21" t="s">
        <v>35</v>
      </c>
      <c r="E7130" s="17" t="s">
        <v>729</v>
      </c>
      <c r="F7130" s="17" t="s">
        <v>47</v>
      </c>
      <c r="G7130" s="18" t="s">
        <v>48</v>
      </c>
      <c r="H7130" s="24">
        <v>13630</v>
      </c>
      <c r="I7130" s="24">
        <f>T_reg.root.SK[[#This Row],[Volume, kg]]/1000</f>
        <v>13.63</v>
      </c>
      <c r="J7130" s="25">
        <v>0.2666</v>
      </c>
      <c r="K7130" s="25">
        <f t="shared" si="112"/>
        <v>3633.7580000000003</v>
      </c>
      <c r="L7130" s="25">
        <v>2.63</v>
      </c>
      <c r="M7130" s="24">
        <v>35827.5</v>
      </c>
      <c r="N7130" s="25">
        <f>IFERROR(T_reg.root.SK[[#This Row],[Price]]/T_reg.root.SK[[#This Row],[Starch content]],"")</f>
        <v>9.8649662415603903</v>
      </c>
    </row>
    <row r="7131" spans="1:14">
      <c r="A7131" s="21">
        <v>2026</v>
      </c>
      <c r="B7131" s="21" t="s">
        <v>17</v>
      </c>
      <c r="C7131" s="21" t="s">
        <v>1145</v>
      </c>
      <c r="D7131" s="21" t="s">
        <v>35</v>
      </c>
      <c r="E7131" s="17" t="s">
        <v>977</v>
      </c>
      <c r="F7131" s="17" t="s">
        <v>105</v>
      </c>
      <c r="G7131" s="18" t="s">
        <v>48</v>
      </c>
      <c r="H7131" s="24">
        <v>15770</v>
      </c>
      <c r="I7131" s="24">
        <f>T_reg.root.SK[[#This Row],[Volume, kg]]/1000</f>
        <v>15.77</v>
      </c>
      <c r="J7131" s="25">
        <v>0.26519999999999999</v>
      </c>
      <c r="K7131" s="25">
        <f t="shared" si="112"/>
        <v>4182.2039999999997</v>
      </c>
      <c r="L7131" s="25">
        <v>2.61</v>
      </c>
      <c r="M7131" s="24">
        <v>41092.5</v>
      </c>
      <c r="N7131" s="25">
        <f>IFERROR(T_reg.root.SK[[#This Row],[Price]]/T_reg.root.SK[[#This Row],[Starch content]],"")</f>
        <v>9.8416289592760187</v>
      </c>
    </row>
    <row r="7132" spans="1:14">
      <c r="A7132" s="21">
        <v>2026</v>
      </c>
      <c r="B7132" s="21" t="s">
        <v>17</v>
      </c>
      <c r="C7132" s="21" t="s">
        <v>1145</v>
      </c>
      <c r="D7132" s="21" t="s">
        <v>35</v>
      </c>
      <c r="E7132" s="17" t="s">
        <v>240</v>
      </c>
      <c r="F7132" s="17" t="s">
        <v>105</v>
      </c>
      <c r="G7132" s="18" t="s">
        <v>48</v>
      </c>
      <c r="H7132" s="24">
        <v>14600</v>
      </c>
      <c r="I7132" s="24">
        <f>T_reg.root.SK[[#This Row],[Volume, kg]]/1000</f>
        <v>14.6</v>
      </c>
      <c r="J7132" s="25">
        <v>0.27839999999999998</v>
      </c>
      <c r="K7132" s="25">
        <f t="shared" si="112"/>
        <v>4064.64</v>
      </c>
      <c r="L7132" s="25">
        <v>2.69</v>
      </c>
      <c r="M7132" s="24">
        <v>39335</v>
      </c>
      <c r="N7132" s="25">
        <f>IFERROR(T_reg.root.SK[[#This Row],[Price]]/T_reg.root.SK[[#This Row],[Starch content]],"")</f>
        <v>9.6623563218390807</v>
      </c>
    </row>
    <row r="7133" spans="1:14">
      <c r="A7133" s="21">
        <v>2026</v>
      </c>
      <c r="B7133" s="21" t="s">
        <v>17</v>
      </c>
      <c r="C7133" s="21" t="s">
        <v>1145</v>
      </c>
      <c r="D7133" s="21" t="s">
        <v>35</v>
      </c>
      <c r="E7133" s="17" t="s">
        <v>736</v>
      </c>
      <c r="F7133" s="17" t="s">
        <v>105</v>
      </c>
      <c r="G7133" s="18" t="s">
        <v>48</v>
      </c>
      <c r="H7133" s="24">
        <v>38890</v>
      </c>
      <c r="I7133" s="24">
        <f>T_reg.root.SK[[#This Row],[Volume, kg]]/1000</f>
        <v>38.89</v>
      </c>
      <c r="J7133" s="25">
        <v>0.29239999999999999</v>
      </c>
      <c r="K7133" s="25">
        <f t="shared" si="112"/>
        <v>11371.436</v>
      </c>
      <c r="L7133" s="25">
        <v>2.74</v>
      </c>
      <c r="M7133" s="24">
        <v>106629</v>
      </c>
      <c r="N7133" s="25">
        <f>IFERROR(T_reg.root.SK[[#This Row],[Price]]/T_reg.root.SK[[#This Row],[Starch content]],"")</f>
        <v>9.3707250341997277</v>
      </c>
    </row>
    <row r="7134" spans="1:14">
      <c r="A7134" s="21">
        <v>2026</v>
      </c>
      <c r="B7134" s="21" t="s">
        <v>17</v>
      </c>
      <c r="C7134" s="21" t="s">
        <v>1145</v>
      </c>
      <c r="D7134" s="21" t="s">
        <v>35</v>
      </c>
      <c r="E7134" s="17" t="s">
        <v>465</v>
      </c>
      <c r="F7134" s="17" t="s">
        <v>47</v>
      </c>
      <c r="G7134" s="18" t="s">
        <v>48</v>
      </c>
      <c r="H7134" s="24">
        <v>193730</v>
      </c>
      <c r="I7134" s="24">
        <f>T_reg.root.SK[[#This Row],[Volume, kg]]/1000</f>
        <v>193.73</v>
      </c>
      <c r="J7134" s="25">
        <v>0.24149999999999999</v>
      </c>
      <c r="K7134" s="25">
        <f t="shared" si="112"/>
        <v>46785.794999999998</v>
      </c>
      <c r="L7134" s="25">
        <v>2.5099999999999998</v>
      </c>
      <c r="M7134" s="24">
        <v>486562.5</v>
      </c>
      <c r="N7134" s="25">
        <f>IFERROR(T_reg.root.SK[[#This Row],[Price]]/T_reg.root.SK[[#This Row],[Starch content]],"")</f>
        <v>10.393374741200828</v>
      </c>
    </row>
    <row r="7135" spans="1:14">
      <c r="A7135" s="21">
        <v>2026</v>
      </c>
      <c r="B7135" s="21" t="s">
        <v>17</v>
      </c>
      <c r="C7135" s="21" t="s">
        <v>1145</v>
      </c>
      <c r="D7135" s="21" t="s">
        <v>35</v>
      </c>
      <c r="E7135" s="17" t="s">
        <v>58</v>
      </c>
      <c r="F7135" s="17" t="s">
        <v>47</v>
      </c>
      <c r="G7135" s="18" t="s">
        <v>48</v>
      </c>
      <c r="H7135" s="24">
        <v>33340</v>
      </c>
      <c r="I7135" s="24">
        <f>T_reg.root.SK[[#This Row],[Volume, kg]]/1000</f>
        <v>33.340000000000003</v>
      </c>
      <c r="J7135" s="25">
        <v>0.24809999999999999</v>
      </c>
      <c r="K7135" s="25">
        <f t="shared" si="112"/>
        <v>8271.6540000000005</v>
      </c>
      <c r="L7135" s="25">
        <v>2.5499999999999998</v>
      </c>
      <c r="M7135" s="24">
        <v>85090</v>
      </c>
      <c r="N7135" s="25">
        <f>IFERROR(T_reg.root.SK[[#This Row],[Price]]/T_reg.root.SK[[#This Row],[Starch content]],"")</f>
        <v>10.278113663845224</v>
      </c>
    </row>
    <row r="7136" spans="1:14">
      <c r="A7136" s="21">
        <v>2026</v>
      </c>
      <c r="B7136" s="21" t="s">
        <v>17</v>
      </c>
      <c r="C7136" s="21" t="s">
        <v>1145</v>
      </c>
      <c r="D7136" s="21" t="s">
        <v>35</v>
      </c>
      <c r="E7136" s="17" t="s">
        <v>590</v>
      </c>
      <c r="F7136" s="17" t="s">
        <v>187</v>
      </c>
      <c r="G7136" s="18" t="s">
        <v>48</v>
      </c>
      <c r="H7136" s="24">
        <v>21420</v>
      </c>
      <c r="I7136" s="24">
        <f>T_reg.root.SK[[#This Row],[Volume, kg]]/1000</f>
        <v>21.42</v>
      </c>
      <c r="J7136" s="25">
        <v>0.30249999999999999</v>
      </c>
      <c r="K7136" s="25">
        <f t="shared" si="112"/>
        <v>6479.55</v>
      </c>
      <c r="L7136" s="25">
        <v>2.82</v>
      </c>
      <c r="M7136" s="24">
        <v>60330</v>
      </c>
      <c r="N7136" s="25">
        <f>IFERROR(T_reg.root.SK[[#This Row],[Price]]/T_reg.root.SK[[#This Row],[Starch content]],"")</f>
        <v>9.322314049586776</v>
      </c>
    </row>
    <row r="7137" spans="1:14">
      <c r="A7137" s="21">
        <v>2026</v>
      </c>
      <c r="B7137" s="21" t="s">
        <v>17</v>
      </c>
      <c r="C7137" s="21" t="s">
        <v>1145</v>
      </c>
      <c r="D7137" s="21" t="s">
        <v>35</v>
      </c>
      <c r="E7137" s="17" t="s">
        <v>59</v>
      </c>
      <c r="F7137" s="17" t="s">
        <v>47</v>
      </c>
      <c r="G7137" s="18" t="s">
        <v>48</v>
      </c>
      <c r="H7137" s="24">
        <v>29370</v>
      </c>
      <c r="I7137" s="24">
        <f>T_reg.root.SK[[#This Row],[Volume, kg]]/1000</f>
        <v>29.37</v>
      </c>
      <c r="J7137" s="25">
        <v>0.25690000000000002</v>
      </c>
      <c r="K7137" s="25">
        <f t="shared" si="112"/>
        <v>7545.1530000000002</v>
      </c>
      <c r="L7137" s="25">
        <v>2.58</v>
      </c>
      <c r="M7137" s="24">
        <v>75823</v>
      </c>
      <c r="N7137" s="25">
        <f>IFERROR(T_reg.root.SK[[#This Row],[Price]]/T_reg.root.SK[[#This Row],[Starch content]],"")</f>
        <v>10.042818217205138</v>
      </c>
    </row>
    <row r="7138" spans="1:14">
      <c r="A7138" s="21">
        <v>2026</v>
      </c>
      <c r="B7138" s="21" t="s">
        <v>17</v>
      </c>
      <c r="C7138" s="21" t="s">
        <v>1145</v>
      </c>
      <c r="D7138" s="21" t="s">
        <v>35</v>
      </c>
      <c r="E7138" s="17" t="s">
        <v>564</v>
      </c>
      <c r="F7138" s="17" t="s">
        <v>105</v>
      </c>
      <c r="G7138" s="18" t="s">
        <v>48</v>
      </c>
      <c r="H7138" s="24">
        <v>6070</v>
      </c>
      <c r="I7138" s="24">
        <f>T_reg.root.SK[[#This Row],[Volume, kg]]/1000</f>
        <v>6.07</v>
      </c>
      <c r="J7138" s="25">
        <v>0.26250000000000001</v>
      </c>
      <c r="K7138" s="25">
        <f t="shared" si="112"/>
        <v>1593.375</v>
      </c>
      <c r="L7138" s="25">
        <v>2.6</v>
      </c>
      <c r="M7138" s="24">
        <v>15782</v>
      </c>
      <c r="N7138" s="25">
        <f>IFERROR(T_reg.root.SK[[#This Row],[Price]]/T_reg.root.SK[[#This Row],[Starch content]],"")</f>
        <v>9.9047619047619051</v>
      </c>
    </row>
    <row r="7139" spans="1:14">
      <c r="A7139" s="21">
        <v>2026</v>
      </c>
      <c r="B7139" s="21" t="s">
        <v>17</v>
      </c>
      <c r="C7139" s="21" t="s">
        <v>1145</v>
      </c>
      <c r="D7139" s="21" t="s">
        <v>35</v>
      </c>
      <c r="E7139" s="17" t="s">
        <v>548</v>
      </c>
      <c r="F7139" s="17" t="s">
        <v>47</v>
      </c>
      <c r="G7139" s="18" t="s">
        <v>48</v>
      </c>
      <c r="H7139" s="24">
        <v>22100</v>
      </c>
      <c r="I7139" s="24">
        <f>T_reg.root.SK[[#This Row],[Volume, kg]]/1000</f>
        <v>22.1</v>
      </c>
      <c r="J7139" s="25">
        <v>0.26</v>
      </c>
      <c r="K7139" s="25">
        <f t="shared" si="112"/>
        <v>5746</v>
      </c>
      <c r="L7139" s="25">
        <v>2.6</v>
      </c>
      <c r="M7139" s="24">
        <v>57420</v>
      </c>
      <c r="N7139" s="25">
        <f>IFERROR(T_reg.root.SK[[#This Row],[Price]]/T_reg.root.SK[[#This Row],[Starch content]],"")</f>
        <v>10</v>
      </c>
    </row>
    <row r="7140" spans="1:14">
      <c r="A7140" s="21">
        <v>2026</v>
      </c>
      <c r="B7140" s="21" t="s">
        <v>17</v>
      </c>
      <c r="C7140" s="21" t="s">
        <v>1145</v>
      </c>
      <c r="D7140" s="21" t="s">
        <v>35</v>
      </c>
      <c r="E7140" s="17" t="s">
        <v>196</v>
      </c>
      <c r="F7140" s="17" t="s">
        <v>187</v>
      </c>
      <c r="G7140" s="18" t="s">
        <v>48</v>
      </c>
      <c r="H7140" s="24">
        <v>51840</v>
      </c>
      <c r="I7140" s="24">
        <f>T_reg.root.SK[[#This Row],[Volume, kg]]/1000</f>
        <v>51.84</v>
      </c>
      <c r="J7140" s="25">
        <v>0.26219999999999999</v>
      </c>
      <c r="K7140" s="25">
        <f t="shared" si="112"/>
        <v>13592.448</v>
      </c>
      <c r="L7140" s="25">
        <v>2.61</v>
      </c>
      <c r="M7140" s="24">
        <v>135351</v>
      </c>
      <c r="N7140" s="25">
        <f>IFERROR(T_reg.root.SK[[#This Row],[Price]]/T_reg.root.SK[[#This Row],[Starch content]],"")</f>
        <v>9.9542334096109837</v>
      </c>
    </row>
    <row r="7141" spans="1:14">
      <c r="A7141" s="21">
        <v>2026</v>
      </c>
      <c r="B7141" s="21" t="s">
        <v>17</v>
      </c>
      <c r="C7141" s="21" t="s">
        <v>1145</v>
      </c>
      <c r="D7141" s="21" t="s">
        <v>35</v>
      </c>
      <c r="E7141" s="17" t="s">
        <v>1049</v>
      </c>
      <c r="F7141" s="17" t="s">
        <v>105</v>
      </c>
      <c r="G7141" s="18" t="s">
        <v>48</v>
      </c>
      <c r="H7141" s="24">
        <v>22810</v>
      </c>
      <c r="I7141" s="24">
        <f>T_reg.root.SK[[#This Row],[Volume, kg]]/1000</f>
        <v>22.81</v>
      </c>
      <c r="J7141" s="25">
        <v>0.29780000000000001</v>
      </c>
      <c r="K7141" s="25">
        <f t="shared" si="112"/>
        <v>6792.8180000000002</v>
      </c>
      <c r="L7141" s="25">
        <v>2.75</v>
      </c>
      <c r="M7141" s="24">
        <v>62727.5</v>
      </c>
      <c r="N7141" s="25">
        <f>IFERROR(T_reg.root.SK[[#This Row],[Price]]/T_reg.root.SK[[#This Row],[Starch content]],"")</f>
        <v>9.2343854936198788</v>
      </c>
    </row>
    <row r="7142" spans="1:14">
      <c r="A7142" s="21">
        <v>2026</v>
      </c>
      <c r="B7142" s="21" t="s">
        <v>17</v>
      </c>
      <c r="C7142" s="21" t="s">
        <v>1145</v>
      </c>
      <c r="D7142" s="21" t="s">
        <v>35</v>
      </c>
      <c r="E7142" s="17" t="s">
        <v>1009</v>
      </c>
      <c r="F7142" s="17" t="s">
        <v>105</v>
      </c>
      <c r="G7142" s="18" t="s">
        <v>48</v>
      </c>
      <c r="H7142" s="24">
        <v>46640</v>
      </c>
      <c r="I7142" s="24">
        <f>T_reg.root.SK[[#This Row],[Volume, kg]]/1000</f>
        <v>46.64</v>
      </c>
      <c r="J7142" s="25">
        <v>0.27989999999999998</v>
      </c>
      <c r="K7142" s="25">
        <f t="shared" si="112"/>
        <v>13054.536</v>
      </c>
      <c r="L7142" s="25">
        <v>2.7</v>
      </c>
      <c r="M7142" s="24">
        <v>125913.5</v>
      </c>
      <c r="N7142" s="25">
        <f>IFERROR(T_reg.root.SK[[#This Row],[Price]]/T_reg.root.SK[[#This Row],[Starch content]],"")</f>
        <v>9.6463022508038598</v>
      </c>
    </row>
    <row r="7143" spans="1:14">
      <c r="A7143" s="21">
        <v>2026</v>
      </c>
      <c r="B7143" s="21" t="s">
        <v>17</v>
      </c>
      <c r="C7143" s="21" t="s">
        <v>1145</v>
      </c>
      <c r="D7143" s="21" t="s">
        <v>39</v>
      </c>
      <c r="E7143" s="17" t="s">
        <v>1073</v>
      </c>
      <c r="F7143" s="17" t="s">
        <v>89</v>
      </c>
      <c r="G7143" s="18" t="s">
        <v>90</v>
      </c>
      <c r="H7143" s="24">
        <v>7694900</v>
      </c>
      <c r="I7143" s="24">
        <f>T_reg.root.SK[[#This Row],[Volume, kg]]/1000</f>
        <v>7694.9</v>
      </c>
      <c r="J7143" s="25">
        <v>0.2722</v>
      </c>
      <c r="K7143" s="25">
        <f t="shared" si="112"/>
        <v>2094551.78</v>
      </c>
      <c r="L7143" s="25">
        <v>2.86</v>
      </c>
      <c r="M7143" s="24">
        <v>21994594</v>
      </c>
      <c r="N7143" s="25">
        <f>IFERROR(T_reg.root.SK[[#This Row],[Price]]/T_reg.root.SK[[#This Row],[Starch content]],"")</f>
        <v>10.506980161645849</v>
      </c>
    </row>
    <row r="7144" spans="1:14">
      <c r="A7144" s="21">
        <v>2026</v>
      </c>
      <c r="B7144" s="21" t="s">
        <v>17</v>
      </c>
      <c r="C7144" s="21" t="s">
        <v>1145</v>
      </c>
      <c r="D7144" s="21" t="s">
        <v>35</v>
      </c>
      <c r="E7144" s="17" t="s">
        <v>1098</v>
      </c>
      <c r="F7144" s="17" t="s">
        <v>105</v>
      </c>
      <c r="G7144" s="18" t="s">
        <v>48</v>
      </c>
      <c r="H7144" s="24">
        <v>74650</v>
      </c>
      <c r="I7144" s="24">
        <f>T_reg.root.SK[[#This Row],[Volume, kg]]/1000</f>
        <v>74.650000000000006</v>
      </c>
      <c r="J7144" s="25">
        <v>0.2455</v>
      </c>
      <c r="K7144" s="25">
        <f t="shared" si="112"/>
        <v>18326.575000000001</v>
      </c>
      <c r="L7144" s="25">
        <v>2.5299999999999998</v>
      </c>
      <c r="M7144" s="24">
        <v>189031</v>
      </c>
      <c r="N7144" s="25">
        <f>IFERROR(T_reg.root.SK[[#This Row],[Price]]/T_reg.root.SK[[#This Row],[Starch content]],"")</f>
        <v>10.305498981670061</v>
      </c>
    </row>
    <row r="7145" spans="1:14">
      <c r="A7145" s="21">
        <v>2026</v>
      </c>
      <c r="B7145" s="21" t="s">
        <v>17</v>
      </c>
      <c r="C7145" s="21" t="s">
        <v>1145</v>
      </c>
      <c r="D7145" s="21" t="s">
        <v>35</v>
      </c>
      <c r="E7145" s="17" t="s">
        <v>525</v>
      </c>
      <c r="F7145" s="17" t="s">
        <v>187</v>
      </c>
      <c r="G7145" s="18" t="s">
        <v>48</v>
      </c>
      <c r="H7145" s="24">
        <v>33520</v>
      </c>
      <c r="I7145" s="24">
        <f>T_reg.root.SK[[#This Row],[Volume, kg]]/1000</f>
        <v>33.520000000000003</v>
      </c>
      <c r="J7145" s="25">
        <v>0.27079999999999999</v>
      </c>
      <c r="K7145" s="25">
        <f t="shared" si="112"/>
        <v>9077.2160000000003</v>
      </c>
      <c r="L7145" s="25">
        <v>2.66</v>
      </c>
      <c r="M7145" s="24">
        <v>89161.5</v>
      </c>
      <c r="N7145" s="25">
        <f>IFERROR(T_reg.root.SK[[#This Row],[Price]]/T_reg.root.SK[[#This Row],[Starch content]],"")</f>
        <v>9.8227474150664715</v>
      </c>
    </row>
    <row r="7146" spans="1:14">
      <c r="A7146" s="21">
        <v>2026</v>
      </c>
      <c r="B7146" s="21" t="s">
        <v>17</v>
      </c>
      <c r="C7146" s="21" t="s">
        <v>1145</v>
      </c>
      <c r="D7146" s="21" t="s">
        <v>35</v>
      </c>
      <c r="E7146" s="17" t="s">
        <v>133</v>
      </c>
      <c r="F7146" s="17" t="s">
        <v>105</v>
      </c>
      <c r="G7146" s="18" t="s">
        <v>48</v>
      </c>
      <c r="H7146" s="24">
        <v>26340</v>
      </c>
      <c r="I7146" s="24">
        <f>T_reg.root.SK[[#This Row],[Volume, kg]]/1000</f>
        <v>26.34</v>
      </c>
      <c r="J7146" s="25">
        <v>0.2205</v>
      </c>
      <c r="K7146" s="25">
        <f t="shared" si="112"/>
        <v>5807.97</v>
      </c>
      <c r="L7146" s="25">
        <v>2.36</v>
      </c>
      <c r="M7146" s="24">
        <v>62225</v>
      </c>
      <c r="N7146" s="25">
        <f>IFERROR(T_reg.root.SK[[#This Row],[Price]]/T_reg.root.SK[[#This Row],[Starch content]],"")</f>
        <v>10.702947845804989</v>
      </c>
    </row>
    <row r="7147" spans="1:14">
      <c r="A7147" s="21">
        <v>2026</v>
      </c>
      <c r="B7147" s="21" t="s">
        <v>17</v>
      </c>
      <c r="C7147" s="21" t="s">
        <v>1145</v>
      </c>
      <c r="D7147" s="21" t="s">
        <v>35</v>
      </c>
      <c r="E7147" s="17" t="s">
        <v>1094</v>
      </c>
      <c r="F7147" s="17" t="s">
        <v>105</v>
      </c>
      <c r="G7147" s="18" t="s">
        <v>48</v>
      </c>
      <c r="H7147" s="24">
        <v>13630</v>
      </c>
      <c r="I7147" s="24">
        <f>T_reg.root.SK[[#This Row],[Volume, kg]]/1000</f>
        <v>13.63</v>
      </c>
      <c r="J7147" s="25">
        <v>0.26019999999999999</v>
      </c>
      <c r="K7147" s="25">
        <f t="shared" si="112"/>
        <v>3546.5259999999998</v>
      </c>
      <c r="L7147" s="25">
        <v>2.59</v>
      </c>
      <c r="M7147" s="24">
        <v>35310.5</v>
      </c>
      <c r="N7147" s="25">
        <f>IFERROR(T_reg.root.SK[[#This Row],[Price]]/T_reg.root.SK[[#This Row],[Starch content]],"")</f>
        <v>9.9538816295157577</v>
      </c>
    </row>
    <row r="7148" spans="1:14">
      <c r="A7148" s="21">
        <v>2026</v>
      </c>
      <c r="B7148" s="21" t="s">
        <v>17</v>
      </c>
      <c r="C7148" s="21" t="s">
        <v>1145</v>
      </c>
      <c r="D7148" s="21" t="s">
        <v>35</v>
      </c>
      <c r="E7148" s="17" t="s">
        <v>136</v>
      </c>
      <c r="F7148" s="17" t="s">
        <v>105</v>
      </c>
      <c r="G7148" s="18" t="s">
        <v>48</v>
      </c>
      <c r="H7148" s="24">
        <v>48250</v>
      </c>
      <c r="I7148" s="24">
        <f>T_reg.root.SK[[#This Row],[Volume, kg]]/1000</f>
        <v>48.25</v>
      </c>
      <c r="J7148" s="25">
        <v>0.27529999999999999</v>
      </c>
      <c r="K7148" s="25">
        <f t="shared" si="112"/>
        <v>13283.225</v>
      </c>
      <c r="L7148" s="25">
        <v>2.68</v>
      </c>
      <c r="M7148" s="24">
        <v>129377</v>
      </c>
      <c r="N7148" s="25">
        <f>IFERROR(T_reg.root.SK[[#This Row],[Price]]/T_reg.root.SK[[#This Row],[Starch content]],"")</f>
        <v>9.7348347257537249</v>
      </c>
    </row>
    <row r="7149" spans="1:14">
      <c r="A7149" s="21">
        <v>2026</v>
      </c>
      <c r="B7149" s="21" t="s">
        <v>17</v>
      </c>
      <c r="C7149" s="21" t="s">
        <v>1145</v>
      </c>
      <c r="D7149" s="21" t="s">
        <v>39</v>
      </c>
      <c r="E7149" s="17" t="s">
        <v>1063</v>
      </c>
      <c r="F7149" s="17" t="s">
        <v>1064</v>
      </c>
      <c r="G7149" s="18" t="s">
        <v>220</v>
      </c>
      <c r="H7149" s="24">
        <v>58350</v>
      </c>
      <c r="I7149" s="24">
        <f>T_reg.root.SK[[#This Row],[Volume, kg]]/1000</f>
        <v>58.35</v>
      </c>
      <c r="J7149" s="25">
        <v>0.2848</v>
      </c>
      <c r="K7149" s="25">
        <f t="shared" si="112"/>
        <v>16618.079999999998</v>
      </c>
      <c r="L7149" s="25">
        <v>2.98</v>
      </c>
      <c r="M7149" s="24">
        <v>173625.5</v>
      </c>
      <c r="N7149" s="25">
        <f>IFERROR(T_reg.root.SK[[#This Row],[Price]]/T_reg.root.SK[[#This Row],[Starch content]],"")</f>
        <v>10.463483146067416</v>
      </c>
    </row>
    <row r="7150" spans="1:14">
      <c r="A7150" s="21">
        <v>2026</v>
      </c>
      <c r="B7150" s="21" t="s">
        <v>17</v>
      </c>
      <c r="C7150" s="21" t="s">
        <v>1145</v>
      </c>
      <c r="D7150" s="21" t="s">
        <v>35</v>
      </c>
      <c r="E7150" s="17" t="s">
        <v>138</v>
      </c>
      <c r="F7150" s="17" t="s">
        <v>105</v>
      </c>
      <c r="G7150" s="18" t="s">
        <v>48</v>
      </c>
      <c r="H7150" s="24">
        <v>37360</v>
      </c>
      <c r="I7150" s="24">
        <f>T_reg.root.SK[[#This Row],[Volume, kg]]/1000</f>
        <v>37.36</v>
      </c>
      <c r="J7150" s="25">
        <v>0.25319999999999998</v>
      </c>
      <c r="K7150" s="25">
        <f t="shared" si="112"/>
        <v>9459.5519999999997</v>
      </c>
      <c r="L7150" s="25">
        <v>2.58</v>
      </c>
      <c r="M7150" s="24">
        <v>96224.5</v>
      </c>
      <c r="N7150" s="25">
        <f>IFERROR(T_reg.root.SK[[#This Row],[Price]]/T_reg.root.SK[[#This Row],[Starch content]],"")</f>
        <v>10.189573459715641</v>
      </c>
    </row>
    <row r="7151" spans="1:14">
      <c r="A7151" s="21">
        <v>2026</v>
      </c>
      <c r="B7151" s="21" t="s">
        <v>17</v>
      </c>
      <c r="C7151" s="21" t="s">
        <v>1145</v>
      </c>
      <c r="D7151" s="21" t="s">
        <v>35</v>
      </c>
      <c r="E7151" s="17" t="s">
        <v>468</v>
      </c>
      <c r="F7151" s="17" t="s">
        <v>47</v>
      </c>
      <c r="G7151" s="18" t="s">
        <v>48</v>
      </c>
      <c r="H7151" s="24">
        <v>29310</v>
      </c>
      <c r="I7151" s="24">
        <f>T_reg.root.SK[[#This Row],[Volume, kg]]/1000</f>
        <v>29.31</v>
      </c>
      <c r="J7151" s="25">
        <v>0.24600000000000002</v>
      </c>
      <c r="K7151" s="25">
        <f t="shared" ref="K7151:K7214" si="113">H7151*J7151</f>
        <v>7210.2600000000011</v>
      </c>
      <c r="L7151" s="25">
        <v>2.52</v>
      </c>
      <c r="M7151" s="24">
        <v>73755</v>
      </c>
      <c r="N7151" s="25">
        <f>IFERROR(T_reg.root.SK[[#This Row],[Price]]/T_reg.root.SK[[#This Row],[Starch content]],"")</f>
        <v>10.243902439024389</v>
      </c>
    </row>
    <row r="7152" spans="1:14">
      <c r="A7152" s="21">
        <v>2026</v>
      </c>
      <c r="B7152" s="21" t="s">
        <v>17</v>
      </c>
      <c r="C7152" s="21" t="s">
        <v>1145</v>
      </c>
      <c r="D7152" s="21" t="s">
        <v>35</v>
      </c>
      <c r="E7152" s="17" t="s">
        <v>201</v>
      </c>
      <c r="F7152" s="17" t="s">
        <v>187</v>
      </c>
      <c r="G7152" s="18" t="s">
        <v>48</v>
      </c>
      <c r="H7152" s="24">
        <v>79610</v>
      </c>
      <c r="I7152" s="24">
        <f>T_reg.root.SK[[#This Row],[Volume, kg]]/1000</f>
        <v>79.61</v>
      </c>
      <c r="J7152" s="25">
        <v>0.25190000000000001</v>
      </c>
      <c r="K7152" s="25">
        <f t="shared" si="113"/>
        <v>20053.759000000002</v>
      </c>
      <c r="L7152" s="25">
        <v>2.54</v>
      </c>
      <c r="M7152" s="24">
        <v>202540.5</v>
      </c>
      <c r="N7152" s="25">
        <f>IFERROR(T_reg.root.SK[[#This Row],[Price]]/T_reg.root.SK[[#This Row],[Starch content]],"")</f>
        <v>10.083366415244145</v>
      </c>
    </row>
    <row r="7153" spans="1:14">
      <c r="A7153" s="21">
        <v>2026</v>
      </c>
      <c r="B7153" s="21" t="s">
        <v>17</v>
      </c>
      <c r="C7153" s="21" t="s">
        <v>1145</v>
      </c>
      <c r="D7153" s="21" t="s">
        <v>35</v>
      </c>
      <c r="E7153" s="17" t="s">
        <v>984</v>
      </c>
      <c r="F7153" s="17" t="s">
        <v>95</v>
      </c>
      <c r="G7153" s="18" t="s">
        <v>48</v>
      </c>
      <c r="H7153" s="24">
        <v>71360</v>
      </c>
      <c r="I7153" s="24">
        <f>T_reg.root.SK[[#This Row],[Volume, kg]]/1000</f>
        <v>71.36</v>
      </c>
      <c r="J7153" s="25">
        <v>0.26119999999999999</v>
      </c>
      <c r="K7153" s="25">
        <f t="shared" si="113"/>
        <v>18639.232</v>
      </c>
      <c r="L7153" s="25">
        <v>2.61</v>
      </c>
      <c r="M7153" s="24">
        <v>186363</v>
      </c>
      <c r="N7153" s="25">
        <f>IFERROR(T_reg.root.SK[[#This Row],[Price]]/T_reg.root.SK[[#This Row],[Starch content]],"")</f>
        <v>9.9923430321592654</v>
      </c>
    </row>
    <row r="7154" spans="1:14">
      <c r="A7154" s="21">
        <v>2026</v>
      </c>
      <c r="B7154" s="21" t="s">
        <v>17</v>
      </c>
      <c r="C7154" s="21" t="s">
        <v>1145</v>
      </c>
      <c r="D7154" s="21" t="s">
        <v>35</v>
      </c>
      <c r="E7154" s="17" t="s">
        <v>1104</v>
      </c>
      <c r="F7154" s="17" t="s">
        <v>105</v>
      </c>
      <c r="G7154" s="18" t="s">
        <v>48</v>
      </c>
      <c r="H7154" s="24">
        <v>8200</v>
      </c>
      <c r="I7154" s="24">
        <f>T_reg.root.SK[[#This Row],[Volume, kg]]/1000</f>
        <v>8.1999999999999993</v>
      </c>
      <c r="J7154" s="25">
        <v>0.27750000000000002</v>
      </c>
      <c r="K7154" s="25">
        <f t="shared" si="113"/>
        <v>2275.5</v>
      </c>
      <c r="L7154" s="25">
        <v>2.7</v>
      </c>
      <c r="M7154" s="24">
        <v>22140</v>
      </c>
      <c r="N7154" s="25">
        <f>IFERROR(T_reg.root.SK[[#This Row],[Price]]/T_reg.root.SK[[#This Row],[Starch content]],"")</f>
        <v>9.7297297297297298</v>
      </c>
    </row>
    <row r="7155" spans="1:14">
      <c r="A7155" s="21">
        <v>2026</v>
      </c>
      <c r="B7155" s="21" t="s">
        <v>17</v>
      </c>
      <c r="C7155" s="21" t="s">
        <v>1145</v>
      </c>
      <c r="D7155" s="21" t="s">
        <v>35</v>
      </c>
      <c r="E7155" s="17" t="s">
        <v>1099</v>
      </c>
      <c r="F7155" s="17" t="s">
        <v>105</v>
      </c>
      <c r="G7155" s="18" t="s">
        <v>48</v>
      </c>
      <c r="H7155" s="24">
        <v>20100</v>
      </c>
      <c r="I7155" s="24">
        <f>T_reg.root.SK[[#This Row],[Volume, kg]]/1000</f>
        <v>20.100000000000001</v>
      </c>
      <c r="J7155" s="25">
        <v>0.26800000000000002</v>
      </c>
      <c r="K7155" s="25">
        <f t="shared" si="113"/>
        <v>5386.8</v>
      </c>
      <c r="L7155" s="25">
        <v>2.64</v>
      </c>
      <c r="M7155" s="24">
        <v>52975</v>
      </c>
      <c r="N7155" s="25">
        <f>IFERROR(T_reg.root.SK[[#This Row],[Price]]/T_reg.root.SK[[#This Row],[Starch content]],"")</f>
        <v>9.8507462686567155</v>
      </c>
    </row>
    <row r="7156" spans="1:14">
      <c r="A7156" s="21">
        <v>2026</v>
      </c>
      <c r="B7156" s="21" t="s">
        <v>17</v>
      </c>
      <c r="C7156" s="21" t="s">
        <v>1145</v>
      </c>
      <c r="D7156" s="21" t="s">
        <v>35</v>
      </c>
      <c r="E7156" s="17" t="s">
        <v>62</v>
      </c>
      <c r="F7156" s="17" t="s">
        <v>47</v>
      </c>
      <c r="G7156" s="18" t="s">
        <v>48</v>
      </c>
      <c r="H7156" s="24">
        <v>34050</v>
      </c>
      <c r="I7156" s="24">
        <f>T_reg.root.SK[[#This Row],[Volume, kg]]/1000</f>
        <v>34.049999999999997</v>
      </c>
      <c r="J7156" s="25">
        <v>0.27179999999999999</v>
      </c>
      <c r="K7156" s="25">
        <f t="shared" si="113"/>
        <v>9254.7899999999991</v>
      </c>
      <c r="L7156" s="25">
        <v>2.66</v>
      </c>
      <c r="M7156" s="24">
        <v>90558</v>
      </c>
      <c r="N7156" s="25">
        <f>IFERROR(T_reg.root.SK[[#This Row],[Price]]/T_reg.root.SK[[#This Row],[Starch content]],"")</f>
        <v>9.7866077998528347</v>
      </c>
    </row>
    <row r="7157" spans="1:14">
      <c r="A7157" s="21">
        <v>2026</v>
      </c>
      <c r="B7157" s="21" t="s">
        <v>17</v>
      </c>
      <c r="C7157" s="21" t="s">
        <v>1145</v>
      </c>
      <c r="D7157" s="21" t="s">
        <v>35</v>
      </c>
      <c r="E7157" s="17" t="s">
        <v>1105</v>
      </c>
      <c r="F7157" s="17" t="s">
        <v>105</v>
      </c>
      <c r="G7157" s="18" t="s">
        <v>48</v>
      </c>
      <c r="H7157" s="24">
        <v>92640</v>
      </c>
      <c r="I7157" s="24">
        <f>T_reg.root.SK[[#This Row],[Volume, kg]]/1000</f>
        <v>92.64</v>
      </c>
      <c r="J7157" s="25">
        <v>0.23730000000000001</v>
      </c>
      <c r="K7157" s="25">
        <f t="shared" si="113"/>
        <v>21983.472000000002</v>
      </c>
      <c r="L7157" s="25">
        <v>2.4900000000000002</v>
      </c>
      <c r="M7157" s="24">
        <v>230999</v>
      </c>
      <c r="N7157" s="25">
        <f>IFERROR(T_reg.root.SK[[#This Row],[Price]]/T_reg.root.SK[[#This Row],[Starch content]],"")</f>
        <v>10.493046776232617</v>
      </c>
    </row>
    <row r="7158" spans="1:14">
      <c r="A7158" s="21">
        <v>2026</v>
      </c>
      <c r="B7158" s="21" t="s">
        <v>17</v>
      </c>
      <c r="C7158" s="21" t="s">
        <v>1145</v>
      </c>
      <c r="D7158" s="21" t="s">
        <v>35</v>
      </c>
      <c r="E7158" s="17" t="s">
        <v>1106</v>
      </c>
      <c r="F7158" s="17" t="s">
        <v>105</v>
      </c>
      <c r="G7158" s="18" t="s">
        <v>48</v>
      </c>
      <c r="H7158" s="24">
        <v>10060</v>
      </c>
      <c r="I7158" s="24">
        <f>T_reg.root.SK[[#This Row],[Volume, kg]]/1000</f>
        <v>10.06</v>
      </c>
      <c r="J7158" s="25">
        <v>0.245</v>
      </c>
      <c r="K7158" s="25">
        <f t="shared" si="113"/>
        <v>2464.6999999999998</v>
      </c>
      <c r="L7158" s="25">
        <v>2.5499999999999998</v>
      </c>
      <c r="M7158" s="24">
        <v>25653</v>
      </c>
      <c r="N7158" s="25">
        <f>IFERROR(T_reg.root.SK[[#This Row],[Price]]/T_reg.root.SK[[#This Row],[Starch content]],"")</f>
        <v>10.408163265306122</v>
      </c>
    </row>
    <row r="7159" spans="1:14">
      <c r="A7159" s="21">
        <v>2026</v>
      </c>
      <c r="B7159" s="21" t="s">
        <v>17</v>
      </c>
      <c r="C7159" s="21" t="s">
        <v>1145</v>
      </c>
      <c r="D7159" s="21" t="s">
        <v>35</v>
      </c>
      <c r="E7159" s="17" t="s">
        <v>245</v>
      </c>
      <c r="F7159" s="17" t="s">
        <v>105</v>
      </c>
      <c r="G7159" s="18" t="s">
        <v>48</v>
      </c>
      <c r="H7159" s="24">
        <v>45780</v>
      </c>
      <c r="I7159" s="24">
        <f>T_reg.root.SK[[#This Row],[Volume, kg]]/1000</f>
        <v>45.78</v>
      </c>
      <c r="J7159" s="25">
        <v>0.26300000000000001</v>
      </c>
      <c r="K7159" s="25">
        <f t="shared" si="113"/>
        <v>12040.140000000001</v>
      </c>
      <c r="L7159" s="25">
        <v>2.58</v>
      </c>
      <c r="M7159" s="24">
        <v>118174.5</v>
      </c>
      <c r="N7159" s="25">
        <f>IFERROR(T_reg.root.SK[[#This Row],[Price]]/T_reg.root.SK[[#This Row],[Starch content]],"")</f>
        <v>9.8098859315589344</v>
      </c>
    </row>
    <row r="7160" spans="1:14">
      <c r="A7160" s="21">
        <v>2026</v>
      </c>
      <c r="B7160" s="21" t="s">
        <v>17</v>
      </c>
      <c r="C7160" s="21" t="s">
        <v>1145</v>
      </c>
      <c r="D7160" s="21" t="s">
        <v>35</v>
      </c>
      <c r="E7160" s="17" t="s">
        <v>1010</v>
      </c>
      <c r="F7160" s="17" t="s">
        <v>105</v>
      </c>
      <c r="G7160" s="18" t="s">
        <v>48</v>
      </c>
      <c r="H7160" s="24">
        <v>34160</v>
      </c>
      <c r="I7160" s="24">
        <f>T_reg.root.SK[[#This Row],[Volume, kg]]/1000</f>
        <v>34.159999999999997</v>
      </c>
      <c r="J7160" s="25">
        <v>0.2697</v>
      </c>
      <c r="K7160" s="25">
        <f t="shared" si="113"/>
        <v>9212.9519999999993</v>
      </c>
      <c r="L7160" s="25">
        <v>2.65</v>
      </c>
      <c r="M7160" s="24">
        <v>90545.5</v>
      </c>
      <c r="N7160" s="25">
        <f>IFERROR(T_reg.root.SK[[#This Row],[Price]]/T_reg.root.SK[[#This Row],[Starch content]],"")</f>
        <v>9.8257322951427515</v>
      </c>
    </row>
    <row r="7161" spans="1:14">
      <c r="A7161" s="21">
        <v>2026</v>
      </c>
      <c r="B7161" s="21" t="s">
        <v>17</v>
      </c>
      <c r="C7161" s="21" t="s">
        <v>1145</v>
      </c>
      <c r="D7161" s="21" t="s">
        <v>35</v>
      </c>
      <c r="E7161" s="17" t="s">
        <v>143</v>
      </c>
      <c r="F7161" s="17" t="s">
        <v>105</v>
      </c>
      <c r="G7161" s="18" t="s">
        <v>48</v>
      </c>
      <c r="H7161" s="24">
        <v>16770</v>
      </c>
      <c r="I7161" s="24">
        <f>T_reg.root.SK[[#This Row],[Volume, kg]]/1000</f>
        <v>16.77</v>
      </c>
      <c r="J7161" s="25">
        <v>0.26679999999999998</v>
      </c>
      <c r="K7161" s="25">
        <f t="shared" si="113"/>
        <v>4474.2359999999999</v>
      </c>
      <c r="L7161" s="25">
        <v>2.63</v>
      </c>
      <c r="M7161" s="24">
        <v>44045</v>
      </c>
      <c r="N7161" s="25">
        <f>IFERROR(T_reg.root.SK[[#This Row],[Price]]/T_reg.root.SK[[#This Row],[Starch content]],"")</f>
        <v>9.857571214392804</v>
      </c>
    </row>
    <row r="7162" spans="1:14">
      <c r="A7162" s="21">
        <v>2026</v>
      </c>
      <c r="B7162" s="21" t="s">
        <v>17</v>
      </c>
      <c r="C7162" s="21" t="s">
        <v>1145</v>
      </c>
      <c r="D7162" s="21" t="s">
        <v>35</v>
      </c>
      <c r="E7162" s="17" t="s">
        <v>312</v>
      </c>
      <c r="F7162" s="17" t="s">
        <v>105</v>
      </c>
      <c r="G7162" s="18" t="s">
        <v>48</v>
      </c>
      <c r="H7162" s="24">
        <v>11730</v>
      </c>
      <c r="I7162" s="24">
        <f>T_reg.root.SK[[#This Row],[Volume, kg]]/1000</f>
        <v>11.73</v>
      </c>
      <c r="J7162" s="25">
        <v>0.26649999999999996</v>
      </c>
      <c r="K7162" s="25">
        <f t="shared" si="113"/>
        <v>3126.0449999999996</v>
      </c>
      <c r="L7162" s="25">
        <v>2.65</v>
      </c>
      <c r="M7162" s="24">
        <v>31084.5</v>
      </c>
      <c r="N7162" s="25">
        <f>IFERROR(T_reg.root.SK[[#This Row],[Price]]/T_reg.root.SK[[#This Row],[Starch content]],"")</f>
        <v>9.9437148217636029</v>
      </c>
    </row>
    <row r="7163" spans="1:14">
      <c r="A7163" s="21">
        <v>2026</v>
      </c>
      <c r="B7163" s="21" t="s">
        <v>17</v>
      </c>
      <c r="C7163" s="21" t="s">
        <v>1145</v>
      </c>
      <c r="D7163" s="21" t="s">
        <v>35</v>
      </c>
      <c r="E7163" s="17" t="s">
        <v>146</v>
      </c>
      <c r="F7163" s="17" t="s">
        <v>105</v>
      </c>
      <c r="G7163" s="18" t="s">
        <v>48</v>
      </c>
      <c r="H7163" s="24">
        <v>268820</v>
      </c>
      <c r="I7163" s="24">
        <f>T_reg.root.SK[[#This Row],[Volume, kg]]/1000</f>
        <v>268.82</v>
      </c>
      <c r="J7163" s="25">
        <v>0.26050000000000001</v>
      </c>
      <c r="K7163" s="25">
        <f t="shared" si="113"/>
        <v>70027.61</v>
      </c>
      <c r="L7163" s="25">
        <v>2.6</v>
      </c>
      <c r="M7163" s="24">
        <v>699071.5</v>
      </c>
      <c r="N7163" s="25">
        <f>IFERROR(T_reg.root.SK[[#This Row],[Price]]/T_reg.root.SK[[#This Row],[Starch content]],"")</f>
        <v>9.9808061420345489</v>
      </c>
    </row>
    <row r="7164" spans="1:14">
      <c r="A7164" s="21">
        <v>2026</v>
      </c>
      <c r="B7164" s="21" t="s">
        <v>17</v>
      </c>
      <c r="C7164" s="21" t="s">
        <v>1145</v>
      </c>
      <c r="D7164" s="21" t="s">
        <v>35</v>
      </c>
      <c r="E7164" s="17" t="s">
        <v>569</v>
      </c>
      <c r="F7164" s="17" t="s">
        <v>105</v>
      </c>
      <c r="G7164" s="18" t="s">
        <v>48</v>
      </c>
      <c r="H7164" s="24">
        <v>37750</v>
      </c>
      <c r="I7164" s="24">
        <f>T_reg.root.SK[[#This Row],[Volume, kg]]/1000</f>
        <v>37.75</v>
      </c>
      <c r="J7164" s="25">
        <v>0.26150000000000001</v>
      </c>
      <c r="K7164" s="25">
        <f t="shared" si="113"/>
        <v>9871.625</v>
      </c>
      <c r="L7164" s="25">
        <v>2.56</v>
      </c>
      <c r="M7164" s="24">
        <v>96488.5</v>
      </c>
      <c r="N7164" s="25">
        <f>IFERROR(T_reg.root.SK[[#This Row],[Price]]/T_reg.root.SK[[#This Row],[Starch content]],"")</f>
        <v>9.7896749521988529</v>
      </c>
    </row>
    <row r="7165" spans="1:14">
      <c r="A7165" s="21">
        <v>2026</v>
      </c>
      <c r="B7165" s="21" t="s">
        <v>17</v>
      </c>
      <c r="C7165" s="21" t="s">
        <v>1145</v>
      </c>
      <c r="D7165" s="21" t="s">
        <v>35</v>
      </c>
      <c r="E7165" s="17" t="s">
        <v>1011</v>
      </c>
      <c r="F7165" s="17" t="s">
        <v>1012</v>
      </c>
      <c r="G7165" s="18" t="s">
        <v>1013</v>
      </c>
      <c r="H7165" s="24">
        <v>99910</v>
      </c>
      <c r="I7165" s="24">
        <f>T_reg.root.SK[[#This Row],[Volume, kg]]/1000</f>
        <v>99.91</v>
      </c>
      <c r="J7165" s="25">
        <v>0.28129999999999999</v>
      </c>
      <c r="K7165" s="25">
        <f t="shared" si="113"/>
        <v>28104.683000000001</v>
      </c>
      <c r="L7165" s="25">
        <v>2.7</v>
      </c>
      <c r="M7165" s="24">
        <v>269929</v>
      </c>
      <c r="N7165" s="25">
        <f>IFERROR(T_reg.root.SK[[#This Row],[Price]]/T_reg.root.SK[[#This Row],[Starch content]],"")</f>
        <v>9.5982936366868117</v>
      </c>
    </row>
    <row r="7166" spans="1:14">
      <c r="A7166" s="21">
        <v>2026</v>
      </c>
      <c r="B7166" s="21" t="s">
        <v>17</v>
      </c>
      <c r="C7166" s="21" t="s">
        <v>1145</v>
      </c>
      <c r="D7166" s="21" t="s">
        <v>35</v>
      </c>
      <c r="E7166" s="17" t="s">
        <v>985</v>
      </c>
      <c r="F7166" s="17" t="s">
        <v>283</v>
      </c>
      <c r="G7166" s="18" t="s">
        <v>48</v>
      </c>
      <c r="H7166" s="24">
        <v>45700</v>
      </c>
      <c r="I7166" s="24">
        <f>T_reg.root.SK[[#This Row],[Volume, kg]]/1000</f>
        <v>45.7</v>
      </c>
      <c r="J7166" s="25">
        <v>0.2697</v>
      </c>
      <c r="K7166" s="25">
        <f t="shared" si="113"/>
        <v>12325.289999999999</v>
      </c>
      <c r="L7166" s="25">
        <v>2.65</v>
      </c>
      <c r="M7166" s="24">
        <v>121214</v>
      </c>
      <c r="N7166" s="25">
        <f>IFERROR(T_reg.root.SK[[#This Row],[Price]]/T_reg.root.SK[[#This Row],[Starch content]],"")</f>
        <v>9.8257322951427515</v>
      </c>
    </row>
    <row r="7167" spans="1:14">
      <c r="A7167" s="21">
        <v>2026</v>
      </c>
      <c r="B7167" s="21" t="s">
        <v>17</v>
      </c>
      <c r="C7167" s="21" t="s">
        <v>1145</v>
      </c>
      <c r="D7167" s="21" t="s">
        <v>35</v>
      </c>
      <c r="E7167" s="17" t="s">
        <v>1080</v>
      </c>
      <c r="F7167" s="17" t="s">
        <v>105</v>
      </c>
      <c r="G7167" s="18" t="s">
        <v>48</v>
      </c>
      <c r="H7167" s="24">
        <v>4180</v>
      </c>
      <c r="I7167" s="24">
        <f>T_reg.root.SK[[#This Row],[Volume, kg]]/1000</f>
        <v>4.18</v>
      </c>
      <c r="J7167" s="25">
        <v>0.29899999999999999</v>
      </c>
      <c r="K7167" s="25">
        <f t="shared" si="113"/>
        <v>1249.82</v>
      </c>
      <c r="L7167" s="25">
        <v>2.8</v>
      </c>
      <c r="M7167" s="24">
        <v>11704</v>
      </c>
      <c r="N7167" s="25">
        <f>IFERROR(T_reg.root.SK[[#This Row],[Price]]/T_reg.root.SK[[#This Row],[Starch content]],"")</f>
        <v>9.3645484949832767</v>
      </c>
    </row>
    <row r="7168" spans="1:14">
      <c r="A7168" s="21">
        <v>2026</v>
      </c>
      <c r="B7168" s="21" t="s">
        <v>17</v>
      </c>
      <c r="C7168" s="21" t="s">
        <v>1145</v>
      </c>
      <c r="D7168" s="21" t="s">
        <v>35</v>
      </c>
      <c r="E7168" s="17" t="s">
        <v>147</v>
      </c>
      <c r="F7168" s="17" t="s">
        <v>105</v>
      </c>
      <c r="G7168" s="18" t="s">
        <v>48</v>
      </c>
      <c r="H7168" s="24">
        <v>47790</v>
      </c>
      <c r="I7168" s="24">
        <f>T_reg.root.SK[[#This Row],[Volume, kg]]/1000</f>
        <v>47.79</v>
      </c>
      <c r="J7168" s="25">
        <v>0.307</v>
      </c>
      <c r="K7168" s="25">
        <f t="shared" si="113"/>
        <v>14671.53</v>
      </c>
      <c r="L7168" s="25">
        <v>2.83</v>
      </c>
      <c r="M7168" s="24">
        <v>135435</v>
      </c>
      <c r="N7168" s="25">
        <f>IFERROR(T_reg.root.SK[[#This Row],[Price]]/T_reg.root.SK[[#This Row],[Starch content]],"")</f>
        <v>9.2182410423452765</v>
      </c>
    </row>
    <row r="7169" spans="1:14">
      <c r="A7169" s="21">
        <v>2026</v>
      </c>
      <c r="B7169" s="21" t="s">
        <v>17</v>
      </c>
      <c r="C7169" s="21" t="s">
        <v>1145</v>
      </c>
      <c r="D7169" s="21" t="s">
        <v>35</v>
      </c>
      <c r="E7169" s="17" t="s">
        <v>1005</v>
      </c>
      <c r="F7169" s="17" t="s">
        <v>105</v>
      </c>
      <c r="G7169" s="18" t="s">
        <v>48</v>
      </c>
      <c r="H7169" s="24">
        <v>12590</v>
      </c>
      <c r="I7169" s="24">
        <f>T_reg.root.SK[[#This Row],[Volume, kg]]/1000</f>
        <v>12.59</v>
      </c>
      <c r="J7169" s="25">
        <v>0.25019999999999998</v>
      </c>
      <c r="K7169" s="25">
        <f t="shared" si="113"/>
        <v>3150.0179999999996</v>
      </c>
      <c r="L7169" s="25">
        <v>2.5499999999999998</v>
      </c>
      <c r="M7169" s="24">
        <v>32142</v>
      </c>
      <c r="N7169" s="25">
        <f>IFERROR(T_reg.root.SK[[#This Row],[Price]]/T_reg.root.SK[[#This Row],[Starch content]],"")</f>
        <v>10.191846522781775</v>
      </c>
    </row>
    <row r="7170" spans="1:14">
      <c r="A7170" s="21">
        <v>2026</v>
      </c>
      <c r="B7170" s="21" t="s">
        <v>17</v>
      </c>
      <c r="C7170" s="21" t="s">
        <v>1145</v>
      </c>
      <c r="D7170" s="21" t="s">
        <v>35</v>
      </c>
      <c r="E7170" s="17" t="s">
        <v>148</v>
      </c>
      <c r="F7170" s="17" t="s">
        <v>105</v>
      </c>
      <c r="G7170" s="18" t="s">
        <v>48</v>
      </c>
      <c r="H7170" s="24">
        <v>10500</v>
      </c>
      <c r="I7170" s="24">
        <f>T_reg.root.SK[[#This Row],[Volume, kg]]/1000</f>
        <v>10.5</v>
      </c>
      <c r="J7170" s="25">
        <v>0.24679999999999999</v>
      </c>
      <c r="K7170" s="25">
        <f t="shared" si="113"/>
        <v>2591.4</v>
      </c>
      <c r="L7170" s="25">
        <v>2.54</v>
      </c>
      <c r="M7170" s="24">
        <v>26630.5</v>
      </c>
      <c r="N7170" s="25">
        <f>IFERROR(T_reg.root.SK[[#This Row],[Price]]/T_reg.root.SK[[#This Row],[Starch content]],"")</f>
        <v>10.291734197730957</v>
      </c>
    </row>
    <row r="7171" spans="1:14">
      <c r="A7171" s="21">
        <v>2026</v>
      </c>
      <c r="B7171" s="21" t="s">
        <v>17</v>
      </c>
      <c r="C7171" s="21" t="s">
        <v>1145</v>
      </c>
      <c r="D7171" s="21" t="s">
        <v>35</v>
      </c>
      <c r="E7171" s="17" t="s">
        <v>604</v>
      </c>
      <c r="F7171" s="17" t="s">
        <v>105</v>
      </c>
      <c r="G7171" s="18" t="s">
        <v>48</v>
      </c>
      <c r="H7171" s="24">
        <v>13670</v>
      </c>
      <c r="I7171" s="24">
        <f>T_reg.root.SK[[#This Row],[Volume, kg]]/1000</f>
        <v>13.67</v>
      </c>
      <c r="J7171" s="25">
        <v>0.29320000000000002</v>
      </c>
      <c r="K7171" s="25">
        <f t="shared" si="113"/>
        <v>4008.0440000000003</v>
      </c>
      <c r="L7171" s="25">
        <v>2.76</v>
      </c>
      <c r="M7171" s="24">
        <v>37766</v>
      </c>
      <c r="N7171" s="25">
        <f>IFERROR(T_reg.root.SK[[#This Row],[Price]]/T_reg.root.SK[[#This Row],[Starch content]],"")</f>
        <v>9.4133697135061372</v>
      </c>
    </row>
    <row r="7172" spans="1:14">
      <c r="A7172" s="21">
        <v>2026</v>
      </c>
      <c r="B7172" s="21" t="s">
        <v>17</v>
      </c>
      <c r="C7172" s="21" t="s">
        <v>1145</v>
      </c>
      <c r="D7172" s="21" t="s">
        <v>35</v>
      </c>
      <c r="E7172" s="17" t="s">
        <v>149</v>
      </c>
      <c r="F7172" s="17" t="s">
        <v>105</v>
      </c>
      <c r="G7172" s="18" t="s">
        <v>48</v>
      </c>
      <c r="H7172" s="24">
        <v>61560</v>
      </c>
      <c r="I7172" s="24">
        <f>T_reg.root.SK[[#This Row],[Volume, kg]]/1000</f>
        <v>61.56</v>
      </c>
      <c r="J7172" s="25">
        <v>0.2843</v>
      </c>
      <c r="K7172" s="25">
        <f t="shared" si="113"/>
        <v>17501.508000000002</v>
      </c>
      <c r="L7172" s="25">
        <v>2.72</v>
      </c>
      <c r="M7172" s="24">
        <v>167192.5</v>
      </c>
      <c r="N7172" s="25">
        <f>IFERROR(T_reg.root.SK[[#This Row],[Price]]/T_reg.root.SK[[#This Row],[Starch content]],"")</f>
        <v>9.5673584241997904</v>
      </c>
    </row>
    <row r="7173" spans="1:14">
      <c r="A7173" s="21">
        <v>2026</v>
      </c>
      <c r="B7173" s="21" t="s">
        <v>17</v>
      </c>
      <c r="C7173" s="21" t="s">
        <v>1145</v>
      </c>
      <c r="D7173" s="21" t="s">
        <v>35</v>
      </c>
      <c r="E7173" s="17" t="s">
        <v>314</v>
      </c>
      <c r="F7173" s="17" t="s">
        <v>105</v>
      </c>
      <c r="G7173" s="18" t="s">
        <v>48</v>
      </c>
      <c r="H7173" s="24">
        <v>120140</v>
      </c>
      <c r="I7173" s="24">
        <f>T_reg.root.SK[[#This Row],[Volume, kg]]/1000</f>
        <v>120.14</v>
      </c>
      <c r="J7173" s="25">
        <v>0.26450000000000001</v>
      </c>
      <c r="K7173" s="25">
        <f t="shared" si="113"/>
        <v>31777.030000000002</v>
      </c>
      <c r="L7173" s="25">
        <v>2.61</v>
      </c>
      <c r="M7173" s="24">
        <v>313729.5</v>
      </c>
      <c r="N7173" s="25">
        <f>IFERROR(T_reg.root.SK[[#This Row],[Price]]/T_reg.root.SK[[#This Row],[Starch content]],"")</f>
        <v>9.8676748582230616</v>
      </c>
    </row>
    <row r="7174" spans="1:14">
      <c r="A7174" s="21">
        <v>2026</v>
      </c>
      <c r="B7174" s="21" t="s">
        <v>17</v>
      </c>
      <c r="C7174" s="21" t="s">
        <v>1145</v>
      </c>
      <c r="D7174" s="21" t="s">
        <v>35</v>
      </c>
      <c r="E7174" s="17" t="s">
        <v>150</v>
      </c>
      <c r="F7174" s="17" t="s">
        <v>105</v>
      </c>
      <c r="G7174" s="18" t="s">
        <v>48</v>
      </c>
      <c r="H7174" s="24">
        <v>54770</v>
      </c>
      <c r="I7174" s="24">
        <f>T_reg.root.SK[[#This Row],[Volume, kg]]/1000</f>
        <v>54.77</v>
      </c>
      <c r="J7174" s="25">
        <v>0.26780000000000004</v>
      </c>
      <c r="K7174" s="25">
        <f t="shared" si="113"/>
        <v>14667.406000000003</v>
      </c>
      <c r="L7174" s="25">
        <v>2.63</v>
      </c>
      <c r="M7174" s="24">
        <v>144037.5</v>
      </c>
      <c r="N7174" s="25">
        <f>IFERROR(T_reg.root.SK[[#This Row],[Price]]/T_reg.root.SK[[#This Row],[Starch content]],"")</f>
        <v>9.8207617625093331</v>
      </c>
    </row>
    <row r="7175" spans="1:14">
      <c r="A7175" s="21">
        <v>2026</v>
      </c>
      <c r="B7175" s="21" t="s">
        <v>17</v>
      </c>
      <c r="C7175" s="21" t="s">
        <v>1145</v>
      </c>
      <c r="D7175" s="21" t="s">
        <v>35</v>
      </c>
      <c r="E7175" s="17" t="s">
        <v>151</v>
      </c>
      <c r="F7175" s="17" t="s">
        <v>105</v>
      </c>
      <c r="G7175" s="18" t="s">
        <v>48</v>
      </c>
      <c r="H7175" s="24">
        <v>41490</v>
      </c>
      <c r="I7175" s="24">
        <f>T_reg.root.SK[[#This Row],[Volume, kg]]/1000</f>
        <v>41.49</v>
      </c>
      <c r="J7175" s="25">
        <v>0.25459999999999999</v>
      </c>
      <c r="K7175" s="25">
        <f t="shared" si="113"/>
        <v>10563.353999999999</v>
      </c>
      <c r="L7175" s="25">
        <v>2.56</v>
      </c>
      <c r="M7175" s="24">
        <v>106225.5</v>
      </c>
      <c r="N7175" s="25">
        <f>IFERROR(T_reg.root.SK[[#This Row],[Price]]/T_reg.root.SK[[#This Row],[Starch content]],"")</f>
        <v>10.054988216810685</v>
      </c>
    </row>
    <row r="7176" spans="1:14">
      <c r="A7176" s="21">
        <v>2026</v>
      </c>
      <c r="B7176" s="21" t="s">
        <v>17</v>
      </c>
      <c r="C7176" s="21" t="s">
        <v>1145</v>
      </c>
      <c r="D7176" s="21" t="s">
        <v>35</v>
      </c>
      <c r="E7176" s="17" t="s">
        <v>365</v>
      </c>
      <c r="F7176" s="17" t="s">
        <v>105</v>
      </c>
      <c r="G7176" s="18" t="s">
        <v>48</v>
      </c>
      <c r="H7176" s="24">
        <v>4190</v>
      </c>
      <c r="I7176" s="24">
        <f>T_reg.root.SK[[#This Row],[Volume, kg]]/1000</f>
        <v>4.1900000000000004</v>
      </c>
      <c r="J7176" s="25">
        <v>0.26350000000000001</v>
      </c>
      <c r="K7176" s="25">
        <f t="shared" si="113"/>
        <v>1104.0650000000001</v>
      </c>
      <c r="L7176" s="25">
        <v>2.6</v>
      </c>
      <c r="M7176" s="24">
        <v>10894</v>
      </c>
      <c r="N7176" s="25">
        <f>IFERROR(T_reg.root.SK[[#This Row],[Price]]/T_reg.root.SK[[#This Row],[Starch content]],"")</f>
        <v>9.8671726755218216</v>
      </c>
    </row>
    <row r="7177" spans="1:14">
      <c r="A7177" s="21">
        <v>2026</v>
      </c>
      <c r="B7177" s="21" t="s">
        <v>17</v>
      </c>
      <c r="C7177" s="21" t="s">
        <v>1145</v>
      </c>
      <c r="D7177" s="21" t="s">
        <v>35</v>
      </c>
      <c r="E7177" s="17" t="s">
        <v>153</v>
      </c>
      <c r="F7177" s="17" t="s">
        <v>105</v>
      </c>
      <c r="G7177" s="18" t="s">
        <v>48</v>
      </c>
      <c r="H7177" s="24">
        <v>1930</v>
      </c>
      <c r="I7177" s="24">
        <f>T_reg.root.SK[[#This Row],[Volume, kg]]/1000</f>
        <v>1.93</v>
      </c>
      <c r="J7177" s="25">
        <v>0.25900000000000001</v>
      </c>
      <c r="K7177" s="25">
        <f t="shared" si="113"/>
        <v>499.87</v>
      </c>
      <c r="L7177" s="25">
        <v>2.6</v>
      </c>
      <c r="M7177" s="24">
        <v>5018</v>
      </c>
      <c r="N7177" s="25">
        <f>IFERROR(T_reg.root.SK[[#This Row],[Price]]/T_reg.root.SK[[#This Row],[Starch content]],"")</f>
        <v>10.038610038610038</v>
      </c>
    </row>
    <row r="7178" spans="1:14">
      <c r="A7178" s="21">
        <v>2026</v>
      </c>
      <c r="B7178" s="21" t="s">
        <v>17</v>
      </c>
      <c r="C7178" s="21" t="s">
        <v>1145</v>
      </c>
      <c r="D7178" s="21" t="s">
        <v>35</v>
      </c>
      <c r="E7178" s="17" t="s">
        <v>155</v>
      </c>
      <c r="F7178" s="17" t="s">
        <v>105</v>
      </c>
      <c r="G7178" s="18" t="s">
        <v>48</v>
      </c>
      <c r="H7178" s="24">
        <v>42210</v>
      </c>
      <c r="I7178" s="24">
        <f>T_reg.root.SK[[#This Row],[Volume, kg]]/1000</f>
        <v>42.21</v>
      </c>
      <c r="J7178" s="25">
        <v>0.28460000000000002</v>
      </c>
      <c r="K7178" s="25">
        <f t="shared" si="113"/>
        <v>12012.966</v>
      </c>
      <c r="L7178" s="25">
        <v>2.72</v>
      </c>
      <c r="M7178" s="24">
        <v>114853</v>
      </c>
      <c r="N7178" s="25">
        <f>IFERROR(T_reg.root.SK[[#This Row],[Price]]/T_reg.root.SK[[#This Row],[Starch content]],"")</f>
        <v>9.5572733661278981</v>
      </c>
    </row>
    <row r="7179" spans="1:14">
      <c r="A7179" s="21">
        <v>2026</v>
      </c>
      <c r="B7179" s="21" t="s">
        <v>17</v>
      </c>
      <c r="C7179" s="21" t="s">
        <v>1145</v>
      </c>
      <c r="D7179" s="21" t="s">
        <v>39</v>
      </c>
      <c r="E7179" s="17" t="s">
        <v>552</v>
      </c>
      <c r="F7179" s="17" t="s">
        <v>95</v>
      </c>
      <c r="G7179" s="18" t="s">
        <v>48</v>
      </c>
      <c r="H7179" s="24">
        <v>1828290</v>
      </c>
      <c r="I7179" s="24">
        <f>T_reg.root.SK[[#This Row],[Volume, kg]]/1000</f>
        <v>1828.29</v>
      </c>
      <c r="J7179" s="25">
        <v>0.29089999999999999</v>
      </c>
      <c r="K7179" s="25">
        <f t="shared" si="113"/>
        <v>531849.56099999999</v>
      </c>
      <c r="L7179" s="25">
        <v>2.97</v>
      </c>
      <c r="M7179" s="24">
        <v>5423712.5</v>
      </c>
      <c r="N7179" s="25">
        <f>IFERROR(T_reg.root.SK[[#This Row],[Price]]/T_reg.root.SK[[#This Row],[Starch content]],"")</f>
        <v>10.209694052939156</v>
      </c>
    </row>
    <row r="7180" spans="1:14">
      <c r="A7180" s="21">
        <v>2026</v>
      </c>
      <c r="B7180" s="21" t="s">
        <v>17</v>
      </c>
      <c r="C7180" s="21" t="s">
        <v>1145</v>
      </c>
      <c r="D7180" s="21" t="s">
        <v>35</v>
      </c>
      <c r="E7180" s="17" t="s">
        <v>382</v>
      </c>
      <c r="F7180" s="17" t="s">
        <v>47</v>
      </c>
      <c r="G7180" s="18" t="s">
        <v>48</v>
      </c>
      <c r="H7180" s="24">
        <v>4060</v>
      </c>
      <c r="I7180" s="24">
        <f>T_reg.root.SK[[#This Row],[Volume, kg]]/1000</f>
        <v>4.0599999999999996</v>
      </c>
      <c r="J7180" s="25">
        <v>0.31900000000000001</v>
      </c>
      <c r="K7180" s="25">
        <f t="shared" si="113"/>
        <v>1295.1400000000001</v>
      </c>
      <c r="L7180" s="25">
        <v>2.9</v>
      </c>
      <c r="M7180" s="24">
        <v>11774</v>
      </c>
      <c r="N7180" s="25">
        <f>IFERROR(T_reg.root.SK[[#This Row],[Price]]/T_reg.root.SK[[#This Row],[Starch content]],"")</f>
        <v>9.0909090909090899</v>
      </c>
    </row>
    <row r="7181" spans="1:14">
      <c r="A7181" s="21">
        <v>2026</v>
      </c>
      <c r="B7181" s="21" t="s">
        <v>17</v>
      </c>
      <c r="C7181" s="21" t="s">
        <v>1145</v>
      </c>
      <c r="D7181" s="21" t="s">
        <v>35</v>
      </c>
      <c r="E7181" s="17" t="s">
        <v>210</v>
      </c>
      <c r="F7181" s="17" t="s">
        <v>187</v>
      </c>
      <c r="G7181" s="18" t="s">
        <v>48</v>
      </c>
      <c r="H7181" s="24">
        <v>7560</v>
      </c>
      <c r="I7181" s="24">
        <f>T_reg.root.SK[[#This Row],[Volume, kg]]/1000</f>
        <v>7.56</v>
      </c>
      <c r="J7181" s="25">
        <v>0.27949999999999997</v>
      </c>
      <c r="K7181" s="25">
        <f t="shared" si="113"/>
        <v>2113.02</v>
      </c>
      <c r="L7181" s="25">
        <v>2.7</v>
      </c>
      <c r="M7181" s="24">
        <v>20412</v>
      </c>
      <c r="N7181" s="25">
        <f>IFERROR(T_reg.root.SK[[#This Row],[Price]]/T_reg.root.SK[[#This Row],[Starch content]],"")</f>
        <v>9.6601073345259412</v>
      </c>
    </row>
    <row r="7182" spans="1:14">
      <c r="A7182" s="21">
        <v>2026</v>
      </c>
      <c r="B7182" s="21" t="s">
        <v>17</v>
      </c>
      <c r="C7182" s="21" t="s">
        <v>1145</v>
      </c>
      <c r="D7182" s="21" t="s">
        <v>35</v>
      </c>
      <c r="E7182" s="17" t="s">
        <v>934</v>
      </c>
      <c r="F7182" s="17" t="s">
        <v>105</v>
      </c>
      <c r="G7182" s="18" t="s">
        <v>48</v>
      </c>
      <c r="H7182" s="24">
        <v>25750</v>
      </c>
      <c r="I7182" s="24">
        <f>T_reg.root.SK[[#This Row],[Volume, kg]]/1000</f>
        <v>25.75</v>
      </c>
      <c r="J7182" s="25">
        <v>0.27660000000000001</v>
      </c>
      <c r="K7182" s="25">
        <f t="shared" si="113"/>
        <v>7122.4500000000007</v>
      </c>
      <c r="L7182" s="25">
        <v>2.64</v>
      </c>
      <c r="M7182" s="24">
        <v>67892.5</v>
      </c>
      <c r="N7182" s="25">
        <f>IFERROR(T_reg.root.SK[[#This Row],[Price]]/T_reg.root.SK[[#This Row],[Starch content]],"")</f>
        <v>9.5444685466377432</v>
      </c>
    </row>
    <row r="7183" spans="1:14">
      <c r="A7183" s="21">
        <v>2026</v>
      </c>
      <c r="B7183" s="21" t="s">
        <v>17</v>
      </c>
      <c r="C7183" s="21" t="s">
        <v>1145</v>
      </c>
      <c r="D7183" s="21" t="s">
        <v>35</v>
      </c>
      <c r="E7183" s="17" t="s">
        <v>159</v>
      </c>
      <c r="F7183" s="17" t="s">
        <v>105</v>
      </c>
      <c r="G7183" s="18" t="s">
        <v>48</v>
      </c>
      <c r="H7183" s="24">
        <v>9830</v>
      </c>
      <c r="I7183" s="24">
        <f>T_reg.root.SK[[#This Row],[Volume, kg]]/1000</f>
        <v>9.83</v>
      </c>
      <c r="J7183" s="25">
        <v>0.27649999999999997</v>
      </c>
      <c r="K7183" s="25">
        <f t="shared" si="113"/>
        <v>2717.9949999999999</v>
      </c>
      <c r="L7183" s="25">
        <v>2.7</v>
      </c>
      <c r="M7183" s="24">
        <v>26541</v>
      </c>
      <c r="N7183" s="25">
        <f>IFERROR(T_reg.root.SK[[#This Row],[Price]]/T_reg.root.SK[[#This Row],[Starch content]],"")</f>
        <v>9.7649186256781206</v>
      </c>
    </row>
    <row r="7184" spans="1:14">
      <c r="A7184" s="21">
        <v>2026</v>
      </c>
      <c r="B7184" s="21" t="s">
        <v>17</v>
      </c>
      <c r="C7184" s="21" t="s">
        <v>1145</v>
      </c>
      <c r="D7184" s="21" t="s">
        <v>35</v>
      </c>
      <c r="E7184" s="17" t="s">
        <v>75</v>
      </c>
      <c r="F7184" s="17" t="s">
        <v>47</v>
      </c>
      <c r="G7184" s="18" t="s">
        <v>48</v>
      </c>
      <c r="H7184" s="24">
        <v>17990</v>
      </c>
      <c r="I7184" s="24">
        <f>T_reg.root.SK[[#This Row],[Volume, kg]]/1000</f>
        <v>17.989999999999998</v>
      </c>
      <c r="J7184" s="25">
        <v>0.24359999999999998</v>
      </c>
      <c r="K7184" s="25">
        <f t="shared" si="113"/>
        <v>4382.3639999999996</v>
      </c>
      <c r="L7184" s="25">
        <v>2.5</v>
      </c>
      <c r="M7184" s="24">
        <v>45008</v>
      </c>
      <c r="N7184" s="25">
        <f>IFERROR(T_reg.root.SK[[#This Row],[Price]]/T_reg.root.SK[[#This Row],[Starch content]],"")</f>
        <v>10.262725779967161</v>
      </c>
    </row>
    <row r="7185" spans="1:14">
      <c r="A7185" s="21">
        <v>2026</v>
      </c>
      <c r="B7185" s="21" t="s">
        <v>17</v>
      </c>
      <c r="C7185" s="21" t="s">
        <v>1145</v>
      </c>
      <c r="D7185" s="21" t="s">
        <v>35</v>
      </c>
      <c r="E7185" s="17" t="s">
        <v>211</v>
      </c>
      <c r="F7185" s="17" t="s">
        <v>187</v>
      </c>
      <c r="G7185" s="18" t="s">
        <v>48</v>
      </c>
      <c r="H7185" s="24">
        <v>191550</v>
      </c>
      <c r="I7185" s="24">
        <f>T_reg.root.SK[[#This Row],[Volume, kg]]/1000</f>
        <v>191.55</v>
      </c>
      <c r="J7185" s="25">
        <v>0.2752</v>
      </c>
      <c r="K7185" s="25">
        <f t="shared" si="113"/>
        <v>52714.559999999998</v>
      </c>
      <c r="L7185" s="25">
        <v>2.68</v>
      </c>
      <c r="M7185" s="24">
        <v>513669</v>
      </c>
      <c r="N7185" s="25">
        <f>IFERROR(T_reg.root.SK[[#This Row],[Price]]/T_reg.root.SK[[#This Row],[Starch content]],"")</f>
        <v>9.7383720930232567</v>
      </c>
    </row>
    <row r="7186" spans="1:14">
      <c r="A7186" s="21">
        <v>2026</v>
      </c>
      <c r="B7186" s="21" t="s">
        <v>17</v>
      </c>
      <c r="C7186" s="21" t="s">
        <v>1145</v>
      </c>
      <c r="D7186" s="21" t="s">
        <v>35</v>
      </c>
      <c r="E7186" s="17" t="s">
        <v>161</v>
      </c>
      <c r="F7186" s="17" t="s">
        <v>105</v>
      </c>
      <c r="G7186" s="18" t="s">
        <v>48</v>
      </c>
      <c r="H7186" s="24">
        <v>88280</v>
      </c>
      <c r="I7186" s="24">
        <f>T_reg.root.SK[[#This Row],[Volume, kg]]/1000</f>
        <v>88.28</v>
      </c>
      <c r="J7186" s="25">
        <v>0.2707</v>
      </c>
      <c r="K7186" s="25">
        <f t="shared" si="113"/>
        <v>23897.396000000001</v>
      </c>
      <c r="L7186" s="25">
        <v>2.66</v>
      </c>
      <c r="M7186" s="24">
        <v>234460.5</v>
      </c>
      <c r="N7186" s="25">
        <f>IFERROR(T_reg.root.SK[[#This Row],[Price]]/T_reg.root.SK[[#This Row],[Starch content]],"")</f>
        <v>9.826376062061323</v>
      </c>
    </row>
    <row r="7187" spans="1:14">
      <c r="A7187" s="21">
        <v>2026</v>
      </c>
      <c r="B7187" s="21" t="s">
        <v>17</v>
      </c>
      <c r="C7187" s="21" t="s">
        <v>1145</v>
      </c>
      <c r="D7187" s="21" t="s">
        <v>35</v>
      </c>
      <c r="E7187" s="17" t="s">
        <v>165</v>
      </c>
      <c r="F7187" s="17" t="s">
        <v>105</v>
      </c>
      <c r="G7187" s="18" t="s">
        <v>48</v>
      </c>
      <c r="H7187" s="24">
        <v>93840</v>
      </c>
      <c r="I7187" s="24">
        <f>T_reg.root.SK[[#This Row],[Volume, kg]]/1000</f>
        <v>93.84</v>
      </c>
      <c r="J7187" s="25">
        <v>0.27329999999999999</v>
      </c>
      <c r="K7187" s="25">
        <f t="shared" si="113"/>
        <v>25646.471999999998</v>
      </c>
      <c r="L7187" s="25">
        <v>2.66</v>
      </c>
      <c r="M7187" s="24">
        <v>249946</v>
      </c>
      <c r="N7187" s="25">
        <f>IFERROR(T_reg.root.SK[[#This Row],[Price]]/T_reg.root.SK[[#This Row],[Starch content]],"")</f>
        <v>9.7328942553970013</v>
      </c>
    </row>
    <row r="7188" spans="1:14">
      <c r="A7188" s="21">
        <v>2026</v>
      </c>
      <c r="B7188" s="21" t="s">
        <v>17</v>
      </c>
      <c r="C7188" s="21" t="s">
        <v>1145</v>
      </c>
      <c r="D7188" s="21" t="s">
        <v>35</v>
      </c>
      <c r="E7188" s="17" t="s">
        <v>1052</v>
      </c>
      <c r="F7188" s="17" t="s">
        <v>105</v>
      </c>
      <c r="G7188" s="18" t="s">
        <v>48</v>
      </c>
      <c r="H7188" s="24">
        <v>2400</v>
      </c>
      <c r="I7188" s="24">
        <f>T_reg.root.SK[[#This Row],[Volume, kg]]/1000</f>
        <v>2.4</v>
      </c>
      <c r="J7188" s="25">
        <v>0.2165</v>
      </c>
      <c r="K7188" s="25">
        <f t="shared" si="113"/>
        <v>519.6</v>
      </c>
      <c r="L7188" s="25">
        <v>2.4</v>
      </c>
      <c r="M7188" s="24">
        <v>5760</v>
      </c>
      <c r="N7188" s="25">
        <f>IFERROR(T_reg.root.SK[[#This Row],[Price]]/T_reg.root.SK[[#This Row],[Starch content]],"")</f>
        <v>11.085450346420323</v>
      </c>
    </row>
    <row r="7189" spans="1:14">
      <c r="A7189" s="21">
        <v>2026</v>
      </c>
      <c r="B7189" s="21" t="s">
        <v>17</v>
      </c>
      <c r="C7189" s="21" t="s">
        <v>1145</v>
      </c>
      <c r="D7189" s="21" t="s">
        <v>35</v>
      </c>
      <c r="E7189" s="17" t="s">
        <v>167</v>
      </c>
      <c r="F7189" s="17" t="s">
        <v>105</v>
      </c>
      <c r="G7189" s="18" t="s">
        <v>48</v>
      </c>
      <c r="H7189" s="24">
        <v>33810</v>
      </c>
      <c r="I7189" s="24">
        <f>T_reg.root.SK[[#This Row],[Volume, kg]]/1000</f>
        <v>33.81</v>
      </c>
      <c r="J7189" s="25">
        <v>0.26690000000000003</v>
      </c>
      <c r="K7189" s="25">
        <f t="shared" si="113"/>
        <v>9023.889000000001</v>
      </c>
      <c r="L7189" s="25">
        <v>2.64</v>
      </c>
      <c r="M7189" s="24">
        <v>89172.5</v>
      </c>
      <c r="N7189" s="25">
        <f>IFERROR(T_reg.root.SK[[#This Row],[Price]]/T_reg.root.SK[[#This Row],[Starch content]],"")</f>
        <v>9.8913450730610712</v>
      </c>
    </row>
    <row r="7190" spans="1:14">
      <c r="A7190" s="21">
        <v>2026</v>
      </c>
      <c r="B7190" s="21" t="s">
        <v>17</v>
      </c>
      <c r="C7190" s="21" t="s">
        <v>1145</v>
      </c>
      <c r="D7190" s="21" t="s">
        <v>35</v>
      </c>
      <c r="E7190" s="17" t="s">
        <v>256</v>
      </c>
      <c r="F7190" s="17" t="s">
        <v>105</v>
      </c>
      <c r="G7190" s="18" t="s">
        <v>48</v>
      </c>
      <c r="H7190" s="24">
        <v>13880</v>
      </c>
      <c r="I7190" s="24">
        <f>T_reg.root.SK[[#This Row],[Volume, kg]]/1000</f>
        <v>13.88</v>
      </c>
      <c r="J7190" s="25">
        <v>0.19359999999999999</v>
      </c>
      <c r="K7190" s="25">
        <f t="shared" si="113"/>
        <v>2687.1680000000001</v>
      </c>
      <c r="L7190" s="25">
        <v>2.23</v>
      </c>
      <c r="M7190" s="24">
        <v>30935.5</v>
      </c>
      <c r="N7190" s="25">
        <f>IFERROR(T_reg.root.SK[[#This Row],[Price]]/T_reg.root.SK[[#This Row],[Starch content]],"")</f>
        <v>11.518595041322314</v>
      </c>
    </row>
    <row r="7191" spans="1:14">
      <c r="A7191" s="21">
        <v>2026</v>
      </c>
      <c r="B7191" s="21" t="s">
        <v>17</v>
      </c>
      <c r="C7191" s="21" t="s">
        <v>1145</v>
      </c>
      <c r="D7191" s="21" t="s">
        <v>35</v>
      </c>
      <c r="E7191" s="17" t="s">
        <v>214</v>
      </c>
      <c r="F7191" s="17" t="s">
        <v>187</v>
      </c>
      <c r="G7191" s="18" t="s">
        <v>48</v>
      </c>
      <c r="H7191" s="24">
        <v>15830</v>
      </c>
      <c r="I7191" s="24">
        <f>T_reg.root.SK[[#This Row],[Volume, kg]]/1000</f>
        <v>15.83</v>
      </c>
      <c r="J7191" s="25">
        <v>0.31109999999999999</v>
      </c>
      <c r="K7191" s="25">
        <f t="shared" si="113"/>
        <v>4924.7129999999997</v>
      </c>
      <c r="L7191" s="25">
        <v>2.85</v>
      </c>
      <c r="M7191" s="24">
        <v>45152</v>
      </c>
      <c r="N7191" s="25">
        <f>IFERROR(T_reg.root.SK[[#This Row],[Price]]/T_reg.root.SK[[#This Row],[Starch content]],"")</f>
        <v>9.161041465766635</v>
      </c>
    </row>
    <row r="7192" spans="1:14">
      <c r="A7192" s="21">
        <v>2026</v>
      </c>
      <c r="B7192" s="21" t="s">
        <v>17</v>
      </c>
      <c r="C7192" s="21" t="s">
        <v>1145</v>
      </c>
      <c r="D7192" s="21" t="s">
        <v>35</v>
      </c>
      <c r="E7192" s="17" t="s">
        <v>173</v>
      </c>
      <c r="F7192" s="17" t="s">
        <v>105</v>
      </c>
      <c r="G7192" s="18" t="s">
        <v>48</v>
      </c>
      <c r="H7192" s="24">
        <v>3940</v>
      </c>
      <c r="I7192" s="24">
        <f>T_reg.root.SK[[#This Row],[Volume, kg]]/1000</f>
        <v>3.94</v>
      </c>
      <c r="J7192" s="25">
        <v>0.24100000000000002</v>
      </c>
      <c r="K7192" s="25">
        <f t="shared" si="113"/>
        <v>949.54000000000008</v>
      </c>
      <c r="L7192" s="25">
        <v>2.5</v>
      </c>
      <c r="M7192" s="24">
        <v>9850</v>
      </c>
      <c r="N7192" s="25">
        <f>IFERROR(T_reg.root.SK[[#This Row],[Price]]/T_reg.root.SK[[#This Row],[Starch content]],"")</f>
        <v>10.373443983402488</v>
      </c>
    </row>
    <row r="7193" spans="1:14">
      <c r="A7193" s="21">
        <v>2026</v>
      </c>
      <c r="B7193" s="21" t="s">
        <v>17</v>
      </c>
      <c r="C7193" s="21" t="s">
        <v>1145</v>
      </c>
      <c r="D7193" s="21" t="s">
        <v>35</v>
      </c>
      <c r="E7193" s="17" t="s">
        <v>691</v>
      </c>
      <c r="F7193" s="17" t="s">
        <v>187</v>
      </c>
      <c r="G7193" s="18" t="s">
        <v>48</v>
      </c>
      <c r="H7193" s="24">
        <v>20380</v>
      </c>
      <c r="I7193" s="24">
        <f>T_reg.root.SK[[#This Row],[Volume, kg]]/1000</f>
        <v>20.38</v>
      </c>
      <c r="J7193" s="25">
        <v>0.2616</v>
      </c>
      <c r="K7193" s="25">
        <f t="shared" si="113"/>
        <v>5331.4080000000004</v>
      </c>
      <c r="L7193" s="25">
        <v>2.61</v>
      </c>
      <c r="M7193" s="24">
        <v>53221</v>
      </c>
      <c r="N7193" s="25">
        <f>IFERROR(T_reg.root.SK[[#This Row],[Price]]/T_reg.root.SK[[#This Row],[Starch content]],"")</f>
        <v>9.977064220183486</v>
      </c>
    </row>
    <row r="7194" spans="1:14">
      <c r="A7194" s="21">
        <v>2026</v>
      </c>
      <c r="B7194" s="21" t="s">
        <v>17</v>
      </c>
      <c r="C7194" s="21" t="s">
        <v>1145</v>
      </c>
      <c r="D7194" s="21" t="s">
        <v>35</v>
      </c>
      <c r="E7194" s="17" t="s">
        <v>968</v>
      </c>
      <c r="F7194" s="17" t="s">
        <v>105</v>
      </c>
      <c r="G7194" s="18" t="s">
        <v>48</v>
      </c>
      <c r="H7194" s="24">
        <v>39870</v>
      </c>
      <c r="I7194" s="24">
        <f>T_reg.root.SK[[#This Row],[Volume, kg]]/1000</f>
        <v>39.869999999999997</v>
      </c>
      <c r="J7194" s="25">
        <v>0.27810000000000001</v>
      </c>
      <c r="K7194" s="25">
        <f t="shared" si="113"/>
        <v>11087.847</v>
      </c>
      <c r="L7194" s="25">
        <v>2.69</v>
      </c>
      <c r="M7194" s="24">
        <v>107147.5</v>
      </c>
      <c r="N7194" s="25">
        <f>IFERROR(T_reg.root.SK[[#This Row],[Price]]/T_reg.root.SK[[#This Row],[Starch content]],"")</f>
        <v>9.6727795756921964</v>
      </c>
    </row>
    <row r="7195" spans="1:14">
      <c r="A7195" s="21">
        <v>2026</v>
      </c>
      <c r="B7195" s="21" t="s">
        <v>17</v>
      </c>
      <c r="C7195" s="21" t="s">
        <v>1145</v>
      </c>
      <c r="D7195" s="21" t="s">
        <v>35</v>
      </c>
      <c r="E7195" s="17" t="s">
        <v>980</v>
      </c>
      <c r="F7195" s="17" t="s">
        <v>105</v>
      </c>
      <c r="G7195" s="18" t="s">
        <v>48</v>
      </c>
      <c r="H7195" s="24">
        <v>81820</v>
      </c>
      <c r="I7195" s="24">
        <f>T_reg.root.SK[[#This Row],[Volume, kg]]/1000</f>
        <v>81.819999999999993</v>
      </c>
      <c r="J7195" s="25">
        <v>0.29210000000000003</v>
      </c>
      <c r="K7195" s="25">
        <f t="shared" si="113"/>
        <v>23899.622000000003</v>
      </c>
      <c r="L7195" s="25">
        <v>2.76</v>
      </c>
      <c r="M7195" s="24">
        <v>225643.5</v>
      </c>
      <c r="N7195" s="25">
        <f>IFERROR(T_reg.root.SK[[#This Row],[Price]]/T_reg.root.SK[[#This Row],[Starch content]],"")</f>
        <v>9.4488188976377945</v>
      </c>
    </row>
    <row r="7196" spans="1:14">
      <c r="A7196" s="21">
        <v>2026</v>
      </c>
      <c r="B7196" s="21" t="s">
        <v>17</v>
      </c>
      <c r="C7196" s="21" t="s">
        <v>1145</v>
      </c>
      <c r="D7196" s="21" t="s">
        <v>35</v>
      </c>
      <c r="E7196" s="17" t="s">
        <v>981</v>
      </c>
      <c r="F7196" s="17" t="s">
        <v>105</v>
      </c>
      <c r="G7196" s="18" t="s">
        <v>48</v>
      </c>
      <c r="H7196" s="24">
        <v>19960</v>
      </c>
      <c r="I7196" s="24">
        <f>T_reg.root.SK[[#This Row],[Volume, kg]]/1000</f>
        <v>19.96</v>
      </c>
      <c r="J7196" s="25">
        <v>0.2379</v>
      </c>
      <c r="K7196" s="25">
        <f t="shared" si="113"/>
        <v>4748.4840000000004</v>
      </c>
      <c r="L7196" s="25">
        <v>2.44</v>
      </c>
      <c r="M7196" s="24">
        <v>48741</v>
      </c>
      <c r="N7196" s="25">
        <f>IFERROR(T_reg.root.SK[[#This Row],[Price]]/T_reg.root.SK[[#This Row],[Starch content]],"")</f>
        <v>10.256410256410255</v>
      </c>
    </row>
    <row r="7197" spans="1:14">
      <c r="A7197" s="21">
        <v>2026</v>
      </c>
      <c r="B7197" s="21" t="s">
        <v>17</v>
      </c>
      <c r="C7197" s="21" t="s">
        <v>1145</v>
      </c>
      <c r="D7197" s="21" t="s">
        <v>35</v>
      </c>
      <c r="E7197" s="17" t="s">
        <v>994</v>
      </c>
      <c r="F7197" s="17" t="s">
        <v>105</v>
      </c>
      <c r="G7197" s="18" t="s">
        <v>48</v>
      </c>
      <c r="H7197" s="24">
        <v>29760</v>
      </c>
      <c r="I7197" s="24">
        <f>T_reg.root.SK[[#This Row],[Volume, kg]]/1000</f>
        <v>29.76</v>
      </c>
      <c r="J7197" s="25">
        <v>0.26950000000000002</v>
      </c>
      <c r="K7197" s="25">
        <f t="shared" si="113"/>
        <v>8020.3200000000006</v>
      </c>
      <c r="L7197" s="25">
        <v>2.65</v>
      </c>
      <c r="M7197" s="24">
        <v>78787</v>
      </c>
      <c r="N7197" s="25">
        <f>IFERROR(T_reg.root.SK[[#This Row],[Price]]/T_reg.root.SK[[#This Row],[Starch content]],"")</f>
        <v>9.833024118738404</v>
      </c>
    </row>
    <row r="7198" spans="1:14">
      <c r="A7198" s="21">
        <v>2026</v>
      </c>
      <c r="B7198" s="21" t="s">
        <v>17</v>
      </c>
      <c r="C7198" s="21" t="s">
        <v>1145</v>
      </c>
      <c r="D7198" s="21" t="s">
        <v>35</v>
      </c>
      <c r="E7198" s="17" t="s">
        <v>1027</v>
      </c>
      <c r="F7198" s="17" t="s">
        <v>187</v>
      </c>
      <c r="G7198" s="18" t="s">
        <v>48</v>
      </c>
      <c r="H7198" s="24">
        <v>59150</v>
      </c>
      <c r="I7198" s="24">
        <f>T_reg.root.SK[[#This Row],[Volume, kg]]/1000</f>
        <v>59.15</v>
      </c>
      <c r="J7198" s="25">
        <v>0.30930000000000002</v>
      </c>
      <c r="K7198" s="25">
        <f t="shared" si="113"/>
        <v>18295.095000000001</v>
      </c>
      <c r="L7198" s="25">
        <v>2.85</v>
      </c>
      <c r="M7198" s="24">
        <v>168853</v>
      </c>
      <c r="N7198" s="25">
        <f>IFERROR(T_reg.root.SK[[#This Row],[Price]]/T_reg.root.SK[[#This Row],[Starch content]],"")</f>
        <v>9.2143549951503392</v>
      </c>
    </row>
    <row r="7199" spans="1:14">
      <c r="A7199" s="21">
        <v>2026</v>
      </c>
      <c r="B7199" s="21" t="s">
        <v>17</v>
      </c>
      <c r="C7199" s="21" t="s">
        <v>1145</v>
      </c>
      <c r="D7199" s="21" t="s">
        <v>35</v>
      </c>
      <c r="E7199" s="17" t="s">
        <v>1111</v>
      </c>
      <c r="F7199" s="17" t="s">
        <v>105</v>
      </c>
      <c r="G7199" s="18" t="s">
        <v>48</v>
      </c>
      <c r="H7199" s="24">
        <v>32380</v>
      </c>
      <c r="I7199" s="24">
        <f>T_reg.root.SK[[#This Row],[Volume, kg]]/1000</f>
        <v>32.380000000000003</v>
      </c>
      <c r="J7199" s="25">
        <v>0.26789999999999997</v>
      </c>
      <c r="K7199" s="25">
        <f t="shared" si="113"/>
        <v>8674.601999999999</v>
      </c>
      <c r="L7199" s="25">
        <v>2.61</v>
      </c>
      <c r="M7199" s="24">
        <v>84417.5</v>
      </c>
      <c r="N7199" s="25">
        <f>IFERROR(T_reg.root.SK[[#This Row],[Price]]/T_reg.root.SK[[#This Row],[Starch content]],"")</f>
        <v>9.7424412094064952</v>
      </c>
    </row>
    <row r="7200" spans="1:14">
      <c r="A7200" s="21">
        <v>2026</v>
      </c>
      <c r="B7200" s="21" t="s">
        <v>17</v>
      </c>
      <c r="C7200" s="21" t="s">
        <v>1145</v>
      </c>
      <c r="D7200" s="21" t="s">
        <v>35</v>
      </c>
      <c r="E7200" s="17" t="s">
        <v>1100</v>
      </c>
      <c r="F7200" s="17" t="s">
        <v>105</v>
      </c>
      <c r="G7200" s="18" t="s">
        <v>48</v>
      </c>
      <c r="H7200" s="24">
        <v>36830</v>
      </c>
      <c r="I7200" s="24">
        <f>T_reg.root.SK[[#This Row],[Volume, kg]]/1000</f>
        <v>36.83</v>
      </c>
      <c r="J7200" s="25">
        <v>0.2732</v>
      </c>
      <c r="K7200" s="25">
        <f t="shared" si="113"/>
        <v>10061.956</v>
      </c>
      <c r="L7200" s="25">
        <v>2.67</v>
      </c>
      <c r="M7200" s="24">
        <v>98182.5</v>
      </c>
      <c r="N7200" s="25">
        <f>IFERROR(T_reg.root.SK[[#This Row],[Price]]/T_reg.root.SK[[#This Row],[Starch content]],"")</f>
        <v>9.7730600292825773</v>
      </c>
    </row>
    <row r="7201" spans="1:14">
      <c r="A7201" s="21">
        <v>2026</v>
      </c>
      <c r="B7201" s="21" t="s">
        <v>17</v>
      </c>
      <c r="C7201" s="21" t="s">
        <v>1145</v>
      </c>
      <c r="D7201" s="21" t="s">
        <v>39</v>
      </c>
      <c r="E7201" s="17" t="s">
        <v>1109</v>
      </c>
      <c r="F7201" s="17" t="s">
        <v>1110</v>
      </c>
      <c r="G7201" s="18" t="s">
        <v>48</v>
      </c>
      <c r="H7201" s="24">
        <v>538440</v>
      </c>
      <c r="I7201" s="24">
        <f>T_reg.root.SK[[#This Row],[Volume, kg]]/1000</f>
        <v>538.44000000000005</v>
      </c>
      <c r="J7201" s="25">
        <v>0.28970000000000001</v>
      </c>
      <c r="K7201" s="25">
        <f t="shared" si="113"/>
        <v>155986.068</v>
      </c>
      <c r="L7201" s="25">
        <v>2.91</v>
      </c>
      <c r="M7201" s="24">
        <v>1564356</v>
      </c>
      <c r="N7201" s="25">
        <f>IFERROR(T_reg.root.SK[[#This Row],[Price]]/T_reg.root.SK[[#This Row],[Starch content]],"")</f>
        <v>10.044874007594062</v>
      </c>
    </row>
    <row r="7202" spans="1:14">
      <c r="A7202" s="21">
        <v>2026</v>
      </c>
      <c r="B7202" s="21" t="s">
        <v>17</v>
      </c>
      <c r="C7202" s="21" t="s">
        <v>1145</v>
      </c>
      <c r="D7202" s="21" t="s">
        <v>35</v>
      </c>
      <c r="E7202" s="17" t="s">
        <v>215</v>
      </c>
      <c r="F7202" s="17" t="s">
        <v>187</v>
      </c>
      <c r="G7202" s="18" t="s">
        <v>48</v>
      </c>
      <c r="H7202" s="24">
        <v>18320</v>
      </c>
      <c r="I7202" s="24">
        <f>T_reg.root.SK[[#This Row],[Volume, kg]]/1000</f>
        <v>18.32</v>
      </c>
      <c r="J7202" s="25">
        <v>0.29370000000000002</v>
      </c>
      <c r="K7202" s="25">
        <f t="shared" si="113"/>
        <v>5380.5840000000007</v>
      </c>
      <c r="L7202" s="25">
        <v>2.77</v>
      </c>
      <c r="M7202" s="24">
        <v>50828</v>
      </c>
      <c r="N7202" s="25">
        <f>IFERROR(T_reg.root.SK[[#This Row],[Price]]/T_reg.root.SK[[#This Row],[Starch content]],"")</f>
        <v>9.4313925774599934</v>
      </c>
    </row>
    <row r="7203" spans="1:14">
      <c r="A7203" s="21">
        <v>2026</v>
      </c>
      <c r="B7203" s="21" t="s">
        <v>17</v>
      </c>
      <c r="C7203" s="21" t="s">
        <v>1145</v>
      </c>
      <c r="D7203" s="21" t="s">
        <v>35</v>
      </c>
      <c r="E7203" s="17" t="s">
        <v>507</v>
      </c>
      <c r="F7203" s="17" t="s">
        <v>105</v>
      </c>
      <c r="G7203" s="18" t="s">
        <v>48</v>
      </c>
      <c r="H7203" s="24">
        <v>59960</v>
      </c>
      <c r="I7203" s="24">
        <f>T_reg.root.SK[[#This Row],[Volume, kg]]/1000</f>
        <v>59.96</v>
      </c>
      <c r="J7203" s="25">
        <v>0.2359</v>
      </c>
      <c r="K7203" s="25">
        <f t="shared" si="113"/>
        <v>14144.564</v>
      </c>
      <c r="L7203" s="25">
        <v>2.4500000000000002</v>
      </c>
      <c r="M7203" s="24">
        <v>146775</v>
      </c>
      <c r="N7203" s="25">
        <f>IFERROR(T_reg.root.SK[[#This Row],[Price]]/T_reg.root.SK[[#This Row],[Starch content]],"")</f>
        <v>10.385756676557865</v>
      </c>
    </row>
    <row r="7204" spans="1:14">
      <c r="A7204" s="21">
        <v>2026</v>
      </c>
      <c r="B7204" s="21" t="s">
        <v>17</v>
      </c>
      <c r="C7204" s="21" t="s">
        <v>1145</v>
      </c>
      <c r="D7204" s="21" t="s">
        <v>35</v>
      </c>
      <c r="E7204" s="17" t="s">
        <v>174</v>
      </c>
      <c r="F7204" s="17" t="s">
        <v>105</v>
      </c>
      <c r="G7204" s="18" t="s">
        <v>48</v>
      </c>
      <c r="H7204" s="24">
        <v>27500</v>
      </c>
      <c r="I7204" s="24">
        <f>T_reg.root.SK[[#This Row],[Volume, kg]]/1000</f>
        <v>27.5</v>
      </c>
      <c r="J7204" s="25">
        <v>0.27710000000000001</v>
      </c>
      <c r="K7204" s="25">
        <f t="shared" si="113"/>
        <v>7620.25</v>
      </c>
      <c r="L7204" s="25">
        <v>2.68</v>
      </c>
      <c r="M7204" s="24">
        <v>73702.5</v>
      </c>
      <c r="N7204" s="25">
        <f>IFERROR(T_reg.root.SK[[#This Row],[Price]]/T_reg.root.SK[[#This Row],[Starch content]],"")</f>
        <v>9.6715987008300246</v>
      </c>
    </row>
    <row r="7205" spans="1:14">
      <c r="A7205" s="21">
        <v>2026</v>
      </c>
      <c r="B7205" s="21" t="s">
        <v>17</v>
      </c>
      <c r="C7205" s="21" t="s">
        <v>1145</v>
      </c>
      <c r="D7205" s="21" t="s">
        <v>35</v>
      </c>
      <c r="E7205" s="17" t="s">
        <v>327</v>
      </c>
      <c r="F7205" s="17" t="s">
        <v>105</v>
      </c>
      <c r="G7205" s="18" t="s">
        <v>48</v>
      </c>
      <c r="H7205" s="24">
        <v>36940</v>
      </c>
      <c r="I7205" s="24">
        <f>T_reg.root.SK[[#This Row],[Volume, kg]]/1000</f>
        <v>36.94</v>
      </c>
      <c r="J7205" s="25">
        <v>0.28439999999999999</v>
      </c>
      <c r="K7205" s="25">
        <f t="shared" si="113"/>
        <v>10505.735999999999</v>
      </c>
      <c r="L7205" s="25">
        <v>2.71</v>
      </c>
      <c r="M7205" s="24">
        <v>99960</v>
      </c>
      <c r="N7205" s="25">
        <f>IFERROR(T_reg.root.SK[[#This Row],[Price]]/T_reg.root.SK[[#This Row],[Starch content]],"")</f>
        <v>9.5288326300984529</v>
      </c>
    </row>
    <row r="7206" spans="1:14">
      <c r="A7206" s="21">
        <v>2026</v>
      </c>
      <c r="B7206" s="21" t="s">
        <v>17</v>
      </c>
      <c r="C7206" s="21" t="s">
        <v>1145</v>
      </c>
      <c r="D7206" s="21" t="s">
        <v>39</v>
      </c>
      <c r="E7206" s="17" t="s">
        <v>88</v>
      </c>
      <c r="F7206" s="17" t="s">
        <v>89</v>
      </c>
      <c r="G7206" s="18" t="s">
        <v>90</v>
      </c>
      <c r="H7206" s="24">
        <v>3274920</v>
      </c>
      <c r="I7206" s="24">
        <f>T_reg.root.SK[[#This Row],[Volume, kg]]/1000</f>
        <v>3274.92</v>
      </c>
      <c r="J7206" s="25">
        <v>0.2712</v>
      </c>
      <c r="K7206" s="25">
        <f t="shared" si="113"/>
        <v>888158.304</v>
      </c>
      <c r="L7206" s="25">
        <v>2.85</v>
      </c>
      <c r="M7206" s="24">
        <v>9348477</v>
      </c>
      <c r="N7206" s="25">
        <f>IFERROR(T_reg.root.SK[[#This Row],[Price]]/T_reg.root.SK[[#This Row],[Starch content]],"")</f>
        <v>10.508849557522124</v>
      </c>
    </row>
    <row r="7207" spans="1:14">
      <c r="A7207" s="21">
        <v>2026</v>
      </c>
      <c r="B7207" s="21" t="s">
        <v>17</v>
      </c>
      <c r="C7207" s="21" t="s">
        <v>1145</v>
      </c>
      <c r="D7207" s="21" t="s">
        <v>35</v>
      </c>
      <c r="E7207" s="17" t="s">
        <v>508</v>
      </c>
      <c r="F7207" s="17" t="s">
        <v>105</v>
      </c>
      <c r="G7207" s="18" t="s">
        <v>48</v>
      </c>
      <c r="H7207" s="24">
        <v>4830</v>
      </c>
      <c r="I7207" s="24">
        <f>T_reg.root.SK[[#This Row],[Volume, kg]]/1000</f>
        <v>4.83</v>
      </c>
      <c r="J7207" s="25">
        <v>0.25700000000000001</v>
      </c>
      <c r="K7207" s="25">
        <f t="shared" si="113"/>
        <v>1241.31</v>
      </c>
      <c r="L7207" s="25">
        <v>2.6</v>
      </c>
      <c r="M7207" s="24">
        <v>12558</v>
      </c>
      <c r="N7207" s="25">
        <f>IFERROR(T_reg.root.SK[[#This Row],[Price]]/T_reg.root.SK[[#This Row],[Starch content]],"")</f>
        <v>10.116731517509727</v>
      </c>
    </row>
    <row r="7208" spans="1:14">
      <c r="A7208" s="21">
        <v>2026</v>
      </c>
      <c r="B7208" s="21" t="s">
        <v>17</v>
      </c>
      <c r="C7208" s="21" t="s">
        <v>1145</v>
      </c>
      <c r="D7208" s="21" t="s">
        <v>35</v>
      </c>
      <c r="E7208" s="17" t="s">
        <v>176</v>
      </c>
      <c r="F7208" s="17" t="s">
        <v>105</v>
      </c>
      <c r="G7208" s="18" t="s">
        <v>48</v>
      </c>
      <c r="H7208" s="24">
        <v>26560</v>
      </c>
      <c r="I7208" s="24">
        <f>T_reg.root.SK[[#This Row],[Volume, kg]]/1000</f>
        <v>26.56</v>
      </c>
      <c r="J7208" s="25">
        <v>0.27210000000000001</v>
      </c>
      <c r="K7208" s="25">
        <f t="shared" si="113"/>
        <v>7226.9760000000006</v>
      </c>
      <c r="L7208" s="25">
        <v>2.66</v>
      </c>
      <c r="M7208" s="24">
        <v>70611</v>
      </c>
      <c r="N7208" s="25">
        <f>IFERROR(T_reg.root.SK[[#This Row],[Price]]/T_reg.root.SK[[#This Row],[Starch content]],"")</f>
        <v>9.775817714075707</v>
      </c>
    </row>
    <row r="7209" spans="1:14">
      <c r="A7209" s="21">
        <v>2026</v>
      </c>
      <c r="B7209" s="21" t="s">
        <v>17</v>
      </c>
      <c r="C7209" s="21" t="s">
        <v>1145</v>
      </c>
      <c r="D7209" s="21" t="s">
        <v>35</v>
      </c>
      <c r="E7209" s="17" t="s">
        <v>605</v>
      </c>
      <c r="F7209" s="17" t="s">
        <v>105</v>
      </c>
      <c r="G7209" s="18" t="s">
        <v>48</v>
      </c>
      <c r="H7209" s="24">
        <v>125780</v>
      </c>
      <c r="I7209" s="24">
        <f>T_reg.root.SK[[#This Row],[Volume, kg]]/1000</f>
        <v>125.78</v>
      </c>
      <c r="J7209" s="25">
        <v>0.24710000000000001</v>
      </c>
      <c r="K7209" s="25">
        <f t="shared" si="113"/>
        <v>31080.238000000001</v>
      </c>
      <c r="L7209" s="25">
        <v>2.54</v>
      </c>
      <c r="M7209" s="24">
        <v>319105</v>
      </c>
      <c r="N7209" s="25">
        <f>IFERROR(T_reg.root.SK[[#This Row],[Price]]/T_reg.root.SK[[#This Row],[Starch content]],"")</f>
        <v>10.27923917442331</v>
      </c>
    </row>
    <row r="7210" spans="1:14">
      <c r="A7210" s="21">
        <v>2026</v>
      </c>
      <c r="B7210" s="21" t="s">
        <v>17</v>
      </c>
      <c r="C7210" s="21" t="s">
        <v>1145</v>
      </c>
      <c r="D7210" s="21" t="s">
        <v>35</v>
      </c>
      <c r="E7210" s="17" t="s">
        <v>328</v>
      </c>
      <c r="F7210" s="17" t="s">
        <v>105</v>
      </c>
      <c r="G7210" s="18" t="s">
        <v>48</v>
      </c>
      <c r="H7210" s="24">
        <v>8060</v>
      </c>
      <c r="I7210" s="24">
        <f>T_reg.root.SK[[#This Row],[Volume, kg]]/1000</f>
        <v>8.06</v>
      </c>
      <c r="J7210" s="25">
        <v>0.21199999999999999</v>
      </c>
      <c r="K7210" s="25">
        <f t="shared" si="113"/>
        <v>1708.72</v>
      </c>
      <c r="L7210" s="25">
        <v>2.35</v>
      </c>
      <c r="M7210" s="24">
        <v>18941</v>
      </c>
      <c r="N7210" s="25">
        <f>IFERROR(T_reg.root.SK[[#This Row],[Price]]/T_reg.root.SK[[#This Row],[Starch content]],"")</f>
        <v>11.084905660377359</v>
      </c>
    </row>
    <row r="7211" spans="1:14">
      <c r="A7211" s="21">
        <v>2026</v>
      </c>
      <c r="B7211" s="21" t="s">
        <v>17</v>
      </c>
      <c r="C7211" s="21" t="s">
        <v>1145</v>
      </c>
      <c r="D7211" s="21" t="s">
        <v>35</v>
      </c>
      <c r="E7211" s="17" t="s">
        <v>329</v>
      </c>
      <c r="F7211" s="17" t="s">
        <v>105</v>
      </c>
      <c r="G7211" s="18" t="s">
        <v>48</v>
      </c>
      <c r="H7211" s="24">
        <v>13470</v>
      </c>
      <c r="I7211" s="24">
        <f>T_reg.root.SK[[#This Row],[Volume, kg]]/1000</f>
        <v>13.47</v>
      </c>
      <c r="J7211" s="25">
        <v>0.2167</v>
      </c>
      <c r="K7211" s="25">
        <f t="shared" si="113"/>
        <v>2918.9490000000001</v>
      </c>
      <c r="L7211" s="25">
        <v>2.4</v>
      </c>
      <c r="M7211" s="24">
        <v>32328</v>
      </c>
      <c r="N7211" s="25">
        <f>IFERROR(T_reg.root.SK[[#This Row],[Price]]/T_reg.root.SK[[#This Row],[Starch content]],"")</f>
        <v>11.075219197046607</v>
      </c>
    </row>
    <row r="7212" spans="1:14">
      <c r="A7212" s="21">
        <v>2026</v>
      </c>
      <c r="B7212" s="21" t="s">
        <v>17</v>
      </c>
      <c r="C7212" s="21" t="s">
        <v>1145</v>
      </c>
      <c r="D7212" s="21" t="s">
        <v>35</v>
      </c>
      <c r="E7212" s="17" t="s">
        <v>182</v>
      </c>
      <c r="F7212" s="17" t="s">
        <v>105</v>
      </c>
      <c r="G7212" s="18" t="s">
        <v>48</v>
      </c>
      <c r="H7212" s="24">
        <v>28010</v>
      </c>
      <c r="I7212" s="24">
        <f>T_reg.root.SK[[#This Row],[Volume, kg]]/1000</f>
        <v>28.01</v>
      </c>
      <c r="J7212" s="25">
        <v>0.21420000000000003</v>
      </c>
      <c r="K7212" s="25">
        <f t="shared" si="113"/>
        <v>5999.7420000000011</v>
      </c>
      <c r="L7212" s="25">
        <v>2.36</v>
      </c>
      <c r="M7212" s="24">
        <v>66157</v>
      </c>
      <c r="N7212" s="25">
        <f>IFERROR(T_reg.root.SK[[#This Row],[Price]]/T_reg.root.SK[[#This Row],[Starch content]],"")</f>
        <v>11.017740429505134</v>
      </c>
    </row>
    <row r="7213" spans="1:14">
      <c r="A7213" s="21">
        <v>2026</v>
      </c>
      <c r="B7213" s="21" t="s">
        <v>17</v>
      </c>
      <c r="C7213" s="21" t="s">
        <v>1145</v>
      </c>
      <c r="D7213" s="21" t="s">
        <v>35</v>
      </c>
      <c r="E7213" s="17" t="s">
        <v>772</v>
      </c>
      <c r="F7213" s="17" t="s">
        <v>105</v>
      </c>
      <c r="G7213" s="18" t="s">
        <v>48</v>
      </c>
      <c r="H7213" s="24">
        <v>154950</v>
      </c>
      <c r="I7213" s="24">
        <f>T_reg.root.SK[[#This Row],[Volume, kg]]/1000</f>
        <v>154.94999999999999</v>
      </c>
      <c r="J7213" s="25">
        <v>0.28270000000000001</v>
      </c>
      <c r="K7213" s="25">
        <f t="shared" si="113"/>
        <v>43804.364999999998</v>
      </c>
      <c r="L7213" s="25">
        <v>2.71</v>
      </c>
      <c r="M7213" s="24">
        <v>420415.5</v>
      </c>
      <c r="N7213" s="25">
        <f>IFERROR(T_reg.root.SK[[#This Row],[Price]]/T_reg.root.SK[[#This Row],[Starch content]],"")</f>
        <v>9.5861337106473297</v>
      </c>
    </row>
    <row r="7214" spans="1:14">
      <c r="A7214" s="21">
        <v>2026</v>
      </c>
      <c r="B7214" s="21" t="s">
        <v>17</v>
      </c>
      <c r="C7214" s="21" t="s">
        <v>1145</v>
      </c>
      <c r="D7214" s="21" t="s">
        <v>35</v>
      </c>
      <c r="E7214" s="17" t="s">
        <v>774</v>
      </c>
      <c r="F7214" s="17" t="s">
        <v>105</v>
      </c>
      <c r="G7214" s="18" t="s">
        <v>48</v>
      </c>
      <c r="H7214" s="24">
        <v>17240</v>
      </c>
      <c r="I7214" s="24">
        <f>T_reg.root.SK[[#This Row],[Volume, kg]]/1000</f>
        <v>17.239999999999998</v>
      </c>
      <c r="J7214" s="25">
        <v>0.26229999999999998</v>
      </c>
      <c r="K7214" s="25">
        <f t="shared" si="113"/>
        <v>4522.0519999999997</v>
      </c>
      <c r="L7214" s="25">
        <v>2.62</v>
      </c>
      <c r="M7214" s="24">
        <v>45125</v>
      </c>
      <c r="N7214" s="25">
        <f>IFERROR(T_reg.root.SK[[#This Row],[Price]]/T_reg.root.SK[[#This Row],[Starch content]],"")</f>
        <v>9.988562714449106</v>
      </c>
    </row>
    <row r="7215" spans="1:14">
      <c r="A7215" s="21">
        <v>2026</v>
      </c>
      <c r="B7215" s="21" t="s">
        <v>17</v>
      </c>
      <c r="C7215" s="21" t="s">
        <v>1145</v>
      </c>
      <c r="D7215" s="21" t="s">
        <v>35</v>
      </c>
      <c r="E7215" s="17" t="s">
        <v>1107</v>
      </c>
      <c r="F7215" s="17" t="s">
        <v>105</v>
      </c>
      <c r="G7215" s="18" t="s">
        <v>48</v>
      </c>
      <c r="H7215" s="24">
        <v>16390</v>
      </c>
      <c r="I7215" s="24">
        <f>T_reg.root.SK[[#This Row],[Volume, kg]]/1000</f>
        <v>16.39</v>
      </c>
      <c r="J7215" s="25">
        <v>0.30859999999999999</v>
      </c>
      <c r="K7215" s="25">
        <f t="shared" ref="K7215:K7278" si="114">H7215*J7215</f>
        <v>5057.9539999999997</v>
      </c>
      <c r="L7215" s="25">
        <v>2.85</v>
      </c>
      <c r="M7215" s="24">
        <v>46653</v>
      </c>
      <c r="N7215" s="25">
        <f>IFERROR(T_reg.root.SK[[#This Row],[Price]]/T_reg.root.SK[[#This Row],[Starch content]],"")</f>
        <v>9.2352559948152955</v>
      </c>
    </row>
    <row r="7216" spans="1:14">
      <c r="A7216" s="21">
        <v>2026</v>
      </c>
      <c r="B7216" s="21" t="s">
        <v>17</v>
      </c>
      <c r="C7216" s="21" t="s">
        <v>1145</v>
      </c>
      <c r="D7216" s="21" t="s">
        <v>39</v>
      </c>
      <c r="E7216" s="17" t="s">
        <v>1108</v>
      </c>
      <c r="F7216" s="17" t="s">
        <v>37</v>
      </c>
      <c r="G7216" s="18" t="s">
        <v>38</v>
      </c>
      <c r="H7216" s="24">
        <v>778980</v>
      </c>
      <c r="I7216" s="24">
        <f>T_reg.root.SK[[#This Row],[Volume, kg]]/1000</f>
        <v>778.98</v>
      </c>
      <c r="J7216" s="25">
        <v>0.2752</v>
      </c>
      <c r="K7216" s="25">
        <f t="shared" si="114"/>
        <v>214375.296</v>
      </c>
      <c r="L7216" s="25">
        <v>2.83</v>
      </c>
      <c r="M7216" s="24">
        <v>2205296.5</v>
      </c>
      <c r="N7216" s="25">
        <f>IFERROR(T_reg.root.SK[[#This Row],[Price]]/T_reg.root.SK[[#This Row],[Starch content]],"")</f>
        <v>10.283430232558139</v>
      </c>
    </row>
    <row r="7217" spans="1:14">
      <c r="A7217" s="21">
        <v>2026</v>
      </c>
      <c r="B7217" s="21" t="s">
        <v>17</v>
      </c>
      <c r="C7217" s="21" t="s">
        <v>1145</v>
      </c>
      <c r="D7217" s="21" t="s">
        <v>35</v>
      </c>
      <c r="E7217" s="17" t="s">
        <v>183</v>
      </c>
      <c r="F7217" s="17" t="s">
        <v>105</v>
      </c>
      <c r="G7217" s="18" t="s">
        <v>48</v>
      </c>
      <c r="H7217" s="24">
        <v>29090</v>
      </c>
      <c r="I7217" s="24">
        <f>T_reg.root.SK[[#This Row],[Volume, kg]]/1000</f>
        <v>29.09</v>
      </c>
      <c r="J7217" s="25">
        <v>0.28689999999999999</v>
      </c>
      <c r="K7217" s="25">
        <f t="shared" si="114"/>
        <v>8345.9210000000003</v>
      </c>
      <c r="L7217" s="25">
        <v>2.72</v>
      </c>
      <c r="M7217" s="24">
        <v>79063.5</v>
      </c>
      <c r="N7217" s="25">
        <f>IFERROR(T_reg.root.SK[[#This Row],[Price]]/T_reg.root.SK[[#This Row],[Starch content]],"")</f>
        <v>9.4806552805855713</v>
      </c>
    </row>
    <row r="7218" spans="1:14">
      <c r="A7218" s="21">
        <v>2026</v>
      </c>
      <c r="B7218" s="21" t="s">
        <v>19</v>
      </c>
      <c r="C7218" s="21" t="s">
        <v>1145</v>
      </c>
      <c r="D7218" s="21" t="s">
        <v>35</v>
      </c>
      <c r="E7218" s="17" t="s">
        <v>1046</v>
      </c>
      <c r="F7218" s="17" t="s">
        <v>105</v>
      </c>
      <c r="G7218" s="18" t="s">
        <v>48</v>
      </c>
      <c r="H7218" s="24">
        <v>9110</v>
      </c>
      <c r="I7218" s="24">
        <f>T_reg.root.SK[[#This Row],[Volume, kg]]/1000</f>
        <v>9.11</v>
      </c>
      <c r="J7218" s="25">
        <v>0.26700000000000002</v>
      </c>
      <c r="K7218" s="25">
        <f t="shared" si="114"/>
        <v>2432.3700000000003</v>
      </c>
      <c r="L7218" s="25">
        <v>2.7</v>
      </c>
      <c r="M7218" s="24">
        <v>24597</v>
      </c>
      <c r="N7218" s="25">
        <f>IFERROR(T_reg.root.SK[[#This Row],[Price]]/T_reg.root.SK[[#This Row],[Starch content]],"")</f>
        <v>10.112359550561798</v>
      </c>
    </row>
    <row r="7219" spans="1:14">
      <c r="A7219" s="21">
        <v>2026</v>
      </c>
      <c r="B7219" s="21" t="s">
        <v>19</v>
      </c>
      <c r="C7219" s="21" t="s">
        <v>1145</v>
      </c>
      <c r="D7219" s="21" t="s">
        <v>39</v>
      </c>
      <c r="E7219" s="17" t="s">
        <v>1058</v>
      </c>
      <c r="F7219" s="17" t="s">
        <v>227</v>
      </c>
      <c r="G7219" s="18" t="s">
        <v>42</v>
      </c>
      <c r="H7219" s="24">
        <v>1548350</v>
      </c>
      <c r="I7219" s="24">
        <f>T_reg.root.SK[[#This Row],[Volume, kg]]/1000</f>
        <v>1548.35</v>
      </c>
      <c r="J7219" s="25">
        <v>0.27239999999999998</v>
      </c>
      <c r="K7219" s="25">
        <f t="shared" si="114"/>
        <v>421770.54</v>
      </c>
      <c r="L7219" s="25">
        <v>2.98</v>
      </c>
      <c r="M7219" s="24">
        <v>4608068</v>
      </c>
      <c r="N7219" s="25">
        <f>IFERROR(T_reg.root.SK[[#This Row],[Price]]/T_reg.root.SK[[#This Row],[Starch content]],"")</f>
        <v>10.939794419970632</v>
      </c>
    </row>
    <row r="7220" spans="1:14">
      <c r="A7220" s="21">
        <v>2026</v>
      </c>
      <c r="B7220" s="21" t="s">
        <v>19</v>
      </c>
      <c r="C7220" s="21" t="s">
        <v>1145</v>
      </c>
      <c r="D7220" s="21" t="s">
        <v>35</v>
      </c>
      <c r="E7220" s="17" t="s">
        <v>683</v>
      </c>
      <c r="F7220" s="17" t="s">
        <v>105</v>
      </c>
      <c r="G7220" s="18" t="s">
        <v>48</v>
      </c>
      <c r="H7220" s="24">
        <v>20750</v>
      </c>
      <c r="I7220" s="24">
        <f>T_reg.root.SK[[#This Row],[Volume, kg]]/1000</f>
        <v>20.75</v>
      </c>
      <c r="J7220" s="25">
        <v>0.29399999999999998</v>
      </c>
      <c r="K7220" s="25">
        <f t="shared" si="114"/>
        <v>6100.5</v>
      </c>
      <c r="L7220" s="25">
        <v>2.83</v>
      </c>
      <c r="M7220" s="24">
        <v>58621</v>
      </c>
      <c r="N7220" s="25">
        <f>IFERROR(T_reg.root.SK[[#This Row],[Price]]/T_reg.root.SK[[#This Row],[Starch content]],"")</f>
        <v>9.625850340136056</v>
      </c>
    </row>
    <row r="7221" spans="1:14">
      <c r="A7221" s="21">
        <v>2026</v>
      </c>
      <c r="B7221" s="21" t="s">
        <v>19</v>
      </c>
      <c r="C7221" s="21" t="s">
        <v>1145</v>
      </c>
      <c r="D7221" s="21" t="s">
        <v>35</v>
      </c>
      <c r="E7221" s="17" t="s">
        <v>987</v>
      </c>
      <c r="F7221" s="17" t="s">
        <v>105</v>
      </c>
      <c r="G7221" s="18" t="s">
        <v>48</v>
      </c>
      <c r="H7221" s="24">
        <v>35890</v>
      </c>
      <c r="I7221" s="24">
        <f>T_reg.root.SK[[#This Row],[Volume, kg]]/1000</f>
        <v>35.89</v>
      </c>
      <c r="J7221" s="25">
        <v>0.31379999999999997</v>
      </c>
      <c r="K7221" s="25">
        <f t="shared" si="114"/>
        <v>11262.281999999999</v>
      </c>
      <c r="L7221" s="25">
        <v>2.92</v>
      </c>
      <c r="M7221" s="24">
        <v>104795.5</v>
      </c>
      <c r="N7221" s="25">
        <f>IFERROR(T_reg.root.SK[[#This Row],[Price]]/T_reg.root.SK[[#This Row],[Starch content]],"")</f>
        <v>9.3052899936265145</v>
      </c>
    </row>
    <row r="7222" spans="1:14">
      <c r="A7222" s="21">
        <v>2026</v>
      </c>
      <c r="B7222" s="21" t="s">
        <v>19</v>
      </c>
      <c r="C7222" s="21" t="s">
        <v>1145</v>
      </c>
      <c r="D7222" s="21" t="s">
        <v>35</v>
      </c>
      <c r="E7222" s="17" t="s">
        <v>289</v>
      </c>
      <c r="F7222" s="17" t="s">
        <v>105</v>
      </c>
      <c r="G7222" s="18" t="s">
        <v>48</v>
      </c>
      <c r="H7222" s="24">
        <v>31560</v>
      </c>
      <c r="I7222" s="24">
        <f>T_reg.root.SK[[#This Row],[Volume, kg]]/1000</f>
        <v>31.56</v>
      </c>
      <c r="J7222" s="25">
        <v>0.2767</v>
      </c>
      <c r="K7222" s="25">
        <f t="shared" si="114"/>
        <v>8732.652</v>
      </c>
      <c r="L7222" s="25">
        <v>2.74</v>
      </c>
      <c r="M7222" s="24">
        <v>86530</v>
      </c>
      <c r="N7222" s="25">
        <f>IFERROR(T_reg.root.SK[[#This Row],[Price]]/T_reg.root.SK[[#This Row],[Starch content]],"")</f>
        <v>9.9024213950126505</v>
      </c>
    </row>
    <row r="7223" spans="1:14">
      <c r="A7223" s="21">
        <v>2026</v>
      </c>
      <c r="B7223" s="21" t="s">
        <v>19</v>
      </c>
      <c r="C7223" s="21" t="s">
        <v>1145</v>
      </c>
      <c r="D7223" s="21" t="s">
        <v>35</v>
      </c>
      <c r="E7223" s="17" t="s">
        <v>108</v>
      </c>
      <c r="F7223" s="17" t="s">
        <v>105</v>
      </c>
      <c r="G7223" s="18" t="s">
        <v>48</v>
      </c>
      <c r="H7223" s="24">
        <v>4970</v>
      </c>
      <c r="I7223" s="24">
        <f>T_reg.root.SK[[#This Row],[Volume, kg]]/1000</f>
        <v>4.97</v>
      </c>
      <c r="J7223" s="25">
        <v>0.23850000000000002</v>
      </c>
      <c r="K7223" s="25">
        <f t="shared" si="114"/>
        <v>1185.345</v>
      </c>
      <c r="L7223" s="25">
        <v>2.5499999999999998</v>
      </c>
      <c r="M7223" s="24">
        <v>12673.5</v>
      </c>
      <c r="N7223" s="25">
        <f>IFERROR(T_reg.root.SK[[#This Row],[Price]]/T_reg.root.SK[[#This Row],[Starch content]],"")</f>
        <v>10.691823899371068</v>
      </c>
    </row>
    <row r="7224" spans="1:14">
      <c r="A7224" s="21">
        <v>2026</v>
      </c>
      <c r="B7224" s="21" t="s">
        <v>19</v>
      </c>
      <c r="C7224" s="21" t="s">
        <v>1145</v>
      </c>
      <c r="D7224" s="21" t="s">
        <v>35</v>
      </c>
      <c r="E7224" s="17" t="s">
        <v>290</v>
      </c>
      <c r="F7224" s="17" t="s">
        <v>105</v>
      </c>
      <c r="G7224" s="18" t="s">
        <v>48</v>
      </c>
      <c r="H7224" s="24">
        <v>29890</v>
      </c>
      <c r="I7224" s="24">
        <f>T_reg.root.SK[[#This Row],[Volume, kg]]/1000</f>
        <v>29.89</v>
      </c>
      <c r="J7224" s="25">
        <v>0.26219999999999999</v>
      </c>
      <c r="K7224" s="25">
        <f t="shared" si="114"/>
        <v>7837.1579999999994</v>
      </c>
      <c r="L7224" s="25">
        <v>2.67</v>
      </c>
      <c r="M7224" s="24">
        <v>79706.5</v>
      </c>
      <c r="N7224" s="25">
        <f>IFERROR(T_reg.root.SK[[#This Row],[Price]]/T_reg.root.SK[[#This Row],[Starch content]],"")</f>
        <v>10.183066361556063</v>
      </c>
    </row>
    <row r="7225" spans="1:14">
      <c r="A7225" s="21">
        <v>2026</v>
      </c>
      <c r="B7225" s="21" t="s">
        <v>19</v>
      </c>
      <c r="C7225" s="21" t="s">
        <v>1145</v>
      </c>
      <c r="D7225" s="21" t="s">
        <v>35</v>
      </c>
      <c r="E7225" s="17" t="s">
        <v>713</v>
      </c>
      <c r="F7225" s="17" t="s">
        <v>105</v>
      </c>
      <c r="G7225" s="18" t="s">
        <v>48</v>
      </c>
      <c r="H7225" s="24">
        <v>41840</v>
      </c>
      <c r="I7225" s="24">
        <f>T_reg.root.SK[[#This Row],[Volume, kg]]/1000</f>
        <v>41.84</v>
      </c>
      <c r="J7225" s="25">
        <v>0.252</v>
      </c>
      <c r="K7225" s="25">
        <f t="shared" si="114"/>
        <v>10543.68</v>
      </c>
      <c r="L7225" s="25">
        <v>2.61</v>
      </c>
      <c r="M7225" s="24">
        <v>109160.5</v>
      </c>
      <c r="N7225" s="25">
        <f>IFERROR(T_reg.root.SK[[#This Row],[Price]]/T_reg.root.SK[[#This Row],[Starch content]],"")</f>
        <v>10.357142857142856</v>
      </c>
    </row>
    <row r="7226" spans="1:14">
      <c r="A7226" s="21">
        <v>2026</v>
      </c>
      <c r="B7226" s="21" t="s">
        <v>19</v>
      </c>
      <c r="C7226" s="21" t="s">
        <v>1145</v>
      </c>
      <c r="D7226" s="21" t="s">
        <v>35</v>
      </c>
      <c r="E7226" s="17" t="s">
        <v>630</v>
      </c>
      <c r="F7226" s="17" t="s">
        <v>105</v>
      </c>
      <c r="G7226" s="18" t="s">
        <v>48</v>
      </c>
      <c r="H7226" s="24">
        <v>7350</v>
      </c>
      <c r="I7226" s="24">
        <f>T_reg.root.SK[[#This Row],[Volume, kg]]/1000</f>
        <v>7.35</v>
      </c>
      <c r="J7226" s="25">
        <v>0.25750000000000001</v>
      </c>
      <c r="K7226" s="25">
        <f t="shared" si="114"/>
        <v>1892.625</v>
      </c>
      <c r="L7226" s="25">
        <v>2.65</v>
      </c>
      <c r="M7226" s="24">
        <v>19477.5</v>
      </c>
      <c r="N7226" s="25">
        <f>IFERROR(T_reg.root.SK[[#This Row],[Price]]/T_reg.root.SK[[#This Row],[Starch content]],"")</f>
        <v>10.291262135922329</v>
      </c>
    </row>
    <row r="7227" spans="1:14">
      <c r="A7227" s="21">
        <v>2026</v>
      </c>
      <c r="B7227" s="21" t="s">
        <v>19</v>
      </c>
      <c r="C7227" s="21" t="s">
        <v>1145</v>
      </c>
      <c r="D7227" s="21" t="s">
        <v>35</v>
      </c>
      <c r="E7227" s="17" t="s">
        <v>1102</v>
      </c>
      <c r="F7227" s="17" t="s">
        <v>105</v>
      </c>
      <c r="G7227" s="18" t="s">
        <v>48</v>
      </c>
      <c r="H7227" s="24">
        <v>30930</v>
      </c>
      <c r="I7227" s="24">
        <f>T_reg.root.SK[[#This Row],[Volume, kg]]/1000</f>
        <v>30.93</v>
      </c>
      <c r="J7227" s="25">
        <v>0.28820000000000001</v>
      </c>
      <c r="K7227" s="25">
        <f t="shared" si="114"/>
        <v>8914.0259999999998</v>
      </c>
      <c r="L7227" s="25">
        <v>2.79</v>
      </c>
      <c r="M7227" s="24">
        <v>86267</v>
      </c>
      <c r="N7227" s="25">
        <f>IFERROR(T_reg.root.SK[[#This Row],[Price]]/T_reg.root.SK[[#This Row],[Starch content]],"")</f>
        <v>9.6807772380291457</v>
      </c>
    </row>
    <row r="7228" spans="1:14">
      <c r="A7228" s="21">
        <v>2026</v>
      </c>
      <c r="B7228" s="21" t="s">
        <v>19</v>
      </c>
      <c r="C7228" s="21" t="s">
        <v>1145</v>
      </c>
      <c r="D7228" s="21" t="s">
        <v>35</v>
      </c>
      <c r="E7228" s="17" t="s">
        <v>110</v>
      </c>
      <c r="F7228" s="17" t="s">
        <v>105</v>
      </c>
      <c r="G7228" s="18" t="s">
        <v>48</v>
      </c>
      <c r="H7228" s="24">
        <v>61320</v>
      </c>
      <c r="I7228" s="24">
        <f>T_reg.root.SK[[#This Row],[Volume, kg]]/1000</f>
        <v>61.32</v>
      </c>
      <c r="J7228" s="25">
        <v>0.25780000000000003</v>
      </c>
      <c r="K7228" s="25">
        <f t="shared" si="114"/>
        <v>15808.296000000002</v>
      </c>
      <c r="L7228" s="25">
        <v>2.59</v>
      </c>
      <c r="M7228" s="24">
        <v>158882</v>
      </c>
      <c r="N7228" s="25">
        <f>IFERROR(T_reg.root.SK[[#This Row],[Price]]/T_reg.root.SK[[#This Row],[Starch content]],"")</f>
        <v>10.046547711404187</v>
      </c>
    </row>
    <row r="7229" spans="1:14">
      <c r="A7229" s="21">
        <v>2026</v>
      </c>
      <c r="B7229" s="21" t="s">
        <v>19</v>
      </c>
      <c r="C7229" s="21" t="s">
        <v>1145</v>
      </c>
      <c r="D7229" s="21" t="s">
        <v>35</v>
      </c>
      <c r="E7229" s="17" t="s">
        <v>642</v>
      </c>
      <c r="F7229" s="17" t="s">
        <v>47</v>
      </c>
      <c r="G7229" s="18" t="s">
        <v>48</v>
      </c>
      <c r="H7229" s="24">
        <v>11790</v>
      </c>
      <c r="I7229" s="24">
        <f>T_reg.root.SK[[#This Row],[Volume, kg]]/1000</f>
        <v>11.79</v>
      </c>
      <c r="J7229" s="25">
        <v>0.26539999999999997</v>
      </c>
      <c r="K7229" s="25">
        <f t="shared" si="114"/>
        <v>3129.0659999999998</v>
      </c>
      <c r="L7229" s="25">
        <v>2.63</v>
      </c>
      <c r="M7229" s="24">
        <v>31055.5</v>
      </c>
      <c r="N7229" s="25">
        <f>IFERROR(T_reg.root.SK[[#This Row],[Price]]/T_reg.root.SK[[#This Row],[Starch content]],"")</f>
        <v>9.909570459683497</v>
      </c>
    </row>
    <row r="7230" spans="1:14">
      <c r="A7230" s="21">
        <v>2026</v>
      </c>
      <c r="B7230" s="21" t="s">
        <v>19</v>
      </c>
      <c r="C7230" s="21" t="s">
        <v>1145</v>
      </c>
      <c r="D7230" s="21" t="s">
        <v>35</v>
      </c>
      <c r="E7230" s="17" t="s">
        <v>1103</v>
      </c>
      <c r="F7230" s="17" t="s">
        <v>105</v>
      </c>
      <c r="G7230" s="18" t="s">
        <v>48</v>
      </c>
      <c r="H7230" s="24">
        <v>164690</v>
      </c>
      <c r="I7230" s="24">
        <f>T_reg.root.SK[[#This Row],[Volume, kg]]/1000</f>
        <v>164.69</v>
      </c>
      <c r="J7230" s="25">
        <v>0.2462</v>
      </c>
      <c r="K7230" s="25">
        <f t="shared" si="114"/>
        <v>40546.678</v>
      </c>
      <c r="L7230" s="25">
        <v>2.56</v>
      </c>
      <c r="M7230" s="24">
        <v>421242.5</v>
      </c>
      <c r="N7230" s="25">
        <f>IFERROR(T_reg.root.SK[[#This Row],[Price]]/T_reg.root.SK[[#This Row],[Starch content]],"")</f>
        <v>10.398050365556458</v>
      </c>
    </row>
    <row r="7231" spans="1:14">
      <c r="A7231" s="21">
        <v>2026</v>
      </c>
      <c r="B7231" s="21" t="s">
        <v>19</v>
      </c>
      <c r="C7231" s="21" t="s">
        <v>1145</v>
      </c>
      <c r="D7231" s="21" t="s">
        <v>35</v>
      </c>
      <c r="E7231" s="17" t="s">
        <v>1086</v>
      </c>
      <c r="F7231" s="17" t="s">
        <v>105</v>
      </c>
      <c r="G7231" s="18" t="s">
        <v>48</v>
      </c>
      <c r="H7231" s="24">
        <v>18280</v>
      </c>
      <c r="I7231" s="24">
        <f>T_reg.root.SK[[#This Row],[Volume, kg]]/1000</f>
        <v>18.28</v>
      </c>
      <c r="J7231" s="25">
        <v>0.28190000000000004</v>
      </c>
      <c r="K7231" s="25">
        <f t="shared" si="114"/>
        <v>5153.1320000000005</v>
      </c>
      <c r="L7231" s="25">
        <v>2.75</v>
      </c>
      <c r="M7231" s="24">
        <v>50265</v>
      </c>
      <c r="N7231" s="25">
        <f>IFERROR(T_reg.root.SK[[#This Row],[Price]]/T_reg.root.SK[[#This Row],[Starch content]],"")</f>
        <v>9.7552323518978348</v>
      </c>
    </row>
    <row r="7232" spans="1:14">
      <c r="A7232" s="21">
        <v>2026</v>
      </c>
      <c r="B7232" s="21" t="s">
        <v>19</v>
      </c>
      <c r="C7232" s="21" t="s">
        <v>1145</v>
      </c>
      <c r="D7232" s="21" t="s">
        <v>35</v>
      </c>
      <c r="E7232" s="17" t="s">
        <v>112</v>
      </c>
      <c r="F7232" s="17" t="s">
        <v>105</v>
      </c>
      <c r="G7232" s="18" t="s">
        <v>48</v>
      </c>
      <c r="H7232" s="24">
        <v>165410</v>
      </c>
      <c r="I7232" s="24">
        <f>T_reg.root.SK[[#This Row],[Volume, kg]]/1000</f>
        <v>165.41</v>
      </c>
      <c r="J7232" s="25">
        <v>0.26269999999999999</v>
      </c>
      <c r="K7232" s="25">
        <f t="shared" si="114"/>
        <v>43453.206999999995</v>
      </c>
      <c r="L7232" s="25">
        <v>2.67</v>
      </c>
      <c r="M7232" s="24">
        <v>441474</v>
      </c>
      <c r="N7232" s="25">
        <f>IFERROR(T_reg.root.SK[[#This Row],[Price]]/T_reg.root.SK[[#This Row],[Starch content]],"")</f>
        <v>10.163684811572136</v>
      </c>
    </row>
    <row r="7233" spans="1:14">
      <c r="A7233" s="21">
        <v>2026</v>
      </c>
      <c r="B7233" s="21" t="s">
        <v>19</v>
      </c>
      <c r="C7233" s="21" t="s">
        <v>1145</v>
      </c>
      <c r="D7233" s="21" t="s">
        <v>35</v>
      </c>
      <c r="E7233" s="17" t="s">
        <v>803</v>
      </c>
      <c r="F7233" s="17" t="s">
        <v>105</v>
      </c>
      <c r="G7233" s="18" t="s">
        <v>48</v>
      </c>
      <c r="H7233" s="24">
        <v>182290</v>
      </c>
      <c r="I7233" s="24">
        <f>T_reg.root.SK[[#This Row],[Volume, kg]]/1000</f>
        <v>182.29</v>
      </c>
      <c r="J7233" s="25">
        <v>0.2606</v>
      </c>
      <c r="K7233" s="25">
        <f t="shared" si="114"/>
        <v>47504.773999999998</v>
      </c>
      <c r="L7233" s="25">
        <v>2.66</v>
      </c>
      <c r="M7233" s="24">
        <v>484435.5</v>
      </c>
      <c r="N7233" s="25">
        <f>IFERROR(T_reg.root.SK[[#This Row],[Price]]/T_reg.root.SK[[#This Row],[Starch content]],"")</f>
        <v>10.207214121258634</v>
      </c>
    </row>
    <row r="7234" spans="1:14">
      <c r="A7234" s="21">
        <v>2026</v>
      </c>
      <c r="B7234" s="21" t="s">
        <v>19</v>
      </c>
      <c r="C7234" s="21" t="s">
        <v>1145</v>
      </c>
      <c r="D7234" s="21" t="s">
        <v>39</v>
      </c>
      <c r="E7234" s="17" t="s">
        <v>284</v>
      </c>
      <c r="F7234" s="17" t="s">
        <v>285</v>
      </c>
      <c r="G7234" s="18" t="s">
        <v>286</v>
      </c>
      <c r="H7234" s="24">
        <v>418150</v>
      </c>
      <c r="I7234" s="24">
        <f>T_reg.root.SK[[#This Row],[Volume, kg]]/1000</f>
        <v>418.15</v>
      </c>
      <c r="J7234" s="25">
        <v>0.24809999999999999</v>
      </c>
      <c r="K7234" s="25">
        <f t="shared" si="114"/>
        <v>103743.015</v>
      </c>
      <c r="L7234" s="25">
        <v>2.88</v>
      </c>
      <c r="M7234" s="24">
        <v>1206297.5</v>
      </c>
      <c r="N7234" s="25">
        <f>IFERROR(T_reg.root.SK[[#This Row],[Price]]/T_reg.root.SK[[#This Row],[Starch content]],"")</f>
        <v>11.608222490931077</v>
      </c>
    </row>
    <row r="7235" spans="1:14">
      <c r="A7235" s="21">
        <v>2026</v>
      </c>
      <c r="B7235" s="21" t="s">
        <v>19</v>
      </c>
      <c r="C7235" s="21" t="s">
        <v>1145</v>
      </c>
      <c r="D7235" s="21" t="s">
        <v>35</v>
      </c>
      <c r="E7235" s="17" t="s">
        <v>1090</v>
      </c>
      <c r="F7235" s="17" t="s">
        <v>105</v>
      </c>
      <c r="G7235" s="18" t="s">
        <v>48</v>
      </c>
      <c r="H7235" s="24">
        <v>28700</v>
      </c>
      <c r="I7235" s="24">
        <f>T_reg.root.SK[[#This Row],[Volume, kg]]/1000</f>
        <v>28.7</v>
      </c>
      <c r="J7235" s="25">
        <v>0.27039999999999997</v>
      </c>
      <c r="K7235" s="25">
        <f t="shared" si="114"/>
        <v>7760.48</v>
      </c>
      <c r="L7235" s="25">
        <v>2.67</v>
      </c>
      <c r="M7235" s="24">
        <v>76557</v>
      </c>
      <c r="N7235" s="25">
        <f>IFERROR(T_reg.root.SK[[#This Row],[Price]]/T_reg.root.SK[[#This Row],[Starch content]],"")</f>
        <v>9.8742603550295858</v>
      </c>
    </row>
    <row r="7236" spans="1:14">
      <c r="A7236" s="21">
        <v>2026</v>
      </c>
      <c r="B7236" s="21" t="s">
        <v>19</v>
      </c>
      <c r="C7236" s="21" t="s">
        <v>1145</v>
      </c>
      <c r="D7236" s="21" t="s">
        <v>35</v>
      </c>
      <c r="E7236" s="17" t="s">
        <v>402</v>
      </c>
      <c r="F7236" s="17" t="s">
        <v>105</v>
      </c>
      <c r="G7236" s="18" t="s">
        <v>48</v>
      </c>
      <c r="H7236" s="24">
        <v>9360</v>
      </c>
      <c r="I7236" s="24">
        <f>T_reg.root.SK[[#This Row],[Volume, kg]]/1000</f>
        <v>9.36</v>
      </c>
      <c r="J7236" s="25">
        <v>0.30299999999999999</v>
      </c>
      <c r="K7236" s="25">
        <f t="shared" si="114"/>
        <v>2836.08</v>
      </c>
      <c r="L7236" s="25">
        <v>2.85</v>
      </c>
      <c r="M7236" s="24">
        <v>26676</v>
      </c>
      <c r="N7236" s="25">
        <f>IFERROR(T_reg.root.SK[[#This Row],[Price]]/T_reg.root.SK[[#This Row],[Starch content]],"")</f>
        <v>9.4059405940594072</v>
      </c>
    </row>
    <row r="7237" spans="1:14">
      <c r="A7237" s="21">
        <v>2026</v>
      </c>
      <c r="B7237" s="21" t="s">
        <v>19</v>
      </c>
      <c r="C7237" s="21" t="s">
        <v>1145</v>
      </c>
      <c r="D7237" s="21" t="s">
        <v>35</v>
      </c>
      <c r="E7237" s="17" t="s">
        <v>263</v>
      </c>
      <c r="F7237" s="17" t="s">
        <v>187</v>
      </c>
      <c r="G7237" s="18" t="s">
        <v>48</v>
      </c>
      <c r="H7237" s="24">
        <v>2540</v>
      </c>
      <c r="I7237" s="24">
        <f>T_reg.root.SK[[#This Row],[Volume, kg]]/1000</f>
        <v>2.54</v>
      </c>
      <c r="J7237" s="25">
        <v>0.312</v>
      </c>
      <c r="K7237" s="25">
        <f t="shared" si="114"/>
        <v>792.48</v>
      </c>
      <c r="L7237" s="25">
        <v>2.9</v>
      </c>
      <c r="M7237" s="24">
        <v>7366</v>
      </c>
      <c r="N7237" s="25">
        <f>IFERROR(T_reg.root.SK[[#This Row],[Price]]/T_reg.root.SK[[#This Row],[Starch content]],"")</f>
        <v>9.2948717948717938</v>
      </c>
    </row>
    <row r="7238" spans="1:14">
      <c r="A7238" s="21">
        <v>2026</v>
      </c>
      <c r="B7238" s="21" t="s">
        <v>19</v>
      </c>
      <c r="C7238" s="21" t="s">
        <v>1145</v>
      </c>
      <c r="D7238" s="21" t="s">
        <v>35</v>
      </c>
      <c r="E7238" s="17" t="s">
        <v>54</v>
      </c>
      <c r="F7238" s="17" t="s">
        <v>47</v>
      </c>
      <c r="G7238" s="18" t="s">
        <v>48</v>
      </c>
      <c r="H7238" s="24">
        <v>26020</v>
      </c>
      <c r="I7238" s="24">
        <f>T_reg.root.SK[[#This Row],[Volume, kg]]/1000</f>
        <v>26.02</v>
      </c>
      <c r="J7238" s="25">
        <v>0.27510000000000001</v>
      </c>
      <c r="K7238" s="25">
        <f t="shared" si="114"/>
        <v>7158.1019999999999</v>
      </c>
      <c r="L7238" s="25">
        <v>2.7</v>
      </c>
      <c r="M7238" s="24">
        <v>70278.5</v>
      </c>
      <c r="N7238" s="25">
        <f>IFERROR(T_reg.root.SK[[#This Row],[Price]]/T_reg.root.SK[[#This Row],[Starch content]],"")</f>
        <v>9.8146128680479823</v>
      </c>
    </row>
    <row r="7239" spans="1:14">
      <c r="A7239" s="21">
        <v>2026</v>
      </c>
      <c r="B7239" s="21" t="s">
        <v>19</v>
      </c>
      <c r="C7239" s="21" t="s">
        <v>1145</v>
      </c>
      <c r="D7239" s="21" t="s">
        <v>39</v>
      </c>
      <c r="E7239" s="17" t="s">
        <v>997</v>
      </c>
      <c r="F7239" s="17" t="s">
        <v>998</v>
      </c>
      <c r="G7239" s="18" t="s">
        <v>87</v>
      </c>
      <c r="H7239" s="24">
        <v>241680</v>
      </c>
      <c r="I7239" s="24">
        <f>T_reg.root.SK[[#This Row],[Volume, kg]]/1000</f>
        <v>241.68</v>
      </c>
      <c r="J7239" s="25">
        <v>0.24809999999999999</v>
      </c>
      <c r="K7239" s="25">
        <f t="shared" si="114"/>
        <v>59960.807999999997</v>
      </c>
      <c r="L7239" s="25">
        <v>2.97</v>
      </c>
      <c r="M7239" s="24">
        <v>717366.5</v>
      </c>
      <c r="N7239" s="25">
        <f>IFERROR(T_reg.root.SK[[#This Row],[Price]]/T_reg.root.SK[[#This Row],[Starch content]],"")</f>
        <v>11.970979443772674</v>
      </c>
    </row>
    <row r="7240" spans="1:14">
      <c r="A7240" s="21">
        <v>2026</v>
      </c>
      <c r="B7240" s="21" t="s">
        <v>19</v>
      </c>
      <c r="C7240" s="21" t="s">
        <v>1145</v>
      </c>
      <c r="D7240" s="21" t="s">
        <v>35</v>
      </c>
      <c r="E7240" s="17" t="s">
        <v>988</v>
      </c>
      <c r="F7240" s="17" t="s">
        <v>105</v>
      </c>
      <c r="G7240" s="18" t="s">
        <v>48</v>
      </c>
      <c r="H7240" s="24">
        <v>50540</v>
      </c>
      <c r="I7240" s="24">
        <f>T_reg.root.SK[[#This Row],[Volume, kg]]/1000</f>
        <v>50.54</v>
      </c>
      <c r="J7240" s="25">
        <v>0.29020000000000001</v>
      </c>
      <c r="K7240" s="25">
        <f t="shared" si="114"/>
        <v>14666.708000000001</v>
      </c>
      <c r="L7240" s="25">
        <v>2.75</v>
      </c>
      <c r="M7240" s="24">
        <v>138961</v>
      </c>
      <c r="N7240" s="25">
        <f>IFERROR(T_reg.root.SK[[#This Row],[Price]]/T_reg.root.SK[[#This Row],[Starch content]],"")</f>
        <v>9.4762232942798068</v>
      </c>
    </row>
    <row r="7241" spans="1:14">
      <c r="A7241" s="21">
        <v>2026</v>
      </c>
      <c r="B7241" s="21" t="s">
        <v>19</v>
      </c>
      <c r="C7241" s="21" t="s">
        <v>1145</v>
      </c>
      <c r="D7241" s="21" t="s">
        <v>35</v>
      </c>
      <c r="E7241" s="17" t="s">
        <v>685</v>
      </c>
      <c r="F7241" s="17" t="s">
        <v>105</v>
      </c>
      <c r="G7241" s="18" t="s">
        <v>48</v>
      </c>
      <c r="H7241" s="24">
        <v>145940</v>
      </c>
      <c r="I7241" s="24">
        <f>T_reg.root.SK[[#This Row],[Volume, kg]]/1000</f>
        <v>145.94</v>
      </c>
      <c r="J7241" s="25">
        <v>0.2636</v>
      </c>
      <c r="K7241" s="25">
        <f t="shared" si="114"/>
        <v>38469.784</v>
      </c>
      <c r="L7241" s="25">
        <v>2.64</v>
      </c>
      <c r="M7241" s="24">
        <v>385649.5</v>
      </c>
      <c r="N7241" s="25">
        <f>IFERROR(T_reg.root.SK[[#This Row],[Price]]/T_reg.root.SK[[#This Row],[Starch content]],"")</f>
        <v>10.015174506828529</v>
      </c>
    </row>
    <row r="7242" spans="1:14">
      <c r="A7242" s="21">
        <v>2026</v>
      </c>
      <c r="B7242" s="21" t="s">
        <v>19</v>
      </c>
      <c r="C7242" s="21" t="s">
        <v>1145</v>
      </c>
      <c r="D7242" s="21" t="s">
        <v>39</v>
      </c>
      <c r="E7242" s="17" t="s">
        <v>797</v>
      </c>
      <c r="F7242" s="17" t="s">
        <v>798</v>
      </c>
      <c r="G7242" s="18" t="s">
        <v>799</v>
      </c>
      <c r="H7242" s="24">
        <v>262300</v>
      </c>
      <c r="I7242" s="24">
        <f>T_reg.root.SK[[#This Row],[Volume, kg]]/1000</f>
        <v>262.3</v>
      </c>
      <c r="J7242" s="25">
        <v>0.2394</v>
      </c>
      <c r="K7242" s="25">
        <f t="shared" si="114"/>
        <v>62794.62</v>
      </c>
      <c r="L7242" s="25">
        <v>2.88</v>
      </c>
      <c r="M7242" s="24">
        <v>756100.5</v>
      </c>
      <c r="N7242" s="25">
        <f>IFERROR(T_reg.root.SK[[#This Row],[Price]]/T_reg.root.SK[[#This Row],[Starch content]],"")</f>
        <v>12.030075187969924</v>
      </c>
    </row>
    <row r="7243" spans="1:14">
      <c r="A7243" s="21">
        <v>2026</v>
      </c>
      <c r="B7243" s="21" t="s">
        <v>19</v>
      </c>
      <c r="C7243" s="21" t="s">
        <v>1145</v>
      </c>
      <c r="D7243" s="21" t="s">
        <v>35</v>
      </c>
      <c r="E7243" s="17" t="s">
        <v>1032</v>
      </c>
      <c r="F7243" s="17" t="s">
        <v>105</v>
      </c>
      <c r="G7243" s="18" t="s">
        <v>48</v>
      </c>
      <c r="H7243" s="24">
        <v>45800</v>
      </c>
      <c r="I7243" s="24">
        <f>T_reg.root.SK[[#This Row],[Volume, kg]]/1000</f>
        <v>45.8</v>
      </c>
      <c r="J7243" s="25">
        <v>0.26960000000000001</v>
      </c>
      <c r="K7243" s="25">
        <f t="shared" si="114"/>
        <v>12347.68</v>
      </c>
      <c r="L7243" s="25">
        <v>2.68</v>
      </c>
      <c r="M7243" s="24">
        <v>122766</v>
      </c>
      <c r="N7243" s="25">
        <f>IFERROR(T_reg.root.SK[[#This Row],[Price]]/T_reg.root.SK[[#This Row],[Starch content]],"")</f>
        <v>9.940652818991099</v>
      </c>
    </row>
    <row r="7244" spans="1:14">
      <c r="A7244" s="21">
        <v>2026</v>
      </c>
      <c r="B7244" s="21" t="s">
        <v>19</v>
      </c>
      <c r="C7244" s="21" t="s">
        <v>1145</v>
      </c>
      <c r="D7244" s="21" t="s">
        <v>39</v>
      </c>
      <c r="E7244" s="17" t="s">
        <v>1096</v>
      </c>
      <c r="F7244" s="17" t="s">
        <v>89</v>
      </c>
      <c r="G7244" s="18" t="s">
        <v>90</v>
      </c>
      <c r="H7244" s="24">
        <v>4395290</v>
      </c>
      <c r="I7244" s="24">
        <f>T_reg.root.SK[[#This Row],[Volume, kg]]/1000</f>
        <v>4395.29</v>
      </c>
      <c r="J7244" s="25">
        <v>0.2616</v>
      </c>
      <c r="K7244" s="25">
        <f t="shared" si="114"/>
        <v>1149807.8640000001</v>
      </c>
      <c r="L7244" s="25">
        <v>2.98</v>
      </c>
      <c r="M7244" s="24">
        <v>13081333</v>
      </c>
      <c r="N7244" s="25">
        <f>IFERROR(T_reg.root.SK[[#This Row],[Price]]/T_reg.root.SK[[#This Row],[Starch content]],"")</f>
        <v>11.391437308868502</v>
      </c>
    </row>
    <row r="7245" spans="1:14">
      <c r="A7245" s="21">
        <v>2026</v>
      </c>
      <c r="B7245" s="21" t="s">
        <v>19</v>
      </c>
      <c r="C7245" s="21" t="s">
        <v>1145</v>
      </c>
      <c r="D7245" s="21" t="s">
        <v>35</v>
      </c>
      <c r="E7245" s="17" t="s">
        <v>1112</v>
      </c>
      <c r="F7245" s="17" t="s">
        <v>105</v>
      </c>
      <c r="G7245" s="18" t="s">
        <v>48</v>
      </c>
      <c r="H7245" s="24">
        <v>1030</v>
      </c>
      <c r="I7245" s="24">
        <f>T_reg.root.SK[[#This Row],[Volume, kg]]/1000</f>
        <v>1.03</v>
      </c>
      <c r="J7245" s="25">
        <v>0.27</v>
      </c>
      <c r="K7245" s="25">
        <f t="shared" si="114"/>
        <v>278.10000000000002</v>
      </c>
      <c r="L7245" s="25">
        <v>2.65</v>
      </c>
      <c r="M7245" s="24">
        <v>2729.5</v>
      </c>
      <c r="N7245" s="25">
        <f>IFERROR(T_reg.root.SK[[#This Row],[Price]]/T_reg.root.SK[[#This Row],[Starch content]],"")</f>
        <v>9.8148148148148131</v>
      </c>
    </row>
    <row r="7246" spans="1:14">
      <c r="A7246" s="21">
        <v>2026</v>
      </c>
      <c r="B7246" s="21" t="s">
        <v>19</v>
      </c>
      <c r="C7246" s="21" t="s">
        <v>1145</v>
      </c>
      <c r="D7246" s="21" t="s">
        <v>35</v>
      </c>
      <c r="E7246" s="17" t="s">
        <v>116</v>
      </c>
      <c r="F7246" s="17" t="s">
        <v>105</v>
      </c>
      <c r="G7246" s="18" t="s">
        <v>48</v>
      </c>
      <c r="H7246" s="24">
        <v>14850</v>
      </c>
      <c r="I7246" s="24">
        <f>T_reg.root.SK[[#This Row],[Volume, kg]]/1000</f>
        <v>14.85</v>
      </c>
      <c r="J7246" s="25">
        <v>0.26860000000000001</v>
      </c>
      <c r="K7246" s="25">
        <f t="shared" si="114"/>
        <v>3988.71</v>
      </c>
      <c r="L7246" s="25">
        <v>2.7</v>
      </c>
      <c r="M7246" s="24">
        <v>40073.5</v>
      </c>
      <c r="N7246" s="25">
        <f>IFERROR(T_reg.root.SK[[#This Row],[Price]]/T_reg.root.SK[[#This Row],[Starch content]],"")</f>
        <v>10.052122114668652</v>
      </c>
    </row>
    <row r="7247" spans="1:14">
      <c r="A7247" s="21">
        <v>2026</v>
      </c>
      <c r="B7247" s="21" t="s">
        <v>19</v>
      </c>
      <c r="C7247" s="21" t="s">
        <v>1145</v>
      </c>
      <c r="D7247" s="21" t="s">
        <v>35</v>
      </c>
      <c r="E7247" s="17" t="s">
        <v>296</v>
      </c>
      <c r="F7247" s="17" t="s">
        <v>105</v>
      </c>
      <c r="G7247" s="18" t="s">
        <v>48</v>
      </c>
      <c r="H7247" s="24">
        <v>20220</v>
      </c>
      <c r="I7247" s="24">
        <f>T_reg.root.SK[[#This Row],[Volume, kg]]/1000</f>
        <v>20.22</v>
      </c>
      <c r="J7247" s="25">
        <v>0.27210000000000001</v>
      </c>
      <c r="K7247" s="25">
        <f t="shared" si="114"/>
        <v>5501.8620000000001</v>
      </c>
      <c r="L7247" s="25">
        <v>2.68</v>
      </c>
      <c r="M7247" s="24">
        <v>54127.5</v>
      </c>
      <c r="N7247" s="25">
        <f>IFERROR(T_reg.root.SK[[#This Row],[Price]]/T_reg.root.SK[[#This Row],[Starch content]],"")</f>
        <v>9.849320102903345</v>
      </c>
    </row>
    <row r="7248" spans="1:14">
      <c r="A7248" s="21">
        <v>2026</v>
      </c>
      <c r="B7248" s="21" t="s">
        <v>19</v>
      </c>
      <c r="C7248" s="21" t="s">
        <v>1145</v>
      </c>
      <c r="D7248" s="21" t="s">
        <v>35</v>
      </c>
      <c r="E7248" s="17" t="s">
        <v>1113</v>
      </c>
      <c r="F7248" s="17" t="s">
        <v>105</v>
      </c>
      <c r="G7248" s="18" t="s">
        <v>48</v>
      </c>
      <c r="H7248" s="24">
        <v>8210</v>
      </c>
      <c r="I7248" s="24">
        <f>T_reg.root.SK[[#This Row],[Volume, kg]]/1000</f>
        <v>8.2100000000000009</v>
      </c>
      <c r="J7248" s="25">
        <v>0.25019999999999998</v>
      </c>
      <c r="K7248" s="25">
        <f t="shared" si="114"/>
        <v>2054.1419999999998</v>
      </c>
      <c r="L7248" s="25">
        <v>2.6</v>
      </c>
      <c r="M7248" s="24">
        <v>21340.5</v>
      </c>
      <c r="N7248" s="25">
        <f>IFERROR(T_reg.root.SK[[#This Row],[Price]]/T_reg.root.SK[[#This Row],[Starch content]],"")</f>
        <v>10.391686650679457</v>
      </c>
    </row>
    <row r="7249" spans="1:14">
      <c r="A7249" s="21">
        <v>2026</v>
      </c>
      <c r="B7249" s="21" t="s">
        <v>19</v>
      </c>
      <c r="C7249" s="21" t="s">
        <v>1145</v>
      </c>
      <c r="D7249" s="21" t="s">
        <v>35</v>
      </c>
      <c r="E7249" s="17" t="s">
        <v>989</v>
      </c>
      <c r="F7249" s="17" t="s">
        <v>105</v>
      </c>
      <c r="G7249" s="18" t="s">
        <v>48</v>
      </c>
      <c r="H7249" s="24">
        <v>6400</v>
      </c>
      <c r="I7249" s="24">
        <f>T_reg.root.SK[[#This Row],[Volume, kg]]/1000</f>
        <v>6.4</v>
      </c>
      <c r="J7249" s="25">
        <v>0.19699999999999998</v>
      </c>
      <c r="K7249" s="25">
        <f t="shared" si="114"/>
        <v>1260.8</v>
      </c>
      <c r="L7249" s="25">
        <v>2.35</v>
      </c>
      <c r="M7249" s="24">
        <v>15040</v>
      </c>
      <c r="N7249" s="25">
        <f>IFERROR(T_reg.root.SK[[#This Row],[Price]]/T_reg.root.SK[[#This Row],[Starch content]],"")</f>
        <v>11.928934010152286</v>
      </c>
    </row>
    <row r="7250" spans="1:14">
      <c r="A7250" s="21">
        <v>2026</v>
      </c>
      <c r="B7250" s="21" t="s">
        <v>19</v>
      </c>
      <c r="C7250" s="21" t="s">
        <v>1145</v>
      </c>
      <c r="D7250" s="21" t="s">
        <v>35</v>
      </c>
      <c r="E7250" s="17" t="s">
        <v>1114</v>
      </c>
      <c r="F7250" s="17" t="s">
        <v>105</v>
      </c>
      <c r="G7250" s="18" t="s">
        <v>48</v>
      </c>
      <c r="H7250" s="24">
        <v>128770</v>
      </c>
      <c r="I7250" s="24">
        <f>T_reg.root.SK[[#This Row],[Volume, kg]]/1000</f>
        <v>128.77000000000001</v>
      </c>
      <c r="J7250" s="25">
        <v>0.29239999999999999</v>
      </c>
      <c r="K7250" s="25">
        <f t="shared" si="114"/>
        <v>37652.347999999998</v>
      </c>
      <c r="L7250" s="25">
        <v>2.81</v>
      </c>
      <c r="M7250" s="24">
        <v>361587.5</v>
      </c>
      <c r="N7250" s="25">
        <f>IFERROR(T_reg.root.SK[[#This Row],[Price]]/T_reg.root.SK[[#This Row],[Starch content]],"")</f>
        <v>9.6101231190150482</v>
      </c>
    </row>
    <row r="7251" spans="1:14">
      <c r="A7251" s="21">
        <v>2026</v>
      </c>
      <c r="B7251" s="21" t="s">
        <v>19</v>
      </c>
      <c r="C7251" s="21" t="s">
        <v>1145</v>
      </c>
      <c r="D7251" s="21" t="s">
        <v>35</v>
      </c>
      <c r="E7251" s="17" t="s">
        <v>117</v>
      </c>
      <c r="F7251" s="17" t="s">
        <v>105</v>
      </c>
      <c r="G7251" s="18" t="s">
        <v>48</v>
      </c>
      <c r="H7251" s="24">
        <v>19470</v>
      </c>
      <c r="I7251" s="24">
        <f>T_reg.root.SK[[#This Row],[Volume, kg]]/1000</f>
        <v>19.47</v>
      </c>
      <c r="J7251" s="25">
        <v>0.27699999999999997</v>
      </c>
      <c r="K7251" s="25">
        <f t="shared" si="114"/>
        <v>5393.19</v>
      </c>
      <c r="L7251" s="25">
        <v>2.75</v>
      </c>
      <c r="M7251" s="24">
        <v>53571</v>
      </c>
      <c r="N7251" s="25">
        <f>IFERROR(T_reg.root.SK[[#This Row],[Price]]/T_reg.root.SK[[#This Row],[Starch content]],"")</f>
        <v>9.9277978339350188</v>
      </c>
    </row>
    <row r="7252" spans="1:14">
      <c r="A7252" s="21">
        <v>2026</v>
      </c>
      <c r="B7252" s="21" t="s">
        <v>19</v>
      </c>
      <c r="C7252" s="21" t="s">
        <v>1145</v>
      </c>
      <c r="D7252" s="21" t="s">
        <v>35</v>
      </c>
      <c r="E7252" s="17" t="s">
        <v>118</v>
      </c>
      <c r="F7252" s="17" t="s">
        <v>105</v>
      </c>
      <c r="G7252" s="18" t="s">
        <v>48</v>
      </c>
      <c r="H7252" s="24">
        <v>78380</v>
      </c>
      <c r="I7252" s="24">
        <f>T_reg.root.SK[[#This Row],[Volume, kg]]/1000</f>
        <v>78.38</v>
      </c>
      <c r="J7252" s="25">
        <v>0.28789999999999999</v>
      </c>
      <c r="K7252" s="25">
        <f t="shared" si="114"/>
        <v>22565.601999999999</v>
      </c>
      <c r="L7252" s="25">
        <v>2.76</v>
      </c>
      <c r="M7252" s="24">
        <v>216268</v>
      </c>
      <c r="N7252" s="25">
        <f>IFERROR(T_reg.root.SK[[#This Row],[Price]]/T_reg.root.SK[[#This Row],[Starch content]],"")</f>
        <v>9.5866620354289687</v>
      </c>
    </row>
    <row r="7253" spans="1:14">
      <c r="A7253" s="21">
        <v>2026</v>
      </c>
      <c r="B7253" s="21" t="s">
        <v>19</v>
      </c>
      <c r="C7253" s="21" t="s">
        <v>1145</v>
      </c>
      <c r="D7253" s="21" t="s">
        <v>35</v>
      </c>
      <c r="E7253" s="17" t="s">
        <v>119</v>
      </c>
      <c r="F7253" s="17" t="s">
        <v>105</v>
      </c>
      <c r="G7253" s="18" t="s">
        <v>48</v>
      </c>
      <c r="H7253" s="24">
        <v>43470</v>
      </c>
      <c r="I7253" s="24">
        <f>T_reg.root.SK[[#This Row],[Volume, kg]]/1000</f>
        <v>43.47</v>
      </c>
      <c r="J7253" s="25">
        <v>0.28699999999999998</v>
      </c>
      <c r="K7253" s="25">
        <f t="shared" si="114"/>
        <v>12475.89</v>
      </c>
      <c r="L7253" s="25">
        <v>2.78</v>
      </c>
      <c r="M7253" s="24">
        <v>120881</v>
      </c>
      <c r="N7253" s="25">
        <f>IFERROR(T_reg.root.SK[[#This Row],[Price]]/T_reg.root.SK[[#This Row],[Starch content]],"")</f>
        <v>9.6864111498257834</v>
      </c>
    </row>
    <row r="7254" spans="1:14">
      <c r="A7254" s="21">
        <v>2026</v>
      </c>
      <c r="B7254" s="21" t="s">
        <v>19</v>
      </c>
      <c r="C7254" s="21" t="s">
        <v>1145</v>
      </c>
      <c r="D7254" s="21" t="s">
        <v>39</v>
      </c>
      <c r="E7254" s="17" t="s">
        <v>101</v>
      </c>
      <c r="F7254" s="17" t="s">
        <v>102</v>
      </c>
      <c r="G7254" s="18" t="s">
        <v>103</v>
      </c>
      <c r="H7254" s="24">
        <v>1335390</v>
      </c>
      <c r="I7254" s="24">
        <f>T_reg.root.SK[[#This Row],[Volume, kg]]/1000</f>
        <v>1335.39</v>
      </c>
      <c r="J7254" s="25">
        <v>0.26819999999999999</v>
      </c>
      <c r="K7254" s="25">
        <f t="shared" si="114"/>
        <v>358151.598</v>
      </c>
      <c r="L7254" s="25">
        <v>3.01</v>
      </c>
      <c r="M7254" s="24">
        <v>4013318.5</v>
      </c>
      <c r="N7254" s="25">
        <f>IFERROR(T_reg.root.SK[[#This Row],[Price]]/T_reg.root.SK[[#This Row],[Starch content]],"")</f>
        <v>11.22296793437733</v>
      </c>
    </row>
    <row r="7255" spans="1:14">
      <c r="A7255" s="21">
        <v>2026</v>
      </c>
      <c r="B7255" s="21" t="s">
        <v>19</v>
      </c>
      <c r="C7255" s="21" t="s">
        <v>1145</v>
      </c>
      <c r="D7255" s="21" t="s">
        <v>39</v>
      </c>
      <c r="E7255" s="17" t="s">
        <v>98</v>
      </c>
      <c r="F7255" s="17" t="s">
        <v>99</v>
      </c>
      <c r="G7255" s="18" t="s">
        <v>42</v>
      </c>
      <c r="H7255" s="24">
        <v>3999590</v>
      </c>
      <c r="I7255" s="24">
        <f>T_reg.root.SK[[#This Row],[Volume, kg]]/1000</f>
        <v>3999.59</v>
      </c>
      <c r="J7255" s="25">
        <v>0.25940000000000002</v>
      </c>
      <c r="K7255" s="25">
        <f t="shared" si="114"/>
        <v>1037493.6460000001</v>
      </c>
      <c r="L7255" s="25">
        <v>2.95</v>
      </c>
      <c r="M7255" s="24">
        <v>11782761</v>
      </c>
      <c r="N7255" s="25">
        <f>IFERROR(T_reg.root.SK[[#This Row],[Price]]/T_reg.root.SK[[#This Row],[Starch content]],"")</f>
        <v>11.372397841171935</v>
      </c>
    </row>
    <row r="7256" spans="1:14">
      <c r="A7256" s="21">
        <v>2026</v>
      </c>
      <c r="B7256" s="21" t="s">
        <v>19</v>
      </c>
      <c r="C7256" s="21" t="s">
        <v>1145</v>
      </c>
      <c r="D7256" s="21" t="s">
        <v>35</v>
      </c>
      <c r="E7256" s="17" t="s">
        <v>238</v>
      </c>
      <c r="F7256" s="17" t="s">
        <v>105</v>
      </c>
      <c r="G7256" s="18" t="s">
        <v>48</v>
      </c>
      <c r="H7256" s="24">
        <v>25890</v>
      </c>
      <c r="I7256" s="24">
        <f>T_reg.root.SK[[#This Row],[Volume, kg]]/1000</f>
        <v>25.89</v>
      </c>
      <c r="J7256" s="25">
        <v>0.2757</v>
      </c>
      <c r="K7256" s="25">
        <f t="shared" si="114"/>
        <v>7137.8729999999996</v>
      </c>
      <c r="L7256" s="25">
        <v>2.68</v>
      </c>
      <c r="M7256" s="24">
        <v>69414.5</v>
      </c>
      <c r="N7256" s="25">
        <f>IFERROR(T_reg.root.SK[[#This Row],[Price]]/T_reg.root.SK[[#This Row],[Starch content]],"")</f>
        <v>9.7207109176641282</v>
      </c>
    </row>
    <row r="7257" spans="1:14">
      <c r="A7257" s="21">
        <v>2026</v>
      </c>
      <c r="B7257" s="21" t="s">
        <v>19</v>
      </c>
      <c r="C7257" s="21" t="s">
        <v>1145</v>
      </c>
      <c r="D7257" s="21" t="s">
        <v>39</v>
      </c>
      <c r="E7257" s="17" t="s">
        <v>346</v>
      </c>
      <c r="F7257" s="17" t="s">
        <v>99</v>
      </c>
      <c r="G7257" s="18" t="s">
        <v>42</v>
      </c>
      <c r="H7257" s="24">
        <v>382080</v>
      </c>
      <c r="I7257" s="24">
        <f>T_reg.root.SK[[#This Row],[Volume, kg]]/1000</f>
        <v>382.08</v>
      </c>
      <c r="J7257" s="25">
        <v>0.24850000000000003</v>
      </c>
      <c r="K7257" s="25">
        <f t="shared" si="114"/>
        <v>94946.880000000005</v>
      </c>
      <c r="L7257" s="25">
        <v>2.85</v>
      </c>
      <c r="M7257" s="24">
        <v>1088189</v>
      </c>
      <c r="N7257" s="25">
        <f>IFERROR(T_reg.root.SK[[#This Row],[Price]]/T_reg.root.SK[[#This Row],[Starch content]],"")</f>
        <v>11.468812877263581</v>
      </c>
    </row>
    <row r="7258" spans="1:14">
      <c r="A7258" s="21">
        <v>2026</v>
      </c>
      <c r="B7258" s="21" t="s">
        <v>19</v>
      </c>
      <c r="C7258" s="21" t="s">
        <v>1145</v>
      </c>
      <c r="D7258" s="21" t="s">
        <v>35</v>
      </c>
      <c r="E7258" s="17" t="s">
        <v>946</v>
      </c>
      <c r="F7258" s="17" t="s">
        <v>105</v>
      </c>
      <c r="G7258" s="18" t="s">
        <v>48</v>
      </c>
      <c r="H7258" s="24">
        <v>45410</v>
      </c>
      <c r="I7258" s="24">
        <f>T_reg.root.SK[[#This Row],[Volume, kg]]/1000</f>
        <v>45.41</v>
      </c>
      <c r="J7258" s="25">
        <v>0.28820000000000001</v>
      </c>
      <c r="K7258" s="25">
        <f t="shared" si="114"/>
        <v>13087.162</v>
      </c>
      <c r="L7258" s="25">
        <v>2.78</v>
      </c>
      <c r="M7258" s="24">
        <v>126102.5</v>
      </c>
      <c r="N7258" s="25">
        <f>IFERROR(T_reg.root.SK[[#This Row],[Price]]/T_reg.root.SK[[#This Row],[Starch content]],"")</f>
        <v>9.6460791117279658</v>
      </c>
    </row>
    <row r="7259" spans="1:14">
      <c r="A7259" s="21">
        <v>2026</v>
      </c>
      <c r="B7259" s="21" t="s">
        <v>19</v>
      </c>
      <c r="C7259" s="21" t="s">
        <v>1145</v>
      </c>
      <c r="D7259" s="21" t="s">
        <v>35</v>
      </c>
      <c r="E7259" s="17" t="s">
        <v>975</v>
      </c>
      <c r="F7259" s="17" t="s">
        <v>105</v>
      </c>
      <c r="G7259" s="18" t="s">
        <v>48</v>
      </c>
      <c r="H7259" s="24">
        <v>16100</v>
      </c>
      <c r="I7259" s="24">
        <f>T_reg.root.SK[[#This Row],[Volume, kg]]/1000</f>
        <v>16.100000000000001</v>
      </c>
      <c r="J7259" s="25">
        <v>0.25290000000000001</v>
      </c>
      <c r="K7259" s="25">
        <f t="shared" si="114"/>
        <v>4071.69</v>
      </c>
      <c r="L7259" s="25">
        <v>2.61</v>
      </c>
      <c r="M7259" s="24">
        <v>42064</v>
      </c>
      <c r="N7259" s="25">
        <f>IFERROR(T_reg.root.SK[[#This Row],[Price]]/T_reg.root.SK[[#This Row],[Starch content]],"")</f>
        <v>10.320284697508896</v>
      </c>
    </row>
    <row r="7260" spans="1:14">
      <c r="A7260" s="21">
        <v>2026</v>
      </c>
      <c r="B7260" s="21" t="s">
        <v>19</v>
      </c>
      <c r="C7260" s="21" t="s">
        <v>1145</v>
      </c>
      <c r="D7260" s="21" t="s">
        <v>35</v>
      </c>
      <c r="E7260" s="17" t="s">
        <v>124</v>
      </c>
      <c r="F7260" s="17" t="s">
        <v>105</v>
      </c>
      <c r="G7260" s="18" t="s">
        <v>48</v>
      </c>
      <c r="H7260" s="24">
        <v>108900</v>
      </c>
      <c r="I7260" s="24">
        <f>T_reg.root.SK[[#This Row],[Volume, kg]]/1000</f>
        <v>108.9</v>
      </c>
      <c r="J7260" s="25">
        <v>0.26550000000000001</v>
      </c>
      <c r="K7260" s="25">
        <f t="shared" si="114"/>
        <v>28912.95</v>
      </c>
      <c r="L7260" s="25">
        <v>2.68</v>
      </c>
      <c r="M7260" s="24">
        <v>291714.5</v>
      </c>
      <c r="N7260" s="25">
        <f>IFERROR(T_reg.root.SK[[#This Row],[Price]]/T_reg.root.SK[[#This Row],[Starch content]],"")</f>
        <v>10.094161958568739</v>
      </c>
    </row>
    <row r="7261" spans="1:14">
      <c r="A7261" s="21">
        <v>2026</v>
      </c>
      <c r="B7261" s="21" t="s">
        <v>19</v>
      </c>
      <c r="C7261" s="21" t="s">
        <v>1145</v>
      </c>
      <c r="D7261" s="21" t="s">
        <v>35</v>
      </c>
      <c r="E7261" s="17" t="s">
        <v>404</v>
      </c>
      <c r="F7261" s="17" t="s">
        <v>105</v>
      </c>
      <c r="G7261" s="18" t="s">
        <v>48</v>
      </c>
      <c r="H7261" s="24">
        <v>10090</v>
      </c>
      <c r="I7261" s="24">
        <f>T_reg.root.SK[[#This Row],[Volume, kg]]/1000</f>
        <v>10.09</v>
      </c>
      <c r="J7261" s="25">
        <v>0.26300000000000001</v>
      </c>
      <c r="K7261" s="25">
        <f t="shared" si="114"/>
        <v>2653.67</v>
      </c>
      <c r="L7261" s="25">
        <v>2.65</v>
      </c>
      <c r="M7261" s="24">
        <v>26738.5</v>
      </c>
      <c r="N7261" s="25">
        <f>IFERROR(T_reg.root.SK[[#This Row],[Price]]/T_reg.root.SK[[#This Row],[Starch content]],"")</f>
        <v>10.076045627376425</v>
      </c>
    </row>
    <row r="7262" spans="1:14">
      <c r="A7262" s="21">
        <v>2026</v>
      </c>
      <c r="B7262" s="21" t="s">
        <v>19</v>
      </c>
      <c r="C7262" s="21" t="s">
        <v>1145</v>
      </c>
      <c r="D7262" s="21" t="s">
        <v>35</v>
      </c>
      <c r="E7262" s="17" t="s">
        <v>486</v>
      </c>
      <c r="F7262" s="17" t="s">
        <v>105</v>
      </c>
      <c r="G7262" s="18" t="s">
        <v>48</v>
      </c>
      <c r="H7262" s="24">
        <v>5910</v>
      </c>
      <c r="I7262" s="24">
        <f>T_reg.root.SK[[#This Row],[Volume, kg]]/1000</f>
        <v>5.91</v>
      </c>
      <c r="J7262" s="25">
        <v>0.30249999999999999</v>
      </c>
      <c r="K7262" s="25">
        <f t="shared" si="114"/>
        <v>1787.7749999999999</v>
      </c>
      <c r="L7262" s="25">
        <v>2.85</v>
      </c>
      <c r="M7262" s="24">
        <v>16843.5</v>
      </c>
      <c r="N7262" s="25">
        <f>IFERROR(T_reg.root.SK[[#This Row],[Price]]/T_reg.root.SK[[#This Row],[Starch content]],"")</f>
        <v>9.4214876033057848</v>
      </c>
    </row>
    <row r="7263" spans="1:14">
      <c r="A7263" s="21">
        <v>2026</v>
      </c>
      <c r="B7263" s="21" t="s">
        <v>19</v>
      </c>
      <c r="C7263" s="21" t="s">
        <v>1145</v>
      </c>
      <c r="D7263" s="21" t="s">
        <v>35</v>
      </c>
      <c r="E7263" s="17" t="s">
        <v>715</v>
      </c>
      <c r="F7263" s="17" t="s">
        <v>105</v>
      </c>
      <c r="G7263" s="18" t="s">
        <v>48</v>
      </c>
      <c r="H7263" s="24">
        <v>9880</v>
      </c>
      <c r="I7263" s="24">
        <f>T_reg.root.SK[[#This Row],[Volume, kg]]/1000</f>
        <v>9.8800000000000008</v>
      </c>
      <c r="J7263" s="25">
        <v>0.26600000000000001</v>
      </c>
      <c r="K7263" s="25">
        <f t="shared" si="114"/>
        <v>2628.08</v>
      </c>
      <c r="L7263" s="25">
        <v>2.7</v>
      </c>
      <c r="M7263" s="24">
        <v>26676</v>
      </c>
      <c r="N7263" s="25">
        <f>IFERROR(T_reg.root.SK[[#This Row],[Price]]/T_reg.root.SK[[#This Row],[Starch content]],"")</f>
        <v>10.150375939849624</v>
      </c>
    </row>
    <row r="7264" spans="1:14">
      <c r="A7264" s="21">
        <v>2026</v>
      </c>
      <c r="B7264" s="21" t="s">
        <v>19</v>
      </c>
      <c r="C7264" s="21" t="s">
        <v>1145</v>
      </c>
      <c r="D7264" s="21" t="s">
        <v>35</v>
      </c>
      <c r="E7264" s="17" t="s">
        <v>977</v>
      </c>
      <c r="F7264" s="17" t="s">
        <v>105</v>
      </c>
      <c r="G7264" s="18" t="s">
        <v>48</v>
      </c>
      <c r="H7264" s="24">
        <v>10880</v>
      </c>
      <c r="I7264" s="24">
        <f>T_reg.root.SK[[#This Row],[Volume, kg]]/1000</f>
        <v>10.88</v>
      </c>
      <c r="J7264" s="25">
        <v>0.23309999999999997</v>
      </c>
      <c r="K7264" s="25">
        <f t="shared" si="114"/>
        <v>2536.1279999999997</v>
      </c>
      <c r="L7264" s="25">
        <v>2.5299999999999998</v>
      </c>
      <c r="M7264" s="24">
        <v>27498.5</v>
      </c>
      <c r="N7264" s="25">
        <f>IFERROR(T_reg.root.SK[[#This Row],[Price]]/T_reg.root.SK[[#This Row],[Starch content]],"")</f>
        <v>10.853710853710854</v>
      </c>
    </row>
    <row r="7265" spans="1:14">
      <c r="A7265" s="21">
        <v>2026</v>
      </c>
      <c r="B7265" s="21" t="s">
        <v>19</v>
      </c>
      <c r="C7265" s="21" t="s">
        <v>1145</v>
      </c>
      <c r="D7265" s="21" t="s">
        <v>35</v>
      </c>
      <c r="E7265" s="17" t="s">
        <v>465</v>
      </c>
      <c r="F7265" s="17" t="s">
        <v>47</v>
      </c>
      <c r="G7265" s="18" t="s">
        <v>48</v>
      </c>
      <c r="H7265" s="24">
        <v>48220</v>
      </c>
      <c r="I7265" s="24">
        <f>T_reg.root.SK[[#This Row],[Volume, kg]]/1000</f>
        <v>48.22</v>
      </c>
      <c r="J7265" s="25">
        <v>0.21010000000000001</v>
      </c>
      <c r="K7265" s="25">
        <f t="shared" si="114"/>
        <v>10131.022000000001</v>
      </c>
      <c r="L7265" s="25">
        <v>2.35</v>
      </c>
      <c r="M7265" s="24">
        <v>113169.5</v>
      </c>
      <c r="N7265" s="25">
        <f>IFERROR(T_reg.root.SK[[#This Row],[Price]]/T_reg.root.SK[[#This Row],[Starch content]],"")</f>
        <v>11.185149928605426</v>
      </c>
    </row>
    <row r="7266" spans="1:14">
      <c r="A7266" s="21">
        <v>2026</v>
      </c>
      <c r="B7266" s="21" t="s">
        <v>19</v>
      </c>
      <c r="C7266" s="21" t="s">
        <v>1145</v>
      </c>
      <c r="D7266" s="21" t="s">
        <v>35</v>
      </c>
      <c r="E7266" s="17" t="s">
        <v>58</v>
      </c>
      <c r="F7266" s="17" t="s">
        <v>47</v>
      </c>
      <c r="G7266" s="18" t="s">
        <v>48</v>
      </c>
      <c r="H7266" s="24">
        <v>11370</v>
      </c>
      <c r="I7266" s="24">
        <f>T_reg.root.SK[[#This Row],[Volume, kg]]/1000</f>
        <v>11.37</v>
      </c>
      <c r="J7266" s="25">
        <v>0.247</v>
      </c>
      <c r="K7266" s="25">
        <f t="shared" si="114"/>
        <v>2808.39</v>
      </c>
      <c r="L7266" s="25">
        <v>2.5499999999999998</v>
      </c>
      <c r="M7266" s="24">
        <v>28958</v>
      </c>
      <c r="N7266" s="25">
        <f>IFERROR(T_reg.root.SK[[#This Row],[Price]]/T_reg.root.SK[[#This Row],[Starch content]],"")</f>
        <v>10.323886639676113</v>
      </c>
    </row>
    <row r="7267" spans="1:14">
      <c r="A7267" s="21">
        <v>2026</v>
      </c>
      <c r="B7267" s="21" t="s">
        <v>19</v>
      </c>
      <c r="C7267" s="21" t="s">
        <v>1145</v>
      </c>
      <c r="D7267" s="21" t="s">
        <v>35</v>
      </c>
      <c r="E7267" s="17" t="s">
        <v>601</v>
      </c>
      <c r="F7267" s="17" t="s">
        <v>105</v>
      </c>
      <c r="G7267" s="18" t="s">
        <v>48</v>
      </c>
      <c r="H7267" s="24">
        <v>7850</v>
      </c>
      <c r="I7267" s="24">
        <f>T_reg.root.SK[[#This Row],[Volume, kg]]/1000</f>
        <v>7.85</v>
      </c>
      <c r="J7267" s="25">
        <v>0.30549999999999999</v>
      </c>
      <c r="K7267" s="25">
        <f t="shared" si="114"/>
        <v>2398.1749999999997</v>
      </c>
      <c r="L7267" s="25">
        <v>2.9</v>
      </c>
      <c r="M7267" s="24">
        <v>22765</v>
      </c>
      <c r="N7267" s="25">
        <f>IFERROR(T_reg.root.SK[[#This Row],[Price]]/T_reg.root.SK[[#This Row],[Starch content]],"")</f>
        <v>9.4926350245499176</v>
      </c>
    </row>
    <row r="7268" spans="1:14">
      <c r="A7268" s="21">
        <v>2026</v>
      </c>
      <c r="B7268" s="21" t="s">
        <v>19</v>
      </c>
      <c r="C7268" s="21" t="s">
        <v>1145</v>
      </c>
      <c r="D7268" s="21" t="s">
        <v>35</v>
      </c>
      <c r="E7268" s="17" t="s">
        <v>590</v>
      </c>
      <c r="F7268" s="17" t="s">
        <v>187</v>
      </c>
      <c r="G7268" s="18" t="s">
        <v>48</v>
      </c>
      <c r="H7268" s="24">
        <v>8810</v>
      </c>
      <c r="I7268" s="24">
        <f>T_reg.root.SK[[#This Row],[Volume, kg]]/1000</f>
        <v>8.81</v>
      </c>
      <c r="J7268" s="25">
        <v>0.29899999999999999</v>
      </c>
      <c r="K7268" s="25">
        <f t="shared" si="114"/>
        <v>2634.19</v>
      </c>
      <c r="L7268" s="25">
        <v>2.85</v>
      </c>
      <c r="M7268" s="24">
        <v>25108.5</v>
      </c>
      <c r="N7268" s="25">
        <f>IFERROR(T_reg.root.SK[[#This Row],[Price]]/T_reg.root.SK[[#This Row],[Starch content]],"")</f>
        <v>9.5317725752508373</v>
      </c>
    </row>
    <row r="7269" spans="1:14">
      <c r="A7269" s="21">
        <v>2026</v>
      </c>
      <c r="B7269" s="21" t="s">
        <v>19</v>
      </c>
      <c r="C7269" s="21" t="s">
        <v>1145</v>
      </c>
      <c r="D7269" s="21" t="s">
        <v>35</v>
      </c>
      <c r="E7269" s="17" t="s">
        <v>602</v>
      </c>
      <c r="F7269" s="17" t="s">
        <v>105</v>
      </c>
      <c r="G7269" s="18" t="s">
        <v>48</v>
      </c>
      <c r="H7269" s="24">
        <v>18640</v>
      </c>
      <c r="I7269" s="24">
        <f>T_reg.root.SK[[#This Row],[Volume, kg]]/1000</f>
        <v>18.64</v>
      </c>
      <c r="J7269" s="25">
        <v>0.19409999999999999</v>
      </c>
      <c r="K7269" s="25">
        <f t="shared" si="114"/>
        <v>3618.0239999999999</v>
      </c>
      <c r="L7269" s="25">
        <v>2.33</v>
      </c>
      <c r="M7269" s="24">
        <v>43351.5</v>
      </c>
      <c r="N7269" s="25">
        <f>IFERROR(T_reg.root.SK[[#This Row],[Price]]/T_reg.root.SK[[#This Row],[Starch content]],"")</f>
        <v>12.004121586810923</v>
      </c>
    </row>
    <row r="7270" spans="1:14">
      <c r="A7270" s="21">
        <v>2026</v>
      </c>
      <c r="B7270" s="21" t="s">
        <v>19</v>
      </c>
      <c r="C7270" s="21" t="s">
        <v>1145</v>
      </c>
      <c r="D7270" s="21" t="s">
        <v>35</v>
      </c>
      <c r="E7270" s="17" t="s">
        <v>59</v>
      </c>
      <c r="F7270" s="17" t="s">
        <v>47</v>
      </c>
      <c r="G7270" s="18" t="s">
        <v>48</v>
      </c>
      <c r="H7270" s="24">
        <v>7150</v>
      </c>
      <c r="I7270" s="24">
        <f>T_reg.root.SK[[#This Row],[Volume, kg]]/1000</f>
        <v>7.15</v>
      </c>
      <c r="J7270" s="25">
        <v>0.25</v>
      </c>
      <c r="K7270" s="25">
        <f t="shared" si="114"/>
        <v>1787.5</v>
      </c>
      <c r="L7270" s="25">
        <v>2.6</v>
      </c>
      <c r="M7270" s="24">
        <v>18590</v>
      </c>
      <c r="N7270" s="25">
        <f>IFERROR(T_reg.root.SK[[#This Row],[Price]]/T_reg.root.SK[[#This Row],[Starch content]],"")</f>
        <v>10.4</v>
      </c>
    </row>
    <row r="7271" spans="1:14">
      <c r="A7271" s="21">
        <v>2026</v>
      </c>
      <c r="B7271" s="21" t="s">
        <v>19</v>
      </c>
      <c r="C7271" s="21" t="s">
        <v>1145</v>
      </c>
      <c r="D7271" s="21" t="s">
        <v>35</v>
      </c>
      <c r="E7271" s="17" t="s">
        <v>643</v>
      </c>
      <c r="F7271" s="17" t="s">
        <v>47</v>
      </c>
      <c r="G7271" s="18" t="s">
        <v>48</v>
      </c>
      <c r="H7271" s="24">
        <v>35630</v>
      </c>
      <c r="I7271" s="24">
        <f>T_reg.root.SK[[#This Row],[Volume, kg]]/1000</f>
        <v>35.630000000000003</v>
      </c>
      <c r="J7271" s="25">
        <v>0.26039999999999996</v>
      </c>
      <c r="K7271" s="25">
        <f t="shared" si="114"/>
        <v>9278.0519999999979</v>
      </c>
      <c r="L7271" s="25">
        <v>2.6</v>
      </c>
      <c r="M7271" s="24">
        <v>92531</v>
      </c>
      <c r="N7271" s="25">
        <f>IFERROR(T_reg.root.SK[[#This Row],[Price]]/T_reg.root.SK[[#This Row],[Starch content]],"")</f>
        <v>9.9846390168970824</v>
      </c>
    </row>
    <row r="7272" spans="1:14">
      <c r="A7272" s="21">
        <v>2026</v>
      </c>
      <c r="B7272" s="21" t="s">
        <v>19</v>
      </c>
      <c r="C7272" s="21" t="s">
        <v>1145</v>
      </c>
      <c r="D7272" s="21" t="s">
        <v>35</v>
      </c>
      <c r="E7272" s="17" t="s">
        <v>196</v>
      </c>
      <c r="F7272" s="17" t="s">
        <v>187</v>
      </c>
      <c r="G7272" s="18" t="s">
        <v>48</v>
      </c>
      <c r="H7272" s="24">
        <v>20480</v>
      </c>
      <c r="I7272" s="24">
        <f>T_reg.root.SK[[#This Row],[Volume, kg]]/1000</f>
        <v>20.48</v>
      </c>
      <c r="J7272" s="25">
        <v>0.25230000000000002</v>
      </c>
      <c r="K7272" s="25">
        <f t="shared" si="114"/>
        <v>5167.1040000000003</v>
      </c>
      <c r="L7272" s="25">
        <v>2.5499999999999998</v>
      </c>
      <c r="M7272" s="24">
        <v>52227</v>
      </c>
      <c r="N7272" s="25">
        <f>IFERROR(T_reg.root.SK[[#This Row],[Price]]/T_reg.root.SK[[#This Row],[Starch content]],"")</f>
        <v>10.107015457788345</v>
      </c>
    </row>
    <row r="7273" spans="1:14">
      <c r="A7273" s="21">
        <v>2026</v>
      </c>
      <c r="B7273" s="21" t="s">
        <v>19</v>
      </c>
      <c r="C7273" s="21" t="s">
        <v>1145</v>
      </c>
      <c r="D7273" s="21" t="s">
        <v>35</v>
      </c>
      <c r="E7273" s="17" t="s">
        <v>1049</v>
      </c>
      <c r="F7273" s="17" t="s">
        <v>105</v>
      </c>
      <c r="G7273" s="18" t="s">
        <v>48</v>
      </c>
      <c r="H7273" s="24">
        <v>35160</v>
      </c>
      <c r="I7273" s="24">
        <f>T_reg.root.SK[[#This Row],[Volume, kg]]/1000</f>
        <v>35.159999999999997</v>
      </c>
      <c r="J7273" s="25">
        <v>0.28670000000000001</v>
      </c>
      <c r="K7273" s="25">
        <f t="shared" si="114"/>
        <v>10080.372000000001</v>
      </c>
      <c r="L7273" s="25">
        <v>2.74</v>
      </c>
      <c r="M7273" s="24">
        <v>96264</v>
      </c>
      <c r="N7273" s="25">
        <f>IFERROR(T_reg.root.SK[[#This Row],[Price]]/T_reg.root.SK[[#This Row],[Starch content]],"")</f>
        <v>9.5570282525287755</v>
      </c>
    </row>
    <row r="7274" spans="1:14">
      <c r="A7274" s="21">
        <v>2026</v>
      </c>
      <c r="B7274" s="21" t="s">
        <v>19</v>
      </c>
      <c r="C7274" s="21" t="s">
        <v>1145</v>
      </c>
      <c r="D7274" s="21" t="s">
        <v>35</v>
      </c>
      <c r="E7274" s="17" t="s">
        <v>1009</v>
      </c>
      <c r="F7274" s="17" t="s">
        <v>105</v>
      </c>
      <c r="G7274" s="18" t="s">
        <v>48</v>
      </c>
      <c r="H7274" s="24">
        <v>181520</v>
      </c>
      <c r="I7274" s="24">
        <f>T_reg.root.SK[[#This Row],[Volume, kg]]/1000</f>
        <v>181.52</v>
      </c>
      <c r="J7274" s="25">
        <v>0.25629999999999997</v>
      </c>
      <c r="K7274" s="25">
        <f t="shared" si="114"/>
        <v>46523.575999999994</v>
      </c>
      <c r="L7274" s="25">
        <v>2.61</v>
      </c>
      <c r="M7274" s="24">
        <v>473790</v>
      </c>
      <c r="N7274" s="25">
        <f>IFERROR(T_reg.root.SK[[#This Row],[Price]]/T_reg.root.SK[[#This Row],[Starch content]],"")</f>
        <v>10.183378852906751</v>
      </c>
    </row>
    <row r="7275" spans="1:14">
      <c r="A7275" s="21">
        <v>2026</v>
      </c>
      <c r="B7275" s="21" t="s">
        <v>19</v>
      </c>
      <c r="C7275" s="21" t="s">
        <v>1145</v>
      </c>
      <c r="D7275" s="21" t="s">
        <v>39</v>
      </c>
      <c r="E7275" s="17" t="s">
        <v>1073</v>
      </c>
      <c r="F7275" s="17" t="s">
        <v>89</v>
      </c>
      <c r="G7275" s="18" t="s">
        <v>90</v>
      </c>
      <c r="H7275" s="24">
        <v>2989920</v>
      </c>
      <c r="I7275" s="24">
        <f>T_reg.root.SK[[#This Row],[Volume, kg]]/1000</f>
        <v>2989.92</v>
      </c>
      <c r="J7275" s="25">
        <v>0.26500000000000001</v>
      </c>
      <c r="K7275" s="25">
        <f t="shared" si="114"/>
        <v>792328.8</v>
      </c>
      <c r="L7275" s="25">
        <v>2.94</v>
      </c>
      <c r="M7275" s="24">
        <v>8804685</v>
      </c>
      <c r="N7275" s="25">
        <f>IFERROR(T_reg.root.SK[[#This Row],[Price]]/T_reg.root.SK[[#This Row],[Starch content]],"")</f>
        <v>11.094339622641508</v>
      </c>
    </row>
    <row r="7276" spans="1:14">
      <c r="A7276" s="21">
        <v>2026</v>
      </c>
      <c r="B7276" s="21" t="s">
        <v>19</v>
      </c>
      <c r="C7276" s="21" t="s">
        <v>1145</v>
      </c>
      <c r="D7276" s="21" t="s">
        <v>35</v>
      </c>
      <c r="E7276" s="17" t="s">
        <v>1115</v>
      </c>
      <c r="F7276" s="17" t="s">
        <v>105</v>
      </c>
      <c r="G7276" s="18" t="s">
        <v>48</v>
      </c>
      <c r="H7276" s="24">
        <v>27080</v>
      </c>
      <c r="I7276" s="24">
        <f>T_reg.root.SK[[#This Row],[Volume, kg]]/1000</f>
        <v>27.08</v>
      </c>
      <c r="J7276" s="25">
        <v>0.26600000000000001</v>
      </c>
      <c r="K7276" s="25">
        <f t="shared" si="114"/>
        <v>7203.2800000000007</v>
      </c>
      <c r="L7276" s="25">
        <v>2.69</v>
      </c>
      <c r="M7276" s="24">
        <v>72714</v>
      </c>
      <c r="N7276" s="25">
        <f>IFERROR(T_reg.root.SK[[#This Row],[Price]]/T_reg.root.SK[[#This Row],[Starch content]],"")</f>
        <v>10.112781954887216</v>
      </c>
    </row>
    <row r="7277" spans="1:14">
      <c r="A7277" s="21">
        <v>2026</v>
      </c>
      <c r="B7277" s="21" t="s">
        <v>19</v>
      </c>
      <c r="C7277" s="21" t="s">
        <v>1145</v>
      </c>
      <c r="D7277" s="21" t="s">
        <v>35</v>
      </c>
      <c r="E7277" s="17" t="s">
        <v>223</v>
      </c>
      <c r="F7277" s="17" t="s">
        <v>47</v>
      </c>
      <c r="G7277" s="18" t="s">
        <v>48</v>
      </c>
      <c r="H7277" s="24">
        <v>7760</v>
      </c>
      <c r="I7277" s="24">
        <f>T_reg.root.SK[[#This Row],[Volume, kg]]/1000</f>
        <v>7.76</v>
      </c>
      <c r="J7277" s="25">
        <v>0.24</v>
      </c>
      <c r="K7277" s="25">
        <f t="shared" si="114"/>
        <v>1862.3999999999999</v>
      </c>
      <c r="L7277" s="25">
        <v>2.5499999999999998</v>
      </c>
      <c r="M7277" s="24">
        <v>19788</v>
      </c>
      <c r="N7277" s="25">
        <f>IFERROR(T_reg.root.SK[[#This Row],[Price]]/T_reg.root.SK[[#This Row],[Starch content]],"")</f>
        <v>10.625</v>
      </c>
    </row>
    <row r="7278" spans="1:14">
      <c r="A7278" s="21">
        <v>2026</v>
      </c>
      <c r="B7278" s="21" t="s">
        <v>19</v>
      </c>
      <c r="C7278" s="21" t="s">
        <v>1145</v>
      </c>
      <c r="D7278" s="21" t="s">
        <v>35</v>
      </c>
      <c r="E7278" s="17" t="s">
        <v>1098</v>
      </c>
      <c r="F7278" s="17" t="s">
        <v>105</v>
      </c>
      <c r="G7278" s="18" t="s">
        <v>48</v>
      </c>
      <c r="H7278" s="24">
        <v>35250</v>
      </c>
      <c r="I7278" s="24">
        <f>T_reg.root.SK[[#This Row],[Volume, kg]]/1000</f>
        <v>35.25</v>
      </c>
      <c r="J7278" s="25">
        <v>0.20960000000000001</v>
      </c>
      <c r="K7278" s="25">
        <f t="shared" si="114"/>
        <v>7388.4000000000005</v>
      </c>
      <c r="L7278" s="25">
        <v>2.39</v>
      </c>
      <c r="M7278" s="24">
        <v>84398</v>
      </c>
      <c r="N7278" s="25">
        <f>IFERROR(T_reg.root.SK[[#This Row],[Price]]/T_reg.root.SK[[#This Row],[Starch content]],"")</f>
        <v>11.402671755725191</v>
      </c>
    </row>
    <row r="7279" spans="1:14">
      <c r="A7279" s="21">
        <v>2026</v>
      </c>
      <c r="B7279" s="21" t="s">
        <v>19</v>
      </c>
      <c r="C7279" s="21" t="s">
        <v>1145</v>
      </c>
      <c r="D7279" s="21" t="s">
        <v>35</v>
      </c>
      <c r="E7279" s="17" t="s">
        <v>949</v>
      </c>
      <c r="F7279" s="17" t="s">
        <v>105</v>
      </c>
      <c r="G7279" s="18" t="s">
        <v>48</v>
      </c>
      <c r="H7279" s="24">
        <v>18520</v>
      </c>
      <c r="I7279" s="24">
        <f>T_reg.root.SK[[#This Row],[Volume, kg]]/1000</f>
        <v>18.52</v>
      </c>
      <c r="J7279" s="25">
        <v>0.28749999999999998</v>
      </c>
      <c r="K7279" s="25">
        <f t="shared" ref="K7279:K7342" si="115">H7279*J7279</f>
        <v>5324.5</v>
      </c>
      <c r="L7279" s="25">
        <v>2.8</v>
      </c>
      <c r="M7279" s="24">
        <v>51780</v>
      </c>
      <c r="N7279" s="25">
        <f>IFERROR(T_reg.root.SK[[#This Row],[Price]]/T_reg.root.SK[[#This Row],[Starch content]],"")</f>
        <v>9.7391304347826093</v>
      </c>
    </row>
    <row r="7280" spans="1:14">
      <c r="A7280" s="21">
        <v>2026</v>
      </c>
      <c r="B7280" s="21" t="s">
        <v>19</v>
      </c>
      <c r="C7280" s="21" t="s">
        <v>1145</v>
      </c>
      <c r="D7280" s="21" t="s">
        <v>35</v>
      </c>
      <c r="E7280" s="17" t="s">
        <v>133</v>
      </c>
      <c r="F7280" s="17" t="s">
        <v>105</v>
      </c>
      <c r="G7280" s="18" t="s">
        <v>48</v>
      </c>
      <c r="H7280" s="24">
        <v>51790</v>
      </c>
      <c r="I7280" s="24">
        <f>T_reg.root.SK[[#This Row],[Volume, kg]]/1000</f>
        <v>51.79</v>
      </c>
      <c r="J7280" s="25">
        <v>0.27089999999999997</v>
      </c>
      <c r="K7280" s="25">
        <f t="shared" si="115"/>
        <v>14029.910999999998</v>
      </c>
      <c r="L7280" s="25">
        <v>2.67</v>
      </c>
      <c r="M7280" s="24">
        <v>138233</v>
      </c>
      <c r="N7280" s="25">
        <f>IFERROR(T_reg.root.SK[[#This Row],[Price]]/T_reg.root.SK[[#This Row],[Starch content]],"")</f>
        <v>9.856035437430787</v>
      </c>
    </row>
    <row r="7281" spans="1:14">
      <c r="A7281" s="21">
        <v>2026</v>
      </c>
      <c r="B7281" s="21" t="s">
        <v>19</v>
      </c>
      <c r="C7281" s="21" t="s">
        <v>1145</v>
      </c>
      <c r="D7281" s="21" t="s">
        <v>35</v>
      </c>
      <c r="E7281" s="17" t="s">
        <v>1116</v>
      </c>
      <c r="F7281" s="17" t="s">
        <v>187</v>
      </c>
      <c r="G7281" s="18" t="s">
        <v>48</v>
      </c>
      <c r="H7281" s="24">
        <v>46980</v>
      </c>
      <c r="I7281" s="24">
        <f>T_reg.root.SK[[#This Row],[Volume, kg]]/1000</f>
        <v>46.98</v>
      </c>
      <c r="J7281" s="25">
        <v>0.2737</v>
      </c>
      <c r="K7281" s="25">
        <f t="shared" si="115"/>
        <v>12858.425999999999</v>
      </c>
      <c r="L7281" s="25">
        <v>2.73</v>
      </c>
      <c r="M7281" s="24">
        <v>128239</v>
      </c>
      <c r="N7281" s="25">
        <f>IFERROR(T_reg.root.SK[[#This Row],[Price]]/T_reg.root.SK[[#This Row],[Starch content]],"")</f>
        <v>9.9744245524296673</v>
      </c>
    </row>
    <row r="7282" spans="1:14">
      <c r="A7282" s="21">
        <v>2026</v>
      </c>
      <c r="B7282" s="21" t="s">
        <v>19</v>
      </c>
      <c r="C7282" s="21" t="s">
        <v>1145</v>
      </c>
      <c r="D7282" s="21" t="s">
        <v>35</v>
      </c>
      <c r="E7282" s="17" t="s">
        <v>199</v>
      </c>
      <c r="F7282" s="17" t="s">
        <v>187</v>
      </c>
      <c r="G7282" s="18" t="s">
        <v>48</v>
      </c>
      <c r="H7282" s="24">
        <v>13370</v>
      </c>
      <c r="I7282" s="24">
        <f>T_reg.root.SK[[#This Row],[Volume, kg]]/1000</f>
        <v>13.37</v>
      </c>
      <c r="J7282" s="25">
        <v>0.30299999999999999</v>
      </c>
      <c r="K7282" s="25">
        <f t="shared" si="115"/>
        <v>4051.1099999999997</v>
      </c>
      <c r="L7282" s="25">
        <v>2.85</v>
      </c>
      <c r="M7282" s="24">
        <v>38104.5</v>
      </c>
      <c r="N7282" s="25">
        <f>IFERROR(T_reg.root.SK[[#This Row],[Price]]/T_reg.root.SK[[#This Row],[Starch content]],"")</f>
        <v>9.4059405940594072</v>
      </c>
    </row>
    <row r="7283" spans="1:14">
      <c r="A7283" s="21">
        <v>2026</v>
      </c>
      <c r="B7283" s="21" t="s">
        <v>19</v>
      </c>
      <c r="C7283" s="21" t="s">
        <v>1145</v>
      </c>
      <c r="D7283" s="21" t="s">
        <v>35</v>
      </c>
      <c r="E7283" s="17" t="s">
        <v>136</v>
      </c>
      <c r="F7283" s="17" t="s">
        <v>105</v>
      </c>
      <c r="G7283" s="18" t="s">
        <v>48</v>
      </c>
      <c r="H7283" s="24">
        <v>22560</v>
      </c>
      <c r="I7283" s="24">
        <f>T_reg.root.SK[[#This Row],[Volume, kg]]/1000</f>
        <v>22.56</v>
      </c>
      <c r="J7283" s="25">
        <v>0.29089999999999999</v>
      </c>
      <c r="K7283" s="25">
        <f t="shared" si="115"/>
        <v>6562.7039999999997</v>
      </c>
      <c r="L7283" s="25">
        <v>2.75</v>
      </c>
      <c r="M7283" s="24">
        <v>62040</v>
      </c>
      <c r="N7283" s="25">
        <f>IFERROR(T_reg.root.SK[[#This Row],[Price]]/T_reg.root.SK[[#This Row],[Starch content]],"")</f>
        <v>9.453420419388106</v>
      </c>
    </row>
    <row r="7284" spans="1:14">
      <c r="A7284" s="21">
        <v>2026</v>
      </c>
      <c r="B7284" s="21" t="s">
        <v>19</v>
      </c>
      <c r="C7284" s="21" t="s">
        <v>1145</v>
      </c>
      <c r="D7284" s="21" t="s">
        <v>39</v>
      </c>
      <c r="E7284" s="17" t="s">
        <v>1063</v>
      </c>
      <c r="F7284" s="17" t="s">
        <v>1064</v>
      </c>
      <c r="G7284" s="18" t="s">
        <v>220</v>
      </c>
      <c r="H7284" s="24">
        <v>118340</v>
      </c>
      <c r="I7284" s="24">
        <f>T_reg.root.SK[[#This Row],[Volume, kg]]/1000</f>
        <v>118.34</v>
      </c>
      <c r="J7284" s="25">
        <v>0.27010000000000001</v>
      </c>
      <c r="K7284" s="25">
        <f t="shared" si="115"/>
        <v>31963.634000000002</v>
      </c>
      <c r="L7284" s="25">
        <v>3.01</v>
      </c>
      <c r="M7284" s="24">
        <v>356610.5</v>
      </c>
      <c r="N7284" s="25">
        <f>IFERROR(T_reg.root.SK[[#This Row],[Price]]/T_reg.root.SK[[#This Row],[Starch content]],"")</f>
        <v>11.144020733061827</v>
      </c>
    </row>
    <row r="7285" spans="1:14">
      <c r="A7285" s="21">
        <v>2026</v>
      </c>
      <c r="B7285" s="21" t="s">
        <v>19</v>
      </c>
      <c r="C7285" s="21" t="s">
        <v>1145</v>
      </c>
      <c r="D7285" s="21" t="s">
        <v>35</v>
      </c>
      <c r="E7285" s="17" t="s">
        <v>200</v>
      </c>
      <c r="F7285" s="17" t="s">
        <v>187</v>
      </c>
      <c r="G7285" s="18" t="s">
        <v>48</v>
      </c>
      <c r="H7285" s="24">
        <v>73100</v>
      </c>
      <c r="I7285" s="24">
        <f>T_reg.root.SK[[#This Row],[Volume, kg]]/1000</f>
        <v>73.099999999999994</v>
      </c>
      <c r="J7285" s="25">
        <v>0.29760000000000003</v>
      </c>
      <c r="K7285" s="25">
        <f t="shared" si="115"/>
        <v>21754.560000000001</v>
      </c>
      <c r="L7285" s="25">
        <v>2.79</v>
      </c>
      <c r="M7285" s="24">
        <v>203848</v>
      </c>
      <c r="N7285" s="25">
        <f>IFERROR(T_reg.root.SK[[#This Row],[Price]]/T_reg.root.SK[[#This Row],[Starch content]],"")</f>
        <v>9.375</v>
      </c>
    </row>
    <row r="7286" spans="1:14">
      <c r="A7286" s="21">
        <v>2026</v>
      </c>
      <c r="B7286" s="21" t="s">
        <v>19</v>
      </c>
      <c r="C7286" s="21" t="s">
        <v>1145</v>
      </c>
      <c r="D7286" s="21" t="s">
        <v>35</v>
      </c>
      <c r="E7286" s="17" t="s">
        <v>138</v>
      </c>
      <c r="F7286" s="17" t="s">
        <v>105</v>
      </c>
      <c r="G7286" s="18" t="s">
        <v>48</v>
      </c>
      <c r="H7286" s="24">
        <v>112720</v>
      </c>
      <c r="I7286" s="24">
        <f>T_reg.root.SK[[#This Row],[Volume, kg]]/1000</f>
        <v>112.72</v>
      </c>
      <c r="J7286" s="25">
        <v>0.2616</v>
      </c>
      <c r="K7286" s="25">
        <f t="shared" si="115"/>
        <v>29487.552</v>
      </c>
      <c r="L7286" s="25">
        <v>2.64</v>
      </c>
      <c r="M7286" s="24">
        <v>297492</v>
      </c>
      <c r="N7286" s="25">
        <f>IFERROR(T_reg.root.SK[[#This Row],[Price]]/T_reg.root.SK[[#This Row],[Starch content]],"")</f>
        <v>10.091743119266056</v>
      </c>
    </row>
    <row r="7287" spans="1:14">
      <c r="A7287" s="21">
        <v>2026</v>
      </c>
      <c r="B7287" s="21" t="s">
        <v>19</v>
      </c>
      <c r="C7287" s="21" t="s">
        <v>1145</v>
      </c>
      <c r="D7287" s="21" t="s">
        <v>35</v>
      </c>
      <c r="E7287" s="17" t="s">
        <v>201</v>
      </c>
      <c r="F7287" s="17" t="s">
        <v>187</v>
      </c>
      <c r="G7287" s="18" t="s">
        <v>48</v>
      </c>
      <c r="H7287" s="24">
        <v>62820</v>
      </c>
      <c r="I7287" s="24">
        <f>T_reg.root.SK[[#This Row],[Volume, kg]]/1000</f>
        <v>62.82</v>
      </c>
      <c r="J7287" s="25">
        <v>0.26780000000000004</v>
      </c>
      <c r="K7287" s="25">
        <f t="shared" si="115"/>
        <v>16823.196000000004</v>
      </c>
      <c r="L7287" s="25">
        <v>2.69</v>
      </c>
      <c r="M7287" s="24">
        <v>168686.5</v>
      </c>
      <c r="N7287" s="25">
        <f>IFERROR(T_reg.root.SK[[#This Row],[Price]]/T_reg.root.SK[[#This Row],[Starch content]],"")</f>
        <v>10.044809559372665</v>
      </c>
    </row>
    <row r="7288" spans="1:14">
      <c r="A7288" s="21">
        <v>2026</v>
      </c>
      <c r="B7288" s="21" t="s">
        <v>19</v>
      </c>
      <c r="C7288" s="21" t="s">
        <v>1145</v>
      </c>
      <c r="D7288" s="21" t="s">
        <v>35</v>
      </c>
      <c r="E7288" s="17" t="s">
        <v>984</v>
      </c>
      <c r="F7288" s="17" t="s">
        <v>95</v>
      </c>
      <c r="G7288" s="18" t="s">
        <v>48</v>
      </c>
      <c r="H7288" s="24">
        <v>9540</v>
      </c>
      <c r="I7288" s="24">
        <f>T_reg.root.SK[[#This Row],[Volume, kg]]/1000</f>
        <v>9.5399999999999991</v>
      </c>
      <c r="J7288" s="25">
        <v>0.2455</v>
      </c>
      <c r="K7288" s="25">
        <f t="shared" si="115"/>
        <v>2342.0700000000002</v>
      </c>
      <c r="L7288" s="25">
        <v>2.6</v>
      </c>
      <c r="M7288" s="24">
        <v>24804</v>
      </c>
      <c r="N7288" s="25">
        <f>IFERROR(T_reg.root.SK[[#This Row],[Price]]/T_reg.root.SK[[#This Row],[Starch content]],"")</f>
        <v>10.590631364562119</v>
      </c>
    </row>
    <row r="7289" spans="1:14">
      <c r="A7289" s="21">
        <v>2026</v>
      </c>
      <c r="B7289" s="21" t="s">
        <v>19</v>
      </c>
      <c r="C7289" s="21" t="s">
        <v>1145</v>
      </c>
      <c r="D7289" s="21" t="s">
        <v>35</v>
      </c>
      <c r="E7289" s="17" t="s">
        <v>1104</v>
      </c>
      <c r="F7289" s="17" t="s">
        <v>105</v>
      </c>
      <c r="G7289" s="18" t="s">
        <v>48</v>
      </c>
      <c r="H7289" s="24">
        <v>57100</v>
      </c>
      <c r="I7289" s="24">
        <f>T_reg.root.SK[[#This Row],[Volume, kg]]/1000</f>
        <v>57.1</v>
      </c>
      <c r="J7289" s="25">
        <v>0.2853</v>
      </c>
      <c r="K7289" s="25">
        <f t="shared" si="115"/>
        <v>16290.63</v>
      </c>
      <c r="L7289" s="25">
        <v>2.78</v>
      </c>
      <c r="M7289" s="24">
        <v>158557.5</v>
      </c>
      <c r="N7289" s="25">
        <f>IFERROR(T_reg.root.SK[[#This Row],[Price]]/T_reg.root.SK[[#This Row],[Starch content]],"")</f>
        <v>9.7441289870311945</v>
      </c>
    </row>
    <row r="7290" spans="1:14">
      <c r="A7290" s="21">
        <v>2026</v>
      </c>
      <c r="B7290" s="21" t="s">
        <v>19</v>
      </c>
      <c r="C7290" s="21" t="s">
        <v>1145</v>
      </c>
      <c r="D7290" s="21" t="s">
        <v>35</v>
      </c>
      <c r="E7290" s="17" t="s">
        <v>702</v>
      </c>
      <c r="F7290" s="17" t="s">
        <v>187</v>
      </c>
      <c r="G7290" s="18" t="s">
        <v>48</v>
      </c>
      <c r="H7290" s="24">
        <v>18590</v>
      </c>
      <c r="I7290" s="24">
        <f>T_reg.root.SK[[#This Row],[Volume, kg]]/1000</f>
        <v>18.59</v>
      </c>
      <c r="J7290" s="25">
        <v>0.30430000000000001</v>
      </c>
      <c r="K7290" s="25">
        <f t="shared" si="115"/>
        <v>5656.9369999999999</v>
      </c>
      <c r="L7290" s="25">
        <v>2.82</v>
      </c>
      <c r="M7290" s="24">
        <v>52487.5</v>
      </c>
      <c r="N7290" s="25">
        <f>IFERROR(T_reg.root.SK[[#This Row],[Price]]/T_reg.root.SK[[#This Row],[Starch content]],"")</f>
        <v>9.2671705553729868</v>
      </c>
    </row>
    <row r="7291" spans="1:14">
      <c r="A7291" s="21">
        <v>2026</v>
      </c>
      <c r="B7291" s="21" t="s">
        <v>19</v>
      </c>
      <c r="C7291" s="21" t="s">
        <v>1145</v>
      </c>
      <c r="D7291" s="21" t="s">
        <v>35</v>
      </c>
      <c r="E7291" s="17" t="s">
        <v>202</v>
      </c>
      <c r="F7291" s="17" t="s">
        <v>187</v>
      </c>
      <c r="G7291" s="18" t="s">
        <v>48</v>
      </c>
      <c r="H7291" s="24">
        <v>16160</v>
      </c>
      <c r="I7291" s="24">
        <f>T_reg.root.SK[[#This Row],[Volume, kg]]/1000</f>
        <v>16.16</v>
      </c>
      <c r="J7291" s="25">
        <v>0.24239999999999998</v>
      </c>
      <c r="K7291" s="25">
        <f t="shared" si="115"/>
        <v>3917.1839999999997</v>
      </c>
      <c r="L7291" s="25">
        <v>2.56</v>
      </c>
      <c r="M7291" s="24">
        <v>41301</v>
      </c>
      <c r="N7291" s="25">
        <f>IFERROR(T_reg.root.SK[[#This Row],[Price]]/T_reg.root.SK[[#This Row],[Starch content]],"")</f>
        <v>10.561056105610563</v>
      </c>
    </row>
    <row r="7292" spans="1:14">
      <c r="A7292" s="21">
        <v>2026</v>
      </c>
      <c r="B7292" s="21" t="s">
        <v>19</v>
      </c>
      <c r="C7292" s="21" t="s">
        <v>1145</v>
      </c>
      <c r="D7292" s="21" t="s">
        <v>35</v>
      </c>
      <c r="E7292" s="17" t="s">
        <v>62</v>
      </c>
      <c r="F7292" s="17" t="s">
        <v>47</v>
      </c>
      <c r="G7292" s="18" t="s">
        <v>48</v>
      </c>
      <c r="H7292" s="24">
        <v>16220</v>
      </c>
      <c r="I7292" s="24">
        <f>T_reg.root.SK[[#This Row],[Volume, kg]]/1000</f>
        <v>16.22</v>
      </c>
      <c r="J7292" s="25">
        <v>0.28520000000000001</v>
      </c>
      <c r="K7292" s="25">
        <f t="shared" si="115"/>
        <v>4625.9440000000004</v>
      </c>
      <c r="L7292" s="25">
        <v>2.77</v>
      </c>
      <c r="M7292" s="24">
        <v>44977</v>
      </c>
      <c r="N7292" s="25">
        <f>IFERROR(T_reg.root.SK[[#This Row],[Price]]/T_reg.root.SK[[#This Row],[Starch content]],"")</f>
        <v>9.7124824684431967</v>
      </c>
    </row>
    <row r="7293" spans="1:14">
      <c r="A7293" s="21">
        <v>2026</v>
      </c>
      <c r="B7293" s="21" t="s">
        <v>19</v>
      </c>
      <c r="C7293" s="21" t="s">
        <v>1145</v>
      </c>
      <c r="D7293" s="21" t="s">
        <v>35</v>
      </c>
      <c r="E7293" s="17" t="s">
        <v>243</v>
      </c>
      <c r="F7293" s="17" t="s">
        <v>105</v>
      </c>
      <c r="G7293" s="18" t="s">
        <v>48</v>
      </c>
      <c r="H7293" s="24">
        <v>21690</v>
      </c>
      <c r="I7293" s="24">
        <f>T_reg.root.SK[[#This Row],[Volume, kg]]/1000</f>
        <v>21.69</v>
      </c>
      <c r="J7293" s="25">
        <v>0.25059999999999999</v>
      </c>
      <c r="K7293" s="25">
        <f t="shared" si="115"/>
        <v>5435.5140000000001</v>
      </c>
      <c r="L7293" s="25">
        <v>2.61</v>
      </c>
      <c r="M7293" s="24">
        <v>56637</v>
      </c>
      <c r="N7293" s="25">
        <f>IFERROR(T_reg.root.SK[[#This Row],[Price]]/T_reg.root.SK[[#This Row],[Starch content]],"")</f>
        <v>10.415003990422985</v>
      </c>
    </row>
    <row r="7294" spans="1:14">
      <c r="A7294" s="21">
        <v>2026</v>
      </c>
      <c r="B7294" s="21" t="s">
        <v>19</v>
      </c>
      <c r="C7294" s="21" t="s">
        <v>1145</v>
      </c>
      <c r="D7294" s="21" t="s">
        <v>35</v>
      </c>
      <c r="E7294" s="17" t="s">
        <v>1106</v>
      </c>
      <c r="F7294" s="17" t="s">
        <v>105</v>
      </c>
      <c r="G7294" s="18" t="s">
        <v>48</v>
      </c>
      <c r="H7294" s="24">
        <v>0</v>
      </c>
      <c r="I7294" s="24">
        <f>T_reg.root.SK[[#This Row],[Volume, kg]]/1000</f>
        <v>0</v>
      </c>
      <c r="J7294" s="25">
        <v>0</v>
      </c>
      <c r="K7294" s="25">
        <f t="shared" si="115"/>
        <v>0</v>
      </c>
      <c r="L7294" s="25">
        <v>0</v>
      </c>
      <c r="M7294" s="24">
        <v>0</v>
      </c>
      <c r="N7294" s="25" t="str">
        <f>IFERROR(T_reg.root.SK[[#This Row],[Price]]/T_reg.root.SK[[#This Row],[Starch content]],"")</f>
        <v/>
      </c>
    </row>
    <row r="7295" spans="1:14">
      <c r="A7295" s="21">
        <v>2026</v>
      </c>
      <c r="B7295" s="21" t="s">
        <v>19</v>
      </c>
      <c r="C7295" s="21" t="s">
        <v>1145</v>
      </c>
      <c r="D7295" s="21" t="s">
        <v>35</v>
      </c>
      <c r="E7295" s="17" t="s">
        <v>245</v>
      </c>
      <c r="F7295" s="17" t="s">
        <v>105</v>
      </c>
      <c r="G7295" s="18" t="s">
        <v>48</v>
      </c>
      <c r="H7295" s="24">
        <v>47050</v>
      </c>
      <c r="I7295" s="24">
        <f>T_reg.root.SK[[#This Row],[Volume, kg]]/1000</f>
        <v>47.05</v>
      </c>
      <c r="J7295" s="25">
        <v>0.26030000000000003</v>
      </c>
      <c r="K7295" s="25">
        <f t="shared" si="115"/>
        <v>12247.115000000002</v>
      </c>
      <c r="L7295" s="25">
        <v>2.64</v>
      </c>
      <c r="M7295" s="24">
        <v>124180.5</v>
      </c>
      <c r="N7295" s="25">
        <f>IFERROR(T_reg.root.SK[[#This Row],[Price]]/T_reg.root.SK[[#This Row],[Starch content]],"")</f>
        <v>10.142143680368804</v>
      </c>
    </row>
    <row r="7296" spans="1:14">
      <c r="A7296" s="21">
        <v>2026</v>
      </c>
      <c r="B7296" s="21" t="s">
        <v>19</v>
      </c>
      <c r="C7296" s="21" t="s">
        <v>1145</v>
      </c>
      <c r="D7296" s="21" t="s">
        <v>35</v>
      </c>
      <c r="E7296" s="17" t="s">
        <v>933</v>
      </c>
      <c r="F7296" s="17" t="s">
        <v>105</v>
      </c>
      <c r="G7296" s="18" t="s">
        <v>48</v>
      </c>
      <c r="H7296" s="24">
        <v>8260</v>
      </c>
      <c r="I7296" s="24">
        <f>T_reg.root.SK[[#This Row],[Volume, kg]]/1000</f>
        <v>8.26</v>
      </c>
      <c r="J7296" s="25">
        <v>0.29549999999999998</v>
      </c>
      <c r="K7296" s="25">
        <f t="shared" si="115"/>
        <v>2440.83</v>
      </c>
      <c r="L7296" s="25">
        <v>2.85</v>
      </c>
      <c r="M7296" s="24">
        <v>23541</v>
      </c>
      <c r="N7296" s="25">
        <f>IFERROR(T_reg.root.SK[[#This Row],[Price]]/T_reg.root.SK[[#This Row],[Starch content]],"")</f>
        <v>9.6446700507614214</v>
      </c>
    </row>
    <row r="7297" spans="1:14">
      <c r="A7297" s="21">
        <v>2026</v>
      </c>
      <c r="B7297" s="21" t="s">
        <v>19</v>
      </c>
      <c r="C7297" s="21" t="s">
        <v>1145</v>
      </c>
      <c r="D7297" s="21" t="s">
        <v>35</v>
      </c>
      <c r="E7297" s="17" t="s">
        <v>469</v>
      </c>
      <c r="F7297" s="17" t="s">
        <v>47</v>
      </c>
      <c r="G7297" s="18" t="s">
        <v>48</v>
      </c>
      <c r="H7297" s="24">
        <v>7020</v>
      </c>
      <c r="I7297" s="24">
        <f>T_reg.root.SK[[#This Row],[Volume, kg]]/1000</f>
        <v>7.02</v>
      </c>
      <c r="J7297" s="25">
        <v>0.24149999999999999</v>
      </c>
      <c r="K7297" s="25">
        <f t="shared" si="115"/>
        <v>1695.33</v>
      </c>
      <c r="L7297" s="25">
        <v>2.5499999999999998</v>
      </c>
      <c r="M7297" s="24">
        <v>17901</v>
      </c>
      <c r="N7297" s="25">
        <f>IFERROR(T_reg.root.SK[[#This Row],[Price]]/T_reg.root.SK[[#This Row],[Starch content]],"")</f>
        <v>10.559006211180124</v>
      </c>
    </row>
    <row r="7298" spans="1:14">
      <c r="A7298" s="21">
        <v>2026</v>
      </c>
      <c r="B7298" s="21" t="s">
        <v>19</v>
      </c>
      <c r="C7298" s="21" t="s">
        <v>1145</v>
      </c>
      <c r="D7298" s="21" t="s">
        <v>35</v>
      </c>
      <c r="E7298" s="17" t="s">
        <v>143</v>
      </c>
      <c r="F7298" s="17" t="s">
        <v>105</v>
      </c>
      <c r="G7298" s="18" t="s">
        <v>48</v>
      </c>
      <c r="H7298" s="24">
        <v>15960</v>
      </c>
      <c r="I7298" s="24">
        <f>T_reg.root.SK[[#This Row],[Volume, kg]]/1000</f>
        <v>15.96</v>
      </c>
      <c r="J7298" s="25">
        <v>0.2883</v>
      </c>
      <c r="K7298" s="25">
        <f t="shared" si="115"/>
        <v>4601.268</v>
      </c>
      <c r="L7298" s="25">
        <v>2.73</v>
      </c>
      <c r="M7298" s="24">
        <v>43644.5</v>
      </c>
      <c r="N7298" s="25">
        <f>IFERROR(T_reg.root.SK[[#This Row],[Price]]/T_reg.root.SK[[#This Row],[Starch content]],"")</f>
        <v>9.4693028095733602</v>
      </c>
    </row>
    <row r="7299" spans="1:14">
      <c r="A7299" s="21">
        <v>2026</v>
      </c>
      <c r="B7299" s="21" t="s">
        <v>19</v>
      </c>
      <c r="C7299" s="21" t="s">
        <v>1145</v>
      </c>
      <c r="D7299" s="21" t="s">
        <v>35</v>
      </c>
      <c r="E7299" s="17" t="s">
        <v>659</v>
      </c>
      <c r="F7299" s="17" t="s">
        <v>47</v>
      </c>
      <c r="G7299" s="18" t="s">
        <v>48</v>
      </c>
      <c r="H7299" s="24">
        <v>31190</v>
      </c>
      <c r="I7299" s="24">
        <f>T_reg.root.SK[[#This Row],[Volume, kg]]/1000</f>
        <v>31.19</v>
      </c>
      <c r="J7299" s="25">
        <v>0.2014</v>
      </c>
      <c r="K7299" s="25">
        <f t="shared" si="115"/>
        <v>6281.6660000000002</v>
      </c>
      <c r="L7299" s="25">
        <v>2.34</v>
      </c>
      <c r="M7299" s="24">
        <v>72902</v>
      </c>
      <c r="N7299" s="25">
        <f>IFERROR(T_reg.root.SK[[#This Row],[Price]]/T_reg.root.SK[[#This Row],[Starch content]],"")</f>
        <v>11.618669314796424</v>
      </c>
    </row>
    <row r="7300" spans="1:14">
      <c r="A7300" s="21">
        <v>2026</v>
      </c>
      <c r="B7300" s="21" t="s">
        <v>19</v>
      </c>
      <c r="C7300" s="21" t="s">
        <v>1145</v>
      </c>
      <c r="D7300" s="21" t="s">
        <v>35</v>
      </c>
      <c r="E7300" s="17" t="s">
        <v>146</v>
      </c>
      <c r="F7300" s="17" t="s">
        <v>105</v>
      </c>
      <c r="G7300" s="18" t="s">
        <v>48</v>
      </c>
      <c r="H7300" s="24">
        <v>186750</v>
      </c>
      <c r="I7300" s="24">
        <f>T_reg.root.SK[[#This Row],[Volume, kg]]/1000</f>
        <v>186.75</v>
      </c>
      <c r="J7300" s="25">
        <v>0.24789999999999998</v>
      </c>
      <c r="K7300" s="25">
        <f t="shared" si="115"/>
        <v>46295.324999999997</v>
      </c>
      <c r="L7300" s="25">
        <v>2.56</v>
      </c>
      <c r="M7300" s="24">
        <v>478462</v>
      </c>
      <c r="N7300" s="25">
        <f>IFERROR(T_reg.root.SK[[#This Row],[Price]]/T_reg.root.SK[[#This Row],[Starch content]],"")</f>
        <v>10.326744655102866</v>
      </c>
    </row>
    <row r="7301" spans="1:14">
      <c r="A7301" s="21">
        <v>2026</v>
      </c>
      <c r="B7301" s="21" t="s">
        <v>19</v>
      </c>
      <c r="C7301" s="21" t="s">
        <v>1145</v>
      </c>
      <c r="D7301" s="21" t="s">
        <v>35</v>
      </c>
      <c r="E7301" s="17" t="s">
        <v>249</v>
      </c>
      <c r="F7301" s="17" t="s">
        <v>105</v>
      </c>
      <c r="G7301" s="18" t="s">
        <v>48</v>
      </c>
      <c r="H7301" s="24">
        <v>52530</v>
      </c>
      <c r="I7301" s="24">
        <f>T_reg.root.SK[[#This Row],[Volume, kg]]/1000</f>
        <v>52.53</v>
      </c>
      <c r="J7301" s="25">
        <v>0.25290000000000001</v>
      </c>
      <c r="K7301" s="25">
        <f t="shared" si="115"/>
        <v>13284.837000000001</v>
      </c>
      <c r="L7301" s="25">
        <v>2.62</v>
      </c>
      <c r="M7301" s="24">
        <v>137455.5</v>
      </c>
      <c r="N7301" s="25">
        <f>IFERROR(T_reg.root.SK[[#This Row],[Price]]/T_reg.root.SK[[#This Row],[Starch content]],"")</f>
        <v>10.359826018189008</v>
      </c>
    </row>
    <row r="7302" spans="1:14">
      <c r="A7302" s="21">
        <v>2026</v>
      </c>
      <c r="B7302" s="21" t="s">
        <v>19</v>
      </c>
      <c r="C7302" s="21" t="s">
        <v>1145</v>
      </c>
      <c r="D7302" s="21" t="s">
        <v>35</v>
      </c>
      <c r="E7302" s="17" t="s">
        <v>985</v>
      </c>
      <c r="F7302" s="17" t="s">
        <v>283</v>
      </c>
      <c r="G7302" s="18" t="s">
        <v>48</v>
      </c>
      <c r="H7302" s="24">
        <v>278240</v>
      </c>
      <c r="I7302" s="24">
        <f>T_reg.root.SK[[#This Row],[Volume, kg]]/1000</f>
        <v>278.24</v>
      </c>
      <c r="J7302" s="25">
        <v>0.26050000000000001</v>
      </c>
      <c r="K7302" s="25">
        <f t="shared" si="115"/>
        <v>72481.52</v>
      </c>
      <c r="L7302" s="25">
        <v>2.65</v>
      </c>
      <c r="M7302" s="24">
        <v>738658</v>
      </c>
      <c r="N7302" s="25">
        <f>IFERROR(T_reg.root.SK[[#This Row],[Price]]/T_reg.root.SK[[#This Row],[Starch content]],"")</f>
        <v>10.172744721689059</v>
      </c>
    </row>
    <row r="7303" spans="1:14">
      <c r="A7303" s="21">
        <v>2026</v>
      </c>
      <c r="B7303" s="21" t="s">
        <v>19</v>
      </c>
      <c r="C7303" s="21" t="s">
        <v>1145</v>
      </c>
      <c r="D7303" s="21" t="s">
        <v>35</v>
      </c>
      <c r="E7303" s="17" t="s">
        <v>1117</v>
      </c>
      <c r="F7303" s="17" t="s">
        <v>105</v>
      </c>
      <c r="G7303" s="18" t="s">
        <v>48</v>
      </c>
      <c r="H7303" s="24">
        <v>46030</v>
      </c>
      <c r="I7303" s="24">
        <f>T_reg.root.SK[[#This Row],[Volume, kg]]/1000</f>
        <v>46.03</v>
      </c>
      <c r="J7303" s="25">
        <v>0.29799999999999999</v>
      </c>
      <c r="K7303" s="25">
        <f t="shared" si="115"/>
        <v>13716.939999999999</v>
      </c>
      <c r="L7303" s="25">
        <v>2.84</v>
      </c>
      <c r="M7303" s="24">
        <v>130708.5</v>
      </c>
      <c r="N7303" s="25">
        <f>IFERROR(T_reg.root.SK[[#This Row],[Price]]/T_reg.root.SK[[#This Row],[Starch content]],"")</f>
        <v>9.5302013422818792</v>
      </c>
    </row>
    <row r="7304" spans="1:14">
      <c r="A7304" s="21">
        <v>2026</v>
      </c>
      <c r="B7304" s="21" t="s">
        <v>19</v>
      </c>
      <c r="C7304" s="21" t="s">
        <v>1145</v>
      </c>
      <c r="D7304" s="21" t="s">
        <v>35</v>
      </c>
      <c r="E7304" s="17" t="s">
        <v>147</v>
      </c>
      <c r="F7304" s="17" t="s">
        <v>105</v>
      </c>
      <c r="G7304" s="18" t="s">
        <v>48</v>
      </c>
      <c r="H7304" s="24">
        <v>30700</v>
      </c>
      <c r="I7304" s="24">
        <f>T_reg.root.SK[[#This Row],[Volume, kg]]/1000</f>
        <v>30.7</v>
      </c>
      <c r="J7304" s="25">
        <v>0.27960000000000002</v>
      </c>
      <c r="K7304" s="25">
        <f t="shared" si="115"/>
        <v>8583.7200000000012</v>
      </c>
      <c r="L7304" s="25">
        <v>2.7</v>
      </c>
      <c r="M7304" s="24">
        <v>83042</v>
      </c>
      <c r="N7304" s="25">
        <f>IFERROR(T_reg.root.SK[[#This Row],[Price]]/T_reg.root.SK[[#This Row],[Starch content]],"")</f>
        <v>9.6566523605150216</v>
      </c>
    </row>
    <row r="7305" spans="1:14">
      <c r="A7305" s="21">
        <v>2026</v>
      </c>
      <c r="B7305" s="21" t="s">
        <v>19</v>
      </c>
      <c r="C7305" s="21" t="s">
        <v>1145</v>
      </c>
      <c r="D7305" s="21" t="s">
        <v>35</v>
      </c>
      <c r="E7305" s="17" t="s">
        <v>251</v>
      </c>
      <c r="F7305" s="17" t="s">
        <v>105</v>
      </c>
      <c r="G7305" s="18" t="s">
        <v>48</v>
      </c>
      <c r="H7305" s="24">
        <v>4930</v>
      </c>
      <c r="I7305" s="24">
        <f>T_reg.root.SK[[#This Row],[Volume, kg]]/1000</f>
        <v>4.93</v>
      </c>
      <c r="J7305" s="25">
        <v>0.27200000000000002</v>
      </c>
      <c r="K7305" s="25">
        <f t="shared" si="115"/>
        <v>1340.96</v>
      </c>
      <c r="L7305" s="25">
        <v>2.7</v>
      </c>
      <c r="M7305" s="24">
        <v>13311</v>
      </c>
      <c r="N7305" s="25">
        <f>IFERROR(T_reg.root.SK[[#This Row],[Price]]/T_reg.root.SK[[#This Row],[Starch content]],"")</f>
        <v>9.9264705882352935</v>
      </c>
    </row>
    <row r="7306" spans="1:14">
      <c r="A7306" s="21">
        <v>2026</v>
      </c>
      <c r="B7306" s="21" t="s">
        <v>19</v>
      </c>
      <c r="C7306" s="21" t="s">
        <v>1145</v>
      </c>
      <c r="D7306" s="21" t="s">
        <v>35</v>
      </c>
      <c r="E7306" s="17" t="s">
        <v>688</v>
      </c>
      <c r="F7306" s="17" t="s">
        <v>187</v>
      </c>
      <c r="G7306" s="18" t="s">
        <v>48</v>
      </c>
      <c r="H7306" s="24">
        <v>7490</v>
      </c>
      <c r="I7306" s="24">
        <f>T_reg.root.SK[[#This Row],[Volume, kg]]/1000</f>
        <v>7.49</v>
      </c>
      <c r="J7306" s="25">
        <v>0.26850000000000002</v>
      </c>
      <c r="K7306" s="25">
        <f t="shared" si="115"/>
        <v>2011.0650000000001</v>
      </c>
      <c r="L7306" s="25">
        <v>2.7</v>
      </c>
      <c r="M7306" s="24">
        <v>20223</v>
      </c>
      <c r="N7306" s="25">
        <f>IFERROR(T_reg.root.SK[[#This Row],[Price]]/T_reg.root.SK[[#This Row],[Starch content]],"")</f>
        <v>10.05586592178771</v>
      </c>
    </row>
    <row r="7307" spans="1:14">
      <c r="A7307" s="21">
        <v>2026</v>
      </c>
      <c r="B7307" s="21" t="s">
        <v>19</v>
      </c>
      <c r="C7307" s="21" t="s">
        <v>1145</v>
      </c>
      <c r="D7307" s="21" t="s">
        <v>35</v>
      </c>
      <c r="E7307" s="17" t="s">
        <v>677</v>
      </c>
      <c r="F7307" s="17" t="s">
        <v>47</v>
      </c>
      <c r="G7307" s="18" t="s">
        <v>48</v>
      </c>
      <c r="H7307" s="24">
        <v>55460</v>
      </c>
      <c r="I7307" s="24">
        <f>T_reg.root.SK[[#This Row],[Volume, kg]]/1000</f>
        <v>55.46</v>
      </c>
      <c r="J7307" s="25">
        <v>0.2757</v>
      </c>
      <c r="K7307" s="25">
        <f t="shared" si="115"/>
        <v>15290.322</v>
      </c>
      <c r="L7307" s="25">
        <v>2.68</v>
      </c>
      <c r="M7307" s="24">
        <v>148489</v>
      </c>
      <c r="N7307" s="25">
        <f>IFERROR(T_reg.root.SK[[#This Row],[Price]]/T_reg.root.SK[[#This Row],[Starch content]],"")</f>
        <v>9.7207109176641282</v>
      </c>
    </row>
    <row r="7308" spans="1:14">
      <c r="A7308" s="21">
        <v>2026</v>
      </c>
      <c r="B7308" s="21" t="s">
        <v>19</v>
      </c>
      <c r="C7308" s="21" t="s">
        <v>1145</v>
      </c>
      <c r="D7308" s="21" t="s">
        <v>35</v>
      </c>
      <c r="E7308" s="17" t="s">
        <v>148</v>
      </c>
      <c r="F7308" s="17" t="s">
        <v>105</v>
      </c>
      <c r="G7308" s="18" t="s">
        <v>48</v>
      </c>
      <c r="H7308" s="24">
        <v>11510</v>
      </c>
      <c r="I7308" s="24">
        <f>T_reg.root.SK[[#This Row],[Volume, kg]]/1000</f>
        <v>11.51</v>
      </c>
      <c r="J7308" s="25">
        <v>0.26879999999999998</v>
      </c>
      <c r="K7308" s="25">
        <f t="shared" si="115"/>
        <v>3093.8879999999999</v>
      </c>
      <c r="L7308" s="25">
        <v>2.68</v>
      </c>
      <c r="M7308" s="24">
        <v>30895.5</v>
      </c>
      <c r="N7308" s="25">
        <f>IFERROR(T_reg.root.SK[[#This Row],[Price]]/T_reg.root.SK[[#This Row],[Starch content]],"")</f>
        <v>9.9702380952380967</v>
      </c>
    </row>
    <row r="7309" spans="1:14">
      <c r="A7309" s="21">
        <v>2026</v>
      </c>
      <c r="B7309" s="21" t="s">
        <v>19</v>
      </c>
      <c r="C7309" s="21" t="s">
        <v>1145</v>
      </c>
      <c r="D7309" s="21" t="s">
        <v>35</v>
      </c>
      <c r="E7309" s="17" t="s">
        <v>268</v>
      </c>
      <c r="F7309" s="17" t="s">
        <v>187</v>
      </c>
      <c r="G7309" s="18" t="s">
        <v>48</v>
      </c>
      <c r="H7309" s="24">
        <v>12860</v>
      </c>
      <c r="I7309" s="24">
        <f>T_reg.root.SK[[#This Row],[Volume, kg]]/1000</f>
        <v>12.86</v>
      </c>
      <c r="J7309" s="25">
        <v>0.2586</v>
      </c>
      <c r="K7309" s="25">
        <f t="shared" si="115"/>
        <v>3325.596</v>
      </c>
      <c r="L7309" s="25">
        <v>2.63</v>
      </c>
      <c r="M7309" s="24">
        <v>33774.5</v>
      </c>
      <c r="N7309" s="25">
        <f>IFERROR(T_reg.root.SK[[#This Row],[Price]]/T_reg.root.SK[[#This Row],[Starch content]],"")</f>
        <v>10.170146945088939</v>
      </c>
    </row>
    <row r="7310" spans="1:14">
      <c r="A7310" s="21">
        <v>2026</v>
      </c>
      <c r="B7310" s="21" t="s">
        <v>19</v>
      </c>
      <c r="C7310" s="21" t="s">
        <v>1145</v>
      </c>
      <c r="D7310" s="21" t="s">
        <v>35</v>
      </c>
      <c r="E7310" s="17" t="s">
        <v>149</v>
      </c>
      <c r="F7310" s="17" t="s">
        <v>105</v>
      </c>
      <c r="G7310" s="18" t="s">
        <v>48</v>
      </c>
      <c r="H7310" s="24">
        <v>41970</v>
      </c>
      <c r="I7310" s="24">
        <f>T_reg.root.SK[[#This Row],[Volume, kg]]/1000</f>
        <v>41.97</v>
      </c>
      <c r="J7310" s="25">
        <v>0.26179999999999998</v>
      </c>
      <c r="K7310" s="25">
        <f t="shared" si="115"/>
        <v>10987.745999999999</v>
      </c>
      <c r="L7310" s="25">
        <v>2.65</v>
      </c>
      <c r="M7310" s="24">
        <v>111278.5</v>
      </c>
      <c r="N7310" s="25">
        <f>IFERROR(T_reg.root.SK[[#This Row],[Price]]/T_reg.root.SK[[#This Row],[Starch content]],"")</f>
        <v>10.122230710466004</v>
      </c>
    </row>
    <row r="7311" spans="1:14">
      <c r="A7311" s="21">
        <v>2026</v>
      </c>
      <c r="B7311" s="21" t="s">
        <v>19</v>
      </c>
      <c r="C7311" s="21" t="s">
        <v>1145</v>
      </c>
      <c r="D7311" s="21" t="s">
        <v>35</v>
      </c>
      <c r="E7311" s="17" t="s">
        <v>314</v>
      </c>
      <c r="F7311" s="17" t="s">
        <v>105</v>
      </c>
      <c r="G7311" s="18" t="s">
        <v>48</v>
      </c>
      <c r="H7311" s="24">
        <v>0</v>
      </c>
      <c r="I7311" s="24">
        <f>T_reg.root.SK[[#This Row],[Volume, kg]]/1000</f>
        <v>0</v>
      </c>
      <c r="J7311" s="25">
        <v>0</v>
      </c>
      <c r="K7311" s="25">
        <f t="shared" si="115"/>
        <v>0</v>
      </c>
      <c r="L7311" s="25">
        <v>0</v>
      </c>
      <c r="M7311" s="24">
        <v>0</v>
      </c>
      <c r="N7311" s="25" t="str">
        <f>IFERROR(T_reg.root.SK[[#This Row],[Price]]/T_reg.root.SK[[#This Row],[Starch content]],"")</f>
        <v/>
      </c>
    </row>
    <row r="7312" spans="1:14">
      <c r="A7312" s="21">
        <v>2026</v>
      </c>
      <c r="B7312" s="21" t="s">
        <v>19</v>
      </c>
      <c r="C7312" s="21" t="s">
        <v>1145</v>
      </c>
      <c r="D7312" s="21" t="s">
        <v>35</v>
      </c>
      <c r="E7312" s="17" t="s">
        <v>150</v>
      </c>
      <c r="F7312" s="17" t="s">
        <v>105</v>
      </c>
      <c r="G7312" s="18" t="s">
        <v>48</v>
      </c>
      <c r="H7312" s="24">
        <v>40420</v>
      </c>
      <c r="I7312" s="24">
        <f>T_reg.root.SK[[#This Row],[Volume, kg]]/1000</f>
        <v>40.42</v>
      </c>
      <c r="J7312" s="25">
        <v>0.26329999999999998</v>
      </c>
      <c r="K7312" s="25">
        <f t="shared" si="115"/>
        <v>10642.585999999999</v>
      </c>
      <c r="L7312" s="25">
        <v>2.62</v>
      </c>
      <c r="M7312" s="24">
        <v>105937</v>
      </c>
      <c r="N7312" s="25">
        <f>IFERROR(T_reg.root.SK[[#This Row],[Price]]/T_reg.root.SK[[#This Row],[Starch content]],"")</f>
        <v>9.950626661602735</v>
      </c>
    </row>
    <row r="7313" spans="1:14">
      <c r="A7313" s="21">
        <v>2026</v>
      </c>
      <c r="B7313" s="21" t="s">
        <v>19</v>
      </c>
      <c r="C7313" s="21" t="s">
        <v>1145</v>
      </c>
      <c r="D7313" s="21" t="s">
        <v>35</v>
      </c>
      <c r="E7313" s="17" t="s">
        <v>151</v>
      </c>
      <c r="F7313" s="17" t="s">
        <v>105</v>
      </c>
      <c r="G7313" s="18" t="s">
        <v>48</v>
      </c>
      <c r="H7313" s="24">
        <v>245930</v>
      </c>
      <c r="I7313" s="24">
        <f>T_reg.root.SK[[#This Row],[Volume, kg]]/1000</f>
        <v>245.93</v>
      </c>
      <c r="J7313" s="25">
        <v>0.27339999999999998</v>
      </c>
      <c r="K7313" s="25">
        <f t="shared" si="115"/>
        <v>67237.261999999988</v>
      </c>
      <c r="L7313" s="25">
        <v>2.7</v>
      </c>
      <c r="M7313" s="24">
        <v>663909</v>
      </c>
      <c r="N7313" s="25">
        <f>IFERROR(T_reg.root.SK[[#This Row],[Price]]/T_reg.root.SK[[#This Row],[Starch content]],"")</f>
        <v>9.8756400877834682</v>
      </c>
    </row>
    <row r="7314" spans="1:14">
      <c r="A7314" s="21">
        <v>2026</v>
      </c>
      <c r="B7314" s="21" t="s">
        <v>19</v>
      </c>
      <c r="C7314" s="21" t="s">
        <v>1145</v>
      </c>
      <c r="D7314" s="21" t="s">
        <v>35</v>
      </c>
      <c r="E7314" s="17" t="s">
        <v>152</v>
      </c>
      <c r="F7314" s="17" t="s">
        <v>105</v>
      </c>
      <c r="G7314" s="18" t="s">
        <v>48</v>
      </c>
      <c r="H7314" s="24">
        <v>9160</v>
      </c>
      <c r="I7314" s="24">
        <f>T_reg.root.SK[[#This Row],[Volume, kg]]/1000</f>
        <v>9.16</v>
      </c>
      <c r="J7314" s="25">
        <v>0.19550000000000001</v>
      </c>
      <c r="K7314" s="25">
        <f t="shared" si="115"/>
        <v>1790.78</v>
      </c>
      <c r="L7314" s="25">
        <v>2.35</v>
      </c>
      <c r="M7314" s="24">
        <v>21526</v>
      </c>
      <c r="N7314" s="25">
        <f>IFERROR(T_reg.root.SK[[#This Row],[Price]]/T_reg.root.SK[[#This Row],[Starch content]],"")</f>
        <v>12.020460358056265</v>
      </c>
    </row>
    <row r="7315" spans="1:14">
      <c r="A7315" s="21">
        <v>2026</v>
      </c>
      <c r="B7315" s="21" t="s">
        <v>19</v>
      </c>
      <c r="C7315" s="21" t="s">
        <v>1145</v>
      </c>
      <c r="D7315" s="21" t="s">
        <v>35</v>
      </c>
      <c r="E7315" s="17" t="s">
        <v>155</v>
      </c>
      <c r="F7315" s="17" t="s">
        <v>105</v>
      </c>
      <c r="G7315" s="18" t="s">
        <v>48</v>
      </c>
      <c r="H7315" s="24">
        <v>49040</v>
      </c>
      <c r="I7315" s="24">
        <f>T_reg.root.SK[[#This Row],[Volume, kg]]/1000</f>
        <v>49.04</v>
      </c>
      <c r="J7315" s="25">
        <v>0.27300000000000002</v>
      </c>
      <c r="K7315" s="25">
        <f t="shared" si="115"/>
        <v>13387.920000000002</v>
      </c>
      <c r="L7315" s="25">
        <v>2.69</v>
      </c>
      <c r="M7315" s="24">
        <v>132089.5</v>
      </c>
      <c r="N7315" s="25">
        <f>IFERROR(T_reg.root.SK[[#This Row],[Price]]/T_reg.root.SK[[#This Row],[Starch content]],"")</f>
        <v>9.8534798534798522</v>
      </c>
    </row>
    <row r="7316" spans="1:14">
      <c r="A7316" s="21">
        <v>2026</v>
      </c>
      <c r="B7316" s="21" t="s">
        <v>19</v>
      </c>
      <c r="C7316" s="21" t="s">
        <v>1145</v>
      </c>
      <c r="D7316" s="21" t="s">
        <v>39</v>
      </c>
      <c r="E7316" s="17" t="s">
        <v>552</v>
      </c>
      <c r="F7316" s="17" t="s">
        <v>95</v>
      </c>
      <c r="G7316" s="18" t="s">
        <v>48</v>
      </c>
      <c r="H7316" s="24">
        <v>967050</v>
      </c>
      <c r="I7316" s="24">
        <f>T_reg.root.SK[[#This Row],[Volume, kg]]/1000</f>
        <v>967.05</v>
      </c>
      <c r="J7316" s="25">
        <v>0.27399999999999997</v>
      </c>
      <c r="K7316" s="25">
        <f t="shared" si="115"/>
        <v>264971.69999999995</v>
      </c>
      <c r="L7316" s="25">
        <v>3.03</v>
      </c>
      <c r="M7316" s="24">
        <v>2926636.5</v>
      </c>
      <c r="N7316" s="25">
        <f>IFERROR(T_reg.root.SK[[#This Row],[Price]]/T_reg.root.SK[[#This Row],[Starch content]],"")</f>
        <v>11.058394160583942</v>
      </c>
    </row>
    <row r="7317" spans="1:14">
      <c r="A7317" s="21">
        <v>2026</v>
      </c>
      <c r="B7317" s="21" t="s">
        <v>19</v>
      </c>
      <c r="C7317" s="21" t="s">
        <v>1145</v>
      </c>
      <c r="D7317" s="21" t="s">
        <v>35</v>
      </c>
      <c r="E7317" s="17" t="s">
        <v>934</v>
      </c>
      <c r="F7317" s="17" t="s">
        <v>105</v>
      </c>
      <c r="G7317" s="18" t="s">
        <v>48</v>
      </c>
      <c r="H7317" s="24">
        <v>54350</v>
      </c>
      <c r="I7317" s="24">
        <f>T_reg.root.SK[[#This Row],[Volume, kg]]/1000</f>
        <v>54.35</v>
      </c>
      <c r="J7317" s="25">
        <v>0.25590000000000002</v>
      </c>
      <c r="K7317" s="25">
        <f t="shared" si="115"/>
        <v>13908.165000000001</v>
      </c>
      <c r="L7317" s="25">
        <v>2.63</v>
      </c>
      <c r="M7317" s="24">
        <v>142802.5</v>
      </c>
      <c r="N7317" s="25">
        <f>IFERROR(T_reg.root.SK[[#This Row],[Price]]/T_reg.root.SK[[#This Row],[Starch content]],"")</f>
        <v>10.277452129738178</v>
      </c>
    </row>
    <row r="7318" spans="1:14">
      <c r="A7318" s="21">
        <v>2026</v>
      </c>
      <c r="B7318" s="21" t="s">
        <v>19</v>
      </c>
      <c r="C7318" s="21" t="s">
        <v>1145</v>
      </c>
      <c r="D7318" s="21" t="s">
        <v>35</v>
      </c>
      <c r="E7318" s="17" t="s">
        <v>211</v>
      </c>
      <c r="F7318" s="17" t="s">
        <v>187</v>
      </c>
      <c r="G7318" s="18" t="s">
        <v>48</v>
      </c>
      <c r="H7318" s="24">
        <v>56140</v>
      </c>
      <c r="I7318" s="24">
        <f>T_reg.root.SK[[#This Row],[Volume, kg]]/1000</f>
        <v>56.14</v>
      </c>
      <c r="J7318" s="25">
        <v>0.24390000000000001</v>
      </c>
      <c r="K7318" s="25">
        <f t="shared" si="115"/>
        <v>13692.546</v>
      </c>
      <c r="L7318" s="25">
        <v>2.57</v>
      </c>
      <c r="M7318" s="24">
        <v>144176.5</v>
      </c>
      <c r="N7318" s="25">
        <f>IFERROR(T_reg.root.SK[[#This Row],[Price]]/T_reg.root.SK[[#This Row],[Starch content]],"")</f>
        <v>10.537105371053709</v>
      </c>
    </row>
    <row r="7319" spans="1:14">
      <c r="A7319" s="21">
        <v>2026</v>
      </c>
      <c r="B7319" s="21" t="s">
        <v>19</v>
      </c>
      <c r="C7319" s="21" t="s">
        <v>1145</v>
      </c>
      <c r="D7319" s="21" t="s">
        <v>35</v>
      </c>
      <c r="E7319" s="17" t="s">
        <v>161</v>
      </c>
      <c r="F7319" s="17" t="s">
        <v>105</v>
      </c>
      <c r="G7319" s="18" t="s">
        <v>48</v>
      </c>
      <c r="H7319" s="24">
        <v>132500</v>
      </c>
      <c r="I7319" s="24">
        <f>T_reg.root.SK[[#This Row],[Volume, kg]]/1000</f>
        <v>132.5</v>
      </c>
      <c r="J7319" s="25">
        <v>0.27100000000000002</v>
      </c>
      <c r="K7319" s="25">
        <f t="shared" si="115"/>
        <v>35907.5</v>
      </c>
      <c r="L7319" s="25">
        <v>2.67</v>
      </c>
      <c r="M7319" s="24">
        <v>353315.5</v>
      </c>
      <c r="N7319" s="25">
        <f>IFERROR(T_reg.root.SK[[#This Row],[Price]]/T_reg.root.SK[[#This Row],[Starch content]],"")</f>
        <v>9.8523985239852383</v>
      </c>
    </row>
    <row r="7320" spans="1:14">
      <c r="A7320" s="21">
        <v>2026</v>
      </c>
      <c r="B7320" s="21" t="s">
        <v>19</v>
      </c>
      <c r="C7320" s="21" t="s">
        <v>1145</v>
      </c>
      <c r="D7320" s="21" t="s">
        <v>35</v>
      </c>
      <c r="E7320" s="17" t="s">
        <v>165</v>
      </c>
      <c r="F7320" s="17" t="s">
        <v>105</v>
      </c>
      <c r="G7320" s="18" t="s">
        <v>48</v>
      </c>
      <c r="H7320" s="24">
        <v>89950</v>
      </c>
      <c r="I7320" s="24">
        <f>T_reg.root.SK[[#This Row],[Volume, kg]]/1000</f>
        <v>89.95</v>
      </c>
      <c r="J7320" s="25">
        <v>0.29710000000000003</v>
      </c>
      <c r="K7320" s="25">
        <f t="shared" si="115"/>
        <v>26724.145000000004</v>
      </c>
      <c r="L7320" s="25">
        <v>2.81</v>
      </c>
      <c r="M7320" s="24">
        <v>253170</v>
      </c>
      <c r="N7320" s="25">
        <f>IFERROR(T_reg.root.SK[[#This Row],[Price]]/T_reg.root.SK[[#This Row],[Starch content]],"")</f>
        <v>9.458094917536183</v>
      </c>
    </row>
    <row r="7321" spans="1:14">
      <c r="A7321" s="21">
        <v>2026</v>
      </c>
      <c r="B7321" s="21" t="s">
        <v>19</v>
      </c>
      <c r="C7321" s="21" t="s">
        <v>1145</v>
      </c>
      <c r="D7321" s="21" t="s">
        <v>35</v>
      </c>
      <c r="E7321" s="17" t="s">
        <v>172</v>
      </c>
      <c r="F7321" s="17" t="s">
        <v>105</v>
      </c>
      <c r="G7321" s="18" t="s">
        <v>48</v>
      </c>
      <c r="H7321" s="24">
        <v>111050</v>
      </c>
      <c r="I7321" s="24">
        <f>T_reg.root.SK[[#This Row],[Volume, kg]]/1000</f>
        <v>111.05</v>
      </c>
      <c r="J7321" s="25">
        <v>0.26479999999999998</v>
      </c>
      <c r="K7321" s="25">
        <f t="shared" si="115"/>
        <v>29406.039999999997</v>
      </c>
      <c r="L7321" s="25">
        <v>2.66</v>
      </c>
      <c r="M7321" s="24">
        <v>295259</v>
      </c>
      <c r="N7321" s="25">
        <f>IFERROR(T_reg.root.SK[[#This Row],[Price]]/T_reg.root.SK[[#This Row],[Starch content]],"")</f>
        <v>10.045317220543808</v>
      </c>
    </row>
    <row r="7322" spans="1:14">
      <c r="A7322" s="21">
        <v>2026</v>
      </c>
      <c r="B7322" s="21" t="s">
        <v>19</v>
      </c>
      <c r="C7322" s="21" t="s">
        <v>1145</v>
      </c>
      <c r="D7322" s="21" t="s">
        <v>35</v>
      </c>
      <c r="E7322" s="17" t="s">
        <v>321</v>
      </c>
      <c r="F7322" s="17" t="s">
        <v>105</v>
      </c>
      <c r="G7322" s="18" t="s">
        <v>48</v>
      </c>
      <c r="H7322" s="24">
        <v>35310</v>
      </c>
      <c r="I7322" s="24">
        <f>T_reg.root.SK[[#This Row],[Volume, kg]]/1000</f>
        <v>35.31</v>
      </c>
      <c r="J7322" s="25">
        <v>0.27860000000000001</v>
      </c>
      <c r="K7322" s="25">
        <f t="shared" si="115"/>
        <v>9837.366</v>
      </c>
      <c r="L7322" s="25">
        <v>2.69</v>
      </c>
      <c r="M7322" s="24">
        <v>94867.5</v>
      </c>
      <c r="N7322" s="25">
        <f>IFERROR(T_reg.root.SK[[#This Row],[Price]]/T_reg.root.SK[[#This Row],[Starch content]],"")</f>
        <v>9.6554199569274939</v>
      </c>
    </row>
    <row r="7323" spans="1:14">
      <c r="A7323" s="21">
        <v>2026</v>
      </c>
      <c r="B7323" s="21" t="s">
        <v>19</v>
      </c>
      <c r="C7323" s="21" t="s">
        <v>1145</v>
      </c>
      <c r="D7323" s="21" t="s">
        <v>35</v>
      </c>
      <c r="E7323" s="17" t="s">
        <v>173</v>
      </c>
      <c r="F7323" s="17" t="s">
        <v>105</v>
      </c>
      <c r="G7323" s="18" t="s">
        <v>48</v>
      </c>
      <c r="H7323" s="24">
        <v>46640</v>
      </c>
      <c r="I7323" s="24">
        <f>T_reg.root.SK[[#This Row],[Volume, kg]]/1000</f>
        <v>46.64</v>
      </c>
      <c r="J7323" s="25">
        <v>0.23870000000000002</v>
      </c>
      <c r="K7323" s="25">
        <f t="shared" si="115"/>
        <v>11132.968000000001</v>
      </c>
      <c r="L7323" s="25">
        <v>2.5499999999999998</v>
      </c>
      <c r="M7323" s="24">
        <v>118941</v>
      </c>
      <c r="N7323" s="25">
        <f>IFERROR(T_reg.root.SK[[#This Row],[Price]]/T_reg.root.SK[[#This Row],[Starch content]],"")</f>
        <v>10.682865521575197</v>
      </c>
    </row>
    <row r="7324" spans="1:14">
      <c r="A7324" s="21">
        <v>2026</v>
      </c>
      <c r="B7324" s="21" t="s">
        <v>19</v>
      </c>
      <c r="C7324" s="21" t="s">
        <v>1145</v>
      </c>
      <c r="D7324" s="21" t="s">
        <v>35</v>
      </c>
      <c r="E7324" s="17" t="s">
        <v>691</v>
      </c>
      <c r="F7324" s="17" t="s">
        <v>187</v>
      </c>
      <c r="G7324" s="18" t="s">
        <v>48</v>
      </c>
      <c r="H7324" s="24">
        <v>26690</v>
      </c>
      <c r="I7324" s="24">
        <f>T_reg.root.SK[[#This Row],[Volume, kg]]/1000</f>
        <v>26.69</v>
      </c>
      <c r="J7324" s="25">
        <v>0.28139999999999998</v>
      </c>
      <c r="K7324" s="25">
        <f t="shared" si="115"/>
        <v>7510.5659999999998</v>
      </c>
      <c r="L7324" s="25">
        <v>2.77</v>
      </c>
      <c r="M7324" s="24">
        <v>73826.5</v>
      </c>
      <c r="N7324" s="25">
        <f>IFERROR(T_reg.root.SK[[#This Row],[Price]]/T_reg.root.SK[[#This Row],[Starch content]],"")</f>
        <v>9.8436389481165598</v>
      </c>
    </row>
    <row r="7325" spans="1:14">
      <c r="A7325" s="21">
        <v>2026</v>
      </c>
      <c r="B7325" s="21" t="s">
        <v>19</v>
      </c>
      <c r="C7325" s="21" t="s">
        <v>1145</v>
      </c>
      <c r="D7325" s="21" t="s">
        <v>35</v>
      </c>
      <c r="E7325" s="17" t="s">
        <v>956</v>
      </c>
      <c r="F7325" s="17" t="s">
        <v>105</v>
      </c>
      <c r="G7325" s="18" t="s">
        <v>48</v>
      </c>
      <c r="H7325" s="24">
        <v>29680</v>
      </c>
      <c r="I7325" s="24">
        <f>T_reg.root.SK[[#This Row],[Volume, kg]]/1000</f>
        <v>29.68</v>
      </c>
      <c r="J7325" s="25">
        <v>0.26319999999999999</v>
      </c>
      <c r="K7325" s="25">
        <f t="shared" si="115"/>
        <v>7811.7759999999998</v>
      </c>
      <c r="L7325" s="25">
        <v>2.62</v>
      </c>
      <c r="M7325" s="24">
        <v>77684</v>
      </c>
      <c r="N7325" s="25">
        <f>IFERROR(T_reg.root.SK[[#This Row],[Price]]/T_reg.root.SK[[#This Row],[Starch content]],"")</f>
        <v>9.9544072948328282</v>
      </c>
    </row>
    <row r="7326" spans="1:14">
      <c r="A7326" s="21">
        <v>2026</v>
      </c>
      <c r="B7326" s="21" t="s">
        <v>19</v>
      </c>
      <c r="C7326" s="21" t="s">
        <v>1145</v>
      </c>
      <c r="D7326" s="21" t="s">
        <v>35</v>
      </c>
      <c r="E7326" s="17" t="s">
        <v>968</v>
      </c>
      <c r="F7326" s="17" t="s">
        <v>105</v>
      </c>
      <c r="G7326" s="18" t="s">
        <v>48</v>
      </c>
      <c r="H7326" s="24">
        <v>24700</v>
      </c>
      <c r="I7326" s="24">
        <f>T_reg.root.SK[[#This Row],[Volume, kg]]/1000</f>
        <v>24.7</v>
      </c>
      <c r="J7326" s="25">
        <v>0.29580000000000001</v>
      </c>
      <c r="K7326" s="25">
        <f t="shared" si="115"/>
        <v>7306.26</v>
      </c>
      <c r="L7326" s="25">
        <v>2.81</v>
      </c>
      <c r="M7326" s="24">
        <v>69340</v>
      </c>
      <c r="N7326" s="25">
        <f>IFERROR(T_reg.root.SK[[#This Row],[Price]]/T_reg.root.SK[[#This Row],[Starch content]],"")</f>
        <v>9.4996619337390129</v>
      </c>
    </row>
    <row r="7327" spans="1:14">
      <c r="A7327" s="21">
        <v>2026</v>
      </c>
      <c r="B7327" s="21" t="s">
        <v>19</v>
      </c>
      <c r="C7327" s="21" t="s">
        <v>1145</v>
      </c>
      <c r="D7327" s="21" t="s">
        <v>35</v>
      </c>
      <c r="E7327" s="17" t="s">
        <v>980</v>
      </c>
      <c r="F7327" s="17" t="s">
        <v>105</v>
      </c>
      <c r="G7327" s="18" t="s">
        <v>48</v>
      </c>
      <c r="H7327" s="24">
        <v>175940</v>
      </c>
      <c r="I7327" s="24">
        <f>T_reg.root.SK[[#This Row],[Volume, kg]]/1000</f>
        <v>175.94</v>
      </c>
      <c r="J7327" s="25">
        <v>0.28570000000000001</v>
      </c>
      <c r="K7327" s="25">
        <f t="shared" si="115"/>
        <v>50266.058000000005</v>
      </c>
      <c r="L7327" s="25">
        <v>2.76</v>
      </c>
      <c r="M7327" s="24">
        <v>485416</v>
      </c>
      <c r="N7327" s="25">
        <f>IFERROR(T_reg.root.SK[[#This Row],[Price]]/T_reg.root.SK[[#This Row],[Starch content]],"")</f>
        <v>9.6604830241512065</v>
      </c>
    </row>
    <row r="7328" spans="1:14">
      <c r="A7328" s="21">
        <v>2026</v>
      </c>
      <c r="B7328" s="21" t="s">
        <v>19</v>
      </c>
      <c r="C7328" s="21" t="s">
        <v>1145</v>
      </c>
      <c r="D7328" s="21" t="s">
        <v>35</v>
      </c>
      <c r="E7328" s="17" t="s">
        <v>1100</v>
      </c>
      <c r="F7328" s="17" t="s">
        <v>105</v>
      </c>
      <c r="G7328" s="18" t="s">
        <v>48</v>
      </c>
      <c r="H7328" s="24">
        <v>37070</v>
      </c>
      <c r="I7328" s="24">
        <f>T_reg.root.SK[[#This Row],[Volume, kg]]/1000</f>
        <v>37.07</v>
      </c>
      <c r="J7328" s="25">
        <v>0.27829999999999999</v>
      </c>
      <c r="K7328" s="25">
        <f t="shared" si="115"/>
        <v>10316.581</v>
      </c>
      <c r="L7328" s="25">
        <v>2.69</v>
      </c>
      <c r="M7328" s="24">
        <v>99864.5</v>
      </c>
      <c r="N7328" s="25">
        <f>IFERROR(T_reg.root.SK[[#This Row],[Price]]/T_reg.root.SK[[#This Row],[Starch content]],"")</f>
        <v>9.6658282429033413</v>
      </c>
    </row>
    <row r="7329" spans="1:14">
      <c r="A7329" s="21">
        <v>2026</v>
      </c>
      <c r="B7329" s="21" t="s">
        <v>19</v>
      </c>
      <c r="C7329" s="21" t="s">
        <v>1145</v>
      </c>
      <c r="D7329" s="21" t="s">
        <v>39</v>
      </c>
      <c r="E7329" s="17" t="s">
        <v>1109</v>
      </c>
      <c r="F7329" s="17" t="s">
        <v>1110</v>
      </c>
      <c r="G7329" s="18" t="s">
        <v>48</v>
      </c>
      <c r="H7329" s="24">
        <v>2900580</v>
      </c>
      <c r="I7329" s="24">
        <f>T_reg.root.SK[[#This Row],[Volume, kg]]/1000</f>
        <v>2900.58</v>
      </c>
      <c r="J7329" s="25">
        <v>0.2823</v>
      </c>
      <c r="K7329" s="25">
        <f t="shared" si="115"/>
        <v>818833.73399999994</v>
      </c>
      <c r="L7329" s="25">
        <v>3.04</v>
      </c>
      <c r="M7329" s="24">
        <v>8812351.5</v>
      </c>
      <c r="N7329" s="25">
        <f>IFERROR(T_reg.root.SK[[#This Row],[Price]]/T_reg.root.SK[[#This Row],[Starch content]],"")</f>
        <v>10.768685795253276</v>
      </c>
    </row>
    <row r="7330" spans="1:14">
      <c r="A7330" s="21">
        <v>2026</v>
      </c>
      <c r="B7330" s="21" t="s">
        <v>19</v>
      </c>
      <c r="C7330" s="21" t="s">
        <v>1145</v>
      </c>
      <c r="D7330" s="21" t="s">
        <v>35</v>
      </c>
      <c r="E7330" s="17" t="s">
        <v>1118</v>
      </c>
      <c r="F7330" s="17" t="s">
        <v>105</v>
      </c>
      <c r="G7330" s="18" t="s">
        <v>48</v>
      </c>
      <c r="H7330" s="24">
        <v>95260</v>
      </c>
      <c r="I7330" s="24">
        <f>T_reg.root.SK[[#This Row],[Volume, kg]]/1000</f>
        <v>95.26</v>
      </c>
      <c r="J7330" s="25">
        <v>0.2495</v>
      </c>
      <c r="K7330" s="25">
        <f t="shared" si="115"/>
        <v>23767.37</v>
      </c>
      <c r="L7330" s="25">
        <v>2.6</v>
      </c>
      <c r="M7330" s="24">
        <v>247614.5</v>
      </c>
      <c r="N7330" s="25">
        <f>IFERROR(T_reg.root.SK[[#This Row],[Price]]/T_reg.root.SK[[#This Row],[Starch content]],"")</f>
        <v>10.420841683366733</v>
      </c>
    </row>
    <row r="7331" spans="1:14">
      <c r="A7331" s="21">
        <v>2026</v>
      </c>
      <c r="B7331" s="21" t="s">
        <v>19</v>
      </c>
      <c r="C7331" s="21" t="s">
        <v>1145</v>
      </c>
      <c r="D7331" s="21" t="s">
        <v>35</v>
      </c>
      <c r="E7331" s="17" t="s">
        <v>174</v>
      </c>
      <c r="F7331" s="17" t="s">
        <v>105</v>
      </c>
      <c r="G7331" s="18" t="s">
        <v>48</v>
      </c>
      <c r="H7331" s="24">
        <v>38130</v>
      </c>
      <c r="I7331" s="24">
        <f>T_reg.root.SK[[#This Row],[Volume, kg]]/1000</f>
        <v>38.130000000000003</v>
      </c>
      <c r="J7331" s="25">
        <v>0.26940000000000003</v>
      </c>
      <c r="K7331" s="25">
        <f t="shared" si="115"/>
        <v>10272.222000000002</v>
      </c>
      <c r="L7331" s="25">
        <v>2.69</v>
      </c>
      <c r="M7331" s="24">
        <v>102680</v>
      </c>
      <c r="N7331" s="25">
        <f>IFERROR(T_reg.root.SK[[#This Row],[Price]]/T_reg.root.SK[[#This Row],[Starch content]],"")</f>
        <v>9.9851521900519664</v>
      </c>
    </row>
    <row r="7332" spans="1:14">
      <c r="A7332" s="21">
        <v>2026</v>
      </c>
      <c r="B7332" s="21" t="s">
        <v>19</v>
      </c>
      <c r="C7332" s="21" t="s">
        <v>1145</v>
      </c>
      <c r="D7332" s="21" t="s">
        <v>35</v>
      </c>
      <c r="E7332" s="17" t="s">
        <v>327</v>
      </c>
      <c r="F7332" s="17" t="s">
        <v>105</v>
      </c>
      <c r="G7332" s="18" t="s">
        <v>48</v>
      </c>
      <c r="H7332" s="24">
        <v>44120</v>
      </c>
      <c r="I7332" s="24">
        <f>T_reg.root.SK[[#This Row],[Volume, kg]]/1000</f>
        <v>44.12</v>
      </c>
      <c r="J7332" s="25">
        <v>0.29499999999999998</v>
      </c>
      <c r="K7332" s="25">
        <f t="shared" si="115"/>
        <v>13015.4</v>
      </c>
      <c r="L7332" s="25">
        <v>2.84</v>
      </c>
      <c r="M7332" s="24">
        <v>125124.5</v>
      </c>
      <c r="N7332" s="25">
        <f>IFERROR(T_reg.root.SK[[#This Row],[Price]]/T_reg.root.SK[[#This Row],[Starch content]],"")</f>
        <v>9.6271186440677958</v>
      </c>
    </row>
    <row r="7333" spans="1:14">
      <c r="A7333" s="21">
        <v>2026</v>
      </c>
      <c r="B7333" s="21" t="s">
        <v>19</v>
      </c>
      <c r="C7333" s="21" t="s">
        <v>1145</v>
      </c>
      <c r="D7333" s="21" t="s">
        <v>39</v>
      </c>
      <c r="E7333" s="17" t="s">
        <v>88</v>
      </c>
      <c r="F7333" s="17" t="s">
        <v>89</v>
      </c>
      <c r="G7333" s="18" t="s">
        <v>90</v>
      </c>
      <c r="H7333" s="24">
        <v>4486260</v>
      </c>
      <c r="I7333" s="24">
        <f>T_reg.root.SK[[#This Row],[Volume, kg]]/1000</f>
        <v>4486.26</v>
      </c>
      <c r="J7333" s="25">
        <v>0.26619999999999999</v>
      </c>
      <c r="K7333" s="25">
        <f t="shared" si="115"/>
        <v>1194242.412</v>
      </c>
      <c r="L7333" s="25">
        <v>2.98</v>
      </c>
      <c r="M7333" s="24">
        <v>13384305.5</v>
      </c>
      <c r="N7333" s="25">
        <f>IFERROR(T_reg.root.SK[[#This Row],[Price]]/T_reg.root.SK[[#This Row],[Starch content]],"")</f>
        <v>11.194590533433509</v>
      </c>
    </row>
    <row r="7334" spans="1:14">
      <c r="A7334" s="21">
        <v>2026</v>
      </c>
      <c r="B7334" s="21" t="s">
        <v>19</v>
      </c>
      <c r="C7334" s="21" t="s">
        <v>1145</v>
      </c>
      <c r="D7334" s="21" t="s">
        <v>39</v>
      </c>
      <c r="E7334" s="17" t="s">
        <v>1054</v>
      </c>
      <c r="F7334" s="17" t="s">
        <v>1055</v>
      </c>
      <c r="G7334" s="18" t="s">
        <v>103</v>
      </c>
      <c r="H7334" s="24">
        <v>372050</v>
      </c>
      <c r="I7334" s="24">
        <f>T_reg.root.SK[[#This Row],[Volume, kg]]/1000</f>
        <v>372.05</v>
      </c>
      <c r="J7334" s="25">
        <v>0.26960000000000001</v>
      </c>
      <c r="K7334" s="25">
        <f t="shared" si="115"/>
        <v>100304.68000000001</v>
      </c>
      <c r="L7334" s="25">
        <v>3.03</v>
      </c>
      <c r="M7334" s="24">
        <v>1128986.5</v>
      </c>
      <c r="N7334" s="25">
        <f>IFERROR(T_reg.root.SK[[#This Row],[Price]]/T_reg.root.SK[[#This Row],[Starch content]],"")</f>
        <v>11.23887240356083</v>
      </c>
    </row>
    <row r="7335" spans="1:14">
      <c r="A7335" s="21">
        <v>2026</v>
      </c>
      <c r="B7335" s="21" t="s">
        <v>19</v>
      </c>
      <c r="C7335" s="21" t="s">
        <v>1145</v>
      </c>
      <c r="D7335" s="21" t="s">
        <v>35</v>
      </c>
      <c r="E7335" s="17" t="s">
        <v>176</v>
      </c>
      <c r="F7335" s="17" t="s">
        <v>105</v>
      </c>
      <c r="G7335" s="18" t="s">
        <v>48</v>
      </c>
      <c r="H7335" s="24">
        <v>56370</v>
      </c>
      <c r="I7335" s="24">
        <f>T_reg.root.SK[[#This Row],[Volume, kg]]/1000</f>
        <v>56.37</v>
      </c>
      <c r="J7335" s="25">
        <v>0.2787</v>
      </c>
      <c r="K7335" s="25">
        <f t="shared" si="115"/>
        <v>15710.319</v>
      </c>
      <c r="L7335" s="25">
        <v>2.75</v>
      </c>
      <c r="M7335" s="24">
        <v>154802</v>
      </c>
      <c r="N7335" s="25">
        <f>IFERROR(T_reg.root.SK[[#This Row],[Price]]/T_reg.root.SK[[#This Row],[Starch content]],"")</f>
        <v>9.8672407606745605</v>
      </c>
    </row>
    <row r="7336" spans="1:14">
      <c r="A7336" s="21">
        <v>2026</v>
      </c>
      <c r="B7336" s="21" t="s">
        <v>19</v>
      </c>
      <c r="C7336" s="21" t="s">
        <v>1145</v>
      </c>
      <c r="D7336" s="21" t="s">
        <v>35</v>
      </c>
      <c r="E7336" s="17" t="s">
        <v>605</v>
      </c>
      <c r="F7336" s="17" t="s">
        <v>105</v>
      </c>
      <c r="G7336" s="18" t="s">
        <v>48</v>
      </c>
      <c r="H7336" s="24">
        <v>67210</v>
      </c>
      <c r="I7336" s="24">
        <f>T_reg.root.SK[[#This Row],[Volume, kg]]/1000</f>
        <v>67.209999999999994</v>
      </c>
      <c r="J7336" s="25">
        <v>0.24359999999999998</v>
      </c>
      <c r="K7336" s="25">
        <f t="shared" si="115"/>
        <v>16372.356</v>
      </c>
      <c r="L7336" s="25">
        <v>2.54</v>
      </c>
      <c r="M7336" s="24">
        <v>171004</v>
      </c>
      <c r="N7336" s="25">
        <f>IFERROR(T_reg.root.SK[[#This Row],[Price]]/T_reg.root.SK[[#This Row],[Starch content]],"")</f>
        <v>10.426929392446635</v>
      </c>
    </row>
    <row r="7337" spans="1:14">
      <c r="A7337" s="21">
        <v>2026</v>
      </c>
      <c r="B7337" s="21" t="s">
        <v>19</v>
      </c>
      <c r="C7337" s="21" t="s">
        <v>1145</v>
      </c>
      <c r="D7337" s="21" t="s">
        <v>35</v>
      </c>
      <c r="E7337" s="17" t="s">
        <v>1095</v>
      </c>
      <c r="F7337" s="17" t="s">
        <v>105</v>
      </c>
      <c r="G7337" s="18" t="s">
        <v>48</v>
      </c>
      <c r="H7337" s="24">
        <v>35010</v>
      </c>
      <c r="I7337" s="24">
        <f>T_reg.root.SK[[#This Row],[Volume, kg]]/1000</f>
        <v>35.01</v>
      </c>
      <c r="J7337" s="25">
        <v>0.25920000000000004</v>
      </c>
      <c r="K7337" s="25">
        <f t="shared" si="115"/>
        <v>9074.5920000000006</v>
      </c>
      <c r="L7337" s="25">
        <v>2.63</v>
      </c>
      <c r="M7337" s="24">
        <v>91927.5</v>
      </c>
      <c r="N7337" s="25">
        <f>IFERROR(T_reg.root.SK[[#This Row],[Price]]/T_reg.root.SK[[#This Row],[Starch content]],"")</f>
        <v>10.146604938271603</v>
      </c>
    </row>
    <row r="7338" spans="1:14">
      <c r="A7338" s="21">
        <v>2026</v>
      </c>
      <c r="B7338" s="21" t="s">
        <v>19</v>
      </c>
      <c r="C7338" s="21" t="s">
        <v>1145</v>
      </c>
      <c r="D7338" s="21" t="s">
        <v>35</v>
      </c>
      <c r="E7338" s="17" t="s">
        <v>772</v>
      </c>
      <c r="F7338" s="17" t="s">
        <v>105</v>
      </c>
      <c r="G7338" s="18" t="s">
        <v>48</v>
      </c>
      <c r="H7338" s="24">
        <v>44690</v>
      </c>
      <c r="I7338" s="24">
        <f>T_reg.root.SK[[#This Row],[Volume, kg]]/1000</f>
        <v>44.69</v>
      </c>
      <c r="J7338" s="25">
        <v>0.2676</v>
      </c>
      <c r="K7338" s="25">
        <f t="shared" si="115"/>
        <v>11959.044</v>
      </c>
      <c r="L7338" s="25">
        <v>2.69</v>
      </c>
      <c r="M7338" s="24">
        <v>120343</v>
      </c>
      <c r="N7338" s="25">
        <f>IFERROR(T_reg.root.SK[[#This Row],[Price]]/T_reg.root.SK[[#This Row],[Starch content]],"")</f>
        <v>10.052316890881913</v>
      </c>
    </row>
    <row r="7339" spans="1:14">
      <c r="A7339" s="21">
        <v>2026</v>
      </c>
      <c r="B7339" s="21" t="s">
        <v>19</v>
      </c>
      <c r="C7339" s="21" t="s">
        <v>1145</v>
      </c>
      <c r="D7339" s="21" t="s">
        <v>35</v>
      </c>
      <c r="E7339" s="17" t="s">
        <v>641</v>
      </c>
      <c r="F7339" s="17" t="s">
        <v>105</v>
      </c>
      <c r="G7339" s="18" t="s">
        <v>48</v>
      </c>
      <c r="H7339" s="24">
        <v>15060</v>
      </c>
      <c r="I7339" s="24">
        <f>T_reg.root.SK[[#This Row],[Volume, kg]]/1000</f>
        <v>15.06</v>
      </c>
      <c r="J7339" s="25">
        <v>0.24539999999999998</v>
      </c>
      <c r="K7339" s="25">
        <f t="shared" si="115"/>
        <v>3695.7239999999997</v>
      </c>
      <c r="L7339" s="25">
        <v>2.57</v>
      </c>
      <c r="M7339" s="24">
        <v>38732</v>
      </c>
      <c r="N7339" s="25">
        <f>IFERROR(T_reg.root.SK[[#This Row],[Price]]/T_reg.root.SK[[#This Row],[Starch content]],"")</f>
        <v>10.472697636511818</v>
      </c>
    </row>
    <row r="7340" spans="1:14">
      <c r="A7340" s="21">
        <v>2026</v>
      </c>
      <c r="B7340" s="21" t="s">
        <v>19</v>
      </c>
      <c r="C7340" s="21" t="s">
        <v>1145</v>
      </c>
      <c r="D7340" s="21" t="s">
        <v>35</v>
      </c>
      <c r="E7340" s="17" t="s">
        <v>939</v>
      </c>
      <c r="F7340" s="17" t="s">
        <v>105</v>
      </c>
      <c r="G7340" s="18" t="s">
        <v>48</v>
      </c>
      <c r="H7340" s="24">
        <v>5300</v>
      </c>
      <c r="I7340" s="24">
        <f>T_reg.root.SK[[#This Row],[Volume, kg]]/1000</f>
        <v>5.3</v>
      </c>
      <c r="J7340" s="25">
        <v>0.28100000000000003</v>
      </c>
      <c r="K7340" s="25">
        <f t="shared" si="115"/>
        <v>1489.3000000000002</v>
      </c>
      <c r="L7340" s="25">
        <v>2.75</v>
      </c>
      <c r="M7340" s="24">
        <v>14575</v>
      </c>
      <c r="N7340" s="25">
        <f>IFERROR(T_reg.root.SK[[#This Row],[Price]]/T_reg.root.SK[[#This Row],[Starch content]],"")</f>
        <v>9.7864768683274015</v>
      </c>
    </row>
    <row r="7341" spans="1:14">
      <c r="A7341" s="21">
        <v>2026</v>
      </c>
      <c r="B7341" s="21" t="s">
        <v>19</v>
      </c>
      <c r="C7341" s="21" t="s">
        <v>1145</v>
      </c>
      <c r="D7341" s="21" t="s">
        <v>35</v>
      </c>
      <c r="E7341" s="17" t="s">
        <v>1101</v>
      </c>
      <c r="F7341" s="17" t="s">
        <v>105</v>
      </c>
      <c r="G7341" s="18" t="s">
        <v>48</v>
      </c>
      <c r="H7341" s="24">
        <v>34830</v>
      </c>
      <c r="I7341" s="24">
        <f>T_reg.root.SK[[#This Row],[Volume, kg]]/1000</f>
        <v>34.83</v>
      </c>
      <c r="J7341" s="25">
        <v>0.24850000000000003</v>
      </c>
      <c r="K7341" s="25">
        <f t="shared" si="115"/>
        <v>8655.255000000001</v>
      </c>
      <c r="L7341" s="25">
        <v>2.57</v>
      </c>
      <c r="M7341" s="24">
        <v>89652</v>
      </c>
      <c r="N7341" s="25">
        <f>IFERROR(T_reg.root.SK[[#This Row],[Price]]/T_reg.root.SK[[#This Row],[Starch content]],"")</f>
        <v>10.342052313883299</v>
      </c>
    </row>
    <row r="7342" spans="1:14">
      <c r="A7342" s="21">
        <v>2026</v>
      </c>
      <c r="B7342" s="21" t="s">
        <v>19</v>
      </c>
      <c r="C7342" s="21" t="s">
        <v>1145</v>
      </c>
      <c r="D7342" s="21" t="s">
        <v>35</v>
      </c>
      <c r="E7342" s="17" t="s">
        <v>1107</v>
      </c>
      <c r="F7342" s="17" t="s">
        <v>105</v>
      </c>
      <c r="G7342" s="18" t="s">
        <v>48</v>
      </c>
      <c r="H7342" s="24">
        <v>2000</v>
      </c>
      <c r="I7342" s="24">
        <f>T_reg.root.SK[[#This Row],[Volume, kg]]/1000</f>
        <v>2</v>
      </c>
      <c r="J7342" s="25">
        <v>0.28100000000000003</v>
      </c>
      <c r="K7342" s="25">
        <f t="shared" si="115"/>
        <v>562</v>
      </c>
      <c r="L7342" s="25">
        <v>2.75</v>
      </c>
      <c r="M7342" s="24">
        <v>5500</v>
      </c>
      <c r="N7342" s="25">
        <f>IFERROR(T_reg.root.SK[[#This Row],[Price]]/T_reg.root.SK[[#This Row],[Starch content]],"")</f>
        <v>9.7864768683274015</v>
      </c>
    </row>
    <row r="7343" spans="1:14">
      <c r="A7343" s="21">
        <v>2026</v>
      </c>
      <c r="B7343" s="21" t="s">
        <v>19</v>
      </c>
      <c r="C7343" s="21" t="s">
        <v>1145</v>
      </c>
      <c r="D7343" s="21" t="s">
        <v>39</v>
      </c>
      <c r="E7343" s="17" t="s">
        <v>1108</v>
      </c>
      <c r="F7343" s="17" t="s">
        <v>37</v>
      </c>
      <c r="G7343" s="18" t="s">
        <v>38</v>
      </c>
      <c r="H7343" s="24">
        <v>749790</v>
      </c>
      <c r="I7343" s="24">
        <f>T_reg.root.SK[[#This Row],[Volume, kg]]/1000</f>
        <v>749.79</v>
      </c>
      <c r="J7343" s="25">
        <v>0.27629999999999999</v>
      </c>
      <c r="K7343" s="25">
        <f t="shared" ref="K7343:K7406" si="116">H7343*J7343</f>
        <v>207166.97699999998</v>
      </c>
      <c r="L7343" s="25">
        <v>3</v>
      </c>
      <c r="M7343" s="24">
        <v>2250453.5</v>
      </c>
      <c r="N7343" s="25">
        <f>IFERROR(T_reg.root.SK[[#This Row],[Price]]/T_reg.root.SK[[#This Row],[Starch content]],"")</f>
        <v>10.857763300760045</v>
      </c>
    </row>
    <row r="7344" spans="1:14">
      <c r="A7344" s="21">
        <v>2026</v>
      </c>
      <c r="B7344" s="21" t="s">
        <v>19</v>
      </c>
      <c r="C7344" s="21" t="s">
        <v>1145</v>
      </c>
      <c r="D7344" s="21" t="s">
        <v>35</v>
      </c>
      <c r="E7344" s="17" t="s">
        <v>1119</v>
      </c>
      <c r="F7344" s="17" t="s">
        <v>105</v>
      </c>
      <c r="G7344" s="18" t="s">
        <v>48</v>
      </c>
      <c r="H7344" s="24">
        <v>43310</v>
      </c>
      <c r="I7344" s="24">
        <f>T_reg.root.SK[[#This Row],[Volume, kg]]/1000</f>
        <v>43.31</v>
      </c>
      <c r="J7344" s="25">
        <v>0.27350000000000002</v>
      </c>
      <c r="K7344" s="25">
        <f t="shared" si="116"/>
        <v>11845.285000000002</v>
      </c>
      <c r="L7344" s="25">
        <v>2.72</v>
      </c>
      <c r="M7344" s="24">
        <v>117731</v>
      </c>
      <c r="N7344" s="25">
        <f>IFERROR(T_reg.root.SK[[#This Row],[Price]]/T_reg.root.SK[[#This Row],[Starch content]],"")</f>
        <v>9.9451553930530157</v>
      </c>
    </row>
    <row r="7345" spans="1:14">
      <c r="A7345" s="21">
        <v>2026</v>
      </c>
      <c r="B7345" s="21" t="s">
        <v>19</v>
      </c>
      <c r="C7345" s="21" t="s">
        <v>1145</v>
      </c>
      <c r="D7345" s="21" t="s">
        <v>35</v>
      </c>
      <c r="E7345" s="17" t="s">
        <v>831</v>
      </c>
      <c r="F7345" s="17" t="s">
        <v>187</v>
      </c>
      <c r="G7345" s="18" t="s">
        <v>48</v>
      </c>
      <c r="H7345" s="24">
        <v>10040</v>
      </c>
      <c r="I7345" s="24">
        <f>T_reg.root.SK[[#This Row],[Volume, kg]]/1000</f>
        <v>10.039999999999999</v>
      </c>
      <c r="J7345" s="25">
        <v>0.2545</v>
      </c>
      <c r="K7345" s="25">
        <f t="shared" si="116"/>
        <v>2555.1799999999998</v>
      </c>
      <c r="L7345" s="25">
        <v>2.6</v>
      </c>
      <c r="M7345" s="24">
        <v>26104</v>
      </c>
      <c r="N7345" s="25">
        <f>IFERROR(T_reg.root.SK[[#This Row],[Price]]/T_reg.root.SK[[#This Row],[Starch content]],"")</f>
        <v>10.216110019646365</v>
      </c>
    </row>
    <row r="7346" spans="1:14">
      <c r="A7346" s="21">
        <v>2026</v>
      </c>
      <c r="B7346" s="21" t="s">
        <v>20</v>
      </c>
      <c r="C7346" s="21" t="s">
        <v>1145</v>
      </c>
      <c r="D7346" s="21" t="s">
        <v>184</v>
      </c>
      <c r="E7346" s="17" t="s">
        <v>185</v>
      </c>
      <c r="F7346" s="17" t="s">
        <v>105</v>
      </c>
      <c r="G7346" s="18" t="s">
        <v>48</v>
      </c>
      <c r="H7346" s="24">
        <v>31850</v>
      </c>
      <c r="I7346" s="24">
        <f>T_reg.root.SK[[#This Row],[Volume, kg]]/1000</f>
        <v>31.85</v>
      </c>
      <c r="J7346" s="25">
        <v>0.23730000000000001</v>
      </c>
      <c r="K7346" s="25">
        <f t="shared" si="116"/>
        <v>7558.0050000000001</v>
      </c>
      <c r="L7346" s="25">
        <v>2.5499999999999998</v>
      </c>
      <c r="M7346" s="24">
        <v>81217.5</v>
      </c>
      <c r="N7346" s="25">
        <f>IFERROR(T_reg.root.SK[[#This Row],[Price]]/T_reg.root.SK[[#This Row],[Starch content]],"")</f>
        <v>10.745891276864727</v>
      </c>
    </row>
    <row r="7347" spans="1:14">
      <c r="A7347" s="21">
        <v>2026</v>
      </c>
      <c r="B7347" s="21" t="s">
        <v>20</v>
      </c>
      <c r="C7347" s="21" t="s">
        <v>1145</v>
      </c>
      <c r="D7347" s="21" t="s">
        <v>35</v>
      </c>
      <c r="E7347" s="17" t="s">
        <v>287</v>
      </c>
      <c r="F7347" s="17" t="s">
        <v>105</v>
      </c>
      <c r="G7347" s="18" t="s">
        <v>48</v>
      </c>
      <c r="H7347" s="24">
        <v>22050</v>
      </c>
      <c r="I7347" s="24">
        <f>T_reg.root.SK[[#This Row],[Volume, kg]]/1000</f>
        <v>22.05</v>
      </c>
      <c r="J7347" s="25">
        <v>0.26069999999999999</v>
      </c>
      <c r="K7347" s="25">
        <f t="shared" si="116"/>
        <v>5748.4349999999995</v>
      </c>
      <c r="L7347" s="25">
        <v>2.7</v>
      </c>
      <c r="M7347" s="24">
        <v>59612</v>
      </c>
      <c r="N7347" s="25">
        <f>IFERROR(T_reg.root.SK[[#This Row],[Price]]/T_reg.root.SK[[#This Row],[Starch content]],"")</f>
        <v>10.356731875719218</v>
      </c>
    </row>
    <row r="7348" spans="1:14">
      <c r="A7348" s="21">
        <v>2026</v>
      </c>
      <c r="B7348" s="21" t="s">
        <v>20</v>
      </c>
      <c r="C7348" s="21" t="s">
        <v>1145</v>
      </c>
      <c r="D7348" s="21" t="s">
        <v>35</v>
      </c>
      <c r="E7348" s="17" t="s">
        <v>733</v>
      </c>
      <c r="F7348" s="17" t="s">
        <v>105</v>
      </c>
      <c r="G7348" s="18" t="s">
        <v>48</v>
      </c>
      <c r="H7348" s="24">
        <v>18380</v>
      </c>
      <c r="I7348" s="24">
        <f>T_reg.root.SK[[#This Row],[Volume, kg]]/1000</f>
        <v>18.38</v>
      </c>
      <c r="J7348" s="25">
        <v>0.25280000000000002</v>
      </c>
      <c r="K7348" s="25">
        <f t="shared" si="116"/>
        <v>4646.4640000000009</v>
      </c>
      <c r="L7348" s="25">
        <v>2.62</v>
      </c>
      <c r="M7348" s="24">
        <v>48116.5</v>
      </c>
      <c r="N7348" s="25">
        <f>IFERROR(T_reg.root.SK[[#This Row],[Price]]/T_reg.root.SK[[#This Row],[Starch content]],"")</f>
        <v>10.36392405063291</v>
      </c>
    </row>
    <row r="7349" spans="1:14">
      <c r="A7349" s="21">
        <v>2026</v>
      </c>
      <c r="B7349" s="21" t="s">
        <v>20</v>
      </c>
      <c r="C7349" s="21" t="s">
        <v>1145</v>
      </c>
      <c r="D7349" s="21" t="s">
        <v>35</v>
      </c>
      <c r="E7349" s="17" t="s">
        <v>1006</v>
      </c>
      <c r="F7349" s="17" t="s">
        <v>105</v>
      </c>
      <c r="G7349" s="18" t="s">
        <v>48</v>
      </c>
      <c r="H7349" s="24">
        <v>6720</v>
      </c>
      <c r="I7349" s="24">
        <f>T_reg.root.SK[[#This Row],[Volume, kg]]/1000</f>
        <v>6.72</v>
      </c>
      <c r="J7349" s="25">
        <v>0.249</v>
      </c>
      <c r="K7349" s="25">
        <f t="shared" si="116"/>
        <v>1673.28</v>
      </c>
      <c r="L7349" s="25">
        <v>2.7</v>
      </c>
      <c r="M7349" s="24">
        <v>18144</v>
      </c>
      <c r="N7349" s="25">
        <f>IFERROR(T_reg.root.SK[[#This Row],[Price]]/T_reg.root.SK[[#This Row],[Starch content]],"")</f>
        <v>10.843373493975905</v>
      </c>
    </row>
    <row r="7350" spans="1:14">
      <c r="A7350" s="21">
        <v>2026</v>
      </c>
      <c r="B7350" s="21" t="s">
        <v>20</v>
      </c>
      <c r="C7350" s="21" t="s">
        <v>1145</v>
      </c>
      <c r="D7350" s="21" t="s">
        <v>39</v>
      </c>
      <c r="E7350" s="17" t="s">
        <v>1058</v>
      </c>
      <c r="F7350" s="17" t="s">
        <v>227</v>
      </c>
      <c r="G7350" s="18" t="s">
        <v>42</v>
      </c>
      <c r="H7350" s="24">
        <v>1646390</v>
      </c>
      <c r="I7350" s="24">
        <f>T_reg.root.SK[[#This Row],[Volume, kg]]/1000</f>
        <v>1646.39</v>
      </c>
      <c r="J7350" s="25">
        <v>0.26489999999999997</v>
      </c>
      <c r="K7350" s="25">
        <f t="shared" si="116"/>
        <v>436128.71099999995</v>
      </c>
      <c r="L7350" s="25">
        <v>3.08</v>
      </c>
      <c r="M7350" s="24">
        <v>5078750</v>
      </c>
      <c r="N7350" s="25">
        <f>IFERROR(T_reg.root.SK[[#This Row],[Price]]/T_reg.root.SK[[#This Row],[Starch content]],"")</f>
        <v>11.627029067572671</v>
      </c>
    </row>
    <row r="7351" spans="1:14">
      <c r="A7351" s="21">
        <v>2026</v>
      </c>
      <c r="B7351" s="21" t="s">
        <v>20</v>
      </c>
      <c r="C7351" s="21" t="s">
        <v>1145</v>
      </c>
      <c r="D7351" s="21" t="s">
        <v>35</v>
      </c>
      <c r="E7351" s="17" t="s">
        <v>683</v>
      </c>
      <c r="F7351" s="17" t="s">
        <v>105</v>
      </c>
      <c r="G7351" s="18" t="s">
        <v>48</v>
      </c>
      <c r="H7351" s="24">
        <v>49790</v>
      </c>
      <c r="I7351" s="24">
        <f>T_reg.root.SK[[#This Row],[Volume, kg]]/1000</f>
        <v>49.79</v>
      </c>
      <c r="J7351" s="25">
        <v>0.25900000000000001</v>
      </c>
      <c r="K7351" s="25">
        <f t="shared" si="116"/>
        <v>12895.61</v>
      </c>
      <c r="L7351" s="25">
        <v>2.65</v>
      </c>
      <c r="M7351" s="24">
        <v>131949</v>
      </c>
      <c r="N7351" s="25">
        <f>IFERROR(T_reg.root.SK[[#This Row],[Price]]/T_reg.root.SK[[#This Row],[Starch content]],"")</f>
        <v>10.23166023166023</v>
      </c>
    </row>
    <row r="7352" spans="1:14">
      <c r="A7352" s="21">
        <v>2026</v>
      </c>
      <c r="B7352" s="21" t="s">
        <v>20</v>
      </c>
      <c r="C7352" s="21" t="s">
        <v>1145</v>
      </c>
      <c r="D7352" s="21" t="s">
        <v>35</v>
      </c>
      <c r="E7352" s="17" t="s">
        <v>1120</v>
      </c>
      <c r="F7352" s="17" t="s">
        <v>105</v>
      </c>
      <c r="G7352" s="18" t="s">
        <v>48</v>
      </c>
      <c r="H7352" s="24">
        <v>13170</v>
      </c>
      <c r="I7352" s="24">
        <f>T_reg.root.SK[[#This Row],[Volume, kg]]/1000</f>
        <v>13.17</v>
      </c>
      <c r="J7352" s="25">
        <v>0.26090000000000002</v>
      </c>
      <c r="K7352" s="25">
        <f t="shared" si="116"/>
        <v>3436.0530000000003</v>
      </c>
      <c r="L7352" s="25">
        <v>2.67</v>
      </c>
      <c r="M7352" s="24">
        <v>35197</v>
      </c>
      <c r="N7352" s="25">
        <f>IFERROR(T_reg.root.SK[[#This Row],[Price]]/T_reg.root.SK[[#This Row],[Starch content]],"")</f>
        <v>10.233806055960137</v>
      </c>
    </row>
    <row r="7353" spans="1:14">
      <c r="A7353" s="21">
        <v>2026</v>
      </c>
      <c r="B7353" s="21" t="s">
        <v>20</v>
      </c>
      <c r="C7353" s="21" t="s">
        <v>1145</v>
      </c>
      <c r="D7353" s="21" t="s">
        <v>35</v>
      </c>
      <c r="E7353" s="17" t="s">
        <v>289</v>
      </c>
      <c r="F7353" s="17" t="s">
        <v>105</v>
      </c>
      <c r="G7353" s="18" t="s">
        <v>48</v>
      </c>
      <c r="H7353" s="24">
        <v>27520</v>
      </c>
      <c r="I7353" s="24">
        <f>T_reg.root.SK[[#This Row],[Volume, kg]]/1000</f>
        <v>27.52</v>
      </c>
      <c r="J7353" s="25">
        <v>0.23139999999999999</v>
      </c>
      <c r="K7353" s="25">
        <f t="shared" si="116"/>
        <v>6368.1279999999997</v>
      </c>
      <c r="L7353" s="25">
        <v>2.5</v>
      </c>
      <c r="M7353" s="24">
        <v>68810.5</v>
      </c>
      <c r="N7353" s="25">
        <f>IFERROR(T_reg.root.SK[[#This Row],[Price]]/T_reg.root.SK[[#This Row],[Starch content]],"")</f>
        <v>10.8038029386344</v>
      </c>
    </row>
    <row r="7354" spans="1:14">
      <c r="A7354" s="21">
        <v>2026</v>
      </c>
      <c r="B7354" s="21" t="s">
        <v>20</v>
      </c>
      <c r="C7354" s="21" t="s">
        <v>1145</v>
      </c>
      <c r="D7354" s="21" t="s">
        <v>35</v>
      </c>
      <c r="E7354" s="17" t="s">
        <v>401</v>
      </c>
      <c r="F7354" s="17" t="s">
        <v>105</v>
      </c>
      <c r="G7354" s="18" t="s">
        <v>48</v>
      </c>
      <c r="H7354" s="24">
        <v>21580</v>
      </c>
      <c r="I7354" s="24">
        <f>T_reg.root.SK[[#This Row],[Volume, kg]]/1000</f>
        <v>21.58</v>
      </c>
      <c r="J7354" s="25">
        <v>0.24239999999999998</v>
      </c>
      <c r="K7354" s="25">
        <f t="shared" si="116"/>
        <v>5230.9919999999993</v>
      </c>
      <c r="L7354" s="25">
        <v>2.56</v>
      </c>
      <c r="M7354" s="24">
        <v>55280.5</v>
      </c>
      <c r="N7354" s="25">
        <f>IFERROR(T_reg.root.SK[[#This Row],[Price]]/T_reg.root.SK[[#This Row],[Starch content]],"")</f>
        <v>10.561056105610563</v>
      </c>
    </row>
    <row r="7355" spans="1:14">
      <c r="A7355" s="21">
        <v>2026</v>
      </c>
      <c r="B7355" s="21" t="s">
        <v>20</v>
      </c>
      <c r="C7355" s="21" t="s">
        <v>1145</v>
      </c>
      <c r="D7355" s="21" t="s">
        <v>35</v>
      </c>
      <c r="E7355" s="17" t="s">
        <v>290</v>
      </c>
      <c r="F7355" s="17" t="s">
        <v>105</v>
      </c>
      <c r="G7355" s="18" t="s">
        <v>48</v>
      </c>
      <c r="H7355" s="24">
        <v>46100</v>
      </c>
      <c r="I7355" s="24">
        <f>T_reg.root.SK[[#This Row],[Volume, kg]]/1000</f>
        <v>46.1</v>
      </c>
      <c r="J7355" s="25">
        <v>0.26530000000000004</v>
      </c>
      <c r="K7355" s="25">
        <f t="shared" si="116"/>
        <v>12230.330000000002</v>
      </c>
      <c r="L7355" s="25">
        <v>2.68</v>
      </c>
      <c r="M7355" s="24">
        <v>123343.5</v>
      </c>
      <c r="N7355" s="25">
        <f>IFERROR(T_reg.root.SK[[#This Row],[Price]]/T_reg.root.SK[[#This Row],[Starch content]],"")</f>
        <v>10.101771579344138</v>
      </c>
    </row>
    <row r="7356" spans="1:14">
      <c r="A7356" s="21">
        <v>2026</v>
      </c>
      <c r="B7356" s="21" t="s">
        <v>20</v>
      </c>
      <c r="C7356" s="21" t="s">
        <v>1145</v>
      </c>
      <c r="D7356" s="21" t="s">
        <v>35</v>
      </c>
      <c r="E7356" s="17" t="s">
        <v>713</v>
      </c>
      <c r="F7356" s="17" t="s">
        <v>105</v>
      </c>
      <c r="G7356" s="18" t="s">
        <v>48</v>
      </c>
      <c r="H7356" s="24">
        <v>43060</v>
      </c>
      <c r="I7356" s="24">
        <f>T_reg.root.SK[[#This Row],[Volume, kg]]/1000</f>
        <v>43.06</v>
      </c>
      <c r="J7356" s="25">
        <v>0.27710000000000001</v>
      </c>
      <c r="K7356" s="25">
        <f t="shared" si="116"/>
        <v>11931.926000000001</v>
      </c>
      <c r="L7356" s="25">
        <v>2.74</v>
      </c>
      <c r="M7356" s="24">
        <v>117922</v>
      </c>
      <c r="N7356" s="25">
        <f>IFERROR(T_reg.root.SK[[#This Row],[Price]]/T_reg.root.SK[[#This Row],[Starch content]],"")</f>
        <v>9.8881270299530861</v>
      </c>
    </row>
    <row r="7357" spans="1:14">
      <c r="A7357" s="21">
        <v>2026</v>
      </c>
      <c r="B7357" s="21" t="s">
        <v>20</v>
      </c>
      <c r="C7357" s="21" t="s">
        <v>1145</v>
      </c>
      <c r="D7357" s="21" t="s">
        <v>35</v>
      </c>
      <c r="E7357" s="17" t="s">
        <v>630</v>
      </c>
      <c r="F7357" s="17" t="s">
        <v>105</v>
      </c>
      <c r="G7357" s="18" t="s">
        <v>48</v>
      </c>
      <c r="H7357" s="24">
        <v>14200</v>
      </c>
      <c r="I7357" s="24">
        <f>T_reg.root.SK[[#This Row],[Volume, kg]]/1000</f>
        <v>14.2</v>
      </c>
      <c r="J7357" s="25">
        <v>0.26750000000000002</v>
      </c>
      <c r="K7357" s="25">
        <f t="shared" si="116"/>
        <v>3798.5</v>
      </c>
      <c r="L7357" s="25">
        <v>2.68</v>
      </c>
      <c r="M7357" s="24">
        <v>38095</v>
      </c>
      <c r="N7357" s="25">
        <f>IFERROR(T_reg.root.SK[[#This Row],[Price]]/T_reg.root.SK[[#This Row],[Starch content]],"")</f>
        <v>10.018691588785046</v>
      </c>
    </row>
    <row r="7358" spans="1:14">
      <c r="A7358" s="21">
        <v>2026</v>
      </c>
      <c r="B7358" s="21" t="s">
        <v>20</v>
      </c>
      <c r="C7358" s="21" t="s">
        <v>1145</v>
      </c>
      <c r="D7358" s="21" t="s">
        <v>35</v>
      </c>
      <c r="E7358" s="17" t="s">
        <v>1121</v>
      </c>
      <c r="F7358" s="17" t="s">
        <v>105</v>
      </c>
      <c r="G7358" s="18" t="s">
        <v>48</v>
      </c>
      <c r="H7358" s="24">
        <v>19570</v>
      </c>
      <c r="I7358" s="24">
        <f>T_reg.root.SK[[#This Row],[Volume, kg]]/1000</f>
        <v>19.57</v>
      </c>
      <c r="J7358" s="25">
        <v>0.23139999999999999</v>
      </c>
      <c r="K7358" s="25">
        <f t="shared" si="116"/>
        <v>4528.4979999999996</v>
      </c>
      <c r="L7358" s="25">
        <v>2.5</v>
      </c>
      <c r="M7358" s="24">
        <v>48895.5</v>
      </c>
      <c r="N7358" s="25">
        <f>IFERROR(T_reg.root.SK[[#This Row],[Price]]/T_reg.root.SK[[#This Row],[Starch content]],"")</f>
        <v>10.8038029386344</v>
      </c>
    </row>
    <row r="7359" spans="1:14">
      <c r="A7359" s="21">
        <v>2026</v>
      </c>
      <c r="B7359" s="21" t="s">
        <v>20</v>
      </c>
      <c r="C7359" s="21" t="s">
        <v>1145</v>
      </c>
      <c r="D7359" s="21" t="s">
        <v>39</v>
      </c>
      <c r="E7359" s="17" t="s">
        <v>1074</v>
      </c>
      <c r="F7359" s="17" t="s">
        <v>1075</v>
      </c>
      <c r="G7359" s="18" t="s">
        <v>48</v>
      </c>
      <c r="H7359" s="24">
        <v>186460</v>
      </c>
      <c r="I7359" s="24">
        <f>T_reg.root.SK[[#This Row],[Volume, kg]]/1000</f>
        <v>186.46</v>
      </c>
      <c r="J7359" s="25">
        <v>0.2006</v>
      </c>
      <c r="K7359" s="25">
        <f t="shared" si="116"/>
        <v>37403.875999999997</v>
      </c>
      <c r="L7359" s="25">
        <v>3</v>
      </c>
      <c r="M7359" s="24">
        <v>559506</v>
      </c>
      <c r="N7359" s="25">
        <f>IFERROR(T_reg.root.SK[[#This Row],[Price]]/T_reg.root.SK[[#This Row],[Starch content]],"")</f>
        <v>14.955134596211366</v>
      </c>
    </row>
    <row r="7360" spans="1:14">
      <c r="A7360" s="21">
        <v>2026</v>
      </c>
      <c r="B7360" s="21" t="s">
        <v>20</v>
      </c>
      <c r="C7360" s="21" t="s">
        <v>1145</v>
      </c>
      <c r="D7360" s="21" t="s">
        <v>35</v>
      </c>
      <c r="E7360" s="17" t="s">
        <v>1086</v>
      </c>
      <c r="F7360" s="17" t="s">
        <v>105</v>
      </c>
      <c r="G7360" s="18" t="s">
        <v>48</v>
      </c>
      <c r="H7360" s="24">
        <v>28230</v>
      </c>
      <c r="I7360" s="24">
        <f>T_reg.root.SK[[#This Row],[Volume, kg]]/1000</f>
        <v>28.23</v>
      </c>
      <c r="J7360" s="25">
        <v>0.23010000000000003</v>
      </c>
      <c r="K7360" s="25">
        <f t="shared" si="116"/>
        <v>6495.7230000000009</v>
      </c>
      <c r="L7360" s="25">
        <v>2.5099999999999998</v>
      </c>
      <c r="M7360" s="24">
        <v>70884.5</v>
      </c>
      <c r="N7360" s="25">
        <f>IFERROR(T_reg.root.SK[[#This Row],[Price]]/T_reg.root.SK[[#This Row],[Starch content]],"")</f>
        <v>10.908300738809212</v>
      </c>
    </row>
    <row r="7361" spans="1:14">
      <c r="A7361" s="21">
        <v>2026</v>
      </c>
      <c r="B7361" s="21" t="s">
        <v>20</v>
      </c>
      <c r="C7361" s="21" t="s">
        <v>1145</v>
      </c>
      <c r="D7361" s="21" t="s">
        <v>35</v>
      </c>
      <c r="E7361" s="17" t="s">
        <v>112</v>
      </c>
      <c r="F7361" s="17" t="s">
        <v>105</v>
      </c>
      <c r="G7361" s="18" t="s">
        <v>48</v>
      </c>
      <c r="H7361" s="24">
        <v>213700</v>
      </c>
      <c r="I7361" s="24">
        <f>T_reg.root.SK[[#This Row],[Volume, kg]]/1000</f>
        <v>213.7</v>
      </c>
      <c r="J7361" s="25">
        <v>0.25040000000000001</v>
      </c>
      <c r="K7361" s="25">
        <f t="shared" si="116"/>
        <v>53510.48</v>
      </c>
      <c r="L7361" s="25">
        <v>2.6</v>
      </c>
      <c r="M7361" s="24">
        <v>556610.5</v>
      </c>
      <c r="N7361" s="25">
        <f>IFERROR(T_reg.root.SK[[#This Row],[Price]]/T_reg.root.SK[[#This Row],[Starch content]],"")</f>
        <v>10.383386581469649</v>
      </c>
    </row>
    <row r="7362" spans="1:14">
      <c r="A7362" s="21">
        <v>2026</v>
      </c>
      <c r="B7362" s="21" t="s">
        <v>20</v>
      </c>
      <c r="C7362" s="21" t="s">
        <v>1145</v>
      </c>
      <c r="D7362" s="21" t="s">
        <v>35</v>
      </c>
      <c r="E7362" s="17" t="s">
        <v>803</v>
      </c>
      <c r="F7362" s="17" t="s">
        <v>105</v>
      </c>
      <c r="G7362" s="18" t="s">
        <v>48</v>
      </c>
      <c r="H7362" s="24">
        <v>25310</v>
      </c>
      <c r="I7362" s="24">
        <f>T_reg.root.SK[[#This Row],[Volume, kg]]/1000</f>
        <v>25.31</v>
      </c>
      <c r="J7362" s="25">
        <v>0.24530000000000002</v>
      </c>
      <c r="K7362" s="25">
        <f t="shared" si="116"/>
        <v>6208.5430000000006</v>
      </c>
      <c r="L7362" s="25">
        <v>2.61</v>
      </c>
      <c r="M7362" s="24">
        <v>66155</v>
      </c>
      <c r="N7362" s="25">
        <f>IFERROR(T_reg.root.SK[[#This Row],[Price]]/T_reg.root.SK[[#This Row],[Starch content]],"")</f>
        <v>10.640032613126783</v>
      </c>
    </row>
    <row r="7363" spans="1:14">
      <c r="A7363" s="21">
        <v>2026</v>
      </c>
      <c r="B7363" s="21" t="s">
        <v>20</v>
      </c>
      <c r="C7363" s="21" t="s">
        <v>1145</v>
      </c>
      <c r="D7363" s="21" t="s">
        <v>39</v>
      </c>
      <c r="E7363" s="17" t="s">
        <v>284</v>
      </c>
      <c r="F7363" s="17" t="s">
        <v>285</v>
      </c>
      <c r="G7363" s="18" t="s">
        <v>286</v>
      </c>
      <c r="H7363" s="24">
        <v>30730</v>
      </c>
      <c r="I7363" s="24">
        <f>T_reg.root.SK[[#This Row],[Volume, kg]]/1000</f>
        <v>30.73</v>
      </c>
      <c r="J7363" s="25">
        <v>0.21679999999999999</v>
      </c>
      <c r="K7363" s="25">
        <f t="shared" si="116"/>
        <v>6662.2640000000001</v>
      </c>
      <c r="L7363" s="25">
        <v>2.8</v>
      </c>
      <c r="M7363" s="24">
        <v>86044</v>
      </c>
      <c r="N7363" s="25">
        <f>IFERROR(T_reg.root.SK[[#This Row],[Price]]/T_reg.root.SK[[#This Row],[Starch content]],"")</f>
        <v>12.915129151291513</v>
      </c>
    </row>
    <row r="7364" spans="1:14">
      <c r="A7364" s="21">
        <v>2026</v>
      </c>
      <c r="B7364" s="21" t="s">
        <v>20</v>
      </c>
      <c r="C7364" s="21" t="s">
        <v>1145</v>
      </c>
      <c r="D7364" s="21" t="s">
        <v>35</v>
      </c>
      <c r="E7364" s="17" t="s">
        <v>194</v>
      </c>
      <c r="F7364" s="17" t="s">
        <v>187</v>
      </c>
      <c r="G7364" s="18" t="s">
        <v>48</v>
      </c>
      <c r="H7364" s="24">
        <v>31680</v>
      </c>
      <c r="I7364" s="24">
        <f>T_reg.root.SK[[#This Row],[Volume, kg]]/1000</f>
        <v>31.68</v>
      </c>
      <c r="J7364" s="25">
        <v>0.24199999999999999</v>
      </c>
      <c r="K7364" s="25">
        <f t="shared" si="116"/>
        <v>7666.5599999999995</v>
      </c>
      <c r="L7364" s="25">
        <v>2.61</v>
      </c>
      <c r="M7364" s="24">
        <v>82537.5</v>
      </c>
      <c r="N7364" s="25">
        <f>IFERROR(T_reg.root.SK[[#This Row],[Price]]/T_reg.root.SK[[#This Row],[Starch content]],"")</f>
        <v>10.785123966942148</v>
      </c>
    </row>
    <row r="7365" spans="1:14">
      <c r="A7365" s="21">
        <v>2026</v>
      </c>
      <c r="B7365" s="21" t="s">
        <v>20</v>
      </c>
      <c r="C7365" s="21" t="s">
        <v>1145</v>
      </c>
      <c r="D7365" s="21" t="s">
        <v>35</v>
      </c>
      <c r="E7365" s="17" t="s">
        <v>402</v>
      </c>
      <c r="F7365" s="17" t="s">
        <v>105</v>
      </c>
      <c r="G7365" s="18" t="s">
        <v>48</v>
      </c>
      <c r="H7365" s="24">
        <v>6620</v>
      </c>
      <c r="I7365" s="24">
        <f>T_reg.root.SK[[#This Row],[Volume, kg]]/1000</f>
        <v>6.62</v>
      </c>
      <c r="J7365" s="25">
        <v>0.30049999999999999</v>
      </c>
      <c r="K7365" s="25">
        <f t="shared" si="116"/>
        <v>1989.31</v>
      </c>
      <c r="L7365" s="25">
        <v>2.85</v>
      </c>
      <c r="M7365" s="24">
        <v>18867</v>
      </c>
      <c r="N7365" s="25">
        <f>IFERROR(T_reg.root.SK[[#This Row],[Price]]/T_reg.root.SK[[#This Row],[Starch content]],"")</f>
        <v>9.484193011647255</v>
      </c>
    </row>
    <row r="7366" spans="1:14">
      <c r="A7366" s="21">
        <v>2026</v>
      </c>
      <c r="B7366" s="21" t="s">
        <v>20</v>
      </c>
      <c r="C7366" s="21" t="s">
        <v>1145</v>
      </c>
      <c r="D7366" s="21" t="s">
        <v>35</v>
      </c>
      <c r="E7366" s="17" t="s">
        <v>113</v>
      </c>
      <c r="F7366" s="17" t="s">
        <v>105</v>
      </c>
      <c r="G7366" s="18" t="s">
        <v>48</v>
      </c>
      <c r="H7366" s="24">
        <v>7940</v>
      </c>
      <c r="I7366" s="24">
        <f>T_reg.root.SK[[#This Row],[Volume, kg]]/1000</f>
        <v>7.94</v>
      </c>
      <c r="J7366" s="25">
        <v>0.2445</v>
      </c>
      <c r="K7366" s="25">
        <f t="shared" si="116"/>
        <v>1941.33</v>
      </c>
      <c r="L7366" s="25">
        <v>2.75</v>
      </c>
      <c r="M7366" s="24">
        <v>21835</v>
      </c>
      <c r="N7366" s="25">
        <f>IFERROR(T_reg.root.SK[[#This Row],[Price]]/T_reg.root.SK[[#This Row],[Starch content]],"")</f>
        <v>11.247443762781186</v>
      </c>
    </row>
    <row r="7367" spans="1:14">
      <c r="A7367" s="21">
        <v>2026</v>
      </c>
      <c r="B7367" s="21" t="s">
        <v>20</v>
      </c>
      <c r="C7367" s="21" t="s">
        <v>1145</v>
      </c>
      <c r="D7367" s="21" t="s">
        <v>39</v>
      </c>
      <c r="E7367" s="17" t="s">
        <v>997</v>
      </c>
      <c r="F7367" s="17" t="s">
        <v>998</v>
      </c>
      <c r="G7367" s="18" t="s">
        <v>87</v>
      </c>
      <c r="H7367" s="24">
        <v>60400</v>
      </c>
      <c r="I7367" s="24">
        <f>T_reg.root.SK[[#This Row],[Volume, kg]]/1000</f>
        <v>60.4</v>
      </c>
      <c r="J7367" s="25">
        <v>0.23960000000000001</v>
      </c>
      <c r="K7367" s="25">
        <f t="shared" si="116"/>
        <v>14471.84</v>
      </c>
      <c r="L7367" s="25">
        <v>2.9</v>
      </c>
      <c r="M7367" s="24">
        <v>175133</v>
      </c>
      <c r="N7367" s="25">
        <f>IFERROR(T_reg.root.SK[[#This Row],[Price]]/T_reg.root.SK[[#This Row],[Starch content]],"")</f>
        <v>12.103505843071785</v>
      </c>
    </row>
    <row r="7368" spans="1:14">
      <c r="A7368" s="21">
        <v>2026</v>
      </c>
      <c r="B7368" s="21" t="s">
        <v>20</v>
      </c>
      <c r="C7368" s="21" t="s">
        <v>1145</v>
      </c>
      <c r="D7368" s="21" t="s">
        <v>35</v>
      </c>
      <c r="E7368" s="17" t="s">
        <v>685</v>
      </c>
      <c r="F7368" s="17" t="s">
        <v>105</v>
      </c>
      <c r="G7368" s="18" t="s">
        <v>48</v>
      </c>
      <c r="H7368" s="24">
        <v>28120</v>
      </c>
      <c r="I7368" s="24">
        <f>T_reg.root.SK[[#This Row],[Volume, kg]]/1000</f>
        <v>28.12</v>
      </c>
      <c r="J7368" s="25">
        <v>0.24030000000000001</v>
      </c>
      <c r="K7368" s="25">
        <f t="shared" si="116"/>
        <v>6757.2360000000008</v>
      </c>
      <c r="L7368" s="25">
        <v>2.56</v>
      </c>
      <c r="M7368" s="24">
        <v>72051.5</v>
      </c>
      <c r="N7368" s="25">
        <f>IFERROR(T_reg.root.SK[[#This Row],[Price]]/T_reg.root.SK[[#This Row],[Starch content]],"")</f>
        <v>10.653349979192676</v>
      </c>
    </row>
    <row r="7369" spans="1:14">
      <c r="A7369" s="21">
        <v>2026</v>
      </c>
      <c r="B7369" s="21" t="s">
        <v>20</v>
      </c>
      <c r="C7369" s="21" t="s">
        <v>1145</v>
      </c>
      <c r="D7369" s="21" t="s">
        <v>35</v>
      </c>
      <c r="E7369" s="17" t="s">
        <v>681</v>
      </c>
      <c r="F7369" s="17" t="s">
        <v>95</v>
      </c>
      <c r="G7369" s="18" t="s">
        <v>48</v>
      </c>
      <c r="H7369" s="24">
        <v>7700</v>
      </c>
      <c r="I7369" s="24">
        <f>T_reg.root.SK[[#This Row],[Volume, kg]]/1000</f>
        <v>7.7</v>
      </c>
      <c r="J7369" s="25">
        <v>0.24350000000000002</v>
      </c>
      <c r="K7369" s="25">
        <f t="shared" si="116"/>
        <v>1874.9500000000003</v>
      </c>
      <c r="L7369" s="25">
        <v>2.5499999999999998</v>
      </c>
      <c r="M7369" s="24">
        <v>19635</v>
      </c>
      <c r="N7369" s="25">
        <f>IFERROR(T_reg.root.SK[[#This Row],[Price]]/T_reg.root.SK[[#This Row],[Starch content]],"")</f>
        <v>10.472279260780287</v>
      </c>
    </row>
    <row r="7370" spans="1:14">
      <c r="A7370" s="21">
        <v>2026</v>
      </c>
      <c r="B7370" s="21" t="s">
        <v>20</v>
      </c>
      <c r="C7370" s="21" t="s">
        <v>1145</v>
      </c>
      <c r="D7370" s="21" t="s">
        <v>39</v>
      </c>
      <c r="E7370" s="17" t="s">
        <v>797</v>
      </c>
      <c r="F7370" s="17" t="s">
        <v>798</v>
      </c>
      <c r="G7370" s="18" t="s">
        <v>799</v>
      </c>
      <c r="H7370" s="24">
        <v>512180</v>
      </c>
      <c r="I7370" s="24">
        <f>T_reg.root.SK[[#This Row],[Volume, kg]]/1000</f>
        <v>512.17999999999995</v>
      </c>
      <c r="J7370" s="25">
        <v>0.23350000000000001</v>
      </c>
      <c r="K7370" s="25">
        <f t="shared" si="116"/>
        <v>119594.03000000001</v>
      </c>
      <c r="L7370" s="25">
        <v>2.91</v>
      </c>
      <c r="M7370" s="24">
        <v>1489965.5</v>
      </c>
      <c r="N7370" s="25">
        <f>IFERROR(T_reg.root.SK[[#This Row],[Price]]/T_reg.root.SK[[#This Row],[Starch content]],"")</f>
        <v>12.462526766595289</v>
      </c>
    </row>
    <row r="7371" spans="1:14">
      <c r="A7371" s="21">
        <v>2026</v>
      </c>
      <c r="B7371" s="21" t="s">
        <v>20</v>
      </c>
      <c r="C7371" s="21" t="s">
        <v>1145</v>
      </c>
      <c r="D7371" s="21" t="s">
        <v>35</v>
      </c>
      <c r="E7371" s="17" t="s">
        <v>1032</v>
      </c>
      <c r="F7371" s="17" t="s">
        <v>105</v>
      </c>
      <c r="G7371" s="18" t="s">
        <v>48</v>
      </c>
      <c r="H7371" s="24">
        <v>17420</v>
      </c>
      <c r="I7371" s="24">
        <f>T_reg.root.SK[[#This Row],[Volume, kg]]/1000</f>
        <v>17.420000000000002</v>
      </c>
      <c r="J7371" s="25">
        <v>0.28889999999999999</v>
      </c>
      <c r="K7371" s="25">
        <f t="shared" si="116"/>
        <v>5032.6379999999999</v>
      </c>
      <c r="L7371" s="25">
        <v>2.8</v>
      </c>
      <c r="M7371" s="24">
        <v>48710</v>
      </c>
      <c r="N7371" s="25">
        <f>IFERROR(T_reg.root.SK[[#This Row],[Price]]/T_reg.root.SK[[#This Row],[Starch content]],"")</f>
        <v>9.6919349255797851</v>
      </c>
    </row>
    <row r="7372" spans="1:14">
      <c r="A7372" s="21">
        <v>2026</v>
      </c>
      <c r="B7372" s="21" t="s">
        <v>20</v>
      </c>
      <c r="C7372" s="21" t="s">
        <v>1145</v>
      </c>
      <c r="D7372" s="21" t="s">
        <v>39</v>
      </c>
      <c r="E7372" s="17" t="s">
        <v>1096</v>
      </c>
      <c r="F7372" s="17" t="s">
        <v>89</v>
      </c>
      <c r="G7372" s="18" t="s">
        <v>90</v>
      </c>
      <c r="H7372" s="24">
        <v>6108580</v>
      </c>
      <c r="I7372" s="24">
        <f>T_reg.root.SK[[#This Row],[Volume, kg]]/1000</f>
        <v>6108.58</v>
      </c>
      <c r="J7372" s="25">
        <v>0.24160000000000001</v>
      </c>
      <c r="K7372" s="25">
        <f t="shared" si="116"/>
        <v>1475832.9280000001</v>
      </c>
      <c r="L7372" s="25">
        <v>2.97</v>
      </c>
      <c r="M7372" s="24">
        <v>18124113</v>
      </c>
      <c r="N7372" s="25">
        <f>IFERROR(T_reg.root.SK[[#This Row],[Price]]/T_reg.root.SK[[#This Row],[Starch content]],"")</f>
        <v>12.293046357615895</v>
      </c>
    </row>
    <row r="7373" spans="1:14">
      <c r="A7373" s="21">
        <v>2026</v>
      </c>
      <c r="B7373" s="21" t="s">
        <v>20</v>
      </c>
      <c r="C7373" s="21" t="s">
        <v>1145</v>
      </c>
      <c r="D7373" s="21" t="s">
        <v>39</v>
      </c>
      <c r="E7373" s="17" t="s">
        <v>1060</v>
      </c>
      <c r="F7373" s="17" t="s">
        <v>1018</v>
      </c>
      <c r="G7373" s="18" t="s">
        <v>103</v>
      </c>
      <c r="H7373" s="24">
        <v>55200</v>
      </c>
      <c r="I7373" s="24">
        <f>T_reg.root.SK[[#This Row],[Volume, kg]]/1000</f>
        <v>55.2</v>
      </c>
      <c r="J7373" s="25">
        <v>0.22649999999999998</v>
      </c>
      <c r="K7373" s="25">
        <f t="shared" si="116"/>
        <v>12502.8</v>
      </c>
      <c r="L7373" s="25">
        <v>2.83</v>
      </c>
      <c r="M7373" s="24">
        <v>155997</v>
      </c>
      <c r="N7373" s="25">
        <f>IFERROR(T_reg.root.SK[[#This Row],[Price]]/T_reg.root.SK[[#This Row],[Starch content]],"")</f>
        <v>12.494481236203091</v>
      </c>
    </row>
    <row r="7374" spans="1:14">
      <c r="A7374" s="21">
        <v>2026</v>
      </c>
      <c r="B7374" s="21" t="s">
        <v>20</v>
      </c>
      <c r="C7374" s="21" t="s">
        <v>1145</v>
      </c>
      <c r="D7374" s="21" t="s">
        <v>39</v>
      </c>
      <c r="E7374" s="17" t="s">
        <v>1122</v>
      </c>
      <c r="F7374" s="17" t="s">
        <v>819</v>
      </c>
      <c r="G7374" s="18" t="s">
        <v>48</v>
      </c>
      <c r="H7374" s="24">
        <v>29940</v>
      </c>
      <c r="I7374" s="24">
        <f>T_reg.root.SK[[#This Row],[Volume, kg]]/1000</f>
        <v>29.94</v>
      </c>
      <c r="J7374" s="25">
        <v>0.251</v>
      </c>
      <c r="K7374" s="25">
        <f t="shared" si="116"/>
        <v>7514.94</v>
      </c>
      <c r="L7374" s="25">
        <v>3.05</v>
      </c>
      <c r="M7374" s="24">
        <v>91317</v>
      </c>
      <c r="N7374" s="25">
        <f>IFERROR(T_reg.root.SK[[#This Row],[Price]]/T_reg.root.SK[[#This Row],[Starch content]],"")</f>
        <v>12.151394422310757</v>
      </c>
    </row>
    <row r="7375" spans="1:14">
      <c r="A7375" s="21">
        <v>2026</v>
      </c>
      <c r="B7375" s="21" t="s">
        <v>20</v>
      </c>
      <c r="C7375" s="21" t="s">
        <v>1145</v>
      </c>
      <c r="D7375" s="21" t="s">
        <v>35</v>
      </c>
      <c r="E7375" s="17" t="s">
        <v>1113</v>
      </c>
      <c r="F7375" s="17" t="s">
        <v>105</v>
      </c>
      <c r="G7375" s="18" t="s">
        <v>48</v>
      </c>
      <c r="H7375" s="24">
        <v>32910</v>
      </c>
      <c r="I7375" s="24">
        <f>T_reg.root.SK[[#This Row],[Volume, kg]]/1000</f>
        <v>32.909999999999997</v>
      </c>
      <c r="J7375" s="25">
        <v>0.2389</v>
      </c>
      <c r="K7375" s="25">
        <f t="shared" si="116"/>
        <v>7862.1989999999996</v>
      </c>
      <c r="L7375" s="25">
        <v>2.54</v>
      </c>
      <c r="M7375" s="24">
        <v>83487</v>
      </c>
      <c r="N7375" s="25">
        <f>IFERROR(T_reg.root.SK[[#This Row],[Price]]/T_reg.root.SK[[#This Row],[Starch content]],"")</f>
        <v>10.632063624947676</v>
      </c>
    </row>
    <row r="7376" spans="1:14">
      <c r="A7376" s="21">
        <v>2026</v>
      </c>
      <c r="B7376" s="21" t="s">
        <v>20</v>
      </c>
      <c r="C7376" s="21" t="s">
        <v>1145</v>
      </c>
      <c r="D7376" s="21" t="s">
        <v>35</v>
      </c>
      <c r="E7376" s="17" t="s">
        <v>1123</v>
      </c>
      <c r="F7376" s="17" t="s">
        <v>105</v>
      </c>
      <c r="G7376" s="18" t="s">
        <v>48</v>
      </c>
      <c r="H7376" s="24">
        <v>9970</v>
      </c>
      <c r="I7376" s="24">
        <f>T_reg.root.SK[[#This Row],[Volume, kg]]/1000</f>
        <v>9.9700000000000006</v>
      </c>
      <c r="J7376" s="25">
        <v>0.19600000000000001</v>
      </c>
      <c r="K7376" s="25">
        <f t="shared" si="116"/>
        <v>1954.1200000000001</v>
      </c>
      <c r="L7376" s="25">
        <v>2.5499999999999998</v>
      </c>
      <c r="M7376" s="24">
        <v>25423.5</v>
      </c>
      <c r="N7376" s="25">
        <f>IFERROR(T_reg.root.SK[[#This Row],[Price]]/T_reg.root.SK[[#This Row],[Starch content]],"")</f>
        <v>13.010204081632653</v>
      </c>
    </row>
    <row r="7377" spans="1:14">
      <c r="A7377" s="21">
        <v>2026</v>
      </c>
      <c r="B7377" s="21" t="s">
        <v>20</v>
      </c>
      <c r="C7377" s="21" t="s">
        <v>1145</v>
      </c>
      <c r="D7377" s="21" t="s">
        <v>35</v>
      </c>
      <c r="E7377" s="17" t="s">
        <v>118</v>
      </c>
      <c r="F7377" s="17" t="s">
        <v>105</v>
      </c>
      <c r="G7377" s="18" t="s">
        <v>48</v>
      </c>
      <c r="H7377" s="24">
        <v>70150</v>
      </c>
      <c r="I7377" s="24">
        <f>T_reg.root.SK[[#This Row],[Volume, kg]]/1000</f>
        <v>70.150000000000006</v>
      </c>
      <c r="J7377" s="25">
        <v>0.252</v>
      </c>
      <c r="K7377" s="25">
        <f t="shared" si="116"/>
        <v>17677.8</v>
      </c>
      <c r="L7377" s="25">
        <v>2.62</v>
      </c>
      <c r="M7377" s="24">
        <v>183895.5</v>
      </c>
      <c r="N7377" s="25">
        <f>IFERROR(T_reg.root.SK[[#This Row],[Price]]/T_reg.root.SK[[#This Row],[Starch content]],"")</f>
        <v>10.396825396825397</v>
      </c>
    </row>
    <row r="7378" spans="1:14">
      <c r="A7378" s="21">
        <v>2026</v>
      </c>
      <c r="B7378" s="21" t="s">
        <v>20</v>
      </c>
      <c r="C7378" s="21" t="s">
        <v>1145</v>
      </c>
      <c r="D7378" s="21" t="s">
        <v>35</v>
      </c>
      <c r="E7378" s="17" t="s">
        <v>119</v>
      </c>
      <c r="F7378" s="17" t="s">
        <v>105</v>
      </c>
      <c r="G7378" s="18" t="s">
        <v>48</v>
      </c>
      <c r="H7378" s="24">
        <v>23510</v>
      </c>
      <c r="I7378" s="24">
        <f>T_reg.root.SK[[#This Row],[Volume, kg]]/1000</f>
        <v>23.51</v>
      </c>
      <c r="J7378" s="25">
        <v>0.25900000000000001</v>
      </c>
      <c r="K7378" s="25">
        <f t="shared" si="116"/>
        <v>6089.09</v>
      </c>
      <c r="L7378" s="25">
        <v>2.65</v>
      </c>
      <c r="M7378" s="24">
        <v>62252</v>
      </c>
      <c r="N7378" s="25">
        <f>IFERROR(T_reg.root.SK[[#This Row],[Price]]/T_reg.root.SK[[#This Row],[Starch content]],"")</f>
        <v>10.23166023166023</v>
      </c>
    </row>
    <row r="7379" spans="1:14">
      <c r="A7379" s="21">
        <v>2026</v>
      </c>
      <c r="B7379" s="21" t="s">
        <v>20</v>
      </c>
      <c r="C7379" s="21" t="s">
        <v>1145</v>
      </c>
      <c r="D7379" s="21" t="s">
        <v>39</v>
      </c>
      <c r="E7379" s="17" t="s">
        <v>101</v>
      </c>
      <c r="F7379" s="17" t="s">
        <v>102</v>
      </c>
      <c r="G7379" s="18" t="s">
        <v>103</v>
      </c>
      <c r="H7379" s="24">
        <v>901640</v>
      </c>
      <c r="I7379" s="24">
        <f>T_reg.root.SK[[#This Row],[Volume, kg]]/1000</f>
        <v>901.64</v>
      </c>
      <c r="J7379" s="25">
        <v>0.2427</v>
      </c>
      <c r="K7379" s="25">
        <f t="shared" si="116"/>
        <v>218828.02799999999</v>
      </c>
      <c r="L7379" s="25">
        <v>2.92</v>
      </c>
      <c r="M7379" s="24">
        <v>2637099</v>
      </c>
      <c r="N7379" s="25">
        <f>IFERROR(T_reg.root.SK[[#This Row],[Price]]/T_reg.root.SK[[#This Row],[Starch content]],"")</f>
        <v>12.031314379892871</v>
      </c>
    </row>
    <row r="7380" spans="1:14">
      <c r="A7380" s="21">
        <v>2026</v>
      </c>
      <c r="B7380" s="21" t="s">
        <v>20</v>
      </c>
      <c r="C7380" s="21" t="s">
        <v>1145</v>
      </c>
      <c r="D7380" s="21" t="s">
        <v>35</v>
      </c>
      <c r="E7380" s="17" t="s">
        <v>120</v>
      </c>
      <c r="F7380" s="17" t="s">
        <v>105</v>
      </c>
      <c r="G7380" s="18" t="s">
        <v>48</v>
      </c>
      <c r="H7380" s="24">
        <v>66750</v>
      </c>
      <c r="I7380" s="24">
        <f>T_reg.root.SK[[#This Row],[Volume, kg]]/1000</f>
        <v>66.75</v>
      </c>
      <c r="J7380" s="25">
        <v>0.28970000000000001</v>
      </c>
      <c r="K7380" s="25">
        <f t="shared" si="116"/>
        <v>19337.475000000002</v>
      </c>
      <c r="L7380" s="25">
        <v>2.81</v>
      </c>
      <c r="M7380" s="24">
        <v>187382.5</v>
      </c>
      <c r="N7380" s="25">
        <f>IFERROR(T_reg.root.SK[[#This Row],[Price]]/T_reg.root.SK[[#This Row],[Starch content]],"")</f>
        <v>9.6996893337935788</v>
      </c>
    </row>
    <row r="7381" spans="1:14">
      <c r="A7381" s="21">
        <v>2026</v>
      </c>
      <c r="B7381" s="21" t="s">
        <v>20</v>
      </c>
      <c r="C7381" s="21" t="s">
        <v>1145</v>
      </c>
      <c r="D7381" s="21" t="s">
        <v>39</v>
      </c>
      <c r="E7381" s="17" t="s">
        <v>98</v>
      </c>
      <c r="F7381" s="17" t="s">
        <v>99</v>
      </c>
      <c r="G7381" s="18" t="s">
        <v>42</v>
      </c>
      <c r="H7381" s="24">
        <v>1024940</v>
      </c>
      <c r="I7381" s="24">
        <f>T_reg.root.SK[[#This Row],[Volume, kg]]/1000</f>
        <v>1024.94</v>
      </c>
      <c r="J7381" s="25">
        <v>0.24329999999999999</v>
      </c>
      <c r="K7381" s="25">
        <f t="shared" si="116"/>
        <v>249367.902</v>
      </c>
      <c r="L7381" s="25">
        <v>2.94</v>
      </c>
      <c r="M7381" s="24">
        <v>3014902.5</v>
      </c>
      <c r="N7381" s="25">
        <f>IFERROR(T_reg.root.SK[[#This Row],[Price]]/T_reg.root.SK[[#This Row],[Starch content]],"")</f>
        <v>12.083847102342787</v>
      </c>
    </row>
    <row r="7382" spans="1:14">
      <c r="A7382" s="21">
        <v>2026</v>
      </c>
      <c r="B7382" s="21" t="s">
        <v>20</v>
      </c>
      <c r="C7382" s="21" t="s">
        <v>1145</v>
      </c>
      <c r="D7382" s="21" t="s">
        <v>35</v>
      </c>
      <c r="E7382" s="17" t="s">
        <v>238</v>
      </c>
      <c r="F7382" s="17" t="s">
        <v>105</v>
      </c>
      <c r="G7382" s="18" t="s">
        <v>48</v>
      </c>
      <c r="H7382" s="24">
        <v>104710</v>
      </c>
      <c r="I7382" s="24">
        <f>T_reg.root.SK[[#This Row],[Volume, kg]]/1000</f>
        <v>104.71</v>
      </c>
      <c r="J7382" s="25">
        <v>0.26179999999999998</v>
      </c>
      <c r="K7382" s="25">
        <f t="shared" si="116"/>
        <v>27413.077999999998</v>
      </c>
      <c r="L7382" s="25">
        <v>2.66</v>
      </c>
      <c r="M7382" s="24">
        <v>278517.5</v>
      </c>
      <c r="N7382" s="25">
        <f>IFERROR(T_reg.root.SK[[#This Row],[Price]]/T_reg.root.SK[[#This Row],[Starch content]],"")</f>
        <v>10.160427807486633</v>
      </c>
    </row>
    <row r="7383" spans="1:14">
      <c r="A7383" s="21">
        <v>2026</v>
      </c>
      <c r="B7383" s="21" t="s">
        <v>20</v>
      </c>
      <c r="C7383" s="21" t="s">
        <v>1145</v>
      </c>
      <c r="D7383" s="21" t="s">
        <v>35</v>
      </c>
      <c r="E7383" s="17" t="s">
        <v>946</v>
      </c>
      <c r="F7383" s="17" t="s">
        <v>105</v>
      </c>
      <c r="G7383" s="18" t="s">
        <v>48</v>
      </c>
      <c r="H7383" s="24">
        <v>66680</v>
      </c>
      <c r="I7383" s="24">
        <f>T_reg.root.SK[[#This Row],[Volume, kg]]/1000</f>
        <v>66.680000000000007</v>
      </c>
      <c r="J7383" s="25">
        <v>0.26050000000000001</v>
      </c>
      <c r="K7383" s="25">
        <f t="shared" si="116"/>
        <v>17370.14</v>
      </c>
      <c r="L7383" s="25">
        <v>2.66</v>
      </c>
      <c r="M7383" s="24">
        <v>177185.5</v>
      </c>
      <c r="N7383" s="25">
        <f>IFERROR(T_reg.root.SK[[#This Row],[Price]]/T_reg.root.SK[[#This Row],[Starch content]],"")</f>
        <v>10.211132437619963</v>
      </c>
    </row>
    <row r="7384" spans="1:14">
      <c r="A7384" s="21">
        <v>2026</v>
      </c>
      <c r="B7384" s="21" t="s">
        <v>20</v>
      </c>
      <c r="C7384" s="21" t="s">
        <v>1145</v>
      </c>
      <c r="D7384" s="21" t="s">
        <v>35</v>
      </c>
      <c r="E7384" s="17" t="s">
        <v>975</v>
      </c>
      <c r="F7384" s="17" t="s">
        <v>105</v>
      </c>
      <c r="G7384" s="18" t="s">
        <v>48</v>
      </c>
      <c r="H7384" s="24">
        <v>6100</v>
      </c>
      <c r="I7384" s="24">
        <f>T_reg.root.SK[[#This Row],[Volume, kg]]/1000</f>
        <v>6.1</v>
      </c>
      <c r="J7384" s="25">
        <v>0.24420000000000003</v>
      </c>
      <c r="K7384" s="25">
        <f t="shared" si="116"/>
        <v>1489.6200000000001</v>
      </c>
      <c r="L7384" s="25">
        <v>2.58</v>
      </c>
      <c r="M7384" s="24">
        <v>15723.5</v>
      </c>
      <c r="N7384" s="25">
        <f>IFERROR(T_reg.root.SK[[#This Row],[Price]]/T_reg.root.SK[[#This Row],[Starch content]],"")</f>
        <v>10.565110565110563</v>
      </c>
    </row>
    <row r="7385" spans="1:14">
      <c r="A7385" s="21">
        <v>2026</v>
      </c>
      <c r="B7385" s="21" t="s">
        <v>20</v>
      </c>
      <c r="C7385" s="21" t="s">
        <v>1145</v>
      </c>
      <c r="D7385" s="21" t="s">
        <v>35</v>
      </c>
      <c r="E7385" s="17" t="s">
        <v>239</v>
      </c>
      <c r="F7385" s="17" t="s">
        <v>105</v>
      </c>
      <c r="G7385" s="18" t="s">
        <v>48</v>
      </c>
      <c r="H7385" s="24">
        <v>73660</v>
      </c>
      <c r="I7385" s="24">
        <f>T_reg.root.SK[[#This Row],[Volume, kg]]/1000</f>
        <v>73.66</v>
      </c>
      <c r="J7385" s="25">
        <v>0.23899999999999999</v>
      </c>
      <c r="K7385" s="25">
        <f t="shared" si="116"/>
        <v>17604.739999999998</v>
      </c>
      <c r="L7385" s="25">
        <v>2.5499999999999998</v>
      </c>
      <c r="M7385" s="24">
        <v>187683</v>
      </c>
      <c r="N7385" s="25">
        <f>IFERROR(T_reg.root.SK[[#This Row],[Price]]/T_reg.root.SK[[#This Row],[Starch content]],"")</f>
        <v>10.669456066945607</v>
      </c>
    </row>
    <row r="7386" spans="1:14">
      <c r="A7386" s="21">
        <v>2026</v>
      </c>
      <c r="B7386" s="21" t="s">
        <v>20</v>
      </c>
      <c r="C7386" s="21" t="s">
        <v>1145</v>
      </c>
      <c r="D7386" s="21" t="s">
        <v>35</v>
      </c>
      <c r="E7386" s="17" t="s">
        <v>655</v>
      </c>
      <c r="F7386" s="17" t="s">
        <v>47</v>
      </c>
      <c r="G7386" s="18" t="s">
        <v>48</v>
      </c>
      <c r="H7386" s="24">
        <v>30810</v>
      </c>
      <c r="I7386" s="24">
        <f>T_reg.root.SK[[#This Row],[Volume, kg]]/1000</f>
        <v>30.81</v>
      </c>
      <c r="J7386" s="25">
        <v>0.25590000000000002</v>
      </c>
      <c r="K7386" s="25">
        <f t="shared" si="116"/>
        <v>7884.2790000000005</v>
      </c>
      <c r="L7386" s="25">
        <v>2.62</v>
      </c>
      <c r="M7386" s="24">
        <v>80644.5</v>
      </c>
      <c r="N7386" s="25">
        <f>IFERROR(T_reg.root.SK[[#This Row],[Price]]/T_reg.root.SK[[#This Row],[Starch content]],"")</f>
        <v>10.238374364986322</v>
      </c>
    </row>
    <row r="7387" spans="1:14">
      <c r="A7387" s="21">
        <v>2026</v>
      </c>
      <c r="B7387" s="21" t="s">
        <v>20</v>
      </c>
      <c r="C7387" s="21" t="s">
        <v>1145</v>
      </c>
      <c r="D7387" s="21" t="s">
        <v>35</v>
      </c>
      <c r="E7387" s="17" t="s">
        <v>124</v>
      </c>
      <c r="F7387" s="17" t="s">
        <v>105</v>
      </c>
      <c r="G7387" s="18" t="s">
        <v>48</v>
      </c>
      <c r="H7387" s="24">
        <v>96430</v>
      </c>
      <c r="I7387" s="24">
        <f>T_reg.root.SK[[#This Row],[Volume, kg]]/1000</f>
        <v>96.43</v>
      </c>
      <c r="J7387" s="25">
        <v>0.22899999999999998</v>
      </c>
      <c r="K7387" s="25">
        <f t="shared" si="116"/>
        <v>22082.469999999998</v>
      </c>
      <c r="L7387" s="25">
        <v>2.61</v>
      </c>
      <c r="M7387" s="24">
        <v>252067.5</v>
      </c>
      <c r="N7387" s="25">
        <f>IFERROR(T_reg.root.SK[[#This Row],[Price]]/T_reg.root.SK[[#This Row],[Starch content]],"")</f>
        <v>11.397379912663755</v>
      </c>
    </row>
    <row r="7388" spans="1:14">
      <c r="A7388" s="21">
        <v>2026</v>
      </c>
      <c r="B7388" s="21" t="s">
        <v>20</v>
      </c>
      <c r="C7388" s="21" t="s">
        <v>1145</v>
      </c>
      <c r="D7388" s="21" t="s">
        <v>35</v>
      </c>
      <c r="E7388" s="17" t="s">
        <v>715</v>
      </c>
      <c r="F7388" s="17" t="s">
        <v>105</v>
      </c>
      <c r="G7388" s="18" t="s">
        <v>48</v>
      </c>
      <c r="H7388" s="24">
        <v>29220</v>
      </c>
      <c r="I7388" s="24">
        <f>T_reg.root.SK[[#This Row],[Volume, kg]]/1000</f>
        <v>29.22</v>
      </c>
      <c r="J7388" s="25">
        <v>0.27710000000000001</v>
      </c>
      <c r="K7388" s="25">
        <f t="shared" si="116"/>
        <v>8096.8620000000001</v>
      </c>
      <c r="L7388" s="25">
        <v>2.74</v>
      </c>
      <c r="M7388" s="24">
        <v>79927</v>
      </c>
      <c r="N7388" s="25">
        <f>IFERROR(T_reg.root.SK[[#This Row],[Price]]/T_reg.root.SK[[#This Row],[Starch content]],"")</f>
        <v>9.8881270299530861</v>
      </c>
    </row>
    <row r="7389" spans="1:14">
      <c r="A7389" s="21">
        <v>2026</v>
      </c>
      <c r="B7389" s="21" t="s">
        <v>20</v>
      </c>
      <c r="C7389" s="21" t="s">
        <v>1145</v>
      </c>
      <c r="D7389" s="21" t="s">
        <v>35</v>
      </c>
      <c r="E7389" s="17" t="s">
        <v>716</v>
      </c>
      <c r="F7389" s="17" t="s">
        <v>105</v>
      </c>
      <c r="G7389" s="18" t="s">
        <v>48</v>
      </c>
      <c r="H7389" s="24">
        <v>2750</v>
      </c>
      <c r="I7389" s="24">
        <f>T_reg.root.SK[[#This Row],[Volume, kg]]/1000</f>
        <v>2.75</v>
      </c>
      <c r="J7389" s="25">
        <v>0.30399999999999999</v>
      </c>
      <c r="K7389" s="25">
        <f t="shared" si="116"/>
        <v>836</v>
      </c>
      <c r="L7389" s="25">
        <v>2.85</v>
      </c>
      <c r="M7389" s="24">
        <v>7837.5</v>
      </c>
      <c r="N7389" s="25">
        <f>IFERROR(T_reg.root.SK[[#This Row],[Price]]/T_reg.root.SK[[#This Row],[Starch content]],"")</f>
        <v>9.375</v>
      </c>
    </row>
    <row r="7390" spans="1:14">
      <c r="A7390" s="21">
        <v>2026</v>
      </c>
      <c r="B7390" s="21" t="s">
        <v>20</v>
      </c>
      <c r="C7390" s="21" t="s">
        <v>1145</v>
      </c>
      <c r="D7390" s="21" t="s">
        <v>35</v>
      </c>
      <c r="E7390" s="17" t="s">
        <v>977</v>
      </c>
      <c r="F7390" s="17" t="s">
        <v>105</v>
      </c>
      <c r="G7390" s="18" t="s">
        <v>48</v>
      </c>
      <c r="H7390" s="24">
        <v>8840</v>
      </c>
      <c r="I7390" s="24">
        <f>T_reg.root.SK[[#This Row],[Volume, kg]]/1000</f>
        <v>8.84</v>
      </c>
      <c r="J7390" s="25">
        <v>0.28399999999999997</v>
      </c>
      <c r="K7390" s="25">
        <f t="shared" si="116"/>
        <v>2510.56</v>
      </c>
      <c r="L7390" s="25">
        <v>2.75</v>
      </c>
      <c r="M7390" s="24">
        <v>24310</v>
      </c>
      <c r="N7390" s="25">
        <f>IFERROR(T_reg.root.SK[[#This Row],[Price]]/T_reg.root.SK[[#This Row],[Starch content]],"")</f>
        <v>9.683098591549296</v>
      </c>
    </row>
    <row r="7391" spans="1:14">
      <c r="A7391" s="21">
        <v>2026</v>
      </c>
      <c r="B7391" s="21" t="s">
        <v>20</v>
      </c>
      <c r="C7391" s="21" t="s">
        <v>1145</v>
      </c>
      <c r="D7391" s="21" t="s">
        <v>35</v>
      </c>
      <c r="E7391" s="17" t="s">
        <v>736</v>
      </c>
      <c r="F7391" s="17" t="s">
        <v>105</v>
      </c>
      <c r="G7391" s="18" t="s">
        <v>48</v>
      </c>
      <c r="H7391" s="24">
        <v>39030</v>
      </c>
      <c r="I7391" s="24">
        <f>T_reg.root.SK[[#This Row],[Volume, kg]]/1000</f>
        <v>39.03</v>
      </c>
      <c r="J7391" s="25">
        <v>0.24850000000000003</v>
      </c>
      <c r="K7391" s="25">
        <f t="shared" si="116"/>
        <v>9698.9550000000017</v>
      </c>
      <c r="L7391" s="25">
        <v>2.68</v>
      </c>
      <c r="M7391" s="24">
        <v>104464.5</v>
      </c>
      <c r="N7391" s="25">
        <f>IFERROR(T_reg.root.SK[[#This Row],[Price]]/T_reg.root.SK[[#This Row],[Starch content]],"")</f>
        <v>10.784708249496981</v>
      </c>
    </row>
    <row r="7392" spans="1:14">
      <c r="A7392" s="21">
        <v>2026</v>
      </c>
      <c r="B7392" s="21" t="s">
        <v>20</v>
      </c>
      <c r="C7392" s="21" t="s">
        <v>1145</v>
      </c>
      <c r="D7392" s="21" t="s">
        <v>35</v>
      </c>
      <c r="E7392" s="17" t="s">
        <v>465</v>
      </c>
      <c r="F7392" s="17" t="s">
        <v>47</v>
      </c>
      <c r="G7392" s="18" t="s">
        <v>48</v>
      </c>
      <c r="H7392" s="24">
        <v>10430</v>
      </c>
      <c r="I7392" s="24">
        <f>T_reg.root.SK[[#This Row],[Volume, kg]]/1000</f>
        <v>10.43</v>
      </c>
      <c r="J7392" s="25">
        <v>0.20100000000000001</v>
      </c>
      <c r="K7392" s="25">
        <f t="shared" si="116"/>
        <v>2096.4300000000003</v>
      </c>
      <c r="L7392" s="25">
        <v>2.35</v>
      </c>
      <c r="M7392" s="24">
        <v>24510.5</v>
      </c>
      <c r="N7392" s="25">
        <f>IFERROR(T_reg.root.SK[[#This Row],[Price]]/T_reg.root.SK[[#This Row],[Starch content]],"")</f>
        <v>11.691542288557214</v>
      </c>
    </row>
    <row r="7393" spans="1:14">
      <c r="A7393" s="21">
        <v>2026</v>
      </c>
      <c r="B7393" s="21" t="s">
        <v>20</v>
      </c>
      <c r="C7393" s="21" t="s">
        <v>1145</v>
      </c>
      <c r="D7393" s="21" t="s">
        <v>35</v>
      </c>
      <c r="E7393" s="17" t="s">
        <v>58</v>
      </c>
      <c r="F7393" s="17" t="s">
        <v>47</v>
      </c>
      <c r="G7393" s="18" t="s">
        <v>48</v>
      </c>
      <c r="H7393" s="24">
        <v>7760</v>
      </c>
      <c r="I7393" s="24">
        <f>T_reg.root.SK[[#This Row],[Volume, kg]]/1000</f>
        <v>7.76</v>
      </c>
      <c r="J7393" s="25">
        <v>0.22969999999999999</v>
      </c>
      <c r="K7393" s="25">
        <f t="shared" si="116"/>
        <v>1782.472</v>
      </c>
      <c r="L7393" s="25">
        <v>2.5</v>
      </c>
      <c r="M7393" s="24">
        <v>19400</v>
      </c>
      <c r="N7393" s="25">
        <f>IFERROR(T_reg.root.SK[[#This Row],[Price]]/T_reg.root.SK[[#This Row],[Starch content]],"")</f>
        <v>10.8837614279495</v>
      </c>
    </row>
    <row r="7394" spans="1:14">
      <c r="A7394" s="21">
        <v>2026</v>
      </c>
      <c r="B7394" s="21" t="s">
        <v>20</v>
      </c>
      <c r="C7394" s="21" t="s">
        <v>1145</v>
      </c>
      <c r="D7394" s="21" t="s">
        <v>35</v>
      </c>
      <c r="E7394" s="17" t="s">
        <v>601</v>
      </c>
      <c r="F7394" s="17" t="s">
        <v>105</v>
      </c>
      <c r="G7394" s="18" t="s">
        <v>48</v>
      </c>
      <c r="H7394" s="24">
        <v>28080</v>
      </c>
      <c r="I7394" s="24">
        <f>T_reg.root.SK[[#This Row],[Volume, kg]]/1000</f>
        <v>28.08</v>
      </c>
      <c r="J7394" s="25">
        <v>0.24230000000000002</v>
      </c>
      <c r="K7394" s="25">
        <f t="shared" si="116"/>
        <v>6803.7840000000006</v>
      </c>
      <c r="L7394" s="25">
        <v>2.57</v>
      </c>
      <c r="M7394" s="24">
        <v>72050</v>
      </c>
      <c r="N7394" s="25">
        <f>IFERROR(T_reg.root.SK[[#This Row],[Price]]/T_reg.root.SK[[#This Row],[Starch content]],"")</f>
        <v>10.606685926537349</v>
      </c>
    </row>
    <row r="7395" spans="1:14">
      <c r="A7395" s="21">
        <v>2026</v>
      </c>
      <c r="B7395" s="21" t="s">
        <v>20</v>
      </c>
      <c r="C7395" s="21" t="s">
        <v>1145</v>
      </c>
      <c r="D7395" s="21" t="s">
        <v>35</v>
      </c>
      <c r="E7395" s="17" t="s">
        <v>127</v>
      </c>
      <c r="F7395" s="17" t="s">
        <v>105</v>
      </c>
      <c r="G7395" s="18" t="s">
        <v>48</v>
      </c>
      <c r="H7395" s="24">
        <v>40190</v>
      </c>
      <c r="I7395" s="24">
        <f>T_reg.root.SK[[#This Row],[Volume, kg]]/1000</f>
        <v>40.19</v>
      </c>
      <c r="J7395" s="25">
        <v>0.25569999999999998</v>
      </c>
      <c r="K7395" s="25">
        <f t="shared" si="116"/>
        <v>10276.582999999999</v>
      </c>
      <c r="L7395" s="25">
        <v>2.62</v>
      </c>
      <c r="M7395" s="24">
        <v>105328</v>
      </c>
      <c r="N7395" s="25">
        <f>IFERROR(T_reg.root.SK[[#This Row],[Price]]/T_reg.root.SK[[#This Row],[Starch content]],"")</f>
        <v>10.246382479468128</v>
      </c>
    </row>
    <row r="7396" spans="1:14">
      <c r="A7396" s="21">
        <v>2026</v>
      </c>
      <c r="B7396" s="21" t="s">
        <v>20</v>
      </c>
      <c r="C7396" s="21" t="s">
        <v>1145</v>
      </c>
      <c r="D7396" s="21" t="s">
        <v>35</v>
      </c>
      <c r="E7396" s="17" t="s">
        <v>635</v>
      </c>
      <c r="F7396" s="17" t="s">
        <v>105</v>
      </c>
      <c r="G7396" s="18" t="s">
        <v>48</v>
      </c>
      <c r="H7396" s="24">
        <v>18950</v>
      </c>
      <c r="I7396" s="24">
        <f>T_reg.root.SK[[#This Row],[Volume, kg]]/1000</f>
        <v>18.95</v>
      </c>
      <c r="J7396" s="25">
        <v>0.2586</v>
      </c>
      <c r="K7396" s="25">
        <f t="shared" si="116"/>
        <v>4900.47</v>
      </c>
      <c r="L7396" s="25">
        <v>2.65</v>
      </c>
      <c r="M7396" s="24">
        <v>50160</v>
      </c>
      <c r="N7396" s="25">
        <f>IFERROR(T_reg.root.SK[[#This Row],[Price]]/T_reg.root.SK[[#This Row],[Starch content]],"")</f>
        <v>10.247486465583913</v>
      </c>
    </row>
    <row r="7397" spans="1:14">
      <c r="A7397" s="21">
        <v>2026</v>
      </c>
      <c r="B7397" s="21" t="s">
        <v>20</v>
      </c>
      <c r="C7397" s="21" t="s">
        <v>1145</v>
      </c>
      <c r="D7397" s="21" t="s">
        <v>35</v>
      </c>
      <c r="E7397" s="17" t="s">
        <v>602</v>
      </c>
      <c r="F7397" s="17" t="s">
        <v>105</v>
      </c>
      <c r="G7397" s="18" t="s">
        <v>48</v>
      </c>
      <c r="H7397" s="24">
        <v>22470</v>
      </c>
      <c r="I7397" s="24">
        <f>T_reg.root.SK[[#This Row],[Volume, kg]]/1000</f>
        <v>22.47</v>
      </c>
      <c r="J7397" s="25">
        <v>0.22309999999999999</v>
      </c>
      <c r="K7397" s="25">
        <f t="shared" si="116"/>
        <v>5013.0569999999998</v>
      </c>
      <c r="L7397" s="25">
        <v>2.46</v>
      </c>
      <c r="M7397" s="24">
        <v>55370.5</v>
      </c>
      <c r="N7397" s="25">
        <f>IFERROR(T_reg.root.SK[[#This Row],[Price]]/T_reg.root.SK[[#This Row],[Starch content]],"")</f>
        <v>11.026445540116541</v>
      </c>
    </row>
    <row r="7398" spans="1:14">
      <c r="A7398" s="21">
        <v>2026</v>
      </c>
      <c r="B7398" s="21" t="s">
        <v>20</v>
      </c>
      <c r="C7398" s="21" t="s">
        <v>1145</v>
      </c>
      <c r="D7398" s="21" t="s">
        <v>35</v>
      </c>
      <c r="E7398" s="17" t="s">
        <v>129</v>
      </c>
      <c r="F7398" s="17" t="s">
        <v>105</v>
      </c>
      <c r="G7398" s="18" t="s">
        <v>48</v>
      </c>
      <c r="H7398" s="24">
        <v>29870</v>
      </c>
      <c r="I7398" s="24">
        <f>T_reg.root.SK[[#This Row],[Volume, kg]]/1000</f>
        <v>29.87</v>
      </c>
      <c r="J7398" s="25">
        <v>0.26100000000000001</v>
      </c>
      <c r="K7398" s="25">
        <f t="shared" si="116"/>
        <v>7796.0700000000006</v>
      </c>
      <c r="L7398" s="25">
        <v>2.7</v>
      </c>
      <c r="M7398" s="24">
        <v>80752.5</v>
      </c>
      <c r="N7398" s="25">
        <f>IFERROR(T_reg.root.SK[[#This Row],[Price]]/T_reg.root.SK[[#This Row],[Starch content]],"")</f>
        <v>10.344827586206897</v>
      </c>
    </row>
    <row r="7399" spans="1:14">
      <c r="A7399" s="21">
        <v>2026</v>
      </c>
      <c r="B7399" s="21" t="s">
        <v>20</v>
      </c>
      <c r="C7399" s="21" t="s">
        <v>1145</v>
      </c>
      <c r="D7399" s="21" t="s">
        <v>35</v>
      </c>
      <c r="E7399" s="17" t="s">
        <v>132</v>
      </c>
      <c r="F7399" s="17" t="s">
        <v>105</v>
      </c>
      <c r="G7399" s="18" t="s">
        <v>48</v>
      </c>
      <c r="H7399" s="24">
        <v>7780</v>
      </c>
      <c r="I7399" s="24">
        <f>T_reg.root.SK[[#This Row],[Volume, kg]]/1000</f>
        <v>7.78</v>
      </c>
      <c r="J7399" s="25">
        <v>0.23649999999999999</v>
      </c>
      <c r="K7399" s="25">
        <f t="shared" si="116"/>
        <v>1839.9699999999998</v>
      </c>
      <c r="L7399" s="25">
        <v>2.5499999999999998</v>
      </c>
      <c r="M7399" s="24">
        <v>19839</v>
      </c>
      <c r="N7399" s="25">
        <f>IFERROR(T_reg.root.SK[[#This Row],[Price]]/T_reg.root.SK[[#This Row],[Starch content]],"")</f>
        <v>10.782241014799155</v>
      </c>
    </row>
    <row r="7400" spans="1:14">
      <c r="A7400" s="21">
        <v>2026</v>
      </c>
      <c r="B7400" s="21" t="s">
        <v>20</v>
      </c>
      <c r="C7400" s="21" t="s">
        <v>1145</v>
      </c>
      <c r="D7400" s="21" t="s">
        <v>35</v>
      </c>
      <c r="E7400" s="17" t="s">
        <v>807</v>
      </c>
      <c r="F7400" s="17" t="s">
        <v>105</v>
      </c>
      <c r="G7400" s="18" t="s">
        <v>48</v>
      </c>
      <c r="H7400" s="24">
        <v>8930</v>
      </c>
      <c r="I7400" s="24">
        <f>T_reg.root.SK[[#This Row],[Volume, kg]]/1000</f>
        <v>8.93</v>
      </c>
      <c r="J7400" s="25">
        <v>0.29199999999999998</v>
      </c>
      <c r="K7400" s="25">
        <f t="shared" si="116"/>
        <v>2607.56</v>
      </c>
      <c r="L7400" s="25">
        <v>2.8</v>
      </c>
      <c r="M7400" s="24">
        <v>25004</v>
      </c>
      <c r="N7400" s="25">
        <f>IFERROR(T_reg.root.SK[[#This Row],[Price]]/T_reg.root.SK[[#This Row],[Starch content]],"")</f>
        <v>9.5890410958904102</v>
      </c>
    </row>
    <row r="7401" spans="1:14">
      <c r="A7401" s="21">
        <v>2026</v>
      </c>
      <c r="B7401" s="21" t="s">
        <v>20</v>
      </c>
      <c r="C7401" s="21" t="s">
        <v>1145</v>
      </c>
      <c r="D7401" s="21" t="s">
        <v>35</v>
      </c>
      <c r="E7401" s="17" t="s">
        <v>1009</v>
      </c>
      <c r="F7401" s="17" t="s">
        <v>105</v>
      </c>
      <c r="G7401" s="18" t="s">
        <v>48</v>
      </c>
      <c r="H7401" s="24">
        <v>28910</v>
      </c>
      <c r="I7401" s="24">
        <f>T_reg.root.SK[[#This Row],[Volume, kg]]/1000</f>
        <v>28.91</v>
      </c>
      <c r="J7401" s="25">
        <v>0.2243</v>
      </c>
      <c r="K7401" s="25">
        <f t="shared" si="116"/>
        <v>6484.5129999999999</v>
      </c>
      <c r="L7401" s="25">
        <v>2.4900000000000002</v>
      </c>
      <c r="M7401" s="24">
        <v>71999.5</v>
      </c>
      <c r="N7401" s="25">
        <f>IFERROR(T_reg.root.SK[[#This Row],[Price]]/T_reg.root.SK[[#This Row],[Starch content]],"")</f>
        <v>11.101203744984398</v>
      </c>
    </row>
    <row r="7402" spans="1:14">
      <c r="A7402" s="21">
        <v>2026</v>
      </c>
      <c r="B7402" s="21" t="s">
        <v>20</v>
      </c>
      <c r="C7402" s="21" t="s">
        <v>1145</v>
      </c>
      <c r="D7402" s="21" t="s">
        <v>39</v>
      </c>
      <c r="E7402" s="17" t="s">
        <v>1073</v>
      </c>
      <c r="F7402" s="17" t="s">
        <v>89</v>
      </c>
      <c r="G7402" s="18" t="s">
        <v>90</v>
      </c>
      <c r="H7402" s="24">
        <v>3168020</v>
      </c>
      <c r="I7402" s="24">
        <f>T_reg.root.SK[[#This Row],[Volume, kg]]/1000</f>
        <v>3168.02</v>
      </c>
      <c r="J7402" s="25">
        <v>0.24410000000000001</v>
      </c>
      <c r="K7402" s="25">
        <f t="shared" si="116"/>
        <v>773313.68200000003</v>
      </c>
      <c r="L7402" s="25">
        <v>3</v>
      </c>
      <c r="M7402" s="24">
        <v>9509713</v>
      </c>
      <c r="N7402" s="25">
        <f>IFERROR(T_reg.root.SK[[#This Row],[Price]]/T_reg.root.SK[[#This Row],[Starch content]],"")</f>
        <v>12.290045063498566</v>
      </c>
    </row>
    <row r="7403" spans="1:14">
      <c r="A7403" s="21">
        <v>2026</v>
      </c>
      <c r="B7403" s="21" t="s">
        <v>20</v>
      </c>
      <c r="C7403" s="21" t="s">
        <v>1145</v>
      </c>
      <c r="D7403" s="21" t="s">
        <v>35</v>
      </c>
      <c r="E7403" s="17" t="s">
        <v>223</v>
      </c>
      <c r="F7403" s="17" t="s">
        <v>47</v>
      </c>
      <c r="G7403" s="18" t="s">
        <v>48</v>
      </c>
      <c r="H7403" s="24">
        <v>1730920</v>
      </c>
      <c r="I7403" s="24">
        <f>T_reg.root.SK[[#This Row],[Volume, kg]]/1000</f>
        <v>1730.92</v>
      </c>
      <c r="J7403" s="25">
        <v>0.20280000000000001</v>
      </c>
      <c r="K7403" s="25">
        <f t="shared" si="116"/>
        <v>351030.576</v>
      </c>
      <c r="L7403" s="25">
        <v>3.0125625940891694</v>
      </c>
      <c r="M7403" s="24">
        <v>5214504.8453608248</v>
      </c>
      <c r="N7403" s="25">
        <f>IFERROR(T_reg.root.SK[[#This Row],[Price]]/T_reg.root.SK[[#This Row],[Starch content]],"")</f>
        <v>14.854845138506752</v>
      </c>
    </row>
    <row r="7404" spans="1:14">
      <c r="A7404" s="21">
        <v>2026</v>
      </c>
      <c r="B7404" s="21" t="s">
        <v>20</v>
      </c>
      <c r="C7404" s="21" t="s">
        <v>1145</v>
      </c>
      <c r="D7404" s="21" t="s">
        <v>35</v>
      </c>
      <c r="E7404" s="17" t="s">
        <v>949</v>
      </c>
      <c r="F7404" s="17" t="s">
        <v>105</v>
      </c>
      <c r="G7404" s="18" t="s">
        <v>48</v>
      </c>
      <c r="H7404" s="24">
        <v>21120</v>
      </c>
      <c r="I7404" s="24">
        <f>T_reg.root.SK[[#This Row],[Volume, kg]]/1000</f>
        <v>21.12</v>
      </c>
      <c r="J7404" s="25">
        <v>0.27300000000000002</v>
      </c>
      <c r="K7404" s="25">
        <f t="shared" si="116"/>
        <v>5765.76</v>
      </c>
      <c r="L7404" s="25">
        <v>2.73</v>
      </c>
      <c r="M7404" s="24">
        <v>57666.5</v>
      </c>
      <c r="N7404" s="25">
        <f>IFERROR(T_reg.root.SK[[#This Row],[Price]]/T_reg.root.SK[[#This Row],[Starch content]],"")</f>
        <v>10</v>
      </c>
    </row>
    <row r="7405" spans="1:14">
      <c r="A7405" s="21">
        <v>2026</v>
      </c>
      <c r="B7405" s="21" t="s">
        <v>20</v>
      </c>
      <c r="C7405" s="21" t="s">
        <v>1145</v>
      </c>
      <c r="D7405" s="21" t="s">
        <v>35</v>
      </c>
      <c r="E7405" s="17" t="s">
        <v>301</v>
      </c>
      <c r="F7405" s="17" t="s">
        <v>105</v>
      </c>
      <c r="G7405" s="18" t="s">
        <v>48</v>
      </c>
      <c r="H7405" s="24">
        <v>8700</v>
      </c>
      <c r="I7405" s="24">
        <f>T_reg.root.SK[[#This Row],[Volume, kg]]/1000</f>
        <v>8.6999999999999993</v>
      </c>
      <c r="J7405" s="25">
        <v>0.1923</v>
      </c>
      <c r="K7405" s="25">
        <f t="shared" si="116"/>
        <v>1673.01</v>
      </c>
      <c r="L7405" s="25">
        <v>2.2999999999999998</v>
      </c>
      <c r="M7405" s="24">
        <v>20010</v>
      </c>
      <c r="N7405" s="25">
        <f>IFERROR(T_reg.root.SK[[#This Row],[Price]]/T_reg.root.SK[[#This Row],[Starch content]],"")</f>
        <v>11.960478419136765</v>
      </c>
    </row>
    <row r="7406" spans="1:14">
      <c r="A7406" s="21">
        <v>2026</v>
      </c>
      <c r="B7406" s="21" t="s">
        <v>20</v>
      </c>
      <c r="C7406" s="21" t="s">
        <v>1145</v>
      </c>
      <c r="D7406" s="21" t="s">
        <v>35</v>
      </c>
      <c r="E7406" s="17" t="s">
        <v>1124</v>
      </c>
      <c r="F7406" s="17" t="s">
        <v>105</v>
      </c>
      <c r="G7406" s="18" t="s">
        <v>48</v>
      </c>
      <c r="H7406" s="24">
        <v>9430</v>
      </c>
      <c r="I7406" s="24">
        <f>T_reg.root.SK[[#This Row],[Volume, kg]]/1000</f>
        <v>9.43</v>
      </c>
      <c r="J7406" s="25">
        <v>0.25140000000000001</v>
      </c>
      <c r="K7406" s="25">
        <f t="shared" si="116"/>
        <v>2370.7020000000002</v>
      </c>
      <c r="L7406" s="25">
        <v>2.6</v>
      </c>
      <c r="M7406" s="24">
        <v>24518</v>
      </c>
      <c r="N7406" s="25">
        <f>IFERROR(T_reg.root.SK[[#This Row],[Price]]/T_reg.root.SK[[#This Row],[Starch content]],"")</f>
        <v>10.342084327764519</v>
      </c>
    </row>
    <row r="7407" spans="1:14">
      <c r="A7407" s="21">
        <v>2026</v>
      </c>
      <c r="B7407" s="21" t="s">
        <v>20</v>
      </c>
      <c r="C7407" s="21" t="s">
        <v>1145</v>
      </c>
      <c r="D7407" s="21" t="s">
        <v>35</v>
      </c>
      <c r="E7407" s="17" t="s">
        <v>136</v>
      </c>
      <c r="F7407" s="17" t="s">
        <v>105</v>
      </c>
      <c r="G7407" s="18" t="s">
        <v>48</v>
      </c>
      <c r="H7407" s="24">
        <v>60590</v>
      </c>
      <c r="I7407" s="24">
        <f>T_reg.root.SK[[#This Row],[Volume, kg]]/1000</f>
        <v>60.59</v>
      </c>
      <c r="J7407" s="25">
        <v>0.22699999999999998</v>
      </c>
      <c r="K7407" s="25">
        <f t="shared" ref="K7407:K7470" si="117">H7407*J7407</f>
        <v>13753.929999999998</v>
      </c>
      <c r="L7407" s="25">
        <v>2.5099999999999998</v>
      </c>
      <c r="M7407" s="24">
        <v>152145.5</v>
      </c>
      <c r="N7407" s="25">
        <f>IFERROR(T_reg.root.SK[[#This Row],[Price]]/T_reg.root.SK[[#This Row],[Starch content]],"")</f>
        <v>11.05726872246696</v>
      </c>
    </row>
    <row r="7408" spans="1:14">
      <c r="A7408" s="21">
        <v>2026</v>
      </c>
      <c r="B7408" s="21" t="s">
        <v>20</v>
      </c>
      <c r="C7408" s="21" t="s">
        <v>1145</v>
      </c>
      <c r="D7408" s="21" t="s">
        <v>35</v>
      </c>
      <c r="E7408" s="17" t="s">
        <v>493</v>
      </c>
      <c r="F7408" s="17" t="s">
        <v>105</v>
      </c>
      <c r="G7408" s="18" t="s">
        <v>48</v>
      </c>
      <c r="H7408" s="24">
        <v>21370</v>
      </c>
      <c r="I7408" s="24">
        <f>T_reg.root.SK[[#This Row],[Volume, kg]]/1000</f>
        <v>21.37</v>
      </c>
      <c r="J7408" s="25">
        <v>0.25230000000000002</v>
      </c>
      <c r="K7408" s="25">
        <f t="shared" si="117"/>
        <v>5391.6510000000007</v>
      </c>
      <c r="L7408" s="25">
        <v>2.61</v>
      </c>
      <c r="M7408" s="24">
        <v>55868</v>
      </c>
      <c r="N7408" s="25">
        <f>IFERROR(T_reg.root.SK[[#This Row],[Price]]/T_reg.root.SK[[#This Row],[Starch content]],"")</f>
        <v>10.344827586206895</v>
      </c>
    </row>
    <row r="7409" spans="1:14">
      <c r="A7409" s="21">
        <v>2026</v>
      </c>
      <c r="B7409" s="21" t="s">
        <v>20</v>
      </c>
      <c r="C7409" s="21" t="s">
        <v>1145</v>
      </c>
      <c r="D7409" s="21" t="s">
        <v>39</v>
      </c>
      <c r="E7409" s="17" t="s">
        <v>1063</v>
      </c>
      <c r="F7409" s="17" t="s">
        <v>1064</v>
      </c>
      <c r="G7409" s="18" t="s">
        <v>220</v>
      </c>
      <c r="H7409" s="24">
        <v>355430</v>
      </c>
      <c r="I7409" s="24">
        <f>T_reg.root.SK[[#This Row],[Volume, kg]]/1000</f>
        <v>355.43</v>
      </c>
      <c r="J7409" s="25">
        <v>0.253</v>
      </c>
      <c r="K7409" s="25">
        <f t="shared" si="117"/>
        <v>89923.790000000008</v>
      </c>
      <c r="L7409" s="25">
        <v>3.32</v>
      </c>
      <c r="M7409" s="24">
        <v>1178837</v>
      </c>
      <c r="N7409" s="25">
        <f>IFERROR(T_reg.root.SK[[#This Row],[Price]]/T_reg.root.SK[[#This Row],[Starch content]],"")</f>
        <v>13.122529644268774</v>
      </c>
    </row>
    <row r="7410" spans="1:14">
      <c r="A7410" s="21">
        <v>2026</v>
      </c>
      <c r="B7410" s="21" t="s">
        <v>20</v>
      </c>
      <c r="C7410" s="21" t="s">
        <v>1145</v>
      </c>
      <c r="D7410" s="21" t="s">
        <v>35</v>
      </c>
      <c r="E7410" s="17" t="s">
        <v>339</v>
      </c>
      <c r="F7410" s="17" t="s">
        <v>47</v>
      </c>
      <c r="G7410" s="18" t="s">
        <v>48</v>
      </c>
      <c r="H7410" s="24">
        <v>9050</v>
      </c>
      <c r="I7410" s="24">
        <f>T_reg.root.SK[[#This Row],[Volume, kg]]/1000</f>
        <v>9.0500000000000007</v>
      </c>
      <c r="J7410" s="25">
        <v>0.24199999999999999</v>
      </c>
      <c r="K7410" s="25">
        <f t="shared" si="117"/>
        <v>2190.1</v>
      </c>
      <c r="L7410" s="25">
        <v>2.5499999999999998</v>
      </c>
      <c r="M7410" s="24">
        <v>23077.5</v>
      </c>
      <c r="N7410" s="25">
        <f>IFERROR(T_reg.root.SK[[#This Row],[Price]]/T_reg.root.SK[[#This Row],[Starch content]],"")</f>
        <v>10.537190082644628</v>
      </c>
    </row>
    <row r="7411" spans="1:14">
      <c r="A7411" s="21">
        <v>2026</v>
      </c>
      <c r="B7411" s="21" t="s">
        <v>20</v>
      </c>
      <c r="C7411" s="21" t="s">
        <v>1145</v>
      </c>
      <c r="D7411" s="21" t="s">
        <v>35</v>
      </c>
      <c r="E7411" s="17" t="s">
        <v>200</v>
      </c>
      <c r="F7411" s="17" t="s">
        <v>187</v>
      </c>
      <c r="G7411" s="18" t="s">
        <v>48</v>
      </c>
      <c r="H7411" s="24">
        <v>58070</v>
      </c>
      <c r="I7411" s="24">
        <f>T_reg.root.SK[[#This Row],[Volume, kg]]/1000</f>
        <v>58.07</v>
      </c>
      <c r="J7411" s="25">
        <v>0.28170000000000001</v>
      </c>
      <c r="K7411" s="25">
        <f t="shared" si="117"/>
        <v>16358.319</v>
      </c>
      <c r="L7411" s="25">
        <v>2.76</v>
      </c>
      <c r="M7411" s="24">
        <v>160167.5</v>
      </c>
      <c r="N7411" s="25">
        <f>IFERROR(T_reg.root.SK[[#This Row],[Price]]/T_reg.root.SK[[#This Row],[Starch content]],"")</f>
        <v>9.7976570820021287</v>
      </c>
    </row>
    <row r="7412" spans="1:14">
      <c r="A7412" s="21">
        <v>2026</v>
      </c>
      <c r="B7412" s="21" t="s">
        <v>20</v>
      </c>
      <c r="C7412" s="21" t="s">
        <v>1145</v>
      </c>
      <c r="D7412" s="21" t="s">
        <v>35</v>
      </c>
      <c r="E7412" s="17" t="s">
        <v>138</v>
      </c>
      <c r="F7412" s="17" t="s">
        <v>105</v>
      </c>
      <c r="G7412" s="18" t="s">
        <v>48</v>
      </c>
      <c r="H7412" s="24">
        <v>52780</v>
      </c>
      <c r="I7412" s="24">
        <f>T_reg.root.SK[[#This Row],[Volume, kg]]/1000</f>
        <v>52.78</v>
      </c>
      <c r="J7412" s="25">
        <v>0.21899999999999997</v>
      </c>
      <c r="K7412" s="25">
        <f t="shared" si="117"/>
        <v>11558.819999999998</v>
      </c>
      <c r="L7412" s="25">
        <v>2.5299999999999998</v>
      </c>
      <c r="M7412" s="24">
        <v>133412</v>
      </c>
      <c r="N7412" s="25">
        <f>IFERROR(T_reg.root.SK[[#This Row],[Price]]/T_reg.root.SK[[#This Row],[Starch content]],"")</f>
        <v>11.552511415525114</v>
      </c>
    </row>
    <row r="7413" spans="1:14">
      <c r="A7413" s="21">
        <v>2026</v>
      </c>
      <c r="B7413" s="21" t="s">
        <v>20</v>
      </c>
      <c r="C7413" s="21" t="s">
        <v>1145</v>
      </c>
      <c r="D7413" s="21" t="s">
        <v>35</v>
      </c>
      <c r="E7413" s="17" t="s">
        <v>201</v>
      </c>
      <c r="F7413" s="17" t="s">
        <v>187</v>
      </c>
      <c r="G7413" s="18" t="s">
        <v>48</v>
      </c>
      <c r="H7413" s="24">
        <v>9750</v>
      </c>
      <c r="I7413" s="24">
        <f>T_reg.root.SK[[#This Row],[Volume, kg]]/1000</f>
        <v>9.75</v>
      </c>
      <c r="J7413" s="25">
        <v>0.2515</v>
      </c>
      <c r="K7413" s="25">
        <f t="shared" si="117"/>
        <v>2452.125</v>
      </c>
      <c r="L7413" s="25">
        <v>2.6</v>
      </c>
      <c r="M7413" s="24">
        <v>25350</v>
      </c>
      <c r="N7413" s="25">
        <f>IFERROR(T_reg.root.SK[[#This Row],[Price]]/T_reg.root.SK[[#This Row],[Starch content]],"")</f>
        <v>10.337972166998012</v>
      </c>
    </row>
    <row r="7414" spans="1:14">
      <c r="A7414" s="21">
        <v>2026</v>
      </c>
      <c r="B7414" s="21" t="s">
        <v>20</v>
      </c>
      <c r="C7414" s="21" t="s">
        <v>1145</v>
      </c>
      <c r="D7414" s="21" t="s">
        <v>35</v>
      </c>
      <c r="E7414" s="17" t="s">
        <v>742</v>
      </c>
      <c r="F7414" s="17" t="s">
        <v>187</v>
      </c>
      <c r="G7414" s="18" t="s">
        <v>48</v>
      </c>
      <c r="H7414" s="24">
        <v>35230</v>
      </c>
      <c r="I7414" s="24">
        <f>T_reg.root.SK[[#This Row],[Volume, kg]]/1000</f>
        <v>35.229999999999997</v>
      </c>
      <c r="J7414" s="25">
        <v>0.25629999999999997</v>
      </c>
      <c r="K7414" s="25">
        <f t="shared" si="117"/>
        <v>9029.4489999999987</v>
      </c>
      <c r="L7414" s="25">
        <v>2.63</v>
      </c>
      <c r="M7414" s="24">
        <v>92825</v>
      </c>
      <c r="N7414" s="25">
        <f>IFERROR(T_reg.root.SK[[#This Row],[Price]]/T_reg.root.SK[[#This Row],[Starch content]],"")</f>
        <v>10.261412407335154</v>
      </c>
    </row>
    <row r="7415" spans="1:14">
      <c r="A7415" s="21">
        <v>2026</v>
      </c>
      <c r="B7415" s="21" t="s">
        <v>20</v>
      </c>
      <c r="C7415" s="21" t="s">
        <v>1145</v>
      </c>
      <c r="D7415" s="21" t="s">
        <v>35</v>
      </c>
      <c r="E7415" s="17" t="s">
        <v>984</v>
      </c>
      <c r="F7415" s="17" t="s">
        <v>95</v>
      </c>
      <c r="G7415" s="18" t="s">
        <v>48</v>
      </c>
      <c r="H7415" s="24">
        <v>50030</v>
      </c>
      <c r="I7415" s="24">
        <f>T_reg.root.SK[[#This Row],[Volume, kg]]/1000</f>
        <v>50.03</v>
      </c>
      <c r="J7415" s="25">
        <v>0.23559999999999998</v>
      </c>
      <c r="K7415" s="25">
        <f t="shared" si="117"/>
        <v>11787.067999999999</v>
      </c>
      <c r="L7415" s="25">
        <v>2.54</v>
      </c>
      <c r="M7415" s="24">
        <v>126853</v>
      </c>
      <c r="N7415" s="25">
        <f>IFERROR(T_reg.root.SK[[#This Row],[Price]]/T_reg.root.SK[[#This Row],[Starch content]],"")</f>
        <v>10.780984719864177</v>
      </c>
    </row>
    <row r="7416" spans="1:14">
      <c r="A7416" s="21">
        <v>2026</v>
      </c>
      <c r="B7416" s="21" t="s">
        <v>20</v>
      </c>
      <c r="C7416" s="21" t="s">
        <v>1145</v>
      </c>
      <c r="D7416" s="21" t="s">
        <v>35</v>
      </c>
      <c r="E7416" s="17" t="s">
        <v>303</v>
      </c>
      <c r="F7416" s="17" t="s">
        <v>105</v>
      </c>
      <c r="G7416" s="18" t="s">
        <v>48</v>
      </c>
      <c r="H7416" s="24">
        <v>146460</v>
      </c>
      <c r="I7416" s="24">
        <f>T_reg.root.SK[[#This Row],[Volume, kg]]/1000</f>
        <v>146.46</v>
      </c>
      <c r="J7416" s="25">
        <v>0.24489999999999998</v>
      </c>
      <c r="K7416" s="25">
        <f t="shared" si="117"/>
        <v>35868.053999999996</v>
      </c>
      <c r="L7416" s="25">
        <v>2.59</v>
      </c>
      <c r="M7416" s="24">
        <v>379186</v>
      </c>
      <c r="N7416" s="25">
        <f>IFERROR(T_reg.root.SK[[#This Row],[Price]]/T_reg.root.SK[[#This Row],[Starch content]],"")</f>
        <v>10.575745202123317</v>
      </c>
    </row>
    <row r="7417" spans="1:14">
      <c r="A7417" s="21">
        <v>2026</v>
      </c>
      <c r="B7417" s="21" t="s">
        <v>20</v>
      </c>
      <c r="C7417" s="21" t="s">
        <v>1145</v>
      </c>
      <c r="D7417" s="21" t="s">
        <v>35</v>
      </c>
      <c r="E7417" s="17" t="s">
        <v>1125</v>
      </c>
      <c r="F7417" s="17" t="s">
        <v>105</v>
      </c>
      <c r="G7417" s="18" t="s">
        <v>48</v>
      </c>
      <c r="H7417" s="24">
        <v>37480</v>
      </c>
      <c r="I7417" s="24">
        <f>T_reg.root.SK[[#This Row],[Volume, kg]]/1000</f>
        <v>37.479999999999997</v>
      </c>
      <c r="J7417" s="25">
        <v>0.25690000000000002</v>
      </c>
      <c r="K7417" s="25">
        <f t="shared" si="117"/>
        <v>9628.612000000001</v>
      </c>
      <c r="L7417" s="25">
        <v>2.63</v>
      </c>
      <c r="M7417" s="24">
        <v>98660.5</v>
      </c>
      <c r="N7417" s="25">
        <f>IFERROR(T_reg.root.SK[[#This Row],[Price]]/T_reg.root.SK[[#This Row],[Starch content]],"")</f>
        <v>10.237446477228492</v>
      </c>
    </row>
    <row r="7418" spans="1:14">
      <c r="A7418" s="21">
        <v>2026</v>
      </c>
      <c r="B7418" s="21" t="s">
        <v>20</v>
      </c>
      <c r="C7418" s="21" t="s">
        <v>1145</v>
      </c>
      <c r="D7418" s="21" t="s">
        <v>35</v>
      </c>
      <c r="E7418" s="17" t="s">
        <v>304</v>
      </c>
      <c r="F7418" s="17" t="s">
        <v>105</v>
      </c>
      <c r="G7418" s="18" t="s">
        <v>48</v>
      </c>
      <c r="H7418" s="24">
        <v>29560</v>
      </c>
      <c r="I7418" s="24">
        <f>T_reg.root.SK[[#This Row],[Volume, kg]]/1000</f>
        <v>29.56</v>
      </c>
      <c r="J7418" s="25">
        <v>0.22670000000000001</v>
      </c>
      <c r="K7418" s="25">
        <f t="shared" si="117"/>
        <v>6701.2520000000004</v>
      </c>
      <c r="L7418" s="25">
        <v>2.7</v>
      </c>
      <c r="M7418" s="24">
        <v>79812</v>
      </c>
      <c r="N7418" s="25">
        <f>IFERROR(T_reg.root.SK[[#This Row],[Price]]/T_reg.root.SK[[#This Row],[Starch content]],"")</f>
        <v>11.910013233348037</v>
      </c>
    </row>
    <row r="7419" spans="1:14">
      <c r="A7419" s="21">
        <v>2026</v>
      </c>
      <c r="B7419" s="21" t="s">
        <v>20</v>
      </c>
      <c r="C7419" s="21" t="s">
        <v>1145</v>
      </c>
      <c r="D7419" s="21" t="s">
        <v>35</v>
      </c>
      <c r="E7419" s="17" t="s">
        <v>719</v>
      </c>
      <c r="F7419" s="17" t="s">
        <v>105</v>
      </c>
      <c r="G7419" s="18" t="s">
        <v>48</v>
      </c>
      <c r="H7419" s="24">
        <v>11350</v>
      </c>
      <c r="I7419" s="24">
        <f>T_reg.root.SK[[#This Row],[Volume, kg]]/1000</f>
        <v>11.35</v>
      </c>
      <c r="J7419" s="25">
        <v>0.2014</v>
      </c>
      <c r="K7419" s="25">
        <f t="shared" si="117"/>
        <v>2285.89</v>
      </c>
      <c r="L7419" s="25">
        <v>2.46</v>
      </c>
      <c r="M7419" s="24">
        <v>27940</v>
      </c>
      <c r="N7419" s="25">
        <f>IFERROR(T_reg.root.SK[[#This Row],[Price]]/T_reg.root.SK[[#This Row],[Starch content]],"")</f>
        <v>12.214498510427012</v>
      </c>
    </row>
    <row r="7420" spans="1:14">
      <c r="A7420" s="21">
        <v>2026</v>
      </c>
      <c r="B7420" s="21" t="s">
        <v>20</v>
      </c>
      <c r="C7420" s="21" t="s">
        <v>1145</v>
      </c>
      <c r="D7420" s="21" t="s">
        <v>35</v>
      </c>
      <c r="E7420" s="17" t="s">
        <v>243</v>
      </c>
      <c r="F7420" s="17" t="s">
        <v>105</v>
      </c>
      <c r="G7420" s="18" t="s">
        <v>48</v>
      </c>
      <c r="H7420" s="24">
        <v>16570</v>
      </c>
      <c r="I7420" s="24">
        <f>T_reg.root.SK[[#This Row],[Volume, kg]]/1000</f>
        <v>16.57</v>
      </c>
      <c r="J7420" s="25">
        <v>0.20219999999999999</v>
      </c>
      <c r="K7420" s="25">
        <f t="shared" si="117"/>
        <v>3350.4539999999997</v>
      </c>
      <c r="L7420" s="25">
        <v>2.4300000000000002</v>
      </c>
      <c r="M7420" s="24">
        <v>40313</v>
      </c>
      <c r="N7420" s="25">
        <f>IFERROR(T_reg.root.SK[[#This Row],[Price]]/T_reg.root.SK[[#This Row],[Starch content]],"")</f>
        <v>12.017804154302672</v>
      </c>
    </row>
    <row r="7421" spans="1:14">
      <c r="A7421" s="21">
        <v>2026</v>
      </c>
      <c r="B7421" s="21" t="s">
        <v>20</v>
      </c>
      <c r="C7421" s="21" t="s">
        <v>1145</v>
      </c>
      <c r="D7421" s="21" t="s">
        <v>35</v>
      </c>
      <c r="E7421" s="17" t="s">
        <v>308</v>
      </c>
      <c r="F7421" s="17" t="s">
        <v>105</v>
      </c>
      <c r="G7421" s="18" t="s">
        <v>48</v>
      </c>
      <c r="H7421" s="24">
        <v>44720</v>
      </c>
      <c r="I7421" s="24">
        <f>T_reg.root.SK[[#This Row],[Volume, kg]]/1000</f>
        <v>44.72</v>
      </c>
      <c r="J7421" s="25">
        <v>0.24710000000000001</v>
      </c>
      <c r="K7421" s="25">
        <f t="shared" si="117"/>
        <v>11050.312</v>
      </c>
      <c r="L7421" s="25">
        <v>2.62</v>
      </c>
      <c r="M7421" s="24">
        <v>117041.5</v>
      </c>
      <c r="N7421" s="25">
        <f>IFERROR(T_reg.root.SK[[#This Row],[Price]]/T_reg.root.SK[[#This Row],[Starch content]],"")</f>
        <v>10.602994738972075</v>
      </c>
    </row>
    <row r="7422" spans="1:14">
      <c r="A7422" s="21">
        <v>2026</v>
      </c>
      <c r="B7422" s="21" t="s">
        <v>20</v>
      </c>
      <c r="C7422" s="21" t="s">
        <v>1145</v>
      </c>
      <c r="D7422" s="21" t="s">
        <v>35</v>
      </c>
      <c r="E7422" s="17" t="s">
        <v>245</v>
      </c>
      <c r="F7422" s="17" t="s">
        <v>105</v>
      </c>
      <c r="G7422" s="18" t="s">
        <v>48</v>
      </c>
      <c r="H7422" s="24">
        <v>14100</v>
      </c>
      <c r="I7422" s="24">
        <f>T_reg.root.SK[[#This Row],[Volume, kg]]/1000</f>
        <v>14.1</v>
      </c>
      <c r="J7422" s="25">
        <v>0.23569999999999999</v>
      </c>
      <c r="K7422" s="25">
        <f t="shared" si="117"/>
        <v>3323.37</v>
      </c>
      <c r="L7422" s="25">
        <v>2.5299999999999998</v>
      </c>
      <c r="M7422" s="24">
        <v>35619</v>
      </c>
      <c r="N7422" s="25">
        <f>IFERROR(T_reg.root.SK[[#This Row],[Price]]/T_reg.root.SK[[#This Row],[Starch content]],"")</f>
        <v>10.733983877810775</v>
      </c>
    </row>
    <row r="7423" spans="1:14">
      <c r="A7423" s="21">
        <v>2026</v>
      </c>
      <c r="B7423" s="21" t="s">
        <v>20</v>
      </c>
      <c r="C7423" s="21" t="s">
        <v>1145</v>
      </c>
      <c r="D7423" s="21" t="s">
        <v>35</v>
      </c>
      <c r="E7423" s="17" t="s">
        <v>933</v>
      </c>
      <c r="F7423" s="17" t="s">
        <v>105</v>
      </c>
      <c r="G7423" s="18" t="s">
        <v>48</v>
      </c>
      <c r="H7423" s="24">
        <v>13570</v>
      </c>
      <c r="I7423" s="24">
        <f>T_reg.root.SK[[#This Row],[Volume, kg]]/1000</f>
        <v>13.57</v>
      </c>
      <c r="J7423" s="25">
        <v>0.2175</v>
      </c>
      <c r="K7423" s="25">
        <f t="shared" si="117"/>
        <v>2951.4749999999999</v>
      </c>
      <c r="L7423" s="25">
        <v>2.4300000000000002</v>
      </c>
      <c r="M7423" s="24">
        <v>32932</v>
      </c>
      <c r="N7423" s="25">
        <f>IFERROR(T_reg.root.SK[[#This Row],[Price]]/T_reg.root.SK[[#This Row],[Starch content]],"")</f>
        <v>11.172413793103448</v>
      </c>
    </row>
    <row r="7424" spans="1:14">
      <c r="A7424" s="21">
        <v>2026</v>
      </c>
      <c r="B7424" s="21" t="s">
        <v>20</v>
      </c>
      <c r="C7424" s="21" t="s">
        <v>1145</v>
      </c>
      <c r="D7424" s="21" t="s">
        <v>35</v>
      </c>
      <c r="E7424" s="17" t="s">
        <v>1004</v>
      </c>
      <c r="F7424" s="17" t="s">
        <v>105</v>
      </c>
      <c r="G7424" s="18" t="s">
        <v>48</v>
      </c>
      <c r="H7424" s="24">
        <v>11380</v>
      </c>
      <c r="I7424" s="24">
        <f>T_reg.root.SK[[#This Row],[Volume, kg]]/1000</f>
        <v>11.38</v>
      </c>
      <c r="J7424" s="25">
        <v>0.23620000000000002</v>
      </c>
      <c r="K7424" s="25">
        <f t="shared" si="117"/>
        <v>2687.9560000000001</v>
      </c>
      <c r="L7424" s="25">
        <v>2.65</v>
      </c>
      <c r="M7424" s="24">
        <v>30157</v>
      </c>
      <c r="N7424" s="25">
        <f>IFERROR(T_reg.root.SK[[#This Row],[Price]]/T_reg.root.SK[[#This Row],[Starch content]],"")</f>
        <v>11.219305673158338</v>
      </c>
    </row>
    <row r="7425" spans="1:14">
      <c r="A7425" s="21">
        <v>2026</v>
      </c>
      <c r="B7425" s="21" t="s">
        <v>20</v>
      </c>
      <c r="C7425" s="21" t="s">
        <v>1145</v>
      </c>
      <c r="D7425" s="21" t="s">
        <v>35</v>
      </c>
      <c r="E7425" s="17" t="s">
        <v>1010</v>
      </c>
      <c r="F7425" s="17" t="s">
        <v>105</v>
      </c>
      <c r="G7425" s="18" t="s">
        <v>48</v>
      </c>
      <c r="H7425" s="24">
        <v>33310</v>
      </c>
      <c r="I7425" s="24">
        <f>T_reg.root.SK[[#This Row],[Volume, kg]]/1000</f>
        <v>33.31</v>
      </c>
      <c r="J7425" s="25">
        <v>0.21760000000000002</v>
      </c>
      <c r="K7425" s="25">
        <f t="shared" si="117"/>
        <v>7248.2560000000003</v>
      </c>
      <c r="L7425" s="25">
        <v>2.4300000000000002</v>
      </c>
      <c r="M7425" s="24">
        <v>81067.5</v>
      </c>
      <c r="N7425" s="25">
        <f>IFERROR(T_reg.root.SK[[#This Row],[Price]]/T_reg.root.SK[[#This Row],[Starch content]],"")</f>
        <v>11.167279411764707</v>
      </c>
    </row>
    <row r="7426" spans="1:14">
      <c r="A7426" s="21">
        <v>2026</v>
      </c>
      <c r="B7426" s="21" t="s">
        <v>20</v>
      </c>
      <c r="C7426" s="21" t="s">
        <v>1145</v>
      </c>
      <c r="D7426" s="21" t="s">
        <v>35</v>
      </c>
      <c r="E7426" s="17" t="s">
        <v>247</v>
      </c>
      <c r="F7426" s="17" t="s">
        <v>105</v>
      </c>
      <c r="G7426" s="18" t="s">
        <v>48</v>
      </c>
      <c r="H7426" s="24">
        <v>8240</v>
      </c>
      <c r="I7426" s="24">
        <f>T_reg.root.SK[[#This Row],[Volume, kg]]/1000</f>
        <v>8.24</v>
      </c>
      <c r="J7426" s="25">
        <v>0.23699999999999999</v>
      </c>
      <c r="K7426" s="25">
        <f t="shared" si="117"/>
        <v>1952.8799999999999</v>
      </c>
      <c r="L7426" s="25">
        <v>2.5499999999999998</v>
      </c>
      <c r="M7426" s="24">
        <v>21012</v>
      </c>
      <c r="N7426" s="25">
        <f>IFERROR(T_reg.root.SK[[#This Row],[Price]]/T_reg.root.SK[[#This Row],[Starch content]],"")</f>
        <v>10.759493670886076</v>
      </c>
    </row>
    <row r="7427" spans="1:14">
      <c r="A7427" s="21">
        <v>2026</v>
      </c>
      <c r="B7427" s="21" t="s">
        <v>20</v>
      </c>
      <c r="C7427" s="21" t="s">
        <v>1145</v>
      </c>
      <c r="D7427" s="21" t="s">
        <v>35</v>
      </c>
      <c r="E7427" s="17" t="s">
        <v>143</v>
      </c>
      <c r="F7427" s="17" t="s">
        <v>105</v>
      </c>
      <c r="G7427" s="18" t="s">
        <v>48</v>
      </c>
      <c r="H7427" s="24">
        <v>25870</v>
      </c>
      <c r="I7427" s="24">
        <f>T_reg.root.SK[[#This Row],[Volume, kg]]/1000</f>
        <v>25.87</v>
      </c>
      <c r="J7427" s="25">
        <v>0.28550000000000003</v>
      </c>
      <c r="K7427" s="25">
        <f t="shared" si="117"/>
        <v>7385.8850000000011</v>
      </c>
      <c r="L7427" s="25">
        <v>2.82</v>
      </c>
      <c r="M7427" s="24">
        <v>73016</v>
      </c>
      <c r="N7427" s="25">
        <f>IFERROR(T_reg.root.SK[[#This Row],[Price]]/T_reg.root.SK[[#This Row],[Starch content]],"")</f>
        <v>9.8774080560420305</v>
      </c>
    </row>
    <row r="7428" spans="1:14">
      <c r="A7428" s="21">
        <v>2026</v>
      </c>
      <c r="B7428" s="21" t="s">
        <v>20</v>
      </c>
      <c r="C7428" s="21" t="s">
        <v>1145</v>
      </c>
      <c r="D7428" s="21" t="s">
        <v>35</v>
      </c>
      <c r="E7428" s="17" t="s">
        <v>659</v>
      </c>
      <c r="F7428" s="17" t="s">
        <v>47</v>
      </c>
      <c r="G7428" s="18" t="s">
        <v>48</v>
      </c>
      <c r="H7428" s="24">
        <v>12970</v>
      </c>
      <c r="I7428" s="24">
        <f>T_reg.root.SK[[#This Row],[Volume, kg]]/1000</f>
        <v>12.97</v>
      </c>
      <c r="J7428" s="25">
        <v>0.2833</v>
      </c>
      <c r="K7428" s="25">
        <f t="shared" si="117"/>
        <v>3674.4009999999998</v>
      </c>
      <c r="L7428" s="25">
        <v>2.78</v>
      </c>
      <c r="M7428" s="24">
        <v>36087.5</v>
      </c>
      <c r="N7428" s="25">
        <f>IFERROR(T_reg.root.SK[[#This Row],[Price]]/T_reg.root.SK[[#This Row],[Starch content]],"")</f>
        <v>9.8129191669608176</v>
      </c>
    </row>
    <row r="7429" spans="1:14">
      <c r="A7429" s="21">
        <v>2026</v>
      </c>
      <c r="B7429" s="21" t="s">
        <v>20</v>
      </c>
      <c r="C7429" s="21" t="s">
        <v>1145</v>
      </c>
      <c r="D7429" s="21" t="s">
        <v>35</v>
      </c>
      <c r="E7429" s="17" t="s">
        <v>312</v>
      </c>
      <c r="F7429" s="17" t="s">
        <v>105</v>
      </c>
      <c r="G7429" s="18" t="s">
        <v>48</v>
      </c>
      <c r="H7429" s="24">
        <v>9340</v>
      </c>
      <c r="I7429" s="24">
        <f>T_reg.root.SK[[#This Row],[Volume, kg]]/1000</f>
        <v>9.34</v>
      </c>
      <c r="J7429" s="25">
        <v>0.30299999999999999</v>
      </c>
      <c r="K7429" s="25">
        <f t="shared" si="117"/>
        <v>2830.02</v>
      </c>
      <c r="L7429" s="25">
        <v>2.85</v>
      </c>
      <c r="M7429" s="24">
        <v>26619</v>
      </c>
      <c r="N7429" s="25">
        <f>IFERROR(T_reg.root.SK[[#This Row],[Price]]/T_reg.root.SK[[#This Row],[Starch content]],"")</f>
        <v>9.4059405940594072</v>
      </c>
    </row>
    <row r="7430" spans="1:14">
      <c r="A7430" s="21">
        <v>2026</v>
      </c>
      <c r="B7430" s="21" t="s">
        <v>20</v>
      </c>
      <c r="C7430" s="21" t="s">
        <v>1145</v>
      </c>
      <c r="D7430" s="21" t="s">
        <v>35</v>
      </c>
      <c r="E7430" s="17" t="s">
        <v>145</v>
      </c>
      <c r="F7430" s="17" t="s">
        <v>105</v>
      </c>
      <c r="G7430" s="18" t="s">
        <v>48</v>
      </c>
      <c r="H7430" s="24">
        <v>17850</v>
      </c>
      <c r="I7430" s="24">
        <f>T_reg.root.SK[[#This Row],[Volume, kg]]/1000</f>
        <v>17.850000000000001</v>
      </c>
      <c r="J7430" s="25">
        <v>0.27729999999999999</v>
      </c>
      <c r="K7430" s="25">
        <f t="shared" si="117"/>
        <v>4949.8050000000003</v>
      </c>
      <c r="L7430" s="25">
        <v>2.75</v>
      </c>
      <c r="M7430" s="24">
        <v>49087.5</v>
      </c>
      <c r="N7430" s="25">
        <f>IFERROR(T_reg.root.SK[[#This Row],[Price]]/T_reg.root.SK[[#This Row],[Starch content]],"")</f>
        <v>9.9170573386224312</v>
      </c>
    </row>
    <row r="7431" spans="1:14">
      <c r="A7431" s="21">
        <v>2026</v>
      </c>
      <c r="B7431" s="21" t="s">
        <v>20</v>
      </c>
      <c r="C7431" s="21" t="s">
        <v>1145</v>
      </c>
      <c r="D7431" s="21" t="s">
        <v>35</v>
      </c>
      <c r="E7431" s="17" t="s">
        <v>146</v>
      </c>
      <c r="F7431" s="17" t="s">
        <v>105</v>
      </c>
      <c r="G7431" s="18" t="s">
        <v>48</v>
      </c>
      <c r="H7431" s="24">
        <v>18960</v>
      </c>
      <c r="I7431" s="24">
        <f>T_reg.root.SK[[#This Row],[Volume, kg]]/1000</f>
        <v>18.96</v>
      </c>
      <c r="J7431" s="25">
        <v>0.22210000000000002</v>
      </c>
      <c r="K7431" s="25">
        <f t="shared" si="117"/>
        <v>4211.0160000000005</v>
      </c>
      <c r="L7431" s="25">
        <v>2.52</v>
      </c>
      <c r="M7431" s="24">
        <v>47706</v>
      </c>
      <c r="N7431" s="25">
        <f>IFERROR(T_reg.root.SK[[#This Row],[Price]]/T_reg.root.SK[[#This Row],[Starch content]],"")</f>
        <v>11.34624043223773</v>
      </c>
    </row>
    <row r="7432" spans="1:14">
      <c r="A7432" s="21">
        <v>2026</v>
      </c>
      <c r="B7432" s="21" t="s">
        <v>20</v>
      </c>
      <c r="C7432" s="21" t="s">
        <v>1145</v>
      </c>
      <c r="D7432" s="21" t="s">
        <v>35</v>
      </c>
      <c r="E7432" s="17" t="s">
        <v>668</v>
      </c>
      <c r="F7432" s="17" t="s">
        <v>105</v>
      </c>
      <c r="G7432" s="18" t="s">
        <v>48</v>
      </c>
      <c r="H7432" s="24">
        <v>6930</v>
      </c>
      <c r="I7432" s="24">
        <f>T_reg.root.SK[[#This Row],[Volume, kg]]/1000</f>
        <v>6.93</v>
      </c>
      <c r="J7432" s="25">
        <v>0.27100000000000002</v>
      </c>
      <c r="K7432" s="25">
        <f t="shared" si="117"/>
        <v>1878.0300000000002</v>
      </c>
      <c r="L7432" s="25">
        <v>2.7</v>
      </c>
      <c r="M7432" s="24">
        <v>18711</v>
      </c>
      <c r="N7432" s="25">
        <f>IFERROR(T_reg.root.SK[[#This Row],[Price]]/T_reg.root.SK[[#This Row],[Starch content]],"")</f>
        <v>9.9630996309963091</v>
      </c>
    </row>
    <row r="7433" spans="1:14">
      <c r="A7433" s="21">
        <v>2026</v>
      </c>
      <c r="B7433" s="21" t="s">
        <v>20</v>
      </c>
      <c r="C7433" s="21" t="s">
        <v>1145</v>
      </c>
      <c r="D7433" s="21" t="s">
        <v>35</v>
      </c>
      <c r="E7433" s="17" t="s">
        <v>1011</v>
      </c>
      <c r="F7433" s="17" t="s">
        <v>1012</v>
      </c>
      <c r="G7433" s="18" t="s">
        <v>1013</v>
      </c>
      <c r="H7433" s="24">
        <v>73190</v>
      </c>
      <c r="I7433" s="24">
        <f>T_reg.root.SK[[#This Row],[Volume, kg]]/1000</f>
        <v>73.19</v>
      </c>
      <c r="J7433" s="25">
        <v>0.25370000000000004</v>
      </c>
      <c r="K7433" s="25">
        <f t="shared" si="117"/>
        <v>18568.303000000004</v>
      </c>
      <c r="L7433" s="25">
        <v>2.69</v>
      </c>
      <c r="M7433" s="24">
        <v>196962</v>
      </c>
      <c r="N7433" s="25">
        <f>IFERROR(T_reg.root.SK[[#This Row],[Price]]/T_reg.root.SK[[#This Row],[Starch content]],"")</f>
        <v>10.603074497437918</v>
      </c>
    </row>
    <row r="7434" spans="1:14">
      <c r="A7434" s="21">
        <v>2026</v>
      </c>
      <c r="B7434" s="21" t="s">
        <v>20</v>
      </c>
      <c r="C7434" s="21" t="s">
        <v>1145</v>
      </c>
      <c r="D7434" s="21" t="s">
        <v>35</v>
      </c>
      <c r="E7434" s="17" t="s">
        <v>985</v>
      </c>
      <c r="F7434" s="17" t="s">
        <v>283</v>
      </c>
      <c r="G7434" s="18" t="s">
        <v>48</v>
      </c>
      <c r="H7434" s="24">
        <v>99730</v>
      </c>
      <c r="I7434" s="24">
        <f>T_reg.root.SK[[#This Row],[Volume, kg]]/1000</f>
        <v>99.73</v>
      </c>
      <c r="J7434" s="25">
        <v>0.2482</v>
      </c>
      <c r="K7434" s="25">
        <f t="shared" si="117"/>
        <v>24752.986000000001</v>
      </c>
      <c r="L7434" s="25">
        <v>2.6</v>
      </c>
      <c r="M7434" s="24">
        <v>259582</v>
      </c>
      <c r="N7434" s="25">
        <f>IFERROR(T_reg.root.SK[[#This Row],[Price]]/T_reg.root.SK[[#This Row],[Starch content]],"")</f>
        <v>10.475423045930702</v>
      </c>
    </row>
    <row r="7435" spans="1:14">
      <c r="A7435" s="21">
        <v>2026</v>
      </c>
      <c r="B7435" s="21" t="s">
        <v>20</v>
      </c>
      <c r="C7435" s="21" t="s">
        <v>1145</v>
      </c>
      <c r="D7435" s="21" t="s">
        <v>35</v>
      </c>
      <c r="E7435" s="17" t="s">
        <v>1117</v>
      </c>
      <c r="F7435" s="17" t="s">
        <v>105</v>
      </c>
      <c r="G7435" s="18" t="s">
        <v>48</v>
      </c>
      <c r="H7435" s="24">
        <v>28230</v>
      </c>
      <c r="I7435" s="24">
        <f>T_reg.root.SK[[#This Row],[Volume, kg]]/1000</f>
        <v>28.23</v>
      </c>
      <c r="J7435" s="25">
        <v>0.29160000000000003</v>
      </c>
      <c r="K7435" s="25">
        <f t="shared" si="117"/>
        <v>8231.8680000000004</v>
      </c>
      <c r="L7435" s="25">
        <v>2.82</v>
      </c>
      <c r="M7435" s="24">
        <v>79518.5</v>
      </c>
      <c r="N7435" s="25">
        <f>IFERROR(T_reg.root.SK[[#This Row],[Price]]/T_reg.root.SK[[#This Row],[Starch content]],"")</f>
        <v>9.6707818930041132</v>
      </c>
    </row>
    <row r="7436" spans="1:14">
      <c r="A7436" s="21">
        <v>2026</v>
      </c>
      <c r="B7436" s="21" t="s">
        <v>20</v>
      </c>
      <c r="C7436" s="21" t="s">
        <v>1145</v>
      </c>
      <c r="D7436" s="21" t="s">
        <v>35</v>
      </c>
      <c r="E7436" s="17" t="s">
        <v>206</v>
      </c>
      <c r="F7436" s="17" t="s">
        <v>187</v>
      </c>
      <c r="G7436" s="18" t="s">
        <v>48</v>
      </c>
      <c r="H7436" s="24">
        <v>17280</v>
      </c>
      <c r="I7436" s="24">
        <f>T_reg.root.SK[[#This Row],[Volume, kg]]/1000</f>
        <v>17.28</v>
      </c>
      <c r="J7436" s="25">
        <v>0.26300000000000001</v>
      </c>
      <c r="K7436" s="25">
        <f t="shared" si="117"/>
        <v>4544.6400000000003</v>
      </c>
      <c r="L7436" s="25">
        <v>2.67</v>
      </c>
      <c r="M7436" s="24">
        <v>46221</v>
      </c>
      <c r="N7436" s="25">
        <f>IFERROR(T_reg.root.SK[[#This Row],[Price]]/T_reg.root.SK[[#This Row],[Starch content]],"")</f>
        <v>10.15209125475285</v>
      </c>
    </row>
    <row r="7437" spans="1:14">
      <c r="A7437" s="21">
        <v>2026</v>
      </c>
      <c r="B7437" s="21" t="s">
        <v>20</v>
      </c>
      <c r="C7437" s="21" t="s">
        <v>1145</v>
      </c>
      <c r="D7437" s="21" t="s">
        <v>35</v>
      </c>
      <c r="E7437" s="17" t="s">
        <v>1005</v>
      </c>
      <c r="F7437" s="17" t="s">
        <v>105</v>
      </c>
      <c r="G7437" s="18" t="s">
        <v>48</v>
      </c>
      <c r="H7437" s="24">
        <v>32720</v>
      </c>
      <c r="I7437" s="24">
        <f>T_reg.root.SK[[#This Row],[Volume, kg]]/1000</f>
        <v>32.72</v>
      </c>
      <c r="J7437" s="25">
        <v>0.27300000000000002</v>
      </c>
      <c r="K7437" s="25">
        <f t="shared" si="117"/>
        <v>8932.5600000000013</v>
      </c>
      <c r="L7437" s="25">
        <v>2.72</v>
      </c>
      <c r="M7437" s="24">
        <v>89096</v>
      </c>
      <c r="N7437" s="25">
        <f>IFERROR(T_reg.root.SK[[#This Row],[Price]]/T_reg.root.SK[[#This Row],[Starch content]],"")</f>
        <v>9.9633699633699635</v>
      </c>
    </row>
    <row r="7438" spans="1:14">
      <c r="A7438" s="21">
        <v>2026</v>
      </c>
      <c r="B7438" s="21" t="s">
        <v>20</v>
      </c>
      <c r="C7438" s="21" t="s">
        <v>1145</v>
      </c>
      <c r="D7438" s="21" t="s">
        <v>35</v>
      </c>
      <c r="E7438" s="17" t="s">
        <v>1126</v>
      </c>
      <c r="F7438" s="17" t="s">
        <v>105</v>
      </c>
      <c r="G7438" s="18" t="s">
        <v>48</v>
      </c>
      <c r="H7438" s="24">
        <v>41890</v>
      </c>
      <c r="I7438" s="24">
        <f>T_reg.root.SK[[#This Row],[Volume, kg]]/1000</f>
        <v>41.89</v>
      </c>
      <c r="J7438" s="25">
        <v>0.22949999999999998</v>
      </c>
      <c r="K7438" s="25">
        <f t="shared" si="117"/>
        <v>9613.7549999999992</v>
      </c>
      <c r="L7438" s="25">
        <v>2.4900000000000002</v>
      </c>
      <c r="M7438" s="24">
        <v>104277</v>
      </c>
      <c r="N7438" s="25">
        <f>IFERROR(T_reg.root.SK[[#This Row],[Price]]/T_reg.root.SK[[#This Row],[Starch content]],"")</f>
        <v>10.849673202614381</v>
      </c>
    </row>
    <row r="7439" spans="1:14">
      <c r="A7439" s="21">
        <v>2026</v>
      </c>
      <c r="B7439" s="21" t="s">
        <v>20</v>
      </c>
      <c r="C7439" s="21" t="s">
        <v>1145</v>
      </c>
      <c r="D7439" s="21" t="s">
        <v>35</v>
      </c>
      <c r="E7439" s="17" t="s">
        <v>148</v>
      </c>
      <c r="F7439" s="17" t="s">
        <v>105</v>
      </c>
      <c r="G7439" s="18" t="s">
        <v>48</v>
      </c>
      <c r="H7439" s="24">
        <v>74910</v>
      </c>
      <c r="I7439" s="24">
        <f>T_reg.root.SK[[#This Row],[Volume, kg]]/1000</f>
        <v>74.91</v>
      </c>
      <c r="J7439" s="25">
        <v>0.23449999999999999</v>
      </c>
      <c r="K7439" s="25">
        <f t="shared" si="117"/>
        <v>17566.395</v>
      </c>
      <c r="L7439" s="25">
        <v>2.52</v>
      </c>
      <c r="M7439" s="24">
        <v>189063</v>
      </c>
      <c r="N7439" s="25">
        <f>IFERROR(T_reg.root.SK[[#This Row],[Price]]/T_reg.root.SK[[#This Row],[Starch content]],"")</f>
        <v>10.746268656716419</v>
      </c>
    </row>
    <row r="7440" spans="1:14">
      <c r="A7440" s="21">
        <v>2026</v>
      </c>
      <c r="B7440" s="21" t="s">
        <v>20</v>
      </c>
      <c r="C7440" s="21" t="s">
        <v>1145</v>
      </c>
      <c r="D7440" s="21" t="s">
        <v>35</v>
      </c>
      <c r="E7440" s="17" t="s">
        <v>208</v>
      </c>
      <c r="F7440" s="17" t="s">
        <v>187</v>
      </c>
      <c r="G7440" s="18" t="s">
        <v>48</v>
      </c>
      <c r="H7440" s="24">
        <v>47010</v>
      </c>
      <c r="I7440" s="24">
        <f>T_reg.root.SK[[#This Row],[Volume, kg]]/1000</f>
        <v>47.01</v>
      </c>
      <c r="J7440" s="25">
        <v>0.22370000000000001</v>
      </c>
      <c r="K7440" s="25">
        <f t="shared" si="117"/>
        <v>10516.137000000001</v>
      </c>
      <c r="L7440" s="25">
        <v>2.63</v>
      </c>
      <c r="M7440" s="24">
        <v>123613</v>
      </c>
      <c r="N7440" s="25">
        <f>IFERROR(T_reg.root.SK[[#This Row],[Price]]/T_reg.root.SK[[#This Row],[Starch content]],"")</f>
        <v>11.756817165847115</v>
      </c>
    </row>
    <row r="7441" spans="1:14">
      <c r="A7441" s="21">
        <v>2026</v>
      </c>
      <c r="B7441" s="21" t="s">
        <v>20</v>
      </c>
      <c r="C7441" s="21" t="s">
        <v>1145</v>
      </c>
      <c r="D7441" s="21" t="s">
        <v>35</v>
      </c>
      <c r="E7441" s="17" t="s">
        <v>314</v>
      </c>
      <c r="F7441" s="17" t="s">
        <v>105</v>
      </c>
      <c r="G7441" s="18" t="s">
        <v>48</v>
      </c>
      <c r="H7441" s="24">
        <v>25650</v>
      </c>
      <c r="I7441" s="24">
        <f>T_reg.root.SK[[#This Row],[Volume, kg]]/1000</f>
        <v>25.65</v>
      </c>
      <c r="J7441" s="25">
        <v>0.2802</v>
      </c>
      <c r="K7441" s="25">
        <f t="shared" si="117"/>
        <v>7187.13</v>
      </c>
      <c r="L7441" s="25">
        <v>2.75</v>
      </c>
      <c r="M7441" s="24">
        <v>70518</v>
      </c>
      <c r="N7441" s="25">
        <f>IFERROR(T_reg.root.SK[[#This Row],[Price]]/T_reg.root.SK[[#This Row],[Starch content]],"")</f>
        <v>9.8144182726623832</v>
      </c>
    </row>
    <row r="7442" spans="1:14">
      <c r="A7442" s="21">
        <v>2026</v>
      </c>
      <c r="B7442" s="21" t="s">
        <v>20</v>
      </c>
      <c r="C7442" s="21" t="s">
        <v>1145</v>
      </c>
      <c r="D7442" s="21" t="s">
        <v>35</v>
      </c>
      <c r="E7442" s="17" t="s">
        <v>150</v>
      </c>
      <c r="F7442" s="17" t="s">
        <v>105</v>
      </c>
      <c r="G7442" s="18" t="s">
        <v>48</v>
      </c>
      <c r="H7442" s="24">
        <v>33800</v>
      </c>
      <c r="I7442" s="24">
        <f>T_reg.root.SK[[#This Row],[Volume, kg]]/1000</f>
        <v>33.799999999999997</v>
      </c>
      <c r="J7442" s="25">
        <v>0.2029</v>
      </c>
      <c r="K7442" s="25">
        <f t="shared" si="117"/>
        <v>6858.0199999999995</v>
      </c>
      <c r="L7442" s="25">
        <v>2.37</v>
      </c>
      <c r="M7442" s="24">
        <v>79996</v>
      </c>
      <c r="N7442" s="25">
        <f>IFERROR(T_reg.root.SK[[#This Row],[Price]]/T_reg.root.SK[[#This Row],[Starch content]],"")</f>
        <v>11.680630852636767</v>
      </c>
    </row>
    <row r="7443" spans="1:14">
      <c r="A7443" s="21">
        <v>2026</v>
      </c>
      <c r="B7443" s="21" t="s">
        <v>20</v>
      </c>
      <c r="C7443" s="21" t="s">
        <v>1145</v>
      </c>
      <c r="D7443" s="21" t="s">
        <v>35</v>
      </c>
      <c r="E7443" s="17" t="s">
        <v>151</v>
      </c>
      <c r="F7443" s="17" t="s">
        <v>105</v>
      </c>
      <c r="G7443" s="18" t="s">
        <v>48</v>
      </c>
      <c r="H7443" s="24">
        <v>179160</v>
      </c>
      <c r="I7443" s="24">
        <f>T_reg.root.SK[[#This Row],[Volume, kg]]/1000</f>
        <v>179.16</v>
      </c>
      <c r="J7443" s="25">
        <v>0.24329999999999999</v>
      </c>
      <c r="K7443" s="25">
        <f t="shared" si="117"/>
        <v>43589.627999999997</v>
      </c>
      <c r="L7443" s="25">
        <v>2.57</v>
      </c>
      <c r="M7443" s="24">
        <v>460288</v>
      </c>
      <c r="N7443" s="25">
        <f>IFERROR(T_reg.root.SK[[#This Row],[Price]]/T_reg.root.SK[[#This Row],[Starch content]],"")</f>
        <v>10.563090834360871</v>
      </c>
    </row>
    <row r="7444" spans="1:14">
      <c r="A7444" s="21">
        <v>2026</v>
      </c>
      <c r="B7444" s="21" t="s">
        <v>20</v>
      </c>
      <c r="C7444" s="21" t="s">
        <v>1145</v>
      </c>
      <c r="D7444" s="21" t="s">
        <v>35</v>
      </c>
      <c r="E7444" s="17" t="s">
        <v>365</v>
      </c>
      <c r="F7444" s="17" t="s">
        <v>105</v>
      </c>
      <c r="G7444" s="18" t="s">
        <v>48</v>
      </c>
      <c r="H7444" s="24">
        <v>19410</v>
      </c>
      <c r="I7444" s="24">
        <f>T_reg.root.SK[[#This Row],[Volume, kg]]/1000</f>
        <v>19.41</v>
      </c>
      <c r="J7444" s="25">
        <v>0.23530000000000001</v>
      </c>
      <c r="K7444" s="25">
        <f t="shared" si="117"/>
        <v>4567.1729999999998</v>
      </c>
      <c r="L7444" s="25">
        <v>2.52</v>
      </c>
      <c r="M7444" s="24">
        <v>48827.5</v>
      </c>
      <c r="N7444" s="25">
        <f>IFERROR(T_reg.root.SK[[#This Row],[Price]]/T_reg.root.SK[[#This Row],[Starch content]],"")</f>
        <v>10.709732256693583</v>
      </c>
    </row>
    <row r="7445" spans="1:14">
      <c r="A7445" s="21">
        <v>2026</v>
      </c>
      <c r="B7445" s="21" t="s">
        <v>20</v>
      </c>
      <c r="C7445" s="21" t="s">
        <v>1145</v>
      </c>
      <c r="D7445" s="21" t="s">
        <v>35</v>
      </c>
      <c r="E7445" s="17" t="s">
        <v>152</v>
      </c>
      <c r="F7445" s="17" t="s">
        <v>105</v>
      </c>
      <c r="G7445" s="18" t="s">
        <v>48</v>
      </c>
      <c r="H7445" s="24">
        <v>7820</v>
      </c>
      <c r="I7445" s="24">
        <f>T_reg.root.SK[[#This Row],[Volume, kg]]/1000</f>
        <v>7.82</v>
      </c>
      <c r="J7445" s="25">
        <v>0.23800000000000002</v>
      </c>
      <c r="K7445" s="25">
        <f t="shared" si="117"/>
        <v>1861.16</v>
      </c>
      <c r="L7445" s="25">
        <v>2.5499999999999998</v>
      </c>
      <c r="M7445" s="24">
        <v>19941</v>
      </c>
      <c r="N7445" s="25">
        <f>IFERROR(T_reg.root.SK[[#This Row],[Price]]/T_reg.root.SK[[#This Row],[Starch content]],"")</f>
        <v>10.714285714285714</v>
      </c>
    </row>
    <row r="7446" spans="1:14">
      <c r="A7446" s="21">
        <v>2026</v>
      </c>
      <c r="B7446" s="21" t="s">
        <v>20</v>
      </c>
      <c r="C7446" s="21" t="s">
        <v>1145</v>
      </c>
      <c r="D7446" s="21" t="s">
        <v>35</v>
      </c>
      <c r="E7446" s="17" t="s">
        <v>153</v>
      </c>
      <c r="F7446" s="17" t="s">
        <v>105</v>
      </c>
      <c r="G7446" s="18" t="s">
        <v>48</v>
      </c>
      <c r="H7446" s="24">
        <v>5780</v>
      </c>
      <c r="I7446" s="24">
        <f>T_reg.root.SK[[#This Row],[Volume, kg]]/1000</f>
        <v>5.78</v>
      </c>
      <c r="J7446" s="25">
        <v>0.20730000000000001</v>
      </c>
      <c r="K7446" s="25">
        <f t="shared" si="117"/>
        <v>1198.194</v>
      </c>
      <c r="L7446" s="25">
        <v>2.44</v>
      </c>
      <c r="M7446" s="24">
        <v>14106.5</v>
      </c>
      <c r="N7446" s="25">
        <f>IFERROR(T_reg.root.SK[[#This Row],[Price]]/T_reg.root.SK[[#This Row],[Starch content]],"")</f>
        <v>11.770381090207428</v>
      </c>
    </row>
    <row r="7447" spans="1:14">
      <c r="A7447" s="21">
        <v>2026</v>
      </c>
      <c r="B7447" s="21" t="s">
        <v>20</v>
      </c>
      <c r="C7447" s="21" t="s">
        <v>1145</v>
      </c>
      <c r="D7447" s="21" t="s">
        <v>35</v>
      </c>
      <c r="E7447" s="17" t="s">
        <v>154</v>
      </c>
      <c r="F7447" s="17" t="s">
        <v>105</v>
      </c>
      <c r="G7447" s="18" t="s">
        <v>48</v>
      </c>
      <c r="H7447" s="24">
        <v>24110</v>
      </c>
      <c r="I7447" s="24">
        <f>T_reg.root.SK[[#This Row],[Volume, kg]]/1000</f>
        <v>24.11</v>
      </c>
      <c r="J7447" s="25">
        <v>0.27260000000000001</v>
      </c>
      <c r="K7447" s="25">
        <f t="shared" si="117"/>
        <v>6572.3860000000004</v>
      </c>
      <c r="L7447" s="25">
        <v>2.77</v>
      </c>
      <c r="M7447" s="24">
        <v>66846.5</v>
      </c>
      <c r="N7447" s="25">
        <f>IFERROR(T_reg.root.SK[[#This Row],[Price]]/T_reg.root.SK[[#This Row],[Starch content]],"")</f>
        <v>10.161408657373441</v>
      </c>
    </row>
    <row r="7448" spans="1:14">
      <c r="A7448" s="21">
        <v>2026</v>
      </c>
      <c r="B7448" s="21" t="s">
        <v>20</v>
      </c>
      <c r="C7448" s="21" t="s">
        <v>1145</v>
      </c>
      <c r="D7448" s="21" t="s">
        <v>35</v>
      </c>
      <c r="E7448" s="17" t="s">
        <v>155</v>
      </c>
      <c r="F7448" s="17" t="s">
        <v>105</v>
      </c>
      <c r="G7448" s="18" t="s">
        <v>48</v>
      </c>
      <c r="H7448" s="24">
        <v>59060</v>
      </c>
      <c r="I7448" s="24">
        <f>T_reg.root.SK[[#This Row],[Volume, kg]]/1000</f>
        <v>59.06</v>
      </c>
      <c r="J7448" s="25">
        <v>0.24280000000000002</v>
      </c>
      <c r="K7448" s="25">
        <f t="shared" si="117"/>
        <v>14339.768</v>
      </c>
      <c r="L7448" s="25">
        <v>2.6</v>
      </c>
      <c r="M7448" s="24">
        <v>153845.5</v>
      </c>
      <c r="N7448" s="25">
        <f>IFERROR(T_reg.root.SK[[#This Row],[Price]]/T_reg.root.SK[[#This Row],[Starch content]],"")</f>
        <v>10.708401976935749</v>
      </c>
    </row>
    <row r="7449" spans="1:14">
      <c r="A7449" s="21">
        <v>2026</v>
      </c>
      <c r="B7449" s="21" t="s">
        <v>20</v>
      </c>
      <c r="C7449" s="21" t="s">
        <v>1145</v>
      </c>
      <c r="D7449" s="21" t="s">
        <v>35</v>
      </c>
      <c r="E7449" s="17" t="s">
        <v>992</v>
      </c>
      <c r="F7449" s="17" t="s">
        <v>105</v>
      </c>
      <c r="G7449" s="18" t="s">
        <v>48</v>
      </c>
      <c r="H7449" s="24">
        <v>3650</v>
      </c>
      <c r="I7449" s="24">
        <f>T_reg.root.SK[[#This Row],[Volume, kg]]/1000</f>
        <v>3.65</v>
      </c>
      <c r="J7449" s="25">
        <v>0.22399999999999998</v>
      </c>
      <c r="K7449" s="25">
        <f t="shared" si="117"/>
        <v>817.59999999999991</v>
      </c>
      <c r="L7449" s="25">
        <v>2.4500000000000002</v>
      </c>
      <c r="M7449" s="24">
        <v>8942.5</v>
      </c>
      <c r="N7449" s="25">
        <f>IFERROR(T_reg.root.SK[[#This Row],[Price]]/T_reg.root.SK[[#This Row],[Starch content]],"")</f>
        <v>10.937500000000002</v>
      </c>
    </row>
    <row r="7450" spans="1:14">
      <c r="A7450" s="21">
        <v>2026</v>
      </c>
      <c r="B7450" s="21" t="s">
        <v>20</v>
      </c>
      <c r="C7450" s="21" t="s">
        <v>1145</v>
      </c>
      <c r="D7450" s="21" t="s">
        <v>39</v>
      </c>
      <c r="E7450" s="17" t="s">
        <v>552</v>
      </c>
      <c r="F7450" s="17" t="s">
        <v>95</v>
      </c>
      <c r="G7450" s="18" t="s">
        <v>48</v>
      </c>
      <c r="H7450" s="24">
        <v>2722920</v>
      </c>
      <c r="I7450" s="24">
        <f>T_reg.root.SK[[#This Row],[Volume, kg]]/1000</f>
        <v>2722.92</v>
      </c>
      <c r="J7450" s="25">
        <v>0.2475</v>
      </c>
      <c r="K7450" s="25">
        <f t="shared" si="117"/>
        <v>673922.7</v>
      </c>
      <c r="L7450" s="25">
        <v>2.98</v>
      </c>
      <c r="M7450" s="24">
        <v>8117801.5</v>
      </c>
      <c r="N7450" s="25">
        <f>IFERROR(T_reg.root.SK[[#This Row],[Price]]/T_reg.root.SK[[#This Row],[Starch content]],"")</f>
        <v>12.04040404040404</v>
      </c>
    </row>
    <row r="7451" spans="1:14">
      <c r="A7451" s="21">
        <v>2026</v>
      </c>
      <c r="B7451" s="21" t="s">
        <v>20</v>
      </c>
      <c r="C7451" s="21" t="s">
        <v>1145</v>
      </c>
      <c r="D7451" s="21" t="s">
        <v>35</v>
      </c>
      <c r="E7451" s="17" t="s">
        <v>934</v>
      </c>
      <c r="F7451" s="17" t="s">
        <v>105</v>
      </c>
      <c r="G7451" s="18" t="s">
        <v>48</v>
      </c>
      <c r="H7451" s="24">
        <v>79890</v>
      </c>
      <c r="I7451" s="24">
        <f>T_reg.root.SK[[#This Row],[Volume, kg]]/1000</f>
        <v>79.89</v>
      </c>
      <c r="J7451" s="25">
        <v>0.23139999999999999</v>
      </c>
      <c r="K7451" s="25">
        <f t="shared" si="117"/>
        <v>18486.545999999998</v>
      </c>
      <c r="L7451" s="25">
        <v>2.5099999999999998</v>
      </c>
      <c r="M7451" s="24">
        <v>200152.5</v>
      </c>
      <c r="N7451" s="25">
        <f>IFERROR(T_reg.root.SK[[#This Row],[Price]]/T_reg.root.SK[[#This Row],[Starch content]],"")</f>
        <v>10.847018150388935</v>
      </c>
    </row>
    <row r="7452" spans="1:14">
      <c r="A7452" s="21">
        <v>2026</v>
      </c>
      <c r="B7452" s="21" t="s">
        <v>20</v>
      </c>
      <c r="C7452" s="21" t="s">
        <v>1145</v>
      </c>
      <c r="D7452" s="21" t="s">
        <v>35</v>
      </c>
      <c r="E7452" s="17" t="s">
        <v>165</v>
      </c>
      <c r="F7452" s="17" t="s">
        <v>105</v>
      </c>
      <c r="G7452" s="18" t="s">
        <v>48</v>
      </c>
      <c r="H7452" s="24">
        <v>5320</v>
      </c>
      <c r="I7452" s="24">
        <f>T_reg.root.SK[[#This Row],[Volume, kg]]/1000</f>
        <v>5.32</v>
      </c>
      <c r="J7452" s="25">
        <v>0.24100000000000002</v>
      </c>
      <c r="K7452" s="25">
        <f t="shared" si="117"/>
        <v>1282.1200000000001</v>
      </c>
      <c r="L7452" s="25">
        <v>2.5499999999999998</v>
      </c>
      <c r="M7452" s="24">
        <v>13566</v>
      </c>
      <c r="N7452" s="25">
        <f>IFERROR(T_reg.root.SK[[#This Row],[Price]]/T_reg.root.SK[[#This Row],[Starch content]],"")</f>
        <v>10.580912863070537</v>
      </c>
    </row>
    <row r="7453" spans="1:14">
      <c r="A7453" s="21">
        <v>2026</v>
      </c>
      <c r="B7453" s="21" t="s">
        <v>20</v>
      </c>
      <c r="C7453" s="21" t="s">
        <v>1145</v>
      </c>
      <c r="D7453" s="21" t="s">
        <v>35</v>
      </c>
      <c r="E7453" s="17" t="s">
        <v>620</v>
      </c>
      <c r="F7453" s="17" t="s">
        <v>105</v>
      </c>
      <c r="G7453" s="18" t="s">
        <v>48</v>
      </c>
      <c r="H7453" s="24">
        <v>32010</v>
      </c>
      <c r="I7453" s="24">
        <f>T_reg.root.SK[[#This Row],[Volume, kg]]/1000</f>
        <v>32.01</v>
      </c>
      <c r="J7453" s="25">
        <v>0.2727</v>
      </c>
      <c r="K7453" s="25">
        <f t="shared" si="117"/>
        <v>8729.1270000000004</v>
      </c>
      <c r="L7453" s="25">
        <v>2.71</v>
      </c>
      <c r="M7453" s="24">
        <v>86882</v>
      </c>
      <c r="N7453" s="25">
        <f>IFERROR(T_reg.root.SK[[#This Row],[Price]]/T_reg.root.SK[[#This Row],[Starch content]],"")</f>
        <v>9.9376604327099383</v>
      </c>
    </row>
    <row r="7454" spans="1:14">
      <c r="A7454" s="21">
        <v>2026</v>
      </c>
      <c r="B7454" s="21" t="s">
        <v>20</v>
      </c>
      <c r="C7454" s="21" t="s">
        <v>1145</v>
      </c>
      <c r="D7454" s="21" t="s">
        <v>35</v>
      </c>
      <c r="E7454" s="17" t="s">
        <v>173</v>
      </c>
      <c r="F7454" s="17" t="s">
        <v>105</v>
      </c>
      <c r="G7454" s="18" t="s">
        <v>48</v>
      </c>
      <c r="H7454" s="24">
        <v>23190</v>
      </c>
      <c r="I7454" s="24">
        <f>T_reg.root.SK[[#This Row],[Volume, kg]]/1000</f>
        <v>23.19</v>
      </c>
      <c r="J7454" s="25">
        <v>0.26719999999999999</v>
      </c>
      <c r="K7454" s="25">
        <f t="shared" si="117"/>
        <v>6196.3679999999995</v>
      </c>
      <c r="L7454" s="25">
        <v>2.67</v>
      </c>
      <c r="M7454" s="24">
        <v>61906.5</v>
      </c>
      <c r="N7454" s="25">
        <f>IFERROR(T_reg.root.SK[[#This Row],[Price]]/T_reg.root.SK[[#This Row],[Starch content]],"")</f>
        <v>9.9925149700598794</v>
      </c>
    </row>
    <row r="7455" spans="1:14">
      <c r="A7455" s="21">
        <v>2026</v>
      </c>
      <c r="B7455" s="21" t="s">
        <v>20</v>
      </c>
      <c r="C7455" s="21" t="s">
        <v>1145</v>
      </c>
      <c r="D7455" s="21" t="s">
        <v>35</v>
      </c>
      <c r="E7455" s="17" t="s">
        <v>324</v>
      </c>
      <c r="F7455" s="17" t="s">
        <v>105</v>
      </c>
      <c r="G7455" s="18" t="s">
        <v>48</v>
      </c>
      <c r="H7455" s="24">
        <v>44890</v>
      </c>
      <c r="I7455" s="24">
        <f>T_reg.root.SK[[#This Row],[Volume, kg]]/1000</f>
        <v>44.89</v>
      </c>
      <c r="J7455" s="25">
        <v>0.2535</v>
      </c>
      <c r="K7455" s="25">
        <f t="shared" si="117"/>
        <v>11379.615</v>
      </c>
      <c r="L7455" s="25">
        <v>2.62</v>
      </c>
      <c r="M7455" s="24">
        <v>117692</v>
      </c>
      <c r="N7455" s="25">
        <f>IFERROR(T_reg.root.SK[[#This Row],[Price]]/T_reg.root.SK[[#This Row],[Starch content]],"")</f>
        <v>10.335305719921104</v>
      </c>
    </row>
    <row r="7456" spans="1:14">
      <c r="A7456" s="21">
        <v>2026</v>
      </c>
      <c r="B7456" s="21" t="s">
        <v>20</v>
      </c>
      <c r="C7456" s="21" t="s">
        <v>1145</v>
      </c>
      <c r="D7456" s="21" t="s">
        <v>35</v>
      </c>
      <c r="E7456" s="17" t="s">
        <v>691</v>
      </c>
      <c r="F7456" s="17" t="s">
        <v>187</v>
      </c>
      <c r="G7456" s="18" t="s">
        <v>48</v>
      </c>
      <c r="H7456" s="24">
        <v>8250</v>
      </c>
      <c r="I7456" s="24">
        <f>T_reg.root.SK[[#This Row],[Volume, kg]]/1000</f>
        <v>8.25</v>
      </c>
      <c r="J7456" s="25">
        <v>0.23800000000000002</v>
      </c>
      <c r="K7456" s="25">
        <f t="shared" si="117"/>
        <v>1963.5000000000002</v>
      </c>
      <c r="L7456" s="25">
        <v>2.75</v>
      </c>
      <c r="M7456" s="24">
        <v>22687.5</v>
      </c>
      <c r="N7456" s="25">
        <f>IFERROR(T_reg.root.SK[[#This Row],[Price]]/T_reg.root.SK[[#This Row],[Starch content]],"")</f>
        <v>11.554621848739496</v>
      </c>
    </row>
    <row r="7457" spans="1:14">
      <c r="A7457" s="21">
        <v>2026</v>
      </c>
      <c r="B7457" s="21" t="s">
        <v>20</v>
      </c>
      <c r="C7457" s="21" t="s">
        <v>1145</v>
      </c>
      <c r="D7457" s="21" t="s">
        <v>35</v>
      </c>
      <c r="E7457" s="17" t="s">
        <v>935</v>
      </c>
      <c r="F7457" s="17" t="s">
        <v>105</v>
      </c>
      <c r="G7457" s="18" t="s">
        <v>48</v>
      </c>
      <c r="H7457" s="24">
        <v>20310</v>
      </c>
      <c r="I7457" s="24">
        <f>T_reg.root.SK[[#This Row],[Volume, kg]]/1000</f>
        <v>20.309999999999999</v>
      </c>
      <c r="J7457" s="25">
        <v>0.25009999999999999</v>
      </c>
      <c r="K7457" s="25">
        <f t="shared" si="117"/>
        <v>5079.5309999999999</v>
      </c>
      <c r="L7457" s="25">
        <v>2.61</v>
      </c>
      <c r="M7457" s="24">
        <v>52937.5</v>
      </c>
      <c r="N7457" s="25">
        <f>IFERROR(T_reg.root.SK[[#This Row],[Price]]/T_reg.root.SK[[#This Row],[Starch content]],"")</f>
        <v>10.435825669732107</v>
      </c>
    </row>
    <row r="7458" spans="1:14">
      <c r="A7458" s="21">
        <v>2026</v>
      </c>
      <c r="B7458" s="21" t="s">
        <v>20</v>
      </c>
      <c r="C7458" s="21" t="s">
        <v>1145</v>
      </c>
      <c r="D7458" s="21" t="s">
        <v>35</v>
      </c>
      <c r="E7458" s="17" t="s">
        <v>938</v>
      </c>
      <c r="F7458" s="17" t="s">
        <v>105</v>
      </c>
      <c r="G7458" s="18" t="s">
        <v>48</v>
      </c>
      <c r="H7458" s="24">
        <v>120810</v>
      </c>
      <c r="I7458" s="24">
        <f>T_reg.root.SK[[#This Row],[Volume, kg]]/1000</f>
        <v>120.81</v>
      </c>
      <c r="J7458" s="25">
        <v>0.23860000000000001</v>
      </c>
      <c r="K7458" s="25">
        <f t="shared" si="117"/>
        <v>28825.266</v>
      </c>
      <c r="L7458" s="25">
        <v>2.56</v>
      </c>
      <c r="M7458" s="24">
        <v>309235.5</v>
      </c>
      <c r="N7458" s="25">
        <f>IFERROR(T_reg.root.SK[[#This Row],[Price]]/T_reg.root.SK[[#This Row],[Starch content]],"")</f>
        <v>10.729253981559095</v>
      </c>
    </row>
    <row r="7459" spans="1:14">
      <c r="A7459" s="21">
        <v>2026</v>
      </c>
      <c r="B7459" s="21" t="s">
        <v>20</v>
      </c>
      <c r="C7459" s="21" t="s">
        <v>1145</v>
      </c>
      <c r="D7459" s="21" t="s">
        <v>35</v>
      </c>
      <c r="E7459" s="17" t="s">
        <v>968</v>
      </c>
      <c r="F7459" s="17" t="s">
        <v>105</v>
      </c>
      <c r="G7459" s="18" t="s">
        <v>48</v>
      </c>
      <c r="H7459" s="24">
        <v>27010</v>
      </c>
      <c r="I7459" s="24">
        <f>T_reg.root.SK[[#This Row],[Volume, kg]]/1000</f>
        <v>27.01</v>
      </c>
      <c r="J7459" s="25">
        <v>0.25109999999999999</v>
      </c>
      <c r="K7459" s="25">
        <f t="shared" si="117"/>
        <v>6782.2109999999993</v>
      </c>
      <c r="L7459" s="25">
        <v>2.65</v>
      </c>
      <c r="M7459" s="24">
        <v>71587.5</v>
      </c>
      <c r="N7459" s="25">
        <f>IFERROR(T_reg.root.SK[[#This Row],[Price]]/T_reg.root.SK[[#This Row],[Starch content]],"")</f>
        <v>10.553564317005177</v>
      </c>
    </row>
    <row r="7460" spans="1:14">
      <c r="A7460" s="21">
        <v>2026</v>
      </c>
      <c r="B7460" s="21" t="s">
        <v>20</v>
      </c>
      <c r="C7460" s="21" t="s">
        <v>1145</v>
      </c>
      <c r="D7460" s="21" t="s">
        <v>35</v>
      </c>
      <c r="E7460" s="17" t="s">
        <v>980</v>
      </c>
      <c r="F7460" s="17" t="s">
        <v>105</v>
      </c>
      <c r="G7460" s="18" t="s">
        <v>48</v>
      </c>
      <c r="H7460" s="24">
        <v>109320</v>
      </c>
      <c r="I7460" s="24">
        <f>T_reg.root.SK[[#This Row],[Volume, kg]]/1000</f>
        <v>109.32</v>
      </c>
      <c r="J7460" s="25">
        <v>0.27010000000000001</v>
      </c>
      <c r="K7460" s="25">
        <f t="shared" si="117"/>
        <v>29527.332000000002</v>
      </c>
      <c r="L7460" s="25">
        <v>2.7</v>
      </c>
      <c r="M7460" s="24">
        <v>294977</v>
      </c>
      <c r="N7460" s="25">
        <f>IFERROR(T_reg.root.SK[[#This Row],[Price]]/T_reg.root.SK[[#This Row],[Starch content]],"")</f>
        <v>9.9962976675305448</v>
      </c>
    </row>
    <row r="7461" spans="1:14">
      <c r="A7461" s="21">
        <v>2026</v>
      </c>
      <c r="B7461" s="21" t="s">
        <v>20</v>
      </c>
      <c r="C7461" s="21" t="s">
        <v>1145</v>
      </c>
      <c r="D7461" s="21" t="s">
        <v>35</v>
      </c>
      <c r="E7461" s="17" t="s">
        <v>1079</v>
      </c>
      <c r="F7461" s="17" t="s">
        <v>105</v>
      </c>
      <c r="G7461" s="18" t="s">
        <v>48</v>
      </c>
      <c r="H7461" s="24">
        <v>15790</v>
      </c>
      <c r="I7461" s="24">
        <f>T_reg.root.SK[[#This Row],[Volume, kg]]/1000</f>
        <v>15.79</v>
      </c>
      <c r="J7461" s="25">
        <v>0.23280000000000001</v>
      </c>
      <c r="K7461" s="25">
        <f t="shared" si="117"/>
        <v>3675.9120000000003</v>
      </c>
      <c r="L7461" s="25">
        <v>2.5099999999999998</v>
      </c>
      <c r="M7461" s="24">
        <v>39651</v>
      </c>
      <c r="N7461" s="25">
        <f>IFERROR(T_reg.root.SK[[#This Row],[Price]]/T_reg.root.SK[[#This Row],[Starch content]],"")</f>
        <v>10.781786941580755</v>
      </c>
    </row>
    <row r="7462" spans="1:14">
      <c r="A7462" s="21">
        <v>2026</v>
      </c>
      <c r="B7462" s="21" t="s">
        <v>20</v>
      </c>
      <c r="C7462" s="21" t="s">
        <v>1145</v>
      </c>
      <c r="D7462" s="21" t="s">
        <v>39</v>
      </c>
      <c r="E7462" s="17" t="s">
        <v>1109</v>
      </c>
      <c r="F7462" s="17" t="s">
        <v>1110</v>
      </c>
      <c r="G7462" s="18" t="s">
        <v>48</v>
      </c>
      <c r="H7462" s="24">
        <v>2695120</v>
      </c>
      <c r="I7462" s="24">
        <f>T_reg.root.SK[[#This Row],[Volume, kg]]/1000</f>
        <v>2695.12</v>
      </c>
      <c r="J7462" s="25">
        <v>0.25379999999999997</v>
      </c>
      <c r="K7462" s="25">
        <f t="shared" si="117"/>
        <v>684021.45599999989</v>
      </c>
      <c r="L7462" s="25">
        <v>3</v>
      </c>
      <c r="M7462" s="24">
        <v>8087374</v>
      </c>
      <c r="N7462" s="25">
        <f>IFERROR(T_reg.root.SK[[#This Row],[Price]]/T_reg.root.SK[[#This Row],[Starch content]],"")</f>
        <v>11.820330969267141</v>
      </c>
    </row>
    <row r="7463" spans="1:14">
      <c r="A7463" s="21">
        <v>2026</v>
      </c>
      <c r="B7463" s="21" t="s">
        <v>20</v>
      </c>
      <c r="C7463" s="21" t="s">
        <v>1145</v>
      </c>
      <c r="D7463" s="21" t="s">
        <v>35</v>
      </c>
      <c r="E7463" s="17" t="s">
        <v>1118</v>
      </c>
      <c r="F7463" s="17" t="s">
        <v>105</v>
      </c>
      <c r="G7463" s="18" t="s">
        <v>48</v>
      </c>
      <c r="H7463" s="24">
        <v>25460</v>
      </c>
      <c r="I7463" s="24">
        <f>T_reg.root.SK[[#This Row],[Volume, kg]]/1000</f>
        <v>25.46</v>
      </c>
      <c r="J7463" s="25">
        <v>0.21539999999999998</v>
      </c>
      <c r="K7463" s="25">
        <f t="shared" si="117"/>
        <v>5484.0839999999998</v>
      </c>
      <c r="L7463" s="25">
        <v>2.42</v>
      </c>
      <c r="M7463" s="24">
        <v>61621.5</v>
      </c>
      <c r="N7463" s="25">
        <f>IFERROR(T_reg.root.SK[[#This Row],[Price]]/T_reg.root.SK[[#This Row],[Starch content]],"")</f>
        <v>11.234911792014858</v>
      </c>
    </row>
    <row r="7464" spans="1:14">
      <c r="A7464" s="21">
        <v>2026</v>
      </c>
      <c r="B7464" s="21" t="s">
        <v>20</v>
      </c>
      <c r="C7464" s="21" t="s">
        <v>1145</v>
      </c>
      <c r="D7464" s="21" t="s">
        <v>35</v>
      </c>
      <c r="E7464" s="17" t="s">
        <v>174</v>
      </c>
      <c r="F7464" s="17" t="s">
        <v>105</v>
      </c>
      <c r="G7464" s="18" t="s">
        <v>48</v>
      </c>
      <c r="H7464" s="24">
        <v>51640</v>
      </c>
      <c r="I7464" s="24">
        <f>T_reg.root.SK[[#This Row],[Volume, kg]]/1000</f>
        <v>51.64</v>
      </c>
      <c r="J7464" s="25">
        <v>0.253</v>
      </c>
      <c r="K7464" s="25">
        <f t="shared" si="117"/>
        <v>13064.92</v>
      </c>
      <c r="L7464" s="25">
        <v>2.61</v>
      </c>
      <c r="M7464" s="24">
        <v>134628</v>
      </c>
      <c r="N7464" s="25">
        <f>IFERROR(T_reg.root.SK[[#This Row],[Price]]/T_reg.root.SK[[#This Row],[Starch content]],"")</f>
        <v>10.316205533596838</v>
      </c>
    </row>
    <row r="7465" spans="1:14">
      <c r="A7465" s="21">
        <v>2026</v>
      </c>
      <c r="B7465" s="21" t="s">
        <v>20</v>
      </c>
      <c r="C7465" s="21" t="s">
        <v>1145</v>
      </c>
      <c r="D7465" s="21" t="s">
        <v>39</v>
      </c>
      <c r="E7465" s="17" t="s">
        <v>88</v>
      </c>
      <c r="F7465" s="17" t="s">
        <v>89</v>
      </c>
      <c r="G7465" s="18" t="s">
        <v>90</v>
      </c>
      <c r="H7465" s="24">
        <v>6632220</v>
      </c>
      <c r="I7465" s="24">
        <f>T_reg.root.SK[[#This Row],[Volume, kg]]/1000</f>
        <v>6632.22</v>
      </c>
      <c r="J7465" s="25">
        <v>0.2535</v>
      </c>
      <c r="K7465" s="25">
        <f t="shared" si="117"/>
        <v>1681267.77</v>
      </c>
      <c r="L7465" s="25">
        <v>3.04</v>
      </c>
      <c r="M7465" s="24">
        <v>20173228.5</v>
      </c>
      <c r="N7465" s="25">
        <f>IFERROR(T_reg.root.SK[[#This Row],[Price]]/T_reg.root.SK[[#This Row],[Starch content]],"")</f>
        <v>11.992110453648916</v>
      </c>
    </row>
    <row r="7466" spans="1:14">
      <c r="A7466" s="21">
        <v>2026</v>
      </c>
      <c r="B7466" s="21" t="s">
        <v>20</v>
      </c>
      <c r="C7466" s="21" t="s">
        <v>1145</v>
      </c>
      <c r="D7466" s="21" t="s">
        <v>39</v>
      </c>
      <c r="E7466" s="17" t="s">
        <v>1054</v>
      </c>
      <c r="F7466" s="17" t="s">
        <v>1055</v>
      </c>
      <c r="G7466" s="18" t="s">
        <v>103</v>
      </c>
      <c r="H7466" s="24">
        <v>710730</v>
      </c>
      <c r="I7466" s="24">
        <f>T_reg.root.SK[[#This Row],[Volume, kg]]/1000</f>
        <v>710.73</v>
      </c>
      <c r="J7466" s="25">
        <v>0.248</v>
      </c>
      <c r="K7466" s="25">
        <f t="shared" si="117"/>
        <v>176261.04</v>
      </c>
      <c r="L7466" s="25">
        <v>2.99</v>
      </c>
      <c r="M7466" s="24">
        <v>2123285.5</v>
      </c>
      <c r="N7466" s="25">
        <f>IFERROR(T_reg.root.SK[[#This Row],[Price]]/T_reg.root.SK[[#This Row],[Starch content]],"")</f>
        <v>12.056451612903226</v>
      </c>
    </row>
    <row r="7467" spans="1:14">
      <c r="A7467" s="21">
        <v>2026</v>
      </c>
      <c r="B7467" s="21" t="s">
        <v>20</v>
      </c>
      <c r="C7467" s="21" t="s">
        <v>1145</v>
      </c>
      <c r="D7467" s="21" t="s">
        <v>35</v>
      </c>
      <c r="E7467" s="17" t="s">
        <v>176</v>
      </c>
      <c r="F7467" s="17" t="s">
        <v>105</v>
      </c>
      <c r="G7467" s="18" t="s">
        <v>48</v>
      </c>
      <c r="H7467" s="24">
        <v>50110</v>
      </c>
      <c r="I7467" s="24">
        <f>T_reg.root.SK[[#This Row],[Volume, kg]]/1000</f>
        <v>50.11</v>
      </c>
      <c r="J7467" s="25">
        <v>0.25640000000000002</v>
      </c>
      <c r="K7467" s="25">
        <f t="shared" si="117"/>
        <v>12848.204000000002</v>
      </c>
      <c r="L7467" s="25">
        <v>2.67</v>
      </c>
      <c r="M7467" s="24">
        <v>134002.5</v>
      </c>
      <c r="N7467" s="25">
        <f>IFERROR(T_reg.root.SK[[#This Row],[Price]]/T_reg.root.SK[[#This Row],[Starch content]],"")</f>
        <v>10.413416536661465</v>
      </c>
    </row>
    <row r="7468" spans="1:14">
      <c r="A7468" s="21">
        <v>2026</v>
      </c>
      <c r="B7468" s="21" t="s">
        <v>20</v>
      </c>
      <c r="C7468" s="21" t="s">
        <v>1145</v>
      </c>
      <c r="D7468" s="21" t="s">
        <v>35</v>
      </c>
      <c r="E7468" s="17" t="s">
        <v>605</v>
      </c>
      <c r="F7468" s="17" t="s">
        <v>105</v>
      </c>
      <c r="G7468" s="18" t="s">
        <v>48</v>
      </c>
      <c r="H7468" s="24">
        <v>81410</v>
      </c>
      <c r="I7468" s="24">
        <f>T_reg.root.SK[[#This Row],[Volume, kg]]/1000</f>
        <v>81.41</v>
      </c>
      <c r="J7468" s="25">
        <v>0.26679999999999998</v>
      </c>
      <c r="K7468" s="25">
        <f t="shared" si="117"/>
        <v>21720.187999999998</v>
      </c>
      <c r="L7468" s="25">
        <v>2.68</v>
      </c>
      <c r="M7468" s="24">
        <v>218581.5</v>
      </c>
      <c r="N7468" s="25">
        <f>IFERROR(T_reg.root.SK[[#This Row],[Price]]/T_reg.root.SK[[#This Row],[Starch content]],"")</f>
        <v>10.04497751124438</v>
      </c>
    </row>
    <row r="7469" spans="1:14">
      <c r="A7469" s="21">
        <v>2026</v>
      </c>
      <c r="B7469" s="21" t="s">
        <v>20</v>
      </c>
      <c r="C7469" s="21" t="s">
        <v>1145</v>
      </c>
      <c r="D7469" s="21" t="s">
        <v>35</v>
      </c>
      <c r="E7469" s="17" t="s">
        <v>182</v>
      </c>
      <c r="F7469" s="17" t="s">
        <v>105</v>
      </c>
      <c r="G7469" s="18" t="s">
        <v>48</v>
      </c>
      <c r="H7469" s="24">
        <v>5810</v>
      </c>
      <c r="I7469" s="24">
        <f>T_reg.root.SK[[#This Row],[Volume, kg]]/1000</f>
        <v>5.81</v>
      </c>
      <c r="J7469" s="25">
        <v>0.22800000000000001</v>
      </c>
      <c r="K7469" s="25">
        <f t="shared" si="117"/>
        <v>1324.68</v>
      </c>
      <c r="L7469" s="25">
        <v>2.5</v>
      </c>
      <c r="M7469" s="24">
        <v>14525</v>
      </c>
      <c r="N7469" s="25">
        <f>IFERROR(T_reg.root.SK[[#This Row],[Price]]/T_reg.root.SK[[#This Row],[Starch content]],"")</f>
        <v>10.964912280701753</v>
      </c>
    </row>
    <row r="7470" spans="1:14">
      <c r="A7470" s="21">
        <v>2026</v>
      </c>
      <c r="B7470" s="21" t="s">
        <v>20</v>
      </c>
      <c r="C7470" s="21" t="s">
        <v>1145</v>
      </c>
      <c r="D7470" s="21" t="s">
        <v>35</v>
      </c>
      <c r="E7470" s="17" t="s">
        <v>410</v>
      </c>
      <c r="F7470" s="17" t="s">
        <v>187</v>
      </c>
      <c r="G7470" s="18" t="s">
        <v>48</v>
      </c>
      <c r="H7470" s="24">
        <v>8820</v>
      </c>
      <c r="I7470" s="24">
        <f>T_reg.root.SK[[#This Row],[Volume, kg]]/1000</f>
        <v>8.82</v>
      </c>
      <c r="J7470" s="25">
        <v>0.28850000000000003</v>
      </c>
      <c r="K7470" s="25">
        <f t="shared" si="117"/>
        <v>2544.5700000000002</v>
      </c>
      <c r="L7470" s="25">
        <v>2.8</v>
      </c>
      <c r="M7470" s="24">
        <v>24696</v>
      </c>
      <c r="N7470" s="25">
        <f>IFERROR(T_reg.root.SK[[#This Row],[Price]]/T_reg.root.SK[[#This Row],[Starch content]],"")</f>
        <v>9.7053726169844001</v>
      </c>
    </row>
    <row r="7471" spans="1:14">
      <c r="A7471" s="21">
        <v>2026</v>
      </c>
      <c r="B7471" s="21" t="s">
        <v>20</v>
      </c>
      <c r="C7471" s="21" t="s">
        <v>1145</v>
      </c>
      <c r="D7471" s="21" t="s">
        <v>35</v>
      </c>
      <c r="E7471" s="17" t="s">
        <v>772</v>
      </c>
      <c r="F7471" s="17" t="s">
        <v>105</v>
      </c>
      <c r="G7471" s="18" t="s">
        <v>48</v>
      </c>
      <c r="H7471" s="24">
        <v>140480</v>
      </c>
      <c r="I7471" s="24">
        <f>T_reg.root.SK[[#This Row],[Volume, kg]]/1000</f>
        <v>140.47999999999999</v>
      </c>
      <c r="J7471" s="25">
        <v>0.29559999999999997</v>
      </c>
      <c r="K7471" s="25">
        <f t="shared" ref="K7471:K7534" si="118">H7471*J7471</f>
        <v>41525.887999999999</v>
      </c>
      <c r="L7471" s="25">
        <v>2.83</v>
      </c>
      <c r="M7471" s="24">
        <v>397346</v>
      </c>
      <c r="N7471" s="25">
        <f>IFERROR(T_reg.root.SK[[#This Row],[Price]]/T_reg.root.SK[[#This Row],[Starch content]],"")</f>
        <v>9.573748308525035</v>
      </c>
    </row>
    <row r="7472" spans="1:14">
      <c r="A7472" s="21">
        <v>2026</v>
      </c>
      <c r="B7472" s="21" t="s">
        <v>20</v>
      </c>
      <c r="C7472" s="21" t="s">
        <v>1145</v>
      </c>
      <c r="D7472" s="21" t="s">
        <v>35</v>
      </c>
      <c r="E7472" s="17" t="s">
        <v>640</v>
      </c>
      <c r="F7472" s="17" t="s">
        <v>105</v>
      </c>
      <c r="G7472" s="18" t="s">
        <v>48</v>
      </c>
      <c r="H7472" s="24">
        <v>91320</v>
      </c>
      <c r="I7472" s="24">
        <f>T_reg.root.SK[[#This Row],[Volume, kg]]/1000</f>
        <v>91.32</v>
      </c>
      <c r="J7472" s="25">
        <v>0.25340000000000001</v>
      </c>
      <c r="K7472" s="25">
        <f t="shared" si="118"/>
        <v>23140.488000000001</v>
      </c>
      <c r="L7472" s="25">
        <v>2.65</v>
      </c>
      <c r="M7472" s="24">
        <v>241906</v>
      </c>
      <c r="N7472" s="25">
        <f>IFERROR(T_reg.root.SK[[#This Row],[Price]]/T_reg.root.SK[[#This Row],[Starch content]],"")</f>
        <v>10.457774269928965</v>
      </c>
    </row>
    <row r="7473" spans="1:14">
      <c r="A7473" s="21">
        <v>2026</v>
      </c>
      <c r="B7473" s="21" t="s">
        <v>20</v>
      </c>
      <c r="C7473" s="21" t="s">
        <v>1145</v>
      </c>
      <c r="D7473" s="21" t="s">
        <v>35</v>
      </c>
      <c r="E7473" s="17" t="s">
        <v>641</v>
      </c>
      <c r="F7473" s="17" t="s">
        <v>105</v>
      </c>
      <c r="G7473" s="18" t="s">
        <v>48</v>
      </c>
      <c r="H7473" s="24">
        <v>0</v>
      </c>
      <c r="I7473" s="24">
        <f>T_reg.root.SK[[#This Row],[Volume, kg]]/1000</f>
        <v>0</v>
      </c>
      <c r="J7473" s="25">
        <v>0</v>
      </c>
      <c r="K7473" s="25">
        <f t="shared" si="118"/>
        <v>0</v>
      </c>
      <c r="L7473" s="25">
        <v>0</v>
      </c>
      <c r="M7473" s="24">
        <v>0</v>
      </c>
      <c r="N7473" s="25" t="str">
        <f>IFERROR(T_reg.root.SK[[#This Row],[Price]]/T_reg.root.SK[[#This Row],[Starch content]],"")</f>
        <v/>
      </c>
    </row>
    <row r="7474" spans="1:14">
      <c r="A7474" s="21">
        <v>2026</v>
      </c>
      <c r="B7474" s="21" t="s">
        <v>20</v>
      </c>
      <c r="C7474" s="21" t="s">
        <v>1145</v>
      </c>
      <c r="D7474" s="21" t="s">
        <v>35</v>
      </c>
      <c r="E7474" s="17" t="s">
        <v>1067</v>
      </c>
      <c r="F7474" s="17" t="s">
        <v>105</v>
      </c>
      <c r="G7474" s="18" t="s">
        <v>48</v>
      </c>
      <c r="H7474" s="24">
        <v>6550</v>
      </c>
      <c r="I7474" s="24">
        <f>T_reg.root.SK[[#This Row],[Volume, kg]]/1000</f>
        <v>6.55</v>
      </c>
      <c r="J7474" s="25">
        <v>0.27500000000000002</v>
      </c>
      <c r="K7474" s="25">
        <f t="shared" si="118"/>
        <v>1801.2500000000002</v>
      </c>
      <c r="L7474" s="25">
        <v>2.75</v>
      </c>
      <c r="M7474" s="24">
        <v>18012.5</v>
      </c>
      <c r="N7474" s="25">
        <f>IFERROR(T_reg.root.SK[[#This Row],[Price]]/T_reg.root.SK[[#This Row],[Starch content]],"")</f>
        <v>10</v>
      </c>
    </row>
    <row r="7475" spans="1:14">
      <c r="A7475" s="21">
        <v>2026</v>
      </c>
      <c r="B7475" s="21" t="s">
        <v>20</v>
      </c>
      <c r="C7475" s="21" t="s">
        <v>1145</v>
      </c>
      <c r="D7475" s="21" t="s">
        <v>35</v>
      </c>
      <c r="E7475" s="17" t="s">
        <v>1101</v>
      </c>
      <c r="F7475" s="17" t="s">
        <v>105</v>
      </c>
      <c r="G7475" s="18" t="s">
        <v>48</v>
      </c>
      <c r="H7475" s="24">
        <v>6510</v>
      </c>
      <c r="I7475" s="24">
        <f>T_reg.root.SK[[#This Row],[Volume, kg]]/1000</f>
        <v>6.51</v>
      </c>
      <c r="J7475" s="25">
        <v>0.2505</v>
      </c>
      <c r="K7475" s="25">
        <f t="shared" si="118"/>
        <v>1630.7550000000001</v>
      </c>
      <c r="L7475" s="25">
        <v>2.6</v>
      </c>
      <c r="M7475" s="24">
        <v>16926</v>
      </c>
      <c r="N7475" s="25">
        <f>IFERROR(T_reg.root.SK[[#This Row],[Price]]/T_reg.root.SK[[#This Row],[Starch content]],"")</f>
        <v>10.379241516966069</v>
      </c>
    </row>
    <row r="7476" spans="1:14">
      <c r="A7476" s="21">
        <v>2026</v>
      </c>
      <c r="B7476" s="21" t="s">
        <v>20</v>
      </c>
      <c r="C7476" s="21" t="s">
        <v>1145</v>
      </c>
      <c r="D7476" s="21" t="s">
        <v>39</v>
      </c>
      <c r="E7476" s="17" t="s">
        <v>1108</v>
      </c>
      <c r="F7476" s="17" t="s">
        <v>37</v>
      </c>
      <c r="G7476" s="18" t="s">
        <v>38</v>
      </c>
      <c r="H7476" s="24">
        <v>886650</v>
      </c>
      <c r="I7476" s="24">
        <f>T_reg.root.SK[[#This Row],[Volume, kg]]/1000</f>
        <v>886.65</v>
      </c>
      <c r="J7476" s="25">
        <v>0.26429999999999998</v>
      </c>
      <c r="K7476" s="25">
        <f t="shared" si="118"/>
        <v>234341.59499999997</v>
      </c>
      <c r="L7476" s="25">
        <v>3.04</v>
      </c>
      <c r="M7476" s="24">
        <v>2696372</v>
      </c>
      <c r="N7476" s="25">
        <f>IFERROR(T_reg.root.SK[[#This Row],[Price]]/T_reg.root.SK[[#This Row],[Starch content]],"")</f>
        <v>11.502080968596292</v>
      </c>
    </row>
    <row r="7477" spans="1:14">
      <c r="A7477" s="21">
        <v>2026</v>
      </c>
      <c r="B7477" s="21" t="s">
        <v>21</v>
      </c>
      <c r="C7477" s="21" t="s">
        <v>1145</v>
      </c>
      <c r="D7477" s="21" t="s">
        <v>35</v>
      </c>
      <c r="E7477" s="17" t="s">
        <v>287</v>
      </c>
      <c r="F7477" s="17" t="s">
        <v>105</v>
      </c>
      <c r="G7477" s="18" t="s">
        <v>48</v>
      </c>
      <c r="H7477" s="24">
        <v>4100</v>
      </c>
      <c r="I7477" s="24">
        <f>T_reg.root.SK[[#This Row],[Volume, kg]]/1000</f>
        <v>4.0999999999999996</v>
      </c>
      <c r="J7477" s="25">
        <v>0.23050000000000001</v>
      </c>
      <c r="K7477" s="25">
        <f t="shared" si="118"/>
        <v>945.05000000000007</v>
      </c>
      <c r="L7477" s="25">
        <v>2.7</v>
      </c>
      <c r="M7477" s="24">
        <v>11070</v>
      </c>
      <c r="N7477" s="25">
        <f>IFERROR(T_reg.root.SK[[#This Row],[Price]]/T_reg.root.SK[[#This Row],[Starch content]],"")</f>
        <v>11.713665943600867</v>
      </c>
    </row>
    <row r="7478" spans="1:14">
      <c r="A7478" s="21">
        <v>2026</v>
      </c>
      <c r="B7478" s="21" t="s">
        <v>21</v>
      </c>
      <c r="C7478" s="21" t="s">
        <v>1145</v>
      </c>
      <c r="D7478" s="21" t="s">
        <v>35</v>
      </c>
      <c r="E7478" s="17" t="s">
        <v>733</v>
      </c>
      <c r="F7478" s="17" t="s">
        <v>105</v>
      </c>
      <c r="G7478" s="18" t="s">
        <v>48</v>
      </c>
      <c r="H7478" s="24">
        <v>2290</v>
      </c>
      <c r="I7478" s="24">
        <f>T_reg.root.SK[[#This Row],[Volume, kg]]/1000</f>
        <v>2.29</v>
      </c>
      <c r="J7478" s="25">
        <v>0.215</v>
      </c>
      <c r="K7478" s="25">
        <f t="shared" si="118"/>
        <v>492.34999999999997</v>
      </c>
      <c r="L7478" s="25">
        <v>2.65</v>
      </c>
      <c r="M7478" s="24">
        <v>6068.5</v>
      </c>
      <c r="N7478" s="25">
        <f>IFERROR(T_reg.root.SK[[#This Row],[Price]]/T_reg.root.SK[[#This Row],[Starch content]],"")</f>
        <v>12.325581395348838</v>
      </c>
    </row>
    <row r="7479" spans="1:14">
      <c r="A7479" s="21">
        <v>2026</v>
      </c>
      <c r="B7479" s="21" t="s">
        <v>21</v>
      </c>
      <c r="C7479" s="21" t="s">
        <v>1145</v>
      </c>
      <c r="D7479" s="21" t="s">
        <v>39</v>
      </c>
      <c r="E7479" s="17" t="s">
        <v>1058</v>
      </c>
      <c r="F7479" s="17" t="s">
        <v>227</v>
      </c>
      <c r="G7479" s="18" t="s">
        <v>42</v>
      </c>
      <c r="H7479" s="24">
        <v>200990</v>
      </c>
      <c r="I7479" s="24">
        <f>T_reg.root.SK[[#This Row],[Volume, kg]]/1000</f>
        <v>200.99</v>
      </c>
      <c r="J7479" s="25">
        <v>0.2379</v>
      </c>
      <c r="K7479" s="25">
        <f t="shared" si="118"/>
        <v>47815.521000000001</v>
      </c>
      <c r="L7479" s="25">
        <v>3.19</v>
      </c>
      <c r="M7479" s="24">
        <v>641713</v>
      </c>
      <c r="N7479" s="25">
        <f>IFERROR(T_reg.root.SK[[#This Row],[Price]]/T_reg.root.SK[[#This Row],[Starch content]],"")</f>
        <v>13.408995376208491</v>
      </c>
    </row>
    <row r="7480" spans="1:14">
      <c r="A7480" s="21">
        <v>2026</v>
      </c>
      <c r="B7480" s="21" t="s">
        <v>21</v>
      </c>
      <c r="C7480" s="21" t="s">
        <v>1145</v>
      </c>
      <c r="D7480" s="21" t="s">
        <v>35</v>
      </c>
      <c r="E7480" s="17" t="s">
        <v>289</v>
      </c>
      <c r="F7480" s="17" t="s">
        <v>105</v>
      </c>
      <c r="G7480" s="18" t="s">
        <v>48</v>
      </c>
      <c r="H7480" s="24">
        <v>8340</v>
      </c>
      <c r="I7480" s="24">
        <f>T_reg.root.SK[[#This Row],[Volume, kg]]/1000</f>
        <v>8.34</v>
      </c>
      <c r="J7480" s="25">
        <v>0.19900000000000001</v>
      </c>
      <c r="K7480" s="25">
        <f t="shared" si="118"/>
        <v>1659.66</v>
      </c>
      <c r="L7480" s="25">
        <v>2.65</v>
      </c>
      <c r="M7480" s="24">
        <v>22101</v>
      </c>
      <c r="N7480" s="25">
        <f>IFERROR(T_reg.root.SK[[#This Row],[Price]]/T_reg.root.SK[[#This Row],[Starch content]],"")</f>
        <v>13.316582914572864</v>
      </c>
    </row>
    <row r="7481" spans="1:14">
      <c r="A7481" s="21">
        <v>2026</v>
      </c>
      <c r="B7481" s="21" t="s">
        <v>21</v>
      </c>
      <c r="C7481" s="21" t="s">
        <v>1145</v>
      </c>
      <c r="D7481" s="21" t="s">
        <v>35</v>
      </c>
      <c r="E7481" s="17" t="s">
        <v>824</v>
      </c>
      <c r="F7481" s="17" t="s">
        <v>105</v>
      </c>
      <c r="G7481" s="18" t="s">
        <v>48</v>
      </c>
      <c r="H7481" s="24">
        <v>40220</v>
      </c>
      <c r="I7481" s="24">
        <f>T_reg.root.SK[[#This Row],[Volume, kg]]/1000</f>
        <v>40.22</v>
      </c>
      <c r="J7481" s="25">
        <v>0.21160000000000001</v>
      </c>
      <c r="K7481" s="25">
        <f t="shared" si="118"/>
        <v>8510.5519999999997</v>
      </c>
      <c r="L7481" s="25">
        <v>2.81</v>
      </c>
      <c r="M7481" s="24">
        <v>113119</v>
      </c>
      <c r="N7481" s="25">
        <f>IFERROR(T_reg.root.SK[[#This Row],[Price]]/T_reg.root.SK[[#This Row],[Starch content]],"")</f>
        <v>13.279773156899811</v>
      </c>
    </row>
    <row r="7482" spans="1:14">
      <c r="A7482" s="21">
        <v>2026</v>
      </c>
      <c r="B7482" s="21" t="s">
        <v>21</v>
      </c>
      <c r="C7482" s="21" t="s">
        <v>1145</v>
      </c>
      <c r="D7482" s="21" t="s">
        <v>39</v>
      </c>
      <c r="E7482" s="17" t="s">
        <v>1020</v>
      </c>
      <c r="F7482" s="17" t="s">
        <v>1021</v>
      </c>
      <c r="G7482" s="18" t="s">
        <v>1022</v>
      </c>
      <c r="H7482" s="24">
        <v>546780</v>
      </c>
      <c r="I7482" s="24">
        <f>T_reg.root.SK[[#This Row],[Volume, kg]]/1000</f>
        <v>546.78</v>
      </c>
      <c r="J7482" s="25">
        <v>0.20169999999999999</v>
      </c>
      <c r="K7482" s="25">
        <f t="shared" si="118"/>
        <v>110285.526</v>
      </c>
      <c r="L7482" s="25">
        <v>3.26</v>
      </c>
      <c r="M7482" s="24">
        <v>1783553.5</v>
      </c>
      <c r="N7482" s="25">
        <f>IFERROR(T_reg.root.SK[[#This Row],[Price]]/T_reg.root.SK[[#This Row],[Starch content]],"")</f>
        <v>16.162617749132373</v>
      </c>
    </row>
    <row r="7483" spans="1:14">
      <c r="A7483" s="21">
        <v>2026</v>
      </c>
      <c r="B7483" s="21" t="s">
        <v>21</v>
      </c>
      <c r="C7483" s="21" t="s">
        <v>1145</v>
      </c>
      <c r="D7483" s="21" t="s">
        <v>39</v>
      </c>
      <c r="E7483" s="17" t="s">
        <v>1074</v>
      </c>
      <c r="F7483" s="17" t="s">
        <v>1075</v>
      </c>
      <c r="G7483" s="18" t="s">
        <v>48</v>
      </c>
      <c r="H7483" s="24">
        <v>103310</v>
      </c>
      <c r="I7483" s="24">
        <f>T_reg.root.SK[[#This Row],[Volume, kg]]/1000</f>
        <v>103.31</v>
      </c>
      <c r="J7483" s="25">
        <v>0.19819999999999999</v>
      </c>
      <c r="K7483" s="25">
        <f t="shared" si="118"/>
        <v>20476.041999999998</v>
      </c>
      <c r="L7483" s="25">
        <v>3.54</v>
      </c>
      <c r="M7483" s="24">
        <v>365914</v>
      </c>
      <c r="N7483" s="25">
        <f>IFERROR(T_reg.root.SK[[#This Row],[Price]]/T_reg.root.SK[[#This Row],[Starch content]],"")</f>
        <v>17.860746720484361</v>
      </c>
    </row>
    <row r="7484" spans="1:14">
      <c r="A7484" s="21">
        <v>2026</v>
      </c>
      <c r="B7484" s="21" t="s">
        <v>21</v>
      </c>
      <c r="C7484" s="21" t="s">
        <v>1145</v>
      </c>
      <c r="D7484" s="21" t="s">
        <v>35</v>
      </c>
      <c r="E7484" s="17" t="s">
        <v>276</v>
      </c>
      <c r="F7484" s="17" t="s">
        <v>95</v>
      </c>
      <c r="G7484" s="18" t="s">
        <v>48</v>
      </c>
      <c r="H7484" s="24">
        <v>175670</v>
      </c>
      <c r="I7484" s="24">
        <f>T_reg.root.SK[[#This Row],[Volume, kg]]/1000</f>
        <v>175.67</v>
      </c>
      <c r="J7484" s="25">
        <v>0.16789999999999999</v>
      </c>
      <c r="K7484" s="25">
        <f t="shared" si="118"/>
        <v>29494.992999999999</v>
      </c>
      <c r="L7484" s="25">
        <v>2.58</v>
      </c>
      <c r="M7484" s="24">
        <v>454052.5</v>
      </c>
      <c r="N7484" s="25">
        <f>IFERROR(T_reg.root.SK[[#This Row],[Price]]/T_reg.root.SK[[#This Row],[Starch content]],"")</f>
        <v>15.366289458010721</v>
      </c>
    </row>
    <row r="7485" spans="1:14">
      <c r="A7485" s="21">
        <v>2026</v>
      </c>
      <c r="B7485" s="21" t="s">
        <v>21</v>
      </c>
      <c r="C7485" s="21" t="s">
        <v>1145</v>
      </c>
      <c r="D7485" s="21" t="s">
        <v>35</v>
      </c>
      <c r="E7485" s="17" t="s">
        <v>734</v>
      </c>
      <c r="F7485" s="17" t="s">
        <v>105</v>
      </c>
      <c r="G7485" s="18" t="s">
        <v>48</v>
      </c>
      <c r="H7485" s="24">
        <v>106160</v>
      </c>
      <c r="I7485" s="24">
        <f>T_reg.root.SK[[#This Row],[Volume, kg]]/1000</f>
        <v>106.16</v>
      </c>
      <c r="J7485" s="25">
        <v>0.2225</v>
      </c>
      <c r="K7485" s="25">
        <f t="shared" si="118"/>
        <v>23620.6</v>
      </c>
      <c r="L7485" s="25">
        <v>2.66</v>
      </c>
      <c r="M7485" s="24">
        <v>282223</v>
      </c>
      <c r="N7485" s="25">
        <f>IFERROR(T_reg.root.SK[[#This Row],[Price]]/T_reg.root.SK[[#This Row],[Starch content]],"")</f>
        <v>11.955056179775282</v>
      </c>
    </row>
    <row r="7486" spans="1:14">
      <c r="A7486" s="21">
        <v>2026</v>
      </c>
      <c r="B7486" s="21" t="s">
        <v>21</v>
      </c>
      <c r="C7486" s="21" t="s">
        <v>1145</v>
      </c>
      <c r="D7486" s="21" t="s">
        <v>39</v>
      </c>
      <c r="E7486" s="17" t="s">
        <v>1127</v>
      </c>
      <c r="F7486" s="17" t="s">
        <v>1128</v>
      </c>
      <c r="G7486" s="18" t="s">
        <v>1078</v>
      </c>
      <c r="H7486" s="24">
        <v>286540</v>
      </c>
      <c r="I7486" s="24">
        <f>T_reg.root.SK[[#This Row],[Volume, kg]]/1000</f>
        <v>286.54000000000002</v>
      </c>
      <c r="J7486" s="25">
        <v>0.18029999999999999</v>
      </c>
      <c r="K7486" s="25">
        <f t="shared" si="118"/>
        <v>51663.161999999997</v>
      </c>
      <c r="L7486" s="25">
        <v>3.55</v>
      </c>
      <c r="M7486" s="24">
        <v>1017312</v>
      </c>
      <c r="N7486" s="25">
        <f>IFERROR(T_reg.root.SK[[#This Row],[Price]]/T_reg.root.SK[[#This Row],[Starch content]],"")</f>
        <v>19.689406544647809</v>
      </c>
    </row>
    <row r="7487" spans="1:14">
      <c r="A7487" s="21">
        <v>2026</v>
      </c>
      <c r="B7487" s="21" t="s">
        <v>21</v>
      </c>
      <c r="C7487" s="21" t="s">
        <v>1145</v>
      </c>
      <c r="D7487" s="21" t="s">
        <v>35</v>
      </c>
      <c r="E7487" s="17" t="s">
        <v>600</v>
      </c>
      <c r="F7487" s="17" t="s">
        <v>105</v>
      </c>
      <c r="G7487" s="18" t="s">
        <v>48</v>
      </c>
      <c r="H7487" s="24">
        <v>3020</v>
      </c>
      <c r="I7487" s="24">
        <f>T_reg.root.SK[[#This Row],[Volume, kg]]/1000</f>
        <v>3.02</v>
      </c>
      <c r="J7487" s="25">
        <v>0.23150000000000001</v>
      </c>
      <c r="K7487" s="25">
        <f t="shared" si="118"/>
        <v>699.13</v>
      </c>
      <c r="L7487" s="25">
        <v>2.7</v>
      </c>
      <c r="M7487" s="24">
        <v>8154</v>
      </c>
      <c r="N7487" s="25">
        <f>IFERROR(T_reg.root.SK[[#This Row],[Price]]/T_reg.root.SK[[#This Row],[Starch content]],"")</f>
        <v>11.663066954643629</v>
      </c>
    </row>
    <row r="7488" spans="1:14">
      <c r="A7488" s="21">
        <v>2026</v>
      </c>
      <c r="B7488" s="21" t="s">
        <v>21</v>
      </c>
      <c r="C7488" s="21" t="s">
        <v>1145</v>
      </c>
      <c r="D7488" s="21" t="s">
        <v>39</v>
      </c>
      <c r="E7488" s="17" t="s">
        <v>797</v>
      </c>
      <c r="F7488" s="17" t="s">
        <v>798</v>
      </c>
      <c r="G7488" s="18" t="s">
        <v>799</v>
      </c>
      <c r="H7488" s="24">
        <v>38750</v>
      </c>
      <c r="I7488" s="24">
        <f>T_reg.root.SK[[#This Row],[Volume, kg]]/1000</f>
        <v>38.75</v>
      </c>
      <c r="J7488" s="25">
        <v>0.22750000000000001</v>
      </c>
      <c r="K7488" s="25">
        <f t="shared" si="118"/>
        <v>8815.625</v>
      </c>
      <c r="L7488" s="25">
        <v>3.05</v>
      </c>
      <c r="M7488" s="24">
        <v>118187.5</v>
      </c>
      <c r="N7488" s="25">
        <f>IFERROR(T_reg.root.SK[[#This Row],[Price]]/T_reg.root.SK[[#This Row],[Starch content]],"")</f>
        <v>13.406593406593405</v>
      </c>
    </row>
    <row r="7489" spans="1:14">
      <c r="A7489" s="21">
        <v>2026</v>
      </c>
      <c r="B7489" s="21" t="s">
        <v>21</v>
      </c>
      <c r="C7489" s="21" t="s">
        <v>1145</v>
      </c>
      <c r="D7489" s="21" t="s">
        <v>39</v>
      </c>
      <c r="E7489" s="17" t="s">
        <v>1096</v>
      </c>
      <c r="F7489" s="17" t="s">
        <v>89</v>
      </c>
      <c r="G7489" s="18" t="s">
        <v>90</v>
      </c>
      <c r="H7489" s="24">
        <v>2031900</v>
      </c>
      <c r="I7489" s="24">
        <f>T_reg.root.SK[[#This Row],[Volume, kg]]/1000</f>
        <v>2031.9</v>
      </c>
      <c r="J7489" s="25">
        <v>0.22090000000000001</v>
      </c>
      <c r="K7489" s="25">
        <f t="shared" si="118"/>
        <v>448846.71</v>
      </c>
      <c r="L7489" s="25">
        <v>3.12</v>
      </c>
      <c r="M7489" s="24">
        <v>6347257.5</v>
      </c>
      <c r="N7489" s="25">
        <f>IFERROR(T_reg.root.SK[[#This Row],[Price]]/T_reg.root.SK[[#This Row],[Starch content]],"")</f>
        <v>14.124038026256224</v>
      </c>
    </row>
    <row r="7490" spans="1:14">
      <c r="A7490" s="21">
        <v>2026</v>
      </c>
      <c r="B7490" s="21" t="s">
        <v>21</v>
      </c>
      <c r="C7490" s="21" t="s">
        <v>1145</v>
      </c>
      <c r="D7490" s="21" t="s">
        <v>39</v>
      </c>
      <c r="E7490" s="17" t="s">
        <v>1060</v>
      </c>
      <c r="F7490" s="17" t="s">
        <v>1018</v>
      </c>
      <c r="G7490" s="18" t="s">
        <v>103</v>
      </c>
      <c r="H7490" s="24">
        <v>59400</v>
      </c>
      <c r="I7490" s="24">
        <f>T_reg.root.SK[[#This Row],[Volume, kg]]/1000</f>
        <v>59.4</v>
      </c>
      <c r="J7490" s="25">
        <v>0.18890000000000001</v>
      </c>
      <c r="K7490" s="25">
        <f t="shared" si="118"/>
        <v>11220.66</v>
      </c>
      <c r="L7490" s="25">
        <v>3.53</v>
      </c>
      <c r="M7490" s="24">
        <v>209385.5</v>
      </c>
      <c r="N7490" s="25">
        <f>IFERROR(T_reg.root.SK[[#This Row],[Price]]/T_reg.root.SK[[#This Row],[Starch content]],"")</f>
        <v>18.687136050820538</v>
      </c>
    </row>
    <row r="7491" spans="1:14">
      <c r="A7491" s="21">
        <v>2026</v>
      </c>
      <c r="B7491" s="21" t="s">
        <v>21</v>
      </c>
      <c r="C7491" s="21" t="s">
        <v>1145</v>
      </c>
      <c r="D7491" s="21" t="s">
        <v>39</v>
      </c>
      <c r="E7491" s="17" t="s">
        <v>1129</v>
      </c>
      <c r="F7491" s="17" t="s">
        <v>1130</v>
      </c>
      <c r="G7491" s="18" t="s">
        <v>1131</v>
      </c>
      <c r="H7491" s="24">
        <v>292730</v>
      </c>
      <c r="I7491" s="24">
        <f>T_reg.root.SK[[#This Row],[Volume, kg]]/1000</f>
        <v>292.73</v>
      </c>
      <c r="J7491" s="25">
        <v>0.17519999999999999</v>
      </c>
      <c r="K7491" s="25">
        <f t="shared" si="118"/>
        <v>51286.295999999995</v>
      </c>
      <c r="L7491" s="25">
        <v>3.53</v>
      </c>
      <c r="M7491" s="24">
        <v>1032778</v>
      </c>
      <c r="N7491" s="25">
        <f>IFERROR(T_reg.root.SK[[#This Row],[Price]]/T_reg.root.SK[[#This Row],[Starch content]],"")</f>
        <v>20.148401826484019</v>
      </c>
    </row>
    <row r="7492" spans="1:14">
      <c r="A7492" s="21">
        <v>2026</v>
      </c>
      <c r="B7492" s="21" t="s">
        <v>21</v>
      </c>
      <c r="C7492" s="21" t="s">
        <v>1145</v>
      </c>
      <c r="D7492" s="21" t="s">
        <v>35</v>
      </c>
      <c r="E7492" s="17" t="s">
        <v>1123</v>
      </c>
      <c r="F7492" s="17" t="s">
        <v>105</v>
      </c>
      <c r="G7492" s="18" t="s">
        <v>48</v>
      </c>
      <c r="H7492" s="24">
        <v>5150</v>
      </c>
      <c r="I7492" s="24">
        <f>T_reg.root.SK[[#This Row],[Volume, kg]]/1000</f>
        <v>5.15</v>
      </c>
      <c r="J7492" s="25">
        <v>0.1535</v>
      </c>
      <c r="K7492" s="25">
        <f t="shared" si="118"/>
        <v>790.52499999999998</v>
      </c>
      <c r="L7492" s="25">
        <v>2.6</v>
      </c>
      <c r="M7492" s="24">
        <v>13390</v>
      </c>
      <c r="N7492" s="25">
        <f>IFERROR(T_reg.root.SK[[#This Row],[Price]]/T_reg.root.SK[[#This Row],[Starch content]],"")</f>
        <v>16.938110749185668</v>
      </c>
    </row>
    <row r="7493" spans="1:14">
      <c r="A7493" s="21">
        <v>2026</v>
      </c>
      <c r="B7493" s="21" t="s">
        <v>21</v>
      </c>
      <c r="C7493" s="21" t="s">
        <v>1145</v>
      </c>
      <c r="D7493" s="21" t="s">
        <v>39</v>
      </c>
      <c r="E7493" s="17" t="s">
        <v>101</v>
      </c>
      <c r="F7493" s="17" t="s">
        <v>102</v>
      </c>
      <c r="G7493" s="18" t="s">
        <v>103</v>
      </c>
      <c r="H7493" s="24">
        <v>474740</v>
      </c>
      <c r="I7493" s="24">
        <f>T_reg.root.SK[[#This Row],[Volume, kg]]/1000</f>
        <v>474.74</v>
      </c>
      <c r="J7493" s="25">
        <v>0.222</v>
      </c>
      <c r="K7493" s="25">
        <f t="shared" si="118"/>
        <v>105392.28</v>
      </c>
      <c r="L7493" s="25">
        <v>3.18</v>
      </c>
      <c r="M7493" s="24">
        <v>1510858</v>
      </c>
      <c r="N7493" s="25">
        <f>IFERROR(T_reg.root.SK[[#This Row],[Price]]/T_reg.root.SK[[#This Row],[Starch content]],"")</f>
        <v>14.324324324324325</v>
      </c>
    </row>
    <row r="7494" spans="1:14">
      <c r="A7494" s="21">
        <v>2026</v>
      </c>
      <c r="B7494" s="21" t="s">
        <v>21</v>
      </c>
      <c r="C7494" s="21" t="s">
        <v>1145</v>
      </c>
      <c r="D7494" s="21" t="s">
        <v>35</v>
      </c>
      <c r="E7494" s="17" t="s">
        <v>122</v>
      </c>
      <c r="F7494" s="17" t="s">
        <v>105</v>
      </c>
      <c r="G7494" s="18" t="s">
        <v>48</v>
      </c>
      <c r="H7494" s="24">
        <v>3360</v>
      </c>
      <c r="I7494" s="24">
        <f>T_reg.root.SK[[#This Row],[Volume, kg]]/1000</f>
        <v>3.36</v>
      </c>
      <c r="J7494" s="25">
        <v>0.22550000000000001</v>
      </c>
      <c r="K7494" s="25">
        <f t="shared" si="118"/>
        <v>757.68000000000006</v>
      </c>
      <c r="L7494" s="25">
        <v>2.7</v>
      </c>
      <c r="M7494" s="24">
        <v>9072</v>
      </c>
      <c r="N7494" s="25">
        <f>IFERROR(T_reg.root.SK[[#This Row],[Price]]/T_reg.root.SK[[#This Row],[Starch content]],"")</f>
        <v>11.97339246119734</v>
      </c>
    </row>
    <row r="7495" spans="1:14">
      <c r="A7495" s="21">
        <v>2026</v>
      </c>
      <c r="B7495" s="21" t="s">
        <v>21</v>
      </c>
      <c r="C7495" s="21" t="s">
        <v>1145</v>
      </c>
      <c r="D7495" s="21" t="s">
        <v>39</v>
      </c>
      <c r="E7495" s="17" t="s">
        <v>98</v>
      </c>
      <c r="F7495" s="17" t="s">
        <v>99</v>
      </c>
      <c r="G7495" s="18" t="s">
        <v>42</v>
      </c>
      <c r="H7495" s="24">
        <v>61310</v>
      </c>
      <c r="I7495" s="24">
        <f>T_reg.root.SK[[#This Row],[Volume, kg]]/1000</f>
        <v>61.31</v>
      </c>
      <c r="J7495" s="25">
        <v>0.2329</v>
      </c>
      <c r="K7495" s="25">
        <f t="shared" si="118"/>
        <v>14279.099</v>
      </c>
      <c r="L7495" s="25">
        <v>3.08</v>
      </c>
      <c r="M7495" s="24">
        <v>188557</v>
      </c>
      <c r="N7495" s="25">
        <f>IFERROR(T_reg.root.SK[[#This Row],[Price]]/T_reg.root.SK[[#This Row],[Starch content]],"")</f>
        <v>13.224559896951481</v>
      </c>
    </row>
    <row r="7496" spans="1:14">
      <c r="A7496" s="21">
        <v>2026</v>
      </c>
      <c r="B7496" s="21" t="s">
        <v>21</v>
      </c>
      <c r="C7496" s="21" t="s">
        <v>1145</v>
      </c>
      <c r="D7496" s="21" t="s">
        <v>35</v>
      </c>
      <c r="E7496" s="17" t="s">
        <v>124</v>
      </c>
      <c r="F7496" s="17" t="s">
        <v>105</v>
      </c>
      <c r="G7496" s="18" t="s">
        <v>48</v>
      </c>
      <c r="H7496" s="24">
        <v>3890</v>
      </c>
      <c r="I7496" s="24">
        <f>T_reg.root.SK[[#This Row],[Volume, kg]]/1000</f>
        <v>3.89</v>
      </c>
      <c r="J7496" s="25">
        <v>0.246</v>
      </c>
      <c r="K7496" s="25">
        <f t="shared" si="118"/>
        <v>956.93999999999994</v>
      </c>
      <c r="L7496" s="25">
        <v>2.8</v>
      </c>
      <c r="M7496" s="24">
        <v>10892</v>
      </c>
      <c r="N7496" s="25">
        <f>IFERROR(T_reg.root.SK[[#This Row],[Price]]/T_reg.root.SK[[#This Row],[Starch content]],"")</f>
        <v>11.38211382113821</v>
      </c>
    </row>
    <row r="7497" spans="1:14">
      <c r="A7497" s="21">
        <v>2026</v>
      </c>
      <c r="B7497" s="21" t="s">
        <v>21</v>
      </c>
      <c r="C7497" s="21" t="s">
        <v>1145</v>
      </c>
      <c r="D7497" s="21" t="s">
        <v>35</v>
      </c>
      <c r="E7497" s="17" t="s">
        <v>977</v>
      </c>
      <c r="F7497" s="17" t="s">
        <v>105</v>
      </c>
      <c r="G7497" s="18" t="s">
        <v>48</v>
      </c>
      <c r="H7497" s="24">
        <v>3340</v>
      </c>
      <c r="I7497" s="24">
        <f>T_reg.root.SK[[#This Row],[Volume, kg]]/1000</f>
        <v>3.34</v>
      </c>
      <c r="J7497" s="25">
        <v>0.1285</v>
      </c>
      <c r="K7497" s="25">
        <f t="shared" si="118"/>
        <v>429.19</v>
      </c>
      <c r="L7497" s="25">
        <v>2.5</v>
      </c>
      <c r="M7497" s="24">
        <v>8350</v>
      </c>
      <c r="N7497" s="25">
        <f>IFERROR(T_reg.root.SK[[#This Row],[Price]]/T_reg.root.SK[[#This Row],[Starch content]],"")</f>
        <v>19.455252918287936</v>
      </c>
    </row>
    <row r="7498" spans="1:14">
      <c r="A7498" s="21">
        <v>2026</v>
      </c>
      <c r="B7498" s="21" t="s">
        <v>21</v>
      </c>
      <c r="C7498" s="21" t="s">
        <v>1145</v>
      </c>
      <c r="D7498" s="21" t="s">
        <v>35</v>
      </c>
      <c r="E7498" s="17" t="s">
        <v>1097</v>
      </c>
      <c r="F7498" s="17" t="s">
        <v>105</v>
      </c>
      <c r="G7498" s="18" t="s">
        <v>48</v>
      </c>
      <c r="H7498" s="24">
        <v>13740</v>
      </c>
      <c r="I7498" s="24">
        <f>T_reg.root.SK[[#This Row],[Volume, kg]]/1000</f>
        <v>13.74</v>
      </c>
      <c r="J7498" s="25">
        <v>0.216</v>
      </c>
      <c r="K7498" s="25">
        <f t="shared" si="118"/>
        <v>2967.84</v>
      </c>
      <c r="L7498" s="25">
        <v>2.87</v>
      </c>
      <c r="M7498" s="24">
        <v>39427.5</v>
      </c>
      <c r="N7498" s="25">
        <f>IFERROR(T_reg.root.SK[[#This Row],[Price]]/T_reg.root.SK[[#This Row],[Starch content]],"")</f>
        <v>13.287037037037038</v>
      </c>
    </row>
    <row r="7499" spans="1:14">
      <c r="A7499" s="21">
        <v>2026</v>
      </c>
      <c r="B7499" s="21" t="s">
        <v>21</v>
      </c>
      <c r="C7499" s="21" t="s">
        <v>1145</v>
      </c>
      <c r="D7499" s="21" t="s">
        <v>35</v>
      </c>
      <c r="E7499" s="17" t="s">
        <v>129</v>
      </c>
      <c r="F7499" s="17" t="s">
        <v>105</v>
      </c>
      <c r="G7499" s="18" t="s">
        <v>48</v>
      </c>
      <c r="H7499" s="24">
        <v>6700</v>
      </c>
      <c r="I7499" s="24">
        <f>T_reg.root.SK[[#This Row],[Volume, kg]]/1000</f>
        <v>6.7</v>
      </c>
      <c r="J7499" s="25">
        <v>0.221</v>
      </c>
      <c r="K7499" s="25">
        <f t="shared" si="118"/>
        <v>1480.7</v>
      </c>
      <c r="L7499" s="25">
        <v>2.95</v>
      </c>
      <c r="M7499" s="24">
        <v>19765</v>
      </c>
      <c r="N7499" s="25">
        <f>IFERROR(T_reg.root.SK[[#This Row],[Price]]/T_reg.root.SK[[#This Row],[Starch content]],"")</f>
        <v>13.348416289592761</v>
      </c>
    </row>
    <row r="7500" spans="1:14">
      <c r="A7500" s="21">
        <v>2026</v>
      </c>
      <c r="B7500" s="21" t="s">
        <v>21</v>
      </c>
      <c r="C7500" s="21" t="s">
        <v>1145</v>
      </c>
      <c r="D7500" s="21" t="s">
        <v>35</v>
      </c>
      <c r="E7500" s="17" t="s">
        <v>132</v>
      </c>
      <c r="F7500" s="17" t="s">
        <v>105</v>
      </c>
      <c r="G7500" s="18" t="s">
        <v>48</v>
      </c>
      <c r="H7500" s="24">
        <v>15450</v>
      </c>
      <c r="I7500" s="24">
        <f>T_reg.root.SK[[#This Row],[Volume, kg]]/1000</f>
        <v>15.45</v>
      </c>
      <c r="J7500" s="25">
        <v>0.25</v>
      </c>
      <c r="K7500" s="25">
        <f t="shared" si="118"/>
        <v>3862.5</v>
      </c>
      <c r="L7500" s="25">
        <v>2.81</v>
      </c>
      <c r="M7500" s="24">
        <v>43366.5</v>
      </c>
      <c r="N7500" s="25">
        <f>IFERROR(T_reg.root.SK[[#This Row],[Price]]/T_reg.root.SK[[#This Row],[Starch content]],"")</f>
        <v>11.24</v>
      </c>
    </row>
    <row r="7501" spans="1:14">
      <c r="A7501" s="21">
        <v>2026</v>
      </c>
      <c r="B7501" s="21" t="s">
        <v>21</v>
      </c>
      <c r="C7501" s="21" t="s">
        <v>1145</v>
      </c>
      <c r="D7501" s="21" t="s">
        <v>39</v>
      </c>
      <c r="E7501" s="17" t="s">
        <v>1073</v>
      </c>
      <c r="F7501" s="17" t="s">
        <v>89</v>
      </c>
      <c r="G7501" s="18" t="s">
        <v>90</v>
      </c>
      <c r="H7501" s="24">
        <v>3305030</v>
      </c>
      <c r="I7501" s="24">
        <f>T_reg.root.SK[[#This Row],[Volume, kg]]/1000</f>
        <v>3305.03</v>
      </c>
      <c r="J7501" s="25">
        <v>0.20399999999999999</v>
      </c>
      <c r="K7501" s="25">
        <f t="shared" si="118"/>
        <v>674226.12</v>
      </c>
      <c r="L7501" s="25">
        <v>3.45</v>
      </c>
      <c r="M7501" s="24">
        <v>11392585</v>
      </c>
      <c r="N7501" s="25">
        <f>IFERROR(T_reg.root.SK[[#This Row],[Price]]/T_reg.root.SK[[#This Row],[Starch content]],"")</f>
        <v>16.911764705882355</v>
      </c>
    </row>
    <row r="7502" spans="1:14">
      <c r="A7502" s="21">
        <v>2026</v>
      </c>
      <c r="B7502" s="21" t="s">
        <v>21</v>
      </c>
      <c r="C7502" s="21" t="s">
        <v>1145</v>
      </c>
      <c r="D7502" s="21" t="s">
        <v>35</v>
      </c>
      <c r="E7502" s="17" t="s">
        <v>199</v>
      </c>
      <c r="F7502" s="17" t="s">
        <v>187</v>
      </c>
      <c r="G7502" s="18" t="s">
        <v>48</v>
      </c>
      <c r="H7502" s="24">
        <v>38700</v>
      </c>
      <c r="I7502" s="24">
        <f>T_reg.root.SK[[#This Row],[Volume, kg]]/1000</f>
        <v>38.700000000000003</v>
      </c>
      <c r="J7502" s="25">
        <v>0.21729999999999999</v>
      </c>
      <c r="K7502" s="25">
        <f t="shared" si="118"/>
        <v>8409.51</v>
      </c>
      <c r="L7502" s="25">
        <v>2.95</v>
      </c>
      <c r="M7502" s="24">
        <v>114165</v>
      </c>
      <c r="N7502" s="25">
        <f>IFERROR(T_reg.root.SK[[#This Row],[Price]]/T_reg.root.SK[[#This Row],[Starch content]],"")</f>
        <v>13.575701794753797</v>
      </c>
    </row>
    <row r="7503" spans="1:14">
      <c r="A7503" s="21">
        <v>2026</v>
      </c>
      <c r="B7503" s="21" t="s">
        <v>21</v>
      </c>
      <c r="C7503" s="21" t="s">
        <v>1145</v>
      </c>
      <c r="D7503" s="21" t="s">
        <v>35</v>
      </c>
      <c r="E7503" s="17" t="s">
        <v>136</v>
      </c>
      <c r="F7503" s="17" t="s">
        <v>105</v>
      </c>
      <c r="G7503" s="18" t="s">
        <v>48</v>
      </c>
      <c r="H7503" s="24">
        <v>29110</v>
      </c>
      <c r="I7503" s="24">
        <f>T_reg.root.SK[[#This Row],[Volume, kg]]/1000</f>
        <v>29.11</v>
      </c>
      <c r="J7503" s="25">
        <v>0.22570000000000001</v>
      </c>
      <c r="K7503" s="25">
        <f t="shared" si="118"/>
        <v>6570.1270000000004</v>
      </c>
      <c r="L7503" s="25">
        <v>2.73</v>
      </c>
      <c r="M7503" s="24">
        <v>79555.5</v>
      </c>
      <c r="N7503" s="25">
        <f>IFERROR(T_reg.root.SK[[#This Row],[Price]]/T_reg.root.SK[[#This Row],[Starch content]],"")</f>
        <v>12.095702259636685</v>
      </c>
    </row>
    <row r="7504" spans="1:14">
      <c r="A7504" s="21">
        <v>2026</v>
      </c>
      <c r="B7504" s="21" t="s">
        <v>21</v>
      </c>
      <c r="C7504" s="21" t="s">
        <v>1145</v>
      </c>
      <c r="D7504" s="21" t="s">
        <v>39</v>
      </c>
      <c r="E7504" s="17" t="s">
        <v>1063</v>
      </c>
      <c r="F7504" s="17" t="s">
        <v>1064</v>
      </c>
      <c r="G7504" s="18" t="s">
        <v>220</v>
      </c>
      <c r="H7504" s="24">
        <v>438830</v>
      </c>
      <c r="I7504" s="24">
        <f>T_reg.root.SK[[#This Row],[Volume, kg]]/1000</f>
        <v>438.83</v>
      </c>
      <c r="J7504" s="25">
        <v>0.20899999999999999</v>
      </c>
      <c r="K7504" s="25">
        <f t="shared" si="118"/>
        <v>91715.47</v>
      </c>
      <c r="L7504" s="25">
        <v>3.34</v>
      </c>
      <c r="M7504" s="24">
        <v>1465480</v>
      </c>
      <c r="N7504" s="25">
        <f>IFERROR(T_reg.root.SK[[#This Row],[Price]]/T_reg.root.SK[[#This Row],[Starch content]],"")</f>
        <v>15.980861244019138</v>
      </c>
    </row>
    <row r="7505" spans="1:14">
      <c r="A7505" s="21">
        <v>2026</v>
      </c>
      <c r="B7505" s="21" t="s">
        <v>21</v>
      </c>
      <c r="C7505" s="21" t="s">
        <v>1145</v>
      </c>
      <c r="D7505" s="21" t="s">
        <v>35</v>
      </c>
      <c r="E7505" s="17" t="s">
        <v>138</v>
      </c>
      <c r="F7505" s="17" t="s">
        <v>105</v>
      </c>
      <c r="G7505" s="18" t="s">
        <v>48</v>
      </c>
      <c r="H7505" s="24">
        <v>32110</v>
      </c>
      <c r="I7505" s="24">
        <f>T_reg.root.SK[[#This Row],[Volume, kg]]/1000</f>
        <v>32.11</v>
      </c>
      <c r="J7505" s="25">
        <v>0.22989999999999999</v>
      </c>
      <c r="K7505" s="25">
        <f t="shared" si="118"/>
        <v>7382.0889999999999</v>
      </c>
      <c r="L7505" s="25">
        <v>2.69</v>
      </c>
      <c r="M7505" s="24">
        <v>86362.5</v>
      </c>
      <c r="N7505" s="25">
        <f>IFERROR(T_reg.root.SK[[#This Row],[Price]]/T_reg.root.SK[[#This Row],[Starch content]],"")</f>
        <v>11.700739451935624</v>
      </c>
    </row>
    <row r="7506" spans="1:14">
      <c r="A7506" s="21">
        <v>2026</v>
      </c>
      <c r="B7506" s="21" t="s">
        <v>21</v>
      </c>
      <c r="C7506" s="21" t="s">
        <v>1145</v>
      </c>
      <c r="D7506" s="21" t="s">
        <v>35</v>
      </c>
      <c r="E7506" s="17" t="s">
        <v>304</v>
      </c>
      <c r="F7506" s="17" t="s">
        <v>105</v>
      </c>
      <c r="G7506" s="18" t="s">
        <v>48</v>
      </c>
      <c r="H7506" s="24">
        <v>54850</v>
      </c>
      <c r="I7506" s="24">
        <f>T_reg.root.SK[[#This Row],[Volume, kg]]/1000</f>
        <v>54.85</v>
      </c>
      <c r="J7506" s="25">
        <v>0.19789999999999999</v>
      </c>
      <c r="K7506" s="25">
        <f t="shared" si="118"/>
        <v>10854.814999999999</v>
      </c>
      <c r="L7506" s="25">
        <v>2.65</v>
      </c>
      <c r="M7506" s="24">
        <v>145437</v>
      </c>
      <c r="N7506" s="25">
        <f>IFERROR(T_reg.root.SK[[#This Row],[Price]]/T_reg.root.SK[[#This Row],[Starch content]],"")</f>
        <v>13.390601313794846</v>
      </c>
    </row>
    <row r="7507" spans="1:14">
      <c r="A7507" s="21">
        <v>2026</v>
      </c>
      <c r="B7507" s="21" t="s">
        <v>21</v>
      </c>
      <c r="C7507" s="21" t="s">
        <v>1145</v>
      </c>
      <c r="D7507" s="21" t="s">
        <v>35</v>
      </c>
      <c r="E7507" s="17" t="s">
        <v>308</v>
      </c>
      <c r="F7507" s="17" t="s">
        <v>105</v>
      </c>
      <c r="G7507" s="18" t="s">
        <v>48</v>
      </c>
      <c r="H7507" s="24">
        <v>9720</v>
      </c>
      <c r="I7507" s="24">
        <f>T_reg.root.SK[[#This Row],[Volume, kg]]/1000</f>
        <v>9.7200000000000006</v>
      </c>
      <c r="J7507" s="25">
        <v>0.21249999999999999</v>
      </c>
      <c r="K7507" s="25">
        <f t="shared" si="118"/>
        <v>2065.5</v>
      </c>
      <c r="L7507" s="25">
        <v>2.9</v>
      </c>
      <c r="M7507" s="24">
        <v>28188</v>
      </c>
      <c r="N7507" s="25">
        <f>IFERROR(T_reg.root.SK[[#This Row],[Price]]/T_reg.root.SK[[#This Row],[Starch content]],"")</f>
        <v>13.647058823529411</v>
      </c>
    </row>
    <row r="7508" spans="1:14">
      <c r="A7508" s="21">
        <v>2026</v>
      </c>
      <c r="B7508" s="21" t="s">
        <v>21</v>
      </c>
      <c r="C7508" s="21" t="s">
        <v>1145</v>
      </c>
      <c r="D7508" s="21" t="s">
        <v>35</v>
      </c>
      <c r="E7508" s="17" t="s">
        <v>245</v>
      </c>
      <c r="F7508" s="17" t="s">
        <v>105</v>
      </c>
      <c r="G7508" s="18" t="s">
        <v>48</v>
      </c>
      <c r="H7508" s="24">
        <v>12070</v>
      </c>
      <c r="I7508" s="24">
        <f>T_reg.root.SK[[#This Row],[Volume, kg]]/1000</f>
        <v>12.07</v>
      </c>
      <c r="J7508" s="25">
        <v>0.19900000000000001</v>
      </c>
      <c r="K7508" s="25">
        <f t="shared" si="118"/>
        <v>2401.9300000000003</v>
      </c>
      <c r="L7508" s="25">
        <v>2.5499999999999998</v>
      </c>
      <c r="M7508" s="24">
        <v>30778.5</v>
      </c>
      <c r="N7508" s="25">
        <f>IFERROR(T_reg.root.SK[[#This Row],[Price]]/T_reg.root.SK[[#This Row],[Starch content]],"")</f>
        <v>12.814070351758792</v>
      </c>
    </row>
    <row r="7509" spans="1:14">
      <c r="A7509" s="21">
        <v>2026</v>
      </c>
      <c r="B7509" s="21" t="s">
        <v>21</v>
      </c>
      <c r="C7509" s="21" t="s">
        <v>1145</v>
      </c>
      <c r="D7509" s="21" t="s">
        <v>35</v>
      </c>
      <c r="E7509" s="17" t="s">
        <v>985</v>
      </c>
      <c r="F7509" s="17" t="s">
        <v>283</v>
      </c>
      <c r="G7509" s="18" t="s">
        <v>48</v>
      </c>
      <c r="H7509" s="24">
        <v>58470</v>
      </c>
      <c r="I7509" s="24">
        <f>T_reg.root.SK[[#This Row],[Volume, kg]]/1000</f>
        <v>58.47</v>
      </c>
      <c r="J7509" s="25">
        <v>0.22589999999999999</v>
      </c>
      <c r="K7509" s="25">
        <f t="shared" si="118"/>
        <v>13208.373</v>
      </c>
      <c r="L7509" s="25">
        <v>2.68</v>
      </c>
      <c r="M7509" s="24">
        <v>156697</v>
      </c>
      <c r="N7509" s="25">
        <f>IFERROR(T_reg.root.SK[[#This Row],[Price]]/T_reg.root.SK[[#This Row],[Starch content]],"")</f>
        <v>11.863656485170431</v>
      </c>
    </row>
    <row r="7510" spans="1:14">
      <c r="A7510" s="21">
        <v>2026</v>
      </c>
      <c r="B7510" s="21" t="s">
        <v>21</v>
      </c>
      <c r="C7510" s="21" t="s">
        <v>1145</v>
      </c>
      <c r="D7510" s="21" t="s">
        <v>35</v>
      </c>
      <c r="E7510" s="17" t="s">
        <v>363</v>
      </c>
      <c r="F7510" s="17" t="s">
        <v>105</v>
      </c>
      <c r="G7510" s="18" t="s">
        <v>48</v>
      </c>
      <c r="H7510" s="24">
        <v>28340</v>
      </c>
      <c r="I7510" s="24">
        <f>T_reg.root.SK[[#This Row],[Volume, kg]]/1000</f>
        <v>28.34</v>
      </c>
      <c r="J7510" s="25">
        <v>0.24540000000000001</v>
      </c>
      <c r="K7510" s="25">
        <f t="shared" si="118"/>
        <v>6954.6360000000004</v>
      </c>
      <c r="L7510" s="25">
        <v>2.78</v>
      </c>
      <c r="M7510" s="24">
        <v>78811</v>
      </c>
      <c r="N7510" s="25">
        <f>IFERROR(T_reg.root.SK[[#This Row],[Price]]/T_reg.root.SK[[#This Row],[Starch content]],"")</f>
        <v>11.328443357783209</v>
      </c>
    </row>
    <row r="7511" spans="1:14">
      <c r="A7511" s="21">
        <v>2026</v>
      </c>
      <c r="B7511" s="21" t="s">
        <v>21</v>
      </c>
      <c r="C7511" s="21" t="s">
        <v>1145</v>
      </c>
      <c r="D7511" s="21" t="s">
        <v>35</v>
      </c>
      <c r="E7511" s="17" t="s">
        <v>1126</v>
      </c>
      <c r="F7511" s="17" t="s">
        <v>105</v>
      </c>
      <c r="G7511" s="18" t="s">
        <v>48</v>
      </c>
      <c r="H7511" s="24">
        <v>10460</v>
      </c>
      <c r="I7511" s="24">
        <f>T_reg.root.SK[[#This Row],[Volume, kg]]/1000</f>
        <v>10.46</v>
      </c>
      <c r="J7511" s="25">
        <v>0.2475</v>
      </c>
      <c r="K7511" s="25">
        <f t="shared" si="118"/>
        <v>2588.85</v>
      </c>
      <c r="L7511" s="25">
        <v>3.1</v>
      </c>
      <c r="M7511" s="24">
        <v>32426</v>
      </c>
      <c r="N7511" s="25">
        <f>IFERROR(T_reg.root.SK[[#This Row],[Price]]/T_reg.root.SK[[#This Row],[Starch content]],"")</f>
        <v>12.525252525252526</v>
      </c>
    </row>
    <row r="7512" spans="1:14">
      <c r="A7512" s="21">
        <v>2026</v>
      </c>
      <c r="B7512" s="21" t="s">
        <v>21</v>
      </c>
      <c r="C7512" s="21" t="s">
        <v>1145</v>
      </c>
      <c r="D7512" s="21" t="s">
        <v>35</v>
      </c>
      <c r="E7512" s="17" t="s">
        <v>148</v>
      </c>
      <c r="F7512" s="17" t="s">
        <v>105</v>
      </c>
      <c r="G7512" s="18" t="s">
        <v>48</v>
      </c>
      <c r="H7512" s="24">
        <v>6890</v>
      </c>
      <c r="I7512" s="24">
        <f>T_reg.root.SK[[#This Row],[Volume, kg]]/1000</f>
        <v>6.89</v>
      </c>
      <c r="J7512" s="25">
        <v>0.1095</v>
      </c>
      <c r="K7512" s="25">
        <f t="shared" si="118"/>
        <v>754.45500000000004</v>
      </c>
      <c r="L7512" s="25">
        <v>2.4</v>
      </c>
      <c r="M7512" s="24">
        <v>16536</v>
      </c>
      <c r="N7512" s="25">
        <f>IFERROR(T_reg.root.SK[[#This Row],[Price]]/T_reg.root.SK[[#This Row],[Starch content]],"")</f>
        <v>21.917808219178081</v>
      </c>
    </row>
    <row r="7513" spans="1:14">
      <c r="A7513" s="21">
        <v>2026</v>
      </c>
      <c r="B7513" s="21" t="s">
        <v>21</v>
      </c>
      <c r="C7513" s="21" t="s">
        <v>1145</v>
      </c>
      <c r="D7513" s="21" t="s">
        <v>35</v>
      </c>
      <c r="E7513" s="17" t="s">
        <v>208</v>
      </c>
      <c r="F7513" s="17" t="s">
        <v>187</v>
      </c>
      <c r="G7513" s="18" t="s">
        <v>48</v>
      </c>
      <c r="H7513" s="24">
        <v>17510</v>
      </c>
      <c r="I7513" s="24">
        <f>T_reg.root.SK[[#This Row],[Volume, kg]]/1000</f>
        <v>17.510000000000002</v>
      </c>
      <c r="J7513" s="25">
        <v>0.23599999999999999</v>
      </c>
      <c r="K7513" s="25">
        <f t="shared" si="118"/>
        <v>4132.3599999999997</v>
      </c>
      <c r="L7513" s="25">
        <v>2.74</v>
      </c>
      <c r="M7513" s="24">
        <v>48014</v>
      </c>
      <c r="N7513" s="25">
        <f>IFERROR(T_reg.root.SK[[#This Row],[Price]]/T_reg.root.SK[[#This Row],[Starch content]],"")</f>
        <v>11.610169491525426</v>
      </c>
    </row>
    <row r="7514" spans="1:14">
      <c r="A7514" s="21">
        <v>2026</v>
      </c>
      <c r="B7514" s="21" t="s">
        <v>21</v>
      </c>
      <c r="C7514" s="21" t="s">
        <v>1145</v>
      </c>
      <c r="D7514" s="21" t="s">
        <v>35</v>
      </c>
      <c r="E7514" s="17" t="s">
        <v>315</v>
      </c>
      <c r="F7514" s="17" t="s">
        <v>105</v>
      </c>
      <c r="G7514" s="18" t="s">
        <v>48</v>
      </c>
      <c r="H7514" s="24">
        <v>9950</v>
      </c>
      <c r="I7514" s="24">
        <f>T_reg.root.SK[[#This Row],[Volume, kg]]/1000</f>
        <v>9.9499999999999993</v>
      </c>
      <c r="J7514" s="25">
        <v>0.20549999999999999</v>
      </c>
      <c r="K7514" s="25">
        <f t="shared" si="118"/>
        <v>2044.7249999999999</v>
      </c>
      <c r="L7514" s="25">
        <v>2.9</v>
      </c>
      <c r="M7514" s="24">
        <v>28855</v>
      </c>
      <c r="N7514" s="25">
        <f>IFERROR(T_reg.root.SK[[#This Row],[Price]]/T_reg.root.SK[[#This Row],[Starch content]],"")</f>
        <v>14.111922141119221</v>
      </c>
    </row>
    <row r="7515" spans="1:14">
      <c r="A7515" s="21">
        <v>2026</v>
      </c>
      <c r="B7515" s="21" t="s">
        <v>21</v>
      </c>
      <c r="C7515" s="21" t="s">
        <v>1145</v>
      </c>
      <c r="D7515" s="21" t="s">
        <v>35</v>
      </c>
      <c r="E7515" s="17" t="s">
        <v>152</v>
      </c>
      <c r="F7515" s="17" t="s">
        <v>105</v>
      </c>
      <c r="G7515" s="18" t="s">
        <v>48</v>
      </c>
      <c r="H7515" s="24">
        <v>12070</v>
      </c>
      <c r="I7515" s="24">
        <f>T_reg.root.SK[[#This Row],[Volume, kg]]/1000</f>
        <v>12.07</v>
      </c>
      <c r="J7515" s="25">
        <v>0.21099999999999999</v>
      </c>
      <c r="K7515" s="25">
        <f t="shared" si="118"/>
        <v>2546.77</v>
      </c>
      <c r="L7515" s="25">
        <v>2.91</v>
      </c>
      <c r="M7515" s="24">
        <v>35067.5</v>
      </c>
      <c r="N7515" s="25">
        <f>IFERROR(T_reg.root.SK[[#This Row],[Price]]/T_reg.root.SK[[#This Row],[Starch content]],"")</f>
        <v>13.791469194312798</v>
      </c>
    </row>
    <row r="7516" spans="1:14">
      <c r="A7516" s="21">
        <v>2026</v>
      </c>
      <c r="B7516" s="21" t="s">
        <v>21</v>
      </c>
      <c r="C7516" s="21" t="s">
        <v>1145</v>
      </c>
      <c r="D7516" s="21" t="s">
        <v>35</v>
      </c>
      <c r="E7516" s="17" t="s">
        <v>155</v>
      </c>
      <c r="F7516" s="17" t="s">
        <v>105</v>
      </c>
      <c r="G7516" s="18" t="s">
        <v>48</v>
      </c>
      <c r="H7516" s="24">
        <v>4650</v>
      </c>
      <c r="I7516" s="24">
        <f>T_reg.root.SK[[#This Row],[Volume, kg]]/1000</f>
        <v>4.6500000000000004</v>
      </c>
      <c r="J7516" s="25">
        <v>0.22</v>
      </c>
      <c r="K7516" s="25">
        <f t="shared" si="118"/>
        <v>1023</v>
      </c>
      <c r="L7516" s="25">
        <v>2.65</v>
      </c>
      <c r="M7516" s="24">
        <v>12322.5</v>
      </c>
      <c r="N7516" s="25">
        <f>IFERROR(T_reg.root.SK[[#This Row],[Price]]/T_reg.root.SK[[#This Row],[Starch content]],"")</f>
        <v>12.045454545454545</v>
      </c>
    </row>
    <row r="7517" spans="1:14">
      <c r="A7517" s="21">
        <v>2026</v>
      </c>
      <c r="B7517" s="21" t="s">
        <v>21</v>
      </c>
      <c r="C7517" s="21" t="s">
        <v>1145</v>
      </c>
      <c r="D7517" s="21" t="s">
        <v>39</v>
      </c>
      <c r="E7517" s="17" t="s">
        <v>552</v>
      </c>
      <c r="F7517" s="17" t="s">
        <v>95</v>
      </c>
      <c r="G7517" s="18" t="s">
        <v>48</v>
      </c>
      <c r="H7517" s="24">
        <v>3247190</v>
      </c>
      <c r="I7517" s="24">
        <f>T_reg.root.SK[[#This Row],[Volume, kg]]/1000</f>
        <v>3247.19</v>
      </c>
      <c r="J7517" s="25">
        <v>0.2097</v>
      </c>
      <c r="K7517" s="25">
        <f t="shared" si="118"/>
        <v>680935.74300000002</v>
      </c>
      <c r="L7517" s="25">
        <v>3.4</v>
      </c>
      <c r="M7517" s="24">
        <v>11026132</v>
      </c>
      <c r="N7517" s="25">
        <f>IFERROR(T_reg.root.SK[[#This Row],[Price]]/T_reg.root.SK[[#This Row],[Starch content]],"")</f>
        <v>16.213638531235098</v>
      </c>
    </row>
    <row r="7518" spans="1:14">
      <c r="A7518" s="21">
        <v>2026</v>
      </c>
      <c r="B7518" s="21" t="s">
        <v>21</v>
      </c>
      <c r="C7518" s="21" t="s">
        <v>1145</v>
      </c>
      <c r="D7518" s="21" t="s">
        <v>35</v>
      </c>
      <c r="E7518" s="17" t="s">
        <v>165</v>
      </c>
      <c r="F7518" s="17" t="s">
        <v>105</v>
      </c>
      <c r="G7518" s="18" t="s">
        <v>48</v>
      </c>
      <c r="H7518" s="24">
        <v>14250</v>
      </c>
      <c r="I7518" s="24">
        <f>T_reg.root.SK[[#This Row],[Volume, kg]]/1000</f>
        <v>14.25</v>
      </c>
      <c r="J7518" s="25">
        <v>0.1893</v>
      </c>
      <c r="K7518" s="25">
        <f t="shared" si="118"/>
        <v>2697.5250000000001</v>
      </c>
      <c r="L7518" s="25">
        <v>2.8</v>
      </c>
      <c r="M7518" s="24">
        <v>39900</v>
      </c>
      <c r="N7518" s="25">
        <f>IFERROR(T_reg.root.SK[[#This Row],[Price]]/T_reg.root.SK[[#This Row],[Starch content]],"")</f>
        <v>14.791336502905441</v>
      </c>
    </row>
    <row r="7519" spans="1:14">
      <c r="A7519" s="21">
        <v>2026</v>
      </c>
      <c r="B7519" s="21" t="s">
        <v>21</v>
      </c>
      <c r="C7519" s="21" t="s">
        <v>1145</v>
      </c>
      <c r="D7519" s="21" t="s">
        <v>35</v>
      </c>
      <c r="E7519" s="17" t="s">
        <v>1052</v>
      </c>
      <c r="F7519" s="17" t="s">
        <v>105</v>
      </c>
      <c r="G7519" s="18" t="s">
        <v>48</v>
      </c>
      <c r="H7519" s="24">
        <v>8870</v>
      </c>
      <c r="I7519" s="24">
        <f>T_reg.root.SK[[#This Row],[Volume, kg]]/1000</f>
        <v>8.8699999999999992</v>
      </c>
      <c r="J7519" s="25">
        <v>0.17749999999999999</v>
      </c>
      <c r="K7519" s="25">
        <f t="shared" si="118"/>
        <v>1574.425</v>
      </c>
      <c r="L7519" s="25">
        <v>2.4500000000000002</v>
      </c>
      <c r="M7519" s="24">
        <v>21731.5</v>
      </c>
      <c r="N7519" s="25">
        <f>IFERROR(T_reg.root.SK[[#This Row],[Price]]/T_reg.root.SK[[#This Row],[Starch content]],"")</f>
        <v>13.802816901408452</v>
      </c>
    </row>
    <row r="7520" spans="1:14">
      <c r="A7520" s="21">
        <v>2026</v>
      </c>
      <c r="B7520" s="21" t="s">
        <v>21</v>
      </c>
      <c r="C7520" s="21" t="s">
        <v>1145</v>
      </c>
      <c r="D7520" s="21" t="s">
        <v>35</v>
      </c>
      <c r="E7520" s="17" t="s">
        <v>408</v>
      </c>
      <c r="F7520" s="17" t="s">
        <v>187</v>
      </c>
      <c r="G7520" s="18" t="s">
        <v>48</v>
      </c>
      <c r="H7520" s="24">
        <v>9800</v>
      </c>
      <c r="I7520" s="24">
        <f>T_reg.root.SK[[#This Row],[Volume, kg]]/1000</f>
        <v>9.8000000000000007</v>
      </c>
      <c r="J7520" s="25">
        <v>0.16200000000000001</v>
      </c>
      <c r="K7520" s="25">
        <f t="shared" si="118"/>
        <v>1587.6000000000001</v>
      </c>
      <c r="L7520" s="25">
        <v>2.65</v>
      </c>
      <c r="M7520" s="24">
        <v>25970</v>
      </c>
      <c r="N7520" s="25">
        <f>IFERROR(T_reg.root.SK[[#This Row],[Price]]/T_reg.root.SK[[#This Row],[Starch content]],"")</f>
        <v>16.358024691358025</v>
      </c>
    </row>
    <row r="7521" spans="1:14">
      <c r="A7521" s="21">
        <v>2026</v>
      </c>
      <c r="B7521" s="21" t="s">
        <v>21</v>
      </c>
      <c r="C7521" s="21" t="s">
        <v>1145</v>
      </c>
      <c r="D7521" s="21" t="s">
        <v>39</v>
      </c>
      <c r="E7521" s="17" t="s">
        <v>347</v>
      </c>
      <c r="F7521" s="17" t="s">
        <v>348</v>
      </c>
      <c r="G7521" s="18" t="s">
        <v>103</v>
      </c>
      <c r="H7521" s="24">
        <v>169090</v>
      </c>
      <c r="I7521" s="24">
        <f>T_reg.root.SK[[#This Row],[Volume, kg]]/1000</f>
        <v>169.09</v>
      </c>
      <c r="J7521" s="25">
        <v>0.21779999999999999</v>
      </c>
      <c r="K7521" s="25">
        <f t="shared" si="118"/>
        <v>36827.801999999996</v>
      </c>
      <c r="L7521" s="25">
        <v>3.64</v>
      </c>
      <c r="M7521" s="24">
        <v>615865.5</v>
      </c>
      <c r="N7521" s="25">
        <f>IFERROR(T_reg.root.SK[[#This Row],[Price]]/T_reg.root.SK[[#This Row],[Starch content]],"")</f>
        <v>16.712580348943987</v>
      </c>
    </row>
    <row r="7522" spans="1:14">
      <c r="A7522" s="21">
        <v>2026</v>
      </c>
      <c r="B7522" s="21" t="s">
        <v>21</v>
      </c>
      <c r="C7522" s="21" t="s">
        <v>1145</v>
      </c>
      <c r="D7522" s="21" t="s">
        <v>35</v>
      </c>
      <c r="E7522" s="17" t="s">
        <v>956</v>
      </c>
      <c r="F7522" s="17" t="s">
        <v>105</v>
      </c>
      <c r="G7522" s="18" t="s">
        <v>48</v>
      </c>
      <c r="H7522" s="24">
        <v>8940</v>
      </c>
      <c r="I7522" s="24">
        <f>T_reg.root.SK[[#This Row],[Volume, kg]]/1000</f>
        <v>8.94</v>
      </c>
      <c r="J7522" s="25">
        <v>0.23499999999999999</v>
      </c>
      <c r="K7522" s="25">
        <f t="shared" si="118"/>
        <v>2100.9</v>
      </c>
      <c r="L7522" s="25">
        <v>3.05</v>
      </c>
      <c r="M7522" s="24">
        <v>27267</v>
      </c>
      <c r="N7522" s="25">
        <f>IFERROR(T_reg.root.SK[[#This Row],[Price]]/T_reg.root.SK[[#This Row],[Starch content]],"")</f>
        <v>12.978723404255319</v>
      </c>
    </row>
    <row r="7523" spans="1:14">
      <c r="A7523" s="21">
        <v>2026</v>
      </c>
      <c r="B7523" s="21" t="s">
        <v>21</v>
      </c>
      <c r="C7523" s="21" t="s">
        <v>1145</v>
      </c>
      <c r="D7523" s="21" t="s">
        <v>39</v>
      </c>
      <c r="E7523" s="17" t="s">
        <v>1109</v>
      </c>
      <c r="F7523" s="17" t="s">
        <v>1110</v>
      </c>
      <c r="G7523" s="18" t="s">
        <v>48</v>
      </c>
      <c r="H7523" s="24">
        <v>945170</v>
      </c>
      <c r="I7523" s="24">
        <f>T_reg.root.SK[[#This Row],[Volume, kg]]/1000</f>
        <v>945.17</v>
      </c>
      <c r="J7523" s="25">
        <v>0.22770000000000001</v>
      </c>
      <c r="K7523" s="25">
        <f t="shared" si="118"/>
        <v>215215.209</v>
      </c>
      <c r="L7523" s="25">
        <v>3.07</v>
      </c>
      <c r="M7523" s="24">
        <v>2904591</v>
      </c>
      <c r="N7523" s="25">
        <f>IFERROR(T_reg.root.SK[[#This Row],[Price]]/T_reg.root.SK[[#This Row],[Starch content]],"")</f>
        <v>13.482652613087394</v>
      </c>
    </row>
    <row r="7524" spans="1:14">
      <c r="A7524" s="21">
        <v>2026</v>
      </c>
      <c r="B7524" s="21" t="s">
        <v>21</v>
      </c>
      <c r="C7524" s="21" t="s">
        <v>1145</v>
      </c>
      <c r="D7524" s="21" t="s">
        <v>39</v>
      </c>
      <c r="E7524" s="17" t="s">
        <v>1132</v>
      </c>
      <c r="F7524" s="17" t="s">
        <v>105</v>
      </c>
      <c r="G7524" s="18" t="s">
        <v>48</v>
      </c>
      <c r="H7524" s="24">
        <v>147500</v>
      </c>
      <c r="I7524" s="24">
        <f>T_reg.root.SK[[#This Row],[Volume, kg]]/1000</f>
        <v>147.5</v>
      </c>
      <c r="J7524" s="25">
        <v>0.17419999999999999</v>
      </c>
      <c r="K7524" s="25">
        <f t="shared" si="118"/>
        <v>25694.5</v>
      </c>
      <c r="L7524" s="25">
        <v>2.78</v>
      </c>
      <c r="M7524" s="24">
        <v>409831</v>
      </c>
      <c r="N7524" s="25">
        <f>IFERROR(T_reg.root.SK[[#This Row],[Price]]/T_reg.root.SK[[#This Row],[Starch content]],"")</f>
        <v>15.958668197474166</v>
      </c>
    </row>
    <row r="7525" spans="1:14">
      <c r="A7525" s="21">
        <v>2026</v>
      </c>
      <c r="B7525" s="21" t="s">
        <v>21</v>
      </c>
      <c r="C7525" s="21" t="s">
        <v>1145</v>
      </c>
      <c r="D7525" s="21" t="s">
        <v>39</v>
      </c>
      <c r="E7525" s="17" t="s">
        <v>88</v>
      </c>
      <c r="F7525" s="17" t="s">
        <v>89</v>
      </c>
      <c r="G7525" s="18" t="s">
        <v>90</v>
      </c>
      <c r="H7525" s="24">
        <v>3678970</v>
      </c>
      <c r="I7525" s="24">
        <f>T_reg.root.SK[[#This Row],[Volume, kg]]/1000</f>
        <v>3678.97</v>
      </c>
      <c r="J7525" s="25">
        <v>0.22359999999999999</v>
      </c>
      <c r="K7525" s="25">
        <f t="shared" si="118"/>
        <v>822617.69199999992</v>
      </c>
      <c r="L7525" s="25">
        <v>3.33</v>
      </c>
      <c r="M7525" s="24">
        <v>12259755.5</v>
      </c>
      <c r="N7525" s="25">
        <f>IFERROR(T_reg.root.SK[[#This Row],[Price]]/T_reg.root.SK[[#This Row],[Starch content]],"")</f>
        <v>14.892665474060824</v>
      </c>
    </row>
    <row r="7526" spans="1:14">
      <c r="A7526" s="21">
        <v>2026</v>
      </c>
      <c r="B7526" s="21" t="s">
        <v>21</v>
      </c>
      <c r="C7526" s="21" t="s">
        <v>1145</v>
      </c>
      <c r="D7526" s="21" t="s">
        <v>39</v>
      </c>
      <c r="E7526" s="17" t="s">
        <v>1054</v>
      </c>
      <c r="F7526" s="17" t="s">
        <v>1055</v>
      </c>
      <c r="G7526" s="18" t="s">
        <v>103</v>
      </c>
      <c r="H7526" s="24">
        <v>1050940</v>
      </c>
      <c r="I7526" s="24">
        <f>T_reg.root.SK[[#This Row],[Volume, kg]]/1000</f>
        <v>1050.94</v>
      </c>
      <c r="J7526" s="25">
        <v>0.21010000000000001</v>
      </c>
      <c r="K7526" s="25">
        <f t="shared" si="118"/>
        <v>220802.49400000001</v>
      </c>
      <c r="L7526" s="25">
        <v>3.21</v>
      </c>
      <c r="M7526" s="24">
        <v>3370660.5</v>
      </c>
      <c r="N7526" s="25">
        <f>IFERROR(T_reg.root.SK[[#This Row],[Price]]/T_reg.root.SK[[#This Row],[Starch content]],"")</f>
        <v>15.278438838648261</v>
      </c>
    </row>
    <row r="7527" spans="1:14">
      <c r="A7527" s="21">
        <v>2026</v>
      </c>
      <c r="B7527" s="21" t="s">
        <v>21</v>
      </c>
      <c r="C7527" s="21" t="s">
        <v>1145</v>
      </c>
      <c r="D7527" s="21" t="s">
        <v>35</v>
      </c>
      <c r="E7527" s="17" t="s">
        <v>176</v>
      </c>
      <c r="F7527" s="17" t="s">
        <v>105</v>
      </c>
      <c r="G7527" s="18" t="s">
        <v>48</v>
      </c>
      <c r="H7527" s="24">
        <v>22700</v>
      </c>
      <c r="I7527" s="24">
        <f>T_reg.root.SK[[#This Row],[Volume, kg]]/1000</f>
        <v>22.7</v>
      </c>
      <c r="J7527" s="25">
        <v>0.2094</v>
      </c>
      <c r="K7527" s="25">
        <f t="shared" si="118"/>
        <v>4753.38</v>
      </c>
      <c r="L7527" s="25">
        <v>2.6</v>
      </c>
      <c r="M7527" s="24">
        <v>58938.5</v>
      </c>
      <c r="N7527" s="25">
        <f>IFERROR(T_reg.root.SK[[#This Row],[Price]]/T_reg.root.SK[[#This Row],[Starch content]],"")</f>
        <v>12.416427889207259</v>
      </c>
    </row>
    <row r="7528" spans="1:14">
      <c r="A7528" s="21">
        <v>2026</v>
      </c>
      <c r="B7528" s="21" t="s">
        <v>21</v>
      </c>
      <c r="C7528" s="21" t="s">
        <v>1145</v>
      </c>
      <c r="D7528" s="21" t="s">
        <v>35</v>
      </c>
      <c r="E7528" s="17" t="s">
        <v>259</v>
      </c>
      <c r="F7528" s="17" t="s">
        <v>105</v>
      </c>
      <c r="G7528" s="18" t="s">
        <v>48</v>
      </c>
      <c r="H7528" s="24">
        <v>15080</v>
      </c>
      <c r="I7528" s="24">
        <f>T_reg.root.SK[[#This Row],[Volume, kg]]/1000</f>
        <v>15.08</v>
      </c>
      <c r="J7528" s="25">
        <v>0.22500000000000001</v>
      </c>
      <c r="K7528" s="25">
        <f t="shared" si="118"/>
        <v>3393</v>
      </c>
      <c r="L7528" s="25">
        <v>2.66</v>
      </c>
      <c r="M7528" s="24">
        <v>40084</v>
      </c>
      <c r="N7528" s="25">
        <f>IFERROR(T_reg.root.SK[[#This Row],[Price]]/T_reg.root.SK[[#This Row],[Starch content]],"")</f>
        <v>11.822222222222223</v>
      </c>
    </row>
    <row r="7529" spans="1:14">
      <c r="A7529" s="21">
        <v>2026</v>
      </c>
      <c r="B7529" s="21" t="s">
        <v>21</v>
      </c>
      <c r="C7529" s="21" t="s">
        <v>1145</v>
      </c>
      <c r="D7529" s="21" t="s">
        <v>35</v>
      </c>
      <c r="E7529" s="17" t="s">
        <v>741</v>
      </c>
      <c r="F7529" s="17" t="s">
        <v>105</v>
      </c>
      <c r="G7529" s="18" t="s">
        <v>48</v>
      </c>
      <c r="H7529" s="24">
        <v>8510</v>
      </c>
      <c r="I7529" s="24">
        <f>T_reg.root.SK[[#This Row],[Volume, kg]]/1000</f>
        <v>8.51</v>
      </c>
      <c r="J7529" s="25">
        <v>0.18970000000000001</v>
      </c>
      <c r="K7529" s="25">
        <f t="shared" si="118"/>
        <v>1614.347</v>
      </c>
      <c r="L7529" s="25">
        <v>2.65</v>
      </c>
      <c r="M7529" s="24">
        <v>22576.5</v>
      </c>
      <c r="N7529" s="25">
        <f>IFERROR(T_reg.root.SK[[#This Row],[Price]]/T_reg.root.SK[[#This Row],[Starch content]],"")</f>
        <v>13.969425408539799</v>
      </c>
    </row>
    <row r="7530" spans="1:14">
      <c r="A7530" s="21">
        <v>2026</v>
      </c>
      <c r="B7530" s="21" t="s">
        <v>21</v>
      </c>
      <c r="C7530" s="21" t="s">
        <v>1145</v>
      </c>
      <c r="D7530" s="21" t="s">
        <v>35</v>
      </c>
      <c r="E7530" s="17" t="s">
        <v>959</v>
      </c>
      <c r="F7530" s="17" t="s">
        <v>105</v>
      </c>
      <c r="G7530" s="18" t="s">
        <v>48</v>
      </c>
      <c r="H7530" s="24">
        <v>38380</v>
      </c>
      <c r="I7530" s="24">
        <f>T_reg.root.SK[[#This Row],[Volume, kg]]/1000</f>
        <v>38.380000000000003</v>
      </c>
      <c r="J7530" s="25">
        <v>0.26</v>
      </c>
      <c r="K7530" s="25">
        <f t="shared" si="118"/>
        <v>9978.8000000000011</v>
      </c>
      <c r="L7530" s="25">
        <v>2.86</v>
      </c>
      <c r="M7530" s="24">
        <v>109883.5</v>
      </c>
      <c r="N7530" s="25">
        <f>IFERROR(T_reg.root.SK[[#This Row],[Price]]/T_reg.root.SK[[#This Row],[Starch content]],"")</f>
        <v>11</v>
      </c>
    </row>
    <row r="7531" spans="1:14">
      <c r="A7531" s="21">
        <v>2026</v>
      </c>
      <c r="B7531" s="21" t="s">
        <v>21</v>
      </c>
      <c r="C7531" s="21" t="s">
        <v>1145</v>
      </c>
      <c r="D7531" s="21" t="s">
        <v>39</v>
      </c>
      <c r="E7531" s="17" t="s">
        <v>1108</v>
      </c>
      <c r="F7531" s="17" t="s">
        <v>37</v>
      </c>
      <c r="G7531" s="18" t="s">
        <v>38</v>
      </c>
      <c r="H7531" s="24">
        <v>189140</v>
      </c>
      <c r="I7531" s="24">
        <f>T_reg.root.SK[[#This Row],[Volume, kg]]/1000</f>
        <v>189.14</v>
      </c>
      <c r="J7531" s="25">
        <v>0.217</v>
      </c>
      <c r="K7531" s="25">
        <f t="shared" si="118"/>
        <v>41043.379999999997</v>
      </c>
      <c r="L7531" s="25">
        <v>3.08</v>
      </c>
      <c r="M7531" s="24">
        <v>581979</v>
      </c>
      <c r="N7531" s="25">
        <f>IFERROR(T_reg.root.SK[[#This Row],[Price]]/T_reg.root.SK[[#This Row],[Starch content]],"")</f>
        <v>14.193548387096774</v>
      </c>
    </row>
    <row r="7532" spans="1:14">
      <c r="A7532" s="21">
        <v>2026</v>
      </c>
      <c r="B7532" s="21" t="s">
        <v>22</v>
      </c>
      <c r="C7532" s="21" t="s">
        <v>1145</v>
      </c>
      <c r="D7532" s="21" t="s">
        <v>35</v>
      </c>
      <c r="E7532" s="17" t="s">
        <v>287</v>
      </c>
      <c r="F7532" s="17" t="s">
        <v>105</v>
      </c>
      <c r="G7532" s="18" t="s">
        <v>48</v>
      </c>
      <c r="H7532" s="24">
        <v>7850</v>
      </c>
      <c r="I7532" s="24">
        <f>T_reg.root.SK[[#This Row],[Volume, kg]]/1000</f>
        <v>7.85</v>
      </c>
      <c r="J7532" s="25">
        <v>0.23250000000000001</v>
      </c>
      <c r="K7532" s="25">
        <f t="shared" si="118"/>
        <v>1825.125</v>
      </c>
      <c r="L7532" s="25">
        <v>3</v>
      </c>
      <c r="M7532" s="24">
        <v>23550</v>
      </c>
      <c r="N7532" s="25">
        <f>IFERROR(T_reg.root.SK[[#This Row],[Price]]/T_reg.root.SK[[#This Row],[Starch content]],"")</f>
        <v>12.903225806451612</v>
      </c>
    </row>
    <row r="7533" spans="1:14">
      <c r="A7533" s="21">
        <v>2026</v>
      </c>
      <c r="B7533" s="21" t="s">
        <v>22</v>
      </c>
      <c r="C7533" s="21" t="s">
        <v>1145</v>
      </c>
      <c r="D7533" s="21" t="s">
        <v>39</v>
      </c>
      <c r="E7533" s="17" t="s">
        <v>1133</v>
      </c>
      <c r="F7533" s="17" t="s">
        <v>1134</v>
      </c>
      <c r="G7533" s="18" t="s">
        <v>87</v>
      </c>
      <c r="H7533" s="24">
        <v>853550</v>
      </c>
      <c r="I7533" s="24">
        <f>T_reg.root.SK[[#This Row],[Volume, kg]]/1000</f>
        <v>853.55</v>
      </c>
      <c r="J7533" s="25">
        <v>0.1734</v>
      </c>
      <c r="K7533" s="25">
        <f t="shared" si="118"/>
        <v>148005.57</v>
      </c>
      <c r="L7533" s="25">
        <v>3.42</v>
      </c>
      <c r="M7533" s="24">
        <v>2915132</v>
      </c>
      <c r="N7533" s="25">
        <f>IFERROR(T_reg.root.SK[[#This Row],[Price]]/T_reg.root.SK[[#This Row],[Starch content]],"")</f>
        <v>19.72318339100346</v>
      </c>
    </row>
    <row r="7534" spans="1:14">
      <c r="A7534" s="21">
        <v>2026</v>
      </c>
      <c r="B7534" s="21" t="s">
        <v>22</v>
      </c>
      <c r="C7534" s="21" t="s">
        <v>1145</v>
      </c>
      <c r="D7534" s="21" t="s">
        <v>35</v>
      </c>
      <c r="E7534" s="17" t="s">
        <v>108</v>
      </c>
      <c r="F7534" s="17" t="s">
        <v>105</v>
      </c>
      <c r="G7534" s="18" t="s">
        <v>48</v>
      </c>
      <c r="H7534" s="24">
        <v>36660</v>
      </c>
      <c r="I7534" s="24">
        <f>T_reg.root.SK[[#This Row],[Volume, kg]]/1000</f>
        <v>36.659999999999997</v>
      </c>
      <c r="J7534" s="25">
        <v>0.1409</v>
      </c>
      <c r="K7534" s="25">
        <f t="shared" si="118"/>
        <v>5165.3940000000002</v>
      </c>
      <c r="L7534" s="25">
        <v>2.52</v>
      </c>
      <c r="M7534" s="24">
        <v>92452</v>
      </c>
      <c r="N7534" s="25">
        <f>IFERROR(T_reg.root.SK[[#This Row],[Price]]/T_reg.root.SK[[#This Row],[Starch content]],"")</f>
        <v>17.88502484031228</v>
      </c>
    </row>
    <row r="7535" spans="1:14">
      <c r="A7535" s="21">
        <v>2026</v>
      </c>
      <c r="B7535" s="21" t="s">
        <v>22</v>
      </c>
      <c r="C7535" s="21" t="s">
        <v>1145</v>
      </c>
      <c r="D7535" s="21" t="s">
        <v>35</v>
      </c>
      <c r="E7535" s="17" t="s">
        <v>290</v>
      </c>
      <c r="F7535" s="17" t="s">
        <v>105</v>
      </c>
      <c r="G7535" s="18" t="s">
        <v>48</v>
      </c>
      <c r="H7535" s="24">
        <v>2790</v>
      </c>
      <c r="I7535" s="24">
        <f>T_reg.root.SK[[#This Row],[Volume, kg]]/1000</f>
        <v>2.79</v>
      </c>
      <c r="J7535" s="25">
        <v>0.187</v>
      </c>
      <c r="K7535" s="25">
        <f t="shared" ref="K7535:K7592" si="119">H7535*J7535</f>
        <v>521.73</v>
      </c>
      <c r="L7535" s="25">
        <v>2.8</v>
      </c>
      <c r="M7535" s="24">
        <v>7812</v>
      </c>
      <c r="N7535" s="25">
        <f>IFERROR(T_reg.root.SK[[#This Row],[Price]]/T_reg.root.SK[[#This Row],[Starch content]],"")</f>
        <v>14.973262032085561</v>
      </c>
    </row>
    <row r="7536" spans="1:14">
      <c r="A7536" s="21">
        <v>2026</v>
      </c>
      <c r="B7536" s="21" t="s">
        <v>22</v>
      </c>
      <c r="C7536" s="21" t="s">
        <v>1145</v>
      </c>
      <c r="D7536" s="21" t="s">
        <v>39</v>
      </c>
      <c r="E7536" s="17" t="s">
        <v>1020</v>
      </c>
      <c r="F7536" s="17" t="s">
        <v>1021</v>
      </c>
      <c r="G7536" s="18" t="s">
        <v>1022</v>
      </c>
      <c r="H7536" s="24">
        <v>265030</v>
      </c>
      <c r="I7536" s="24">
        <f>T_reg.root.SK[[#This Row],[Volume, kg]]/1000</f>
        <v>265.02999999999997</v>
      </c>
      <c r="J7536" s="25">
        <v>0.188</v>
      </c>
      <c r="K7536" s="25">
        <f t="shared" si="119"/>
        <v>49825.64</v>
      </c>
      <c r="L7536" s="25">
        <v>3.43</v>
      </c>
      <c r="M7536" s="24">
        <v>910113.5</v>
      </c>
      <c r="N7536" s="25">
        <f>IFERROR(T_reg.root.SK[[#This Row],[Price]]/T_reg.root.SK[[#This Row],[Starch content]],"")</f>
        <v>18.24468085106383</v>
      </c>
    </row>
    <row r="7537" spans="1:14">
      <c r="A7537" s="21">
        <v>2026</v>
      </c>
      <c r="B7537" s="21" t="s">
        <v>22</v>
      </c>
      <c r="C7537" s="21" t="s">
        <v>1145</v>
      </c>
      <c r="D7537" s="21" t="s">
        <v>39</v>
      </c>
      <c r="E7537" s="17" t="s">
        <v>1074</v>
      </c>
      <c r="F7537" s="17" t="s">
        <v>1075</v>
      </c>
      <c r="G7537" s="18" t="s">
        <v>48</v>
      </c>
      <c r="H7537" s="24">
        <v>2005370</v>
      </c>
      <c r="I7537" s="24">
        <f>T_reg.root.SK[[#This Row],[Volume, kg]]/1000</f>
        <v>2005.37</v>
      </c>
      <c r="J7537" s="25">
        <v>0.19919999999999999</v>
      </c>
      <c r="K7537" s="25">
        <f t="shared" si="119"/>
        <v>399469.70399999997</v>
      </c>
      <c r="L7537" s="25">
        <v>3.55</v>
      </c>
      <c r="M7537" s="24">
        <v>7111853</v>
      </c>
      <c r="N7537" s="25">
        <f>IFERROR(T_reg.root.SK[[#This Row],[Price]]/T_reg.root.SK[[#This Row],[Starch content]],"")</f>
        <v>17.821285140562249</v>
      </c>
    </row>
    <row r="7538" spans="1:14">
      <c r="A7538" s="21">
        <v>2026</v>
      </c>
      <c r="B7538" s="21" t="s">
        <v>22</v>
      </c>
      <c r="C7538" s="21" t="s">
        <v>1145</v>
      </c>
      <c r="D7538" s="21" t="s">
        <v>35</v>
      </c>
      <c r="E7538" s="17" t="s">
        <v>734</v>
      </c>
      <c r="F7538" s="17" t="s">
        <v>105</v>
      </c>
      <c r="G7538" s="18" t="s">
        <v>48</v>
      </c>
      <c r="H7538" s="24">
        <v>180160</v>
      </c>
      <c r="I7538" s="24">
        <f>T_reg.root.SK[[#This Row],[Volume, kg]]/1000</f>
        <v>180.16</v>
      </c>
      <c r="J7538" s="25">
        <v>0.1731</v>
      </c>
      <c r="K7538" s="25">
        <f t="shared" si="119"/>
        <v>31185.696</v>
      </c>
      <c r="L7538" s="25">
        <v>2.69</v>
      </c>
      <c r="M7538" s="24">
        <v>484645.5</v>
      </c>
      <c r="N7538" s="25">
        <f>IFERROR(T_reg.root.SK[[#This Row],[Price]]/T_reg.root.SK[[#This Row],[Starch content]],"")</f>
        <v>15.540150202195262</v>
      </c>
    </row>
    <row r="7539" spans="1:14">
      <c r="A7539" s="21">
        <v>2026</v>
      </c>
      <c r="B7539" s="21" t="s">
        <v>22</v>
      </c>
      <c r="C7539" s="21" t="s">
        <v>1145</v>
      </c>
      <c r="D7539" s="21" t="s">
        <v>39</v>
      </c>
      <c r="E7539" s="17" t="s">
        <v>1127</v>
      </c>
      <c r="F7539" s="17" t="s">
        <v>1128</v>
      </c>
      <c r="G7539" s="18" t="s">
        <v>1078</v>
      </c>
      <c r="H7539" s="24">
        <v>842910</v>
      </c>
      <c r="I7539" s="24">
        <f>T_reg.root.SK[[#This Row],[Volume, kg]]/1000</f>
        <v>842.91</v>
      </c>
      <c r="J7539" s="25">
        <v>0.1968</v>
      </c>
      <c r="K7539" s="25">
        <f t="shared" si="119"/>
        <v>165884.68799999999</v>
      </c>
      <c r="L7539" s="25">
        <v>3.64</v>
      </c>
      <c r="M7539" s="24">
        <v>3066665.5</v>
      </c>
      <c r="N7539" s="25">
        <f>IFERROR(T_reg.root.SK[[#This Row],[Price]]/T_reg.root.SK[[#This Row],[Starch content]],"")</f>
        <v>18.495934959349594</v>
      </c>
    </row>
    <row r="7540" spans="1:14">
      <c r="A7540" s="21">
        <v>2026</v>
      </c>
      <c r="B7540" s="21" t="s">
        <v>22</v>
      </c>
      <c r="C7540" s="21" t="s">
        <v>1145</v>
      </c>
      <c r="D7540" s="21" t="s">
        <v>39</v>
      </c>
      <c r="E7540" s="17" t="s">
        <v>284</v>
      </c>
      <c r="F7540" s="17" t="s">
        <v>285</v>
      </c>
      <c r="G7540" s="18" t="s">
        <v>286</v>
      </c>
      <c r="H7540" s="24">
        <v>287680</v>
      </c>
      <c r="I7540" s="24">
        <f>T_reg.root.SK[[#This Row],[Volume, kg]]/1000</f>
        <v>287.68</v>
      </c>
      <c r="J7540" s="25">
        <v>0.16539999999999999</v>
      </c>
      <c r="K7540" s="25">
        <f t="shared" si="119"/>
        <v>47582.271999999997</v>
      </c>
      <c r="L7540" s="25">
        <v>3.42</v>
      </c>
      <c r="M7540" s="24">
        <v>984203.5</v>
      </c>
      <c r="N7540" s="25">
        <f>IFERROR(T_reg.root.SK[[#This Row],[Price]]/T_reg.root.SK[[#This Row],[Starch content]],"")</f>
        <v>20.677146311970979</v>
      </c>
    </row>
    <row r="7541" spans="1:14">
      <c r="A7541" s="21">
        <v>2026</v>
      </c>
      <c r="B7541" s="21" t="s">
        <v>22</v>
      </c>
      <c r="C7541" s="21" t="s">
        <v>1145</v>
      </c>
      <c r="D7541" s="21" t="s">
        <v>39</v>
      </c>
      <c r="E7541" s="17" t="s">
        <v>997</v>
      </c>
      <c r="F7541" s="17" t="s">
        <v>998</v>
      </c>
      <c r="G7541" s="18" t="s">
        <v>87</v>
      </c>
      <c r="H7541" s="24">
        <v>120830</v>
      </c>
      <c r="I7541" s="24">
        <f>T_reg.root.SK[[#This Row],[Volume, kg]]/1000</f>
        <v>120.83</v>
      </c>
      <c r="J7541" s="25">
        <v>0.20380000000000001</v>
      </c>
      <c r="K7541" s="25">
        <f t="shared" si="119"/>
        <v>24625.154000000002</v>
      </c>
      <c r="L7541" s="25">
        <v>3.61</v>
      </c>
      <c r="M7541" s="24">
        <v>436463.5</v>
      </c>
      <c r="N7541" s="25">
        <f>IFERROR(T_reg.root.SK[[#This Row],[Price]]/T_reg.root.SK[[#This Row],[Starch content]],"")</f>
        <v>17.713444553483807</v>
      </c>
    </row>
    <row r="7542" spans="1:14">
      <c r="A7542" s="21">
        <v>2026</v>
      </c>
      <c r="B7542" s="21" t="s">
        <v>22</v>
      </c>
      <c r="C7542" s="21" t="s">
        <v>1145</v>
      </c>
      <c r="D7542" s="21" t="s">
        <v>35</v>
      </c>
      <c r="E7542" s="17" t="s">
        <v>235</v>
      </c>
      <c r="F7542" s="17" t="s">
        <v>105</v>
      </c>
      <c r="G7542" s="18" t="s">
        <v>48</v>
      </c>
      <c r="H7542" s="24">
        <v>13080</v>
      </c>
      <c r="I7542" s="24">
        <f>T_reg.root.SK[[#This Row],[Volume, kg]]/1000</f>
        <v>13.08</v>
      </c>
      <c r="J7542" s="25">
        <v>0.1449</v>
      </c>
      <c r="K7542" s="25">
        <f t="shared" si="119"/>
        <v>1895.2919999999999</v>
      </c>
      <c r="L7542" s="25">
        <v>2.58</v>
      </c>
      <c r="M7542" s="24">
        <v>33785</v>
      </c>
      <c r="N7542" s="25">
        <f>IFERROR(T_reg.root.SK[[#This Row],[Price]]/T_reg.root.SK[[#This Row],[Starch content]],"")</f>
        <v>17.805383022774329</v>
      </c>
    </row>
    <row r="7543" spans="1:14">
      <c r="A7543" s="21">
        <v>2026</v>
      </c>
      <c r="B7543" s="21" t="s">
        <v>22</v>
      </c>
      <c r="C7543" s="21" t="s">
        <v>1145</v>
      </c>
      <c r="D7543" s="21" t="s">
        <v>35</v>
      </c>
      <c r="E7543" s="17" t="s">
        <v>685</v>
      </c>
      <c r="F7543" s="17" t="s">
        <v>105</v>
      </c>
      <c r="G7543" s="18" t="s">
        <v>48</v>
      </c>
      <c r="H7543" s="24">
        <v>30240</v>
      </c>
      <c r="I7543" s="24">
        <f>T_reg.root.SK[[#This Row],[Volume, kg]]/1000</f>
        <v>30.24</v>
      </c>
      <c r="J7543" s="25">
        <v>0.18909999999999999</v>
      </c>
      <c r="K7543" s="25">
        <f t="shared" si="119"/>
        <v>5718.384</v>
      </c>
      <c r="L7543" s="25">
        <v>2.75</v>
      </c>
      <c r="M7543" s="24">
        <v>83141</v>
      </c>
      <c r="N7543" s="25">
        <f>IFERROR(T_reg.root.SK[[#This Row],[Price]]/T_reg.root.SK[[#This Row],[Starch content]],"")</f>
        <v>14.542570068746695</v>
      </c>
    </row>
    <row r="7544" spans="1:14">
      <c r="A7544" s="21">
        <v>2026</v>
      </c>
      <c r="B7544" s="21" t="s">
        <v>22</v>
      </c>
      <c r="C7544" s="21" t="s">
        <v>1145</v>
      </c>
      <c r="D7544" s="21" t="s">
        <v>39</v>
      </c>
      <c r="E7544" s="17" t="s">
        <v>1060</v>
      </c>
      <c r="F7544" s="17" t="s">
        <v>1018</v>
      </c>
      <c r="G7544" s="18" t="s">
        <v>103</v>
      </c>
      <c r="H7544" s="24">
        <v>48310</v>
      </c>
      <c r="I7544" s="24">
        <f>T_reg.root.SK[[#This Row],[Volume, kg]]/1000</f>
        <v>48.31</v>
      </c>
      <c r="J7544" s="25">
        <v>0.17710000000000001</v>
      </c>
      <c r="K7544" s="25">
        <f t="shared" si="119"/>
        <v>8555.7010000000009</v>
      </c>
      <c r="L7544" s="25">
        <v>3.47</v>
      </c>
      <c r="M7544" s="24">
        <v>167735.5</v>
      </c>
      <c r="N7544" s="25">
        <f>IFERROR(T_reg.root.SK[[#This Row],[Price]]/T_reg.root.SK[[#This Row],[Starch content]],"")</f>
        <v>19.593450028232638</v>
      </c>
    </row>
    <row r="7545" spans="1:14">
      <c r="A7545" s="21">
        <v>2026</v>
      </c>
      <c r="B7545" s="21" t="s">
        <v>22</v>
      </c>
      <c r="C7545" s="21" t="s">
        <v>1145</v>
      </c>
      <c r="D7545" s="21" t="s">
        <v>39</v>
      </c>
      <c r="E7545" s="17" t="s">
        <v>1129</v>
      </c>
      <c r="F7545" s="17" t="s">
        <v>1130</v>
      </c>
      <c r="G7545" s="18" t="s">
        <v>1131</v>
      </c>
      <c r="H7545" s="24">
        <v>3187220</v>
      </c>
      <c r="I7545" s="24">
        <f>T_reg.root.SK[[#This Row],[Volume, kg]]/1000</f>
        <v>3187.22</v>
      </c>
      <c r="J7545" s="25">
        <v>0.18110000000000001</v>
      </c>
      <c r="K7545" s="25">
        <f t="shared" si="119"/>
        <v>577205.54200000002</v>
      </c>
      <c r="L7545" s="25">
        <v>3.52</v>
      </c>
      <c r="M7545" s="24">
        <v>11218784.5</v>
      </c>
      <c r="N7545" s="25">
        <f>IFERROR(T_reg.root.SK[[#This Row],[Price]]/T_reg.root.SK[[#This Row],[Starch content]],"")</f>
        <v>19.43677526228603</v>
      </c>
    </row>
    <row r="7546" spans="1:14">
      <c r="A7546" s="21">
        <v>2026</v>
      </c>
      <c r="B7546" s="21" t="s">
        <v>22</v>
      </c>
      <c r="C7546" s="21" t="s">
        <v>1145</v>
      </c>
      <c r="D7546" s="21" t="s">
        <v>35</v>
      </c>
      <c r="E7546" s="17" t="s">
        <v>805</v>
      </c>
      <c r="F7546" s="17" t="s">
        <v>105</v>
      </c>
      <c r="G7546" s="18" t="s">
        <v>48</v>
      </c>
      <c r="H7546" s="24">
        <v>8090</v>
      </c>
      <c r="I7546" s="24">
        <f>T_reg.root.SK[[#This Row],[Volume, kg]]/1000</f>
        <v>8.09</v>
      </c>
      <c r="J7546" s="25">
        <v>0.247</v>
      </c>
      <c r="K7546" s="25">
        <f t="shared" si="119"/>
        <v>1998.23</v>
      </c>
      <c r="L7546" s="25">
        <v>3.1</v>
      </c>
      <c r="M7546" s="24">
        <v>25079</v>
      </c>
      <c r="N7546" s="25">
        <f>IFERROR(T_reg.root.SK[[#This Row],[Price]]/T_reg.root.SK[[#This Row],[Starch content]],"")</f>
        <v>12.550607287449393</v>
      </c>
    </row>
    <row r="7547" spans="1:14">
      <c r="A7547" s="21">
        <v>2026</v>
      </c>
      <c r="B7547" s="21" t="s">
        <v>22</v>
      </c>
      <c r="C7547" s="21" t="s">
        <v>1145</v>
      </c>
      <c r="D7547" s="21" t="s">
        <v>35</v>
      </c>
      <c r="E7547" s="17" t="s">
        <v>1113</v>
      </c>
      <c r="F7547" s="17" t="s">
        <v>105</v>
      </c>
      <c r="G7547" s="18" t="s">
        <v>48</v>
      </c>
      <c r="H7547" s="24">
        <v>5240</v>
      </c>
      <c r="I7547" s="24">
        <f>T_reg.root.SK[[#This Row],[Volume, kg]]/1000</f>
        <v>5.24</v>
      </c>
      <c r="J7547" s="25">
        <v>0.10630000000000001</v>
      </c>
      <c r="K7547" s="25">
        <f t="shared" si="119"/>
        <v>557.01200000000006</v>
      </c>
      <c r="L7547" s="25">
        <v>2.4500000000000002</v>
      </c>
      <c r="M7547" s="24">
        <v>12838</v>
      </c>
      <c r="N7547" s="25">
        <f>IFERROR(T_reg.root.SK[[#This Row],[Price]]/T_reg.root.SK[[#This Row],[Starch content]],"")</f>
        <v>23.047977422389465</v>
      </c>
    </row>
    <row r="7548" spans="1:14">
      <c r="A7548" s="21">
        <v>2026</v>
      </c>
      <c r="B7548" s="21" t="s">
        <v>22</v>
      </c>
      <c r="C7548" s="21" t="s">
        <v>1145</v>
      </c>
      <c r="D7548" s="21" t="s">
        <v>35</v>
      </c>
      <c r="E7548" s="17" t="s">
        <v>117</v>
      </c>
      <c r="F7548" s="17" t="s">
        <v>105</v>
      </c>
      <c r="G7548" s="18" t="s">
        <v>48</v>
      </c>
      <c r="H7548" s="24">
        <v>9550</v>
      </c>
      <c r="I7548" s="24">
        <f>T_reg.root.SK[[#This Row],[Volume, kg]]/1000</f>
        <v>9.5500000000000007</v>
      </c>
      <c r="J7548" s="25">
        <v>0.219</v>
      </c>
      <c r="K7548" s="25">
        <f t="shared" si="119"/>
        <v>2091.4499999999998</v>
      </c>
      <c r="L7548" s="25">
        <v>2.84</v>
      </c>
      <c r="M7548" s="24">
        <v>27093</v>
      </c>
      <c r="N7548" s="25">
        <f>IFERROR(T_reg.root.SK[[#This Row],[Price]]/T_reg.root.SK[[#This Row],[Starch content]],"")</f>
        <v>12.968036529680365</v>
      </c>
    </row>
    <row r="7549" spans="1:14">
      <c r="A7549" s="21">
        <v>2026</v>
      </c>
      <c r="B7549" s="21" t="s">
        <v>22</v>
      </c>
      <c r="C7549" s="21" t="s">
        <v>1145</v>
      </c>
      <c r="D7549" s="21" t="s">
        <v>35</v>
      </c>
      <c r="E7549" s="17" t="s">
        <v>943</v>
      </c>
      <c r="F7549" s="17" t="s">
        <v>95</v>
      </c>
      <c r="G7549" s="18" t="s">
        <v>48</v>
      </c>
      <c r="H7549" s="24">
        <v>6510</v>
      </c>
      <c r="I7549" s="24">
        <f>T_reg.root.SK[[#This Row],[Volume, kg]]/1000</f>
        <v>6.51</v>
      </c>
      <c r="J7549" s="25">
        <v>0.19550000000000001</v>
      </c>
      <c r="K7549" s="25">
        <f t="shared" si="119"/>
        <v>1272.7050000000002</v>
      </c>
      <c r="L7549" s="25">
        <v>2.85</v>
      </c>
      <c r="M7549" s="24">
        <v>18553.5</v>
      </c>
      <c r="N7549" s="25">
        <f>IFERROR(T_reg.root.SK[[#This Row],[Price]]/T_reg.root.SK[[#This Row],[Starch content]],"")</f>
        <v>14.578005115089514</v>
      </c>
    </row>
    <row r="7550" spans="1:14">
      <c r="A7550" s="21">
        <v>2026</v>
      </c>
      <c r="B7550" s="21" t="s">
        <v>22</v>
      </c>
      <c r="C7550" s="21" t="s">
        <v>1145</v>
      </c>
      <c r="D7550" s="21" t="s">
        <v>39</v>
      </c>
      <c r="E7550" s="17" t="s">
        <v>101</v>
      </c>
      <c r="F7550" s="17" t="s">
        <v>102</v>
      </c>
      <c r="G7550" s="18" t="s">
        <v>103</v>
      </c>
      <c r="H7550" s="24">
        <v>30090</v>
      </c>
      <c r="I7550" s="24">
        <f>T_reg.root.SK[[#This Row],[Volume, kg]]/1000</f>
        <v>30.09</v>
      </c>
      <c r="J7550" s="25">
        <v>0.21</v>
      </c>
      <c r="K7550" s="25">
        <f t="shared" si="119"/>
        <v>6318.9</v>
      </c>
      <c r="L7550" s="25">
        <v>3.2</v>
      </c>
      <c r="M7550" s="24">
        <v>96288</v>
      </c>
      <c r="N7550" s="25">
        <f>IFERROR(T_reg.root.SK[[#This Row],[Price]]/T_reg.root.SK[[#This Row],[Starch content]],"")</f>
        <v>15.238095238095239</v>
      </c>
    </row>
    <row r="7551" spans="1:14">
      <c r="A7551" s="21">
        <v>2026</v>
      </c>
      <c r="B7551" s="21" t="s">
        <v>22</v>
      </c>
      <c r="C7551" s="21" t="s">
        <v>1145</v>
      </c>
      <c r="D7551" s="21" t="s">
        <v>35</v>
      </c>
      <c r="E7551" s="17" t="s">
        <v>123</v>
      </c>
      <c r="F7551" s="17" t="s">
        <v>105</v>
      </c>
      <c r="G7551" s="18" t="s">
        <v>48</v>
      </c>
      <c r="H7551" s="24">
        <v>17260</v>
      </c>
      <c r="I7551" s="24">
        <f>T_reg.root.SK[[#This Row],[Volume, kg]]/1000</f>
        <v>17.260000000000002</v>
      </c>
      <c r="J7551" s="25">
        <v>0.18099999999999999</v>
      </c>
      <c r="K7551" s="25">
        <f t="shared" si="119"/>
        <v>3124.06</v>
      </c>
      <c r="L7551" s="25">
        <v>2.77</v>
      </c>
      <c r="M7551" s="24">
        <v>47814.5</v>
      </c>
      <c r="N7551" s="25">
        <f>IFERROR(T_reg.root.SK[[#This Row],[Price]]/T_reg.root.SK[[#This Row],[Starch content]],"")</f>
        <v>15.303867403314918</v>
      </c>
    </row>
    <row r="7552" spans="1:14">
      <c r="A7552" s="21">
        <v>2026</v>
      </c>
      <c r="B7552" s="21" t="s">
        <v>22</v>
      </c>
      <c r="C7552" s="21" t="s">
        <v>1145</v>
      </c>
      <c r="D7552" s="21" t="s">
        <v>35</v>
      </c>
      <c r="E7552" s="17" t="s">
        <v>129</v>
      </c>
      <c r="F7552" s="17" t="s">
        <v>105</v>
      </c>
      <c r="G7552" s="18" t="s">
        <v>48</v>
      </c>
      <c r="H7552" s="24">
        <v>34420</v>
      </c>
      <c r="I7552" s="24">
        <f>T_reg.root.SK[[#This Row],[Volume, kg]]/1000</f>
        <v>34.42</v>
      </c>
      <c r="J7552" s="25">
        <v>0.2233</v>
      </c>
      <c r="K7552" s="25">
        <f t="shared" si="119"/>
        <v>7685.9859999999999</v>
      </c>
      <c r="L7552" s="25">
        <v>2.96</v>
      </c>
      <c r="M7552" s="24">
        <v>101784.5</v>
      </c>
      <c r="N7552" s="25">
        <f>IFERROR(T_reg.root.SK[[#This Row],[Price]]/T_reg.root.SK[[#This Row],[Starch content]],"")</f>
        <v>13.255709807433945</v>
      </c>
    </row>
    <row r="7553" spans="1:14">
      <c r="A7553" s="21">
        <v>2026</v>
      </c>
      <c r="B7553" s="21" t="s">
        <v>22</v>
      </c>
      <c r="C7553" s="21" t="s">
        <v>1145</v>
      </c>
      <c r="D7553" s="21" t="s">
        <v>35</v>
      </c>
      <c r="E7553" s="17" t="s">
        <v>807</v>
      </c>
      <c r="F7553" s="17" t="s">
        <v>105</v>
      </c>
      <c r="G7553" s="18" t="s">
        <v>48</v>
      </c>
      <c r="H7553" s="24">
        <v>11540</v>
      </c>
      <c r="I7553" s="24">
        <f>T_reg.root.SK[[#This Row],[Volume, kg]]/1000</f>
        <v>11.54</v>
      </c>
      <c r="J7553" s="25">
        <v>0.20169999999999999</v>
      </c>
      <c r="K7553" s="25">
        <f t="shared" si="119"/>
        <v>2327.6179999999999</v>
      </c>
      <c r="L7553" s="25">
        <v>2.9</v>
      </c>
      <c r="M7553" s="24">
        <v>33466</v>
      </c>
      <c r="N7553" s="25">
        <f>IFERROR(T_reg.root.SK[[#This Row],[Price]]/T_reg.root.SK[[#This Row],[Starch content]],"")</f>
        <v>14.377788795240455</v>
      </c>
    </row>
    <row r="7554" spans="1:14">
      <c r="A7554" s="21">
        <v>2026</v>
      </c>
      <c r="B7554" s="21" t="s">
        <v>22</v>
      </c>
      <c r="C7554" s="21" t="s">
        <v>1145</v>
      </c>
      <c r="D7554" s="21" t="s">
        <v>39</v>
      </c>
      <c r="E7554" s="17" t="s">
        <v>1073</v>
      </c>
      <c r="F7554" s="17" t="s">
        <v>89</v>
      </c>
      <c r="G7554" s="18" t="s">
        <v>90</v>
      </c>
      <c r="H7554" s="24">
        <v>10804980</v>
      </c>
      <c r="I7554" s="24">
        <f>T_reg.root.SK[[#This Row],[Volume, kg]]/1000</f>
        <v>10804.98</v>
      </c>
      <c r="J7554" s="25">
        <v>0.17810000000000001</v>
      </c>
      <c r="K7554" s="25">
        <f t="shared" si="119"/>
        <v>1924366.9380000001</v>
      </c>
      <c r="L7554" s="25">
        <v>3.47</v>
      </c>
      <c r="M7554" s="24">
        <v>37448166.5</v>
      </c>
      <c r="N7554" s="25">
        <f>IFERROR(T_reg.root.SK[[#This Row],[Price]]/T_reg.root.SK[[#This Row],[Starch content]],"")</f>
        <v>19.483436271757441</v>
      </c>
    </row>
    <row r="7555" spans="1:14">
      <c r="A7555" s="21">
        <v>2026</v>
      </c>
      <c r="B7555" s="21" t="s">
        <v>22</v>
      </c>
      <c r="C7555" s="21" t="s">
        <v>1145</v>
      </c>
      <c r="D7555" s="21" t="s">
        <v>35</v>
      </c>
      <c r="E7555" s="17" t="s">
        <v>223</v>
      </c>
      <c r="F7555" s="17" t="s">
        <v>47</v>
      </c>
      <c r="G7555" s="18" t="s">
        <v>48</v>
      </c>
      <c r="H7555" s="24">
        <v>504610</v>
      </c>
      <c r="I7555" s="24">
        <f>T_reg.root.SK[[#This Row],[Volume, kg]]/1000</f>
        <v>504.61</v>
      </c>
      <c r="J7555" s="25">
        <v>0.159</v>
      </c>
      <c r="K7555" s="25">
        <f t="shared" si="119"/>
        <v>80232.990000000005</v>
      </c>
      <c r="L7555" s="25">
        <v>2.9011671479999999</v>
      </c>
      <c r="M7555" s="24">
        <v>1463957.95</v>
      </c>
      <c r="N7555" s="25">
        <f>IFERROR(T_reg.root.SK[[#This Row],[Price]]/T_reg.root.SK[[#This Row],[Starch content]],"")</f>
        <v>18.246334264150942</v>
      </c>
    </row>
    <row r="7556" spans="1:14">
      <c r="A7556" s="21">
        <v>2026</v>
      </c>
      <c r="B7556" s="21" t="s">
        <v>22</v>
      </c>
      <c r="C7556" s="21" t="s">
        <v>1145</v>
      </c>
      <c r="D7556" s="21" t="s">
        <v>35</v>
      </c>
      <c r="E7556" s="17" t="s">
        <v>199</v>
      </c>
      <c r="F7556" s="17" t="s">
        <v>187</v>
      </c>
      <c r="G7556" s="18" t="s">
        <v>48</v>
      </c>
      <c r="H7556" s="24">
        <v>32970</v>
      </c>
      <c r="I7556" s="24">
        <f>T_reg.root.SK[[#This Row],[Volume, kg]]/1000</f>
        <v>32.97</v>
      </c>
      <c r="J7556" s="25">
        <v>0.2167</v>
      </c>
      <c r="K7556" s="25">
        <f t="shared" si="119"/>
        <v>7144.5990000000002</v>
      </c>
      <c r="L7556" s="25">
        <v>2.92</v>
      </c>
      <c r="M7556" s="24">
        <v>96420</v>
      </c>
      <c r="N7556" s="25">
        <f>IFERROR(T_reg.root.SK[[#This Row],[Price]]/T_reg.root.SK[[#This Row],[Starch content]],"")</f>
        <v>13.474850023073373</v>
      </c>
    </row>
    <row r="7557" spans="1:14">
      <c r="A7557" s="21">
        <v>2026</v>
      </c>
      <c r="B7557" s="21" t="s">
        <v>22</v>
      </c>
      <c r="C7557" s="21" t="s">
        <v>1145</v>
      </c>
      <c r="D7557" s="21" t="s">
        <v>39</v>
      </c>
      <c r="E7557" s="17" t="s">
        <v>1063</v>
      </c>
      <c r="F7557" s="17" t="s">
        <v>1064</v>
      </c>
      <c r="G7557" s="18" t="s">
        <v>220</v>
      </c>
      <c r="H7557" s="24">
        <v>2435040</v>
      </c>
      <c r="I7557" s="24">
        <f>T_reg.root.SK[[#This Row],[Volume, kg]]/1000</f>
        <v>2435.04</v>
      </c>
      <c r="J7557" s="25">
        <v>0.16589999999999999</v>
      </c>
      <c r="K7557" s="25">
        <f t="shared" si="119"/>
        <v>403973.136</v>
      </c>
      <c r="L7557" s="25">
        <v>3.39</v>
      </c>
      <c r="M7557" s="24">
        <v>8251961.5</v>
      </c>
      <c r="N7557" s="25">
        <f>IFERROR(T_reg.root.SK[[#This Row],[Price]]/T_reg.root.SK[[#This Row],[Starch content]],"")</f>
        <v>20.433996383363475</v>
      </c>
    </row>
    <row r="7558" spans="1:14">
      <c r="A7558" s="21">
        <v>2026</v>
      </c>
      <c r="B7558" s="21" t="s">
        <v>22</v>
      </c>
      <c r="C7558" s="21" t="s">
        <v>1145</v>
      </c>
      <c r="D7558" s="21" t="s">
        <v>35</v>
      </c>
      <c r="E7558" s="17" t="s">
        <v>304</v>
      </c>
      <c r="F7558" s="17" t="s">
        <v>105</v>
      </c>
      <c r="G7558" s="18" t="s">
        <v>48</v>
      </c>
      <c r="H7558" s="24">
        <v>21330</v>
      </c>
      <c r="I7558" s="24">
        <f>T_reg.root.SK[[#This Row],[Volume, kg]]/1000</f>
        <v>21.33</v>
      </c>
      <c r="J7558" s="25">
        <v>0.15179999999999999</v>
      </c>
      <c r="K7558" s="25">
        <f t="shared" si="119"/>
        <v>3237.8939999999998</v>
      </c>
      <c r="L7558" s="25">
        <v>2.62</v>
      </c>
      <c r="M7558" s="24">
        <v>55935.5</v>
      </c>
      <c r="N7558" s="25">
        <f>IFERROR(T_reg.root.SK[[#This Row],[Price]]/T_reg.root.SK[[#This Row],[Starch content]],"")</f>
        <v>17.259552042160738</v>
      </c>
    </row>
    <row r="7559" spans="1:14">
      <c r="A7559" s="21">
        <v>2026</v>
      </c>
      <c r="B7559" s="21" t="s">
        <v>22</v>
      </c>
      <c r="C7559" s="21" t="s">
        <v>1145</v>
      </c>
      <c r="D7559" s="21" t="s">
        <v>35</v>
      </c>
      <c r="E7559" s="17" t="s">
        <v>719</v>
      </c>
      <c r="F7559" s="17" t="s">
        <v>105</v>
      </c>
      <c r="G7559" s="18" t="s">
        <v>48</v>
      </c>
      <c r="H7559" s="24">
        <v>4740</v>
      </c>
      <c r="I7559" s="24">
        <f>T_reg.root.SK[[#This Row],[Volume, kg]]/1000</f>
        <v>4.74</v>
      </c>
      <c r="J7559" s="25">
        <v>0.16750000000000001</v>
      </c>
      <c r="K7559" s="25">
        <f t="shared" si="119"/>
        <v>793.95</v>
      </c>
      <c r="L7559" s="25">
        <v>2.7</v>
      </c>
      <c r="M7559" s="24">
        <v>12798</v>
      </c>
      <c r="N7559" s="25">
        <f>IFERROR(T_reg.root.SK[[#This Row],[Price]]/T_reg.root.SK[[#This Row],[Starch content]],"")</f>
        <v>16.119402985074625</v>
      </c>
    </row>
    <row r="7560" spans="1:14">
      <c r="A7560" s="21">
        <v>2026</v>
      </c>
      <c r="B7560" s="21" t="s">
        <v>22</v>
      </c>
      <c r="C7560" s="21" t="s">
        <v>1145</v>
      </c>
      <c r="D7560" s="21" t="s">
        <v>39</v>
      </c>
      <c r="E7560" s="17" t="s">
        <v>1065</v>
      </c>
      <c r="F7560" s="17" t="s">
        <v>219</v>
      </c>
      <c r="G7560" s="18" t="s">
        <v>220</v>
      </c>
      <c r="H7560" s="24">
        <v>522150</v>
      </c>
      <c r="I7560" s="24">
        <f>T_reg.root.SK[[#This Row],[Volume, kg]]/1000</f>
        <v>522.15</v>
      </c>
      <c r="J7560" s="25">
        <v>0.18090000000000001</v>
      </c>
      <c r="K7560" s="25">
        <f t="shared" si="119"/>
        <v>94456.934999999998</v>
      </c>
      <c r="L7560" s="25">
        <v>3.45</v>
      </c>
      <c r="M7560" s="24">
        <v>1802055.5</v>
      </c>
      <c r="N7560" s="25">
        <f>IFERROR(T_reg.root.SK[[#This Row],[Price]]/T_reg.root.SK[[#This Row],[Starch content]],"")</f>
        <v>19.071310116086234</v>
      </c>
    </row>
    <row r="7561" spans="1:14">
      <c r="A7561" s="21">
        <v>2026</v>
      </c>
      <c r="B7561" s="21" t="s">
        <v>22</v>
      </c>
      <c r="C7561" s="21" t="s">
        <v>1145</v>
      </c>
      <c r="D7561" s="21" t="s">
        <v>35</v>
      </c>
      <c r="E7561" s="17" t="s">
        <v>951</v>
      </c>
      <c r="F7561" s="17" t="s">
        <v>105</v>
      </c>
      <c r="G7561" s="18" t="s">
        <v>48</v>
      </c>
      <c r="H7561" s="24">
        <v>6640</v>
      </c>
      <c r="I7561" s="24">
        <f>T_reg.root.SK[[#This Row],[Volume, kg]]/1000</f>
        <v>6.64</v>
      </c>
      <c r="J7561" s="25">
        <v>0.16869999999999999</v>
      </c>
      <c r="K7561" s="25">
        <f t="shared" si="119"/>
        <v>1120.1679999999999</v>
      </c>
      <c r="L7561" s="25">
        <v>2.7</v>
      </c>
      <c r="M7561" s="24">
        <v>17898</v>
      </c>
      <c r="N7561" s="25">
        <f>IFERROR(T_reg.root.SK[[#This Row],[Price]]/T_reg.root.SK[[#This Row],[Starch content]],"")</f>
        <v>16.004742145820988</v>
      </c>
    </row>
    <row r="7562" spans="1:14">
      <c r="A7562" s="21">
        <v>2026</v>
      </c>
      <c r="B7562" s="21" t="s">
        <v>22</v>
      </c>
      <c r="C7562" s="21" t="s">
        <v>1145</v>
      </c>
      <c r="D7562" s="21" t="s">
        <v>35</v>
      </c>
      <c r="E7562" s="17" t="s">
        <v>933</v>
      </c>
      <c r="F7562" s="17" t="s">
        <v>105</v>
      </c>
      <c r="G7562" s="18" t="s">
        <v>48</v>
      </c>
      <c r="H7562" s="24">
        <v>8550</v>
      </c>
      <c r="I7562" s="24">
        <f>T_reg.root.SK[[#This Row],[Volume, kg]]/1000</f>
        <v>8.5500000000000007</v>
      </c>
      <c r="J7562" s="25">
        <v>0.23849999999999999</v>
      </c>
      <c r="K7562" s="25">
        <f t="shared" si="119"/>
        <v>2039.175</v>
      </c>
      <c r="L7562" s="25">
        <v>3.1</v>
      </c>
      <c r="M7562" s="24">
        <v>26505</v>
      </c>
      <c r="N7562" s="25">
        <f>IFERROR(T_reg.root.SK[[#This Row],[Price]]/T_reg.root.SK[[#This Row],[Starch content]],"")</f>
        <v>12.9979035639413</v>
      </c>
    </row>
    <row r="7563" spans="1:14">
      <c r="A7563" s="21">
        <v>2026</v>
      </c>
      <c r="B7563" s="21" t="s">
        <v>22</v>
      </c>
      <c r="C7563" s="21" t="s">
        <v>1145</v>
      </c>
      <c r="D7563" s="21" t="s">
        <v>35</v>
      </c>
      <c r="E7563" s="17" t="s">
        <v>646</v>
      </c>
      <c r="F7563" s="17" t="s">
        <v>105</v>
      </c>
      <c r="G7563" s="18" t="s">
        <v>48</v>
      </c>
      <c r="H7563" s="24">
        <v>7820</v>
      </c>
      <c r="I7563" s="24">
        <f>T_reg.root.SK[[#This Row],[Volume, kg]]/1000</f>
        <v>7.82</v>
      </c>
      <c r="J7563" s="25">
        <v>0.1865</v>
      </c>
      <c r="K7563" s="25">
        <f t="shared" si="119"/>
        <v>1458.43</v>
      </c>
      <c r="L7563" s="25">
        <v>2.7</v>
      </c>
      <c r="M7563" s="24">
        <v>21114</v>
      </c>
      <c r="N7563" s="25">
        <f>IFERROR(T_reg.root.SK[[#This Row],[Price]]/T_reg.root.SK[[#This Row],[Starch content]],"")</f>
        <v>14.47721179624665</v>
      </c>
    </row>
    <row r="7564" spans="1:14">
      <c r="A7564" s="21">
        <v>2026</v>
      </c>
      <c r="B7564" s="21" t="s">
        <v>22</v>
      </c>
      <c r="C7564" s="21" t="s">
        <v>1145</v>
      </c>
      <c r="D7564" s="21" t="s">
        <v>35</v>
      </c>
      <c r="E7564" s="17" t="s">
        <v>312</v>
      </c>
      <c r="F7564" s="17" t="s">
        <v>105</v>
      </c>
      <c r="G7564" s="18" t="s">
        <v>48</v>
      </c>
      <c r="H7564" s="24">
        <v>9620</v>
      </c>
      <c r="I7564" s="24">
        <f>T_reg.root.SK[[#This Row],[Volume, kg]]/1000</f>
        <v>9.6199999999999992</v>
      </c>
      <c r="J7564" s="25">
        <v>0.17100000000000001</v>
      </c>
      <c r="K7564" s="25">
        <f t="shared" si="119"/>
        <v>1645.0200000000002</v>
      </c>
      <c r="L7564" s="25">
        <v>2.75</v>
      </c>
      <c r="M7564" s="24">
        <v>26455</v>
      </c>
      <c r="N7564" s="25">
        <f>IFERROR(T_reg.root.SK[[#This Row],[Price]]/T_reg.root.SK[[#This Row],[Starch content]],"")</f>
        <v>16.081871345029239</v>
      </c>
    </row>
    <row r="7565" spans="1:14">
      <c r="A7565" s="21">
        <v>2026</v>
      </c>
      <c r="B7565" s="21" t="s">
        <v>22</v>
      </c>
      <c r="C7565" s="21" t="s">
        <v>1145</v>
      </c>
      <c r="D7565" s="21" t="s">
        <v>35</v>
      </c>
      <c r="E7565" s="17" t="s">
        <v>250</v>
      </c>
      <c r="F7565" s="17" t="s">
        <v>105</v>
      </c>
      <c r="G7565" s="18" t="s">
        <v>48</v>
      </c>
      <c r="H7565" s="24">
        <v>2450</v>
      </c>
      <c r="I7565" s="24">
        <f>T_reg.root.SK[[#This Row],[Volume, kg]]/1000</f>
        <v>2.4500000000000002</v>
      </c>
      <c r="J7565" s="25">
        <v>0.1915</v>
      </c>
      <c r="K7565" s="25">
        <f t="shared" si="119"/>
        <v>469.17500000000001</v>
      </c>
      <c r="L7565" s="25">
        <v>2.85</v>
      </c>
      <c r="M7565" s="24">
        <v>6982.5</v>
      </c>
      <c r="N7565" s="25">
        <f>IFERROR(T_reg.root.SK[[#This Row],[Price]]/T_reg.root.SK[[#This Row],[Starch content]],"")</f>
        <v>14.882506527415144</v>
      </c>
    </row>
    <row r="7566" spans="1:14">
      <c r="A7566" s="21">
        <v>2026</v>
      </c>
      <c r="B7566" s="21" t="s">
        <v>22</v>
      </c>
      <c r="C7566" s="21" t="s">
        <v>1145</v>
      </c>
      <c r="D7566" s="21" t="s">
        <v>35</v>
      </c>
      <c r="E7566" s="17" t="s">
        <v>707</v>
      </c>
      <c r="F7566" s="17" t="s">
        <v>37</v>
      </c>
      <c r="G7566" s="18" t="s">
        <v>38</v>
      </c>
      <c r="H7566" s="24">
        <v>50150</v>
      </c>
      <c r="I7566" s="24">
        <f>T_reg.root.SK[[#This Row],[Volume, kg]]/1000</f>
        <v>50.15</v>
      </c>
      <c r="J7566" s="25">
        <v>0.16669999999999999</v>
      </c>
      <c r="K7566" s="25">
        <f t="shared" si="119"/>
        <v>8360.0049999999992</v>
      </c>
      <c r="L7566" s="25">
        <v>2.68</v>
      </c>
      <c r="M7566" s="24">
        <v>134267.5</v>
      </c>
      <c r="N7566" s="25">
        <f>IFERROR(T_reg.root.SK[[#This Row],[Price]]/T_reg.root.SK[[#This Row],[Starch content]],"")</f>
        <v>16.076784643071388</v>
      </c>
    </row>
    <row r="7567" spans="1:14">
      <c r="A7567" s="21">
        <v>2026</v>
      </c>
      <c r="B7567" s="21" t="s">
        <v>22</v>
      </c>
      <c r="C7567" s="21" t="s">
        <v>1145</v>
      </c>
      <c r="D7567" s="21" t="s">
        <v>35</v>
      </c>
      <c r="E7567" s="17" t="s">
        <v>1126</v>
      </c>
      <c r="F7567" s="17" t="s">
        <v>105</v>
      </c>
      <c r="G7567" s="18" t="s">
        <v>48</v>
      </c>
      <c r="H7567" s="24">
        <v>10790</v>
      </c>
      <c r="I7567" s="24">
        <f>T_reg.root.SK[[#This Row],[Volume, kg]]/1000</f>
        <v>10.79</v>
      </c>
      <c r="J7567" s="25">
        <v>0.19500000000000001</v>
      </c>
      <c r="K7567" s="25">
        <f t="shared" si="119"/>
        <v>2104.0500000000002</v>
      </c>
      <c r="L7567" s="25">
        <v>2.85</v>
      </c>
      <c r="M7567" s="24">
        <v>30751.5</v>
      </c>
      <c r="N7567" s="25">
        <f>IFERROR(T_reg.root.SK[[#This Row],[Price]]/T_reg.root.SK[[#This Row],[Starch content]],"")</f>
        <v>14.615384615384615</v>
      </c>
    </row>
    <row r="7568" spans="1:14">
      <c r="A7568" s="21">
        <v>2026</v>
      </c>
      <c r="B7568" s="21" t="s">
        <v>22</v>
      </c>
      <c r="C7568" s="21" t="s">
        <v>1145</v>
      </c>
      <c r="D7568" s="21" t="s">
        <v>35</v>
      </c>
      <c r="E7568" s="17" t="s">
        <v>148</v>
      </c>
      <c r="F7568" s="17" t="s">
        <v>105</v>
      </c>
      <c r="G7568" s="18" t="s">
        <v>48</v>
      </c>
      <c r="H7568" s="24">
        <v>4700</v>
      </c>
      <c r="I7568" s="24">
        <f>T_reg.root.SK[[#This Row],[Volume, kg]]/1000</f>
        <v>4.7</v>
      </c>
      <c r="J7568" s="25">
        <v>0.11799999999999999</v>
      </c>
      <c r="K7568" s="25">
        <f t="shared" si="119"/>
        <v>554.6</v>
      </c>
      <c r="L7568" s="25">
        <v>2.4500000000000002</v>
      </c>
      <c r="M7568" s="24">
        <v>11515</v>
      </c>
      <c r="N7568" s="25">
        <f>IFERROR(T_reg.root.SK[[#This Row],[Price]]/T_reg.root.SK[[#This Row],[Starch content]],"")</f>
        <v>20.762711864406782</v>
      </c>
    </row>
    <row r="7569" spans="1:14">
      <c r="A7569" s="21">
        <v>2026</v>
      </c>
      <c r="B7569" s="21" t="s">
        <v>22</v>
      </c>
      <c r="C7569" s="21" t="s">
        <v>1145</v>
      </c>
      <c r="D7569" s="21" t="s">
        <v>35</v>
      </c>
      <c r="E7569" s="17" t="s">
        <v>314</v>
      </c>
      <c r="F7569" s="17" t="s">
        <v>105</v>
      </c>
      <c r="G7569" s="18" t="s">
        <v>48</v>
      </c>
      <c r="H7569" s="24">
        <v>16710</v>
      </c>
      <c r="I7569" s="24">
        <f>T_reg.root.SK[[#This Row],[Volume, kg]]/1000</f>
        <v>16.71</v>
      </c>
      <c r="J7569" s="25">
        <v>0.191</v>
      </c>
      <c r="K7569" s="25">
        <f t="shared" si="119"/>
        <v>3191.61</v>
      </c>
      <c r="L7569" s="25">
        <v>2.83</v>
      </c>
      <c r="M7569" s="24">
        <v>47309.5</v>
      </c>
      <c r="N7569" s="25">
        <f>IFERROR(T_reg.root.SK[[#This Row],[Price]]/T_reg.root.SK[[#This Row],[Starch content]],"")</f>
        <v>14.816753926701571</v>
      </c>
    </row>
    <row r="7570" spans="1:14">
      <c r="A7570" s="21">
        <v>2026</v>
      </c>
      <c r="B7570" s="21" t="s">
        <v>22</v>
      </c>
      <c r="C7570" s="21" t="s">
        <v>1145</v>
      </c>
      <c r="D7570" s="21" t="s">
        <v>35</v>
      </c>
      <c r="E7570" s="17" t="s">
        <v>315</v>
      </c>
      <c r="F7570" s="17" t="s">
        <v>105</v>
      </c>
      <c r="G7570" s="18" t="s">
        <v>48</v>
      </c>
      <c r="H7570" s="24">
        <v>50310</v>
      </c>
      <c r="I7570" s="24">
        <f>T_reg.root.SK[[#This Row],[Volume, kg]]/1000</f>
        <v>50.31</v>
      </c>
      <c r="J7570" s="25">
        <v>0.1593</v>
      </c>
      <c r="K7570" s="25">
        <f t="shared" si="119"/>
        <v>8014.3829999999998</v>
      </c>
      <c r="L7570" s="25">
        <v>2.64</v>
      </c>
      <c r="M7570" s="24">
        <v>133064</v>
      </c>
      <c r="N7570" s="25">
        <f>IFERROR(T_reg.root.SK[[#This Row],[Price]]/T_reg.root.SK[[#This Row],[Starch content]],"")</f>
        <v>16.572504708097931</v>
      </c>
    </row>
    <row r="7571" spans="1:14">
      <c r="A7571" s="21">
        <v>2026</v>
      </c>
      <c r="B7571" s="21" t="s">
        <v>22</v>
      </c>
      <c r="C7571" s="21" t="s">
        <v>1145</v>
      </c>
      <c r="D7571" s="21" t="s">
        <v>35</v>
      </c>
      <c r="E7571" s="17" t="s">
        <v>151</v>
      </c>
      <c r="F7571" s="17" t="s">
        <v>105</v>
      </c>
      <c r="G7571" s="18" t="s">
        <v>48</v>
      </c>
      <c r="H7571" s="24">
        <v>6600</v>
      </c>
      <c r="I7571" s="24">
        <f>T_reg.root.SK[[#This Row],[Volume, kg]]/1000</f>
        <v>6.6</v>
      </c>
      <c r="J7571" s="25">
        <v>0.19650000000000001</v>
      </c>
      <c r="K7571" s="25">
        <f t="shared" si="119"/>
        <v>1296.9000000000001</v>
      </c>
      <c r="L7571" s="25">
        <v>2.9</v>
      </c>
      <c r="M7571" s="24">
        <v>19140</v>
      </c>
      <c r="N7571" s="25">
        <f>IFERROR(T_reg.root.SK[[#This Row],[Price]]/T_reg.root.SK[[#This Row],[Starch content]],"")</f>
        <v>14.758269720101779</v>
      </c>
    </row>
    <row r="7572" spans="1:14">
      <c r="A7572" s="21">
        <v>2026</v>
      </c>
      <c r="B7572" s="21" t="s">
        <v>22</v>
      </c>
      <c r="C7572" s="21" t="s">
        <v>1145</v>
      </c>
      <c r="D7572" s="21" t="s">
        <v>35</v>
      </c>
      <c r="E7572" s="17" t="s">
        <v>154</v>
      </c>
      <c r="F7572" s="17" t="s">
        <v>105</v>
      </c>
      <c r="G7572" s="18" t="s">
        <v>48</v>
      </c>
      <c r="H7572" s="24">
        <v>27790</v>
      </c>
      <c r="I7572" s="24">
        <f>T_reg.root.SK[[#This Row],[Volume, kg]]/1000</f>
        <v>27.79</v>
      </c>
      <c r="J7572" s="25">
        <v>0.23669999999999999</v>
      </c>
      <c r="K7572" s="25">
        <f t="shared" si="119"/>
        <v>6577.893</v>
      </c>
      <c r="L7572" s="25">
        <v>3.03</v>
      </c>
      <c r="M7572" s="24">
        <v>84155.5</v>
      </c>
      <c r="N7572" s="25">
        <f>IFERROR(T_reg.root.SK[[#This Row],[Price]]/T_reg.root.SK[[#This Row],[Starch content]],"")</f>
        <v>12.801013941698352</v>
      </c>
    </row>
    <row r="7573" spans="1:14">
      <c r="A7573" s="21">
        <v>2026</v>
      </c>
      <c r="B7573" s="21" t="s">
        <v>22</v>
      </c>
      <c r="C7573" s="21" t="s">
        <v>1145</v>
      </c>
      <c r="D7573" s="21" t="s">
        <v>35</v>
      </c>
      <c r="E7573" s="17" t="s">
        <v>155</v>
      </c>
      <c r="F7573" s="17" t="s">
        <v>105</v>
      </c>
      <c r="G7573" s="18" t="s">
        <v>48</v>
      </c>
      <c r="H7573" s="24">
        <v>8890</v>
      </c>
      <c r="I7573" s="24">
        <f>T_reg.root.SK[[#This Row],[Volume, kg]]/1000</f>
        <v>8.89</v>
      </c>
      <c r="J7573" s="25">
        <v>0.1822</v>
      </c>
      <c r="K7573" s="25">
        <f t="shared" si="119"/>
        <v>1619.758</v>
      </c>
      <c r="L7573" s="25">
        <v>2.76</v>
      </c>
      <c r="M7573" s="24">
        <v>24557</v>
      </c>
      <c r="N7573" s="25">
        <f>IFERROR(T_reg.root.SK[[#This Row],[Price]]/T_reg.root.SK[[#This Row],[Starch content]],"")</f>
        <v>15.148188803512623</v>
      </c>
    </row>
    <row r="7574" spans="1:14">
      <c r="A7574" s="21">
        <v>2026</v>
      </c>
      <c r="B7574" s="21" t="s">
        <v>22</v>
      </c>
      <c r="C7574" s="21" t="s">
        <v>1145</v>
      </c>
      <c r="D7574" s="21" t="s">
        <v>39</v>
      </c>
      <c r="E7574" s="17" t="s">
        <v>552</v>
      </c>
      <c r="F7574" s="17" t="s">
        <v>95</v>
      </c>
      <c r="G7574" s="18" t="s">
        <v>48</v>
      </c>
      <c r="H7574" s="24">
        <v>5716180</v>
      </c>
      <c r="I7574" s="24">
        <f>T_reg.root.SK[[#This Row],[Volume, kg]]/1000</f>
        <v>5716.18</v>
      </c>
      <c r="J7574" s="25">
        <v>0.18179999999999999</v>
      </c>
      <c r="K7574" s="25">
        <f t="shared" si="119"/>
        <v>1039201.524</v>
      </c>
      <c r="L7574" s="25">
        <v>3.49</v>
      </c>
      <c r="M7574" s="24">
        <v>19974285</v>
      </c>
      <c r="N7574" s="25">
        <f>IFERROR(T_reg.root.SK[[#This Row],[Price]]/T_reg.root.SK[[#This Row],[Starch content]],"")</f>
        <v>19.1969196919692</v>
      </c>
    </row>
    <row r="7575" spans="1:14">
      <c r="A7575" s="21">
        <v>2026</v>
      </c>
      <c r="B7575" s="21" t="s">
        <v>22</v>
      </c>
      <c r="C7575" s="21" t="s">
        <v>1145</v>
      </c>
      <c r="D7575" s="21" t="s">
        <v>35</v>
      </c>
      <c r="E7575" s="17" t="s">
        <v>934</v>
      </c>
      <c r="F7575" s="17" t="s">
        <v>105</v>
      </c>
      <c r="G7575" s="18" t="s">
        <v>48</v>
      </c>
      <c r="H7575" s="24">
        <v>5960</v>
      </c>
      <c r="I7575" s="24">
        <f>T_reg.root.SK[[#This Row],[Volume, kg]]/1000</f>
        <v>5.96</v>
      </c>
      <c r="J7575" s="25">
        <v>0.11</v>
      </c>
      <c r="K7575" s="25">
        <f t="shared" si="119"/>
        <v>655.6</v>
      </c>
      <c r="L7575" s="25">
        <v>2.4</v>
      </c>
      <c r="M7575" s="24">
        <v>14304</v>
      </c>
      <c r="N7575" s="25">
        <f>IFERROR(T_reg.root.SK[[#This Row],[Price]]/T_reg.root.SK[[#This Row],[Starch content]],"")</f>
        <v>21.818181818181817</v>
      </c>
    </row>
    <row r="7576" spans="1:14">
      <c r="A7576" s="21">
        <v>2026</v>
      </c>
      <c r="B7576" s="21" t="s">
        <v>22</v>
      </c>
      <c r="C7576" s="21" t="s">
        <v>1145</v>
      </c>
      <c r="D7576" s="21" t="s">
        <v>35</v>
      </c>
      <c r="E7576" s="17" t="s">
        <v>165</v>
      </c>
      <c r="F7576" s="17" t="s">
        <v>105</v>
      </c>
      <c r="G7576" s="18" t="s">
        <v>48</v>
      </c>
      <c r="H7576" s="24">
        <v>52030</v>
      </c>
      <c r="I7576" s="24">
        <f>T_reg.root.SK[[#This Row],[Volume, kg]]/1000</f>
        <v>52.03</v>
      </c>
      <c r="J7576" s="25">
        <v>0.17680000000000001</v>
      </c>
      <c r="K7576" s="25">
        <f t="shared" si="119"/>
        <v>9198.9040000000005</v>
      </c>
      <c r="L7576" s="25">
        <v>2.74</v>
      </c>
      <c r="M7576" s="24">
        <v>142388</v>
      </c>
      <c r="N7576" s="25">
        <f>IFERROR(T_reg.root.SK[[#This Row],[Price]]/T_reg.root.SK[[#This Row],[Starch content]],"")</f>
        <v>15.497737556561086</v>
      </c>
    </row>
    <row r="7577" spans="1:14">
      <c r="A7577" s="21">
        <v>2026</v>
      </c>
      <c r="B7577" s="21" t="s">
        <v>22</v>
      </c>
      <c r="C7577" s="21" t="s">
        <v>1145</v>
      </c>
      <c r="D7577" s="21" t="s">
        <v>35</v>
      </c>
      <c r="E7577" s="17" t="s">
        <v>732</v>
      </c>
      <c r="F7577" s="17" t="s">
        <v>95</v>
      </c>
      <c r="G7577" s="18" t="s">
        <v>48</v>
      </c>
      <c r="H7577" s="24">
        <v>33670</v>
      </c>
      <c r="I7577" s="24">
        <f>T_reg.root.SK[[#This Row],[Volume, kg]]/1000</f>
        <v>33.67</v>
      </c>
      <c r="J7577" s="25">
        <v>0.22919999999999999</v>
      </c>
      <c r="K7577" s="25">
        <f t="shared" si="119"/>
        <v>7717.1639999999998</v>
      </c>
      <c r="L7577" s="25">
        <v>2.99</v>
      </c>
      <c r="M7577" s="24">
        <v>100773.5</v>
      </c>
      <c r="N7577" s="25">
        <f>IFERROR(T_reg.root.SK[[#This Row],[Price]]/T_reg.root.SK[[#This Row],[Starch content]],"")</f>
        <v>13.045375218150088</v>
      </c>
    </row>
    <row r="7578" spans="1:14">
      <c r="A7578" s="21">
        <v>2026</v>
      </c>
      <c r="B7578" s="21" t="s">
        <v>22</v>
      </c>
      <c r="C7578" s="21" t="s">
        <v>1145</v>
      </c>
      <c r="D7578" s="21" t="s">
        <v>35</v>
      </c>
      <c r="E7578" s="17" t="s">
        <v>613</v>
      </c>
      <c r="F7578" s="17" t="s">
        <v>187</v>
      </c>
      <c r="G7578" s="18" t="s">
        <v>48</v>
      </c>
      <c r="H7578" s="24">
        <v>2640</v>
      </c>
      <c r="I7578" s="24">
        <f>T_reg.root.SK[[#This Row],[Volume, kg]]/1000</f>
        <v>2.64</v>
      </c>
      <c r="J7578" s="25">
        <v>0.254</v>
      </c>
      <c r="K7578" s="25">
        <f t="shared" si="119"/>
        <v>670.56000000000006</v>
      </c>
      <c r="L7578" s="25">
        <v>3.15</v>
      </c>
      <c r="M7578" s="24">
        <v>8316</v>
      </c>
      <c r="N7578" s="25">
        <f>IFERROR(T_reg.root.SK[[#This Row],[Price]]/T_reg.root.SK[[#This Row],[Starch content]],"")</f>
        <v>12.401574803149606</v>
      </c>
    </row>
    <row r="7579" spans="1:14">
      <c r="A7579" s="21">
        <v>2026</v>
      </c>
      <c r="B7579" s="21" t="s">
        <v>22</v>
      </c>
      <c r="C7579" s="21" t="s">
        <v>1145</v>
      </c>
      <c r="D7579" s="21" t="s">
        <v>35</v>
      </c>
      <c r="E7579" s="17" t="s">
        <v>506</v>
      </c>
      <c r="F7579" s="17" t="s">
        <v>105</v>
      </c>
      <c r="G7579" s="18" t="s">
        <v>48</v>
      </c>
      <c r="H7579" s="24">
        <v>3520</v>
      </c>
      <c r="I7579" s="24">
        <f>T_reg.root.SK[[#This Row],[Volume, kg]]/1000</f>
        <v>3.52</v>
      </c>
      <c r="J7579" s="25">
        <v>0.20250000000000001</v>
      </c>
      <c r="K7579" s="25">
        <f t="shared" si="119"/>
        <v>712.80000000000007</v>
      </c>
      <c r="L7579" s="25">
        <v>2.9</v>
      </c>
      <c r="M7579" s="24">
        <v>10208</v>
      </c>
      <c r="N7579" s="25">
        <f>IFERROR(T_reg.root.SK[[#This Row],[Price]]/T_reg.root.SK[[#This Row],[Starch content]],"")</f>
        <v>14.320987654320986</v>
      </c>
    </row>
    <row r="7580" spans="1:14">
      <c r="A7580" s="21">
        <v>2026</v>
      </c>
      <c r="B7580" s="21" t="s">
        <v>22</v>
      </c>
      <c r="C7580" s="21" t="s">
        <v>1145</v>
      </c>
      <c r="D7580" s="21" t="s">
        <v>35</v>
      </c>
      <c r="E7580" s="17" t="s">
        <v>957</v>
      </c>
      <c r="F7580" s="17" t="s">
        <v>105</v>
      </c>
      <c r="G7580" s="18" t="s">
        <v>48</v>
      </c>
      <c r="H7580" s="24">
        <v>33140</v>
      </c>
      <c r="I7580" s="24">
        <f>T_reg.root.SK[[#This Row],[Volume, kg]]/1000</f>
        <v>33.14</v>
      </c>
      <c r="J7580" s="25">
        <v>0.20899999999999999</v>
      </c>
      <c r="K7580" s="25">
        <f t="shared" si="119"/>
        <v>6926.2599999999993</v>
      </c>
      <c r="L7580" s="25">
        <v>2.89</v>
      </c>
      <c r="M7580" s="24">
        <v>95826</v>
      </c>
      <c r="N7580" s="25">
        <f>IFERROR(T_reg.root.SK[[#This Row],[Price]]/T_reg.root.SK[[#This Row],[Starch content]],"")</f>
        <v>13.827751196172249</v>
      </c>
    </row>
    <row r="7581" spans="1:14">
      <c r="A7581" s="21">
        <v>2026</v>
      </c>
      <c r="B7581" s="21" t="s">
        <v>22</v>
      </c>
      <c r="C7581" s="21" t="s">
        <v>1145</v>
      </c>
      <c r="D7581" s="21" t="s">
        <v>35</v>
      </c>
      <c r="E7581" s="17" t="s">
        <v>1015</v>
      </c>
      <c r="F7581" s="17" t="s">
        <v>105</v>
      </c>
      <c r="G7581" s="18" t="s">
        <v>48</v>
      </c>
      <c r="H7581" s="24">
        <v>90290</v>
      </c>
      <c r="I7581" s="24">
        <f>T_reg.root.SK[[#This Row],[Volume, kg]]/1000</f>
        <v>90.29</v>
      </c>
      <c r="J7581" s="25">
        <v>0.25109999999999999</v>
      </c>
      <c r="K7581" s="25">
        <f t="shared" si="119"/>
        <v>22671.819</v>
      </c>
      <c r="L7581" s="25">
        <v>3.08</v>
      </c>
      <c r="M7581" s="24">
        <v>277770.5</v>
      </c>
      <c r="N7581" s="25">
        <f>IFERROR(T_reg.root.SK[[#This Row],[Price]]/T_reg.root.SK[[#This Row],[Starch content]],"")</f>
        <v>12.266029470330546</v>
      </c>
    </row>
    <row r="7582" spans="1:14">
      <c r="A7582" s="21">
        <v>2026</v>
      </c>
      <c r="B7582" s="21" t="s">
        <v>22</v>
      </c>
      <c r="C7582" s="21" t="s">
        <v>1145</v>
      </c>
      <c r="D7582" s="21" t="s">
        <v>35</v>
      </c>
      <c r="E7582" s="17" t="s">
        <v>1118</v>
      </c>
      <c r="F7582" s="17" t="s">
        <v>105</v>
      </c>
      <c r="G7582" s="18" t="s">
        <v>48</v>
      </c>
      <c r="H7582" s="24">
        <v>29720</v>
      </c>
      <c r="I7582" s="24">
        <f>T_reg.root.SK[[#This Row],[Volume, kg]]/1000</f>
        <v>29.72</v>
      </c>
      <c r="J7582" s="25">
        <v>0.17469999999999999</v>
      </c>
      <c r="K7582" s="25">
        <f t="shared" si="119"/>
        <v>5192.0839999999998</v>
      </c>
      <c r="L7582" s="25">
        <v>2.76</v>
      </c>
      <c r="M7582" s="24">
        <v>82166.5</v>
      </c>
      <c r="N7582" s="25">
        <f>IFERROR(T_reg.root.SK[[#This Row],[Price]]/T_reg.root.SK[[#This Row],[Starch content]],"")</f>
        <v>15.798511734401831</v>
      </c>
    </row>
    <row r="7583" spans="1:14">
      <c r="A7583" s="21">
        <v>2026</v>
      </c>
      <c r="B7583" s="21" t="s">
        <v>22</v>
      </c>
      <c r="C7583" s="21" t="s">
        <v>1145</v>
      </c>
      <c r="D7583" s="21" t="s">
        <v>39</v>
      </c>
      <c r="E7583" s="17" t="s">
        <v>1135</v>
      </c>
      <c r="F7583" s="17" t="s">
        <v>1136</v>
      </c>
      <c r="G7583" s="18" t="s">
        <v>81</v>
      </c>
      <c r="H7583" s="24">
        <v>88170</v>
      </c>
      <c r="I7583" s="24">
        <f>T_reg.root.SK[[#This Row],[Volume, kg]]/1000</f>
        <v>88.17</v>
      </c>
      <c r="J7583" s="25">
        <v>0.1144</v>
      </c>
      <c r="K7583" s="25">
        <f t="shared" si="119"/>
        <v>10086.648000000001</v>
      </c>
      <c r="L7583" s="25">
        <v>3.18</v>
      </c>
      <c r="M7583" s="24">
        <v>280509</v>
      </c>
      <c r="N7583" s="25">
        <f>IFERROR(T_reg.root.SK[[#This Row],[Price]]/T_reg.root.SK[[#This Row],[Starch content]],"")</f>
        <v>27.797202797202797</v>
      </c>
    </row>
    <row r="7584" spans="1:14">
      <c r="A7584" s="21">
        <v>2026</v>
      </c>
      <c r="B7584" s="21" t="s">
        <v>22</v>
      </c>
      <c r="C7584" s="21" t="s">
        <v>1145</v>
      </c>
      <c r="D7584" s="21" t="s">
        <v>39</v>
      </c>
      <c r="E7584" s="17" t="s">
        <v>88</v>
      </c>
      <c r="F7584" s="17" t="s">
        <v>89</v>
      </c>
      <c r="G7584" s="18" t="s">
        <v>90</v>
      </c>
      <c r="H7584" s="24">
        <v>2794550</v>
      </c>
      <c r="I7584" s="24">
        <f>T_reg.root.SK[[#This Row],[Volume, kg]]/1000</f>
        <v>2794.55</v>
      </c>
      <c r="J7584" s="25">
        <v>0.17929999999999999</v>
      </c>
      <c r="K7584" s="25">
        <f t="shared" si="119"/>
        <v>501062.81499999994</v>
      </c>
      <c r="L7584" s="25">
        <v>3.45</v>
      </c>
      <c r="M7584" s="24">
        <v>9632280</v>
      </c>
      <c r="N7584" s="25">
        <f>IFERROR(T_reg.root.SK[[#This Row],[Price]]/T_reg.root.SK[[#This Row],[Starch content]],"")</f>
        <v>19.241494701617402</v>
      </c>
    </row>
    <row r="7585" spans="1:14">
      <c r="A7585" s="21">
        <v>2026</v>
      </c>
      <c r="B7585" s="21" t="s">
        <v>22</v>
      </c>
      <c r="C7585" s="21" t="s">
        <v>1145</v>
      </c>
      <c r="D7585" s="21" t="s">
        <v>39</v>
      </c>
      <c r="E7585" s="17" t="s">
        <v>1054</v>
      </c>
      <c r="F7585" s="17" t="s">
        <v>1055</v>
      </c>
      <c r="G7585" s="18" t="s">
        <v>103</v>
      </c>
      <c r="H7585" s="24">
        <v>965910</v>
      </c>
      <c r="I7585" s="24">
        <f>T_reg.root.SK[[#This Row],[Volume, kg]]/1000</f>
        <v>965.91</v>
      </c>
      <c r="J7585" s="25">
        <v>0.16900000000000001</v>
      </c>
      <c r="K7585" s="25">
        <f t="shared" si="119"/>
        <v>163238.79</v>
      </c>
      <c r="L7585" s="25">
        <v>3.38</v>
      </c>
      <c r="M7585" s="24">
        <v>3269343.5</v>
      </c>
      <c r="N7585" s="25">
        <f>IFERROR(T_reg.root.SK[[#This Row],[Price]]/T_reg.root.SK[[#This Row],[Starch content]],"")</f>
        <v>19.999999999999996</v>
      </c>
    </row>
    <row r="7586" spans="1:14">
      <c r="A7586" s="21">
        <v>2026</v>
      </c>
      <c r="B7586" s="21" t="s">
        <v>22</v>
      </c>
      <c r="C7586" s="21" t="s">
        <v>1145</v>
      </c>
      <c r="D7586" s="21" t="s">
        <v>35</v>
      </c>
      <c r="E7586" s="17" t="s">
        <v>176</v>
      </c>
      <c r="F7586" s="17" t="s">
        <v>105</v>
      </c>
      <c r="G7586" s="18" t="s">
        <v>48</v>
      </c>
      <c r="H7586" s="24">
        <v>5200</v>
      </c>
      <c r="I7586" s="24">
        <f>T_reg.root.SK[[#This Row],[Volume, kg]]/1000</f>
        <v>5.2</v>
      </c>
      <c r="J7586" s="25">
        <v>0.104</v>
      </c>
      <c r="K7586" s="25">
        <f t="shared" si="119"/>
        <v>540.79999999999995</v>
      </c>
      <c r="L7586" s="25">
        <v>2.35</v>
      </c>
      <c r="M7586" s="24">
        <v>12220</v>
      </c>
      <c r="N7586" s="25">
        <f>IFERROR(T_reg.root.SK[[#This Row],[Price]]/T_reg.root.SK[[#This Row],[Starch content]],"")</f>
        <v>22.596153846153847</v>
      </c>
    </row>
    <row r="7587" spans="1:14">
      <c r="A7587" s="21">
        <v>2026</v>
      </c>
      <c r="B7587" s="21" t="s">
        <v>22</v>
      </c>
      <c r="C7587" s="21" t="s">
        <v>1145</v>
      </c>
      <c r="D7587" s="21" t="s">
        <v>35</v>
      </c>
      <c r="E7587" s="17" t="s">
        <v>178</v>
      </c>
      <c r="F7587" s="17" t="s">
        <v>105</v>
      </c>
      <c r="G7587" s="18" t="s">
        <v>48</v>
      </c>
      <c r="H7587" s="24">
        <v>29010</v>
      </c>
      <c r="I7587" s="24">
        <f>T_reg.root.SK[[#This Row],[Volume, kg]]/1000</f>
        <v>29.01</v>
      </c>
      <c r="J7587" s="25">
        <v>0.13550000000000001</v>
      </c>
      <c r="K7587" s="25">
        <f t="shared" si="119"/>
        <v>3930.8550000000005</v>
      </c>
      <c r="L7587" s="25">
        <v>2.58</v>
      </c>
      <c r="M7587" s="24">
        <v>74865</v>
      </c>
      <c r="N7587" s="25">
        <f>IFERROR(T_reg.root.SK[[#This Row],[Price]]/T_reg.root.SK[[#This Row],[Starch content]],"")</f>
        <v>19.040590405904059</v>
      </c>
    </row>
    <row r="7588" spans="1:14">
      <c r="A7588" s="21">
        <v>2026</v>
      </c>
      <c r="B7588" s="21" t="s">
        <v>22</v>
      </c>
      <c r="C7588" s="21" t="s">
        <v>1145</v>
      </c>
      <c r="D7588" s="21" t="s">
        <v>35</v>
      </c>
      <c r="E7588" s="17" t="s">
        <v>741</v>
      </c>
      <c r="F7588" s="17" t="s">
        <v>105</v>
      </c>
      <c r="G7588" s="18" t="s">
        <v>48</v>
      </c>
      <c r="H7588" s="24">
        <v>3990</v>
      </c>
      <c r="I7588" s="24">
        <f>T_reg.root.SK[[#This Row],[Volume, kg]]/1000</f>
        <v>3.99</v>
      </c>
      <c r="J7588" s="25">
        <v>0.1875</v>
      </c>
      <c r="K7588" s="25">
        <f t="shared" si="119"/>
        <v>748.125</v>
      </c>
      <c r="L7588" s="25">
        <v>2.8</v>
      </c>
      <c r="M7588" s="24">
        <v>11172</v>
      </c>
      <c r="N7588" s="25">
        <f>IFERROR(T_reg.root.SK[[#This Row],[Price]]/T_reg.root.SK[[#This Row],[Starch content]],"")</f>
        <v>14.933333333333332</v>
      </c>
    </row>
    <row r="7589" spans="1:14">
      <c r="A7589" s="21">
        <v>2026</v>
      </c>
      <c r="B7589" s="21" t="s">
        <v>22</v>
      </c>
      <c r="C7589" s="21" t="s">
        <v>1145</v>
      </c>
      <c r="D7589" s="21" t="s">
        <v>35</v>
      </c>
      <c r="E7589" s="17" t="s">
        <v>640</v>
      </c>
      <c r="F7589" s="17" t="s">
        <v>105</v>
      </c>
      <c r="G7589" s="18" t="s">
        <v>48</v>
      </c>
      <c r="H7589" s="24">
        <v>44190</v>
      </c>
      <c r="I7589" s="24">
        <f>T_reg.root.SK[[#This Row],[Volume, kg]]/1000</f>
        <v>44.19</v>
      </c>
      <c r="J7589" s="25">
        <v>0.18770000000000001</v>
      </c>
      <c r="K7589" s="25">
        <f t="shared" si="119"/>
        <v>8294.4629999999997</v>
      </c>
      <c r="L7589" s="25">
        <v>2.79</v>
      </c>
      <c r="M7589" s="24">
        <v>123498.5</v>
      </c>
      <c r="N7589" s="25">
        <f>IFERROR(T_reg.root.SK[[#This Row],[Price]]/T_reg.root.SK[[#This Row],[Starch content]],"")</f>
        <v>14.864144912093767</v>
      </c>
    </row>
    <row r="7590" spans="1:14">
      <c r="A7590" s="21">
        <v>2026</v>
      </c>
      <c r="B7590" s="21" t="s">
        <v>22</v>
      </c>
      <c r="C7590" s="21" t="s">
        <v>1145</v>
      </c>
      <c r="D7590" s="21" t="s">
        <v>35</v>
      </c>
      <c r="E7590" s="17" t="s">
        <v>829</v>
      </c>
      <c r="F7590" s="17" t="s">
        <v>105</v>
      </c>
      <c r="G7590" s="18" t="s">
        <v>48</v>
      </c>
      <c r="H7590" s="24">
        <v>4060</v>
      </c>
      <c r="I7590" s="24">
        <f>T_reg.root.SK[[#This Row],[Volume, kg]]/1000</f>
        <v>4.0599999999999996</v>
      </c>
      <c r="J7590" s="25">
        <v>0.1605</v>
      </c>
      <c r="K7590" s="25">
        <f t="shared" si="119"/>
        <v>651.63</v>
      </c>
      <c r="L7590" s="25">
        <v>2.65</v>
      </c>
      <c r="M7590" s="24">
        <v>10759</v>
      </c>
      <c r="N7590" s="25">
        <f>IFERROR(T_reg.root.SK[[#This Row],[Price]]/T_reg.root.SK[[#This Row],[Starch content]],"")</f>
        <v>16.510903426791277</v>
      </c>
    </row>
    <row r="7591" spans="1:14">
      <c r="A7591" s="21">
        <v>2026</v>
      </c>
      <c r="B7591" s="21" t="s">
        <v>22</v>
      </c>
      <c r="C7591" s="21" t="s">
        <v>1145</v>
      </c>
      <c r="D7591" s="21" t="s">
        <v>39</v>
      </c>
      <c r="E7591" s="17" t="s">
        <v>1108</v>
      </c>
      <c r="F7591" s="17" t="s">
        <v>37</v>
      </c>
      <c r="G7591" s="18" t="s">
        <v>38</v>
      </c>
      <c r="H7591" s="24">
        <v>333530</v>
      </c>
      <c r="I7591" s="24">
        <f>T_reg.root.SK[[#This Row],[Volume, kg]]/1000</f>
        <v>333.53</v>
      </c>
      <c r="J7591" s="25">
        <v>0.17549999999999999</v>
      </c>
      <c r="K7591" s="25">
        <f t="shared" si="119"/>
        <v>58534.514999999999</v>
      </c>
      <c r="L7591" s="25">
        <v>3.1</v>
      </c>
      <c r="M7591" s="24">
        <v>1034654.5</v>
      </c>
      <c r="N7591" s="25">
        <f>IFERROR(T_reg.root.SK[[#This Row],[Price]]/T_reg.root.SK[[#This Row],[Starch content]],"")</f>
        <v>17.663817663817664</v>
      </c>
    </row>
    <row r="7592" spans="1:14">
      <c r="A7592" s="21">
        <v>2026</v>
      </c>
      <c r="B7592" s="21" t="s">
        <v>22</v>
      </c>
      <c r="C7592" s="21" t="s">
        <v>1145</v>
      </c>
      <c r="D7592" s="21" t="s">
        <v>35</v>
      </c>
      <c r="E7592" s="17" t="s">
        <v>183</v>
      </c>
      <c r="F7592" s="17" t="s">
        <v>105</v>
      </c>
      <c r="G7592" s="18" t="s">
        <v>48</v>
      </c>
      <c r="H7592" s="24">
        <v>2700</v>
      </c>
      <c r="I7592" s="24">
        <f>T_reg.root.SK[[#This Row],[Volume, kg]]/1000</f>
        <v>2.7</v>
      </c>
      <c r="J7592" s="25">
        <v>0.2</v>
      </c>
      <c r="K7592" s="25">
        <f t="shared" si="119"/>
        <v>540</v>
      </c>
      <c r="L7592" s="25">
        <v>2.9</v>
      </c>
      <c r="M7592" s="24">
        <v>7830</v>
      </c>
      <c r="N7592" s="25">
        <f>IFERROR(T_reg.root.SK[[#This Row],[Price]]/T_reg.root.SK[[#This Row],[Starch content]],"")</f>
        <v>14.499999999999998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BBAE-523D-44A1-8D07-384857F770F4}">
  <dimension ref="A1:E49"/>
  <sheetViews>
    <sheetView zoomScale="80" zoomScaleNormal="80" workbookViewId="0">
      <pane ySplit="1" topLeftCell="A29" activePane="bottomLeft" state="frozen"/>
      <selection pane="bottomLeft" activeCell="H44" sqref="H44"/>
    </sheetView>
  </sheetViews>
  <sheetFormatPr defaultColWidth="8.7265625" defaultRowHeight="14.5"/>
  <cols>
    <col min="1" max="1" width="9.7265625" style="42" customWidth="1"/>
    <col min="2" max="2" width="9.7265625" style="38" customWidth="1"/>
    <col min="3" max="3" width="25.26953125" style="43" customWidth="1"/>
    <col min="4" max="4" width="25.26953125" style="44" customWidth="1"/>
    <col min="5" max="5" width="25.26953125" style="43" customWidth="1"/>
    <col min="6" max="16384" width="8.7265625" style="38"/>
  </cols>
  <sheetData>
    <row r="1" spans="1:5" ht="20.5" customHeight="1">
      <c r="A1" s="34" t="s">
        <v>0</v>
      </c>
      <c r="B1" s="35" t="s">
        <v>1</v>
      </c>
      <c r="C1" s="36" t="s">
        <v>1148</v>
      </c>
      <c r="D1" s="37" t="s">
        <v>1149</v>
      </c>
      <c r="E1" s="36" t="s">
        <v>1150</v>
      </c>
    </row>
    <row r="2" spans="1:5">
      <c r="A2" s="39">
        <v>2023</v>
      </c>
      <c r="B2" s="40" t="s">
        <v>17</v>
      </c>
      <c r="C2" s="36">
        <v>14173.24</v>
      </c>
      <c r="D2" s="37">
        <v>13789.06</v>
      </c>
      <c r="E2" s="36">
        <f>T_farmer.contri.SK[[#This Row],[Broker volume, tons]]+T_farmer.contri.SK[[#This Row],[Farmer volume, tons]]</f>
        <v>27962.3</v>
      </c>
    </row>
    <row r="3" spans="1:5">
      <c r="A3" s="39">
        <v>2023</v>
      </c>
      <c r="B3" s="40" t="s">
        <v>19</v>
      </c>
      <c r="C3" s="36">
        <v>14995.23</v>
      </c>
      <c r="D3" s="37">
        <v>12347.84</v>
      </c>
      <c r="E3" s="36">
        <f>T_farmer.contri.SK[[#This Row],[Broker volume, tons]]+T_farmer.contri.SK[[#This Row],[Farmer volume, tons]]</f>
        <v>27343.07</v>
      </c>
    </row>
    <row r="4" spans="1:5">
      <c r="A4" s="39">
        <v>2023</v>
      </c>
      <c r="B4" s="40" t="s">
        <v>20</v>
      </c>
      <c r="C4" s="36">
        <v>21276.58</v>
      </c>
      <c r="D4" s="37">
        <v>10268.74</v>
      </c>
      <c r="E4" s="36">
        <f>T_farmer.contri.SK[[#This Row],[Broker volume, tons]]+T_farmer.contri.SK[[#This Row],[Farmer volume, tons]]</f>
        <v>31545.32</v>
      </c>
    </row>
    <row r="5" spans="1:5">
      <c r="A5" s="39">
        <v>2023</v>
      </c>
      <c r="B5" s="40" t="s">
        <v>21</v>
      </c>
      <c r="C5" s="36">
        <v>17681.060000000001</v>
      </c>
      <c r="D5" s="37">
        <v>5512.96</v>
      </c>
      <c r="E5" s="36">
        <f>T_farmer.contri.SK[[#This Row],[Broker volume, tons]]+T_farmer.contri.SK[[#This Row],[Farmer volume, tons]]</f>
        <v>23194.02</v>
      </c>
    </row>
    <row r="6" spans="1:5">
      <c r="A6" s="39">
        <v>2023</v>
      </c>
      <c r="B6" s="40" t="s">
        <v>22</v>
      </c>
      <c r="C6" s="36">
        <v>23590.38</v>
      </c>
      <c r="D6" s="37">
        <v>4115.2299999999996</v>
      </c>
      <c r="E6" s="36">
        <f>T_farmer.contri.SK[[#This Row],[Broker volume, tons]]+T_farmer.contri.SK[[#This Row],[Farmer volume, tons]]</f>
        <v>27705.61</v>
      </c>
    </row>
    <row r="7" spans="1:5">
      <c r="A7" s="39">
        <v>2023</v>
      </c>
      <c r="B7" s="40" t="s">
        <v>23</v>
      </c>
      <c r="C7" s="36">
        <v>12280.49</v>
      </c>
      <c r="D7" s="37">
        <v>10308.219999999999</v>
      </c>
      <c r="E7" s="36">
        <f>T_farmer.contri.SK[[#This Row],[Broker volume, tons]]+T_farmer.contri.SK[[#This Row],[Farmer volume, tons]]</f>
        <v>22588.71</v>
      </c>
    </row>
    <row r="8" spans="1:5">
      <c r="A8" s="39">
        <v>2023</v>
      </c>
      <c r="B8" s="40" t="s">
        <v>24</v>
      </c>
      <c r="C8" s="36">
        <v>21211.86</v>
      </c>
      <c r="D8" s="37">
        <v>9026.44</v>
      </c>
      <c r="E8" s="36">
        <f>T_farmer.contri.SK[[#This Row],[Broker volume, tons]]+T_farmer.contri.SK[[#This Row],[Farmer volume, tons]]</f>
        <v>30238.300000000003</v>
      </c>
    </row>
    <row r="9" spans="1:5">
      <c r="A9" s="39">
        <v>2023</v>
      </c>
      <c r="B9" s="40" t="s">
        <v>25</v>
      </c>
      <c r="C9" s="36">
        <v>22818.04</v>
      </c>
      <c r="D9" s="37">
        <v>4186.83</v>
      </c>
      <c r="E9" s="36">
        <f>T_farmer.contri.SK[[#This Row],[Broker volume, tons]]+T_farmer.contri.SK[[#This Row],[Farmer volume, tons]]</f>
        <v>27004.870000000003</v>
      </c>
    </row>
    <row r="10" spans="1:5">
      <c r="A10" s="39">
        <v>2023</v>
      </c>
      <c r="B10" s="40" t="s">
        <v>26</v>
      </c>
      <c r="C10" s="36">
        <v>16147.07</v>
      </c>
      <c r="D10" s="37">
        <v>9357.6299999999992</v>
      </c>
      <c r="E10" s="36">
        <f>T_farmer.contri.SK[[#This Row],[Broker volume, tons]]+T_farmer.contri.SK[[#This Row],[Farmer volume, tons]]</f>
        <v>25504.699999999997</v>
      </c>
    </row>
    <row r="11" spans="1:5">
      <c r="A11" s="39">
        <v>2023</v>
      </c>
      <c r="B11" s="40" t="s">
        <v>27</v>
      </c>
      <c r="C11" s="36">
        <v>19033.12</v>
      </c>
      <c r="D11" s="41">
        <v>13708.45</v>
      </c>
      <c r="E11" s="36">
        <f>T_farmer.contri.SK[[#This Row],[Broker volume, tons]]+T_farmer.contri.SK[[#This Row],[Farmer volume, tons]]</f>
        <v>32741.57</v>
      </c>
    </row>
    <row r="12" spans="1:5">
      <c r="A12" s="39">
        <v>2023</v>
      </c>
      <c r="B12" s="40" t="s">
        <v>28</v>
      </c>
      <c r="C12" s="36">
        <v>19686.59</v>
      </c>
      <c r="D12" s="41">
        <v>12918.15</v>
      </c>
      <c r="E12" s="36">
        <f>T_farmer.contri.SK[[#This Row],[Broker volume, tons]]+T_farmer.contri.SK[[#This Row],[Farmer volume, tons]]</f>
        <v>32604.739999999998</v>
      </c>
    </row>
    <row r="13" spans="1:5">
      <c r="A13" s="39">
        <v>2023</v>
      </c>
      <c r="B13" s="40" t="s">
        <v>29</v>
      </c>
      <c r="C13" s="36">
        <v>16308.68</v>
      </c>
      <c r="D13" s="41">
        <v>13250.31</v>
      </c>
      <c r="E13" s="36">
        <f>T_farmer.contri.SK[[#This Row],[Broker volume, tons]]+T_farmer.contri.SK[[#This Row],[Farmer volume, tons]]</f>
        <v>29558.989999999998</v>
      </c>
    </row>
    <row r="14" spans="1:5">
      <c r="A14" s="39">
        <v>2024</v>
      </c>
      <c r="B14" s="40" t="s">
        <v>17</v>
      </c>
      <c r="C14" s="36">
        <v>16859.099999999999</v>
      </c>
      <c r="D14" s="41">
        <v>15148.69</v>
      </c>
      <c r="E14" s="36">
        <f>T_farmer.contri.SK[[#This Row],[Broker volume, tons]]+T_farmer.contri.SK[[#This Row],[Farmer volume, tons]]</f>
        <v>32007.79</v>
      </c>
    </row>
    <row r="15" spans="1:5">
      <c r="A15" s="39">
        <v>2024</v>
      </c>
      <c r="B15" s="40" t="s">
        <v>19</v>
      </c>
      <c r="C15" s="36">
        <v>17095.34</v>
      </c>
      <c r="D15" s="41">
        <v>15084.58</v>
      </c>
      <c r="E15" s="36">
        <f>T_farmer.contri.SK[[#This Row],[Broker volume, tons]]+T_farmer.contri.SK[[#This Row],[Farmer volume, tons]]</f>
        <v>32179.919999999998</v>
      </c>
    </row>
    <row r="16" spans="1:5">
      <c r="A16" s="39">
        <v>2024</v>
      </c>
      <c r="B16" s="40" t="s">
        <v>20</v>
      </c>
      <c r="C16" s="36">
        <v>17125.41</v>
      </c>
      <c r="D16" s="41">
        <v>17245.09</v>
      </c>
      <c r="E16" s="36">
        <f>T_farmer.contri.SK[[#This Row],[Broker volume, tons]]+T_farmer.contri.SK[[#This Row],[Farmer volume, tons]]</f>
        <v>34370.5</v>
      </c>
    </row>
    <row r="17" spans="1:5">
      <c r="A17" s="39">
        <v>2024</v>
      </c>
      <c r="B17" s="40" t="s">
        <v>21</v>
      </c>
      <c r="C17" s="36">
        <v>14262.38</v>
      </c>
      <c r="D17" s="41">
        <v>12594.11</v>
      </c>
      <c r="E17" s="36">
        <f>T_farmer.contri.SK[[#This Row],[Broker volume, tons]]+T_farmer.contri.SK[[#This Row],[Farmer volume, tons]]</f>
        <v>26856.489999999998</v>
      </c>
    </row>
    <row r="18" spans="1:5">
      <c r="A18" s="39">
        <v>2024</v>
      </c>
      <c r="B18" s="40" t="s">
        <v>22</v>
      </c>
      <c r="C18" s="36">
        <v>33128.910000000003</v>
      </c>
      <c r="D18" s="41">
        <v>7438.85</v>
      </c>
      <c r="E18" s="36">
        <f>T_farmer.contri.SK[[#This Row],[Broker volume, tons]]+T_farmer.contri.SK[[#This Row],[Farmer volume, tons]]</f>
        <v>40567.760000000002</v>
      </c>
    </row>
    <row r="19" spans="1:5">
      <c r="A19" s="39">
        <v>2024</v>
      </c>
      <c r="B19" s="40" t="s">
        <v>23</v>
      </c>
      <c r="C19" s="36">
        <v>30811.93</v>
      </c>
      <c r="D19" s="41">
        <v>9476.56</v>
      </c>
      <c r="E19" s="36">
        <f>T_farmer.contri.SK[[#This Row],[Broker volume, tons]]+T_farmer.contri.SK[[#This Row],[Farmer volume, tons]]</f>
        <v>40288.49</v>
      </c>
    </row>
    <row r="20" spans="1:5">
      <c r="A20" s="39">
        <v>2024</v>
      </c>
      <c r="B20" s="40" t="s">
        <v>24</v>
      </c>
      <c r="C20" s="36">
        <v>33107.599999999999</v>
      </c>
      <c r="D20" s="41">
        <v>11604.03</v>
      </c>
      <c r="E20" s="36">
        <f>T_farmer.contri.SK[[#This Row],[Broker volume, tons]]+T_farmer.contri.SK[[#This Row],[Farmer volume, tons]]</f>
        <v>44711.63</v>
      </c>
    </row>
    <row r="21" spans="1:5">
      <c r="A21" s="39">
        <v>2024</v>
      </c>
      <c r="B21" s="40" t="s">
        <v>25</v>
      </c>
      <c r="C21" s="36">
        <v>34605.26</v>
      </c>
      <c r="D21" s="41">
        <v>7320.74</v>
      </c>
      <c r="E21" s="36">
        <f>T_farmer.contri.SK[[#This Row],[Broker volume, tons]]+T_farmer.contri.SK[[#This Row],[Farmer volume, tons]]</f>
        <v>41926</v>
      </c>
    </row>
    <row r="22" spans="1:5">
      <c r="A22" s="39">
        <v>2024</v>
      </c>
      <c r="B22" s="40" t="s">
        <v>26</v>
      </c>
      <c r="C22" s="36">
        <v>26520.05</v>
      </c>
      <c r="D22" s="41">
        <v>10751.96</v>
      </c>
      <c r="E22" s="36">
        <f>T_farmer.contri.SK[[#This Row],[Broker volume, tons]]+T_farmer.contri.SK[[#This Row],[Farmer volume, tons]]</f>
        <v>37272.009999999995</v>
      </c>
    </row>
    <row r="23" spans="1:5">
      <c r="A23" s="39">
        <v>2024</v>
      </c>
      <c r="B23" s="40" t="s">
        <v>27</v>
      </c>
      <c r="C23" s="36">
        <v>24221.71</v>
      </c>
      <c r="D23" s="41">
        <v>14704.11</v>
      </c>
      <c r="E23" s="36">
        <f>T_farmer.contri.SK[[#This Row],[Broker volume, tons]]+T_farmer.contri.SK[[#This Row],[Farmer volume, tons]]</f>
        <v>38925.82</v>
      </c>
    </row>
    <row r="24" spans="1:5">
      <c r="A24" s="39">
        <v>2024</v>
      </c>
      <c r="B24" s="40" t="s">
        <v>28</v>
      </c>
      <c r="C24" s="36">
        <v>20953.060000000001</v>
      </c>
      <c r="D24" s="41">
        <v>14818.9</v>
      </c>
      <c r="E24" s="36">
        <f>T_farmer.contri.SK[[#This Row],[Broker volume, tons]]+T_farmer.contri.SK[[#This Row],[Farmer volume, tons]]</f>
        <v>35771.96</v>
      </c>
    </row>
    <row r="25" spans="1:5">
      <c r="A25" s="39">
        <v>2024</v>
      </c>
      <c r="B25" s="40" t="s">
        <v>29</v>
      </c>
      <c r="C25" s="36">
        <v>18352.89</v>
      </c>
      <c r="D25" s="41">
        <v>11715.65</v>
      </c>
      <c r="E25" s="36">
        <f>T_farmer.contri.SK[[#This Row],[Broker volume, tons]]+T_farmer.contri.SK[[#This Row],[Farmer volume, tons]]</f>
        <v>30068.54</v>
      </c>
    </row>
    <row r="26" spans="1:5">
      <c r="A26" s="39">
        <v>2025</v>
      </c>
      <c r="B26" s="40" t="s">
        <v>17</v>
      </c>
      <c r="C26" s="36">
        <v>15668.23</v>
      </c>
      <c r="D26" s="41">
        <v>13752.61</v>
      </c>
      <c r="E26" s="36">
        <f>T_farmer.contri.SK[[#This Row],[Broker volume, tons]]+T_farmer.contri.SK[[#This Row],[Farmer volume, tons]]</f>
        <v>29420.84</v>
      </c>
    </row>
    <row r="27" spans="1:5">
      <c r="A27" s="39">
        <v>2025</v>
      </c>
      <c r="B27" s="40" t="s">
        <v>19</v>
      </c>
      <c r="C27" s="36">
        <v>19455.57</v>
      </c>
      <c r="D27" s="41">
        <v>15065.82</v>
      </c>
      <c r="E27" s="36">
        <f>T_farmer.contri.SK[[#This Row],[Broker volume, tons]]+T_farmer.contri.SK[[#This Row],[Farmer volume, tons]]</f>
        <v>34521.39</v>
      </c>
    </row>
    <row r="28" spans="1:5">
      <c r="A28" s="39">
        <v>2025</v>
      </c>
      <c r="B28" s="40" t="s">
        <v>20</v>
      </c>
      <c r="C28" s="36">
        <v>22656.97</v>
      </c>
      <c r="D28" s="36">
        <v>17764.72</v>
      </c>
      <c r="E28" s="36">
        <f>T_farmer.contri.SK[[#This Row],[Broker volume, tons]]+T_farmer.contri.SK[[#This Row],[Farmer volume, tons]]</f>
        <v>40421.69</v>
      </c>
    </row>
    <row r="29" spans="1:5">
      <c r="A29" s="39">
        <v>2025</v>
      </c>
      <c r="B29" s="40" t="s">
        <v>21</v>
      </c>
      <c r="C29" s="36">
        <v>12424.52</v>
      </c>
      <c r="D29" s="36">
        <v>11848.37</v>
      </c>
      <c r="E29" s="36">
        <f>T_farmer.contri.SK[[#This Row],[Broker volume, tons]]+T_farmer.contri.SK[[#This Row],[Farmer volume, tons]]</f>
        <v>24272.89</v>
      </c>
    </row>
    <row r="30" spans="1:5">
      <c r="A30" s="39">
        <v>2025</v>
      </c>
      <c r="B30" s="40" t="s">
        <v>22</v>
      </c>
      <c r="C30" s="36">
        <v>31843.21</v>
      </c>
      <c r="D30" s="36">
        <v>13529.1</v>
      </c>
      <c r="E30" s="36">
        <f>T_farmer.contri.SK[[#This Row],[Broker volume, tons]]+T_farmer.contri.SK[[#This Row],[Farmer volume, tons]]</f>
        <v>45372.31</v>
      </c>
    </row>
    <row r="31" spans="1:5">
      <c r="A31" s="39">
        <v>2025</v>
      </c>
      <c r="B31" s="40" t="s">
        <v>23</v>
      </c>
      <c r="C31" s="36">
        <v>25895.41</v>
      </c>
      <c r="D31" s="36">
        <v>17178.169999999998</v>
      </c>
      <c r="E31" s="36">
        <f>T_farmer.contri.SK[[#This Row],[Broker volume, tons]]+T_farmer.contri.SK[[#This Row],[Farmer volume, tons]]</f>
        <v>43073.58</v>
      </c>
    </row>
    <row r="32" spans="1:5">
      <c r="A32" s="39">
        <v>2025</v>
      </c>
      <c r="B32" s="40" t="s">
        <v>24</v>
      </c>
      <c r="C32" s="36">
        <v>40165.47</v>
      </c>
      <c r="D32" s="36">
        <v>3824.3</v>
      </c>
      <c r="E32" s="36">
        <f>T_farmer.contri.SK[[#This Row],[Broker volume, tons]]+T_farmer.contri.SK[[#This Row],[Farmer volume, tons]]</f>
        <v>43989.770000000004</v>
      </c>
    </row>
    <row r="33" spans="1:5">
      <c r="A33" s="39">
        <v>2025</v>
      </c>
      <c r="B33" s="40" t="s">
        <v>25</v>
      </c>
      <c r="C33" s="36">
        <v>34863.57</v>
      </c>
      <c r="D33" s="36">
        <v>1047.99</v>
      </c>
      <c r="E33" s="36">
        <f>T_farmer.contri.SK[[#This Row],[Broker volume, tons]]+T_farmer.contri.SK[[#This Row],[Farmer volume, tons]]</f>
        <v>35911.56</v>
      </c>
    </row>
    <row r="34" spans="1:5">
      <c r="A34" s="39">
        <v>2025</v>
      </c>
      <c r="B34" s="40" t="s">
        <v>26</v>
      </c>
      <c r="C34" s="36">
        <v>24435.78</v>
      </c>
      <c r="D34" s="36">
        <v>3171.55</v>
      </c>
      <c r="E34" s="36">
        <f>T_farmer.contri.SK[[#This Row],[Broker volume, tons]]+T_farmer.contri.SK[[#This Row],[Farmer volume, tons]]</f>
        <v>27607.329999999998</v>
      </c>
    </row>
    <row r="35" spans="1:5">
      <c r="A35" s="39">
        <v>2025</v>
      </c>
      <c r="B35" s="40" t="s">
        <v>27</v>
      </c>
      <c r="C35" s="36">
        <v>22552.25</v>
      </c>
      <c r="D35" s="36">
        <v>8548.18</v>
      </c>
      <c r="E35" s="36">
        <f>T_farmer.contri.SK[[#This Row],[Broker volume, tons]]+T_farmer.contri.SK[[#This Row],[Farmer volume, tons]]</f>
        <v>31100.43</v>
      </c>
    </row>
    <row r="36" spans="1:5">
      <c r="A36" s="39">
        <v>2025</v>
      </c>
      <c r="B36" s="40" t="s">
        <v>28</v>
      </c>
      <c r="C36" s="36">
        <v>28558.36</v>
      </c>
      <c r="D36" s="36">
        <v>6954.98</v>
      </c>
      <c r="E36" s="36">
        <f>T_farmer.contri.SK[[#This Row],[Broker volume, tons]]+T_farmer.contri.SK[[#This Row],[Farmer volume, tons]]</f>
        <v>35513.339999999997</v>
      </c>
    </row>
    <row r="37" spans="1:5">
      <c r="A37" s="39">
        <v>2025</v>
      </c>
      <c r="B37" s="40" t="s">
        <v>29</v>
      </c>
      <c r="C37" s="36">
        <v>22053.62</v>
      </c>
      <c r="D37" s="36">
        <v>5352.13</v>
      </c>
      <c r="E37" s="36">
        <f>T_farmer.contri.SK[[#This Row],[Broker volume, tons]]+T_farmer.contri.SK[[#This Row],[Farmer volume, tons]]</f>
        <v>27405.75</v>
      </c>
    </row>
    <row r="38" spans="1:5">
      <c r="A38" s="39">
        <v>2026</v>
      </c>
      <c r="B38" s="40" t="s">
        <v>17</v>
      </c>
      <c r="C38" s="36">
        <v>24915.38</v>
      </c>
      <c r="D38" s="41">
        <v>5038.93</v>
      </c>
      <c r="E38" s="36">
        <f>T_farmer.contri.SK[[#This Row],[Broker volume, tons]]+T_farmer.contri.SK[[#This Row],[Farmer volume, tons]]</f>
        <v>29954.31</v>
      </c>
    </row>
    <row r="39" spans="1:5">
      <c r="A39" s="39">
        <v>2026</v>
      </c>
      <c r="B39" s="40" t="s">
        <v>19</v>
      </c>
      <c r="C39" s="36">
        <v>25166.82</v>
      </c>
      <c r="D39" s="41">
        <v>5158.76</v>
      </c>
      <c r="E39" s="36">
        <f>T_farmer.contri.SK[[#This Row],[Broker volume, tons]]+T_farmer.contri.SK[[#This Row],[Farmer volume, tons]]</f>
        <v>30325.58</v>
      </c>
    </row>
    <row r="40" spans="1:5">
      <c r="A40" s="39">
        <v>2026</v>
      </c>
      <c r="B40" s="40" t="s">
        <v>20</v>
      </c>
      <c r="C40" s="36">
        <v>27727.55</v>
      </c>
      <c r="D40" s="41">
        <v>5799.6</v>
      </c>
      <c r="E40" s="36">
        <f>T_farmer.contri.SK[[#This Row],[Broker volume, tons]]+T_farmer.contri.SK[[#This Row],[Farmer volume, tons]]</f>
        <v>33527.15</v>
      </c>
    </row>
    <row r="41" spans="1:5">
      <c r="A41" s="39">
        <v>2026</v>
      </c>
      <c r="B41" s="40" t="s">
        <v>21</v>
      </c>
      <c r="C41" s="36">
        <v>17268.310000000001</v>
      </c>
      <c r="D41" s="41">
        <v>842.86</v>
      </c>
      <c r="E41" s="36">
        <f>T_farmer.contri.SK[[#This Row],[Broker volume, tons]]+T_farmer.contri.SK[[#This Row],[Farmer volume, tons]]</f>
        <v>18111.170000000002</v>
      </c>
    </row>
    <row r="42" spans="1:5">
      <c r="A42" s="39">
        <v>2026</v>
      </c>
      <c r="B42" s="40" t="s">
        <v>22</v>
      </c>
      <c r="C42" s="36">
        <v>31301.5</v>
      </c>
      <c r="D42" s="41">
        <v>1478.18</v>
      </c>
      <c r="E42" s="36">
        <f>T_farmer.contri.SK[[#This Row],[Broker volume, tons]]+T_farmer.contri.SK[[#This Row],[Farmer volume, tons]]</f>
        <v>32779.68</v>
      </c>
    </row>
    <row r="43" spans="1:5">
      <c r="A43" s="39">
        <v>2026</v>
      </c>
      <c r="B43" s="40" t="s">
        <v>23</v>
      </c>
      <c r="C43" s="36">
        <v>0.01</v>
      </c>
      <c r="D43" s="41">
        <v>0.01</v>
      </c>
      <c r="E43" s="36">
        <f>T_farmer.contri.SK[[#This Row],[Broker volume, tons]]+T_farmer.contri.SK[[#This Row],[Farmer volume, tons]]</f>
        <v>0.02</v>
      </c>
    </row>
    <row r="44" spans="1:5">
      <c r="A44" s="39">
        <v>2026</v>
      </c>
      <c r="B44" s="40" t="s">
        <v>24</v>
      </c>
      <c r="C44" s="36">
        <v>0.01</v>
      </c>
      <c r="D44" s="41">
        <v>0.01</v>
      </c>
      <c r="E44" s="36">
        <f>T_farmer.contri.SK[[#This Row],[Broker volume, tons]]+T_farmer.contri.SK[[#This Row],[Farmer volume, tons]]</f>
        <v>0.02</v>
      </c>
    </row>
    <row r="45" spans="1:5">
      <c r="A45" s="39">
        <v>2026</v>
      </c>
      <c r="B45" s="40" t="s">
        <v>25</v>
      </c>
      <c r="C45" s="36">
        <v>0.01</v>
      </c>
      <c r="D45" s="41">
        <v>0.01</v>
      </c>
      <c r="E45" s="36">
        <f>T_farmer.contri.SK[[#This Row],[Broker volume, tons]]+T_farmer.contri.SK[[#This Row],[Farmer volume, tons]]</f>
        <v>0.02</v>
      </c>
    </row>
    <row r="46" spans="1:5">
      <c r="A46" s="39">
        <v>2026</v>
      </c>
      <c r="B46" s="40" t="s">
        <v>26</v>
      </c>
      <c r="C46" s="36">
        <v>0.01</v>
      </c>
      <c r="D46" s="41">
        <v>0.01</v>
      </c>
      <c r="E46" s="36">
        <f>T_farmer.contri.SK[[#This Row],[Broker volume, tons]]+T_farmer.contri.SK[[#This Row],[Farmer volume, tons]]</f>
        <v>0.02</v>
      </c>
    </row>
    <row r="47" spans="1:5">
      <c r="A47" s="39">
        <v>2026</v>
      </c>
      <c r="B47" s="40" t="s">
        <v>27</v>
      </c>
      <c r="C47" s="36">
        <v>0.01</v>
      </c>
      <c r="D47" s="41">
        <v>0.01</v>
      </c>
      <c r="E47" s="36">
        <f>T_farmer.contri.SK[[#This Row],[Broker volume, tons]]+T_farmer.contri.SK[[#This Row],[Farmer volume, tons]]</f>
        <v>0.02</v>
      </c>
    </row>
    <row r="48" spans="1:5">
      <c r="A48" s="39">
        <v>2026</v>
      </c>
      <c r="B48" s="40" t="s">
        <v>28</v>
      </c>
      <c r="C48" s="36">
        <v>0.01</v>
      </c>
      <c r="D48" s="41">
        <v>0.01</v>
      </c>
      <c r="E48" s="36">
        <f>T_farmer.contri.SK[[#This Row],[Broker volume, tons]]+T_farmer.contri.SK[[#This Row],[Farmer volume, tons]]</f>
        <v>0.02</v>
      </c>
    </row>
    <row r="49" spans="1:5">
      <c r="A49" s="39">
        <v>2026</v>
      </c>
      <c r="B49" s="40" t="s">
        <v>29</v>
      </c>
      <c r="C49" s="36">
        <v>0.01</v>
      </c>
      <c r="D49" s="41">
        <v>0.01</v>
      </c>
      <c r="E49" s="36">
        <f>T_farmer.contri.SK[[#This Row],[Broker volume, tons]]+T_farmer.contri.SK[[#This Row],[Farmer volume, tons]]</f>
        <v>0.02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632-9F50-41C4-861E-554ECE28D88D}">
  <dimension ref="A1:F1012"/>
  <sheetViews>
    <sheetView topLeftCell="A1007" zoomScaleNormal="100" workbookViewId="0">
      <selection activeCell="E1020" sqref="E1020"/>
    </sheetView>
  </sheetViews>
  <sheetFormatPr defaultRowHeight="16.5"/>
  <cols>
    <col min="1" max="1" width="7.6328125" style="20" customWidth="1"/>
    <col min="2" max="2" width="18" style="19" customWidth="1"/>
    <col min="3" max="3" width="32.08984375" style="19" customWidth="1"/>
    <col min="4" max="5" width="27.90625" style="19" customWidth="1"/>
    <col min="6" max="16384" width="8.7265625" style="19"/>
  </cols>
  <sheetData>
    <row r="1" spans="1:5">
      <c r="A1" s="17" t="s">
        <v>30</v>
      </c>
      <c r="B1" s="18" t="s">
        <v>31</v>
      </c>
      <c r="C1" s="18" t="s">
        <v>32</v>
      </c>
      <c r="D1" s="18" t="s">
        <v>33</v>
      </c>
      <c r="E1" s="18" t="s">
        <v>34</v>
      </c>
    </row>
    <row r="2" spans="1:5">
      <c r="A2" s="17">
        <v>1</v>
      </c>
      <c r="B2" s="18" t="s">
        <v>35</v>
      </c>
      <c r="C2" s="18" t="s">
        <v>36</v>
      </c>
      <c r="D2" s="18" t="s">
        <v>37</v>
      </c>
      <c r="E2" s="18" t="s">
        <v>38</v>
      </c>
    </row>
    <row r="3" spans="1:5">
      <c r="A3" s="17">
        <v>2</v>
      </c>
      <c r="B3" s="18" t="s">
        <v>39</v>
      </c>
      <c r="C3" s="18" t="s">
        <v>40</v>
      </c>
      <c r="D3" s="18" t="s">
        <v>41</v>
      </c>
      <c r="E3" s="18" t="s">
        <v>42</v>
      </c>
    </row>
    <row r="4" spans="1:5">
      <c r="A4" s="17">
        <v>3</v>
      </c>
      <c r="B4" s="18" t="s">
        <v>39</v>
      </c>
      <c r="C4" s="18" t="s">
        <v>43</v>
      </c>
      <c r="D4" s="18" t="s">
        <v>44</v>
      </c>
      <c r="E4" s="18" t="s">
        <v>45</v>
      </c>
    </row>
    <row r="5" spans="1:5">
      <c r="A5" s="17">
        <v>4</v>
      </c>
      <c r="B5" s="18" t="s">
        <v>35</v>
      </c>
      <c r="C5" s="18" t="s">
        <v>46</v>
      </c>
      <c r="D5" s="18" t="s">
        <v>47</v>
      </c>
      <c r="E5" s="18" t="s">
        <v>48</v>
      </c>
    </row>
    <row r="6" spans="1:5">
      <c r="A6" s="17">
        <v>5</v>
      </c>
      <c r="B6" s="18" t="s">
        <v>35</v>
      </c>
      <c r="C6" s="18" t="s">
        <v>49</v>
      </c>
      <c r="D6" s="18" t="s">
        <v>47</v>
      </c>
      <c r="E6" s="18" t="s">
        <v>48</v>
      </c>
    </row>
    <row r="7" spans="1:5">
      <c r="A7" s="17">
        <v>6</v>
      </c>
      <c r="B7" s="18" t="s">
        <v>35</v>
      </c>
      <c r="C7" s="18" t="s">
        <v>50</v>
      </c>
      <c r="D7" s="18" t="s">
        <v>47</v>
      </c>
      <c r="E7" s="18" t="s">
        <v>48</v>
      </c>
    </row>
    <row r="8" spans="1:5">
      <c r="A8" s="17">
        <v>7</v>
      </c>
      <c r="B8" s="18" t="s">
        <v>35</v>
      </c>
      <c r="C8" s="18" t="s">
        <v>51</v>
      </c>
      <c r="D8" s="18" t="s">
        <v>47</v>
      </c>
      <c r="E8" s="18" t="s">
        <v>48</v>
      </c>
    </row>
    <row r="9" spans="1:5">
      <c r="A9" s="17">
        <v>8</v>
      </c>
      <c r="B9" s="18" t="s">
        <v>35</v>
      </c>
      <c r="C9" s="18" t="s">
        <v>52</v>
      </c>
      <c r="D9" s="18" t="s">
        <v>47</v>
      </c>
      <c r="E9" s="18" t="s">
        <v>48</v>
      </c>
    </row>
    <row r="10" spans="1:5">
      <c r="A10" s="17">
        <v>9</v>
      </c>
      <c r="B10" s="18" t="s">
        <v>35</v>
      </c>
      <c r="C10" s="18" t="s">
        <v>53</v>
      </c>
      <c r="D10" s="18" t="s">
        <v>47</v>
      </c>
      <c r="E10" s="18" t="s">
        <v>48</v>
      </c>
    </row>
    <row r="11" spans="1:5">
      <c r="A11" s="17">
        <v>10</v>
      </c>
      <c r="B11" s="18" t="s">
        <v>35</v>
      </c>
      <c r="C11" s="18" t="s">
        <v>54</v>
      </c>
      <c r="D11" s="18" t="s">
        <v>47</v>
      </c>
      <c r="E11" s="18" t="s">
        <v>48</v>
      </c>
    </row>
    <row r="12" spans="1:5">
      <c r="A12" s="17">
        <v>11</v>
      </c>
      <c r="B12" s="18" t="s">
        <v>35</v>
      </c>
      <c r="C12" s="18" t="s">
        <v>55</v>
      </c>
      <c r="D12" s="18" t="s">
        <v>47</v>
      </c>
      <c r="E12" s="18" t="s">
        <v>48</v>
      </c>
    </row>
    <row r="13" spans="1:5">
      <c r="A13" s="17">
        <v>12</v>
      </c>
      <c r="B13" s="18" t="s">
        <v>35</v>
      </c>
      <c r="C13" s="18" t="s">
        <v>56</v>
      </c>
      <c r="D13" s="18" t="s">
        <v>47</v>
      </c>
      <c r="E13" s="18" t="s">
        <v>48</v>
      </c>
    </row>
    <row r="14" spans="1:5">
      <c r="A14" s="17">
        <v>13</v>
      </c>
      <c r="B14" s="18" t="s">
        <v>35</v>
      </c>
      <c r="C14" s="18" t="s">
        <v>57</v>
      </c>
      <c r="D14" s="18" t="s">
        <v>47</v>
      </c>
      <c r="E14" s="18" t="s">
        <v>48</v>
      </c>
    </row>
    <row r="15" spans="1:5">
      <c r="A15" s="17">
        <v>14</v>
      </c>
      <c r="B15" s="18" t="s">
        <v>35</v>
      </c>
      <c r="C15" s="18" t="s">
        <v>58</v>
      </c>
      <c r="D15" s="18" t="s">
        <v>47</v>
      </c>
      <c r="E15" s="18" t="s">
        <v>48</v>
      </c>
    </row>
    <row r="16" spans="1:5">
      <c r="A16" s="17">
        <v>15</v>
      </c>
      <c r="B16" s="18" t="s">
        <v>35</v>
      </c>
      <c r="C16" s="18" t="s">
        <v>59</v>
      </c>
      <c r="D16" s="18" t="s">
        <v>47</v>
      </c>
      <c r="E16" s="18" t="s">
        <v>48</v>
      </c>
    </row>
    <row r="17" spans="1:5">
      <c r="A17" s="17">
        <v>16</v>
      </c>
      <c r="B17" s="18" t="s">
        <v>35</v>
      </c>
      <c r="C17" s="18" t="s">
        <v>60</v>
      </c>
      <c r="D17" s="18" t="s">
        <v>47</v>
      </c>
      <c r="E17" s="18" t="s">
        <v>48</v>
      </c>
    </row>
    <row r="18" spans="1:5">
      <c r="A18" s="17">
        <v>17</v>
      </c>
      <c r="B18" s="18" t="s">
        <v>35</v>
      </c>
      <c r="C18" s="18" t="s">
        <v>61</v>
      </c>
      <c r="D18" s="18" t="s">
        <v>47</v>
      </c>
      <c r="E18" s="18" t="s">
        <v>48</v>
      </c>
    </row>
    <row r="19" spans="1:5">
      <c r="A19" s="17">
        <v>18</v>
      </c>
      <c r="B19" s="18" t="s">
        <v>35</v>
      </c>
      <c r="C19" s="18" t="s">
        <v>62</v>
      </c>
      <c r="D19" s="18" t="s">
        <v>47</v>
      </c>
      <c r="E19" s="18" t="s">
        <v>48</v>
      </c>
    </row>
    <row r="20" spans="1:5">
      <c r="A20" s="17">
        <v>19</v>
      </c>
      <c r="B20" s="18" t="s">
        <v>35</v>
      </c>
      <c r="C20" s="18" t="s">
        <v>63</v>
      </c>
      <c r="D20" s="18" t="s">
        <v>47</v>
      </c>
      <c r="E20" s="18" t="s">
        <v>48</v>
      </c>
    </row>
    <row r="21" spans="1:5">
      <c r="A21" s="17">
        <v>20</v>
      </c>
      <c r="B21" s="18" t="s">
        <v>35</v>
      </c>
      <c r="C21" s="18" t="s">
        <v>64</v>
      </c>
      <c r="D21" s="18" t="s">
        <v>47</v>
      </c>
      <c r="E21" s="18" t="s">
        <v>48</v>
      </c>
    </row>
    <row r="22" spans="1:5">
      <c r="A22" s="17">
        <v>21</v>
      </c>
      <c r="B22" s="18" t="s">
        <v>35</v>
      </c>
      <c r="C22" s="18" t="s">
        <v>65</v>
      </c>
      <c r="D22" s="18" t="s">
        <v>47</v>
      </c>
      <c r="E22" s="18" t="s">
        <v>48</v>
      </c>
    </row>
    <row r="23" spans="1:5">
      <c r="A23" s="17">
        <v>22</v>
      </c>
      <c r="B23" s="18" t="s">
        <v>35</v>
      </c>
      <c r="C23" s="18" t="s">
        <v>66</v>
      </c>
      <c r="D23" s="18" t="s">
        <v>47</v>
      </c>
      <c r="E23" s="18" t="s">
        <v>48</v>
      </c>
    </row>
    <row r="24" spans="1:5">
      <c r="A24" s="17">
        <v>23</v>
      </c>
      <c r="B24" s="18" t="s">
        <v>35</v>
      </c>
      <c r="C24" s="18" t="s">
        <v>67</v>
      </c>
      <c r="D24" s="18" t="s">
        <v>47</v>
      </c>
      <c r="E24" s="18" t="s">
        <v>48</v>
      </c>
    </row>
    <row r="25" spans="1:5">
      <c r="A25" s="17">
        <v>24</v>
      </c>
      <c r="B25" s="18" t="s">
        <v>35</v>
      </c>
      <c r="C25" s="18" t="s">
        <v>68</v>
      </c>
      <c r="D25" s="18" t="s">
        <v>47</v>
      </c>
      <c r="E25" s="18" t="s">
        <v>48</v>
      </c>
    </row>
    <row r="26" spans="1:5">
      <c r="A26" s="17">
        <v>25</v>
      </c>
      <c r="B26" s="18" t="s">
        <v>35</v>
      </c>
      <c r="C26" s="18" t="s">
        <v>69</v>
      </c>
      <c r="D26" s="18" t="s">
        <v>47</v>
      </c>
      <c r="E26" s="18" t="s">
        <v>48</v>
      </c>
    </row>
    <row r="27" spans="1:5">
      <c r="A27" s="17">
        <v>26</v>
      </c>
      <c r="B27" s="18" t="s">
        <v>35</v>
      </c>
      <c r="C27" s="18" t="s">
        <v>70</v>
      </c>
      <c r="D27" s="18" t="s">
        <v>47</v>
      </c>
      <c r="E27" s="18" t="s">
        <v>48</v>
      </c>
    </row>
    <row r="28" spans="1:5">
      <c r="A28" s="17">
        <v>27</v>
      </c>
      <c r="B28" s="18" t="s">
        <v>35</v>
      </c>
      <c r="C28" s="18" t="s">
        <v>71</v>
      </c>
      <c r="D28" s="18" t="s">
        <v>47</v>
      </c>
      <c r="E28" s="18" t="s">
        <v>48</v>
      </c>
    </row>
    <row r="29" spans="1:5">
      <c r="A29" s="17">
        <v>28</v>
      </c>
      <c r="B29" s="18" t="s">
        <v>35</v>
      </c>
      <c r="C29" s="18" t="s">
        <v>72</v>
      </c>
      <c r="D29" s="18" t="s">
        <v>47</v>
      </c>
      <c r="E29" s="18" t="s">
        <v>48</v>
      </c>
    </row>
    <row r="30" spans="1:5">
      <c r="A30" s="17">
        <v>29</v>
      </c>
      <c r="B30" s="18" t="s">
        <v>35</v>
      </c>
      <c r="C30" s="18" t="s">
        <v>73</v>
      </c>
      <c r="D30" s="18" t="s">
        <v>47</v>
      </c>
      <c r="E30" s="18" t="s">
        <v>48</v>
      </c>
    </row>
    <row r="31" spans="1:5">
      <c r="A31" s="17">
        <v>30</v>
      </c>
      <c r="B31" s="18" t="s">
        <v>35</v>
      </c>
      <c r="C31" s="18" t="s">
        <v>74</v>
      </c>
      <c r="D31" s="18" t="s">
        <v>47</v>
      </c>
      <c r="E31" s="18" t="s">
        <v>48</v>
      </c>
    </row>
    <row r="32" spans="1:5">
      <c r="A32" s="17">
        <v>31</v>
      </c>
      <c r="B32" s="18" t="s">
        <v>35</v>
      </c>
      <c r="C32" s="18" t="s">
        <v>75</v>
      </c>
      <c r="D32" s="18" t="s">
        <v>47</v>
      </c>
      <c r="E32" s="18" t="s">
        <v>48</v>
      </c>
    </row>
    <row r="33" spans="1:5">
      <c r="A33" s="17">
        <v>32</v>
      </c>
      <c r="B33" s="18" t="s">
        <v>35</v>
      </c>
      <c r="C33" s="18" t="s">
        <v>76</v>
      </c>
      <c r="D33" s="18" t="s">
        <v>47</v>
      </c>
      <c r="E33" s="18" t="s">
        <v>48</v>
      </c>
    </row>
    <row r="34" spans="1:5">
      <c r="A34" s="17">
        <v>33</v>
      </c>
      <c r="B34" s="18" t="s">
        <v>35</v>
      </c>
      <c r="C34" s="18" t="s">
        <v>77</v>
      </c>
      <c r="D34" s="18" t="s">
        <v>47</v>
      </c>
      <c r="E34" s="18" t="s">
        <v>48</v>
      </c>
    </row>
    <row r="35" spans="1:5">
      <c r="A35" s="17">
        <v>34</v>
      </c>
      <c r="B35" s="18" t="s">
        <v>35</v>
      </c>
      <c r="C35" s="18" t="s">
        <v>78</v>
      </c>
      <c r="D35" s="18" t="s">
        <v>47</v>
      </c>
      <c r="E35" s="18" t="s">
        <v>48</v>
      </c>
    </row>
    <row r="36" spans="1:5">
      <c r="A36" s="17">
        <v>35</v>
      </c>
      <c r="B36" s="18" t="s">
        <v>35</v>
      </c>
      <c r="C36" s="18" t="s">
        <v>79</v>
      </c>
      <c r="D36" s="18" t="s">
        <v>80</v>
      </c>
      <c r="E36" s="18" t="s">
        <v>81</v>
      </c>
    </row>
    <row r="37" spans="1:5">
      <c r="A37" s="17">
        <v>36</v>
      </c>
      <c r="B37" s="18" t="s">
        <v>35</v>
      </c>
      <c r="C37" s="18" t="s">
        <v>82</v>
      </c>
      <c r="D37" s="18" t="s">
        <v>83</v>
      </c>
      <c r="E37" s="18" t="s">
        <v>48</v>
      </c>
    </row>
    <row r="38" spans="1:5">
      <c r="A38" s="17">
        <v>37</v>
      </c>
      <c r="B38" s="18" t="s">
        <v>35</v>
      </c>
      <c r="C38" s="18" t="s">
        <v>84</v>
      </c>
      <c r="D38" s="18" t="s">
        <v>83</v>
      </c>
      <c r="E38" s="18" t="s">
        <v>48</v>
      </c>
    </row>
    <row r="39" spans="1:5">
      <c r="A39" s="17">
        <v>38</v>
      </c>
      <c r="B39" s="18" t="s">
        <v>39</v>
      </c>
      <c r="C39" s="18" t="s">
        <v>85</v>
      </c>
      <c r="D39" s="18" t="s">
        <v>86</v>
      </c>
      <c r="E39" s="18" t="s">
        <v>87</v>
      </c>
    </row>
    <row r="40" spans="1:5">
      <c r="A40" s="17">
        <v>39</v>
      </c>
      <c r="B40" s="18" t="s">
        <v>39</v>
      </c>
      <c r="C40" s="18" t="s">
        <v>88</v>
      </c>
      <c r="D40" s="18" t="s">
        <v>89</v>
      </c>
      <c r="E40" s="18" t="s">
        <v>90</v>
      </c>
    </row>
    <row r="41" spans="1:5">
      <c r="A41" s="17">
        <v>40</v>
      </c>
      <c r="B41" s="18" t="s">
        <v>35</v>
      </c>
      <c r="C41" s="18" t="s">
        <v>91</v>
      </c>
      <c r="D41" s="18" t="s">
        <v>92</v>
      </c>
      <c r="E41" s="18" t="s">
        <v>48</v>
      </c>
    </row>
    <row r="42" spans="1:5">
      <c r="A42" s="17">
        <v>41</v>
      </c>
      <c r="B42" s="18" t="s">
        <v>35</v>
      </c>
      <c r="C42" s="18" t="s">
        <v>93</v>
      </c>
      <c r="D42" s="18" t="s">
        <v>92</v>
      </c>
      <c r="E42" s="18" t="s">
        <v>48</v>
      </c>
    </row>
    <row r="43" spans="1:5">
      <c r="A43" s="17">
        <v>42</v>
      </c>
      <c r="B43" s="18" t="s">
        <v>39</v>
      </c>
      <c r="C43" s="18" t="s">
        <v>94</v>
      </c>
      <c r="D43" s="18" t="s">
        <v>95</v>
      </c>
      <c r="E43" s="18" t="s">
        <v>48</v>
      </c>
    </row>
    <row r="44" spans="1:5">
      <c r="A44" s="17">
        <v>43</v>
      </c>
      <c r="B44" s="18" t="s">
        <v>35</v>
      </c>
      <c r="C44" s="18" t="s">
        <v>96</v>
      </c>
      <c r="D44" s="18" t="s">
        <v>95</v>
      </c>
      <c r="E44" s="18" t="s">
        <v>48</v>
      </c>
    </row>
    <row r="45" spans="1:5">
      <c r="A45" s="17">
        <v>44</v>
      </c>
      <c r="B45" s="18" t="s">
        <v>35</v>
      </c>
      <c r="C45" s="18" t="s">
        <v>97</v>
      </c>
      <c r="D45" s="18" t="s">
        <v>95</v>
      </c>
      <c r="E45" s="18" t="s">
        <v>48</v>
      </c>
    </row>
    <row r="46" spans="1:5">
      <c r="A46" s="17">
        <v>45</v>
      </c>
      <c r="B46" s="18" t="s">
        <v>39</v>
      </c>
      <c r="C46" s="18" t="s">
        <v>98</v>
      </c>
      <c r="D46" s="18" t="s">
        <v>99</v>
      </c>
      <c r="E46" s="18" t="s">
        <v>42</v>
      </c>
    </row>
    <row r="47" spans="1:5">
      <c r="A47" s="17">
        <v>46</v>
      </c>
      <c r="B47" s="18" t="s">
        <v>39</v>
      </c>
      <c r="C47" s="18" t="s">
        <v>100</v>
      </c>
      <c r="D47" s="18" t="s">
        <v>99</v>
      </c>
      <c r="E47" s="18" t="s">
        <v>42</v>
      </c>
    </row>
    <row r="48" spans="1:5">
      <c r="A48" s="17">
        <v>47</v>
      </c>
      <c r="B48" s="18" t="s">
        <v>39</v>
      </c>
      <c r="C48" s="18" t="s">
        <v>101</v>
      </c>
      <c r="D48" s="18" t="s">
        <v>102</v>
      </c>
      <c r="E48" s="18" t="s">
        <v>103</v>
      </c>
    </row>
    <row r="49" spans="1:5">
      <c r="A49" s="17">
        <v>48</v>
      </c>
      <c r="B49" s="18" t="s">
        <v>35</v>
      </c>
      <c r="C49" s="18" t="s">
        <v>104</v>
      </c>
      <c r="D49" s="18" t="s">
        <v>105</v>
      </c>
      <c r="E49" s="18" t="s">
        <v>48</v>
      </c>
    </row>
    <row r="50" spans="1:5">
      <c r="A50" s="17">
        <v>49</v>
      </c>
      <c r="B50" s="18" t="s">
        <v>35</v>
      </c>
      <c r="C50" s="18" t="s">
        <v>106</v>
      </c>
      <c r="D50" s="18" t="s">
        <v>105</v>
      </c>
      <c r="E50" s="18" t="s">
        <v>48</v>
      </c>
    </row>
    <row r="51" spans="1:5">
      <c r="A51" s="17">
        <v>50</v>
      </c>
      <c r="B51" s="18" t="s">
        <v>35</v>
      </c>
      <c r="C51" s="18" t="s">
        <v>107</v>
      </c>
      <c r="D51" s="18" t="s">
        <v>105</v>
      </c>
      <c r="E51" s="18" t="s">
        <v>48</v>
      </c>
    </row>
    <row r="52" spans="1:5">
      <c r="A52" s="17">
        <v>51</v>
      </c>
      <c r="B52" s="18" t="s">
        <v>35</v>
      </c>
      <c r="C52" s="18" t="s">
        <v>108</v>
      </c>
      <c r="D52" s="18" t="s">
        <v>105</v>
      </c>
      <c r="E52" s="18" t="s">
        <v>48</v>
      </c>
    </row>
    <row r="53" spans="1:5">
      <c r="A53" s="17">
        <v>52</v>
      </c>
      <c r="B53" s="18" t="s">
        <v>35</v>
      </c>
      <c r="C53" s="18" t="s">
        <v>109</v>
      </c>
      <c r="D53" s="18" t="s">
        <v>105</v>
      </c>
      <c r="E53" s="18" t="s">
        <v>48</v>
      </c>
    </row>
    <row r="54" spans="1:5">
      <c r="A54" s="17">
        <v>53</v>
      </c>
      <c r="B54" s="18" t="s">
        <v>35</v>
      </c>
      <c r="C54" s="18" t="s">
        <v>110</v>
      </c>
      <c r="D54" s="18" t="s">
        <v>105</v>
      </c>
      <c r="E54" s="18" t="s">
        <v>48</v>
      </c>
    </row>
    <row r="55" spans="1:5">
      <c r="A55" s="17">
        <v>54</v>
      </c>
      <c r="B55" s="18" t="s">
        <v>35</v>
      </c>
      <c r="C55" s="18" t="s">
        <v>111</v>
      </c>
      <c r="D55" s="18" t="s">
        <v>105</v>
      </c>
      <c r="E55" s="18" t="s">
        <v>48</v>
      </c>
    </row>
    <row r="56" spans="1:5">
      <c r="A56" s="17">
        <v>55</v>
      </c>
      <c r="B56" s="18" t="s">
        <v>35</v>
      </c>
      <c r="C56" s="18" t="s">
        <v>112</v>
      </c>
      <c r="D56" s="18" t="s">
        <v>105</v>
      </c>
      <c r="E56" s="18" t="s">
        <v>48</v>
      </c>
    </row>
    <row r="57" spans="1:5">
      <c r="A57" s="17">
        <v>56</v>
      </c>
      <c r="B57" s="18" t="s">
        <v>35</v>
      </c>
      <c r="C57" s="18" t="s">
        <v>113</v>
      </c>
      <c r="D57" s="18" t="s">
        <v>105</v>
      </c>
      <c r="E57" s="18" t="s">
        <v>48</v>
      </c>
    </row>
    <row r="58" spans="1:5">
      <c r="A58" s="17">
        <v>57</v>
      </c>
      <c r="B58" s="18" t="s">
        <v>35</v>
      </c>
      <c r="C58" s="18" t="s">
        <v>114</v>
      </c>
      <c r="D58" s="18" t="s">
        <v>105</v>
      </c>
      <c r="E58" s="18" t="s">
        <v>48</v>
      </c>
    </row>
    <row r="59" spans="1:5">
      <c r="A59" s="17">
        <v>58</v>
      </c>
      <c r="B59" s="18" t="s">
        <v>35</v>
      </c>
      <c r="C59" s="18" t="s">
        <v>115</v>
      </c>
      <c r="D59" s="18" t="s">
        <v>105</v>
      </c>
      <c r="E59" s="18" t="s">
        <v>48</v>
      </c>
    </row>
    <row r="60" spans="1:5">
      <c r="A60" s="17">
        <v>59</v>
      </c>
      <c r="B60" s="18" t="s">
        <v>35</v>
      </c>
      <c r="C60" s="18" t="s">
        <v>116</v>
      </c>
      <c r="D60" s="18" t="s">
        <v>105</v>
      </c>
      <c r="E60" s="18" t="s">
        <v>48</v>
      </c>
    </row>
    <row r="61" spans="1:5">
      <c r="A61" s="17">
        <v>60</v>
      </c>
      <c r="B61" s="18" t="s">
        <v>35</v>
      </c>
      <c r="C61" s="18" t="s">
        <v>117</v>
      </c>
      <c r="D61" s="18" t="s">
        <v>105</v>
      </c>
      <c r="E61" s="18" t="s">
        <v>48</v>
      </c>
    </row>
    <row r="62" spans="1:5">
      <c r="A62" s="17">
        <v>61</v>
      </c>
      <c r="B62" s="18" t="s">
        <v>35</v>
      </c>
      <c r="C62" s="18" t="s">
        <v>118</v>
      </c>
      <c r="D62" s="18" t="s">
        <v>105</v>
      </c>
      <c r="E62" s="18" t="s">
        <v>48</v>
      </c>
    </row>
    <row r="63" spans="1:5">
      <c r="A63" s="17">
        <v>62</v>
      </c>
      <c r="B63" s="18" t="s">
        <v>35</v>
      </c>
      <c r="C63" s="18" t="s">
        <v>119</v>
      </c>
      <c r="D63" s="18" t="s">
        <v>105</v>
      </c>
      <c r="E63" s="18" t="s">
        <v>48</v>
      </c>
    </row>
    <row r="64" spans="1:5">
      <c r="A64" s="17">
        <v>63</v>
      </c>
      <c r="B64" s="18" t="s">
        <v>35</v>
      </c>
      <c r="C64" s="18" t="s">
        <v>120</v>
      </c>
      <c r="D64" s="18" t="s">
        <v>105</v>
      </c>
      <c r="E64" s="18" t="s">
        <v>48</v>
      </c>
    </row>
    <row r="65" spans="1:5">
      <c r="A65" s="17">
        <v>64</v>
      </c>
      <c r="B65" s="18" t="s">
        <v>35</v>
      </c>
      <c r="C65" s="18" t="s">
        <v>121</v>
      </c>
      <c r="D65" s="18" t="s">
        <v>105</v>
      </c>
      <c r="E65" s="18" t="s">
        <v>48</v>
      </c>
    </row>
    <row r="66" spans="1:5">
      <c r="A66" s="17">
        <v>65</v>
      </c>
      <c r="B66" s="18" t="s">
        <v>35</v>
      </c>
      <c r="C66" s="18" t="s">
        <v>122</v>
      </c>
      <c r="D66" s="18" t="s">
        <v>105</v>
      </c>
      <c r="E66" s="18" t="s">
        <v>48</v>
      </c>
    </row>
    <row r="67" spans="1:5">
      <c r="A67" s="17">
        <v>66</v>
      </c>
      <c r="B67" s="18" t="s">
        <v>35</v>
      </c>
      <c r="C67" s="18" t="s">
        <v>123</v>
      </c>
      <c r="D67" s="18" t="s">
        <v>105</v>
      </c>
      <c r="E67" s="18" t="s">
        <v>48</v>
      </c>
    </row>
    <row r="68" spans="1:5">
      <c r="A68" s="17">
        <v>67</v>
      </c>
      <c r="B68" s="18" t="s">
        <v>35</v>
      </c>
      <c r="C68" s="18" t="s">
        <v>124</v>
      </c>
      <c r="D68" s="18" t="s">
        <v>105</v>
      </c>
      <c r="E68" s="18" t="s">
        <v>48</v>
      </c>
    </row>
    <row r="69" spans="1:5">
      <c r="A69" s="17">
        <v>68</v>
      </c>
      <c r="B69" s="18" t="s">
        <v>35</v>
      </c>
      <c r="C69" s="18" t="s">
        <v>125</v>
      </c>
      <c r="D69" s="18" t="s">
        <v>105</v>
      </c>
      <c r="E69" s="18" t="s">
        <v>48</v>
      </c>
    </row>
    <row r="70" spans="1:5">
      <c r="A70" s="17">
        <v>69</v>
      </c>
      <c r="B70" s="18" t="s">
        <v>35</v>
      </c>
      <c r="C70" s="18" t="s">
        <v>126</v>
      </c>
      <c r="D70" s="18" t="s">
        <v>105</v>
      </c>
      <c r="E70" s="18" t="s">
        <v>48</v>
      </c>
    </row>
    <row r="71" spans="1:5">
      <c r="A71" s="17">
        <v>70</v>
      </c>
      <c r="B71" s="18" t="s">
        <v>35</v>
      </c>
      <c r="C71" s="18" t="s">
        <v>127</v>
      </c>
      <c r="D71" s="18" t="s">
        <v>105</v>
      </c>
      <c r="E71" s="18" t="s">
        <v>48</v>
      </c>
    </row>
    <row r="72" spans="1:5">
      <c r="A72" s="17">
        <v>71</v>
      </c>
      <c r="B72" s="18" t="s">
        <v>35</v>
      </c>
      <c r="C72" s="18" t="s">
        <v>128</v>
      </c>
      <c r="D72" s="18" t="s">
        <v>105</v>
      </c>
      <c r="E72" s="18" t="s">
        <v>48</v>
      </c>
    </row>
    <row r="73" spans="1:5">
      <c r="A73" s="17">
        <v>72</v>
      </c>
      <c r="B73" s="18" t="s">
        <v>35</v>
      </c>
      <c r="C73" s="18" t="s">
        <v>129</v>
      </c>
      <c r="D73" s="18" t="s">
        <v>105</v>
      </c>
      <c r="E73" s="18" t="s">
        <v>48</v>
      </c>
    </row>
    <row r="74" spans="1:5">
      <c r="A74" s="17">
        <v>73</v>
      </c>
      <c r="B74" s="18" t="s">
        <v>35</v>
      </c>
      <c r="C74" s="18" t="s">
        <v>130</v>
      </c>
      <c r="D74" s="18" t="s">
        <v>105</v>
      </c>
      <c r="E74" s="18" t="s">
        <v>48</v>
      </c>
    </row>
    <row r="75" spans="1:5">
      <c r="A75" s="17">
        <v>74</v>
      </c>
      <c r="B75" s="18" t="s">
        <v>35</v>
      </c>
      <c r="C75" s="18" t="s">
        <v>131</v>
      </c>
      <c r="D75" s="18" t="s">
        <v>105</v>
      </c>
      <c r="E75" s="18" t="s">
        <v>48</v>
      </c>
    </row>
    <row r="76" spans="1:5">
      <c r="A76" s="17">
        <v>75</v>
      </c>
      <c r="B76" s="18" t="s">
        <v>35</v>
      </c>
      <c r="C76" s="18" t="s">
        <v>132</v>
      </c>
      <c r="D76" s="18" t="s">
        <v>105</v>
      </c>
      <c r="E76" s="18" t="s">
        <v>48</v>
      </c>
    </row>
    <row r="77" spans="1:5">
      <c r="A77" s="17">
        <v>76</v>
      </c>
      <c r="B77" s="18" t="s">
        <v>35</v>
      </c>
      <c r="C77" s="18" t="s">
        <v>133</v>
      </c>
      <c r="D77" s="18" t="s">
        <v>105</v>
      </c>
      <c r="E77" s="18" t="s">
        <v>48</v>
      </c>
    </row>
    <row r="78" spans="1:5">
      <c r="A78" s="17">
        <v>77</v>
      </c>
      <c r="B78" s="18" t="s">
        <v>35</v>
      </c>
      <c r="C78" s="18" t="s">
        <v>134</v>
      </c>
      <c r="D78" s="18" t="s">
        <v>105</v>
      </c>
      <c r="E78" s="18" t="s">
        <v>48</v>
      </c>
    </row>
    <row r="79" spans="1:5">
      <c r="A79" s="17">
        <v>78</v>
      </c>
      <c r="B79" s="18" t="s">
        <v>35</v>
      </c>
      <c r="C79" s="18" t="s">
        <v>135</v>
      </c>
      <c r="D79" s="18" t="s">
        <v>105</v>
      </c>
      <c r="E79" s="18" t="s">
        <v>48</v>
      </c>
    </row>
    <row r="80" spans="1:5">
      <c r="A80" s="17">
        <v>79</v>
      </c>
      <c r="B80" s="18" t="s">
        <v>35</v>
      </c>
      <c r="C80" s="18" t="s">
        <v>136</v>
      </c>
      <c r="D80" s="18" t="s">
        <v>105</v>
      </c>
      <c r="E80" s="18" t="s">
        <v>48</v>
      </c>
    </row>
    <row r="81" spans="1:5">
      <c r="A81" s="17">
        <v>80</v>
      </c>
      <c r="B81" s="18" t="s">
        <v>35</v>
      </c>
      <c r="C81" s="18" t="s">
        <v>137</v>
      </c>
      <c r="D81" s="18" t="s">
        <v>105</v>
      </c>
      <c r="E81" s="18" t="s">
        <v>48</v>
      </c>
    </row>
    <row r="82" spans="1:5">
      <c r="A82" s="17">
        <v>81</v>
      </c>
      <c r="B82" s="18" t="s">
        <v>35</v>
      </c>
      <c r="C82" s="18" t="s">
        <v>138</v>
      </c>
      <c r="D82" s="18" t="s">
        <v>105</v>
      </c>
      <c r="E82" s="18" t="s">
        <v>48</v>
      </c>
    </row>
    <row r="83" spans="1:5">
      <c r="A83" s="17">
        <v>82</v>
      </c>
      <c r="B83" s="18" t="s">
        <v>35</v>
      </c>
      <c r="C83" s="18" t="s">
        <v>139</v>
      </c>
      <c r="D83" s="18" t="s">
        <v>105</v>
      </c>
      <c r="E83" s="18" t="s">
        <v>48</v>
      </c>
    </row>
    <row r="84" spans="1:5">
      <c r="A84" s="17">
        <v>83</v>
      </c>
      <c r="B84" s="18" t="s">
        <v>35</v>
      </c>
      <c r="C84" s="18" t="s">
        <v>140</v>
      </c>
      <c r="D84" s="18" t="s">
        <v>105</v>
      </c>
      <c r="E84" s="18" t="s">
        <v>48</v>
      </c>
    </row>
    <row r="85" spans="1:5">
      <c r="A85" s="17">
        <v>84</v>
      </c>
      <c r="B85" s="18" t="s">
        <v>35</v>
      </c>
      <c r="C85" s="18" t="s">
        <v>141</v>
      </c>
      <c r="D85" s="18" t="s">
        <v>105</v>
      </c>
      <c r="E85" s="18" t="s">
        <v>48</v>
      </c>
    </row>
    <row r="86" spans="1:5">
      <c r="A86" s="17">
        <v>85</v>
      </c>
      <c r="B86" s="18" t="s">
        <v>35</v>
      </c>
      <c r="C86" s="18" t="s">
        <v>142</v>
      </c>
      <c r="D86" s="18" t="s">
        <v>105</v>
      </c>
      <c r="E86" s="18" t="s">
        <v>48</v>
      </c>
    </row>
    <row r="87" spans="1:5">
      <c r="A87" s="17">
        <v>86</v>
      </c>
      <c r="B87" s="18" t="s">
        <v>35</v>
      </c>
      <c r="C87" s="18" t="s">
        <v>143</v>
      </c>
      <c r="D87" s="18" t="s">
        <v>105</v>
      </c>
      <c r="E87" s="18" t="s">
        <v>48</v>
      </c>
    </row>
    <row r="88" spans="1:5">
      <c r="A88" s="17">
        <v>87</v>
      </c>
      <c r="B88" s="18" t="s">
        <v>35</v>
      </c>
      <c r="C88" s="18" t="s">
        <v>144</v>
      </c>
      <c r="D88" s="18" t="s">
        <v>105</v>
      </c>
      <c r="E88" s="18" t="s">
        <v>48</v>
      </c>
    </row>
    <row r="89" spans="1:5">
      <c r="A89" s="17">
        <v>88</v>
      </c>
      <c r="B89" s="18" t="s">
        <v>35</v>
      </c>
      <c r="C89" s="18" t="s">
        <v>145</v>
      </c>
      <c r="D89" s="18" t="s">
        <v>105</v>
      </c>
      <c r="E89" s="18" t="s">
        <v>48</v>
      </c>
    </row>
    <row r="90" spans="1:5">
      <c r="A90" s="17">
        <v>89</v>
      </c>
      <c r="B90" s="18" t="s">
        <v>35</v>
      </c>
      <c r="C90" s="18" t="s">
        <v>146</v>
      </c>
      <c r="D90" s="18" t="s">
        <v>105</v>
      </c>
      <c r="E90" s="18" t="s">
        <v>48</v>
      </c>
    </row>
    <row r="91" spans="1:5">
      <c r="A91" s="17">
        <v>90</v>
      </c>
      <c r="B91" s="18" t="s">
        <v>35</v>
      </c>
      <c r="C91" s="18" t="s">
        <v>147</v>
      </c>
      <c r="D91" s="18" t="s">
        <v>105</v>
      </c>
      <c r="E91" s="18" t="s">
        <v>48</v>
      </c>
    </row>
    <row r="92" spans="1:5">
      <c r="A92" s="17">
        <v>91</v>
      </c>
      <c r="B92" s="18" t="s">
        <v>35</v>
      </c>
      <c r="C92" s="18" t="s">
        <v>148</v>
      </c>
      <c r="D92" s="18" t="s">
        <v>105</v>
      </c>
      <c r="E92" s="18" t="s">
        <v>48</v>
      </c>
    </row>
    <row r="93" spans="1:5">
      <c r="A93" s="17">
        <v>92</v>
      </c>
      <c r="B93" s="18" t="s">
        <v>35</v>
      </c>
      <c r="C93" s="18" t="s">
        <v>149</v>
      </c>
      <c r="D93" s="18" t="s">
        <v>105</v>
      </c>
      <c r="E93" s="18" t="s">
        <v>48</v>
      </c>
    </row>
    <row r="94" spans="1:5">
      <c r="A94" s="17">
        <v>93</v>
      </c>
      <c r="B94" s="18" t="s">
        <v>35</v>
      </c>
      <c r="C94" s="18" t="s">
        <v>150</v>
      </c>
      <c r="D94" s="18" t="s">
        <v>105</v>
      </c>
      <c r="E94" s="18" t="s">
        <v>48</v>
      </c>
    </row>
    <row r="95" spans="1:5">
      <c r="A95" s="17">
        <v>94</v>
      </c>
      <c r="B95" s="18" t="s">
        <v>35</v>
      </c>
      <c r="C95" s="18" t="s">
        <v>151</v>
      </c>
      <c r="D95" s="18" t="s">
        <v>105</v>
      </c>
      <c r="E95" s="18" t="s">
        <v>48</v>
      </c>
    </row>
    <row r="96" spans="1:5">
      <c r="A96" s="17">
        <v>95</v>
      </c>
      <c r="B96" s="18" t="s">
        <v>35</v>
      </c>
      <c r="C96" s="18" t="s">
        <v>152</v>
      </c>
      <c r="D96" s="18" t="s">
        <v>105</v>
      </c>
      <c r="E96" s="18" t="s">
        <v>48</v>
      </c>
    </row>
    <row r="97" spans="1:5">
      <c r="A97" s="17">
        <v>96</v>
      </c>
      <c r="B97" s="18" t="s">
        <v>35</v>
      </c>
      <c r="C97" s="18" t="s">
        <v>153</v>
      </c>
      <c r="D97" s="18" t="s">
        <v>105</v>
      </c>
      <c r="E97" s="18" t="s">
        <v>48</v>
      </c>
    </row>
    <row r="98" spans="1:5">
      <c r="A98" s="17">
        <v>97</v>
      </c>
      <c r="B98" s="18" t="s">
        <v>35</v>
      </c>
      <c r="C98" s="18" t="s">
        <v>154</v>
      </c>
      <c r="D98" s="18" t="s">
        <v>105</v>
      </c>
      <c r="E98" s="18" t="s">
        <v>48</v>
      </c>
    </row>
    <row r="99" spans="1:5">
      <c r="A99" s="17">
        <v>98</v>
      </c>
      <c r="B99" s="18" t="s">
        <v>35</v>
      </c>
      <c r="C99" s="18" t="s">
        <v>155</v>
      </c>
      <c r="D99" s="18" t="s">
        <v>105</v>
      </c>
      <c r="E99" s="18" t="s">
        <v>48</v>
      </c>
    </row>
    <row r="100" spans="1:5">
      <c r="A100" s="17">
        <v>99</v>
      </c>
      <c r="B100" s="18" t="s">
        <v>35</v>
      </c>
      <c r="C100" s="18" t="s">
        <v>156</v>
      </c>
      <c r="D100" s="18" t="s">
        <v>105</v>
      </c>
      <c r="E100" s="18" t="s">
        <v>48</v>
      </c>
    </row>
    <row r="101" spans="1:5">
      <c r="A101" s="17">
        <v>100</v>
      </c>
      <c r="B101" s="18" t="s">
        <v>35</v>
      </c>
      <c r="C101" s="18" t="s">
        <v>157</v>
      </c>
      <c r="D101" s="18" t="s">
        <v>105</v>
      </c>
      <c r="E101" s="18" t="s">
        <v>48</v>
      </c>
    </row>
    <row r="102" spans="1:5">
      <c r="A102" s="17">
        <v>101</v>
      </c>
      <c r="B102" s="18" t="s">
        <v>35</v>
      </c>
      <c r="C102" s="18" t="s">
        <v>158</v>
      </c>
      <c r="D102" s="18" t="s">
        <v>105</v>
      </c>
      <c r="E102" s="18" t="s">
        <v>48</v>
      </c>
    </row>
    <row r="103" spans="1:5">
      <c r="A103" s="17">
        <v>102</v>
      </c>
      <c r="B103" s="18" t="s">
        <v>35</v>
      </c>
      <c r="C103" s="18" t="s">
        <v>159</v>
      </c>
      <c r="D103" s="18" t="s">
        <v>105</v>
      </c>
      <c r="E103" s="18" t="s">
        <v>48</v>
      </c>
    </row>
    <row r="104" spans="1:5">
      <c r="A104" s="17">
        <v>103</v>
      </c>
      <c r="B104" s="18" t="s">
        <v>35</v>
      </c>
      <c r="C104" s="18" t="s">
        <v>160</v>
      </c>
      <c r="D104" s="18" t="s">
        <v>105</v>
      </c>
      <c r="E104" s="18" t="s">
        <v>48</v>
      </c>
    </row>
    <row r="105" spans="1:5">
      <c r="A105" s="17">
        <v>104</v>
      </c>
      <c r="B105" s="18" t="s">
        <v>35</v>
      </c>
      <c r="C105" s="18" t="s">
        <v>161</v>
      </c>
      <c r="D105" s="18" t="s">
        <v>105</v>
      </c>
      <c r="E105" s="18" t="s">
        <v>48</v>
      </c>
    </row>
    <row r="106" spans="1:5">
      <c r="A106" s="17">
        <v>105</v>
      </c>
      <c r="B106" s="18" t="s">
        <v>35</v>
      </c>
      <c r="C106" s="18" t="s">
        <v>162</v>
      </c>
      <c r="D106" s="18" t="s">
        <v>105</v>
      </c>
      <c r="E106" s="18" t="s">
        <v>48</v>
      </c>
    </row>
    <row r="107" spans="1:5">
      <c r="A107" s="17">
        <v>106</v>
      </c>
      <c r="B107" s="18" t="s">
        <v>35</v>
      </c>
      <c r="C107" s="18" t="s">
        <v>163</v>
      </c>
      <c r="D107" s="18" t="s">
        <v>105</v>
      </c>
      <c r="E107" s="18" t="s">
        <v>48</v>
      </c>
    </row>
    <row r="108" spans="1:5">
      <c r="A108" s="17">
        <v>107</v>
      </c>
      <c r="B108" s="18" t="s">
        <v>35</v>
      </c>
      <c r="C108" s="18" t="s">
        <v>164</v>
      </c>
      <c r="D108" s="18" t="s">
        <v>105</v>
      </c>
      <c r="E108" s="18" t="s">
        <v>48</v>
      </c>
    </row>
    <row r="109" spans="1:5">
      <c r="A109" s="17">
        <v>108</v>
      </c>
      <c r="B109" s="18" t="s">
        <v>35</v>
      </c>
      <c r="C109" s="18" t="s">
        <v>165</v>
      </c>
      <c r="D109" s="18" t="s">
        <v>105</v>
      </c>
      <c r="E109" s="18" t="s">
        <v>48</v>
      </c>
    </row>
    <row r="110" spans="1:5">
      <c r="A110" s="17">
        <v>109</v>
      </c>
      <c r="B110" s="18" t="s">
        <v>35</v>
      </c>
      <c r="C110" s="18" t="s">
        <v>166</v>
      </c>
      <c r="D110" s="18" t="s">
        <v>105</v>
      </c>
      <c r="E110" s="18" t="s">
        <v>48</v>
      </c>
    </row>
    <row r="111" spans="1:5">
      <c r="A111" s="17">
        <v>110</v>
      </c>
      <c r="B111" s="18" t="s">
        <v>35</v>
      </c>
      <c r="C111" s="18" t="s">
        <v>167</v>
      </c>
      <c r="D111" s="18" t="s">
        <v>105</v>
      </c>
      <c r="E111" s="18" t="s">
        <v>48</v>
      </c>
    </row>
    <row r="112" spans="1:5">
      <c r="A112" s="17">
        <v>111</v>
      </c>
      <c r="B112" s="18" t="s">
        <v>35</v>
      </c>
      <c r="C112" s="18" t="s">
        <v>168</v>
      </c>
      <c r="D112" s="18" t="s">
        <v>105</v>
      </c>
      <c r="E112" s="18" t="s">
        <v>48</v>
      </c>
    </row>
    <row r="113" spans="1:5">
      <c r="A113" s="17">
        <v>112</v>
      </c>
      <c r="B113" s="18" t="s">
        <v>35</v>
      </c>
      <c r="C113" s="18" t="s">
        <v>169</v>
      </c>
      <c r="D113" s="18" t="s">
        <v>105</v>
      </c>
      <c r="E113" s="18" t="s">
        <v>48</v>
      </c>
    </row>
    <row r="114" spans="1:5">
      <c r="A114" s="17">
        <v>113</v>
      </c>
      <c r="B114" s="18" t="s">
        <v>35</v>
      </c>
      <c r="C114" s="18" t="s">
        <v>170</v>
      </c>
      <c r="D114" s="18" t="s">
        <v>105</v>
      </c>
      <c r="E114" s="18" t="s">
        <v>48</v>
      </c>
    </row>
    <row r="115" spans="1:5">
      <c r="A115" s="17">
        <v>114</v>
      </c>
      <c r="B115" s="18" t="s">
        <v>35</v>
      </c>
      <c r="C115" s="18" t="s">
        <v>171</v>
      </c>
      <c r="D115" s="18" t="s">
        <v>105</v>
      </c>
      <c r="E115" s="18" t="s">
        <v>48</v>
      </c>
    </row>
    <row r="116" spans="1:5">
      <c r="A116" s="17">
        <v>115</v>
      </c>
      <c r="B116" s="18" t="s">
        <v>35</v>
      </c>
      <c r="C116" s="18" t="s">
        <v>172</v>
      </c>
      <c r="D116" s="18" t="s">
        <v>105</v>
      </c>
      <c r="E116" s="18" t="s">
        <v>48</v>
      </c>
    </row>
    <row r="117" spans="1:5">
      <c r="A117" s="17">
        <v>116</v>
      </c>
      <c r="B117" s="18" t="s">
        <v>35</v>
      </c>
      <c r="C117" s="18" t="s">
        <v>173</v>
      </c>
      <c r="D117" s="18" t="s">
        <v>105</v>
      </c>
      <c r="E117" s="18" t="s">
        <v>48</v>
      </c>
    </row>
    <row r="118" spans="1:5">
      <c r="A118" s="17">
        <v>117</v>
      </c>
      <c r="B118" s="18" t="s">
        <v>35</v>
      </c>
      <c r="C118" s="18" t="s">
        <v>174</v>
      </c>
      <c r="D118" s="18" t="s">
        <v>105</v>
      </c>
      <c r="E118" s="18" t="s">
        <v>48</v>
      </c>
    </row>
    <row r="119" spans="1:5">
      <c r="A119" s="17">
        <v>118</v>
      </c>
      <c r="B119" s="18" t="s">
        <v>35</v>
      </c>
      <c r="C119" s="18" t="s">
        <v>175</v>
      </c>
      <c r="D119" s="18" t="s">
        <v>105</v>
      </c>
      <c r="E119" s="18" t="s">
        <v>48</v>
      </c>
    </row>
    <row r="120" spans="1:5">
      <c r="A120" s="17">
        <v>119</v>
      </c>
      <c r="B120" s="18" t="s">
        <v>35</v>
      </c>
      <c r="C120" s="18" t="s">
        <v>176</v>
      </c>
      <c r="D120" s="18" t="s">
        <v>105</v>
      </c>
      <c r="E120" s="18" t="s">
        <v>48</v>
      </c>
    </row>
    <row r="121" spans="1:5">
      <c r="A121" s="17">
        <v>120</v>
      </c>
      <c r="B121" s="18" t="s">
        <v>35</v>
      </c>
      <c r="C121" s="18" t="s">
        <v>177</v>
      </c>
      <c r="D121" s="18" t="s">
        <v>105</v>
      </c>
      <c r="E121" s="18" t="s">
        <v>48</v>
      </c>
    </row>
    <row r="122" spans="1:5">
      <c r="A122" s="17">
        <v>121</v>
      </c>
      <c r="B122" s="18" t="s">
        <v>35</v>
      </c>
      <c r="C122" s="18" t="s">
        <v>178</v>
      </c>
      <c r="D122" s="18" t="s">
        <v>105</v>
      </c>
      <c r="E122" s="18" t="s">
        <v>48</v>
      </c>
    </row>
    <row r="123" spans="1:5">
      <c r="A123" s="17">
        <v>122</v>
      </c>
      <c r="B123" s="18" t="s">
        <v>35</v>
      </c>
      <c r="C123" s="18" t="s">
        <v>179</v>
      </c>
      <c r="D123" s="18" t="s">
        <v>105</v>
      </c>
      <c r="E123" s="18" t="s">
        <v>48</v>
      </c>
    </row>
    <row r="124" spans="1:5">
      <c r="A124" s="17">
        <v>123</v>
      </c>
      <c r="B124" s="18" t="s">
        <v>35</v>
      </c>
      <c r="C124" s="18" t="s">
        <v>180</v>
      </c>
      <c r="D124" s="18" t="s">
        <v>105</v>
      </c>
      <c r="E124" s="18" t="s">
        <v>48</v>
      </c>
    </row>
    <row r="125" spans="1:5">
      <c r="A125" s="17">
        <v>124</v>
      </c>
      <c r="B125" s="18" t="s">
        <v>35</v>
      </c>
      <c r="C125" s="18" t="s">
        <v>181</v>
      </c>
      <c r="D125" s="18" t="s">
        <v>105</v>
      </c>
      <c r="E125" s="18" t="s">
        <v>48</v>
      </c>
    </row>
    <row r="126" spans="1:5">
      <c r="A126" s="17">
        <v>125</v>
      </c>
      <c r="B126" s="18" t="s">
        <v>35</v>
      </c>
      <c r="C126" s="18" t="s">
        <v>182</v>
      </c>
      <c r="D126" s="18" t="s">
        <v>105</v>
      </c>
      <c r="E126" s="18" t="s">
        <v>48</v>
      </c>
    </row>
    <row r="127" spans="1:5">
      <c r="A127" s="17">
        <v>126</v>
      </c>
      <c r="B127" s="18" t="s">
        <v>35</v>
      </c>
      <c r="C127" s="18" t="s">
        <v>183</v>
      </c>
      <c r="D127" s="18" t="s">
        <v>105</v>
      </c>
      <c r="E127" s="18" t="s">
        <v>48</v>
      </c>
    </row>
    <row r="128" spans="1:5">
      <c r="A128" s="17">
        <v>127</v>
      </c>
      <c r="B128" s="18" t="s">
        <v>184</v>
      </c>
      <c r="C128" s="18" t="s">
        <v>185</v>
      </c>
      <c r="D128" s="18" t="s">
        <v>105</v>
      </c>
      <c r="E128" s="18" t="s">
        <v>48</v>
      </c>
    </row>
    <row r="129" spans="1:5">
      <c r="A129" s="17">
        <v>128</v>
      </c>
      <c r="B129" s="18" t="s">
        <v>35</v>
      </c>
      <c r="C129" s="18" t="s">
        <v>186</v>
      </c>
      <c r="D129" s="18" t="s">
        <v>187</v>
      </c>
      <c r="E129" s="18" t="s">
        <v>48</v>
      </c>
    </row>
    <row r="130" spans="1:5">
      <c r="A130" s="17">
        <v>129</v>
      </c>
      <c r="B130" s="18" t="s">
        <v>35</v>
      </c>
      <c r="C130" s="18" t="s">
        <v>188</v>
      </c>
      <c r="D130" s="18" t="s">
        <v>187</v>
      </c>
      <c r="E130" s="18" t="s">
        <v>48</v>
      </c>
    </row>
    <row r="131" spans="1:5">
      <c r="A131" s="17">
        <v>130</v>
      </c>
      <c r="B131" s="18" t="s">
        <v>35</v>
      </c>
      <c r="C131" s="18" t="s">
        <v>189</v>
      </c>
      <c r="D131" s="18" t="s">
        <v>187</v>
      </c>
      <c r="E131" s="18" t="s">
        <v>48</v>
      </c>
    </row>
    <row r="132" spans="1:5">
      <c r="A132" s="17">
        <v>131</v>
      </c>
      <c r="B132" s="18" t="s">
        <v>35</v>
      </c>
      <c r="C132" s="18" t="s">
        <v>190</v>
      </c>
      <c r="D132" s="18" t="s">
        <v>187</v>
      </c>
      <c r="E132" s="18" t="s">
        <v>48</v>
      </c>
    </row>
    <row r="133" spans="1:5">
      <c r="A133" s="17">
        <v>132</v>
      </c>
      <c r="B133" s="18" t="s">
        <v>35</v>
      </c>
      <c r="C133" s="18" t="s">
        <v>191</v>
      </c>
      <c r="D133" s="18" t="s">
        <v>187</v>
      </c>
      <c r="E133" s="18" t="s">
        <v>48</v>
      </c>
    </row>
    <row r="134" spans="1:5">
      <c r="A134" s="17">
        <v>133</v>
      </c>
      <c r="B134" s="18" t="s">
        <v>35</v>
      </c>
      <c r="C134" s="18" t="s">
        <v>192</v>
      </c>
      <c r="D134" s="18" t="s">
        <v>187</v>
      </c>
      <c r="E134" s="18" t="s">
        <v>48</v>
      </c>
    </row>
    <row r="135" spans="1:5">
      <c r="A135" s="17">
        <v>134</v>
      </c>
      <c r="B135" s="18" t="s">
        <v>35</v>
      </c>
      <c r="C135" s="18" t="s">
        <v>193</v>
      </c>
      <c r="D135" s="18" t="s">
        <v>187</v>
      </c>
      <c r="E135" s="18" t="s">
        <v>48</v>
      </c>
    </row>
    <row r="136" spans="1:5">
      <c r="A136" s="17">
        <v>135</v>
      </c>
      <c r="B136" s="18" t="s">
        <v>35</v>
      </c>
      <c r="C136" s="18" t="s">
        <v>194</v>
      </c>
      <c r="D136" s="18" t="s">
        <v>187</v>
      </c>
      <c r="E136" s="18" t="s">
        <v>48</v>
      </c>
    </row>
    <row r="137" spans="1:5">
      <c r="A137" s="17">
        <v>136</v>
      </c>
      <c r="B137" s="18" t="s">
        <v>35</v>
      </c>
      <c r="C137" s="18" t="s">
        <v>195</v>
      </c>
      <c r="D137" s="18" t="s">
        <v>187</v>
      </c>
      <c r="E137" s="18" t="s">
        <v>48</v>
      </c>
    </row>
    <row r="138" spans="1:5">
      <c r="A138" s="17">
        <v>137</v>
      </c>
      <c r="B138" s="18" t="s">
        <v>35</v>
      </c>
      <c r="C138" s="18" t="s">
        <v>196</v>
      </c>
      <c r="D138" s="18" t="s">
        <v>187</v>
      </c>
      <c r="E138" s="18" t="s">
        <v>48</v>
      </c>
    </row>
    <row r="139" spans="1:5">
      <c r="A139" s="17">
        <v>138</v>
      </c>
      <c r="B139" s="18" t="s">
        <v>35</v>
      </c>
      <c r="C139" s="18" t="s">
        <v>197</v>
      </c>
      <c r="D139" s="18" t="s">
        <v>187</v>
      </c>
      <c r="E139" s="18" t="s">
        <v>48</v>
      </c>
    </row>
    <row r="140" spans="1:5">
      <c r="A140" s="17">
        <v>139</v>
      </c>
      <c r="B140" s="18" t="s">
        <v>35</v>
      </c>
      <c r="C140" s="18" t="s">
        <v>198</v>
      </c>
      <c r="D140" s="18" t="s">
        <v>187</v>
      </c>
      <c r="E140" s="18" t="s">
        <v>48</v>
      </c>
    </row>
    <row r="141" spans="1:5">
      <c r="A141" s="17">
        <v>140</v>
      </c>
      <c r="B141" s="18" t="s">
        <v>35</v>
      </c>
      <c r="C141" s="18" t="s">
        <v>199</v>
      </c>
      <c r="D141" s="18" t="s">
        <v>187</v>
      </c>
      <c r="E141" s="18" t="s">
        <v>48</v>
      </c>
    </row>
    <row r="142" spans="1:5">
      <c r="A142" s="17">
        <v>141</v>
      </c>
      <c r="B142" s="18" t="s">
        <v>35</v>
      </c>
      <c r="C142" s="18" t="s">
        <v>200</v>
      </c>
      <c r="D142" s="18" t="s">
        <v>187</v>
      </c>
      <c r="E142" s="18" t="s">
        <v>48</v>
      </c>
    </row>
    <row r="143" spans="1:5">
      <c r="A143" s="17">
        <v>142</v>
      </c>
      <c r="B143" s="18" t="s">
        <v>35</v>
      </c>
      <c r="C143" s="18" t="s">
        <v>201</v>
      </c>
      <c r="D143" s="18" t="s">
        <v>187</v>
      </c>
      <c r="E143" s="18" t="s">
        <v>48</v>
      </c>
    </row>
    <row r="144" spans="1:5">
      <c r="A144" s="17">
        <v>143</v>
      </c>
      <c r="B144" s="18" t="s">
        <v>35</v>
      </c>
      <c r="C144" s="18" t="s">
        <v>202</v>
      </c>
      <c r="D144" s="18" t="s">
        <v>187</v>
      </c>
      <c r="E144" s="18" t="s">
        <v>48</v>
      </c>
    </row>
    <row r="145" spans="1:5">
      <c r="A145" s="17">
        <v>144</v>
      </c>
      <c r="B145" s="18" t="s">
        <v>35</v>
      </c>
      <c r="C145" s="18" t="s">
        <v>203</v>
      </c>
      <c r="D145" s="18" t="s">
        <v>187</v>
      </c>
      <c r="E145" s="18" t="s">
        <v>48</v>
      </c>
    </row>
    <row r="146" spans="1:5">
      <c r="A146" s="17">
        <v>145</v>
      </c>
      <c r="B146" s="18" t="s">
        <v>35</v>
      </c>
      <c r="C146" s="18" t="s">
        <v>204</v>
      </c>
      <c r="D146" s="18" t="s">
        <v>187</v>
      </c>
      <c r="E146" s="18" t="s">
        <v>48</v>
      </c>
    </row>
    <row r="147" spans="1:5">
      <c r="A147" s="17">
        <v>146</v>
      </c>
      <c r="B147" s="18" t="s">
        <v>35</v>
      </c>
      <c r="C147" s="18" t="s">
        <v>205</v>
      </c>
      <c r="D147" s="18" t="s">
        <v>187</v>
      </c>
      <c r="E147" s="18" t="s">
        <v>48</v>
      </c>
    </row>
    <row r="148" spans="1:5">
      <c r="A148" s="17">
        <v>147</v>
      </c>
      <c r="B148" s="18" t="s">
        <v>35</v>
      </c>
      <c r="C148" s="18" t="s">
        <v>206</v>
      </c>
      <c r="D148" s="18" t="s">
        <v>187</v>
      </c>
      <c r="E148" s="18" t="s">
        <v>48</v>
      </c>
    </row>
    <row r="149" spans="1:5">
      <c r="A149" s="17">
        <v>148</v>
      </c>
      <c r="B149" s="18" t="s">
        <v>35</v>
      </c>
      <c r="C149" s="18" t="s">
        <v>207</v>
      </c>
      <c r="D149" s="18" t="s">
        <v>187</v>
      </c>
      <c r="E149" s="18" t="s">
        <v>48</v>
      </c>
    </row>
    <row r="150" spans="1:5">
      <c r="A150" s="17">
        <v>149</v>
      </c>
      <c r="B150" s="18" t="s">
        <v>35</v>
      </c>
      <c r="C150" s="18" t="s">
        <v>208</v>
      </c>
      <c r="D150" s="18" t="s">
        <v>187</v>
      </c>
      <c r="E150" s="18" t="s">
        <v>48</v>
      </c>
    </row>
    <row r="151" spans="1:5">
      <c r="A151" s="17">
        <v>150</v>
      </c>
      <c r="B151" s="18" t="s">
        <v>35</v>
      </c>
      <c r="C151" s="18" t="s">
        <v>209</v>
      </c>
      <c r="D151" s="18" t="s">
        <v>187</v>
      </c>
      <c r="E151" s="18" t="s">
        <v>48</v>
      </c>
    </row>
    <row r="152" spans="1:5">
      <c r="A152" s="17">
        <v>151</v>
      </c>
      <c r="B152" s="18" t="s">
        <v>35</v>
      </c>
      <c r="C152" s="18" t="s">
        <v>210</v>
      </c>
      <c r="D152" s="18" t="s">
        <v>187</v>
      </c>
      <c r="E152" s="18" t="s">
        <v>48</v>
      </c>
    </row>
    <row r="153" spans="1:5">
      <c r="A153" s="17">
        <v>152</v>
      </c>
      <c r="B153" s="18" t="s">
        <v>35</v>
      </c>
      <c r="C153" s="18" t="s">
        <v>211</v>
      </c>
      <c r="D153" s="18" t="s">
        <v>187</v>
      </c>
      <c r="E153" s="18" t="s">
        <v>48</v>
      </c>
    </row>
    <row r="154" spans="1:5">
      <c r="A154" s="17">
        <v>153</v>
      </c>
      <c r="B154" s="18" t="s">
        <v>35</v>
      </c>
      <c r="C154" s="18" t="s">
        <v>212</v>
      </c>
      <c r="D154" s="18" t="s">
        <v>187</v>
      </c>
      <c r="E154" s="18" t="s">
        <v>48</v>
      </c>
    </row>
    <row r="155" spans="1:5">
      <c r="A155" s="17">
        <v>154</v>
      </c>
      <c r="B155" s="18" t="s">
        <v>35</v>
      </c>
      <c r="C155" s="18" t="s">
        <v>213</v>
      </c>
      <c r="D155" s="18" t="s">
        <v>187</v>
      </c>
      <c r="E155" s="18" t="s">
        <v>48</v>
      </c>
    </row>
    <row r="156" spans="1:5">
      <c r="A156" s="17">
        <v>155</v>
      </c>
      <c r="B156" s="18" t="s">
        <v>35</v>
      </c>
      <c r="C156" s="18" t="s">
        <v>214</v>
      </c>
      <c r="D156" s="18" t="s">
        <v>187</v>
      </c>
      <c r="E156" s="18" t="s">
        <v>48</v>
      </c>
    </row>
    <row r="157" spans="1:5">
      <c r="A157" s="17">
        <v>156</v>
      </c>
      <c r="B157" s="18" t="s">
        <v>35</v>
      </c>
      <c r="C157" s="18" t="s">
        <v>215</v>
      </c>
      <c r="D157" s="18" t="s">
        <v>187</v>
      </c>
      <c r="E157" s="18" t="s">
        <v>48</v>
      </c>
    </row>
    <row r="158" spans="1:5">
      <c r="A158" s="17">
        <v>157</v>
      </c>
      <c r="B158" s="18" t="s">
        <v>35</v>
      </c>
      <c r="C158" s="18" t="s">
        <v>216</v>
      </c>
      <c r="D158" s="18" t="s">
        <v>187</v>
      </c>
      <c r="E158" s="18" t="s">
        <v>48</v>
      </c>
    </row>
    <row r="159" spans="1:5">
      <c r="A159" s="17">
        <v>158</v>
      </c>
      <c r="B159" s="18" t="s">
        <v>35</v>
      </c>
      <c r="C159" s="18" t="s">
        <v>217</v>
      </c>
      <c r="D159" s="18" t="s">
        <v>187</v>
      </c>
      <c r="E159" s="18" t="s">
        <v>48</v>
      </c>
    </row>
    <row r="160" spans="1:5">
      <c r="A160" s="17">
        <v>159</v>
      </c>
      <c r="B160" s="18" t="s">
        <v>39</v>
      </c>
      <c r="C160" s="18" t="s">
        <v>218</v>
      </c>
      <c r="D160" s="18" t="s">
        <v>219</v>
      </c>
      <c r="E160" s="18" t="s">
        <v>220</v>
      </c>
    </row>
    <row r="161" spans="1:5">
      <c r="A161" s="17">
        <v>160</v>
      </c>
      <c r="B161" s="18" t="s">
        <v>35</v>
      </c>
      <c r="C161" s="18" t="s">
        <v>221</v>
      </c>
      <c r="D161" s="18" t="s">
        <v>222</v>
      </c>
      <c r="E161" s="18" t="s">
        <v>48</v>
      </c>
    </row>
    <row r="162" spans="1:5">
      <c r="A162" s="17">
        <v>161</v>
      </c>
      <c r="B162" s="18" t="s">
        <v>35</v>
      </c>
      <c r="C162" s="18" t="s">
        <v>223</v>
      </c>
      <c r="D162" s="18" t="s">
        <v>47</v>
      </c>
      <c r="E162" s="18" t="s">
        <v>48</v>
      </c>
    </row>
    <row r="163" spans="1:5">
      <c r="A163" s="17">
        <v>162</v>
      </c>
      <c r="B163" s="18" t="s">
        <v>35</v>
      </c>
      <c r="C163" s="18" t="s">
        <v>224</v>
      </c>
      <c r="D163" s="18" t="s">
        <v>47</v>
      </c>
      <c r="E163" s="18" t="s">
        <v>48</v>
      </c>
    </row>
    <row r="164" spans="1:5">
      <c r="A164" s="17">
        <v>163</v>
      </c>
      <c r="B164" s="18" t="s">
        <v>35</v>
      </c>
      <c r="C164" s="18" t="s">
        <v>225</v>
      </c>
      <c r="D164" s="18" t="s">
        <v>47</v>
      </c>
      <c r="E164" s="18" t="s">
        <v>48</v>
      </c>
    </row>
    <row r="165" spans="1:5">
      <c r="A165" s="17">
        <v>164</v>
      </c>
      <c r="B165" s="18" t="s">
        <v>39</v>
      </c>
      <c r="C165" s="18" t="s">
        <v>226</v>
      </c>
      <c r="D165" s="18" t="s">
        <v>227</v>
      </c>
      <c r="E165" s="18" t="s">
        <v>42</v>
      </c>
    </row>
    <row r="166" spans="1:5">
      <c r="A166" s="17">
        <v>165</v>
      </c>
      <c r="B166" s="18" t="s">
        <v>35</v>
      </c>
      <c r="C166" s="18" t="s">
        <v>228</v>
      </c>
      <c r="D166" s="18" t="s">
        <v>92</v>
      </c>
      <c r="E166" s="18" t="s">
        <v>48</v>
      </c>
    </row>
    <row r="167" spans="1:5">
      <c r="A167" s="17">
        <v>166</v>
      </c>
      <c r="B167" s="18" t="s">
        <v>35</v>
      </c>
      <c r="C167" s="18" t="s">
        <v>229</v>
      </c>
      <c r="D167" s="18" t="s">
        <v>92</v>
      </c>
      <c r="E167" s="18" t="s">
        <v>48</v>
      </c>
    </row>
    <row r="168" spans="1:5">
      <c r="A168" s="17">
        <v>167</v>
      </c>
      <c r="B168" s="18" t="s">
        <v>35</v>
      </c>
      <c r="C168" s="18" t="s">
        <v>230</v>
      </c>
      <c r="D168" s="18" t="s">
        <v>105</v>
      </c>
      <c r="E168" s="18" t="s">
        <v>48</v>
      </c>
    </row>
    <row r="169" spans="1:5">
      <c r="A169" s="17">
        <v>168</v>
      </c>
      <c r="B169" s="18" t="s">
        <v>35</v>
      </c>
      <c r="C169" s="18" t="s">
        <v>231</v>
      </c>
      <c r="D169" s="18" t="s">
        <v>105</v>
      </c>
      <c r="E169" s="18" t="s">
        <v>48</v>
      </c>
    </row>
    <row r="170" spans="1:5">
      <c r="A170" s="17">
        <v>169</v>
      </c>
      <c r="B170" s="18" t="s">
        <v>35</v>
      </c>
      <c r="C170" s="18" t="s">
        <v>232</v>
      </c>
      <c r="D170" s="18" t="s">
        <v>105</v>
      </c>
      <c r="E170" s="18" t="s">
        <v>48</v>
      </c>
    </row>
    <row r="171" spans="1:5">
      <c r="A171" s="17">
        <v>170</v>
      </c>
      <c r="B171" s="18" t="s">
        <v>35</v>
      </c>
      <c r="C171" s="18" t="s">
        <v>233</v>
      </c>
      <c r="D171" s="18" t="s">
        <v>105</v>
      </c>
      <c r="E171" s="18" t="s">
        <v>48</v>
      </c>
    </row>
    <row r="172" spans="1:5">
      <c r="A172" s="17">
        <v>171</v>
      </c>
      <c r="B172" s="18" t="s">
        <v>35</v>
      </c>
      <c r="C172" s="18" t="s">
        <v>234</v>
      </c>
      <c r="D172" s="18" t="s">
        <v>105</v>
      </c>
      <c r="E172" s="18" t="s">
        <v>48</v>
      </c>
    </row>
    <row r="173" spans="1:5">
      <c r="A173" s="17">
        <v>172</v>
      </c>
      <c r="B173" s="18" t="s">
        <v>35</v>
      </c>
      <c r="C173" s="18" t="s">
        <v>235</v>
      </c>
      <c r="D173" s="18" t="s">
        <v>105</v>
      </c>
      <c r="E173" s="18" t="s">
        <v>48</v>
      </c>
    </row>
    <row r="174" spans="1:5">
      <c r="A174" s="17">
        <v>173</v>
      </c>
      <c r="B174" s="18" t="s">
        <v>35</v>
      </c>
      <c r="C174" s="18" t="s">
        <v>236</v>
      </c>
      <c r="D174" s="18" t="s">
        <v>105</v>
      </c>
      <c r="E174" s="18" t="s">
        <v>48</v>
      </c>
    </row>
    <row r="175" spans="1:5">
      <c r="A175" s="17">
        <v>174</v>
      </c>
      <c r="B175" s="18" t="s">
        <v>35</v>
      </c>
      <c r="C175" s="18" t="s">
        <v>237</v>
      </c>
      <c r="D175" s="18" t="s">
        <v>105</v>
      </c>
      <c r="E175" s="18" t="s">
        <v>48</v>
      </c>
    </row>
    <row r="176" spans="1:5">
      <c r="A176" s="17">
        <v>175</v>
      </c>
      <c r="B176" s="18" t="s">
        <v>35</v>
      </c>
      <c r="C176" s="18" t="s">
        <v>238</v>
      </c>
      <c r="D176" s="18" t="s">
        <v>105</v>
      </c>
      <c r="E176" s="18" t="s">
        <v>48</v>
      </c>
    </row>
    <row r="177" spans="1:5">
      <c r="A177" s="17">
        <v>176</v>
      </c>
      <c r="B177" s="18" t="s">
        <v>35</v>
      </c>
      <c r="C177" s="18" t="s">
        <v>239</v>
      </c>
      <c r="D177" s="18" t="s">
        <v>105</v>
      </c>
      <c r="E177" s="18" t="s">
        <v>48</v>
      </c>
    </row>
    <row r="178" spans="1:5">
      <c r="A178" s="17">
        <v>177</v>
      </c>
      <c r="B178" s="18" t="s">
        <v>35</v>
      </c>
      <c r="C178" s="18" t="s">
        <v>240</v>
      </c>
      <c r="D178" s="18" t="s">
        <v>105</v>
      </c>
      <c r="E178" s="18" t="s">
        <v>48</v>
      </c>
    </row>
    <row r="179" spans="1:5">
      <c r="A179" s="17">
        <v>178</v>
      </c>
      <c r="B179" s="18" t="s">
        <v>35</v>
      </c>
      <c r="C179" s="18" t="s">
        <v>241</v>
      </c>
      <c r="D179" s="18" t="s">
        <v>105</v>
      </c>
      <c r="E179" s="18" t="s">
        <v>48</v>
      </c>
    </row>
    <row r="180" spans="1:5">
      <c r="A180" s="17">
        <v>179</v>
      </c>
      <c r="B180" s="18" t="s">
        <v>35</v>
      </c>
      <c r="C180" s="18" t="s">
        <v>242</v>
      </c>
      <c r="D180" s="18" t="s">
        <v>105</v>
      </c>
      <c r="E180" s="18" t="s">
        <v>48</v>
      </c>
    </row>
    <row r="181" spans="1:5">
      <c r="A181" s="17">
        <v>180</v>
      </c>
      <c r="B181" s="18" t="s">
        <v>35</v>
      </c>
      <c r="C181" s="18" t="s">
        <v>243</v>
      </c>
      <c r="D181" s="18" t="s">
        <v>105</v>
      </c>
      <c r="E181" s="18" t="s">
        <v>48</v>
      </c>
    </row>
    <row r="182" spans="1:5">
      <c r="A182" s="17">
        <v>181</v>
      </c>
      <c r="B182" s="18" t="s">
        <v>35</v>
      </c>
      <c r="C182" s="18" t="s">
        <v>244</v>
      </c>
      <c r="D182" s="18" t="s">
        <v>105</v>
      </c>
      <c r="E182" s="18" t="s">
        <v>48</v>
      </c>
    </row>
    <row r="183" spans="1:5">
      <c r="A183" s="17">
        <v>182</v>
      </c>
      <c r="B183" s="18" t="s">
        <v>35</v>
      </c>
      <c r="C183" s="18" t="s">
        <v>245</v>
      </c>
      <c r="D183" s="18" t="s">
        <v>105</v>
      </c>
      <c r="E183" s="18" t="s">
        <v>48</v>
      </c>
    </row>
    <row r="184" spans="1:5">
      <c r="A184" s="17">
        <v>183</v>
      </c>
      <c r="B184" s="18" t="s">
        <v>35</v>
      </c>
      <c r="C184" s="18" t="s">
        <v>246</v>
      </c>
      <c r="D184" s="18" t="s">
        <v>105</v>
      </c>
      <c r="E184" s="18" t="s">
        <v>48</v>
      </c>
    </row>
    <row r="185" spans="1:5">
      <c r="A185" s="17">
        <v>184</v>
      </c>
      <c r="B185" s="18" t="s">
        <v>35</v>
      </c>
      <c r="C185" s="18" t="s">
        <v>247</v>
      </c>
      <c r="D185" s="18" t="s">
        <v>105</v>
      </c>
      <c r="E185" s="18" t="s">
        <v>48</v>
      </c>
    </row>
    <row r="186" spans="1:5">
      <c r="A186" s="17">
        <v>185</v>
      </c>
      <c r="B186" s="18" t="s">
        <v>35</v>
      </c>
      <c r="C186" s="18" t="s">
        <v>248</v>
      </c>
      <c r="D186" s="18" t="s">
        <v>105</v>
      </c>
      <c r="E186" s="18" t="s">
        <v>48</v>
      </c>
    </row>
    <row r="187" spans="1:5">
      <c r="A187" s="17">
        <v>186</v>
      </c>
      <c r="B187" s="18" t="s">
        <v>35</v>
      </c>
      <c r="C187" s="18" t="s">
        <v>249</v>
      </c>
      <c r="D187" s="18" t="s">
        <v>105</v>
      </c>
      <c r="E187" s="18" t="s">
        <v>48</v>
      </c>
    </row>
    <row r="188" spans="1:5">
      <c r="A188" s="17">
        <v>187</v>
      </c>
      <c r="B188" s="18" t="s">
        <v>35</v>
      </c>
      <c r="C188" s="18" t="s">
        <v>250</v>
      </c>
      <c r="D188" s="18" t="s">
        <v>105</v>
      </c>
      <c r="E188" s="18" t="s">
        <v>48</v>
      </c>
    </row>
    <row r="189" spans="1:5">
      <c r="A189" s="17">
        <v>188</v>
      </c>
      <c r="B189" s="18" t="s">
        <v>35</v>
      </c>
      <c r="C189" s="18" t="s">
        <v>251</v>
      </c>
      <c r="D189" s="18" t="s">
        <v>105</v>
      </c>
      <c r="E189" s="18" t="s">
        <v>48</v>
      </c>
    </row>
    <row r="190" spans="1:5">
      <c r="A190" s="17">
        <v>189</v>
      </c>
      <c r="B190" s="18" t="s">
        <v>35</v>
      </c>
      <c r="C190" s="18" t="s">
        <v>252</v>
      </c>
      <c r="D190" s="18" t="s">
        <v>105</v>
      </c>
      <c r="E190" s="18" t="s">
        <v>48</v>
      </c>
    </row>
    <row r="191" spans="1:5">
      <c r="A191" s="17">
        <v>190</v>
      </c>
      <c r="B191" s="18" t="s">
        <v>35</v>
      </c>
      <c r="C191" s="18" t="s">
        <v>253</v>
      </c>
      <c r="D191" s="18" t="s">
        <v>105</v>
      </c>
      <c r="E191" s="18" t="s">
        <v>48</v>
      </c>
    </row>
    <row r="192" spans="1:5">
      <c r="A192" s="17">
        <v>191</v>
      </c>
      <c r="B192" s="18" t="s">
        <v>35</v>
      </c>
      <c r="C192" s="18" t="s">
        <v>254</v>
      </c>
      <c r="D192" s="18" t="s">
        <v>105</v>
      </c>
      <c r="E192" s="18" t="s">
        <v>48</v>
      </c>
    </row>
    <row r="193" spans="1:5">
      <c r="A193" s="17">
        <v>192</v>
      </c>
      <c r="B193" s="18" t="s">
        <v>35</v>
      </c>
      <c r="C193" s="18" t="s">
        <v>255</v>
      </c>
      <c r="D193" s="18" t="s">
        <v>105</v>
      </c>
      <c r="E193" s="18" t="s">
        <v>48</v>
      </c>
    </row>
    <row r="194" spans="1:5">
      <c r="A194" s="17">
        <v>193</v>
      </c>
      <c r="B194" s="18" t="s">
        <v>35</v>
      </c>
      <c r="C194" s="18" t="s">
        <v>256</v>
      </c>
      <c r="D194" s="18" t="s">
        <v>105</v>
      </c>
      <c r="E194" s="18" t="s">
        <v>48</v>
      </c>
    </row>
    <row r="195" spans="1:5">
      <c r="A195" s="17">
        <v>194</v>
      </c>
      <c r="B195" s="18" t="s">
        <v>35</v>
      </c>
      <c r="C195" s="18" t="s">
        <v>257</v>
      </c>
      <c r="D195" s="18" t="s">
        <v>105</v>
      </c>
      <c r="E195" s="18" t="s">
        <v>48</v>
      </c>
    </row>
    <row r="196" spans="1:5">
      <c r="A196" s="17">
        <v>195</v>
      </c>
      <c r="B196" s="18" t="s">
        <v>35</v>
      </c>
      <c r="C196" s="18" t="s">
        <v>258</v>
      </c>
      <c r="D196" s="18" t="s">
        <v>105</v>
      </c>
      <c r="E196" s="18" t="s">
        <v>48</v>
      </c>
    </row>
    <row r="197" spans="1:5">
      <c r="A197" s="17">
        <v>196</v>
      </c>
      <c r="B197" s="18" t="s">
        <v>35</v>
      </c>
      <c r="C197" s="18" t="s">
        <v>259</v>
      </c>
      <c r="D197" s="18" t="s">
        <v>105</v>
      </c>
      <c r="E197" s="18" t="s">
        <v>48</v>
      </c>
    </row>
    <row r="198" spans="1:5">
      <c r="A198" s="17">
        <v>197</v>
      </c>
      <c r="B198" s="18" t="s">
        <v>35</v>
      </c>
      <c r="C198" s="18" t="s">
        <v>260</v>
      </c>
      <c r="D198" s="18" t="s">
        <v>105</v>
      </c>
      <c r="E198" s="18" t="s">
        <v>48</v>
      </c>
    </row>
    <row r="199" spans="1:5">
      <c r="A199" s="17">
        <v>198</v>
      </c>
      <c r="B199" s="18" t="s">
        <v>35</v>
      </c>
      <c r="C199" s="18" t="s">
        <v>261</v>
      </c>
      <c r="D199" s="18" t="s">
        <v>187</v>
      </c>
      <c r="E199" s="18" t="s">
        <v>48</v>
      </c>
    </row>
    <row r="200" spans="1:5">
      <c r="A200" s="17">
        <v>199</v>
      </c>
      <c r="B200" s="18" t="s">
        <v>35</v>
      </c>
      <c r="C200" s="18" t="s">
        <v>262</v>
      </c>
      <c r="D200" s="18" t="s">
        <v>187</v>
      </c>
      <c r="E200" s="18" t="s">
        <v>48</v>
      </c>
    </row>
    <row r="201" spans="1:5">
      <c r="A201" s="17">
        <v>200</v>
      </c>
      <c r="B201" s="18" t="s">
        <v>35</v>
      </c>
      <c r="C201" s="18" t="s">
        <v>263</v>
      </c>
      <c r="D201" s="18" t="s">
        <v>187</v>
      </c>
      <c r="E201" s="18" t="s">
        <v>48</v>
      </c>
    </row>
    <row r="202" spans="1:5">
      <c r="A202" s="17">
        <v>201</v>
      </c>
      <c r="B202" s="18" t="s">
        <v>35</v>
      </c>
      <c r="C202" s="18" t="s">
        <v>264</v>
      </c>
      <c r="D202" s="18" t="s">
        <v>187</v>
      </c>
      <c r="E202" s="18" t="s">
        <v>48</v>
      </c>
    </row>
    <row r="203" spans="1:5">
      <c r="A203" s="17">
        <v>202</v>
      </c>
      <c r="B203" s="18" t="s">
        <v>35</v>
      </c>
      <c r="C203" s="18" t="s">
        <v>265</v>
      </c>
      <c r="D203" s="18" t="s">
        <v>187</v>
      </c>
      <c r="E203" s="18" t="s">
        <v>48</v>
      </c>
    </row>
    <row r="204" spans="1:5">
      <c r="A204" s="17">
        <v>203</v>
      </c>
      <c r="B204" s="18" t="s">
        <v>35</v>
      </c>
      <c r="C204" s="18" t="s">
        <v>266</v>
      </c>
      <c r="D204" s="18" t="s">
        <v>187</v>
      </c>
      <c r="E204" s="18" t="s">
        <v>48</v>
      </c>
    </row>
    <row r="205" spans="1:5">
      <c r="A205" s="17">
        <v>204</v>
      </c>
      <c r="B205" s="18" t="s">
        <v>35</v>
      </c>
      <c r="C205" s="18" t="s">
        <v>267</v>
      </c>
      <c r="D205" s="18" t="s">
        <v>187</v>
      </c>
      <c r="E205" s="18" t="s">
        <v>48</v>
      </c>
    </row>
    <row r="206" spans="1:5">
      <c r="A206" s="17">
        <v>205</v>
      </c>
      <c r="B206" s="18" t="s">
        <v>35</v>
      </c>
      <c r="C206" s="18" t="s">
        <v>268</v>
      </c>
      <c r="D206" s="18" t="s">
        <v>187</v>
      </c>
      <c r="E206" s="18" t="s">
        <v>48</v>
      </c>
    </row>
    <row r="207" spans="1:5">
      <c r="A207" s="17">
        <v>206</v>
      </c>
      <c r="B207" s="18" t="s">
        <v>35</v>
      </c>
      <c r="C207" s="18" t="s">
        <v>269</v>
      </c>
      <c r="D207" s="18" t="s">
        <v>187</v>
      </c>
      <c r="E207" s="18" t="s">
        <v>48</v>
      </c>
    </row>
    <row r="208" spans="1:5">
      <c r="A208" s="17">
        <v>207</v>
      </c>
      <c r="B208" s="18" t="s">
        <v>35</v>
      </c>
      <c r="C208" s="18" t="s">
        <v>270</v>
      </c>
      <c r="D208" s="18" t="s">
        <v>187</v>
      </c>
      <c r="E208" s="18" t="s">
        <v>48</v>
      </c>
    </row>
    <row r="209" spans="1:5">
      <c r="A209" s="17">
        <v>208</v>
      </c>
      <c r="B209" s="18" t="s">
        <v>35</v>
      </c>
      <c r="C209" s="18" t="s">
        <v>271</v>
      </c>
      <c r="D209" s="18" t="s">
        <v>187</v>
      </c>
      <c r="E209" s="18" t="s">
        <v>48</v>
      </c>
    </row>
    <row r="210" spans="1:5">
      <c r="A210" s="17">
        <v>209</v>
      </c>
      <c r="B210" s="18" t="s">
        <v>39</v>
      </c>
      <c r="C210" s="18" t="s">
        <v>272</v>
      </c>
      <c r="D210" s="18" t="s">
        <v>273</v>
      </c>
      <c r="E210" s="18" t="s">
        <v>220</v>
      </c>
    </row>
    <row r="211" spans="1:5">
      <c r="A211" s="17">
        <v>210</v>
      </c>
      <c r="B211" s="18" t="s">
        <v>35</v>
      </c>
      <c r="C211" s="18" t="s">
        <v>274</v>
      </c>
      <c r="D211" s="18" t="s">
        <v>47</v>
      </c>
      <c r="E211" s="18" t="s">
        <v>48</v>
      </c>
    </row>
    <row r="212" spans="1:5">
      <c r="A212" s="17">
        <v>211</v>
      </c>
      <c r="B212" s="18" t="s">
        <v>35</v>
      </c>
      <c r="C212" s="18" t="s">
        <v>275</v>
      </c>
      <c r="D212" s="18" t="s">
        <v>92</v>
      </c>
      <c r="E212" s="18" t="s">
        <v>48</v>
      </c>
    </row>
    <row r="213" spans="1:5">
      <c r="A213" s="17">
        <v>212</v>
      </c>
      <c r="B213" s="18" t="s">
        <v>35</v>
      </c>
      <c r="C213" s="18" t="s">
        <v>276</v>
      </c>
      <c r="D213" s="18" t="s">
        <v>95</v>
      </c>
      <c r="E213" s="18" t="s">
        <v>48</v>
      </c>
    </row>
    <row r="214" spans="1:5">
      <c r="A214" s="17">
        <v>213</v>
      </c>
      <c r="B214" s="18" t="s">
        <v>35</v>
      </c>
      <c r="C214" s="18" t="s">
        <v>277</v>
      </c>
      <c r="D214" s="18" t="s">
        <v>95</v>
      </c>
      <c r="E214" s="18" t="s">
        <v>48</v>
      </c>
    </row>
    <row r="215" spans="1:5">
      <c r="A215" s="17">
        <v>214</v>
      </c>
      <c r="B215" s="18" t="s">
        <v>35</v>
      </c>
      <c r="C215" s="18" t="s">
        <v>278</v>
      </c>
      <c r="D215" s="18" t="s">
        <v>95</v>
      </c>
      <c r="E215" s="18" t="s">
        <v>48</v>
      </c>
    </row>
    <row r="216" spans="1:5">
      <c r="A216" s="17">
        <v>215</v>
      </c>
      <c r="B216" s="18" t="s">
        <v>35</v>
      </c>
      <c r="C216" s="18" t="s">
        <v>279</v>
      </c>
      <c r="D216" s="18" t="s">
        <v>95</v>
      </c>
      <c r="E216" s="18" t="s">
        <v>48</v>
      </c>
    </row>
    <row r="217" spans="1:5">
      <c r="A217" s="17">
        <v>216</v>
      </c>
      <c r="B217" s="18" t="s">
        <v>35</v>
      </c>
      <c r="C217" s="18" t="s">
        <v>280</v>
      </c>
      <c r="D217" s="18" t="s">
        <v>281</v>
      </c>
      <c r="E217" s="18" t="s">
        <v>38</v>
      </c>
    </row>
    <row r="218" spans="1:5">
      <c r="A218" s="17">
        <v>217</v>
      </c>
      <c r="B218" s="18" t="s">
        <v>35</v>
      </c>
      <c r="C218" s="18" t="s">
        <v>282</v>
      </c>
      <c r="D218" s="18" t="s">
        <v>283</v>
      </c>
      <c r="E218" s="18" t="s">
        <v>48</v>
      </c>
    </row>
    <row r="219" spans="1:5">
      <c r="A219" s="17">
        <v>218</v>
      </c>
      <c r="B219" s="18" t="s">
        <v>39</v>
      </c>
      <c r="C219" s="18" t="s">
        <v>284</v>
      </c>
      <c r="D219" s="18" t="s">
        <v>285</v>
      </c>
      <c r="E219" s="18" t="s">
        <v>286</v>
      </c>
    </row>
    <row r="220" spans="1:5">
      <c r="A220" s="17">
        <v>219</v>
      </c>
      <c r="B220" s="18" t="s">
        <v>35</v>
      </c>
      <c r="C220" s="18" t="s">
        <v>287</v>
      </c>
      <c r="D220" s="18" t="s">
        <v>105</v>
      </c>
      <c r="E220" s="18" t="s">
        <v>48</v>
      </c>
    </row>
    <row r="221" spans="1:5">
      <c r="A221" s="17">
        <v>220</v>
      </c>
      <c r="B221" s="18" t="s">
        <v>35</v>
      </c>
      <c r="C221" s="18" t="s">
        <v>288</v>
      </c>
      <c r="D221" s="18" t="s">
        <v>105</v>
      </c>
      <c r="E221" s="18" t="s">
        <v>48</v>
      </c>
    </row>
    <row r="222" spans="1:5">
      <c r="A222" s="17">
        <v>221</v>
      </c>
      <c r="B222" s="18" t="s">
        <v>35</v>
      </c>
      <c r="C222" s="18" t="s">
        <v>289</v>
      </c>
      <c r="D222" s="18" t="s">
        <v>105</v>
      </c>
      <c r="E222" s="18" t="s">
        <v>48</v>
      </c>
    </row>
    <row r="223" spans="1:5">
      <c r="A223" s="17">
        <v>222</v>
      </c>
      <c r="B223" s="18" t="s">
        <v>35</v>
      </c>
      <c r="C223" s="18" t="s">
        <v>290</v>
      </c>
      <c r="D223" s="18" t="s">
        <v>105</v>
      </c>
      <c r="E223" s="18" t="s">
        <v>48</v>
      </c>
    </row>
    <row r="224" spans="1:5">
      <c r="A224" s="17">
        <v>223</v>
      </c>
      <c r="B224" s="18" t="s">
        <v>35</v>
      </c>
      <c r="C224" s="18" t="s">
        <v>291</v>
      </c>
      <c r="D224" s="18" t="s">
        <v>105</v>
      </c>
      <c r="E224" s="18" t="s">
        <v>48</v>
      </c>
    </row>
    <row r="225" spans="1:5">
      <c r="A225" s="17">
        <v>224</v>
      </c>
      <c r="B225" s="18" t="s">
        <v>35</v>
      </c>
      <c r="C225" s="18" t="s">
        <v>292</v>
      </c>
      <c r="D225" s="18" t="s">
        <v>105</v>
      </c>
      <c r="E225" s="18" t="s">
        <v>48</v>
      </c>
    </row>
    <row r="226" spans="1:5">
      <c r="A226" s="17">
        <v>225</v>
      </c>
      <c r="B226" s="18" t="s">
        <v>35</v>
      </c>
      <c r="C226" s="18" t="s">
        <v>293</v>
      </c>
      <c r="D226" s="18" t="s">
        <v>105</v>
      </c>
      <c r="E226" s="18" t="s">
        <v>48</v>
      </c>
    </row>
    <row r="227" spans="1:5">
      <c r="A227" s="17">
        <v>226</v>
      </c>
      <c r="B227" s="18" t="s">
        <v>35</v>
      </c>
      <c r="C227" s="18" t="s">
        <v>294</v>
      </c>
      <c r="D227" s="18" t="s">
        <v>105</v>
      </c>
      <c r="E227" s="18" t="s">
        <v>48</v>
      </c>
    </row>
    <row r="228" spans="1:5">
      <c r="A228" s="17">
        <v>227</v>
      </c>
      <c r="B228" s="18" t="s">
        <v>35</v>
      </c>
      <c r="C228" s="18" t="s">
        <v>295</v>
      </c>
      <c r="D228" s="18" t="s">
        <v>105</v>
      </c>
      <c r="E228" s="18" t="s">
        <v>48</v>
      </c>
    </row>
    <row r="229" spans="1:5">
      <c r="A229" s="17">
        <v>228</v>
      </c>
      <c r="B229" s="18" t="s">
        <v>35</v>
      </c>
      <c r="C229" s="18" t="s">
        <v>296</v>
      </c>
      <c r="D229" s="18" t="s">
        <v>105</v>
      </c>
      <c r="E229" s="18" t="s">
        <v>48</v>
      </c>
    </row>
    <row r="230" spans="1:5">
      <c r="A230" s="17">
        <v>229</v>
      </c>
      <c r="B230" s="18" t="s">
        <v>35</v>
      </c>
      <c r="C230" s="18" t="s">
        <v>297</v>
      </c>
      <c r="D230" s="18" t="s">
        <v>105</v>
      </c>
      <c r="E230" s="18" t="s">
        <v>48</v>
      </c>
    </row>
    <row r="231" spans="1:5">
      <c r="A231" s="17">
        <v>230</v>
      </c>
      <c r="B231" s="18" t="s">
        <v>35</v>
      </c>
      <c r="C231" s="18" t="s">
        <v>298</v>
      </c>
      <c r="D231" s="18" t="s">
        <v>105</v>
      </c>
      <c r="E231" s="18" t="s">
        <v>48</v>
      </c>
    </row>
    <row r="232" spans="1:5">
      <c r="A232" s="17">
        <v>231</v>
      </c>
      <c r="B232" s="18" t="s">
        <v>35</v>
      </c>
      <c r="C232" s="18" t="s">
        <v>299</v>
      </c>
      <c r="D232" s="18" t="s">
        <v>105</v>
      </c>
      <c r="E232" s="18" t="s">
        <v>48</v>
      </c>
    </row>
    <row r="233" spans="1:5">
      <c r="A233" s="17">
        <v>232</v>
      </c>
      <c r="B233" s="18" t="s">
        <v>35</v>
      </c>
      <c r="C233" s="18" t="s">
        <v>300</v>
      </c>
      <c r="D233" s="18" t="s">
        <v>105</v>
      </c>
      <c r="E233" s="18" t="s">
        <v>48</v>
      </c>
    </row>
    <row r="234" spans="1:5">
      <c r="A234" s="17">
        <v>233</v>
      </c>
      <c r="B234" s="18" t="s">
        <v>35</v>
      </c>
      <c r="C234" s="18" t="s">
        <v>301</v>
      </c>
      <c r="D234" s="18" t="s">
        <v>105</v>
      </c>
      <c r="E234" s="18" t="s">
        <v>48</v>
      </c>
    </row>
    <row r="235" spans="1:5">
      <c r="A235" s="17">
        <v>234</v>
      </c>
      <c r="B235" s="18" t="s">
        <v>35</v>
      </c>
      <c r="C235" s="18" t="s">
        <v>302</v>
      </c>
      <c r="D235" s="18" t="s">
        <v>105</v>
      </c>
      <c r="E235" s="18" t="s">
        <v>48</v>
      </c>
    </row>
    <row r="236" spans="1:5">
      <c r="A236" s="17">
        <v>235</v>
      </c>
      <c r="B236" s="18" t="s">
        <v>35</v>
      </c>
      <c r="C236" s="18" t="s">
        <v>303</v>
      </c>
      <c r="D236" s="18" t="s">
        <v>105</v>
      </c>
      <c r="E236" s="18" t="s">
        <v>48</v>
      </c>
    </row>
    <row r="237" spans="1:5">
      <c r="A237" s="17">
        <v>236</v>
      </c>
      <c r="B237" s="18" t="s">
        <v>35</v>
      </c>
      <c r="C237" s="18" t="s">
        <v>304</v>
      </c>
      <c r="D237" s="18" t="s">
        <v>105</v>
      </c>
      <c r="E237" s="18" t="s">
        <v>48</v>
      </c>
    </row>
    <row r="238" spans="1:5">
      <c r="A238" s="17">
        <v>237</v>
      </c>
      <c r="B238" s="18" t="s">
        <v>35</v>
      </c>
      <c r="C238" s="18" t="s">
        <v>305</v>
      </c>
      <c r="D238" s="18" t="s">
        <v>105</v>
      </c>
      <c r="E238" s="18" t="s">
        <v>48</v>
      </c>
    </row>
    <row r="239" spans="1:5">
      <c r="A239" s="17">
        <v>238</v>
      </c>
      <c r="B239" s="18" t="s">
        <v>35</v>
      </c>
      <c r="C239" s="18" t="s">
        <v>306</v>
      </c>
      <c r="D239" s="18" t="s">
        <v>105</v>
      </c>
      <c r="E239" s="18" t="s">
        <v>48</v>
      </c>
    </row>
    <row r="240" spans="1:5">
      <c r="A240" s="17">
        <v>239</v>
      </c>
      <c r="B240" s="18" t="s">
        <v>35</v>
      </c>
      <c r="C240" s="18" t="s">
        <v>307</v>
      </c>
      <c r="D240" s="18" t="s">
        <v>105</v>
      </c>
      <c r="E240" s="18" t="s">
        <v>48</v>
      </c>
    </row>
    <row r="241" spans="1:5">
      <c r="A241" s="17">
        <v>240</v>
      </c>
      <c r="B241" s="18" t="s">
        <v>35</v>
      </c>
      <c r="C241" s="18" t="s">
        <v>308</v>
      </c>
      <c r="D241" s="18" t="s">
        <v>105</v>
      </c>
      <c r="E241" s="18" t="s">
        <v>48</v>
      </c>
    </row>
    <row r="242" spans="1:5">
      <c r="A242" s="17">
        <v>241</v>
      </c>
      <c r="B242" s="18" t="s">
        <v>35</v>
      </c>
      <c r="C242" s="18" t="s">
        <v>309</v>
      </c>
      <c r="D242" s="18" t="s">
        <v>105</v>
      </c>
      <c r="E242" s="18" t="s">
        <v>48</v>
      </c>
    </row>
    <row r="243" spans="1:5">
      <c r="A243" s="17">
        <v>242</v>
      </c>
      <c r="B243" s="18" t="s">
        <v>35</v>
      </c>
      <c r="C243" s="18" t="s">
        <v>310</v>
      </c>
      <c r="D243" s="18" t="s">
        <v>105</v>
      </c>
      <c r="E243" s="18" t="s">
        <v>48</v>
      </c>
    </row>
    <row r="244" spans="1:5">
      <c r="A244" s="17">
        <v>243</v>
      </c>
      <c r="B244" s="18" t="s">
        <v>35</v>
      </c>
      <c r="C244" s="18" t="s">
        <v>311</v>
      </c>
      <c r="D244" s="18" t="s">
        <v>105</v>
      </c>
      <c r="E244" s="18" t="s">
        <v>48</v>
      </c>
    </row>
    <row r="245" spans="1:5">
      <c r="A245" s="17">
        <v>244</v>
      </c>
      <c r="B245" s="18" t="s">
        <v>35</v>
      </c>
      <c r="C245" s="18" t="s">
        <v>312</v>
      </c>
      <c r="D245" s="18" t="s">
        <v>105</v>
      </c>
      <c r="E245" s="18" t="s">
        <v>48</v>
      </c>
    </row>
    <row r="246" spans="1:5">
      <c r="A246" s="17">
        <v>245</v>
      </c>
      <c r="B246" s="18" t="s">
        <v>35</v>
      </c>
      <c r="C246" s="18" t="s">
        <v>313</v>
      </c>
      <c r="D246" s="18" t="s">
        <v>105</v>
      </c>
      <c r="E246" s="18" t="s">
        <v>48</v>
      </c>
    </row>
    <row r="247" spans="1:5">
      <c r="A247" s="17">
        <v>246</v>
      </c>
      <c r="B247" s="18" t="s">
        <v>35</v>
      </c>
      <c r="C247" s="18" t="s">
        <v>314</v>
      </c>
      <c r="D247" s="18" t="s">
        <v>105</v>
      </c>
      <c r="E247" s="18" t="s">
        <v>48</v>
      </c>
    </row>
    <row r="248" spans="1:5">
      <c r="A248" s="17">
        <v>247</v>
      </c>
      <c r="B248" s="18" t="s">
        <v>35</v>
      </c>
      <c r="C248" s="18" t="s">
        <v>315</v>
      </c>
      <c r="D248" s="18" t="s">
        <v>105</v>
      </c>
      <c r="E248" s="18" t="s">
        <v>48</v>
      </c>
    </row>
    <row r="249" spans="1:5">
      <c r="A249" s="17">
        <v>248</v>
      </c>
      <c r="B249" s="18" t="s">
        <v>35</v>
      </c>
      <c r="C249" s="18" t="s">
        <v>316</v>
      </c>
      <c r="D249" s="18" t="s">
        <v>105</v>
      </c>
      <c r="E249" s="18" t="s">
        <v>48</v>
      </c>
    </row>
    <row r="250" spans="1:5">
      <c r="A250" s="17">
        <v>249</v>
      </c>
      <c r="B250" s="18" t="s">
        <v>35</v>
      </c>
      <c r="C250" s="18" t="s">
        <v>317</v>
      </c>
      <c r="D250" s="18" t="s">
        <v>105</v>
      </c>
      <c r="E250" s="18" t="s">
        <v>48</v>
      </c>
    </row>
    <row r="251" spans="1:5">
      <c r="A251" s="17">
        <v>250</v>
      </c>
      <c r="B251" s="18" t="s">
        <v>35</v>
      </c>
      <c r="C251" s="18" t="s">
        <v>318</v>
      </c>
      <c r="D251" s="18" t="s">
        <v>105</v>
      </c>
      <c r="E251" s="18" t="s">
        <v>48</v>
      </c>
    </row>
    <row r="252" spans="1:5">
      <c r="A252" s="17">
        <v>251</v>
      </c>
      <c r="B252" s="18" t="s">
        <v>35</v>
      </c>
      <c r="C252" s="18" t="s">
        <v>319</v>
      </c>
      <c r="D252" s="18" t="s">
        <v>105</v>
      </c>
      <c r="E252" s="18" t="s">
        <v>48</v>
      </c>
    </row>
    <row r="253" spans="1:5">
      <c r="A253" s="17">
        <v>252</v>
      </c>
      <c r="B253" s="18" t="s">
        <v>35</v>
      </c>
      <c r="C253" s="18" t="s">
        <v>320</v>
      </c>
      <c r="D253" s="18" t="s">
        <v>105</v>
      </c>
      <c r="E253" s="18" t="s">
        <v>48</v>
      </c>
    </row>
    <row r="254" spans="1:5">
      <c r="A254" s="17">
        <v>253</v>
      </c>
      <c r="B254" s="18" t="s">
        <v>35</v>
      </c>
      <c r="C254" s="18" t="s">
        <v>321</v>
      </c>
      <c r="D254" s="18" t="s">
        <v>105</v>
      </c>
      <c r="E254" s="18" t="s">
        <v>48</v>
      </c>
    </row>
    <row r="255" spans="1:5">
      <c r="A255" s="17">
        <v>254</v>
      </c>
      <c r="B255" s="18" t="s">
        <v>35</v>
      </c>
      <c r="C255" s="18" t="s">
        <v>322</v>
      </c>
      <c r="D255" s="18" t="s">
        <v>105</v>
      </c>
      <c r="E255" s="18" t="s">
        <v>48</v>
      </c>
    </row>
    <row r="256" spans="1:5">
      <c r="A256" s="17">
        <v>255</v>
      </c>
      <c r="B256" s="18" t="s">
        <v>35</v>
      </c>
      <c r="C256" s="18" t="s">
        <v>323</v>
      </c>
      <c r="D256" s="18" t="s">
        <v>105</v>
      </c>
      <c r="E256" s="18" t="s">
        <v>48</v>
      </c>
    </row>
    <row r="257" spans="1:5">
      <c r="A257" s="17">
        <v>256</v>
      </c>
      <c r="B257" s="18" t="s">
        <v>35</v>
      </c>
      <c r="C257" s="18" t="s">
        <v>324</v>
      </c>
      <c r="D257" s="18" t="s">
        <v>105</v>
      </c>
      <c r="E257" s="18" t="s">
        <v>48</v>
      </c>
    </row>
    <row r="258" spans="1:5">
      <c r="A258" s="17">
        <v>257</v>
      </c>
      <c r="B258" s="18" t="s">
        <v>35</v>
      </c>
      <c r="C258" s="18" t="s">
        <v>325</v>
      </c>
      <c r="D258" s="18" t="s">
        <v>105</v>
      </c>
      <c r="E258" s="18" t="s">
        <v>48</v>
      </c>
    </row>
    <row r="259" spans="1:5">
      <c r="A259" s="17">
        <v>258</v>
      </c>
      <c r="B259" s="18" t="s">
        <v>35</v>
      </c>
      <c r="C259" s="18" t="s">
        <v>326</v>
      </c>
      <c r="D259" s="18" t="s">
        <v>105</v>
      </c>
      <c r="E259" s="18" t="s">
        <v>48</v>
      </c>
    </row>
    <row r="260" spans="1:5">
      <c r="A260" s="17">
        <v>259</v>
      </c>
      <c r="B260" s="18" t="s">
        <v>35</v>
      </c>
      <c r="C260" s="18" t="s">
        <v>327</v>
      </c>
      <c r="D260" s="18" t="s">
        <v>105</v>
      </c>
      <c r="E260" s="18" t="s">
        <v>48</v>
      </c>
    </row>
    <row r="261" spans="1:5">
      <c r="A261" s="17">
        <v>260</v>
      </c>
      <c r="B261" s="18" t="s">
        <v>35</v>
      </c>
      <c r="C261" s="18" t="s">
        <v>328</v>
      </c>
      <c r="D261" s="18" t="s">
        <v>105</v>
      </c>
      <c r="E261" s="18" t="s">
        <v>48</v>
      </c>
    </row>
    <row r="262" spans="1:5">
      <c r="A262" s="17">
        <v>261</v>
      </c>
      <c r="B262" s="18" t="s">
        <v>35</v>
      </c>
      <c r="C262" s="18" t="s">
        <v>329</v>
      </c>
      <c r="D262" s="18" t="s">
        <v>105</v>
      </c>
      <c r="E262" s="18" t="s">
        <v>48</v>
      </c>
    </row>
    <row r="263" spans="1:5">
      <c r="A263" s="17">
        <v>262</v>
      </c>
      <c r="B263" s="18" t="s">
        <v>35</v>
      </c>
      <c r="C263" s="18" t="s">
        <v>330</v>
      </c>
      <c r="D263" s="18" t="s">
        <v>187</v>
      </c>
      <c r="E263" s="18" t="s">
        <v>48</v>
      </c>
    </row>
    <row r="264" spans="1:5">
      <c r="A264" s="17">
        <v>263</v>
      </c>
      <c r="B264" s="18" t="s">
        <v>35</v>
      </c>
      <c r="C264" s="18" t="s">
        <v>331</v>
      </c>
      <c r="D264" s="18" t="s">
        <v>187</v>
      </c>
      <c r="E264" s="18" t="s">
        <v>48</v>
      </c>
    </row>
    <row r="265" spans="1:5">
      <c r="A265" s="17">
        <v>264</v>
      </c>
      <c r="B265" s="18" t="s">
        <v>35</v>
      </c>
      <c r="C265" s="18" t="s">
        <v>332</v>
      </c>
      <c r="D265" s="18" t="s">
        <v>187</v>
      </c>
      <c r="E265" s="18" t="s">
        <v>48</v>
      </c>
    </row>
    <row r="266" spans="1:5">
      <c r="A266" s="17">
        <v>265</v>
      </c>
      <c r="B266" s="18" t="s">
        <v>35</v>
      </c>
      <c r="C266" s="18" t="s">
        <v>333</v>
      </c>
      <c r="D266" s="18" t="s">
        <v>187</v>
      </c>
      <c r="E266" s="18" t="s">
        <v>48</v>
      </c>
    </row>
    <row r="267" spans="1:5">
      <c r="A267" s="17">
        <v>266</v>
      </c>
      <c r="B267" s="18" t="s">
        <v>35</v>
      </c>
      <c r="C267" s="18" t="s">
        <v>334</v>
      </c>
      <c r="D267" s="18" t="s">
        <v>187</v>
      </c>
      <c r="E267" s="18" t="s">
        <v>48</v>
      </c>
    </row>
    <row r="268" spans="1:5">
      <c r="A268" s="17">
        <v>267</v>
      </c>
      <c r="B268" s="18" t="s">
        <v>35</v>
      </c>
      <c r="C268" s="18" t="s">
        <v>335</v>
      </c>
      <c r="D268" s="18" t="s">
        <v>187</v>
      </c>
      <c r="E268" s="18" t="s">
        <v>48</v>
      </c>
    </row>
    <row r="269" spans="1:5">
      <c r="A269" s="17">
        <v>268</v>
      </c>
      <c r="B269" s="18" t="s">
        <v>35</v>
      </c>
      <c r="C269" s="18" t="s">
        <v>336</v>
      </c>
      <c r="D269" s="18" t="s">
        <v>47</v>
      </c>
      <c r="E269" s="18" t="s">
        <v>48</v>
      </c>
    </row>
    <row r="270" spans="1:5">
      <c r="A270" s="17">
        <v>269</v>
      </c>
      <c r="B270" s="18" t="s">
        <v>35</v>
      </c>
      <c r="C270" s="18" t="s">
        <v>337</v>
      </c>
      <c r="D270" s="18" t="s">
        <v>47</v>
      </c>
      <c r="E270" s="18" t="s">
        <v>48</v>
      </c>
    </row>
    <row r="271" spans="1:5">
      <c r="A271" s="17">
        <v>270</v>
      </c>
      <c r="B271" s="18" t="s">
        <v>35</v>
      </c>
      <c r="C271" s="18" t="s">
        <v>338</v>
      </c>
      <c r="D271" s="18" t="s">
        <v>47</v>
      </c>
      <c r="E271" s="18" t="s">
        <v>48</v>
      </c>
    </row>
    <row r="272" spans="1:5">
      <c r="A272" s="17">
        <v>271</v>
      </c>
      <c r="B272" s="18" t="s">
        <v>35</v>
      </c>
      <c r="C272" s="18" t="s">
        <v>339</v>
      </c>
      <c r="D272" s="18" t="s">
        <v>47</v>
      </c>
      <c r="E272" s="18" t="s">
        <v>48</v>
      </c>
    </row>
    <row r="273" spans="1:5">
      <c r="A273" s="17">
        <v>272</v>
      </c>
      <c r="B273" s="18" t="s">
        <v>35</v>
      </c>
      <c r="C273" s="18" t="s">
        <v>340</v>
      </c>
      <c r="D273" s="18" t="s">
        <v>47</v>
      </c>
      <c r="E273" s="18" t="s">
        <v>48</v>
      </c>
    </row>
    <row r="274" spans="1:5">
      <c r="A274" s="17">
        <v>273</v>
      </c>
      <c r="B274" s="18" t="s">
        <v>35</v>
      </c>
      <c r="C274" s="18" t="s">
        <v>341</v>
      </c>
      <c r="D274" s="18" t="s">
        <v>47</v>
      </c>
      <c r="E274" s="18" t="s">
        <v>48</v>
      </c>
    </row>
    <row r="275" spans="1:5">
      <c r="A275" s="17">
        <v>274</v>
      </c>
      <c r="B275" s="18" t="s">
        <v>39</v>
      </c>
      <c r="C275" s="18" t="s">
        <v>342</v>
      </c>
      <c r="D275" s="18" t="s">
        <v>343</v>
      </c>
      <c r="E275" s="18" t="s">
        <v>344</v>
      </c>
    </row>
    <row r="276" spans="1:5">
      <c r="A276" s="17">
        <v>275</v>
      </c>
      <c r="B276" s="18" t="s">
        <v>35</v>
      </c>
      <c r="C276" s="18" t="s">
        <v>345</v>
      </c>
      <c r="D276" s="18" t="s">
        <v>95</v>
      </c>
      <c r="E276" s="18" t="s">
        <v>48</v>
      </c>
    </row>
    <row r="277" spans="1:5">
      <c r="A277" s="17">
        <v>276</v>
      </c>
      <c r="B277" s="18" t="s">
        <v>39</v>
      </c>
      <c r="C277" s="18" t="s">
        <v>346</v>
      </c>
      <c r="D277" s="18" t="s">
        <v>99</v>
      </c>
      <c r="E277" s="18" t="s">
        <v>42</v>
      </c>
    </row>
    <row r="278" spans="1:5">
      <c r="A278" s="17">
        <v>277</v>
      </c>
      <c r="B278" s="18" t="s">
        <v>39</v>
      </c>
      <c r="C278" s="18" t="s">
        <v>347</v>
      </c>
      <c r="D278" s="18" t="s">
        <v>348</v>
      </c>
      <c r="E278" s="18" t="s">
        <v>103</v>
      </c>
    </row>
    <row r="279" spans="1:5">
      <c r="A279" s="17">
        <v>278</v>
      </c>
      <c r="B279" s="18" t="s">
        <v>35</v>
      </c>
      <c r="C279" s="18" t="s">
        <v>349</v>
      </c>
      <c r="D279" s="18" t="s">
        <v>105</v>
      </c>
      <c r="E279" s="18" t="s">
        <v>48</v>
      </c>
    </row>
    <row r="280" spans="1:5">
      <c r="A280" s="17">
        <v>279</v>
      </c>
      <c r="B280" s="18" t="s">
        <v>35</v>
      </c>
      <c r="C280" s="18" t="s">
        <v>350</v>
      </c>
      <c r="D280" s="18" t="s">
        <v>105</v>
      </c>
      <c r="E280" s="18" t="s">
        <v>48</v>
      </c>
    </row>
    <row r="281" spans="1:5">
      <c r="A281" s="17">
        <v>280</v>
      </c>
      <c r="B281" s="18" t="s">
        <v>35</v>
      </c>
      <c r="C281" s="18" t="s">
        <v>351</v>
      </c>
      <c r="D281" s="18" t="s">
        <v>105</v>
      </c>
      <c r="E281" s="18" t="s">
        <v>48</v>
      </c>
    </row>
    <row r="282" spans="1:5">
      <c r="A282" s="17">
        <v>281</v>
      </c>
      <c r="B282" s="18" t="s">
        <v>35</v>
      </c>
      <c r="C282" s="18" t="s">
        <v>352</v>
      </c>
      <c r="D282" s="18" t="s">
        <v>105</v>
      </c>
      <c r="E282" s="18" t="s">
        <v>48</v>
      </c>
    </row>
    <row r="283" spans="1:5">
      <c r="A283" s="17">
        <v>282</v>
      </c>
      <c r="B283" s="18" t="s">
        <v>35</v>
      </c>
      <c r="C283" s="18" t="s">
        <v>353</v>
      </c>
      <c r="D283" s="18" t="s">
        <v>105</v>
      </c>
      <c r="E283" s="18" t="s">
        <v>48</v>
      </c>
    </row>
    <row r="284" spans="1:5">
      <c r="A284" s="17">
        <v>283</v>
      </c>
      <c r="B284" s="18" t="s">
        <v>35</v>
      </c>
      <c r="C284" s="18" t="s">
        <v>354</v>
      </c>
      <c r="D284" s="18" t="s">
        <v>105</v>
      </c>
      <c r="E284" s="18" t="s">
        <v>48</v>
      </c>
    </row>
    <row r="285" spans="1:5">
      <c r="A285" s="17">
        <v>284</v>
      </c>
      <c r="B285" s="18" t="s">
        <v>35</v>
      </c>
      <c r="C285" s="18" t="s">
        <v>355</v>
      </c>
      <c r="D285" s="18" t="s">
        <v>105</v>
      </c>
      <c r="E285" s="18" t="s">
        <v>48</v>
      </c>
    </row>
    <row r="286" spans="1:5">
      <c r="A286" s="17">
        <v>285</v>
      </c>
      <c r="B286" s="18" t="s">
        <v>35</v>
      </c>
      <c r="C286" s="18" t="s">
        <v>356</v>
      </c>
      <c r="D286" s="18" t="s">
        <v>105</v>
      </c>
      <c r="E286" s="18" t="s">
        <v>48</v>
      </c>
    </row>
    <row r="287" spans="1:5">
      <c r="A287" s="17">
        <v>286</v>
      </c>
      <c r="B287" s="18" t="s">
        <v>35</v>
      </c>
      <c r="C287" s="18" t="s">
        <v>357</v>
      </c>
      <c r="D287" s="18" t="s">
        <v>105</v>
      </c>
      <c r="E287" s="18" t="s">
        <v>48</v>
      </c>
    </row>
    <row r="288" spans="1:5">
      <c r="A288" s="17">
        <v>287</v>
      </c>
      <c r="B288" s="18" t="s">
        <v>35</v>
      </c>
      <c r="C288" s="18" t="s">
        <v>358</v>
      </c>
      <c r="D288" s="18" t="s">
        <v>105</v>
      </c>
      <c r="E288" s="18" t="s">
        <v>48</v>
      </c>
    </row>
    <row r="289" spans="1:5">
      <c r="A289" s="17">
        <v>288</v>
      </c>
      <c r="B289" s="18" t="s">
        <v>35</v>
      </c>
      <c r="C289" s="18" t="s">
        <v>359</v>
      </c>
      <c r="D289" s="18" t="s">
        <v>105</v>
      </c>
      <c r="E289" s="18" t="s">
        <v>48</v>
      </c>
    </row>
    <row r="290" spans="1:5">
      <c r="A290" s="17">
        <v>289</v>
      </c>
      <c r="B290" s="18" t="s">
        <v>35</v>
      </c>
      <c r="C290" s="18" t="s">
        <v>360</v>
      </c>
      <c r="D290" s="18" t="s">
        <v>105</v>
      </c>
      <c r="E290" s="18" t="s">
        <v>48</v>
      </c>
    </row>
    <row r="291" spans="1:5">
      <c r="A291" s="17">
        <v>290</v>
      </c>
      <c r="B291" s="18" t="s">
        <v>35</v>
      </c>
      <c r="C291" s="18" t="s">
        <v>361</v>
      </c>
      <c r="D291" s="18" t="s">
        <v>105</v>
      </c>
      <c r="E291" s="18" t="s">
        <v>48</v>
      </c>
    </row>
    <row r="292" spans="1:5">
      <c r="A292" s="17">
        <v>291</v>
      </c>
      <c r="B292" s="18" t="s">
        <v>35</v>
      </c>
      <c r="C292" s="18" t="s">
        <v>362</v>
      </c>
      <c r="D292" s="18" t="s">
        <v>105</v>
      </c>
      <c r="E292" s="18" t="s">
        <v>48</v>
      </c>
    </row>
    <row r="293" spans="1:5">
      <c r="A293" s="17">
        <v>292</v>
      </c>
      <c r="B293" s="18" t="s">
        <v>35</v>
      </c>
      <c r="C293" s="18" t="s">
        <v>363</v>
      </c>
      <c r="D293" s="18" t="s">
        <v>105</v>
      </c>
      <c r="E293" s="18" t="s">
        <v>48</v>
      </c>
    </row>
    <row r="294" spans="1:5">
      <c r="A294" s="17">
        <v>293</v>
      </c>
      <c r="B294" s="18" t="s">
        <v>35</v>
      </c>
      <c r="C294" s="18" t="s">
        <v>364</v>
      </c>
      <c r="D294" s="18" t="s">
        <v>105</v>
      </c>
      <c r="E294" s="18" t="s">
        <v>48</v>
      </c>
    </row>
    <row r="295" spans="1:5">
      <c r="A295" s="17">
        <v>294</v>
      </c>
      <c r="B295" s="18" t="s">
        <v>35</v>
      </c>
      <c r="C295" s="18" t="s">
        <v>365</v>
      </c>
      <c r="D295" s="18" t="s">
        <v>105</v>
      </c>
      <c r="E295" s="18" t="s">
        <v>48</v>
      </c>
    </row>
    <row r="296" spans="1:5">
      <c r="A296" s="17">
        <v>295</v>
      </c>
      <c r="B296" s="18" t="s">
        <v>35</v>
      </c>
      <c r="C296" s="18" t="s">
        <v>366</v>
      </c>
      <c r="D296" s="18" t="s">
        <v>105</v>
      </c>
      <c r="E296" s="18" t="s">
        <v>48</v>
      </c>
    </row>
    <row r="297" spans="1:5">
      <c r="A297" s="17">
        <v>296</v>
      </c>
      <c r="B297" s="18" t="s">
        <v>35</v>
      </c>
      <c r="C297" s="18" t="s">
        <v>367</v>
      </c>
      <c r="D297" s="18" t="s">
        <v>105</v>
      </c>
      <c r="E297" s="18" t="s">
        <v>48</v>
      </c>
    </row>
    <row r="298" spans="1:5">
      <c r="A298" s="17">
        <v>297</v>
      </c>
      <c r="B298" s="18" t="s">
        <v>35</v>
      </c>
      <c r="C298" s="18" t="s">
        <v>368</v>
      </c>
      <c r="D298" s="18" t="s">
        <v>105</v>
      </c>
      <c r="E298" s="18" t="s">
        <v>48</v>
      </c>
    </row>
    <row r="299" spans="1:5">
      <c r="A299" s="17">
        <v>298</v>
      </c>
      <c r="B299" s="18" t="s">
        <v>35</v>
      </c>
      <c r="C299" s="18" t="s">
        <v>369</v>
      </c>
      <c r="D299" s="18" t="s">
        <v>105</v>
      </c>
      <c r="E299" s="18" t="s">
        <v>48</v>
      </c>
    </row>
    <row r="300" spans="1:5">
      <c r="A300" s="17">
        <v>299</v>
      </c>
      <c r="B300" s="18" t="s">
        <v>35</v>
      </c>
      <c r="C300" s="18" t="s">
        <v>370</v>
      </c>
      <c r="D300" s="18" t="s">
        <v>187</v>
      </c>
      <c r="E300" s="18" t="s">
        <v>48</v>
      </c>
    </row>
    <row r="301" spans="1:5">
      <c r="A301" s="17">
        <v>300</v>
      </c>
      <c r="B301" s="18" t="s">
        <v>35</v>
      </c>
      <c r="C301" s="18" t="s">
        <v>371</v>
      </c>
      <c r="D301" s="18" t="s">
        <v>187</v>
      </c>
      <c r="E301" s="18" t="s">
        <v>48</v>
      </c>
    </row>
    <row r="302" spans="1:5">
      <c r="A302" s="17">
        <v>301</v>
      </c>
      <c r="B302" s="18" t="s">
        <v>35</v>
      </c>
      <c r="C302" s="18" t="s">
        <v>372</v>
      </c>
      <c r="D302" s="18" t="s">
        <v>187</v>
      </c>
      <c r="E302" s="18" t="s">
        <v>48</v>
      </c>
    </row>
    <row r="303" spans="1:5">
      <c r="A303" s="17">
        <v>302</v>
      </c>
      <c r="B303" s="18" t="s">
        <v>35</v>
      </c>
      <c r="C303" s="18" t="s">
        <v>373</v>
      </c>
      <c r="D303" s="18" t="s">
        <v>187</v>
      </c>
      <c r="E303" s="18" t="s">
        <v>48</v>
      </c>
    </row>
    <row r="304" spans="1:5">
      <c r="A304" s="17">
        <v>303</v>
      </c>
      <c r="B304" s="18" t="s">
        <v>35</v>
      </c>
      <c r="C304" s="18" t="s">
        <v>374</v>
      </c>
      <c r="D304" s="18" t="s">
        <v>187</v>
      </c>
      <c r="E304" s="18" t="s">
        <v>48</v>
      </c>
    </row>
    <row r="305" spans="1:5">
      <c r="A305" s="17">
        <v>304</v>
      </c>
      <c r="B305" s="18" t="s">
        <v>35</v>
      </c>
      <c r="C305" s="18" t="s">
        <v>375</v>
      </c>
      <c r="D305" s="18" t="s">
        <v>376</v>
      </c>
      <c r="E305" s="18" t="s">
        <v>377</v>
      </c>
    </row>
    <row r="306" spans="1:5">
      <c r="A306" s="17">
        <v>305</v>
      </c>
      <c r="B306" s="18" t="s">
        <v>35</v>
      </c>
      <c r="C306" s="18" t="s">
        <v>378</v>
      </c>
      <c r="D306" s="18" t="s">
        <v>47</v>
      </c>
      <c r="E306" s="18" t="s">
        <v>48</v>
      </c>
    </row>
    <row r="307" spans="1:5">
      <c r="A307" s="17">
        <v>306</v>
      </c>
      <c r="B307" s="18" t="s">
        <v>35</v>
      </c>
      <c r="C307" s="18" t="s">
        <v>379</v>
      </c>
      <c r="D307" s="18" t="s">
        <v>47</v>
      </c>
      <c r="E307" s="18" t="s">
        <v>48</v>
      </c>
    </row>
    <row r="308" spans="1:5">
      <c r="A308" s="17">
        <v>307</v>
      </c>
      <c r="B308" s="18" t="s">
        <v>35</v>
      </c>
      <c r="C308" s="18" t="s">
        <v>380</v>
      </c>
      <c r="D308" s="18" t="s">
        <v>47</v>
      </c>
      <c r="E308" s="18" t="s">
        <v>48</v>
      </c>
    </row>
    <row r="309" spans="1:5">
      <c r="A309" s="17">
        <v>308</v>
      </c>
      <c r="B309" s="18" t="s">
        <v>35</v>
      </c>
      <c r="C309" s="18" t="s">
        <v>381</v>
      </c>
      <c r="D309" s="18" t="s">
        <v>47</v>
      </c>
      <c r="E309" s="18" t="s">
        <v>48</v>
      </c>
    </row>
    <row r="310" spans="1:5">
      <c r="A310" s="17">
        <v>309</v>
      </c>
      <c r="B310" s="18" t="s">
        <v>35</v>
      </c>
      <c r="C310" s="18" t="s">
        <v>382</v>
      </c>
      <c r="D310" s="18" t="s">
        <v>47</v>
      </c>
      <c r="E310" s="18" t="s">
        <v>48</v>
      </c>
    </row>
    <row r="311" spans="1:5">
      <c r="A311" s="17">
        <v>310</v>
      </c>
      <c r="B311" s="18" t="s">
        <v>35</v>
      </c>
      <c r="C311" s="18" t="s">
        <v>383</v>
      </c>
      <c r="D311" s="18" t="s">
        <v>47</v>
      </c>
      <c r="E311" s="18" t="s">
        <v>48</v>
      </c>
    </row>
    <row r="312" spans="1:5">
      <c r="A312" s="17">
        <v>311</v>
      </c>
      <c r="B312" s="18" t="s">
        <v>35</v>
      </c>
      <c r="C312" s="18" t="s">
        <v>384</v>
      </c>
      <c r="D312" s="18" t="s">
        <v>385</v>
      </c>
      <c r="E312" s="18" t="s">
        <v>377</v>
      </c>
    </row>
    <row r="313" spans="1:5">
      <c r="A313" s="17">
        <v>312</v>
      </c>
      <c r="B313" s="18" t="s">
        <v>35</v>
      </c>
      <c r="C313" s="18" t="s">
        <v>386</v>
      </c>
      <c r="D313" s="18" t="s">
        <v>385</v>
      </c>
      <c r="E313" s="18" t="s">
        <v>377</v>
      </c>
    </row>
    <row r="314" spans="1:5">
      <c r="A314" s="17">
        <v>313</v>
      </c>
      <c r="B314" s="18" t="s">
        <v>39</v>
      </c>
      <c r="C314" s="18" t="s">
        <v>387</v>
      </c>
      <c r="D314" s="18" t="s">
        <v>388</v>
      </c>
      <c r="E314" s="18" t="s">
        <v>103</v>
      </c>
    </row>
    <row r="315" spans="1:5">
      <c r="A315" s="17">
        <v>314</v>
      </c>
      <c r="B315" s="18" t="s">
        <v>35</v>
      </c>
      <c r="C315" s="18" t="s">
        <v>389</v>
      </c>
      <c r="D315" s="18" t="s">
        <v>92</v>
      </c>
      <c r="E315" s="18" t="s">
        <v>48</v>
      </c>
    </row>
    <row r="316" spans="1:5">
      <c r="A316" s="17">
        <v>315</v>
      </c>
      <c r="B316" s="18" t="s">
        <v>35</v>
      </c>
      <c r="C316" s="18" t="s">
        <v>390</v>
      </c>
      <c r="D316" s="18" t="s">
        <v>92</v>
      </c>
      <c r="E316" s="18" t="s">
        <v>48</v>
      </c>
    </row>
    <row r="317" spans="1:5">
      <c r="A317" s="17">
        <v>316</v>
      </c>
      <c r="B317" s="18" t="s">
        <v>35</v>
      </c>
      <c r="C317" s="18" t="s">
        <v>391</v>
      </c>
      <c r="D317" s="18" t="s">
        <v>95</v>
      </c>
      <c r="E317" s="18" t="s">
        <v>48</v>
      </c>
    </row>
    <row r="318" spans="1:5">
      <c r="A318" s="17">
        <v>317</v>
      </c>
      <c r="B318" s="18" t="s">
        <v>35</v>
      </c>
      <c r="C318" s="18" t="s">
        <v>392</v>
      </c>
      <c r="D318" s="18" t="s">
        <v>393</v>
      </c>
      <c r="E318" s="18" t="s">
        <v>377</v>
      </c>
    </row>
    <row r="319" spans="1:5">
      <c r="A319" s="17">
        <v>318</v>
      </c>
      <c r="B319" s="18" t="s">
        <v>35</v>
      </c>
      <c r="C319" s="18" t="s">
        <v>394</v>
      </c>
      <c r="D319" s="18" t="s">
        <v>393</v>
      </c>
      <c r="E319" s="18" t="s">
        <v>377</v>
      </c>
    </row>
    <row r="320" spans="1:5">
      <c r="A320" s="17">
        <v>319</v>
      </c>
      <c r="B320" s="18" t="s">
        <v>35</v>
      </c>
      <c r="C320" s="18" t="s">
        <v>395</v>
      </c>
      <c r="D320" s="18" t="s">
        <v>396</v>
      </c>
      <c r="E320" s="18" t="s">
        <v>377</v>
      </c>
    </row>
    <row r="321" spans="1:5">
      <c r="A321" s="17">
        <v>320</v>
      </c>
      <c r="B321" s="18" t="s">
        <v>35</v>
      </c>
      <c r="C321" s="18" t="s">
        <v>397</v>
      </c>
      <c r="D321" s="18" t="s">
        <v>398</v>
      </c>
      <c r="E321" s="18" t="s">
        <v>377</v>
      </c>
    </row>
    <row r="322" spans="1:5">
      <c r="A322" s="17">
        <v>321</v>
      </c>
      <c r="B322" s="18" t="s">
        <v>35</v>
      </c>
      <c r="C322" s="18" t="s">
        <v>399</v>
      </c>
      <c r="D322" s="18" t="s">
        <v>400</v>
      </c>
      <c r="E322" s="18" t="s">
        <v>377</v>
      </c>
    </row>
    <row r="323" spans="1:5">
      <c r="A323" s="17">
        <v>322</v>
      </c>
      <c r="B323" s="18" t="s">
        <v>35</v>
      </c>
      <c r="C323" s="18" t="s">
        <v>401</v>
      </c>
      <c r="D323" s="18" t="s">
        <v>105</v>
      </c>
      <c r="E323" s="18" t="s">
        <v>48</v>
      </c>
    </row>
    <row r="324" spans="1:5">
      <c r="A324" s="17">
        <v>323</v>
      </c>
      <c r="B324" s="18" t="s">
        <v>35</v>
      </c>
      <c r="C324" s="18" t="s">
        <v>402</v>
      </c>
      <c r="D324" s="18" t="s">
        <v>105</v>
      </c>
      <c r="E324" s="18" t="s">
        <v>48</v>
      </c>
    </row>
    <row r="325" spans="1:5">
      <c r="A325" s="17">
        <v>324</v>
      </c>
      <c r="B325" s="18" t="s">
        <v>35</v>
      </c>
      <c r="C325" s="18" t="s">
        <v>403</v>
      </c>
      <c r="D325" s="18" t="s">
        <v>105</v>
      </c>
      <c r="E325" s="18" t="s">
        <v>48</v>
      </c>
    </row>
    <row r="326" spans="1:5">
      <c r="A326" s="17">
        <v>325</v>
      </c>
      <c r="B326" s="18" t="s">
        <v>35</v>
      </c>
      <c r="C326" s="18" t="s">
        <v>404</v>
      </c>
      <c r="D326" s="18" t="s">
        <v>105</v>
      </c>
      <c r="E326" s="18" t="s">
        <v>48</v>
      </c>
    </row>
    <row r="327" spans="1:5">
      <c r="A327" s="17">
        <v>326</v>
      </c>
      <c r="B327" s="18" t="s">
        <v>35</v>
      </c>
      <c r="C327" s="18" t="s">
        <v>405</v>
      </c>
      <c r="D327" s="18" t="s">
        <v>105</v>
      </c>
      <c r="E327" s="18" t="s">
        <v>48</v>
      </c>
    </row>
    <row r="328" spans="1:5">
      <c r="A328" s="17">
        <v>327</v>
      </c>
      <c r="B328" s="18" t="s">
        <v>35</v>
      </c>
      <c r="C328" s="18" t="s">
        <v>406</v>
      </c>
      <c r="D328" s="18" t="s">
        <v>187</v>
      </c>
      <c r="E328" s="18" t="s">
        <v>48</v>
      </c>
    </row>
    <row r="329" spans="1:5">
      <c r="A329" s="17">
        <v>328</v>
      </c>
      <c r="B329" s="18" t="s">
        <v>35</v>
      </c>
      <c r="C329" s="18" t="s">
        <v>407</v>
      </c>
      <c r="D329" s="18" t="s">
        <v>187</v>
      </c>
      <c r="E329" s="18" t="s">
        <v>48</v>
      </c>
    </row>
    <row r="330" spans="1:5">
      <c r="A330" s="17">
        <v>329</v>
      </c>
      <c r="B330" s="18" t="s">
        <v>35</v>
      </c>
      <c r="C330" s="18" t="s">
        <v>408</v>
      </c>
      <c r="D330" s="18" t="s">
        <v>187</v>
      </c>
      <c r="E330" s="18" t="s">
        <v>48</v>
      </c>
    </row>
    <row r="331" spans="1:5">
      <c r="A331" s="17">
        <v>330</v>
      </c>
      <c r="B331" s="18" t="s">
        <v>35</v>
      </c>
      <c r="C331" s="18" t="s">
        <v>409</v>
      </c>
      <c r="D331" s="18" t="s">
        <v>187</v>
      </c>
      <c r="E331" s="18" t="s">
        <v>48</v>
      </c>
    </row>
    <row r="332" spans="1:5">
      <c r="A332" s="17">
        <v>331</v>
      </c>
      <c r="B332" s="18" t="s">
        <v>35</v>
      </c>
      <c r="C332" s="18" t="s">
        <v>410</v>
      </c>
      <c r="D332" s="18" t="s">
        <v>187</v>
      </c>
      <c r="E332" s="18" t="s">
        <v>48</v>
      </c>
    </row>
    <row r="333" spans="1:5">
      <c r="A333" s="17">
        <v>332</v>
      </c>
      <c r="B333" s="18" t="s">
        <v>35</v>
      </c>
      <c r="C333" s="18" t="s">
        <v>411</v>
      </c>
      <c r="D333" s="18" t="s">
        <v>412</v>
      </c>
      <c r="E333" s="18" t="s">
        <v>377</v>
      </c>
    </row>
    <row r="334" spans="1:5">
      <c r="A334" s="17">
        <v>333</v>
      </c>
      <c r="B334" s="18" t="s">
        <v>35</v>
      </c>
      <c r="C334" s="18" t="s">
        <v>413</v>
      </c>
      <c r="D334" s="18" t="s">
        <v>393</v>
      </c>
      <c r="E334" s="18" t="s">
        <v>377</v>
      </c>
    </row>
    <row r="335" spans="1:5">
      <c r="A335" s="17">
        <v>334</v>
      </c>
      <c r="B335" s="18" t="s">
        <v>35</v>
      </c>
      <c r="C335" s="18" t="s">
        <v>414</v>
      </c>
      <c r="D335" s="18" t="s">
        <v>393</v>
      </c>
      <c r="E335" s="18" t="s">
        <v>377</v>
      </c>
    </row>
    <row r="336" spans="1:5">
      <c r="A336" s="17">
        <v>335</v>
      </c>
      <c r="B336" s="18" t="s">
        <v>35</v>
      </c>
      <c r="C336" s="18" t="s">
        <v>415</v>
      </c>
      <c r="D336" s="18" t="s">
        <v>393</v>
      </c>
      <c r="E336" s="18" t="s">
        <v>377</v>
      </c>
    </row>
    <row r="337" spans="1:5">
      <c r="A337" s="17">
        <v>336</v>
      </c>
      <c r="B337" s="18" t="s">
        <v>35</v>
      </c>
      <c r="C337" s="18" t="s">
        <v>416</v>
      </c>
      <c r="D337" s="18" t="s">
        <v>393</v>
      </c>
      <c r="E337" s="18" t="s">
        <v>377</v>
      </c>
    </row>
    <row r="338" spans="1:5">
      <c r="A338" s="17">
        <v>337</v>
      </c>
      <c r="B338" s="18" t="s">
        <v>35</v>
      </c>
      <c r="C338" s="18" t="s">
        <v>417</v>
      </c>
      <c r="D338" s="18" t="s">
        <v>393</v>
      </c>
      <c r="E338" s="18" t="s">
        <v>377</v>
      </c>
    </row>
    <row r="339" spans="1:5">
      <c r="A339" s="17">
        <v>338</v>
      </c>
      <c r="B339" s="18" t="s">
        <v>35</v>
      </c>
      <c r="C339" s="18" t="s">
        <v>418</v>
      </c>
      <c r="D339" s="18" t="s">
        <v>393</v>
      </c>
      <c r="E339" s="18" t="s">
        <v>377</v>
      </c>
    </row>
    <row r="340" spans="1:5">
      <c r="A340" s="17">
        <v>339</v>
      </c>
      <c r="B340" s="18" t="s">
        <v>35</v>
      </c>
      <c r="C340" s="18" t="s">
        <v>419</v>
      </c>
      <c r="D340" s="18" t="s">
        <v>393</v>
      </c>
      <c r="E340" s="18" t="s">
        <v>377</v>
      </c>
    </row>
    <row r="341" spans="1:5">
      <c r="A341" s="17">
        <v>340</v>
      </c>
      <c r="B341" s="18" t="s">
        <v>35</v>
      </c>
      <c r="C341" s="18" t="s">
        <v>420</v>
      </c>
      <c r="D341" s="18" t="s">
        <v>393</v>
      </c>
      <c r="E341" s="18" t="s">
        <v>377</v>
      </c>
    </row>
    <row r="342" spans="1:5">
      <c r="A342" s="17">
        <v>341</v>
      </c>
      <c r="B342" s="18" t="s">
        <v>35</v>
      </c>
      <c r="C342" s="18" t="s">
        <v>421</v>
      </c>
      <c r="D342" s="18" t="s">
        <v>422</v>
      </c>
      <c r="E342" s="18" t="s">
        <v>377</v>
      </c>
    </row>
    <row r="343" spans="1:5">
      <c r="A343" s="17">
        <v>342</v>
      </c>
      <c r="B343" s="18" t="s">
        <v>35</v>
      </c>
      <c r="C343" s="18" t="s">
        <v>423</v>
      </c>
      <c r="D343" s="18" t="s">
        <v>424</v>
      </c>
      <c r="E343" s="18" t="s">
        <v>377</v>
      </c>
    </row>
    <row r="344" spans="1:5">
      <c r="A344" s="17">
        <v>343</v>
      </c>
      <c r="B344" s="18" t="s">
        <v>35</v>
      </c>
      <c r="C344" s="18" t="s">
        <v>425</v>
      </c>
      <c r="D344" s="18" t="s">
        <v>385</v>
      </c>
      <c r="E344" s="18" t="s">
        <v>377</v>
      </c>
    </row>
    <row r="345" spans="1:5">
      <c r="A345" s="17">
        <v>344</v>
      </c>
      <c r="B345" s="18" t="s">
        <v>35</v>
      </c>
      <c r="C345" s="18" t="s">
        <v>426</v>
      </c>
      <c r="D345" s="18" t="s">
        <v>393</v>
      </c>
      <c r="E345" s="18" t="s">
        <v>377</v>
      </c>
    </row>
    <row r="346" spans="1:5">
      <c r="A346" s="17">
        <v>345</v>
      </c>
      <c r="B346" s="18" t="s">
        <v>35</v>
      </c>
      <c r="C346" s="18" t="s">
        <v>427</v>
      </c>
      <c r="D346" s="18" t="s">
        <v>393</v>
      </c>
      <c r="E346" s="18" t="s">
        <v>377</v>
      </c>
    </row>
    <row r="347" spans="1:5">
      <c r="A347" s="17">
        <v>346</v>
      </c>
      <c r="B347" s="18" t="s">
        <v>35</v>
      </c>
      <c r="C347" s="18" t="s">
        <v>428</v>
      </c>
      <c r="D347" s="18" t="s">
        <v>393</v>
      </c>
      <c r="E347" s="18" t="s">
        <v>377</v>
      </c>
    </row>
    <row r="348" spans="1:5">
      <c r="A348" s="17">
        <v>347</v>
      </c>
      <c r="B348" s="18" t="s">
        <v>35</v>
      </c>
      <c r="C348" s="18" t="s">
        <v>429</v>
      </c>
      <c r="D348" s="18" t="s">
        <v>422</v>
      </c>
      <c r="E348" s="18" t="s">
        <v>377</v>
      </c>
    </row>
    <row r="349" spans="1:5">
      <c r="A349" s="17">
        <v>348</v>
      </c>
      <c r="B349" s="18" t="s">
        <v>35</v>
      </c>
      <c r="C349" s="18" t="s">
        <v>430</v>
      </c>
      <c r="D349" s="18" t="s">
        <v>393</v>
      </c>
      <c r="E349" s="18" t="s">
        <v>377</v>
      </c>
    </row>
    <row r="350" spans="1:5">
      <c r="A350" s="17">
        <v>349</v>
      </c>
      <c r="B350" s="18" t="s">
        <v>35</v>
      </c>
      <c r="C350" s="18" t="s">
        <v>431</v>
      </c>
      <c r="D350" s="18" t="s">
        <v>432</v>
      </c>
      <c r="E350" s="18" t="s">
        <v>377</v>
      </c>
    </row>
    <row r="351" spans="1:5">
      <c r="A351" s="17">
        <v>350</v>
      </c>
      <c r="B351" s="18" t="s">
        <v>35</v>
      </c>
      <c r="C351" s="18" t="s">
        <v>433</v>
      </c>
      <c r="D351" s="18" t="s">
        <v>422</v>
      </c>
      <c r="E351" s="18" t="s">
        <v>377</v>
      </c>
    </row>
    <row r="352" spans="1:5">
      <c r="A352" s="17">
        <v>351</v>
      </c>
      <c r="B352" s="18" t="s">
        <v>35</v>
      </c>
      <c r="C352" s="18" t="s">
        <v>434</v>
      </c>
      <c r="D352" s="18" t="s">
        <v>422</v>
      </c>
      <c r="E352" s="18" t="s">
        <v>377</v>
      </c>
    </row>
    <row r="353" spans="1:5">
      <c r="A353" s="17">
        <v>352</v>
      </c>
      <c r="B353" s="18" t="s">
        <v>35</v>
      </c>
      <c r="C353" s="18" t="s">
        <v>435</v>
      </c>
      <c r="D353" s="18" t="s">
        <v>393</v>
      </c>
      <c r="E353" s="18" t="s">
        <v>377</v>
      </c>
    </row>
    <row r="354" spans="1:5">
      <c r="A354" s="17">
        <v>353</v>
      </c>
      <c r="B354" s="18" t="s">
        <v>35</v>
      </c>
      <c r="C354" s="18" t="s">
        <v>436</v>
      </c>
      <c r="D354" s="18" t="s">
        <v>393</v>
      </c>
      <c r="E354" s="18" t="s">
        <v>377</v>
      </c>
    </row>
    <row r="355" spans="1:5">
      <c r="A355" s="17">
        <v>354</v>
      </c>
      <c r="B355" s="18" t="s">
        <v>35</v>
      </c>
      <c r="C355" s="18" t="s">
        <v>437</v>
      </c>
      <c r="D355" s="18" t="s">
        <v>393</v>
      </c>
      <c r="E355" s="18" t="s">
        <v>377</v>
      </c>
    </row>
    <row r="356" spans="1:5">
      <c r="A356" s="17">
        <v>355</v>
      </c>
      <c r="B356" s="18" t="s">
        <v>35</v>
      </c>
      <c r="C356" s="18" t="s">
        <v>438</v>
      </c>
      <c r="D356" s="18" t="s">
        <v>393</v>
      </c>
      <c r="E356" s="18" t="s">
        <v>377</v>
      </c>
    </row>
    <row r="357" spans="1:5">
      <c r="A357" s="17">
        <v>356</v>
      </c>
      <c r="B357" s="18" t="s">
        <v>35</v>
      </c>
      <c r="C357" s="18" t="s">
        <v>439</v>
      </c>
      <c r="D357" s="18" t="s">
        <v>385</v>
      </c>
      <c r="E357" s="18" t="s">
        <v>377</v>
      </c>
    </row>
    <row r="358" spans="1:5">
      <c r="A358" s="17">
        <v>357</v>
      </c>
      <c r="B358" s="18" t="s">
        <v>35</v>
      </c>
      <c r="C358" s="18" t="s">
        <v>440</v>
      </c>
      <c r="D358" s="18" t="s">
        <v>398</v>
      </c>
      <c r="E358" s="18" t="s">
        <v>377</v>
      </c>
    </row>
    <row r="359" spans="1:5">
      <c r="A359" s="17">
        <v>358</v>
      </c>
      <c r="B359" s="18" t="s">
        <v>35</v>
      </c>
      <c r="C359" s="18" t="s">
        <v>441</v>
      </c>
      <c r="D359" s="18" t="s">
        <v>398</v>
      </c>
      <c r="E359" s="18" t="s">
        <v>377</v>
      </c>
    </row>
    <row r="360" spans="1:5">
      <c r="A360" s="17">
        <v>359</v>
      </c>
      <c r="B360" s="18" t="s">
        <v>35</v>
      </c>
      <c r="C360" s="18" t="s">
        <v>442</v>
      </c>
      <c r="D360" s="18" t="s">
        <v>432</v>
      </c>
      <c r="E360" s="18" t="s">
        <v>377</v>
      </c>
    </row>
    <row r="361" spans="1:5">
      <c r="A361" s="17">
        <v>360</v>
      </c>
      <c r="B361" s="18" t="s">
        <v>35</v>
      </c>
      <c r="C361" s="18" t="s">
        <v>443</v>
      </c>
      <c r="D361" s="18" t="s">
        <v>422</v>
      </c>
      <c r="E361" s="18" t="s">
        <v>377</v>
      </c>
    </row>
    <row r="362" spans="1:5">
      <c r="A362" s="17">
        <v>361</v>
      </c>
      <c r="B362" s="18" t="s">
        <v>35</v>
      </c>
      <c r="C362" s="18" t="s">
        <v>444</v>
      </c>
      <c r="D362" s="18" t="s">
        <v>393</v>
      </c>
      <c r="E362" s="18" t="s">
        <v>377</v>
      </c>
    </row>
    <row r="363" spans="1:5">
      <c r="A363" s="17">
        <v>362</v>
      </c>
      <c r="B363" s="18" t="s">
        <v>35</v>
      </c>
      <c r="C363" s="18" t="s">
        <v>445</v>
      </c>
      <c r="D363" s="18" t="s">
        <v>398</v>
      </c>
      <c r="E363" s="18" t="s">
        <v>377</v>
      </c>
    </row>
    <row r="364" spans="1:5">
      <c r="A364" s="17">
        <v>363</v>
      </c>
      <c r="B364" s="18" t="s">
        <v>35</v>
      </c>
      <c r="C364" s="18" t="s">
        <v>446</v>
      </c>
      <c r="D364" s="18" t="s">
        <v>422</v>
      </c>
      <c r="E364" s="18" t="s">
        <v>377</v>
      </c>
    </row>
    <row r="365" spans="1:5">
      <c r="A365" s="17">
        <v>364</v>
      </c>
      <c r="B365" s="18" t="s">
        <v>35</v>
      </c>
      <c r="C365" s="18" t="s">
        <v>447</v>
      </c>
      <c r="D365" s="18" t="s">
        <v>393</v>
      </c>
      <c r="E365" s="18" t="s">
        <v>377</v>
      </c>
    </row>
    <row r="366" spans="1:5">
      <c r="A366" s="17">
        <v>365</v>
      </c>
      <c r="B366" s="18" t="s">
        <v>35</v>
      </c>
      <c r="C366" s="18" t="s">
        <v>448</v>
      </c>
      <c r="D366" s="18" t="s">
        <v>422</v>
      </c>
      <c r="E366" s="18" t="s">
        <v>377</v>
      </c>
    </row>
    <row r="367" spans="1:5">
      <c r="A367" s="17">
        <v>366</v>
      </c>
      <c r="B367" s="18" t="s">
        <v>35</v>
      </c>
      <c r="C367" s="18" t="s">
        <v>449</v>
      </c>
      <c r="D367" s="18" t="s">
        <v>393</v>
      </c>
      <c r="E367" s="18" t="s">
        <v>377</v>
      </c>
    </row>
    <row r="368" spans="1:5">
      <c r="A368" s="17">
        <v>367</v>
      </c>
      <c r="B368" s="18" t="s">
        <v>35</v>
      </c>
      <c r="C368" s="18" t="s">
        <v>450</v>
      </c>
      <c r="D368" s="18" t="s">
        <v>422</v>
      </c>
      <c r="E368" s="18" t="s">
        <v>377</v>
      </c>
    </row>
    <row r="369" spans="1:5">
      <c r="A369" s="17">
        <v>368</v>
      </c>
      <c r="B369" s="18" t="s">
        <v>35</v>
      </c>
      <c r="C369" s="18" t="s">
        <v>451</v>
      </c>
      <c r="D369" s="18" t="s">
        <v>398</v>
      </c>
      <c r="E369" s="18" t="s">
        <v>377</v>
      </c>
    </row>
    <row r="370" spans="1:5">
      <c r="A370" s="17">
        <v>369</v>
      </c>
      <c r="B370" s="18" t="s">
        <v>35</v>
      </c>
      <c r="C370" s="18" t="s">
        <v>452</v>
      </c>
      <c r="D370" s="18" t="s">
        <v>376</v>
      </c>
      <c r="E370" s="18" t="s">
        <v>377</v>
      </c>
    </row>
    <row r="371" spans="1:5">
      <c r="A371" s="17">
        <v>370</v>
      </c>
      <c r="B371" s="18" t="s">
        <v>35</v>
      </c>
      <c r="C371" s="18" t="s">
        <v>453</v>
      </c>
      <c r="D371" s="18" t="s">
        <v>393</v>
      </c>
      <c r="E371" s="18" t="s">
        <v>377</v>
      </c>
    </row>
    <row r="372" spans="1:5">
      <c r="A372" s="17">
        <v>371</v>
      </c>
      <c r="B372" s="18" t="s">
        <v>35</v>
      </c>
      <c r="C372" s="18" t="s">
        <v>454</v>
      </c>
      <c r="D372" s="18" t="s">
        <v>422</v>
      </c>
      <c r="E372" s="18" t="s">
        <v>377</v>
      </c>
    </row>
    <row r="373" spans="1:5">
      <c r="A373" s="17">
        <v>372</v>
      </c>
      <c r="B373" s="18" t="s">
        <v>35</v>
      </c>
      <c r="C373" s="18" t="s">
        <v>455</v>
      </c>
      <c r="D373" s="18" t="s">
        <v>219</v>
      </c>
      <c r="E373" s="18" t="s">
        <v>220</v>
      </c>
    </row>
    <row r="374" spans="1:5">
      <c r="A374" s="17">
        <v>373</v>
      </c>
      <c r="B374" s="18" t="s">
        <v>35</v>
      </c>
      <c r="C374" s="18" t="s">
        <v>456</v>
      </c>
      <c r="D374" s="18" t="s">
        <v>219</v>
      </c>
      <c r="E374" s="18" t="s">
        <v>220</v>
      </c>
    </row>
    <row r="375" spans="1:5">
      <c r="A375" s="17">
        <v>374</v>
      </c>
      <c r="B375" s="18" t="s">
        <v>35</v>
      </c>
      <c r="C375" s="18" t="s">
        <v>457</v>
      </c>
      <c r="D375" s="18" t="s">
        <v>47</v>
      </c>
      <c r="E375" s="18" t="s">
        <v>48</v>
      </c>
    </row>
    <row r="376" spans="1:5">
      <c r="A376" s="17">
        <v>375</v>
      </c>
      <c r="B376" s="18" t="s">
        <v>35</v>
      </c>
      <c r="C376" s="18" t="s">
        <v>458</v>
      </c>
      <c r="D376" s="18" t="s">
        <v>47</v>
      </c>
      <c r="E376" s="18" t="s">
        <v>48</v>
      </c>
    </row>
    <row r="377" spans="1:5">
      <c r="A377" s="17">
        <v>376</v>
      </c>
      <c r="B377" s="18" t="s">
        <v>35</v>
      </c>
      <c r="C377" s="18" t="s">
        <v>459</v>
      </c>
      <c r="D377" s="18" t="s">
        <v>47</v>
      </c>
      <c r="E377" s="18" t="s">
        <v>48</v>
      </c>
    </row>
    <row r="378" spans="1:5">
      <c r="A378" s="17">
        <v>377</v>
      </c>
      <c r="B378" s="18" t="s">
        <v>35</v>
      </c>
      <c r="C378" s="18" t="s">
        <v>460</v>
      </c>
      <c r="D378" s="18" t="s">
        <v>47</v>
      </c>
      <c r="E378" s="18" t="s">
        <v>48</v>
      </c>
    </row>
    <row r="379" spans="1:5">
      <c r="A379" s="17">
        <v>378</v>
      </c>
      <c r="B379" s="18" t="s">
        <v>35</v>
      </c>
      <c r="C379" s="18" t="s">
        <v>461</v>
      </c>
      <c r="D379" s="18" t="s">
        <v>47</v>
      </c>
      <c r="E379" s="18" t="s">
        <v>48</v>
      </c>
    </row>
    <row r="380" spans="1:5">
      <c r="A380" s="17">
        <v>379</v>
      </c>
      <c r="B380" s="18" t="s">
        <v>35</v>
      </c>
      <c r="C380" s="18" t="s">
        <v>462</v>
      </c>
      <c r="D380" s="18" t="s">
        <v>47</v>
      </c>
      <c r="E380" s="18" t="s">
        <v>48</v>
      </c>
    </row>
    <row r="381" spans="1:5">
      <c r="A381" s="17">
        <v>380</v>
      </c>
      <c r="B381" s="18" t="s">
        <v>35</v>
      </c>
      <c r="C381" s="18" t="s">
        <v>463</v>
      </c>
      <c r="D381" s="18" t="s">
        <v>47</v>
      </c>
      <c r="E381" s="18" t="s">
        <v>48</v>
      </c>
    </row>
    <row r="382" spans="1:5">
      <c r="A382" s="17">
        <v>381</v>
      </c>
      <c r="B382" s="18" t="s">
        <v>35</v>
      </c>
      <c r="C382" s="18" t="s">
        <v>464</v>
      </c>
      <c r="D382" s="18" t="s">
        <v>47</v>
      </c>
      <c r="E382" s="18" t="s">
        <v>48</v>
      </c>
    </row>
    <row r="383" spans="1:5">
      <c r="A383" s="17">
        <v>382</v>
      </c>
      <c r="B383" s="18" t="s">
        <v>35</v>
      </c>
      <c r="C383" s="18" t="s">
        <v>465</v>
      </c>
      <c r="D383" s="18" t="s">
        <v>47</v>
      </c>
      <c r="E383" s="18" t="s">
        <v>48</v>
      </c>
    </row>
    <row r="384" spans="1:5">
      <c r="A384" s="17">
        <v>383</v>
      </c>
      <c r="B384" s="18" t="s">
        <v>35</v>
      </c>
      <c r="C384" s="18" t="s">
        <v>466</v>
      </c>
      <c r="D384" s="18" t="s">
        <v>47</v>
      </c>
      <c r="E384" s="18" t="s">
        <v>48</v>
      </c>
    </row>
    <row r="385" spans="1:5">
      <c r="A385" s="17">
        <v>384</v>
      </c>
      <c r="B385" s="18" t="s">
        <v>35</v>
      </c>
      <c r="C385" s="18" t="s">
        <v>467</v>
      </c>
      <c r="D385" s="18" t="s">
        <v>47</v>
      </c>
      <c r="E385" s="18" t="s">
        <v>48</v>
      </c>
    </row>
    <row r="386" spans="1:5">
      <c r="A386" s="17">
        <v>385</v>
      </c>
      <c r="B386" s="18" t="s">
        <v>35</v>
      </c>
      <c r="C386" s="18" t="s">
        <v>468</v>
      </c>
      <c r="D386" s="18" t="s">
        <v>47</v>
      </c>
      <c r="E386" s="18" t="s">
        <v>48</v>
      </c>
    </row>
    <row r="387" spans="1:5">
      <c r="A387" s="17">
        <v>386</v>
      </c>
      <c r="B387" s="18" t="s">
        <v>35</v>
      </c>
      <c r="C387" s="18" t="s">
        <v>469</v>
      </c>
      <c r="D387" s="18" t="s">
        <v>47</v>
      </c>
      <c r="E387" s="18" t="s">
        <v>48</v>
      </c>
    </row>
    <row r="388" spans="1:5">
      <c r="A388" s="17">
        <v>387</v>
      </c>
      <c r="B388" s="18" t="s">
        <v>35</v>
      </c>
      <c r="C388" s="18" t="s">
        <v>470</v>
      </c>
      <c r="D388" s="18" t="s">
        <v>47</v>
      </c>
      <c r="E388" s="18" t="s">
        <v>48</v>
      </c>
    </row>
    <row r="389" spans="1:5">
      <c r="A389" s="17">
        <v>388</v>
      </c>
      <c r="B389" s="18" t="s">
        <v>35</v>
      </c>
      <c r="C389" s="18" t="s">
        <v>471</v>
      </c>
      <c r="D389" s="18" t="s">
        <v>47</v>
      </c>
      <c r="E389" s="18" t="s">
        <v>48</v>
      </c>
    </row>
    <row r="390" spans="1:5">
      <c r="A390" s="17">
        <v>389</v>
      </c>
      <c r="B390" s="18" t="s">
        <v>35</v>
      </c>
      <c r="C390" s="18" t="s">
        <v>472</v>
      </c>
      <c r="D390" s="18" t="s">
        <v>47</v>
      </c>
      <c r="E390" s="18" t="s">
        <v>48</v>
      </c>
    </row>
    <row r="391" spans="1:5">
      <c r="A391" s="17">
        <v>390</v>
      </c>
      <c r="B391" s="18" t="s">
        <v>35</v>
      </c>
      <c r="C391" s="18" t="s">
        <v>473</v>
      </c>
      <c r="D391" s="18" t="s">
        <v>47</v>
      </c>
      <c r="E391" s="18" t="s">
        <v>48</v>
      </c>
    </row>
    <row r="392" spans="1:5">
      <c r="A392" s="17">
        <v>391</v>
      </c>
      <c r="B392" s="18" t="s">
        <v>35</v>
      </c>
      <c r="C392" s="18" t="s">
        <v>474</v>
      </c>
      <c r="D392" s="18" t="s">
        <v>47</v>
      </c>
      <c r="E392" s="18" t="s">
        <v>48</v>
      </c>
    </row>
    <row r="393" spans="1:5">
      <c r="A393" s="17">
        <v>392</v>
      </c>
      <c r="B393" s="18" t="s">
        <v>35</v>
      </c>
      <c r="C393" s="18" t="s">
        <v>475</v>
      </c>
      <c r="D393" s="18" t="s">
        <v>47</v>
      </c>
      <c r="E393" s="18" t="s">
        <v>48</v>
      </c>
    </row>
    <row r="394" spans="1:5">
      <c r="A394" s="17">
        <v>393</v>
      </c>
      <c r="B394" s="18" t="s">
        <v>35</v>
      </c>
      <c r="C394" s="18" t="s">
        <v>476</v>
      </c>
      <c r="D394" s="18" t="s">
        <v>47</v>
      </c>
      <c r="E394" s="18" t="s">
        <v>48</v>
      </c>
    </row>
    <row r="395" spans="1:5">
      <c r="A395" s="17">
        <v>394</v>
      </c>
      <c r="B395" s="18" t="s">
        <v>35</v>
      </c>
      <c r="C395" s="18" t="s">
        <v>477</v>
      </c>
      <c r="D395" s="18" t="s">
        <v>83</v>
      </c>
      <c r="E395" s="18" t="s">
        <v>48</v>
      </c>
    </row>
    <row r="396" spans="1:5">
      <c r="A396" s="17">
        <v>395</v>
      </c>
      <c r="B396" s="18" t="s">
        <v>35</v>
      </c>
      <c r="C396" s="18" t="s">
        <v>478</v>
      </c>
      <c r="D396" s="18" t="s">
        <v>92</v>
      </c>
      <c r="E396" s="18" t="s">
        <v>48</v>
      </c>
    </row>
    <row r="397" spans="1:5">
      <c r="A397" s="17">
        <v>396</v>
      </c>
      <c r="B397" s="18" t="s">
        <v>35</v>
      </c>
      <c r="C397" s="18" t="s">
        <v>479</v>
      </c>
      <c r="D397" s="18" t="s">
        <v>283</v>
      </c>
      <c r="E397" s="18" t="s">
        <v>48</v>
      </c>
    </row>
    <row r="398" spans="1:5">
      <c r="A398" s="17">
        <v>397</v>
      </c>
      <c r="B398" s="18" t="s">
        <v>35</v>
      </c>
      <c r="C398" s="18" t="s">
        <v>480</v>
      </c>
      <c r="D398" s="18" t="s">
        <v>105</v>
      </c>
      <c r="E398" s="18" t="s">
        <v>48</v>
      </c>
    </row>
    <row r="399" spans="1:5">
      <c r="A399" s="17">
        <v>398</v>
      </c>
      <c r="B399" s="18" t="s">
        <v>35</v>
      </c>
      <c r="C399" s="18" t="s">
        <v>481</v>
      </c>
      <c r="D399" s="18" t="s">
        <v>105</v>
      </c>
      <c r="E399" s="18" t="s">
        <v>48</v>
      </c>
    </row>
    <row r="400" spans="1:5">
      <c r="A400" s="17">
        <v>399</v>
      </c>
      <c r="B400" s="18" t="s">
        <v>35</v>
      </c>
      <c r="C400" s="18" t="s">
        <v>482</v>
      </c>
      <c r="D400" s="18" t="s">
        <v>105</v>
      </c>
      <c r="E400" s="18" t="s">
        <v>48</v>
      </c>
    </row>
    <row r="401" spans="1:5">
      <c r="A401" s="17">
        <v>400</v>
      </c>
      <c r="B401" s="18" t="s">
        <v>35</v>
      </c>
      <c r="C401" s="18" t="s">
        <v>483</v>
      </c>
      <c r="D401" s="18" t="s">
        <v>105</v>
      </c>
      <c r="E401" s="18" t="s">
        <v>48</v>
      </c>
    </row>
    <row r="402" spans="1:5">
      <c r="A402" s="17">
        <v>401</v>
      </c>
      <c r="B402" s="18" t="s">
        <v>35</v>
      </c>
      <c r="C402" s="18" t="s">
        <v>484</v>
      </c>
      <c r="D402" s="18" t="s">
        <v>105</v>
      </c>
      <c r="E402" s="18" t="s">
        <v>48</v>
      </c>
    </row>
    <row r="403" spans="1:5">
      <c r="A403" s="17">
        <v>402</v>
      </c>
      <c r="B403" s="18" t="s">
        <v>35</v>
      </c>
      <c r="C403" s="18" t="s">
        <v>485</v>
      </c>
      <c r="D403" s="18" t="s">
        <v>105</v>
      </c>
      <c r="E403" s="18" t="s">
        <v>48</v>
      </c>
    </row>
    <row r="404" spans="1:5">
      <c r="A404" s="17">
        <v>403</v>
      </c>
      <c r="B404" s="18" t="s">
        <v>35</v>
      </c>
      <c r="C404" s="18" t="s">
        <v>486</v>
      </c>
      <c r="D404" s="18" t="s">
        <v>105</v>
      </c>
      <c r="E404" s="18" t="s">
        <v>48</v>
      </c>
    </row>
    <row r="405" spans="1:5">
      <c r="A405" s="17">
        <v>404</v>
      </c>
      <c r="B405" s="18" t="s">
        <v>35</v>
      </c>
      <c r="C405" s="18" t="s">
        <v>487</v>
      </c>
      <c r="D405" s="18" t="s">
        <v>105</v>
      </c>
      <c r="E405" s="18" t="s">
        <v>48</v>
      </c>
    </row>
    <row r="406" spans="1:5">
      <c r="A406" s="17">
        <v>405</v>
      </c>
      <c r="B406" s="18" t="s">
        <v>35</v>
      </c>
      <c r="C406" s="18" t="s">
        <v>488</v>
      </c>
      <c r="D406" s="18" t="s">
        <v>105</v>
      </c>
      <c r="E406" s="18" t="s">
        <v>48</v>
      </c>
    </row>
    <row r="407" spans="1:5">
      <c r="A407" s="17">
        <v>406</v>
      </c>
      <c r="B407" s="18" t="s">
        <v>35</v>
      </c>
      <c r="C407" s="18" t="s">
        <v>489</v>
      </c>
      <c r="D407" s="18" t="s">
        <v>105</v>
      </c>
      <c r="E407" s="18" t="s">
        <v>48</v>
      </c>
    </row>
    <row r="408" spans="1:5">
      <c r="A408" s="17">
        <v>407</v>
      </c>
      <c r="B408" s="18" t="s">
        <v>35</v>
      </c>
      <c r="C408" s="18" t="s">
        <v>490</v>
      </c>
      <c r="D408" s="18" t="s">
        <v>105</v>
      </c>
      <c r="E408" s="18" t="s">
        <v>48</v>
      </c>
    </row>
    <row r="409" spans="1:5">
      <c r="A409" s="17">
        <v>408</v>
      </c>
      <c r="B409" s="18" t="s">
        <v>35</v>
      </c>
      <c r="C409" s="18" t="s">
        <v>491</v>
      </c>
      <c r="D409" s="18" t="s">
        <v>105</v>
      </c>
      <c r="E409" s="18" t="s">
        <v>48</v>
      </c>
    </row>
    <row r="410" spans="1:5">
      <c r="A410" s="17">
        <v>409</v>
      </c>
      <c r="B410" s="18" t="s">
        <v>35</v>
      </c>
      <c r="C410" s="18" t="s">
        <v>492</v>
      </c>
      <c r="D410" s="18" t="s">
        <v>105</v>
      </c>
      <c r="E410" s="18" t="s">
        <v>48</v>
      </c>
    </row>
    <row r="411" spans="1:5">
      <c r="A411" s="17">
        <v>410</v>
      </c>
      <c r="B411" s="18" t="s">
        <v>35</v>
      </c>
      <c r="C411" s="18" t="s">
        <v>493</v>
      </c>
      <c r="D411" s="18" t="s">
        <v>105</v>
      </c>
      <c r="E411" s="18" t="s">
        <v>48</v>
      </c>
    </row>
    <row r="412" spans="1:5">
      <c r="A412" s="17">
        <v>411</v>
      </c>
      <c r="B412" s="18" t="s">
        <v>35</v>
      </c>
      <c r="C412" s="18" t="s">
        <v>494</v>
      </c>
      <c r="D412" s="18" t="s">
        <v>105</v>
      </c>
      <c r="E412" s="18" t="s">
        <v>48</v>
      </c>
    </row>
    <row r="413" spans="1:5">
      <c r="A413" s="17">
        <v>412</v>
      </c>
      <c r="B413" s="18" t="s">
        <v>35</v>
      </c>
      <c r="C413" s="18" t="s">
        <v>495</v>
      </c>
      <c r="D413" s="18" t="s">
        <v>105</v>
      </c>
      <c r="E413" s="18" t="s">
        <v>48</v>
      </c>
    </row>
    <row r="414" spans="1:5">
      <c r="A414" s="17">
        <v>413</v>
      </c>
      <c r="B414" s="18" t="s">
        <v>35</v>
      </c>
      <c r="C414" s="18" t="s">
        <v>496</v>
      </c>
      <c r="D414" s="18" t="s">
        <v>105</v>
      </c>
      <c r="E414" s="18" t="s">
        <v>48</v>
      </c>
    </row>
    <row r="415" spans="1:5">
      <c r="A415" s="17">
        <v>414</v>
      </c>
      <c r="B415" s="18" t="s">
        <v>35</v>
      </c>
      <c r="C415" s="18" t="s">
        <v>497</v>
      </c>
      <c r="D415" s="18" t="s">
        <v>105</v>
      </c>
      <c r="E415" s="18" t="s">
        <v>48</v>
      </c>
    </row>
    <row r="416" spans="1:5">
      <c r="A416" s="17">
        <v>415</v>
      </c>
      <c r="B416" s="18" t="s">
        <v>35</v>
      </c>
      <c r="C416" s="18" t="s">
        <v>498</v>
      </c>
      <c r="D416" s="18" t="s">
        <v>105</v>
      </c>
      <c r="E416" s="18" t="s">
        <v>48</v>
      </c>
    </row>
    <row r="417" spans="1:5">
      <c r="A417" s="17">
        <v>416</v>
      </c>
      <c r="B417" s="18" t="s">
        <v>35</v>
      </c>
      <c r="C417" s="18" t="s">
        <v>499</v>
      </c>
      <c r="D417" s="18" t="s">
        <v>105</v>
      </c>
      <c r="E417" s="18" t="s">
        <v>48</v>
      </c>
    </row>
    <row r="418" spans="1:5">
      <c r="A418" s="17">
        <v>417</v>
      </c>
      <c r="B418" s="18" t="s">
        <v>35</v>
      </c>
      <c r="C418" s="18" t="s">
        <v>500</v>
      </c>
      <c r="D418" s="18" t="s">
        <v>105</v>
      </c>
      <c r="E418" s="18" t="s">
        <v>48</v>
      </c>
    </row>
    <row r="419" spans="1:5">
      <c r="A419" s="17">
        <v>418</v>
      </c>
      <c r="B419" s="18" t="s">
        <v>35</v>
      </c>
      <c r="C419" s="18" t="s">
        <v>501</v>
      </c>
      <c r="D419" s="18" t="s">
        <v>105</v>
      </c>
      <c r="E419" s="18" t="s">
        <v>48</v>
      </c>
    </row>
    <row r="420" spans="1:5">
      <c r="A420" s="17">
        <v>419</v>
      </c>
      <c r="B420" s="18" t="s">
        <v>35</v>
      </c>
      <c r="C420" s="18" t="s">
        <v>502</v>
      </c>
      <c r="D420" s="18" t="s">
        <v>105</v>
      </c>
      <c r="E420" s="18" t="s">
        <v>48</v>
      </c>
    </row>
    <row r="421" spans="1:5">
      <c r="A421" s="17">
        <v>420</v>
      </c>
      <c r="B421" s="18" t="s">
        <v>35</v>
      </c>
      <c r="C421" s="18" t="s">
        <v>503</v>
      </c>
      <c r="D421" s="18" t="s">
        <v>105</v>
      </c>
      <c r="E421" s="18" t="s">
        <v>48</v>
      </c>
    </row>
    <row r="422" spans="1:5">
      <c r="A422" s="17">
        <v>421</v>
      </c>
      <c r="B422" s="18" t="s">
        <v>35</v>
      </c>
      <c r="C422" s="18" t="s">
        <v>504</v>
      </c>
      <c r="D422" s="18" t="s">
        <v>105</v>
      </c>
      <c r="E422" s="18" t="s">
        <v>48</v>
      </c>
    </row>
    <row r="423" spans="1:5">
      <c r="A423" s="17">
        <v>422</v>
      </c>
      <c r="B423" s="18" t="s">
        <v>35</v>
      </c>
      <c r="C423" s="18" t="s">
        <v>505</v>
      </c>
      <c r="D423" s="18" t="s">
        <v>105</v>
      </c>
      <c r="E423" s="18" t="s">
        <v>48</v>
      </c>
    </row>
    <row r="424" spans="1:5">
      <c r="A424" s="17">
        <v>423</v>
      </c>
      <c r="B424" s="18" t="s">
        <v>35</v>
      </c>
      <c r="C424" s="18" t="s">
        <v>506</v>
      </c>
      <c r="D424" s="18" t="s">
        <v>105</v>
      </c>
      <c r="E424" s="18" t="s">
        <v>48</v>
      </c>
    </row>
    <row r="425" spans="1:5">
      <c r="A425" s="17">
        <v>424</v>
      </c>
      <c r="B425" s="18" t="s">
        <v>35</v>
      </c>
      <c r="C425" s="18" t="s">
        <v>507</v>
      </c>
      <c r="D425" s="18" t="s">
        <v>105</v>
      </c>
      <c r="E425" s="18" t="s">
        <v>48</v>
      </c>
    </row>
    <row r="426" spans="1:5">
      <c r="A426" s="17">
        <v>425</v>
      </c>
      <c r="B426" s="18" t="s">
        <v>35</v>
      </c>
      <c r="C426" s="18" t="s">
        <v>508</v>
      </c>
      <c r="D426" s="18" t="s">
        <v>105</v>
      </c>
      <c r="E426" s="18" t="s">
        <v>48</v>
      </c>
    </row>
    <row r="427" spans="1:5">
      <c r="A427" s="17">
        <v>426</v>
      </c>
      <c r="B427" s="18" t="s">
        <v>35</v>
      </c>
      <c r="C427" s="18" t="s">
        <v>509</v>
      </c>
      <c r="D427" s="18" t="s">
        <v>105</v>
      </c>
      <c r="E427" s="18" t="s">
        <v>48</v>
      </c>
    </row>
    <row r="428" spans="1:5">
      <c r="A428" s="17">
        <v>427</v>
      </c>
      <c r="B428" s="18" t="s">
        <v>35</v>
      </c>
      <c r="C428" s="18" t="s">
        <v>510</v>
      </c>
      <c r="D428" s="18" t="s">
        <v>187</v>
      </c>
      <c r="E428" s="18" t="s">
        <v>48</v>
      </c>
    </row>
    <row r="429" spans="1:5">
      <c r="A429" s="17">
        <v>428</v>
      </c>
      <c r="B429" s="18" t="s">
        <v>35</v>
      </c>
      <c r="C429" s="18" t="s">
        <v>511</v>
      </c>
      <c r="D429" s="18" t="s">
        <v>187</v>
      </c>
      <c r="E429" s="18" t="s">
        <v>48</v>
      </c>
    </row>
    <row r="430" spans="1:5">
      <c r="A430" s="17">
        <v>429</v>
      </c>
      <c r="B430" s="18" t="s">
        <v>35</v>
      </c>
      <c r="C430" s="18" t="s">
        <v>512</v>
      </c>
      <c r="D430" s="18" t="s">
        <v>187</v>
      </c>
      <c r="E430" s="18" t="s">
        <v>48</v>
      </c>
    </row>
    <row r="431" spans="1:5">
      <c r="A431" s="17">
        <v>430</v>
      </c>
      <c r="B431" s="18" t="s">
        <v>35</v>
      </c>
      <c r="C431" s="18" t="s">
        <v>513</v>
      </c>
      <c r="D431" s="18" t="s">
        <v>187</v>
      </c>
      <c r="E431" s="18" t="s">
        <v>48</v>
      </c>
    </row>
    <row r="432" spans="1:5">
      <c r="A432" s="17">
        <v>431</v>
      </c>
      <c r="B432" s="18" t="s">
        <v>35</v>
      </c>
      <c r="C432" s="18" t="s">
        <v>514</v>
      </c>
      <c r="D432" s="18" t="s">
        <v>187</v>
      </c>
      <c r="E432" s="18" t="s">
        <v>48</v>
      </c>
    </row>
    <row r="433" spans="1:5">
      <c r="A433" s="17">
        <v>432</v>
      </c>
      <c r="B433" s="18" t="s">
        <v>35</v>
      </c>
      <c r="C433" s="18" t="s">
        <v>515</v>
      </c>
      <c r="D433" s="18" t="s">
        <v>187</v>
      </c>
      <c r="E433" s="18" t="s">
        <v>48</v>
      </c>
    </row>
    <row r="434" spans="1:5">
      <c r="A434" s="17">
        <v>433</v>
      </c>
      <c r="B434" s="18" t="s">
        <v>35</v>
      </c>
      <c r="C434" s="18" t="s">
        <v>516</v>
      </c>
      <c r="D434" s="18" t="s">
        <v>187</v>
      </c>
      <c r="E434" s="18" t="s">
        <v>48</v>
      </c>
    </row>
    <row r="435" spans="1:5">
      <c r="A435" s="17">
        <v>434</v>
      </c>
      <c r="B435" s="18" t="s">
        <v>35</v>
      </c>
      <c r="C435" s="18" t="s">
        <v>517</v>
      </c>
      <c r="D435" s="18" t="s">
        <v>187</v>
      </c>
      <c r="E435" s="18" t="s">
        <v>48</v>
      </c>
    </row>
    <row r="436" spans="1:5">
      <c r="A436" s="17">
        <v>435</v>
      </c>
      <c r="B436" s="18" t="s">
        <v>35</v>
      </c>
      <c r="C436" s="18" t="s">
        <v>518</v>
      </c>
      <c r="D436" s="18" t="s">
        <v>187</v>
      </c>
      <c r="E436" s="18" t="s">
        <v>48</v>
      </c>
    </row>
    <row r="437" spans="1:5">
      <c r="A437" s="17">
        <v>436</v>
      </c>
      <c r="B437" s="18" t="s">
        <v>35</v>
      </c>
      <c r="C437" s="18" t="s">
        <v>519</v>
      </c>
      <c r="D437" s="18" t="s">
        <v>187</v>
      </c>
      <c r="E437" s="18" t="s">
        <v>48</v>
      </c>
    </row>
    <row r="438" spans="1:5">
      <c r="A438" s="17">
        <v>437</v>
      </c>
      <c r="B438" s="18" t="s">
        <v>35</v>
      </c>
      <c r="C438" s="18" t="s">
        <v>520</v>
      </c>
      <c r="D438" s="18" t="s">
        <v>187</v>
      </c>
      <c r="E438" s="18" t="s">
        <v>48</v>
      </c>
    </row>
    <row r="439" spans="1:5">
      <c r="A439" s="17">
        <v>438</v>
      </c>
      <c r="B439" s="18" t="s">
        <v>35</v>
      </c>
      <c r="C439" s="18" t="s">
        <v>521</v>
      </c>
      <c r="D439" s="18" t="s">
        <v>187</v>
      </c>
      <c r="E439" s="18" t="s">
        <v>48</v>
      </c>
    </row>
    <row r="440" spans="1:5">
      <c r="A440" s="17">
        <v>439</v>
      </c>
      <c r="B440" s="18" t="s">
        <v>35</v>
      </c>
      <c r="C440" s="18" t="s">
        <v>522</v>
      </c>
      <c r="D440" s="18" t="s">
        <v>187</v>
      </c>
      <c r="E440" s="18" t="s">
        <v>48</v>
      </c>
    </row>
    <row r="441" spans="1:5">
      <c r="A441" s="17">
        <v>440</v>
      </c>
      <c r="B441" s="18" t="s">
        <v>35</v>
      </c>
      <c r="C441" s="18" t="s">
        <v>523</v>
      </c>
      <c r="D441" s="18" t="s">
        <v>187</v>
      </c>
      <c r="E441" s="18" t="s">
        <v>48</v>
      </c>
    </row>
    <row r="442" spans="1:5">
      <c r="A442" s="17">
        <v>441</v>
      </c>
      <c r="B442" s="18" t="s">
        <v>35</v>
      </c>
      <c r="C442" s="18" t="s">
        <v>524</v>
      </c>
      <c r="D442" s="18" t="s">
        <v>187</v>
      </c>
      <c r="E442" s="18" t="s">
        <v>48</v>
      </c>
    </row>
    <row r="443" spans="1:5">
      <c r="A443" s="17">
        <v>442</v>
      </c>
      <c r="B443" s="18" t="s">
        <v>35</v>
      </c>
      <c r="C443" s="18" t="s">
        <v>525</v>
      </c>
      <c r="D443" s="18" t="s">
        <v>187</v>
      </c>
      <c r="E443" s="18" t="s">
        <v>48</v>
      </c>
    </row>
    <row r="444" spans="1:5">
      <c r="A444" s="17">
        <v>443</v>
      </c>
      <c r="B444" s="18" t="s">
        <v>35</v>
      </c>
      <c r="C444" s="18" t="s">
        <v>526</v>
      </c>
      <c r="D444" s="18" t="s">
        <v>187</v>
      </c>
      <c r="E444" s="18" t="s">
        <v>48</v>
      </c>
    </row>
    <row r="445" spans="1:5">
      <c r="A445" s="17">
        <v>444</v>
      </c>
      <c r="B445" s="18" t="s">
        <v>35</v>
      </c>
      <c r="C445" s="18" t="s">
        <v>527</v>
      </c>
      <c r="D445" s="18" t="s">
        <v>187</v>
      </c>
      <c r="E445" s="18" t="s">
        <v>48</v>
      </c>
    </row>
    <row r="446" spans="1:5">
      <c r="A446" s="17">
        <v>445</v>
      </c>
      <c r="B446" s="18" t="s">
        <v>35</v>
      </c>
      <c r="C446" s="18" t="s">
        <v>528</v>
      </c>
      <c r="D446" s="18" t="s">
        <v>187</v>
      </c>
      <c r="E446" s="18" t="s">
        <v>48</v>
      </c>
    </row>
    <row r="447" spans="1:5">
      <c r="A447" s="17">
        <v>446</v>
      </c>
      <c r="B447" s="18" t="s">
        <v>35</v>
      </c>
      <c r="C447" s="18" t="s">
        <v>529</v>
      </c>
      <c r="D447" s="18" t="s">
        <v>187</v>
      </c>
      <c r="E447" s="18" t="s">
        <v>48</v>
      </c>
    </row>
    <row r="448" spans="1:5">
      <c r="A448" s="17">
        <v>447</v>
      </c>
      <c r="B448" s="18" t="s">
        <v>35</v>
      </c>
      <c r="C448" s="18" t="s">
        <v>530</v>
      </c>
      <c r="D448" s="18" t="s">
        <v>187</v>
      </c>
      <c r="E448" s="18" t="s">
        <v>48</v>
      </c>
    </row>
    <row r="449" spans="1:5">
      <c r="A449" s="17">
        <v>448</v>
      </c>
      <c r="B449" s="18" t="s">
        <v>35</v>
      </c>
      <c r="C449" s="18" t="s">
        <v>531</v>
      </c>
      <c r="D449" s="18" t="s">
        <v>187</v>
      </c>
      <c r="E449" s="18" t="s">
        <v>48</v>
      </c>
    </row>
    <row r="450" spans="1:5">
      <c r="A450" s="17">
        <v>449</v>
      </c>
      <c r="B450" s="18" t="s">
        <v>35</v>
      </c>
      <c r="C450" s="18" t="s">
        <v>532</v>
      </c>
      <c r="D450" s="18" t="s">
        <v>187</v>
      </c>
      <c r="E450" s="18" t="s">
        <v>48</v>
      </c>
    </row>
    <row r="451" spans="1:5">
      <c r="A451" s="17">
        <v>450</v>
      </c>
      <c r="B451" s="18" t="s">
        <v>35</v>
      </c>
      <c r="C451" s="18" t="s">
        <v>533</v>
      </c>
      <c r="D451" s="18" t="s">
        <v>187</v>
      </c>
      <c r="E451" s="18" t="s">
        <v>48</v>
      </c>
    </row>
    <row r="452" spans="1:5">
      <c r="A452" s="17">
        <v>451</v>
      </c>
      <c r="B452" s="18" t="s">
        <v>35</v>
      </c>
      <c r="C452" s="18" t="s">
        <v>534</v>
      </c>
      <c r="D452" s="18" t="s">
        <v>187</v>
      </c>
      <c r="E452" s="18" t="s">
        <v>48</v>
      </c>
    </row>
    <row r="453" spans="1:5">
      <c r="A453" s="17">
        <v>452</v>
      </c>
      <c r="B453" s="18" t="s">
        <v>35</v>
      </c>
      <c r="C453" s="18" t="s">
        <v>535</v>
      </c>
      <c r="D453" s="18" t="s">
        <v>187</v>
      </c>
      <c r="E453" s="18" t="s">
        <v>48</v>
      </c>
    </row>
    <row r="454" spans="1:5">
      <c r="A454" s="17">
        <v>453</v>
      </c>
      <c r="B454" s="18" t="s">
        <v>35</v>
      </c>
      <c r="C454" s="18" t="s">
        <v>536</v>
      </c>
      <c r="D454" s="18" t="s">
        <v>187</v>
      </c>
      <c r="E454" s="18" t="s">
        <v>48</v>
      </c>
    </row>
    <row r="455" spans="1:5">
      <c r="A455" s="17">
        <v>454</v>
      </c>
      <c r="B455" s="18" t="s">
        <v>35</v>
      </c>
      <c r="C455" s="18" t="s">
        <v>537</v>
      </c>
      <c r="D455" s="18" t="s">
        <v>187</v>
      </c>
      <c r="E455" s="18" t="s">
        <v>48</v>
      </c>
    </row>
    <row r="456" spans="1:5">
      <c r="A456" s="17">
        <v>455</v>
      </c>
      <c r="B456" s="18" t="s">
        <v>35</v>
      </c>
      <c r="C456" s="18" t="s">
        <v>538</v>
      </c>
      <c r="D456" s="18" t="s">
        <v>187</v>
      </c>
      <c r="E456" s="18" t="s">
        <v>48</v>
      </c>
    </row>
    <row r="457" spans="1:5">
      <c r="A457" s="17">
        <v>456</v>
      </c>
      <c r="B457" s="18" t="s">
        <v>35</v>
      </c>
      <c r="C457" s="18" t="s">
        <v>539</v>
      </c>
      <c r="D457" s="18" t="s">
        <v>187</v>
      </c>
      <c r="E457" s="18" t="s">
        <v>48</v>
      </c>
    </row>
    <row r="458" spans="1:5">
      <c r="A458" s="17">
        <v>457</v>
      </c>
      <c r="B458" s="18" t="s">
        <v>35</v>
      </c>
      <c r="C458" s="18" t="s">
        <v>540</v>
      </c>
      <c r="D458" s="18" t="s">
        <v>187</v>
      </c>
      <c r="E458" s="18" t="s">
        <v>48</v>
      </c>
    </row>
    <row r="459" spans="1:5">
      <c r="A459" s="17">
        <v>458</v>
      </c>
      <c r="B459" s="18" t="s">
        <v>35</v>
      </c>
      <c r="C459" s="18" t="s">
        <v>541</v>
      </c>
      <c r="D459" s="18" t="s">
        <v>187</v>
      </c>
      <c r="E459" s="18" t="s">
        <v>48</v>
      </c>
    </row>
    <row r="460" spans="1:5">
      <c r="A460" s="17">
        <v>459</v>
      </c>
      <c r="B460" s="18" t="s">
        <v>35</v>
      </c>
      <c r="C460" s="18" t="s">
        <v>542</v>
      </c>
      <c r="D460" s="18" t="s">
        <v>187</v>
      </c>
      <c r="E460" s="18" t="s">
        <v>48</v>
      </c>
    </row>
    <row r="461" spans="1:5">
      <c r="A461" s="17">
        <v>460</v>
      </c>
      <c r="B461" s="18" t="s">
        <v>35</v>
      </c>
      <c r="C461" s="18" t="s">
        <v>543</v>
      </c>
      <c r="D461" s="18" t="s">
        <v>187</v>
      </c>
      <c r="E461" s="18" t="s">
        <v>48</v>
      </c>
    </row>
    <row r="462" spans="1:5">
      <c r="A462" s="17">
        <v>461</v>
      </c>
      <c r="B462" s="18" t="s">
        <v>35</v>
      </c>
      <c r="C462" s="18" t="s">
        <v>544</v>
      </c>
      <c r="D462" s="18" t="s">
        <v>219</v>
      </c>
      <c r="E462" s="18" t="s">
        <v>220</v>
      </c>
    </row>
    <row r="463" spans="1:5">
      <c r="A463" s="17">
        <v>462</v>
      </c>
      <c r="B463" s="18" t="s">
        <v>35</v>
      </c>
      <c r="C463" s="18" t="s">
        <v>545</v>
      </c>
      <c r="D463" s="18" t="s">
        <v>219</v>
      </c>
      <c r="E463" s="18" t="s">
        <v>220</v>
      </c>
    </row>
    <row r="464" spans="1:5">
      <c r="A464" s="17">
        <v>463</v>
      </c>
      <c r="B464" s="18" t="s">
        <v>35</v>
      </c>
      <c r="C464" s="18" t="s">
        <v>546</v>
      </c>
      <c r="D464" s="18" t="s">
        <v>47</v>
      </c>
      <c r="E464" s="18" t="s">
        <v>48</v>
      </c>
    </row>
    <row r="465" spans="1:5">
      <c r="A465" s="17">
        <v>464</v>
      </c>
      <c r="B465" s="18" t="s">
        <v>35</v>
      </c>
      <c r="C465" s="18" t="s">
        <v>547</v>
      </c>
      <c r="D465" s="18" t="s">
        <v>47</v>
      </c>
      <c r="E465" s="18" t="s">
        <v>48</v>
      </c>
    </row>
    <row r="466" spans="1:5">
      <c r="A466" s="17">
        <v>465</v>
      </c>
      <c r="B466" s="18" t="s">
        <v>35</v>
      </c>
      <c r="C466" s="18" t="s">
        <v>548</v>
      </c>
      <c r="D466" s="18" t="s">
        <v>47</v>
      </c>
      <c r="E466" s="18" t="s">
        <v>48</v>
      </c>
    </row>
    <row r="467" spans="1:5">
      <c r="A467" s="17">
        <v>466</v>
      </c>
      <c r="B467" s="18" t="s">
        <v>35</v>
      </c>
      <c r="C467" s="18" t="s">
        <v>549</v>
      </c>
      <c r="D467" s="18" t="s">
        <v>47</v>
      </c>
      <c r="E467" s="18" t="s">
        <v>48</v>
      </c>
    </row>
    <row r="468" spans="1:5">
      <c r="A468" s="17">
        <v>467</v>
      </c>
      <c r="B468" s="18" t="s">
        <v>35</v>
      </c>
      <c r="C468" s="18" t="s">
        <v>550</v>
      </c>
      <c r="D468" s="18" t="s">
        <v>551</v>
      </c>
      <c r="E468" s="18" t="s">
        <v>220</v>
      </c>
    </row>
    <row r="469" spans="1:5">
      <c r="A469" s="17">
        <v>468</v>
      </c>
      <c r="B469" s="18" t="s">
        <v>39</v>
      </c>
      <c r="C469" s="18" t="s">
        <v>552</v>
      </c>
      <c r="D469" s="18" t="s">
        <v>95</v>
      </c>
      <c r="E469" s="18" t="s">
        <v>48</v>
      </c>
    </row>
    <row r="470" spans="1:5">
      <c r="A470" s="17">
        <v>469</v>
      </c>
      <c r="B470" s="18" t="s">
        <v>35</v>
      </c>
      <c r="C470" s="18" t="s">
        <v>553</v>
      </c>
      <c r="D470" s="18" t="s">
        <v>95</v>
      </c>
      <c r="E470" s="18" t="s">
        <v>48</v>
      </c>
    </row>
    <row r="471" spans="1:5">
      <c r="A471" s="17">
        <v>470</v>
      </c>
      <c r="B471" s="18" t="s">
        <v>35</v>
      </c>
      <c r="C471" s="18" t="s">
        <v>554</v>
      </c>
      <c r="D471" s="18" t="s">
        <v>95</v>
      </c>
      <c r="E471" s="18" t="s">
        <v>48</v>
      </c>
    </row>
    <row r="472" spans="1:5">
      <c r="A472" s="17">
        <v>471</v>
      </c>
      <c r="B472" s="18" t="s">
        <v>35</v>
      </c>
      <c r="C472" s="18" t="s">
        <v>555</v>
      </c>
      <c r="D472" s="18" t="s">
        <v>283</v>
      </c>
      <c r="E472" s="18" t="s">
        <v>48</v>
      </c>
    </row>
    <row r="473" spans="1:5">
      <c r="A473" s="17">
        <v>472</v>
      </c>
      <c r="B473" s="18" t="s">
        <v>35</v>
      </c>
      <c r="C473" s="18" t="s">
        <v>556</v>
      </c>
      <c r="D473" s="18" t="s">
        <v>105</v>
      </c>
      <c r="E473" s="18" t="s">
        <v>48</v>
      </c>
    </row>
    <row r="474" spans="1:5">
      <c r="A474" s="17">
        <v>473</v>
      </c>
      <c r="B474" s="18" t="s">
        <v>35</v>
      </c>
      <c r="C474" s="18" t="s">
        <v>557</v>
      </c>
      <c r="D474" s="18" t="s">
        <v>105</v>
      </c>
      <c r="E474" s="18" t="s">
        <v>48</v>
      </c>
    </row>
    <row r="475" spans="1:5">
      <c r="A475" s="17">
        <v>474</v>
      </c>
      <c r="B475" s="18" t="s">
        <v>35</v>
      </c>
      <c r="C475" s="18" t="s">
        <v>558</v>
      </c>
      <c r="D475" s="18" t="s">
        <v>105</v>
      </c>
      <c r="E475" s="18" t="s">
        <v>48</v>
      </c>
    </row>
    <row r="476" spans="1:5">
      <c r="A476" s="17">
        <v>475</v>
      </c>
      <c r="B476" s="18" t="s">
        <v>35</v>
      </c>
      <c r="C476" s="18" t="s">
        <v>559</v>
      </c>
      <c r="D476" s="18" t="s">
        <v>105</v>
      </c>
      <c r="E476" s="18" t="s">
        <v>48</v>
      </c>
    </row>
    <row r="477" spans="1:5">
      <c r="A477" s="17">
        <v>476</v>
      </c>
      <c r="B477" s="18" t="s">
        <v>35</v>
      </c>
      <c r="C477" s="18" t="s">
        <v>560</v>
      </c>
      <c r="D477" s="18" t="s">
        <v>105</v>
      </c>
      <c r="E477" s="18" t="s">
        <v>48</v>
      </c>
    </row>
    <row r="478" spans="1:5">
      <c r="A478" s="17">
        <v>477</v>
      </c>
      <c r="B478" s="18" t="s">
        <v>35</v>
      </c>
      <c r="C478" s="18" t="s">
        <v>561</v>
      </c>
      <c r="D478" s="18" t="s">
        <v>105</v>
      </c>
      <c r="E478" s="18" t="s">
        <v>48</v>
      </c>
    </row>
    <row r="479" spans="1:5">
      <c r="A479" s="17">
        <v>478</v>
      </c>
      <c r="B479" s="18" t="s">
        <v>35</v>
      </c>
      <c r="C479" s="18" t="s">
        <v>562</v>
      </c>
      <c r="D479" s="18" t="s">
        <v>105</v>
      </c>
      <c r="E479" s="18" t="s">
        <v>48</v>
      </c>
    </row>
    <row r="480" spans="1:5">
      <c r="A480" s="17">
        <v>479</v>
      </c>
      <c r="B480" s="18" t="s">
        <v>35</v>
      </c>
      <c r="C480" s="18" t="s">
        <v>563</v>
      </c>
      <c r="D480" s="18" t="s">
        <v>105</v>
      </c>
      <c r="E480" s="18" t="s">
        <v>48</v>
      </c>
    </row>
    <row r="481" spans="1:5">
      <c r="A481" s="17">
        <v>480</v>
      </c>
      <c r="B481" s="18" t="s">
        <v>35</v>
      </c>
      <c r="C481" s="18" t="s">
        <v>564</v>
      </c>
      <c r="D481" s="18" t="s">
        <v>105</v>
      </c>
      <c r="E481" s="18" t="s">
        <v>48</v>
      </c>
    </row>
    <row r="482" spans="1:5">
      <c r="A482" s="17">
        <v>481</v>
      </c>
      <c r="B482" s="18" t="s">
        <v>35</v>
      </c>
      <c r="C482" s="18" t="s">
        <v>565</v>
      </c>
      <c r="D482" s="18" t="s">
        <v>105</v>
      </c>
      <c r="E482" s="18" t="s">
        <v>48</v>
      </c>
    </row>
    <row r="483" spans="1:5">
      <c r="A483" s="17">
        <v>482</v>
      </c>
      <c r="B483" s="18" t="s">
        <v>35</v>
      </c>
      <c r="C483" s="18" t="s">
        <v>566</v>
      </c>
      <c r="D483" s="18" t="s">
        <v>105</v>
      </c>
      <c r="E483" s="18" t="s">
        <v>48</v>
      </c>
    </row>
    <row r="484" spans="1:5">
      <c r="A484" s="17">
        <v>483</v>
      </c>
      <c r="B484" s="18" t="s">
        <v>35</v>
      </c>
      <c r="C484" s="18" t="s">
        <v>567</v>
      </c>
      <c r="D484" s="18" t="s">
        <v>105</v>
      </c>
      <c r="E484" s="18" t="s">
        <v>48</v>
      </c>
    </row>
    <row r="485" spans="1:5">
      <c r="A485" s="17">
        <v>484</v>
      </c>
      <c r="B485" s="18" t="s">
        <v>35</v>
      </c>
      <c r="C485" s="18" t="s">
        <v>568</v>
      </c>
      <c r="D485" s="18" t="s">
        <v>105</v>
      </c>
      <c r="E485" s="18" t="s">
        <v>48</v>
      </c>
    </row>
    <row r="486" spans="1:5">
      <c r="A486" s="17">
        <v>485</v>
      </c>
      <c r="B486" s="18" t="s">
        <v>35</v>
      </c>
      <c r="C486" s="18" t="s">
        <v>569</v>
      </c>
      <c r="D486" s="18" t="s">
        <v>105</v>
      </c>
      <c r="E486" s="18" t="s">
        <v>48</v>
      </c>
    </row>
    <row r="487" spans="1:5">
      <c r="A487" s="17">
        <v>486</v>
      </c>
      <c r="B487" s="18" t="s">
        <v>35</v>
      </c>
      <c r="C487" s="18" t="s">
        <v>570</v>
      </c>
      <c r="D487" s="18" t="s">
        <v>105</v>
      </c>
      <c r="E487" s="18" t="s">
        <v>48</v>
      </c>
    </row>
    <row r="488" spans="1:5">
      <c r="A488" s="17">
        <v>487</v>
      </c>
      <c r="B488" s="18" t="s">
        <v>35</v>
      </c>
      <c r="C488" s="18" t="s">
        <v>571</v>
      </c>
      <c r="D488" s="18" t="s">
        <v>105</v>
      </c>
      <c r="E488" s="18" t="s">
        <v>48</v>
      </c>
    </row>
    <row r="489" spans="1:5">
      <c r="A489" s="17">
        <v>488</v>
      </c>
      <c r="B489" s="18" t="s">
        <v>35</v>
      </c>
      <c r="C489" s="18" t="s">
        <v>572</v>
      </c>
      <c r="D489" s="18" t="s">
        <v>105</v>
      </c>
      <c r="E489" s="18" t="s">
        <v>48</v>
      </c>
    </row>
    <row r="490" spans="1:5">
      <c r="A490" s="17">
        <v>489</v>
      </c>
      <c r="B490" s="18" t="s">
        <v>35</v>
      </c>
      <c r="C490" s="18" t="s">
        <v>573</v>
      </c>
      <c r="D490" s="18" t="s">
        <v>105</v>
      </c>
      <c r="E490" s="18" t="s">
        <v>48</v>
      </c>
    </row>
    <row r="491" spans="1:5">
      <c r="A491" s="17">
        <v>490</v>
      </c>
      <c r="B491" s="18" t="s">
        <v>35</v>
      </c>
      <c r="C491" s="18" t="s">
        <v>574</v>
      </c>
      <c r="D491" s="18" t="s">
        <v>105</v>
      </c>
      <c r="E491" s="18" t="s">
        <v>48</v>
      </c>
    </row>
    <row r="492" spans="1:5">
      <c r="A492" s="17">
        <v>491</v>
      </c>
      <c r="B492" s="18" t="s">
        <v>35</v>
      </c>
      <c r="C492" s="18" t="s">
        <v>575</v>
      </c>
      <c r="D492" s="18" t="s">
        <v>105</v>
      </c>
      <c r="E492" s="18" t="s">
        <v>48</v>
      </c>
    </row>
    <row r="493" spans="1:5">
      <c r="A493" s="17">
        <v>492</v>
      </c>
      <c r="B493" s="18" t="s">
        <v>35</v>
      </c>
      <c r="C493" s="18" t="s">
        <v>576</v>
      </c>
      <c r="D493" s="18" t="s">
        <v>105</v>
      </c>
      <c r="E493" s="18" t="s">
        <v>48</v>
      </c>
    </row>
    <row r="494" spans="1:5">
      <c r="A494" s="17">
        <v>493</v>
      </c>
      <c r="B494" s="18" t="s">
        <v>35</v>
      </c>
      <c r="C494" s="18" t="s">
        <v>577</v>
      </c>
      <c r="D494" s="18" t="s">
        <v>105</v>
      </c>
      <c r="E494" s="18" t="s">
        <v>48</v>
      </c>
    </row>
    <row r="495" spans="1:5">
      <c r="A495" s="17">
        <v>494</v>
      </c>
      <c r="B495" s="18" t="s">
        <v>35</v>
      </c>
      <c r="C495" s="18" t="s">
        <v>578</v>
      </c>
      <c r="D495" s="18" t="s">
        <v>105</v>
      </c>
      <c r="E495" s="18" t="s">
        <v>48</v>
      </c>
    </row>
    <row r="496" spans="1:5">
      <c r="A496" s="17">
        <v>495</v>
      </c>
      <c r="B496" s="18" t="s">
        <v>35</v>
      </c>
      <c r="C496" s="18" t="s">
        <v>579</v>
      </c>
      <c r="D496" s="18" t="s">
        <v>187</v>
      </c>
      <c r="E496" s="18" t="s">
        <v>48</v>
      </c>
    </row>
    <row r="497" spans="1:5">
      <c r="A497" s="17">
        <v>496</v>
      </c>
      <c r="B497" s="18" t="s">
        <v>35</v>
      </c>
      <c r="C497" s="18" t="s">
        <v>580</v>
      </c>
      <c r="D497" s="18" t="s">
        <v>187</v>
      </c>
      <c r="E497" s="18" t="s">
        <v>48</v>
      </c>
    </row>
    <row r="498" spans="1:5">
      <c r="A498" s="17">
        <v>497</v>
      </c>
      <c r="B498" s="18" t="s">
        <v>35</v>
      </c>
      <c r="C498" s="18" t="s">
        <v>581</v>
      </c>
      <c r="D498" s="18" t="s">
        <v>187</v>
      </c>
      <c r="E498" s="18" t="s">
        <v>48</v>
      </c>
    </row>
    <row r="499" spans="1:5">
      <c r="A499" s="17">
        <v>498</v>
      </c>
      <c r="B499" s="18" t="s">
        <v>35</v>
      </c>
      <c r="C499" s="18" t="s">
        <v>582</v>
      </c>
      <c r="D499" s="18" t="s">
        <v>187</v>
      </c>
      <c r="E499" s="18" t="s">
        <v>48</v>
      </c>
    </row>
    <row r="500" spans="1:5">
      <c r="A500" s="17">
        <v>499</v>
      </c>
      <c r="B500" s="18" t="s">
        <v>35</v>
      </c>
      <c r="C500" s="18" t="s">
        <v>583</v>
      </c>
      <c r="D500" s="18" t="s">
        <v>187</v>
      </c>
      <c r="E500" s="18" t="s">
        <v>48</v>
      </c>
    </row>
    <row r="501" spans="1:5">
      <c r="A501" s="17">
        <v>500</v>
      </c>
      <c r="B501" s="18" t="s">
        <v>35</v>
      </c>
      <c r="C501" s="18" t="s">
        <v>584</v>
      </c>
      <c r="D501" s="18" t="s">
        <v>187</v>
      </c>
      <c r="E501" s="18" t="s">
        <v>48</v>
      </c>
    </row>
    <row r="502" spans="1:5">
      <c r="A502" s="17">
        <v>501</v>
      </c>
      <c r="B502" s="18" t="s">
        <v>35</v>
      </c>
      <c r="C502" s="18" t="s">
        <v>585</v>
      </c>
      <c r="D502" s="18" t="s">
        <v>187</v>
      </c>
      <c r="E502" s="18" t="s">
        <v>48</v>
      </c>
    </row>
    <row r="503" spans="1:5">
      <c r="A503" s="17">
        <v>502</v>
      </c>
      <c r="B503" s="18" t="s">
        <v>35</v>
      </c>
      <c r="C503" s="18" t="s">
        <v>586</v>
      </c>
      <c r="D503" s="18" t="s">
        <v>187</v>
      </c>
      <c r="E503" s="18" t="s">
        <v>48</v>
      </c>
    </row>
    <row r="504" spans="1:5">
      <c r="A504" s="17">
        <v>503</v>
      </c>
      <c r="B504" s="18" t="s">
        <v>35</v>
      </c>
      <c r="C504" s="18" t="s">
        <v>587</v>
      </c>
      <c r="D504" s="18" t="s">
        <v>187</v>
      </c>
      <c r="E504" s="18" t="s">
        <v>48</v>
      </c>
    </row>
    <row r="505" spans="1:5">
      <c r="A505" s="17">
        <v>504</v>
      </c>
      <c r="B505" s="18" t="s">
        <v>35</v>
      </c>
      <c r="C505" s="18" t="s">
        <v>588</v>
      </c>
      <c r="D505" s="18" t="s">
        <v>187</v>
      </c>
      <c r="E505" s="18" t="s">
        <v>48</v>
      </c>
    </row>
    <row r="506" spans="1:5">
      <c r="A506" s="17">
        <v>505</v>
      </c>
      <c r="B506" s="18" t="s">
        <v>35</v>
      </c>
      <c r="C506" s="18" t="s">
        <v>589</v>
      </c>
      <c r="D506" s="18" t="s">
        <v>187</v>
      </c>
      <c r="E506" s="18" t="s">
        <v>48</v>
      </c>
    </row>
    <row r="507" spans="1:5">
      <c r="A507" s="17">
        <v>506</v>
      </c>
      <c r="B507" s="18" t="s">
        <v>35</v>
      </c>
      <c r="C507" s="18" t="s">
        <v>590</v>
      </c>
      <c r="D507" s="18" t="s">
        <v>187</v>
      </c>
      <c r="E507" s="18" t="s">
        <v>48</v>
      </c>
    </row>
    <row r="508" spans="1:5">
      <c r="A508" s="17">
        <v>507</v>
      </c>
      <c r="B508" s="18" t="s">
        <v>35</v>
      </c>
      <c r="C508" s="18" t="s">
        <v>591</v>
      </c>
      <c r="D508" s="18" t="s">
        <v>187</v>
      </c>
      <c r="E508" s="18" t="s">
        <v>48</v>
      </c>
    </row>
    <row r="509" spans="1:5">
      <c r="A509" s="17">
        <v>508</v>
      </c>
      <c r="B509" s="18" t="s">
        <v>35</v>
      </c>
      <c r="C509" s="18" t="s">
        <v>592</v>
      </c>
      <c r="D509" s="18" t="s">
        <v>187</v>
      </c>
      <c r="E509" s="18" t="s">
        <v>48</v>
      </c>
    </row>
    <row r="510" spans="1:5">
      <c r="A510" s="17">
        <v>509</v>
      </c>
      <c r="B510" s="18" t="s">
        <v>35</v>
      </c>
      <c r="C510" s="18" t="s">
        <v>593</v>
      </c>
      <c r="D510" s="18" t="s">
        <v>187</v>
      </c>
      <c r="E510" s="18" t="s">
        <v>48</v>
      </c>
    </row>
    <row r="511" spans="1:5">
      <c r="A511" s="17">
        <v>510</v>
      </c>
      <c r="B511" s="18" t="s">
        <v>35</v>
      </c>
      <c r="C511" s="18" t="s">
        <v>594</v>
      </c>
      <c r="D511" s="18" t="s">
        <v>187</v>
      </c>
      <c r="E511" s="18" t="s">
        <v>48</v>
      </c>
    </row>
    <row r="512" spans="1:5">
      <c r="A512" s="17">
        <v>511</v>
      </c>
      <c r="B512" s="18" t="s">
        <v>35</v>
      </c>
      <c r="C512" s="18" t="s">
        <v>595</v>
      </c>
      <c r="D512" s="18" t="s">
        <v>187</v>
      </c>
      <c r="E512" s="18" t="s">
        <v>48</v>
      </c>
    </row>
    <row r="513" spans="1:5">
      <c r="A513" s="17">
        <v>512</v>
      </c>
      <c r="B513" s="18" t="s">
        <v>35</v>
      </c>
      <c r="C513" s="18" t="s">
        <v>596</v>
      </c>
      <c r="D513" s="18" t="s">
        <v>187</v>
      </c>
      <c r="E513" s="18" t="s">
        <v>48</v>
      </c>
    </row>
    <row r="514" spans="1:5">
      <c r="A514" s="17">
        <v>513</v>
      </c>
      <c r="B514" s="18" t="s">
        <v>35</v>
      </c>
      <c r="C514" s="18" t="s">
        <v>597</v>
      </c>
      <c r="D514" s="18" t="s">
        <v>187</v>
      </c>
      <c r="E514" s="18" t="s">
        <v>48</v>
      </c>
    </row>
    <row r="515" spans="1:5">
      <c r="A515" s="17">
        <v>514</v>
      </c>
      <c r="B515" s="18" t="s">
        <v>35</v>
      </c>
      <c r="C515" s="18" t="s">
        <v>598</v>
      </c>
      <c r="D515" s="18" t="s">
        <v>219</v>
      </c>
      <c r="E515" s="18" t="s">
        <v>220</v>
      </c>
    </row>
    <row r="516" spans="1:5">
      <c r="A516" s="17">
        <v>515</v>
      </c>
      <c r="B516" s="18" t="s">
        <v>35</v>
      </c>
      <c r="C516" s="18" t="s">
        <v>599</v>
      </c>
      <c r="D516" s="18" t="s">
        <v>281</v>
      </c>
      <c r="E516" s="18" t="s">
        <v>38</v>
      </c>
    </row>
    <row r="517" spans="1:5">
      <c r="A517" s="17">
        <v>516</v>
      </c>
      <c r="B517" s="18" t="s">
        <v>35</v>
      </c>
      <c r="C517" s="18" t="s">
        <v>600</v>
      </c>
      <c r="D517" s="18" t="s">
        <v>105</v>
      </c>
      <c r="E517" s="18" t="s">
        <v>48</v>
      </c>
    </row>
    <row r="518" spans="1:5">
      <c r="A518" s="17">
        <v>517</v>
      </c>
      <c r="B518" s="18" t="s">
        <v>35</v>
      </c>
      <c r="C518" s="18" t="s">
        <v>601</v>
      </c>
      <c r="D518" s="18" t="s">
        <v>105</v>
      </c>
      <c r="E518" s="18" t="s">
        <v>48</v>
      </c>
    </row>
    <row r="519" spans="1:5">
      <c r="A519" s="17">
        <v>518</v>
      </c>
      <c r="B519" s="18" t="s">
        <v>35</v>
      </c>
      <c r="C519" s="18" t="s">
        <v>602</v>
      </c>
      <c r="D519" s="18" t="s">
        <v>105</v>
      </c>
      <c r="E519" s="18" t="s">
        <v>48</v>
      </c>
    </row>
    <row r="520" spans="1:5">
      <c r="A520" s="17">
        <v>519</v>
      </c>
      <c r="B520" s="18" t="s">
        <v>35</v>
      </c>
      <c r="C520" s="18" t="s">
        <v>603</v>
      </c>
      <c r="D520" s="18" t="s">
        <v>105</v>
      </c>
      <c r="E520" s="18" t="s">
        <v>48</v>
      </c>
    </row>
    <row r="521" spans="1:5">
      <c r="A521" s="17">
        <v>520</v>
      </c>
      <c r="B521" s="18" t="s">
        <v>35</v>
      </c>
      <c r="C521" s="18" t="s">
        <v>604</v>
      </c>
      <c r="D521" s="18" t="s">
        <v>105</v>
      </c>
      <c r="E521" s="18" t="s">
        <v>48</v>
      </c>
    </row>
    <row r="522" spans="1:5">
      <c r="A522" s="17">
        <v>521</v>
      </c>
      <c r="B522" s="18" t="s">
        <v>35</v>
      </c>
      <c r="C522" s="18" t="s">
        <v>605</v>
      </c>
      <c r="D522" s="18" t="s">
        <v>105</v>
      </c>
      <c r="E522" s="18" t="s">
        <v>48</v>
      </c>
    </row>
    <row r="523" spans="1:5">
      <c r="A523" s="17">
        <v>522</v>
      </c>
      <c r="B523" s="18" t="s">
        <v>35</v>
      </c>
      <c r="C523" s="18" t="s">
        <v>606</v>
      </c>
      <c r="D523" s="18" t="s">
        <v>187</v>
      </c>
      <c r="E523" s="18" t="s">
        <v>48</v>
      </c>
    </row>
    <row r="524" spans="1:5">
      <c r="A524" s="17">
        <v>523</v>
      </c>
      <c r="B524" s="18" t="s">
        <v>35</v>
      </c>
      <c r="C524" s="18" t="s">
        <v>607</v>
      </c>
      <c r="D524" s="18" t="s">
        <v>187</v>
      </c>
      <c r="E524" s="18" t="s">
        <v>48</v>
      </c>
    </row>
    <row r="525" spans="1:5">
      <c r="A525" s="17">
        <v>524</v>
      </c>
      <c r="B525" s="18" t="s">
        <v>35</v>
      </c>
      <c r="C525" s="18" t="s">
        <v>608</v>
      </c>
      <c r="D525" s="18" t="s">
        <v>187</v>
      </c>
      <c r="E525" s="18" t="s">
        <v>48</v>
      </c>
    </row>
    <row r="526" spans="1:5">
      <c r="A526" s="17">
        <v>525</v>
      </c>
      <c r="B526" s="18" t="s">
        <v>35</v>
      </c>
      <c r="C526" s="18" t="s">
        <v>609</v>
      </c>
      <c r="D526" s="18" t="s">
        <v>187</v>
      </c>
      <c r="E526" s="18" t="s">
        <v>48</v>
      </c>
    </row>
    <row r="527" spans="1:5">
      <c r="A527" s="17">
        <v>526</v>
      </c>
      <c r="B527" s="18" t="s">
        <v>35</v>
      </c>
      <c r="C527" s="18" t="s">
        <v>610</v>
      </c>
      <c r="D527" s="18" t="s">
        <v>187</v>
      </c>
      <c r="E527" s="18" t="s">
        <v>48</v>
      </c>
    </row>
    <row r="528" spans="1:5">
      <c r="A528" s="17">
        <v>527</v>
      </c>
      <c r="B528" s="18" t="s">
        <v>35</v>
      </c>
      <c r="C528" s="18" t="s">
        <v>611</v>
      </c>
      <c r="D528" s="18" t="s">
        <v>187</v>
      </c>
      <c r="E528" s="18" t="s">
        <v>48</v>
      </c>
    </row>
    <row r="529" spans="1:5">
      <c r="A529" s="17">
        <v>528</v>
      </c>
      <c r="B529" s="18" t="s">
        <v>35</v>
      </c>
      <c r="C529" s="18" t="s">
        <v>612</v>
      </c>
      <c r="D529" s="18" t="s">
        <v>187</v>
      </c>
      <c r="E529" s="18" t="s">
        <v>48</v>
      </c>
    </row>
    <row r="530" spans="1:5">
      <c r="A530" s="17">
        <v>529</v>
      </c>
      <c r="B530" s="18" t="s">
        <v>35</v>
      </c>
      <c r="C530" s="18" t="s">
        <v>613</v>
      </c>
      <c r="D530" s="18" t="s">
        <v>187</v>
      </c>
      <c r="E530" s="18" t="s">
        <v>48</v>
      </c>
    </row>
    <row r="531" spans="1:5">
      <c r="A531" s="17">
        <v>530</v>
      </c>
      <c r="B531" s="18" t="s">
        <v>35</v>
      </c>
      <c r="C531" s="18" t="s">
        <v>614</v>
      </c>
      <c r="D531" s="18" t="s">
        <v>219</v>
      </c>
      <c r="E531" s="18" t="s">
        <v>220</v>
      </c>
    </row>
    <row r="532" spans="1:5">
      <c r="A532" s="17">
        <v>531</v>
      </c>
      <c r="B532" s="18" t="s">
        <v>35</v>
      </c>
      <c r="C532" s="18" t="s">
        <v>615</v>
      </c>
      <c r="D532" s="18" t="s">
        <v>283</v>
      </c>
      <c r="E532" s="18" t="s">
        <v>48</v>
      </c>
    </row>
    <row r="533" spans="1:5">
      <c r="A533" s="17">
        <v>532</v>
      </c>
      <c r="B533" s="18" t="s">
        <v>35</v>
      </c>
      <c r="C533" s="18" t="s">
        <v>616</v>
      </c>
      <c r="D533" s="18" t="s">
        <v>105</v>
      </c>
      <c r="E533" s="18" t="s">
        <v>48</v>
      </c>
    </row>
    <row r="534" spans="1:5">
      <c r="A534" s="17">
        <v>533</v>
      </c>
      <c r="B534" s="18" t="s">
        <v>35</v>
      </c>
      <c r="C534" s="18" t="s">
        <v>617</v>
      </c>
      <c r="D534" s="18" t="s">
        <v>105</v>
      </c>
      <c r="E534" s="18" t="s">
        <v>48</v>
      </c>
    </row>
    <row r="535" spans="1:5">
      <c r="A535" s="17">
        <v>534</v>
      </c>
      <c r="B535" s="18" t="s">
        <v>35</v>
      </c>
      <c r="C535" s="18" t="s">
        <v>618</v>
      </c>
      <c r="D535" s="18" t="s">
        <v>105</v>
      </c>
      <c r="E535" s="18" t="s">
        <v>48</v>
      </c>
    </row>
    <row r="536" spans="1:5">
      <c r="A536" s="17">
        <v>535</v>
      </c>
      <c r="B536" s="18" t="s">
        <v>35</v>
      </c>
      <c r="C536" s="18" t="s">
        <v>619</v>
      </c>
      <c r="D536" s="18" t="s">
        <v>105</v>
      </c>
      <c r="E536" s="18" t="s">
        <v>48</v>
      </c>
    </row>
    <row r="537" spans="1:5">
      <c r="A537" s="17">
        <v>536</v>
      </c>
      <c r="B537" s="18" t="s">
        <v>35</v>
      </c>
      <c r="C537" s="18" t="s">
        <v>620</v>
      </c>
      <c r="D537" s="18" t="s">
        <v>105</v>
      </c>
      <c r="E537" s="18" t="s">
        <v>48</v>
      </c>
    </row>
    <row r="538" spans="1:5">
      <c r="A538" s="17">
        <v>537</v>
      </c>
      <c r="B538" s="18" t="s">
        <v>35</v>
      </c>
      <c r="C538" s="18" t="s">
        <v>621</v>
      </c>
      <c r="D538" s="18" t="s">
        <v>187</v>
      </c>
      <c r="E538" s="18" t="s">
        <v>48</v>
      </c>
    </row>
    <row r="539" spans="1:5">
      <c r="A539" s="17">
        <v>538</v>
      </c>
      <c r="B539" s="18" t="s">
        <v>35</v>
      </c>
      <c r="C539" s="18" t="s">
        <v>622</v>
      </c>
      <c r="D539" s="18" t="s">
        <v>187</v>
      </c>
      <c r="E539" s="18" t="s">
        <v>48</v>
      </c>
    </row>
    <row r="540" spans="1:5">
      <c r="A540" s="17">
        <v>539</v>
      </c>
      <c r="B540" s="18" t="s">
        <v>35</v>
      </c>
      <c r="C540" s="18" t="s">
        <v>623</v>
      </c>
      <c r="D540" s="18" t="s">
        <v>187</v>
      </c>
      <c r="E540" s="18" t="s">
        <v>48</v>
      </c>
    </row>
    <row r="541" spans="1:5">
      <c r="A541" s="17">
        <v>540</v>
      </c>
      <c r="B541" s="18" t="s">
        <v>35</v>
      </c>
      <c r="C541" s="18" t="s">
        <v>624</v>
      </c>
      <c r="D541" s="18" t="s">
        <v>47</v>
      </c>
      <c r="E541" s="18" t="s">
        <v>48</v>
      </c>
    </row>
    <row r="542" spans="1:5">
      <c r="A542" s="17">
        <v>541</v>
      </c>
      <c r="B542" s="18" t="s">
        <v>35</v>
      </c>
      <c r="C542" s="18" t="s">
        <v>625</v>
      </c>
      <c r="D542" s="18" t="s">
        <v>47</v>
      </c>
      <c r="E542" s="18" t="s">
        <v>48</v>
      </c>
    </row>
    <row r="543" spans="1:5">
      <c r="A543" s="17">
        <v>542</v>
      </c>
      <c r="B543" s="18" t="s">
        <v>35</v>
      </c>
      <c r="C543" s="18" t="s">
        <v>626</v>
      </c>
      <c r="D543" s="18" t="s">
        <v>47</v>
      </c>
      <c r="E543" s="18" t="s">
        <v>48</v>
      </c>
    </row>
    <row r="544" spans="1:5">
      <c r="A544" s="17">
        <v>543</v>
      </c>
      <c r="B544" s="18" t="s">
        <v>35</v>
      </c>
      <c r="C544" s="18" t="s">
        <v>627</v>
      </c>
      <c r="D544" s="18" t="s">
        <v>628</v>
      </c>
      <c r="E544" s="18" t="s">
        <v>48</v>
      </c>
    </row>
    <row r="545" spans="1:5">
      <c r="A545" s="17">
        <v>544</v>
      </c>
      <c r="B545" s="18" t="s">
        <v>35</v>
      </c>
      <c r="C545" s="18" t="s">
        <v>629</v>
      </c>
      <c r="D545" s="18" t="s">
        <v>283</v>
      </c>
      <c r="E545" s="18" t="s">
        <v>48</v>
      </c>
    </row>
    <row r="546" spans="1:5">
      <c r="A546" s="17">
        <v>545</v>
      </c>
      <c r="B546" s="18" t="s">
        <v>35</v>
      </c>
      <c r="C546" s="18" t="s">
        <v>630</v>
      </c>
      <c r="D546" s="18" t="s">
        <v>105</v>
      </c>
      <c r="E546" s="18" t="s">
        <v>48</v>
      </c>
    </row>
    <row r="547" spans="1:5">
      <c r="A547" s="17">
        <v>546</v>
      </c>
      <c r="B547" s="18" t="s">
        <v>35</v>
      </c>
      <c r="C547" s="18" t="s">
        <v>631</v>
      </c>
      <c r="D547" s="18" t="s">
        <v>105</v>
      </c>
      <c r="E547" s="18" t="s">
        <v>48</v>
      </c>
    </row>
    <row r="548" spans="1:5">
      <c r="A548" s="17">
        <v>547</v>
      </c>
      <c r="B548" s="18" t="s">
        <v>35</v>
      </c>
      <c r="C548" s="18" t="s">
        <v>632</v>
      </c>
      <c r="D548" s="18" t="s">
        <v>105</v>
      </c>
      <c r="E548" s="18" t="s">
        <v>48</v>
      </c>
    </row>
    <row r="549" spans="1:5">
      <c r="A549" s="17">
        <v>548</v>
      </c>
      <c r="B549" s="18" t="s">
        <v>35</v>
      </c>
      <c r="C549" s="18" t="s">
        <v>633</v>
      </c>
      <c r="D549" s="18" t="s">
        <v>105</v>
      </c>
      <c r="E549" s="18" t="s">
        <v>48</v>
      </c>
    </row>
    <row r="550" spans="1:5">
      <c r="A550" s="17">
        <v>549</v>
      </c>
      <c r="B550" s="18" t="s">
        <v>35</v>
      </c>
      <c r="C550" s="18" t="s">
        <v>634</v>
      </c>
      <c r="D550" s="18" t="s">
        <v>105</v>
      </c>
      <c r="E550" s="18" t="s">
        <v>48</v>
      </c>
    </row>
    <row r="551" spans="1:5">
      <c r="A551" s="17">
        <v>550</v>
      </c>
      <c r="B551" s="18" t="s">
        <v>35</v>
      </c>
      <c r="C551" s="18" t="s">
        <v>635</v>
      </c>
      <c r="D551" s="18" t="s">
        <v>105</v>
      </c>
      <c r="E551" s="18" t="s">
        <v>48</v>
      </c>
    </row>
    <row r="552" spans="1:5">
      <c r="A552" s="17">
        <v>551</v>
      </c>
      <c r="B552" s="18" t="s">
        <v>35</v>
      </c>
      <c r="C552" s="18" t="s">
        <v>636</v>
      </c>
      <c r="D552" s="18" t="s">
        <v>105</v>
      </c>
      <c r="E552" s="18" t="s">
        <v>48</v>
      </c>
    </row>
    <row r="553" spans="1:5">
      <c r="A553" s="17">
        <v>552</v>
      </c>
      <c r="B553" s="18" t="s">
        <v>35</v>
      </c>
      <c r="C553" s="18" t="s">
        <v>637</v>
      </c>
      <c r="D553" s="18" t="s">
        <v>105</v>
      </c>
      <c r="E553" s="18" t="s">
        <v>48</v>
      </c>
    </row>
    <row r="554" spans="1:5">
      <c r="A554" s="17">
        <v>553</v>
      </c>
      <c r="B554" s="18" t="s">
        <v>35</v>
      </c>
      <c r="C554" s="18" t="s">
        <v>638</v>
      </c>
      <c r="D554" s="18" t="s">
        <v>105</v>
      </c>
      <c r="E554" s="18" t="s">
        <v>48</v>
      </c>
    </row>
    <row r="555" spans="1:5">
      <c r="A555" s="17">
        <v>554</v>
      </c>
      <c r="B555" s="18" t="s">
        <v>35</v>
      </c>
      <c r="C555" s="18" t="s">
        <v>639</v>
      </c>
      <c r="D555" s="18" t="s">
        <v>105</v>
      </c>
      <c r="E555" s="18" t="s">
        <v>48</v>
      </c>
    </row>
    <row r="556" spans="1:5">
      <c r="A556" s="17">
        <v>555</v>
      </c>
      <c r="B556" s="18" t="s">
        <v>35</v>
      </c>
      <c r="C556" s="18" t="s">
        <v>640</v>
      </c>
      <c r="D556" s="18" t="s">
        <v>105</v>
      </c>
      <c r="E556" s="18" t="s">
        <v>48</v>
      </c>
    </row>
    <row r="557" spans="1:5">
      <c r="A557" s="17">
        <v>556</v>
      </c>
      <c r="B557" s="18" t="s">
        <v>35</v>
      </c>
      <c r="C557" s="18" t="s">
        <v>641</v>
      </c>
      <c r="D557" s="18" t="s">
        <v>105</v>
      </c>
      <c r="E557" s="18" t="s">
        <v>48</v>
      </c>
    </row>
    <row r="558" spans="1:5">
      <c r="A558" s="17">
        <v>557</v>
      </c>
      <c r="B558" s="18" t="s">
        <v>35</v>
      </c>
      <c r="C558" s="18" t="s">
        <v>642</v>
      </c>
      <c r="D558" s="18" t="s">
        <v>47</v>
      </c>
      <c r="E558" s="18" t="s">
        <v>48</v>
      </c>
    </row>
    <row r="559" spans="1:5">
      <c r="A559" s="17">
        <v>558</v>
      </c>
      <c r="B559" s="18" t="s">
        <v>35</v>
      </c>
      <c r="C559" s="18" t="s">
        <v>643</v>
      </c>
      <c r="D559" s="18" t="s">
        <v>47</v>
      </c>
      <c r="E559" s="18" t="s">
        <v>48</v>
      </c>
    </row>
    <row r="560" spans="1:5">
      <c r="A560" s="17">
        <v>559</v>
      </c>
      <c r="B560" s="18" t="s">
        <v>35</v>
      </c>
      <c r="C560" s="18" t="s">
        <v>644</v>
      </c>
      <c r="D560" s="18" t="s">
        <v>645</v>
      </c>
      <c r="E560" s="18" t="s">
        <v>48</v>
      </c>
    </row>
    <row r="561" spans="1:5">
      <c r="A561" s="17">
        <v>560</v>
      </c>
      <c r="B561" s="18" t="s">
        <v>35</v>
      </c>
      <c r="C561" s="18" t="s">
        <v>646</v>
      </c>
      <c r="D561" s="18" t="s">
        <v>105</v>
      </c>
      <c r="E561" s="18" t="s">
        <v>48</v>
      </c>
    </row>
    <row r="562" spans="1:5">
      <c r="A562" s="17">
        <v>561</v>
      </c>
      <c r="B562" s="18" t="s">
        <v>35</v>
      </c>
      <c r="C562" s="18" t="s">
        <v>647</v>
      </c>
      <c r="D562" s="18" t="s">
        <v>105</v>
      </c>
      <c r="E562" s="18" t="s">
        <v>48</v>
      </c>
    </row>
    <row r="563" spans="1:5">
      <c r="A563" s="17">
        <v>562</v>
      </c>
      <c r="B563" s="18" t="s">
        <v>35</v>
      </c>
      <c r="C563" s="18" t="s">
        <v>648</v>
      </c>
      <c r="D563" s="18" t="s">
        <v>105</v>
      </c>
      <c r="E563" s="18" t="s">
        <v>48</v>
      </c>
    </row>
    <row r="564" spans="1:5">
      <c r="A564" s="17">
        <v>563</v>
      </c>
      <c r="B564" s="18" t="s">
        <v>35</v>
      </c>
      <c r="C564" s="18" t="s">
        <v>649</v>
      </c>
      <c r="D564" s="18" t="s">
        <v>187</v>
      </c>
      <c r="E564" s="18" t="s">
        <v>48</v>
      </c>
    </row>
    <row r="565" spans="1:5">
      <c r="A565" s="17">
        <v>564</v>
      </c>
      <c r="B565" s="18" t="s">
        <v>35</v>
      </c>
      <c r="C565" s="18" t="s">
        <v>650</v>
      </c>
      <c r="D565" s="18" t="s">
        <v>187</v>
      </c>
      <c r="E565" s="18" t="s">
        <v>48</v>
      </c>
    </row>
    <row r="566" spans="1:5">
      <c r="A566" s="17">
        <v>565</v>
      </c>
      <c r="B566" s="18" t="s">
        <v>35</v>
      </c>
      <c r="C566" s="18" t="s">
        <v>651</v>
      </c>
      <c r="D566" s="18" t="s">
        <v>37</v>
      </c>
      <c r="E566" s="18" t="s">
        <v>38</v>
      </c>
    </row>
    <row r="567" spans="1:5">
      <c r="A567" s="17">
        <v>566</v>
      </c>
      <c r="B567" s="18" t="s">
        <v>35</v>
      </c>
      <c r="C567" s="18" t="s">
        <v>652</v>
      </c>
      <c r="D567" s="18" t="s">
        <v>653</v>
      </c>
      <c r="E567" s="18" t="s">
        <v>48</v>
      </c>
    </row>
    <row r="568" spans="1:5">
      <c r="A568" s="17">
        <v>567</v>
      </c>
      <c r="B568" s="18" t="s">
        <v>35</v>
      </c>
      <c r="C568" s="18" t="s">
        <v>654</v>
      </c>
      <c r="D568" s="18" t="s">
        <v>47</v>
      </c>
      <c r="E568" s="18" t="s">
        <v>48</v>
      </c>
    </row>
    <row r="569" spans="1:5">
      <c r="A569" s="17">
        <v>568</v>
      </c>
      <c r="B569" s="18" t="s">
        <v>35</v>
      </c>
      <c r="C569" s="18" t="s">
        <v>655</v>
      </c>
      <c r="D569" s="18" t="s">
        <v>47</v>
      </c>
      <c r="E569" s="18" t="s">
        <v>48</v>
      </c>
    </row>
    <row r="570" spans="1:5">
      <c r="A570" s="17">
        <v>569</v>
      </c>
      <c r="B570" s="18" t="s">
        <v>35</v>
      </c>
      <c r="C570" s="18" t="s">
        <v>656</v>
      </c>
      <c r="D570" s="18" t="s">
        <v>47</v>
      </c>
      <c r="E570" s="18" t="s">
        <v>48</v>
      </c>
    </row>
    <row r="571" spans="1:5">
      <c r="A571" s="17">
        <v>570</v>
      </c>
      <c r="B571" s="18" t="s">
        <v>35</v>
      </c>
      <c r="C571" s="18" t="s">
        <v>657</v>
      </c>
      <c r="D571" s="18" t="s">
        <v>47</v>
      </c>
      <c r="E571" s="18" t="s">
        <v>48</v>
      </c>
    </row>
    <row r="572" spans="1:5">
      <c r="A572" s="17">
        <v>571</v>
      </c>
      <c r="B572" s="18" t="s">
        <v>35</v>
      </c>
      <c r="C572" s="18" t="s">
        <v>658</v>
      </c>
      <c r="D572" s="18" t="s">
        <v>47</v>
      </c>
      <c r="E572" s="18" t="s">
        <v>48</v>
      </c>
    </row>
    <row r="573" spans="1:5">
      <c r="A573" s="17">
        <v>572</v>
      </c>
      <c r="B573" s="18" t="s">
        <v>35</v>
      </c>
      <c r="C573" s="18" t="s">
        <v>659</v>
      </c>
      <c r="D573" s="18" t="s">
        <v>47</v>
      </c>
      <c r="E573" s="18" t="s">
        <v>48</v>
      </c>
    </row>
    <row r="574" spans="1:5">
      <c r="A574" s="17">
        <v>573</v>
      </c>
      <c r="B574" s="18" t="s">
        <v>35</v>
      </c>
      <c r="C574" s="18" t="s">
        <v>660</v>
      </c>
      <c r="D574" s="18" t="s">
        <v>47</v>
      </c>
      <c r="E574" s="18" t="s">
        <v>48</v>
      </c>
    </row>
    <row r="575" spans="1:5">
      <c r="A575" s="17">
        <v>574</v>
      </c>
      <c r="B575" s="18" t="s">
        <v>35</v>
      </c>
      <c r="C575" s="18" t="s">
        <v>661</v>
      </c>
      <c r="D575" s="18" t="s">
        <v>47</v>
      </c>
      <c r="E575" s="18" t="s">
        <v>48</v>
      </c>
    </row>
    <row r="576" spans="1:5">
      <c r="A576" s="17">
        <v>575</v>
      </c>
      <c r="B576" s="18" t="s">
        <v>35</v>
      </c>
      <c r="C576" s="18" t="s">
        <v>662</v>
      </c>
      <c r="D576" s="18" t="s">
        <v>92</v>
      </c>
      <c r="E576" s="18" t="s">
        <v>48</v>
      </c>
    </row>
    <row r="577" spans="1:5">
      <c r="A577" s="17">
        <v>576</v>
      </c>
      <c r="B577" s="18" t="s">
        <v>35</v>
      </c>
      <c r="C577" s="18" t="s">
        <v>663</v>
      </c>
      <c r="D577" s="18" t="s">
        <v>95</v>
      </c>
      <c r="E577" s="18" t="s">
        <v>48</v>
      </c>
    </row>
    <row r="578" spans="1:5">
      <c r="A578" s="17">
        <v>577</v>
      </c>
      <c r="B578" s="18" t="s">
        <v>35</v>
      </c>
      <c r="C578" s="18" t="s">
        <v>664</v>
      </c>
      <c r="D578" s="18" t="s">
        <v>95</v>
      </c>
      <c r="E578" s="18" t="s">
        <v>48</v>
      </c>
    </row>
    <row r="579" spans="1:5">
      <c r="A579" s="17">
        <v>578</v>
      </c>
      <c r="B579" s="18" t="s">
        <v>35</v>
      </c>
      <c r="C579" s="18" t="s">
        <v>665</v>
      </c>
      <c r="D579" s="18" t="s">
        <v>105</v>
      </c>
      <c r="E579" s="18" t="s">
        <v>48</v>
      </c>
    </row>
    <row r="580" spans="1:5">
      <c r="A580" s="17">
        <v>579</v>
      </c>
      <c r="B580" s="18" t="s">
        <v>35</v>
      </c>
      <c r="C580" s="18" t="s">
        <v>666</v>
      </c>
      <c r="D580" s="18" t="s">
        <v>105</v>
      </c>
      <c r="E580" s="18" t="s">
        <v>48</v>
      </c>
    </row>
    <row r="581" spans="1:5">
      <c r="A581" s="17">
        <v>580</v>
      </c>
      <c r="B581" s="18" t="s">
        <v>35</v>
      </c>
      <c r="C581" s="18" t="s">
        <v>667</v>
      </c>
      <c r="D581" s="18" t="s">
        <v>105</v>
      </c>
      <c r="E581" s="18" t="s">
        <v>48</v>
      </c>
    </row>
    <row r="582" spans="1:5">
      <c r="A582" s="17">
        <v>581</v>
      </c>
      <c r="B582" s="18" t="s">
        <v>35</v>
      </c>
      <c r="C582" s="18" t="s">
        <v>668</v>
      </c>
      <c r="D582" s="18" t="s">
        <v>105</v>
      </c>
      <c r="E582" s="18" t="s">
        <v>48</v>
      </c>
    </row>
    <row r="583" spans="1:5">
      <c r="A583" s="17">
        <v>582</v>
      </c>
      <c r="B583" s="18" t="s">
        <v>35</v>
      </c>
      <c r="C583" s="18" t="s">
        <v>669</v>
      </c>
      <c r="D583" s="18" t="s">
        <v>105</v>
      </c>
      <c r="E583" s="18" t="s">
        <v>48</v>
      </c>
    </row>
    <row r="584" spans="1:5">
      <c r="A584" s="17">
        <v>583</v>
      </c>
      <c r="B584" s="18" t="s">
        <v>35</v>
      </c>
      <c r="C584" s="18" t="s">
        <v>670</v>
      </c>
      <c r="D584" s="18" t="s">
        <v>105</v>
      </c>
      <c r="E584" s="18" t="s">
        <v>48</v>
      </c>
    </row>
    <row r="585" spans="1:5">
      <c r="A585" s="17">
        <v>584</v>
      </c>
      <c r="B585" s="18" t="s">
        <v>35</v>
      </c>
      <c r="C585" s="18" t="s">
        <v>671</v>
      </c>
      <c r="D585" s="18" t="s">
        <v>187</v>
      </c>
      <c r="E585" s="18" t="s">
        <v>48</v>
      </c>
    </row>
    <row r="586" spans="1:5">
      <c r="A586" s="17">
        <v>585</v>
      </c>
      <c r="B586" s="18" t="s">
        <v>35</v>
      </c>
      <c r="C586" s="18" t="s">
        <v>672</v>
      </c>
      <c r="D586" s="18" t="s">
        <v>187</v>
      </c>
      <c r="E586" s="18" t="s">
        <v>48</v>
      </c>
    </row>
    <row r="587" spans="1:5">
      <c r="A587" s="17">
        <v>586</v>
      </c>
      <c r="B587" s="18" t="s">
        <v>35</v>
      </c>
      <c r="C587" s="18" t="s">
        <v>673</v>
      </c>
      <c r="D587" s="18" t="s">
        <v>47</v>
      </c>
      <c r="E587" s="18" t="s">
        <v>48</v>
      </c>
    </row>
    <row r="588" spans="1:5">
      <c r="A588" s="17">
        <v>587</v>
      </c>
      <c r="B588" s="18" t="s">
        <v>35</v>
      </c>
      <c r="C588" s="18" t="s">
        <v>674</v>
      </c>
      <c r="D588" s="18" t="s">
        <v>47</v>
      </c>
      <c r="E588" s="18" t="s">
        <v>48</v>
      </c>
    </row>
    <row r="589" spans="1:5">
      <c r="A589" s="17">
        <v>588</v>
      </c>
      <c r="B589" s="18" t="s">
        <v>35</v>
      </c>
      <c r="C589" s="18" t="s">
        <v>675</v>
      </c>
      <c r="D589" s="18" t="s">
        <v>47</v>
      </c>
      <c r="E589" s="18" t="s">
        <v>48</v>
      </c>
    </row>
    <row r="590" spans="1:5">
      <c r="A590" s="17">
        <v>589</v>
      </c>
      <c r="B590" s="18" t="s">
        <v>35</v>
      </c>
      <c r="C590" s="18" t="s">
        <v>676</v>
      </c>
      <c r="D590" s="18" t="s">
        <v>47</v>
      </c>
      <c r="E590" s="18" t="s">
        <v>48</v>
      </c>
    </row>
    <row r="591" spans="1:5">
      <c r="A591" s="17">
        <v>590</v>
      </c>
      <c r="B591" s="18" t="s">
        <v>35</v>
      </c>
      <c r="C591" s="18" t="s">
        <v>677</v>
      </c>
      <c r="D591" s="18" t="s">
        <v>47</v>
      </c>
      <c r="E591" s="18" t="s">
        <v>48</v>
      </c>
    </row>
    <row r="592" spans="1:5">
      <c r="A592" s="17">
        <v>591</v>
      </c>
      <c r="B592" s="18" t="s">
        <v>35</v>
      </c>
      <c r="C592" s="18" t="s">
        <v>678</v>
      </c>
      <c r="D592" s="18" t="s">
        <v>47</v>
      </c>
      <c r="E592" s="18" t="s">
        <v>48</v>
      </c>
    </row>
    <row r="593" spans="1:5">
      <c r="A593" s="17">
        <v>592</v>
      </c>
      <c r="B593" s="18" t="s">
        <v>35</v>
      </c>
      <c r="C593" s="18" t="s">
        <v>679</v>
      </c>
      <c r="D593" s="18" t="s">
        <v>92</v>
      </c>
      <c r="E593" s="18" t="s">
        <v>48</v>
      </c>
    </row>
    <row r="594" spans="1:5">
      <c r="A594" s="17">
        <v>593</v>
      </c>
      <c r="B594" s="18" t="s">
        <v>35</v>
      </c>
      <c r="C594" s="18" t="s">
        <v>680</v>
      </c>
      <c r="D594" s="18" t="s">
        <v>95</v>
      </c>
      <c r="E594" s="18" t="s">
        <v>48</v>
      </c>
    </row>
    <row r="595" spans="1:5">
      <c r="A595" s="17">
        <v>594</v>
      </c>
      <c r="B595" s="18" t="s">
        <v>35</v>
      </c>
      <c r="C595" s="18" t="s">
        <v>681</v>
      </c>
      <c r="D595" s="18" t="s">
        <v>95</v>
      </c>
      <c r="E595" s="18" t="s">
        <v>48</v>
      </c>
    </row>
    <row r="596" spans="1:5">
      <c r="A596" s="17">
        <v>595</v>
      </c>
      <c r="B596" s="18" t="s">
        <v>35</v>
      </c>
      <c r="C596" s="18" t="s">
        <v>682</v>
      </c>
      <c r="D596" s="18" t="s">
        <v>105</v>
      </c>
      <c r="E596" s="18" t="s">
        <v>48</v>
      </c>
    </row>
    <row r="597" spans="1:5">
      <c r="A597" s="17">
        <v>596</v>
      </c>
      <c r="B597" s="18" t="s">
        <v>35</v>
      </c>
      <c r="C597" s="18" t="s">
        <v>683</v>
      </c>
      <c r="D597" s="18" t="s">
        <v>105</v>
      </c>
      <c r="E597" s="18" t="s">
        <v>48</v>
      </c>
    </row>
    <row r="598" spans="1:5">
      <c r="A598" s="17">
        <v>597</v>
      </c>
      <c r="B598" s="18" t="s">
        <v>35</v>
      </c>
      <c r="C598" s="18" t="s">
        <v>684</v>
      </c>
      <c r="D598" s="18" t="s">
        <v>105</v>
      </c>
      <c r="E598" s="18" t="s">
        <v>48</v>
      </c>
    </row>
    <row r="599" spans="1:5">
      <c r="A599" s="17">
        <v>598</v>
      </c>
      <c r="B599" s="18" t="s">
        <v>35</v>
      </c>
      <c r="C599" s="18" t="s">
        <v>685</v>
      </c>
      <c r="D599" s="18" t="s">
        <v>105</v>
      </c>
      <c r="E599" s="18" t="s">
        <v>48</v>
      </c>
    </row>
    <row r="600" spans="1:5">
      <c r="A600" s="17">
        <v>599</v>
      </c>
      <c r="B600" s="18" t="s">
        <v>35</v>
      </c>
      <c r="C600" s="18" t="s">
        <v>686</v>
      </c>
      <c r="D600" s="18" t="s">
        <v>105</v>
      </c>
      <c r="E600" s="18" t="s">
        <v>48</v>
      </c>
    </row>
    <row r="601" spans="1:5">
      <c r="A601" s="17">
        <v>600</v>
      </c>
      <c r="B601" s="18" t="s">
        <v>35</v>
      </c>
      <c r="C601" s="18" t="s">
        <v>687</v>
      </c>
      <c r="D601" s="18" t="s">
        <v>105</v>
      </c>
      <c r="E601" s="18" t="s">
        <v>48</v>
      </c>
    </row>
    <row r="602" spans="1:5">
      <c r="A602" s="17">
        <v>601</v>
      </c>
      <c r="B602" s="18" t="s">
        <v>35</v>
      </c>
      <c r="C602" s="18" t="s">
        <v>688</v>
      </c>
      <c r="D602" s="18" t="s">
        <v>187</v>
      </c>
      <c r="E602" s="18" t="s">
        <v>48</v>
      </c>
    </row>
    <row r="603" spans="1:5">
      <c r="A603" s="17">
        <v>602</v>
      </c>
      <c r="B603" s="18" t="s">
        <v>35</v>
      </c>
      <c r="C603" s="18" t="s">
        <v>689</v>
      </c>
      <c r="D603" s="18" t="s">
        <v>187</v>
      </c>
      <c r="E603" s="18" t="s">
        <v>48</v>
      </c>
    </row>
    <row r="604" spans="1:5">
      <c r="A604" s="17">
        <v>603</v>
      </c>
      <c r="B604" s="18" t="s">
        <v>35</v>
      </c>
      <c r="C604" s="18" t="s">
        <v>690</v>
      </c>
      <c r="D604" s="18" t="s">
        <v>187</v>
      </c>
      <c r="E604" s="18" t="s">
        <v>48</v>
      </c>
    </row>
    <row r="605" spans="1:5">
      <c r="A605" s="17">
        <v>604</v>
      </c>
      <c r="B605" s="18" t="s">
        <v>35</v>
      </c>
      <c r="C605" s="18" t="s">
        <v>691</v>
      </c>
      <c r="D605" s="18" t="s">
        <v>187</v>
      </c>
      <c r="E605" s="18" t="s">
        <v>48</v>
      </c>
    </row>
    <row r="606" spans="1:5">
      <c r="A606" s="17">
        <v>605</v>
      </c>
      <c r="B606" s="18" t="s">
        <v>35</v>
      </c>
      <c r="C606" s="18" t="s">
        <v>692</v>
      </c>
      <c r="D606" s="18" t="s">
        <v>47</v>
      </c>
      <c r="E606" s="18" t="s">
        <v>48</v>
      </c>
    </row>
    <row r="607" spans="1:5">
      <c r="A607" s="17">
        <v>606</v>
      </c>
      <c r="B607" s="18" t="s">
        <v>35</v>
      </c>
      <c r="C607" s="18" t="s">
        <v>693</v>
      </c>
      <c r="D607" s="18" t="s">
        <v>47</v>
      </c>
      <c r="E607" s="18" t="s">
        <v>48</v>
      </c>
    </row>
    <row r="608" spans="1:5">
      <c r="A608" s="17">
        <v>607</v>
      </c>
      <c r="B608" s="18" t="s">
        <v>35</v>
      </c>
      <c r="C608" s="18" t="s">
        <v>694</v>
      </c>
      <c r="D608" s="18" t="s">
        <v>47</v>
      </c>
      <c r="E608" s="18" t="s">
        <v>48</v>
      </c>
    </row>
    <row r="609" spans="1:5">
      <c r="A609" s="17">
        <v>608</v>
      </c>
      <c r="B609" s="18" t="s">
        <v>35</v>
      </c>
      <c r="C609" s="18" t="s">
        <v>695</v>
      </c>
      <c r="D609" s="18" t="s">
        <v>283</v>
      </c>
      <c r="E609" s="18" t="s">
        <v>48</v>
      </c>
    </row>
    <row r="610" spans="1:5">
      <c r="A610" s="17">
        <v>609</v>
      </c>
      <c r="B610" s="18" t="s">
        <v>35</v>
      </c>
      <c r="C610" s="18" t="s">
        <v>696</v>
      </c>
      <c r="D610" s="18" t="s">
        <v>283</v>
      </c>
      <c r="E610" s="18" t="s">
        <v>48</v>
      </c>
    </row>
    <row r="611" spans="1:5">
      <c r="A611" s="17">
        <v>610</v>
      </c>
      <c r="B611" s="18" t="s">
        <v>35</v>
      </c>
      <c r="C611" s="18" t="s">
        <v>697</v>
      </c>
      <c r="D611" s="18" t="s">
        <v>105</v>
      </c>
      <c r="E611" s="18" t="s">
        <v>48</v>
      </c>
    </row>
    <row r="612" spans="1:5">
      <c r="A612" s="17">
        <v>611</v>
      </c>
      <c r="B612" s="18" t="s">
        <v>35</v>
      </c>
      <c r="C612" s="18" t="s">
        <v>698</v>
      </c>
      <c r="D612" s="18" t="s">
        <v>105</v>
      </c>
      <c r="E612" s="18" t="s">
        <v>48</v>
      </c>
    </row>
    <row r="613" spans="1:5">
      <c r="A613" s="17">
        <v>612</v>
      </c>
      <c r="B613" s="18" t="s">
        <v>35</v>
      </c>
      <c r="C613" s="18" t="s">
        <v>699</v>
      </c>
      <c r="D613" s="18" t="s">
        <v>105</v>
      </c>
      <c r="E613" s="18" t="s">
        <v>48</v>
      </c>
    </row>
    <row r="614" spans="1:5">
      <c r="A614" s="17">
        <v>613</v>
      </c>
      <c r="B614" s="18" t="s">
        <v>35</v>
      </c>
      <c r="C614" s="18" t="s">
        <v>700</v>
      </c>
      <c r="D614" s="18" t="s">
        <v>105</v>
      </c>
      <c r="E614" s="18" t="s">
        <v>48</v>
      </c>
    </row>
    <row r="615" spans="1:5">
      <c r="A615" s="17">
        <v>614</v>
      </c>
      <c r="B615" s="18" t="s">
        <v>35</v>
      </c>
      <c r="C615" s="18" t="s">
        <v>701</v>
      </c>
      <c r="D615" s="18" t="s">
        <v>187</v>
      </c>
      <c r="E615" s="18" t="s">
        <v>48</v>
      </c>
    </row>
    <row r="616" spans="1:5">
      <c r="A616" s="17">
        <v>615</v>
      </c>
      <c r="B616" s="18" t="s">
        <v>35</v>
      </c>
      <c r="C616" s="18" t="s">
        <v>702</v>
      </c>
      <c r="D616" s="18" t="s">
        <v>187</v>
      </c>
      <c r="E616" s="18" t="s">
        <v>48</v>
      </c>
    </row>
    <row r="617" spans="1:5">
      <c r="A617" s="17">
        <v>616</v>
      </c>
      <c r="B617" s="18" t="s">
        <v>35</v>
      </c>
      <c r="C617" s="18" t="s">
        <v>703</v>
      </c>
      <c r="D617" s="18" t="s">
        <v>187</v>
      </c>
      <c r="E617" s="18" t="s">
        <v>48</v>
      </c>
    </row>
    <row r="618" spans="1:5">
      <c r="A618" s="17">
        <v>617</v>
      </c>
      <c r="B618" s="18" t="s">
        <v>35</v>
      </c>
      <c r="C618" s="18" t="s">
        <v>704</v>
      </c>
      <c r="D618" s="18" t="s">
        <v>187</v>
      </c>
      <c r="E618" s="18" t="s">
        <v>48</v>
      </c>
    </row>
    <row r="619" spans="1:5">
      <c r="A619" s="17">
        <v>618</v>
      </c>
      <c r="B619" s="18" t="s">
        <v>35</v>
      </c>
      <c r="C619" s="18" t="s">
        <v>705</v>
      </c>
      <c r="D619" s="18" t="s">
        <v>187</v>
      </c>
      <c r="E619" s="18" t="s">
        <v>48</v>
      </c>
    </row>
    <row r="620" spans="1:5">
      <c r="A620" s="17">
        <v>619</v>
      </c>
      <c r="B620" s="18" t="s">
        <v>35</v>
      </c>
      <c r="C620" s="18" t="s">
        <v>706</v>
      </c>
      <c r="D620" s="18" t="s">
        <v>187</v>
      </c>
      <c r="E620" s="18" t="s">
        <v>48</v>
      </c>
    </row>
    <row r="621" spans="1:5">
      <c r="A621" s="17">
        <v>620</v>
      </c>
      <c r="B621" s="18" t="s">
        <v>35</v>
      </c>
      <c r="C621" s="18" t="s">
        <v>707</v>
      </c>
      <c r="D621" s="18" t="s">
        <v>37</v>
      </c>
      <c r="E621" s="18" t="s">
        <v>38</v>
      </c>
    </row>
    <row r="622" spans="1:5">
      <c r="A622" s="17">
        <v>621</v>
      </c>
      <c r="B622" s="18" t="s">
        <v>35</v>
      </c>
      <c r="C622" s="18" t="s">
        <v>708</v>
      </c>
      <c r="D622" s="18" t="s">
        <v>47</v>
      </c>
      <c r="E622" s="18" t="s">
        <v>48</v>
      </c>
    </row>
    <row r="623" spans="1:5">
      <c r="A623" s="17">
        <v>622</v>
      </c>
      <c r="B623" s="18" t="s">
        <v>35</v>
      </c>
      <c r="C623" s="18" t="s">
        <v>709</v>
      </c>
      <c r="D623" s="18" t="s">
        <v>47</v>
      </c>
      <c r="E623" s="18" t="s">
        <v>48</v>
      </c>
    </row>
    <row r="624" spans="1:5">
      <c r="A624" s="17">
        <v>623</v>
      </c>
      <c r="B624" s="18" t="s">
        <v>35</v>
      </c>
      <c r="C624" s="18" t="s">
        <v>710</v>
      </c>
      <c r="D624" s="18" t="s">
        <v>47</v>
      </c>
      <c r="E624" s="18" t="s">
        <v>48</v>
      </c>
    </row>
    <row r="625" spans="1:5">
      <c r="A625" s="17">
        <v>624</v>
      </c>
      <c r="B625" s="18" t="s">
        <v>35</v>
      </c>
      <c r="C625" s="18" t="s">
        <v>711</v>
      </c>
      <c r="D625" s="18" t="s">
        <v>95</v>
      </c>
      <c r="E625" s="18" t="s">
        <v>48</v>
      </c>
    </row>
    <row r="626" spans="1:5">
      <c r="A626" s="17">
        <v>625</v>
      </c>
      <c r="B626" s="18" t="s">
        <v>35</v>
      </c>
      <c r="C626" s="18" t="s">
        <v>712</v>
      </c>
      <c r="D626" s="18" t="s">
        <v>645</v>
      </c>
      <c r="E626" s="18" t="s">
        <v>48</v>
      </c>
    </row>
    <row r="627" spans="1:5">
      <c r="A627" s="17">
        <v>626</v>
      </c>
      <c r="B627" s="18" t="s">
        <v>35</v>
      </c>
      <c r="C627" s="18" t="s">
        <v>713</v>
      </c>
      <c r="D627" s="18" t="s">
        <v>105</v>
      </c>
      <c r="E627" s="18" t="s">
        <v>48</v>
      </c>
    </row>
    <row r="628" spans="1:5">
      <c r="A628" s="17">
        <v>627</v>
      </c>
      <c r="B628" s="18" t="s">
        <v>35</v>
      </c>
      <c r="C628" s="18" t="s">
        <v>714</v>
      </c>
      <c r="D628" s="18" t="s">
        <v>105</v>
      </c>
      <c r="E628" s="18" t="s">
        <v>48</v>
      </c>
    </row>
    <row r="629" spans="1:5">
      <c r="A629" s="17">
        <v>628</v>
      </c>
      <c r="B629" s="18" t="s">
        <v>35</v>
      </c>
      <c r="C629" s="18" t="s">
        <v>715</v>
      </c>
      <c r="D629" s="18" t="s">
        <v>105</v>
      </c>
      <c r="E629" s="18" t="s">
        <v>48</v>
      </c>
    </row>
    <row r="630" spans="1:5">
      <c r="A630" s="17">
        <v>629</v>
      </c>
      <c r="B630" s="18" t="s">
        <v>35</v>
      </c>
      <c r="C630" s="18" t="s">
        <v>716</v>
      </c>
      <c r="D630" s="18" t="s">
        <v>105</v>
      </c>
      <c r="E630" s="18" t="s">
        <v>48</v>
      </c>
    </row>
    <row r="631" spans="1:5">
      <c r="A631" s="17">
        <v>630</v>
      </c>
      <c r="B631" s="18" t="s">
        <v>35</v>
      </c>
      <c r="C631" s="18" t="s">
        <v>717</v>
      </c>
      <c r="D631" s="18" t="s">
        <v>105</v>
      </c>
      <c r="E631" s="18" t="s">
        <v>48</v>
      </c>
    </row>
    <row r="632" spans="1:5">
      <c r="A632" s="17">
        <v>631</v>
      </c>
      <c r="B632" s="18" t="s">
        <v>35</v>
      </c>
      <c r="C632" s="18" t="s">
        <v>718</v>
      </c>
      <c r="D632" s="18" t="s">
        <v>105</v>
      </c>
      <c r="E632" s="18" t="s">
        <v>48</v>
      </c>
    </row>
    <row r="633" spans="1:5">
      <c r="A633" s="17">
        <v>632</v>
      </c>
      <c r="B633" s="18" t="s">
        <v>35</v>
      </c>
      <c r="C633" s="18" t="s">
        <v>719</v>
      </c>
      <c r="D633" s="18" t="s">
        <v>105</v>
      </c>
      <c r="E633" s="18" t="s">
        <v>48</v>
      </c>
    </row>
    <row r="634" spans="1:5">
      <c r="A634" s="17">
        <v>633</v>
      </c>
      <c r="B634" s="18" t="s">
        <v>35</v>
      </c>
      <c r="C634" s="18" t="s">
        <v>720</v>
      </c>
      <c r="D634" s="18" t="s">
        <v>105</v>
      </c>
      <c r="E634" s="18" t="s">
        <v>48</v>
      </c>
    </row>
    <row r="635" spans="1:5">
      <c r="A635" s="17">
        <v>634</v>
      </c>
      <c r="B635" s="18" t="s">
        <v>35</v>
      </c>
      <c r="C635" s="18" t="s">
        <v>721</v>
      </c>
      <c r="D635" s="18" t="s">
        <v>105</v>
      </c>
      <c r="E635" s="18" t="s">
        <v>48</v>
      </c>
    </row>
    <row r="636" spans="1:5">
      <c r="A636" s="17">
        <v>635</v>
      </c>
      <c r="B636" s="18" t="s">
        <v>35</v>
      </c>
      <c r="C636" s="18" t="s">
        <v>722</v>
      </c>
      <c r="D636" s="18" t="s">
        <v>105</v>
      </c>
      <c r="E636" s="18" t="s">
        <v>48</v>
      </c>
    </row>
    <row r="637" spans="1:5">
      <c r="A637" s="17">
        <v>636</v>
      </c>
      <c r="B637" s="18" t="s">
        <v>35</v>
      </c>
      <c r="C637" s="18" t="s">
        <v>723</v>
      </c>
      <c r="D637" s="18" t="s">
        <v>187</v>
      </c>
      <c r="E637" s="18" t="s">
        <v>48</v>
      </c>
    </row>
    <row r="638" spans="1:5">
      <c r="A638" s="17">
        <v>637</v>
      </c>
      <c r="B638" s="18" t="s">
        <v>35</v>
      </c>
      <c r="C638" s="18" t="s">
        <v>724</v>
      </c>
      <c r="D638" s="18" t="s">
        <v>187</v>
      </c>
      <c r="E638" s="18" t="s">
        <v>48</v>
      </c>
    </row>
    <row r="639" spans="1:5">
      <c r="A639" s="17">
        <v>638</v>
      </c>
      <c r="B639" s="18" t="s">
        <v>35</v>
      </c>
      <c r="C639" s="18" t="s">
        <v>725</v>
      </c>
      <c r="D639" s="18" t="s">
        <v>187</v>
      </c>
      <c r="E639" s="18" t="s">
        <v>48</v>
      </c>
    </row>
    <row r="640" spans="1:5">
      <c r="A640" s="17">
        <v>639</v>
      </c>
      <c r="B640" s="18" t="s">
        <v>35</v>
      </c>
      <c r="C640" s="18" t="s">
        <v>726</v>
      </c>
      <c r="D640" s="18" t="s">
        <v>187</v>
      </c>
      <c r="E640" s="18" t="s">
        <v>48</v>
      </c>
    </row>
    <row r="641" spans="1:5">
      <c r="A641" s="17">
        <v>640</v>
      </c>
      <c r="B641" s="18" t="s">
        <v>35</v>
      </c>
      <c r="C641" s="18" t="s">
        <v>727</v>
      </c>
      <c r="D641" s="18" t="s">
        <v>187</v>
      </c>
      <c r="E641" s="18" t="s">
        <v>48</v>
      </c>
    </row>
    <row r="642" spans="1:5">
      <c r="A642" s="17">
        <v>641</v>
      </c>
      <c r="B642" s="18" t="s">
        <v>35</v>
      </c>
      <c r="C642" s="18" t="s">
        <v>728</v>
      </c>
      <c r="D642" s="18" t="s">
        <v>37</v>
      </c>
      <c r="E642" s="18" t="s">
        <v>38</v>
      </c>
    </row>
    <row r="643" spans="1:5">
      <c r="A643" s="17">
        <v>642</v>
      </c>
      <c r="B643" s="18" t="s">
        <v>35</v>
      </c>
      <c r="C643" s="18" t="s">
        <v>729</v>
      </c>
      <c r="D643" s="18" t="s">
        <v>47</v>
      </c>
      <c r="E643" s="18" t="s">
        <v>48</v>
      </c>
    </row>
    <row r="644" spans="1:5">
      <c r="A644" s="17">
        <v>643</v>
      </c>
      <c r="B644" s="18" t="s">
        <v>35</v>
      </c>
      <c r="C644" s="18" t="s">
        <v>730</v>
      </c>
      <c r="D644" s="18" t="s">
        <v>47</v>
      </c>
      <c r="E644" s="18" t="s">
        <v>48</v>
      </c>
    </row>
    <row r="645" spans="1:5">
      <c r="A645" s="17">
        <v>644</v>
      </c>
      <c r="B645" s="18" t="s">
        <v>35</v>
      </c>
      <c r="C645" s="18" t="s">
        <v>731</v>
      </c>
      <c r="D645" s="18" t="s">
        <v>92</v>
      </c>
      <c r="E645" s="18" t="s">
        <v>48</v>
      </c>
    </row>
    <row r="646" spans="1:5">
      <c r="A646" s="17">
        <v>645</v>
      </c>
      <c r="B646" s="18" t="s">
        <v>35</v>
      </c>
      <c r="C646" s="18" t="s">
        <v>732</v>
      </c>
      <c r="D646" s="18" t="s">
        <v>95</v>
      </c>
      <c r="E646" s="18" t="s">
        <v>48</v>
      </c>
    </row>
    <row r="647" spans="1:5">
      <c r="A647" s="17">
        <v>646</v>
      </c>
      <c r="B647" s="18" t="s">
        <v>35</v>
      </c>
      <c r="C647" s="18" t="s">
        <v>733</v>
      </c>
      <c r="D647" s="18" t="s">
        <v>105</v>
      </c>
      <c r="E647" s="18" t="s">
        <v>48</v>
      </c>
    </row>
    <row r="648" spans="1:5">
      <c r="A648" s="17">
        <v>647</v>
      </c>
      <c r="B648" s="18" t="s">
        <v>35</v>
      </c>
      <c r="C648" s="18" t="s">
        <v>734</v>
      </c>
      <c r="D648" s="18" t="s">
        <v>105</v>
      </c>
      <c r="E648" s="18" t="s">
        <v>48</v>
      </c>
    </row>
    <row r="649" spans="1:5">
      <c r="A649" s="17">
        <v>648</v>
      </c>
      <c r="B649" s="18" t="s">
        <v>35</v>
      </c>
      <c r="C649" s="18" t="s">
        <v>735</v>
      </c>
      <c r="D649" s="18" t="s">
        <v>105</v>
      </c>
      <c r="E649" s="18" t="s">
        <v>48</v>
      </c>
    </row>
    <row r="650" spans="1:5">
      <c r="A650" s="17">
        <v>649</v>
      </c>
      <c r="B650" s="18" t="s">
        <v>35</v>
      </c>
      <c r="C650" s="18" t="s">
        <v>736</v>
      </c>
      <c r="D650" s="18" t="s">
        <v>105</v>
      </c>
      <c r="E650" s="18" t="s">
        <v>48</v>
      </c>
    </row>
    <row r="651" spans="1:5">
      <c r="A651" s="17">
        <v>650</v>
      </c>
      <c r="B651" s="18" t="s">
        <v>35</v>
      </c>
      <c r="C651" s="18" t="s">
        <v>737</v>
      </c>
      <c r="D651" s="18" t="s">
        <v>105</v>
      </c>
      <c r="E651" s="18" t="s">
        <v>48</v>
      </c>
    </row>
    <row r="652" spans="1:5">
      <c r="A652" s="17">
        <v>651</v>
      </c>
      <c r="B652" s="18" t="s">
        <v>35</v>
      </c>
      <c r="C652" s="18" t="s">
        <v>738</v>
      </c>
      <c r="D652" s="18" t="s">
        <v>105</v>
      </c>
      <c r="E652" s="18" t="s">
        <v>48</v>
      </c>
    </row>
    <row r="653" spans="1:5">
      <c r="A653" s="17">
        <v>652</v>
      </c>
      <c r="B653" s="18" t="s">
        <v>35</v>
      </c>
      <c r="C653" s="18" t="s">
        <v>739</v>
      </c>
      <c r="D653" s="18" t="s">
        <v>105</v>
      </c>
      <c r="E653" s="18" t="s">
        <v>48</v>
      </c>
    </row>
    <row r="654" spans="1:5">
      <c r="A654" s="17">
        <v>653</v>
      </c>
      <c r="B654" s="18" t="s">
        <v>35</v>
      </c>
      <c r="C654" s="18" t="s">
        <v>740</v>
      </c>
      <c r="D654" s="18" t="s">
        <v>105</v>
      </c>
      <c r="E654" s="18" t="s">
        <v>48</v>
      </c>
    </row>
    <row r="655" spans="1:5">
      <c r="A655" s="17">
        <v>654</v>
      </c>
      <c r="B655" s="18" t="s">
        <v>35</v>
      </c>
      <c r="C655" s="18" t="s">
        <v>741</v>
      </c>
      <c r="D655" s="18" t="s">
        <v>105</v>
      </c>
      <c r="E655" s="18" t="s">
        <v>48</v>
      </c>
    </row>
    <row r="656" spans="1:5">
      <c r="A656" s="17">
        <v>655</v>
      </c>
      <c r="B656" s="18" t="s">
        <v>35</v>
      </c>
      <c r="C656" s="18" t="s">
        <v>742</v>
      </c>
      <c r="D656" s="18" t="s">
        <v>187</v>
      </c>
      <c r="E656" s="18" t="s">
        <v>48</v>
      </c>
    </row>
    <row r="657" spans="1:5">
      <c r="A657" s="17">
        <v>656</v>
      </c>
      <c r="B657" s="18" t="s">
        <v>35</v>
      </c>
      <c r="C657" s="18" t="s">
        <v>743</v>
      </c>
      <c r="D657" s="18" t="s">
        <v>187</v>
      </c>
      <c r="E657" s="18" t="s">
        <v>48</v>
      </c>
    </row>
    <row r="658" spans="1:5">
      <c r="A658" s="17">
        <v>657</v>
      </c>
      <c r="B658" s="18" t="s">
        <v>35</v>
      </c>
      <c r="C658" s="18" t="s">
        <v>744</v>
      </c>
      <c r="D658" s="18" t="s">
        <v>47</v>
      </c>
      <c r="E658" s="18" t="s">
        <v>48</v>
      </c>
    </row>
    <row r="659" spans="1:5">
      <c r="A659" s="17">
        <v>658</v>
      </c>
      <c r="B659" s="18" t="s">
        <v>35</v>
      </c>
      <c r="C659" s="18" t="s">
        <v>745</v>
      </c>
      <c r="D659" s="18" t="s">
        <v>746</v>
      </c>
      <c r="E659" s="18" t="s">
        <v>747</v>
      </c>
    </row>
    <row r="660" spans="1:5">
      <c r="A660" s="17">
        <v>659</v>
      </c>
      <c r="B660" s="18" t="s">
        <v>35</v>
      </c>
      <c r="C660" s="18" t="s">
        <v>748</v>
      </c>
      <c r="D660" s="18" t="s">
        <v>89</v>
      </c>
      <c r="E660" s="18" t="s">
        <v>90</v>
      </c>
    </row>
    <row r="661" spans="1:5">
      <c r="A661" s="17">
        <v>660</v>
      </c>
      <c r="B661" s="18" t="s">
        <v>35</v>
      </c>
      <c r="C661" s="18" t="s">
        <v>749</v>
      </c>
      <c r="D661" s="18" t="s">
        <v>92</v>
      </c>
      <c r="E661" s="18" t="s">
        <v>48</v>
      </c>
    </row>
    <row r="662" spans="1:5">
      <c r="A662" s="17">
        <v>661</v>
      </c>
      <c r="B662" s="18" t="s">
        <v>35</v>
      </c>
      <c r="C662" s="18" t="s">
        <v>750</v>
      </c>
      <c r="D662" s="18" t="s">
        <v>95</v>
      </c>
      <c r="E662" s="18" t="s">
        <v>48</v>
      </c>
    </row>
    <row r="663" spans="1:5">
      <c r="A663" s="17">
        <v>662</v>
      </c>
      <c r="B663" s="18" t="s">
        <v>35</v>
      </c>
      <c r="C663" s="18" t="s">
        <v>751</v>
      </c>
      <c r="D663" s="18" t="s">
        <v>105</v>
      </c>
      <c r="E663" s="18" t="s">
        <v>48</v>
      </c>
    </row>
    <row r="664" spans="1:5">
      <c r="A664" s="17">
        <v>663</v>
      </c>
      <c r="B664" s="18" t="s">
        <v>35</v>
      </c>
      <c r="C664" s="18" t="s">
        <v>752</v>
      </c>
      <c r="D664" s="18" t="s">
        <v>105</v>
      </c>
      <c r="E664" s="18" t="s">
        <v>48</v>
      </c>
    </row>
    <row r="665" spans="1:5">
      <c r="A665" s="17">
        <v>664</v>
      </c>
      <c r="B665" s="18" t="s">
        <v>35</v>
      </c>
      <c r="C665" s="18" t="s">
        <v>753</v>
      </c>
      <c r="D665" s="18" t="s">
        <v>105</v>
      </c>
      <c r="E665" s="18" t="s">
        <v>48</v>
      </c>
    </row>
    <row r="666" spans="1:5">
      <c r="A666" s="17">
        <v>665</v>
      </c>
      <c r="B666" s="18" t="s">
        <v>35</v>
      </c>
      <c r="C666" s="18" t="s">
        <v>754</v>
      </c>
      <c r="D666" s="18" t="s">
        <v>105</v>
      </c>
      <c r="E666" s="18" t="s">
        <v>48</v>
      </c>
    </row>
    <row r="667" spans="1:5">
      <c r="A667" s="17">
        <v>666</v>
      </c>
      <c r="B667" s="18" t="s">
        <v>35</v>
      </c>
      <c r="C667" s="18" t="s">
        <v>755</v>
      </c>
      <c r="D667" s="18" t="s">
        <v>105</v>
      </c>
      <c r="E667" s="18" t="s">
        <v>48</v>
      </c>
    </row>
    <row r="668" spans="1:5">
      <c r="A668" s="17">
        <v>667</v>
      </c>
      <c r="B668" s="18" t="s">
        <v>35</v>
      </c>
      <c r="C668" s="18" t="s">
        <v>756</v>
      </c>
      <c r="D668" s="18" t="s">
        <v>105</v>
      </c>
      <c r="E668" s="18" t="s">
        <v>48</v>
      </c>
    </row>
    <row r="669" spans="1:5">
      <c r="A669" s="17">
        <v>668</v>
      </c>
      <c r="B669" s="18" t="s">
        <v>35</v>
      </c>
      <c r="C669" s="18" t="s">
        <v>757</v>
      </c>
      <c r="D669" s="18" t="s">
        <v>105</v>
      </c>
      <c r="E669" s="18" t="s">
        <v>48</v>
      </c>
    </row>
    <row r="670" spans="1:5">
      <c r="A670" s="17">
        <v>669</v>
      </c>
      <c r="B670" s="18" t="s">
        <v>35</v>
      </c>
      <c r="C670" s="18" t="s">
        <v>758</v>
      </c>
      <c r="D670" s="18" t="s">
        <v>187</v>
      </c>
      <c r="E670" s="18" t="s">
        <v>48</v>
      </c>
    </row>
    <row r="671" spans="1:5">
      <c r="A671" s="17">
        <v>670</v>
      </c>
      <c r="B671" s="18" t="s">
        <v>35</v>
      </c>
      <c r="C671" s="18" t="s">
        <v>759</v>
      </c>
      <c r="D671" s="18" t="s">
        <v>187</v>
      </c>
      <c r="E671" s="18" t="s">
        <v>48</v>
      </c>
    </row>
    <row r="672" spans="1:5">
      <c r="A672" s="17">
        <v>671</v>
      </c>
      <c r="B672" s="18" t="s">
        <v>35</v>
      </c>
      <c r="C672" s="18" t="s">
        <v>760</v>
      </c>
      <c r="D672" s="18" t="s">
        <v>187</v>
      </c>
      <c r="E672" s="18" t="s">
        <v>48</v>
      </c>
    </row>
    <row r="673" spans="1:5">
      <c r="A673" s="17">
        <v>672</v>
      </c>
      <c r="B673" s="18" t="s">
        <v>35</v>
      </c>
      <c r="C673" s="18" t="s">
        <v>761</v>
      </c>
      <c r="D673" s="18" t="s">
        <v>187</v>
      </c>
      <c r="E673" s="18" t="s">
        <v>48</v>
      </c>
    </row>
    <row r="674" spans="1:5">
      <c r="A674" s="17">
        <v>673</v>
      </c>
      <c r="B674" s="18" t="s">
        <v>35</v>
      </c>
      <c r="C674" s="18" t="s">
        <v>762</v>
      </c>
      <c r="D674" s="18" t="s">
        <v>37</v>
      </c>
      <c r="E674" s="18" t="s">
        <v>38</v>
      </c>
    </row>
    <row r="675" spans="1:5">
      <c r="A675" s="17">
        <v>674</v>
      </c>
      <c r="B675" s="18" t="s">
        <v>35</v>
      </c>
      <c r="C675" s="18" t="s">
        <v>763</v>
      </c>
      <c r="D675" s="18" t="s">
        <v>219</v>
      </c>
      <c r="E675" s="18" t="s">
        <v>220</v>
      </c>
    </row>
    <row r="676" spans="1:5">
      <c r="A676" s="17">
        <v>675</v>
      </c>
      <c r="B676" s="18" t="s">
        <v>35</v>
      </c>
      <c r="C676" s="18" t="s">
        <v>764</v>
      </c>
      <c r="D676" s="18" t="s">
        <v>47</v>
      </c>
      <c r="E676" s="18" t="s">
        <v>48</v>
      </c>
    </row>
    <row r="677" spans="1:5">
      <c r="A677" s="17">
        <v>676</v>
      </c>
      <c r="B677" s="18" t="s">
        <v>35</v>
      </c>
      <c r="C677" s="18" t="s">
        <v>765</v>
      </c>
      <c r="D677" s="18" t="s">
        <v>47</v>
      </c>
      <c r="E677" s="18" t="s">
        <v>48</v>
      </c>
    </row>
    <row r="678" spans="1:5">
      <c r="A678" s="17">
        <v>677</v>
      </c>
      <c r="B678" s="18" t="s">
        <v>35</v>
      </c>
      <c r="C678" s="18" t="s">
        <v>766</v>
      </c>
      <c r="D678" s="18" t="s">
        <v>95</v>
      </c>
      <c r="E678" s="18" t="s">
        <v>48</v>
      </c>
    </row>
    <row r="679" spans="1:5">
      <c r="A679" s="17">
        <v>678</v>
      </c>
      <c r="B679" s="18" t="s">
        <v>35</v>
      </c>
      <c r="C679" s="18" t="s">
        <v>767</v>
      </c>
      <c r="D679" s="18" t="s">
        <v>105</v>
      </c>
      <c r="E679" s="18" t="s">
        <v>48</v>
      </c>
    </row>
    <row r="680" spans="1:5">
      <c r="A680" s="17">
        <v>679</v>
      </c>
      <c r="B680" s="18" t="s">
        <v>35</v>
      </c>
      <c r="C680" s="18" t="s">
        <v>768</v>
      </c>
      <c r="D680" s="18" t="s">
        <v>105</v>
      </c>
      <c r="E680" s="18" t="s">
        <v>48</v>
      </c>
    </row>
    <row r="681" spans="1:5">
      <c r="A681" s="17">
        <v>680</v>
      </c>
      <c r="B681" s="18" t="s">
        <v>35</v>
      </c>
      <c r="C681" s="18" t="s">
        <v>769</v>
      </c>
      <c r="D681" s="18" t="s">
        <v>105</v>
      </c>
      <c r="E681" s="18" t="s">
        <v>48</v>
      </c>
    </row>
    <row r="682" spans="1:5">
      <c r="A682" s="17">
        <v>681</v>
      </c>
      <c r="B682" s="18" t="s">
        <v>35</v>
      </c>
      <c r="C682" s="18" t="s">
        <v>770</v>
      </c>
      <c r="D682" s="18" t="s">
        <v>105</v>
      </c>
      <c r="E682" s="18" t="s">
        <v>48</v>
      </c>
    </row>
    <row r="683" spans="1:5">
      <c r="A683" s="17">
        <v>682</v>
      </c>
      <c r="B683" s="18" t="s">
        <v>35</v>
      </c>
      <c r="C683" s="18" t="s">
        <v>771</v>
      </c>
      <c r="D683" s="18" t="s">
        <v>105</v>
      </c>
      <c r="E683" s="18" t="s">
        <v>48</v>
      </c>
    </row>
    <row r="684" spans="1:5">
      <c r="A684" s="17">
        <v>683</v>
      </c>
      <c r="B684" s="18" t="s">
        <v>35</v>
      </c>
      <c r="C684" s="18" t="s">
        <v>772</v>
      </c>
      <c r="D684" s="18" t="s">
        <v>105</v>
      </c>
      <c r="E684" s="18" t="s">
        <v>48</v>
      </c>
    </row>
    <row r="685" spans="1:5">
      <c r="A685" s="17">
        <v>684</v>
      </c>
      <c r="B685" s="18" t="s">
        <v>35</v>
      </c>
      <c r="C685" s="18" t="s">
        <v>773</v>
      </c>
      <c r="D685" s="18" t="s">
        <v>105</v>
      </c>
      <c r="E685" s="18" t="s">
        <v>48</v>
      </c>
    </row>
    <row r="686" spans="1:5">
      <c r="A686" s="17">
        <v>685</v>
      </c>
      <c r="B686" s="18" t="s">
        <v>35</v>
      </c>
      <c r="C686" s="18" t="s">
        <v>774</v>
      </c>
      <c r="D686" s="18" t="s">
        <v>105</v>
      </c>
      <c r="E686" s="18" t="s">
        <v>48</v>
      </c>
    </row>
    <row r="687" spans="1:5">
      <c r="A687" s="17">
        <v>686</v>
      </c>
      <c r="B687" s="18" t="s">
        <v>35</v>
      </c>
      <c r="C687" s="18" t="s">
        <v>775</v>
      </c>
      <c r="D687" s="18" t="s">
        <v>187</v>
      </c>
      <c r="E687" s="18" t="s">
        <v>48</v>
      </c>
    </row>
    <row r="688" spans="1:5">
      <c r="A688" s="17">
        <v>687</v>
      </c>
      <c r="B688" s="18" t="s">
        <v>35</v>
      </c>
      <c r="C688" s="18" t="s">
        <v>776</v>
      </c>
      <c r="D688" s="18" t="s">
        <v>187</v>
      </c>
      <c r="E688" s="18" t="s">
        <v>48</v>
      </c>
    </row>
    <row r="689" spans="1:5">
      <c r="A689" s="17">
        <v>688</v>
      </c>
      <c r="B689" s="18" t="s">
        <v>35</v>
      </c>
      <c r="C689" s="18" t="s">
        <v>777</v>
      </c>
      <c r="D689" s="18" t="s">
        <v>187</v>
      </c>
      <c r="E689" s="18" t="s">
        <v>48</v>
      </c>
    </row>
    <row r="690" spans="1:5">
      <c r="A690" s="17">
        <v>689</v>
      </c>
      <c r="B690" s="18" t="s">
        <v>35</v>
      </c>
      <c r="C690" s="18" t="s">
        <v>778</v>
      </c>
      <c r="D690" s="18" t="s">
        <v>187</v>
      </c>
      <c r="E690" s="18" t="s">
        <v>48</v>
      </c>
    </row>
    <row r="691" spans="1:5">
      <c r="A691" s="17">
        <v>690</v>
      </c>
      <c r="B691" s="18" t="s">
        <v>35</v>
      </c>
      <c r="C691" s="18" t="s">
        <v>779</v>
      </c>
      <c r="D691" s="18" t="s">
        <v>780</v>
      </c>
      <c r="E691" s="18" t="s">
        <v>48</v>
      </c>
    </row>
    <row r="692" spans="1:5">
      <c r="A692" s="17">
        <v>691</v>
      </c>
      <c r="B692" s="18" t="s">
        <v>35</v>
      </c>
      <c r="C692" s="18" t="s">
        <v>781</v>
      </c>
      <c r="D692" s="18" t="s">
        <v>653</v>
      </c>
      <c r="E692" s="18" t="s">
        <v>48</v>
      </c>
    </row>
    <row r="693" spans="1:5">
      <c r="A693" s="17">
        <v>692</v>
      </c>
      <c r="B693" s="18" t="s">
        <v>39</v>
      </c>
      <c r="C693" s="18" t="s">
        <v>782</v>
      </c>
      <c r="D693" s="18" t="s">
        <v>783</v>
      </c>
      <c r="E693" s="18" t="s">
        <v>87</v>
      </c>
    </row>
    <row r="694" spans="1:5">
      <c r="A694" s="17">
        <v>693</v>
      </c>
      <c r="B694" s="18" t="s">
        <v>35</v>
      </c>
      <c r="C694" s="18" t="s">
        <v>784</v>
      </c>
      <c r="D694" s="18" t="s">
        <v>47</v>
      </c>
      <c r="E694" s="18" t="s">
        <v>48</v>
      </c>
    </row>
    <row r="695" spans="1:5">
      <c r="A695" s="17">
        <v>694</v>
      </c>
      <c r="B695" s="18" t="s">
        <v>35</v>
      </c>
      <c r="C695" s="18" t="s">
        <v>785</v>
      </c>
      <c r="D695" s="18" t="s">
        <v>47</v>
      </c>
      <c r="E695" s="18" t="s">
        <v>48</v>
      </c>
    </row>
    <row r="696" spans="1:5">
      <c r="A696" s="17">
        <v>695</v>
      </c>
      <c r="B696" s="18" t="s">
        <v>35</v>
      </c>
      <c r="C696" s="18" t="s">
        <v>786</v>
      </c>
      <c r="D696" s="18" t="s">
        <v>47</v>
      </c>
      <c r="E696" s="18" t="s">
        <v>48</v>
      </c>
    </row>
    <row r="697" spans="1:5">
      <c r="A697" s="17">
        <v>696</v>
      </c>
      <c r="B697" s="18" t="s">
        <v>35</v>
      </c>
      <c r="C697" s="18" t="s">
        <v>787</v>
      </c>
      <c r="D697" s="18" t="s">
        <v>47</v>
      </c>
      <c r="E697" s="18" t="s">
        <v>48</v>
      </c>
    </row>
    <row r="698" spans="1:5">
      <c r="A698" s="17">
        <v>697</v>
      </c>
      <c r="B698" s="18" t="s">
        <v>35</v>
      </c>
      <c r="C698" s="18" t="s">
        <v>788</v>
      </c>
      <c r="D698" s="18" t="s">
        <v>105</v>
      </c>
      <c r="E698" s="18" t="s">
        <v>48</v>
      </c>
    </row>
    <row r="699" spans="1:5">
      <c r="A699" s="17">
        <v>698</v>
      </c>
      <c r="B699" s="18" t="s">
        <v>35</v>
      </c>
      <c r="C699" s="18" t="s">
        <v>789</v>
      </c>
      <c r="D699" s="18" t="s">
        <v>105</v>
      </c>
      <c r="E699" s="18" t="s">
        <v>48</v>
      </c>
    </row>
    <row r="700" spans="1:5">
      <c r="A700" s="17">
        <v>699</v>
      </c>
      <c r="B700" s="18" t="s">
        <v>35</v>
      </c>
      <c r="C700" s="18" t="s">
        <v>790</v>
      </c>
      <c r="D700" s="18" t="s">
        <v>105</v>
      </c>
      <c r="E700" s="18" t="s">
        <v>48</v>
      </c>
    </row>
    <row r="701" spans="1:5">
      <c r="A701" s="17">
        <v>700</v>
      </c>
      <c r="B701" s="18" t="s">
        <v>35</v>
      </c>
      <c r="C701" s="18" t="s">
        <v>791</v>
      </c>
      <c r="D701" s="18" t="s">
        <v>105</v>
      </c>
      <c r="E701" s="18" t="s">
        <v>48</v>
      </c>
    </row>
    <row r="702" spans="1:5">
      <c r="A702" s="17">
        <v>701</v>
      </c>
      <c r="B702" s="18" t="s">
        <v>35</v>
      </c>
      <c r="C702" s="18" t="s">
        <v>792</v>
      </c>
      <c r="D702" s="18" t="s">
        <v>105</v>
      </c>
      <c r="E702" s="18" t="s">
        <v>48</v>
      </c>
    </row>
    <row r="703" spans="1:5">
      <c r="A703" s="17">
        <v>702</v>
      </c>
      <c r="B703" s="18" t="s">
        <v>35</v>
      </c>
      <c r="C703" s="18" t="s">
        <v>793</v>
      </c>
      <c r="D703" s="18" t="s">
        <v>105</v>
      </c>
      <c r="E703" s="18" t="s">
        <v>48</v>
      </c>
    </row>
    <row r="704" spans="1:5">
      <c r="A704" s="17">
        <v>703</v>
      </c>
      <c r="B704" s="18" t="s">
        <v>35</v>
      </c>
      <c r="C704" s="18" t="s">
        <v>794</v>
      </c>
      <c r="D704" s="18" t="s">
        <v>187</v>
      </c>
      <c r="E704" s="18" t="s">
        <v>48</v>
      </c>
    </row>
    <row r="705" spans="1:5">
      <c r="A705" s="17">
        <v>704</v>
      </c>
      <c r="B705" s="18" t="s">
        <v>35</v>
      </c>
      <c r="C705" s="18" t="s">
        <v>795</v>
      </c>
      <c r="D705" s="18" t="s">
        <v>187</v>
      </c>
      <c r="E705" s="18" t="s">
        <v>48</v>
      </c>
    </row>
    <row r="706" spans="1:5">
      <c r="A706" s="17">
        <v>705</v>
      </c>
      <c r="B706" s="18" t="s">
        <v>35</v>
      </c>
      <c r="C706" s="18" t="s">
        <v>796</v>
      </c>
      <c r="D706" s="18" t="s">
        <v>187</v>
      </c>
      <c r="E706" s="18" t="s">
        <v>48</v>
      </c>
    </row>
    <row r="707" spans="1:5">
      <c r="A707" s="17">
        <v>706</v>
      </c>
      <c r="B707" s="18" t="s">
        <v>39</v>
      </c>
      <c r="C707" s="18" t="s">
        <v>797</v>
      </c>
      <c r="D707" s="18" t="s">
        <v>798</v>
      </c>
      <c r="E707" s="18" t="s">
        <v>799</v>
      </c>
    </row>
    <row r="708" spans="1:5">
      <c r="A708" s="17">
        <v>707</v>
      </c>
      <c r="B708" s="18" t="s">
        <v>35</v>
      </c>
      <c r="C708" s="18" t="s">
        <v>800</v>
      </c>
      <c r="D708" s="18" t="s">
        <v>801</v>
      </c>
      <c r="E708" s="18" t="s">
        <v>90</v>
      </c>
    </row>
    <row r="709" spans="1:5">
      <c r="A709" s="17">
        <v>708</v>
      </c>
      <c r="B709" s="18" t="s">
        <v>35</v>
      </c>
      <c r="C709" s="18" t="s">
        <v>802</v>
      </c>
      <c r="D709" s="18" t="s">
        <v>105</v>
      </c>
      <c r="E709" s="18" t="s">
        <v>48</v>
      </c>
    </row>
    <row r="710" spans="1:5">
      <c r="A710" s="17">
        <v>709</v>
      </c>
      <c r="B710" s="18" t="s">
        <v>35</v>
      </c>
      <c r="C710" s="18" t="s">
        <v>803</v>
      </c>
      <c r="D710" s="18" t="s">
        <v>105</v>
      </c>
      <c r="E710" s="18" t="s">
        <v>48</v>
      </c>
    </row>
    <row r="711" spans="1:5">
      <c r="A711" s="17">
        <v>710</v>
      </c>
      <c r="B711" s="18" t="s">
        <v>35</v>
      </c>
      <c r="C711" s="18" t="s">
        <v>804</v>
      </c>
      <c r="D711" s="18" t="s">
        <v>105</v>
      </c>
      <c r="E711" s="18" t="s">
        <v>48</v>
      </c>
    </row>
    <row r="712" spans="1:5">
      <c r="A712" s="17">
        <v>711</v>
      </c>
      <c r="B712" s="18" t="s">
        <v>35</v>
      </c>
      <c r="C712" s="18" t="s">
        <v>805</v>
      </c>
      <c r="D712" s="18" t="s">
        <v>105</v>
      </c>
      <c r="E712" s="18" t="s">
        <v>48</v>
      </c>
    </row>
    <row r="713" spans="1:5">
      <c r="A713" s="17">
        <v>712</v>
      </c>
      <c r="B713" s="18" t="s">
        <v>35</v>
      </c>
      <c r="C713" s="18" t="s">
        <v>806</v>
      </c>
      <c r="D713" s="18" t="s">
        <v>105</v>
      </c>
      <c r="E713" s="18" t="s">
        <v>48</v>
      </c>
    </row>
    <row r="714" spans="1:5">
      <c r="A714" s="17">
        <v>713</v>
      </c>
      <c r="B714" s="18" t="s">
        <v>35</v>
      </c>
      <c r="C714" s="18" t="s">
        <v>807</v>
      </c>
      <c r="D714" s="18" t="s">
        <v>105</v>
      </c>
      <c r="E714" s="18" t="s">
        <v>48</v>
      </c>
    </row>
    <row r="715" spans="1:5">
      <c r="A715" s="17">
        <v>714</v>
      </c>
      <c r="B715" s="18" t="s">
        <v>35</v>
      </c>
      <c r="C715" s="18" t="s">
        <v>808</v>
      </c>
      <c r="D715" s="18" t="s">
        <v>105</v>
      </c>
      <c r="E715" s="18" t="s">
        <v>48</v>
      </c>
    </row>
    <row r="716" spans="1:5">
      <c r="A716" s="17">
        <v>715</v>
      </c>
      <c r="B716" s="18" t="s">
        <v>35</v>
      </c>
      <c r="C716" s="18" t="s">
        <v>809</v>
      </c>
      <c r="D716" s="18" t="s">
        <v>105</v>
      </c>
      <c r="E716" s="18" t="s">
        <v>48</v>
      </c>
    </row>
    <row r="717" spans="1:5">
      <c r="A717" s="17">
        <v>716</v>
      </c>
      <c r="B717" s="18" t="s">
        <v>35</v>
      </c>
      <c r="C717" s="18" t="s">
        <v>810</v>
      </c>
      <c r="D717" s="18" t="s">
        <v>105</v>
      </c>
      <c r="E717" s="18" t="s">
        <v>48</v>
      </c>
    </row>
    <row r="718" spans="1:5">
      <c r="A718" s="17">
        <v>717</v>
      </c>
      <c r="B718" s="18" t="s">
        <v>35</v>
      </c>
      <c r="C718" s="18" t="s">
        <v>811</v>
      </c>
      <c r="D718" s="18" t="s">
        <v>105</v>
      </c>
      <c r="E718" s="18" t="s">
        <v>48</v>
      </c>
    </row>
    <row r="719" spans="1:5">
      <c r="A719" s="17">
        <v>718</v>
      </c>
      <c r="B719" s="18" t="s">
        <v>35</v>
      </c>
      <c r="C719" s="18" t="s">
        <v>812</v>
      </c>
      <c r="D719" s="18" t="s">
        <v>105</v>
      </c>
      <c r="E719" s="18" t="s">
        <v>48</v>
      </c>
    </row>
    <row r="720" spans="1:5">
      <c r="A720" s="17">
        <v>719</v>
      </c>
      <c r="B720" s="18" t="s">
        <v>35</v>
      </c>
      <c r="C720" s="18" t="s">
        <v>813</v>
      </c>
      <c r="D720" s="18" t="s">
        <v>187</v>
      </c>
      <c r="E720" s="18" t="s">
        <v>48</v>
      </c>
    </row>
    <row r="721" spans="1:5">
      <c r="A721" s="17">
        <v>720</v>
      </c>
      <c r="B721" s="18" t="s">
        <v>35</v>
      </c>
      <c r="C721" s="18" t="s">
        <v>814</v>
      </c>
      <c r="D721" s="18" t="s">
        <v>187</v>
      </c>
      <c r="E721" s="18" t="s">
        <v>48</v>
      </c>
    </row>
    <row r="722" spans="1:5">
      <c r="A722" s="17">
        <v>721</v>
      </c>
      <c r="B722" s="18" t="s">
        <v>35</v>
      </c>
      <c r="C722" s="18" t="s">
        <v>815</v>
      </c>
      <c r="D722" s="18" t="s">
        <v>187</v>
      </c>
      <c r="E722" s="18" t="s">
        <v>48</v>
      </c>
    </row>
    <row r="723" spans="1:5">
      <c r="A723" s="17">
        <v>722</v>
      </c>
      <c r="B723" s="18" t="s">
        <v>35</v>
      </c>
      <c r="C723" s="18" t="s">
        <v>816</v>
      </c>
      <c r="D723" s="18" t="s">
        <v>187</v>
      </c>
      <c r="E723" s="18" t="s">
        <v>48</v>
      </c>
    </row>
    <row r="724" spans="1:5">
      <c r="A724" s="17">
        <v>723</v>
      </c>
      <c r="B724" s="18" t="s">
        <v>35</v>
      </c>
      <c r="C724" s="18" t="s">
        <v>817</v>
      </c>
      <c r="D724" s="18" t="s">
        <v>47</v>
      </c>
      <c r="E724" s="18" t="s">
        <v>48</v>
      </c>
    </row>
    <row r="725" spans="1:5">
      <c r="A725" s="17">
        <v>724</v>
      </c>
      <c r="B725" s="18" t="s">
        <v>35</v>
      </c>
      <c r="C725" s="18" t="s">
        <v>818</v>
      </c>
      <c r="D725" s="18" t="s">
        <v>819</v>
      </c>
      <c r="E725" s="18" t="s">
        <v>48</v>
      </c>
    </row>
    <row r="726" spans="1:5">
      <c r="A726" s="17">
        <v>725</v>
      </c>
      <c r="B726" s="18" t="s">
        <v>39</v>
      </c>
      <c r="C726" s="18" t="s">
        <v>820</v>
      </c>
      <c r="D726" s="18" t="s">
        <v>821</v>
      </c>
      <c r="E726" s="18" t="s">
        <v>822</v>
      </c>
    </row>
    <row r="727" spans="1:5">
      <c r="A727" s="17">
        <v>726</v>
      </c>
      <c r="B727" s="18" t="s">
        <v>35</v>
      </c>
      <c r="C727" s="18" t="s">
        <v>823</v>
      </c>
      <c r="D727" s="18" t="s">
        <v>105</v>
      </c>
      <c r="E727" s="18" t="s">
        <v>48</v>
      </c>
    </row>
    <row r="728" spans="1:5">
      <c r="A728" s="17">
        <v>727</v>
      </c>
      <c r="B728" s="18" t="s">
        <v>35</v>
      </c>
      <c r="C728" s="18" t="s">
        <v>824</v>
      </c>
      <c r="D728" s="18" t="s">
        <v>105</v>
      </c>
      <c r="E728" s="18" t="s">
        <v>48</v>
      </c>
    </row>
    <row r="729" spans="1:5">
      <c r="A729" s="17">
        <v>728</v>
      </c>
      <c r="B729" s="18" t="s">
        <v>35</v>
      </c>
      <c r="C729" s="18" t="s">
        <v>825</v>
      </c>
      <c r="D729" s="18" t="s">
        <v>105</v>
      </c>
      <c r="E729" s="18" t="s">
        <v>48</v>
      </c>
    </row>
    <row r="730" spans="1:5">
      <c r="A730" s="17">
        <v>729</v>
      </c>
      <c r="B730" s="18" t="s">
        <v>35</v>
      </c>
      <c r="C730" s="18" t="s">
        <v>826</v>
      </c>
      <c r="D730" s="18" t="s">
        <v>105</v>
      </c>
      <c r="E730" s="18" t="s">
        <v>48</v>
      </c>
    </row>
    <row r="731" spans="1:5">
      <c r="A731" s="17">
        <v>730</v>
      </c>
      <c r="B731" s="18" t="s">
        <v>35</v>
      </c>
      <c r="C731" s="18" t="s">
        <v>827</v>
      </c>
      <c r="D731" s="18" t="s">
        <v>105</v>
      </c>
      <c r="E731" s="18" t="s">
        <v>48</v>
      </c>
    </row>
    <row r="732" spans="1:5">
      <c r="A732" s="17">
        <v>731</v>
      </c>
      <c r="B732" s="18" t="s">
        <v>35</v>
      </c>
      <c r="C732" s="18" t="s">
        <v>828</v>
      </c>
      <c r="D732" s="18" t="s">
        <v>105</v>
      </c>
      <c r="E732" s="18" t="s">
        <v>48</v>
      </c>
    </row>
    <row r="733" spans="1:5">
      <c r="A733" s="17">
        <v>732</v>
      </c>
      <c r="B733" s="18" t="s">
        <v>35</v>
      </c>
      <c r="C733" s="18" t="s">
        <v>829</v>
      </c>
      <c r="D733" s="18" t="s">
        <v>105</v>
      </c>
      <c r="E733" s="18" t="s">
        <v>48</v>
      </c>
    </row>
    <row r="734" spans="1:5">
      <c r="A734" s="17">
        <v>733</v>
      </c>
      <c r="B734" s="18" t="s">
        <v>35</v>
      </c>
      <c r="C734" s="18" t="s">
        <v>830</v>
      </c>
      <c r="D734" s="18" t="s">
        <v>187</v>
      </c>
      <c r="E734" s="18" t="s">
        <v>48</v>
      </c>
    </row>
    <row r="735" spans="1:5">
      <c r="A735" s="17">
        <v>734</v>
      </c>
      <c r="B735" s="18" t="s">
        <v>35</v>
      </c>
      <c r="C735" s="18" t="s">
        <v>831</v>
      </c>
      <c r="D735" s="18" t="s">
        <v>187</v>
      </c>
      <c r="E735" s="18" t="s">
        <v>48</v>
      </c>
    </row>
    <row r="736" spans="1:5">
      <c r="A736" s="17">
        <v>735</v>
      </c>
      <c r="B736" s="18" t="s">
        <v>35</v>
      </c>
      <c r="C736" s="18" t="s">
        <v>832</v>
      </c>
      <c r="D736" s="18" t="s">
        <v>432</v>
      </c>
      <c r="E736" s="18" t="s">
        <v>377</v>
      </c>
    </row>
    <row r="737" spans="1:5">
      <c r="A737" s="17">
        <v>736</v>
      </c>
      <c r="B737" s="18" t="s">
        <v>35</v>
      </c>
      <c r="C737" s="18" t="s">
        <v>833</v>
      </c>
      <c r="D737" s="18" t="s">
        <v>393</v>
      </c>
      <c r="E737" s="18" t="s">
        <v>377</v>
      </c>
    </row>
    <row r="738" spans="1:5">
      <c r="A738" s="17">
        <v>737</v>
      </c>
      <c r="B738" s="18" t="s">
        <v>35</v>
      </c>
      <c r="C738" s="18" t="s">
        <v>834</v>
      </c>
      <c r="D738" s="18" t="s">
        <v>393</v>
      </c>
      <c r="E738" s="18" t="s">
        <v>377</v>
      </c>
    </row>
    <row r="739" spans="1:5">
      <c r="A739" s="17">
        <v>738</v>
      </c>
      <c r="B739" s="18" t="s">
        <v>35</v>
      </c>
      <c r="C739" s="18" t="s">
        <v>835</v>
      </c>
      <c r="D739" s="18" t="s">
        <v>393</v>
      </c>
      <c r="E739" s="18" t="s">
        <v>377</v>
      </c>
    </row>
    <row r="740" spans="1:5">
      <c r="A740" s="17">
        <v>739</v>
      </c>
      <c r="B740" s="18" t="s">
        <v>35</v>
      </c>
      <c r="C740" s="18" t="s">
        <v>836</v>
      </c>
      <c r="D740" s="18" t="s">
        <v>393</v>
      </c>
      <c r="E740" s="18" t="s">
        <v>377</v>
      </c>
    </row>
    <row r="741" spans="1:5">
      <c r="A741" s="17">
        <v>740</v>
      </c>
      <c r="B741" s="18" t="s">
        <v>35</v>
      </c>
      <c r="C741" s="18" t="s">
        <v>837</v>
      </c>
      <c r="D741" s="18" t="s">
        <v>398</v>
      </c>
      <c r="E741" s="18" t="s">
        <v>377</v>
      </c>
    </row>
    <row r="742" spans="1:5">
      <c r="A742" s="17">
        <v>741</v>
      </c>
      <c r="B742" s="18" t="s">
        <v>35</v>
      </c>
      <c r="C742" s="18" t="s">
        <v>838</v>
      </c>
      <c r="D742" s="18" t="s">
        <v>385</v>
      </c>
      <c r="E742" s="18" t="s">
        <v>377</v>
      </c>
    </row>
    <row r="743" spans="1:5">
      <c r="A743" s="17">
        <v>742</v>
      </c>
      <c r="B743" s="18" t="s">
        <v>35</v>
      </c>
      <c r="C743" s="18" t="s">
        <v>839</v>
      </c>
      <c r="D743" s="18" t="s">
        <v>393</v>
      </c>
      <c r="E743" s="18" t="s">
        <v>377</v>
      </c>
    </row>
    <row r="744" spans="1:5">
      <c r="A744" s="17">
        <v>743</v>
      </c>
      <c r="B744" s="18" t="s">
        <v>35</v>
      </c>
      <c r="C744" s="18" t="s">
        <v>840</v>
      </c>
      <c r="D744" s="18" t="s">
        <v>393</v>
      </c>
      <c r="E744" s="18" t="s">
        <v>377</v>
      </c>
    </row>
    <row r="745" spans="1:5">
      <c r="A745" s="17">
        <v>744</v>
      </c>
      <c r="B745" s="18" t="s">
        <v>35</v>
      </c>
      <c r="C745" s="18" t="s">
        <v>841</v>
      </c>
      <c r="D745" s="18" t="s">
        <v>385</v>
      </c>
      <c r="E745" s="18" t="s">
        <v>377</v>
      </c>
    </row>
    <row r="746" spans="1:5">
      <c r="A746" s="17">
        <v>745</v>
      </c>
      <c r="B746" s="18" t="s">
        <v>35</v>
      </c>
      <c r="C746" s="18" t="s">
        <v>842</v>
      </c>
      <c r="D746" s="18" t="s">
        <v>432</v>
      </c>
      <c r="E746" s="18" t="s">
        <v>377</v>
      </c>
    </row>
    <row r="747" spans="1:5">
      <c r="A747" s="17">
        <v>746</v>
      </c>
      <c r="B747" s="18" t="s">
        <v>35</v>
      </c>
      <c r="C747" s="18" t="s">
        <v>843</v>
      </c>
      <c r="D747" s="18" t="s">
        <v>393</v>
      </c>
      <c r="E747" s="18" t="s">
        <v>377</v>
      </c>
    </row>
    <row r="748" spans="1:5">
      <c r="A748" s="17">
        <v>747</v>
      </c>
      <c r="B748" s="18" t="s">
        <v>35</v>
      </c>
      <c r="C748" s="18" t="s">
        <v>844</v>
      </c>
      <c r="D748" s="18" t="s">
        <v>393</v>
      </c>
      <c r="E748" s="18" t="s">
        <v>377</v>
      </c>
    </row>
    <row r="749" spans="1:5">
      <c r="A749" s="17">
        <v>748</v>
      </c>
      <c r="B749" s="18" t="s">
        <v>35</v>
      </c>
      <c r="C749" s="18" t="s">
        <v>845</v>
      </c>
      <c r="D749" s="18" t="s">
        <v>393</v>
      </c>
      <c r="E749" s="18" t="s">
        <v>377</v>
      </c>
    </row>
    <row r="750" spans="1:5">
      <c r="A750" s="17">
        <v>749</v>
      </c>
      <c r="B750" s="18" t="s">
        <v>35</v>
      </c>
      <c r="C750" s="18" t="s">
        <v>846</v>
      </c>
      <c r="D750" s="18" t="s">
        <v>393</v>
      </c>
      <c r="E750" s="18" t="s">
        <v>377</v>
      </c>
    </row>
    <row r="751" spans="1:5">
      <c r="A751" s="17">
        <v>750</v>
      </c>
      <c r="B751" s="18" t="s">
        <v>35</v>
      </c>
      <c r="C751" s="18" t="s">
        <v>847</v>
      </c>
      <c r="D751" s="18" t="s">
        <v>385</v>
      </c>
      <c r="E751" s="18" t="s">
        <v>377</v>
      </c>
    </row>
    <row r="752" spans="1:5">
      <c r="A752" s="17">
        <v>751</v>
      </c>
      <c r="B752" s="18" t="s">
        <v>35</v>
      </c>
      <c r="C752" s="18" t="s">
        <v>848</v>
      </c>
      <c r="D752" s="18" t="s">
        <v>393</v>
      </c>
      <c r="E752" s="18" t="s">
        <v>377</v>
      </c>
    </row>
    <row r="753" spans="1:5">
      <c r="A753" s="17">
        <v>752</v>
      </c>
      <c r="B753" s="18" t="s">
        <v>35</v>
      </c>
      <c r="C753" s="18" t="s">
        <v>849</v>
      </c>
      <c r="D753" s="18" t="s">
        <v>393</v>
      </c>
      <c r="E753" s="18" t="s">
        <v>377</v>
      </c>
    </row>
    <row r="754" spans="1:5">
      <c r="A754" s="17">
        <v>753</v>
      </c>
      <c r="B754" s="18" t="s">
        <v>35</v>
      </c>
      <c r="C754" s="18" t="s">
        <v>850</v>
      </c>
      <c r="D754" s="18" t="s">
        <v>393</v>
      </c>
      <c r="E754" s="18" t="s">
        <v>377</v>
      </c>
    </row>
    <row r="755" spans="1:5">
      <c r="A755" s="17">
        <v>754</v>
      </c>
      <c r="B755" s="18" t="s">
        <v>35</v>
      </c>
      <c r="C755" s="18" t="s">
        <v>851</v>
      </c>
      <c r="D755" s="18" t="s">
        <v>432</v>
      </c>
      <c r="E755" s="18" t="s">
        <v>377</v>
      </c>
    </row>
    <row r="756" spans="1:5">
      <c r="A756" s="17">
        <v>755</v>
      </c>
      <c r="B756" s="18" t="s">
        <v>35</v>
      </c>
      <c r="C756" s="18" t="s">
        <v>852</v>
      </c>
      <c r="D756" s="18" t="s">
        <v>432</v>
      </c>
      <c r="E756" s="18" t="s">
        <v>377</v>
      </c>
    </row>
    <row r="757" spans="1:5">
      <c r="A757" s="17">
        <v>756</v>
      </c>
      <c r="B757" s="18" t="s">
        <v>35</v>
      </c>
      <c r="C757" s="18" t="s">
        <v>853</v>
      </c>
      <c r="D757" s="18" t="s">
        <v>393</v>
      </c>
      <c r="E757" s="18" t="s">
        <v>377</v>
      </c>
    </row>
    <row r="758" spans="1:5">
      <c r="A758" s="17">
        <v>757</v>
      </c>
      <c r="B758" s="18" t="s">
        <v>35</v>
      </c>
      <c r="C758" s="18" t="s">
        <v>854</v>
      </c>
      <c r="D758" s="18" t="s">
        <v>393</v>
      </c>
      <c r="E758" s="18" t="s">
        <v>377</v>
      </c>
    </row>
    <row r="759" spans="1:5">
      <c r="A759" s="17">
        <v>758</v>
      </c>
      <c r="B759" s="18" t="s">
        <v>35</v>
      </c>
      <c r="C759" s="18" t="s">
        <v>855</v>
      </c>
      <c r="D759" s="18" t="s">
        <v>422</v>
      </c>
      <c r="E759" s="18" t="s">
        <v>377</v>
      </c>
    </row>
    <row r="760" spans="1:5">
      <c r="A760" s="17">
        <v>759</v>
      </c>
      <c r="B760" s="18" t="s">
        <v>35</v>
      </c>
      <c r="C760" s="18" t="s">
        <v>856</v>
      </c>
      <c r="D760" s="18" t="s">
        <v>398</v>
      </c>
      <c r="E760" s="18" t="s">
        <v>377</v>
      </c>
    </row>
    <row r="761" spans="1:5">
      <c r="A761" s="17">
        <v>760</v>
      </c>
      <c r="B761" s="18" t="s">
        <v>35</v>
      </c>
      <c r="C761" s="18" t="s">
        <v>857</v>
      </c>
      <c r="D761" s="18" t="s">
        <v>393</v>
      </c>
      <c r="E761" s="18" t="s">
        <v>377</v>
      </c>
    </row>
    <row r="762" spans="1:5">
      <c r="A762" s="17">
        <v>761</v>
      </c>
      <c r="B762" s="18" t="s">
        <v>35</v>
      </c>
      <c r="C762" s="18" t="s">
        <v>858</v>
      </c>
      <c r="D762" s="18" t="s">
        <v>859</v>
      </c>
      <c r="E762" s="18" t="s">
        <v>860</v>
      </c>
    </row>
    <row r="763" spans="1:5">
      <c r="A763" s="17">
        <v>762</v>
      </c>
      <c r="B763" s="18" t="s">
        <v>35</v>
      </c>
      <c r="C763" s="18" t="s">
        <v>861</v>
      </c>
      <c r="D763" s="18" t="s">
        <v>393</v>
      </c>
      <c r="E763" s="18" t="s">
        <v>377</v>
      </c>
    </row>
    <row r="764" spans="1:5">
      <c r="A764" s="17">
        <v>763</v>
      </c>
      <c r="B764" s="18" t="s">
        <v>35</v>
      </c>
      <c r="C764" s="18" t="s">
        <v>862</v>
      </c>
      <c r="D764" s="18" t="s">
        <v>398</v>
      </c>
      <c r="E764" s="18" t="s">
        <v>377</v>
      </c>
    </row>
    <row r="765" spans="1:5">
      <c r="A765" s="17">
        <v>764</v>
      </c>
      <c r="B765" s="18" t="s">
        <v>35</v>
      </c>
      <c r="C765" s="18" t="s">
        <v>863</v>
      </c>
      <c r="D765" s="18" t="s">
        <v>422</v>
      </c>
      <c r="E765" s="18" t="s">
        <v>377</v>
      </c>
    </row>
    <row r="766" spans="1:5">
      <c r="A766" s="17">
        <v>765</v>
      </c>
      <c r="B766" s="18" t="s">
        <v>35</v>
      </c>
      <c r="C766" s="18" t="s">
        <v>864</v>
      </c>
      <c r="D766" s="18" t="s">
        <v>422</v>
      </c>
      <c r="E766" s="18" t="s">
        <v>377</v>
      </c>
    </row>
    <row r="767" spans="1:5">
      <c r="A767" s="17">
        <v>766</v>
      </c>
      <c r="B767" s="18" t="s">
        <v>35</v>
      </c>
      <c r="C767" s="18" t="s">
        <v>865</v>
      </c>
      <c r="D767" s="18" t="s">
        <v>398</v>
      </c>
      <c r="E767" s="18" t="s">
        <v>377</v>
      </c>
    </row>
    <row r="768" spans="1:5">
      <c r="A768" s="17">
        <v>767</v>
      </c>
      <c r="B768" s="18" t="s">
        <v>35</v>
      </c>
      <c r="C768" s="18" t="s">
        <v>866</v>
      </c>
      <c r="D768" s="18" t="s">
        <v>422</v>
      </c>
      <c r="E768" s="18" t="s">
        <v>377</v>
      </c>
    </row>
    <row r="769" spans="1:5">
      <c r="A769" s="17">
        <v>768</v>
      </c>
      <c r="B769" s="18" t="s">
        <v>35</v>
      </c>
      <c r="C769" s="18" t="s">
        <v>867</v>
      </c>
      <c r="D769" s="18" t="s">
        <v>422</v>
      </c>
      <c r="E769" s="18" t="s">
        <v>377</v>
      </c>
    </row>
    <row r="770" spans="1:5">
      <c r="A770" s="17">
        <v>769</v>
      </c>
      <c r="B770" s="18" t="s">
        <v>35</v>
      </c>
      <c r="C770" s="18" t="s">
        <v>868</v>
      </c>
      <c r="D770" s="18" t="s">
        <v>393</v>
      </c>
      <c r="E770" s="18" t="s">
        <v>377</v>
      </c>
    </row>
    <row r="771" spans="1:5">
      <c r="A771" s="17">
        <v>770</v>
      </c>
      <c r="B771" s="18" t="s">
        <v>35</v>
      </c>
      <c r="C771" s="18" t="s">
        <v>869</v>
      </c>
      <c r="D771" s="18" t="s">
        <v>393</v>
      </c>
      <c r="E771" s="18" t="s">
        <v>377</v>
      </c>
    </row>
    <row r="772" spans="1:5">
      <c r="A772" s="17">
        <v>771</v>
      </c>
      <c r="B772" s="18" t="s">
        <v>35</v>
      </c>
      <c r="C772" s="18" t="s">
        <v>870</v>
      </c>
      <c r="D772" s="18" t="s">
        <v>398</v>
      </c>
      <c r="E772" s="18" t="s">
        <v>377</v>
      </c>
    </row>
    <row r="773" spans="1:5">
      <c r="A773" s="17">
        <v>772</v>
      </c>
      <c r="B773" s="18" t="s">
        <v>35</v>
      </c>
      <c r="C773" s="18" t="s">
        <v>871</v>
      </c>
      <c r="D773" s="18" t="s">
        <v>872</v>
      </c>
      <c r="E773" s="18" t="s">
        <v>377</v>
      </c>
    </row>
    <row r="774" spans="1:5">
      <c r="A774" s="17">
        <v>773</v>
      </c>
      <c r="B774" s="18" t="s">
        <v>35</v>
      </c>
      <c r="C774" s="18" t="s">
        <v>873</v>
      </c>
      <c r="D774" s="18" t="s">
        <v>393</v>
      </c>
      <c r="E774" s="18" t="s">
        <v>377</v>
      </c>
    </row>
    <row r="775" spans="1:5">
      <c r="A775" s="17">
        <v>774</v>
      </c>
      <c r="B775" s="18" t="s">
        <v>35</v>
      </c>
      <c r="C775" s="18" t="s">
        <v>874</v>
      </c>
      <c r="D775" s="18" t="s">
        <v>398</v>
      </c>
      <c r="E775" s="18" t="s">
        <v>377</v>
      </c>
    </row>
    <row r="776" spans="1:5">
      <c r="A776" s="17">
        <v>775</v>
      </c>
      <c r="B776" s="18" t="s">
        <v>35</v>
      </c>
      <c r="C776" s="18" t="s">
        <v>875</v>
      </c>
      <c r="D776" s="18" t="s">
        <v>432</v>
      </c>
      <c r="E776" s="18" t="s">
        <v>377</v>
      </c>
    </row>
    <row r="777" spans="1:5">
      <c r="A777" s="17">
        <v>776</v>
      </c>
      <c r="B777" s="18" t="s">
        <v>35</v>
      </c>
      <c r="C777" s="18" t="s">
        <v>876</v>
      </c>
      <c r="D777" s="18" t="s">
        <v>393</v>
      </c>
      <c r="E777" s="18" t="s">
        <v>377</v>
      </c>
    </row>
    <row r="778" spans="1:5">
      <c r="A778" s="17">
        <v>777</v>
      </c>
      <c r="B778" s="18" t="s">
        <v>35</v>
      </c>
      <c r="C778" s="18" t="s">
        <v>877</v>
      </c>
      <c r="D778" s="18" t="s">
        <v>422</v>
      </c>
      <c r="E778" s="18" t="s">
        <v>377</v>
      </c>
    </row>
    <row r="779" spans="1:5">
      <c r="A779" s="17">
        <v>778</v>
      </c>
      <c r="B779" s="18" t="s">
        <v>35</v>
      </c>
      <c r="C779" s="18" t="s">
        <v>878</v>
      </c>
      <c r="D779" s="18" t="s">
        <v>398</v>
      </c>
      <c r="E779" s="18" t="s">
        <v>377</v>
      </c>
    </row>
    <row r="780" spans="1:5">
      <c r="A780" s="17">
        <v>779</v>
      </c>
      <c r="B780" s="18" t="s">
        <v>35</v>
      </c>
      <c r="C780" s="18" t="s">
        <v>879</v>
      </c>
      <c r="D780" s="18" t="s">
        <v>393</v>
      </c>
      <c r="E780" s="18" t="s">
        <v>377</v>
      </c>
    </row>
    <row r="781" spans="1:5">
      <c r="A781" s="17">
        <v>780</v>
      </c>
      <c r="B781" s="18" t="s">
        <v>35</v>
      </c>
      <c r="C781" s="18" t="s">
        <v>880</v>
      </c>
      <c r="D781" s="18" t="s">
        <v>398</v>
      </c>
      <c r="E781" s="18" t="s">
        <v>377</v>
      </c>
    </row>
    <row r="782" spans="1:5">
      <c r="A782" s="17">
        <v>781</v>
      </c>
      <c r="B782" s="18" t="s">
        <v>35</v>
      </c>
      <c r="C782" s="18" t="s">
        <v>881</v>
      </c>
      <c r="D782" s="18" t="s">
        <v>422</v>
      </c>
      <c r="E782" s="18" t="s">
        <v>377</v>
      </c>
    </row>
    <row r="783" spans="1:5">
      <c r="A783" s="17">
        <v>782</v>
      </c>
      <c r="B783" s="18" t="s">
        <v>35</v>
      </c>
      <c r="C783" s="18" t="s">
        <v>882</v>
      </c>
      <c r="D783" s="18" t="s">
        <v>422</v>
      </c>
      <c r="E783" s="18" t="s">
        <v>377</v>
      </c>
    </row>
    <row r="784" spans="1:5">
      <c r="A784" s="17">
        <v>783</v>
      </c>
      <c r="B784" s="18" t="s">
        <v>35</v>
      </c>
      <c r="C784" s="18" t="s">
        <v>883</v>
      </c>
      <c r="D784" s="18" t="s">
        <v>398</v>
      </c>
      <c r="E784" s="18" t="s">
        <v>377</v>
      </c>
    </row>
    <row r="785" spans="1:5">
      <c r="A785" s="17">
        <v>784</v>
      </c>
      <c r="B785" s="18" t="s">
        <v>35</v>
      </c>
      <c r="C785" s="18" t="s">
        <v>884</v>
      </c>
      <c r="D785" s="18" t="s">
        <v>393</v>
      </c>
      <c r="E785" s="18" t="s">
        <v>377</v>
      </c>
    </row>
    <row r="786" spans="1:5">
      <c r="A786" s="17">
        <v>785</v>
      </c>
      <c r="B786" s="18" t="s">
        <v>35</v>
      </c>
      <c r="C786" s="18" t="s">
        <v>885</v>
      </c>
      <c r="D786" s="18" t="s">
        <v>422</v>
      </c>
      <c r="E786" s="18" t="s">
        <v>377</v>
      </c>
    </row>
    <row r="787" spans="1:5">
      <c r="A787" s="17">
        <v>786</v>
      </c>
      <c r="B787" s="18" t="s">
        <v>35</v>
      </c>
      <c r="C787" s="18" t="s">
        <v>886</v>
      </c>
      <c r="D787" s="18" t="s">
        <v>393</v>
      </c>
      <c r="E787" s="18" t="s">
        <v>377</v>
      </c>
    </row>
    <row r="788" spans="1:5">
      <c r="A788" s="17">
        <v>787</v>
      </c>
      <c r="B788" s="18" t="s">
        <v>35</v>
      </c>
      <c r="C788" s="18" t="s">
        <v>887</v>
      </c>
      <c r="D788" s="18" t="s">
        <v>422</v>
      </c>
      <c r="E788" s="18" t="s">
        <v>377</v>
      </c>
    </row>
    <row r="789" spans="1:5">
      <c r="A789" s="17">
        <v>788</v>
      </c>
      <c r="B789" s="18" t="s">
        <v>35</v>
      </c>
      <c r="C789" s="18" t="s">
        <v>888</v>
      </c>
      <c r="D789" s="18" t="s">
        <v>393</v>
      </c>
      <c r="E789" s="18" t="s">
        <v>377</v>
      </c>
    </row>
    <row r="790" spans="1:5">
      <c r="A790" s="17">
        <v>789</v>
      </c>
      <c r="B790" s="18" t="s">
        <v>35</v>
      </c>
      <c r="C790" s="18" t="s">
        <v>889</v>
      </c>
      <c r="D790" s="18" t="s">
        <v>393</v>
      </c>
      <c r="E790" s="18" t="s">
        <v>377</v>
      </c>
    </row>
    <row r="791" spans="1:5">
      <c r="A791" s="17">
        <v>790</v>
      </c>
      <c r="B791" s="18" t="s">
        <v>35</v>
      </c>
      <c r="C791" s="18" t="s">
        <v>890</v>
      </c>
      <c r="D791" s="18" t="s">
        <v>398</v>
      </c>
      <c r="E791" s="18" t="s">
        <v>377</v>
      </c>
    </row>
    <row r="792" spans="1:5">
      <c r="A792" s="17">
        <v>791</v>
      </c>
      <c r="B792" s="18" t="s">
        <v>35</v>
      </c>
      <c r="C792" s="18" t="s">
        <v>891</v>
      </c>
      <c r="D792" s="18" t="s">
        <v>398</v>
      </c>
      <c r="E792" s="18" t="s">
        <v>377</v>
      </c>
    </row>
    <row r="793" spans="1:5">
      <c r="A793" s="17">
        <v>792</v>
      </c>
      <c r="B793" s="18" t="s">
        <v>35</v>
      </c>
      <c r="C793" s="18" t="s">
        <v>892</v>
      </c>
      <c r="D793" s="18" t="s">
        <v>385</v>
      </c>
      <c r="E793" s="18" t="s">
        <v>377</v>
      </c>
    </row>
    <row r="794" spans="1:5">
      <c r="A794" s="17">
        <v>793</v>
      </c>
      <c r="B794" s="18" t="s">
        <v>35</v>
      </c>
      <c r="C794" s="18" t="s">
        <v>893</v>
      </c>
      <c r="D794" s="18" t="s">
        <v>422</v>
      </c>
      <c r="E794" s="18" t="s">
        <v>377</v>
      </c>
    </row>
    <row r="795" spans="1:5">
      <c r="A795" s="17">
        <v>794</v>
      </c>
      <c r="B795" s="18" t="s">
        <v>35</v>
      </c>
      <c r="C795" s="18" t="s">
        <v>894</v>
      </c>
      <c r="D795" s="18" t="s">
        <v>422</v>
      </c>
      <c r="E795" s="18" t="s">
        <v>377</v>
      </c>
    </row>
    <row r="796" spans="1:5">
      <c r="A796" s="17">
        <v>795</v>
      </c>
      <c r="B796" s="18" t="s">
        <v>35</v>
      </c>
      <c r="C796" s="18" t="s">
        <v>895</v>
      </c>
      <c r="D796" s="18" t="s">
        <v>398</v>
      </c>
      <c r="E796" s="18" t="s">
        <v>377</v>
      </c>
    </row>
    <row r="797" spans="1:5">
      <c r="A797" s="17">
        <v>796</v>
      </c>
      <c r="B797" s="18" t="s">
        <v>35</v>
      </c>
      <c r="C797" s="18" t="s">
        <v>896</v>
      </c>
      <c r="D797" s="18" t="s">
        <v>398</v>
      </c>
      <c r="E797" s="18" t="s">
        <v>377</v>
      </c>
    </row>
    <row r="798" spans="1:5">
      <c r="A798" s="17">
        <v>797</v>
      </c>
      <c r="B798" s="18" t="s">
        <v>35</v>
      </c>
      <c r="C798" s="18" t="s">
        <v>897</v>
      </c>
      <c r="D798" s="18" t="s">
        <v>393</v>
      </c>
      <c r="E798" s="18" t="s">
        <v>377</v>
      </c>
    </row>
    <row r="799" spans="1:5">
      <c r="A799" s="17">
        <v>798</v>
      </c>
      <c r="B799" s="18" t="s">
        <v>35</v>
      </c>
      <c r="C799" s="18" t="s">
        <v>898</v>
      </c>
      <c r="D799" s="18" t="s">
        <v>393</v>
      </c>
      <c r="E799" s="18" t="s">
        <v>377</v>
      </c>
    </row>
    <row r="800" spans="1:5">
      <c r="A800" s="17">
        <v>799</v>
      </c>
      <c r="B800" s="18" t="s">
        <v>35</v>
      </c>
      <c r="C800" s="18" t="s">
        <v>899</v>
      </c>
      <c r="D800" s="18" t="s">
        <v>393</v>
      </c>
      <c r="E800" s="18" t="s">
        <v>377</v>
      </c>
    </row>
    <row r="801" spans="1:5">
      <c r="A801" s="17">
        <v>800</v>
      </c>
      <c r="B801" s="18" t="s">
        <v>35</v>
      </c>
      <c r="C801" s="18" t="s">
        <v>900</v>
      </c>
      <c r="D801" s="18" t="s">
        <v>422</v>
      </c>
      <c r="E801" s="18" t="s">
        <v>377</v>
      </c>
    </row>
    <row r="802" spans="1:5">
      <c r="A802" s="17">
        <v>801</v>
      </c>
      <c r="B802" s="18" t="s">
        <v>35</v>
      </c>
      <c r="C802" s="18" t="s">
        <v>901</v>
      </c>
      <c r="D802" s="18" t="s">
        <v>393</v>
      </c>
      <c r="E802" s="18" t="s">
        <v>377</v>
      </c>
    </row>
    <row r="803" spans="1:5">
      <c r="A803" s="17">
        <v>802</v>
      </c>
      <c r="B803" s="18" t="s">
        <v>35</v>
      </c>
      <c r="C803" s="18" t="s">
        <v>902</v>
      </c>
      <c r="D803" s="18" t="s">
        <v>422</v>
      </c>
      <c r="E803" s="18" t="s">
        <v>377</v>
      </c>
    </row>
    <row r="804" spans="1:5">
      <c r="A804" s="17">
        <v>803</v>
      </c>
      <c r="B804" s="18" t="s">
        <v>35</v>
      </c>
      <c r="C804" s="18" t="s">
        <v>903</v>
      </c>
      <c r="D804" s="18" t="s">
        <v>398</v>
      </c>
      <c r="E804" s="18" t="s">
        <v>377</v>
      </c>
    </row>
    <row r="805" spans="1:5">
      <c r="A805" s="17">
        <v>804</v>
      </c>
      <c r="B805" s="18" t="s">
        <v>35</v>
      </c>
      <c r="C805" s="18" t="s">
        <v>904</v>
      </c>
      <c r="D805" s="18" t="s">
        <v>398</v>
      </c>
      <c r="E805" s="18" t="s">
        <v>377</v>
      </c>
    </row>
    <row r="806" spans="1:5">
      <c r="A806" s="17">
        <v>805</v>
      </c>
      <c r="B806" s="18" t="s">
        <v>35</v>
      </c>
      <c r="C806" s="18" t="s">
        <v>905</v>
      </c>
      <c r="D806" s="18" t="s">
        <v>872</v>
      </c>
      <c r="E806" s="18" t="s">
        <v>377</v>
      </c>
    </row>
    <row r="807" spans="1:5">
      <c r="A807" s="17">
        <v>806</v>
      </c>
      <c r="B807" s="18" t="s">
        <v>35</v>
      </c>
      <c r="C807" s="18" t="s">
        <v>906</v>
      </c>
      <c r="D807" s="18" t="s">
        <v>422</v>
      </c>
      <c r="E807" s="18" t="s">
        <v>377</v>
      </c>
    </row>
    <row r="808" spans="1:5">
      <c r="A808" s="17">
        <v>807</v>
      </c>
      <c r="B808" s="18" t="s">
        <v>35</v>
      </c>
      <c r="C808" s="18" t="s">
        <v>907</v>
      </c>
      <c r="D808" s="18" t="s">
        <v>422</v>
      </c>
      <c r="E808" s="18" t="s">
        <v>377</v>
      </c>
    </row>
    <row r="809" spans="1:5">
      <c r="A809" s="17">
        <v>808</v>
      </c>
      <c r="B809" s="18" t="s">
        <v>35</v>
      </c>
      <c r="C809" s="18" t="s">
        <v>908</v>
      </c>
      <c r="D809" s="18" t="s">
        <v>398</v>
      </c>
      <c r="E809" s="18" t="s">
        <v>377</v>
      </c>
    </row>
    <row r="810" spans="1:5">
      <c r="A810" s="17">
        <v>809</v>
      </c>
      <c r="B810" s="18" t="s">
        <v>35</v>
      </c>
      <c r="C810" s="18" t="s">
        <v>909</v>
      </c>
      <c r="D810" s="18" t="s">
        <v>393</v>
      </c>
      <c r="E810" s="18" t="s">
        <v>377</v>
      </c>
    </row>
    <row r="811" spans="1:5">
      <c r="A811" s="17">
        <v>810</v>
      </c>
      <c r="B811" s="18" t="s">
        <v>35</v>
      </c>
      <c r="C811" s="18" t="s">
        <v>910</v>
      </c>
      <c r="D811" s="18" t="s">
        <v>398</v>
      </c>
      <c r="E811" s="18" t="s">
        <v>377</v>
      </c>
    </row>
    <row r="812" spans="1:5">
      <c r="A812" s="17">
        <v>811</v>
      </c>
      <c r="B812" s="18" t="s">
        <v>35</v>
      </c>
      <c r="C812" s="18" t="s">
        <v>911</v>
      </c>
      <c r="D812" s="18" t="s">
        <v>393</v>
      </c>
      <c r="E812" s="18" t="s">
        <v>377</v>
      </c>
    </row>
    <row r="813" spans="1:5">
      <c r="A813" s="17">
        <v>812</v>
      </c>
      <c r="B813" s="18" t="s">
        <v>35</v>
      </c>
      <c r="C813" s="18" t="s">
        <v>912</v>
      </c>
      <c r="D813" s="18" t="s">
        <v>398</v>
      </c>
      <c r="E813" s="18" t="s">
        <v>377</v>
      </c>
    </row>
    <row r="814" spans="1:5">
      <c r="A814" s="17">
        <v>813</v>
      </c>
      <c r="B814" s="18" t="s">
        <v>35</v>
      </c>
      <c r="C814" s="18" t="s">
        <v>913</v>
      </c>
      <c r="D814" s="18" t="s">
        <v>393</v>
      </c>
      <c r="E814" s="18" t="s">
        <v>377</v>
      </c>
    </row>
    <row r="815" spans="1:5">
      <c r="A815" s="17">
        <v>814</v>
      </c>
      <c r="B815" s="18" t="s">
        <v>35</v>
      </c>
      <c r="C815" s="18" t="s">
        <v>914</v>
      </c>
      <c r="D815" s="18" t="s">
        <v>393</v>
      </c>
      <c r="E815" s="18" t="s">
        <v>377</v>
      </c>
    </row>
    <row r="816" spans="1:5">
      <c r="A816" s="17">
        <v>815</v>
      </c>
      <c r="B816" s="18" t="s">
        <v>35</v>
      </c>
      <c r="C816" s="18" t="s">
        <v>915</v>
      </c>
      <c r="D816" s="18" t="s">
        <v>422</v>
      </c>
      <c r="E816" s="18" t="s">
        <v>377</v>
      </c>
    </row>
    <row r="817" spans="1:5">
      <c r="A817" s="17">
        <v>816</v>
      </c>
      <c r="B817" s="18" t="s">
        <v>35</v>
      </c>
      <c r="C817" s="18" t="s">
        <v>916</v>
      </c>
      <c r="D817" s="18" t="s">
        <v>432</v>
      </c>
      <c r="E817" s="18" t="s">
        <v>377</v>
      </c>
    </row>
    <row r="818" spans="1:5">
      <c r="A818" s="17">
        <v>817</v>
      </c>
      <c r="B818" s="18" t="s">
        <v>35</v>
      </c>
      <c r="C818" s="18" t="s">
        <v>917</v>
      </c>
      <c r="D818" s="18" t="s">
        <v>385</v>
      </c>
      <c r="E818" s="18" t="s">
        <v>377</v>
      </c>
    </row>
    <row r="819" spans="1:5">
      <c r="A819" s="17">
        <v>818</v>
      </c>
      <c r="B819" s="18" t="s">
        <v>35</v>
      </c>
      <c r="C819" s="18" t="s">
        <v>918</v>
      </c>
      <c r="D819" s="18" t="s">
        <v>422</v>
      </c>
      <c r="E819" s="18" t="s">
        <v>377</v>
      </c>
    </row>
    <row r="820" spans="1:5">
      <c r="A820" s="17">
        <v>819</v>
      </c>
      <c r="B820" s="18" t="s">
        <v>35</v>
      </c>
      <c r="C820" s="18" t="s">
        <v>919</v>
      </c>
      <c r="D820" s="18" t="s">
        <v>393</v>
      </c>
      <c r="E820" s="18" t="s">
        <v>377</v>
      </c>
    </row>
    <row r="821" spans="1:5">
      <c r="A821" s="17">
        <v>820</v>
      </c>
      <c r="B821" s="18" t="s">
        <v>35</v>
      </c>
      <c r="C821" s="18" t="s">
        <v>920</v>
      </c>
      <c r="D821" s="18" t="s">
        <v>422</v>
      </c>
      <c r="E821" s="18" t="s">
        <v>377</v>
      </c>
    </row>
    <row r="822" spans="1:5">
      <c r="A822" s="17">
        <v>821</v>
      </c>
      <c r="B822" s="18" t="s">
        <v>35</v>
      </c>
      <c r="C822" s="18" t="s">
        <v>921</v>
      </c>
      <c r="D822" s="18" t="s">
        <v>393</v>
      </c>
      <c r="E822" s="18" t="s">
        <v>377</v>
      </c>
    </row>
    <row r="823" spans="1:5">
      <c r="A823" s="17">
        <v>822</v>
      </c>
      <c r="B823" s="18" t="s">
        <v>35</v>
      </c>
      <c r="C823" s="18" t="s">
        <v>922</v>
      </c>
      <c r="D823" s="18" t="s">
        <v>398</v>
      </c>
      <c r="E823" s="18" t="s">
        <v>377</v>
      </c>
    </row>
    <row r="824" spans="1:5">
      <c r="A824" s="17">
        <v>823</v>
      </c>
      <c r="B824" s="18" t="s">
        <v>35</v>
      </c>
      <c r="C824" s="18" t="s">
        <v>923</v>
      </c>
      <c r="D824" s="18" t="s">
        <v>393</v>
      </c>
      <c r="E824" s="18" t="s">
        <v>377</v>
      </c>
    </row>
    <row r="825" spans="1:5">
      <c r="A825" s="17">
        <v>824</v>
      </c>
      <c r="B825" s="18" t="s">
        <v>35</v>
      </c>
      <c r="C825" s="18" t="s">
        <v>924</v>
      </c>
      <c r="D825" s="18" t="s">
        <v>37</v>
      </c>
      <c r="E825" s="18" t="s">
        <v>38</v>
      </c>
    </row>
    <row r="826" spans="1:5">
      <c r="A826" s="17">
        <v>825</v>
      </c>
      <c r="B826" s="18" t="s">
        <v>35</v>
      </c>
      <c r="C826" s="18" t="s">
        <v>925</v>
      </c>
      <c r="D826" s="18" t="s">
        <v>653</v>
      </c>
      <c r="E826" s="18" t="s">
        <v>48</v>
      </c>
    </row>
    <row r="827" spans="1:5">
      <c r="A827" s="17">
        <v>826</v>
      </c>
      <c r="B827" s="18" t="s">
        <v>35</v>
      </c>
      <c r="C827" s="18" t="s">
        <v>926</v>
      </c>
      <c r="D827" s="18" t="s">
        <v>47</v>
      </c>
      <c r="E827" s="18" t="s">
        <v>48</v>
      </c>
    </row>
    <row r="828" spans="1:5">
      <c r="A828" s="17">
        <v>827</v>
      </c>
      <c r="B828" s="18" t="s">
        <v>35</v>
      </c>
      <c r="C828" s="18" t="s">
        <v>927</v>
      </c>
      <c r="D828" s="18" t="s">
        <v>47</v>
      </c>
      <c r="E828" s="18" t="s">
        <v>48</v>
      </c>
    </row>
    <row r="829" spans="1:5">
      <c r="A829" s="17">
        <v>828</v>
      </c>
      <c r="B829" s="18" t="s">
        <v>35</v>
      </c>
      <c r="C829" s="18" t="s">
        <v>928</v>
      </c>
      <c r="D829" s="18" t="s">
        <v>929</v>
      </c>
      <c r="E829" s="18" t="s">
        <v>930</v>
      </c>
    </row>
    <row r="830" spans="1:5">
      <c r="A830" s="17">
        <v>829</v>
      </c>
      <c r="B830" s="18" t="s">
        <v>35</v>
      </c>
      <c r="C830" s="18" t="s">
        <v>931</v>
      </c>
      <c r="D830" s="18" t="s">
        <v>105</v>
      </c>
      <c r="E830" s="18" t="s">
        <v>48</v>
      </c>
    </row>
    <row r="831" spans="1:5">
      <c r="A831" s="17">
        <v>830</v>
      </c>
      <c r="B831" s="18" t="s">
        <v>35</v>
      </c>
      <c r="C831" s="18" t="s">
        <v>932</v>
      </c>
      <c r="D831" s="18" t="s">
        <v>105</v>
      </c>
      <c r="E831" s="18" t="s">
        <v>48</v>
      </c>
    </row>
    <row r="832" spans="1:5">
      <c r="A832" s="17">
        <v>831</v>
      </c>
      <c r="B832" s="18" t="s">
        <v>35</v>
      </c>
      <c r="C832" s="18" t="s">
        <v>933</v>
      </c>
      <c r="D832" s="18" t="s">
        <v>105</v>
      </c>
      <c r="E832" s="18" t="s">
        <v>48</v>
      </c>
    </row>
    <row r="833" spans="1:5">
      <c r="A833" s="17">
        <v>832</v>
      </c>
      <c r="B833" s="18" t="s">
        <v>35</v>
      </c>
      <c r="C833" s="18" t="s">
        <v>934</v>
      </c>
      <c r="D833" s="18" t="s">
        <v>105</v>
      </c>
      <c r="E833" s="18" t="s">
        <v>48</v>
      </c>
    </row>
    <row r="834" spans="1:5">
      <c r="A834" s="17">
        <v>833</v>
      </c>
      <c r="B834" s="18" t="s">
        <v>35</v>
      </c>
      <c r="C834" s="18" t="s">
        <v>935</v>
      </c>
      <c r="D834" s="18" t="s">
        <v>105</v>
      </c>
      <c r="E834" s="18" t="s">
        <v>48</v>
      </c>
    </row>
    <row r="835" spans="1:5">
      <c r="A835" s="17">
        <v>834</v>
      </c>
      <c r="B835" s="18" t="s">
        <v>35</v>
      </c>
      <c r="C835" s="18" t="s">
        <v>936</v>
      </c>
      <c r="D835" s="18" t="s">
        <v>105</v>
      </c>
      <c r="E835" s="18" t="s">
        <v>48</v>
      </c>
    </row>
    <row r="836" spans="1:5">
      <c r="A836" s="17">
        <v>835</v>
      </c>
      <c r="B836" s="18" t="s">
        <v>35</v>
      </c>
      <c r="C836" s="18" t="s">
        <v>937</v>
      </c>
      <c r="D836" s="18" t="s">
        <v>105</v>
      </c>
      <c r="E836" s="18" t="s">
        <v>48</v>
      </c>
    </row>
    <row r="837" spans="1:5">
      <c r="A837" s="17">
        <v>836</v>
      </c>
      <c r="B837" s="18" t="s">
        <v>35</v>
      </c>
      <c r="C837" s="18" t="s">
        <v>938</v>
      </c>
      <c r="D837" s="18" t="s">
        <v>105</v>
      </c>
      <c r="E837" s="18" t="s">
        <v>48</v>
      </c>
    </row>
    <row r="838" spans="1:5">
      <c r="A838" s="17">
        <v>837</v>
      </c>
      <c r="B838" s="18" t="s">
        <v>35</v>
      </c>
      <c r="C838" s="18" t="s">
        <v>939</v>
      </c>
      <c r="D838" s="18" t="s">
        <v>105</v>
      </c>
      <c r="E838" s="18" t="s">
        <v>48</v>
      </c>
    </row>
    <row r="839" spans="1:5">
      <c r="A839" s="17">
        <v>838</v>
      </c>
      <c r="B839" s="18" t="s">
        <v>35</v>
      </c>
      <c r="C839" s="18" t="s">
        <v>940</v>
      </c>
      <c r="D839" s="18" t="s">
        <v>187</v>
      </c>
      <c r="E839" s="18" t="s">
        <v>48</v>
      </c>
    </row>
    <row r="840" spans="1:5">
      <c r="A840" s="17">
        <v>839</v>
      </c>
      <c r="B840" s="18" t="s">
        <v>35</v>
      </c>
      <c r="C840" s="18" t="s">
        <v>941</v>
      </c>
      <c r="D840" s="18" t="s">
        <v>47</v>
      </c>
      <c r="E840" s="18" t="s">
        <v>48</v>
      </c>
    </row>
    <row r="841" spans="1:5">
      <c r="A841" s="17">
        <v>840</v>
      </c>
      <c r="B841" s="18" t="s">
        <v>35</v>
      </c>
      <c r="C841" s="18" t="s">
        <v>942</v>
      </c>
      <c r="D841" s="18" t="s">
        <v>47</v>
      </c>
      <c r="E841" s="18" t="s">
        <v>48</v>
      </c>
    </row>
    <row r="842" spans="1:5">
      <c r="A842" s="17">
        <v>841</v>
      </c>
      <c r="B842" s="18" t="s">
        <v>35</v>
      </c>
      <c r="C842" s="18" t="s">
        <v>943</v>
      </c>
      <c r="D842" s="18" t="s">
        <v>95</v>
      </c>
      <c r="E842" s="18" t="s">
        <v>48</v>
      </c>
    </row>
    <row r="843" spans="1:5">
      <c r="A843" s="17">
        <v>842</v>
      </c>
      <c r="B843" s="18" t="s">
        <v>35</v>
      </c>
      <c r="C843" s="18" t="s">
        <v>944</v>
      </c>
      <c r="D843" s="18" t="s">
        <v>105</v>
      </c>
      <c r="E843" s="18" t="s">
        <v>48</v>
      </c>
    </row>
    <row r="844" spans="1:5">
      <c r="A844" s="17">
        <v>843</v>
      </c>
      <c r="B844" s="18" t="s">
        <v>35</v>
      </c>
      <c r="C844" s="18" t="s">
        <v>945</v>
      </c>
      <c r="D844" s="18" t="s">
        <v>105</v>
      </c>
      <c r="E844" s="18" t="s">
        <v>48</v>
      </c>
    </row>
    <row r="845" spans="1:5">
      <c r="A845" s="17">
        <v>844</v>
      </c>
      <c r="B845" s="18" t="s">
        <v>35</v>
      </c>
      <c r="C845" s="18" t="s">
        <v>946</v>
      </c>
      <c r="D845" s="18" t="s">
        <v>105</v>
      </c>
      <c r="E845" s="18" t="s">
        <v>48</v>
      </c>
    </row>
    <row r="846" spans="1:5">
      <c r="A846" s="17">
        <v>845</v>
      </c>
      <c r="B846" s="18" t="s">
        <v>35</v>
      </c>
      <c r="C846" s="18" t="s">
        <v>947</v>
      </c>
      <c r="D846" s="18" t="s">
        <v>105</v>
      </c>
      <c r="E846" s="18" t="s">
        <v>48</v>
      </c>
    </row>
    <row r="847" spans="1:5">
      <c r="A847" s="17">
        <v>846</v>
      </c>
      <c r="B847" s="18" t="s">
        <v>35</v>
      </c>
      <c r="C847" s="18" t="s">
        <v>948</v>
      </c>
      <c r="D847" s="18" t="s">
        <v>105</v>
      </c>
      <c r="E847" s="18" t="s">
        <v>48</v>
      </c>
    </row>
    <row r="848" spans="1:5">
      <c r="A848" s="17">
        <v>847</v>
      </c>
      <c r="B848" s="18" t="s">
        <v>35</v>
      </c>
      <c r="C848" s="18" t="s">
        <v>949</v>
      </c>
      <c r="D848" s="18" t="s">
        <v>105</v>
      </c>
      <c r="E848" s="18" t="s">
        <v>48</v>
      </c>
    </row>
    <row r="849" spans="1:5">
      <c r="A849" s="17">
        <v>848</v>
      </c>
      <c r="B849" s="18" t="s">
        <v>35</v>
      </c>
      <c r="C849" s="18" t="s">
        <v>950</v>
      </c>
      <c r="D849" s="18" t="s">
        <v>105</v>
      </c>
      <c r="E849" s="18" t="s">
        <v>48</v>
      </c>
    </row>
    <row r="850" spans="1:5">
      <c r="A850" s="17">
        <v>849</v>
      </c>
      <c r="B850" s="18" t="s">
        <v>35</v>
      </c>
      <c r="C850" s="18" t="s">
        <v>951</v>
      </c>
      <c r="D850" s="18" t="s">
        <v>105</v>
      </c>
      <c r="E850" s="18" t="s">
        <v>48</v>
      </c>
    </row>
    <row r="851" spans="1:5">
      <c r="A851" s="17">
        <v>850</v>
      </c>
      <c r="B851" s="18" t="s">
        <v>35</v>
      </c>
      <c r="C851" s="18" t="s">
        <v>952</v>
      </c>
      <c r="D851" s="18" t="s">
        <v>105</v>
      </c>
      <c r="E851" s="18" t="s">
        <v>48</v>
      </c>
    </row>
    <row r="852" spans="1:5">
      <c r="A852" s="17">
        <v>851</v>
      </c>
      <c r="B852" s="18" t="s">
        <v>35</v>
      </c>
      <c r="C852" s="18" t="s">
        <v>953</v>
      </c>
      <c r="D852" s="18" t="s">
        <v>105</v>
      </c>
      <c r="E852" s="18" t="s">
        <v>48</v>
      </c>
    </row>
    <row r="853" spans="1:5">
      <c r="A853" s="17">
        <v>852</v>
      </c>
      <c r="B853" s="18" t="s">
        <v>35</v>
      </c>
      <c r="C853" s="18" t="s">
        <v>954</v>
      </c>
      <c r="D853" s="18" t="s">
        <v>105</v>
      </c>
      <c r="E853" s="18" t="s">
        <v>48</v>
      </c>
    </row>
    <row r="854" spans="1:5">
      <c r="A854" s="17">
        <v>853</v>
      </c>
      <c r="B854" s="18" t="s">
        <v>35</v>
      </c>
      <c r="C854" s="18" t="s">
        <v>955</v>
      </c>
      <c r="D854" s="18" t="s">
        <v>105</v>
      </c>
      <c r="E854" s="18" t="s">
        <v>48</v>
      </c>
    </row>
    <row r="855" spans="1:5">
      <c r="A855" s="17">
        <v>854</v>
      </c>
      <c r="B855" s="18" t="s">
        <v>35</v>
      </c>
      <c r="C855" s="18" t="s">
        <v>956</v>
      </c>
      <c r="D855" s="18" t="s">
        <v>105</v>
      </c>
      <c r="E855" s="18" t="s">
        <v>48</v>
      </c>
    </row>
    <row r="856" spans="1:5">
      <c r="A856" s="17">
        <v>855</v>
      </c>
      <c r="B856" s="18" t="s">
        <v>35</v>
      </c>
      <c r="C856" s="18" t="s">
        <v>957</v>
      </c>
      <c r="D856" s="18" t="s">
        <v>105</v>
      </c>
      <c r="E856" s="18" t="s">
        <v>48</v>
      </c>
    </row>
    <row r="857" spans="1:5">
      <c r="A857" s="17">
        <v>856</v>
      </c>
      <c r="B857" s="18" t="s">
        <v>35</v>
      </c>
      <c r="C857" s="18" t="s">
        <v>958</v>
      </c>
      <c r="D857" s="18" t="s">
        <v>105</v>
      </c>
      <c r="E857" s="18" t="s">
        <v>48</v>
      </c>
    </row>
    <row r="858" spans="1:5">
      <c r="A858" s="17">
        <v>857</v>
      </c>
      <c r="B858" s="18" t="s">
        <v>35</v>
      </c>
      <c r="C858" s="18" t="s">
        <v>959</v>
      </c>
      <c r="D858" s="18" t="s">
        <v>105</v>
      </c>
      <c r="E858" s="18" t="s">
        <v>48</v>
      </c>
    </row>
    <row r="859" spans="1:5">
      <c r="A859" s="17">
        <v>858</v>
      </c>
      <c r="B859" s="18" t="s">
        <v>35</v>
      </c>
      <c r="C859" s="18" t="s">
        <v>960</v>
      </c>
      <c r="D859" s="18" t="s">
        <v>187</v>
      </c>
      <c r="E859" s="18" t="s">
        <v>48</v>
      </c>
    </row>
    <row r="860" spans="1:5">
      <c r="A860" s="17">
        <v>859</v>
      </c>
      <c r="B860" s="18" t="s">
        <v>35</v>
      </c>
      <c r="C860" s="18" t="s">
        <v>961</v>
      </c>
      <c r="D860" s="18" t="s">
        <v>187</v>
      </c>
      <c r="E860" s="18" t="s">
        <v>48</v>
      </c>
    </row>
    <row r="861" spans="1:5">
      <c r="A861" s="17">
        <v>860</v>
      </c>
      <c r="B861" s="18" t="s">
        <v>35</v>
      </c>
      <c r="C861" s="18" t="s">
        <v>962</v>
      </c>
      <c r="D861" s="18" t="s">
        <v>47</v>
      </c>
      <c r="E861" s="18" t="s">
        <v>48</v>
      </c>
    </row>
    <row r="862" spans="1:5">
      <c r="A862" s="17">
        <v>861</v>
      </c>
      <c r="B862" s="18" t="s">
        <v>35</v>
      </c>
      <c r="C862" s="18" t="s">
        <v>963</v>
      </c>
      <c r="D862" s="18" t="s">
        <v>105</v>
      </c>
      <c r="E862" s="18" t="s">
        <v>48</v>
      </c>
    </row>
    <row r="863" spans="1:5">
      <c r="A863" s="17">
        <v>862</v>
      </c>
      <c r="B863" s="18" t="s">
        <v>35</v>
      </c>
      <c r="C863" s="18" t="s">
        <v>964</v>
      </c>
      <c r="D863" s="18" t="s">
        <v>105</v>
      </c>
      <c r="E863" s="18" t="s">
        <v>48</v>
      </c>
    </row>
    <row r="864" spans="1:5">
      <c r="A864" s="17">
        <v>863</v>
      </c>
      <c r="B864" s="18" t="s">
        <v>35</v>
      </c>
      <c r="C864" s="18" t="s">
        <v>965</v>
      </c>
      <c r="D864" s="18" t="s">
        <v>105</v>
      </c>
      <c r="E864" s="18" t="s">
        <v>48</v>
      </c>
    </row>
    <row r="865" spans="1:5">
      <c r="A865" s="17">
        <v>864</v>
      </c>
      <c r="B865" s="18" t="s">
        <v>35</v>
      </c>
      <c r="C865" s="18" t="s">
        <v>966</v>
      </c>
      <c r="D865" s="18" t="s">
        <v>105</v>
      </c>
      <c r="E865" s="18" t="s">
        <v>48</v>
      </c>
    </row>
    <row r="866" spans="1:5">
      <c r="A866" s="17">
        <v>865</v>
      </c>
      <c r="B866" s="18" t="s">
        <v>35</v>
      </c>
      <c r="C866" s="18" t="s">
        <v>967</v>
      </c>
      <c r="D866" s="18" t="s">
        <v>105</v>
      </c>
      <c r="E866" s="18" t="s">
        <v>48</v>
      </c>
    </row>
    <row r="867" spans="1:5">
      <c r="A867" s="17">
        <v>866</v>
      </c>
      <c r="B867" s="18" t="s">
        <v>35</v>
      </c>
      <c r="C867" s="18" t="s">
        <v>968</v>
      </c>
      <c r="D867" s="18" t="s">
        <v>105</v>
      </c>
      <c r="E867" s="18" t="s">
        <v>48</v>
      </c>
    </row>
    <row r="868" spans="1:5">
      <c r="A868" s="17">
        <v>867</v>
      </c>
      <c r="B868" s="18" t="s">
        <v>35</v>
      </c>
      <c r="C868" s="18" t="s">
        <v>969</v>
      </c>
      <c r="D868" s="18" t="s">
        <v>105</v>
      </c>
      <c r="E868" s="18" t="s">
        <v>48</v>
      </c>
    </row>
    <row r="869" spans="1:5">
      <c r="A869" s="17">
        <v>868</v>
      </c>
      <c r="B869" s="18" t="s">
        <v>35</v>
      </c>
      <c r="C869" s="18" t="s">
        <v>970</v>
      </c>
      <c r="D869" s="18" t="s">
        <v>653</v>
      </c>
      <c r="E869" s="18" t="s">
        <v>48</v>
      </c>
    </row>
    <row r="870" spans="1:5">
      <c r="A870" s="17">
        <v>869</v>
      </c>
      <c r="B870" s="18" t="s">
        <v>35</v>
      </c>
      <c r="C870" s="18" t="s">
        <v>971</v>
      </c>
      <c r="D870" s="18" t="s">
        <v>47</v>
      </c>
      <c r="E870" s="18" t="s">
        <v>48</v>
      </c>
    </row>
    <row r="871" spans="1:5">
      <c r="A871" s="17">
        <v>870</v>
      </c>
      <c r="B871" s="18" t="s">
        <v>35</v>
      </c>
      <c r="C871" s="18" t="s">
        <v>972</v>
      </c>
      <c r="D871" s="18" t="s">
        <v>973</v>
      </c>
      <c r="E871" s="18" t="s">
        <v>48</v>
      </c>
    </row>
    <row r="872" spans="1:5">
      <c r="A872" s="17">
        <v>871</v>
      </c>
      <c r="B872" s="18" t="s">
        <v>35</v>
      </c>
      <c r="C872" s="18" t="s">
        <v>974</v>
      </c>
      <c r="D872" s="18" t="s">
        <v>105</v>
      </c>
      <c r="E872" s="18" t="s">
        <v>48</v>
      </c>
    </row>
    <row r="873" spans="1:5">
      <c r="A873" s="17">
        <v>872</v>
      </c>
      <c r="B873" s="18" t="s">
        <v>35</v>
      </c>
      <c r="C873" s="18" t="s">
        <v>975</v>
      </c>
      <c r="D873" s="18" t="s">
        <v>105</v>
      </c>
      <c r="E873" s="18" t="s">
        <v>48</v>
      </c>
    </row>
    <row r="874" spans="1:5">
      <c r="A874" s="17">
        <v>873</v>
      </c>
      <c r="B874" s="18" t="s">
        <v>35</v>
      </c>
      <c r="C874" s="18" t="s">
        <v>976</v>
      </c>
      <c r="D874" s="18" t="s">
        <v>105</v>
      </c>
      <c r="E874" s="18" t="s">
        <v>48</v>
      </c>
    </row>
    <row r="875" spans="1:5">
      <c r="A875" s="17">
        <v>874</v>
      </c>
      <c r="B875" s="18" t="s">
        <v>35</v>
      </c>
      <c r="C875" s="18" t="s">
        <v>977</v>
      </c>
      <c r="D875" s="18" t="s">
        <v>105</v>
      </c>
      <c r="E875" s="18" t="s">
        <v>48</v>
      </c>
    </row>
    <row r="876" spans="1:5">
      <c r="A876" s="17">
        <v>875</v>
      </c>
      <c r="B876" s="18" t="s">
        <v>35</v>
      </c>
      <c r="C876" s="18" t="s">
        <v>978</v>
      </c>
      <c r="D876" s="18" t="s">
        <v>105</v>
      </c>
      <c r="E876" s="18" t="s">
        <v>48</v>
      </c>
    </row>
    <row r="877" spans="1:5">
      <c r="A877" s="17">
        <v>876</v>
      </c>
      <c r="B877" s="18" t="s">
        <v>35</v>
      </c>
      <c r="C877" s="18" t="s">
        <v>979</v>
      </c>
      <c r="D877" s="18" t="s">
        <v>105</v>
      </c>
      <c r="E877" s="18" t="s">
        <v>48</v>
      </c>
    </row>
    <row r="878" spans="1:5">
      <c r="A878" s="17">
        <v>877</v>
      </c>
      <c r="B878" s="18" t="s">
        <v>35</v>
      </c>
      <c r="C878" s="18" t="s">
        <v>980</v>
      </c>
      <c r="D878" s="18" t="s">
        <v>105</v>
      </c>
      <c r="E878" s="18" t="s">
        <v>48</v>
      </c>
    </row>
    <row r="879" spans="1:5">
      <c r="A879" s="17">
        <v>878</v>
      </c>
      <c r="B879" s="18" t="s">
        <v>35</v>
      </c>
      <c r="C879" s="18" t="s">
        <v>981</v>
      </c>
      <c r="D879" s="18" t="s">
        <v>105</v>
      </c>
      <c r="E879" s="18" t="s">
        <v>48</v>
      </c>
    </row>
    <row r="880" spans="1:5">
      <c r="A880" s="17">
        <v>879</v>
      </c>
      <c r="B880" s="18" t="s">
        <v>35</v>
      </c>
      <c r="C880" s="18" t="s">
        <v>982</v>
      </c>
      <c r="D880" s="18" t="s">
        <v>105</v>
      </c>
      <c r="E880" s="18" t="s">
        <v>48</v>
      </c>
    </row>
    <row r="881" spans="1:5">
      <c r="A881" s="17">
        <v>880</v>
      </c>
      <c r="B881" s="18" t="s">
        <v>35</v>
      </c>
      <c r="C881" s="18" t="s">
        <v>983</v>
      </c>
      <c r="D881" s="18" t="s">
        <v>47</v>
      </c>
      <c r="E881" s="18" t="s">
        <v>48</v>
      </c>
    </row>
    <row r="882" spans="1:5">
      <c r="A882" s="17">
        <v>881</v>
      </c>
      <c r="B882" s="18" t="s">
        <v>35</v>
      </c>
      <c r="C882" s="18" t="s">
        <v>984</v>
      </c>
      <c r="D882" s="18" t="s">
        <v>95</v>
      </c>
      <c r="E882" s="18" t="s">
        <v>48</v>
      </c>
    </row>
    <row r="883" spans="1:5">
      <c r="A883" s="17">
        <v>882</v>
      </c>
      <c r="B883" s="18" t="s">
        <v>35</v>
      </c>
      <c r="C883" s="18" t="s">
        <v>985</v>
      </c>
      <c r="D883" s="18" t="s">
        <v>283</v>
      </c>
      <c r="E883" s="18" t="s">
        <v>48</v>
      </c>
    </row>
    <row r="884" spans="1:5">
      <c r="A884" s="17">
        <v>883</v>
      </c>
      <c r="B884" s="18" t="s">
        <v>35</v>
      </c>
      <c r="C884" s="18" t="s">
        <v>986</v>
      </c>
      <c r="D884" s="18" t="s">
        <v>105</v>
      </c>
      <c r="E884" s="18" t="s">
        <v>48</v>
      </c>
    </row>
    <row r="885" spans="1:5">
      <c r="A885" s="17">
        <v>884</v>
      </c>
      <c r="B885" s="18" t="s">
        <v>35</v>
      </c>
      <c r="C885" s="18" t="s">
        <v>987</v>
      </c>
      <c r="D885" s="18" t="s">
        <v>105</v>
      </c>
      <c r="E885" s="18" t="s">
        <v>48</v>
      </c>
    </row>
    <row r="886" spans="1:5">
      <c r="A886" s="17">
        <v>885</v>
      </c>
      <c r="B886" s="18" t="s">
        <v>35</v>
      </c>
      <c r="C886" s="18" t="s">
        <v>988</v>
      </c>
      <c r="D886" s="18" t="s">
        <v>105</v>
      </c>
      <c r="E886" s="18" t="s">
        <v>48</v>
      </c>
    </row>
    <row r="887" spans="1:5">
      <c r="A887" s="17">
        <v>886</v>
      </c>
      <c r="B887" s="18" t="s">
        <v>35</v>
      </c>
      <c r="C887" s="18" t="s">
        <v>989</v>
      </c>
      <c r="D887" s="18" t="s">
        <v>105</v>
      </c>
      <c r="E887" s="18" t="s">
        <v>48</v>
      </c>
    </row>
    <row r="888" spans="1:5">
      <c r="A888" s="17">
        <v>887</v>
      </c>
      <c r="B888" s="18" t="s">
        <v>35</v>
      </c>
      <c r="C888" s="18" t="s">
        <v>990</v>
      </c>
      <c r="D888" s="18" t="s">
        <v>105</v>
      </c>
      <c r="E888" s="18" t="s">
        <v>48</v>
      </c>
    </row>
    <row r="889" spans="1:5">
      <c r="A889" s="17">
        <v>888</v>
      </c>
      <c r="B889" s="18" t="s">
        <v>35</v>
      </c>
      <c r="C889" s="18" t="s">
        <v>991</v>
      </c>
      <c r="D889" s="18" t="s">
        <v>105</v>
      </c>
      <c r="E889" s="18" t="s">
        <v>48</v>
      </c>
    </row>
    <row r="890" spans="1:5">
      <c r="A890" s="17">
        <v>889</v>
      </c>
      <c r="B890" s="18" t="s">
        <v>35</v>
      </c>
      <c r="C890" s="18" t="s">
        <v>992</v>
      </c>
      <c r="D890" s="18" t="s">
        <v>105</v>
      </c>
      <c r="E890" s="18" t="s">
        <v>48</v>
      </c>
    </row>
    <row r="891" spans="1:5">
      <c r="A891" s="17">
        <v>890</v>
      </c>
      <c r="B891" s="18" t="s">
        <v>35</v>
      </c>
      <c r="C891" s="18" t="s">
        <v>993</v>
      </c>
      <c r="D891" s="18" t="s">
        <v>105</v>
      </c>
      <c r="E891" s="18" t="s">
        <v>48</v>
      </c>
    </row>
    <row r="892" spans="1:5">
      <c r="A892" s="17">
        <v>891</v>
      </c>
      <c r="B892" s="18" t="s">
        <v>35</v>
      </c>
      <c r="C892" s="18" t="s">
        <v>994</v>
      </c>
      <c r="D892" s="18" t="s">
        <v>105</v>
      </c>
      <c r="E892" s="18" t="s">
        <v>48</v>
      </c>
    </row>
    <row r="893" spans="1:5">
      <c r="A893" s="17">
        <v>892</v>
      </c>
      <c r="B893" s="18" t="s">
        <v>35</v>
      </c>
      <c r="C893" s="18" t="s">
        <v>995</v>
      </c>
      <c r="D893" s="18" t="s">
        <v>187</v>
      </c>
      <c r="E893" s="18" t="s">
        <v>48</v>
      </c>
    </row>
    <row r="894" spans="1:5">
      <c r="A894" s="17">
        <v>893</v>
      </c>
      <c r="B894" s="18" t="s">
        <v>35</v>
      </c>
      <c r="C894" s="18" t="s">
        <v>996</v>
      </c>
      <c r="D894" s="18" t="s">
        <v>187</v>
      </c>
      <c r="E894" s="18" t="s">
        <v>48</v>
      </c>
    </row>
    <row r="895" spans="1:5">
      <c r="A895" s="17">
        <v>894</v>
      </c>
      <c r="B895" s="18" t="s">
        <v>39</v>
      </c>
      <c r="C895" s="18" t="s">
        <v>997</v>
      </c>
      <c r="D895" s="18" t="s">
        <v>998</v>
      </c>
      <c r="E895" s="18" t="s">
        <v>87</v>
      </c>
    </row>
    <row r="896" spans="1:5">
      <c r="A896" s="17">
        <v>895</v>
      </c>
      <c r="B896" s="18" t="s">
        <v>35</v>
      </c>
      <c r="C896" s="18" t="s">
        <v>999</v>
      </c>
      <c r="D896" s="18" t="s">
        <v>105</v>
      </c>
      <c r="E896" s="18" t="s">
        <v>48</v>
      </c>
    </row>
    <row r="897" spans="1:5">
      <c r="A897" s="17">
        <v>896</v>
      </c>
      <c r="B897" s="18" t="s">
        <v>35</v>
      </c>
      <c r="C897" s="18" t="s">
        <v>1000</v>
      </c>
      <c r="D897" s="18" t="s">
        <v>105</v>
      </c>
      <c r="E897" s="18" t="s">
        <v>48</v>
      </c>
    </row>
    <row r="898" spans="1:5">
      <c r="A898" s="17">
        <v>897</v>
      </c>
      <c r="B898" s="18" t="s">
        <v>35</v>
      </c>
      <c r="C898" s="18" t="s">
        <v>1001</v>
      </c>
      <c r="D898" s="18" t="s">
        <v>105</v>
      </c>
      <c r="E898" s="18" t="s">
        <v>48</v>
      </c>
    </row>
    <row r="899" spans="1:5">
      <c r="A899" s="17">
        <v>898</v>
      </c>
      <c r="B899" s="18" t="s">
        <v>35</v>
      </c>
      <c r="C899" s="18" t="s">
        <v>1002</v>
      </c>
      <c r="D899" s="18" t="s">
        <v>187</v>
      </c>
      <c r="E899" s="18" t="s">
        <v>48</v>
      </c>
    </row>
    <row r="900" spans="1:5">
      <c r="A900" s="17">
        <v>899</v>
      </c>
      <c r="B900" s="18" t="s">
        <v>35</v>
      </c>
      <c r="C900" s="18" t="s">
        <v>1003</v>
      </c>
      <c r="D900" s="18" t="s">
        <v>105</v>
      </c>
      <c r="E900" s="18" t="s">
        <v>48</v>
      </c>
    </row>
    <row r="901" spans="1:5">
      <c r="A901" s="17">
        <v>900</v>
      </c>
      <c r="B901" s="18" t="s">
        <v>35</v>
      </c>
      <c r="C901" s="18" t="s">
        <v>1004</v>
      </c>
      <c r="D901" s="18" t="s">
        <v>105</v>
      </c>
      <c r="E901" s="18" t="s">
        <v>48</v>
      </c>
    </row>
    <row r="902" spans="1:5">
      <c r="A902" s="17">
        <v>901</v>
      </c>
      <c r="B902" s="18" t="s">
        <v>35</v>
      </c>
      <c r="C902" s="18" t="s">
        <v>1005</v>
      </c>
      <c r="D902" s="18" t="s">
        <v>105</v>
      </c>
      <c r="E902" s="18" t="s">
        <v>48</v>
      </c>
    </row>
    <row r="903" spans="1:5">
      <c r="A903" s="17">
        <v>902</v>
      </c>
      <c r="B903" s="18" t="s">
        <v>35</v>
      </c>
      <c r="C903" s="18" t="s">
        <v>1006</v>
      </c>
      <c r="D903" s="18" t="s">
        <v>105</v>
      </c>
      <c r="E903" s="18" t="s">
        <v>48</v>
      </c>
    </row>
    <row r="904" spans="1:5">
      <c r="A904" s="17">
        <v>903</v>
      </c>
      <c r="B904" s="18" t="s">
        <v>35</v>
      </c>
      <c r="C904" s="18" t="s">
        <v>1007</v>
      </c>
      <c r="D904" s="18" t="s">
        <v>47</v>
      </c>
      <c r="E904" s="18" t="s">
        <v>48</v>
      </c>
    </row>
    <row r="905" spans="1:5">
      <c r="A905" s="17">
        <v>904</v>
      </c>
      <c r="B905" s="18" t="s">
        <v>35</v>
      </c>
      <c r="C905" s="18" t="s">
        <v>1008</v>
      </c>
      <c r="D905" s="18" t="s">
        <v>105</v>
      </c>
      <c r="E905" s="18" t="s">
        <v>48</v>
      </c>
    </row>
    <row r="906" spans="1:5">
      <c r="A906" s="17">
        <v>905</v>
      </c>
      <c r="B906" s="18" t="s">
        <v>35</v>
      </c>
      <c r="C906" s="18" t="s">
        <v>1009</v>
      </c>
      <c r="D906" s="18" t="s">
        <v>105</v>
      </c>
      <c r="E906" s="18" t="s">
        <v>48</v>
      </c>
    </row>
    <row r="907" spans="1:5">
      <c r="A907" s="17">
        <v>906</v>
      </c>
      <c r="B907" s="18" t="s">
        <v>35</v>
      </c>
      <c r="C907" s="18" t="s">
        <v>1010</v>
      </c>
      <c r="D907" s="18" t="s">
        <v>105</v>
      </c>
      <c r="E907" s="18" t="s">
        <v>48</v>
      </c>
    </row>
    <row r="908" spans="1:5">
      <c r="A908" s="17">
        <v>907</v>
      </c>
      <c r="B908" s="18" t="s">
        <v>35</v>
      </c>
      <c r="C908" s="18" t="s">
        <v>1011</v>
      </c>
      <c r="D908" s="18" t="s">
        <v>1012</v>
      </c>
      <c r="E908" s="18" t="s">
        <v>1013</v>
      </c>
    </row>
    <row r="909" spans="1:5">
      <c r="A909" s="17">
        <v>908</v>
      </c>
      <c r="B909" s="18" t="s">
        <v>35</v>
      </c>
      <c r="C909" s="18" t="s">
        <v>1014</v>
      </c>
      <c r="D909" s="18" t="s">
        <v>95</v>
      </c>
      <c r="E909" s="18" t="s">
        <v>48</v>
      </c>
    </row>
    <row r="910" spans="1:5">
      <c r="A910" s="17">
        <v>909</v>
      </c>
      <c r="B910" s="18" t="s">
        <v>35</v>
      </c>
      <c r="C910" s="18" t="s">
        <v>1015</v>
      </c>
      <c r="D910" s="18" t="s">
        <v>105</v>
      </c>
      <c r="E910" s="18" t="s">
        <v>48</v>
      </c>
    </row>
    <row r="911" spans="1:5">
      <c r="A911" s="17">
        <v>910</v>
      </c>
      <c r="B911" s="18" t="s">
        <v>35</v>
      </c>
      <c r="C911" s="18" t="s">
        <v>1016</v>
      </c>
      <c r="D911" s="18" t="s">
        <v>105</v>
      </c>
      <c r="E911" s="18" t="s">
        <v>48</v>
      </c>
    </row>
    <row r="912" spans="1:5">
      <c r="A912" s="17">
        <v>911</v>
      </c>
      <c r="B912" s="18" t="s">
        <v>39</v>
      </c>
      <c r="C912" s="18" t="s">
        <v>1017</v>
      </c>
      <c r="D912" s="18" t="s">
        <v>1018</v>
      </c>
      <c r="E912" s="18" t="s">
        <v>103</v>
      </c>
    </row>
    <row r="913" spans="1:5">
      <c r="A913" s="17">
        <v>912</v>
      </c>
      <c r="B913" s="18" t="s">
        <v>35</v>
      </c>
      <c r="C913" s="18" t="s">
        <v>1019</v>
      </c>
      <c r="D913" s="18" t="s">
        <v>105</v>
      </c>
      <c r="E913" s="18" t="s">
        <v>48</v>
      </c>
    </row>
    <row r="914" spans="1:5">
      <c r="A914" s="17">
        <v>913</v>
      </c>
      <c r="B914" s="18" t="s">
        <v>39</v>
      </c>
      <c r="C914" s="18" t="s">
        <v>1020</v>
      </c>
      <c r="D914" s="18" t="s">
        <v>1021</v>
      </c>
      <c r="E914" s="18" t="s">
        <v>1022</v>
      </c>
    </row>
    <row r="915" spans="1:5">
      <c r="A915" s="17">
        <v>914</v>
      </c>
      <c r="B915" s="18" t="s">
        <v>35</v>
      </c>
      <c r="C915" s="18" t="s">
        <v>1023</v>
      </c>
      <c r="D915" s="18" t="s">
        <v>105</v>
      </c>
      <c r="E915" s="18" t="s">
        <v>48</v>
      </c>
    </row>
    <row r="916" spans="1:5">
      <c r="A916" s="17">
        <v>915</v>
      </c>
      <c r="B916" s="18" t="s">
        <v>35</v>
      </c>
      <c r="C916" s="18" t="s">
        <v>1024</v>
      </c>
      <c r="D916" s="18" t="s">
        <v>105</v>
      </c>
      <c r="E916" s="18" t="s">
        <v>48</v>
      </c>
    </row>
    <row r="917" spans="1:5">
      <c r="A917" s="17">
        <v>916</v>
      </c>
      <c r="B917" s="18" t="s">
        <v>35</v>
      </c>
      <c r="C917" s="18" t="s">
        <v>1025</v>
      </c>
      <c r="D917" s="18" t="s">
        <v>95</v>
      </c>
      <c r="E917" s="18" t="s">
        <v>48</v>
      </c>
    </row>
    <row r="918" spans="1:5">
      <c r="A918" s="17">
        <v>917</v>
      </c>
      <c r="B918" s="18" t="s">
        <v>35</v>
      </c>
      <c r="C918" s="18" t="s">
        <v>1026</v>
      </c>
      <c r="D918" s="18" t="s">
        <v>105</v>
      </c>
      <c r="E918" s="18" t="s">
        <v>48</v>
      </c>
    </row>
    <row r="919" spans="1:5">
      <c r="A919" s="17">
        <v>918</v>
      </c>
      <c r="B919" s="18" t="s">
        <v>35</v>
      </c>
      <c r="C919" s="18" t="s">
        <v>1027</v>
      </c>
      <c r="D919" s="18" t="s">
        <v>187</v>
      </c>
      <c r="E919" s="18" t="s">
        <v>48</v>
      </c>
    </row>
    <row r="920" spans="1:5">
      <c r="A920" s="17">
        <v>919</v>
      </c>
      <c r="B920" s="18" t="s">
        <v>35</v>
      </c>
      <c r="C920" s="18" t="s">
        <v>1028</v>
      </c>
      <c r="D920" s="18" t="s">
        <v>187</v>
      </c>
      <c r="E920" s="18" t="s">
        <v>48</v>
      </c>
    </row>
    <row r="921" spans="1:5">
      <c r="A921" s="17">
        <v>920</v>
      </c>
      <c r="B921" s="18" t="s">
        <v>35</v>
      </c>
      <c r="C921" s="18" t="s">
        <v>1029</v>
      </c>
      <c r="D921" s="18" t="s">
        <v>95</v>
      </c>
      <c r="E921" s="18" t="s">
        <v>48</v>
      </c>
    </row>
    <row r="922" spans="1:5">
      <c r="A922" s="17">
        <v>921</v>
      </c>
      <c r="B922" s="18" t="s">
        <v>35</v>
      </c>
      <c r="C922" s="18" t="s">
        <v>1030</v>
      </c>
      <c r="D922" s="18" t="s">
        <v>187</v>
      </c>
      <c r="E922" s="18" t="s">
        <v>48</v>
      </c>
    </row>
    <row r="923" spans="1:5">
      <c r="A923" s="17">
        <v>922</v>
      </c>
      <c r="B923" s="18" t="s">
        <v>35</v>
      </c>
      <c r="C923" s="18" t="s">
        <v>1031</v>
      </c>
      <c r="D923" s="18" t="s">
        <v>105</v>
      </c>
      <c r="E923" s="18" t="s">
        <v>48</v>
      </c>
    </row>
    <row r="924" spans="1:5">
      <c r="A924" s="17">
        <v>923</v>
      </c>
      <c r="B924" s="18" t="s">
        <v>35</v>
      </c>
      <c r="C924" s="18" t="s">
        <v>1032</v>
      </c>
      <c r="D924" s="18" t="s">
        <v>105</v>
      </c>
      <c r="E924" s="18" t="s">
        <v>48</v>
      </c>
    </row>
    <row r="925" spans="1:5">
      <c r="A925" s="17">
        <v>924</v>
      </c>
      <c r="B925" s="18" t="s">
        <v>35</v>
      </c>
      <c r="C925" s="18" t="s">
        <v>1033</v>
      </c>
      <c r="D925" s="18" t="s">
        <v>95</v>
      </c>
      <c r="E925" s="18" t="s">
        <v>48</v>
      </c>
    </row>
    <row r="926" spans="1:5">
      <c r="A926" s="17">
        <v>925</v>
      </c>
      <c r="B926" s="18" t="s">
        <v>35</v>
      </c>
      <c r="C926" s="18" t="s">
        <v>1034</v>
      </c>
      <c r="D926" s="18" t="s">
        <v>95</v>
      </c>
      <c r="E926" s="18" t="s">
        <v>48</v>
      </c>
    </row>
    <row r="927" spans="1:5">
      <c r="A927" s="17">
        <v>926</v>
      </c>
      <c r="B927" s="18" t="s">
        <v>35</v>
      </c>
      <c r="C927" s="18" t="s">
        <v>1035</v>
      </c>
      <c r="D927" s="18" t="s">
        <v>105</v>
      </c>
      <c r="E927" s="18" t="s">
        <v>48</v>
      </c>
    </row>
    <row r="928" spans="1:5">
      <c r="A928" s="17">
        <v>927</v>
      </c>
      <c r="B928" s="18" t="s">
        <v>35</v>
      </c>
      <c r="C928" s="18" t="s">
        <v>1036</v>
      </c>
      <c r="D928" s="18" t="s">
        <v>105</v>
      </c>
      <c r="E928" s="18" t="s">
        <v>48</v>
      </c>
    </row>
    <row r="929" spans="1:5">
      <c r="A929" s="17">
        <v>928</v>
      </c>
      <c r="B929" s="18" t="s">
        <v>35</v>
      </c>
      <c r="C929" s="18" t="s">
        <v>1037</v>
      </c>
      <c r="D929" s="18" t="s">
        <v>105</v>
      </c>
      <c r="E929" s="18" t="s">
        <v>48</v>
      </c>
    </row>
    <row r="930" spans="1:5">
      <c r="A930" s="17">
        <v>929</v>
      </c>
      <c r="B930" s="18" t="s">
        <v>35</v>
      </c>
      <c r="C930" s="18" t="s">
        <v>1038</v>
      </c>
      <c r="D930" s="18" t="s">
        <v>105</v>
      </c>
      <c r="E930" s="18" t="s">
        <v>48</v>
      </c>
    </row>
    <row r="931" spans="1:5">
      <c r="A931" s="17">
        <v>930</v>
      </c>
      <c r="B931" s="18" t="s">
        <v>35</v>
      </c>
      <c r="C931" s="18" t="s">
        <v>1039</v>
      </c>
      <c r="D931" s="18" t="s">
        <v>105</v>
      </c>
      <c r="E931" s="18" t="s">
        <v>48</v>
      </c>
    </row>
    <row r="932" spans="1:5">
      <c r="A932" s="17">
        <v>931</v>
      </c>
      <c r="B932" s="18" t="s">
        <v>39</v>
      </c>
      <c r="C932" s="18" t="s">
        <v>1040</v>
      </c>
      <c r="D932" s="18" t="s">
        <v>283</v>
      </c>
      <c r="E932" s="18" t="s">
        <v>48</v>
      </c>
    </row>
    <row r="933" spans="1:5">
      <c r="A933" s="17">
        <v>932</v>
      </c>
      <c r="B933" s="18" t="s">
        <v>35</v>
      </c>
      <c r="C933" s="18" t="s">
        <v>1041</v>
      </c>
      <c r="D933" s="18" t="s">
        <v>187</v>
      </c>
      <c r="E933" s="18" t="s">
        <v>48</v>
      </c>
    </row>
    <row r="934" spans="1:5">
      <c r="A934" s="17">
        <v>933</v>
      </c>
      <c r="B934" s="18" t="s">
        <v>35</v>
      </c>
      <c r="C934" s="18" t="s">
        <v>1042</v>
      </c>
      <c r="D934" s="18" t="s">
        <v>105</v>
      </c>
      <c r="E934" s="18" t="s">
        <v>48</v>
      </c>
    </row>
    <row r="935" spans="1:5">
      <c r="A935" s="17">
        <v>934</v>
      </c>
      <c r="B935" s="18" t="s">
        <v>35</v>
      </c>
      <c r="C935" s="18" t="s">
        <v>1043</v>
      </c>
      <c r="D935" s="18" t="s">
        <v>105</v>
      </c>
      <c r="E935" s="18" t="s">
        <v>48</v>
      </c>
    </row>
    <row r="936" spans="1:5">
      <c r="A936" s="17">
        <v>935</v>
      </c>
      <c r="B936" s="18" t="s">
        <v>35</v>
      </c>
      <c r="C936" s="18" t="s">
        <v>1044</v>
      </c>
      <c r="D936" s="18" t="s">
        <v>105</v>
      </c>
      <c r="E936" s="18" t="s">
        <v>48</v>
      </c>
    </row>
    <row r="937" spans="1:5">
      <c r="A937" s="17">
        <v>936</v>
      </c>
      <c r="B937" s="18" t="s">
        <v>35</v>
      </c>
      <c r="C937" s="18" t="s">
        <v>1045</v>
      </c>
      <c r="D937" s="18" t="s">
        <v>187</v>
      </c>
      <c r="E937" s="18" t="s">
        <v>48</v>
      </c>
    </row>
    <row r="938" spans="1:5">
      <c r="A938" s="17">
        <v>937</v>
      </c>
      <c r="B938" s="17" t="s">
        <v>35</v>
      </c>
      <c r="C938" s="17" t="s">
        <v>1046</v>
      </c>
      <c r="D938" s="17" t="s">
        <v>105</v>
      </c>
      <c r="E938" s="18" t="s">
        <v>48</v>
      </c>
    </row>
    <row r="939" spans="1:5">
      <c r="A939" s="17">
        <v>938</v>
      </c>
      <c r="B939" s="17" t="s">
        <v>35</v>
      </c>
      <c r="C939" s="17" t="s">
        <v>1047</v>
      </c>
      <c r="D939" s="17" t="s">
        <v>105</v>
      </c>
      <c r="E939" s="18" t="s">
        <v>48</v>
      </c>
    </row>
    <row r="940" spans="1:5">
      <c r="A940" s="17">
        <v>939</v>
      </c>
      <c r="B940" s="17" t="s">
        <v>35</v>
      </c>
      <c r="C940" s="17" t="s">
        <v>1048</v>
      </c>
      <c r="D940" s="17" t="s">
        <v>105</v>
      </c>
      <c r="E940" s="18" t="s">
        <v>48</v>
      </c>
    </row>
    <row r="941" spans="1:5">
      <c r="A941" s="17">
        <v>940</v>
      </c>
      <c r="B941" s="17" t="s">
        <v>35</v>
      </c>
      <c r="C941" s="17" t="s">
        <v>1049</v>
      </c>
      <c r="D941" s="17" t="s">
        <v>105</v>
      </c>
      <c r="E941" s="18" t="s">
        <v>48</v>
      </c>
    </row>
    <row r="942" spans="1:5">
      <c r="A942" s="17">
        <v>941</v>
      </c>
      <c r="B942" s="17" t="s">
        <v>39</v>
      </c>
      <c r="C942" s="17" t="s">
        <v>1050</v>
      </c>
      <c r="D942" s="17" t="s">
        <v>1051</v>
      </c>
      <c r="E942" s="18" t="s">
        <v>48</v>
      </c>
    </row>
    <row r="943" spans="1:5">
      <c r="A943" s="17">
        <v>942</v>
      </c>
      <c r="B943" s="17" t="s">
        <v>35</v>
      </c>
      <c r="C943" s="17" t="s">
        <v>1052</v>
      </c>
      <c r="D943" s="17" t="s">
        <v>105</v>
      </c>
      <c r="E943" s="18" t="s">
        <v>48</v>
      </c>
    </row>
    <row r="944" spans="1:5">
      <c r="A944" s="17">
        <v>943</v>
      </c>
      <c r="B944" s="17" t="s">
        <v>35</v>
      </c>
      <c r="C944" s="17" t="s">
        <v>1053</v>
      </c>
      <c r="D944" s="17" t="s">
        <v>105</v>
      </c>
      <c r="E944" s="18" t="s">
        <v>48</v>
      </c>
    </row>
    <row r="945" spans="1:5">
      <c r="A945" s="17">
        <v>944</v>
      </c>
      <c r="B945" s="17" t="s">
        <v>39</v>
      </c>
      <c r="C945" s="17" t="s">
        <v>1054</v>
      </c>
      <c r="D945" s="17" t="s">
        <v>1055</v>
      </c>
      <c r="E945" s="18" t="s">
        <v>103</v>
      </c>
    </row>
    <row r="946" spans="1:5">
      <c r="A946" s="17">
        <v>945</v>
      </c>
      <c r="B946" s="18" t="s">
        <v>35</v>
      </c>
      <c r="C946" s="18" t="s">
        <v>1056</v>
      </c>
      <c r="D946" s="18" t="s">
        <v>105</v>
      </c>
      <c r="E946" s="18" t="s">
        <v>48</v>
      </c>
    </row>
    <row r="947" spans="1:5">
      <c r="A947" s="17">
        <v>946</v>
      </c>
      <c r="B947" s="18" t="s">
        <v>39</v>
      </c>
      <c r="C947" s="18" t="s">
        <v>1057</v>
      </c>
      <c r="D947" s="18" t="s">
        <v>1018</v>
      </c>
      <c r="E947" s="18" t="s">
        <v>103</v>
      </c>
    </row>
    <row r="948" spans="1:5">
      <c r="A948" s="17">
        <v>947</v>
      </c>
      <c r="B948" s="18" t="s">
        <v>39</v>
      </c>
      <c r="C948" s="18" t="s">
        <v>1058</v>
      </c>
      <c r="D948" s="18" t="s">
        <v>227</v>
      </c>
      <c r="E948" s="18" t="s">
        <v>42</v>
      </c>
    </row>
    <row r="949" spans="1:5">
      <c r="A949" s="17">
        <v>948</v>
      </c>
      <c r="B949" s="18" t="s">
        <v>35</v>
      </c>
      <c r="C949" s="18" t="s">
        <v>1059</v>
      </c>
      <c r="D949" s="18" t="s">
        <v>105</v>
      </c>
      <c r="E949" s="18" t="s">
        <v>48</v>
      </c>
    </row>
    <row r="950" spans="1:5">
      <c r="A950" s="17">
        <v>949</v>
      </c>
      <c r="B950" s="18" t="s">
        <v>39</v>
      </c>
      <c r="C950" s="18" t="s">
        <v>1060</v>
      </c>
      <c r="D950" s="18" t="s">
        <v>1018</v>
      </c>
      <c r="E950" s="18" t="s">
        <v>103</v>
      </c>
    </row>
    <row r="951" spans="1:5">
      <c r="A951" s="17">
        <v>950</v>
      </c>
      <c r="B951" s="18" t="s">
        <v>39</v>
      </c>
      <c r="C951" s="18" t="s">
        <v>1061</v>
      </c>
      <c r="D951" s="18" t="s">
        <v>1062</v>
      </c>
      <c r="E951" s="18" t="s">
        <v>103</v>
      </c>
    </row>
    <row r="952" spans="1:5">
      <c r="A952" s="17">
        <v>951</v>
      </c>
      <c r="B952" s="18" t="s">
        <v>39</v>
      </c>
      <c r="C952" s="18" t="s">
        <v>1063</v>
      </c>
      <c r="D952" s="18" t="s">
        <v>1064</v>
      </c>
      <c r="E952" s="18" t="s">
        <v>220</v>
      </c>
    </row>
    <row r="953" spans="1:5">
      <c r="A953" s="17">
        <v>952</v>
      </c>
      <c r="B953" s="18" t="s">
        <v>39</v>
      </c>
      <c r="C953" s="18" t="s">
        <v>1065</v>
      </c>
      <c r="D953" s="18" t="s">
        <v>219</v>
      </c>
      <c r="E953" s="18" t="s">
        <v>220</v>
      </c>
    </row>
    <row r="954" spans="1:5">
      <c r="A954" s="17">
        <v>953</v>
      </c>
      <c r="B954" s="18" t="s">
        <v>39</v>
      </c>
      <c r="C954" s="18" t="s">
        <v>1066</v>
      </c>
      <c r="D954" s="18" t="s">
        <v>102</v>
      </c>
      <c r="E954" s="18" t="s">
        <v>103</v>
      </c>
    </row>
    <row r="955" spans="1:5">
      <c r="A955" s="17">
        <v>954</v>
      </c>
      <c r="B955" s="18" t="s">
        <v>35</v>
      </c>
      <c r="C955" s="18" t="s">
        <v>1067</v>
      </c>
      <c r="D955" s="18" t="s">
        <v>105</v>
      </c>
      <c r="E955" s="18" t="s">
        <v>48</v>
      </c>
    </row>
    <row r="956" spans="1:5">
      <c r="A956" s="17">
        <v>955</v>
      </c>
      <c r="B956" s="18" t="s">
        <v>39</v>
      </c>
      <c r="C956" s="18" t="s">
        <v>1068</v>
      </c>
      <c r="D956" s="18" t="s">
        <v>1069</v>
      </c>
      <c r="E956" s="18" t="s">
        <v>377</v>
      </c>
    </row>
    <row r="957" spans="1:5">
      <c r="A957" s="17">
        <v>956</v>
      </c>
      <c r="B957" s="18" t="s">
        <v>39</v>
      </c>
      <c r="C957" s="18" t="s">
        <v>1070</v>
      </c>
      <c r="D957" s="18" t="s">
        <v>89</v>
      </c>
      <c r="E957" s="18" t="s">
        <v>90</v>
      </c>
    </row>
    <row r="958" spans="1:5">
      <c r="A958" s="17">
        <v>957</v>
      </c>
      <c r="B958" s="18" t="s">
        <v>39</v>
      </c>
      <c r="C958" s="18" t="s">
        <v>1071</v>
      </c>
      <c r="D958" s="18" t="s">
        <v>1072</v>
      </c>
      <c r="E958" s="18" t="s">
        <v>103</v>
      </c>
    </row>
    <row r="959" spans="1:5">
      <c r="A959" s="17">
        <v>958</v>
      </c>
      <c r="B959" s="18" t="s">
        <v>39</v>
      </c>
      <c r="C959" s="18" t="s">
        <v>1073</v>
      </c>
      <c r="D959" s="18" t="s">
        <v>89</v>
      </c>
      <c r="E959" s="18" t="s">
        <v>90</v>
      </c>
    </row>
    <row r="960" spans="1:5">
      <c r="A960" s="17">
        <v>959</v>
      </c>
      <c r="B960" s="18" t="s">
        <v>39</v>
      </c>
      <c r="C960" s="18" t="s">
        <v>1074</v>
      </c>
      <c r="D960" s="18" t="s">
        <v>1075</v>
      </c>
      <c r="E960" s="18" t="s">
        <v>48</v>
      </c>
    </row>
    <row r="961" spans="1:5">
      <c r="A961" s="17">
        <v>960</v>
      </c>
      <c r="B961" s="18" t="s">
        <v>39</v>
      </c>
      <c r="C961" s="18" t="s">
        <v>1076</v>
      </c>
      <c r="D961" s="18" t="s">
        <v>1077</v>
      </c>
      <c r="E961" s="18" t="s">
        <v>1078</v>
      </c>
    </row>
    <row r="962" spans="1:5">
      <c r="A962" s="17">
        <v>961</v>
      </c>
      <c r="B962" s="18" t="s">
        <v>35</v>
      </c>
      <c r="C962" s="18" t="s">
        <v>1079</v>
      </c>
      <c r="D962" s="18" t="s">
        <v>105</v>
      </c>
      <c r="E962" s="18" t="s">
        <v>48</v>
      </c>
    </row>
    <row r="963" spans="1:5">
      <c r="A963" s="17">
        <v>962</v>
      </c>
      <c r="B963" s="18" t="s">
        <v>35</v>
      </c>
      <c r="C963" s="18" t="s">
        <v>1080</v>
      </c>
      <c r="D963" s="18" t="s">
        <v>105</v>
      </c>
      <c r="E963" s="18" t="s">
        <v>48</v>
      </c>
    </row>
    <row r="964" spans="1:5">
      <c r="A964" s="17">
        <v>963</v>
      </c>
      <c r="B964" s="18" t="s">
        <v>35</v>
      </c>
      <c r="C964" s="18" t="s">
        <v>1081</v>
      </c>
      <c r="D964" s="18" t="s">
        <v>105</v>
      </c>
      <c r="E964" s="18" t="s">
        <v>48</v>
      </c>
    </row>
    <row r="965" spans="1:5">
      <c r="A965" s="17">
        <v>964</v>
      </c>
      <c r="B965" s="18" t="s">
        <v>35</v>
      </c>
      <c r="C965" s="18" t="s">
        <v>1082</v>
      </c>
      <c r="D965" s="18" t="s">
        <v>105</v>
      </c>
      <c r="E965" s="18" t="s">
        <v>48</v>
      </c>
    </row>
    <row r="966" spans="1:5">
      <c r="A966" s="17">
        <v>965</v>
      </c>
      <c r="B966" s="18" t="s">
        <v>39</v>
      </c>
      <c r="C966" s="18" t="s">
        <v>1083</v>
      </c>
      <c r="D966" s="18" t="s">
        <v>1084</v>
      </c>
      <c r="E966" s="18" t="s">
        <v>822</v>
      </c>
    </row>
    <row r="967" spans="1:5">
      <c r="A967" s="17">
        <v>966</v>
      </c>
      <c r="B967" s="18" t="s">
        <v>35</v>
      </c>
      <c r="C967" s="17" t="s">
        <v>1085</v>
      </c>
      <c r="D967" s="18" t="s">
        <v>105</v>
      </c>
      <c r="E967" s="18" t="s">
        <v>48</v>
      </c>
    </row>
    <row r="968" spans="1:5">
      <c r="A968" s="17">
        <v>967</v>
      </c>
      <c r="B968" s="18" t="s">
        <v>35</v>
      </c>
      <c r="C968" s="18" t="s">
        <v>1086</v>
      </c>
      <c r="D968" s="18" t="s">
        <v>105</v>
      </c>
      <c r="E968" s="18" t="s">
        <v>48</v>
      </c>
    </row>
    <row r="969" spans="1:5">
      <c r="A969" s="17">
        <v>968</v>
      </c>
      <c r="B969" s="18" t="s">
        <v>35</v>
      </c>
      <c r="C969" s="18" t="s">
        <v>1087</v>
      </c>
      <c r="D969" s="18" t="s">
        <v>105</v>
      </c>
      <c r="E969" s="18" t="s">
        <v>48</v>
      </c>
    </row>
    <row r="970" spans="1:5">
      <c r="A970" s="17">
        <v>969</v>
      </c>
      <c r="B970" s="18" t="s">
        <v>35</v>
      </c>
      <c r="C970" s="18" t="s">
        <v>1088</v>
      </c>
      <c r="D970" s="18" t="s">
        <v>105</v>
      </c>
      <c r="E970" s="18" t="s">
        <v>48</v>
      </c>
    </row>
    <row r="971" spans="1:5">
      <c r="A971" s="17">
        <v>970</v>
      </c>
      <c r="B971" s="18" t="s">
        <v>35</v>
      </c>
      <c r="C971" s="18" t="s">
        <v>1089</v>
      </c>
      <c r="D971" s="18" t="s">
        <v>105</v>
      </c>
      <c r="E971" s="18" t="s">
        <v>48</v>
      </c>
    </row>
    <row r="972" spans="1:5">
      <c r="A972" s="17">
        <v>971</v>
      </c>
      <c r="B972" s="18" t="s">
        <v>35</v>
      </c>
      <c r="C972" s="18" t="s">
        <v>1090</v>
      </c>
      <c r="D972" s="18" t="s">
        <v>105</v>
      </c>
      <c r="E972" s="18" t="s">
        <v>48</v>
      </c>
    </row>
    <row r="973" spans="1:5">
      <c r="A973" s="17">
        <v>972</v>
      </c>
      <c r="B973" s="18" t="s">
        <v>35</v>
      </c>
      <c r="C973" s="18" t="s">
        <v>1091</v>
      </c>
      <c r="D973" s="18" t="s">
        <v>187</v>
      </c>
      <c r="E973" s="18" t="s">
        <v>48</v>
      </c>
    </row>
    <row r="974" spans="1:5">
      <c r="A974" s="17">
        <v>973</v>
      </c>
      <c r="B974" s="18" t="s">
        <v>39</v>
      </c>
      <c r="C974" s="18" t="s">
        <v>1092</v>
      </c>
      <c r="D974" s="18" t="s">
        <v>645</v>
      </c>
      <c r="E974" s="18" t="s">
        <v>48</v>
      </c>
    </row>
    <row r="975" spans="1:5">
      <c r="A975" s="17">
        <v>974</v>
      </c>
      <c r="B975" s="18" t="s">
        <v>35</v>
      </c>
      <c r="C975" s="18" t="s">
        <v>1093</v>
      </c>
      <c r="D975" s="18" t="s">
        <v>105</v>
      </c>
      <c r="E975" s="18" t="s">
        <v>48</v>
      </c>
    </row>
    <row r="976" spans="1:5">
      <c r="A976" s="17">
        <v>975</v>
      </c>
      <c r="B976" s="18" t="s">
        <v>35</v>
      </c>
      <c r="C976" s="18" t="s">
        <v>1094</v>
      </c>
      <c r="D976" s="18" t="s">
        <v>105</v>
      </c>
      <c r="E976" s="18" t="s">
        <v>48</v>
      </c>
    </row>
    <row r="977" spans="1:5">
      <c r="A977" s="17">
        <v>976</v>
      </c>
      <c r="B977" s="18" t="s">
        <v>35</v>
      </c>
      <c r="C977" s="18" t="s">
        <v>1095</v>
      </c>
      <c r="D977" s="18" t="s">
        <v>105</v>
      </c>
      <c r="E977" s="18" t="s">
        <v>48</v>
      </c>
    </row>
    <row r="978" spans="1:5">
      <c r="A978" s="17">
        <v>977</v>
      </c>
      <c r="B978" s="18" t="s">
        <v>39</v>
      </c>
      <c r="C978" s="18" t="s">
        <v>1096</v>
      </c>
      <c r="D978" s="18" t="s">
        <v>89</v>
      </c>
      <c r="E978" s="18" t="s">
        <v>90</v>
      </c>
    </row>
    <row r="979" spans="1:5">
      <c r="A979" s="17">
        <v>978</v>
      </c>
      <c r="B979" s="18" t="s">
        <v>35</v>
      </c>
      <c r="C979" s="18" t="s">
        <v>1097</v>
      </c>
      <c r="D979" s="18" t="s">
        <v>105</v>
      </c>
      <c r="E979" s="18" t="s">
        <v>48</v>
      </c>
    </row>
    <row r="980" spans="1:5">
      <c r="A980" s="17">
        <v>979</v>
      </c>
      <c r="B980" s="18" t="s">
        <v>35</v>
      </c>
      <c r="C980" s="18" t="s">
        <v>1098</v>
      </c>
      <c r="D980" s="18" t="s">
        <v>105</v>
      </c>
      <c r="E980" s="18" t="s">
        <v>48</v>
      </c>
    </row>
    <row r="981" spans="1:5">
      <c r="A981" s="17">
        <v>980</v>
      </c>
      <c r="B981" s="18" t="s">
        <v>35</v>
      </c>
      <c r="C981" s="18" t="s">
        <v>1099</v>
      </c>
      <c r="D981" s="18" t="s">
        <v>105</v>
      </c>
      <c r="E981" s="18" t="s">
        <v>48</v>
      </c>
    </row>
    <row r="982" spans="1:5">
      <c r="A982" s="17">
        <v>981</v>
      </c>
      <c r="B982" s="18" t="s">
        <v>35</v>
      </c>
      <c r="C982" s="18" t="s">
        <v>1100</v>
      </c>
      <c r="D982" s="18" t="s">
        <v>105</v>
      </c>
      <c r="E982" s="18" t="s">
        <v>48</v>
      </c>
    </row>
    <row r="983" spans="1:5">
      <c r="A983" s="17">
        <v>982</v>
      </c>
      <c r="B983" s="18" t="s">
        <v>35</v>
      </c>
      <c r="C983" s="18" t="s">
        <v>1101</v>
      </c>
      <c r="D983" s="18" t="s">
        <v>105</v>
      </c>
      <c r="E983" s="18" t="s">
        <v>48</v>
      </c>
    </row>
    <row r="984" spans="1:5">
      <c r="A984" s="17">
        <v>983</v>
      </c>
      <c r="B984" s="18" t="s">
        <v>35</v>
      </c>
      <c r="C984" s="18" t="s">
        <v>1102</v>
      </c>
      <c r="D984" s="18" t="s">
        <v>105</v>
      </c>
      <c r="E984" s="18" t="s">
        <v>48</v>
      </c>
    </row>
    <row r="985" spans="1:5">
      <c r="A985" s="17">
        <v>984</v>
      </c>
      <c r="B985" s="18" t="s">
        <v>35</v>
      </c>
      <c r="C985" s="18" t="s">
        <v>1103</v>
      </c>
      <c r="D985" s="18" t="s">
        <v>105</v>
      </c>
      <c r="E985" s="18" t="s">
        <v>48</v>
      </c>
    </row>
    <row r="986" spans="1:5">
      <c r="A986" s="17">
        <v>985</v>
      </c>
      <c r="B986" s="18" t="s">
        <v>35</v>
      </c>
      <c r="C986" s="18" t="s">
        <v>1104</v>
      </c>
      <c r="D986" s="18" t="s">
        <v>105</v>
      </c>
      <c r="E986" s="18" t="s">
        <v>48</v>
      </c>
    </row>
    <row r="987" spans="1:5">
      <c r="A987" s="17">
        <v>986</v>
      </c>
      <c r="B987" s="18" t="s">
        <v>35</v>
      </c>
      <c r="C987" s="18" t="s">
        <v>1105</v>
      </c>
      <c r="D987" s="18" t="s">
        <v>105</v>
      </c>
      <c r="E987" s="18" t="s">
        <v>48</v>
      </c>
    </row>
    <row r="988" spans="1:5">
      <c r="A988" s="17">
        <v>987</v>
      </c>
      <c r="B988" s="18" t="s">
        <v>35</v>
      </c>
      <c r="C988" s="18" t="s">
        <v>1106</v>
      </c>
      <c r="D988" s="18" t="s">
        <v>105</v>
      </c>
      <c r="E988" s="18" t="s">
        <v>48</v>
      </c>
    </row>
    <row r="989" spans="1:5">
      <c r="A989" s="17">
        <v>988</v>
      </c>
      <c r="B989" s="18" t="s">
        <v>35</v>
      </c>
      <c r="C989" s="18" t="s">
        <v>1107</v>
      </c>
      <c r="D989" s="18" t="s">
        <v>105</v>
      </c>
      <c r="E989" s="18" t="s">
        <v>48</v>
      </c>
    </row>
    <row r="990" spans="1:5">
      <c r="A990" s="17">
        <v>989</v>
      </c>
      <c r="B990" s="18" t="s">
        <v>39</v>
      </c>
      <c r="C990" s="18" t="s">
        <v>1108</v>
      </c>
      <c r="D990" s="18" t="s">
        <v>37</v>
      </c>
      <c r="E990" s="18" t="s">
        <v>38</v>
      </c>
    </row>
    <row r="991" spans="1:5">
      <c r="A991" s="17">
        <v>990</v>
      </c>
      <c r="B991" s="18" t="s">
        <v>39</v>
      </c>
      <c r="C991" s="18" t="s">
        <v>1109</v>
      </c>
      <c r="D991" s="18" t="s">
        <v>1110</v>
      </c>
      <c r="E991" s="18" t="s">
        <v>48</v>
      </c>
    </row>
    <row r="992" spans="1:5">
      <c r="A992" s="17">
        <v>991</v>
      </c>
      <c r="B992" s="18" t="s">
        <v>35</v>
      </c>
      <c r="C992" s="18" t="s">
        <v>1111</v>
      </c>
      <c r="D992" s="18" t="s">
        <v>105</v>
      </c>
      <c r="E992" s="18" t="s">
        <v>48</v>
      </c>
    </row>
    <row r="993" spans="1:6">
      <c r="A993" s="17">
        <v>992</v>
      </c>
      <c r="B993" s="18" t="s">
        <v>35</v>
      </c>
      <c r="C993" s="18" t="s">
        <v>1112</v>
      </c>
      <c r="D993" s="18" t="s">
        <v>105</v>
      </c>
      <c r="E993" s="18" t="s">
        <v>48</v>
      </c>
    </row>
    <row r="994" spans="1:6">
      <c r="A994" s="17">
        <v>993</v>
      </c>
      <c r="B994" s="18" t="s">
        <v>35</v>
      </c>
      <c r="C994" s="18" t="s">
        <v>1113</v>
      </c>
      <c r="D994" s="18" t="s">
        <v>105</v>
      </c>
      <c r="E994" s="18" t="s">
        <v>48</v>
      </c>
    </row>
    <row r="995" spans="1:6">
      <c r="A995" s="17">
        <v>994</v>
      </c>
      <c r="B995" s="18" t="s">
        <v>35</v>
      </c>
      <c r="C995" s="18" t="s">
        <v>1114</v>
      </c>
      <c r="D995" s="18" t="s">
        <v>105</v>
      </c>
      <c r="E995" s="18" t="s">
        <v>48</v>
      </c>
    </row>
    <row r="996" spans="1:6">
      <c r="A996" s="17">
        <v>995</v>
      </c>
      <c r="B996" s="18" t="s">
        <v>35</v>
      </c>
      <c r="C996" s="18" t="s">
        <v>1115</v>
      </c>
      <c r="D996" s="18" t="s">
        <v>105</v>
      </c>
      <c r="E996" s="18" t="s">
        <v>48</v>
      </c>
    </row>
    <row r="997" spans="1:6">
      <c r="A997" s="17">
        <v>996</v>
      </c>
      <c r="B997" s="18" t="s">
        <v>35</v>
      </c>
      <c r="C997" s="18" t="s">
        <v>1116</v>
      </c>
      <c r="D997" s="18" t="s">
        <v>187</v>
      </c>
      <c r="E997" s="18" t="s">
        <v>48</v>
      </c>
    </row>
    <row r="998" spans="1:6">
      <c r="A998" s="17">
        <v>997</v>
      </c>
      <c r="B998" s="18" t="s">
        <v>35</v>
      </c>
      <c r="C998" s="18" t="s">
        <v>1117</v>
      </c>
      <c r="D998" s="18" t="s">
        <v>105</v>
      </c>
      <c r="E998" s="18" t="s">
        <v>48</v>
      </c>
    </row>
    <row r="999" spans="1:6">
      <c r="A999" s="17">
        <v>998</v>
      </c>
      <c r="B999" s="18" t="s">
        <v>35</v>
      </c>
      <c r="C999" s="18" t="s">
        <v>1118</v>
      </c>
      <c r="D999" s="18" t="s">
        <v>105</v>
      </c>
      <c r="E999" s="18" t="s">
        <v>48</v>
      </c>
    </row>
    <row r="1000" spans="1:6">
      <c r="A1000" s="17">
        <v>999</v>
      </c>
      <c r="B1000" s="18" t="s">
        <v>35</v>
      </c>
      <c r="C1000" s="18" t="s">
        <v>1119</v>
      </c>
      <c r="D1000" s="18" t="s">
        <v>105</v>
      </c>
      <c r="E1000" s="18" t="s">
        <v>48</v>
      </c>
    </row>
    <row r="1001" spans="1:6">
      <c r="A1001" s="17">
        <v>1000</v>
      </c>
      <c r="B1001" s="18" t="s">
        <v>35</v>
      </c>
      <c r="C1001" s="18" t="s">
        <v>1120</v>
      </c>
      <c r="D1001" s="18" t="s">
        <v>105</v>
      </c>
      <c r="E1001" s="18" t="s">
        <v>48</v>
      </c>
      <c r="F1001" s="18"/>
    </row>
    <row r="1002" spans="1:6">
      <c r="A1002" s="17">
        <v>1001</v>
      </c>
      <c r="B1002" s="18" t="s">
        <v>35</v>
      </c>
      <c r="C1002" s="18" t="s">
        <v>1121</v>
      </c>
      <c r="D1002" s="18" t="s">
        <v>105</v>
      </c>
      <c r="E1002" s="18" t="s">
        <v>48</v>
      </c>
      <c r="F1002" s="18"/>
    </row>
    <row r="1003" spans="1:6">
      <c r="A1003" s="17">
        <v>1002</v>
      </c>
      <c r="B1003" s="18" t="s">
        <v>39</v>
      </c>
      <c r="C1003" s="18" t="s">
        <v>1122</v>
      </c>
      <c r="D1003" s="18" t="s">
        <v>819</v>
      </c>
      <c r="E1003" s="18" t="s">
        <v>48</v>
      </c>
      <c r="F1003" s="18"/>
    </row>
    <row r="1004" spans="1:6">
      <c r="A1004" s="17">
        <v>1003</v>
      </c>
      <c r="B1004" s="18" t="s">
        <v>35</v>
      </c>
      <c r="C1004" s="18" t="s">
        <v>1123</v>
      </c>
      <c r="D1004" s="18" t="s">
        <v>105</v>
      </c>
      <c r="E1004" s="18" t="s">
        <v>48</v>
      </c>
      <c r="F1004" s="18"/>
    </row>
    <row r="1005" spans="1:6">
      <c r="A1005" s="17">
        <v>1004</v>
      </c>
      <c r="B1005" s="18" t="s">
        <v>35</v>
      </c>
      <c r="C1005" s="18" t="s">
        <v>1124</v>
      </c>
      <c r="D1005" s="18" t="s">
        <v>105</v>
      </c>
      <c r="E1005" s="18" t="s">
        <v>48</v>
      </c>
      <c r="F1005" s="18"/>
    </row>
    <row r="1006" spans="1:6">
      <c r="A1006" s="17">
        <v>1005</v>
      </c>
      <c r="B1006" s="18" t="s">
        <v>35</v>
      </c>
      <c r="C1006" s="18" t="s">
        <v>1125</v>
      </c>
      <c r="D1006" s="18" t="s">
        <v>105</v>
      </c>
      <c r="E1006" s="18" t="s">
        <v>48</v>
      </c>
      <c r="F1006" s="18"/>
    </row>
    <row r="1007" spans="1:6">
      <c r="A1007" s="17">
        <v>1006</v>
      </c>
      <c r="B1007" s="18" t="s">
        <v>35</v>
      </c>
      <c r="C1007" s="18" t="s">
        <v>1126</v>
      </c>
      <c r="D1007" s="18" t="s">
        <v>105</v>
      </c>
      <c r="E1007" s="18" t="s">
        <v>48</v>
      </c>
      <c r="F1007" s="18"/>
    </row>
    <row r="1008" spans="1:6">
      <c r="A1008" s="17">
        <v>1007</v>
      </c>
      <c r="B1008" s="18" t="s">
        <v>39</v>
      </c>
      <c r="C1008" s="18" t="s">
        <v>1127</v>
      </c>
      <c r="D1008" s="18" t="s">
        <v>1128</v>
      </c>
      <c r="E1008" s="18" t="s">
        <v>1078</v>
      </c>
    </row>
    <row r="1009" spans="1:5">
      <c r="A1009" s="17">
        <v>1008</v>
      </c>
      <c r="B1009" s="18" t="s">
        <v>39</v>
      </c>
      <c r="C1009" s="18" t="s">
        <v>1129</v>
      </c>
      <c r="D1009" s="18" t="s">
        <v>1130</v>
      </c>
      <c r="E1009" s="18" t="s">
        <v>1131</v>
      </c>
    </row>
    <row r="1010" spans="1:5">
      <c r="A1010" s="17">
        <v>1009</v>
      </c>
      <c r="B1010" s="18" t="s">
        <v>39</v>
      </c>
      <c r="C1010" s="18" t="s">
        <v>1132</v>
      </c>
      <c r="D1010" s="18" t="s">
        <v>105</v>
      </c>
      <c r="E1010" s="18" t="s">
        <v>48</v>
      </c>
    </row>
    <row r="1011" spans="1:5">
      <c r="A1011" s="17">
        <v>1010</v>
      </c>
      <c r="B1011" s="18" t="s">
        <v>39</v>
      </c>
      <c r="C1011" s="18" t="s">
        <v>1133</v>
      </c>
      <c r="D1011" s="18" t="s">
        <v>1134</v>
      </c>
      <c r="E1011" s="18" t="s">
        <v>87</v>
      </c>
    </row>
    <row r="1012" spans="1:5">
      <c r="A1012" s="17">
        <v>1011</v>
      </c>
      <c r="B1012" s="18" t="s">
        <v>39</v>
      </c>
      <c r="C1012" s="18" t="s">
        <v>1135</v>
      </c>
      <c r="D1012" s="18" t="s">
        <v>1136</v>
      </c>
      <c r="E1012" s="18" t="s">
        <v>81</v>
      </c>
    </row>
  </sheetData>
  <conditionalFormatting sqref="C938:C945">
    <cfRule type="duplicateValues" dxfId="5" priority="5"/>
  </conditionalFormatting>
  <conditionalFormatting sqref="C962:C970">
    <cfRule type="duplicateValues" dxfId="4" priority="4"/>
  </conditionalFormatting>
  <conditionalFormatting sqref="C978:C991">
    <cfRule type="duplicateValues" dxfId="3" priority="3"/>
  </conditionalFormatting>
  <conditionalFormatting sqref="C992:C1000 C1:C911 C920:C937 C946:C961 C971:C977 C1008:C1010 C1013:C1048576">
    <cfRule type="duplicateValues" dxfId="2" priority="6"/>
  </conditionalFormatting>
  <conditionalFormatting sqref="C1001:C1007">
    <cfRule type="duplicateValues" dxfId="1" priority="2"/>
  </conditionalFormatting>
  <conditionalFormatting sqref="C1011:C101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2A2-9DAC-430F-A05C-30D1E31A9F90}">
  <dimension ref="A1:B5"/>
  <sheetViews>
    <sheetView workbookViewId="0">
      <selection activeCell="I17" sqref="I17"/>
    </sheetView>
  </sheetViews>
  <sheetFormatPr defaultColWidth="8.7265625" defaultRowHeight="14.5"/>
  <cols>
    <col min="1" max="2" width="8.7265625" style="2"/>
    <col min="3" max="16384" width="8.7265625" style="1"/>
  </cols>
  <sheetData>
    <row r="1" spans="1:2">
      <c r="A1" s="7" t="s">
        <v>30</v>
      </c>
      <c r="B1" s="7" t="s">
        <v>0</v>
      </c>
    </row>
    <row r="2" spans="1:2">
      <c r="A2" s="7">
        <v>1</v>
      </c>
      <c r="B2" s="7">
        <v>2023</v>
      </c>
    </row>
    <row r="3" spans="1:2">
      <c r="A3" s="7">
        <v>2</v>
      </c>
      <c r="B3" s="7">
        <v>2024</v>
      </c>
    </row>
    <row r="4" spans="1:2">
      <c r="A4" s="7">
        <v>3</v>
      </c>
      <c r="B4" s="7">
        <v>2025</v>
      </c>
    </row>
    <row r="5" spans="1:2">
      <c r="A5" s="7">
        <v>4</v>
      </c>
      <c r="B5" s="7">
        <v>2026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39C9-C67B-494A-9129-EDE8AECBF3F0}">
  <dimension ref="A1:B13"/>
  <sheetViews>
    <sheetView workbookViewId="0">
      <selection activeCell="H17" sqref="H17"/>
    </sheetView>
  </sheetViews>
  <sheetFormatPr defaultColWidth="8.7265625" defaultRowHeight="14.5"/>
  <cols>
    <col min="1" max="1" width="8.81640625" style="2" customWidth="1"/>
    <col min="2" max="2" width="8.81640625" style="1" customWidth="1"/>
    <col min="3" max="16384" width="8.7265625" style="1"/>
  </cols>
  <sheetData>
    <row r="1" spans="1:2">
      <c r="A1" s="7" t="s">
        <v>30</v>
      </c>
      <c r="B1" s="8" t="s">
        <v>1</v>
      </c>
    </row>
    <row r="2" spans="1:2">
      <c r="A2" s="7">
        <v>1</v>
      </c>
      <c r="B2" s="8" t="s">
        <v>17</v>
      </c>
    </row>
    <row r="3" spans="1:2">
      <c r="A3" s="7">
        <v>2</v>
      </c>
      <c r="B3" s="8" t="s">
        <v>19</v>
      </c>
    </row>
    <row r="4" spans="1:2">
      <c r="A4" s="7">
        <v>3</v>
      </c>
      <c r="B4" s="8" t="s">
        <v>20</v>
      </c>
    </row>
    <row r="5" spans="1:2">
      <c r="A5" s="7">
        <v>4</v>
      </c>
      <c r="B5" s="8" t="s">
        <v>21</v>
      </c>
    </row>
    <row r="6" spans="1:2">
      <c r="A6" s="7">
        <v>5</v>
      </c>
      <c r="B6" s="8" t="s">
        <v>22</v>
      </c>
    </row>
    <row r="7" spans="1:2">
      <c r="A7" s="7">
        <v>6</v>
      </c>
      <c r="B7" s="8" t="s">
        <v>23</v>
      </c>
    </row>
    <row r="8" spans="1:2">
      <c r="A8" s="7">
        <v>7</v>
      </c>
      <c r="B8" s="8" t="s">
        <v>24</v>
      </c>
    </row>
    <row r="9" spans="1:2">
      <c r="A9" s="7">
        <v>8</v>
      </c>
      <c r="B9" s="8" t="s">
        <v>25</v>
      </c>
    </row>
    <row r="10" spans="1:2">
      <c r="A10" s="7">
        <v>9</v>
      </c>
      <c r="B10" s="8" t="s">
        <v>26</v>
      </c>
    </row>
    <row r="11" spans="1:2">
      <c r="A11" s="7">
        <v>10</v>
      </c>
      <c r="B11" s="8" t="s">
        <v>27</v>
      </c>
    </row>
    <row r="12" spans="1:2">
      <c r="A12" s="7">
        <v>11</v>
      </c>
      <c r="B12" s="8" t="s">
        <v>28</v>
      </c>
    </row>
    <row r="13" spans="1:2">
      <c r="A13" s="7">
        <v>12</v>
      </c>
      <c r="B13" s="8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A719B6E75934895E6A8AC63673B13" ma:contentTypeVersion="3" ma:contentTypeDescription="Create a new document." ma:contentTypeScope="" ma:versionID="a39bc1d85363fa8b62cb4d29ebd4f2a1">
  <xsd:schema xmlns:xsd="http://www.w3.org/2001/XMLSchema" xmlns:xs="http://www.w3.org/2001/XMLSchema" xmlns:p="http://schemas.microsoft.com/office/2006/metadata/properties" xmlns:ns2="a35abc4e-7fea-4224-90f9-93dd039d1934" targetNamespace="http://schemas.microsoft.com/office/2006/metadata/properties" ma:root="true" ma:fieldsID="5b3e0cb1e7ab22dd1a846e9b7dc659f2" ns2:_="">
    <xsd:import namespace="a35abc4e-7fea-4224-90f9-93dd039d19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abc4e-7fea-4224-90f9-93dd039d1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AB1C1C-E27E-4D78-A555-BE1A3A526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7327F-1973-42DB-AFCD-9529913ED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abc4e-7fea-4224-90f9-93dd039d1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5B1F45-DCEC-4F05-9FEB-339943442C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RawKPI.SK</vt:lpstr>
      <vt:lpstr>RegRoot.SK</vt:lpstr>
      <vt:lpstr>VolFarmerContri.SK</vt:lpstr>
      <vt:lpstr>Name.SK</vt:lpstr>
      <vt:lpstr>Year.SK</vt:lpstr>
      <vt:lpstr>Month.SK</vt:lpstr>
    </vt:vector>
  </TitlesOfParts>
  <Manager/>
  <Company>Ingredion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Metawee Jantamenchai</dc:creator>
  <cp:keywords/>
  <dc:description/>
  <cp:lastModifiedBy>Waraporn Promsurin</cp:lastModifiedBy>
  <cp:revision/>
  <dcterms:created xsi:type="dcterms:W3CDTF">2025-03-02T08:47:21Z</dcterms:created>
  <dcterms:modified xsi:type="dcterms:W3CDTF">2026-06-09T06:30:21Z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0x010100913A719B6E75934895E6A8AC63673B13</vt:lpwstr>
  </property>
</Properties>
</file>